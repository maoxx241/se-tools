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ffd875280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204d6852ff0a4583"/>
    <x:sheet xmlns:r="http://schemas.openxmlformats.org/officeDocument/2006/relationships" name="Decode" sheetId="2" r:id="Rf48a2cab44884f43"/>
    <x:sheet xmlns:r="http://schemas.openxmlformats.org/officeDocument/2006/relationships" name="分钟场景" sheetId="3" r:id="R9eee41b5e000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##"/>
    <x:numFmt numFmtId="201" formatCode="0.0000"/>
    <x:numFmt numFmtId="202" formatCode="#,##0.####"/>
    <x:numFmt numFmtId="203" formatCode="0.000000"/>
    <x:numFmt numFmtId="204" formatCode="0.0%"/>
    <x:numFmt numFmtId="205" formatCode="0.000"/>
    <x:numFmt numFmtId="206" formatCode="0.00%"/>
    <x:numFmt numFmtId="207" formatCode="0%"/>
    <x:numFmt numFmtId="208" formatCode="#,##0"/>
    <x:numFmt numFmtId="209" formatCode="#,##0.00"/>
    <x:numFmt numFmtId="210" formatCode="#,##0.000"/>
    <x:numFmt numFmtId="211" formatCode="#,##0.000000"/>
    <x:numFmt numFmtId="212" formatCode="0.000000%"/>
  </x:numFmts>
  <x:fonts count="5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8EEF5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4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3" fontId="3" fillId="6" borderId="0" xfId="0" applyNumberFormat="1" applyFont="1" applyFill="1" applyBorder="1" applyAlignment="1">
      <x:alignment vertical="center"/>
    </x:xf>
    <x:xf numFmtId="207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203" fontId="3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4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7" fontId="3" fillId="3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4" fontId="3" fillId="3" borderId="2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208" fontId="3" fillId="9" borderId="0" xfId="0" applyNumberFormat="1" applyFont="1" applyFill="1" applyBorder="1" applyAlignment="1">
      <x:alignment vertical="center"/>
    </x:xf>
    <x:xf numFmtId="209" fontId="3" fillId="9" borderId="0" xfId="0" applyNumberFormat="1" applyFont="1" applyFill="1" applyBorder="1" applyAlignment="1">
      <x:alignment vertical="center"/>
    </x:xf>
    <x:xf numFmtId="204" fontId="3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208" fontId="3" fillId="0" borderId="0" xfId="0" applyNumberFormat="1" applyFont="1" applyFill="1" applyBorder="1" applyAlignment="1">
      <x:alignment vertical="center"/>
    </x:xf>
    <x:xf numFmtId="210" fontId="3" fillId="0" borderId="0" xfId="0" applyNumberFormat="1" applyFont="1" applyFill="1" applyBorder="1" applyAlignment="1">
      <x:alignment vertical="center"/>
    </x:xf>
    <x:xf numFmtId="211" fontId="3" fillId="0" borderId="0" xfId="0" applyNumberFormat="1" applyFont="1" applyFill="1" applyBorder="1" applyAlignment="1">
      <x:alignment vertical="center"/>
    </x:xf>
    <x:xf numFmtId="212" fontId="3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 patternType="solid">
          <x:bgColor rgb="FFFDE9E7"/>
        </x:patternFill>
      </x:fill>
    </x:dxf>
    <x:dxf>
      <x:font>
        <x:color rgb="FFA32020"/>
      </x:font>
      <x:fill>
        <x:patternFill patternType="solid">
          <x:bgColor rgb="FFFDE9E7"/>
        </x:patternFill>
      </x:fill>
    </x:dxf>
    <x:dxf>
      <x:font>
        <x:color rgb="FFA32020"/>
      </x:font>
      <x:fill>
        <x:patternFill patternType="solid">
          <x:bgColor rgb="FFFDE9E7"/>
        </x:patternFill>
      </x:fill>
    </x:dxf>
    <x:dxf>
      <x:font>
        <x:color rgb="FFA3202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c7d19359b47ee" /><Relationship Type="http://schemas.openxmlformats.org/officeDocument/2006/relationships/theme" Target="/xl/theme/theme1.xml" Id="R62b32ebe0ec94155" /><Relationship Type="http://schemas.openxmlformats.org/officeDocument/2006/relationships/sharedStrings" Target="/xl/sharedStrings.xml" Id="Raabcf927173a4499" /><Relationship Type="http://schemas.openxmlformats.org/officeDocument/2006/relationships/worksheet" Target="/xl/worksheets/sheet1.xml" Id="R204d6852ff0a4583" /><Relationship Type="http://schemas.openxmlformats.org/officeDocument/2006/relationships/worksheet" Target="/xl/worksheets/sheet2.xml" Id="Rf48a2cab44884f43" /><Relationship Type="http://schemas.openxmlformats.org/officeDocument/2006/relationships/worksheet" Target="/xl/worksheets/sheet3.xml" Id="R9eee41b5e000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[154880, 6144]</x:v>
      </x:c>
      <x:c r="D2" s="30" t="str">
        <x:v>BF16</x:v>
      </x:c>
      <x:c r="E2" s="32" t="n">
        <x:v>2</x:v>
      </x:c>
      <x:c r="F2" s="33" t="n">
        <x:v>1</x:v>
      </x:c>
      <x:c r="G2" s="33" t="n">
        <x:v>951582720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1.7724609375</x:v>
      </x:c>
      <x:c r="K2" s="34" t="n">
        <x:f>J2/I2</x:f>
        <x:v>0.2215576171875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[154880, 6144]</x:v>
      </x:c>
      <x:c r="D3" s="30" t="str">
        <x:v>BF16</x:v>
      </x:c>
      <x:c r="E3" s="32" t="n">
        <x:v>2</x:v>
      </x:c>
      <x:c r="F3" s="33" t="n">
        <x:v>1</x:v>
      </x:c>
      <x:c r="G3" s="33" t="n">
        <x:v>951582720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1.7724609375</x:v>
      </x:c>
      <x:c r="K3" s="34" t="n">
        <x:f>J3/I3</x:f>
        <x:v>0.2215576171875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[6144]</x:v>
      </x:c>
      <x:c r="D4" s="30" t="str">
        <x:v>BF16</x:v>
      </x:c>
      <x:c r="E4" s="32" t="n">
        <x:v>2</x:v>
      </x:c>
      <x:c r="F4" s="33" t="n">
        <x:v>1</x:v>
      </x:c>
      <x:c r="G4" s="33" t="n">
        <x:v>6144</x:v>
      </x:c>
      <x:c r="H4" s="33" t="str">
        <x:v>Replicated</x:v>
      </x:c>
      <x:c r="I4" s="33" t="n">
        <x:f>1</x:f>
        <x:v>1</x:v>
      </x:c>
      <x:c r="J4" s="34" t="n">
        <x:f>E4*F4*G4/1073741824</x:f>
        <x:v>0.000011444091796875</x:v>
      </x:c>
      <x:c r="K4" s="34" t="n">
        <x:f>J4/I4</x:f>
        <x:v>0.000011444091796875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[6144]</x:v>
      </x:c>
      <x:c r="D5" s="30" t="str">
        <x:v>BF16</x:v>
      </x:c>
      <x:c r="E5" s="32" t="n">
        <x:v>2</x:v>
      </x:c>
      <x:c r="F5" s="33" t="n">
        <x:v>79</x:v>
      </x:c>
      <x:c r="G5" s="33" t="n">
        <x:v>6144</x:v>
      </x:c>
      <x:c r="H5" s="33" t="str">
        <x:v>Replicated</x:v>
      </x:c>
      <x:c r="I5" s="33" t="n">
        <x:f>1</x:f>
        <x:v>1</x:v>
      </x:c>
      <x:c r="J5" s="34" t="n">
        <x:f>E5*F5*G5/1073741824</x:f>
        <x:v>0.000904083251953125</x:v>
      </x:c>
      <x:c r="K5" s="34" t="n">
        <x:f>J5/I5</x:f>
        <x:v>0.000904083251953125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[6144]</x:v>
      </x:c>
      <x:c r="D6" s="30" t="str">
        <x:v>BF16</x:v>
      </x:c>
      <x:c r="E6" s="32" t="n">
        <x:v>2</x:v>
      </x:c>
      <x:c r="F6" s="33" t="n">
        <x:v>79</x:v>
      </x:c>
      <x:c r="G6" s="33" t="n">
        <x:v>6144</x:v>
      </x:c>
      <x:c r="H6" s="33" t="str">
        <x:v>Replicated</x:v>
      </x:c>
      <x:c r="I6" s="33" t="n">
        <x:f>1</x:f>
        <x:v>1</x:v>
      </x:c>
      <x:c r="J6" s="34" t="n">
        <x:f>E6*F6*G6/1073741824</x:f>
        <x:v>0.000904083251953125</x:v>
      </x:c>
      <x:c r="K6" s="34" t="n">
        <x:f>J6/I6</x:f>
        <x:v>0.000904083251953125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Dense MLP</x:v>
      </x:c>
      <x:c r="B7" s="30" t="str">
        <x:v>mlp.gate_proj.weight</x:v>
      </x:c>
      <x:c r="C7" s="30" t="str">
        <x:v>[12288, 6144]</x:v>
      </x:c>
      <x:c r="D7" s="30" t="str">
        <x:v>FP8 E4M3</x:v>
      </x:c>
      <x:c r="E7" s="32" t="n">
        <x:v>1</x:v>
      </x:c>
      <x:c r="F7" s="33" t="n">
        <x:v>3</x:v>
      </x:c>
      <x:c r="G7" s="33" t="n">
        <x:v>75497472</x:v>
      </x:c>
      <x:c r="H7" s="33" t="str">
        <x:v>TP</x:v>
      </x:c>
      <x:c r="I7" s="33" t="n">
        <x:f>'Prefill'!$P$12</x:f>
        <x:v>8</x:v>
      </x:c>
      <x:c r="J7" s="34" t="n">
        <x:f>E7*F7*G7/1073741824</x:f>
        <x:v>0.2109375</x:v>
      </x:c>
      <x:c r="K7" s="34" t="n">
        <x:f>J7/I7</x:f>
        <x:v>0.0263671875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Dense MLP</x:v>
      </x:c>
      <x:c r="B8" s="30" t="str">
        <x:v>mlp.gate_proj.weight_scale</x:v>
      </x:c>
      <x:c r="C8" s="30" t="str">
        <x:v>[96, 48]</x:v>
      </x:c>
      <x:c r="D8" s="30" t="str">
        <x:v>F32</x:v>
      </x:c>
      <x:c r="E8" s="32" t="n">
        <x:v>4</x:v>
      </x:c>
      <x:c r="F8" s="33" t="n">
        <x:v>3</x:v>
      </x:c>
      <x:c r="G8" s="33" t="n">
        <x:v>4608</x:v>
      </x:c>
      <x:c r="H8" s="33" t="str">
        <x:v>TP</x:v>
      </x:c>
      <x:c r="I8" s="33" t="n">
        <x:f>'Prefill'!$P$12</x:f>
        <x:v>8</x:v>
      </x:c>
      <x:c r="J8" s="34" t="n">
        <x:f>E8*F8*G8/1073741824</x:f>
        <x:v>0.0000514984130859375</x:v>
      </x:c>
      <x:c r="K8" s="34" t="n">
        <x:f>J8/I8</x:f>
        <x:v>0.0000064373016357421875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Dense MLP</x:v>
      </x:c>
      <x:c r="B9" s="30" t="str">
        <x:v>mlp.up_proj.weight</x:v>
      </x:c>
      <x:c r="C9" s="30" t="str">
        <x:v>[12288, 6144]</x:v>
      </x:c>
      <x:c r="D9" s="30" t="str">
        <x:v>FP8 E4M3</x:v>
      </x:c>
      <x:c r="E9" s="32" t="n">
        <x:v>1</x:v>
      </x:c>
      <x:c r="F9" s="33" t="n">
        <x:v>3</x:v>
      </x:c>
      <x:c r="G9" s="33" t="n">
        <x:v>75497472</x:v>
      </x:c>
      <x:c r="H9" s="33" t="str">
        <x:v>TP</x:v>
      </x:c>
      <x:c r="I9" s="33" t="n">
        <x:f>'Prefill'!$P$12</x:f>
        <x:v>8</x:v>
      </x:c>
      <x:c r="J9" s="34" t="n">
        <x:f>E9*F9*G9/1073741824</x:f>
        <x:v>0.2109375</x:v>
      </x:c>
      <x:c r="K9" s="34" t="n">
        <x:f>J9/I9</x:f>
        <x:v>0.0263671875</x:v>
      </x:c>
      <x:c r="L9" s="30"/>
      <x:c r="M9" s="30"/>
      <x:c r="N9" s="30"/>
      <x:c r="O9" s="30"/>
      <x:c r="P9" s="30"/>
    </x:row>
    <x:row r="10">
      <x:c r="A10" s="30" t="str">
        <x:v>Dense MLP</x:v>
      </x:c>
      <x:c r="B10" s="30" t="str">
        <x:v>mlp.up_proj.weight_scale</x:v>
      </x:c>
      <x:c r="C10" s="30" t="str">
        <x:v>[96, 48]</x:v>
      </x:c>
      <x:c r="D10" s="30" t="str">
        <x:v>F32</x:v>
      </x:c>
      <x:c r="E10" s="32" t="n">
        <x:v>4</x:v>
      </x:c>
      <x:c r="F10" s="33" t="n">
        <x:v>3</x:v>
      </x:c>
      <x:c r="G10" s="33" t="n">
        <x:v>4608</x:v>
      </x:c>
      <x:c r="H10" s="33" t="str">
        <x:v>TP</x:v>
      </x:c>
      <x:c r="I10" s="33" t="n">
        <x:f>'Prefill'!$P$12</x:f>
        <x:v>8</x:v>
      </x:c>
      <x:c r="J10" s="34" t="n">
        <x:f>E10*F10*G10/1073741824</x:f>
        <x:v>0.0000514984130859375</x:v>
      </x:c>
      <x:c r="K10" s="34" t="n">
        <x:f>J10/I10</x:f>
        <x:v>0.0000064373016357421875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Dense MLP</x:v>
      </x:c>
      <x:c r="B11" s="30" t="str">
        <x:v>mlp.down_proj.weight</x:v>
      </x:c>
      <x:c r="C11" s="30" t="str">
        <x:v>[6144, 12288]</x:v>
      </x:c>
      <x:c r="D11" s="30" t="str">
        <x:v>FP8 E4M3</x:v>
      </x:c>
      <x:c r="E11" s="32" t="n">
        <x:v>1</x:v>
      </x:c>
      <x:c r="F11" s="33" t="n">
        <x:v>3</x:v>
      </x:c>
      <x:c r="G11" s="33" t="n">
        <x:v>75497472</x:v>
      </x:c>
      <x:c r="H11" s="33" t="str">
        <x:v>TP</x:v>
      </x:c>
      <x:c r="I11" s="33" t="n">
        <x:f>'Prefill'!$P$12</x:f>
        <x:v>8</x:v>
      </x:c>
      <x:c r="J11" s="34" t="n">
        <x:f>E11*F11*G11/1073741824</x:f>
        <x:v>0.2109375</x:v>
      </x:c>
      <x:c r="K11" s="34" t="n">
        <x:f>J11/I11</x:f>
        <x:v>0.0263671875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Dense MLP</x:v>
      </x:c>
      <x:c r="B12" s="30" t="str">
        <x:v>mlp.down_proj.weight_scale</x:v>
      </x:c>
      <x:c r="C12" s="30" t="str">
        <x:v>[48, 96]</x:v>
      </x:c>
      <x:c r="D12" s="30" t="str">
        <x:v>F32</x:v>
      </x:c>
      <x:c r="E12" s="32" t="n">
        <x:v>4</x:v>
      </x:c>
      <x:c r="F12" s="33" t="n">
        <x:v>3</x:v>
      </x:c>
      <x:c r="G12" s="33" t="n">
        <x:v>4608</x:v>
      </x:c>
      <x:c r="H12" s="33" t="str">
        <x:v>TP</x:v>
      </x:c>
      <x:c r="I12" s="33" t="n">
        <x:f>'Prefill'!$P$12</x:f>
        <x:v>8</x:v>
      </x:c>
      <x:c r="J12" s="34" t="n">
        <x:f>E12*F12*G12/1073741824</x:f>
        <x:v>0.0000514984130859375</x:v>
      </x:c>
      <x:c r="K12" s="34" t="n">
        <x:f>J12/I12</x:f>
        <x:v>0.0000064373016357421875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MoE Router</x:v>
      </x:c>
      <x:c r="B13" s="30" t="str">
        <x:v>mlp.gate.weight</x:v>
      </x:c>
      <x:c r="C13" s="30" t="str">
        <x:v>[256, 6144]</x:v>
      </x:c>
      <x:c r="D13" s="30" t="str">
        <x:v>BF16</x:v>
      </x:c>
      <x:c r="E13" s="32" t="n">
        <x:v>2</x:v>
      </x:c>
      <x:c r="F13" s="33" t="n">
        <x:v>76</x:v>
      </x:c>
      <x:c r="G13" s="33" t="n">
        <x:v>1572864</x:v>
      </x:c>
      <x:c r="H13" s="33" t="str">
        <x:v>Replicated</x:v>
      </x:c>
      <x:c r="I13" s="33" t="n">
        <x:f>1</x:f>
        <x:v>1</x:v>
      </x:c>
      <x:c r="J13" s="34" t="n">
        <x:f>E13*F13*G13/1073741824</x:f>
        <x:v>0.22265625</x:v>
      </x:c>
      <x:c r="K13" s="34" t="n">
        <x:f>J13/I13</x:f>
        <x:v>0.22265625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MoE Router</x:v>
      </x:c>
      <x:c r="B14" s="30" t="str">
        <x:v>mlp.gate.e_score_correction_bias</x:v>
      </x:c>
      <x:c r="C14" s="30" t="str">
        <x:v>[256]</x:v>
      </x:c>
      <x:c r="D14" s="30" t="str">
        <x:v>F32</x:v>
      </x:c>
      <x:c r="E14" s="32" t="n">
        <x:v>4</x:v>
      </x:c>
      <x:c r="F14" s="33" t="n">
        <x:v>76</x:v>
      </x:c>
      <x:c r="G14" s="33" t="n">
        <x:v>256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0.000072479248046875</x:v>
      </x:c>
      <x:c r="K14" s="34" t="n">
        <x:f>J14/I14</x:f>
        <x:v>0.000072479248046875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Routed Experts</x:v>
      </x:c>
      <x:c r="B15" s="30" t="str">
        <x:v>mlp.experts.gate_proj.weight</x:v>
      </x:c>
      <x:c r="C15" s="30" t="str">
        <x:v>[2048, 6144]</x:v>
      </x:c>
      <x:c r="D15" s="30" t="str">
        <x:v>FP8 E4M3</x:v>
      </x:c>
      <x:c r="E15" s="32" t="n">
        <x:v>1</x:v>
      </x:c>
      <x:c r="F15" s="33" t="n">
        <x:v>19456</x:v>
      </x:c>
      <x:c r="G15" s="33" t="n">
        <x:v>12582912</x:v>
      </x:c>
      <x:c r="H15" s="33" t="str">
        <x:v>EP</x:v>
      </x:c>
      <x:c r="I15" s="33" t="n">
        <x:f>'Prefill'!$P$14</x:f>
        <x:v>8</x:v>
      </x:c>
      <x:c r="J15" s="34" t="n">
        <x:f>E15*F15*G15/1073741824</x:f>
        <x:v>228</x:v>
      </x:c>
      <x:c r="K15" s="34" t="n">
        <x:f>J15/I15</x:f>
        <x:v>28.5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Routed Experts</x:v>
      </x:c>
      <x:c r="B16" s="30" t="str">
        <x:v>mlp.experts.gate_proj.weight_scale</x:v>
      </x:c>
      <x:c r="C16" s="30" t="str">
        <x:v>[16, 48]</x:v>
      </x:c>
      <x:c r="D16" s="30" t="str">
        <x:v>F32</x:v>
      </x:c>
      <x:c r="E16" s="32" t="n">
        <x:v>4</x:v>
      </x:c>
      <x:c r="F16" s="33" t="n">
        <x:v>19456</x:v>
      </x:c>
      <x:c r="G16" s="33" t="n">
        <x:v>768</x:v>
      </x:c>
      <x:c r="H16" s="33" t="str">
        <x:v>EP</x:v>
      </x:c>
      <x:c r="I16" s="33" t="n">
        <x:f>'Prefill'!$P$14</x:f>
        <x:v>8</x:v>
      </x:c>
      <x:c r="J16" s="34" t="n">
        <x:f>E16*F16*G16/1073741824</x:f>
        <x:v>0.0556640625</x:v>
      </x:c>
      <x:c r="K16" s="34" t="n">
        <x:f>J16/I16</x:f>
        <x:v>0.0069580078125</x:v>
      </x:c>
      <x:c r="L16" s="30"/>
      <x:c r="M16" s="30"/>
      <x:c r="N16" s="30"/>
      <x:c r="O16" s="35"/>
      <x:c r="P16" s="35"/>
    </x:row>
    <x:row r="17">
      <x:c r="A17" s="30" t="str">
        <x:v>Routed Experts</x:v>
      </x:c>
      <x:c r="B17" s="30" t="str">
        <x:v>mlp.experts.up_proj.weight</x:v>
      </x:c>
      <x:c r="C17" s="30" t="str">
        <x:v>[2048, 6144]</x:v>
      </x:c>
      <x:c r="D17" s="30" t="str">
        <x:v>FP8 E4M3</x:v>
      </x:c>
      <x:c r="E17" s="32" t="n">
        <x:v>1</x:v>
      </x:c>
      <x:c r="F17" s="33" t="n">
        <x:v>19456</x:v>
      </x:c>
      <x:c r="G17" s="33" t="n">
        <x:v>12582912</x:v>
      </x:c>
      <x:c r="H17" s="33" t="str">
        <x:v>EP</x:v>
      </x:c>
      <x:c r="I17" s="33" t="n">
        <x:f>'Prefill'!$P$14</x:f>
        <x:v>8</x:v>
      </x:c>
      <x:c r="J17" s="34" t="n">
        <x:f>E17*F17*G17/1073741824</x:f>
        <x:v>228</x:v>
      </x:c>
      <x:c r="K17" s="34" t="n">
        <x:f>J17/I17</x:f>
        <x:v>28.5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Routed Experts</x:v>
      </x:c>
      <x:c r="B18" s="30" t="str">
        <x:v>mlp.experts.up_proj.weight_scale</x:v>
      </x:c>
      <x:c r="C18" s="30" t="str">
        <x:v>[16, 48]</x:v>
      </x:c>
      <x:c r="D18" s="30" t="str">
        <x:v>F32</x:v>
      </x:c>
      <x:c r="E18" s="32" t="n">
        <x:v>4</x:v>
      </x:c>
      <x:c r="F18" s="33" t="n">
        <x:v>19456</x:v>
      </x:c>
      <x:c r="G18" s="33" t="n">
        <x:v>768</x:v>
      </x:c>
      <x:c r="H18" s="33" t="str">
        <x:v>EP</x:v>
      </x:c>
      <x:c r="I18" s="33" t="n">
        <x:f>'Prefill'!$P$14</x:f>
        <x:v>8</x:v>
      </x:c>
      <x:c r="J18" s="34" t="n">
        <x:f>E18*F18*G18/1073741824</x:f>
        <x:v>0.0556640625</x:v>
      </x:c>
      <x:c r="K18" s="34" t="n">
        <x:f>J18/I18</x:f>
        <x:v>0.0069580078125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Routed Experts</x:v>
      </x:c>
      <x:c r="B19" s="30" t="str">
        <x:v>mlp.experts.down_proj.weight</x:v>
      </x:c>
      <x:c r="C19" s="30" t="str">
        <x:v>[6144, 2048]</x:v>
      </x:c>
      <x:c r="D19" s="30" t="str">
        <x:v>FP8 E4M3</x:v>
      </x:c>
      <x:c r="E19" s="32" t="n">
        <x:v>1</x:v>
      </x:c>
      <x:c r="F19" s="33" t="n">
        <x:v>19456</x:v>
      </x:c>
      <x:c r="G19" s="33" t="n">
        <x:v>12582912</x:v>
      </x:c>
      <x:c r="H19" s="33" t="str">
        <x:v>EP</x:v>
      </x:c>
      <x:c r="I19" s="33" t="n">
        <x:f>'Prefill'!$P$14</x:f>
        <x:v>8</x:v>
      </x:c>
      <x:c r="J19" s="34" t="n">
        <x:f>E19*F19*G19/1073741824</x:f>
        <x:v>228</x:v>
      </x:c>
      <x:c r="K19" s="34" t="n">
        <x:f>J19/I19</x:f>
        <x:v>28.5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Routed Experts</x:v>
      </x:c>
      <x:c r="B20" s="30" t="str">
        <x:v>mlp.experts.down_proj.weight_scale</x:v>
      </x:c>
      <x:c r="C20" s="30" t="str">
        <x:v>[48, 16]</x:v>
      </x:c>
      <x:c r="D20" s="30" t="str">
        <x:v>F32</x:v>
      </x:c>
      <x:c r="E20" s="32" t="n">
        <x:v>4</x:v>
      </x:c>
      <x:c r="F20" s="33" t="n">
        <x:v>19456</x:v>
      </x:c>
      <x:c r="G20" s="33" t="n">
        <x:v>768</x:v>
      </x:c>
      <x:c r="H20" s="33" t="str">
        <x:v>EP</x:v>
      </x:c>
      <x:c r="I20" s="33" t="n">
        <x:f>'Prefill'!$P$14</x:f>
        <x:v>8</x:v>
      </x:c>
      <x:c r="J20" s="34" t="n">
        <x:f>E20*F20*G20/1073741824</x:f>
        <x:v>0.0556640625</x:v>
      </x:c>
      <x:c r="K20" s="34" t="n">
        <x:f>J20/I20</x:f>
        <x:v>0.0069580078125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Shared Experts</x:v>
      </x:c>
      <x:c r="B21" s="30" t="str">
        <x:v>mlp.shared_experts.gate_proj.weight</x:v>
      </x:c>
      <x:c r="C21" s="30" t="str">
        <x:v>[2048, 6144]</x:v>
      </x:c>
      <x:c r="D21" s="30" t="str">
        <x:v>FP8 E4M3</x:v>
      </x:c>
      <x:c r="E21" s="32" t="n">
        <x:v>1</x:v>
      </x:c>
      <x:c r="F21" s="33" t="n">
        <x:v>76</x:v>
      </x:c>
      <x:c r="G21" s="33" t="n">
        <x:v>12582912</x:v>
      </x:c>
      <x:c r="H21" s="33" t="str">
        <x:v>共享专家 TP/DP</x:v>
      </x:c>
      <x:c r="I21" s="33" t="n">
        <x:f>IF('Prefill'!$P$17="TP",'Prefill'!$P$18,1)</x:f>
        <x:v>8</x:v>
      </x:c>
      <x:c r="J21" s="34" t="n">
        <x:f>E21*F21*G21/1073741824</x:f>
        <x:v>0.890625</x:v>
      </x:c>
      <x:c r="K21" s="34" t="n">
        <x:f>J21/I21</x:f>
        <x:v>0.111328125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Shared Experts</x:v>
      </x:c>
      <x:c r="B22" s="30" t="str">
        <x:v>mlp.shared_experts.gate_proj.weight_scale</x:v>
      </x:c>
      <x:c r="C22" s="30" t="str">
        <x:v>[16, 48]</x:v>
      </x:c>
      <x:c r="D22" s="30" t="str">
        <x:v>F32</x:v>
      </x:c>
      <x:c r="E22" s="32" t="n">
        <x:v>4</x:v>
      </x:c>
      <x:c r="F22" s="33" t="n">
        <x:v>76</x:v>
      </x:c>
      <x:c r="G22" s="33" t="n">
        <x:v>768</x:v>
      </x:c>
      <x:c r="H22" s="33" t="str">
        <x:v>共享专家 TP/DP</x:v>
      </x:c>
      <x:c r="I22" s="33" t="n">
        <x:f>IF('Prefill'!$P$17="TP",'Prefill'!$P$18,1)</x:f>
        <x:v>8</x:v>
      </x:c>
      <x:c r="J22" s="34" t="n">
        <x:f>E22*F22*G22/1073741824</x:f>
        <x:v>0.000217437744140625</x:v>
      </x:c>
      <x:c r="K22" s="34" t="n">
        <x:f>J22/I22</x:f>
        <x:v>0.000027179718017578125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Shared Experts</x:v>
      </x:c>
      <x:c r="B23" s="30" t="str">
        <x:v>mlp.shared_experts.up_proj.weight</x:v>
      </x:c>
      <x:c r="C23" s="30" t="str">
        <x:v>[2048, 6144]</x:v>
      </x:c>
      <x:c r="D23" s="30" t="str">
        <x:v>FP8 E4M3</x:v>
      </x:c>
      <x:c r="E23" s="32" t="n">
        <x:v>1</x:v>
      </x:c>
      <x:c r="F23" s="33" t="n">
        <x:v>76</x:v>
      </x:c>
      <x:c r="G23" s="33" t="n">
        <x:v>12582912</x:v>
      </x:c>
      <x:c r="H23" s="33" t="str">
        <x:v>共享专家 TP/DP</x:v>
      </x:c>
      <x:c r="I23" s="33" t="n">
        <x:f>IF('Prefill'!$P$17="TP",'Prefill'!$P$18,1)</x:f>
        <x:v>8</x:v>
      </x:c>
      <x:c r="J23" s="34" t="n">
        <x:f>E23*F23*G23/1073741824</x:f>
        <x:v>0.890625</x:v>
      </x:c>
      <x:c r="K23" s="34" t="n">
        <x:f>J23/I23</x:f>
        <x:v>0.111328125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Shared Experts</x:v>
      </x:c>
      <x:c r="B24" s="30" t="str">
        <x:v>mlp.shared_experts.up_proj.weight_scale</x:v>
      </x:c>
      <x:c r="C24" s="30" t="str">
        <x:v>[16, 48]</x:v>
      </x:c>
      <x:c r="D24" s="30" t="str">
        <x:v>F32</x:v>
      </x:c>
      <x:c r="E24" s="32" t="n">
        <x:v>4</x:v>
      </x:c>
      <x:c r="F24" s="33" t="n">
        <x:v>76</x:v>
      </x:c>
      <x:c r="G24" s="33" t="n">
        <x:v>768</x:v>
      </x:c>
      <x:c r="H24" s="33" t="str">
        <x:v>共享专家 TP/DP</x:v>
      </x:c>
      <x:c r="I24" s="33" t="n">
        <x:f>IF('Prefill'!$P$17="TP",'Prefill'!$P$18,1)</x:f>
        <x:v>8</x:v>
      </x:c>
      <x:c r="J24" s="34" t="n">
        <x:f>E24*F24*G24/1073741824</x:f>
        <x:v>0.000217437744140625</x:v>
      </x:c>
      <x:c r="K24" s="34" t="n">
        <x:f>J24/I24</x:f>
        <x:v>0.000027179718017578125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Shared Experts</x:v>
      </x:c>
      <x:c r="B25" s="30" t="str">
        <x:v>mlp.shared_experts.down_proj.weight</x:v>
      </x:c>
      <x:c r="C25" s="30" t="str">
        <x:v>[6144, 2048]</x:v>
      </x:c>
      <x:c r="D25" s="30" t="str">
        <x:v>FP8 E4M3</x:v>
      </x:c>
      <x:c r="E25" s="32" t="n">
        <x:v>1</x:v>
      </x:c>
      <x:c r="F25" s="33" t="n">
        <x:v>76</x:v>
      </x:c>
      <x:c r="G25" s="33" t="n">
        <x:v>12582912</x:v>
      </x:c>
      <x:c r="H25" s="33" t="str">
        <x:v>共享专家 TP/DP</x:v>
      </x:c>
      <x:c r="I25" s="33" t="n">
        <x:f>IF('Prefill'!$P$17="TP",'Prefill'!$P$18,1)</x:f>
        <x:v>8</x:v>
      </x:c>
      <x:c r="J25" s="34" t="n">
        <x:f>E25*F25*G25/1073741824</x:f>
        <x:v>0.890625</x:v>
      </x:c>
      <x:c r="K25" s="34" t="n">
        <x:f>J25/I25</x:f>
        <x:v>0.111328125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Shared Experts</x:v>
      </x:c>
      <x:c r="B26" s="30" t="str">
        <x:v>mlp.shared_experts.down_proj.weight_scale</x:v>
      </x:c>
      <x:c r="C26" s="30" t="str">
        <x:v>[48, 16]</x:v>
      </x:c>
      <x:c r="D26" s="30" t="str">
        <x:v>F32</x:v>
      </x:c>
      <x:c r="E26" s="32" t="n">
        <x:v>4</x:v>
      </x:c>
      <x:c r="F26" s="33" t="n">
        <x:v>76</x:v>
      </x:c>
      <x:c r="G26" s="33" t="n">
        <x:v>768</x:v>
      </x:c>
      <x:c r="H26" s="33" t="str">
        <x:v>共享专家 TP/DP</x:v>
      </x:c>
      <x:c r="I26" s="33" t="n">
        <x:f>IF('Prefill'!$P$17="TP",'Prefill'!$P$18,1)</x:f>
        <x:v>8</x:v>
      </x:c>
      <x:c r="J26" s="34" t="n">
        <x:f>E26*F26*G26/1073741824</x:f>
        <x:v>0.000217437744140625</x:v>
      </x:c>
      <x:c r="K26" s="34" t="n">
        <x:f>J26/I26</x:f>
        <x:v>0.000027179718017578125</x:v>
      </x:c>
      <x:c r="L26" s="30"/>
      <x:c r="M26" s="30"/>
      <x:c r="N26" s="30"/>
      <x:c r="O26" s="30"/>
      <x:c r="P26" s="30"/>
    </x:row>
    <x:row r="27">
      <x:c r="A27" s="30" t="str">
        <x:v>MLA</x:v>
      </x:c>
      <x:c r="B27" s="30" t="str">
        <x:v>q_a_proj.weight</x:v>
      </x:c>
      <x:c r="C27" s="30" t="str">
        <x:v>[2048, 6144]</x:v>
      </x:c>
      <x:c r="D27" s="30" t="str">
        <x:v>FP8 E4M3</x:v>
      </x:c>
      <x:c r="E27" s="32" t="n">
        <x:v>1</x:v>
      </x:c>
      <x:c r="F27" s="33" t="n">
        <x:v>79</x:v>
      </x:c>
      <x:c r="G27" s="33" t="n">
        <x:v>12582912</x:v>
      </x:c>
      <x:c r="H27" s="33" t="str">
        <x:v>Replicated</x:v>
      </x:c>
      <x:c r="I27" s="33" t="n">
        <x:f>1</x:f>
        <x:v>1</x:v>
      </x:c>
      <x:c r="J27" s="34" t="n">
        <x:f>E27*F27*G27/1073741824</x:f>
        <x:v>0.92578125</x:v>
      </x:c>
      <x:c r="K27" s="34" t="n">
        <x:f>J27/I27</x:f>
        <x:v>0.92578125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MLA</x:v>
      </x:c>
      <x:c r="B28" s="30" t="str">
        <x:v>q_a_proj.weight_scale</x:v>
      </x:c>
      <x:c r="C28" s="30" t="str">
        <x:v>[16, 48]</x:v>
      </x:c>
      <x:c r="D28" s="30" t="str">
        <x:v>F32</x:v>
      </x:c>
      <x:c r="E28" s="32" t="n">
        <x:v>4</x:v>
      </x:c>
      <x:c r="F28" s="33" t="n">
        <x:v>79</x:v>
      </x:c>
      <x:c r="G28" s="33" t="n">
        <x:v>768</x:v>
      </x:c>
      <x:c r="H28" s="33" t="str">
        <x:v>Replicated</x:v>
      </x:c>
      <x:c r="I28" s="33" t="n">
        <x:f>1</x:f>
        <x:v>1</x:v>
      </x:c>
      <x:c r="J28" s="34" t="n">
        <x:f>E28*F28*G28/1073741824</x:f>
        <x:v>0.00022602081298828125</x:v>
      </x:c>
      <x:c r="K28" s="34" t="n">
        <x:f>J28/I28</x:f>
        <x:v>0.00022602081298828125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MLA</x:v>
      </x:c>
      <x:c r="B29" s="30" t="str">
        <x:v>q_a_layernorm.weight</x:v>
      </x:c>
      <x:c r="C29" s="30" t="str">
        <x:v>[2048]</x:v>
      </x:c>
      <x:c r="D29" s="30" t="str">
        <x:v>BF16</x:v>
      </x:c>
      <x:c r="E29" s="32" t="n">
        <x:v>2</x:v>
      </x:c>
      <x:c r="F29" s="33" t="n">
        <x:v>79</x:v>
      </x:c>
      <x:c r="G29" s="33" t="n">
        <x:v>2048</x:v>
      </x:c>
      <x:c r="H29" s="33" t="str">
        <x:v>Replicated</x:v>
      </x:c>
      <x:c r="I29" s="33" t="n">
        <x:f>1</x:f>
        <x:v>1</x:v>
      </x:c>
      <x:c r="J29" s="34" t="n">
        <x:f>E29*F29*G29/1073741824</x:f>
        <x:v>0.000301361083984375</x:v>
      </x:c>
      <x:c r="K29" s="34" t="n">
        <x:f>J29/I29</x:f>
        <x:v>0.000301361083984375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MLA</x:v>
      </x:c>
      <x:c r="B30" s="30" t="str">
        <x:v>q_b_proj.weight</x:v>
      </x:c>
      <x:c r="C30" s="30" t="str">
        <x:v>[16384, 2048]</x:v>
      </x:c>
      <x:c r="D30" s="30" t="str">
        <x:v>FP8 E4M3</x:v>
      </x:c>
      <x:c r="E30" s="32" t="n">
        <x:v>1</x:v>
      </x:c>
      <x:c r="F30" s="33" t="n">
        <x:v>79</x:v>
      </x:c>
      <x:c r="G30" s="33" t="n">
        <x:v>33554432</x:v>
      </x:c>
      <x:c r="H30" s="33" t="str">
        <x:v>DSA CP / TP</x:v>
      </x:c>
      <x:c r="I30" s="33" t="n">
        <x:f>IF('Prefill'!$P$25&lt;&gt;0,1,'Prefill'!$P$12)</x:f>
        <x:v>1</x:v>
      </x:c>
      <x:c r="J30" s="34" t="n">
        <x:f>E30*F30*G30/1073741824</x:f>
        <x:v>2.46875</x:v>
      </x:c>
      <x:c r="K30" s="34" t="n">
        <x:f>J30/I30</x:f>
        <x:v>2.46875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MLA</x:v>
      </x:c>
      <x:c r="B31" s="30" t="str">
        <x:v>q_b_proj.weight_scale</x:v>
      </x:c>
      <x:c r="C31" s="30" t="str">
        <x:v>[128, 16]</x:v>
      </x:c>
      <x:c r="D31" s="30" t="str">
        <x:v>F32</x:v>
      </x:c>
      <x:c r="E31" s="32" t="n">
        <x:v>4</x:v>
      </x:c>
      <x:c r="F31" s="33" t="n">
        <x:v>79</x:v>
      </x:c>
      <x:c r="G31" s="33" t="n">
        <x:v>2048</x:v>
      </x:c>
      <x:c r="H31" s="33" t="str">
        <x:v>DSA CP / TP</x:v>
      </x:c>
      <x:c r="I31" s="33" t="n">
        <x:f>IF('Prefill'!$P$25&lt;&gt;0,1,'Prefill'!$P$12)</x:f>
        <x:v>1</x:v>
      </x:c>
      <x:c r="J31" s="34" t="n">
        <x:f>E31*F31*G31/1073741824</x:f>
        <x:v>0.00060272216796875</x:v>
      </x:c>
      <x:c r="K31" s="34" t="n">
        <x:f>J31/I31</x:f>
        <x:v>0.00060272216796875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MLA</x:v>
      </x:c>
      <x:c r="B32" s="30" t="str">
        <x:v>kv_a_proj_with_mqa.weight</x:v>
      </x:c>
      <x:c r="C32" s="30" t="str">
        <x:v>[576, 6144]</x:v>
      </x:c>
      <x:c r="D32" s="30" t="str">
        <x:v>FP8 E4M3</x:v>
      </x:c>
      <x:c r="E32" s="32" t="n">
        <x:v>1</x:v>
      </x:c>
      <x:c r="F32" s="33" t="n">
        <x:v>79</x:v>
      </x:c>
      <x:c r="G32" s="33" t="n">
        <x:v>3538944</x:v>
      </x:c>
      <x:c r="H32" s="33" t="str">
        <x:v>Replicated</x:v>
      </x:c>
      <x:c r="I32" s="33" t="n">
        <x:f>1</x:f>
        <x:v>1</x:v>
      </x:c>
      <x:c r="J32" s="34" t="n">
        <x:f>E32*F32*G32/1073741824</x:f>
        <x:v>0.2603759765625</x:v>
      </x:c>
      <x:c r="K32" s="34" t="n">
        <x:f>J32/I32</x:f>
        <x:v>0.2603759765625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MLA</x:v>
      </x:c>
      <x:c r="B33" s="30" t="str">
        <x:v>kv_a_proj_with_mqa.weight_scale</x:v>
      </x:c>
      <x:c r="C33" s="30" t="str">
        <x:v>[5, 48]</x:v>
      </x:c>
      <x:c r="D33" s="30" t="str">
        <x:v>F32</x:v>
      </x:c>
      <x:c r="E33" s="32" t="n">
        <x:v>4</x:v>
      </x:c>
      <x:c r="F33" s="33" t="n">
        <x:v>79</x:v>
      </x:c>
      <x:c r="G33" s="33" t="n">
        <x:v>240</x:v>
      </x:c>
      <x:c r="H33" s="33" t="str">
        <x:v>Replicated</x:v>
      </x:c>
      <x:c r="I33" s="33" t="n">
        <x:f>1</x:f>
        <x:v>1</x:v>
      </x:c>
      <x:c r="J33" s="34" t="n">
        <x:f>E33*F33*G33/1073741824</x:f>
        <x:v>0.00007063150405883789</x:v>
      </x:c>
      <x:c r="K33" s="34" t="n">
        <x:f>J33/I33</x:f>
        <x:v>0.00007063150405883789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MLA</x:v>
      </x:c>
      <x:c r="B34" s="30" t="str">
        <x:v>kv_a_layernorm.weight</x:v>
      </x:c>
      <x:c r="C34" s="30" t="str">
        <x:v>[512]</x:v>
      </x:c>
      <x:c r="D34" s="30" t="str">
        <x:v>BF16</x:v>
      </x:c>
      <x:c r="E34" s="32" t="n">
        <x:v>2</x:v>
      </x:c>
      <x:c r="F34" s="33" t="n">
        <x:v>79</x:v>
      </x:c>
      <x:c r="G34" s="33" t="n">
        <x:v>512</x:v>
      </x:c>
      <x:c r="H34" s="33" t="str">
        <x:v>Replicated</x:v>
      </x:c>
      <x:c r="I34" s="33" t="n">
        <x:f>1</x:f>
        <x:v>1</x:v>
      </x:c>
      <x:c r="J34" s="34" t="n">
        <x:f>E34*F34*G34/1073741824</x:f>
        <x:v>0.00007534027099609375</x:v>
      </x:c>
      <x:c r="K34" s="34" t="n">
        <x:f>J34/I34</x:f>
        <x:v>0.00007534027099609375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MLA</x:v>
      </x:c>
      <x:c r="B35" s="30" t="str">
        <x:v>kv_b_proj.weight</x:v>
      </x:c>
      <x:c r="C35" s="30" t="str">
        <x:v>[28672, 512]</x:v>
      </x:c>
      <x:c r="D35" s="30" t="str">
        <x:v>FP8 E4M3</x:v>
      </x:c>
      <x:c r="E35" s="32" t="n">
        <x:v>1</x:v>
      </x:c>
      <x:c r="F35" s="33" t="n">
        <x:v>79</x:v>
      </x:c>
      <x:c r="G35" s="33" t="n">
        <x:v>14680064</x:v>
      </x:c>
      <x:c r="H35" s="33" t="str">
        <x:v>DSA CP / TP</x:v>
      </x:c>
      <x:c r="I35" s="33" t="n">
        <x:f>IF('Prefill'!$P$25&lt;&gt;0,1,'Prefill'!$P$12)</x:f>
        <x:v>1</x:v>
      </x:c>
      <x:c r="J35" s="34" t="n">
        <x:f>E35*F35*G35/1073741824</x:f>
        <x:v>1.080078125</x:v>
      </x:c>
      <x:c r="K35" s="34" t="n">
        <x:f>J35/I35</x:f>
        <x:v>1.080078125</x:v>
      </x:c>
      <x:c r="L35" s="30"/>
      <x:c r="M35" s="30"/>
      <x:c r="N35" s="30"/>
      <x:c r="O35" s="30"/>
      <x:c r="P35" s="30"/>
    </x:row>
    <x:row r="36">
      <x:c r="A36" s="30" t="str">
        <x:v>MLA</x:v>
      </x:c>
      <x:c r="B36" s="30" t="str">
        <x:v>kv_b_proj.weight_scale</x:v>
      </x:c>
      <x:c r="C36" s="30" t="str">
        <x:v>[224, 4]</x:v>
      </x:c>
      <x:c r="D36" s="30" t="str">
        <x:v>F32</x:v>
      </x:c>
      <x:c r="E36" s="32" t="n">
        <x:v>4</x:v>
      </x:c>
      <x:c r="F36" s="33" t="n">
        <x:v>79</x:v>
      </x:c>
      <x:c r="G36" s="33" t="n">
        <x:v>896</x:v>
      </x:c>
      <x:c r="H36" s="33" t="str">
        <x:v>DSA CP / TP</x:v>
      </x:c>
      <x:c r="I36" s="33" t="n">
        <x:f>IF('Prefill'!$P$25&lt;&gt;0,1,'Prefill'!$P$12)</x:f>
        <x:v>1</x:v>
      </x:c>
      <x:c r="J36" s="34" t="n">
        <x:f>E36*F36*G36/1073741824</x:f>
        <x:v>0.0002636909484863281</x:v>
      </x:c>
      <x:c r="K36" s="34" t="n">
        <x:f>J36/I36</x:f>
        <x:v>0.0002636909484863281</x:v>
      </x:c>
      <x:c r="L36" s="30"/>
      <x:c r="M36" s="30"/>
      <x:c r="N36" s="30"/>
      <x:c r="O36" s="30"/>
      <x:c r="P36" s="30"/>
    </x:row>
    <x:row r="37">
      <x:c r="A37" s="30" t="str">
        <x:v>MLA</x:v>
      </x:c>
      <x:c r="B37" s="30" t="str">
        <x:v>o_proj.weight</x:v>
      </x:c>
      <x:c r="C37" s="30" t="str">
        <x:v>[6144, 16384]</x:v>
      </x:c>
      <x:c r="D37" s="30" t="str">
        <x:v>FP8 E4M3</x:v>
      </x:c>
      <x:c r="E37" s="32" t="n">
        <x:v>1</x:v>
      </x:c>
      <x:c r="F37" s="33" t="n">
        <x:v>79</x:v>
      </x:c>
      <x:c r="G37" s="33" t="n">
        <x:v>100663296</x:v>
      </x:c>
      <x:c r="H37" s="33" t="str">
        <x:v>O Proj TP</x:v>
      </x:c>
      <x:c r="I37" s="33" t="n">
        <x:f>IF('Prefill'!$P$19&gt;0,'Prefill'!$P$19,'Prefill'!$P$12)</x:f>
        <x:v>8</x:v>
      </x:c>
      <x:c r="J37" s="34" t="n">
        <x:f>E37*F37*G37/1073741824</x:f>
        <x:v>7.40625</x:v>
      </x:c>
      <x:c r="K37" s="34" t="n">
        <x:f>J37/I37</x:f>
        <x:v>0.92578125</x:v>
      </x:c>
      <x:c r="L37" s="30"/>
      <x:c r="M37" s="30"/>
      <x:c r="N37" s="30"/>
      <x:c r="O37" s="30"/>
      <x:c r="P37" s="30"/>
    </x:row>
    <x:row r="38">
      <x:c r="A38" s="30" t="str">
        <x:v>MLA</x:v>
      </x:c>
      <x:c r="B38" s="30" t="str">
        <x:v>o_proj.weight_scale</x:v>
      </x:c>
      <x:c r="C38" s="30" t="str">
        <x:v>[48, 128]</x:v>
      </x:c>
      <x:c r="D38" s="30" t="str">
        <x:v>F32</x:v>
      </x:c>
      <x:c r="E38" s="32" t="n">
        <x:v>4</x:v>
      </x:c>
      <x:c r="F38" s="33" t="n">
        <x:v>79</x:v>
      </x:c>
      <x:c r="G38" s="33" t="n">
        <x:v>6144</x:v>
      </x:c>
      <x:c r="H38" s="33" t="str">
        <x:v>O Proj TP</x:v>
      </x:c>
      <x:c r="I38" s="33" t="n">
        <x:f>IF('Prefill'!$P$19&gt;0,'Prefill'!$P$19,'Prefill'!$P$12)</x:f>
        <x:v>8</x:v>
      </x:c>
      <x:c r="J38" s="34" t="n">
        <x:f>E38*F38*G38/1073741824</x:f>
        <x:v>0.00180816650390625</x:v>
      </x:c>
      <x:c r="K38" s="34" t="n">
        <x:f>J38/I38</x:f>
        <x:v>0.00022602081298828125</x:v>
      </x:c>
      <x:c r="L38" s="30"/>
      <x:c r="M38" s="30"/>
      <x:c r="N38" s="30"/>
      <x:c r="O38" s="30"/>
      <x:c r="P38" s="30"/>
    </x:row>
    <x:row r="39">
      <x:c r="A39" s="30" t="str">
        <x:v>Indexer</x:v>
      </x:c>
      <x:c r="B39" s="30" t="str">
        <x:v>indexer.k_norm.weight</x:v>
      </x:c>
      <x:c r="C39" s="30" t="str">
        <x:v>[128]</x:v>
      </x:c>
      <x:c r="D39" s="30" t="str">
        <x:v>BF16</x:v>
      </x:c>
      <x:c r="E39" s="32" t="n">
        <x:v>2</x:v>
      </x:c>
      <x:c r="F39" s="33" t="n">
        <x:v>22</x:v>
      </x:c>
      <x:c r="G39" s="33" t="n">
        <x:v>128</x:v>
      </x:c>
      <x:c r="H39" s="33" t="str">
        <x:v>Replicated</x:v>
      </x:c>
      <x:c r="I39" s="33" t="n">
        <x:f>1</x:f>
        <x:v>1</x:v>
      </x:c>
      <x:c r="J39" s="34" t="n">
        <x:f>E39*F39*G39/1073741824</x:f>
        <x:v>0.000005245208740234375</x:v>
      </x:c>
      <x:c r="K39" s="34" t="n">
        <x:f>J39/I39</x:f>
        <x:v>0.000005245208740234375</x:v>
      </x:c>
      <x:c r="L39" s="30"/>
      <x:c r="M39" s="30"/>
      <x:c r="N39" s="30"/>
      <x:c r="O39" s="30"/>
      <x:c r="P39" s="30"/>
    </x:row>
    <x:row r="40">
      <x:c r="A40" s="30" t="str">
        <x:v>Indexer</x:v>
      </x:c>
      <x:c r="B40" s="30" t="str">
        <x:v>indexer.k_norm.bias</x:v>
      </x:c>
      <x:c r="C40" s="30" t="str">
        <x:v>[128]</x:v>
      </x:c>
      <x:c r="D40" s="30" t="str">
        <x:v>BF16</x:v>
      </x:c>
      <x:c r="E40" s="32" t="n">
        <x:v>2</x:v>
      </x:c>
      <x:c r="F40" s="33" t="n">
        <x:v>22</x:v>
      </x:c>
      <x:c r="G40" s="33" t="n">
        <x:v>128</x:v>
      </x:c>
      <x:c r="H40" s="33" t="str">
        <x:v>Replicated</x:v>
      </x:c>
      <x:c r="I40" s="33" t="n">
        <x:f>1</x:f>
        <x:v>1</x:v>
      </x:c>
      <x:c r="J40" s="34" t="n">
        <x:f>E40*F40*G40/1073741824</x:f>
        <x:v>0.000005245208740234375</x:v>
      </x:c>
      <x:c r="K40" s="34" t="n">
        <x:f>J40/I40</x:f>
        <x:v>0.000005245208740234375</x:v>
      </x:c>
      <x:c r="L40" s="30"/>
      <x:c r="M40" s="30"/>
      <x:c r="N40" s="30"/>
      <x:c r="O40" s="30"/>
      <x:c r="P40" s="30"/>
    </x:row>
    <x:row r="41">
      <x:c r="A41" s="30" t="str">
        <x:v>Indexer</x:v>
      </x:c>
      <x:c r="B41" s="30" t="str">
        <x:v>indexer.wk.weight</x:v>
      </x:c>
      <x:c r="C41" s="30" t="str">
        <x:v>[128, 6144]</x:v>
      </x:c>
      <x:c r="D41" s="30" t="str">
        <x:v>FP8 E4M3</x:v>
      </x:c>
      <x:c r="E41" s="32" t="n">
        <x:v>1</x:v>
      </x:c>
      <x:c r="F41" s="33" t="n">
        <x:v>22</x:v>
      </x:c>
      <x:c r="G41" s="33" t="n">
        <x:v>786432</x:v>
      </x:c>
      <x:c r="H41" s="33" t="str">
        <x:v>Replicated</x:v>
      </x:c>
      <x:c r="I41" s="33" t="n">
        <x:f>1</x:f>
        <x:v>1</x:v>
      </x:c>
      <x:c r="J41" s="34" t="n">
        <x:f>E41*F41*G41/1073741824</x:f>
        <x:v>0.01611328125</x:v>
      </x:c>
      <x:c r="K41" s="34" t="n">
        <x:f>J41/I41</x:f>
        <x:v>0.01611328125</x:v>
      </x:c>
      <x:c r="L41" s="30"/>
      <x:c r="M41" s="30"/>
      <x:c r="N41" s="30"/>
      <x:c r="O41" s="30"/>
      <x:c r="P41" s="30"/>
    </x:row>
    <x:row r="42">
      <x:c r="A42" s="30" t="str">
        <x:v>Indexer</x:v>
      </x:c>
      <x:c r="B42" s="30" t="str">
        <x:v>indexer.wk.weight_scale</x:v>
      </x:c>
      <x:c r="C42" s="30" t="str">
        <x:v>[1, 48]</x:v>
      </x:c>
      <x:c r="D42" s="30" t="str">
        <x:v>F32</x:v>
      </x:c>
      <x:c r="E42" s="32" t="n">
        <x:v>4</x:v>
      </x:c>
      <x:c r="F42" s="33" t="n">
        <x:v>22</x:v>
      </x:c>
      <x:c r="G42" s="33" t="n">
        <x:v>48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0.000003933906555175781</x:v>
      </x:c>
      <x:c r="K42" s="34" t="n">
        <x:f>J42/I42</x:f>
        <x:v>0.000003933906555175781</x:v>
      </x:c>
      <x:c r="L42" s="30"/>
      <x:c r="M42" s="30"/>
      <x:c r="N42" s="30"/>
      <x:c r="O42" s="30"/>
      <x:c r="P42" s="30"/>
    </x:row>
    <x:row r="43">
      <x:c r="A43" s="30" t="str">
        <x:v>Indexer</x:v>
      </x:c>
      <x:c r="B43" s="30" t="str">
        <x:v>indexer.wq_b.weight</x:v>
      </x:c>
      <x:c r="C43" s="30" t="str">
        <x:v>[4096, 2048]</x:v>
      </x:c>
      <x:c r="D43" s="30" t="str">
        <x:v>FP8 E4M3</x:v>
      </x:c>
      <x:c r="E43" s="32" t="n">
        <x:v>1</x:v>
      </x:c>
      <x:c r="F43" s="33" t="n">
        <x:v>22</x:v>
      </x:c>
      <x:c r="G43" s="33" t="n">
        <x:v>8388608</x:v>
      </x:c>
      <x:c r="H43" s="33" t="str">
        <x:v>Replicated</x:v>
      </x:c>
      <x:c r="I43" s="33" t="n">
        <x:f>1</x:f>
        <x:v>1</x:v>
      </x:c>
      <x:c r="J43" s="34" t="n">
        <x:f>E43*F43*G43/1073741824</x:f>
        <x:v>0.171875</x:v>
      </x:c>
      <x:c r="K43" s="34" t="n">
        <x:f>J43/I43</x:f>
        <x:v>0.171875</x:v>
      </x:c>
      <x:c r="L43" s="30"/>
      <x:c r="M43" s="30"/>
      <x:c r="N43" s="30"/>
      <x:c r="O43" s="30"/>
      <x:c r="P43" s="30"/>
    </x:row>
    <x:row r="44">
      <x:c r="A44" s="30" t="str">
        <x:v>Indexer</x:v>
      </x:c>
      <x:c r="B44" s="30" t="str">
        <x:v>indexer.wq_b.weight_scale</x:v>
      </x:c>
      <x:c r="C44" s="30" t="str">
        <x:v>[32, 16]</x:v>
      </x:c>
      <x:c r="D44" s="30" t="str">
        <x:v>F32</x:v>
      </x:c>
      <x:c r="E44" s="32" t="n">
        <x:v>4</x:v>
      </x:c>
      <x:c r="F44" s="33" t="n">
        <x:v>22</x:v>
      </x:c>
      <x:c r="G44" s="33" t="n">
        <x:v>512</x:v>
      </x:c>
      <x:c r="H44" s="33" t="str">
        <x:v>Replicated</x:v>
      </x:c>
      <x:c r="I44" s="33" t="n">
        <x:f>1</x:f>
        <x:v>1</x:v>
      </x:c>
      <x:c r="J44" s="34" t="n">
        <x:f>E44*F44*G44/1073741824</x:f>
        <x:v>0.000041961669921875</x:v>
      </x:c>
      <x:c r="K44" s="34" t="n">
        <x:f>J44/I44</x:f>
        <x:v>0.000041961669921875</x:v>
      </x:c>
      <x:c r="L44" s="30"/>
      <x:c r="M44" s="30"/>
      <x:c r="N44" s="30"/>
      <x:c r="O44" s="30"/>
      <x:c r="P44" s="30"/>
    </x:row>
    <x:row r="45">
      <x:c r="A45" s="30" t="str">
        <x:v>Indexer</x:v>
      </x:c>
      <x:c r="B45" s="30" t="str">
        <x:v>indexer.weights_proj.weight</x:v>
      </x:c>
      <x:c r="C45" s="30" t="str">
        <x:v>[32, 6144]</x:v>
      </x:c>
      <x:c r="D45" s="30" t="str">
        <x:v>BF16</x:v>
      </x:c>
      <x:c r="E45" s="32" t="n">
        <x:v>2</x:v>
      </x:c>
      <x:c r="F45" s="33" t="n">
        <x:v>22</x:v>
      </x:c>
      <x:c r="G45" s="33" t="n">
        <x:v>196608</x:v>
      </x:c>
      <x:c r="H45" s="33" t="str">
        <x:v>Replicated</x:v>
      </x:c>
      <x:c r="I45" s="33" t="n">
        <x:f>1</x:f>
        <x:v>1</x:v>
      </x:c>
      <x:c r="J45" s="34" t="n">
        <x:f>E45*F45*G45/1073741824</x:f>
        <x:v>0.008056640625</x:v>
      </x:c>
      <x:c r="K45" s="34" t="n">
        <x:f>J45/I45</x:f>
        <x:v>0.008056640625</x:v>
      </x:c>
      <x:c r="L45" s="30"/>
      <x:c r="M45" s="30"/>
      <x:c r="N45" s="30"/>
      <x:c r="O45" s="30"/>
      <x:c r="P45" s="30"/>
    </x:row>
    <x:row r="46">
      <x:c r="A46" s="30" t="str">
        <x:v>MTP</x:v>
      </x:c>
      <x:c r="B46" s="30" t="str">
        <x:v>eh_proj.weight</x:v>
      </x:c>
      <x:c r="C46" s="30" t="str">
        <x:v>[6144, 12288]</x:v>
      </x:c>
      <x:c r="D46" s="30" t="str">
        <x:v>BF16</x:v>
      </x:c>
      <x:c r="E46" s="32" t="n">
        <x:v>2</x:v>
      </x:c>
      <x:c r="F46" s="33" t="n">
        <x:v>1</x:v>
      </x:c>
      <x:c r="G46" s="33" t="n">
        <x:v>75497472</x:v>
      </x:c>
      <x:c r="H46" s="33" t="str">
        <x:v>Replicated</x:v>
      </x:c>
      <x:c r="I46" s="33" t="n">
        <x:f>1</x:f>
        <x:v>1</x:v>
      </x:c>
      <x:c r="J46" s="34" t="n">
        <x:f>E46*F46*G46/1073741824</x:f>
        <x:v>0.140625</x:v>
      </x:c>
      <x:c r="K46" s="34" t="n">
        <x:f>J46/I46</x:f>
        <x:v>0.140625</x:v>
      </x:c>
      <x:c r="L46" s="30"/>
      <x:c r="M46" s="30"/>
      <x:c r="N46" s="30"/>
      <x:c r="O46" s="30"/>
      <x:c r="P46" s="30"/>
    </x:row>
    <x:row r="47">
      <x:c r="A47" s="30" t="str">
        <x:v>MTP</x:v>
      </x:c>
      <x:c r="B47" s="30" t="str">
        <x:v>enorm.weight</x:v>
      </x:c>
      <x:c r="C47" s="30" t="str">
        <x:v>[6144]</x:v>
      </x:c>
      <x:c r="D47" s="30" t="str">
        <x:v>BF16</x:v>
      </x:c>
      <x:c r="E47" s="32" t="n">
        <x:v>2</x:v>
      </x:c>
      <x:c r="F47" s="33" t="n">
        <x:v>1</x:v>
      </x:c>
      <x:c r="G47" s="33" t="n">
        <x:v>6144</x:v>
      </x:c>
      <x:c r="H47" s="33" t="str">
        <x:v>Replicated</x:v>
      </x:c>
      <x:c r="I47" s="33" t="n">
        <x:f>1</x:f>
        <x:v>1</x:v>
      </x:c>
      <x:c r="J47" s="34" t="n">
        <x:f>E47*F47*G47/1073741824</x:f>
        <x:v>0.000011444091796875</x:v>
      </x:c>
      <x:c r="K47" s="34" t="n">
        <x:f>J47/I47</x:f>
        <x:v>0.000011444091796875</x:v>
      </x:c>
      <x:c r="L47" s="30"/>
      <x:c r="M47" s="30"/>
      <x:c r="N47" s="30"/>
      <x:c r="O47" s="30"/>
      <x:c r="P47" s="30"/>
    </x:row>
    <x:row r="48">
      <x:c r="A48" s="30" t="str">
        <x:v>MTP</x:v>
      </x:c>
      <x:c r="B48" s="30" t="str">
        <x:v>hnorm.weight</x:v>
      </x:c>
      <x:c r="C48" s="30" t="str">
        <x:v>[6144]</x:v>
      </x:c>
      <x:c r="D48" s="30" t="str">
        <x:v>BF16</x:v>
      </x:c>
      <x:c r="E48" s="32" t="n">
        <x:v>2</x:v>
      </x:c>
      <x:c r="F48" s="33" t="n">
        <x:v>1</x:v>
      </x:c>
      <x:c r="G48" s="33" t="n">
        <x:v>6144</x:v>
      </x:c>
      <x:c r="H48" s="33" t="str">
        <x:v>Replicated</x:v>
      </x:c>
      <x:c r="I48" s="33" t="n">
        <x:f>1</x:f>
        <x:v>1</x:v>
      </x:c>
      <x:c r="J48" s="34" t="n">
        <x:f>E48*F48*G48/1073741824</x:f>
        <x:v>0.000011444091796875</x:v>
      </x:c>
      <x:c r="K48" s="34" t="n">
        <x:f>J48/I48</x:f>
        <x:v>0.000011444091796875</x:v>
      </x:c>
      <x:c r="L48" s="30"/>
      <x:c r="M48" s="30"/>
      <x:c r="N48" s="30"/>
      <x:c r="O48" s="30"/>
      <x:c r="P48" s="30"/>
    </x:row>
    <x:row r="49">
      <x:c r="A49" s="30" t="str">
        <x:v>MTP</x:v>
      </x:c>
      <x:c r="B49" s="30" t="str">
        <x:v>shared_head.norm.weight</x:v>
      </x:c>
      <x:c r="C49" s="30" t="str">
        <x:v>[6144]</x:v>
      </x:c>
      <x:c r="D49" s="30" t="str">
        <x:v>BF16</x:v>
      </x:c>
      <x:c r="E49" s="32" t="n">
        <x:v>2</x:v>
      </x:c>
      <x:c r="F49" s="33" t="n">
        <x:v>1</x:v>
      </x:c>
      <x:c r="G49" s="33" t="n">
        <x:v>6144</x:v>
      </x:c>
      <x:c r="H49" s="33" t="str">
        <x:v>Replicated</x:v>
      </x:c>
      <x:c r="I49" s="33" t="n">
        <x:f>1</x:f>
        <x:v>1</x:v>
      </x:c>
      <x:c r="J49" s="34" t="n">
        <x:f>E49*F49*G49/1073741824</x:f>
        <x:v>0.000011444091796875</x:v>
      </x:c>
      <x:c r="K49" s="34" t="n">
        <x:f>J49/I49</x:f>
        <x:v>0.000011444091796875</x:v>
      </x:c>
      <x:c r="L49" s="30"/>
      <x:c r="M49" s="30"/>
      <x:c r="N49" s="30"/>
      <x:c r="O49" s="30"/>
      <x:c r="P49" s="30"/>
    </x:row>
    <x:row r="50">
      <x:c r="A50" s="40" t="str">
        <x:v>合计</x:v>
      </x:c>
      <x:c r="B50" s="40"/>
      <x:c r="C50" s="40"/>
      <x:c r="D50" s="40"/>
      <x:c r="E50" s="40"/>
      <x:c r="F50" s="40"/>
      <x:c r="G50" s="40"/>
      <x:c r="H50" s="40"/>
      <x:c r="I50" s="40"/>
      <x:c r="J50" s="41" t="n">
        <x:f>SUM(J2:J49)</x:f>
        <x:v>703.7233006358147</x:v>
      </x:c>
      <x:c r="K50" s="41" t="n">
        <x:f>SUM(K2:K49)</x:f>
        <x:v>92.60101741552353</x:v>
      </x:c>
      <x:c r="L50" s="30"/>
      <x:c r="M50" s="30"/>
      <x:c r="N50" s="30"/>
      <x:c r="O50" s="30"/>
      <x:c r="P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</x:row>
    <x:row r="52" ht="30" customHeight="1">
      <x:c r="A52" s="18" t="str">
        <x:v>并行策略</x:v>
      </x:c>
      <x:c r="B52" s="18" t="str">
        <x:v>模块</x:v>
      </x:c>
      <x:c r="C52" s="18" t="str">
        <x:v>通信位置</x:v>
      </x:c>
      <x:c r="D52" s="18" t="str">
        <x:v>Collective</x:v>
      </x:c>
      <x:c r="E52" s="18" t="str">
        <x:v>本 Rank 输入元素/次</x:v>
      </x:c>
      <x:c r="F52" s="18" t="str">
        <x:v>字节/元素</x:v>
      </x:c>
      <x:c r="G52" s="18" t="str">
        <x:v>通信组大小</x:v>
      </x:c>
      <x:c r="H52" s="18" t="str">
        <x:v>次数/Step</x:v>
      </x:c>
      <x:c r="I52" s="18" t="str">
        <x:v>有效负载 MiB/次</x:v>
      </x:c>
      <x:c r="J52" s="18" t="str">
        <x:v>单 Rank 发送 MiB/次</x:v>
      </x:c>
      <x:c r="K52" s="18" t="str">
        <x:v>单 Rank 发送 MiB/Step</x:v>
      </x:c>
      <x:c r="L52" s="18" t="str">
        <x:v>通信组发送 MiB/Step</x:v>
      </x:c>
      <x:c r="M52" s="30"/>
      <x:c r="N52" s="30"/>
      <x:c r="O52" s="30"/>
      <x:c r="P52" s="30"/>
    </x:row>
    <x:row r="53">
      <x:c r="A53" s="30" t="str">
        <x:v>Embedding TP</x:v>
      </x:c>
      <x:c r="B53" s="30" t="str">
        <x:v>Embedding</x:v>
      </x:c>
      <x:c r="C53" s="30" t="str">
        <x:v>标准 TP 输出</x:v>
      </x:c>
      <x:c r="D53" s="30" t="str">
        <x:v>Ring AllReduce</x:v>
      </x:c>
      <x:c r="E53" s="33" t="n">
        <x:f>'Prefill'!$P$7*6144</x:f>
        <x:v>50331648</x:v>
      </x:c>
      <x:c r="F53" s="33" t="n">
        <x:f>'Prefill'!$P$28</x:f>
        <x:v>2</x:v>
      </x:c>
      <x:c r="G53" s="33" t="n">
        <x:f>IF('Prefill'!$P$21&gt;0,'Prefill'!$P$21,'Prefill'!$P$12)</x:f>
        <x:v>8</x:v>
      </x:c>
      <x:c r="H53" s="33" t="n">
        <x:f>IF(AND(IF('Prefill'!$P$21&gt;0,'Prefill'!$P$21,'Prefill'!$P$12)&gt;1,'Prefill'!$P$24=0),1,0)</x:f>
        <x:v>1</x:v>
      </x:c>
      <x:c r="I53" s="34" t="n">
        <x:f>E53*F53/1048576</x:f>
        <x:v>96</x:v>
      </x:c>
      <x:c r="J53" s="34" t="n">
        <x:f>I53*(IF(G53&gt;1,2*(G53-1)/G53,0))</x:f>
        <x:v>168</x:v>
      </x:c>
      <x:c r="K53" s="34" t="n">
        <x:f>J53*H53</x:f>
        <x:v>168</x:v>
      </x:c>
      <x:c r="L53" s="34" t="n">
        <x:f>K53*G53</x:f>
        <x:v>1344</x:v>
      </x:c>
      <x:c r="M53" s="30"/>
      <x:c r="N53" s="30"/>
      <x:c r="O53" s="30"/>
      <x:c r="P53" s="30"/>
    </x:row>
    <x:row r="54">
      <x:c r="A54" s="30" t="str">
        <x:v>Embedding TP</x:v>
      </x:c>
      <x:c r="B54" s="30" t="str">
        <x:v>Embedding</x:v>
      </x:c>
      <x:c r="C54" s="30" t="str">
        <x:v>Fine TP Token ID</x:v>
      </x:c>
      <x:c r="D54" s="30" t="str">
        <x:v>Ring AllGather</x:v>
      </x:c>
      <x:c r="E54" s="33" t="n">
        <x:f>'Prefill'!$P$7</x:f>
        <x:v>8192</x:v>
      </x:c>
      <x:c r="F54" s="33" t="n">
        <x:f>'Prefill'!$P$30</x:f>
        <x:v>8</x:v>
      </x:c>
      <x:c r="G54" s="33" t="n">
        <x:f>IF('Prefill'!$P$21&gt;0,'Prefill'!$P$21,'Prefill'!$P$12)</x:f>
        <x:v>8</x:v>
      </x:c>
      <x:c r="H54" s="33" t="n">
        <x:f>IF(AND(IF('Prefill'!$P$21&gt;0,'Prefill'!$P$21,'Prefill'!$P$12)&gt;1,'Prefill'!$P$24&lt;&gt;0),1,0)</x:f>
        <x:v>0</x:v>
      </x:c>
      <x:c r="I54" s="34" t="n">
        <x:f>E54*F54/1048576</x:f>
        <x:v>0.0625</x:v>
      </x:c>
      <x:c r="J54" s="34" t="n">
        <x:f>I54*(IF(G54&gt;1,G54-1,0))</x:f>
        <x:v>0.4375</x:v>
      </x:c>
      <x:c r="K54" s="34" t="n">
        <x:f>J54*H54</x:f>
        <x:v>0</x:v>
      </x:c>
      <x:c r="L54" s="34" t="n">
        <x:f>K54*G54</x:f>
        <x:v>0</x:v>
      </x:c>
      <x:c r="M54" s="30"/>
      <x:c r="N54" s="30"/>
      <x:c r="O54" s="30"/>
      <x:c r="P54" s="30"/>
    </x:row>
    <x:row r="55">
      <x:c r="A55" s="30" t="str">
        <x:v>Embedding TP</x:v>
      </x:c>
      <x:c r="B55" s="30" t="str">
        <x:v>Embedding</x:v>
      </x:c>
      <x:c r="C55" s="30" t="str">
        <x:v>Fine TP Hidden</x:v>
      </x:c>
      <x:c r="D55" s="30" t="str">
        <x:v>Ring ReduceScatter</x:v>
      </x:c>
      <x:c r="E55" s="33" t="n">
        <x:f>'Prefill'!$P$7*IF('Prefill'!$P$21&gt;0,'Prefill'!$P$21,'Prefill'!$P$12)*6144</x:f>
        <x:v>402653184</x:v>
      </x:c>
      <x:c r="F55" s="33" t="n">
        <x:f>'Prefill'!$P$28</x:f>
        <x:v>2</x:v>
      </x:c>
      <x:c r="G55" s="33" t="n">
        <x:f>IF('Prefill'!$P$21&gt;0,'Prefill'!$P$21,'Prefill'!$P$12)</x:f>
        <x:v>8</x:v>
      </x:c>
      <x:c r="H55" s="33" t="n">
        <x:f>IF(AND(IF('Prefill'!$P$21&gt;0,'Prefill'!$P$21,'Prefill'!$P$12)&gt;1,'Prefill'!$P$24&lt;&gt;0),1,0)</x:f>
        <x:v>0</x:v>
      </x:c>
      <x:c r="I55" s="34" t="n">
        <x:f>E55*F55/1048576</x:f>
        <x:v>768</x:v>
      </x:c>
      <x:c r="J55" s="34" t="n">
        <x:f>I55*(IF(G55&gt;1,(G55-1)/G55,0))</x:f>
        <x:v>672</x:v>
      </x:c>
      <x:c r="K55" s="34" t="n">
        <x:f>J55*H55</x:f>
        <x:v>0</x:v>
      </x:c>
      <x:c r="L55" s="34" t="n">
        <x:f>K55*G55</x:f>
        <x:v>0</x:v>
      </x:c>
      <x:c r="M55" s="30"/>
      <x:c r="N55" s="30"/>
      <x:c r="O55" s="30"/>
      <x:c r="P55" s="30"/>
    </x:row>
    <x:row r="56">
      <x:c r="A56" s="30" t="str">
        <x:v>DSA CP</x:v>
      </x:c>
      <x:c r="B56" s="30" t="str">
        <x:v>Sparse Attention</x:v>
      </x:c>
      <x:c r="C56" s="30" t="str">
        <x:v>Q/KV 投影输入</x:v>
      </x:c>
      <x:c r="D56" s="30" t="str">
        <x:v>Ring AllGather</x:v>
      </x:c>
      <x:c r="E56" s="33" t="n">
        <x:f>((ROUNDUP('Prefill'!$P$7/'Prefill'!$P$12,0)*'Prefill'!$P$12)/'Prefill'!$P$12)*6144</x:f>
        <x:v>6291456</x:v>
      </x:c>
      <x:c r="F56" s="33" t="n">
        <x:f>'Prefill'!$P$28</x:f>
        <x:v>2</x:v>
      </x:c>
      <x:c r="G56" s="33" t="n">
        <x:f>'Prefill'!$P$12</x:f>
        <x:v>8</x:v>
      </x:c>
      <x:c r="H56" s="33" t="n">
        <x:f>79*IF(AND('Prefill'!$P$25&lt;&gt;0,'Prefill'!$P$12&gt;1),1,0)</x:f>
        <x:v>79</x:v>
      </x:c>
      <x:c r="I56" s="34" t="n">
        <x:f>E56*F56/1048576</x:f>
        <x:v>12</x:v>
      </x:c>
      <x:c r="J56" s="34" t="n">
        <x:f>I56*(IF(G56&gt;1,G56-1,0))</x:f>
        <x:v>84</x:v>
      </x:c>
      <x:c r="K56" s="34" t="n">
        <x:f>J56*H56</x:f>
        <x:v>6636</x:v>
      </x:c>
      <x:c r="L56" s="34" t="n">
        <x:f>K56*G56</x:f>
        <x:v>53088</x:v>
      </x:c>
      <x:c r="M56" s="30"/>
      <x:c r="N56" s="30"/>
      <x:c r="O56" s="30"/>
      <x:c r="P56" s="30"/>
    </x:row>
    <x:row r="57">
      <x:c r="A57" s="30" t="str">
        <x:v>DSA CP</x:v>
      </x:c>
      <x:c r="B57" s="30" t="str">
        <x:v>Sparse Attention</x:v>
      </x:c>
      <x:c r="C57" s="30" t="str">
        <x:v>恢复 TP Head Layout</x:v>
      </x:c>
      <x:c r="D57" s="30" t="str">
        <x:v>Equal-split AllToAll</x:v>
      </x:c>
      <x:c r="E57" s="33" t="n">
        <x:f>((ROUNDUP('Prefill'!$P$7/'Prefill'!$P$12,0)*'Prefill'!$P$12)/'Prefill'!$P$12)*64*256</x:f>
        <x:v>16777216</x:v>
      </x:c>
      <x:c r="F57" s="33" t="n">
        <x:f>'Prefill'!$P$28</x:f>
        <x:v>2</x:v>
      </x:c>
      <x:c r="G57" s="33" t="n">
        <x:f>'Prefill'!$P$12</x:f>
        <x:v>8</x:v>
      </x:c>
      <x:c r="H57" s="33" t="n">
        <x:f>79*IF(AND('Prefill'!$P$25&lt;&gt;0,'Prefill'!$P$12&gt;1),1,0)</x:f>
        <x:v>79</x:v>
      </x:c>
      <x:c r="I57" s="34" t="n">
        <x:f>E57*F57/1048576</x:f>
        <x:v>32</x:v>
      </x:c>
      <x:c r="J57" s="34" t="n">
        <x:f>I57*(IF(G57&gt;1,(G57-1)/G57,0))</x:f>
        <x:v>28</x:v>
      </x:c>
      <x:c r="K57" s="34" t="n">
        <x:f>J57*H57</x:f>
        <x:v>2212</x:v>
      </x:c>
      <x:c r="L57" s="34" t="n">
        <x:f>K57*G57</x:f>
        <x:v>17696</x:v>
      </x:c>
      <x:c r="M57" s="30"/>
      <x:c r="N57" s="30"/>
      <x:c r="O57" s="30"/>
      <x:c r="P57" s="30"/>
    </x:row>
    <x:row r="58">
      <x:c r="A58" s="30" t="str">
        <x:v>DSA CP</x:v>
      </x:c>
      <x:c r="B58" s="30" t="str">
        <x:v>Indexer</x:v>
      </x:c>
      <x:c r="C58" s="30" t="str">
        <x:v>Top-k Index</x:v>
      </x:c>
      <x:c r="D58" s="30" t="str">
        <x:v>Ring AllGather</x:v>
      </x:c>
      <x:c r="E58" s="33" t="n">
        <x:f>((ROUNDUP('Prefill'!$P$7/'Prefill'!$P$12,0)*'Prefill'!$P$12)/'Prefill'!$P$12)*2048</x:f>
        <x:v>2097152</x:v>
      </x:c>
      <x:c r="F58" s="33" t="n">
        <x:f>'Prefill'!$P$31</x:f>
        <x:v>4</x:v>
      </x:c>
      <x:c r="G58" s="33" t="n">
        <x:f>'Prefill'!$P$12</x:f>
        <x:v>8</x:v>
      </x:c>
      <x:c r="H58" s="33" t="n">
        <x:f>22*IF(AND('Prefill'!$P$25&lt;&gt;0,'Prefill'!$P$12&gt;1),1,0)</x:f>
        <x:v>22</x:v>
      </x:c>
      <x:c r="I58" s="34" t="n">
        <x:f>E58*F58/1048576</x:f>
        <x:v>8</x:v>
      </x:c>
      <x:c r="J58" s="34" t="n">
        <x:f>I58*(IF(G58&gt;1,G58-1,0))</x:f>
        <x:v>56</x:v>
      </x:c>
      <x:c r="K58" s="34" t="n">
        <x:f>J58*H58</x:f>
        <x:v>1232</x:v>
      </x:c>
      <x:c r="L58" s="34" t="n">
        <x:f>K58*G58</x:f>
        <x:v>9856</x:v>
      </x:c>
      <x:c r="M58" s="30"/>
      <x:c r="N58" s="30"/>
      <x:c r="O58" s="30"/>
      <x:c r="P58" s="30"/>
    </x:row>
    <x:row r="59">
      <x:c r="A59" s="30" t="str">
        <x:v>O Proj TP</x:v>
      </x:c>
      <x:c r="B59" s="30" t="str">
        <x:v>Sparse Attention</x:v>
      </x:c>
      <x:c r="C59" s="30" t="str">
        <x:v>DSA CP 关闭</x:v>
      </x:c>
      <x:c r="D59" s="30" t="str">
        <x:v>Ring AllReduce</x:v>
      </x:c>
      <x:c r="E59" s="33" t="n">
        <x:f>'Prefill'!$P$7*6144</x:f>
        <x:v>50331648</x:v>
      </x:c>
      <x:c r="F59" s="33" t="n">
        <x:f>'Prefill'!$P$28</x:f>
        <x:v>2</x:v>
      </x:c>
      <x:c r="G59" s="33" t="n">
        <x:f>IF('Prefill'!$P$19&gt;0,'Prefill'!$P$19,'Prefill'!$P$12)</x:f>
        <x:v>8</x:v>
      </x:c>
      <x:c r="H59" s="33" t="n">
        <x:f>79*IF(AND('Prefill'!$P$25=0,IF('Prefill'!$P$19&gt;0,'Prefill'!$P$19,'Prefill'!$P$12)&gt;1),1,0)</x:f>
        <x:v>0</x:v>
      </x:c>
      <x:c r="I59" s="34" t="n">
        <x:f>E59*F59/1048576</x:f>
        <x:v>96</x:v>
      </x:c>
      <x:c r="J59" s="34" t="n">
        <x:f>I59*(IF(G59&gt;1,2*(G59-1)/G59,0))</x:f>
        <x:v>168</x:v>
      </x:c>
      <x:c r="K59" s="34" t="n">
        <x:f>J59*H59</x:f>
        <x:v>0</x:v>
      </x:c>
      <x:c r="L59" s="34" t="n">
        <x:f>K59*G59</x:f>
        <x:v>0</x:v>
      </x:c>
      <x:c r="M59" s="30"/>
      <x:c r="N59" s="30"/>
      <x:c r="O59" s="30"/>
      <x:c r="P59" s="30"/>
    </x:row>
    <x:row r="60">
      <x:c r="A60" s="30" t="str">
        <x:v>SP</x:v>
      </x:c>
      <x:c r="B60" s="30" t="str">
        <x:v>Dense MLP</x:v>
      </x:c>
      <x:c r="C60" s="30" t="str">
        <x:v>Down Proj 输出</x:v>
      </x:c>
      <x:c r="D60" s="30" t="str">
        <x:v>Ring AllReduce</x:v>
      </x:c>
      <x:c r="E60" s="33" t="n">
        <x:f>IF('Prefill'!$P$13&lt;&gt;0,((ROUNDUP('Prefill'!$P$7/'Prefill'!$P$12,0)*'Prefill'!$P$12)/'Prefill'!$P$12),'Prefill'!$P$7)*6144</x:f>
        <x:v>6291456</x:v>
      </x:c>
      <x:c r="F60" s="33" t="n">
        <x:f>'Prefill'!$P$28</x:f>
        <x:v>2</x:v>
      </x:c>
      <x:c r="G60" s="33" t="n">
        <x:f>'Prefill'!$P$12</x:f>
        <x:v>8</x:v>
      </x:c>
      <x:c r="H60" s="33" t="n">
        <x:f>3*IF('Prefill'!$P$12&gt;1,1,0)</x:f>
        <x:v>3</x:v>
      </x:c>
      <x:c r="I60" s="34" t="n">
        <x:f>E60*F60/1048576</x:f>
        <x:v>12</x:v>
      </x:c>
      <x:c r="J60" s="34" t="n">
        <x:f>I60*(IF(G60&gt;1,2*(G60-1)/G60,0))</x:f>
        <x:v>21</x:v>
      </x:c>
      <x:c r="K60" s="34" t="n">
        <x:f>J60*H60</x:f>
        <x:v>63</x:v>
      </x:c>
      <x:c r="L60" s="34" t="n">
        <x:f>K60*G60</x:f>
        <x:v>504</x:v>
      </x:c>
      <x:c r="M60" s="30"/>
      <x:c r="N60" s="30"/>
      <x:c r="O60" s="30"/>
      <x:c r="P60" s="30"/>
    </x:row>
    <x:row r="61">
      <x:c r="A61" s="30" t="str">
        <x:v>EP</x:v>
      </x:c>
      <x:c r="B61" s="30" t="str">
        <x:v>Routed Experts</x:v>
      </x:c>
      <x:c r="C61" s="30" t="str">
        <x:v>Dispatch Hidden</x:v>
      </x:c>
      <x:c r="D61" s="30" t="str">
        <x:v>AllToAllV（跨 Rank 发送）</x:v>
      </x:c>
      <x:c r="E61" s="33" t="n">
        <x:f>IF('Prefill'!$P$13&lt;&gt;0,((ROUNDUP('Prefill'!$P$7/'Prefill'!$P$12,0)*'Prefill'!$P$12)/'Prefill'!$P$12),'Prefill'!$P$7)*8*'Prefill'!$P$32*6144</x:f>
        <x:v>44040192</x:v>
      </x:c>
      <x:c r="F61" s="33" t="n">
        <x:f>'Prefill'!$P$28</x:f>
        <x:v>2</x:v>
      </x:c>
      <x:c r="G61" s="33" t="n">
        <x:f>'Prefill'!$P$14</x:f>
        <x:v>8</x:v>
      </x:c>
      <x:c r="H61" s="33" t="n">
        <x:f>76*IF('Prefill'!$P$14&gt;1,1,0)</x:f>
        <x:v>76</x:v>
      </x:c>
      <x:c r="I61" s="34" t="n">
        <x:f>E61*F61/1048576</x:f>
        <x:v>84</x:v>
      </x:c>
      <x:c r="J61" s="34" t="n">
        <x:f>I61*(1)</x:f>
        <x:v>84</x:v>
      </x:c>
      <x:c r="K61" s="34" t="n">
        <x:f>J61*H61</x:f>
        <x:v>6384</x:v>
      </x:c>
      <x:c r="L61" s="34" t="n">
        <x:f>K61*G61</x:f>
        <x:v>51072</x:v>
      </x:c>
      <x:c r="M61" s="30"/>
      <x:c r="N61" s="30"/>
      <x:c r="O61" s="30"/>
      <x:c r="P61" s="30"/>
    </x:row>
    <x:row r="62">
      <x:c r="A62" s="30" t="str">
        <x:v>EP</x:v>
      </x:c>
      <x:c r="B62" s="30" t="str">
        <x:v>Routed Experts</x:v>
      </x:c>
      <x:c r="C62" s="30" t="str">
        <x:v>Combine Hidden</x:v>
      </x:c>
      <x:c r="D62" s="30" t="str">
        <x:v>AllToAllV（跨 Rank 发送）</x:v>
      </x:c>
      <x:c r="E62" s="33" t="n">
        <x:f>IF('Prefill'!$P$13&lt;&gt;0,((ROUNDUP('Prefill'!$P$7/'Prefill'!$P$12,0)*'Prefill'!$P$12)/'Prefill'!$P$12),'Prefill'!$P$7)*8*'Prefill'!$P$32*6144</x:f>
        <x:v>44040192</x:v>
      </x:c>
      <x:c r="F62" s="33" t="n">
        <x:f>'Prefill'!$P$28</x:f>
        <x:v>2</x:v>
      </x:c>
      <x:c r="G62" s="33" t="n">
        <x:f>'Prefill'!$P$14</x:f>
        <x:v>8</x:v>
      </x:c>
      <x:c r="H62" s="33" t="n">
        <x:f>76*IF('Prefill'!$P$14&gt;1,1,0)</x:f>
        <x:v>76</x:v>
      </x:c>
      <x:c r="I62" s="34" t="n">
        <x:f>E62*F62/1048576</x:f>
        <x:v>84</x:v>
      </x:c>
      <x:c r="J62" s="34" t="n">
        <x:f>I62*(1)</x:f>
        <x:v>84</x:v>
      </x:c>
      <x:c r="K62" s="34" t="n">
        <x:f>J62*H62</x:f>
        <x:v>6384</x:v>
      </x:c>
      <x:c r="L62" s="34" t="n">
        <x:f>K62*G62</x:f>
        <x:v>51072</x:v>
      </x:c>
      <x:c r="M62" s="30"/>
      <x:c r="N62" s="30"/>
      <x:c r="O62" s="30"/>
      <x:c r="P62" s="30"/>
    </x:row>
    <x:row r="63">
      <x:c r="A63" s="30" t="str">
        <x:v>DP</x:v>
      </x:c>
      <x:c r="B63" s="30" t="str">
        <x:v>MoE</x:v>
      </x:c>
      <x:c r="C63" s="30" t="str">
        <x:v>Hidden 输入</x:v>
      </x:c>
      <x:c r="D63" s="30" t="str">
        <x:v>Ring AllGather</x:v>
      </x:c>
      <x:c r="E63" s="33" t="n">
        <x:f>'Prefill'!$P$7*6144</x:f>
        <x:v>50331648</x:v>
      </x:c>
      <x:c r="F63" s="33" t="n">
        <x:f>'Prefill'!$P$28</x:f>
        <x:v>2</x:v>
      </x:c>
      <x:c r="G63" s="33" t="n">
        <x:f>'Prefill'!$P$11</x:f>
        <x:v>1</x:v>
      </x:c>
      <x:c r="H63" s="33" t="n">
        <x:f>76*IF(AND('Prefill'!$P$11&gt;1,'Prefill'!$P$14=1),1,0)</x:f>
        <x:v>0</x:v>
      </x:c>
      <x:c r="I63" s="34" t="n">
        <x:f>E63*F63/1048576</x:f>
        <x:v>96</x:v>
      </x:c>
      <x:c r="J63" s="34" t="n">
        <x:f>I63*(IF(G63&gt;1,G63-1,0))</x:f>
        <x:v>0</x:v>
      </x:c>
      <x:c r="K63" s="34" t="n">
        <x:f>J63*H63</x:f>
        <x:v>0</x:v>
      </x:c>
      <x:c r="L63" s="34" t="n">
        <x:f>K63*G63</x:f>
        <x:v>0</x:v>
      </x:c>
      <x:c r="M63" s="30"/>
      <x:c r="N63" s="30"/>
      <x:c r="O63" s="30"/>
      <x:c r="P63" s="30"/>
    </x:row>
    <x:row r="64">
      <x:c r="A64" s="30" t="str">
        <x:v>DP</x:v>
      </x:c>
      <x:c r="B64" s="30" t="str">
        <x:v>MoE Router</x:v>
      </x:c>
      <x:c r="C64" s="30" t="str">
        <x:v>Router Logits</x:v>
      </x:c>
      <x:c r="D64" s="30" t="str">
        <x:v>Ring AllGather</x:v>
      </x:c>
      <x:c r="E64" s="33" t="n">
        <x:f>'Prefill'!$P$7*256</x:f>
        <x:v>2097152</x:v>
      </x:c>
      <x:c r="F64" s="33" t="n">
        <x:f>'Prefill'!$P$28</x:f>
        <x:v>2</x:v>
      </x:c>
      <x:c r="G64" s="33" t="n">
        <x:f>'Prefill'!$P$11</x:f>
        <x:v>1</x:v>
      </x:c>
      <x:c r="H64" s="33" t="n">
        <x:f>76*IF(AND('Prefill'!$P$11&gt;1,'Prefill'!$P$14=1),1,0)</x:f>
        <x:v>0</x:v>
      </x:c>
      <x:c r="I64" s="34" t="n">
        <x:f>E64*F64/1048576</x:f>
        <x:v>4</x:v>
      </x:c>
      <x:c r="J64" s="34" t="n">
        <x:f>I64*(IF(G64&gt;1,G64-1,0))</x:f>
        <x:v>0</x:v>
      </x:c>
      <x:c r="K64" s="34" t="n">
        <x:f>J64*H64</x:f>
        <x:v>0</x:v>
      </x:c>
      <x:c r="L64" s="34" t="n">
        <x:f>K64*G64</x:f>
        <x:v>0</x:v>
      </x:c>
      <x:c r="M64" s="30"/>
      <x:c r="N64" s="30"/>
      <x:c r="O64" s="30"/>
      <x:c r="P64" s="30"/>
    </x:row>
    <x:row r="65">
      <x:c r="A65" s="30" t="str">
        <x:v>DP</x:v>
      </x:c>
      <x:c r="B65" s="30" t="str">
        <x:v>MoE</x:v>
      </x:c>
      <x:c r="C65" s="30" t="str">
        <x:v>Routed Expert 输出</x:v>
      </x:c>
      <x:c r="D65" s="30" t="str">
        <x:v>Ring ReduceScatter</x:v>
      </x:c>
      <x:c r="E65" s="33" t="n">
        <x:f>'Prefill'!$P$7*'Prefill'!$P$11*6144</x:f>
        <x:v>50331648</x:v>
      </x:c>
      <x:c r="F65" s="33" t="n">
        <x:f>'Prefill'!$P$28</x:f>
        <x:v>2</x:v>
      </x:c>
      <x:c r="G65" s="33" t="n">
        <x:f>'Prefill'!$P$11</x:f>
        <x:v>1</x:v>
      </x:c>
      <x:c r="H65" s="33" t="n">
        <x:f>76*IF(AND('Prefill'!$P$11&gt;1,'Prefill'!$P$14=1),1,0)</x:f>
        <x:v>0</x:v>
      </x:c>
      <x:c r="I65" s="34" t="n">
        <x:f>E65*F65/1048576</x:f>
        <x:v>96</x:v>
      </x:c>
      <x:c r="J65" s="34" t="n">
        <x:f>I65*(IF(G65&gt;1,(G65-1)/G65,0))</x:f>
        <x:v>0</x:v>
      </x:c>
      <x:c r="K65" s="34" t="n">
        <x:f>J65*H65</x:f>
        <x:v>0</x:v>
      </x:c>
      <x:c r="L65" s="34" t="n">
        <x:f>K65*G65</x:f>
        <x:v>0</x:v>
      </x:c>
      <x:c r="M65" s="30"/>
      <x:c r="N65" s="30"/>
      <x:c r="O65" s="30"/>
      <x:c r="P65" s="30"/>
    </x:row>
    <x:row r="66">
      <x:c r="A66" s="30" t="str">
        <x:v>共享专家 TP</x:v>
      </x:c>
      <x:c r="B66" s="30" t="str">
        <x:v>Shared Experts</x:v>
      </x:c>
      <x:c r="C66" s="30" t="str">
        <x:v>SP 输入</x:v>
      </x:c>
      <x:c r="D66" s="30" t="str">
        <x:v>Ring AllGather</x:v>
      </x:c>
      <x:c r="E66" s="33" t="n">
        <x:f>((ROUNDUP('Prefill'!$P$7/'Prefill'!$P$12,0)*'Prefill'!$P$12)/'Prefill'!$P$12)*6144</x:f>
        <x:v>6291456</x:v>
      </x:c>
      <x:c r="F66" s="33" t="n">
        <x:f>'Prefill'!$P$28</x:f>
        <x:v>2</x:v>
      </x:c>
      <x:c r="G66" s="33" t="n">
        <x:f>IF('Prefill'!$P$17="TP",'Prefill'!$P$18,1)</x:f>
        <x:v>8</x:v>
      </x:c>
      <x:c r="H66" s="33" t="n">
        <x:f>76*IF(AND('Prefill'!$P$17="TP",IF('Prefill'!$P$17="TP",'Prefill'!$P$18,1)&gt;1,'Prefill'!$P$13&lt;&gt;0),1,0)</x:f>
        <x:v>76</x:v>
      </x:c>
      <x:c r="I66" s="34" t="n">
        <x:f>E66*F66/1048576</x:f>
        <x:v>12</x:v>
      </x:c>
      <x:c r="J66" s="34" t="n">
        <x:f>I66*(IF(G66&gt;1,G66-1,0))</x:f>
        <x:v>84</x:v>
      </x:c>
      <x:c r="K66" s="34" t="n">
        <x:f>J66*H66</x:f>
        <x:v>6384</x:v>
      </x:c>
      <x:c r="L66" s="34" t="n">
        <x:f>K66*G66</x:f>
        <x:v>51072</x:v>
      </x:c>
      <x:c r="M66" s="30"/>
      <x:c r="N66" s="30"/>
      <x:c r="O66" s="30"/>
      <x:c r="P66" s="30"/>
    </x:row>
    <x:row r="67">
      <x:c r="A67" s="30" t="str">
        <x:v>共享专家 TP</x:v>
      </x:c>
      <x:c r="B67" s="30" t="str">
        <x:v>Shared Experts</x:v>
      </x:c>
      <x:c r="C67" s="30" t="str">
        <x:v>SP 输出</x:v>
      </x:c>
      <x:c r="D67" s="30" t="str">
        <x:v>Ring ReduceScatter</x:v>
      </x:c>
      <x:c r="E67" s="33" t="n">
        <x:f>(ROUNDUP('Prefill'!$P$7/'Prefill'!$P$12,0)*'Prefill'!$P$12)*6144</x:f>
        <x:v>50331648</x:v>
      </x:c>
      <x:c r="F67" s="33" t="n">
        <x:f>'Prefill'!$P$28</x:f>
        <x:v>2</x:v>
      </x:c>
      <x:c r="G67" s="33" t="n">
        <x:f>IF('Prefill'!$P$17="TP",'Prefill'!$P$18,1)</x:f>
        <x:v>8</x:v>
      </x:c>
      <x:c r="H67" s="33" t="n">
        <x:f>76*IF(AND('Prefill'!$P$17="TP",IF('Prefill'!$P$17="TP",'Prefill'!$P$18,1)&gt;1,'Prefill'!$P$13&lt;&gt;0),1,0)</x:f>
        <x:v>76</x:v>
      </x:c>
      <x:c r="I67" s="34" t="n">
        <x:f>E67*F67/1048576</x:f>
        <x:v>96</x:v>
      </x:c>
      <x:c r="J67" s="34" t="n">
        <x:f>I67*(IF(G67&gt;1,(G67-1)/G67,0))</x:f>
        <x:v>84</x:v>
      </x:c>
      <x:c r="K67" s="34" t="n">
        <x:f>J67*H67</x:f>
        <x:v>6384</x:v>
      </x:c>
      <x:c r="L67" s="34" t="n">
        <x:f>K67*G67</x:f>
        <x:v>51072</x:v>
      </x:c>
      <x:c r="M67" s="30"/>
      <x:c r="N67" s="30"/>
      <x:c r="O67" s="30"/>
      <x:c r="P67" s="30"/>
    </x:row>
    <x:row r="68">
      <x:c r="A68" s="30" t="str">
        <x:v>共享专家 TP</x:v>
      </x:c>
      <x:c r="B68" s="30" t="str">
        <x:v>Shared Experts</x:v>
      </x:c>
      <x:c r="C68" s="30" t="str">
        <x:v>非 SP 输出</x:v>
      </x:c>
      <x:c r="D68" s="30" t="str">
        <x:v>Ring AllReduce</x:v>
      </x:c>
      <x:c r="E68" s="33" t="n">
        <x:f>'Prefill'!$P$7*6144</x:f>
        <x:v>50331648</x:v>
      </x:c>
      <x:c r="F68" s="33" t="n">
        <x:f>'Prefill'!$P$28</x:f>
        <x:v>2</x:v>
      </x:c>
      <x:c r="G68" s="33" t="n">
        <x:f>IF('Prefill'!$P$17="TP",'Prefill'!$P$18,1)</x:f>
        <x:v>8</x:v>
      </x:c>
      <x:c r="H68" s="33" t="n">
        <x:f>76*IF(AND('Prefill'!$P$17="TP",IF('Prefill'!$P$17="TP",'Prefill'!$P$18,1)&gt;1,'Prefill'!$P$13=0),1,0)</x:f>
        <x:v>0</x:v>
      </x:c>
      <x:c r="I68" s="34" t="n">
        <x:f>E68*F68/1048576</x:f>
        <x:v>96</x:v>
      </x:c>
      <x:c r="J68" s="34" t="n">
        <x:f>I68*(IF(G68&gt;1,2*(G68-1)/G68,0))</x:f>
        <x:v>168</x:v>
      </x:c>
      <x:c r="K68" s="34" t="n">
        <x:f>J68*H68</x:f>
        <x:v>0</x:v>
      </x:c>
      <x:c r="L68" s="34" t="n">
        <x:f>K68*G68</x:f>
        <x:v>0</x:v>
      </x:c>
      <x:c r="M68" s="30"/>
      <x:c r="N68" s="30"/>
      <x:c r="O68" s="30"/>
      <x:c r="P68" s="30"/>
    </x:row>
    <x:row r="69">
      <x:c r="A69" s="30" t="str">
        <x:v>PCP</x:v>
      </x:c>
      <x:c r="B69" s="30" t="str">
        <x:v>MoE</x:v>
      </x:c>
      <x:c r="C69" s="30" t="str">
        <x:v>Hidden 输入</x:v>
      </x:c>
      <x:c r="D69" s="30" t="str">
        <x:v>Ring AllGather</x:v>
      </x:c>
      <x:c r="E69" s="33" t="n">
        <x:f>((ROUNDUP('Prefill'!$P$7/'Prefill'!$P$15,0)*'Prefill'!$P$15)/'Prefill'!$P$15)*6144</x:f>
        <x:v>50331648</x:v>
      </x:c>
      <x:c r="F69" s="33" t="n">
        <x:f>'Prefill'!$P$28</x:f>
        <x:v>2</x:v>
      </x:c>
      <x:c r="G69" s="33" t="n">
        <x:f>'Prefill'!$P$15</x:f>
        <x:v>1</x:v>
      </x:c>
      <x:c r="H69" s="33" t="n">
        <x:f>76*IF('Prefill'!$P$15&gt;1,1,0)</x:f>
        <x:v>0</x:v>
      </x:c>
      <x:c r="I69" s="34" t="n">
        <x:f>E69*F69/1048576</x:f>
        <x:v>96</x:v>
      </x:c>
      <x:c r="J69" s="34" t="n">
        <x:f>I69*(IF(G69&gt;1,G69-1,0))</x:f>
        <x:v>0</x:v>
      </x:c>
      <x:c r="K69" s="34" t="n">
        <x:f>J69*H69</x:f>
        <x:v>0</x:v>
      </x:c>
      <x:c r="L69" s="34" t="n">
        <x:f>K69*G69</x:f>
        <x:v>0</x:v>
      </x:c>
      <x:c r="M69" s="30"/>
      <x:c r="N69" s="30"/>
      <x:c r="O69" s="30"/>
      <x:c r="P69" s="30"/>
    </x:row>
    <x:row r="70">
      <x:c r="A70" s="30" t="str">
        <x:v>PCP</x:v>
      </x:c>
      <x:c r="B70" s="30" t="str">
        <x:v>MoE Router</x:v>
      </x:c>
      <x:c r="C70" s="30" t="str">
        <x:v>Router Logits</x:v>
      </x:c>
      <x:c r="D70" s="30" t="str">
        <x:v>Ring AllGather</x:v>
      </x:c>
      <x:c r="E70" s="33" t="n">
        <x:f>((ROUNDUP('Prefill'!$P$7/'Prefill'!$P$15,0)*'Prefill'!$P$15)/'Prefill'!$P$15)*256</x:f>
        <x:v>2097152</x:v>
      </x:c>
      <x:c r="F70" s="33" t="n">
        <x:f>'Prefill'!$P$28</x:f>
        <x:v>2</x:v>
      </x:c>
      <x:c r="G70" s="33" t="n">
        <x:f>'Prefill'!$P$15</x:f>
        <x:v>1</x:v>
      </x:c>
      <x:c r="H70" s="33" t="n">
        <x:f>76*IF('Prefill'!$P$15&gt;1,1,0)</x:f>
        <x:v>0</x:v>
      </x:c>
      <x:c r="I70" s="34" t="n">
        <x:f>E70*F70/1048576</x:f>
        <x:v>4</x:v>
      </x:c>
      <x:c r="J70" s="34" t="n">
        <x:f>I70*(IF(G70&gt;1,G70-1,0))</x:f>
        <x:v>0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PCP</x:v>
      </x:c>
      <x:c r="B71" s="30" t="str">
        <x:v>MoE</x:v>
      </x:c>
      <x:c r="C71" s="30" t="str">
        <x:v>Routed Expert 输出</x:v>
      </x:c>
      <x:c r="D71" s="30" t="str">
        <x:v>Ring ReduceScatter</x:v>
      </x:c>
      <x:c r="E71" s="33" t="n">
        <x:f>(ROUNDUP('Prefill'!$P$7/'Prefill'!$P$15,0)*'Prefill'!$P$15)*6144</x:f>
        <x:v>50331648</x:v>
      </x:c>
      <x:c r="F71" s="33" t="n">
        <x:f>'Prefill'!$P$28</x:f>
        <x:v>2</x:v>
      </x:c>
      <x:c r="G71" s="33" t="n">
        <x:f>'Prefill'!$P$15</x:f>
        <x:v>1</x:v>
      </x:c>
      <x:c r="H71" s="33" t="n">
        <x:f>76*IF('Prefill'!$P$15&gt;1,1,0)</x:f>
        <x:v>0</x:v>
      </x:c>
      <x:c r="I71" s="34" t="n">
        <x:f>E71*F71/1048576</x:f>
        <x:v>96</x:v>
      </x:c>
      <x:c r="J71" s="34" t="n">
        <x:f>I71*(IF(G71&gt;1,(G71-1)/G71,0))</x:f>
        <x:v>0</x:v>
      </x:c>
      <x:c r="K71" s="34" t="n">
        <x:f>J71*H71</x:f>
        <x:v>0</x:v>
      </x:c>
      <x:c r="L71" s="34" t="n">
        <x:f>K71*G71</x:f>
        <x:v>0</x:v>
      </x:c>
      <x:c r="M71" s="30"/>
      <x:c r="N71" s="30"/>
      <x:c r="O71" s="30"/>
      <x:c r="P71" s="30"/>
    </x:row>
    <x:row r="72">
      <x:c r="A72" s="30" t="str">
        <x:v>PCP</x:v>
      </x:c>
      <x:c r="B72" s="30" t="str">
        <x:v>Attention KV</x:v>
      </x:c>
      <x:c r="C72" s="30" t="str">
        <x:v>KV Cache 写入前</x:v>
      </x:c>
      <x:c r="D72" s="30" t="str">
        <x:v>Ring AllGather</x:v>
      </x:c>
      <x:c r="E72" s="33" t="n">
        <x:f>((ROUNDUP('Prefill'!$P$7/'Prefill'!$P$15,0)*'Prefill'!$P$15)/'Prefill'!$P$15)*576</x:f>
        <x:v>4718592</x:v>
      </x:c>
      <x:c r="F72" s="33" t="n">
        <x:f>'Prefill'!$P$28</x:f>
        <x:v>2</x:v>
      </x:c>
      <x:c r="G72" s="33" t="n">
        <x:f>'Prefill'!$P$15</x:f>
        <x:v>1</x:v>
      </x:c>
      <x:c r="H72" s="33" t="n">
        <x:f>79*IF('Prefill'!$P$15&gt;1,1,0)</x:f>
        <x:v>0</x:v>
      </x:c>
      <x:c r="I72" s="34" t="n">
        <x:f>E72*F72/1048576</x:f>
        <x:v>9</x:v>
      </x:c>
      <x:c r="J72" s="34" t="n">
        <x:f>I72*(IF(G72&gt;1,G72-1,0))</x:f>
        <x:v>0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SP</x:v>
      </x:c>
      <x:c r="B73" s="30" t="str">
        <x:v>Model Output</x:v>
      </x:c>
      <x:c r="C73" s="30" t="str">
        <x:v>Final Norm 后</x:v>
      </x:c>
      <x:c r="D73" s="30" t="str">
        <x:v>Ring AllGather</x:v>
      </x:c>
      <x:c r="E73" s="33" t="n">
        <x:f>((ROUNDUP('Prefill'!$P$7/'Prefill'!$P$12,0)*'Prefill'!$P$12)/'Prefill'!$P$12)*6144</x:f>
        <x:v>6291456</x:v>
      </x:c>
      <x:c r="F73" s="33" t="n">
        <x:f>'Prefill'!$P$28</x:f>
        <x:v>2</x:v>
      </x:c>
      <x:c r="G73" s="33" t="n">
        <x:f>'Prefill'!$P$12</x:f>
        <x:v>8</x:v>
      </x:c>
      <x:c r="H73" s="33" t="n">
        <x:f>IF(AND('Prefill'!$P$13&lt;&gt;0,'Prefill'!$P$12&gt;1),1,0)</x:f>
        <x:v>1</x:v>
      </x:c>
      <x:c r="I73" s="34" t="n">
        <x:f>E73*F73/1048576</x:f>
        <x:v>12</x:v>
      </x:c>
      <x:c r="J73" s="34" t="n">
        <x:f>I73*(IF(G73&gt;1,G73-1,0))</x:f>
        <x:v>84</x:v>
      </x:c>
      <x:c r="K73" s="34" t="n">
        <x:f>J73*H73</x:f>
        <x:v>84</x:v>
      </x:c>
      <x:c r="L73" s="34" t="n">
        <x:f>K73*G73</x:f>
        <x:v>672</x:v>
      </x:c>
      <x:c r="M73" s="30"/>
      <x:c r="N73" s="30"/>
      <x:c r="O73" s="30"/>
      <x:c r="P73" s="30"/>
    </x:row>
    <x:row r="74">
      <x:c r="A74" s="30" t="str">
        <x:v>LM Head TP</x:v>
      </x:c>
      <x:c r="B74" s="30" t="str">
        <x:v>LM Head</x:v>
      </x:c>
      <x:c r="C74" s="30" t="str">
        <x:v>完整 Logits</x:v>
      </x:c>
      <x:c r="D74" s="30" t="str">
        <x:v>Ring AllGather</x:v>
      </x:c>
      <x:c r="E74" s="33" t="n">
        <x:f>'Prefill'!$P$8*154880/IF('Prefill'!$P$20&gt;0,'Prefill'!$P$20,'Prefill'!$P$12)</x:f>
        <x:v>2478080</x:v>
      </x:c>
      <x:c r="F74" s="33" t="n">
        <x:f>'Prefill'!$P$28</x:f>
        <x:v>2</x:v>
      </x:c>
      <x:c r="G74" s="33" t="n">
        <x:f>IF('Prefill'!$P$20&gt;0,'Prefill'!$P$20,'Prefill'!$P$12)</x:f>
        <x:v>8</x:v>
      </x:c>
      <x:c r="H74" s="33" t="n">
        <x:f>IF(AND(IF('Prefill'!$P$20&gt;0,'Prefill'!$P$20,'Prefill'!$P$12)&gt;1,'Prefill'!$P$23=0,'Prefill'!$P$33=0),1,0)</x:f>
        <x:v>0</x:v>
      </x:c>
      <x:c r="I74" s="34" t="n">
        <x:f>E74*F74/1048576</x:f>
        <x:v>4.7265625</x:v>
      </x:c>
      <x:c r="J74" s="34" t="n">
        <x:f>I74*(IF(G74&gt;1,G74-1,0))</x:f>
        <x:v>33.0859375</x:v>
      </x:c>
      <x:c r="K74" s="34" t="n">
        <x:f>J74*H74</x:f>
        <x:v>0</x:v>
      </x:c>
      <x:c r="L74" s="34" t="n">
        <x:f>K74*G74</x:f>
        <x:v>0</x:v>
      </x:c>
      <x:c r="M74" s="30"/>
      <x:c r="N74" s="30"/>
      <x:c r="O74" s="30"/>
      <x:c r="P74" s="30"/>
    </x:row>
    <x:row r="75">
      <x:c r="A75" s="30" t="str">
        <x:v>LM Head TP</x:v>
      </x:c>
      <x:c r="B75" s="30" t="str">
        <x:v>LM Head</x:v>
      </x:c>
      <x:c r="C75" s="30" t="str">
        <x:v>Reduce Sample</x:v>
      </x:c>
      <x:c r="D75" s="30" t="str">
        <x:v>Ring AllGather</x:v>
      </x:c>
      <x:c r="E75" s="33" t="n">
        <x:f>'Prefill'!$P$8*'Prefill'!$P$34</x:f>
        <x:v>32768</x:v>
      </x:c>
      <x:c r="F75" s="33" t="n">
        <x:f>('Prefill'!$P$28+'Prefill'!$P$31)</x:f>
        <x:v>6</x:v>
      </x:c>
      <x:c r="G75" s="33" t="n">
        <x:f>IF('Prefill'!$P$20&gt;0,'Prefill'!$P$20,'Prefill'!$P$12)</x:f>
        <x:v>8</x:v>
      </x:c>
      <x:c r="H75" s="33" t="n">
        <x:f>IF(AND(IF('Prefill'!$P$20&gt;0,'Prefill'!$P$20,'Prefill'!$P$12)&gt;1,'Prefill'!$P$23=0,'Prefill'!$P$33&lt;&gt;0),1,0)</x:f>
        <x:v>1</x:v>
      </x:c>
      <x:c r="I75" s="34" t="n">
        <x:f>E75*F75/1048576</x:f>
        <x:v>0.1875</x:v>
      </x:c>
      <x:c r="J75" s="34" t="n">
        <x:f>I75*(IF(G75&gt;1,G75-1,0))</x:f>
        <x:v>1.3125</x:v>
      </x:c>
      <x:c r="K75" s="34" t="n">
        <x:f>J75*H75</x:f>
        <x:v>1.3125</x:v>
      </x:c>
      <x:c r="L75" s="34" t="n">
        <x:f>K75*G75</x:f>
        <x:v>10.5</x:v>
      </x:c>
      <x:c r="M75" s="30"/>
      <x:c r="N75" s="30"/>
      <x:c r="O75" s="30"/>
      <x:c r="P75" s="30"/>
    </x:row>
    <x:row r="76">
      <x:c r="A76" s="30" t="str">
        <x:v>Fine LM Head TP</x:v>
      </x:c>
      <x:c r="B76" s="30" t="str">
        <x:v>LM Head</x:v>
      </x:c>
      <x:c r="C76" s="30" t="str">
        <x:v>Hidden 输入</x:v>
      </x:c>
      <x:c r="D76" s="30" t="str">
        <x:v>Ring AllGather</x:v>
      </x:c>
      <x:c r="E76" s="33" t="n">
        <x:f>'Prefill'!$P$8*6144</x:f>
        <x:v>786432</x:v>
      </x:c>
      <x:c r="F76" s="33" t="n">
        <x:f>'Prefill'!$P$28</x:f>
        <x:v>2</x:v>
      </x:c>
      <x:c r="G76" s="33" t="n">
        <x:f>IF('Prefill'!$P$20&gt;0,'Prefill'!$P$20,'Prefill'!$P$12)</x:f>
        <x:v>8</x:v>
      </x:c>
      <x:c r="H76" s="33" t="n">
        <x:f>IF(AND(IF('Prefill'!$P$20&gt;0,'Prefill'!$P$20,'Prefill'!$P$12)&gt;1,'Prefill'!$P$23&lt;&gt;0),1,0)</x:f>
        <x:v>0</x:v>
      </x:c>
      <x:c r="I76" s="34" t="n">
        <x:f>E76*F76/1048576</x:f>
        <x:v>1.5</x:v>
      </x:c>
      <x:c r="J76" s="34" t="n">
        <x:f>I76*(IF(G76&gt;1,G76-1,0))</x:f>
        <x:v>10.5</x:v>
      </x:c>
      <x:c r="K76" s="34" t="n">
        <x:f>J76*H76</x:f>
        <x:v>0</x:v>
      </x:c>
      <x:c r="L76" s="34" t="n">
        <x:f>K76*G76</x:f>
        <x:v>0</x:v>
      </x:c>
      <x:c r="M76" s="30"/>
      <x:c r="N76" s="30"/>
      <x:c r="O76" s="30"/>
      <x:c r="P76" s="30"/>
    </x:row>
    <x:row r="77">
      <x:c r="A77" s="30" t="str">
        <x:v>Fine LM Head TP</x:v>
      </x:c>
      <x:c r="B77" s="30" t="str">
        <x:v>LM Head</x:v>
      </x:c>
      <x:c r="C77" s="30" t="str">
        <x:v>完整 Logits</x:v>
      </x:c>
      <x:c r="D77" s="30" t="str">
        <x:v>Equal-split AllToAll</x:v>
      </x:c>
      <x:c r="E77" s="33" t="n">
        <x:f>'Prefill'!$P$8*154880</x:f>
        <x:v>19824640</x:v>
      </x:c>
      <x:c r="F77" s="33" t="n">
        <x:f>'Prefill'!$P$28</x:f>
        <x:v>2</x:v>
      </x:c>
      <x:c r="G77" s="33" t="n">
        <x:f>IF('Prefill'!$P$20&gt;0,'Prefill'!$P$20,'Prefill'!$P$12)</x:f>
        <x:v>8</x:v>
      </x:c>
      <x:c r="H77" s="33" t="n">
        <x:f>IF(AND(IF('Prefill'!$P$20&gt;0,'Prefill'!$P$20,'Prefill'!$P$12)&gt;1,'Prefill'!$P$23&lt;&gt;0,'Prefill'!$P$33=0),1,0)</x:f>
        <x:v>0</x:v>
      </x:c>
      <x:c r="I77" s="34" t="n">
        <x:f>E77*F77/1048576</x:f>
        <x:v>37.8125</x:v>
      </x:c>
      <x:c r="J77" s="34" t="n">
        <x:f>I77*(IF(G77&gt;1,(G77-1)/G77,0))</x:f>
        <x:v>33.0859375</x:v>
      </x:c>
      <x:c r="K77" s="34" t="n">
        <x:f>J77*H77</x:f>
        <x:v>0</x:v>
      </x:c>
      <x:c r="L77" s="34" t="n">
        <x:f>K77*G77</x:f>
        <x:v>0</x:v>
      </x:c>
      <x:c r="M77" s="30"/>
      <x:c r="N77" s="30"/>
      <x:c r="O77" s="30"/>
      <x:c r="P77" s="30"/>
    </x:row>
    <x:row r="78">
      <x:c r="A78" s="30" t="str">
        <x:v>Fine LM Head TP</x:v>
      </x:c>
      <x:c r="B78" s="30" t="str">
        <x:v>LM Head</x:v>
      </x:c>
      <x:c r="C78" s="30" t="str">
        <x:v>Reduce Sample</x:v>
      </x:c>
      <x:c r="D78" s="30" t="str">
        <x:v>Ring AllGather</x:v>
      </x:c>
      <x:c r="E78" s="33" t="n">
        <x:f>'Prefill'!$P$8*'Prefill'!$P$34</x:f>
        <x:v>32768</x:v>
      </x:c>
      <x:c r="F78" s="33" t="n">
        <x:f>('Prefill'!$P$28+'Prefill'!$P$31)</x:f>
        <x:v>6</x:v>
      </x:c>
      <x:c r="G78" s="33" t="n">
        <x:f>IF('Prefill'!$P$20&gt;0,'Prefill'!$P$20,'Prefill'!$P$12)</x:f>
        <x:v>8</x:v>
      </x:c>
      <x:c r="H78" s="33" t="n">
        <x:f>IF(AND(IF('Prefill'!$P$20&gt;0,'Prefill'!$P$20,'Prefill'!$P$12)&gt;1,'Prefill'!$P$23&lt;&gt;0,'Prefill'!$P$33&lt;&gt;0),1,0)</x:f>
        <x:v>0</x:v>
      </x:c>
      <x:c r="I78" s="34" t="n">
        <x:f>E78*F78/1048576</x:f>
        <x:v>0.1875</x:v>
      </x:c>
      <x:c r="J78" s="34" t="n">
        <x:f>I78*(IF(G78&gt;1,G78-1,0))</x:f>
        <x:v>1.3125</x:v>
      </x:c>
      <x:c r="K78" s="34" t="n">
        <x:f>J78*H78</x:f>
        <x:v>0</x:v>
      </x:c>
      <x:c r="L78" s="34" t="n">
        <x:f>K78*G78</x:f>
        <x:v>0</x:v>
      </x:c>
      <x:c r="M78" s="30"/>
      <x:c r="N78" s="30"/>
      <x:c r="O78" s="30"/>
      <x:c r="P78" s="30"/>
    </x:row>
    <x:row r="79">
      <x:c r="A79" s="40" t="str">
        <x:v>合计</x:v>
      </x:c>
      <x:c r="B79" s="40"/>
      <x:c r="C79" s="40"/>
      <x:c r="D79" s="40"/>
      <x:c r="E79" s="40"/>
      <x:c r="F79" s="40"/>
      <x:c r="G79" s="40"/>
      <x:c r="H79" s="40"/>
      <x:c r="I79" s="41"/>
      <x:c r="J79" s="41"/>
      <x:c r="K79" s="41" t="n">
        <x:f>SUM(K53:K78)</x:f>
        <x:v>35932.3125</x:v>
      </x:c>
      <x:c r="L79" s="41" t="n">
        <x:f>SUM(L53:L78)</x:f>
        <x:v>287458.5</x:v>
      </x:c>
      <x:c r="M79" s="30"/>
      <x:c r="N79" s="30"/>
      <x:c r="O79" s="30"/>
      <x:c r="P79" s="30"/>
    </x:row>
    <x:row r="82" ht="15" customHeight="1">
      <x:c r="A82" s="40" t="str">
        <x:v>PD 带宽争用耗时评估</x:v>
      </x:c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</x:row>
    <x:row r="83" ht="15" customHeight="1">
      <x:c r="A83" s="30" t="str">
        <x:v>Prefill 当前表参数；100 GB/s 为归一化示例。所列事件的带宽项，不等于完整 forward 耗时。</x:v>
      </x:c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</x:row>
    <x:row r="84" ht="30" customHeight="1">
      <x:c r="A84" s="62" t="str">
        <x:v>带宽降幅</x:v>
      </x:c>
      <x:c r="B84" s="62" t="str">
        <x:v>输入</x:v>
      </x:c>
      <x:c r="C84" s="62" t="str">
        <x:v>争用覆盖率</x:v>
      </x:c>
      <x:c r="D84" s="62" t="str">
        <x:v>输入</x:v>
      </x:c>
      <x:c r="E84" s="62" t="str">
        <x:v>基线 forward ms</x:v>
      </x:c>
      <x:c r="F84" s="62" t="str">
        <x:v>实测输入</x:v>
      </x:c>
      <x:c r="G84" s="62" t="str">
        <x:v>默认带宽 GB/s</x:v>
      </x:c>
      <x:c r="H84" s="62" t="str">
        <x:v>输入</x:v>
      </x:c>
      <x:c r="I84" s="30"/>
      <x:c r="J84" s="30"/>
      <x:c r="K84" s="30"/>
      <x:c r="L84" s="30"/>
    </x:row>
    <x:row r="85" ht="15" customHeight="1">
      <x:c r="A85" s="30"/>
      <x:c r="B85" s="63" t="n">
        <x:v>0.1</x:v>
      </x:c>
      <x:c r="C85" s="30"/>
      <x:c r="D85" s="63" t="n">
        <x:v>1</x:v>
      </x:c>
      <x:c r="E85" s="30"/>
      <x:c r="F85" s="38"/>
      <x:c r="G85" s="30"/>
      <x:c r="H85" s="36" t="n">
        <x:v>100</x:v>
      </x:c>
      <x:c r="I85" s="30"/>
      <x:c r="J85" s="30"/>
      <x:c r="K85" s="30"/>
      <x:c r="L85" s="30"/>
    </x:row>
    <x:row r="86" ht="30" customHeight="1">
      <x:c r="A86" s="62" t="str">
        <x:v>通信基线 ms</x:v>
      </x:c>
      <x:c r="B86" s="62" t="str">
        <x:v>结果</x:v>
      </x:c>
      <x:c r="C86" s="62" t="str">
        <x:v>通信争用后 ms</x:v>
      </x:c>
      <x:c r="D86" s="62" t="str">
        <x:v>结果</x:v>
      </x:c>
      <x:c r="E86" s="62" t="str">
        <x:v>forward 增量 ms</x:v>
      </x:c>
      <x:c r="F86" s="62" t="str">
        <x:v>结果</x:v>
      </x:c>
      <x:c r="G86" s="62" t="str">
        <x:v>forward 新耗时 ms</x:v>
      </x:c>
      <x:c r="H86" s="62" t="str">
        <x:v>结果</x:v>
      </x:c>
      <x:c r="I86" s="62" t="str">
        <x:v>forward 增幅</x:v>
      </x:c>
      <x:c r="J86" s="62" t="str">
        <x:v>结果</x:v>
      </x:c>
      <x:c r="K86" s="62" t="str">
        <x:v>输入状态</x:v>
      </x:c>
      <x:c r="L86" s="62" t="str">
        <x:v>状态</x:v>
      </x:c>
    </x:row>
    <x:row r="87" ht="15" customHeight="1">
      <x:c r="A87" s="49"/>
      <x:c r="B87" s="49" t="n">
        <x:f>SUM(G91:G117)</x:f>
        <x:v>376.7830528</x:v>
      </x:c>
      <x:c r="C87" s="49"/>
      <x:c r="D87" s="49" t="n">
        <x:f>SUM(H91:H117)</x:f>
        <x:v>418.64783644444447</x:v>
      </x:c>
      <x:c r="E87" s="49"/>
      <x:c r="F87" s="49" t="n">
        <x:f>SUM(K91:K117)</x:f>
        <x:v>41.86478364444446</x:v>
      </x:c>
      <x:c r="G87" s="49"/>
      <x:c r="H87" s="49" t="str">
        <x:f>IF(AND(ISNUMBER($F$85),$F$85&gt;0,$F$85&gt;=SUMPRODUCT(G91:G117,J91:J117)),$F$85+F87,"")</x:f>
      </x:c>
      <x:c r="I87" s="49"/>
      <x:c r="J87" s="50" t="str">
        <x:f>IF(AND(ISNUMBER($F$85),$F$85&gt;0,$F$85&gt;=SUMPRODUCT(G91:G117,J91:J117)),F87/$F$85,"")</x:f>
      </x:c>
      <x:c r="K87" s="49"/>
      <x:c r="L87" s="49" t="str">
        <x:f>IF($F$85="","待填基线",IF(AND(ISNUMBER($F$85),$F$85&gt;0,$F$85&gt;=SUMPRODUCT(G91:G117,J91:J117)),"已填基线","基线/暴露不一致"))</x:f>
        <x:v>待填基线</x:v>
      </x:c>
    </x:row>
    <x:row r="88" ht="15" customHeight="1">
      <x:c r="A88" s="30" t="str">
        <x:v>共享比例=0 表示独立链路；暴露系数=0 表示增量完全隐藏。默认均为 1，降幅只作用于带宽项。</x:v>
      </x:c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</x:row>
    <x:row r="89" ht="15" customHeight="1">
      <x:c r="A89" s="30" t="str">
        <x:v>P: AllToAllV + 4 B 计数 Ring；D: A3 BF16 MC2 FullMesh。每事件带宽按端点发送量定义。</x:v>
      </x:c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</x:row>
    <x:row r="90" ht="30" customHeight="1">
      <x:c r="A90" s="62" t="str">
        <x:v>并行域</x:v>
      </x:c>
      <x:c r="B90" s="62" t="str">
        <x:v>模块</x:v>
      </x:c>
      <x:c r="C90" s="62" t="str">
        <x:v>通信事件</x:v>
      </x:c>
      <x:c r="D90" s="62" t="str">
        <x:v>GB/Rank/Step</x:v>
      </x:c>
      <x:c r="E90" s="62" t="str">
        <x:v>有效带宽 GB/s</x:v>
      </x:c>
      <x:c r="F90" s="62" t="str">
        <x:v>共享比例</x:v>
      </x:c>
      <x:c r="G90" s="62" t="str">
        <x:v>基线带宽项 ms</x:v>
      </x:c>
      <x:c r="H90" s="62" t="str">
        <x:v>争用后带宽项 ms</x:v>
      </x:c>
      <x:c r="I90" s="62" t="str">
        <x:v>通信增量 ms</x:v>
      </x:c>
      <x:c r="J90" s="62" t="str">
        <x:v>暴露系数</x:v>
      </x:c>
      <x:c r="K90" s="62" t="str">
        <x:v>forward 增量 ms</x:v>
      </x:c>
      <x:c r="L90" s="62" t="str">
        <x:v>公式口径</x:v>
      </x:c>
    </x:row>
    <x:row r="91" ht="15" customHeight="1">
      <x:c r="A91" s="30" t="str">
        <x:v>Embedding TP</x:v>
      </x:c>
      <x:c r="B91" s="30" t="str">
        <x:v>Embedding</x:v>
      </x:c>
      <x:c r="C91" s="30" t="str">
        <x:v>标准 TP 输出</x:v>
      </x:c>
      <x:c r="D91" s="34" t="n">
        <x:f>(K53*2^20)/1e9</x:f>
        <x:v>0.176160768</x:v>
      </x:c>
      <x:c r="E91" s="64" t="n">
        <x:f>$H$85</x:f>
        <x:v>100</x:v>
      </x:c>
      <x:c r="F91" s="59" t="n">
        <x:v>1</x:v>
      </x:c>
      <x:c r="G91" s="34" t="n">
        <x:f>IF(AND(ISNUMBER(E91),E91&gt;0,ISNUMBER($B$85),$B$85&gt;=0,$B$85&lt;1,ISNUMBER($D$85),$D$85&gt;=0,$D$85&lt;=1,ISNUMBER(F91),F91&gt;=0,F91&lt;=1,ISNUMBER(J91),J91&gt;=0,J91&lt;=1),D91/E91*1000,NA())</x:f>
        <x:v>1.76160768</x:v>
      </x:c>
      <x:c r="H91" s="34" t="n">
        <x:f>G91+I91</x:f>
        <x:v>1.9573418666666667</x:v>
      </x:c>
      <x:c r="I91" s="34" t="n">
        <x:f>G91*F91*$D$85*$B$85/(1-$B$85)</x:f>
        <x:v>0.1957341866666667</x:v>
      </x:c>
      <x:c r="J91" s="59" t="n">
        <x:v>1</x:v>
      </x:c>
      <x:c r="K91" s="34" t="n">
        <x:f>I91*J91</x:f>
        <x:v>0.1957341866666667</x:v>
      </x:c>
      <x:c r="L91" s="30" t="str">
        <x:v>原通信行 53</x:v>
      </x:c>
    </x:row>
    <x:row r="92" ht="15" customHeight="1">
      <x:c r="A92" s="30" t="str">
        <x:v>Embedding TP</x:v>
      </x:c>
      <x:c r="B92" s="30" t="str">
        <x:v>Embedding</x:v>
      </x:c>
      <x:c r="C92" s="30" t="str">
        <x:v>Fine TP Token ID</x:v>
      </x:c>
      <x:c r="D92" s="34" t="n">
        <x:f>(K54*2^20)/1e9</x:f>
        <x:v>0</x:v>
      </x:c>
      <x:c r="E92" s="64" t="n">
        <x:f>$H$85</x:f>
        <x:v>100</x:v>
      </x:c>
      <x:c r="F92" s="59" t="n">
        <x:v>1</x:v>
      </x:c>
      <x:c r="G92" s="34" t="n">
        <x:f>IF(AND(ISNUMBER(E92),E92&gt;0,ISNUMBER($B$85),$B$85&gt;=0,$B$85&lt;1,ISNUMBER($D$85),$D$85&gt;=0,$D$85&lt;=1,ISNUMBER(F92),F92&gt;=0,F92&lt;=1,ISNUMBER(J92),J92&gt;=0,J92&lt;=1),D92/E92*1000,NA())</x:f>
        <x:v>0</x:v>
      </x:c>
      <x:c r="H92" s="34" t="n">
        <x:f>G92+I92</x:f>
        <x:v>0</x:v>
      </x:c>
      <x:c r="I92" s="34" t="n">
        <x:f>G92*F92*$D$85*$B$85/(1-$B$85)</x:f>
        <x:v>0</x:v>
      </x:c>
      <x:c r="J92" s="59" t="n">
        <x:v>1</x:v>
      </x:c>
      <x:c r="K92" s="34" t="n">
        <x:f>I92*J92</x:f>
        <x:v>0</x:v>
      </x:c>
      <x:c r="L92" s="30" t="str">
        <x:v>原通信行 54</x:v>
      </x:c>
    </x:row>
    <x:row r="93" ht="15" customHeight="1">
      <x:c r="A93" s="30" t="str">
        <x:v>Embedding TP</x:v>
      </x:c>
      <x:c r="B93" s="30" t="str">
        <x:v>Embedding</x:v>
      </x:c>
      <x:c r="C93" s="30" t="str">
        <x:v>Fine TP Hidden</x:v>
      </x:c>
      <x:c r="D93" s="34" t="n">
        <x:f>(K55*2^20)/1e9</x:f>
        <x:v>0</x:v>
      </x:c>
      <x:c r="E93" s="64" t="n">
        <x:f>$H$85</x:f>
        <x:v>100</x:v>
      </x:c>
      <x:c r="F93" s="59" t="n">
        <x:v>1</x:v>
      </x:c>
      <x:c r="G93" s="34" t="n">
        <x:f>IF(AND(ISNUMBER(E93),E93&gt;0,ISNUMBER($B$85),$B$85&gt;=0,$B$85&lt;1,ISNUMBER($D$85),$D$85&gt;=0,$D$85&lt;=1,ISNUMBER(F93),F93&gt;=0,F93&lt;=1,ISNUMBER(J93),J93&gt;=0,J93&lt;=1),D93/E93*1000,NA())</x:f>
        <x:v>0</x:v>
      </x:c>
      <x:c r="H93" s="34" t="n">
        <x:f>G93+I93</x:f>
        <x:v>0</x:v>
      </x:c>
      <x:c r="I93" s="34" t="n">
        <x:f>G93*F93*$D$85*$B$85/(1-$B$85)</x:f>
        <x:v>0</x:v>
      </x:c>
      <x:c r="J93" s="59" t="n">
        <x:v>1</x:v>
      </x:c>
      <x:c r="K93" s="34" t="n">
        <x:f>I93*J93</x:f>
        <x:v>0</x:v>
      </x:c>
      <x:c r="L93" s="30" t="str">
        <x:v>原通信行 55</x:v>
      </x:c>
    </x:row>
    <x:row r="94" ht="15" customHeight="1">
      <x:c r="A94" s="30" t="str">
        <x:v>DSA CP</x:v>
      </x:c>
      <x:c r="B94" s="30" t="str">
        <x:v>Sparse Attention</x:v>
      </x:c>
      <x:c r="C94" s="30" t="str">
        <x:v>Q/KV 投影输入</x:v>
      </x:c>
      <x:c r="D94" s="34" t="n">
        <x:f>(K56*2^20)/1e9</x:f>
        <x:v>6.958350336</x:v>
      </x:c>
      <x:c r="E94" s="64" t="n">
        <x:f>$H$85</x:f>
        <x:v>100</x:v>
      </x:c>
      <x:c r="F94" s="59" t="n">
        <x:v>1</x:v>
      </x:c>
      <x:c r="G94" s="34" t="n">
        <x:f>IF(AND(ISNUMBER(E94),E94&gt;0,ISNUMBER($B$85),$B$85&gt;=0,$B$85&lt;1,ISNUMBER($D$85),$D$85&gt;=0,$D$85&lt;=1,ISNUMBER(F94),F94&gt;=0,F94&lt;=1,ISNUMBER(J94),J94&gt;=0,J94&lt;=1),D94/E94*1000,NA())</x:f>
        <x:v>69.58350336</x:v>
      </x:c>
      <x:c r="H94" s="34" t="n">
        <x:f>G94+I94</x:f>
        <x:v>77.31500373333333</x:v>
      </x:c>
      <x:c r="I94" s="34" t="n">
        <x:f>G94*F94*$D$85*$B$85/(1-$B$85)</x:f>
        <x:v>7.731500373333333</x:v>
      </x:c>
      <x:c r="J94" s="59" t="n">
        <x:v>1</x:v>
      </x:c>
      <x:c r="K94" s="34" t="n">
        <x:f>I94*J94</x:f>
        <x:v>7.731500373333333</x:v>
      </x:c>
      <x:c r="L94" s="30" t="str">
        <x:v>原通信行 56</x:v>
      </x:c>
    </x:row>
    <x:row r="95" ht="15" customHeight="1">
      <x:c r="A95" s="30" t="str">
        <x:v>DSA CP</x:v>
      </x:c>
      <x:c r="B95" s="30" t="str">
        <x:v>Sparse Attention</x:v>
      </x:c>
      <x:c r="C95" s="30" t="str">
        <x:v>恢复 TP Head Layout</x:v>
      </x:c>
      <x:c r="D95" s="34" t="n">
        <x:f>(K57*2^20)/1e9</x:f>
        <x:v>2.319450112</x:v>
      </x:c>
      <x:c r="E95" s="64" t="n">
        <x:f>$H$85</x:f>
        <x:v>100</x:v>
      </x:c>
      <x:c r="F95" s="59" t="n">
        <x:v>1</x:v>
      </x:c>
      <x:c r="G95" s="34" t="n">
        <x:f>IF(AND(ISNUMBER(E95),E95&gt;0,ISNUMBER($B$85),$B$85&gt;=0,$B$85&lt;1,ISNUMBER($D$85),$D$85&gt;=0,$D$85&lt;=1,ISNUMBER(F95),F95&gt;=0,F95&lt;=1,ISNUMBER(J95),J95&gt;=0,J95&lt;=1),D95/E95*1000,NA())</x:f>
        <x:v>23.19450112</x:v>
      </x:c>
      <x:c r="H95" s="34" t="n">
        <x:f>G95+I95</x:f>
        <x:v>25.771667911111113</x:v>
      </x:c>
      <x:c r="I95" s="34" t="n">
        <x:f>G95*F95*$D$85*$B$85/(1-$B$85)</x:f>
        <x:v>2.5771667911111114</x:v>
      </x:c>
      <x:c r="J95" s="59" t="n">
        <x:v>1</x:v>
      </x:c>
      <x:c r="K95" s="34" t="n">
        <x:f>I95*J95</x:f>
        <x:v>2.5771667911111114</x:v>
      </x:c>
      <x:c r="L95" s="30" t="str">
        <x:v>原通信行 57</x:v>
      </x:c>
    </x:row>
    <x:row r="96" ht="15" customHeight="1">
      <x:c r="A96" s="30" t="str">
        <x:v>DSA CP</x:v>
      </x:c>
      <x:c r="B96" s="30" t="str">
        <x:v>Indexer</x:v>
      </x:c>
      <x:c r="C96" s="30" t="str">
        <x:v>Top-k Index</x:v>
      </x:c>
      <x:c r="D96" s="34" t="n">
        <x:f>(K58*2^20)/1e9</x:f>
        <x:v>1.291845632</x:v>
      </x:c>
      <x:c r="E96" s="64" t="n">
        <x:f>$H$85</x:f>
        <x:v>100</x:v>
      </x:c>
      <x:c r="F96" s="59" t="n">
        <x:v>1</x:v>
      </x:c>
      <x:c r="G96" s="34" t="n">
        <x:f>IF(AND(ISNUMBER(E96),E96&gt;0,ISNUMBER($B$85),$B$85&gt;=0,$B$85&lt;1,ISNUMBER($D$85),$D$85&gt;=0,$D$85&lt;=1,ISNUMBER(F96),F96&gt;=0,F96&lt;=1,ISNUMBER(J96),J96&gt;=0,J96&lt;=1),D96/E96*1000,NA())</x:f>
        <x:v>12.91845632</x:v>
      </x:c>
      <x:c r="H96" s="34" t="n">
        <x:f>G96+I96</x:f>
        <x:v>14.353840355555556</x:v>
      </x:c>
      <x:c r="I96" s="34" t="n">
        <x:f>G96*F96*$D$85*$B$85/(1-$B$85)</x:f>
        <x:v>1.4353840355555558</x:v>
      </x:c>
      <x:c r="J96" s="59" t="n">
        <x:v>1</x:v>
      </x:c>
      <x:c r="K96" s="34" t="n">
        <x:f>I96*J96</x:f>
        <x:v>1.4353840355555558</x:v>
      </x:c>
      <x:c r="L96" s="30" t="str">
        <x:v>原通信行 58</x:v>
      </x:c>
    </x:row>
    <x:row r="97" ht="15" customHeight="1">
      <x:c r="A97" s="30" t="str">
        <x:v>O Proj TP</x:v>
      </x:c>
      <x:c r="B97" s="30" t="str">
        <x:v>Sparse Attention</x:v>
      </x:c>
      <x:c r="C97" s="30" t="str">
        <x:v>DSA CP 关闭</x:v>
      </x:c>
      <x:c r="D97" s="34" t="n">
        <x:f>(K59*2^20)/1e9</x:f>
        <x:v>0</x:v>
      </x:c>
      <x:c r="E97" s="64" t="n">
        <x:f>$H$85</x:f>
        <x:v>100</x:v>
      </x:c>
      <x:c r="F97" s="59" t="n">
        <x:v>1</x:v>
      </x:c>
      <x:c r="G97" s="34" t="n">
        <x:f>IF(AND(ISNUMBER(E97),E97&gt;0,ISNUMBER($B$85),$B$85&gt;=0,$B$85&lt;1,ISNUMBER($D$85),$D$85&gt;=0,$D$85&lt;=1,ISNUMBER(F97),F97&gt;=0,F97&lt;=1,ISNUMBER(J97),J97&gt;=0,J97&lt;=1),D97/E97*1000,NA())</x:f>
        <x:v>0</x:v>
      </x:c>
      <x:c r="H97" s="34" t="n">
        <x:f>G97+I97</x:f>
        <x:v>0</x:v>
      </x:c>
      <x:c r="I97" s="34" t="n">
        <x:f>G97*F97*$D$85*$B$85/(1-$B$85)</x:f>
        <x:v>0</x:v>
      </x:c>
      <x:c r="J97" s="59" t="n">
        <x:v>1</x:v>
      </x:c>
      <x:c r="K97" s="34" t="n">
        <x:f>I97*J97</x:f>
        <x:v>0</x:v>
      </x:c>
      <x:c r="L97" s="30" t="str">
        <x:v>原通信行 59</x:v>
      </x:c>
    </x:row>
    <x:row r="98" ht="15" customHeight="1">
      <x:c r="A98" s="30" t="str">
        <x:v>SP</x:v>
      </x:c>
      <x:c r="B98" s="30" t="str">
        <x:v>Dense MLP</x:v>
      </x:c>
      <x:c r="C98" s="30" t="str">
        <x:v>Down Proj 输出</x:v>
      </x:c>
      <x:c r="D98" s="34" t="n">
        <x:f>(K60*2^20)/1e9</x:f>
        <x:v>0.066060288</x:v>
      </x:c>
      <x:c r="E98" s="64" t="n">
        <x:f>$H$85</x:f>
        <x:v>100</x:v>
      </x:c>
      <x:c r="F98" s="59" t="n">
        <x:v>1</x:v>
      </x:c>
      <x:c r="G98" s="34" t="n">
        <x:f>IF(AND(ISNUMBER(E98),E98&gt;0,ISNUMBER($B$85),$B$85&gt;=0,$B$85&lt;1,ISNUMBER($D$85),$D$85&gt;=0,$D$85&lt;=1,ISNUMBER(F98),F98&gt;=0,F98&lt;=1,ISNUMBER(J98),J98&gt;=0,J98&lt;=1),D98/E98*1000,NA())</x:f>
        <x:v>0.66060288</x:v>
      </x:c>
      <x:c r="H98" s="34" t="n">
        <x:f>G98+I98</x:f>
        <x:v>0.7340032</x:v>
      </x:c>
      <x:c r="I98" s="34" t="n">
        <x:f>G98*F98*$D$85*$B$85/(1-$B$85)</x:f>
        <x:v>0.07340032</x:v>
      </x:c>
      <x:c r="J98" s="59" t="n">
        <x:v>1</x:v>
      </x:c>
      <x:c r="K98" s="34" t="n">
        <x:f>I98*J98</x:f>
        <x:v>0.07340032</x:v>
      </x:c>
      <x:c r="L98" s="30" t="str">
        <x:v>原通信行 60</x:v>
      </x:c>
    </x:row>
    <x:row r="99" ht="15" customHeight="1">
      <x:c r="A99" s="30" t="str">
        <x:v>EP</x:v>
      </x:c>
      <x:c r="B99" s="30" t="str">
        <x:v>Routed Experts</x:v>
      </x:c>
      <x:c r="C99" s="30" t="str">
        <x:v>Dispatch Hidden</x:v>
      </x:c>
      <x:c r="D99" s="34" t="n">
        <x:f>(K61*2^20)/1e9</x:f>
        <x:v>6.694109184</x:v>
      </x:c>
      <x:c r="E99" s="64" t="n">
        <x:f>$H$85</x:f>
        <x:v>100</x:v>
      </x:c>
      <x:c r="F99" s="59" t="n">
        <x:v>1</x:v>
      </x:c>
      <x:c r="G99" s="34" t="n">
        <x:f>IF(AND(ISNUMBER(E99),E99&gt;0,ISNUMBER($B$85),$B$85&gt;=0,$B$85&lt;1,ISNUMBER($D$85),$D$85&gt;=0,$D$85&lt;=1,ISNUMBER(F99),F99&gt;=0,F99&lt;=1,ISNUMBER(J99),J99&gt;=0,J99&lt;=1),D99/E99*1000,NA())</x:f>
        <x:v>66.94109184000001</x:v>
      </x:c>
      <x:c r="H99" s="34" t="n">
        <x:f>G99+I99</x:f>
        <x:v>74.37899093333334</x:v>
      </x:c>
      <x:c r="I99" s="34" t="n">
        <x:f>G99*F99*$D$85*$B$85/(1-$B$85)</x:f>
        <x:v>7.4378990933333355</x:v>
      </x:c>
      <x:c r="J99" s="59" t="n">
        <x:v>1</x:v>
      </x:c>
      <x:c r="K99" s="34" t="n">
        <x:f>I99*J99</x:f>
        <x:v>7.4378990933333355</x:v>
      </x:c>
      <x:c r="L99" s="30" t="str">
        <x:v>原通信行 61</x:v>
      </x:c>
    </x:row>
    <x:row r="100" ht="15" customHeight="1">
      <x:c r="A100" s="30" t="str">
        <x:v>EP</x:v>
      </x:c>
      <x:c r="B100" s="30" t="str">
        <x:v>Routed Experts</x:v>
      </x:c>
      <x:c r="C100" s="30" t="str">
        <x:v>Combine Hidden</x:v>
      </x:c>
      <x:c r="D100" s="34" t="n">
        <x:f>(K62*2^20)/1e9</x:f>
        <x:v>6.694109184</x:v>
      </x:c>
      <x:c r="E100" s="64" t="n">
        <x:f>$H$85</x:f>
        <x:v>100</x:v>
      </x:c>
      <x:c r="F100" s="59" t="n">
        <x:v>1</x:v>
      </x:c>
      <x:c r="G100" s="34" t="n">
        <x:f>IF(AND(ISNUMBER(E100),E100&gt;0,ISNUMBER($B$85),$B$85&gt;=0,$B$85&lt;1,ISNUMBER($D$85),$D$85&gt;=0,$D$85&lt;=1,ISNUMBER(F100),F100&gt;=0,F100&lt;=1,ISNUMBER(J100),J100&gt;=0,J100&lt;=1),D100/E100*1000,NA())</x:f>
        <x:v>66.94109184000001</x:v>
      </x:c>
      <x:c r="H100" s="34" t="n">
        <x:f>G100+I100</x:f>
        <x:v>74.37899093333334</x:v>
      </x:c>
      <x:c r="I100" s="34" t="n">
        <x:f>G100*F100*$D$85*$B$85/(1-$B$85)</x:f>
        <x:v>7.4378990933333355</x:v>
      </x:c>
      <x:c r="J100" s="59" t="n">
        <x:v>1</x:v>
      </x:c>
      <x:c r="K100" s="34" t="n">
        <x:f>I100*J100</x:f>
        <x:v>7.4378990933333355</x:v>
      </x:c>
      <x:c r="L100" s="30" t="str">
        <x:v>原通信行 62</x:v>
      </x:c>
    </x:row>
    <x:row r="101" ht="15" customHeight="1">
      <x:c r="A101" s="30" t="str">
        <x:v>DP</x:v>
      </x:c>
      <x:c r="B101" s="30" t="str">
        <x:v>MoE</x:v>
      </x:c>
      <x:c r="C101" s="30" t="str">
        <x:v>Hidden 输入</x:v>
      </x:c>
      <x:c r="D101" s="34" t="n">
        <x:f>(K63*2^20)/1e9</x:f>
        <x:v>0</x:v>
      </x:c>
      <x:c r="E101" s="64" t="n">
        <x:f>$H$85</x:f>
        <x:v>100</x:v>
      </x:c>
      <x:c r="F101" s="59" t="n">
        <x:v>1</x:v>
      </x:c>
      <x:c r="G101" s="34" t="n">
        <x:f>IF(AND(ISNUMBER(E101),E101&gt;0,ISNUMBER($B$85),$B$85&gt;=0,$B$85&lt;1,ISNUMBER($D$85),$D$85&gt;=0,$D$85&lt;=1,ISNUMBER(F101),F101&gt;=0,F101&lt;=1,ISNUMBER(J101),J101&gt;=0,J101&lt;=1),D101/E101*1000,NA())</x:f>
        <x:v>0</x:v>
      </x:c>
      <x:c r="H101" s="34" t="n">
        <x:f>G101+I101</x:f>
        <x:v>0</x:v>
      </x:c>
      <x:c r="I101" s="34" t="n">
        <x:f>G101*F101*$D$85*$B$85/(1-$B$85)</x:f>
        <x:v>0</x:v>
      </x:c>
      <x:c r="J101" s="59" t="n">
        <x:v>1</x:v>
      </x:c>
      <x:c r="K101" s="34" t="n">
        <x:f>I101*J101</x:f>
        <x:v>0</x:v>
      </x:c>
      <x:c r="L101" s="30" t="str">
        <x:v>原通信行 63</x:v>
      </x:c>
    </x:row>
    <x:row r="102" ht="15" customHeight="1">
      <x:c r="A102" s="30" t="str">
        <x:v>DP</x:v>
      </x:c>
      <x:c r="B102" s="30" t="str">
        <x:v>MoE Router</x:v>
      </x:c>
      <x:c r="C102" s="30" t="str">
        <x:v>Router Logits</x:v>
      </x:c>
      <x:c r="D102" s="34" t="n">
        <x:f>(K64*2^20)/1e9</x:f>
        <x:v>0</x:v>
      </x:c>
      <x:c r="E102" s="64" t="n">
        <x:f>$H$85</x:f>
        <x:v>100</x:v>
      </x:c>
      <x:c r="F102" s="59" t="n">
        <x:v>1</x:v>
      </x:c>
      <x:c r="G102" s="34" t="n">
        <x:f>IF(AND(ISNUMBER(E102),E102&gt;0,ISNUMBER($B$85),$B$85&gt;=0,$B$85&lt;1,ISNUMBER($D$85),$D$85&gt;=0,$D$85&lt;=1,ISNUMBER(F102),F102&gt;=0,F102&lt;=1,ISNUMBER(J102),J102&gt;=0,J102&lt;=1),D102/E102*1000,NA())</x:f>
        <x:v>0</x:v>
      </x:c>
      <x:c r="H102" s="34" t="n">
        <x:f>G102+I102</x:f>
        <x:v>0</x:v>
      </x:c>
      <x:c r="I102" s="34" t="n">
        <x:f>G102*F102*$D$85*$B$85/(1-$B$85)</x:f>
        <x:v>0</x:v>
      </x:c>
      <x:c r="J102" s="59" t="n">
        <x:v>1</x:v>
      </x:c>
      <x:c r="K102" s="34" t="n">
        <x:f>I102*J102</x:f>
        <x:v>0</x:v>
      </x:c>
      <x:c r="L102" s="30" t="str">
        <x:v>原通信行 64</x:v>
      </x:c>
    </x:row>
    <x:row r="103" ht="15" customHeight="1">
      <x:c r="A103" s="30" t="str">
        <x:v>DP</x:v>
      </x:c>
      <x:c r="B103" s="30" t="str">
        <x:v>MoE</x:v>
      </x:c>
      <x:c r="C103" s="30" t="str">
        <x:v>Routed Expert 输出</x:v>
      </x:c>
      <x:c r="D103" s="34" t="n">
        <x:f>(K65*2^20)/1e9</x:f>
        <x:v>0</x:v>
      </x:c>
      <x:c r="E103" s="64" t="n">
        <x:f>$H$85</x:f>
        <x:v>100</x:v>
      </x:c>
      <x:c r="F103" s="59" t="n">
        <x:v>1</x:v>
      </x:c>
      <x:c r="G103" s="34" t="n">
        <x:f>IF(AND(ISNUMBER(E103),E103&gt;0,ISNUMBER($B$85),$B$85&gt;=0,$B$85&lt;1,ISNUMBER($D$85),$D$85&gt;=0,$D$85&lt;=1,ISNUMBER(F103),F103&gt;=0,F103&lt;=1,ISNUMBER(J103),J103&gt;=0,J103&lt;=1),D103/E103*1000,NA())</x:f>
        <x:v>0</x:v>
      </x:c>
      <x:c r="H103" s="34" t="n">
        <x:f>G103+I103</x:f>
        <x:v>0</x:v>
      </x:c>
      <x:c r="I103" s="34" t="n">
        <x:f>G103*F103*$D$85*$B$85/(1-$B$85)</x:f>
        <x:v>0</x:v>
      </x:c>
      <x:c r="J103" s="59" t="n">
        <x:v>1</x:v>
      </x:c>
      <x:c r="K103" s="34" t="n">
        <x:f>I103*J103</x:f>
        <x:v>0</x:v>
      </x:c>
      <x:c r="L103" s="30" t="str">
        <x:v>原通信行 65</x:v>
      </x:c>
    </x:row>
    <x:row r="104" ht="15" customHeight="1">
      <x:c r="A104" s="30" t="str">
        <x:v>共享专家 TP</x:v>
      </x:c>
      <x:c r="B104" s="30" t="str">
        <x:v>Shared Experts</x:v>
      </x:c>
      <x:c r="C104" s="30" t="str">
        <x:v>SP 输入</x:v>
      </x:c>
      <x:c r="D104" s="34" t="n">
        <x:f>(K66*2^20)/1e9</x:f>
        <x:v>6.694109184</x:v>
      </x:c>
      <x:c r="E104" s="64" t="n">
        <x:f>$H$85</x:f>
        <x:v>100</x:v>
      </x:c>
      <x:c r="F104" s="59" t="n">
        <x:v>1</x:v>
      </x:c>
      <x:c r="G104" s="34" t="n">
        <x:f>IF(AND(ISNUMBER(E104),E104&gt;0,ISNUMBER($B$85),$B$85&gt;=0,$B$85&lt;1,ISNUMBER($D$85),$D$85&gt;=0,$D$85&lt;=1,ISNUMBER(F104),F104&gt;=0,F104&lt;=1,ISNUMBER(J104),J104&gt;=0,J104&lt;=1),D104/E104*1000,NA())</x:f>
        <x:v>66.94109184000001</x:v>
      </x:c>
      <x:c r="H104" s="34" t="n">
        <x:f>G104+I104</x:f>
        <x:v>74.37899093333334</x:v>
      </x:c>
      <x:c r="I104" s="34" t="n">
        <x:f>G104*F104*$D$85*$B$85/(1-$B$85)</x:f>
        <x:v>7.4378990933333355</x:v>
      </x:c>
      <x:c r="J104" s="59" t="n">
        <x:v>1</x:v>
      </x:c>
      <x:c r="K104" s="34" t="n">
        <x:f>I104*J104</x:f>
        <x:v>7.4378990933333355</x:v>
      </x:c>
      <x:c r="L104" s="30" t="str">
        <x:v>原通信行 66</x:v>
      </x:c>
    </x:row>
    <x:row r="105" ht="15" customHeight="1">
      <x:c r="A105" s="30" t="str">
        <x:v>共享专家 TP</x:v>
      </x:c>
      <x:c r="B105" s="30" t="str">
        <x:v>Shared Experts</x:v>
      </x:c>
      <x:c r="C105" s="30" t="str">
        <x:v>SP 输出</x:v>
      </x:c>
      <x:c r="D105" s="34" t="n">
        <x:f>(K67*2^20)/1e9</x:f>
        <x:v>6.694109184</x:v>
      </x:c>
      <x:c r="E105" s="64" t="n">
        <x:f>$H$85</x:f>
        <x:v>100</x:v>
      </x:c>
      <x:c r="F105" s="59" t="n">
        <x:v>1</x:v>
      </x:c>
      <x:c r="G105" s="34" t="n">
        <x:f>IF(AND(ISNUMBER(E105),E105&gt;0,ISNUMBER($B$85),$B$85&gt;=0,$B$85&lt;1,ISNUMBER($D$85),$D$85&gt;=0,$D$85&lt;=1,ISNUMBER(F105),F105&gt;=0,F105&lt;=1,ISNUMBER(J105),J105&gt;=0,J105&lt;=1),D105/E105*1000,NA())</x:f>
        <x:v>66.94109184000001</x:v>
      </x:c>
      <x:c r="H105" s="34" t="n">
        <x:f>G105+I105</x:f>
        <x:v>74.37899093333334</x:v>
      </x:c>
      <x:c r="I105" s="34" t="n">
        <x:f>G105*F105*$D$85*$B$85/(1-$B$85)</x:f>
        <x:v>7.4378990933333355</x:v>
      </x:c>
      <x:c r="J105" s="59" t="n">
        <x:v>1</x:v>
      </x:c>
      <x:c r="K105" s="34" t="n">
        <x:f>I105*J105</x:f>
        <x:v>7.4378990933333355</x:v>
      </x:c>
      <x:c r="L105" s="30" t="str">
        <x:v>原通信行 67</x:v>
      </x:c>
    </x:row>
    <x:row r="106" ht="15" customHeight="1">
      <x:c r="A106" s="30" t="str">
        <x:v>共享专家 TP</x:v>
      </x:c>
      <x:c r="B106" s="30" t="str">
        <x:v>Shared Experts</x:v>
      </x:c>
      <x:c r="C106" s="30" t="str">
        <x:v>非 SP 输出</x:v>
      </x:c>
      <x:c r="D106" s="34" t="n">
        <x:f>(K68*2^20)/1e9</x:f>
        <x:v>0</x:v>
      </x:c>
      <x:c r="E106" s="64" t="n">
        <x:f>$H$85</x:f>
        <x:v>100</x:v>
      </x:c>
      <x:c r="F106" s="59" t="n">
        <x:v>1</x:v>
      </x:c>
      <x:c r="G106" s="34" t="n">
        <x:f>IF(AND(ISNUMBER(E106),E106&gt;0,ISNUMBER($B$85),$B$85&gt;=0,$B$85&lt;1,ISNUMBER($D$85),$D$85&gt;=0,$D$85&lt;=1,ISNUMBER(F106),F106&gt;=0,F106&lt;=1,ISNUMBER(J106),J106&gt;=0,J106&lt;=1),D106/E106*1000,NA())</x:f>
        <x:v>0</x:v>
      </x:c>
      <x:c r="H106" s="34" t="n">
        <x:f>G106+I106</x:f>
        <x:v>0</x:v>
      </x:c>
      <x:c r="I106" s="34" t="n">
        <x:f>G106*F106*$D$85*$B$85/(1-$B$85)</x:f>
        <x:v>0</x:v>
      </x:c>
      <x:c r="J106" s="59" t="n">
        <x:v>1</x:v>
      </x:c>
      <x:c r="K106" s="34" t="n">
        <x:f>I106*J106</x:f>
        <x:v>0</x:v>
      </x:c>
      <x:c r="L106" s="30" t="str">
        <x:v>原通信行 68</x:v>
      </x:c>
    </x:row>
    <x:row r="107" ht="15" customHeight="1">
      <x:c r="A107" s="30" t="str">
        <x:v>PCP</x:v>
      </x:c>
      <x:c r="B107" s="30" t="str">
        <x:v>MoE</x:v>
      </x:c>
      <x:c r="C107" s="30" t="str">
        <x:v>Hidden 输入</x:v>
      </x:c>
      <x:c r="D107" s="34" t="n">
        <x:f>(K69*2^20)/1e9</x:f>
        <x:v>0</x:v>
      </x:c>
      <x:c r="E107" s="64" t="n">
        <x:f>$H$85</x:f>
        <x:v>100</x:v>
      </x:c>
      <x:c r="F107" s="59" t="n">
        <x:v>1</x:v>
      </x:c>
      <x:c r="G107" s="34" t="n">
        <x:f>IF(AND(ISNUMBER(E107),E107&gt;0,ISNUMBER($B$85),$B$85&gt;=0,$B$85&lt;1,ISNUMBER($D$85),$D$85&gt;=0,$D$85&lt;=1,ISNUMBER(F107),F107&gt;=0,F107&lt;=1,ISNUMBER(J107),J107&gt;=0,J107&lt;=1),D107/E107*1000,NA())</x:f>
        <x:v>0</x:v>
      </x:c>
      <x:c r="H107" s="34" t="n">
        <x:f>G107+I107</x:f>
        <x:v>0</x:v>
      </x:c>
      <x:c r="I107" s="34" t="n">
        <x:f>G107*F107*$D$85*$B$85/(1-$B$85)</x:f>
        <x:v>0</x:v>
      </x:c>
      <x:c r="J107" s="59" t="n">
        <x:v>1</x:v>
      </x:c>
      <x:c r="K107" s="34" t="n">
        <x:f>I107*J107</x:f>
        <x:v>0</x:v>
      </x:c>
      <x:c r="L107" s="30" t="str">
        <x:v>原通信行 69</x:v>
      </x:c>
    </x:row>
    <x:row r="108" ht="15" customHeight="1">
      <x:c r="A108" s="30" t="str">
        <x:v>PCP</x:v>
      </x:c>
      <x:c r="B108" s="30" t="str">
        <x:v>MoE Router</x:v>
      </x:c>
      <x:c r="C108" s="30" t="str">
        <x:v>Router Logits</x:v>
      </x:c>
      <x:c r="D108" s="34" t="n">
        <x:f>(K70*2^20)/1e9</x:f>
        <x:v>0</x:v>
      </x:c>
      <x:c r="E108" s="64" t="n">
        <x:f>$H$85</x:f>
        <x:v>100</x:v>
      </x:c>
      <x:c r="F108" s="59" t="n">
        <x:v>1</x:v>
      </x:c>
      <x:c r="G108" s="34" t="n">
        <x:f>IF(AND(ISNUMBER(E108),E108&gt;0,ISNUMBER($B$85),$B$85&gt;=0,$B$85&lt;1,ISNUMBER($D$85),$D$85&gt;=0,$D$85&lt;=1,ISNUMBER(F108),F108&gt;=0,F108&lt;=1,ISNUMBER(J108),J108&gt;=0,J108&lt;=1),D108/E108*1000,NA())</x:f>
        <x:v>0</x:v>
      </x:c>
      <x:c r="H108" s="34" t="n">
        <x:f>G108+I108</x:f>
        <x:v>0</x:v>
      </x:c>
      <x:c r="I108" s="34" t="n">
        <x:f>G108*F108*$D$85*$B$85/(1-$B$85)</x:f>
        <x:v>0</x:v>
      </x:c>
      <x:c r="J108" s="59" t="n">
        <x:v>1</x:v>
      </x:c>
      <x:c r="K108" s="34" t="n">
        <x:f>I108*J108</x:f>
        <x:v>0</x:v>
      </x:c>
      <x:c r="L108" s="30" t="str">
        <x:v>原通信行 70</x:v>
      </x:c>
    </x:row>
    <x:row r="109" ht="15" customHeight="1">
      <x:c r="A109" s="30" t="str">
        <x:v>PCP</x:v>
      </x:c>
      <x:c r="B109" s="30" t="str">
        <x:v>MoE</x:v>
      </x:c>
      <x:c r="C109" s="30" t="str">
        <x:v>Routed Expert 输出</x:v>
      </x:c>
      <x:c r="D109" s="34" t="n">
        <x:f>(K71*2^20)/1e9</x:f>
        <x:v>0</x:v>
      </x:c>
      <x:c r="E109" s="64" t="n">
        <x:f>$H$85</x:f>
        <x:v>100</x:v>
      </x:c>
      <x:c r="F109" s="59" t="n">
        <x:v>1</x:v>
      </x:c>
      <x:c r="G109" s="34" t="n">
        <x:f>IF(AND(ISNUMBER(E109),E109&gt;0,ISNUMBER($B$85),$B$85&gt;=0,$B$85&lt;1,ISNUMBER($D$85),$D$85&gt;=0,$D$85&lt;=1,ISNUMBER(F109),F109&gt;=0,F109&lt;=1,ISNUMBER(J109),J109&gt;=0,J109&lt;=1),D109/E109*1000,NA())</x:f>
        <x:v>0</x:v>
      </x:c>
      <x:c r="H109" s="34" t="n">
        <x:f>G109+I109</x:f>
        <x:v>0</x:v>
      </x:c>
      <x:c r="I109" s="34" t="n">
        <x:f>G109*F109*$D$85*$B$85/(1-$B$85)</x:f>
        <x:v>0</x:v>
      </x:c>
      <x:c r="J109" s="59" t="n">
        <x:v>1</x:v>
      </x:c>
      <x:c r="K109" s="34" t="n">
        <x:f>I109*J109</x:f>
        <x:v>0</x:v>
      </x:c>
      <x:c r="L109" s="30" t="str">
        <x:v>原通信行 71</x:v>
      </x:c>
    </x:row>
    <x:row r="110" ht="15" customHeight="1">
      <x:c r="A110" s="30" t="str">
        <x:v>PCP</x:v>
      </x:c>
      <x:c r="B110" s="30" t="str">
        <x:v>Attention KV</x:v>
      </x:c>
      <x:c r="C110" s="30" t="str">
        <x:v>KV Cache 写入前</x:v>
      </x:c>
      <x:c r="D110" s="34" t="n">
        <x:f>(K72*2^20)/1e9</x:f>
        <x:v>0</x:v>
      </x:c>
      <x:c r="E110" s="64" t="n">
        <x:f>$H$85</x:f>
        <x:v>100</x:v>
      </x:c>
      <x:c r="F110" s="59" t="n">
        <x:v>1</x:v>
      </x:c>
      <x:c r="G110" s="34" t="n">
        <x:f>IF(AND(ISNUMBER(E110),E110&gt;0,ISNUMBER($B$85),$B$85&gt;=0,$B$85&lt;1,ISNUMBER($D$85),$D$85&gt;=0,$D$85&lt;=1,ISNUMBER(F110),F110&gt;=0,F110&lt;=1,ISNUMBER(J110),J110&gt;=0,J110&lt;=1),D110/E110*1000,NA())</x:f>
        <x:v>0</x:v>
      </x:c>
      <x:c r="H110" s="34" t="n">
        <x:f>G110+I110</x:f>
        <x:v>0</x:v>
      </x:c>
      <x:c r="I110" s="34" t="n">
        <x:f>G110*F110*$D$85*$B$85/(1-$B$85)</x:f>
        <x:v>0</x:v>
      </x:c>
      <x:c r="J110" s="59" t="n">
        <x:v>1</x:v>
      </x:c>
      <x:c r="K110" s="34" t="n">
        <x:f>I110*J110</x:f>
        <x:v>0</x:v>
      </x:c>
      <x:c r="L110" s="30" t="str">
        <x:v>原通信行 72</x:v>
      </x:c>
    </x:row>
    <x:row r="111" ht="15" customHeight="1">
      <x:c r="A111" s="30" t="str">
        <x:v>SP</x:v>
      </x:c>
      <x:c r="B111" s="30" t="str">
        <x:v>Model Output</x:v>
      </x:c>
      <x:c r="C111" s="30" t="str">
        <x:v>Final Norm 后</x:v>
      </x:c>
      <x:c r="D111" s="34" t="n">
        <x:f>(K73*2^20)/1e9</x:f>
        <x:v>0.088080384</x:v>
      </x:c>
      <x:c r="E111" s="64" t="n">
        <x:f>$H$85</x:f>
        <x:v>100</x:v>
      </x:c>
      <x:c r="F111" s="59" t="n">
        <x:v>1</x:v>
      </x:c>
      <x:c r="G111" s="34" t="n">
        <x:f>IF(AND(ISNUMBER(E111),E111&gt;0,ISNUMBER($B$85),$B$85&gt;=0,$B$85&lt;1,ISNUMBER($D$85),$D$85&gt;=0,$D$85&lt;=1,ISNUMBER(F111),F111&gt;=0,F111&lt;=1,ISNUMBER(J111),J111&gt;=0,J111&lt;=1),D111/E111*1000,NA())</x:f>
        <x:v>0.88080384</x:v>
      </x:c>
      <x:c r="H111" s="34" t="n">
        <x:f>G111+I111</x:f>
        <x:v>0.9786709333333333</x:v>
      </x:c>
      <x:c r="I111" s="34" t="n">
        <x:f>G111*F111*$D$85*$B$85/(1-$B$85)</x:f>
        <x:v>0.09786709333333335</x:v>
      </x:c>
      <x:c r="J111" s="59" t="n">
        <x:v>1</x:v>
      </x:c>
      <x:c r="K111" s="34" t="n">
        <x:f>I111*J111</x:f>
        <x:v>0.09786709333333335</x:v>
      </x:c>
      <x:c r="L111" s="30" t="str">
        <x:v>原通信行 73</x:v>
      </x:c>
    </x:row>
    <x:row r="112" ht="15" customHeight="1">
      <x:c r="A112" s="30" t="str">
        <x:v>LM Head TP</x:v>
      </x:c>
      <x:c r="B112" s="30" t="str">
        <x:v>LM Head</x:v>
      </x:c>
      <x:c r="C112" s="30" t="str">
        <x:v>完整 Logits</x:v>
      </x:c>
      <x:c r="D112" s="34" t="n">
        <x:f>(K74*2^20)/1e9</x:f>
        <x:v>0</x:v>
      </x:c>
      <x:c r="E112" s="64" t="n">
        <x:f>$H$85</x:f>
        <x:v>100</x:v>
      </x:c>
      <x:c r="F112" s="59" t="n">
        <x:v>1</x:v>
      </x:c>
      <x:c r="G112" s="34" t="n">
        <x:f>IF(AND(ISNUMBER(E112),E112&gt;0,ISNUMBER($B$85),$B$85&gt;=0,$B$85&lt;1,ISNUMBER($D$85),$D$85&gt;=0,$D$85&lt;=1,ISNUMBER(F112),F112&gt;=0,F112&lt;=1,ISNUMBER(J112),J112&gt;=0,J112&lt;=1),D112/E112*1000,NA())</x:f>
        <x:v>0</x:v>
      </x:c>
      <x:c r="H112" s="34" t="n">
        <x:f>G112+I112</x:f>
        <x:v>0</x:v>
      </x:c>
      <x:c r="I112" s="34" t="n">
        <x:f>G112*F112*$D$85*$B$85/(1-$B$85)</x:f>
        <x:v>0</x:v>
      </x:c>
      <x:c r="J112" s="59" t="n">
        <x:v>1</x:v>
      </x:c>
      <x:c r="K112" s="34" t="n">
        <x:f>I112*J112</x:f>
        <x:v>0</x:v>
      </x:c>
      <x:c r="L112" s="30" t="str">
        <x:v>原通信行 74</x:v>
      </x:c>
    </x:row>
    <x:row r="113" ht="15" customHeight="1">
      <x:c r="A113" s="30" t="str">
        <x:v>LM Head TP</x:v>
      </x:c>
      <x:c r="B113" s="30" t="str">
        <x:v>LM Head</x:v>
      </x:c>
      <x:c r="C113" s="30" t="str">
        <x:v>Reduce Sample</x:v>
      </x:c>
      <x:c r="D113" s="34" t="n">
        <x:f>(K75*2^20)/1e9</x:f>
        <x:v>0.001376256</x:v>
      </x:c>
      <x:c r="E113" s="64" t="n">
        <x:f>$H$85</x:f>
        <x:v>100</x:v>
      </x:c>
      <x:c r="F113" s="59" t="n">
        <x:v>1</x:v>
      </x:c>
      <x:c r="G113" s="34" t="n">
        <x:f>IF(AND(ISNUMBER(E113),E113&gt;0,ISNUMBER($B$85),$B$85&gt;=0,$B$85&lt;1,ISNUMBER($D$85),$D$85&gt;=0,$D$85&lt;=1,ISNUMBER(F113),F113&gt;=0,F113&lt;=1,ISNUMBER(J113),J113&gt;=0,J113&lt;=1),D113/E113*1000,NA())</x:f>
        <x:v>0.01376256</x:v>
      </x:c>
      <x:c r="H113" s="34" t="n">
        <x:f>G113+I113</x:f>
        <x:v>0.015291733333333333</x:v>
      </x:c>
      <x:c r="I113" s="34" t="n">
        <x:f>G113*F113*$D$85*$B$85/(1-$B$85)</x:f>
        <x:v>0.0015291733333333336</x:v>
      </x:c>
      <x:c r="J113" s="59" t="n">
        <x:v>1</x:v>
      </x:c>
      <x:c r="K113" s="34" t="n">
        <x:f>I113*J113</x:f>
        <x:v>0.0015291733333333336</x:v>
      </x:c>
      <x:c r="L113" s="30" t="str">
        <x:v>原通信行 75</x:v>
      </x:c>
    </x:row>
    <x:row r="114" ht="15" customHeight="1">
      <x:c r="A114" s="30" t="str">
        <x:v>Fine LM Head TP</x:v>
      </x:c>
      <x:c r="B114" s="30" t="str">
        <x:v>LM Head</x:v>
      </x:c>
      <x:c r="C114" s="30" t="str">
        <x:v>Hidden 输入</x:v>
      </x:c>
      <x:c r="D114" s="34" t="n">
        <x:f>(K76*2^20)/1e9</x:f>
        <x:v>0</x:v>
      </x:c>
      <x:c r="E114" s="64" t="n">
        <x:f>$H$85</x:f>
        <x:v>100</x:v>
      </x:c>
      <x:c r="F114" s="59" t="n">
        <x:v>1</x:v>
      </x:c>
      <x:c r="G114" s="34" t="n">
        <x:f>IF(AND(ISNUMBER(E114),E114&gt;0,ISNUMBER($B$85),$B$85&gt;=0,$B$85&lt;1,ISNUMBER($D$85),$D$85&gt;=0,$D$85&lt;=1,ISNUMBER(F114),F114&gt;=0,F114&lt;=1,ISNUMBER(J114),J114&gt;=0,J114&lt;=1),D114/E114*1000,NA())</x:f>
        <x:v>0</x:v>
      </x:c>
      <x:c r="H114" s="34" t="n">
        <x:f>G114+I114</x:f>
        <x:v>0</x:v>
      </x:c>
      <x:c r="I114" s="34" t="n">
        <x:f>G114*F114*$D$85*$B$85/(1-$B$85)</x:f>
        <x:v>0</x:v>
      </x:c>
      <x:c r="J114" s="59" t="n">
        <x:v>1</x:v>
      </x:c>
      <x:c r="K114" s="34" t="n">
        <x:f>I114*J114</x:f>
        <x:v>0</x:v>
      </x:c>
      <x:c r="L114" s="30" t="str">
        <x:v>原通信行 76</x:v>
      </x:c>
    </x:row>
    <x:row r="115" ht="15" customHeight="1">
      <x:c r="A115" s="30" t="str">
        <x:v>Fine LM Head TP</x:v>
      </x:c>
      <x:c r="B115" s="30" t="str">
        <x:v>LM Head</x:v>
      </x:c>
      <x:c r="C115" s="30" t="str">
        <x:v>完整 Logits</x:v>
      </x:c>
      <x:c r="D115" s="34" t="n">
        <x:f>(K77*2^20)/1e9</x:f>
        <x:v>0</x:v>
      </x:c>
      <x:c r="E115" s="64" t="n">
        <x:f>$H$85</x:f>
        <x:v>100</x:v>
      </x:c>
      <x:c r="F115" s="59" t="n">
        <x:v>1</x:v>
      </x:c>
      <x:c r="G115" s="34" t="n">
        <x:f>IF(AND(ISNUMBER(E115),E115&gt;0,ISNUMBER($B$85),$B$85&gt;=0,$B$85&lt;1,ISNUMBER($D$85),$D$85&gt;=0,$D$85&lt;=1,ISNUMBER(F115),F115&gt;=0,F115&lt;=1,ISNUMBER(J115),J115&gt;=0,J115&lt;=1),D115/E115*1000,NA())</x:f>
        <x:v>0</x:v>
      </x:c>
      <x:c r="H115" s="34" t="n">
        <x:f>G115+I115</x:f>
        <x:v>0</x:v>
      </x:c>
      <x:c r="I115" s="34" t="n">
        <x:f>G115*F115*$D$85*$B$85/(1-$B$85)</x:f>
        <x:v>0</x:v>
      </x:c>
      <x:c r="J115" s="59" t="n">
        <x:v>1</x:v>
      </x:c>
      <x:c r="K115" s="34" t="n">
        <x:f>I115*J115</x:f>
        <x:v>0</x:v>
      </x:c>
      <x:c r="L115" s="30" t="str">
        <x:v>原通信行 77</x:v>
      </x:c>
    </x:row>
    <x:row r="116" ht="15" customHeight="1">
      <x:c r="A116" s="30" t="str">
        <x:v>Fine LM Head TP</x:v>
      </x:c>
      <x:c r="B116" s="30" t="str">
        <x:v>LM Head</x:v>
      </x:c>
      <x:c r="C116" s="30" t="str">
        <x:v>Reduce Sample</x:v>
      </x:c>
      <x:c r="D116" s="34" t="n">
        <x:f>(K78*2^20)/1e9</x:f>
        <x:v>0</x:v>
      </x:c>
      <x:c r="E116" s="64" t="n">
        <x:f>$H$85</x:f>
        <x:v>100</x:v>
      </x:c>
      <x:c r="F116" s="59" t="n">
        <x:v>1</x:v>
      </x:c>
      <x:c r="G116" s="34" t="n">
        <x:f>IF(AND(ISNUMBER(E116),E116&gt;0,ISNUMBER($B$85),$B$85&gt;=0,$B$85&lt;1,ISNUMBER($D$85),$D$85&gt;=0,$D$85&lt;=1,ISNUMBER(F116),F116&gt;=0,F116&lt;=1,ISNUMBER(J116),J116&gt;=0,J116&lt;=1),D116/E116*1000,NA())</x:f>
        <x:v>0</x:v>
      </x:c>
      <x:c r="H116" s="34" t="n">
        <x:f>G116+I116</x:f>
        <x:v>0</x:v>
      </x:c>
      <x:c r="I116" s="34" t="n">
        <x:f>G116*F116*$D$85*$B$85/(1-$B$85)</x:f>
        <x:v>0</x:v>
      </x:c>
      <x:c r="J116" s="59" t="n">
        <x:v>1</x:v>
      </x:c>
      <x:c r="K116" s="34" t="n">
        <x:f>I116*J116</x:f>
        <x:v>0</x:v>
      </x:c>
      <x:c r="L116" s="30" t="str">
        <x:v>原通信行 78</x:v>
      </x:c>
    </x:row>
    <x:row r="117" ht="15" customHeight="1">
      <x:c r="A117" s="30" t="str">
        <x:v>EP</x:v>
      </x:c>
      <x:c r="B117" s="30" t="str">
        <x:v>MoE 计数</x:v>
      </x:c>
      <x:c r="C117" s="30" t="str">
        <x:v>直方图 Ring AG</x:v>
      </x:c>
      <x:c r="D117" s="34" t="n">
        <x:f>(IF(E61=0,0,H61*ROUNDUP(256/G61,0)*G61*4*(G61-1)))/1e9</x:f>
        <x:v>0.000544768</x:v>
      </x:c>
      <x:c r="E117" s="64" t="n">
        <x:f>$H$85</x:f>
        <x:v>100</x:v>
      </x:c>
      <x:c r="F117" s="59" t="n">
        <x:v>1</x:v>
      </x:c>
      <x:c r="G117" s="34" t="n">
        <x:f>IF(AND(ISNUMBER(E117),E117&gt;0,ISNUMBER($B$85),$B$85&gt;=0,$B$85&lt;1,ISNUMBER($D$85),$D$85&gt;=0,$D$85&lt;=1,ISNUMBER(F117),F117&gt;=0,F117&lt;=1,ISNUMBER(J117),J117&gt;=0,J117&lt;=1),D117/E117*1000,NA())</x:f>
        <x:v>0.005447680000000001</x:v>
      </x:c>
      <x:c r="H117" s="34" t="n">
        <x:f>G117+I117</x:f>
        <x:v>0.006052977777777779</x:v>
      </x:c>
      <x:c r="I117" s="34" t="n">
        <x:f>G117*F117*$D$85*$B$85/(1-$B$85)</x:f>
        <x:v>0.0006052977777777778</x:v>
      </x:c>
      <x:c r="J117" s="59" t="n">
        <x:v>1</x:v>
      </x:c>
      <x:c r="K117" s="34" t="n">
        <x:f>I117*J117</x:f>
        <x:v>0.0006052977777777778</x:v>
      </x:c>
      <x:c r="L117" s="30" t="str">
        <x:v>额外控制量</x:v>
      </x:c>
    </x:row>
    <x:row r="118" ht="15" customHeight="1">
      <x:c r="A118" s="40" t="str">
        <x:v>所列事件串行相加</x:v>
      </x:c>
      <x:c r="B118" s="40"/>
      <x:c r="C118" s="40"/>
      <x:c r="D118" s="41" t="n">
        <x:f>SUM(D91:D117)</x:f>
        <x:v>37.67830528</x:v>
      </x:c>
      <x:c r="E118" s="40"/>
      <x:c r="F118" s="40"/>
      <x:c r="G118" s="41" t="n">
        <x:f>SUM(G91:G117)</x:f>
        <x:v>376.7830528</x:v>
      </x:c>
      <x:c r="H118" s="41" t="n">
        <x:f>SUM(H91:H117)</x:f>
        <x:v>418.64783644444447</x:v>
      </x:c>
      <x:c r="I118" s="41" t="n">
        <x:f>SUM(I91:I117)</x:f>
        <x:v>41.86478364444446</x:v>
      </x:c>
      <x:c r="J118" s="40"/>
      <x:c r="K118" s="41" t="n">
        <x:f>SUM(K91:K117)</x:f>
        <x:v>41.86478364444446</x:v>
      </x:c>
      <x:c r="L118" s="40"/>
    </x:row>
  </x:sheetData>
  <x:conditionalFormatting sqref="L87:L87">
    <x:cfRule type="containsText" dxfId="0" priority="1" operator="containsText" text="不一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[154880, 6144]</x:v>
      </x:c>
      <x:c r="D2" s="30" t="str">
        <x:v>BF16</x:v>
      </x:c>
      <x:c r="E2" s="32" t="n">
        <x:v>2</x:v>
      </x:c>
      <x:c r="F2" s="33" t="n">
        <x:v>1</x:v>
      </x:c>
      <x:c r="G2" s="33" t="n">
        <x:v>951582720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1.7724609375</x:v>
      </x:c>
      <x:c r="K2" s="34" t="n">
        <x:f>J2/I2</x:f>
        <x:v>0.2215576171875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[154880, 6144]</x:v>
      </x:c>
      <x:c r="D3" s="30" t="str">
        <x:v>BF16</x:v>
      </x:c>
      <x:c r="E3" s="32" t="n">
        <x:v>2</x:v>
      </x:c>
      <x:c r="F3" s="33" t="n">
        <x:v>1</x:v>
      </x:c>
      <x:c r="G3" s="33" t="n">
        <x:v>951582720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1.7724609375</x:v>
      </x:c>
      <x:c r="K3" s="34" t="n">
        <x:f>J3/I3</x:f>
        <x:v>0.2215576171875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[6144]</x:v>
      </x:c>
      <x:c r="D4" s="30" t="str">
        <x:v>BF16</x:v>
      </x:c>
      <x:c r="E4" s="32" t="n">
        <x:v>2</x:v>
      </x:c>
      <x:c r="F4" s="33" t="n">
        <x:v>1</x:v>
      </x:c>
      <x:c r="G4" s="33" t="n">
        <x:v>6144</x:v>
      </x:c>
      <x:c r="H4" s="33" t="str">
        <x:v>Replicated</x:v>
      </x:c>
      <x:c r="I4" s="33" t="n">
        <x:f>1</x:f>
        <x:v>1</x:v>
      </x:c>
      <x:c r="J4" s="34" t="n">
        <x:f>E4*F4*G4/1073741824</x:f>
        <x:v>0.000011444091796875</x:v>
      </x:c>
      <x:c r="K4" s="34" t="n">
        <x:f>J4/I4</x:f>
        <x:v>0.000011444091796875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[6144]</x:v>
      </x:c>
      <x:c r="D5" s="30" t="str">
        <x:v>BF16</x:v>
      </x:c>
      <x:c r="E5" s="32" t="n">
        <x:v>2</x:v>
      </x:c>
      <x:c r="F5" s="33" t="n">
        <x:v>79</x:v>
      </x:c>
      <x:c r="G5" s="33" t="n">
        <x:v>6144</x:v>
      </x:c>
      <x:c r="H5" s="33" t="str">
        <x:v>Replicated</x:v>
      </x:c>
      <x:c r="I5" s="33" t="n">
        <x:f>1</x:f>
        <x:v>1</x:v>
      </x:c>
      <x:c r="J5" s="34" t="n">
        <x:f>E5*F5*G5/1073741824</x:f>
        <x:v>0.000904083251953125</x:v>
      </x:c>
      <x:c r="K5" s="34" t="n">
        <x:f>J5/I5</x:f>
        <x:v>0.000904083251953125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[6144]</x:v>
      </x:c>
      <x:c r="D6" s="30" t="str">
        <x:v>BF16</x:v>
      </x:c>
      <x:c r="E6" s="32" t="n">
        <x:v>2</x:v>
      </x:c>
      <x:c r="F6" s="33" t="n">
        <x:v>79</x:v>
      </x:c>
      <x:c r="G6" s="33" t="n">
        <x:v>6144</x:v>
      </x:c>
      <x:c r="H6" s="33" t="str">
        <x:v>Replicated</x:v>
      </x:c>
      <x:c r="I6" s="33" t="n">
        <x:f>1</x:f>
        <x:v>1</x:v>
      </x:c>
      <x:c r="J6" s="34" t="n">
        <x:f>E6*F6*G6/1073741824</x:f>
        <x:v>0.000904083251953125</x:v>
      </x:c>
      <x:c r="K6" s="34" t="n">
        <x:f>J6/I6</x:f>
        <x:v>0.000904083251953125</x:v>
      </x:c>
      <x:c r="L6" s="30"/>
      <x:c r="M6" s="30"/>
      <x:c r="N6" s="30"/>
      <x:c r="O6" s="35" t="str">
        <x:v>投机采样步数</x:v>
      </x:c>
      <x:c r="P6" s="36" t="n">
        <x:v>1</x:v>
      </x:c>
    </x:row>
    <x:row r="7">
      <x:c r="A7" s="30" t="str">
        <x:v>Dense MLP</x:v>
      </x:c>
      <x:c r="B7" s="30" t="str">
        <x:v>mlp.gate_proj.weight</x:v>
      </x:c>
      <x:c r="C7" s="30" t="str">
        <x:v>[12288, 6144]</x:v>
      </x:c>
      <x:c r="D7" s="30" t="str">
        <x:v>FP8 E4M3</x:v>
      </x:c>
      <x:c r="E7" s="32" t="n">
        <x:v>1</x:v>
      </x:c>
      <x:c r="F7" s="33" t="n">
        <x:v>3</x:v>
      </x:c>
      <x:c r="G7" s="33" t="n">
        <x:v>75497472</x:v>
      </x:c>
      <x:c r="H7" s="33" t="str">
        <x:v>TP</x:v>
      </x:c>
      <x:c r="I7" s="33" t="n">
        <x:f>'Decode'!$P$12</x:f>
        <x:v>8</x:v>
      </x:c>
      <x:c r="J7" s="34" t="n">
        <x:f>E7*F7*G7/1073741824</x:f>
        <x:v>0.2109375</x:v>
      </x:c>
      <x:c r="K7" s="34" t="n">
        <x:f>J7/I7</x:f>
        <x:v>0.0263671875</x:v>
      </x:c>
      <x:c r="L7" s="30"/>
      <x:c r="M7" s="30"/>
      <x:c r="N7" s="30"/>
      <x:c r="O7" s="35" t="str">
        <x:v>当前 Step Token 数</x:v>
      </x:c>
      <x:c r="P7" s="37" t="n">
        <x:f>MIN($P$2,$P$3*($P$6+1))</x:f>
        <x:v>256</x:v>
      </x:c>
    </x:row>
    <x:row r="8">
      <x:c r="A8" s="30" t="str">
        <x:v>Dense MLP</x:v>
      </x:c>
      <x:c r="B8" s="30" t="str">
        <x:v>mlp.gate_proj.weight_scale</x:v>
      </x:c>
      <x:c r="C8" s="30" t="str">
        <x:v>[96, 48]</x:v>
      </x:c>
      <x:c r="D8" s="30" t="str">
        <x:v>F32</x:v>
      </x:c>
      <x:c r="E8" s="32" t="n">
        <x:v>4</x:v>
      </x:c>
      <x:c r="F8" s="33" t="n">
        <x:v>3</x:v>
      </x:c>
      <x:c r="G8" s="33" t="n">
        <x:v>4608</x:v>
      </x:c>
      <x:c r="H8" s="33" t="str">
        <x:v>TP</x:v>
      </x:c>
      <x:c r="I8" s="33" t="n">
        <x:f>'Decode'!$P$12</x:f>
        <x:v>8</x:v>
      </x:c>
      <x:c r="J8" s="34" t="n">
        <x:f>E8*F8*G8/1073741824</x:f>
        <x:v>0.0000514984130859375</x:v>
      </x:c>
      <x:c r="K8" s="34" t="n">
        <x:f>J8/I8</x:f>
        <x:v>0.0000064373016357421875</x:v>
      </x:c>
      <x:c r="L8" s="30"/>
      <x:c r="M8" s="30"/>
      <x:c r="N8" s="30"/>
      <x:c r="O8" s="35" t="str">
        <x:v>本 Step 采样行数</x:v>
      </x:c>
      <x:c r="P8" s="37" t="n">
        <x:f>MIN($P$7,$P$3*($P$6+1))</x:f>
        <x:v>256</x:v>
      </x:c>
    </x:row>
    <x:row r="9">
      <x:c r="A9" s="30" t="str">
        <x:v>Dense MLP</x:v>
      </x:c>
      <x:c r="B9" s="30" t="str">
        <x:v>mlp.up_proj.weight</x:v>
      </x:c>
      <x:c r="C9" s="30" t="str">
        <x:v>[12288, 6144]</x:v>
      </x:c>
      <x:c r="D9" s="30" t="str">
        <x:v>FP8 E4M3</x:v>
      </x:c>
      <x:c r="E9" s="32" t="n">
        <x:v>1</x:v>
      </x:c>
      <x:c r="F9" s="33" t="n">
        <x:v>3</x:v>
      </x:c>
      <x:c r="G9" s="33" t="n">
        <x:v>75497472</x:v>
      </x:c>
      <x:c r="H9" s="33" t="str">
        <x:v>TP</x:v>
      </x:c>
      <x:c r="I9" s="33" t="n">
        <x:f>'Decode'!$P$12</x:f>
        <x:v>8</x:v>
      </x:c>
      <x:c r="J9" s="34" t="n">
        <x:f>E9*F9*G9/1073741824</x:f>
        <x:v>0.2109375</x:v>
      </x:c>
      <x:c r="K9" s="34" t="n">
        <x:f>J9/I9</x:f>
        <x:v>0.0263671875</x:v>
      </x:c>
      <x:c r="L9" s="30"/>
      <x:c r="M9" s="30"/>
      <x:c r="N9" s="30"/>
      <x:c r="O9" s="30"/>
      <x:c r="P9" s="30"/>
    </x:row>
    <x:row r="10">
      <x:c r="A10" s="30" t="str">
        <x:v>Dense MLP</x:v>
      </x:c>
      <x:c r="B10" s="30" t="str">
        <x:v>mlp.up_proj.weight_scale</x:v>
      </x:c>
      <x:c r="C10" s="30" t="str">
        <x:v>[96, 48]</x:v>
      </x:c>
      <x:c r="D10" s="30" t="str">
        <x:v>F32</x:v>
      </x:c>
      <x:c r="E10" s="32" t="n">
        <x:v>4</x:v>
      </x:c>
      <x:c r="F10" s="33" t="n">
        <x:v>3</x:v>
      </x:c>
      <x:c r="G10" s="33" t="n">
        <x:v>4608</x:v>
      </x:c>
      <x:c r="H10" s="33" t="str">
        <x:v>TP</x:v>
      </x:c>
      <x:c r="I10" s="33" t="n">
        <x:f>'Decode'!$P$12</x:f>
        <x:v>8</x:v>
      </x:c>
      <x:c r="J10" s="34" t="n">
        <x:f>E10*F10*G10/1073741824</x:f>
        <x:v>0.0000514984130859375</x:v>
      </x:c>
      <x:c r="K10" s="34" t="n">
        <x:f>J10/I10</x:f>
        <x:v>0.0000064373016357421875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Dense MLP</x:v>
      </x:c>
      <x:c r="B11" s="30" t="str">
        <x:v>mlp.down_proj.weight</x:v>
      </x:c>
      <x:c r="C11" s="30" t="str">
        <x:v>[6144, 12288]</x:v>
      </x:c>
      <x:c r="D11" s="30" t="str">
        <x:v>FP8 E4M3</x:v>
      </x:c>
      <x:c r="E11" s="32" t="n">
        <x:v>1</x:v>
      </x:c>
      <x:c r="F11" s="33" t="n">
        <x:v>3</x:v>
      </x:c>
      <x:c r="G11" s="33" t="n">
        <x:v>75497472</x:v>
      </x:c>
      <x:c r="H11" s="33" t="str">
        <x:v>TP</x:v>
      </x:c>
      <x:c r="I11" s="33" t="n">
        <x:f>'Decode'!$P$12</x:f>
        <x:v>8</x:v>
      </x:c>
      <x:c r="J11" s="34" t="n">
        <x:f>E11*F11*G11/1073741824</x:f>
        <x:v>0.2109375</x:v>
      </x:c>
      <x:c r="K11" s="34" t="n">
        <x:f>J11/I11</x:f>
        <x:v>0.0263671875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Dense MLP</x:v>
      </x:c>
      <x:c r="B12" s="30" t="str">
        <x:v>mlp.down_proj.weight_scale</x:v>
      </x:c>
      <x:c r="C12" s="30" t="str">
        <x:v>[48, 96]</x:v>
      </x:c>
      <x:c r="D12" s="30" t="str">
        <x:v>F32</x:v>
      </x:c>
      <x:c r="E12" s="32" t="n">
        <x:v>4</x:v>
      </x:c>
      <x:c r="F12" s="33" t="n">
        <x:v>3</x:v>
      </x:c>
      <x:c r="G12" s="33" t="n">
        <x:v>4608</x:v>
      </x:c>
      <x:c r="H12" s="33" t="str">
        <x:v>TP</x:v>
      </x:c>
      <x:c r="I12" s="33" t="n">
        <x:f>'Decode'!$P$12</x:f>
        <x:v>8</x:v>
      </x:c>
      <x:c r="J12" s="34" t="n">
        <x:f>E12*F12*G12/1073741824</x:f>
        <x:v>0.0000514984130859375</x:v>
      </x:c>
      <x:c r="K12" s="34" t="n">
        <x:f>J12/I12</x:f>
        <x:v>0.0000064373016357421875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MoE Router</x:v>
      </x:c>
      <x:c r="B13" s="30" t="str">
        <x:v>mlp.gate.weight</x:v>
      </x:c>
      <x:c r="C13" s="30" t="str">
        <x:v>[256, 6144]</x:v>
      </x:c>
      <x:c r="D13" s="30" t="str">
        <x:v>BF16</x:v>
      </x:c>
      <x:c r="E13" s="32" t="n">
        <x:v>2</x:v>
      </x:c>
      <x:c r="F13" s="33" t="n">
        <x:v>76</x:v>
      </x:c>
      <x:c r="G13" s="33" t="n">
        <x:v>1572864</x:v>
      </x:c>
      <x:c r="H13" s="33" t="str">
        <x:v>Replicated</x:v>
      </x:c>
      <x:c r="I13" s="33" t="n">
        <x:f>1</x:f>
        <x:v>1</x:v>
      </x:c>
      <x:c r="J13" s="34" t="n">
        <x:f>E13*F13*G13/1073741824</x:f>
        <x:v>0.22265625</x:v>
      </x:c>
      <x:c r="K13" s="34" t="n">
        <x:f>J13/I13</x:f>
        <x:v>0.22265625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MoE Router</x:v>
      </x:c>
      <x:c r="B14" s="30" t="str">
        <x:v>mlp.gate.e_score_correction_bias</x:v>
      </x:c>
      <x:c r="C14" s="30" t="str">
        <x:v>[256]</x:v>
      </x:c>
      <x:c r="D14" s="30" t="str">
        <x:v>F32</x:v>
      </x:c>
      <x:c r="E14" s="32" t="n">
        <x:v>4</x:v>
      </x:c>
      <x:c r="F14" s="33" t="n">
        <x:v>76</x:v>
      </x:c>
      <x:c r="G14" s="33" t="n">
        <x:v>256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0.000072479248046875</x:v>
      </x:c>
      <x:c r="K14" s="34" t="n">
        <x:f>J14/I14</x:f>
        <x:v>0.000072479248046875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Routed Experts</x:v>
      </x:c>
      <x:c r="B15" s="30" t="str">
        <x:v>mlp.experts.gate_proj.weight</x:v>
      </x:c>
      <x:c r="C15" s="30" t="str">
        <x:v>[2048, 6144]</x:v>
      </x:c>
      <x:c r="D15" s="30" t="str">
        <x:v>FP8 E4M3</x:v>
      </x:c>
      <x:c r="E15" s="32" t="n">
        <x:v>1</x:v>
      </x:c>
      <x:c r="F15" s="33" t="n">
        <x:v>19456</x:v>
      </x:c>
      <x:c r="G15" s="33" t="n">
        <x:v>12582912</x:v>
      </x:c>
      <x:c r="H15" s="33" t="str">
        <x:v>EP</x:v>
      </x:c>
      <x:c r="I15" s="33" t="n">
        <x:f>'Decode'!$P$14</x:f>
        <x:v>8</x:v>
      </x:c>
      <x:c r="J15" s="34" t="n">
        <x:f>E15*F15*G15/1073741824</x:f>
        <x:v>228</x:v>
      </x:c>
      <x:c r="K15" s="34" t="n">
        <x:f>J15/I15</x:f>
        <x:v>28.5</x:v>
      </x:c>
      <x:c r="L15" s="30"/>
      <x:c r="M15" s="30"/>
      <x:c r="N15" s="30"/>
      <x:c r="O15" s="35"/>
      <x:c r="P15" s="35"/>
    </x:row>
    <x:row r="16">
      <x:c r="A16" s="30" t="str">
        <x:v>Routed Experts</x:v>
      </x:c>
      <x:c r="B16" s="30" t="str">
        <x:v>mlp.experts.gate_proj.weight_scale</x:v>
      </x:c>
      <x:c r="C16" s="30" t="str">
        <x:v>[16, 48]</x:v>
      </x:c>
      <x:c r="D16" s="30" t="str">
        <x:v>F32</x:v>
      </x:c>
      <x:c r="E16" s="32" t="n">
        <x:v>4</x:v>
      </x:c>
      <x:c r="F16" s="33" t="n">
        <x:v>19456</x:v>
      </x:c>
      <x:c r="G16" s="33" t="n">
        <x:v>768</x:v>
      </x:c>
      <x:c r="H16" s="33" t="str">
        <x:v>EP</x:v>
      </x:c>
      <x:c r="I16" s="33" t="n">
        <x:f>'Decode'!$P$14</x:f>
        <x:v>8</x:v>
      </x:c>
      <x:c r="J16" s="34" t="n">
        <x:f>E16*F16*G16/1073741824</x:f>
        <x:v>0.0556640625</x:v>
      </x:c>
      <x:c r="K16" s="34" t="n">
        <x:f>J16/I16</x:f>
        <x:v>0.0069580078125</x:v>
      </x:c>
      <x:c r="L16" s="30"/>
      <x:c r="M16" s="30"/>
      <x:c r="N16" s="30"/>
      <x:c r="O16" s="35"/>
      <x:c r="P16" s="35"/>
    </x:row>
    <x:row r="17">
      <x:c r="A17" s="30" t="str">
        <x:v>Routed Experts</x:v>
      </x:c>
      <x:c r="B17" s="30" t="str">
        <x:v>mlp.experts.up_proj.weight</x:v>
      </x:c>
      <x:c r="C17" s="30" t="str">
        <x:v>[2048, 6144]</x:v>
      </x:c>
      <x:c r="D17" s="30" t="str">
        <x:v>FP8 E4M3</x:v>
      </x:c>
      <x:c r="E17" s="32" t="n">
        <x:v>1</x:v>
      </x:c>
      <x:c r="F17" s="33" t="n">
        <x:v>19456</x:v>
      </x:c>
      <x:c r="G17" s="33" t="n">
        <x:v>12582912</x:v>
      </x:c>
      <x:c r="H17" s="33" t="str">
        <x:v>EP</x:v>
      </x:c>
      <x:c r="I17" s="33" t="n">
        <x:f>'Decode'!$P$14</x:f>
        <x:v>8</x:v>
      </x:c>
      <x:c r="J17" s="34" t="n">
        <x:f>E17*F17*G17/1073741824</x:f>
        <x:v>228</x:v>
      </x:c>
      <x:c r="K17" s="34" t="n">
        <x:f>J17/I17</x:f>
        <x:v>28.5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Routed Experts</x:v>
      </x:c>
      <x:c r="B18" s="30" t="str">
        <x:v>mlp.experts.up_proj.weight_scale</x:v>
      </x:c>
      <x:c r="C18" s="30" t="str">
        <x:v>[16, 48]</x:v>
      </x:c>
      <x:c r="D18" s="30" t="str">
        <x:v>F32</x:v>
      </x:c>
      <x:c r="E18" s="32" t="n">
        <x:v>4</x:v>
      </x:c>
      <x:c r="F18" s="33" t="n">
        <x:v>19456</x:v>
      </x:c>
      <x:c r="G18" s="33" t="n">
        <x:v>768</x:v>
      </x:c>
      <x:c r="H18" s="33" t="str">
        <x:v>EP</x:v>
      </x:c>
      <x:c r="I18" s="33" t="n">
        <x:f>'Decode'!$P$14</x:f>
        <x:v>8</x:v>
      </x:c>
      <x:c r="J18" s="34" t="n">
        <x:f>E18*F18*G18/1073741824</x:f>
        <x:v>0.0556640625</x:v>
      </x:c>
      <x:c r="K18" s="34" t="n">
        <x:f>J18/I18</x:f>
        <x:v>0.0069580078125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Routed Experts</x:v>
      </x:c>
      <x:c r="B19" s="30" t="str">
        <x:v>mlp.experts.down_proj.weight</x:v>
      </x:c>
      <x:c r="C19" s="30" t="str">
        <x:v>[6144, 2048]</x:v>
      </x:c>
      <x:c r="D19" s="30" t="str">
        <x:v>FP8 E4M3</x:v>
      </x:c>
      <x:c r="E19" s="32" t="n">
        <x:v>1</x:v>
      </x:c>
      <x:c r="F19" s="33" t="n">
        <x:v>19456</x:v>
      </x:c>
      <x:c r="G19" s="33" t="n">
        <x:v>12582912</x:v>
      </x:c>
      <x:c r="H19" s="33" t="str">
        <x:v>EP</x:v>
      </x:c>
      <x:c r="I19" s="33" t="n">
        <x:f>'Decode'!$P$14</x:f>
        <x:v>8</x:v>
      </x:c>
      <x:c r="J19" s="34" t="n">
        <x:f>E19*F19*G19/1073741824</x:f>
        <x:v>228</x:v>
      </x:c>
      <x:c r="K19" s="34" t="n">
        <x:f>J19/I19</x:f>
        <x:v>28.5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Routed Experts</x:v>
      </x:c>
      <x:c r="B20" s="30" t="str">
        <x:v>mlp.experts.down_proj.weight_scale</x:v>
      </x:c>
      <x:c r="C20" s="30" t="str">
        <x:v>[48, 16]</x:v>
      </x:c>
      <x:c r="D20" s="30" t="str">
        <x:v>F32</x:v>
      </x:c>
      <x:c r="E20" s="32" t="n">
        <x:v>4</x:v>
      </x:c>
      <x:c r="F20" s="33" t="n">
        <x:v>19456</x:v>
      </x:c>
      <x:c r="G20" s="33" t="n">
        <x:v>768</x:v>
      </x:c>
      <x:c r="H20" s="33" t="str">
        <x:v>EP</x:v>
      </x:c>
      <x:c r="I20" s="33" t="n">
        <x:f>'Decode'!$P$14</x:f>
        <x:v>8</x:v>
      </x:c>
      <x:c r="J20" s="34" t="n">
        <x:f>E20*F20*G20/1073741824</x:f>
        <x:v>0.0556640625</x:v>
      </x:c>
      <x:c r="K20" s="34" t="n">
        <x:f>J20/I20</x:f>
        <x:v>0.0069580078125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Shared Experts</x:v>
      </x:c>
      <x:c r="B21" s="30" t="str">
        <x:v>mlp.shared_experts.gate_proj.weight</x:v>
      </x:c>
      <x:c r="C21" s="30" t="str">
        <x:v>[2048, 6144]</x:v>
      </x:c>
      <x:c r="D21" s="30" t="str">
        <x:v>FP8 E4M3</x:v>
      </x:c>
      <x:c r="E21" s="32" t="n">
        <x:v>1</x:v>
      </x:c>
      <x:c r="F21" s="33" t="n">
        <x:v>76</x:v>
      </x:c>
      <x:c r="G21" s="33" t="n">
        <x:v>12582912</x:v>
      </x:c>
      <x:c r="H21" s="33" t="str">
        <x:v>共享专家 TP/DP</x:v>
      </x:c>
      <x:c r="I21" s="33" t="n">
        <x:f>IF('Decode'!$P$17="TP",'Decode'!$P$18,1)</x:f>
        <x:v>8</x:v>
      </x:c>
      <x:c r="J21" s="34" t="n">
        <x:f>E21*F21*G21/1073741824</x:f>
        <x:v>0.890625</x:v>
      </x:c>
      <x:c r="K21" s="34" t="n">
        <x:f>J21/I21</x:f>
        <x:v>0.111328125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Shared Experts</x:v>
      </x:c>
      <x:c r="B22" s="30" t="str">
        <x:v>mlp.shared_experts.gate_proj.weight_scale</x:v>
      </x:c>
      <x:c r="C22" s="30" t="str">
        <x:v>[16, 48]</x:v>
      </x:c>
      <x:c r="D22" s="30" t="str">
        <x:v>F32</x:v>
      </x:c>
      <x:c r="E22" s="32" t="n">
        <x:v>4</x:v>
      </x:c>
      <x:c r="F22" s="33" t="n">
        <x:v>76</x:v>
      </x:c>
      <x:c r="G22" s="33" t="n">
        <x:v>768</x:v>
      </x:c>
      <x:c r="H22" s="33" t="str">
        <x:v>共享专家 TP/DP</x:v>
      </x:c>
      <x:c r="I22" s="33" t="n">
        <x:f>IF('Decode'!$P$17="TP",'Decode'!$P$18,1)</x:f>
        <x:v>8</x:v>
      </x:c>
      <x:c r="J22" s="34" t="n">
        <x:f>E22*F22*G22/1073741824</x:f>
        <x:v>0.000217437744140625</x:v>
      </x:c>
      <x:c r="K22" s="34" t="n">
        <x:f>J22/I22</x:f>
        <x:v>0.000027179718017578125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Shared Experts</x:v>
      </x:c>
      <x:c r="B23" s="30" t="str">
        <x:v>mlp.shared_experts.up_proj.weight</x:v>
      </x:c>
      <x:c r="C23" s="30" t="str">
        <x:v>[2048, 6144]</x:v>
      </x:c>
      <x:c r="D23" s="30" t="str">
        <x:v>FP8 E4M3</x:v>
      </x:c>
      <x:c r="E23" s="32" t="n">
        <x:v>1</x:v>
      </x:c>
      <x:c r="F23" s="33" t="n">
        <x:v>76</x:v>
      </x:c>
      <x:c r="G23" s="33" t="n">
        <x:v>12582912</x:v>
      </x:c>
      <x:c r="H23" s="33" t="str">
        <x:v>共享专家 TP/DP</x:v>
      </x:c>
      <x:c r="I23" s="33" t="n">
        <x:f>IF('Decode'!$P$17="TP",'Decode'!$P$18,1)</x:f>
        <x:v>8</x:v>
      </x:c>
      <x:c r="J23" s="34" t="n">
        <x:f>E23*F23*G23/1073741824</x:f>
        <x:v>0.890625</x:v>
      </x:c>
      <x:c r="K23" s="34" t="n">
        <x:f>J23/I23</x:f>
        <x:v>0.111328125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Shared Experts</x:v>
      </x:c>
      <x:c r="B24" s="30" t="str">
        <x:v>mlp.shared_experts.up_proj.weight_scale</x:v>
      </x:c>
      <x:c r="C24" s="30" t="str">
        <x:v>[16, 48]</x:v>
      </x:c>
      <x:c r="D24" s="30" t="str">
        <x:v>F32</x:v>
      </x:c>
      <x:c r="E24" s="32" t="n">
        <x:v>4</x:v>
      </x:c>
      <x:c r="F24" s="33" t="n">
        <x:v>76</x:v>
      </x:c>
      <x:c r="G24" s="33" t="n">
        <x:v>768</x:v>
      </x:c>
      <x:c r="H24" s="33" t="str">
        <x:v>共享专家 TP/DP</x:v>
      </x:c>
      <x:c r="I24" s="33" t="n">
        <x:f>IF('Decode'!$P$17="TP",'Decode'!$P$18,1)</x:f>
        <x:v>8</x:v>
      </x:c>
      <x:c r="J24" s="34" t="n">
        <x:f>E24*F24*G24/1073741824</x:f>
        <x:v>0.000217437744140625</x:v>
      </x:c>
      <x:c r="K24" s="34" t="n">
        <x:f>J24/I24</x:f>
        <x:v>0.000027179718017578125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Shared Experts</x:v>
      </x:c>
      <x:c r="B25" s="30" t="str">
        <x:v>mlp.shared_experts.down_proj.weight</x:v>
      </x:c>
      <x:c r="C25" s="30" t="str">
        <x:v>[6144, 2048]</x:v>
      </x:c>
      <x:c r="D25" s="30" t="str">
        <x:v>FP8 E4M3</x:v>
      </x:c>
      <x:c r="E25" s="32" t="n">
        <x:v>1</x:v>
      </x:c>
      <x:c r="F25" s="33" t="n">
        <x:v>76</x:v>
      </x:c>
      <x:c r="G25" s="33" t="n">
        <x:v>12582912</x:v>
      </x:c>
      <x:c r="H25" s="33" t="str">
        <x:v>共享专家 TP/DP</x:v>
      </x:c>
      <x:c r="I25" s="33" t="n">
        <x:f>IF('Decode'!$P$17="TP",'Decode'!$P$18,1)</x:f>
        <x:v>8</x:v>
      </x:c>
      <x:c r="J25" s="34" t="n">
        <x:f>E25*F25*G25/1073741824</x:f>
        <x:v>0.890625</x:v>
      </x:c>
      <x:c r="K25" s="34" t="n">
        <x:f>J25/I25</x:f>
        <x:v>0.111328125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Shared Experts</x:v>
      </x:c>
      <x:c r="B26" s="30" t="str">
        <x:v>mlp.shared_experts.down_proj.weight_scale</x:v>
      </x:c>
      <x:c r="C26" s="30" t="str">
        <x:v>[48, 16]</x:v>
      </x:c>
      <x:c r="D26" s="30" t="str">
        <x:v>F32</x:v>
      </x:c>
      <x:c r="E26" s="32" t="n">
        <x:v>4</x:v>
      </x:c>
      <x:c r="F26" s="33" t="n">
        <x:v>76</x:v>
      </x:c>
      <x:c r="G26" s="33" t="n">
        <x:v>768</x:v>
      </x:c>
      <x:c r="H26" s="33" t="str">
        <x:v>共享专家 TP/DP</x:v>
      </x:c>
      <x:c r="I26" s="33" t="n">
        <x:f>IF('Decode'!$P$17="TP",'Decode'!$P$18,1)</x:f>
        <x:v>8</x:v>
      </x:c>
      <x:c r="J26" s="34" t="n">
        <x:f>E26*F26*G26/1073741824</x:f>
        <x:v>0.000217437744140625</x:v>
      </x:c>
      <x:c r="K26" s="34" t="n">
        <x:f>J26/I26</x:f>
        <x:v>0.000027179718017578125</x:v>
      </x:c>
      <x:c r="L26" s="30"/>
      <x:c r="M26" s="30"/>
      <x:c r="N26" s="30"/>
      <x:c r="O26" s="30"/>
      <x:c r="P26" s="30"/>
    </x:row>
    <x:row r="27">
      <x:c r="A27" s="30" t="str">
        <x:v>MLA</x:v>
      </x:c>
      <x:c r="B27" s="30" t="str">
        <x:v>q_a_proj.weight</x:v>
      </x:c>
      <x:c r="C27" s="30" t="str">
        <x:v>[2048, 6144]</x:v>
      </x:c>
      <x:c r="D27" s="30" t="str">
        <x:v>FP8 E4M3</x:v>
      </x:c>
      <x:c r="E27" s="32" t="n">
        <x:v>1</x:v>
      </x:c>
      <x:c r="F27" s="33" t="n">
        <x:v>79</x:v>
      </x:c>
      <x:c r="G27" s="33" t="n">
        <x:v>12582912</x:v>
      </x:c>
      <x:c r="H27" s="33" t="str">
        <x:v>Replicated</x:v>
      </x:c>
      <x:c r="I27" s="33" t="n">
        <x:f>1</x:f>
        <x:v>1</x:v>
      </x:c>
      <x:c r="J27" s="34" t="n">
        <x:f>E27*F27*G27/1073741824</x:f>
        <x:v>0.92578125</x:v>
      </x:c>
      <x:c r="K27" s="34" t="n">
        <x:f>J27/I27</x:f>
        <x:v>0.92578125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MLA</x:v>
      </x:c>
      <x:c r="B28" s="30" t="str">
        <x:v>q_a_proj.weight_scale</x:v>
      </x:c>
      <x:c r="C28" s="30" t="str">
        <x:v>[16, 48]</x:v>
      </x:c>
      <x:c r="D28" s="30" t="str">
        <x:v>F32</x:v>
      </x:c>
      <x:c r="E28" s="32" t="n">
        <x:v>4</x:v>
      </x:c>
      <x:c r="F28" s="33" t="n">
        <x:v>79</x:v>
      </x:c>
      <x:c r="G28" s="33" t="n">
        <x:v>768</x:v>
      </x:c>
      <x:c r="H28" s="33" t="str">
        <x:v>Replicated</x:v>
      </x:c>
      <x:c r="I28" s="33" t="n">
        <x:f>1</x:f>
        <x:v>1</x:v>
      </x:c>
      <x:c r="J28" s="34" t="n">
        <x:f>E28*F28*G28/1073741824</x:f>
        <x:v>0.00022602081298828125</x:v>
      </x:c>
      <x:c r="K28" s="34" t="n">
        <x:f>J28/I28</x:f>
        <x:v>0.00022602081298828125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MLA</x:v>
      </x:c>
      <x:c r="B29" s="30" t="str">
        <x:v>q_a_layernorm.weight</x:v>
      </x:c>
      <x:c r="C29" s="30" t="str">
        <x:v>[2048]</x:v>
      </x:c>
      <x:c r="D29" s="30" t="str">
        <x:v>BF16</x:v>
      </x:c>
      <x:c r="E29" s="32" t="n">
        <x:v>2</x:v>
      </x:c>
      <x:c r="F29" s="33" t="n">
        <x:v>79</x:v>
      </x:c>
      <x:c r="G29" s="33" t="n">
        <x:v>2048</x:v>
      </x:c>
      <x:c r="H29" s="33" t="str">
        <x:v>Replicated</x:v>
      </x:c>
      <x:c r="I29" s="33" t="n">
        <x:f>1</x:f>
        <x:v>1</x:v>
      </x:c>
      <x:c r="J29" s="34" t="n">
        <x:f>E29*F29*G29/1073741824</x:f>
        <x:v>0.000301361083984375</x:v>
      </x:c>
      <x:c r="K29" s="34" t="n">
        <x:f>J29/I29</x:f>
        <x:v>0.000301361083984375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MLA</x:v>
      </x:c>
      <x:c r="B30" s="30" t="str">
        <x:v>q_b_proj.weight</x:v>
      </x:c>
      <x:c r="C30" s="30" t="str">
        <x:v>[16384, 2048]</x:v>
      </x:c>
      <x:c r="D30" s="30" t="str">
        <x:v>FP8 E4M3</x:v>
      </x:c>
      <x:c r="E30" s="32" t="n">
        <x:v>1</x:v>
      </x:c>
      <x:c r="F30" s="33" t="n">
        <x:v>79</x:v>
      </x:c>
      <x:c r="G30" s="33" t="n">
        <x:v>33554432</x:v>
      </x:c>
      <x:c r="H30" s="33" t="str">
        <x:v>DSA CP / TP</x:v>
      </x:c>
      <x:c r="I30" s="33" t="n">
        <x:f>IF('Decode'!$P$25&lt;&gt;0,1,'Decode'!$P$12)</x:f>
        <x:v>1</x:v>
      </x:c>
      <x:c r="J30" s="34" t="n">
        <x:f>E30*F30*G30/1073741824</x:f>
        <x:v>2.46875</x:v>
      </x:c>
      <x:c r="K30" s="34" t="n">
        <x:f>J30/I30</x:f>
        <x:v>2.46875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MLA</x:v>
      </x:c>
      <x:c r="B31" s="30" t="str">
        <x:v>q_b_proj.weight_scale</x:v>
      </x:c>
      <x:c r="C31" s="30" t="str">
        <x:v>[128, 16]</x:v>
      </x:c>
      <x:c r="D31" s="30" t="str">
        <x:v>F32</x:v>
      </x:c>
      <x:c r="E31" s="32" t="n">
        <x:v>4</x:v>
      </x:c>
      <x:c r="F31" s="33" t="n">
        <x:v>79</x:v>
      </x:c>
      <x:c r="G31" s="33" t="n">
        <x:v>2048</x:v>
      </x:c>
      <x:c r="H31" s="33" t="str">
        <x:v>DSA CP / TP</x:v>
      </x:c>
      <x:c r="I31" s="33" t="n">
        <x:f>IF('Decode'!$P$25&lt;&gt;0,1,'Decode'!$P$12)</x:f>
        <x:v>1</x:v>
      </x:c>
      <x:c r="J31" s="34" t="n">
        <x:f>E31*F31*G31/1073741824</x:f>
        <x:v>0.00060272216796875</x:v>
      </x:c>
      <x:c r="K31" s="34" t="n">
        <x:f>J31/I31</x:f>
        <x:v>0.00060272216796875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MLA</x:v>
      </x:c>
      <x:c r="B32" s="30" t="str">
        <x:v>kv_a_proj_with_mqa.weight</x:v>
      </x:c>
      <x:c r="C32" s="30" t="str">
        <x:v>[576, 6144]</x:v>
      </x:c>
      <x:c r="D32" s="30" t="str">
        <x:v>FP8 E4M3</x:v>
      </x:c>
      <x:c r="E32" s="32" t="n">
        <x:v>1</x:v>
      </x:c>
      <x:c r="F32" s="33" t="n">
        <x:v>79</x:v>
      </x:c>
      <x:c r="G32" s="33" t="n">
        <x:v>3538944</x:v>
      </x:c>
      <x:c r="H32" s="33" t="str">
        <x:v>Replicated</x:v>
      </x:c>
      <x:c r="I32" s="33" t="n">
        <x:f>1</x:f>
        <x:v>1</x:v>
      </x:c>
      <x:c r="J32" s="34" t="n">
        <x:f>E32*F32*G32/1073741824</x:f>
        <x:v>0.2603759765625</x:v>
      </x:c>
      <x:c r="K32" s="34" t="n">
        <x:f>J32/I32</x:f>
        <x:v>0.2603759765625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MLA</x:v>
      </x:c>
      <x:c r="B33" s="30" t="str">
        <x:v>kv_a_proj_with_mqa.weight_scale</x:v>
      </x:c>
      <x:c r="C33" s="30" t="str">
        <x:v>[5, 48]</x:v>
      </x:c>
      <x:c r="D33" s="30" t="str">
        <x:v>F32</x:v>
      </x:c>
      <x:c r="E33" s="32" t="n">
        <x:v>4</x:v>
      </x:c>
      <x:c r="F33" s="33" t="n">
        <x:v>79</x:v>
      </x:c>
      <x:c r="G33" s="33" t="n">
        <x:v>240</x:v>
      </x:c>
      <x:c r="H33" s="33" t="str">
        <x:v>Replicated</x:v>
      </x:c>
      <x:c r="I33" s="33" t="n">
        <x:f>1</x:f>
        <x:v>1</x:v>
      </x:c>
      <x:c r="J33" s="34" t="n">
        <x:f>E33*F33*G33/1073741824</x:f>
        <x:v>0.00007063150405883789</x:v>
      </x:c>
      <x:c r="K33" s="34" t="n">
        <x:f>J33/I33</x:f>
        <x:v>0.00007063150405883789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MLA</x:v>
      </x:c>
      <x:c r="B34" s="30" t="str">
        <x:v>kv_a_layernorm.weight</x:v>
      </x:c>
      <x:c r="C34" s="30" t="str">
        <x:v>[512]</x:v>
      </x:c>
      <x:c r="D34" s="30" t="str">
        <x:v>BF16</x:v>
      </x:c>
      <x:c r="E34" s="32" t="n">
        <x:v>2</x:v>
      </x:c>
      <x:c r="F34" s="33" t="n">
        <x:v>79</x:v>
      </x:c>
      <x:c r="G34" s="33" t="n">
        <x:v>512</x:v>
      </x:c>
      <x:c r="H34" s="33" t="str">
        <x:v>Replicated</x:v>
      </x:c>
      <x:c r="I34" s="33" t="n">
        <x:f>1</x:f>
        <x:v>1</x:v>
      </x:c>
      <x:c r="J34" s="34" t="n">
        <x:f>E34*F34*G34/1073741824</x:f>
        <x:v>0.00007534027099609375</x:v>
      </x:c>
      <x:c r="K34" s="34" t="n">
        <x:f>J34/I34</x:f>
        <x:v>0.00007534027099609375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MLA</x:v>
      </x:c>
      <x:c r="B35" s="30" t="str">
        <x:v>kv_b_proj.weight</x:v>
      </x:c>
      <x:c r="C35" s="30" t="str">
        <x:v>[28672, 512]</x:v>
      </x:c>
      <x:c r="D35" s="30" t="str">
        <x:v>FP8 E4M3</x:v>
      </x:c>
      <x:c r="E35" s="32" t="n">
        <x:v>1</x:v>
      </x:c>
      <x:c r="F35" s="33" t="n">
        <x:v>79</x:v>
      </x:c>
      <x:c r="G35" s="33" t="n">
        <x:v>14680064</x:v>
      </x:c>
      <x:c r="H35" s="33" t="str">
        <x:v>DSA CP / TP</x:v>
      </x:c>
      <x:c r="I35" s="33" t="n">
        <x:f>IF('Decode'!$P$25&lt;&gt;0,1,'Decode'!$P$12)</x:f>
        <x:v>1</x:v>
      </x:c>
      <x:c r="J35" s="34" t="n">
        <x:f>E35*F35*G35/1073741824</x:f>
        <x:v>1.080078125</x:v>
      </x:c>
      <x:c r="K35" s="34" t="n">
        <x:f>J35/I35</x:f>
        <x:v>1.080078125</x:v>
      </x:c>
      <x:c r="L35" s="30"/>
      <x:c r="M35" s="30"/>
      <x:c r="N35" s="30"/>
      <x:c r="O35" s="30"/>
      <x:c r="P35" s="30"/>
    </x:row>
    <x:row r="36">
      <x:c r="A36" s="30" t="str">
        <x:v>MLA</x:v>
      </x:c>
      <x:c r="B36" s="30" t="str">
        <x:v>kv_b_proj.weight_scale</x:v>
      </x:c>
      <x:c r="C36" s="30" t="str">
        <x:v>[224, 4]</x:v>
      </x:c>
      <x:c r="D36" s="30" t="str">
        <x:v>F32</x:v>
      </x:c>
      <x:c r="E36" s="32" t="n">
        <x:v>4</x:v>
      </x:c>
      <x:c r="F36" s="33" t="n">
        <x:v>79</x:v>
      </x:c>
      <x:c r="G36" s="33" t="n">
        <x:v>896</x:v>
      </x:c>
      <x:c r="H36" s="33" t="str">
        <x:v>DSA CP / TP</x:v>
      </x:c>
      <x:c r="I36" s="33" t="n">
        <x:f>IF('Decode'!$P$25&lt;&gt;0,1,'Decode'!$P$12)</x:f>
        <x:v>1</x:v>
      </x:c>
      <x:c r="J36" s="34" t="n">
        <x:f>E36*F36*G36/1073741824</x:f>
        <x:v>0.0002636909484863281</x:v>
      </x:c>
      <x:c r="K36" s="34" t="n">
        <x:f>J36/I36</x:f>
        <x:v>0.0002636909484863281</x:v>
      </x:c>
      <x:c r="L36" s="30"/>
      <x:c r="M36" s="30"/>
      <x:c r="N36" s="30"/>
      <x:c r="O36" s="30"/>
      <x:c r="P36" s="30"/>
    </x:row>
    <x:row r="37">
      <x:c r="A37" s="30" t="str">
        <x:v>MLA</x:v>
      </x:c>
      <x:c r="B37" s="30" t="str">
        <x:v>o_proj.weight</x:v>
      </x:c>
      <x:c r="C37" s="30" t="str">
        <x:v>[6144, 16384]</x:v>
      </x:c>
      <x:c r="D37" s="30" t="str">
        <x:v>FP8 E4M3</x:v>
      </x:c>
      <x:c r="E37" s="32" t="n">
        <x:v>1</x:v>
      </x:c>
      <x:c r="F37" s="33" t="n">
        <x:v>79</x:v>
      </x:c>
      <x:c r="G37" s="33" t="n">
        <x:v>100663296</x:v>
      </x:c>
      <x:c r="H37" s="33" t="str">
        <x:v>O Proj TP</x:v>
      </x:c>
      <x:c r="I37" s="33" t="n">
        <x:f>IF('Decode'!$P$19&gt;0,'Decode'!$P$19,'Decode'!$P$12)</x:f>
        <x:v>8</x:v>
      </x:c>
      <x:c r="J37" s="34" t="n">
        <x:f>E37*F37*G37/1073741824</x:f>
        <x:v>7.40625</x:v>
      </x:c>
      <x:c r="K37" s="34" t="n">
        <x:f>J37/I37</x:f>
        <x:v>0.92578125</x:v>
      </x:c>
      <x:c r="L37" s="30"/>
      <x:c r="M37" s="30"/>
      <x:c r="N37" s="30"/>
      <x:c r="O37" s="30"/>
      <x:c r="P37" s="30"/>
    </x:row>
    <x:row r="38">
      <x:c r="A38" s="30" t="str">
        <x:v>MLA</x:v>
      </x:c>
      <x:c r="B38" s="30" t="str">
        <x:v>o_proj.weight_scale</x:v>
      </x:c>
      <x:c r="C38" s="30" t="str">
        <x:v>[48, 128]</x:v>
      </x:c>
      <x:c r="D38" s="30" t="str">
        <x:v>F32</x:v>
      </x:c>
      <x:c r="E38" s="32" t="n">
        <x:v>4</x:v>
      </x:c>
      <x:c r="F38" s="33" t="n">
        <x:v>79</x:v>
      </x:c>
      <x:c r="G38" s="33" t="n">
        <x:v>6144</x:v>
      </x:c>
      <x:c r="H38" s="33" t="str">
        <x:v>O Proj TP</x:v>
      </x:c>
      <x:c r="I38" s="33" t="n">
        <x:f>IF('Decode'!$P$19&gt;0,'Decode'!$P$19,'Decode'!$P$12)</x:f>
        <x:v>8</x:v>
      </x:c>
      <x:c r="J38" s="34" t="n">
        <x:f>E38*F38*G38/1073741824</x:f>
        <x:v>0.00180816650390625</x:v>
      </x:c>
      <x:c r="K38" s="34" t="n">
        <x:f>J38/I38</x:f>
        <x:v>0.00022602081298828125</x:v>
      </x:c>
      <x:c r="L38" s="30"/>
      <x:c r="M38" s="30"/>
      <x:c r="N38" s="30"/>
      <x:c r="O38" s="30"/>
      <x:c r="P38" s="30"/>
    </x:row>
    <x:row r="39">
      <x:c r="A39" s="30" t="str">
        <x:v>Indexer</x:v>
      </x:c>
      <x:c r="B39" s="30" t="str">
        <x:v>indexer.k_norm.weight</x:v>
      </x:c>
      <x:c r="C39" s="30" t="str">
        <x:v>[128]</x:v>
      </x:c>
      <x:c r="D39" s="30" t="str">
        <x:v>BF16</x:v>
      </x:c>
      <x:c r="E39" s="32" t="n">
        <x:v>2</x:v>
      </x:c>
      <x:c r="F39" s="33" t="n">
        <x:v>22</x:v>
      </x:c>
      <x:c r="G39" s="33" t="n">
        <x:v>128</x:v>
      </x:c>
      <x:c r="H39" s="33" t="str">
        <x:v>Replicated</x:v>
      </x:c>
      <x:c r="I39" s="33" t="n">
        <x:f>1</x:f>
        <x:v>1</x:v>
      </x:c>
      <x:c r="J39" s="34" t="n">
        <x:f>E39*F39*G39/1073741824</x:f>
        <x:v>0.000005245208740234375</x:v>
      </x:c>
      <x:c r="K39" s="34" t="n">
        <x:f>J39/I39</x:f>
        <x:v>0.000005245208740234375</x:v>
      </x:c>
      <x:c r="L39" s="30"/>
      <x:c r="M39" s="30"/>
      <x:c r="N39" s="30"/>
      <x:c r="O39" s="30"/>
      <x:c r="P39" s="30"/>
    </x:row>
    <x:row r="40">
      <x:c r="A40" s="30" t="str">
        <x:v>Indexer</x:v>
      </x:c>
      <x:c r="B40" s="30" t="str">
        <x:v>indexer.k_norm.bias</x:v>
      </x:c>
      <x:c r="C40" s="30" t="str">
        <x:v>[128]</x:v>
      </x:c>
      <x:c r="D40" s="30" t="str">
        <x:v>BF16</x:v>
      </x:c>
      <x:c r="E40" s="32" t="n">
        <x:v>2</x:v>
      </x:c>
      <x:c r="F40" s="33" t="n">
        <x:v>22</x:v>
      </x:c>
      <x:c r="G40" s="33" t="n">
        <x:v>128</x:v>
      </x:c>
      <x:c r="H40" s="33" t="str">
        <x:v>Replicated</x:v>
      </x:c>
      <x:c r="I40" s="33" t="n">
        <x:f>1</x:f>
        <x:v>1</x:v>
      </x:c>
      <x:c r="J40" s="34" t="n">
        <x:f>E40*F40*G40/1073741824</x:f>
        <x:v>0.000005245208740234375</x:v>
      </x:c>
      <x:c r="K40" s="34" t="n">
        <x:f>J40/I40</x:f>
        <x:v>0.000005245208740234375</x:v>
      </x:c>
      <x:c r="L40" s="30"/>
      <x:c r="M40" s="30"/>
      <x:c r="N40" s="30"/>
      <x:c r="O40" s="30"/>
      <x:c r="P40" s="30"/>
    </x:row>
    <x:row r="41">
      <x:c r="A41" s="30" t="str">
        <x:v>Indexer</x:v>
      </x:c>
      <x:c r="B41" s="30" t="str">
        <x:v>indexer.wk.weight</x:v>
      </x:c>
      <x:c r="C41" s="30" t="str">
        <x:v>[128, 6144]</x:v>
      </x:c>
      <x:c r="D41" s="30" t="str">
        <x:v>FP8 E4M3</x:v>
      </x:c>
      <x:c r="E41" s="32" t="n">
        <x:v>1</x:v>
      </x:c>
      <x:c r="F41" s="33" t="n">
        <x:v>22</x:v>
      </x:c>
      <x:c r="G41" s="33" t="n">
        <x:v>786432</x:v>
      </x:c>
      <x:c r="H41" s="33" t="str">
        <x:v>Replicated</x:v>
      </x:c>
      <x:c r="I41" s="33" t="n">
        <x:f>1</x:f>
        <x:v>1</x:v>
      </x:c>
      <x:c r="J41" s="34" t="n">
        <x:f>E41*F41*G41/1073741824</x:f>
        <x:v>0.01611328125</x:v>
      </x:c>
      <x:c r="K41" s="34" t="n">
        <x:f>J41/I41</x:f>
        <x:v>0.01611328125</x:v>
      </x:c>
      <x:c r="L41" s="30"/>
      <x:c r="M41" s="30"/>
      <x:c r="N41" s="30"/>
      <x:c r="O41" s="30"/>
      <x:c r="P41" s="30"/>
    </x:row>
    <x:row r="42">
      <x:c r="A42" s="30" t="str">
        <x:v>Indexer</x:v>
      </x:c>
      <x:c r="B42" s="30" t="str">
        <x:v>indexer.wk.weight_scale</x:v>
      </x:c>
      <x:c r="C42" s="30" t="str">
        <x:v>[1, 48]</x:v>
      </x:c>
      <x:c r="D42" s="30" t="str">
        <x:v>F32</x:v>
      </x:c>
      <x:c r="E42" s="32" t="n">
        <x:v>4</x:v>
      </x:c>
      <x:c r="F42" s="33" t="n">
        <x:v>22</x:v>
      </x:c>
      <x:c r="G42" s="33" t="n">
        <x:v>48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0.000003933906555175781</x:v>
      </x:c>
      <x:c r="K42" s="34" t="n">
        <x:f>J42/I42</x:f>
        <x:v>0.000003933906555175781</x:v>
      </x:c>
      <x:c r="L42" s="30"/>
      <x:c r="M42" s="30"/>
      <x:c r="N42" s="30"/>
      <x:c r="O42" s="30"/>
      <x:c r="P42" s="30"/>
    </x:row>
    <x:row r="43">
      <x:c r="A43" s="30" t="str">
        <x:v>Indexer</x:v>
      </x:c>
      <x:c r="B43" s="30" t="str">
        <x:v>indexer.wq_b.weight</x:v>
      </x:c>
      <x:c r="C43" s="30" t="str">
        <x:v>[4096, 2048]</x:v>
      </x:c>
      <x:c r="D43" s="30" t="str">
        <x:v>FP8 E4M3</x:v>
      </x:c>
      <x:c r="E43" s="32" t="n">
        <x:v>1</x:v>
      </x:c>
      <x:c r="F43" s="33" t="n">
        <x:v>22</x:v>
      </x:c>
      <x:c r="G43" s="33" t="n">
        <x:v>8388608</x:v>
      </x:c>
      <x:c r="H43" s="33" t="str">
        <x:v>Replicated</x:v>
      </x:c>
      <x:c r="I43" s="33" t="n">
        <x:f>1</x:f>
        <x:v>1</x:v>
      </x:c>
      <x:c r="J43" s="34" t="n">
        <x:f>E43*F43*G43/1073741824</x:f>
        <x:v>0.171875</x:v>
      </x:c>
      <x:c r="K43" s="34" t="n">
        <x:f>J43/I43</x:f>
        <x:v>0.171875</x:v>
      </x:c>
      <x:c r="L43" s="30"/>
      <x:c r="M43" s="30"/>
      <x:c r="N43" s="30"/>
      <x:c r="O43" s="30"/>
      <x:c r="P43" s="30"/>
    </x:row>
    <x:row r="44">
      <x:c r="A44" s="30" t="str">
        <x:v>Indexer</x:v>
      </x:c>
      <x:c r="B44" s="30" t="str">
        <x:v>indexer.wq_b.weight_scale</x:v>
      </x:c>
      <x:c r="C44" s="30" t="str">
        <x:v>[32, 16]</x:v>
      </x:c>
      <x:c r="D44" s="30" t="str">
        <x:v>F32</x:v>
      </x:c>
      <x:c r="E44" s="32" t="n">
        <x:v>4</x:v>
      </x:c>
      <x:c r="F44" s="33" t="n">
        <x:v>22</x:v>
      </x:c>
      <x:c r="G44" s="33" t="n">
        <x:v>512</x:v>
      </x:c>
      <x:c r="H44" s="33" t="str">
        <x:v>Replicated</x:v>
      </x:c>
      <x:c r="I44" s="33" t="n">
        <x:f>1</x:f>
        <x:v>1</x:v>
      </x:c>
      <x:c r="J44" s="34" t="n">
        <x:f>E44*F44*G44/1073741824</x:f>
        <x:v>0.000041961669921875</x:v>
      </x:c>
      <x:c r="K44" s="34" t="n">
        <x:f>J44/I44</x:f>
        <x:v>0.000041961669921875</x:v>
      </x:c>
      <x:c r="L44" s="30"/>
      <x:c r="M44" s="30"/>
      <x:c r="N44" s="30"/>
      <x:c r="O44" s="30"/>
      <x:c r="P44" s="30"/>
    </x:row>
    <x:row r="45">
      <x:c r="A45" s="30" t="str">
        <x:v>Indexer</x:v>
      </x:c>
      <x:c r="B45" s="30" t="str">
        <x:v>indexer.weights_proj.weight</x:v>
      </x:c>
      <x:c r="C45" s="30" t="str">
        <x:v>[32, 6144]</x:v>
      </x:c>
      <x:c r="D45" s="30" t="str">
        <x:v>BF16</x:v>
      </x:c>
      <x:c r="E45" s="32" t="n">
        <x:v>2</x:v>
      </x:c>
      <x:c r="F45" s="33" t="n">
        <x:v>22</x:v>
      </x:c>
      <x:c r="G45" s="33" t="n">
        <x:v>196608</x:v>
      </x:c>
      <x:c r="H45" s="33" t="str">
        <x:v>Replicated</x:v>
      </x:c>
      <x:c r="I45" s="33" t="n">
        <x:f>1</x:f>
        <x:v>1</x:v>
      </x:c>
      <x:c r="J45" s="34" t="n">
        <x:f>E45*F45*G45/1073741824</x:f>
        <x:v>0.008056640625</x:v>
      </x:c>
      <x:c r="K45" s="34" t="n">
        <x:f>J45/I45</x:f>
        <x:v>0.008056640625</x:v>
      </x:c>
      <x:c r="L45" s="30"/>
      <x:c r="M45" s="30"/>
      <x:c r="N45" s="30"/>
      <x:c r="O45" s="30"/>
      <x:c r="P45" s="30"/>
    </x:row>
    <x:row r="46">
      <x:c r="A46" s="30" t="str">
        <x:v>MTP</x:v>
      </x:c>
      <x:c r="B46" s="30" t="str">
        <x:v>eh_proj.weight</x:v>
      </x:c>
      <x:c r="C46" s="30" t="str">
        <x:v>[6144, 12288]</x:v>
      </x:c>
      <x:c r="D46" s="30" t="str">
        <x:v>BF16</x:v>
      </x:c>
      <x:c r="E46" s="32" t="n">
        <x:v>2</x:v>
      </x:c>
      <x:c r="F46" s="33" t="n">
        <x:v>1</x:v>
      </x:c>
      <x:c r="G46" s="33" t="n">
        <x:v>75497472</x:v>
      </x:c>
      <x:c r="H46" s="33" t="str">
        <x:v>Replicated</x:v>
      </x:c>
      <x:c r="I46" s="33" t="n">
        <x:f>1</x:f>
        <x:v>1</x:v>
      </x:c>
      <x:c r="J46" s="34" t="n">
        <x:f>E46*F46*G46/1073741824</x:f>
        <x:v>0.140625</x:v>
      </x:c>
      <x:c r="K46" s="34" t="n">
        <x:f>J46/I46</x:f>
        <x:v>0.140625</x:v>
      </x:c>
      <x:c r="L46" s="30"/>
      <x:c r="M46" s="30"/>
      <x:c r="N46" s="30"/>
      <x:c r="O46" s="30"/>
      <x:c r="P46" s="30"/>
    </x:row>
    <x:row r="47">
      <x:c r="A47" s="30" t="str">
        <x:v>MTP</x:v>
      </x:c>
      <x:c r="B47" s="30" t="str">
        <x:v>enorm.weight</x:v>
      </x:c>
      <x:c r="C47" s="30" t="str">
        <x:v>[6144]</x:v>
      </x:c>
      <x:c r="D47" s="30" t="str">
        <x:v>BF16</x:v>
      </x:c>
      <x:c r="E47" s="32" t="n">
        <x:v>2</x:v>
      </x:c>
      <x:c r="F47" s="33" t="n">
        <x:v>1</x:v>
      </x:c>
      <x:c r="G47" s="33" t="n">
        <x:v>6144</x:v>
      </x:c>
      <x:c r="H47" s="33" t="str">
        <x:v>Replicated</x:v>
      </x:c>
      <x:c r="I47" s="33" t="n">
        <x:f>1</x:f>
        <x:v>1</x:v>
      </x:c>
      <x:c r="J47" s="34" t="n">
        <x:f>E47*F47*G47/1073741824</x:f>
        <x:v>0.000011444091796875</x:v>
      </x:c>
      <x:c r="K47" s="34" t="n">
        <x:f>J47/I47</x:f>
        <x:v>0.000011444091796875</x:v>
      </x:c>
      <x:c r="L47" s="30"/>
      <x:c r="M47" s="30"/>
      <x:c r="N47" s="30"/>
      <x:c r="O47" s="30"/>
      <x:c r="P47" s="30"/>
    </x:row>
    <x:row r="48">
      <x:c r="A48" s="30" t="str">
        <x:v>MTP</x:v>
      </x:c>
      <x:c r="B48" s="30" t="str">
        <x:v>hnorm.weight</x:v>
      </x:c>
      <x:c r="C48" s="30" t="str">
        <x:v>[6144]</x:v>
      </x:c>
      <x:c r="D48" s="30" t="str">
        <x:v>BF16</x:v>
      </x:c>
      <x:c r="E48" s="32" t="n">
        <x:v>2</x:v>
      </x:c>
      <x:c r="F48" s="33" t="n">
        <x:v>1</x:v>
      </x:c>
      <x:c r="G48" s="33" t="n">
        <x:v>6144</x:v>
      </x:c>
      <x:c r="H48" s="33" t="str">
        <x:v>Replicated</x:v>
      </x:c>
      <x:c r="I48" s="33" t="n">
        <x:f>1</x:f>
        <x:v>1</x:v>
      </x:c>
      <x:c r="J48" s="34" t="n">
        <x:f>E48*F48*G48/1073741824</x:f>
        <x:v>0.000011444091796875</x:v>
      </x:c>
      <x:c r="K48" s="34" t="n">
        <x:f>J48/I48</x:f>
        <x:v>0.000011444091796875</x:v>
      </x:c>
      <x:c r="L48" s="30"/>
      <x:c r="M48" s="30"/>
      <x:c r="N48" s="30"/>
      <x:c r="O48" s="30"/>
      <x:c r="P48" s="30"/>
    </x:row>
    <x:row r="49">
      <x:c r="A49" s="30" t="str">
        <x:v>MTP</x:v>
      </x:c>
      <x:c r="B49" s="30" t="str">
        <x:v>shared_head.norm.weight</x:v>
      </x:c>
      <x:c r="C49" s="30" t="str">
        <x:v>[6144]</x:v>
      </x:c>
      <x:c r="D49" s="30" t="str">
        <x:v>BF16</x:v>
      </x:c>
      <x:c r="E49" s="32" t="n">
        <x:v>2</x:v>
      </x:c>
      <x:c r="F49" s="33" t="n">
        <x:v>1</x:v>
      </x:c>
      <x:c r="G49" s="33" t="n">
        <x:v>6144</x:v>
      </x:c>
      <x:c r="H49" s="33" t="str">
        <x:v>Replicated</x:v>
      </x:c>
      <x:c r="I49" s="33" t="n">
        <x:f>1</x:f>
        <x:v>1</x:v>
      </x:c>
      <x:c r="J49" s="34" t="n">
        <x:f>E49*F49*G49/1073741824</x:f>
        <x:v>0.000011444091796875</x:v>
      </x:c>
      <x:c r="K49" s="34" t="n">
        <x:f>J49/I49</x:f>
        <x:v>0.000011444091796875</x:v>
      </x:c>
      <x:c r="L49" s="30"/>
      <x:c r="M49" s="30"/>
      <x:c r="N49" s="30"/>
      <x:c r="O49" s="30"/>
      <x:c r="P49" s="30"/>
    </x:row>
    <x:row r="50">
      <x:c r="A50" s="40" t="str">
        <x:v>合计</x:v>
      </x:c>
      <x:c r="B50" s="40"/>
      <x:c r="C50" s="40"/>
      <x:c r="D50" s="40"/>
      <x:c r="E50" s="40"/>
      <x:c r="F50" s="40"/>
      <x:c r="G50" s="40"/>
      <x:c r="H50" s="40"/>
      <x:c r="I50" s="40"/>
      <x:c r="J50" s="41" t="n">
        <x:f>SUM(J2:J49)</x:f>
        <x:v>703.7233006358147</x:v>
      </x:c>
      <x:c r="K50" s="41" t="n">
        <x:f>SUM(K2:K49)</x:f>
        <x:v>92.60101741552353</x:v>
      </x:c>
      <x:c r="L50" s="30"/>
      <x:c r="M50" s="30"/>
      <x:c r="N50" s="30"/>
      <x:c r="O50" s="30"/>
      <x:c r="P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</x:row>
    <x:row r="52" ht="30" customHeight="1">
      <x:c r="A52" s="18" t="str">
        <x:v>并行策略</x:v>
      </x:c>
      <x:c r="B52" s="18" t="str">
        <x:v>模块</x:v>
      </x:c>
      <x:c r="C52" s="18" t="str">
        <x:v>通信位置</x:v>
      </x:c>
      <x:c r="D52" s="18" t="str">
        <x:v>Collective</x:v>
      </x:c>
      <x:c r="E52" s="18" t="str">
        <x:v>本 Rank 输入元素/次</x:v>
      </x:c>
      <x:c r="F52" s="18" t="str">
        <x:v>字节/元素</x:v>
      </x:c>
      <x:c r="G52" s="18" t="str">
        <x:v>通信组大小</x:v>
      </x:c>
      <x:c r="H52" s="18" t="str">
        <x:v>次数/Step</x:v>
      </x:c>
      <x:c r="I52" s="18" t="str">
        <x:v>有效负载 MiB/次</x:v>
      </x:c>
      <x:c r="J52" s="18" t="str">
        <x:v>单 Rank 发送 MiB/次</x:v>
      </x:c>
      <x:c r="K52" s="18" t="str">
        <x:v>单 Rank 发送 MiB/Step</x:v>
      </x:c>
      <x:c r="L52" s="18" t="str">
        <x:v>通信组发送 MiB/Step</x:v>
      </x:c>
      <x:c r="M52" s="30"/>
      <x:c r="N52" s="30"/>
      <x:c r="O52" s="30"/>
      <x:c r="P52" s="30"/>
    </x:row>
    <x:row r="53">
      <x:c r="A53" s="30" t="str">
        <x:v>Embedding TP</x:v>
      </x:c>
      <x:c r="B53" s="30" t="str">
        <x:v>Embedding</x:v>
      </x:c>
      <x:c r="C53" s="30" t="str">
        <x:v>标准 TP 输出</x:v>
      </x:c>
      <x:c r="D53" s="30" t="str">
        <x:v>Ring AllReduce</x:v>
      </x:c>
      <x:c r="E53" s="33" t="n">
        <x:f>'Decode'!$P$7*6144</x:f>
        <x:v>1572864</x:v>
      </x:c>
      <x:c r="F53" s="33" t="n">
        <x:f>'Decode'!$P$28</x:f>
        <x:v>2</x:v>
      </x:c>
      <x:c r="G53" s="33" t="n">
        <x:f>IF('Decode'!$P$21&gt;0,'Decode'!$P$21,'Decode'!$P$12)</x:f>
        <x:v>8</x:v>
      </x:c>
      <x:c r="H53" s="33" t="n">
        <x:f>IF(AND(IF('Decode'!$P$21&gt;0,'Decode'!$P$21,'Decode'!$P$12)&gt;1,'Decode'!$P$24=0),1,0)</x:f>
        <x:v>1</x:v>
      </x:c>
      <x:c r="I53" s="34" t="n">
        <x:f>E53*F53/1048576</x:f>
        <x:v>3</x:v>
      </x:c>
      <x:c r="J53" s="34" t="n">
        <x:f>I53*(IF(G53&gt;1,2*(G53-1)/G53,0))</x:f>
        <x:v>5.25</x:v>
      </x:c>
      <x:c r="K53" s="34" t="n">
        <x:f>J53*H53</x:f>
        <x:v>5.25</x:v>
      </x:c>
      <x:c r="L53" s="34" t="n">
        <x:f>K53*G53</x:f>
        <x:v>42</x:v>
      </x:c>
      <x:c r="M53" s="30"/>
      <x:c r="N53" s="30"/>
      <x:c r="O53" s="30"/>
      <x:c r="P53" s="30"/>
    </x:row>
    <x:row r="54">
      <x:c r="A54" s="30" t="str">
        <x:v>Embedding TP</x:v>
      </x:c>
      <x:c r="B54" s="30" t="str">
        <x:v>Embedding</x:v>
      </x:c>
      <x:c r="C54" s="30" t="str">
        <x:v>Fine TP Token ID</x:v>
      </x:c>
      <x:c r="D54" s="30" t="str">
        <x:v>Ring AllGather</x:v>
      </x:c>
      <x:c r="E54" s="33" t="n">
        <x:f>'Decode'!$P$7</x:f>
        <x:v>256</x:v>
      </x:c>
      <x:c r="F54" s="33" t="n">
        <x:f>'Decode'!$P$30</x:f>
        <x:v>8</x:v>
      </x:c>
      <x:c r="G54" s="33" t="n">
        <x:f>IF('Decode'!$P$21&gt;0,'Decode'!$P$21,'Decode'!$P$12)</x:f>
        <x:v>8</x:v>
      </x:c>
      <x:c r="H54" s="33" t="n">
        <x:f>IF(AND(IF('Decode'!$P$21&gt;0,'Decode'!$P$21,'Decode'!$P$12)&gt;1,'Decode'!$P$24&lt;&gt;0),1,0)</x:f>
        <x:v>0</x:v>
      </x:c>
      <x:c r="I54" s="34" t="n">
        <x:f>E54*F54/1048576</x:f>
        <x:v>0.001953125</x:v>
      </x:c>
      <x:c r="J54" s="34" t="n">
        <x:f>I54*(IF(G54&gt;1,G54-1,0))</x:f>
        <x:v>0.013671875</x:v>
      </x:c>
      <x:c r="K54" s="34" t="n">
        <x:f>J54*H54</x:f>
        <x:v>0</x:v>
      </x:c>
      <x:c r="L54" s="34" t="n">
        <x:f>K54*G54</x:f>
        <x:v>0</x:v>
      </x:c>
      <x:c r="M54" s="30"/>
      <x:c r="N54" s="30"/>
      <x:c r="O54" s="30"/>
      <x:c r="P54" s="30"/>
    </x:row>
    <x:row r="55">
      <x:c r="A55" s="30" t="str">
        <x:v>Embedding TP</x:v>
      </x:c>
      <x:c r="B55" s="30" t="str">
        <x:v>Embedding</x:v>
      </x:c>
      <x:c r="C55" s="30" t="str">
        <x:v>Fine TP Hidden</x:v>
      </x:c>
      <x:c r="D55" s="30" t="str">
        <x:v>Ring ReduceScatter</x:v>
      </x:c>
      <x:c r="E55" s="33" t="n">
        <x:f>'Decode'!$P$7*IF('Decode'!$P$21&gt;0,'Decode'!$P$21,'Decode'!$P$12)*6144</x:f>
        <x:v>12582912</x:v>
      </x:c>
      <x:c r="F55" s="33" t="n">
        <x:f>'Decode'!$P$28</x:f>
        <x:v>2</x:v>
      </x:c>
      <x:c r="G55" s="33" t="n">
        <x:f>IF('Decode'!$P$21&gt;0,'Decode'!$P$21,'Decode'!$P$12)</x:f>
        <x:v>8</x:v>
      </x:c>
      <x:c r="H55" s="33" t="n">
        <x:f>IF(AND(IF('Decode'!$P$21&gt;0,'Decode'!$P$21,'Decode'!$P$12)&gt;1,'Decode'!$P$24&lt;&gt;0),1,0)</x:f>
        <x:v>0</x:v>
      </x:c>
      <x:c r="I55" s="34" t="n">
        <x:f>E55*F55/1048576</x:f>
        <x:v>24</x:v>
      </x:c>
      <x:c r="J55" s="34" t="n">
        <x:f>I55*(IF(G55&gt;1,(G55-1)/G55,0))</x:f>
        <x:v>21</x:v>
      </x:c>
      <x:c r="K55" s="34" t="n">
        <x:f>J55*H55</x:f>
        <x:v>0</x:v>
      </x:c>
      <x:c r="L55" s="34" t="n">
        <x:f>K55*G55</x:f>
        <x:v>0</x:v>
      </x:c>
      <x:c r="M55" s="30"/>
      <x:c r="N55" s="30"/>
      <x:c r="O55" s="30"/>
      <x:c r="P55" s="30"/>
    </x:row>
    <x:row r="56">
      <x:c r="A56" s="30" t="str">
        <x:v>DSA CP</x:v>
      </x:c>
      <x:c r="B56" s="30" t="str">
        <x:v>Sparse Attention</x:v>
      </x:c>
      <x:c r="C56" s="30" t="str">
        <x:v>Q/KV 投影输入</x:v>
      </x:c>
      <x:c r="D56" s="30" t="str">
        <x:v>Ring AllGather</x:v>
      </x:c>
      <x:c r="E56" s="33" t="n">
        <x:f>((ROUNDUP('Decode'!$P$7/'Decode'!$P$12,0)*'Decode'!$P$12)/'Decode'!$P$12)*6144</x:f>
        <x:v>196608</x:v>
      </x:c>
      <x:c r="F56" s="33" t="n">
        <x:f>'Decode'!$P$28</x:f>
        <x:v>2</x:v>
      </x:c>
      <x:c r="G56" s="33" t="n">
        <x:f>'Decode'!$P$12</x:f>
        <x:v>8</x:v>
      </x:c>
      <x:c r="H56" s="33" t="n">
        <x:f>79*IF(AND('Decode'!$P$25&lt;&gt;0,'Decode'!$P$12&gt;1),1,0)</x:f>
        <x:v>79</x:v>
      </x:c>
      <x:c r="I56" s="34" t="n">
        <x:f>E56*F56/1048576</x:f>
        <x:v>0.375</x:v>
      </x:c>
      <x:c r="J56" s="34" t="n">
        <x:f>I56*(IF(G56&gt;1,G56-1,0))</x:f>
        <x:v>2.625</x:v>
      </x:c>
      <x:c r="K56" s="34" t="n">
        <x:f>J56*H56</x:f>
        <x:v>207.375</x:v>
      </x:c>
      <x:c r="L56" s="34" t="n">
        <x:f>K56*G56</x:f>
        <x:v>1659</x:v>
      </x:c>
      <x:c r="M56" s="30"/>
      <x:c r="N56" s="30"/>
      <x:c r="O56" s="30"/>
      <x:c r="P56" s="30"/>
    </x:row>
    <x:row r="57">
      <x:c r="A57" s="30" t="str">
        <x:v>DSA CP</x:v>
      </x:c>
      <x:c r="B57" s="30" t="str">
        <x:v>Sparse Attention</x:v>
      </x:c>
      <x:c r="C57" s="30" t="str">
        <x:v>恢复 TP Head Layout</x:v>
      </x:c>
      <x:c r="D57" s="30" t="str">
        <x:v>Equal-split AllToAll</x:v>
      </x:c>
      <x:c r="E57" s="33" t="n">
        <x:f>((ROUNDUP('Decode'!$P$7/'Decode'!$P$12,0)*'Decode'!$P$12)/'Decode'!$P$12)*64*256</x:f>
        <x:v>524288</x:v>
      </x:c>
      <x:c r="F57" s="33" t="n">
        <x:f>'Decode'!$P$28</x:f>
        <x:v>2</x:v>
      </x:c>
      <x:c r="G57" s="33" t="n">
        <x:f>'Decode'!$P$12</x:f>
        <x:v>8</x:v>
      </x:c>
      <x:c r="H57" s="33" t="n">
        <x:f>79*IF(AND('Decode'!$P$25&lt;&gt;0,'Decode'!$P$12&gt;1),1,0)</x:f>
        <x:v>79</x:v>
      </x:c>
      <x:c r="I57" s="34" t="n">
        <x:f>E57*F57/1048576</x:f>
        <x:v>1</x:v>
      </x:c>
      <x:c r="J57" s="34" t="n">
        <x:f>I57*(IF(G57&gt;1,(G57-1)/G57,0))</x:f>
        <x:v>0.875</x:v>
      </x:c>
      <x:c r="K57" s="34" t="n">
        <x:f>J57*H57</x:f>
        <x:v>69.125</x:v>
      </x:c>
      <x:c r="L57" s="34" t="n">
        <x:f>K57*G57</x:f>
        <x:v>553</x:v>
      </x:c>
      <x:c r="M57" s="30"/>
      <x:c r="N57" s="30"/>
      <x:c r="O57" s="30"/>
      <x:c r="P57" s="30"/>
    </x:row>
    <x:row r="58">
      <x:c r="A58" s="30" t="str">
        <x:v>DSA CP</x:v>
      </x:c>
      <x:c r="B58" s="30" t="str">
        <x:v>Indexer</x:v>
      </x:c>
      <x:c r="C58" s="30" t="str">
        <x:v>Top-k Index</x:v>
      </x:c>
      <x:c r="D58" s="30" t="str">
        <x:v>Ring AllGather</x:v>
      </x:c>
      <x:c r="E58" s="33" t="n">
        <x:f>((ROUNDUP('Decode'!$P$7/'Decode'!$P$12,0)*'Decode'!$P$12)/'Decode'!$P$12)*2048</x:f>
        <x:v>65536</x:v>
      </x:c>
      <x:c r="F58" s="33" t="n">
        <x:f>'Decode'!$P$31</x:f>
        <x:v>4</x:v>
      </x:c>
      <x:c r="G58" s="33" t="n">
        <x:f>'Decode'!$P$12</x:f>
        <x:v>8</x:v>
      </x:c>
      <x:c r="H58" s="33" t="n">
        <x:f>22*IF(AND('Decode'!$P$25&lt;&gt;0,'Decode'!$P$12&gt;1),1,0)</x:f>
        <x:v>22</x:v>
      </x:c>
      <x:c r="I58" s="34" t="n">
        <x:f>E58*F58/1048576</x:f>
        <x:v>0.25</x:v>
      </x:c>
      <x:c r="J58" s="34" t="n">
        <x:f>I58*(IF(G58&gt;1,G58-1,0))</x:f>
        <x:v>1.75</x:v>
      </x:c>
      <x:c r="K58" s="34" t="n">
        <x:f>J58*H58</x:f>
        <x:v>38.5</x:v>
      </x:c>
      <x:c r="L58" s="34" t="n">
        <x:f>K58*G58</x:f>
        <x:v>308</x:v>
      </x:c>
      <x:c r="M58" s="30"/>
      <x:c r="N58" s="30"/>
      <x:c r="O58" s="30"/>
      <x:c r="P58" s="30"/>
    </x:row>
    <x:row r="59">
      <x:c r="A59" s="30" t="str">
        <x:v>O Proj TP</x:v>
      </x:c>
      <x:c r="B59" s="30" t="str">
        <x:v>Sparse Attention</x:v>
      </x:c>
      <x:c r="C59" s="30" t="str">
        <x:v>DSA CP 关闭</x:v>
      </x:c>
      <x:c r="D59" s="30" t="str">
        <x:v>Ring AllReduce</x:v>
      </x:c>
      <x:c r="E59" s="33" t="n">
        <x:f>'Decode'!$P$7*6144</x:f>
        <x:v>1572864</x:v>
      </x:c>
      <x:c r="F59" s="33" t="n">
        <x:f>'Decode'!$P$28</x:f>
        <x:v>2</x:v>
      </x:c>
      <x:c r="G59" s="33" t="n">
        <x:f>IF('Decode'!$P$19&gt;0,'Decode'!$P$19,'Decode'!$P$12)</x:f>
        <x:v>8</x:v>
      </x:c>
      <x:c r="H59" s="33" t="n">
        <x:f>79*IF(AND('Decode'!$P$25=0,IF('Decode'!$P$19&gt;0,'Decode'!$P$19,'Decode'!$P$12)&gt;1),1,0)</x:f>
        <x:v>0</x:v>
      </x:c>
      <x:c r="I59" s="34" t="n">
        <x:f>E59*F59/1048576</x:f>
        <x:v>3</x:v>
      </x:c>
      <x:c r="J59" s="34" t="n">
        <x:f>I59*(IF(G59&gt;1,2*(G59-1)/G59,0))</x:f>
        <x:v>5.25</x:v>
      </x:c>
      <x:c r="K59" s="34" t="n">
        <x:f>J59*H59</x:f>
        <x:v>0</x:v>
      </x:c>
      <x:c r="L59" s="34" t="n">
        <x:f>K59*G59</x:f>
        <x:v>0</x:v>
      </x:c>
      <x:c r="M59" s="30"/>
      <x:c r="N59" s="30"/>
      <x:c r="O59" s="30"/>
      <x:c r="P59" s="30"/>
    </x:row>
    <x:row r="60">
      <x:c r="A60" s="30" t="str">
        <x:v>SP</x:v>
      </x:c>
      <x:c r="B60" s="30" t="str">
        <x:v>Dense MLP</x:v>
      </x:c>
      <x:c r="C60" s="30" t="str">
        <x:v>Down Proj 输出</x:v>
      </x:c>
      <x:c r="D60" s="30" t="str">
        <x:v>Ring AllReduce</x:v>
      </x:c>
      <x:c r="E60" s="33" t="n">
        <x:f>IF('Decode'!$P$13&lt;&gt;0,((ROUNDUP('Decode'!$P$7/'Decode'!$P$12,0)*'Decode'!$P$12)/'Decode'!$P$12),'Decode'!$P$7)*6144</x:f>
        <x:v>196608</x:v>
      </x:c>
      <x:c r="F60" s="33" t="n">
        <x:f>'Decode'!$P$28</x:f>
        <x:v>2</x:v>
      </x:c>
      <x:c r="G60" s="33" t="n">
        <x:f>'Decode'!$P$12</x:f>
        <x:v>8</x:v>
      </x:c>
      <x:c r="H60" s="33" t="n">
        <x:f>3*IF('Decode'!$P$12&gt;1,1,0)</x:f>
        <x:v>3</x:v>
      </x:c>
      <x:c r="I60" s="34" t="n">
        <x:f>E60*F60/1048576</x:f>
        <x:v>0.375</x:v>
      </x:c>
      <x:c r="J60" s="34" t="n">
        <x:f>I60*(IF(G60&gt;1,2*(G60-1)/G60,0))</x:f>
        <x:v>0.65625</x:v>
      </x:c>
      <x:c r="K60" s="34" t="n">
        <x:f>J60*H60</x:f>
        <x:v>1.96875</x:v>
      </x:c>
      <x:c r="L60" s="34" t="n">
        <x:f>K60*G60</x:f>
        <x:v>15.75</x:v>
      </x:c>
      <x:c r="M60" s="30"/>
      <x:c r="N60" s="30"/>
      <x:c r="O60" s="30"/>
      <x:c r="P60" s="30"/>
    </x:row>
    <x:row r="61">
      <x:c r="A61" s="30" t="str">
        <x:v>EP</x:v>
      </x:c>
      <x:c r="B61" s="30" t="str">
        <x:v>Routed Experts</x:v>
      </x:c>
      <x:c r="C61" s="30" t="str">
        <x:v>Dispatch Hidden</x:v>
      </x:c>
      <x:c r="D61" s="30" t="str">
        <x:v>AllToAllV（跨 Rank 发送）</x:v>
      </x:c>
      <x:c r="E61" s="33" t="n">
        <x:f>IF('Decode'!$P$13&lt;&gt;0,((ROUNDUP('Decode'!$P$7/'Decode'!$P$12,0)*'Decode'!$P$12)/'Decode'!$P$12),'Decode'!$P$7)*8*'Decode'!$P$32*6144</x:f>
        <x:v>1376256</x:v>
      </x:c>
      <x:c r="F61" s="33" t="n">
        <x:f>'Decode'!$P$28</x:f>
        <x:v>2</x:v>
      </x:c>
      <x:c r="G61" s="33" t="n">
        <x:f>'Decode'!$P$14</x:f>
        <x:v>8</x:v>
      </x:c>
      <x:c r="H61" s="33" t="n">
        <x:f>76*IF('Decode'!$P$14&gt;1,1,0)</x:f>
        <x:v>76</x:v>
      </x:c>
      <x:c r="I61" s="34" t="n">
        <x:f>E61*F61/1048576</x:f>
        <x:v>2.625</x:v>
      </x:c>
      <x:c r="J61" s="34" t="n">
        <x:f>I61*(1)</x:f>
        <x:v>2.625</x:v>
      </x:c>
      <x:c r="K61" s="34" t="n">
        <x:f>J61*H61</x:f>
        <x:v>199.5</x:v>
      </x:c>
      <x:c r="L61" s="34" t="n">
        <x:f>K61*G61</x:f>
        <x:v>1596</x:v>
      </x:c>
      <x:c r="M61" s="30"/>
      <x:c r="N61" s="30"/>
      <x:c r="O61" s="30"/>
      <x:c r="P61" s="30"/>
    </x:row>
    <x:row r="62">
      <x:c r="A62" s="30" t="str">
        <x:v>EP</x:v>
      </x:c>
      <x:c r="B62" s="30" t="str">
        <x:v>Routed Experts</x:v>
      </x:c>
      <x:c r="C62" s="30" t="str">
        <x:v>Combine Hidden</x:v>
      </x:c>
      <x:c r="D62" s="30" t="str">
        <x:v>AllToAllV（跨 Rank 发送）</x:v>
      </x:c>
      <x:c r="E62" s="33" t="n">
        <x:f>IF('Decode'!$P$13&lt;&gt;0,((ROUNDUP('Decode'!$P$7/'Decode'!$P$12,0)*'Decode'!$P$12)/'Decode'!$P$12),'Decode'!$P$7)*8*'Decode'!$P$32*6144</x:f>
        <x:v>1376256</x:v>
      </x:c>
      <x:c r="F62" s="33" t="n">
        <x:f>'Decode'!$P$28</x:f>
        <x:v>2</x:v>
      </x:c>
      <x:c r="G62" s="33" t="n">
        <x:f>'Decode'!$P$14</x:f>
        <x:v>8</x:v>
      </x:c>
      <x:c r="H62" s="33" t="n">
        <x:f>76*IF('Decode'!$P$14&gt;1,1,0)</x:f>
        <x:v>76</x:v>
      </x:c>
      <x:c r="I62" s="34" t="n">
        <x:f>E62*F62/1048576</x:f>
        <x:v>2.625</x:v>
      </x:c>
      <x:c r="J62" s="34" t="n">
        <x:f>I62*(1)</x:f>
        <x:v>2.625</x:v>
      </x:c>
      <x:c r="K62" s="34" t="n">
        <x:f>J62*H62</x:f>
        <x:v>199.5</x:v>
      </x:c>
      <x:c r="L62" s="34" t="n">
        <x:f>K62*G62</x:f>
        <x:v>1596</x:v>
      </x:c>
      <x:c r="M62" s="30"/>
      <x:c r="N62" s="30"/>
      <x:c r="O62" s="30"/>
      <x:c r="P62" s="30"/>
    </x:row>
    <x:row r="63">
      <x:c r="A63" s="30" t="str">
        <x:v>DP</x:v>
      </x:c>
      <x:c r="B63" s="30" t="str">
        <x:v>MoE</x:v>
      </x:c>
      <x:c r="C63" s="30" t="str">
        <x:v>Hidden 输入</x:v>
      </x:c>
      <x:c r="D63" s="30" t="str">
        <x:v>Ring AllGather</x:v>
      </x:c>
      <x:c r="E63" s="33" t="n">
        <x:f>'Decode'!$P$7*6144</x:f>
        <x:v>1572864</x:v>
      </x:c>
      <x:c r="F63" s="33" t="n">
        <x:f>'Decode'!$P$28</x:f>
        <x:v>2</x:v>
      </x:c>
      <x:c r="G63" s="33" t="n">
        <x:f>'Decode'!$P$11</x:f>
        <x:v>1</x:v>
      </x:c>
      <x:c r="H63" s="33" t="n">
        <x:f>76*IF(AND('Decode'!$P$11&gt;1,'Decode'!$P$14=1),1,0)</x:f>
        <x:v>0</x:v>
      </x:c>
      <x:c r="I63" s="34" t="n">
        <x:f>E63*F63/1048576</x:f>
        <x:v>3</x:v>
      </x:c>
      <x:c r="J63" s="34" t="n">
        <x:f>I63*(IF(G63&gt;1,G63-1,0))</x:f>
        <x:v>0</x:v>
      </x:c>
      <x:c r="K63" s="34" t="n">
        <x:f>J63*H63</x:f>
        <x:v>0</x:v>
      </x:c>
      <x:c r="L63" s="34" t="n">
        <x:f>K63*G63</x:f>
        <x:v>0</x:v>
      </x:c>
      <x:c r="M63" s="30"/>
      <x:c r="N63" s="30"/>
      <x:c r="O63" s="30"/>
      <x:c r="P63" s="30"/>
    </x:row>
    <x:row r="64">
      <x:c r="A64" s="30" t="str">
        <x:v>DP</x:v>
      </x:c>
      <x:c r="B64" s="30" t="str">
        <x:v>MoE Router</x:v>
      </x:c>
      <x:c r="C64" s="30" t="str">
        <x:v>Router Logits</x:v>
      </x:c>
      <x:c r="D64" s="30" t="str">
        <x:v>Ring AllGather</x:v>
      </x:c>
      <x:c r="E64" s="33" t="n">
        <x:f>'Decode'!$P$7*256</x:f>
        <x:v>65536</x:v>
      </x:c>
      <x:c r="F64" s="33" t="n">
        <x:f>'Decode'!$P$28</x:f>
        <x:v>2</x:v>
      </x:c>
      <x:c r="G64" s="33" t="n">
        <x:f>'Decode'!$P$11</x:f>
        <x:v>1</x:v>
      </x:c>
      <x:c r="H64" s="33" t="n">
        <x:f>76*IF(AND('Decode'!$P$11&gt;1,'Decode'!$P$14=1),1,0)</x:f>
        <x:v>0</x:v>
      </x:c>
      <x:c r="I64" s="34" t="n">
        <x:f>E64*F64/1048576</x:f>
        <x:v>0.125</x:v>
      </x:c>
      <x:c r="J64" s="34" t="n">
        <x:f>I64*(IF(G64&gt;1,G64-1,0))</x:f>
        <x:v>0</x:v>
      </x:c>
      <x:c r="K64" s="34" t="n">
        <x:f>J64*H64</x:f>
        <x:v>0</x:v>
      </x:c>
      <x:c r="L64" s="34" t="n">
        <x:f>K64*G64</x:f>
        <x:v>0</x:v>
      </x:c>
      <x:c r="M64" s="30"/>
      <x:c r="N64" s="30"/>
      <x:c r="O64" s="30"/>
      <x:c r="P64" s="30"/>
    </x:row>
    <x:row r="65">
      <x:c r="A65" s="30" t="str">
        <x:v>DP</x:v>
      </x:c>
      <x:c r="B65" s="30" t="str">
        <x:v>MoE</x:v>
      </x:c>
      <x:c r="C65" s="30" t="str">
        <x:v>Routed Expert 输出</x:v>
      </x:c>
      <x:c r="D65" s="30" t="str">
        <x:v>Ring ReduceScatter</x:v>
      </x:c>
      <x:c r="E65" s="33" t="n">
        <x:f>'Decode'!$P$7*'Decode'!$P$11*6144</x:f>
        <x:v>1572864</x:v>
      </x:c>
      <x:c r="F65" s="33" t="n">
        <x:f>'Decode'!$P$28</x:f>
        <x:v>2</x:v>
      </x:c>
      <x:c r="G65" s="33" t="n">
        <x:f>'Decode'!$P$11</x:f>
        <x:v>1</x:v>
      </x:c>
      <x:c r="H65" s="33" t="n">
        <x:f>76*IF(AND('Decode'!$P$11&gt;1,'Decode'!$P$14=1),1,0)</x:f>
        <x:v>0</x:v>
      </x:c>
      <x:c r="I65" s="34" t="n">
        <x:f>E65*F65/1048576</x:f>
        <x:v>3</x:v>
      </x:c>
      <x:c r="J65" s="34" t="n">
        <x:f>I65*(IF(G65&gt;1,(G65-1)/G65,0))</x:f>
        <x:v>0</x:v>
      </x:c>
      <x:c r="K65" s="34" t="n">
        <x:f>J65*H65</x:f>
        <x:v>0</x:v>
      </x:c>
      <x:c r="L65" s="34" t="n">
        <x:f>K65*G65</x:f>
        <x:v>0</x:v>
      </x:c>
      <x:c r="M65" s="30"/>
      <x:c r="N65" s="30"/>
      <x:c r="O65" s="30"/>
      <x:c r="P65" s="30"/>
    </x:row>
    <x:row r="66">
      <x:c r="A66" s="30" t="str">
        <x:v>共享专家 TP</x:v>
      </x:c>
      <x:c r="B66" s="30" t="str">
        <x:v>Shared Experts</x:v>
      </x:c>
      <x:c r="C66" s="30" t="str">
        <x:v>SP 输入</x:v>
      </x:c>
      <x:c r="D66" s="30" t="str">
        <x:v>Ring AllGather</x:v>
      </x:c>
      <x:c r="E66" s="33" t="n">
        <x:f>((ROUNDUP('Decode'!$P$7/'Decode'!$P$12,0)*'Decode'!$P$12)/'Decode'!$P$12)*6144</x:f>
        <x:v>196608</x:v>
      </x:c>
      <x:c r="F66" s="33" t="n">
        <x:f>'Decode'!$P$28</x:f>
        <x:v>2</x:v>
      </x:c>
      <x:c r="G66" s="33" t="n">
        <x:f>IF('Decode'!$P$17="TP",'Decode'!$P$18,1)</x:f>
        <x:v>8</x:v>
      </x:c>
      <x:c r="H66" s="33" t="n">
        <x:f>76*IF(AND('Decode'!$P$17="TP",IF('Decode'!$P$17="TP",'Decode'!$P$18,1)&gt;1,'Decode'!$P$13&lt;&gt;0),1,0)</x:f>
        <x:v>76</x:v>
      </x:c>
      <x:c r="I66" s="34" t="n">
        <x:f>E66*F66/1048576</x:f>
        <x:v>0.375</x:v>
      </x:c>
      <x:c r="J66" s="34" t="n">
        <x:f>I66*(IF(G66&gt;1,G66-1,0))</x:f>
        <x:v>2.625</x:v>
      </x:c>
      <x:c r="K66" s="34" t="n">
        <x:f>J66*H66</x:f>
        <x:v>199.5</x:v>
      </x:c>
      <x:c r="L66" s="34" t="n">
        <x:f>K66*G66</x:f>
        <x:v>1596</x:v>
      </x:c>
      <x:c r="M66" s="30"/>
      <x:c r="N66" s="30"/>
      <x:c r="O66" s="30"/>
      <x:c r="P66" s="30"/>
    </x:row>
    <x:row r="67">
      <x:c r="A67" s="30" t="str">
        <x:v>共享专家 TP</x:v>
      </x:c>
      <x:c r="B67" s="30" t="str">
        <x:v>Shared Experts</x:v>
      </x:c>
      <x:c r="C67" s="30" t="str">
        <x:v>SP 输出</x:v>
      </x:c>
      <x:c r="D67" s="30" t="str">
        <x:v>Ring ReduceScatter</x:v>
      </x:c>
      <x:c r="E67" s="33" t="n">
        <x:f>(ROUNDUP('Decode'!$P$7/'Decode'!$P$12,0)*'Decode'!$P$12)*6144</x:f>
        <x:v>1572864</x:v>
      </x:c>
      <x:c r="F67" s="33" t="n">
        <x:f>'Decode'!$P$28</x:f>
        <x:v>2</x:v>
      </x:c>
      <x:c r="G67" s="33" t="n">
        <x:f>IF('Decode'!$P$17="TP",'Decode'!$P$18,1)</x:f>
        <x:v>8</x:v>
      </x:c>
      <x:c r="H67" s="33" t="n">
        <x:f>76*IF(AND('Decode'!$P$17="TP",IF('Decode'!$P$17="TP",'Decode'!$P$18,1)&gt;1,'Decode'!$P$13&lt;&gt;0),1,0)</x:f>
        <x:v>76</x:v>
      </x:c>
      <x:c r="I67" s="34" t="n">
        <x:f>E67*F67/1048576</x:f>
        <x:v>3</x:v>
      </x:c>
      <x:c r="J67" s="34" t="n">
        <x:f>I67*(IF(G67&gt;1,(G67-1)/G67,0))</x:f>
        <x:v>2.625</x:v>
      </x:c>
      <x:c r="K67" s="34" t="n">
        <x:f>J67*H67</x:f>
        <x:v>199.5</x:v>
      </x:c>
      <x:c r="L67" s="34" t="n">
        <x:f>K67*G67</x:f>
        <x:v>1596</x:v>
      </x:c>
      <x:c r="M67" s="30"/>
      <x:c r="N67" s="30"/>
      <x:c r="O67" s="30"/>
      <x:c r="P67" s="30"/>
    </x:row>
    <x:row r="68">
      <x:c r="A68" s="30" t="str">
        <x:v>共享专家 TP</x:v>
      </x:c>
      <x:c r="B68" s="30" t="str">
        <x:v>Shared Experts</x:v>
      </x:c>
      <x:c r="C68" s="30" t="str">
        <x:v>非 SP 输出</x:v>
      </x:c>
      <x:c r="D68" s="30" t="str">
        <x:v>Ring AllReduce</x:v>
      </x:c>
      <x:c r="E68" s="33" t="n">
        <x:f>'Decode'!$P$7*6144</x:f>
        <x:v>1572864</x:v>
      </x:c>
      <x:c r="F68" s="33" t="n">
        <x:f>'Decode'!$P$28</x:f>
        <x:v>2</x:v>
      </x:c>
      <x:c r="G68" s="33" t="n">
        <x:f>IF('Decode'!$P$17="TP",'Decode'!$P$18,1)</x:f>
        <x:v>8</x:v>
      </x:c>
      <x:c r="H68" s="33" t="n">
        <x:f>76*IF(AND('Decode'!$P$17="TP",IF('Decode'!$P$17="TP",'Decode'!$P$18,1)&gt;1,'Decode'!$P$13=0),1,0)</x:f>
        <x:v>0</x:v>
      </x:c>
      <x:c r="I68" s="34" t="n">
        <x:f>E68*F68/1048576</x:f>
        <x:v>3</x:v>
      </x:c>
      <x:c r="J68" s="34" t="n">
        <x:f>I68*(IF(G68&gt;1,2*(G68-1)/G68,0))</x:f>
        <x:v>5.25</x:v>
      </x:c>
      <x:c r="K68" s="34" t="n">
        <x:f>J68*H68</x:f>
        <x:v>0</x:v>
      </x:c>
      <x:c r="L68" s="34" t="n">
        <x:f>K68*G68</x:f>
        <x:v>0</x:v>
      </x:c>
      <x:c r="M68" s="30"/>
      <x:c r="N68" s="30"/>
      <x:c r="O68" s="30"/>
      <x:c r="P68" s="30"/>
    </x:row>
    <x:row r="69">
      <x:c r="A69" s="30" t="str">
        <x:v>SP</x:v>
      </x:c>
      <x:c r="B69" s="30" t="str">
        <x:v>Model Output</x:v>
      </x:c>
      <x:c r="C69" s="30" t="str">
        <x:v>Final Norm 后</x:v>
      </x:c>
      <x:c r="D69" s="30" t="str">
        <x:v>Ring AllGather</x:v>
      </x:c>
      <x:c r="E69" s="33" t="n">
        <x:f>((ROUNDUP('Decode'!$P$7/'Decode'!$P$12,0)*'Decode'!$P$12)/'Decode'!$P$12)*6144</x:f>
        <x:v>196608</x:v>
      </x:c>
      <x:c r="F69" s="33" t="n">
        <x:f>'Decode'!$P$28</x:f>
        <x:v>2</x:v>
      </x:c>
      <x:c r="G69" s="33" t="n">
        <x:f>'Decode'!$P$12</x:f>
        <x:v>8</x:v>
      </x:c>
      <x:c r="H69" s="33" t="n">
        <x:f>IF(AND('Decode'!$P$13&lt;&gt;0,'Decode'!$P$12&gt;1),1,0)</x:f>
        <x:v>1</x:v>
      </x:c>
      <x:c r="I69" s="34" t="n">
        <x:f>E69*F69/1048576</x:f>
        <x:v>0.375</x:v>
      </x:c>
      <x:c r="J69" s="34" t="n">
        <x:f>I69*(IF(G69&gt;1,G69-1,0))</x:f>
        <x:v>2.625</x:v>
      </x:c>
      <x:c r="K69" s="34" t="n">
        <x:f>J69*H69</x:f>
        <x:v>2.625</x:v>
      </x:c>
      <x:c r="L69" s="34" t="n">
        <x:f>K69*G69</x:f>
        <x:v>21</x:v>
      </x:c>
      <x:c r="M69" s="30"/>
      <x:c r="N69" s="30"/>
      <x:c r="O69" s="30"/>
      <x:c r="P69" s="30"/>
    </x:row>
    <x:row r="70">
      <x:c r="A70" s="30" t="str">
        <x:v>LM Head TP</x:v>
      </x:c>
      <x:c r="B70" s="30" t="str">
        <x:v>LM Head</x:v>
      </x:c>
      <x:c r="C70" s="30" t="str">
        <x:v>完整 Logits</x:v>
      </x:c>
      <x:c r="D70" s="30" t="str">
        <x:v>Ring AllGather</x:v>
      </x:c>
      <x:c r="E70" s="33" t="n">
        <x:f>'Decode'!$P$8*154880/IF('Decode'!$P$20&gt;0,'Decode'!$P$20,'Decode'!$P$12)</x:f>
        <x:v>4956160</x:v>
      </x:c>
      <x:c r="F70" s="33" t="n">
        <x:f>'Decode'!$P$28</x:f>
        <x:v>2</x:v>
      </x:c>
      <x:c r="G70" s="33" t="n">
        <x:f>IF('Decode'!$P$20&gt;0,'Decode'!$P$20,'Decode'!$P$12)</x:f>
        <x:v>8</x:v>
      </x:c>
      <x:c r="H70" s="33" t="n">
        <x:f>IF(AND(IF('Decode'!$P$20&gt;0,'Decode'!$P$20,'Decode'!$P$12)&gt;1,'Decode'!$P$23=0,'Decode'!$P$33=0),1,0)</x:f>
        <x:v>0</x:v>
      </x:c>
      <x:c r="I70" s="34" t="n">
        <x:f>E70*F70/1048576</x:f>
        <x:v>9.453125</x:v>
      </x:c>
      <x:c r="J70" s="34" t="n">
        <x:f>I70*(IF(G70&gt;1,G70-1,0))</x:f>
        <x:v>66.171875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LM Head TP</x:v>
      </x:c>
      <x:c r="B71" s="30" t="str">
        <x:v>LM Head</x:v>
      </x:c>
      <x:c r="C71" s="30" t="str">
        <x:v>Reduce Sample</x:v>
      </x:c>
      <x:c r="D71" s="30" t="str">
        <x:v>Ring AllGather</x:v>
      </x:c>
      <x:c r="E71" s="33" t="n">
        <x:f>'Decode'!$P$8*'Decode'!$P$34</x:f>
        <x:v>65536</x:v>
      </x:c>
      <x:c r="F71" s="33" t="n">
        <x:f>('Decode'!$P$28+'Decode'!$P$31)</x:f>
        <x:v>6</x:v>
      </x:c>
      <x:c r="G71" s="33" t="n">
        <x:f>IF('Decode'!$P$20&gt;0,'Decode'!$P$20,'Decode'!$P$12)</x:f>
        <x:v>8</x:v>
      </x:c>
      <x:c r="H71" s="33" t="n">
        <x:f>IF(AND(IF('Decode'!$P$20&gt;0,'Decode'!$P$20,'Decode'!$P$12)&gt;1,'Decode'!$P$23=0,'Decode'!$P$33&lt;&gt;0),1,0)</x:f>
        <x:v>1</x:v>
      </x:c>
      <x:c r="I71" s="34" t="n">
        <x:f>E71*F71/1048576</x:f>
        <x:v>0.375</x:v>
      </x:c>
      <x:c r="J71" s="34" t="n">
        <x:f>I71*(IF(G71&gt;1,G71-1,0))</x:f>
        <x:v>2.625</x:v>
      </x:c>
      <x:c r="K71" s="34" t="n">
        <x:f>J71*H71</x:f>
        <x:v>2.625</x:v>
      </x:c>
      <x:c r="L71" s="34" t="n">
        <x:f>K71*G71</x:f>
        <x:v>21</x:v>
      </x:c>
      <x:c r="M71" s="30"/>
      <x:c r="N71" s="30"/>
      <x:c r="O71" s="30"/>
      <x:c r="P71" s="30"/>
    </x:row>
    <x:row r="72">
      <x:c r="A72" s="30" t="str">
        <x:v>Fine LM Head TP</x:v>
      </x:c>
      <x:c r="B72" s="30" t="str">
        <x:v>LM Head</x:v>
      </x:c>
      <x:c r="C72" s="30" t="str">
        <x:v>Hidden 输入</x:v>
      </x:c>
      <x:c r="D72" s="30" t="str">
        <x:v>Ring AllGather</x:v>
      </x:c>
      <x:c r="E72" s="33" t="n">
        <x:f>'Decode'!$P$8*6144</x:f>
        <x:v>1572864</x:v>
      </x:c>
      <x:c r="F72" s="33" t="n">
        <x:f>'Decode'!$P$28</x:f>
        <x:v>2</x:v>
      </x:c>
      <x:c r="G72" s="33" t="n">
        <x:f>IF('Decode'!$P$20&gt;0,'Decode'!$P$20,'Decode'!$P$12)</x:f>
        <x:v>8</x:v>
      </x:c>
      <x:c r="H72" s="33" t="n">
        <x:f>IF(AND(IF('Decode'!$P$20&gt;0,'Decode'!$P$20,'Decode'!$P$12)&gt;1,'Decode'!$P$23&lt;&gt;0),1,0)</x:f>
        <x:v>0</x:v>
      </x:c>
      <x:c r="I72" s="34" t="n">
        <x:f>E72*F72/1048576</x:f>
        <x:v>3</x:v>
      </x:c>
      <x:c r="J72" s="34" t="n">
        <x:f>I72*(IF(G72&gt;1,G72-1,0))</x:f>
        <x:v>21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Fine LM Head TP</x:v>
      </x:c>
      <x:c r="B73" s="30" t="str">
        <x:v>LM Head</x:v>
      </x:c>
      <x:c r="C73" s="30" t="str">
        <x:v>完整 Logits</x:v>
      </x:c>
      <x:c r="D73" s="30" t="str">
        <x:v>Equal-split AllToAll</x:v>
      </x:c>
      <x:c r="E73" s="33" t="n">
        <x:f>'Decode'!$P$8*154880</x:f>
        <x:v>39649280</x:v>
      </x:c>
      <x:c r="F73" s="33" t="n">
        <x:f>'Decode'!$P$28</x:f>
        <x:v>2</x:v>
      </x:c>
      <x:c r="G73" s="33" t="n">
        <x:f>IF('Decode'!$P$20&gt;0,'Decode'!$P$20,'Decode'!$P$12)</x:f>
        <x:v>8</x:v>
      </x:c>
      <x:c r="H73" s="33" t="n">
        <x:f>IF(AND(IF('Decode'!$P$20&gt;0,'Decode'!$P$20,'Decode'!$P$12)&gt;1,'Decode'!$P$23&lt;&gt;0,'Decode'!$P$33=0),1,0)</x:f>
        <x:v>0</x:v>
      </x:c>
      <x:c r="I73" s="34" t="n">
        <x:f>E73*F73/1048576</x:f>
        <x:v>75.625</x:v>
      </x:c>
      <x:c r="J73" s="34" t="n">
        <x:f>I73*(IF(G73&gt;1,(G73-1)/G73,0))</x:f>
        <x:v>66.171875</x:v>
      </x:c>
      <x:c r="K73" s="34" t="n">
        <x:f>J73*H73</x:f>
        <x:v>0</x:v>
      </x:c>
      <x:c r="L73" s="34" t="n">
        <x:f>K73*G73</x:f>
        <x:v>0</x:v>
      </x:c>
      <x:c r="M73" s="30"/>
      <x:c r="N73" s="30"/>
      <x:c r="O73" s="30"/>
      <x:c r="P73" s="30"/>
    </x:row>
    <x:row r="74">
      <x:c r="A74" s="30" t="str">
        <x:v>Fine LM Head TP</x:v>
      </x:c>
      <x:c r="B74" s="30" t="str">
        <x:v>LM Head</x:v>
      </x:c>
      <x:c r="C74" s="30" t="str">
        <x:v>Reduce Sample</x:v>
      </x:c>
      <x:c r="D74" s="30" t="str">
        <x:v>Ring AllGather</x:v>
      </x:c>
      <x:c r="E74" s="33" t="n">
        <x:f>'Decode'!$P$8*'Decode'!$P$34</x:f>
        <x:v>65536</x:v>
      </x:c>
      <x:c r="F74" s="33" t="n">
        <x:f>('Decode'!$P$28+'Decode'!$P$31)</x:f>
        <x:v>6</x:v>
      </x:c>
      <x:c r="G74" s="33" t="n">
        <x:f>IF('Decode'!$P$20&gt;0,'Decode'!$P$20,'Decode'!$P$12)</x:f>
        <x:v>8</x:v>
      </x:c>
      <x:c r="H74" s="33" t="n">
        <x:f>IF(AND(IF('Decode'!$P$20&gt;0,'Decode'!$P$20,'Decode'!$P$12)&gt;1,'Decode'!$P$23&lt;&gt;0,'Decode'!$P$33&lt;&gt;0),1,0)</x:f>
        <x:v>0</x:v>
      </x:c>
      <x:c r="I74" s="34" t="n">
        <x:f>E74*F74/1048576</x:f>
        <x:v>0.375</x:v>
      </x:c>
      <x:c r="J74" s="34" t="n">
        <x:f>I74*(IF(G74&gt;1,G74-1,0))</x:f>
        <x:v>2.625</x:v>
      </x:c>
      <x:c r="K74" s="34" t="n">
        <x:f>J74*H74</x:f>
        <x:v>0</x:v>
      </x:c>
      <x:c r="L74" s="34" t="n">
        <x:f>K74*G74</x:f>
        <x:v>0</x:v>
      </x:c>
      <x:c r="M74" s="30"/>
      <x:c r="N74" s="30"/>
      <x:c r="O74" s="30"/>
      <x:c r="P74" s="30"/>
    </x:row>
    <x:row r="75">
      <x:c r="A75" s="40" t="str">
        <x:v>合计</x:v>
      </x:c>
      <x:c r="B75" s="40"/>
      <x:c r="C75" s="40"/>
      <x:c r="D75" s="40"/>
      <x:c r="E75" s="40"/>
      <x:c r="F75" s="40"/>
      <x:c r="G75" s="40"/>
      <x:c r="H75" s="40"/>
      <x:c r="I75" s="41"/>
      <x:c r="J75" s="41"/>
      <x:c r="K75" s="41" t="n">
        <x:f>SUM(K53:K74)</x:f>
        <x:v>1125.46875</x:v>
      </x:c>
      <x:c r="L75" s="41" t="n">
        <x:f>SUM(L53:L74)</x:f>
        <x:v>9003.75</x:v>
      </x:c>
      <x:c r="M75" s="30"/>
      <x:c r="N75" s="30"/>
      <x:c r="O75" s="30"/>
      <x:c r="P75" s="30"/>
    </x:row>
    <x:row r="78" ht="15" customHeight="1">
      <x:c r="A78" s="40" t="str">
        <x:v>PD 带宽争用耗时评估</x:v>
      </x:c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</x:row>
    <x:row r="79" ht="15" customHeight="1">
      <x:c r="A79" s="30" t="str">
        <x:v>Decode 当前表参数；100 GB/s 为归一化示例。所列事件的带宽项，不等于完整 forward 耗时。</x:v>
      </x:c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</x:row>
    <x:row r="80" ht="30" customHeight="1">
      <x:c r="A80" s="62" t="str">
        <x:v>带宽降幅</x:v>
      </x:c>
      <x:c r="B80" s="62" t="str">
        <x:v>输入</x:v>
      </x:c>
      <x:c r="C80" s="62" t="str">
        <x:v>争用覆盖率</x:v>
      </x:c>
      <x:c r="D80" s="62" t="str">
        <x:v>输入</x:v>
      </x:c>
      <x:c r="E80" s="62" t="str">
        <x:v>基线 forward ms</x:v>
      </x:c>
      <x:c r="F80" s="62" t="str">
        <x:v>实测输入</x:v>
      </x:c>
      <x:c r="G80" s="62" t="str">
        <x:v>默认带宽 GB/s</x:v>
      </x:c>
      <x:c r="H80" s="62" t="str">
        <x:v>输入</x:v>
      </x:c>
      <x:c r="I80" s="30"/>
      <x:c r="J80" s="30"/>
      <x:c r="K80" s="30"/>
      <x:c r="L80" s="30"/>
    </x:row>
    <x:row r="81" ht="15" customHeight="1">
      <x:c r="A81" s="30"/>
      <x:c r="B81" s="63" t="n">
        <x:v>0.1</x:v>
      </x:c>
      <x:c r="C81" s="30"/>
      <x:c r="D81" s="63" t="n">
        <x:v>1</x:v>
      </x:c>
      <x:c r="E81" s="30"/>
      <x:c r="F81" s="38"/>
      <x:c r="G81" s="30"/>
      <x:c r="H81" s="36" t="n">
        <x:v>100</x:v>
      </x:c>
      <x:c r="I81" s="30"/>
      <x:c r="J81" s="30"/>
      <x:c r="K81" s="30"/>
      <x:c r="L81" s="30"/>
    </x:row>
    <x:row r="82" ht="30" customHeight="1">
      <x:c r="A82" s="62" t="str">
        <x:v>通信基线 ms</x:v>
      </x:c>
      <x:c r="B82" s="62" t="str">
        <x:v>结果</x:v>
      </x:c>
      <x:c r="C82" s="62" t="str">
        <x:v>通信争用后 ms</x:v>
      </x:c>
      <x:c r="D82" s="62" t="str">
        <x:v>结果</x:v>
      </x:c>
      <x:c r="E82" s="62" t="str">
        <x:v>forward 增量 ms</x:v>
      </x:c>
      <x:c r="F82" s="62" t="str">
        <x:v>结果</x:v>
      </x:c>
      <x:c r="G82" s="62" t="str">
        <x:v>forward 新耗时 ms</x:v>
      </x:c>
      <x:c r="H82" s="62" t="str">
        <x:v>结果</x:v>
      </x:c>
      <x:c r="I82" s="62" t="str">
        <x:v>forward 增幅</x:v>
      </x:c>
      <x:c r="J82" s="62" t="str">
        <x:v>结果</x:v>
      </x:c>
      <x:c r="K82" s="62" t="str">
        <x:v>输入状态</x:v>
      </x:c>
      <x:c r="L82" s="62" t="str">
        <x:v>状态</x:v>
      </x:c>
    </x:row>
    <x:row r="83" ht="15" customHeight="1">
      <x:c r="A83" s="49"/>
      <x:c r="B83" s="49" t="n">
        <x:f>SUM(G87:G109)</x:f>
        <x:v>11.98661632</x:v>
      </x:c>
      <x:c r="C83" s="49"/>
      <x:c r="D83" s="49" t="n">
        <x:f>SUM(H87:H109)</x:f>
        <x:v>13.318462577777776</x:v>
      </x:c>
      <x:c r="E83" s="49"/>
      <x:c r="F83" s="49" t="n">
        <x:f>SUM(K87:K109)</x:f>
        <x:v>1.331846257777778</x:v>
      </x:c>
      <x:c r="G83" s="49"/>
      <x:c r="H83" s="49" t="str">
        <x:f>IF(AND(ISNUMBER($F$81),$F$81&gt;0,$F$81&gt;=SUMPRODUCT(G87:G109,J87:J109)),$F$81+F83,"")</x:f>
      </x:c>
      <x:c r="I83" s="49"/>
      <x:c r="J83" s="50" t="str">
        <x:f>IF(AND(ISNUMBER($F$81),$F$81&gt;0,$F$81&gt;=SUMPRODUCT(G87:G109,J87:J109)),F83/$F$81,"")</x:f>
      </x:c>
      <x:c r="K83" s="49"/>
      <x:c r="L83" s="49" t="str">
        <x:f>IF($F$81="","待填基线",IF(AND(ISNUMBER($F$81),$F$81&gt;0,$F$81&gt;=SUMPRODUCT(G87:G109,J87:J109)),"已填基线","基线/暴露不一致"))</x:f>
        <x:v>待填基线</x:v>
      </x:c>
    </x:row>
    <x:row r="84" ht="15" customHeight="1">
      <x:c r="A84" s="30" t="str">
        <x:v>共享比例=0 表示独立链路；暴露系数=0 表示增量完全隐藏。默认均为 1，降幅只作用于带宽项。</x:v>
      </x:c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</x:row>
    <x:row r="85" ht="15" customHeight="1">
      <x:c r="A85" s="30" t="str">
        <x:v>P: AllToAllV + 4 B 计数 Ring；D: A3 BF16 MC2 FullMesh。每事件带宽按端点发送量定义。</x:v>
      </x:c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</x:row>
    <x:row r="86" ht="30" customHeight="1">
      <x:c r="A86" s="62" t="str">
        <x:v>并行域</x:v>
      </x:c>
      <x:c r="B86" s="62" t="str">
        <x:v>模块</x:v>
      </x:c>
      <x:c r="C86" s="62" t="str">
        <x:v>通信事件</x:v>
      </x:c>
      <x:c r="D86" s="62" t="str">
        <x:v>GB/Rank/Step</x:v>
      </x:c>
      <x:c r="E86" s="62" t="str">
        <x:v>有效带宽 GB/s</x:v>
      </x:c>
      <x:c r="F86" s="62" t="str">
        <x:v>共享比例</x:v>
      </x:c>
      <x:c r="G86" s="62" t="str">
        <x:v>基线带宽项 ms</x:v>
      </x:c>
      <x:c r="H86" s="62" t="str">
        <x:v>争用后带宽项 ms</x:v>
      </x:c>
      <x:c r="I86" s="62" t="str">
        <x:v>通信增量 ms</x:v>
      </x:c>
      <x:c r="J86" s="62" t="str">
        <x:v>暴露系数</x:v>
      </x:c>
      <x:c r="K86" s="62" t="str">
        <x:v>forward 增量 ms</x:v>
      </x:c>
      <x:c r="L86" s="62" t="str">
        <x:v>公式口径</x:v>
      </x:c>
    </x:row>
    <x:row r="87" ht="15" customHeight="1">
      <x:c r="A87" s="30" t="str">
        <x:v>Embedding TP</x:v>
      </x:c>
      <x:c r="B87" s="30" t="str">
        <x:v>Embedding</x:v>
      </x:c>
      <x:c r="C87" s="30" t="str">
        <x:v>标准 TP 输出</x:v>
      </x:c>
      <x:c r="D87" s="34" t="n">
        <x:f>(K53*2^20)/1e9</x:f>
        <x:v>0.005505024</x:v>
      </x:c>
      <x:c r="E87" s="64" t="n">
        <x:f>$H$81</x:f>
        <x:v>100</x:v>
      </x:c>
      <x:c r="F87" s="59" t="n">
        <x:v>1</x:v>
      </x:c>
      <x:c r="G87" s="34" t="n">
        <x:f>IF(AND(ISNUMBER(E87),E87&gt;0,ISNUMBER($B$81),$B$81&gt;=0,$B$81&lt;1,ISNUMBER($D$81),$D$81&gt;=0,$D$81&lt;=1,ISNUMBER(F87),F87&gt;=0,F87&lt;=1,ISNUMBER(J87),J87&gt;=0,J87&lt;=1),D87/E87*1000,NA())</x:f>
        <x:v>0.05505024</x:v>
      </x:c>
      <x:c r="H87" s="34" t="n">
        <x:f>G87+I87</x:f>
        <x:v>0.06116693333333333</x:v>
      </x:c>
      <x:c r="I87" s="34" t="n">
        <x:f>G87*F87*$D$81*$B$81/(1-$B$81)</x:f>
        <x:v>0.006116693333333334</x:v>
      </x:c>
      <x:c r="J87" s="59" t="n">
        <x:v>1</x:v>
      </x:c>
      <x:c r="K87" s="34" t="n">
        <x:f>I87*J87</x:f>
        <x:v>0.006116693333333334</x:v>
      </x:c>
      <x:c r="L87" s="30" t="str">
        <x:v>原通信行 53</x:v>
      </x:c>
    </x:row>
    <x:row r="88" ht="15" customHeight="1">
      <x:c r="A88" s="30" t="str">
        <x:v>Embedding TP</x:v>
      </x:c>
      <x:c r="B88" s="30" t="str">
        <x:v>Embedding</x:v>
      </x:c>
      <x:c r="C88" s="30" t="str">
        <x:v>Fine TP Token ID</x:v>
      </x:c>
      <x:c r="D88" s="34" t="n">
        <x:f>(K54*2^20)/1e9</x:f>
        <x:v>0</x:v>
      </x:c>
      <x:c r="E88" s="64" t="n">
        <x:f>$H$81</x:f>
        <x:v>100</x:v>
      </x:c>
      <x:c r="F88" s="59" t="n">
        <x:v>1</x:v>
      </x:c>
      <x:c r="G88" s="34" t="n">
        <x:f>IF(AND(ISNUMBER(E88),E88&gt;0,ISNUMBER($B$81),$B$81&gt;=0,$B$81&lt;1,ISNUMBER($D$81),$D$81&gt;=0,$D$81&lt;=1,ISNUMBER(F88),F88&gt;=0,F88&lt;=1,ISNUMBER(J88),J88&gt;=0,J88&lt;=1),D88/E88*1000,NA())</x:f>
        <x:v>0</x:v>
      </x:c>
      <x:c r="H88" s="34" t="n">
        <x:f>G88+I88</x:f>
        <x:v>0</x:v>
      </x:c>
      <x:c r="I88" s="34" t="n">
        <x:f>G88*F88*$D$81*$B$81/(1-$B$81)</x:f>
        <x:v>0</x:v>
      </x:c>
      <x:c r="J88" s="59" t="n">
        <x:v>1</x:v>
      </x:c>
      <x:c r="K88" s="34" t="n">
        <x:f>I88*J88</x:f>
        <x:v>0</x:v>
      </x:c>
      <x:c r="L88" s="30" t="str">
        <x:v>原通信行 54</x:v>
      </x:c>
    </x:row>
    <x:row r="89" ht="15" customHeight="1">
      <x:c r="A89" s="30" t="str">
        <x:v>Embedding TP</x:v>
      </x:c>
      <x:c r="B89" s="30" t="str">
        <x:v>Embedding</x:v>
      </x:c>
      <x:c r="C89" s="30" t="str">
        <x:v>Fine TP Hidden</x:v>
      </x:c>
      <x:c r="D89" s="34" t="n">
        <x:f>(K55*2^20)/1e9</x:f>
        <x:v>0</x:v>
      </x:c>
      <x:c r="E89" s="64" t="n">
        <x:f>$H$81</x:f>
        <x:v>100</x:v>
      </x:c>
      <x:c r="F89" s="59" t="n">
        <x:v>1</x:v>
      </x:c>
      <x:c r="G89" s="34" t="n">
        <x:f>IF(AND(ISNUMBER(E89),E89&gt;0,ISNUMBER($B$81),$B$81&gt;=0,$B$81&lt;1,ISNUMBER($D$81),$D$81&gt;=0,$D$81&lt;=1,ISNUMBER(F89),F89&gt;=0,F89&lt;=1,ISNUMBER(J89),J89&gt;=0,J89&lt;=1),D89/E89*1000,NA())</x:f>
        <x:v>0</x:v>
      </x:c>
      <x:c r="H89" s="34" t="n">
        <x:f>G89+I89</x:f>
        <x:v>0</x:v>
      </x:c>
      <x:c r="I89" s="34" t="n">
        <x:f>G89*F89*$D$81*$B$81/(1-$B$81)</x:f>
        <x:v>0</x:v>
      </x:c>
      <x:c r="J89" s="59" t="n">
        <x:v>1</x:v>
      </x:c>
      <x:c r="K89" s="34" t="n">
        <x:f>I89*J89</x:f>
        <x:v>0</x:v>
      </x:c>
      <x:c r="L89" s="30" t="str">
        <x:v>原通信行 55</x:v>
      </x:c>
    </x:row>
    <x:row r="90" ht="15" customHeight="1">
      <x:c r="A90" s="30" t="str">
        <x:v>DSA CP</x:v>
      </x:c>
      <x:c r="B90" s="30" t="str">
        <x:v>Sparse Attention</x:v>
      </x:c>
      <x:c r="C90" s="30" t="str">
        <x:v>Q/KV 投影输入</x:v>
      </x:c>
      <x:c r="D90" s="34" t="n">
        <x:f>(K56*2^20)/1e9</x:f>
        <x:v>0.217448448</x:v>
      </x:c>
      <x:c r="E90" s="64" t="n">
        <x:f>$H$81</x:f>
        <x:v>100</x:v>
      </x:c>
      <x:c r="F90" s="59" t="n">
        <x:v>1</x:v>
      </x:c>
      <x:c r="G90" s="34" t="n">
        <x:f>IF(AND(ISNUMBER(E90),E90&gt;0,ISNUMBER($B$81),$B$81&gt;=0,$B$81&lt;1,ISNUMBER($D$81),$D$81&gt;=0,$D$81&lt;=1,ISNUMBER(F90),F90&gt;=0,F90&lt;=1,ISNUMBER(J90),J90&gt;=0,J90&lt;=1),D90/E90*1000,NA())</x:f>
        <x:v>2.17448448</x:v>
      </x:c>
      <x:c r="H90" s="34" t="n">
        <x:f>G90+I90</x:f>
        <x:v>2.4160938666666665</x:v>
      </x:c>
      <x:c r="I90" s="34" t="n">
        <x:f>G90*F90*$D$81*$B$81/(1-$B$81)</x:f>
        <x:v>0.24160938666666665</x:v>
      </x:c>
      <x:c r="J90" s="59" t="n">
        <x:v>1</x:v>
      </x:c>
      <x:c r="K90" s="34" t="n">
        <x:f>I90*J90</x:f>
        <x:v>0.24160938666666665</x:v>
      </x:c>
      <x:c r="L90" s="30" t="str">
        <x:v>原通信行 56</x:v>
      </x:c>
    </x:row>
    <x:row r="91" ht="15" customHeight="1">
      <x:c r="A91" s="30" t="str">
        <x:v>DSA CP</x:v>
      </x:c>
      <x:c r="B91" s="30" t="str">
        <x:v>Sparse Attention</x:v>
      </x:c>
      <x:c r="C91" s="30" t="str">
        <x:v>恢复 TP Head Layout</x:v>
      </x:c>
      <x:c r="D91" s="34" t="n">
        <x:f>(K57*2^20)/1e9</x:f>
        <x:v>0.072482816</x:v>
      </x:c>
      <x:c r="E91" s="64" t="n">
        <x:f>$H$81</x:f>
        <x:v>100</x:v>
      </x:c>
      <x:c r="F91" s="59" t="n">
        <x:v>1</x:v>
      </x:c>
      <x:c r="G91" s="34" t="n">
        <x:f>IF(AND(ISNUMBER(E91),E91&gt;0,ISNUMBER($B$81),$B$81&gt;=0,$B$81&lt;1,ISNUMBER($D$81),$D$81&gt;=0,$D$81&lt;=1,ISNUMBER(F91),F91&gt;=0,F91&lt;=1,ISNUMBER(J91),J91&gt;=0,J91&lt;=1),D91/E91*1000,NA())</x:f>
        <x:v>0.72482816</x:v>
      </x:c>
      <x:c r="H91" s="34" t="n">
        <x:f>G91+I91</x:f>
        <x:v>0.8053646222222223</x:v>
      </x:c>
      <x:c r="I91" s="34" t="n">
        <x:f>G91*F91*$D$81*$B$81/(1-$B$81)</x:f>
        <x:v>0.08053646222222223</x:v>
      </x:c>
      <x:c r="J91" s="59" t="n">
        <x:v>1</x:v>
      </x:c>
      <x:c r="K91" s="34" t="n">
        <x:f>I91*J91</x:f>
        <x:v>0.08053646222222223</x:v>
      </x:c>
      <x:c r="L91" s="30" t="str">
        <x:v>原通信行 57</x:v>
      </x:c>
    </x:row>
    <x:row r="92" ht="15" customHeight="1">
      <x:c r="A92" s="30" t="str">
        <x:v>DSA CP</x:v>
      </x:c>
      <x:c r="B92" s="30" t="str">
        <x:v>Indexer</x:v>
      </x:c>
      <x:c r="C92" s="30" t="str">
        <x:v>Top-k Index</x:v>
      </x:c>
      <x:c r="D92" s="34" t="n">
        <x:f>(K58*2^20)/1e9</x:f>
        <x:v>0.040370176</x:v>
      </x:c>
      <x:c r="E92" s="64" t="n">
        <x:f>$H$81</x:f>
        <x:v>100</x:v>
      </x:c>
      <x:c r="F92" s="59" t="n">
        <x:v>1</x:v>
      </x:c>
      <x:c r="G92" s="34" t="n">
        <x:f>IF(AND(ISNUMBER(E92),E92&gt;0,ISNUMBER($B$81),$B$81&gt;=0,$B$81&lt;1,ISNUMBER($D$81),$D$81&gt;=0,$D$81&lt;=1,ISNUMBER(F92),F92&gt;=0,F92&lt;=1,ISNUMBER(J92),J92&gt;=0,J92&lt;=1),D92/E92*1000,NA())</x:f>
        <x:v>0.40370176</x:v>
      </x:c>
      <x:c r="H92" s="34" t="n">
        <x:f>G92+I92</x:f>
        <x:v>0.44855751111111114</x:v>
      </x:c>
      <x:c r="I92" s="34" t="n">
        <x:f>G92*F92*$D$81*$B$81/(1-$B$81)</x:f>
        <x:v>0.04485575111111112</x:v>
      </x:c>
      <x:c r="J92" s="59" t="n">
        <x:v>1</x:v>
      </x:c>
      <x:c r="K92" s="34" t="n">
        <x:f>I92*J92</x:f>
        <x:v>0.04485575111111112</x:v>
      </x:c>
      <x:c r="L92" s="30" t="str">
        <x:v>原通信行 58</x:v>
      </x:c>
    </x:row>
    <x:row r="93" ht="15" customHeight="1">
      <x:c r="A93" s="30" t="str">
        <x:v>O Proj TP</x:v>
      </x:c>
      <x:c r="B93" s="30" t="str">
        <x:v>Sparse Attention</x:v>
      </x:c>
      <x:c r="C93" s="30" t="str">
        <x:v>DSA CP 关闭</x:v>
      </x:c>
      <x:c r="D93" s="34" t="n">
        <x:f>(K59*2^20)/1e9</x:f>
        <x:v>0</x:v>
      </x:c>
      <x:c r="E93" s="64" t="n">
        <x:f>$H$81</x:f>
        <x:v>100</x:v>
      </x:c>
      <x:c r="F93" s="59" t="n">
        <x:v>1</x:v>
      </x:c>
      <x:c r="G93" s="34" t="n">
        <x:f>IF(AND(ISNUMBER(E93),E93&gt;0,ISNUMBER($B$81),$B$81&gt;=0,$B$81&lt;1,ISNUMBER($D$81),$D$81&gt;=0,$D$81&lt;=1,ISNUMBER(F93),F93&gt;=0,F93&lt;=1,ISNUMBER(J93),J93&gt;=0,J93&lt;=1),D93/E93*1000,NA())</x:f>
        <x:v>0</x:v>
      </x:c>
      <x:c r="H93" s="34" t="n">
        <x:f>G93+I93</x:f>
        <x:v>0</x:v>
      </x:c>
      <x:c r="I93" s="34" t="n">
        <x:f>G93*F93*$D$81*$B$81/(1-$B$81)</x:f>
        <x:v>0</x:v>
      </x:c>
      <x:c r="J93" s="59" t="n">
        <x:v>1</x:v>
      </x:c>
      <x:c r="K93" s="34" t="n">
        <x:f>I93*J93</x:f>
        <x:v>0</x:v>
      </x:c>
      <x:c r="L93" s="30" t="str">
        <x:v>原通信行 59</x:v>
      </x:c>
    </x:row>
    <x:row r="94" ht="15" customHeight="1">
      <x:c r="A94" s="30" t="str">
        <x:v>SP</x:v>
      </x:c>
      <x:c r="B94" s="30" t="str">
        <x:v>Dense MLP</x:v>
      </x:c>
      <x:c r="C94" s="30" t="str">
        <x:v>Down Proj 输出</x:v>
      </x:c>
      <x:c r="D94" s="34" t="n">
        <x:f>(K60*2^20)/1e9</x:f>
        <x:v>0.002064384</x:v>
      </x:c>
      <x:c r="E94" s="64" t="n">
        <x:f>$H$81</x:f>
        <x:v>100</x:v>
      </x:c>
      <x:c r="F94" s="59" t="n">
        <x:v>1</x:v>
      </x:c>
      <x:c r="G94" s="34" t="n">
        <x:f>IF(AND(ISNUMBER(E94),E94&gt;0,ISNUMBER($B$81),$B$81&gt;=0,$B$81&lt;1,ISNUMBER($D$81),$D$81&gt;=0,$D$81&lt;=1,ISNUMBER(F94),F94&gt;=0,F94&lt;=1,ISNUMBER(J94),J94&gt;=0,J94&lt;=1),D94/E94*1000,NA())</x:f>
        <x:v>0.02064384</x:v>
      </x:c>
      <x:c r="H94" s="34" t="n">
        <x:f>G94+I94</x:f>
        <x:v>0.0229376</x:v>
      </x:c>
      <x:c r="I94" s="34" t="n">
        <x:f>G94*F94*$D$81*$B$81/(1-$B$81)</x:f>
        <x:v>0.00229376</x:v>
      </x:c>
      <x:c r="J94" s="59" t="n">
        <x:v>1</x:v>
      </x:c>
      <x:c r="K94" s="34" t="n">
        <x:f>I94*J94</x:f>
        <x:v>0.00229376</x:v>
      </x:c>
      <x:c r="L94" s="30" t="str">
        <x:v>原通信行 60</x:v>
      </x:c>
    </x:row>
    <x:row r="95" ht="15" customHeight="1">
      <x:c r="A95" s="30" t="str">
        <x:v>EP</x:v>
      </x:c>
      <x:c r="B95" s="30" t="str">
        <x:v>Routed Experts</x:v>
      </x:c>
      <x:c r="C95" s="30" t="str">
        <x:v>MC2 FullMesh Dispatch</x:v>
      </x:c>
      <x:c r="D95" s="34" t="n">
        <x:f>(IF(F61=2,E61/6144*H61*(ROUNDUP((ROUNDUP(6144*F61/32,0)*32+32)/480,0)*512),NA()))/1e9</x:f>
        <x:v>0.226623488</x:v>
      </x:c>
      <x:c r="E95" s="64" t="n">
        <x:f>$H$81</x:f>
        <x:v>100</x:v>
      </x:c>
      <x:c r="F95" s="59" t="n">
        <x:v>1</x:v>
      </x:c>
      <x:c r="G95" s="34" t="n">
        <x:f>IF(AND(ISNUMBER(E95),E95&gt;0,ISNUMBER($B$81),$B$81&gt;=0,$B$81&lt;1,ISNUMBER($D$81),$D$81&gt;=0,$D$81&lt;=1,ISNUMBER(F95),F95&gt;=0,F95&lt;=1,ISNUMBER(J95),J95&gt;=0,J95&lt;=1),D95/E95*1000,NA())</x:f>
        <x:v>2.2662348800000003</x:v>
      </x:c>
      <x:c r="H95" s="34" t="n">
        <x:f>G95+I95</x:f>
        <x:v>2.5180387555555557</x:v>
      </x:c>
      <x:c r="I95" s="34" t="n">
        <x:f>G95*F95*$D$81*$B$81/(1-$B$81)</x:f>
        <x:v>0.2518038755555556</x:v>
      </x:c>
      <x:c r="J95" s="59" t="n">
        <x:v>1</x:v>
      </x:c>
      <x:c r="K95" s="34" t="n">
        <x:f>I95*J95</x:f>
        <x:v>0.2518038755555556</x:v>
      </x:c>
      <x:c r="L95" s="30" t="str">
        <x:v>原通信行 61</x:v>
      </x:c>
    </x:row>
    <x:row r="96" ht="15" customHeight="1">
      <x:c r="A96" s="30" t="str">
        <x:v>EP</x:v>
      </x:c>
      <x:c r="B96" s="30" t="str">
        <x:v>Routed Experts</x:v>
      </x:c>
      <x:c r="C96" s="30" t="str">
        <x:v>MC2 Combine + flags</x:v>
      </x:c>
      <x:c r="D96" s="34" t="n">
        <x:f>(IF(F62=2,K62*2^20+E62/6144*H62*32,NA()))/1e9</x:f>
        <x:v>0.20973568</x:v>
      </x:c>
      <x:c r="E96" s="64" t="n">
        <x:f>$H$81</x:f>
        <x:v>100</x:v>
      </x:c>
      <x:c r="F96" s="59" t="n">
        <x:v>1</x:v>
      </x:c>
      <x:c r="G96" s="34" t="n">
        <x:f>IF(AND(ISNUMBER(E96),E96&gt;0,ISNUMBER($B$81),$B$81&gt;=0,$B$81&lt;1,ISNUMBER($D$81),$D$81&gt;=0,$D$81&lt;=1,ISNUMBER(F96),F96&gt;=0,F96&lt;=1,ISNUMBER(J96),J96&gt;=0,J96&lt;=1),D96/E96*1000,NA())</x:f>
        <x:v>2.0973568</x:v>
      </x:c>
      <x:c r="H96" s="34" t="n">
        <x:f>G96+I96</x:f>
        <x:v>2.3303964444444443</x:v>
      </x:c>
      <x:c r="I96" s="34" t="n">
        <x:f>G96*F96*$D$81*$B$81/(1-$B$81)</x:f>
        <x:v>0.23303964444444444</x:v>
      </x:c>
      <x:c r="J96" s="59" t="n">
        <x:v>1</x:v>
      </x:c>
      <x:c r="K96" s="34" t="n">
        <x:f>I96*J96</x:f>
        <x:v>0.23303964444444444</x:v>
      </x:c>
      <x:c r="L96" s="30" t="str">
        <x:v>原通信行 62</x:v>
      </x:c>
    </x:row>
    <x:row r="97" ht="15" customHeight="1">
      <x:c r="A97" s="30" t="str">
        <x:v>DP</x:v>
      </x:c>
      <x:c r="B97" s="30" t="str">
        <x:v>MoE</x:v>
      </x:c>
      <x:c r="C97" s="30" t="str">
        <x:v>Hidden 输入</x:v>
      </x:c>
      <x:c r="D97" s="34" t="n">
        <x:f>(K63*2^20)/1e9</x:f>
        <x:v>0</x:v>
      </x:c>
      <x:c r="E97" s="64" t="n">
        <x:f>$H$81</x:f>
        <x:v>100</x:v>
      </x:c>
      <x:c r="F97" s="59" t="n">
        <x:v>1</x:v>
      </x:c>
      <x:c r="G97" s="34" t="n">
        <x:f>IF(AND(ISNUMBER(E97),E97&gt;0,ISNUMBER($B$81),$B$81&gt;=0,$B$81&lt;1,ISNUMBER($D$81),$D$81&gt;=0,$D$81&lt;=1,ISNUMBER(F97),F97&gt;=0,F97&lt;=1,ISNUMBER(J97),J97&gt;=0,J97&lt;=1),D97/E97*1000,NA())</x:f>
        <x:v>0</x:v>
      </x:c>
      <x:c r="H97" s="34" t="n">
        <x:f>G97+I97</x:f>
        <x:v>0</x:v>
      </x:c>
      <x:c r="I97" s="34" t="n">
        <x:f>G97*F97*$D$81*$B$81/(1-$B$81)</x:f>
        <x:v>0</x:v>
      </x:c>
      <x:c r="J97" s="59" t="n">
        <x:v>1</x:v>
      </x:c>
      <x:c r="K97" s="34" t="n">
        <x:f>I97*J97</x:f>
        <x:v>0</x:v>
      </x:c>
      <x:c r="L97" s="30" t="str">
        <x:v>原通信行 63</x:v>
      </x:c>
    </x:row>
    <x:row r="98" ht="15" customHeight="1">
      <x:c r="A98" s="30" t="str">
        <x:v>DP</x:v>
      </x:c>
      <x:c r="B98" s="30" t="str">
        <x:v>MoE Router</x:v>
      </x:c>
      <x:c r="C98" s="30" t="str">
        <x:v>Router Logits</x:v>
      </x:c>
      <x:c r="D98" s="34" t="n">
        <x:f>(K64*2^20)/1e9</x:f>
        <x:v>0</x:v>
      </x:c>
      <x:c r="E98" s="64" t="n">
        <x:f>$H$81</x:f>
        <x:v>100</x:v>
      </x:c>
      <x:c r="F98" s="59" t="n">
        <x:v>1</x:v>
      </x:c>
      <x:c r="G98" s="34" t="n">
        <x:f>IF(AND(ISNUMBER(E98),E98&gt;0,ISNUMBER($B$81),$B$81&gt;=0,$B$81&lt;1,ISNUMBER($D$81),$D$81&gt;=0,$D$81&lt;=1,ISNUMBER(F98),F98&gt;=0,F98&lt;=1,ISNUMBER(J98),J98&gt;=0,J98&lt;=1),D98/E98*1000,NA())</x:f>
        <x:v>0</x:v>
      </x:c>
      <x:c r="H98" s="34" t="n">
        <x:f>G98+I98</x:f>
        <x:v>0</x:v>
      </x:c>
      <x:c r="I98" s="34" t="n">
        <x:f>G98*F98*$D$81*$B$81/(1-$B$81)</x:f>
        <x:v>0</x:v>
      </x:c>
      <x:c r="J98" s="59" t="n">
        <x:v>1</x:v>
      </x:c>
      <x:c r="K98" s="34" t="n">
        <x:f>I98*J98</x:f>
        <x:v>0</x:v>
      </x:c>
      <x:c r="L98" s="30" t="str">
        <x:v>原通信行 64</x:v>
      </x:c>
    </x:row>
    <x:row r="99" ht="15" customHeight="1">
      <x:c r="A99" s="30" t="str">
        <x:v>DP</x:v>
      </x:c>
      <x:c r="B99" s="30" t="str">
        <x:v>MoE</x:v>
      </x:c>
      <x:c r="C99" s="30" t="str">
        <x:v>Routed Expert 输出</x:v>
      </x:c>
      <x:c r="D99" s="34" t="n">
        <x:f>(K65*2^20)/1e9</x:f>
        <x:v>0</x:v>
      </x:c>
      <x:c r="E99" s="64" t="n">
        <x:f>$H$81</x:f>
        <x:v>100</x:v>
      </x:c>
      <x:c r="F99" s="59" t="n">
        <x:v>1</x:v>
      </x:c>
      <x:c r="G99" s="34" t="n">
        <x:f>IF(AND(ISNUMBER(E99),E99&gt;0,ISNUMBER($B$81),$B$81&gt;=0,$B$81&lt;1,ISNUMBER($D$81),$D$81&gt;=0,$D$81&lt;=1,ISNUMBER(F99),F99&gt;=0,F99&lt;=1,ISNUMBER(J99),J99&gt;=0,J99&lt;=1),D99/E99*1000,NA())</x:f>
        <x:v>0</x:v>
      </x:c>
      <x:c r="H99" s="34" t="n">
        <x:f>G99+I99</x:f>
        <x:v>0</x:v>
      </x:c>
      <x:c r="I99" s="34" t="n">
        <x:f>G99*F99*$D$81*$B$81/(1-$B$81)</x:f>
        <x:v>0</x:v>
      </x:c>
      <x:c r="J99" s="59" t="n">
        <x:v>1</x:v>
      </x:c>
      <x:c r="K99" s="34" t="n">
        <x:f>I99*J99</x:f>
        <x:v>0</x:v>
      </x:c>
      <x:c r="L99" s="30" t="str">
        <x:v>原通信行 65</x:v>
      </x:c>
    </x:row>
    <x:row r="100" ht="15" customHeight="1">
      <x:c r="A100" s="30" t="str">
        <x:v>共享专家 TP</x:v>
      </x:c>
      <x:c r="B100" s="30" t="str">
        <x:v>Shared Experts</x:v>
      </x:c>
      <x:c r="C100" s="30" t="str">
        <x:v>SP 输入</x:v>
      </x:c>
      <x:c r="D100" s="34" t="n">
        <x:f>(K66*2^20)/1e9</x:f>
        <x:v>0.209190912</x:v>
      </x:c>
      <x:c r="E100" s="64" t="n">
        <x:f>$H$81</x:f>
        <x:v>100</x:v>
      </x:c>
      <x:c r="F100" s="59" t="n">
        <x:v>1</x:v>
      </x:c>
      <x:c r="G100" s="34" t="n">
        <x:f>IF(AND(ISNUMBER(E100),E100&gt;0,ISNUMBER($B$81),$B$81&gt;=0,$B$81&lt;1,ISNUMBER($D$81),$D$81&gt;=0,$D$81&lt;=1,ISNUMBER(F100),F100&gt;=0,F100&lt;=1,ISNUMBER(J100),J100&gt;=0,J100&lt;=1),D100/E100*1000,NA())</x:f>
        <x:v>2.0919091200000004</x:v>
      </x:c>
      <x:c r="H100" s="34" t="n">
        <x:f>G100+I100</x:f>
        <x:v>2.324343466666667</x:v>
      </x:c>
      <x:c r="I100" s="34" t="n">
        <x:f>G100*F100*$D$81*$B$81/(1-$B$81)</x:f>
        <x:v>0.23243434666666674</x:v>
      </x:c>
      <x:c r="J100" s="59" t="n">
        <x:v>1</x:v>
      </x:c>
      <x:c r="K100" s="34" t="n">
        <x:f>I100*J100</x:f>
        <x:v>0.23243434666666674</x:v>
      </x:c>
      <x:c r="L100" s="30" t="str">
        <x:v>原通信行 66</x:v>
      </x:c>
    </x:row>
    <x:row r="101" ht="15" customHeight="1">
      <x:c r="A101" s="30" t="str">
        <x:v>共享专家 TP</x:v>
      </x:c>
      <x:c r="B101" s="30" t="str">
        <x:v>Shared Experts</x:v>
      </x:c>
      <x:c r="C101" s="30" t="str">
        <x:v>SP 输出</x:v>
      </x:c>
      <x:c r="D101" s="34" t="n">
        <x:f>(K67*2^20)/1e9</x:f>
        <x:v>0.209190912</x:v>
      </x:c>
      <x:c r="E101" s="64" t="n">
        <x:f>$H$81</x:f>
        <x:v>100</x:v>
      </x:c>
      <x:c r="F101" s="59" t="n">
        <x:v>1</x:v>
      </x:c>
      <x:c r="G101" s="34" t="n">
        <x:f>IF(AND(ISNUMBER(E101),E101&gt;0,ISNUMBER($B$81),$B$81&gt;=0,$B$81&lt;1,ISNUMBER($D$81),$D$81&gt;=0,$D$81&lt;=1,ISNUMBER(F101),F101&gt;=0,F101&lt;=1,ISNUMBER(J101),J101&gt;=0,J101&lt;=1),D101/E101*1000,NA())</x:f>
        <x:v>2.0919091200000004</x:v>
      </x:c>
      <x:c r="H101" s="34" t="n">
        <x:f>G101+I101</x:f>
        <x:v>2.324343466666667</x:v>
      </x:c>
      <x:c r="I101" s="34" t="n">
        <x:f>G101*F101*$D$81*$B$81/(1-$B$81)</x:f>
        <x:v>0.23243434666666674</x:v>
      </x:c>
      <x:c r="J101" s="59" t="n">
        <x:v>1</x:v>
      </x:c>
      <x:c r="K101" s="34" t="n">
        <x:f>I101*J101</x:f>
        <x:v>0.23243434666666674</x:v>
      </x:c>
      <x:c r="L101" s="30" t="str">
        <x:v>原通信行 67</x:v>
      </x:c>
    </x:row>
    <x:row r="102" ht="15" customHeight="1">
      <x:c r="A102" s="30" t="str">
        <x:v>共享专家 TP</x:v>
      </x:c>
      <x:c r="B102" s="30" t="str">
        <x:v>Shared Experts</x:v>
      </x:c>
      <x:c r="C102" s="30" t="str">
        <x:v>非 SP 输出</x:v>
      </x:c>
      <x:c r="D102" s="34" t="n">
        <x:f>(K68*2^20)/1e9</x:f>
        <x:v>0</x:v>
      </x:c>
      <x:c r="E102" s="64" t="n">
        <x:f>$H$81</x:f>
        <x:v>100</x:v>
      </x:c>
      <x:c r="F102" s="59" t="n">
        <x:v>1</x:v>
      </x:c>
      <x:c r="G102" s="34" t="n">
        <x:f>IF(AND(ISNUMBER(E102),E102&gt;0,ISNUMBER($B$81),$B$81&gt;=0,$B$81&lt;1,ISNUMBER($D$81),$D$81&gt;=0,$D$81&lt;=1,ISNUMBER(F102),F102&gt;=0,F102&lt;=1,ISNUMBER(J102),J102&gt;=0,J102&lt;=1),D102/E102*1000,NA())</x:f>
        <x:v>0</x:v>
      </x:c>
      <x:c r="H102" s="34" t="n">
        <x:f>G102+I102</x:f>
        <x:v>0</x:v>
      </x:c>
      <x:c r="I102" s="34" t="n">
        <x:f>G102*F102*$D$81*$B$81/(1-$B$81)</x:f>
        <x:v>0</x:v>
      </x:c>
      <x:c r="J102" s="59" t="n">
        <x:v>1</x:v>
      </x:c>
      <x:c r="K102" s="34" t="n">
        <x:f>I102*J102</x:f>
        <x:v>0</x:v>
      </x:c>
      <x:c r="L102" s="30" t="str">
        <x:v>原通信行 68</x:v>
      </x:c>
    </x:row>
    <x:row r="103" ht="15" customHeight="1">
      <x:c r="A103" s="30" t="str">
        <x:v>SP</x:v>
      </x:c>
      <x:c r="B103" s="30" t="str">
        <x:v>Model Output</x:v>
      </x:c>
      <x:c r="C103" s="30" t="str">
        <x:v>Final Norm 后</x:v>
      </x:c>
      <x:c r="D103" s="34" t="n">
        <x:f>(K69*2^20)/1e9</x:f>
        <x:v>0.002752512</x:v>
      </x:c>
      <x:c r="E103" s="64" t="n">
        <x:f>$H$81</x:f>
        <x:v>100</x:v>
      </x:c>
      <x:c r="F103" s="59" t="n">
        <x:v>1</x:v>
      </x:c>
      <x:c r="G103" s="34" t="n">
        <x:f>IF(AND(ISNUMBER(E103),E103&gt;0,ISNUMBER($B$81),$B$81&gt;=0,$B$81&lt;1,ISNUMBER($D$81),$D$81&gt;=0,$D$81&lt;=1,ISNUMBER(F103),F103&gt;=0,F103&lt;=1,ISNUMBER(J103),J103&gt;=0,J103&lt;=1),D103/E103*1000,NA())</x:f>
        <x:v>0.02752512</x:v>
      </x:c>
      <x:c r="H103" s="34" t="n">
        <x:f>G103+I103</x:f>
        <x:v>0.030583466666666666</x:v>
      </x:c>
      <x:c r="I103" s="34" t="n">
        <x:f>G103*F103*$D$81*$B$81/(1-$B$81)</x:f>
        <x:v>0.003058346666666667</x:v>
      </x:c>
      <x:c r="J103" s="59" t="n">
        <x:v>1</x:v>
      </x:c>
      <x:c r="K103" s="34" t="n">
        <x:f>I103*J103</x:f>
        <x:v>0.003058346666666667</x:v>
      </x:c>
      <x:c r="L103" s="30" t="str">
        <x:v>原通信行 69</x:v>
      </x:c>
    </x:row>
    <x:row r="104" ht="15" customHeight="1">
      <x:c r="A104" s="30" t="str">
        <x:v>LM Head TP</x:v>
      </x:c>
      <x:c r="B104" s="30" t="str">
        <x:v>LM Head</x:v>
      </x:c>
      <x:c r="C104" s="30" t="str">
        <x:v>完整 Logits</x:v>
      </x:c>
      <x:c r="D104" s="34" t="n">
        <x:f>(K70*2^20)/1e9</x:f>
        <x:v>0</x:v>
      </x:c>
      <x:c r="E104" s="64" t="n">
        <x:f>$H$81</x:f>
        <x:v>100</x:v>
      </x:c>
      <x:c r="F104" s="59" t="n">
        <x:v>1</x:v>
      </x:c>
      <x:c r="G104" s="34" t="n">
        <x:f>IF(AND(ISNUMBER(E104),E104&gt;0,ISNUMBER($B$81),$B$81&gt;=0,$B$81&lt;1,ISNUMBER($D$81),$D$81&gt;=0,$D$81&lt;=1,ISNUMBER(F104),F104&gt;=0,F104&lt;=1,ISNUMBER(J104),J104&gt;=0,J104&lt;=1),D104/E104*1000,NA())</x:f>
        <x:v>0</x:v>
      </x:c>
      <x:c r="H104" s="34" t="n">
        <x:f>G104+I104</x:f>
        <x:v>0</x:v>
      </x:c>
      <x:c r="I104" s="34" t="n">
        <x:f>G104*F104*$D$81*$B$81/(1-$B$81)</x:f>
        <x:v>0</x:v>
      </x:c>
      <x:c r="J104" s="59" t="n">
        <x:v>1</x:v>
      </x:c>
      <x:c r="K104" s="34" t="n">
        <x:f>I104*J104</x:f>
        <x:v>0</x:v>
      </x:c>
      <x:c r="L104" s="30" t="str">
        <x:v>原通信行 70</x:v>
      </x:c>
    </x:row>
    <x:row r="105" ht="15" customHeight="1">
      <x:c r="A105" s="30" t="str">
        <x:v>LM Head TP</x:v>
      </x:c>
      <x:c r="B105" s="30" t="str">
        <x:v>LM Head</x:v>
      </x:c>
      <x:c r="C105" s="30" t="str">
        <x:v>Reduce Sample</x:v>
      </x:c>
      <x:c r="D105" s="34" t="n">
        <x:f>(K71*2^20)/1e9</x:f>
        <x:v>0.002752512</x:v>
      </x:c>
      <x:c r="E105" s="64" t="n">
        <x:f>$H$81</x:f>
        <x:v>100</x:v>
      </x:c>
      <x:c r="F105" s="59" t="n">
        <x:v>1</x:v>
      </x:c>
      <x:c r="G105" s="34" t="n">
        <x:f>IF(AND(ISNUMBER(E105),E105&gt;0,ISNUMBER($B$81),$B$81&gt;=0,$B$81&lt;1,ISNUMBER($D$81),$D$81&gt;=0,$D$81&lt;=1,ISNUMBER(F105),F105&gt;=0,F105&lt;=1,ISNUMBER(J105),J105&gt;=0,J105&lt;=1),D105/E105*1000,NA())</x:f>
        <x:v>0.02752512</x:v>
      </x:c>
      <x:c r="H105" s="34" t="n">
        <x:f>G105+I105</x:f>
        <x:v>0.030583466666666666</x:v>
      </x:c>
      <x:c r="I105" s="34" t="n">
        <x:f>G105*F105*$D$81*$B$81/(1-$B$81)</x:f>
        <x:v>0.003058346666666667</x:v>
      </x:c>
      <x:c r="J105" s="59" t="n">
        <x:v>1</x:v>
      </x:c>
      <x:c r="K105" s="34" t="n">
        <x:f>I105*J105</x:f>
        <x:v>0.003058346666666667</x:v>
      </x:c>
      <x:c r="L105" s="30" t="str">
        <x:v>原通信行 71</x:v>
      </x:c>
    </x:row>
    <x:row r="106" ht="15" customHeight="1">
      <x:c r="A106" s="30" t="str">
        <x:v>Fine LM Head TP</x:v>
      </x:c>
      <x:c r="B106" s="30" t="str">
        <x:v>LM Head</x:v>
      </x:c>
      <x:c r="C106" s="30" t="str">
        <x:v>Hidden 输入</x:v>
      </x:c>
      <x:c r="D106" s="34" t="n">
        <x:f>(K72*2^20)/1e9</x:f>
        <x:v>0</x:v>
      </x:c>
      <x:c r="E106" s="64" t="n">
        <x:f>$H$81</x:f>
        <x:v>100</x:v>
      </x:c>
      <x:c r="F106" s="59" t="n">
        <x:v>1</x:v>
      </x:c>
      <x:c r="G106" s="34" t="n">
        <x:f>IF(AND(ISNUMBER(E106),E106&gt;0,ISNUMBER($B$81),$B$81&gt;=0,$B$81&lt;1,ISNUMBER($D$81),$D$81&gt;=0,$D$81&lt;=1,ISNUMBER(F106),F106&gt;=0,F106&lt;=1,ISNUMBER(J106),J106&gt;=0,J106&lt;=1),D106/E106*1000,NA())</x:f>
        <x:v>0</x:v>
      </x:c>
      <x:c r="H106" s="34" t="n">
        <x:f>G106+I106</x:f>
        <x:v>0</x:v>
      </x:c>
      <x:c r="I106" s="34" t="n">
        <x:f>G106*F106*$D$81*$B$81/(1-$B$81)</x:f>
        <x:v>0</x:v>
      </x:c>
      <x:c r="J106" s="59" t="n">
        <x:v>1</x:v>
      </x:c>
      <x:c r="K106" s="34" t="n">
        <x:f>I106*J106</x:f>
        <x:v>0</x:v>
      </x:c>
      <x:c r="L106" s="30" t="str">
        <x:v>原通信行 72</x:v>
      </x:c>
    </x:row>
    <x:row r="107" ht="15" customHeight="1">
      <x:c r="A107" s="30" t="str">
        <x:v>Fine LM Head TP</x:v>
      </x:c>
      <x:c r="B107" s="30" t="str">
        <x:v>LM Head</x:v>
      </x:c>
      <x:c r="C107" s="30" t="str">
        <x:v>完整 Logits</x:v>
      </x:c>
      <x:c r="D107" s="34" t="n">
        <x:f>(K73*2^20)/1e9</x:f>
        <x:v>0</x:v>
      </x:c>
      <x:c r="E107" s="64" t="n">
        <x:f>$H$81</x:f>
        <x:v>100</x:v>
      </x:c>
      <x:c r="F107" s="59" t="n">
        <x:v>1</x:v>
      </x:c>
      <x:c r="G107" s="34" t="n">
        <x:f>IF(AND(ISNUMBER(E107),E107&gt;0,ISNUMBER($B$81),$B$81&gt;=0,$B$81&lt;1,ISNUMBER($D$81),$D$81&gt;=0,$D$81&lt;=1,ISNUMBER(F107),F107&gt;=0,F107&lt;=1,ISNUMBER(J107),J107&gt;=0,J107&lt;=1),D107/E107*1000,NA())</x:f>
        <x:v>0</x:v>
      </x:c>
      <x:c r="H107" s="34" t="n">
        <x:f>G107+I107</x:f>
        <x:v>0</x:v>
      </x:c>
      <x:c r="I107" s="34" t="n">
        <x:f>G107*F107*$D$81*$B$81/(1-$B$81)</x:f>
        <x:v>0</x:v>
      </x:c>
      <x:c r="J107" s="59" t="n">
        <x:v>1</x:v>
      </x:c>
      <x:c r="K107" s="34" t="n">
        <x:f>I107*J107</x:f>
        <x:v>0</x:v>
      </x:c>
      <x:c r="L107" s="30" t="str">
        <x:v>原通信行 73</x:v>
      </x:c>
    </x:row>
    <x:row r="108" ht="15" customHeight="1">
      <x:c r="A108" s="30" t="str">
        <x:v>Fine LM Head TP</x:v>
      </x:c>
      <x:c r="B108" s="30" t="str">
        <x:v>LM Head</x:v>
      </x:c>
      <x:c r="C108" s="30" t="str">
        <x:v>Reduce Sample</x:v>
      </x:c>
      <x:c r="D108" s="34" t="n">
        <x:f>(K74*2^20)/1e9</x:f>
        <x:v>0</x:v>
      </x:c>
      <x:c r="E108" s="64" t="n">
        <x:f>$H$81</x:f>
        <x:v>100</x:v>
      </x:c>
      <x:c r="F108" s="59" t="n">
        <x:v>1</x:v>
      </x:c>
      <x:c r="G108" s="34" t="n">
        <x:f>IF(AND(ISNUMBER(E108),E108&gt;0,ISNUMBER($B$81),$B$81&gt;=0,$B$81&lt;1,ISNUMBER($D$81),$D$81&gt;=0,$D$81&lt;=1,ISNUMBER(F108),F108&gt;=0,F108&lt;=1,ISNUMBER(J108),J108&gt;=0,J108&lt;=1),D108/E108*1000,NA())</x:f>
        <x:v>0</x:v>
      </x:c>
      <x:c r="H108" s="34" t="n">
        <x:f>G108+I108</x:f>
        <x:v>0</x:v>
      </x:c>
      <x:c r="I108" s="34" t="n">
        <x:f>G108*F108*$D$81*$B$81/(1-$B$81)</x:f>
        <x:v>0</x:v>
      </x:c>
      <x:c r="J108" s="59" t="n">
        <x:v>1</x:v>
      </x:c>
      <x:c r="K108" s="34" t="n">
        <x:f>I108*J108</x:f>
        <x:v>0</x:v>
      </x:c>
      <x:c r="L108" s="30" t="str">
        <x:v>原通信行 74</x:v>
      </x:c>
    </x:row>
    <x:row r="109" ht="15" customHeight="1">
      <x:c r="A109" s="30" t="str">
        <x:v>EP</x:v>
      </x:c>
      <x:c r="B109" s="30" t="str">
        <x:v>MoE 计数</x:v>
      </x:c>
      <x:c r="C109" s="30" t="str">
        <x:v>MC2 count 写入</x:v>
      </x:c>
      <x:c r="D109" s="34" t="n">
        <x:f>(IF(E61=0,0,H61*ROUNDUP(256/G61,0)*(G61-1)*32))/1e9</x:f>
        <x:v>0.000544768</x:v>
      </x:c>
      <x:c r="E109" s="64" t="n">
        <x:f>$H$81</x:f>
        <x:v>100</x:v>
      </x:c>
      <x:c r="F109" s="59" t="n">
        <x:v>1</x:v>
      </x:c>
      <x:c r="G109" s="34" t="n">
        <x:f>IF(AND(ISNUMBER(E109),E109&gt;0,ISNUMBER($B$81),$B$81&gt;=0,$B$81&lt;1,ISNUMBER($D$81),$D$81&gt;=0,$D$81&lt;=1,ISNUMBER(F109),F109&gt;=0,F109&lt;=1,ISNUMBER(J109),J109&gt;=0,J109&lt;=1),D109/E109*1000,NA())</x:f>
        <x:v>0.005447680000000001</x:v>
      </x:c>
      <x:c r="H109" s="34" t="n">
        <x:f>G109+I109</x:f>
        <x:v>0.006052977777777779</x:v>
      </x:c>
      <x:c r="I109" s="34" t="n">
        <x:f>G109*F109*$D$81*$B$81/(1-$B$81)</x:f>
        <x:v>0.0006052977777777778</x:v>
      </x:c>
      <x:c r="J109" s="59" t="n">
        <x:v>1</x:v>
      </x:c>
      <x:c r="K109" s="34" t="n">
        <x:f>I109*J109</x:f>
        <x:v>0.0006052977777777778</x:v>
      </x:c>
      <x:c r="L109" s="30" t="str">
        <x:v>额外控制量</x:v>
      </x:c>
    </x:row>
    <x:row r="110" ht="15" customHeight="1">
      <x:c r="A110" s="40" t="str">
        <x:v>所列事件串行相加</x:v>
      </x:c>
      <x:c r="B110" s="40"/>
      <x:c r="C110" s="40"/>
      <x:c r="D110" s="41" t="n">
        <x:f>SUM(D87:D109)</x:f>
        <x:v>1.1986616319999999</x:v>
      </x:c>
      <x:c r="E110" s="40"/>
      <x:c r="F110" s="40"/>
      <x:c r="G110" s="41" t="n">
        <x:f>SUM(G87:G109)</x:f>
        <x:v>11.98661632</x:v>
      </x:c>
      <x:c r="H110" s="41" t="n">
        <x:f>SUM(H87:H109)</x:f>
        <x:v>13.318462577777776</x:v>
      </x:c>
      <x:c r="I110" s="41" t="n">
        <x:f>SUM(I87:I109)</x:f>
        <x:v>1.331846257777778</x:v>
      </x:c>
      <x:c r="J110" s="40"/>
      <x:c r="K110" s="41" t="n">
        <x:f>SUM(K87:K109)</x:f>
        <x:v>1.331846257777778</x:v>
      </x:c>
      <x:c r="L110" s="40"/>
    </x:row>
  </x:sheetData>
  <x:conditionalFormatting sqref="L83:L83">
    <x:cfRule type="containsText" dxfId="1" priority="1" operator="containsText" text="不一致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E2F3"/>
  </x:sheetPr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2" customHeight="1">
      <x:c r="A1" s="30"/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</x:row>
    <x:row r="2" ht="22" customHeight="1">
      <x:c r="A2" s="42" t="str">
        <x:v>PD KV 传输：一分钟内的 Decode 通信暴露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</x:row>
    <x:row r="3" ht="22" customHeight="1">
      <x:c r="A3" s="30" t="str">
        <x:v>稳态相位平均估算。每层以等长 EP 通信段建模；未使用逐层 profiling，次数可为小数。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 ht="22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</x:row>
    <x:row r="5" ht="22" customHeight="1">
      <x:c r="A5" s="30" t="str">
        <x:v>每 P DP 请求数</x:v>
      </x:c>
      <x:c r="B5" s="66" t="n">
        <x:v>16</x:v>
      </x:c>
      <x:c r="C5" s="30"/>
      <x:c r="D5" s="30"/>
      <x:c r="E5" s="30" t="str">
        <x:v>P EP 组数</x:v>
      </x:c>
      <x:c r="F5" s="66" t="n">
        <x:v>1</x:v>
      </x:c>
      <x:c r="G5" s="30"/>
      <x:c r="H5" s="30"/>
      <x:c r="I5" s="30" t="str">
        <x:v>D EP 组数</x:v>
      </x:c>
      <x:c r="J5" s="66" t="n">
        <x:v>1</x:v>
      </x:c>
      <x:c r="K5" s="30"/>
      <x:c r="L5" s="30"/>
      <x:c r="M5" s="30" t="str">
        <x:v>KV 带宽 GB/s</x:v>
      </x:c>
      <x:c r="N5" s="67" t="n">
        <x:v>4800</x:v>
      </x:c>
      <x:c r="O5" s="30"/>
      <x:c r="P5" s="30"/>
      <x:c r="Q5" s="30"/>
      <x:c r="R5" s="30"/>
      <x:c r="S5" s="30"/>
      <x:c r="T5" s="30"/>
      <x:c r="U5" s="30"/>
      <x:c r="V5" s="30"/>
      <x:c r="W5" s="30"/>
      <x:c r="X5" s="30"/>
    </x:row>
    <x:row r="6" ht="22" customHeight="1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</x:row>
    <x:row r="7" ht="22" customHeight="1">
      <x:c r="A7" s="30" t="str">
        <x:v>D tokens/DP/步</x:v>
      </x:c>
      <x:c r="B7" s="66" t="n">
        <x:v>128</x:v>
      </x:c>
      <x:c r="C7" s="30"/>
      <x:c r="D7" s="30"/>
      <x:c r="E7" s="30" t="str">
        <x:v>产出 tokens/步</x:v>
      </x:c>
      <x:c r="F7" s="67" t="n">
        <x:v>1</x:v>
      </x:c>
      <x:c r="G7" s="30"/>
      <x:c r="H7" s="30"/>
      <x:c r="I7" s="30" t="str">
        <x:v>窗口内带宽降幅</x:v>
      </x:c>
      <x:c r="J7" s="68" t="n">
        <x:v>0.1</x:v>
      </x:c>
      <x:c r="K7" s="30"/>
      <x:c r="L7" s="30"/>
      <x:c r="M7" s="30" t="str">
        <x:v>EP 带宽 GB/s</x:v>
      </x:c>
      <x:c r="N7" s="67" t="n">
        <x:v>4800</x:v>
      </x:c>
      <x:c r="O7" s="30"/>
      <x:c r="P7" s="30"/>
      <x:c r="Q7" s="30"/>
      <x:c r="R7" s="30"/>
      <x:c r="S7" s="30"/>
      <x:c r="T7" s="30"/>
      <x:c r="U7" s="30"/>
      <x:c r="V7" s="30"/>
      <x:c r="W7" s="30"/>
      <x:c r="X7" s="30"/>
    </x:row>
    <x:row r="8" ht="22" customHeight="1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</x:row>
    <x:row r="9" ht="22" customHeight="1">
      <x:c r="A9" s="30" t="str">
        <x:v>每周期错峰批数</x:v>
      </x:c>
      <x:c r="B9" s="66" t="n">
        <x:v>1</x:v>
      </x:c>
      <x:c r="C9" s="30"/>
      <x:c r="D9" s="30"/>
      <x:c r="E9" s="30" t="str">
        <x:v>通信共享比例</x:v>
      </x:c>
      <x:c r="F9" s="68" t="n">
        <x:v>1</x:v>
      </x:c>
      <x:c r="G9" s="30"/>
      <x:c r="H9" s="30"/>
      <x:c r="I9" s="30" t="str">
        <x:v>关键路径暴露率</x:v>
      </x:c>
      <x:c r="J9" s="68" t="n">
        <x:v>1</x:v>
      </x:c>
      <x:c r="K9" s="30"/>
      <x:c r="L9" s="30"/>
      <x:c r="M9" s="30" t="str">
        <x:v>KV block tokens</x:v>
      </x:c>
      <x:c r="N9" s="66" t="n">
        <x:v>128</x:v>
      </x:c>
      <x:c r="O9" s="30"/>
      <x:c r="P9" s="30"/>
      <x:c r="Q9" s="30"/>
      <x:c r="R9" s="30"/>
      <x:c r="S9" s="30"/>
      <x:c r="T9" s="30"/>
      <x:c r="U9" s="30"/>
      <x:c r="V9" s="30"/>
      <x:c r="W9" s="30"/>
      <x:c r="X9" s="30"/>
    </x:row>
    <x:row r="10" ht="22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</x:row>
    <x:row r="11" ht="22" customHeight="1">
      <x:c r="A11" s="30" t="str">
        <x:v>Conv 额外 slots</x:v>
      </x:c>
      <x:c r="B11" s="66" t="n">
        <x:v>7</x:v>
      </x:c>
      <x:c r="C11" s="30"/>
      <x:c r="D11" s="30" t="str">
        <x:v>TTFT 暂作 P 批次间隔；步间隔＝TPOT×平均产出。每周期 1 批表示各 P DP 同步交接。</x:v>
      </x:c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</x:row>
    <x:row r="12" ht="22" customHeight="1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</x:row>
    <x:row r="13" ht="22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</x:row>
    <x:row r="14" ht="42" customHeight="1">
      <x:c r="A14" s="73" t="str">
        <x:v>输入场景</x:v>
      </x:c>
      <x:c r="B14" s="73" t="str">
        <x:v>输入 tokens</x:v>
      </x:c>
      <x:c r="C14" s="73" t="str">
        <x:v>TTFT / 周期 s</x:v>
      </x:c>
      <x:c r="D14" s="73" t="str"/>
      <x:c r="E14" s="73" t="str">
        <x:v>TPOT 档位</x:v>
      </x:c>
      <x:c r="F14" s="73" t="str">
        <x:v>TPOT ms</x:v>
      </x:c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</x:row>
    <x:row r="15" ht="22" customHeight="1">
      <x:c r="A15" s="30" t="str">
        <x:v>16K</x:v>
      </x:c>
      <x:c r="B15" s="66" t="n">
        <x:v>16384</x:v>
      </x:c>
      <x:c r="C15" s="67" t="n">
        <x:v>4</x:v>
      </x:c>
      <x:c r="D15" s="30"/>
      <x:c r="E15" s="30" t="n">
        <x:v>1</x:v>
      </x:c>
      <x:c r="F15" s="67" t="n">
        <x:v>5</x:v>
      </x:c>
      <x:c r="G15" s="30"/>
      <x:c r="H15" s="30" t="str">
        <x:v>黄色为输入；模型 / EP 带宽可在下表逐项覆盖。</x:v>
      </x:c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</x:row>
    <x:row r="16" ht="22" customHeight="1">
      <x:c r="A16" s="30" t="str">
        <x:v>256K</x:v>
      </x:c>
      <x:c r="B16" s="66" t="n">
        <x:v>262144</x:v>
      </x:c>
      <x:c r="C16" s="67" t="n">
        <x:v>20</x:v>
      </x:c>
      <x:c r="D16" s="30"/>
      <x:c r="E16" s="30" t="n">
        <x:v>2</x:v>
      </x:c>
      <x:c r="F16" s="67" t="n">
        <x:v>10</x:v>
      </x:c>
      <x:c r="G16" s="30"/>
      <x:c r="H16" s="30" t="str">
        <x:v>时间增量针对基线 60 秒工作量；不表示实测吞吐或 P99。</x:v>
      </x:c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</x:row>
    <x:row r="17" ht="22" customHeight="1">
      <x:c r="A17" s="30" t="str">
        <x:v>1M</x:v>
      </x:c>
      <x:c r="B17" s="66" t="n">
        <x:v>1048576</x:v>
      </x:c>
      <x:c r="C17" s="67" t="n">
        <x:v>60</x:v>
      </x:c>
      <x:c r="D17" s="30"/>
      <x:c r="E17" s="30" t="n">
        <x:v>3</x:v>
      </x:c>
      <x:c r="F17" s="67" t="n">
        <x:v>20</x:v>
      </x:c>
      <x:c r="G17" s="30"/>
      <x:c r="H17" s="30" t="str">
        <x:v>TTFT 只用于到达节奏，本页估算 D 侧 TPOT；P 耗时仍见原表。</x:v>
      </x:c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</x:row>
    <x:row r="18" ht="22" customHeight="1">
      <x:c r="A18" s="30"/>
      <x:c r="B18" s="30"/>
      <x:c r="C18" s="30"/>
      <x:c r="D18" s="30"/>
      <x:c r="E18" s="30" t="n">
        <x:v>4</x:v>
      </x:c>
      <x:c r="F18" s="67" t="n">
        <x:v>30</x:v>
      </x:c>
      <x:c r="G18" s="30"/>
      <x:c r="H18" s="30" t="str">
        <x:v>全 EP＝该步所有等效 EP 通信段都在 KV 窗口内；不代表整步持续时间都重叠。</x:v>
      </x:c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</x:row>
    <x:row r="19" ht="22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</x:row>
    <x:row r="20" ht="22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</x:row>
    <x:row r="21" ht="22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</x:row>
    <x:row r="22" ht="42" customHeight="1">
      <x:c r="A22" s="73" t="str">
        <x:v>模型</x:v>
      </x:c>
      <x:c r="B22" s="73" t="str">
        <x:v>EP</x:v>
      </x:c>
      <x:c r="C22" s="73" t="str">
        <x:v>P TP</x:v>
      </x:c>
      <x:c r="D22" s="73" t="str">
        <x:v>D TP</x:v>
      </x:c>
      <x:c r="E22" s="73" t="str">
        <x:v>MoE 层数</x:v>
      </x:c>
      <x:c r="F22" s="73" t="str">
        <x:v>Hidden</x:v>
      </x:c>
      <x:c r="G22" s="73" t="str">
        <x:v>TopK</x:v>
      </x:c>
      <x:c r="H22" s="73" t="str">
        <x:v>逻辑专家数</x:v>
      </x:c>
      <x:c r="I22" s="73" t="str">
        <x:v>EP GB/s 输入</x:v>
      </x:c>
      <x:c r="J22" s="73" t="str">
        <x:v>KV GB/s 输入</x:v>
      </x:c>
      <x:c r="K22" s="73" t="str">
        <x:v>D tokens/DP/步</x:v>
      </x:c>
      <x:c r="L22" s="73" t="str">
        <x:v>产出 tokens/步</x:v>
      </x:c>
      <x:c r="M22" s="73" t="str">
        <x:v>共享比例</x:v>
      </x:c>
      <x:c r="N22" s="73" t="str">
        <x:v>暴露率</x:v>
      </x:c>
      <x:c r="O22" s="73" t="str">
        <x:v>配置条件</x:v>
      </x:c>
      <x:c r="P22" s="30"/>
      <x:c r="Q22" s="30"/>
      <x:c r="R22" s="30"/>
      <x:c r="S22" s="30"/>
      <x:c r="T22" s="30"/>
      <x:c r="U22" s="30"/>
      <x:c r="V22" s="30"/>
      <x:c r="W22" s="30"/>
      <x:c r="X22" s="30"/>
    </x:row>
    <x:row r="23" ht="22" customHeight="1">
      <x:c r="A23" s="30" t="str">
        <x:v>GLM5.3</x:v>
      </x:c>
      <x:c r="B23" s="30" t="n">
        <x:v>32</x:v>
      </x:c>
      <x:c r="C23" s="30" t="n">
        <x:v>8</x:v>
      </x:c>
      <x:c r="D23" s="30" t="n">
        <x:v>1</x:v>
      </x:c>
      <x:c r="E23" s="30" t="n">
        <x:v>75</x:v>
      </x:c>
      <x:c r="F23" s="30" t="n">
        <x:v>6144</x:v>
      </x:c>
      <x:c r="G23" s="30" t="n">
        <x:v>8</x:v>
      </x:c>
      <x:c r="H23" s="30" t="n">
        <x:v>256</x:v>
      </x:c>
      <x:c r="I23" s="65" t="n">
        <x:f>$N$7</x:f>
        <x:v>4800</x:v>
      </x:c>
      <x:c r="J23" s="65" t="n">
        <x:f>$N$5</x:f>
        <x:v>4800</x:v>
      </x:c>
      <x:c r="K23" s="65" t="n">
        <x:f>$B$7</x:f>
        <x:v>128</x:v>
      </x:c>
      <x:c r="L23" s="65" t="n">
        <x:f>$F$7</x:f>
        <x:v>1</x:v>
      </x:c>
      <x:c r="M23" s="68" t="n">
        <x:f>$F$9</x:f>
        <x:v>1</x:v>
      </x:c>
      <x:c r="N23" s="68" t="n">
        <x:f>$J$9</x:f>
        <x:v>1</x:v>
      </x:c>
      <x:c r="O23" s="30" t="str">
        <x:v>运行未验证</x:v>
      </x:c>
      <x:c r="P23" s="30"/>
      <x:c r="Q23" s="30"/>
      <x:c r="R23" s="30"/>
      <x:c r="S23" s="30"/>
      <x:c r="T23" s="30"/>
      <x:c r="U23" s="30"/>
      <x:c r="V23" s="30"/>
      <x:c r="W23" s="30"/>
      <x:c r="X23" s="30"/>
    </x:row>
    <x:row r="24" ht="22" customHeight="1">
      <x:c r="A24" s="30" t="str">
        <x:v>GLM5.3</x:v>
      </x:c>
      <x:c r="B24" s="30" t="n">
        <x:v>256</x:v>
      </x:c>
      <x:c r="C24" s="30" t="n">
        <x:v>8</x:v>
      </x:c>
      <x:c r="D24" s="30" t="n">
        <x:v>1</x:v>
      </x:c>
      <x:c r="E24" s="30" t="n">
        <x:v>75</x:v>
      </x:c>
      <x:c r="F24" s="30" t="n">
        <x:v>6144</x:v>
      </x:c>
      <x:c r="G24" s="30" t="n">
        <x:v>8</x:v>
      </x:c>
      <x:c r="H24" s="30" t="n">
        <x:v>256</x:v>
      </x:c>
      <x:c r="I24" s="65" t="n">
        <x:f>$N$7</x:f>
        <x:v>4800</x:v>
      </x:c>
      <x:c r="J24" s="65" t="n">
        <x:f>$N$5</x:f>
        <x:v>4800</x:v>
      </x:c>
      <x:c r="K24" s="65" t="n">
        <x:f>$B$7</x:f>
        <x:v>128</x:v>
      </x:c>
      <x:c r="L24" s="65" t="n">
        <x:f>$F$7</x:f>
        <x:v>1</x:v>
      </x:c>
      <x:c r="M24" s="68" t="n">
        <x:f>$F$9</x:f>
        <x:v>1</x:v>
      </x:c>
      <x:c r="N24" s="68" t="n">
        <x:f>$J$9</x:f>
        <x:v>1</x:v>
      </x:c>
      <x:c r="O24" s="30" t="str">
        <x:v>运行未验证</x:v>
      </x:c>
      <x:c r="P24" s="30"/>
      <x:c r="Q24" s="30"/>
      <x:c r="R24" s="30"/>
      <x:c r="S24" s="30"/>
      <x:c r="T24" s="30"/>
      <x:c r="U24" s="30"/>
      <x:c r="V24" s="30"/>
      <x:c r="W24" s="30"/>
      <x:c r="X24" s="30"/>
    </x:row>
    <x:row r="25" ht="22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</x:row>
    <x:row r="26" ht="22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</x:row>
    <x:row r="27" ht="22" customHeight="1">
      <x:c r="A27" s="40" t="str">
        <x:v>TPOT × 输入场景 × EP：稳态每分钟结果</x:v>
      </x:c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</x:row>
    <x:row r="28" ht="22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</x:row>
    <x:row r="29" ht="42" customHeight="1">
      <x:c r="A29" s="73" t="str">
        <x:v>模型</x:v>
      </x:c>
      <x:c r="B29" s="73" t="str">
        <x:v>EP</x:v>
      </x:c>
      <x:c r="C29" s="73" t="str">
        <x:v>输入 tokens</x:v>
      </x:c>
      <x:c r="D29" s="73" t="str">
        <x:v>周期 s</x:v>
      </x:c>
      <x:c r="E29" s="73" t="str">
        <x:v>TPOT ms</x:v>
      </x:c>
      <x:c r="F29" s="73" t="str">
        <x:v>KV 窗口 次/min</x:v>
      </x:c>
      <x:c r="G29" s="73" t="str">
        <x:v>KV 窗口 ms/次</x:v>
      </x:c>
      <x:c r="H29" s="73" t="str">
        <x:v>重叠 FW 次/min</x:v>
      </x:c>
      <x:c r="I29" s="73" t="str">
        <x:v>全 EP FW 次/min</x:v>
      </x:c>
      <x:c r="J29" s="73" t="str">
        <x:v>部分 EP FW 次/min</x:v>
      </x:c>
      <x:c r="K29" s="73" t="str">
        <x:v>重叠层调用 次/min</x:v>
      </x:c>
      <x:c r="L29" s="73" t="str">
        <x:v>60s 工作增时 ms</x:v>
      </x:c>
      <x:c r="M29" s="73" t="str">
        <x:v>平均 TPOT 增量 μs</x:v>
      </x:c>
      <x:c r="N29" s="73" t="str">
        <x:v>TPOT 增幅 ppm</x:v>
      </x:c>
      <x:c r="O29" s="73" t="str">
        <x:v>结果条件</x:v>
      </x:c>
      <x:c r="P29" s="73" t="str">
        <x:v>最低 EP GB/s</x:v>
      </x:c>
      <x:c r="Q29" s="30"/>
      <x:c r="R29" s="30"/>
      <x:c r="S29" s="30"/>
      <x:c r="T29" s="30"/>
      <x:c r="U29" s="30"/>
      <x:c r="V29" s="30"/>
      <x:c r="W29" s="30"/>
      <x:c r="X29" s="30"/>
    </x:row>
    <x:row r="30" ht="22" customHeight="1">
      <x:c r="A30" s="30" t="str">
        <x:f>A23</x:f>
        <x:v>GLM5.3</x:v>
      </x:c>
      <x:c r="B30" s="30" t="n">
        <x:f>B23</x:f>
        <x:v>32</x:v>
      </x:c>
      <x:c r="C30" s="74" t="n">
        <x:f>$B$15</x:f>
        <x:v>16384</x:v>
      </x:c>
      <x:c r="D30" s="30" t="n">
        <x:f>$C$15</x:f>
        <x:v>4</x:v>
      </x:c>
      <x:c r="E30" s="30" t="n">
        <x:f>$F$15</x:f>
        <x:v>5</x:v>
      </x:c>
      <x:c r="F30" s="75" t="n">
        <x:f>IF(A60,60000/L60,"")</x:f>
        <x:v>15</x:v>
      </x:c>
      <x:c r="G30" s="75" t="n">
        <x:f>K60</x:f>
        <x:v>0.65011712</x:v>
      </x:c>
      <x:c r="H30" s="75" t="n">
        <x:f>IF(W60="估算",U60*R60,"")</x:f>
        <x:v>16.766248159999275</x:v>
      </x:c>
      <x:c r="I30" s="75" t="n">
        <x:f>IF(W60="估算",U60*S60,"")</x:f>
        <x:v>0</x:v>
      </x:c>
      <x:c r="J30" s="75" t="n">
        <x:f>IF(W60="估算",U60*MAX(0,R60-S60),"")</x:f>
        <x:v>16.766248159999275</x:v>
      </x:c>
      <x:c r="K30" s="75" t="n">
        <x:f>IF(W60="估算",IF(OR(O60=0,K60=0),0,U60*E23*MIN(1,(K60+P60)/L60)),"")</x:f>
        <x:v>147.468612</x:v>
      </x:c>
      <x:c r="L30" s="34" t="n">
        <x:f>IF(W60="估算",V60,"")</x:f>
        <x:v>0.08608418375670125</x:v>
      </x:c>
      <x:c r="M30" s="34" t="n">
        <x:f>IF(W60="估算",E30*V60/60,"")</x:f>
        <x:v>0.007173681979725104</x:v>
      </x:c>
      <x:c r="N30" s="34" t="n">
        <x:f>IF(W60="估算",V60/60000*1e6,"")</x:f>
        <x:v>1.4347363959450208</x:v>
      </x:c>
      <x:c r="O30" s="30" t="str">
        <x:f>IF(W60="估算","相位平均估算",W60)</x:f>
        <x:v>相位平均估算</x:v>
      </x:c>
      <x:c r="P30" s="49" t="n">
        <x:f>Q60</x:f>
        <x:v>381.5232</x:v>
      </x:c>
      <x:c r="Q30" s="30"/>
      <x:c r="R30" s="30"/>
      <x:c r="S30" s="30"/>
      <x:c r="T30" s="30"/>
      <x:c r="U30" s="30"/>
      <x:c r="V30" s="30"/>
      <x:c r="W30" s="30"/>
      <x:c r="X30" s="30"/>
    </x:row>
    <x:row r="31" ht="22" customHeight="1">
      <x:c r="A31" s="30" t="str">
        <x:f>A23</x:f>
        <x:v>GLM5.3</x:v>
      </x:c>
      <x:c r="B31" s="30" t="n">
        <x:f>B23</x:f>
        <x:v>32</x:v>
      </x:c>
      <x:c r="C31" s="74" t="n">
        <x:f>$B$15</x:f>
        <x:v>16384</x:v>
      </x:c>
      <x:c r="D31" s="30" t="n">
        <x:f>$C$15</x:f>
        <x:v>4</x:v>
      </x:c>
      <x:c r="E31" s="30" t="n">
        <x:f>$F$16</x:f>
        <x:v>10</x:v>
      </x:c>
      <x:c r="F31" s="75" t="n">
        <x:f>IF(A61,60000/L61,"")</x:f>
        <x:v>15</x:v>
      </x:c>
      <x:c r="G31" s="75" t="n">
        <x:f>K61</x:f>
        <x:v>0.65011712</x:v>
      </x:c>
      <x:c r="H31" s="75" t="n">
        <x:f>IF(W61="估算",U61*R61,"")</x:f>
        <x:v>15.783124079999489</x:v>
      </x:c>
      <x:c r="I31" s="75" t="n">
        <x:f>IF(W61="估算",U61*S61,"")</x:f>
        <x:v>0</x:v>
      </x:c>
      <x:c r="J31" s="75" t="n">
        <x:f>IF(W61="估算",U61*MAX(0,R61-S61),"")</x:f>
        <x:v>15.783124079999489</x:v>
      </x:c>
      <x:c r="K31" s="75" t="n">
        <x:f>IF(W61="估算",IF(OR(O61=0,K61=0),0,U61*E23*MIN(1,(K61+P61)/L61)),"")</x:f>
        <x:v>73.734306</x:v>
      </x:c>
      <x:c r="L31" s="34" t="n">
        <x:f>IF(W61="估算",V61,"")</x:f>
        <x:v>0.043042091878350626</x:v>
      </x:c>
      <x:c r="M31" s="34" t="n">
        <x:f>IF(W61="估算",E31*V61/60,"")</x:f>
        <x:v>0.007173681979725104</x:v>
      </x:c>
      <x:c r="N31" s="34" t="n">
        <x:f>IF(W61="估算",V61/60000*1e6,"")</x:f>
        <x:v>0.7173681979725104</x:v>
      </x:c>
      <x:c r="O31" s="30" t="str">
        <x:f>IF(W61="估算","相位平均估算",W61)</x:f>
        <x:v>相位平均估算</x:v>
      </x:c>
      <x:c r="P31" s="49" t="n">
        <x:f>Q61</x:f>
        <x:v>190.7616</x:v>
      </x:c>
      <x:c r="Q31" s="30"/>
      <x:c r="R31" s="30"/>
      <x:c r="S31" s="30"/>
      <x:c r="T31" s="30"/>
      <x:c r="U31" s="30"/>
      <x:c r="V31" s="30"/>
      <x:c r="W31" s="30"/>
      <x:c r="X31" s="30"/>
    </x:row>
    <x:row r="32" ht="22" customHeight="1">
      <x:c r="A32" s="30" t="str">
        <x:f>A23</x:f>
        <x:v>GLM5.3</x:v>
      </x:c>
      <x:c r="B32" s="30" t="n">
        <x:f>B23</x:f>
        <x:v>32</x:v>
      </x:c>
      <x:c r="C32" s="74" t="n">
        <x:f>$B$15</x:f>
        <x:v>16384</x:v>
      </x:c>
      <x:c r="D32" s="30" t="n">
        <x:f>$C$15</x:f>
        <x:v>4</x:v>
      </x:c>
      <x:c r="E32" s="30" t="n">
        <x:f>$F$17</x:f>
        <x:v>20</x:v>
      </x:c>
      <x:c r="F32" s="75" t="n">
        <x:f>IF(A62,60000/L62,"")</x:f>
        <x:v>15</x:v>
      </x:c>
      <x:c r="G32" s="75" t="n">
        <x:f>K62</x:f>
        <x:v>0.65011712</x:v>
      </x:c>
      <x:c r="H32" s="75" t="n">
        <x:f>IF(W62="估算",U62*R62,"")</x:f>
        <x:v>15.291562039999928</x:v>
      </x:c>
      <x:c r="I32" s="75" t="n">
        <x:f>IF(W62="估算",U62*S62,"")</x:f>
        <x:v>0</x:v>
      </x:c>
      <x:c r="J32" s="75" t="n">
        <x:f>IF(W62="估算",U62*MAX(0,R62-S62),"")</x:f>
        <x:v>15.291562039999928</x:v>
      </x:c>
      <x:c r="K32" s="75" t="n">
        <x:f>IF(W62="估算",IF(OR(O62=0,K62=0),0,U62*E23*MIN(1,(K62+P62)/L62)),"")</x:f>
        <x:v>36.867153</x:v>
      </x:c>
      <x:c r="L32" s="34" t="n">
        <x:f>IF(W62="估算",V62,"")</x:f>
        <x:v>0.021521045939175313</x:v>
      </x:c>
      <x:c r="M32" s="34" t="n">
        <x:f>IF(W62="估算",E32*V62/60,"")</x:f>
        <x:v>0.007173681979725104</x:v>
      </x:c>
      <x:c r="N32" s="34" t="n">
        <x:f>IF(W62="估算",V62/60000*1e6,"")</x:f>
        <x:v>0.3586840989862552</x:v>
      </x:c>
      <x:c r="O32" s="30" t="str">
        <x:f>IF(W62="估算","相位平均估算",W62)</x:f>
        <x:v>相位平均估算</x:v>
      </x:c>
      <x:c r="P32" s="49" t="n">
        <x:f>Q62</x:f>
        <x:v>95.3808</x:v>
      </x:c>
      <x:c r="Q32" s="30"/>
      <x:c r="R32" s="30"/>
      <x:c r="S32" s="30"/>
      <x:c r="T32" s="30"/>
      <x:c r="U32" s="30"/>
      <x:c r="V32" s="30"/>
      <x:c r="W32" s="30"/>
      <x:c r="X32" s="30"/>
    </x:row>
    <x:row r="33" ht="22" customHeight="1">
      <x:c r="A33" s="30" t="str">
        <x:f>A23</x:f>
        <x:v>GLM5.3</x:v>
      </x:c>
      <x:c r="B33" s="30" t="n">
        <x:f>B23</x:f>
        <x:v>32</x:v>
      </x:c>
      <x:c r="C33" s="74" t="n">
        <x:f>$B$15</x:f>
        <x:v>16384</x:v>
      </x:c>
      <x:c r="D33" s="30" t="n">
        <x:f>$C$15</x:f>
        <x:v>4</x:v>
      </x:c>
      <x:c r="E33" s="30" t="n">
        <x:f>$F$18</x:f>
        <x:v>30</x:v>
      </x:c>
      <x:c r="F33" s="75" t="n">
        <x:f>IF(A63,60000/L63,"")</x:f>
        <x:v>15</x:v>
      </x:c>
      <x:c r="G33" s="75" t="n">
        <x:f>K63</x:f>
        <x:v>0.65011712</x:v>
      </x:c>
      <x:c r="H33" s="75" t="n">
        <x:f>IF(W63="估算",U63*R63,"")</x:f>
        <x:v>15.12770802666652</x:v>
      </x:c>
      <x:c r="I33" s="75" t="n">
        <x:f>IF(W63="估算",U63*S63,"")</x:f>
        <x:v>0</x:v>
      </x:c>
      <x:c r="J33" s="75" t="n">
        <x:f>IF(W63="估算",U63*MAX(0,R63-S63),"")</x:f>
        <x:v>15.12770802666652</x:v>
      </x:c>
      <x:c r="K33" s="75" t="n">
        <x:f>IF(W63="估算",IF(OR(O63=0,K63=0),0,U63*E23*MIN(1,(K63+P63)/L63)),"")</x:f>
        <x:v>24.578102</x:v>
      </x:c>
      <x:c r="L33" s="34" t="n">
        <x:f>IF(W63="估算",V63,"")</x:f>
        <x:v>0.014347363959450209</x:v>
      </x:c>
      <x:c r="M33" s="34" t="n">
        <x:f>IF(W63="估算",E33*V63/60,"")</x:f>
        <x:v>0.007173681979725104</x:v>
      </x:c>
      <x:c r="N33" s="34" t="n">
        <x:f>IF(W63="估算",V63/60000*1e6,"")</x:f>
        <x:v>0.2391227326575035</x:v>
      </x:c>
      <x:c r="O33" s="30" t="str">
        <x:f>IF(W63="估算","相位平均估算",W63)</x:f>
        <x:v>相位平均估算</x:v>
      </x:c>
      <x:c r="P33" s="49" t="n">
        <x:f>Q63</x:f>
        <x:v>63.5872</x:v>
      </x:c>
      <x:c r="Q33" s="30"/>
      <x:c r="R33" s="30"/>
      <x:c r="S33" s="30"/>
      <x:c r="T33" s="30"/>
      <x:c r="U33" s="30"/>
      <x:c r="V33" s="30"/>
      <x:c r="W33" s="30"/>
      <x:c r="X33" s="30"/>
    </x:row>
    <x:row r="34" ht="22" customHeight="1">
      <x:c r="A34" s="30" t="str">
        <x:f>A23</x:f>
        <x:v>GLM5.3</x:v>
      </x:c>
      <x:c r="B34" s="30" t="n">
        <x:f>B23</x:f>
        <x:v>32</x:v>
      </x:c>
      <x:c r="C34" s="74" t="n">
        <x:f>$B$16</x:f>
        <x:v>262144</x:v>
      </x:c>
      <x:c r="D34" s="30" t="n">
        <x:f>$C$16</x:f>
        <x:v>20</x:v>
      </x:c>
      <x:c r="E34" s="30" t="n">
        <x:f>$F$15</x:f>
        <x:v>5</x:v>
      </x:c>
      <x:c r="F34" s="75" t="n">
        <x:f>IF(A64,60000/L64,"")</x:f>
        <x:v>3</x:v>
      </x:c>
      <x:c r="G34" s="75" t="n">
        <x:f>K64</x:f>
        <x:v>10.40187392</x:v>
      </x:c>
      <x:c r="H34" s="75" t="n">
        <x:f>IF(W64="估算",U64*R64,"")</x:f>
        <x:v>9.204303711999096</x:v>
      </x:c>
      <x:c r="I34" s="75" t="n">
        <x:f>IF(W64="估算",U64*S64,"")</x:f>
        <x:v>3.2779449920004033</x:v>
      </x:c>
      <x:c r="J34" s="75" t="n">
        <x:f>IF(W64="估算",U64*MAX(0,R64-S64),"")</x:f>
        <x:v>5.926358719998692</x:v>
      </x:c>
      <x:c r="K34" s="75" t="n">
        <x:f>IF(W64="估算",IF(OR(O64=0,K64=0),0,U64*E23*MIN(1,(K64+P64)/L64)),"")</x:f>
        <x:v>468.3227784</x:v>
      </x:c>
      <x:c r="L34" s="34" t="n">
        <x:f>IF(W64="估算",V64,"")</x:f>
        <x:v>0.2755863825817403</x:v>
      </x:c>
      <x:c r="M34" s="34" t="n">
        <x:f>IF(W64="估算",E34*V64/60,"")</x:f>
        <x:v>0.022965531881811687</x:v>
      </x:c>
      <x:c r="N34" s="34" t="n">
        <x:f>IF(W64="估算",V64/60000*1e6,"")</x:f>
        <x:v>4.593106376362338</x:v>
      </x:c>
      <x:c r="O34" s="30" t="str">
        <x:f>IF(W64="估算","相位平均估算",W64)</x:f>
        <x:v>相位平均估算</x:v>
      </x:c>
      <x:c r="P34" s="49" t="n">
        <x:f>Q64</x:f>
        <x:v>381.5232</x:v>
      </x:c>
      <x:c r="Q34" s="30"/>
      <x:c r="R34" s="30"/>
      <x:c r="S34" s="30"/>
      <x:c r="T34" s="30"/>
      <x:c r="U34" s="30"/>
      <x:c r="V34" s="30"/>
      <x:c r="W34" s="30"/>
      <x:c r="X34" s="30"/>
    </x:row>
    <x:row r="35" ht="22" customHeight="1">
      <x:c r="A35" s="30" t="str">
        <x:f>A23</x:f>
        <x:v>GLM5.3</x:v>
      </x:c>
      <x:c r="B35" s="30" t="n">
        <x:f>B23</x:f>
        <x:v>32</x:v>
      </x:c>
      <x:c r="C35" s="74" t="n">
        <x:f>$B$16</x:f>
        <x:v>262144</x:v>
      </x:c>
      <x:c r="D35" s="30" t="n">
        <x:f>$C$16</x:f>
        <x:v>20</x:v>
      </x:c>
      <x:c r="E35" s="30" t="n">
        <x:f>$F$16</x:f>
        <x:v>10</x:v>
      </x:c>
      <x:c r="F35" s="75" t="n">
        <x:f>IF(A65,60000/L65,"")</x:f>
        <x:v>3</x:v>
      </x:c>
      <x:c r="G35" s="75" t="n">
        <x:f>K65</x:f>
        <x:v>10.40187392</x:v>
      </x:c>
      <x:c r="H35" s="75" t="n">
        <x:f>IF(W65="估算",U65*R65,"")</x:f>
        <x:v>6.082151855999918</x:v>
      </x:c>
      <x:c r="I35" s="75" t="n">
        <x:f>IF(W65="估算",U65*S65,"")</x:f>
        <x:v>0.1589724960004979</x:v>
      </x:c>
      <x:c r="J35" s="75" t="n">
        <x:f>IF(W65="估算",U65*MAX(0,R65-S65),"")</x:f>
        <x:v>5.92317935999942</x:v>
      </x:c>
      <x:c r="K35" s="75" t="n">
        <x:f>IF(W65="估算",IF(OR(O65=0,K65=0),0,U65*E23*MIN(1,(K65+P65)/L65)),"")</x:f>
        <x:v>234.1613892</x:v>
      </x:c>
      <x:c r="L35" s="34" t="n">
        <x:f>IF(W65="估算",V65,"")</x:f>
        <x:v>0.13779319129087014</x:v>
      </x:c>
      <x:c r="M35" s="34" t="n">
        <x:f>IF(W65="估算",E35*V65/60,"")</x:f>
        <x:v>0.022965531881811687</x:v>
      </x:c>
      <x:c r="N35" s="34" t="n">
        <x:f>IF(W65="估算",V65/60000*1e6,"")</x:f>
        <x:v>2.296553188181169</x:v>
      </x:c>
      <x:c r="O35" s="30" t="str">
        <x:f>IF(W65="估算","相位平均估算",W65)</x:f>
        <x:v>相位平均估算</x:v>
      </x:c>
      <x:c r="P35" s="49" t="n">
        <x:f>Q65</x:f>
        <x:v>190.7616</x:v>
      </x:c>
      <x:c r="Q35" s="30"/>
      <x:c r="R35" s="30"/>
      <x:c r="S35" s="30"/>
      <x:c r="T35" s="30"/>
      <x:c r="U35" s="30"/>
      <x:c r="V35" s="30"/>
      <x:c r="W35" s="30"/>
      <x:c r="X35" s="30"/>
    </x:row>
    <x:row r="36" ht="22" customHeight="1">
      <x:c r="A36" s="30" t="str">
        <x:f>A23</x:f>
        <x:v>GLM5.3</x:v>
      </x:c>
      <x:c r="B36" s="30" t="n">
        <x:f>B23</x:f>
        <x:v>32</x:v>
      </x:c>
      <x:c r="C36" s="74" t="n">
        <x:f>$B$16</x:f>
        <x:v>262144</x:v>
      </x:c>
      <x:c r="D36" s="30" t="n">
        <x:f>$C$16</x:f>
        <x:v>20</x:v>
      </x:c>
      <x:c r="E36" s="30" t="n">
        <x:f>$F$17</x:f>
        <x:v>20</x:v>
      </x:c>
      <x:c r="F36" s="75" t="n">
        <x:f>IF(A66,60000/L66,"")</x:f>
        <x:v>3</x:v>
      </x:c>
      <x:c r="G36" s="75" t="n">
        <x:f>K66</x:f>
        <x:v>10.40187392</x:v>
      </x:c>
      <x:c r="H36" s="75" t="n">
        <x:f>IF(W66="估算",U66*R66,"")</x:f>
        <x:v>4.521075928000329</x:v>
      </x:c>
      <x:c r="I36" s="75" t="n">
        <x:f>IF(W66="估算",U66*S66,"")</x:f>
        <x:v>0</x:v>
      </x:c>
      <x:c r="J36" s="75" t="n">
        <x:f>IF(W66="估算",U66*MAX(0,R66-S66),"")</x:f>
        <x:v>4.521075928000329</x:v>
      </x:c>
      <x:c r="K36" s="75" t="n">
        <x:f>IF(W66="估算",IF(OR(O66=0,K66=0),0,U66*E23*MIN(1,(K66+P66)/L66)),"")</x:f>
        <x:v>117.0806946</x:v>
      </x:c>
      <x:c r="L36" s="34" t="n">
        <x:f>IF(W66="估算",V66,"")</x:f>
        <x:v>0.06889659564543507</x:v>
      </x:c>
      <x:c r="M36" s="34" t="n">
        <x:f>IF(W66="估算",E36*V66/60,"")</x:f>
        <x:v>0.022965531881811687</x:v>
      </x:c>
      <x:c r="N36" s="34" t="n">
        <x:f>IF(W66="估算",V66/60000*1e6,"")</x:f>
        <x:v>1.1482765940905846</x:v>
      </x:c>
      <x:c r="O36" s="30" t="str">
        <x:f>IF(W66="估算","相位平均估算",W66)</x:f>
        <x:v>相位平均估算</x:v>
      </x:c>
      <x:c r="P36" s="49" t="n">
        <x:f>Q66</x:f>
        <x:v>95.3808</x:v>
      </x:c>
      <x:c r="Q36" s="30"/>
      <x:c r="R36" s="30"/>
      <x:c r="S36" s="30"/>
      <x:c r="T36" s="30"/>
      <x:c r="U36" s="30"/>
      <x:c r="V36" s="30"/>
      <x:c r="W36" s="30"/>
      <x:c r="X36" s="30"/>
    </x:row>
    <x:row r="37" ht="22" customHeight="1">
      <x:c r="A37" s="30" t="str">
        <x:f>A23</x:f>
        <x:v>GLM5.3</x:v>
      </x:c>
      <x:c r="B37" s="30" t="n">
        <x:f>B23</x:f>
        <x:v>32</x:v>
      </x:c>
      <x:c r="C37" s="74" t="n">
        <x:f>$B$16</x:f>
        <x:v>262144</x:v>
      </x:c>
      <x:c r="D37" s="30" t="n">
        <x:f>$C$16</x:f>
        <x:v>20</x:v>
      </x:c>
      <x:c r="E37" s="30" t="n">
        <x:f>$F$18</x:f>
        <x:v>30</x:v>
      </x:c>
      <x:c r="F37" s="75" t="n">
        <x:f>IF(A67,60000/L67,"")</x:f>
        <x:v>3</x:v>
      </x:c>
      <x:c r="G37" s="75" t="n">
        <x:f>K67</x:f>
        <x:v>10.40187392</x:v>
      </x:c>
      <x:c r="H37" s="75" t="n">
        <x:f>IF(W67="估算",U67*R67,"")</x:f>
        <x:v>4.000717285333355</x:v>
      </x:c>
      <x:c r="I37" s="75" t="n">
        <x:f>IF(W67="估算",U67*S67,"")</x:f>
        <x:v>0</x:v>
      </x:c>
      <x:c r="J37" s="75" t="n">
        <x:f>IF(W67="估算",U67*MAX(0,R67-S67),"")</x:f>
        <x:v>4.000717285333355</x:v>
      </x:c>
      <x:c r="K37" s="75" t="n">
        <x:f>IF(W67="估算",IF(OR(O67=0,K67=0),0,U67*E23*MIN(1,(K67+P67)/L67)),"")</x:f>
        <x:v>78.05379640000001</x:v>
      </x:c>
      <x:c r="L37" s="34" t="n">
        <x:f>IF(W67="估算",V67,"")</x:f>
        <x:v>0.04593106376362338</x:v>
      </x:c>
      <x:c r="M37" s="34" t="n">
        <x:f>IF(W67="估算",E37*V67/60,"")</x:f>
        <x:v>0.022965531881811687</x:v>
      </x:c>
      <x:c r="N37" s="34" t="n">
        <x:f>IF(W67="估算",V67/60000*1e6,"")</x:f>
        <x:v>0.765517729393723</x:v>
      </x:c>
      <x:c r="O37" s="30" t="str">
        <x:f>IF(W67="估算","相位平均估算",W67)</x:f>
        <x:v>相位平均估算</x:v>
      </x:c>
      <x:c r="P37" s="49" t="n">
        <x:f>Q67</x:f>
        <x:v>63.5872</x:v>
      </x:c>
      <x:c r="Q37" s="30"/>
      <x:c r="R37" s="30"/>
      <x:c r="S37" s="30"/>
      <x:c r="T37" s="30"/>
      <x:c r="U37" s="30"/>
      <x:c r="V37" s="30"/>
      <x:c r="W37" s="30"/>
      <x:c r="X37" s="30"/>
    </x:row>
    <x:row r="38" ht="22" customHeight="1">
      <x:c r="A38" s="30" t="str">
        <x:f>A23</x:f>
        <x:v>GLM5.3</x:v>
      </x:c>
      <x:c r="B38" s="30" t="n">
        <x:f>B23</x:f>
        <x:v>32</x:v>
      </x:c>
      <x:c r="C38" s="74" t="n">
        <x:f>$B$17</x:f>
        <x:v>1048576</x:v>
      </x:c>
      <x:c r="D38" s="30" t="n">
        <x:f>$C$17</x:f>
        <x:v>60</x:v>
      </x:c>
      <x:c r="E38" s="30" t="n">
        <x:f>$F$15</x:f>
        <x:v>5</x:v>
      </x:c>
      <x:c r="F38" s="75" t="n">
        <x:f>IF(A68,60000/L68,"")</x:f>
        <x:v>1</x:v>
      </x:c>
      <x:c r="G38" s="75" t="n">
        <x:f>K68</x:f>
        <x:v>41.60749568</x:v>
      </x:c>
      <x:c r="H38" s="75" t="n">
        <x:f>IF(W68="估算",U68*R68,"")</x:f>
        <x:v>9.309225589333447</x:v>
      </x:c>
      <x:c r="I38" s="75" t="n">
        <x:f>IF(W68="估算",U68*S68,"")</x:f>
        <x:v>7.3337726826663285</x:v>
      </x:c>
      <x:c r="J38" s="75" t="n">
        <x:f>IF(W68="估算",U68*MAX(0,R68-S68),"")</x:f>
        <x:v>1.975452906667119</x:v>
      </x:c>
      <x:c r="K38" s="75" t="n">
        <x:f>IF(W68="估算",IF(OR(O68=0,K68=0),0,U68*E23*MIN(1,(K68+P68)/L68)),"")</x:f>
        <x:v>624.1919192</x:v>
      </x:c>
      <x:c r="L38" s="34" t="n">
        <x:f>IF(W68="估算",V68,"")</x:f>
        <x:v>0.3674563097463402</x:v>
      </x:c>
      <x:c r="M38" s="34" t="n">
        <x:f>IF(W68="估算",E38*V68/60,"")</x:f>
        <x:v>0.030621359145528347</x:v>
      </x:c>
      <x:c r="N38" s="34" t="n">
        <x:f>IF(W68="估算",V68/60000*1e6,"")</x:f>
        <x:v>6.12427182910567</x:v>
      </x:c>
      <x:c r="O38" s="30" t="str">
        <x:f>IF(W68="估算","相位平均估算",W68)</x:f>
        <x:v>相位平均估算</x:v>
      </x:c>
      <x:c r="P38" s="49" t="n">
        <x:f>Q68</x:f>
        <x:v>381.5232</x:v>
      </x:c>
      <x:c r="Q38" s="30"/>
      <x:c r="R38" s="30"/>
      <x:c r="S38" s="30"/>
      <x:c r="T38" s="30"/>
      <x:c r="U38" s="30"/>
      <x:c r="V38" s="30"/>
      <x:c r="W38" s="30"/>
      <x:c r="X38" s="30"/>
    </x:row>
    <x:row r="39" ht="22" customHeight="1">
      <x:c r="A39" s="30" t="str">
        <x:f>A23</x:f>
        <x:v>GLM5.3</x:v>
      </x:c>
      <x:c r="B39" s="30" t="n">
        <x:f>B23</x:f>
        <x:v>32</x:v>
      </x:c>
      <x:c r="C39" s="74" t="n">
        <x:f>$B$17</x:f>
        <x:v>1048576</x:v>
      </x:c>
      <x:c r="D39" s="30" t="n">
        <x:f>$C$17</x:f>
        <x:v>60</x:v>
      </x:c>
      <x:c r="E39" s="30" t="n">
        <x:f>$F$16</x:f>
        <x:v>10</x:v>
      </x:c>
      <x:c r="F39" s="75" t="n">
        <x:f>IF(A69,60000/L69,"")</x:f>
        <x:v>1</x:v>
      </x:c>
      <x:c r="G39" s="75" t="n">
        <x:f>K69</x:f>
        <x:v>41.60749568</x:v>
      </x:c>
      <x:c r="H39" s="75" t="n">
        <x:f>IF(W69="估算",U69*R69,"")</x:f>
        <x:v>5.1479461280006245</x:v>
      </x:c>
      <x:c r="I39" s="75" t="n">
        <x:f>IF(W69="估算",U69*S69,"")</x:f>
        <x:v>3.1735530079999297</x:v>
      </x:c>
      <x:c r="J39" s="75" t="n">
        <x:f>IF(W69="估算",U69*MAX(0,R69-S69),"")</x:f>
        <x:v>1.9743931200006948</x:v>
      </x:c>
      <x:c r="K39" s="75" t="n">
        <x:f>IF(W69="估算",IF(OR(O69=0,K69=0),0,U69*E23*MIN(1,(K69+P69)/L69)),"")</x:f>
        <x:v>312.0959596</x:v>
      </x:c>
      <x:c r="L39" s="34" t="n">
        <x:f>IF(W69="估算",V69,"")</x:f>
        <x:v>0.1837281548731701</x:v>
      </x:c>
      <x:c r="M39" s="34" t="n">
        <x:f>IF(W69="估算",E39*V69/60,"")</x:f>
        <x:v>0.030621359145528347</x:v>
      </x:c>
      <x:c r="N39" s="34" t="n">
        <x:f>IF(W69="估算",V69/60000*1e6,"")</x:f>
        <x:v>3.062135914552835</x:v>
      </x:c>
      <x:c r="O39" s="30" t="str">
        <x:f>IF(W69="估算","相位平均估算",W69)</x:f>
        <x:v>相位平均估算</x:v>
      </x:c>
      <x:c r="P39" s="49" t="n">
        <x:f>Q69</x:f>
        <x:v>190.7616</x:v>
      </x:c>
      <x:c r="Q39" s="30"/>
      <x:c r="R39" s="30"/>
      <x:c r="S39" s="30"/>
      <x:c r="T39" s="30"/>
      <x:c r="U39" s="30"/>
      <x:c r="V39" s="30"/>
      <x:c r="W39" s="30"/>
      <x:c r="X39" s="30"/>
    </x:row>
    <x:row r="40" ht="22" customHeight="1">
      <x:c r="A40" s="30" t="str">
        <x:f>A23</x:f>
        <x:v>GLM5.3</x:v>
      </x:c>
      <x:c r="B40" s="30" t="n">
        <x:f>B23</x:f>
        <x:v>32</x:v>
      </x:c>
      <x:c r="C40" s="74" t="n">
        <x:f>$B$17</x:f>
        <x:v>1048576</x:v>
      </x:c>
      <x:c r="D40" s="30" t="n">
        <x:f>$C$17</x:f>
        <x:v>60</x:v>
      </x:c>
      <x:c r="E40" s="30" t="n">
        <x:f>$F$17</x:f>
        <x:v>20</x:v>
      </x:c>
      <x:c r="F40" s="75" t="n">
        <x:f>IF(A70,60000/L70,"")</x:f>
        <x:v>1</x:v>
      </x:c>
      <x:c r="G40" s="75" t="n">
        <x:f>K70</x:f>
        <x:v>41.60749568</x:v>
      </x:c>
      <x:c r="H40" s="75" t="n">
        <x:f>IF(W70="估算",U70*R70,"")</x:f>
        <x:v>3.0673063973332138</x:v>
      </x:c>
      <x:c r="I40" s="75" t="n">
        <x:f>IF(W70="估算",U70*S70,"")</x:f>
        <x:v>1.0934431706667302</x:v>
      </x:c>
      <x:c r="J40" s="75" t="n">
        <x:f>IF(W70="估算",U70*MAX(0,R70-S70),"")</x:f>
        <x:v>1.9738632266664835</x:v>
      </x:c>
      <x:c r="K40" s="75" t="n">
        <x:f>IF(W70="估算",IF(OR(O70=0,K70=0),0,U70*E23*MIN(1,(K70+P70)/L70)),"")</x:f>
        <x:v>156.0479798</x:v>
      </x:c>
      <x:c r="L40" s="34" t="n">
        <x:f>IF(W70="估算",V70,"")</x:f>
        <x:v>0.09186407743658505</x:v>
      </x:c>
      <x:c r="M40" s="34" t="n">
        <x:f>IF(W70="估算",E40*V70/60,"")</x:f>
        <x:v>0.030621359145528347</x:v>
      </x:c>
      <x:c r="N40" s="34" t="n">
        <x:f>IF(W70="估算",V70/60000*1e6,"")</x:f>
        <x:v>1.5310679572764174</x:v>
      </x:c>
      <x:c r="O40" s="30" t="str">
        <x:f>IF(W70="估算","相位平均估算",W70)</x:f>
        <x:v>相位平均估算</x:v>
      </x:c>
      <x:c r="P40" s="49" t="n">
        <x:f>Q70</x:f>
        <x:v>95.3808</x:v>
      </x:c>
      <x:c r="Q40" s="30"/>
      <x:c r="R40" s="30"/>
      <x:c r="S40" s="30"/>
      <x:c r="T40" s="30"/>
      <x:c r="U40" s="30"/>
      <x:c r="V40" s="30"/>
      <x:c r="W40" s="30"/>
      <x:c r="X40" s="30"/>
    </x:row>
    <x:row r="41" ht="22" customHeight="1">
      <x:c r="A41" s="30" t="str">
        <x:f>A23</x:f>
        <x:v>GLM5.3</x:v>
      </x:c>
      <x:c r="B41" s="30" t="n">
        <x:f>B23</x:f>
        <x:v>32</x:v>
      </x:c>
      <x:c r="C41" s="74" t="n">
        <x:f>$B$17</x:f>
        <x:v>1048576</x:v>
      </x:c>
      <x:c r="D41" s="30" t="n">
        <x:f>$C$17</x:f>
        <x:v>60</x:v>
      </x:c>
      <x:c r="E41" s="30" t="n">
        <x:f>$F$18</x:f>
        <x:v>30</x:v>
      </x:c>
      <x:c r="F41" s="75" t="n">
        <x:f>IF(A71,60000/L71,"")</x:f>
        <x:v>1</x:v>
      </x:c>
      <x:c r="G41" s="75" t="n">
        <x:f>K71</x:f>
        <x:v>41.60749568</x:v>
      </x:c>
      <x:c r="H41" s="75" t="n">
        <x:f>IF(W71="估算",U71*R71,"")</x:f>
        <x:v>2.373759820444521</x:v>
      </x:c>
      <x:c r="I41" s="75" t="n">
        <x:f>IF(W71="估算",U71*S71,"")</x:f>
        <x:v>0.4000732248889971</x:v>
      </x:c>
      <x:c r="J41" s="75" t="n">
        <x:f>IF(W71="估算",U71*MAX(0,R71-S71),"")</x:f>
        <x:v>1.9736865955555238</x:v>
      </x:c>
      <x:c r="K41" s="75" t="n">
        <x:f>IF(W71="估算",IF(OR(O71=0,K71=0),0,U71*E23*MIN(1,(K71+P71)/L71)),"")</x:f>
        <x:v>104.03198653333334</x:v>
      </x:c>
      <x:c r="L41" s="34" t="n">
        <x:f>IF(W71="估算",V71,"")</x:f>
        <x:v>0.061242718291056694</x:v>
      </x:c>
      <x:c r="M41" s="34" t="n">
        <x:f>IF(W71="估算",E41*V71/60,"")</x:f>
        <x:v>0.030621359145528347</x:v>
      </x:c>
      <x:c r="N41" s="34" t="n">
        <x:f>IF(W71="估算",V71/60000*1e6,"")</x:f>
        <x:v>1.0207119715176116</x:v>
      </x:c>
      <x:c r="O41" s="30" t="str">
        <x:f>IF(W71="估算","相位平均估算",W71)</x:f>
        <x:v>相位平均估算</x:v>
      </x:c>
      <x:c r="P41" s="49" t="n">
        <x:f>Q71</x:f>
        <x:v>63.5872</x:v>
      </x:c>
      <x:c r="Q41" s="30"/>
      <x:c r="R41" s="30"/>
      <x:c r="S41" s="30"/>
      <x:c r="T41" s="30"/>
      <x:c r="U41" s="30"/>
      <x:c r="V41" s="30"/>
      <x:c r="W41" s="30"/>
      <x:c r="X41" s="30"/>
    </x:row>
    <x:row r="42" ht="22" customHeight="1">
      <x:c r="A42" s="30" t="str">
        <x:f>A24</x:f>
        <x:v>GLM5.3</x:v>
      </x:c>
      <x:c r="B42" s="30" t="n">
        <x:f>B24</x:f>
        <x:v>256</x:v>
      </x:c>
      <x:c r="C42" s="74" t="n">
        <x:f>$B$15</x:f>
        <x:v>16384</x:v>
      </x:c>
      <x:c r="D42" s="30" t="n">
        <x:f>$C$15</x:f>
        <x:v>4</x:v>
      </x:c>
      <x:c r="E42" s="30" t="n">
        <x:f>$F$15</x:f>
        <x:v>5</x:v>
      </x:c>
      <x:c r="F42" s="75" t="n">
        <x:f>IF(A72,60000/L72,"")</x:f>
        <x:v>15</x:v>
      </x:c>
      <x:c r="G42" s="75" t="n">
        <x:f>K72</x:f>
        <x:v>0.65011712</x:v>
      </x:c>
      <x:c r="H42" s="75" t="n">
        <x:f>IF(W72="估算",U72*R72,"")</x:f>
        <x:v>16.766696859999097</x:v>
      </x:c>
      <x:c r="I42" s="75" t="n">
        <x:f>IF(W72="估算",U72*S72,"")</x:f>
        <x:v>0</x:v>
      </x:c>
      <x:c r="J42" s="75" t="n">
        <x:f>IF(W72="估算",U72*MAX(0,R72-S72),"")</x:f>
        <x:v>16.766696859999097</x:v>
      </x:c>
      <x:c r="K42" s="75" t="n">
        <x:f>IF(W72="估算",IF(OR(O72=0,K72=0),0,U72*E24*MIN(1,(K72+P72)/L72)),"")</x:f>
        <x:v>147.5022645</x:v>
      </x:c>
      <x:c r="L42" s="34" t="n">
        <x:f>IF(W72="估算",V72,"")</x:f>
        <x:v>0.08851284744098611</x:v>
      </x:c>
      <x:c r="M42" s="34" t="n">
        <x:f>IF(W72="估算",E42*V72/60,"")</x:f>
        <x:v>0.007376070620082176</x:v>
      </x:c>
      <x:c r="N42" s="34" t="n">
        <x:f>IF(W72="估算",V72/60000*1e6,"")</x:f>
        <x:v>1.4752141240164354</x:v>
      </x:c>
      <x:c r="O42" s="30" t="str">
        <x:f>IF(W72="估算","相位平均估算",W72)</x:f>
        <x:v>相位平均估算</x:v>
      </x:c>
      <x:c r="P42" s="49" t="n">
        <x:f>Q72</x:f>
        <x:v>392.29200000000003</x:v>
      </x:c>
      <x:c r="Q42" s="30"/>
      <x:c r="R42" s="30"/>
      <x:c r="S42" s="30"/>
      <x:c r="T42" s="30"/>
      <x:c r="U42" s="30"/>
      <x:c r="V42" s="30"/>
      <x:c r="W42" s="30"/>
      <x:c r="X42" s="30"/>
    </x:row>
    <x:row r="43" ht="22" customHeight="1">
      <x:c r="A43" s="30" t="str">
        <x:f>A24</x:f>
        <x:v>GLM5.3</x:v>
      </x:c>
      <x:c r="B43" s="30" t="n">
        <x:f>B24</x:f>
        <x:v>256</x:v>
      </x:c>
      <x:c r="C43" s="74" t="n">
        <x:f>$B$15</x:f>
        <x:v>16384</x:v>
      </x:c>
      <x:c r="D43" s="30" t="n">
        <x:f>$C$15</x:f>
        <x:v>4</x:v>
      </x:c>
      <x:c r="E43" s="30" t="n">
        <x:f>$F$16</x:f>
        <x:v>10</x:v>
      </x:c>
      <x:c r="F43" s="75" t="n">
        <x:f>IF(A73,60000/L73,"")</x:f>
        <x:v>15</x:v>
      </x:c>
      <x:c r="G43" s="75" t="n">
        <x:f>K73</x:f>
        <x:v>0.65011712</x:v>
      </x:c>
      <x:c r="H43" s="75" t="n">
        <x:f>IF(W73="估算",U73*R73,"")</x:f>
        <x:v>15.783348430000066</x:v>
      </x:c>
      <x:c r="I43" s="75" t="n">
        <x:f>IF(W73="估算",U73*S73,"")</x:f>
        <x:v>0</x:v>
      </x:c>
      <x:c r="J43" s="75" t="n">
        <x:f>IF(W73="估算",U73*MAX(0,R73-S73),"")</x:f>
        <x:v>15.783348430000066</x:v>
      </x:c>
      <x:c r="K43" s="75" t="n">
        <x:f>IF(W73="估算",IF(OR(O73=0,K73=0),0,U73*E24*MIN(1,(K73+P73)/L73)),"")</x:f>
        <x:v>73.75113225</x:v>
      </x:c>
      <x:c r="L43" s="34" t="n">
        <x:f>IF(W73="估算",V73,"")</x:f>
        <x:v>0.04425642372049306</x:v>
      </x:c>
      <x:c r="M43" s="34" t="n">
        <x:f>IF(W73="估算",E43*V73/60,"")</x:f>
        <x:v>0.007376070620082176</x:v>
      </x:c>
      <x:c r="N43" s="34" t="n">
        <x:f>IF(W73="估算",V73/60000*1e6,"")</x:f>
        <x:v>0.7376070620082177</x:v>
      </x:c>
      <x:c r="O43" s="30" t="str">
        <x:f>IF(W73="估算","相位平均估算",W73)</x:f>
        <x:v>相位平均估算</x:v>
      </x:c>
      <x:c r="P43" s="49" t="n">
        <x:f>Q73</x:f>
        <x:v>196.14600000000002</x:v>
      </x:c>
      <x:c r="Q43" s="30"/>
      <x:c r="R43" s="30"/>
      <x:c r="S43" s="30"/>
      <x:c r="T43" s="30"/>
      <x:c r="U43" s="30"/>
      <x:c r="V43" s="30"/>
      <x:c r="W43" s="30"/>
      <x:c r="X43" s="30"/>
    </x:row>
    <x:row r="44" ht="22" customHeight="1">
      <x:c r="A44" s="30" t="str">
        <x:f>A24</x:f>
        <x:v>GLM5.3</x:v>
      </x:c>
      <x:c r="B44" s="30" t="n">
        <x:f>B24</x:f>
        <x:v>256</x:v>
      </x:c>
      <x:c r="C44" s="74" t="n">
        <x:f>$B$15</x:f>
        <x:v>16384</x:v>
      </x:c>
      <x:c r="D44" s="30" t="n">
        <x:f>$C$15</x:f>
        <x:v>4</x:v>
      </x:c>
      <x:c r="E44" s="30" t="n">
        <x:f>$F$17</x:f>
        <x:v>20</x:v>
      </x:c>
      <x:c r="F44" s="75" t="n">
        <x:f>IF(A74,60000/L74,"")</x:f>
        <x:v>15</x:v>
      </x:c>
      <x:c r="G44" s="75" t="n">
        <x:f>K74</x:f>
        <x:v>0.65011712</x:v>
      </x:c>
      <x:c r="H44" s="75" t="n">
        <x:f>IF(W74="估算",U74*R74,"")</x:f>
        <x:v>15.291674214999551</x:v>
      </x:c>
      <x:c r="I44" s="75" t="n">
        <x:f>IF(W74="估算",U74*S74,"")</x:f>
        <x:v>0</x:v>
      </x:c>
      <x:c r="J44" s="75" t="n">
        <x:f>IF(W74="估算",U74*MAX(0,R74-S74),"")</x:f>
        <x:v>15.291674214999551</x:v>
      </x:c>
      <x:c r="K44" s="75" t="n">
        <x:f>IF(W74="估算",IF(OR(O74=0,K74=0),0,U74*E24*MIN(1,(K74+P74)/L74)),"")</x:f>
        <x:v>36.875566125</x:v>
      </x:c>
      <x:c r="L44" s="34" t="n">
        <x:f>IF(W74="估算",V74,"")</x:f>
        <x:v>0.02212821186024653</x:v>
      </x:c>
      <x:c r="M44" s="34" t="n">
        <x:f>IF(W74="估算",E44*V74/60,"")</x:f>
        <x:v>0.007376070620082176</x:v>
      </x:c>
      <x:c r="N44" s="34" t="n">
        <x:f>IF(W74="估算",V74/60000*1e6,"")</x:f>
        <x:v>0.36880353100410884</x:v>
      </x:c>
      <x:c r="O44" s="30" t="str">
        <x:f>IF(W74="估算","相位平均估算",W74)</x:f>
        <x:v>相位平均估算</x:v>
      </x:c>
      <x:c r="P44" s="49" t="n">
        <x:f>Q74</x:f>
        <x:v>98.07300000000001</x:v>
      </x:c>
      <x:c r="Q44" s="30"/>
      <x:c r="R44" s="30"/>
      <x:c r="S44" s="30"/>
      <x:c r="T44" s="30"/>
      <x:c r="U44" s="30"/>
      <x:c r="V44" s="30"/>
      <x:c r="W44" s="30"/>
      <x:c r="X44" s="30"/>
    </x:row>
    <x:row r="45" ht="22" customHeight="1">
      <x:c r="A45" s="30" t="str">
        <x:f>A24</x:f>
        <x:v>GLM5.3</x:v>
      </x:c>
      <x:c r="B45" s="30" t="n">
        <x:f>B24</x:f>
        <x:v>256</x:v>
      </x:c>
      <x:c r="C45" s="74" t="n">
        <x:f>$B$15</x:f>
        <x:v>16384</x:v>
      </x:c>
      <x:c r="D45" s="30" t="n">
        <x:f>$C$15</x:f>
        <x:v>4</x:v>
      </x:c>
      <x:c r="E45" s="30" t="n">
        <x:f>$F$18</x:f>
        <x:v>30</x:v>
      </x:c>
      <x:c r="F45" s="75" t="n">
        <x:f>IF(A75,60000/L75,"")</x:f>
        <x:v>15</x:v>
      </x:c>
      <x:c r="G45" s="75" t="n">
        <x:f>K75</x:f>
        <x:v>0.65011712</x:v>
      </x:c>
      <x:c r="H45" s="75" t="n">
        <x:f>IF(W75="估算",U75*R75,"")</x:f>
        <x:v>15.127782809999823</x:v>
      </x:c>
      <x:c r="I45" s="75" t="n">
        <x:f>IF(W75="估算",U75*S75,"")</x:f>
        <x:v>0</x:v>
      </x:c>
      <x:c r="J45" s="75" t="n">
        <x:f>IF(W75="估算",U75*MAX(0,R75-S75),"")</x:f>
        <x:v>15.127782809999823</x:v>
      </x:c>
      <x:c r="K45" s="75" t="n">
        <x:f>IF(W75="估算",IF(OR(O75=0,K75=0),0,U75*E24*MIN(1,(K75+P75)/L75)),"")</x:f>
        <x:v>24.58371075</x:v>
      </x:c>
      <x:c r="L45" s="34" t="n">
        <x:f>IF(W75="估算",V75,"")</x:f>
        <x:v>0.014752141240164354</x:v>
      </x:c>
      <x:c r="M45" s="34" t="n">
        <x:f>IF(W75="估算",E45*V75/60,"")</x:f>
        <x:v>0.007376070620082177</x:v>
      </x:c>
      <x:c r="N45" s="34" t="n">
        <x:f>IF(W75="估算",V75/60000*1e6,"")</x:f>
        <x:v>0.2458690206694059</x:v>
      </x:c>
      <x:c r="O45" s="30" t="str">
        <x:f>IF(W75="估算","相位平均估算",W75)</x:f>
        <x:v>相位平均估算</x:v>
      </x:c>
      <x:c r="P45" s="49" t="n">
        <x:f>Q75</x:f>
        <x:v>65.382</x:v>
      </x:c>
      <x:c r="Q45" s="30"/>
      <x:c r="R45" s="30"/>
      <x:c r="S45" s="30"/>
      <x:c r="T45" s="30"/>
      <x:c r="U45" s="30"/>
      <x:c r="V45" s="30"/>
      <x:c r="W45" s="30"/>
      <x:c r="X45" s="30"/>
    </x:row>
    <x:row r="46" ht="22" customHeight="1">
      <x:c r="A46" s="30" t="str">
        <x:f>A24</x:f>
        <x:v>GLM5.3</x:v>
      </x:c>
      <x:c r="B46" s="30" t="n">
        <x:f>B24</x:f>
        <x:v>256</x:v>
      </x:c>
      <x:c r="C46" s="74" t="n">
        <x:f>$B$16</x:f>
        <x:v>262144</x:v>
      </x:c>
      <x:c r="D46" s="30" t="n">
        <x:f>$C$16</x:f>
        <x:v>20</x:v>
      </x:c>
      <x:c r="E46" s="30" t="n">
        <x:f>$F$15</x:f>
        <x:v>5</x:v>
      </x:c>
      <x:c r="F46" s="75" t="n">
        <x:f>IF(A76,60000/L76,"")</x:f>
        <x:v>3</x:v>
      </x:c>
      <x:c r="G46" s="75" t="n">
        <x:f>K76</x:f>
        <x:v>10.40187392</x:v>
      </x:c>
      <x:c r="H46" s="75" t="n">
        <x:f>IF(W76="估算",U76*R76,"")</x:f>
        <x:v>9.204393452001192</x:v>
      </x:c>
      <x:c r="I46" s="75" t="n">
        <x:f>IF(W76="估算",U76*S76,"")</x:f>
        <x:v>3.2778552519996396</x:v>
      </x:c>
      <x:c r="J46" s="75" t="n">
        <x:f>IF(W76="估算",U76*MAX(0,R76-S76),"")</x:f>
        <x:v>5.926538200001552</x:v>
      </x:c>
      <x:c r="K46" s="75" t="n">
        <x:f>IF(W76="估算",IF(OR(O76=0,K76=0),0,U76*E24*MIN(1,(K76+P76)/L76)),"")</x:f>
        <x:v>468.3295089</x:v>
      </x:c>
      <x:c r="L46" s="34" t="n">
        <x:f>IF(W76="估算",V76,"")</x:f>
        <x:v>0.2833648041121972</x:v>
      </x:c>
      <x:c r="M46" s="34" t="n">
        <x:f>IF(W76="估算",E46*V76/60,"")</x:f>
        <x:v>0.023613733676016435</x:v>
      </x:c>
      <x:c r="N46" s="34" t="n">
        <x:f>IF(W76="估算",V76/60000*1e6,"")</x:f>
        <x:v>4.7227467352032875</x:v>
      </x:c>
      <x:c r="O46" s="30" t="str">
        <x:f>IF(W76="估算","相位平均估算",W76)</x:f>
        <x:v>相位平均估算</x:v>
      </x:c>
      <x:c r="P46" s="49" t="n">
        <x:f>Q76</x:f>
        <x:v>392.29200000000003</x:v>
      </x:c>
      <x:c r="Q46" s="30"/>
      <x:c r="R46" s="30"/>
      <x:c r="S46" s="30"/>
      <x:c r="T46" s="30"/>
      <x:c r="U46" s="30"/>
      <x:c r="V46" s="30"/>
      <x:c r="W46" s="30"/>
      <x:c r="X46" s="30"/>
    </x:row>
    <x:row r="47" ht="22" customHeight="1">
      <x:c r="A47" s="30" t="str">
        <x:f>A24</x:f>
        <x:v>GLM5.3</x:v>
      </x:c>
      <x:c r="B47" s="30" t="n">
        <x:f>B24</x:f>
        <x:v>256</x:v>
      </x:c>
      <x:c r="C47" s="74" t="n">
        <x:f>$B$16</x:f>
        <x:v>262144</x:v>
      </x:c>
      <x:c r="D47" s="30" t="n">
        <x:f>$C$16</x:f>
        <x:v>20</x:v>
      </x:c>
      <x:c r="E47" s="30" t="n">
        <x:f>$F$16</x:f>
        <x:v>10</x:v>
      </x:c>
      <x:c r="F47" s="75" t="n">
        <x:f>IF(A77,60000/L77,"")</x:f>
        <x:v>3</x:v>
      </x:c>
      <x:c r="G47" s="75" t="n">
        <x:f>K77</x:f>
        <x:v>10.40187392</x:v>
      </x:c>
      <x:c r="H47" s="75" t="n">
        <x:f>IF(W77="估算",U77*R77,"")</x:f>
        <x:v>6.0821967259996335</x:v>
      </x:c>
      <x:c r="I47" s="75" t="n">
        <x:f>IF(W77="估算",U77*S77,"")</x:f>
        <x:v>0.15892762600078214</x:v>
      </x:c>
      <x:c r="J47" s="75" t="n">
        <x:f>IF(W77="估算",U77*MAX(0,R77-S77),"")</x:f>
        <x:v>5.923269099998851</x:v>
      </x:c>
      <x:c r="K47" s="75" t="n">
        <x:f>IF(W77="估算",IF(OR(O77=0,K77=0),0,U77*E24*MIN(1,(K77+P77)/L77)),"")</x:f>
        <x:v>234.16475445</x:v>
      </x:c>
      <x:c r="L47" s="34" t="n">
        <x:f>IF(W77="估算",V77,"")</x:f>
        <x:v>0.1416824020560986</x:v>
      </x:c>
      <x:c r="M47" s="34" t="n">
        <x:f>IF(W77="估算",E47*V77/60,"")</x:f>
        <x:v>0.023613733676016435</x:v>
      </x:c>
      <x:c r="N47" s="34" t="n">
        <x:f>IF(W77="估算",V77/60000*1e6,"")</x:f>
        <x:v>2.3613733676016437</x:v>
      </x:c>
      <x:c r="O47" s="30" t="str">
        <x:f>IF(W77="估算","相位平均估算",W77)</x:f>
        <x:v>相位平均估算</x:v>
      </x:c>
      <x:c r="P47" s="49" t="n">
        <x:f>Q77</x:f>
        <x:v>196.14600000000002</x:v>
      </x:c>
      <x:c r="Q47" s="30"/>
      <x:c r="R47" s="30"/>
      <x:c r="S47" s="30"/>
      <x:c r="T47" s="30"/>
      <x:c r="U47" s="30"/>
      <x:c r="V47" s="30"/>
      <x:c r="W47" s="30"/>
      <x:c r="X47" s="30"/>
    </x:row>
    <x:row r="48" ht="22" customHeight="1">
      <x:c r="A48" s="30" t="str">
        <x:f>A24</x:f>
        <x:v>GLM5.3</x:v>
      </x:c>
      <x:c r="B48" s="30" t="n">
        <x:f>B24</x:f>
        <x:v>256</x:v>
      </x:c>
      <x:c r="C48" s="74" t="n">
        <x:f>$B$16</x:f>
        <x:v>262144</x:v>
      </x:c>
      <x:c r="D48" s="30" t="n">
        <x:f>$C$16</x:f>
        <x:v>20</x:v>
      </x:c>
      <x:c r="E48" s="30" t="n">
        <x:f>$F$17</x:f>
        <x:v>20</x:v>
      </x:c>
      <x:c r="F48" s="75" t="n">
        <x:f>IF(A78,60000/L78,"")</x:f>
        <x:v>3</x:v>
      </x:c>
      <x:c r="G48" s="75" t="n">
        <x:f>K78</x:f>
        <x:v>10.40187392</x:v>
      </x:c>
      <x:c r="H48" s="75" t="n">
        <x:f>IF(W78="估算",U78*R78,"")</x:f>
        <x:v>4.521098363000187</x:v>
      </x:c>
      <x:c r="I48" s="75" t="n">
        <x:f>IF(W78="估算",U78*S78,"")</x:f>
        <x:v>0</x:v>
      </x:c>
      <x:c r="J48" s="75" t="n">
        <x:f>IF(W78="估算",U78*MAX(0,R78-S78),"")</x:f>
        <x:v>4.521098363000187</x:v>
      </x:c>
      <x:c r="K48" s="75" t="n">
        <x:f>IF(W78="估算",IF(OR(O78=0,K78=0),0,U78*E24*MIN(1,(K78+P78)/L78)),"")</x:f>
        <x:v>117.082377225</x:v>
      </x:c>
      <x:c r="L48" s="34" t="n">
        <x:f>IF(W78="估算",V78,"")</x:f>
        <x:v>0.0708412010280493</x:v>
      </x:c>
      <x:c r="M48" s="34" t="n">
        <x:f>IF(W78="估算",E48*V78/60,"")</x:f>
        <x:v>0.023613733676016435</x:v>
      </x:c>
      <x:c r="N48" s="34" t="n">
        <x:f>IF(W78="估算",V78/60000*1e6,"")</x:f>
        <x:v>1.1806866838008219</x:v>
      </x:c>
      <x:c r="O48" s="30" t="str">
        <x:f>IF(W78="估算","相位平均估算",W78)</x:f>
        <x:v>相位平均估算</x:v>
      </x:c>
      <x:c r="P48" s="49" t="n">
        <x:f>Q78</x:f>
        <x:v>98.07300000000001</x:v>
      </x:c>
      <x:c r="Q48" s="30"/>
      <x:c r="R48" s="30"/>
      <x:c r="S48" s="30"/>
      <x:c r="T48" s="30"/>
      <x:c r="U48" s="30"/>
      <x:c r="V48" s="30"/>
      <x:c r="W48" s="30"/>
      <x:c r="X48" s="30"/>
    </x:row>
    <x:row r="49" ht="22" customHeight="1">
      <x:c r="A49" s="30" t="str">
        <x:f>A24</x:f>
        <x:v>GLM5.3</x:v>
      </x:c>
      <x:c r="B49" s="30" t="n">
        <x:f>B24</x:f>
        <x:v>256</x:v>
      </x:c>
      <x:c r="C49" s="74" t="n">
        <x:f>$B$16</x:f>
        <x:v>262144</x:v>
      </x:c>
      <x:c r="D49" s="30" t="n">
        <x:f>$C$16</x:f>
        <x:v>20</x:v>
      </x:c>
      <x:c r="E49" s="30" t="n">
        <x:f>$F$18</x:f>
        <x:v>30</x:v>
      </x:c>
      <x:c r="F49" s="75" t="n">
        <x:f>IF(A79,60000/L79,"")</x:f>
        <x:v>3</x:v>
      </x:c>
      <x:c r="G49" s="75" t="n">
        <x:f>K79</x:f>
        <x:v>10.40187392</x:v>
      </x:c>
      <x:c r="H49" s="75" t="n">
        <x:f>IF(W79="估算",U79*R79,"")</x:f>
        <x:v>4.000732241999927</x:v>
      </x:c>
      <x:c r="I49" s="75" t="n">
        <x:f>IF(W79="估算",U79*S79,"")</x:f>
        <x:v>0</x:v>
      </x:c>
      <x:c r="J49" s="75" t="n">
        <x:f>IF(W79="估算",U79*MAX(0,R79-S79),"")</x:f>
        <x:v>4.000732241999927</x:v>
      </x:c>
      <x:c r="K49" s="75" t="n">
        <x:f>IF(W79="估算",IF(OR(O79=0,K79=0),0,U79*E24*MIN(1,(K79+P79)/L79)),"")</x:f>
        <x:v>78.05491815</x:v>
      </x:c>
      <x:c r="L49" s="34" t="n">
        <x:f>IF(W79="估算",V79,"")</x:f>
        <x:v>0.04722746735203287</x:v>
      </x:c>
      <x:c r="M49" s="34" t="n">
        <x:f>IF(W79="估算",E49*V79/60,"")</x:f>
        <x:v>0.023613733676016435</x:v>
      </x:c>
      <x:c r="N49" s="34" t="n">
        <x:f>IF(W79="估算",V79/60000*1e6,"")</x:f>
        <x:v>0.7871244558672145</x:v>
      </x:c>
      <x:c r="O49" s="30" t="str">
        <x:f>IF(W79="估算","相位平均估算",W79)</x:f>
        <x:v>相位平均估算</x:v>
      </x:c>
      <x:c r="P49" s="49" t="n">
        <x:f>Q79</x:f>
        <x:v>65.382</x:v>
      </x:c>
      <x:c r="Q49" s="30"/>
      <x:c r="R49" s="30"/>
      <x:c r="S49" s="30"/>
      <x:c r="T49" s="30"/>
      <x:c r="U49" s="30"/>
      <x:c r="V49" s="30"/>
      <x:c r="W49" s="30"/>
      <x:c r="X49" s="30"/>
    </x:row>
    <x:row r="50" ht="22" customHeight="1">
      <x:c r="A50" s="30" t="str">
        <x:f>A24</x:f>
        <x:v>GLM5.3</x:v>
      </x:c>
      <x:c r="B50" s="30" t="n">
        <x:f>B24</x:f>
        <x:v>256</x:v>
      </x:c>
      <x:c r="C50" s="74" t="n">
        <x:f>$B$17</x:f>
        <x:v>1048576</x:v>
      </x:c>
      <x:c r="D50" s="30" t="n">
        <x:f>$C$17</x:f>
        <x:v>60</x:v>
      </x:c>
      <x:c r="E50" s="30" t="n">
        <x:f>$F$15</x:f>
        <x:v>5</x:v>
      </x:c>
      <x:c r="F50" s="75" t="n">
        <x:f>IF(A80,60000/L80,"")</x:f>
        <x:v>1</x:v>
      </x:c>
      <x:c r="G50" s="75" t="n">
        <x:f>K80</x:f>
        <x:v>41.60749568</x:v>
      </x:c>
      <x:c r="H50" s="75" t="n">
        <x:f>IF(W80="估算",U80*R80,"")</x:f>
        <x:v>9.309255502666591</x:v>
      </x:c>
      <x:c r="I50" s="75" t="n">
        <x:f>IF(W80="估算",U80*S80,"")</x:f>
        <x:v>7.333742769333185</x:v>
      </x:c>
      <x:c r="J50" s="75" t="n">
        <x:f>IF(W80="估算",U80*MAX(0,R80-S80),"")</x:f>
        <x:v>1.9755127333334066</x:v>
      </x:c>
      <x:c r="K50" s="75" t="n">
        <x:f>IF(W80="估算",IF(OR(O80=0,K80=0),0,U80*E24*MIN(1,(K80+P80)/L80)),"")</x:f>
        <x:v>624.1941627</x:v>
      </x:c>
      <x:c r="L50" s="34" t="n">
        <x:f>IF(W80="估算",V80,"")</x:f>
        <x:v>0.3778279849696658</x:v>
      </x:c>
      <x:c r="M50" s="34" t="n">
        <x:f>IF(W80="估算",E50*V80/60,"")</x:f>
        <x:v>0.031485665414138816</x:v>
      </x:c>
      <x:c r="N50" s="34" t="n">
        <x:f>IF(W80="估算",V80/60000*1e6,"")</x:f>
        <x:v>6.297133082827764</x:v>
      </x:c>
      <x:c r="O50" s="30" t="str">
        <x:f>IF(W80="估算","相位平均估算",W80)</x:f>
        <x:v>相位平均估算</x:v>
      </x:c>
      <x:c r="P50" s="49" t="n">
        <x:f>Q80</x:f>
        <x:v>392.29200000000003</x:v>
      </x:c>
      <x:c r="Q50" s="30"/>
      <x:c r="R50" s="30"/>
      <x:c r="S50" s="30"/>
      <x:c r="T50" s="30"/>
      <x:c r="U50" s="30"/>
      <x:c r="V50" s="30"/>
      <x:c r="W50" s="30"/>
      <x:c r="X50" s="30"/>
    </x:row>
    <x:row r="51" ht="22" customHeight="1">
      <x:c r="A51" s="30" t="str">
        <x:f>A24</x:f>
        <x:v>GLM5.3</x:v>
      </x:c>
      <x:c r="B51" s="30" t="n">
        <x:f>B24</x:f>
        <x:v>256</x:v>
      </x:c>
      <x:c r="C51" s="74" t="n">
        <x:f>$B$17</x:f>
        <x:v>1048576</x:v>
      </x:c>
      <x:c r="D51" s="30" t="n">
        <x:f>$C$17</x:f>
        <x:v>60</x:v>
      </x:c>
      <x:c r="E51" s="30" t="n">
        <x:f>$F$16</x:f>
        <x:v>10</x:v>
      </x:c>
      <x:c r="F51" s="75" t="n">
        <x:f>IF(A81,60000/L81,"")</x:f>
        <x:v>1</x:v>
      </x:c>
      <x:c r="G51" s="75" t="n">
        <x:f>K81</x:f>
        <x:v>41.60749568</x:v>
      </x:c>
      <x:c r="H51" s="75" t="n">
        <x:f>IF(W81="估算",U81*R81,"")</x:f>
        <x:v>5.147961084667196</x:v>
      </x:c>
      <x:c r="I51" s="75" t="n">
        <x:f>IF(W81="估算",U81*S81,"")</x:f>
        <x:v>3.1735380513333578</x:v>
      </x:c>
      <x:c r="J51" s="75" t="n">
        <x:f>IF(W81="估算",U81*MAX(0,R81-S81),"")</x:f>
        <x:v>1.9744230333338386</x:v>
      </x:c>
      <x:c r="K51" s="75" t="n">
        <x:f>IF(W81="估算",IF(OR(O81=0,K81=0),0,U81*E24*MIN(1,(K81+P81)/L81)),"")</x:f>
        <x:v>312.09708135</x:v>
      </x:c>
      <x:c r="L51" s="34" t="n">
        <x:f>IF(W81="估算",V81,"")</x:f>
        <x:v>0.1889139924848329</x:v>
      </x:c>
      <x:c r="M51" s="34" t="n">
        <x:f>IF(W81="估算",E51*V81/60,"")</x:f>
        <x:v>0.031485665414138816</x:v>
      </x:c>
      <x:c r="N51" s="34" t="n">
        <x:f>IF(W81="估算",V81/60000*1e6,"")</x:f>
        <x:v>3.148566541413882</x:v>
      </x:c>
      <x:c r="O51" s="30" t="str">
        <x:f>IF(W81="估算","相位平均估算",W81)</x:f>
        <x:v>相位平均估算</x:v>
      </x:c>
      <x:c r="P51" s="49" t="n">
        <x:f>Q81</x:f>
        <x:v>196.14600000000002</x:v>
      </x:c>
      <x:c r="Q51" s="30"/>
      <x:c r="R51" s="30"/>
      <x:c r="S51" s="30"/>
      <x:c r="T51" s="30"/>
      <x:c r="U51" s="30"/>
      <x:c r="V51" s="30"/>
      <x:c r="W51" s="30"/>
      <x:c r="X51" s="30"/>
    </x:row>
    <x:row r="52" ht="22" customHeight="1">
      <x:c r="A52" s="30" t="str">
        <x:f>A24</x:f>
        <x:v>GLM5.3</x:v>
      </x:c>
      <x:c r="B52" s="30" t="n">
        <x:f>B24</x:f>
        <x:v>256</x:v>
      </x:c>
      <x:c r="C52" s="74" t="n">
        <x:f>$B$17</x:f>
        <x:v>1048576</x:v>
      </x:c>
      <x:c r="D52" s="30" t="n">
        <x:f>$C$17</x:f>
        <x:v>60</x:v>
      </x:c>
      <x:c r="E52" s="30" t="n">
        <x:f>$F$17</x:f>
        <x:v>20</x:v>
      </x:c>
      <x:c r="F52" s="75" t="n">
        <x:f>IF(A82,60000/L82,"")</x:f>
        <x:v>1</x:v>
      </x:c>
      <x:c r="G52" s="75" t="n">
        <x:f>K82</x:f>
        <x:v>41.60749568</x:v>
      </x:c>
      <x:c r="H52" s="75" t="n">
        <x:f>IF(W82="估算",U82*R82,"")</x:f>
        <x:v>3.0673138756664997</x:v>
      </x:c>
      <x:c r="I52" s="75" t="n">
        <x:f>IF(W82="估算",U82*S82,"")</x:f>
        <x:v>1.0934356923334443</x:v>
      </x:c>
      <x:c r="J52" s="75" t="n">
        <x:f>IF(W82="估算",U82*MAX(0,R82-S82),"")</x:f>
        <x:v>1.9738781833330554</x:v>
      </x:c>
      <x:c r="K52" s="75" t="n">
        <x:f>IF(W82="估算",IF(OR(O82=0,K82=0),0,U82*E24*MIN(1,(K82+P82)/L82)),"")</x:f>
        <x:v>156.048540675</x:v>
      </x:c>
      <x:c r="L52" s="34" t="n">
        <x:f>IF(W82="估算",V82,"")</x:f>
        <x:v>0.09445699624241645</x:v>
      </x:c>
      <x:c r="M52" s="34" t="n">
        <x:f>IF(W82="估算",E52*V82/60,"")</x:f>
        <x:v>0.031485665414138816</x:v>
      </x:c>
      <x:c r="N52" s="34" t="n">
        <x:f>IF(W82="估算",V82/60000*1e6,"")</x:f>
        <x:v>1.574283270706941</x:v>
      </x:c>
      <x:c r="O52" s="30" t="str">
        <x:f>IF(W82="估算","相位平均估算",W82)</x:f>
        <x:v>相位平均估算</x:v>
      </x:c>
      <x:c r="P52" s="49" t="n">
        <x:f>Q82</x:f>
        <x:v>98.07300000000001</x:v>
      </x:c>
      <x:c r="Q52" s="30"/>
      <x:c r="R52" s="30"/>
      <x:c r="S52" s="30"/>
      <x:c r="T52" s="30"/>
      <x:c r="U52" s="30"/>
      <x:c r="V52" s="30"/>
      <x:c r="W52" s="30"/>
      <x:c r="X52" s="30"/>
    </x:row>
    <x:row r="53" ht="22" customHeight="1">
      <x:c r="A53" s="30" t="str">
        <x:f>A24</x:f>
        <x:v>GLM5.3</x:v>
      </x:c>
      <x:c r="B53" s="30" t="n">
        <x:f>B24</x:f>
        <x:v>256</x:v>
      </x:c>
      <x:c r="C53" s="74" t="n">
        <x:f>$B$17</x:f>
        <x:v>1048576</x:v>
      </x:c>
      <x:c r="D53" s="30" t="n">
        <x:f>$C$17</x:f>
        <x:v>60</x:v>
      </x:c>
      <x:c r="E53" s="30" t="n">
        <x:f>$F$18</x:f>
        <x:v>30</x:v>
      </x:c>
      <x:c r="F53" s="75" t="n">
        <x:f>IF(A83,60000/L83,"")</x:f>
        <x:v>1</x:v>
      </x:c>
      <x:c r="G53" s="75" t="n">
        <x:f>K83</x:f>
        <x:v>41.60749568</x:v>
      </x:c>
      <x:c r="H53" s="75" t="n">
        <x:f>IF(W83="估算",U83*R83,"")</x:f>
        <x:v>2.373764806000045</x:v>
      </x:c>
      <x:c r="I53" s="75" t="n">
        <x:f>IF(W83="估算",U83*S83,"")</x:f>
        <x:v>0.40006823933347313</x:v>
      </x:c>
      <x:c r="J53" s="75" t="n">
        <x:f>IF(W83="估算",U83*MAX(0,R83-S83),"")</x:f>
        <x:v>1.9736965666665718</x:v>
      </x:c>
      <x:c r="K53" s="75" t="n">
        <x:f>IF(W83="估算",IF(OR(O83=0,K83=0),0,U83*E24*MIN(1,(K83+P83)/L83)),"")</x:f>
        <x:v>104.03236045</x:v>
      </x:c>
      <x:c r="L53" s="34" t="n">
        <x:f>IF(W83="估算",V83,"")</x:f>
        <x:v>0.06297133082827763</x:v>
      </x:c>
      <x:c r="M53" s="34" t="n">
        <x:f>IF(W83="估算",E53*V83/60,"")</x:f>
        <x:v>0.031485665414138816</x:v>
      </x:c>
      <x:c r="N53" s="34" t="n">
        <x:f>IF(W83="估算",V83/60000*1e6,"")</x:f>
        <x:v>1.0495221804712938</x:v>
      </x:c>
      <x:c r="O53" s="30" t="str">
        <x:f>IF(W83="估算","相位平均估算",W83)</x:f>
        <x:v>相位平均估算</x:v>
      </x:c>
      <x:c r="P53" s="49" t="n">
        <x:f>Q83</x:f>
        <x:v>65.382</x:v>
      </x:c>
      <x:c r="Q53" s="30"/>
      <x:c r="R53" s="30"/>
      <x:c r="S53" s="30"/>
      <x:c r="T53" s="30"/>
      <x:c r="U53" s="30"/>
      <x:c r="V53" s="30"/>
      <x:c r="W53" s="30"/>
      <x:c r="X53" s="30"/>
    </x:row>
    <x:row r="54" ht="22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</x:row>
    <x:row r="55" ht="22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</x:row>
    <x:row r="56" ht="22" customHeight="1">
      <x:c r="A56" s="30" t="str">
        <x:v>统计单位为一个 D DP 副本的 forward。EP 内各 Rank 并行，不能再把 forward 次数乘 EP。</x:v>
      </x:c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</x:row>
    <x:row r="57" ht="22" customHeight="1">
      <x:c r="A57" s="30" t="str">
        <x:v>交接请求总数、每 D DP 请求数、KV 占用和完整计算见下表。全 EP / 部分 EP 是基线窗口交集分类。</x:v>
      </x:c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</x:row>
    <x:row r="58" ht="22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</x:row>
    <x:row r="59" ht="42" customHeight="1">
      <x:c r="A59" s="73" t="str">
        <x:v>输入有效</x:v>
      </x:c>
      <x:c r="B59" s="73" t="str">
        <x:v>周期 ms</x:v>
      </x:c>
      <x:c r="C59" s="73" t="str">
        <x:v>步间隔 ms</x:v>
      </x:c>
      <x:c r="D59" s="73" t="str">
        <x:v>取 GiB/请求</x:v>
      </x:c>
      <x:c r="E59" s="73" t="str">
        <x:v>P DP/组</x:v>
      </x:c>
      <x:c r="F59" s="73" t="str">
        <x:v>D DP/组</x:v>
      </x:c>
      <x:c r="G59" s="73" t="str">
        <x:v>全系统请求交接/min</x:v>
      </x:c>
      <x:c r="H59" s="73" t="str">
        <x:v>每 D DP 请求/min</x:v>
      </x:c>
      <x:c r="I59" s="73" t="str">
        <x:v>P Rank GiB/窗口</x:v>
      </x:c>
      <x:c r="J59" s="73" t="str">
        <x:v>D Rank GiB/窗口</x:v>
      </x:c>
      <x:c r="K59" s="73" t="str">
        <x:v>KV 窗口 ms</x:v>
      </x:c>
      <x:c r="L59" s="73" t="str">
        <x:v>KV 间隔 ms</x:v>
      </x:c>
      <x:c r="M59" s="73" t="str">
        <x:v>KV 负载率</x:v>
      </x:c>
      <x:c r="N59" s="73" t="str">
        <x:v>EP GB/Rank/步</x:v>
      </x:c>
      <x:c r="O59" s="73" t="str">
        <x:v>EP 带宽项 ms</x:v>
      </x:c>
      <x:c r="P59" s="73" t="str">
        <x:v>每层 EP 段 ms</x:v>
      </x:c>
      <x:c r="Q59" s="73" t="str">
        <x:v>最低 EP GB/s</x:v>
      </x:c>
      <x:c r="R59" s="73" t="str">
        <x:v>FW 重叠概率</x:v>
      </x:c>
      <x:c r="S59" s="73" t="str">
        <x:v>全 EP 概率</x:v>
      </x:c>
      <x:c r="T59" s="73" t="str">
        <x:v>每层平均增时 ms</x:v>
      </x:c>
      <x:c r="U59" s="73" t="str">
        <x:v>基线 FW/min</x:v>
      </x:c>
      <x:c r="V59" s="73" t="str">
        <x:v>60s 工作增时 ms</x:v>
      </x:c>
      <x:c r="W59" s="73" t="str">
        <x:v>输入 / 调度状态</x:v>
      </x:c>
      <x:c r="X59" s="73" t="str">
        <x:v>等效全通信 FW/min</x:v>
      </x:c>
    </x:row>
    <x:row r="60" ht="22" customHeight="1">
      <x:c r="A60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30),D30&gt;0),AND(ISNUMBER(E30),E30&gt;0),MOD($B$5,1)=0,MOD($F$5,1)=0,MOD($J$5,1)=0,MOD($B$9,1)=0,MOD(K23,1)=0,ISNUMBER(C30),C30&gt;=2,MOD(C30,1)=0,OR($N$9=32,$N$9=64,$N$9=128),ISNUMBER($B$11),$B$11&gt;=0,MOD($B$11,1)=0,ISNUMBER($J$7),$J$7&gt;=0,$J$7&lt;1,AND(ISNUMBER(M23),M23&gt;=0,M23&lt;=1),AND(ISNUMBER(N23),N23&gt;=0,N23&lt;=1))</x:f>
        <x:v>1</x:v>
      </x:c>
      <x:c r="B60" s="76" t="n">
        <x:f>IF(A60,D30*1000,"")</x:f>
        <x:v>4000</x:v>
      </x:c>
      <x:c r="C60" s="76" t="n">
        <x:f>IF(A60,E30*L23,"")</x:f>
        <x:v>5</x:v>
      </x:c>
      <x:c r="D60" s="76" t="n">
        <x:f>IF(A60,M92,"")</x:f>
        <x:v>1.453125</x:v>
      </x:c>
      <x:c r="E60" s="76" t="n">
        <x:f>IF(A60,B23/C23,"")</x:f>
        <x:v>4</x:v>
      </x:c>
      <x:c r="F60" s="76" t="n">
        <x:f>IF(A60,B23/D23,"")</x:f>
        <x:v>32</x:v>
      </x:c>
      <x:c r="G60" s="76" t="n">
        <x:f>IF(A60,$F$5*E60*$B$5*60000/B60,"")</x:f>
        <x:v>960</x:v>
      </x:c>
      <x:c r="H60" s="76" t="n">
        <x:f>IF(A60,G60/($J$5*F60),"")</x:f>
        <x:v>30</x:v>
      </x:c>
      <x:c r="I60" s="76" t="n">
        <x:f>IF(A60,$B$5*D60/C23/$B$9,"")</x:f>
        <x:v>2.90625</x:v>
      </x:c>
      <x:c r="J60" s="76" t="n">
        <x:f>IF(A60,I60*$F$5/$J$5,"")</x:f>
        <x:v>2.90625</x:v>
      </x:c>
      <x:c r="K60" s="76" t="n">
        <x:f>IF(A60,MAX(I60,J60)*2^30/(J23*1e6),"")</x:f>
        <x:v>0.65011712</x:v>
      </x:c>
      <x:c r="L60" s="76" t="n">
        <x:f>IF(A60,B60/$B$9,"")</x:f>
        <x:v>4000</x:v>
      </x:c>
      <x:c r="M60" s="77" t="n">
        <x:f>IF(A60,K60/L60,"")</x:f>
        <x:v>0.00016252928</x:v>
      </x:c>
      <x:c r="N60" s="76" t="n">
        <x:f>IF(A60,(E23*ROUNDUP(K23/D23,0)*G23*(B23-1)/B23*(ROUNDUP((ROUNDUP(F23*2/32,0)*32+32)/480,0)*512+F23*2+32)+E23*ROUNDUP(H23/B23,0)*(B23-1)*32)/1e9,"")</x:f>
        <x:v>1.907616</x:v>
      </x:c>
      <x:c r="O60" s="76" t="n">
        <x:f>IF(A60,N60*1000/I23,"")</x:f>
        <x:v>0.39742</x:v>
      </x:c>
      <x:c r="P60" s="76" t="n">
        <x:f>IF(A60,O60/E23,"")</x:f>
        <x:v>0.005298933333333334</x:v>
      </x:c>
      <x:c r="Q60" s="76" t="n">
        <x:f>IF(A60,N60*1000/C60,"")</x:f>
        <x:v>381.5232</x:v>
      </x:c>
      <x:c r="R60" s="76" t="n">
        <x:f>IF(W60="估算",IF(OR(K60=0,O60=0),0,1-((E23-1)*MAX(0,(C60-O60)/E23-(K60))+MAX(0,L60-((E23-1)*C60/E23+P60)-(K60)))/L60),"")</x:f>
        <x:v>0.0013971873466666063</x:v>
      </x:c>
      <x:c r="S60" s="76" t="n">
        <x:f>IF(W60="估算",IF(O60=0,0,MAX(0,1-(1-((E23-1)*MAX(0,(C60-O60)/E23-(L60-K60))+MAX(0,L60-((E23-1)*C60/E23+P60)-(L60-K60)))/L60))),"")</x:f>
        <x:v>0</x:v>
      </x:c>
      <x:c r="T60" s="76" t="n">
        <x:f>IF(W60="估算",IF(OR(P60=0,K60=0,$J$7=0),0,IF(P60&lt;=(1-$J$7)*K60,$J$7*P60*K60/(1-$J$7)-$J$7^2*P60^2/(2*(1-$J$7)^2),$J$7*P60*K60+$J$7^2*K60^2/2)/L60),"")</x:f>
        <x:v>9.564909306300139e-8</x:v>
      </x:c>
      <x:c r="U60" s="76" t="n">
        <x:f>IF(A60,60000/C60,"")</x:f>
        <x:v>12000</x:v>
      </x:c>
      <x:c r="V60" s="76" t="n">
        <x:f>IF(W60="估算",U60*E23*T60*M23*N23,"")</x:f>
        <x:v>0.08608418375670125</x:v>
      </x:c>
      <x:c r="W60" s="76" t="str">
        <x:f>IF(NOT(A60),"输入无效",IF(K60&gt;=L60,"KV 超载",IF(O60&gt;C60+1e-9,"TPOT 不自洽",IF(OR(C60&gt;L60,P60&gt;L60-K60),"需时序仿真","估算"))))</x:f>
        <x:v>估算</x:v>
      </x:c>
      <x:c r="X60" s="76" t="n">
        <x:f>IF(W60="估算",U60*M60,"")</x:f>
        <x:v>1.9503513600000002</x:v>
      </x:c>
    </x:row>
    <x:row r="61" ht="22" customHeight="1">
      <x:c r="A61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31),D31&gt;0),AND(ISNUMBER(E31),E31&gt;0),MOD($B$5,1)=0,MOD($F$5,1)=0,MOD($J$5,1)=0,MOD($B$9,1)=0,MOD(K23,1)=0,ISNUMBER(C31),C31&gt;=2,MOD(C31,1)=0,OR($N$9=32,$N$9=64,$N$9=128),ISNUMBER($B$11),$B$11&gt;=0,MOD($B$11,1)=0,ISNUMBER($J$7),$J$7&gt;=0,$J$7&lt;1,AND(ISNUMBER(M23),M23&gt;=0,M23&lt;=1),AND(ISNUMBER(N23),N23&gt;=0,N23&lt;=1))</x:f>
        <x:v>1</x:v>
      </x:c>
      <x:c r="B61" s="76" t="n">
        <x:f>IF(A61,D31*1000,"")</x:f>
        <x:v>4000</x:v>
      </x:c>
      <x:c r="C61" s="76" t="n">
        <x:f>IF(A61,E31*L23,"")</x:f>
        <x:v>10</x:v>
      </x:c>
      <x:c r="D61" s="76" t="n">
        <x:f>IF(A61,M92,"")</x:f>
        <x:v>1.453125</x:v>
      </x:c>
      <x:c r="E61" s="76" t="n">
        <x:f>IF(A61,B23/C23,"")</x:f>
        <x:v>4</x:v>
      </x:c>
      <x:c r="F61" s="76" t="n">
        <x:f>IF(A61,B23/D23,"")</x:f>
        <x:v>32</x:v>
      </x:c>
      <x:c r="G61" s="76" t="n">
        <x:f>IF(A61,$F$5*E61*$B$5*60000/B61,"")</x:f>
        <x:v>960</x:v>
      </x:c>
      <x:c r="H61" s="76" t="n">
        <x:f>IF(A61,G61/($J$5*F61),"")</x:f>
        <x:v>30</x:v>
      </x:c>
      <x:c r="I61" s="76" t="n">
        <x:f>IF(A61,$B$5*D61/C23/$B$9,"")</x:f>
        <x:v>2.90625</x:v>
      </x:c>
      <x:c r="J61" s="76" t="n">
        <x:f>IF(A61,I61*$F$5/$J$5,"")</x:f>
        <x:v>2.90625</x:v>
      </x:c>
      <x:c r="K61" s="76" t="n">
        <x:f>IF(A61,MAX(I61,J61)*2^30/(J23*1e6),"")</x:f>
        <x:v>0.65011712</x:v>
      </x:c>
      <x:c r="L61" s="76" t="n">
        <x:f>IF(A61,B61/$B$9,"")</x:f>
        <x:v>4000</x:v>
      </x:c>
      <x:c r="M61" s="77" t="n">
        <x:f>IF(A61,K61/L61,"")</x:f>
        <x:v>0.00016252928</x:v>
      </x:c>
      <x:c r="N61" s="76" t="n">
        <x:f>IF(A61,(E23*ROUNDUP(K23/D23,0)*G23*(B23-1)/B23*(ROUNDUP((ROUNDUP(F23*2/32,0)*32+32)/480,0)*512+F23*2+32)+E23*ROUNDUP(H23/B23,0)*(B23-1)*32)/1e9,"")</x:f>
        <x:v>1.907616</x:v>
      </x:c>
      <x:c r="O61" s="76" t="n">
        <x:f>IF(A61,N61*1000/I23,"")</x:f>
        <x:v>0.39742</x:v>
      </x:c>
      <x:c r="P61" s="76" t="n">
        <x:f>IF(A61,O61/E23,"")</x:f>
        <x:v>0.005298933333333334</x:v>
      </x:c>
      <x:c r="Q61" s="76" t="n">
        <x:f>IF(A61,N61*1000/C61,"")</x:f>
        <x:v>190.7616</x:v>
      </x:c>
      <x:c r="R61" s="76" t="n">
        <x:f>IF(W61="估算",IF(OR(K61=0,O61=0),0,1-((E23-1)*MAX(0,(C61-O61)/E23-(K61))+MAX(0,L61-((E23-1)*C61/E23+P61)-(K61)))/L61),"")</x:f>
        <x:v>0.002630520679999915</x:v>
      </x:c>
      <x:c r="S61" s="76" t="n">
        <x:f>IF(W61="估算",IF(O61=0,0,MAX(0,1-(1-((E23-1)*MAX(0,(C61-O61)/E23-(L61-K61))+MAX(0,L61-((E23-1)*C61/E23+P61)-(L61-K61)))/L61))),"")</x:f>
        <x:v>0</x:v>
      </x:c>
      <x:c r="T61" s="76" t="n">
        <x:f>IF(W61="估算",IF(OR(P61=0,K61=0,$J$7=0),0,IF(P61&lt;=(1-$J$7)*K61,$J$7*P61*K61/(1-$J$7)-$J$7^2*P61^2/(2*(1-$J$7)^2),$J$7*P61*K61+$J$7^2*K61^2/2)/L61),"")</x:f>
        <x:v>9.564909306300139e-8</x:v>
      </x:c>
      <x:c r="U61" s="76" t="n">
        <x:f>IF(A61,60000/C61,"")</x:f>
        <x:v>6000</x:v>
      </x:c>
      <x:c r="V61" s="76" t="n">
        <x:f>IF(W61="估算",U61*E23*T61*M23*N23,"")</x:f>
        <x:v>0.043042091878350626</x:v>
      </x:c>
      <x:c r="W61" s="76" t="str">
        <x:f>IF(NOT(A61),"输入无效",IF(K61&gt;=L61,"KV 超载",IF(O61&gt;C61+1e-9,"TPOT 不自洽",IF(OR(C61&gt;L61,P61&gt;L61-K61),"需时序仿真","估算"))))</x:f>
        <x:v>估算</x:v>
      </x:c>
      <x:c r="X61" s="76" t="n">
        <x:f>IF(W61="估算",U61*M61,"")</x:f>
        <x:v>0.9751756800000001</x:v>
      </x:c>
    </x:row>
    <x:row r="62" ht="22" customHeight="1">
      <x:c r="A62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32),D32&gt;0),AND(ISNUMBER(E32),E32&gt;0),MOD($B$5,1)=0,MOD($F$5,1)=0,MOD($J$5,1)=0,MOD($B$9,1)=0,MOD(K23,1)=0,ISNUMBER(C32),C32&gt;=2,MOD(C32,1)=0,OR($N$9=32,$N$9=64,$N$9=128),ISNUMBER($B$11),$B$11&gt;=0,MOD($B$11,1)=0,ISNUMBER($J$7),$J$7&gt;=0,$J$7&lt;1,AND(ISNUMBER(M23),M23&gt;=0,M23&lt;=1),AND(ISNUMBER(N23),N23&gt;=0,N23&lt;=1))</x:f>
        <x:v>1</x:v>
      </x:c>
      <x:c r="B62" s="76" t="n">
        <x:f>IF(A62,D32*1000,"")</x:f>
        <x:v>4000</x:v>
      </x:c>
      <x:c r="C62" s="76" t="n">
        <x:f>IF(A62,E32*L23,"")</x:f>
        <x:v>20</x:v>
      </x:c>
      <x:c r="D62" s="76" t="n">
        <x:f>IF(A62,M92,"")</x:f>
        <x:v>1.453125</x:v>
      </x:c>
      <x:c r="E62" s="76" t="n">
        <x:f>IF(A62,B23/C23,"")</x:f>
        <x:v>4</x:v>
      </x:c>
      <x:c r="F62" s="76" t="n">
        <x:f>IF(A62,B23/D23,"")</x:f>
        <x:v>32</x:v>
      </x:c>
      <x:c r="G62" s="76" t="n">
        <x:f>IF(A62,$F$5*E62*$B$5*60000/B62,"")</x:f>
        <x:v>960</x:v>
      </x:c>
      <x:c r="H62" s="76" t="n">
        <x:f>IF(A62,G62/($J$5*F62),"")</x:f>
        <x:v>30</x:v>
      </x:c>
      <x:c r="I62" s="76" t="n">
        <x:f>IF(A62,$B$5*D62/C23/$B$9,"")</x:f>
        <x:v>2.90625</x:v>
      </x:c>
      <x:c r="J62" s="76" t="n">
        <x:f>IF(A62,I62*$F$5/$J$5,"")</x:f>
        <x:v>2.90625</x:v>
      </x:c>
      <x:c r="K62" s="76" t="n">
        <x:f>IF(A62,MAX(I62,J62)*2^30/(J23*1e6),"")</x:f>
        <x:v>0.65011712</x:v>
      </x:c>
      <x:c r="L62" s="76" t="n">
        <x:f>IF(A62,B62/$B$9,"")</x:f>
        <x:v>4000</x:v>
      </x:c>
      <x:c r="M62" s="77" t="n">
        <x:f>IF(A62,K62/L62,"")</x:f>
        <x:v>0.00016252928</x:v>
      </x:c>
      <x:c r="N62" s="76" t="n">
        <x:f>IF(A62,(E23*ROUNDUP(K23/D23,0)*G23*(B23-1)/B23*(ROUNDUP((ROUNDUP(F23*2/32,0)*32+32)/480,0)*512+F23*2+32)+E23*ROUNDUP(H23/B23,0)*(B23-1)*32)/1e9,"")</x:f>
        <x:v>1.907616</x:v>
      </x:c>
      <x:c r="O62" s="76" t="n">
        <x:f>IF(A62,N62*1000/I23,"")</x:f>
        <x:v>0.39742</x:v>
      </x:c>
      <x:c r="P62" s="76" t="n">
        <x:f>IF(A62,O62/E23,"")</x:f>
        <x:v>0.005298933333333334</x:v>
      </x:c>
      <x:c r="Q62" s="76" t="n">
        <x:f>IF(A62,N62*1000/C62,"")</x:f>
        <x:v>95.3808</x:v>
      </x:c>
      <x:c r="R62" s="76" t="n">
        <x:f>IF(W62="估算",IF(OR(K62=0,O62=0),0,1-((E23-1)*MAX(0,(C62-O62)/E23-(K62))+MAX(0,L62-((E23-1)*C62/E23+P62)-(K62)))/L62),"")</x:f>
        <x:v>0.005097187346666643</x:v>
      </x:c>
      <x:c r="S62" s="76" t="n">
        <x:f>IF(W62="估算",IF(O62=0,0,MAX(0,1-(1-((E23-1)*MAX(0,(C62-O62)/E23-(L62-K62))+MAX(0,L62-((E23-1)*C62/E23+P62)-(L62-K62)))/L62))),"")</x:f>
        <x:v>0</x:v>
      </x:c>
      <x:c r="T62" s="76" t="n">
        <x:f>IF(W62="估算",IF(OR(P62=0,K62=0,$J$7=0),0,IF(P62&lt;=(1-$J$7)*K62,$J$7*P62*K62/(1-$J$7)-$J$7^2*P62^2/(2*(1-$J$7)^2),$J$7*P62*K62+$J$7^2*K62^2/2)/L62),"")</x:f>
        <x:v>9.564909306300139e-8</x:v>
      </x:c>
      <x:c r="U62" s="76" t="n">
        <x:f>IF(A62,60000/C62,"")</x:f>
        <x:v>3000</x:v>
      </x:c>
      <x:c r="V62" s="76" t="n">
        <x:f>IF(W62="估算",U62*E23*T62*M23*N23,"")</x:f>
        <x:v>0.021521045939175313</x:v>
      </x:c>
      <x:c r="W62" s="76" t="str">
        <x:f>IF(NOT(A62),"输入无效",IF(K62&gt;=L62,"KV 超载",IF(O62&gt;C62+1e-9,"TPOT 不自洽",IF(OR(C62&gt;L62,P62&gt;L62-K62),"需时序仿真","估算"))))</x:f>
        <x:v>估算</x:v>
      </x:c>
      <x:c r="X62" s="76" t="n">
        <x:f>IF(W62="估算",U62*M62,"")</x:f>
        <x:v>0.48758784000000005</x:v>
      </x:c>
    </x:row>
    <x:row r="63" ht="22" customHeight="1">
      <x:c r="A63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33),D33&gt;0),AND(ISNUMBER(E33),E33&gt;0),MOD($B$5,1)=0,MOD($F$5,1)=0,MOD($J$5,1)=0,MOD($B$9,1)=0,MOD(K23,1)=0,ISNUMBER(C33),C33&gt;=2,MOD(C33,1)=0,OR($N$9=32,$N$9=64,$N$9=128),ISNUMBER($B$11),$B$11&gt;=0,MOD($B$11,1)=0,ISNUMBER($J$7),$J$7&gt;=0,$J$7&lt;1,AND(ISNUMBER(M23),M23&gt;=0,M23&lt;=1),AND(ISNUMBER(N23),N23&gt;=0,N23&lt;=1))</x:f>
        <x:v>1</x:v>
      </x:c>
      <x:c r="B63" s="76" t="n">
        <x:f>IF(A63,D33*1000,"")</x:f>
        <x:v>4000</x:v>
      </x:c>
      <x:c r="C63" s="76" t="n">
        <x:f>IF(A63,E33*L23,"")</x:f>
        <x:v>30</x:v>
      </x:c>
      <x:c r="D63" s="76" t="n">
        <x:f>IF(A63,M92,"")</x:f>
        <x:v>1.453125</x:v>
      </x:c>
      <x:c r="E63" s="76" t="n">
        <x:f>IF(A63,B23/C23,"")</x:f>
        <x:v>4</x:v>
      </x:c>
      <x:c r="F63" s="76" t="n">
        <x:f>IF(A63,B23/D23,"")</x:f>
        <x:v>32</x:v>
      </x:c>
      <x:c r="G63" s="76" t="n">
        <x:f>IF(A63,$F$5*E63*$B$5*60000/B63,"")</x:f>
        <x:v>960</x:v>
      </x:c>
      <x:c r="H63" s="76" t="n">
        <x:f>IF(A63,G63/($J$5*F63),"")</x:f>
        <x:v>30</x:v>
      </x:c>
      <x:c r="I63" s="76" t="n">
        <x:f>IF(A63,$B$5*D63/C23/$B$9,"")</x:f>
        <x:v>2.90625</x:v>
      </x:c>
      <x:c r="J63" s="76" t="n">
        <x:f>IF(A63,I63*$F$5/$J$5,"")</x:f>
        <x:v>2.90625</x:v>
      </x:c>
      <x:c r="K63" s="76" t="n">
        <x:f>IF(A63,MAX(I63,J63)*2^30/(J23*1e6),"")</x:f>
        <x:v>0.65011712</x:v>
      </x:c>
      <x:c r="L63" s="76" t="n">
        <x:f>IF(A63,B63/$B$9,"")</x:f>
        <x:v>4000</x:v>
      </x:c>
      <x:c r="M63" s="77" t="n">
        <x:f>IF(A63,K63/L63,"")</x:f>
        <x:v>0.00016252928</x:v>
      </x:c>
      <x:c r="N63" s="76" t="n">
        <x:f>IF(A63,(E23*ROUNDUP(K23/D23,0)*G23*(B23-1)/B23*(ROUNDUP((ROUNDUP(F23*2/32,0)*32+32)/480,0)*512+F23*2+32)+E23*ROUNDUP(H23/B23,0)*(B23-1)*32)/1e9,"")</x:f>
        <x:v>1.907616</x:v>
      </x:c>
      <x:c r="O63" s="76" t="n">
        <x:f>IF(A63,N63*1000/I23,"")</x:f>
        <x:v>0.39742</x:v>
      </x:c>
      <x:c r="P63" s="76" t="n">
        <x:f>IF(A63,O63/E23,"")</x:f>
        <x:v>0.005298933333333334</x:v>
      </x:c>
      <x:c r="Q63" s="76" t="n">
        <x:f>IF(A63,N63*1000/C63,"")</x:f>
        <x:v>63.5872</x:v>
      </x:c>
      <x:c r="R63" s="76" t="n">
        <x:f>IF(W63="估算",IF(OR(K63=0,O63=0),0,1-((E23-1)*MAX(0,(C63-O63)/E23-(K63))+MAX(0,L63-((E23-1)*C63/E23+P63)-(K63)))/L63),"")</x:f>
        <x:v>0.00756385401333326</x:v>
      </x:c>
      <x:c r="S63" s="76" t="n">
        <x:f>IF(W63="估算",IF(O63=0,0,MAX(0,1-(1-((E23-1)*MAX(0,(C63-O63)/E23-(L63-K63))+MAX(0,L63-((E23-1)*C63/E23+P63)-(L63-K63)))/L63))),"")</x:f>
        <x:v>0</x:v>
      </x:c>
      <x:c r="T63" s="76" t="n">
        <x:f>IF(W63="估算",IF(OR(P63=0,K63=0,$J$7=0),0,IF(P63&lt;=(1-$J$7)*K63,$J$7*P63*K63/(1-$J$7)-$J$7^2*P63^2/(2*(1-$J$7)^2),$J$7*P63*K63+$J$7^2*K63^2/2)/L63),"")</x:f>
        <x:v>9.564909306300139e-8</x:v>
      </x:c>
      <x:c r="U63" s="76" t="n">
        <x:f>IF(A63,60000/C63,"")</x:f>
        <x:v>2000</x:v>
      </x:c>
      <x:c r="V63" s="76" t="n">
        <x:f>IF(W63="估算",U63*E23*T63*M23*N23,"")</x:f>
        <x:v>0.014347363959450209</x:v>
      </x:c>
      <x:c r="W63" s="76" t="str">
        <x:f>IF(NOT(A63),"输入无效",IF(K63&gt;=L63,"KV 超载",IF(O63&gt;C63+1e-9,"TPOT 不自洽",IF(OR(C63&gt;L63,P63&gt;L63-K63),"需时序仿真","估算"))))</x:f>
        <x:v>估算</x:v>
      </x:c>
      <x:c r="X63" s="76" t="n">
        <x:f>IF(W63="估算",U63*M63,"")</x:f>
        <x:v>0.32505856</x:v>
      </x:c>
    </x:row>
    <x:row r="64" ht="22" customHeight="1">
      <x:c r="A64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34),D34&gt;0),AND(ISNUMBER(E34),E34&gt;0),MOD($B$5,1)=0,MOD($F$5,1)=0,MOD($J$5,1)=0,MOD($B$9,1)=0,MOD(K23,1)=0,ISNUMBER(C34),C34&gt;=2,MOD(C34,1)=0,OR($N$9=32,$N$9=64,$N$9=128),ISNUMBER($B$11),$B$11&gt;=0,MOD($B$11,1)=0,ISNUMBER($J$7),$J$7&gt;=0,$J$7&lt;1,AND(ISNUMBER(M23),M23&gt;=0,M23&lt;=1),AND(ISNUMBER(N23),N23&gt;=0,N23&lt;=1))</x:f>
        <x:v>1</x:v>
      </x:c>
      <x:c r="B64" s="76" t="n">
        <x:f>IF(A64,D34*1000,"")</x:f>
        <x:v>20000</x:v>
      </x:c>
      <x:c r="C64" s="76" t="n">
        <x:f>IF(A64,E34*L23,"")</x:f>
        <x:v>5</x:v>
      </x:c>
      <x:c r="D64" s="76" t="n">
        <x:f>IF(A64,M95,"")</x:f>
        <x:v>23.25</x:v>
      </x:c>
      <x:c r="E64" s="76" t="n">
        <x:f>IF(A64,B23/C23,"")</x:f>
        <x:v>4</x:v>
      </x:c>
      <x:c r="F64" s="76" t="n">
        <x:f>IF(A64,B23/D23,"")</x:f>
        <x:v>32</x:v>
      </x:c>
      <x:c r="G64" s="76" t="n">
        <x:f>IF(A64,$F$5*E64*$B$5*60000/B64,"")</x:f>
        <x:v>192</x:v>
      </x:c>
      <x:c r="H64" s="76" t="n">
        <x:f>IF(A64,G64/($J$5*F64),"")</x:f>
        <x:v>6</x:v>
      </x:c>
      <x:c r="I64" s="76" t="n">
        <x:f>IF(A64,$B$5*D64/C23/$B$9,"")</x:f>
        <x:v>46.5</x:v>
      </x:c>
      <x:c r="J64" s="76" t="n">
        <x:f>IF(A64,I64*$F$5/$J$5,"")</x:f>
        <x:v>46.5</x:v>
      </x:c>
      <x:c r="K64" s="76" t="n">
        <x:f>IF(A64,MAX(I64,J64)*2^30/(J23*1e6),"")</x:f>
        <x:v>10.40187392</x:v>
      </x:c>
      <x:c r="L64" s="76" t="n">
        <x:f>IF(A64,B64/$B$9,"")</x:f>
        <x:v>20000</x:v>
      </x:c>
      <x:c r="M64" s="77" t="n">
        <x:f>IF(A64,K64/L64,"")</x:f>
        <x:v>0.000520093696</x:v>
      </x:c>
      <x:c r="N64" s="76" t="n">
        <x:f>IF(A64,(E23*ROUNDUP(K23/D23,0)*G23*(B23-1)/B23*(ROUNDUP((ROUNDUP(F23*2/32,0)*32+32)/480,0)*512+F23*2+32)+E23*ROUNDUP(H23/B23,0)*(B23-1)*32)/1e9,"")</x:f>
        <x:v>1.907616</x:v>
      </x:c>
      <x:c r="O64" s="76" t="n">
        <x:f>IF(A64,N64*1000/I23,"")</x:f>
        <x:v>0.39742</x:v>
      </x:c>
      <x:c r="P64" s="76" t="n">
        <x:f>IF(A64,O64/E23,"")</x:f>
        <x:v>0.005298933333333334</x:v>
      </x:c>
      <x:c r="Q64" s="76" t="n">
        <x:f>IF(A64,N64*1000/C64,"")</x:f>
        <x:v>381.5232</x:v>
      </x:c>
      <x:c r="R64" s="76" t="n">
        <x:f>IF(W64="估算",IF(OR(K64=0,O64=0),0,1-((E23-1)*MAX(0,(C64-O64)/E23-(K64))+MAX(0,L64-((E23-1)*C64/E23+P64)-(K64)))/L64),"")</x:f>
        <x:v>0.000767025309333258</x:v>
      </x:c>
      <x:c r="S64" s="76" t="n">
        <x:f>IF(W64="估算",IF(O64=0,0,MAX(0,1-(1-((E23-1)*MAX(0,(C64-O64)/E23-(L64-K64))+MAX(0,L64-((E23-1)*C64/E23+P64)-(L64-K64)))/L64))),"")</x:f>
        <x:v>0.0002731620826667003</x:v>
      </x:c>
      <x:c r="T64" s="76" t="n">
        <x:f>IF(W64="估算",IF(OR(P64=0,K64=0,$J$7=0),0,IF(P64&lt;=(1-$J$7)*K64,$J$7*P64*K64/(1-$J$7)-$J$7^2*P64^2/(2*(1-$J$7)^2),$J$7*P64*K64+$J$7^2*K64^2/2)/L64),"")</x:f>
        <x:v>3.062070917574892e-7</x:v>
      </x:c>
      <x:c r="U64" s="76" t="n">
        <x:f>IF(A64,60000/C64,"")</x:f>
        <x:v>12000</x:v>
      </x:c>
      <x:c r="V64" s="76" t="n">
        <x:f>IF(W64="估算",U64*E23*T64*M23*N23,"")</x:f>
        <x:v>0.2755863825817403</x:v>
      </x:c>
      <x:c r="W64" s="76" t="str">
        <x:f>IF(NOT(A64),"输入无效",IF(K64&gt;=L64,"KV 超载",IF(O64&gt;C64+1e-9,"TPOT 不自洽",IF(OR(C64&gt;L64,P64&gt;L64-K64),"需时序仿真","估算"))))</x:f>
        <x:v>估算</x:v>
      </x:c>
      <x:c r="X64" s="76" t="n">
        <x:f>IF(W64="估算",U64*M64,"")</x:f>
        <x:v>6.241124352000001</x:v>
      </x:c>
    </x:row>
    <x:row r="65" ht="22" customHeight="1">
      <x:c r="A65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35),D35&gt;0),AND(ISNUMBER(E35),E35&gt;0),MOD($B$5,1)=0,MOD($F$5,1)=0,MOD($J$5,1)=0,MOD($B$9,1)=0,MOD(K23,1)=0,ISNUMBER(C35),C35&gt;=2,MOD(C35,1)=0,OR($N$9=32,$N$9=64,$N$9=128),ISNUMBER($B$11),$B$11&gt;=0,MOD($B$11,1)=0,ISNUMBER($J$7),$J$7&gt;=0,$J$7&lt;1,AND(ISNUMBER(M23),M23&gt;=0,M23&lt;=1),AND(ISNUMBER(N23),N23&gt;=0,N23&lt;=1))</x:f>
        <x:v>1</x:v>
      </x:c>
      <x:c r="B65" s="76" t="n">
        <x:f>IF(A65,D35*1000,"")</x:f>
        <x:v>20000</x:v>
      </x:c>
      <x:c r="C65" s="76" t="n">
        <x:f>IF(A65,E35*L23,"")</x:f>
        <x:v>10</x:v>
      </x:c>
      <x:c r="D65" s="76" t="n">
        <x:f>IF(A65,M95,"")</x:f>
        <x:v>23.25</x:v>
      </x:c>
      <x:c r="E65" s="76" t="n">
        <x:f>IF(A65,B23/C23,"")</x:f>
        <x:v>4</x:v>
      </x:c>
      <x:c r="F65" s="76" t="n">
        <x:f>IF(A65,B23/D23,"")</x:f>
        <x:v>32</x:v>
      </x:c>
      <x:c r="G65" s="76" t="n">
        <x:f>IF(A65,$F$5*E65*$B$5*60000/B65,"")</x:f>
        <x:v>192</x:v>
      </x:c>
      <x:c r="H65" s="76" t="n">
        <x:f>IF(A65,G65/($J$5*F65),"")</x:f>
        <x:v>6</x:v>
      </x:c>
      <x:c r="I65" s="76" t="n">
        <x:f>IF(A65,$B$5*D65/C23/$B$9,"")</x:f>
        <x:v>46.5</x:v>
      </x:c>
      <x:c r="J65" s="76" t="n">
        <x:f>IF(A65,I65*$F$5/$J$5,"")</x:f>
        <x:v>46.5</x:v>
      </x:c>
      <x:c r="K65" s="76" t="n">
        <x:f>IF(A65,MAX(I65,J65)*2^30/(J23*1e6),"")</x:f>
        <x:v>10.40187392</x:v>
      </x:c>
      <x:c r="L65" s="76" t="n">
        <x:f>IF(A65,B65/$B$9,"")</x:f>
        <x:v>20000</x:v>
      </x:c>
      <x:c r="M65" s="77" t="n">
        <x:f>IF(A65,K65/L65,"")</x:f>
        <x:v>0.000520093696</x:v>
      </x:c>
      <x:c r="N65" s="76" t="n">
        <x:f>IF(A65,(E23*ROUNDUP(K23/D23,0)*G23*(B23-1)/B23*(ROUNDUP((ROUNDUP(F23*2/32,0)*32+32)/480,0)*512+F23*2+32)+E23*ROUNDUP(H23/B23,0)*(B23-1)*32)/1e9,"")</x:f>
        <x:v>1.907616</x:v>
      </x:c>
      <x:c r="O65" s="76" t="n">
        <x:f>IF(A65,N65*1000/I23,"")</x:f>
        <x:v>0.39742</x:v>
      </x:c>
      <x:c r="P65" s="76" t="n">
        <x:f>IF(A65,O65/E23,"")</x:f>
        <x:v>0.005298933333333334</x:v>
      </x:c>
      <x:c r="Q65" s="76" t="n">
        <x:f>IF(A65,N65*1000/C65,"")</x:f>
        <x:v>190.7616</x:v>
      </x:c>
      <x:c r="R65" s="76" t="n">
        <x:f>IF(W65="估算",IF(OR(K65=0,O65=0),0,1-((E23-1)*MAX(0,(C65-O65)/E23-(K65))+MAX(0,L65-((E23-1)*C65/E23+P65)-(K65)))/L65),"")</x:f>
        <x:v>0.0010136919759999863</x:v>
      </x:c>
      <x:c r="S65" s="76" t="n">
        <x:f>IF(W65="估算",IF(O65=0,0,MAX(0,1-(1-((E23-1)*MAX(0,(C65-O65)/E23-(L65-K65))+MAX(0,L65-((E23-1)*C65/E23+P65)-(L65-K65)))/L65))),"")</x:f>
        <x:v>0.000026495416000082983</x:v>
      </x:c>
      <x:c r="T65" s="76" t="n">
        <x:f>IF(W65="估算",IF(OR(P65=0,K65=0,$J$7=0),0,IF(P65&lt;=(1-$J$7)*K65,$J$7*P65*K65/(1-$J$7)-$J$7^2*P65^2/(2*(1-$J$7)^2),$J$7*P65*K65+$J$7^2*K65^2/2)/L65),"")</x:f>
        <x:v>3.062070917574892e-7</x:v>
      </x:c>
      <x:c r="U65" s="76" t="n">
        <x:f>IF(A65,60000/C65,"")</x:f>
        <x:v>6000</x:v>
      </x:c>
      <x:c r="V65" s="76" t="n">
        <x:f>IF(W65="估算",U65*E23*T65*M23*N23,"")</x:f>
        <x:v>0.13779319129087014</x:v>
      </x:c>
      <x:c r="W65" s="76" t="str">
        <x:f>IF(NOT(A65),"输入无效",IF(K65&gt;=L65,"KV 超载",IF(O65&gt;C65+1e-9,"TPOT 不自洽",IF(OR(C65&gt;L65,P65&gt;L65-K65),"需时序仿真","估算"))))</x:f>
        <x:v>估算</x:v>
      </x:c>
      <x:c r="X65" s="76" t="n">
        <x:f>IF(W65="估算",U65*M65,"")</x:f>
        <x:v>3.1205621760000004</x:v>
      </x:c>
    </x:row>
    <x:row r="66" ht="22" customHeight="1">
      <x:c r="A66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36),D36&gt;0),AND(ISNUMBER(E36),E36&gt;0),MOD($B$5,1)=0,MOD($F$5,1)=0,MOD($J$5,1)=0,MOD($B$9,1)=0,MOD(K23,1)=0,ISNUMBER(C36),C36&gt;=2,MOD(C36,1)=0,OR($N$9=32,$N$9=64,$N$9=128),ISNUMBER($B$11),$B$11&gt;=0,MOD($B$11,1)=0,ISNUMBER($J$7),$J$7&gt;=0,$J$7&lt;1,AND(ISNUMBER(M23),M23&gt;=0,M23&lt;=1),AND(ISNUMBER(N23),N23&gt;=0,N23&lt;=1))</x:f>
        <x:v>1</x:v>
      </x:c>
      <x:c r="B66" s="76" t="n">
        <x:f>IF(A66,D36*1000,"")</x:f>
        <x:v>20000</x:v>
      </x:c>
      <x:c r="C66" s="76" t="n">
        <x:f>IF(A66,E36*L23,"")</x:f>
        <x:v>20</x:v>
      </x:c>
      <x:c r="D66" s="76" t="n">
        <x:f>IF(A66,M95,"")</x:f>
        <x:v>23.25</x:v>
      </x:c>
      <x:c r="E66" s="76" t="n">
        <x:f>IF(A66,B23/C23,"")</x:f>
        <x:v>4</x:v>
      </x:c>
      <x:c r="F66" s="76" t="n">
        <x:f>IF(A66,B23/D23,"")</x:f>
        <x:v>32</x:v>
      </x:c>
      <x:c r="G66" s="76" t="n">
        <x:f>IF(A66,$F$5*E66*$B$5*60000/B66,"")</x:f>
        <x:v>192</x:v>
      </x:c>
      <x:c r="H66" s="76" t="n">
        <x:f>IF(A66,G66/($J$5*F66),"")</x:f>
        <x:v>6</x:v>
      </x:c>
      <x:c r="I66" s="76" t="n">
        <x:f>IF(A66,$B$5*D66/C23/$B$9,"")</x:f>
        <x:v>46.5</x:v>
      </x:c>
      <x:c r="J66" s="76" t="n">
        <x:f>IF(A66,I66*$F$5/$J$5,"")</x:f>
        <x:v>46.5</x:v>
      </x:c>
      <x:c r="K66" s="76" t="n">
        <x:f>IF(A66,MAX(I66,J66)*2^30/(J23*1e6),"")</x:f>
        <x:v>10.40187392</x:v>
      </x:c>
      <x:c r="L66" s="76" t="n">
        <x:f>IF(A66,B66/$B$9,"")</x:f>
        <x:v>20000</x:v>
      </x:c>
      <x:c r="M66" s="77" t="n">
        <x:f>IF(A66,K66/L66,"")</x:f>
        <x:v>0.000520093696</x:v>
      </x:c>
      <x:c r="N66" s="76" t="n">
        <x:f>IF(A66,(E23*ROUNDUP(K23/D23,0)*G23*(B23-1)/B23*(ROUNDUP((ROUNDUP(F23*2/32,0)*32+32)/480,0)*512+F23*2+32)+E23*ROUNDUP(H23/B23,0)*(B23-1)*32)/1e9,"")</x:f>
        <x:v>1.907616</x:v>
      </x:c>
      <x:c r="O66" s="76" t="n">
        <x:f>IF(A66,N66*1000/I23,"")</x:f>
        <x:v>0.39742</x:v>
      </x:c>
      <x:c r="P66" s="76" t="n">
        <x:f>IF(A66,O66/E23,"")</x:f>
        <x:v>0.005298933333333334</x:v>
      </x:c>
      <x:c r="Q66" s="76" t="n">
        <x:f>IF(A66,N66*1000/C66,"")</x:f>
        <x:v>95.3808</x:v>
      </x:c>
      <x:c r="R66" s="76" t="n">
        <x:f>IF(W66="估算",IF(OR(K66=0,O66=0),0,1-((E23-1)*MAX(0,(C66-O66)/E23-(K66))+MAX(0,L66-((E23-1)*C66/E23+P66)-(K66)))/L66),"")</x:f>
        <x:v>0.001507025309333443</x:v>
      </x:c>
      <x:c r="S66" s="76" t="n">
        <x:f>IF(W66="估算",IF(O66=0,0,MAX(0,1-(1-((E23-1)*MAX(0,(C66-O66)/E23-(L66-K66))+MAX(0,L66-((E23-1)*C66/E23+P66)-(L66-K66)))/L66))),"")</x:f>
        <x:v>0</x:v>
      </x:c>
      <x:c r="T66" s="76" t="n">
        <x:f>IF(W66="估算",IF(OR(P66=0,K66=0,$J$7=0),0,IF(P66&lt;=(1-$J$7)*K66,$J$7*P66*K66/(1-$J$7)-$J$7^2*P66^2/(2*(1-$J$7)^2),$J$7*P66*K66+$J$7^2*K66^2/2)/L66),"")</x:f>
        <x:v>3.062070917574892e-7</x:v>
      </x:c>
      <x:c r="U66" s="76" t="n">
        <x:f>IF(A66,60000/C66,"")</x:f>
        <x:v>3000</x:v>
      </x:c>
      <x:c r="V66" s="76" t="n">
        <x:f>IF(W66="估算",U66*E23*T66*M23*N23,"")</x:f>
        <x:v>0.06889659564543507</x:v>
      </x:c>
      <x:c r="W66" s="76" t="str">
        <x:f>IF(NOT(A66),"输入无效",IF(K66&gt;=L66,"KV 超载",IF(O66&gt;C66+1e-9,"TPOT 不自洽",IF(OR(C66&gt;L66,P66&gt;L66-K66),"需时序仿真","估算"))))</x:f>
        <x:v>估算</x:v>
      </x:c>
      <x:c r="X66" s="76" t="n">
        <x:f>IF(W66="估算",U66*M66,"")</x:f>
        <x:v>1.5602810880000002</x:v>
      </x:c>
    </x:row>
    <x:row r="67" ht="22" customHeight="1">
      <x:c r="A67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37),D37&gt;0),AND(ISNUMBER(E37),E37&gt;0),MOD($B$5,1)=0,MOD($F$5,1)=0,MOD($J$5,1)=0,MOD($B$9,1)=0,MOD(K23,1)=0,ISNUMBER(C37),C37&gt;=2,MOD(C37,1)=0,OR($N$9=32,$N$9=64,$N$9=128),ISNUMBER($B$11),$B$11&gt;=0,MOD($B$11,1)=0,ISNUMBER($J$7),$J$7&gt;=0,$J$7&lt;1,AND(ISNUMBER(M23),M23&gt;=0,M23&lt;=1),AND(ISNUMBER(N23),N23&gt;=0,N23&lt;=1))</x:f>
        <x:v>1</x:v>
      </x:c>
      <x:c r="B67" s="76" t="n">
        <x:f>IF(A67,D37*1000,"")</x:f>
        <x:v>20000</x:v>
      </x:c>
      <x:c r="C67" s="76" t="n">
        <x:f>IF(A67,E37*L23,"")</x:f>
        <x:v>30</x:v>
      </x:c>
      <x:c r="D67" s="76" t="n">
        <x:f>IF(A67,M95,"")</x:f>
        <x:v>23.25</x:v>
      </x:c>
      <x:c r="E67" s="76" t="n">
        <x:f>IF(A67,B23/C23,"")</x:f>
        <x:v>4</x:v>
      </x:c>
      <x:c r="F67" s="76" t="n">
        <x:f>IF(A67,B23/D23,"")</x:f>
        <x:v>32</x:v>
      </x:c>
      <x:c r="G67" s="76" t="n">
        <x:f>IF(A67,$F$5*E67*$B$5*60000/B67,"")</x:f>
        <x:v>192</x:v>
      </x:c>
      <x:c r="H67" s="76" t="n">
        <x:f>IF(A67,G67/($J$5*F67),"")</x:f>
        <x:v>6</x:v>
      </x:c>
      <x:c r="I67" s="76" t="n">
        <x:f>IF(A67,$B$5*D67/C23/$B$9,"")</x:f>
        <x:v>46.5</x:v>
      </x:c>
      <x:c r="J67" s="76" t="n">
        <x:f>IF(A67,I67*$F$5/$J$5,"")</x:f>
        <x:v>46.5</x:v>
      </x:c>
      <x:c r="K67" s="76" t="n">
        <x:f>IF(A67,MAX(I67,J67)*2^30/(J23*1e6),"")</x:f>
        <x:v>10.40187392</x:v>
      </x:c>
      <x:c r="L67" s="76" t="n">
        <x:f>IF(A67,B67/$B$9,"")</x:f>
        <x:v>20000</x:v>
      </x:c>
      <x:c r="M67" s="77" t="n">
        <x:f>IF(A67,K67/L67,"")</x:f>
        <x:v>0.000520093696</x:v>
      </x:c>
      <x:c r="N67" s="76" t="n">
        <x:f>IF(A67,(E23*ROUNDUP(K23/D23,0)*G23*(B23-1)/B23*(ROUNDUP((ROUNDUP(F23*2/32,0)*32+32)/480,0)*512+F23*2+32)+E23*ROUNDUP(H23/B23,0)*(B23-1)*32)/1e9,"")</x:f>
        <x:v>1.907616</x:v>
      </x:c>
      <x:c r="O67" s="76" t="n">
        <x:f>IF(A67,N67*1000/I23,"")</x:f>
        <x:v>0.39742</x:v>
      </x:c>
      <x:c r="P67" s="76" t="n">
        <x:f>IF(A67,O67/E23,"")</x:f>
        <x:v>0.005298933333333334</x:v>
      </x:c>
      <x:c r="Q67" s="76" t="n">
        <x:f>IF(A67,N67*1000/C67,"")</x:f>
        <x:v>63.5872</x:v>
      </x:c>
      <x:c r="R67" s="76" t="n">
        <x:f>IF(W67="估算",IF(OR(K67=0,O67=0),0,1-((E23-1)*MAX(0,(C67-O67)/E23-(K67))+MAX(0,L67-((E23-1)*C67/E23+P67)-(K67)))/L67),"")</x:f>
        <x:v>0.0020003586426666775</x:v>
      </x:c>
      <x:c r="S67" s="76" t="n">
        <x:f>IF(W67="估算",IF(O67=0,0,MAX(0,1-(1-((E23-1)*MAX(0,(C67-O67)/E23-(L67-K67))+MAX(0,L67-((E23-1)*C67/E23+P67)-(L67-K67)))/L67))),"")</x:f>
        <x:v>0</x:v>
      </x:c>
      <x:c r="T67" s="76" t="n">
        <x:f>IF(W67="估算",IF(OR(P67=0,K67=0,$J$7=0),0,IF(P67&lt;=(1-$J$7)*K67,$J$7*P67*K67/(1-$J$7)-$J$7^2*P67^2/(2*(1-$J$7)^2),$J$7*P67*K67+$J$7^2*K67^2/2)/L67),"")</x:f>
        <x:v>3.062070917574892e-7</x:v>
      </x:c>
      <x:c r="U67" s="76" t="n">
        <x:f>IF(A67,60000/C67,"")</x:f>
        <x:v>2000</x:v>
      </x:c>
      <x:c r="V67" s="76" t="n">
        <x:f>IF(W67="估算",U67*E23*T67*M23*N23,"")</x:f>
        <x:v>0.04593106376362338</x:v>
      </x:c>
      <x:c r="W67" s="76" t="str">
        <x:f>IF(NOT(A67),"输入无效",IF(K67&gt;=L67,"KV 超载",IF(O67&gt;C67+1e-9,"TPOT 不自洽",IF(OR(C67&gt;L67,P67&gt;L67-K67),"需时序仿真","估算"))))</x:f>
        <x:v>估算</x:v>
      </x:c>
      <x:c r="X67" s="76" t="n">
        <x:f>IF(W67="估算",U67*M67,"")</x:f>
        <x:v>1.040187392</x:v>
      </x:c>
    </x:row>
    <x:row r="68" ht="22" customHeight="1">
      <x:c r="A68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38),D38&gt;0),AND(ISNUMBER(E38),E38&gt;0),MOD($B$5,1)=0,MOD($F$5,1)=0,MOD($J$5,1)=0,MOD($B$9,1)=0,MOD(K23,1)=0,ISNUMBER(C38),C38&gt;=2,MOD(C38,1)=0,OR($N$9=32,$N$9=64,$N$9=128),ISNUMBER($B$11),$B$11&gt;=0,MOD($B$11,1)=0,ISNUMBER($J$7),$J$7&gt;=0,$J$7&lt;1,AND(ISNUMBER(M23),M23&gt;=0,M23&lt;=1),AND(ISNUMBER(N23),N23&gt;=0,N23&lt;=1))</x:f>
        <x:v>1</x:v>
      </x:c>
      <x:c r="B68" s="76" t="n">
        <x:f>IF(A68,D38*1000,"")</x:f>
        <x:v>60000</x:v>
      </x:c>
      <x:c r="C68" s="76" t="n">
        <x:f>IF(A68,E38*L23,"")</x:f>
        <x:v>5</x:v>
      </x:c>
      <x:c r="D68" s="76" t="n">
        <x:f>IF(A68,M98,"")</x:f>
        <x:v>93</x:v>
      </x:c>
      <x:c r="E68" s="76" t="n">
        <x:f>IF(A68,B23/C23,"")</x:f>
        <x:v>4</x:v>
      </x:c>
      <x:c r="F68" s="76" t="n">
        <x:f>IF(A68,B23/D23,"")</x:f>
        <x:v>32</x:v>
      </x:c>
      <x:c r="G68" s="76" t="n">
        <x:f>IF(A68,$F$5*E68*$B$5*60000/B68,"")</x:f>
        <x:v>64</x:v>
      </x:c>
      <x:c r="H68" s="76" t="n">
        <x:f>IF(A68,G68/($J$5*F68),"")</x:f>
        <x:v>2</x:v>
      </x:c>
      <x:c r="I68" s="76" t="n">
        <x:f>IF(A68,$B$5*D68/C23/$B$9,"")</x:f>
        <x:v>186</x:v>
      </x:c>
      <x:c r="J68" s="76" t="n">
        <x:f>IF(A68,I68*$F$5/$J$5,"")</x:f>
        <x:v>186</x:v>
      </x:c>
      <x:c r="K68" s="76" t="n">
        <x:f>IF(A68,MAX(I68,J68)*2^30/(J23*1e6),"")</x:f>
        <x:v>41.60749568</x:v>
      </x:c>
      <x:c r="L68" s="76" t="n">
        <x:f>IF(A68,B68/$B$9,"")</x:f>
        <x:v>60000</x:v>
      </x:c>
      <x:c r="M68" s="77" t="n">
        <x:f>IF(A68,K68/L68,"")</x:f>
        <x:v>0.0006934582613333333</x:v>
      </x:c>
      <x:c r="N68" s="76" t="n">
        <x:f>IF(A68,(E23*ROUNDUP(K23/D23,0)*G23*(B23-1)/B23*(ROUNDUP((ROUNDUP(F23*2/32,0)*32+32)/480,0)*512+F23*2+32)+E23*ROUNDUP(H23/B23,0)*(B23-1)*32)/1e9,"")</x:f>
        <x:v>1.907616</x:v>
      </x:c>
      <x:c r="O68" s="76" t="n">
        <x:f>IF(A68,N68*1000/I23,"")</x:f>
        <x:v>0.39742</x:v>
      </x:c>
      <x:c r="P68" s="76" t="n">
        <x:f>IF(A68,O68/E23,"")</x:f>
        <x:v>0.005298933333333334</x:v>
      </x:c>
      <x:c r="Q68" s="76" t="n">
        <x:f>IF(A68,N68*1000/C68,"")</x:f>
        <x:v>381.5232</x:v>
      </x:c>
      <x:c r="R68" s="76" t="n">
        <x:f>IF(W68="估算",IF(OR(K68=0,O68=0),0,1-((E23-1)*MAX(0,(C68-O68)/E23-(K68))+MAX(0,L68-((E23-1)*C68/E23+P68)-(K68)))/L68),"")</x:f>
        <x:v>0.0007757687991111206</x:v>
      </x:c>
      <x:c r="S68" s="76" t="n">
        <x:f>IF(W68="估算",IF(O68=0,0,MAX(0,1-(1-((E23-1)*MAX(0,(C68-O68)/E23-(L68-K68))+MAX(0,L68-((E23-1)*C68/E23+P68)-(L68-K68)))/L68))),"")</x:f>
        <x:v>0.0006111477235555274</x:v>
      </x:c>
      <x:c r="T68" s="76" t="n">
        <x:f>IF(W68="估算",IF(OR(P68=0,K68=0,$J$7=0),0,IF(P68&lt;=(1-$J$7)*K68,$J$7*P68*K68/(1-$J$7)-$J$7^2*P68^2/(2*(1-$J$7)^2),$J$7*P68*K68+$J$7^2*K68^2/2)/L68),"")</x:f>
        <x:v>4.0828478860704464e-7</x:v>
      </x:c>
      <x:c r="U68" s="76" t="n">
        <x:f>IF(A68,60000/C68,"")</x:f>
        <x:v>12000</x:v>
      </x:c>
      <x:c r="V68" s="76" t="n">
        <x:f>IF(W68="估算",U68*E23*T68*M23*N23,"")</x:f>
        <x:v>0.3674563097463402</x:v>
      </x:c>
      <x:c r="W68" s="76" t="str">
        <x:f>IF(NOT(A68),"输入无效",IF(K68&gt;=L68,"KV 超载",IF(O68&gt;C68+1e-9,"TPOT 不自洽",IF(OR(C68&gt;L68,P68&gt;L68-K68),"需时序仿真","估算"))))</x:f>
        <x:v>估算</x:v>
      </x:c>
      <x:c r="X68" s="76" t="n">
        <x:f>IF(W68="估算",U68*M68,"")</x:f>
        <x:v>8.321499136</x:v>
      </x:c>
    </x:row>
    <x:row r="69" ht="22" customHeight="1">
      <x:c r="A69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39),D39&gt;0),AND(ISNUMBER(E39),E39&gt;0),MOD($B$5,1)=0,MOD($F$5,1)=0,MOD($J$5,1)=0,MOD($B$9,1)=0,MOD(K23,1)=0,ISNUMBER(C39),C39&gt;=2,MOD(C39,1)=0,OR($N$9=32,$N$9=64,$N$9=128),ISNUMBER($B$11),$B$11&gt;=0,MOD($B$11,1)=0,ISNUMBER($J$7),$J$7&gt;=0,$J$7&lt;1,AND(ISNUMBER(M23),M23&gt;=0,M23&lt;=1),AND(ISNUMBER(N23),N23&gt;=0,N23&lt;=1))</x:f>
        <x:v>1</x:v>
      </x:c>
      <x:c r="B69" s="76" t="n">
        <x:f>IF(A69,D39*1000,"")</x:f>
        <x:v>60000</x:v>
      </x:c>
      <x:c r="C69" s="76" t="n">
        <x:f>IF(A69,E39*L23,"")</x:f>
        <x:v>10</x:v>
      </x:c>
      <x:c r="D69" s="76" t="n">
        <x:f>IF(A69,M98,"")</x:f>
        <x:v>93</x:v>
      </x:c>
      <x:c r="E69" s="76" t="n">
        <x:f>IF(A69,B23/C23,"")</x:f>
        <x:v>4</x:v>
      </x:c>
      <x:c r="F69" s="76" t="n">
        <x:f>IF(A69,B23/D23,"")</x:f>
        <x:v>32</x:v>
      </x:c>
      <x:c r="G69" s="76" t="n">
        <x:f>IF(A69,$F$5*E69*$B$5*60000/B69,"")</x:f>
        <x:v>64</x:v>
      </x:c>
      <x:c r="H69" s="76" t="n">
        <x:f>IF(A69,G69/($J$5*F69),"")</x:f>
        <x:v>2</x:v>
      </x:c>
      <x:c r="I69" s="76" t="n">
        <x:f>IF(A69,$B$5*D69/C23/$B$9,"")</x:f>
        <x:v>186</x:v>
      </x:c>
      <x:c r="J69" s="76" t="n">
        <x:f>IF(A69,I69*$F$5/$J$5,"")</x:f>
        <x:v>186</x:v>
      </x:c>
      <x:c r="K69" s="76" t="n">
        <x:f>IF(A69,MAX(I69,J69)*2^30/(J23*1e6),"")</x:f>
        <x:v>41.60749568</x:v>
      </x:c>
      <x:c r="L69" s="76" t="n">
        <x:f>IF(A69,B69/$B$9,"")</x:f>
        <x:v>60000</x:v>
      </x:c>
      <x:c r="M69" s="77" t="n">
        <x:f>IF(A69,K69/L69,"")</x:f>
        <x:v>0.0006934582613333333</x:v>
      </x:c>
      <x:c r="N69" s="76" t="n">
        <x:f>IF(A69,(E23*ROUNDUP(K23/D23,0)*G23*(B23-1)/B23*(ROUNDUP((ROUNDUP(F23*2/32,0)*32+32)/480,0)*512+F23*2+32)+E23*ROUNDUP(H23/B23,0)*(B23-1)*32)/1e9,"")</x:f>
        <x:v>1.907616</x:v>
      </x:c>
      <x:c r="O69" s="76" t="n">
        <x:f>IF(A69,N69*1000/I23,"")</x:f>
        <x:v>0.39742</x:v>
      </x:c>
      <x:c r="P69" s="76" t="n">
        <x:f>IF(A69,O69/E23,"")</x:f>
        <x:v>0.005298933333333334</x:v>
      </x:c>
      <x:c r="Q69" s="76" t="n">
        <x:f>IF(A69,N69*1000/C69,"")</x:f>
        <x:v>190.7616</x:v>
      </x:c>
      <x:c r="R69" s="76" t="n">
        <x:f>IF(W69="估算",IF(OR(K69=0,O69=0),0,1-((E23-1)*MAX(0,(C69-O69)/E23-(K69))+MAX(0,L69-((E23-1)*C69/E23+P69)-(K69)))/L69),"")</x:f>
        <x:v>0.0008579910213334374</x:v>
      </x:c>
      <x:c r="S69" s="76" t="n">
        <x:f>IF(W69="估算",IF(O69=0,0,MAX(0,1-(1-((E23-1)*MAX(0,(C69-O69)/E23-(L69-K69))+MAX(0,L69-((E23-1)*C69/E23+P69)-(L69-K69)))/L69))),"")</x:f>
        <x:v>0.0005289255013333216</x:v>
      </x:c>
      <x:c r="T69" s="76" t="n">
        <x:f>IF(W69="估算",IF(OR(P69=0,K69=0,$J$7=0),0,IF(P69&lt;=(1-$J$7)*K69,$J$7*P69*K69/(1-$J$7)-$J$7^2*P69^2/(2*(1-$J$7)^2),$J$7*P69*K69+$J$7^2*K69^2/2)/L69),"")</x:f>
        <x:v>4.0828478860704464e-7</x:v>
      </x:c>
      <x:c r="U69" s="76" t="n">
        <x:f>IF(A69,60000/C69,"")</x:f>
        <x:v>6000</x:v>
      </x:c>
      <x:c r="V69" s="76" t="n">
        <x:f>IF(W69="估算",U69*E23*T69*M23*N23,"")</x:f>
        <x:v>0.1837281548731701</x:v>
      </x:c>
      <x:c r="W69" s="76" t="str">
        <x:f>IF(NOT(A69),"输入无效",IF(K69&gt;=L69,"KV 超载",IF(O69&gt;C69+1e-9,"TPOT 不自洽",IF(OR(C69&gt;L69,P69&gt;L69-K69),"需时序仿真","估算"))))</x:f>
        <x:v>估算</x:v>
      </x:c>
      <x:c r="X69" s="76" t="n">
        <x:f>IF(W69="估算",U69*M69,"")</x:f>
        <x:v>4.160749568</x:v>
      </x:c>
    </x:row>
    <x:row r="70" ht="22" customHeight="1">
      <x:c r="A70" s="30" t="b">
        <x:f>AND(AND(ISNUMBER($B$5),$B$5&gt;0),AND(ISNUMBER($F$5),$F$5&gt;0),AND(ISNUMBER($J$5),$J$5&gt;0),AND(ISNUMBER($B$9),$B$9&gt;0),AND(ISNUMBER(I23),I23&gt;0),AND(ISNUMBER(J23),J23&gt;0),AND(ISNUMBER(K23),K23&gt;0),AND(ISNUMBER(L23),L23&gt;0),AND(ISNUMBER(D40),D40&gt;0),AND(ISNUMBER(E40),E40&gt;0),MOD($B$5,1)=0,MOD($F$5,1)=0,MOD($J$5,1)=0,MOD($B$9,1)=0,MOD(K23,1)=0,ISNUMBER(C40),C40&gt;=2,MOD(C40,1)=0,OR($N$9=32,$N$9=64,$N$9=128),ISNUMBER($B$11),$B$11&gt;=0,MOD($B$11,1)=0,ISNUMBER($J$7),$J$7&gt;=0,$J$7&lt;1,AND(ISNUMBER(M23),M23&gt;=0,M23&lt;=1),AND(ISNUMBER(N23),N23&gt;=0,N23&lt;=1))</x:f>
        <x:v>1</x:v>
      </x:c>
      <x:c r="B70" s="76" t="n">
        <x:f>IF(A70,D40*1000,"")</x:f>
        <x:v>60000</x:v>
      </x:c>
      <x:c r="C70" s="76" t="n">
        <x:f>IF(A70,E40*L23,"")</x:f>
        <x:v>20</x:v>
      </x:c>
      <x:c r="D70" s="76" t="n">
        <x:f>IF(A70,M98,"")</x:f>
        <x:v>93</x:v>
      </x:c>
      <x:c r="E70" s="76" t="n">
        <x:f>IF(A70,B23/C23,"")</x:f>
        <x:v>4</x:v>
      </x:c>
      <x:c r="F70" s="76" t="n">
        <x:f>IF(A70,B23/D23,"")</x:f>
        <x:v>32</x:v>
      </x:c>
      <x:c r="G70" s="76" t="n">
        <x:f>IF(A70,$F$5*E70*$B$5*60000/B70,"")</x:f>
        <x:v>64</x:v>
      </x:c>
      <x:c r="H70" s="76" t="n">
        <x:f>IF(A70,G70/($J$5*F70),"")</x:f>
        <x:v>2</x:v>
      </x:c>
      <x:c r="I70" s="76" t="n">
        <x:f>IF(A70,$B$5*D70/C23/$B$9,"")</x:f>
        <x:v>186</x:v>
      </x:c>
      <x:c r="J70" s="76" t="n">
        <x:f>IF(A70,I70*$F$5/$J$5,"")</x:f>
        <x:v>186</x:v>
      </x:c>
      <x:c r="K70" s="76" t="n">
        <x:f>IF(A70,MAX(I70,J70)*2^30/(J23*1e6),"")</x:f>
        <x:v>41.60749568</x:v>
      </x:c>
      <x:c r="L70" s="76" t="n">
        <x:f>IF(A70,B70/$B$9,"")</x:f>
        <x:v>60000</x:v>
      </x:c>
      <x:c r="M70" s="77" t="n">
        <x:f>IF(A70,K70/L70,"")</x:f>
        <x:v>0.0006934582613333333</x:v>
      </x:c>
      <x:c r="N70" s="76" t="n">
        <x:f>IF(A70,(E23*ROUNDUP(K23/D23,0)*G23*(B23-1)/B23*(ROUNDUP((ROUNDUP(F23*2/32,0)*32+32)/480,0)*512+F23*2+32)+E23*ROUNDUP(H23/B23,0)*(B23-1)*32)/1e9,"")</x:f>
        <x:v>1.907616</x:v>
      </x:c>
      <x:c r="O70" s="76" t="n">
        <x:f>IF(A70,N70*1000/I23,"")</x:f>
        <x:v>0.39742</x:v>
      </x:c>
      <x:c r="P70" s="76" t="n">
        <x:f>IF(A70,O70/E23,"")</x:f>
        <x:v>0.005298933333333334</x:v>
      </x:c>
      <x:c r="Q70" s="76" t="n">
        <x:f>IF(A70,N70*1000/C70,"")</x:f>
        <x:v>95.3808</x:v>
      </x:c>
      <x:c r="R70" s="76" t="n">
        <x:f>IF(W70="估算",IF(OR(K70=0,O70=0),0,1-((E23-1)*MAX(0,(C70-O70)/E23-(K70))+MAX(0,L70-((E23-1)*C70/E23+P70)-(K70)))/L70),"")</x:f>
        <x:v>0.001022435465777738</x:v>
      </x:c>
      <x:c r="S70" s="76" t="n">
        <x:f>IF(W70="估算",IF(O70=0,0,MAX(0,1-(1-((E23-1)*MAX(0,(C70-O70)/E23-(L70-K70))+MAX(0,L70-((E23-1)*C70/E23+P70)-(L70-K70)))/L70))),"")</x:f>
        <x:v>0.0003644810568889101</x:v>
      </x:c>
      <x:c r="T70" s="76" t="n">
        <x:f>IF(W70="估算",IF(OR(P70=0,K70=0,$J$7=0),0,IF(P70&lt;=(1-$J$7)*K70,$J$7*P70*K70/(1-$J$7)-$J$7^2*P70^2/(2*(1-$J$7)^2),$J$7*P70*K70+$J$7^2*K70^2/2)/L70),"")</x:f>
        <x:v>4.0828478860704464e-7</x:v>
      </x:c>
      <x:c r="U70" s="76" t="n">
        <x:f>IF(A70,60000/C70,"")</x:f>
        <x:v>3000</x:v>
      </x:c>
      <x:c r="V70" s="76" t="n">
        <x:f>IF(W70="估算",U70*E23*T70*M23*N23,"")</x:f>
        <x:v>0.09186407743658505</x:v>
      </x:c>
      <x:c r="W70" s="76" t="str">
        <x:f>IF(NOT(A70),"输入无效",IF(K70&gt;=L70,"KV 超载",IF(O70&gt;C70+1e-9,"TPOT 不自洽",IF(OR(C70&gt;L70,P70&gt;L70-K70),"需时序仿真","估算"))))</x:f>
        <x:v>估算</x:v>
      </x:c>
      <x:c r="X70" s="76" t="n">
        <x:f>IF(W70="估算",U70*M70,"")</x:f>
        <x:v>2.080374784</x:v>
      </x:c>
    </x:row>
    <x:row r="71" ht="22" customHeight="1">
      <x:c r="A71" s="30" t="b">
        <x:f>AND(AND(ISNUMBER($B$5),$B$5&gt;0),AND(ISNUMBER($F$5),$F$5&gt;0),AND(ISNUMBER($J$5),$J$5&gt;0),AND(ISNUMBER($B$9),$B$9&gt;0),AND(ISNUMBER(I23),I23&gt;0),AND(ISNUMBER(J23),J23&gt;0),AND(ISNUMBER(K23),K23&gt;0),AND(ISNUMBER(L23),L23&gt;0),AND(ISNUMBER(D41),D41&gt;0),AND(ISNUMBER(E41),E41&gt;0),MOD($B$5,1)=0,MOD($F$5,1)=0,MOD($J$5,1)=0,MOD($B$9,1)=0,MOD(K23,1)=0,ISNUMBER(C41),C41&gt;=2,MOD(C41,1)=0,OR($N$9=32,$N$9=64,$N$9=128),ISNUMBER($B$11),$B$11&gt;=0,MOD($B$11,1)=0,ISNUMBER($J$7),$J$7&gt;=0,$J$7&lt;1,AND(ISNUMBER(M23),M23&gt;=0,M23&lt;=1),AND(ISNUMBER(N23),N23&gt;=0,N23&lt;=1))</x:f>
        <x:v>1</x:v>
      </x:c>
      <x:c r="B71" s="76" t="n">
        <x:f>IF(A71,D41*1000,"")</x:f>
        <x:v>60000</x:v>
      </x:c>
      <x:c r="C71" s="76" t="n">
        <x:f>IF(A71,E41*L23,"")</x:f>
        <x:v>30</x:v>
      </x:c>
      <x:c r="D71" s="76" t="n">
        <x:f>IF(A71,M98,"")</x:f>
        <x:v>93</x:v>
      </x:c>
      <x:c r="E71" s="76" t="n">
        <x:f>IF(A71,B23/C23,"")</x:f>
        <x:v>4</x:v>
      </x:c>
      <x:c r="F71" s="76" t="n">
        <x:f>IF(A71,B23/D23,"")</x:f>
        <x:v>32</x:v>
      </x:c>
      <x:c r="G71" s="76" t="n">
        <x:f>IF(A71,$F$5*E71*$B$5*60000/B71,"")</x:f>
        <x:v>64</x:v>
      </x:c>
      <x:c r="H71" s="76" t="n">
        <x:f>IF(A71,G71/($J$5*F71),"")</x:f>
        <x:v>2</x:v>
      </x:c>
      <x:c r="I71" s="76" t="n">
        <x:f>IF(A71,$B$5*D71/C23/$B$9,"")</x:f>
        <x:v>186</x:v>
      </x:c>
      <x:c r="J71" s="76" t="n">
        <x:f>IF(A71,I71*$F$5/$J$5,"")</x:f>
        <x:v>186</x:v>
      </x:c>
      <x:c r="K71" s="76" t="n">
        <x:f>IF(A71,MAX(I71,J71)*2^30/(J23*1e6),"")</x:f>
        <x:v>41.60749568</x:v>
      </x:c>
      <x:c r="L71" s="76" t="n">
        <x:f>IF(A71,B71/$B$9,"")</x:f>
        <x:v>60000</x:v>
      </x:c>
      <x:c r="M71" s="77" t="n">
        <x:f>IF(A71,K71/L71,"")</x:f>
        <x:v>0.0006934582613333333</x:v>
      </x:c>
      <x:c r="N71" s="76" t="n">
        <x:f>IF(A71,(E23*ROUNDUP(K23/D23,0)*G23*(B23-1)/B23*(ROUNDUP((ROUNDUP(F23*2/32,0)*32+32)/480,0)*512+F23*2+32)+E23*ROUNDUP(H23/B23,0)*(B23-1)*32)/1e9,"")</x:f>
        <x:v>1.907616</x:v>
      </x:c>
      <x:c r="O71" s="76" t="n">
        <x:f>IF(A71,N71*1000/I23,"")</x:f>
        <x:v>0.39742</x:v>
      </x:c>
      <x:c r="P71" s="76" t="n">
        <x:f>IF(A71,O71/E23,"")</x:f>
        <x:v>0.005298933333333334</x:v>
      </x:c>
      <x:c r="Q71" s="76" t="n">
        <x:f>IF(A71,N71*1000/C71,"")</x:f>
        <x:v>63.5872</x:v>
      </x:c>
      <x:c r="R71" s="76" t="n">
        <x:f>IF(W71="估算",IF(OR(K71=0,O71=0),0,1-((E23-1)*MAX(0,(C71-O71)/E23-(K71))+MAX(0,L71-((E23-1)*C71/E23+P71)-(K71)))/L71),"")</x:f>
        <x:v>0.0011868799102222605</x:v>
      </x:c>
      <x:c r="S71" s="76" t="n">
        <x:f>IF(W71="估算",IF(O71=0,0,MAX(0,1-(1-((E23-1)*MAX(0,(C71-O71)/E23-(L71-K71))+MAX(0,L71-((E23-1)*C71/E23+P71)-(L71-K71)))/L71))),"")</x:f>
        <x:v>0.00020003661244449855</x:v>
      </x:c>
      <x:c r="T71" s="76" t="n">
        <x:f>IF(W71="估算",IF(OR(P71=0,K71=0,$J$7=0),0,IF(P71&lt;=(1-$J$7)*K71,$J$7*P71*K71/(1-$J$7)-$J$7^2*P71^2/(2*(1-$J$7)^2),$J$7*P71*K71+$J$7^2*K71^2/2)/L71),"")</x:f>
        <x:v>4.0828478860704464e-7</x:v>
      </x:c>
      <x:c r="U71" s="76" t="n">
        <x:f>IF(A71,60000/C71,"")</x:f>
        <x:v>2000</x:v>
      </x:c>
      <x:c r="V71" s="76" t="n">
        <x:f>IF(W71="估算",U71*E23*T71*M23*N23,"")</x:f>
        <x:v>0.061242718291056694</x:v>
      </x:c>
      <x:c r="W71" s="76" t="str">
        <x:f>IF(NOT(A71),"输入无效",IF(K71&gt;=L71,"KV 超载",IF(O71&gt;C71+1e-9,"TPOT 不自洽",IF(OR(C71&gt;L71,P71&gt;L71-K71),"需时序仿真","估算"))))</x:f>
        <x:v>估算</x:v>
      </x:c>
      <x:c r="X71" s="76" t="n">
        <x:f>IF(W71="估算",U71*M71,"")</x:f>
        <x:v>1.3869165226666667</x:v>
      </x:c>
    </x:row>
    <x:row r="72" ht="22" customHeight="1">
      <x:c r="A72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42),D42&gt;0),AND(ISNUMBER(E42),E42&gt;0),MOD($B$5,1)=0,MOD($F$5,1)=0,MOD($J$5,1)=0,MOD($B$9,1)=0,MOD(K24,1)=0,ISNUMBER(C42),C42&gt;=2,MOD(C42,1)=0,OR($N$9=32,$N$9=64,$N$9=128),ISNUMBER($B$11),$B$11&gt;=0,MOD($B$11,1)=0,ISNUMBER($J$7),$J$7&gt;=0,$J$7&lt;1,AND(ISNUMBER(M24),M24&gt;=0,M24&lt;=1),AND(ISNUMBER(N24),N24&gt;=0,N24&lt;=1))</x:f>
        <x:v>1</x:v>
      </x:c>
      <x:c r="B72" s="76" t="n">
        <x:f>IF(A72,D42*1000,"")</x:f>
        <x:v>4000</x:v>
      </x:c>
      <x:c r="C72" s="76" t="n">
        <x:f>IF(A72,E42*L24,"")</x:f>
        <x:v>5</x:v>
      </x:c>
      <x:c r="D72" s="76" t="n">
        <x:f>IF(A72,M92,"")</x:f>
        <x:v>1.453125</x:v>
      </x:c>
      <x:c r="E72" s="76" t="n">
        <x:f>IF(A72,B24/C24,"")</x:f>
        <x:v>32</x:v>
      </x:c>
      <x:c r="F72" s="76" t="n">
        <x:f>IF(A72,B24/D24,"")</x:f>
        <x:v>256</x:v>
      </x:c>
      <x:c r="G72" s="76" t="n">
        <x:f>IF(A72,$F$5*E72*$B$5*60000/B72,"")</x:f>
        <x:v>7680</x:v>
      </x:c>
      <x:c r="H72" s="76" t="n">
        <x:f>IF(A72,G72/($J$5*F72),"")</x:f>
        <x:v>30</x:v>
      </x:c>
      <x:c r="I72" s="76" t="n">
        <x:f>IF(A72,$B$5*D72/C24/$B$9,"")</x:f>
        <x:v>2.90625</x:v>
      </x:c>
      <x:c r="J72" s="76" t="n">
        <x:f>IF(A72,I72*$F$5/$J$5,"")</x:f>
        <x:v>2.90625</x:v>
      </x:c>
      <x:c r="K72" s="76" t="n">
        <x:f>IF(A72,MAX(I72,J72)*2^30/(J24*1e6),"")</x:f>
        <x:v>0.65011712</x:v>
      </x:c>
      <x:c r="L72" s="76" t="n">
        <x:f>IF(A72,B72/$B$9,"")</x:f>
        <x:v>4000</x:v>
      </x:c>
      <x:c r="M72" s="77" t="n">
        <x:f>IF(A72,K72/L72,"")</x:f>
        <x:v>0.00016252928</x:v>
      </x:c>
      <x:c r="N72" s="76" t="n">
        <x:f>IF(A72,(E24*ROUNDUP(K24/D24,0)*G24*(B24-1)/B24*(ROUNDUP((ROUNDUP(F24*2/32,0)*32+32)/480,0)*512+F24*2+32)+E24*ROUNDUP(H24/B24,0)*(B24-1)*32)/1e9,"")</x:f>
        <x:v>1.96146</x:v>
      </x:c>
      <x:c r="O72" s="76" t="n">
        <x:f>IF(A72,N72*1000/I24,"")</x:f>
        <x:v>0.4086375</x:v>
      </x:c>
      <x:c r="P72" s="76" t="n">
        <x:f>IF(A72,O72/E24,"")</x:f>
        <x:v>0.0054485</x:v>
      </x:c>
      <x:c r="Q72" s="76" t="n">
        <x:f>IF(A72,N72*1000/C72,"")</x:f>
        <x:v>392.29200000000003</x:v>
      </x:c>
      <x:c r="R72" s="76" t="n">
        <x:f>IF(W72="估算",IF(OR(K72=0,O72=0),0,1-((E24-1)*MAX(0,(C72-O72)/E24-(K72))+MAX(0,L72-((E24-1)*C72/E24+P72)-(K72)))/L72),"")</x:f>
        <x:v>0.0013972247383332581</x:v>
      </x:c>
      <x:c r="S72" s="76" t="n">
        <x:f>IF(W72="估算",IF(O72=0,0,MAX(0,1-(1-((E24-1)*MAX(0,(C72-O72)/E24-(L72-K72))+MAX(0,L72-((E24-1)*C72/E24+P72)-(L72-K72)))/L72))),"")</x:f>
        <x:v>0</x:v>
      </x:c>
      <x:c r="T72" s="76" t="n">
        <x:f>IF(W72="估算",IF(OR(P72=0,K72=0,$J$7=0),0,IF(P72&lt;=(1-$J$7)*K72,$J$7*P72*K72/(1-$J$7)-$J$7^2*P72^2/(2*(1-$J$7)^2),$J$7*P72*K72+$J$7^2*K72^2/2)/L72),"")</x:f>
        <x:v>9.834760826776236e-8</x:v>
      </x:c>
      <x:c r="U72" s="76" t="n">
        <x:f>IF(A72,60000/C72,"")</x:f>
        <x:v>12000</x:v>
      </x:c>
      <x:c r="V72" s="76" t="n">
        <x:f>IF(W72="估算",U72*E24*T72*M24*N24,"")</x:f>
        <x:v>0.08851284744098611</x:v>
      </x:c>
      <x:c r="W72" s="76" t="str">
        <x:f>IF(NOT(A72),"输入无效",IF(K72&gt;=L72,"KV 超载",IF(O72&gt;C72+1e-9,"TPOT 不自洽",IF(OR(C72&gt;L72,P72&gt;L72-K72),"需时序仿真","估算"))))</x:f>
        <x:v>估算</x:v>
      </x:c>
      <x:c r="X72" s="76" t="n">
        <x:f>IF(W72="估算",U72*M72,"")</x:f>
        <x:v>1.9503513600000002</x:v>
      </x:c>
    </x:row>
    <x:row r="73" ht="22" customHeight="1">
      <x:c r="A73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43),D43&gt;0),AND(ISNUMBER(E43),E43&gt;0),MOD($B$5,1)=0,MOD($F$5,1)=0,MOD($J$5,1)=0,MOD($B$9,1)=0,MOD(K24,1)=0,ISNUMBER(C43),C43&gt;=2,MOD(C43,1)=0,OR($N$9=32,$N$9=64,$N$9=128),ISNUMBER($B$11),$B$11&gt;=0,MOD($B$11,1)=0,ISNUMBER($J$7),$J$7&gt;=0,$J$7&lt;1,AND(ISNUMBER(M24),M24&gt;=0,M24&lt;=1),AND(ISNUMBER(N24),N24&gt;=0,N24&lt;=1))</x:f>
        <x:v>1</x:v>
      </x:c>
      <x:c r="B73" s="76" t="n">
        <x:f>IF(A73,D43*1000,"")</x:f>
        <x:v>4000</x:v>
      </x:c>
      <x:c r="C73" s="76" t="n">
        <x:f>IF(A73,E43*L24,"")</x:f>
        <x:v>10</x:v>
      </x:c>
      <x:c r="D73" s="76" t="n">
        <x:f>IF(A73,M92,"")</x:f>
        <x:v>1.453125</x:v>
      </x:c>
      <x:c r="E73" s="76" t="n">
        <x:f>IF(A73,B24/C24,"")</x:f>
        <x:v>32</x:v>
      </x:c>
      <x:c r="F73" s="76" t="n">
        <x:f>IF(A73,B24/D24,"")</x:f>
        <x:v>256</x:v>
      </x:c>
      <x:c r="G73" s="76" t="n">
        <x:f>IF(A73,$F$5*E73*$B$5*60000/B73,"")</x:f>
        <x:v>7680</x:v>
      </x:c>
      <x:c r="H73" s="76" t="n">
        <x:f>IF(A73,G73/($J$5*F73),"")</x:f>
        <x:v>30</x:v>
      </x:c>
      <x:c r="I73" s="76" t="n">
        <x:f>IF(A73,$B$5*D73/C24/$B$9,"")</x:f>
        <x:v>2.90625</x:v>
      </x:c>
      <x:c r="J73" s="76" t="n">
        <x:f>IF(A73,I73*$F$5/$J$5,"")</x:f>
        <x:v>2.90625</x:v>
      </x:c>
      <x:c r="K73" s="76" t="n">
        <x:f>IF(A73,MAX(I73,J73)*2^30/(J24*1e6),"")</x:f>
        <x:v>0.65011712</x:v>
      </x:c>
      <x:c r="L73" s="76" t="n">
        <x:f>IF(A73,B73/$B$9,"")</x:f>
        <x:v>4000</x:v>
      </x:c>
      <x:c r="M73" s="77" t="n">
        <x:f>IF(A73,K73/L73,"")</x:f>
        <x:v>0.00016252928</x:v>
      </x:c>
      <x:c r="N73" s="76" t="n">
        <x:f>IF(A73,(E24*ROUNDUP(K24/D24,0)*G24*(B24-1)/B24*(ROUNDUP((ROUNDUP(F24*2/32,0)*32+32)/480,0)*512+F24*2+32)+E24*ROUNDUP(H24/B24,0)*(B24-1)*32)/1e9,"")</x:f>
        <x:v>1.96146</x:v>
      </x:c>
      <x:c r="O73" s="76" t="n">
        <x:f>IF(A73,N73*1000/I24,"")</x:f>
        <x:v>0.4086375</x:v>
      </x:c>
      <x:c r="P73" s="76" t="n">
        <x:f>IF(A73,O73/E24,"")</x:f>
        <x:v>0.0054485</x:v>
      </x:c>
      <x:c r="Q73" s="76" t="n">
        <x:f>IF(A73,N73*1000/C73,"")</x:f>
        <x:v>196.14600000000002</x:v>
      </x:c>
      <x:c r="R73" s="76" t="n">
        <x:f>IF(W73="估算",IF(OR(K73=0,O73=0),0,1-((E24-1)*MAX(0,(C73-O73)/E24-(K73))+MAX(0,L73-((E24-1)*C73/E24+P73)-(K73)))/L73),"")</x:f>
        <x:v>0.0026305580716666777</x:v>
      </x:c>
      <x:c r="S73" s="76" t="n">
        <x:f>IF(W73="估算",IF(O73=0,0,MAX(0,1-(1-((E24-1)*MAX(0,(C73-O73)/E24-(L73-K73))+MAX(0,L73-((E24-1)*C73/E24+P73)-(L73-K73)))/L73))),"")</x:f>
        <x:v>0</x:v>
      </x:c>
      <x:c r="T73" s="76" t="n">
        <x:f>IF(W73="估算",IF(OR(P73=0,K73=0,$J$7=0),0,IF(P73&lt;=(1-$J$7)*K73,$J$7*P73*K73/(1-$J$7)-$J$7^2*P73^2/(2*(1-$J$7)^2),$J$7*P73*K73+$J$7^2*K73^2/2)/L73),"")</x:f>
        <x:v>9.834760826776236e-8</x:v>
      </x:c>
      <x:c r="U73" s="76" t="n">
        <x:f>IF(A73,60000/C73,"")</x:f>
        <x:v>6000</x:v>
      </x:c>
      <x:c r="V73" s="76" t="n">
        <x:f>IF(W73="估算",U73*E24*T73*M24*N24,"")</x:f>
        <x:v>0.04425642372049306</x:v>
      </x:c>
      <x:c r="W73" s="76" t="str">
        <x:f>IF(NOT(A73),"输入无效",IF(K73&gt;=L73,"KV 超载",IF(O73&gt;C73+1e-9,"TPOT 不自洽",IF(OR(C73&gt;L73,P73&gt;L73-K73),"需时序仿真","估算"))))</x:f>
        <x:v>估算</x:v>
      </x:c>
      <x:c r="X73" s="76" t="n">
        <x:f>IF(W73="估算",U73*M73,"")</x:f>
        <x:v>0.9751756800000001</x:v>
      </x:c>
    </x:row>
    <x:row r="74" ht="22" customHeight="1">
      <x:c r="A74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44),D44&gt;0),AND(ISNUMBER(E44),E44&gt;0),MOD($B$5,1)=0,MOD($F$5,1)=0,MOD($J$5,1)=0,MOD($B$9,1)=0,MOD(K24,1)=0,ISNUMBER(C44),C44&gt;=2,MOD(C44,1)=0,OR($N$9=32,$N$9=64,$N$9=128),ISNUMBER($B$11),$B$11&gt;=0,MOD($B$11,1)=0,ISNUMBER($J$7),$J$7&gt;=0,$J$7&lt;1,AND(ISNUMBER(M24),M24&gt;=0,M24&lt;=1),AND(ISNUMBER(N24),N24&gt;=0,N24&lt;=1))</x:f>
        <x:v>1</x:v>
      </x:c>
      <x:c r="B74" s="76" t="n">
        <x:f>IF(A74,D44*1000,"")</x:f>
        <x:v>4000</x:v>
      </x:c>
      <x:c r="C74" s="76" t="n">
        <x:f>IF(A74,E44*L24,"")</x:f>
        <x:v>20</x:v>
      </x:c>
      <x:c r="D74" s="76" t="n">
        <x:f>IF(A74,M92,"")</x:f>
        <x:v>1.453125</x:v>
      </x:c>
      <x:c r="E74" s="76" t="n">
        <x:f>IF(A74,B24/C24,"")</x:f>
        <x:v>32</x:v>
      </x:c>
      <x:c r="F74" s="76" t="n">
        <x:f>IF(A74,B24/D24,"")</x:f>
        <x:v>256</x:v>
      </x:c>
      <x:c r="G74" s="76" t="n">
        <x:f>IF(A74,$F$5*E74*$B$5*60000/B74,"")</x:f>
        <x:v>7680</x:v>
      </x:c>
      <x:c r="H74" s="76" t="n">
        <x:f>IF(A74,G74/($J$5*F74),"")</x:f>
        <x:v>30</x:v>
      </x:c>
      <x:c r="I74" s="76" t="n">
        <x:f>IF(A74,$B$5*D74/C24/$B$9,"")</x:f>
        <x:v>2.90625</x:v>
      </x:c>
      <x:c r="J74" s="76" t="n">
        <x:f>IF(A74,I74*$F$5/$J$5,"")</x:f>
        <x:v>2.90625</x:v>
      </x:c>
      <x:c r="K74" s="76" t="n">
        <x:f>IF(A74,MAX(I74,J74)*2^30/(J24*1e6),"")</x:f>
        <x:v>0.65011712</x:v>
      </x:c>
      <x:c r="L74" s="76" t="n">
        <x:f>IF(A74,B74/$B$9,"")</x:f>
        <x:v>4000</x:v>
      </x:c>
      <x:c r="M74" s="77" t="n">
        <x:f>IF(A74,K74/L74,"")</x:f>
        <x:v>0.00016252928</x:v>
      </x:c>
      <x:c r="N74" s="76" t="n">
        <x:f>IF(A74,(E24*ROUNDUP(K24/D24,0)*G24*(B24-1)/B24*(ROUNDUP((ROUNDUP(F24*2/32,0)*32+32)/480,0)*512+F24*2+32)+E24*ROUNDUP(H24/B24,0)*(B24-1)*32)/1e9,"")</x:f>
        <x:v>1.96146</x:v>
      </x:c>
      <x:c r="O74" s="76" t="n">
        <x:f>IF(A74,N74*1000/I24,"")</x:f>
        <x:v>0.4086375</x:v>
      </x:c>
      <x:c r="P74" s="76" t="n">
        <x:f>IF(A74,O74/E24,"")</x:f>
        <x:v>0.0054485</x:v>
      </x:c>
      <x:c r="Q74" s="76" t="n">
        <x:f>IF(A74,N74*1000/C74,"")</x:f>
        <x:v>98.07300000000001</x:v>
      </x:c>
      <x:c r="R74" s="76" t="n">
        <x:f>IF(W74="估算",IF(OR(K74=0,O74=0),0,1-((E24-1)*MAX(0,(C74-O74)/E24-(K74))+MAX(0,L74-((E24-1)*C74/E24+P74)-(K74)))/L74),"")</x:f>
        <x:v>0.005097224738333184</x:v>
      </x:c>
      <x:c r="S74" s="76" t="n">
        <x:f>IF(W74="估算",IF(O74=0,0,MAX(0,1-(1-((E24-1)*MAX(0,(C74-O74)/E24-(L74-K74))+MAX(0,L74-((E24-1)*C74/E24+P74)-(L74-K74)))/L74))),"")</x:f>
        <x:v>0</x:v>
      </x:c>
      <x:c r="T74" s="76" t="n">
        <x:f>IF(W74="估算",IF(OR(P74=0,K74=0,$J$7=0),0,IF(P74&lt;=(1-$J$7)*K74,$J$7*P74*K74/(1-$J$7)-$J$7^2*P74^2/(2*(1-$J$7)^2),$J$7*P74*K74+$J$7^2*K74^2/2)/L74),"")</x:f>
        <x:v>9.834760826776236e-8</x:v>
      </x:c>
      <x:c r="U74" s="76" t="n">
        <x:f>IF(A74,60000/C74,"")</x:f>
        <x:v>3000</x:v>
      </x:c>
      <x:c r="V74" s="76" t="n">
        <x:f>IF(W74="估算",U74*E24*T74*M24*N24,"")</x:f>
        <x:v>0.02212821186024653</x:v>
      </x:c>
      <x:c r="W74" s="76" t="str">
        <x:f>IF(NOT(A74),"输入无效",IF(K74&gt;=L74,"KV 超载",IF(O74&gt;C74+1e-9,"TPOT 不自洽",IF(OR(C74&gt;L74,P74&gt;L74-K74),"需时序仿真","估算"))))</x:f>
        <x:v>估算</x:v>
      </x:c>
      <x:c r="X74" s="76" t="n">
        <x:f>IF(W74="估算",U74*M74,"")</x:f>
        <x:v>0.48758784000000005</x:v>
      </x:c>
    </x:row>
    <x:row r="75" ht="22" customHeight="1">
      <x:c r="A75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45),D45&gt;0),AND(ISNUMBER(E45),E45&gt;0),MOD($B$5,1)=0,MOD($F$5,1)=0,MOD($J$5,1)=0,MOD($B$9,1)=0,MOD(K24,1)=0,ISNUMBER(C45),C45&gt;=2,MOD(C45,1)=0,OR($N$9=32,$N$9=64,$N$9=128),ISNUMBER($B$11),$B$11&gt;=0,MOD($B$11,1)=0,ISNUMBER($J$7),$J$7&gt;=0,$J$7&lt;1,AND(ISNUMBER(M24),M24&gt;=0,M24&lt;=1),AND(ISNUMBER(N24),N24&gt;=0,N24&lt;=1))</x:f>
        <x:v>1</x:v>
      </x:c>
      <x:c r="B75" s="76" t="n">
        <x:f>IF(A75,D45*1000,"")</x:f>
        <x:v>4000</x:v>
      </x:c>
      <x:c r="C75" s="76" t="n">
        <x:f>IF(A75,E45*L24,"")</x:f>
        <x:v>30</x:v>
      </x:c>
      <x:c r="D75" s="76" t="n">
        <x:f>IF(A75,M92,"")</x:f>
        <x:v>1.453125</x:v>
      </x:c>
      <x:c r="E75" s="76" t="n">
        <x:f>IF(A75,B24/C24,"")</x:f>
        <x:v>32</x:v>
      </x:c>
      <x:c r="F75" s="76" t="n">
        <x:f>IF(A75,B24/D24,"")</x:f>
        <x:v>256</x:v>
      </x:c>
      <x:c r="G75" s="76" t="n">
        <x:f>IF(A75,$F$5*E75*$B$5*60000/B75,"")</x:f>
        <x:v>7680</x:v>
      </x:c>
      <x:c r="H75" s="76" t="n">
        <x:f>IF(A75,G75/($J$5*F75),"")</x:f>
        <x:v>30</x:v>
      </x:c>
      <x:c r="I75" s="76" t="n">
        <x:f>IF(A75,$B$5*D75/C24/$B$9,"")</x:f>
        <x:v>2.90625</x:v>
      </x:c>
      <x:c r="J75" s="76" t="n">
        <x:f>IF(A75,I75*$F$5/$J$5,"")</x:f>
        <x:v>2.90625</x:v>
      </x:c>
      <x:c r="K75" s="76" t="n">
        <x:f>IF(A75,MAX(I75,J75)*2^30/(J24*1e6),"")</x:f>
        <x:v>0.65011712</x:v>
      </x:c>
      <x:c r="L75" s="76" t="n">
        <x:f>IF(A75,B75/$B$9,"")</x:f>
        <x:v>4000</x:v>
      </x:c>
      <x:c r="M75" s="77" t="n">
        <x:f>IF(A75,K75/L75,"")</x:f>
        <x:v>0.00016252928</x:v>
      </x:c>
      <x:c r="N75" s="76" t="n">
        <x:f>IF(A75,(E24*ROUNDUP(K24/D24,0)*G24*(B24-1)/B24*(ROUNDUP((ROUNDUP(F24*2/32,0)*32+32)/480,0)*512+F24*2+32)+E24*ROUNDUP(H24/B24,0)*(B24-1)*32)/1e9,"")</x:f>
        <x:v>1.96146</x:v>
      </x:c>
      <x:c r="O75" s="76" t="n">
        <x:f>IF(A75,N75*1000/I24,"")</x:f>
        <x:v>0.4086375</x:v>
      </x:c>
      <x:c r="P75" s="76" t="n">
        <x:f>IF(A75,O75/E24,"")</x:f>
        <x:v>0.0054485</x:v>
      </x:c>
      <x:c r="Q75" s="76" t="n">
        <x:f>IF(A75,N75*1000/C75,"")</x:f>
        <x:v>65.382</x:v>
      </x:c>
      <x:c r="R75" s="76" t="n">
        <x:f>IF(W75="估算",IF(OR(K75=0,O75=0),0,1-((E24-1)*MAX(0,(C75-O75)/E24-(K75))+MAX(0,L75-((E24-1)*C75/E24+P75)-(K75)))/L75),"")</x:f>
        <x:v>0.007563891404999912</x:v>
      </x:c>
      <x:c r="S75" s="76" t="n">
        <x:f>IF(W75="估算",IF(O75=0,0,MAX(0,1-(1-((E24-1)*MAX(0,(C75-O75)/E24-(L75-K75))+MAX(0,L75-((E24-1)*C75/E24+P75)-(L75-K75)))/L75))),"")</x:f>
        <x:v>0</x:v>
      </x:c>
      <x:c r="T75" s="76" t="n">
        <x:f>IF(W75="估算",IF(OR(P75=0,K75=0,$J$7=0),0,IF(P75&lt;=(1-$J$7)*K75,$J$7*P75*K75/(1-$J$7)-$J$7^2*P75^2/(2*(1-$J$7)^2),$J$7*P75*K75+$J$7^2*K75^2/2)/L75),"")</x:f>
        <x:v>9.834760826776236e-8</x:v>
      </x:c>
      <x:c r="U75" s="76" t="n">
        <x:f>IF(A75,60000/C75,"")</x:f>
        <x:v>2000</x:v>
      </x:c>
      <x:c r="V75" s="76" t="n">
        <x:f>IF(W75="估算",U75*E24*T75*M24*N24,"")</x:f>
        <x:v>0.014752141240164354</x:v>
      </x:c>
      <x:c r="W75" s="76" t="str">
        <x:f>IF(NOT(A75),"输入无效",IF(K75&gt;=L75,"KV 超载",IF(O75&gt;C75+1e-9,"TPOT 不自洽",IF(OR(C75&gt;L75,P75&gt;L75-K75),"需时序仿真","估算"))))</x:f>
        <x:v>估算</x:v>
      </x:c>
      <x:c r="X75" s="76" t="n">
        <x:f>IF(W75="估算",U75*M75,"")</x:f>
        <x:v>0.32505856</x:v>
      </x:c>
    </x:row>
    <x:row r="76" ht="22" customHeight="1">
      <x:c r="A76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46),D46&gt;0),AND(ISNUMBER(E46),E46&gt;0),MOD($B$5,1)=0,MOD($F$5,1)=0,MOD($J$5,1)=0,MOD($B$9,1)=0,MOD(K24,1)=0,ISNUMBER(C46),C46&gt;=2,MOD(C46,1)=0,OR($N$9=32,$N$9=64,$N$9=128),ISNUMBER($B$11),$B$11&gt;=0,MOD($B$11,1)=0,ISNUMBER($J$7),$J$7&gt;=0,$J$7&lt;1,AND(ISNUMBER(M24),M24&gt;=0,M24&lt;=1),AND(ISNUMBER(N24),N24&gt;=0,N24&lt;=1))</x:f>
        <x:v>1</x:v>
      </x:c>
      <x:c r="B76" s="76" t="n">
        <x:f>IF(A76,D46*1000,"")</x:f>
        <x:v>20000</x:v>
      </x:c>
      <x:c r="C76" s="76" t="n">
        <x:f>IF(A76,E46*L24,"")</x:f>
        <x:v>5</x:v>
      </x:c>
      <x:c r="D76" s="76" t="n">
        <x:f>IF(A76,M95,"")</x:f>
        <x:v>23.25</x:v>
      </x:c>
      <x:c r="E76" s="76" t="n">
        <x:f>IF(A76,B24/C24,"")</x:f>
        <x:v>32</x:v>
      </x:c>
      <x:c r="F76" s="76" t="n">
        <x:f>IF(A76,B24/D24,"")</x:f>
        <x:v>256</x:v>
      </x:c>
      <x:c r="G76" s="76" t="n">
        <x:f>IF(A76,$F$5*E76*$B$5*60000/B76,"")</x:f>
        <x:v>1536</x:v>
      </x:c>
      <x:c r="H76" s="76" t="n">
        <x:f>IF(A76,G76/($J$5*F76),"")</x:f>
        <x:v>6</x:v>
      </x:c>
      <x:c r="I76" s="76" t="n">
        <x:f>IF(A76,$B$5*D76/C24/$B$9,"")</x:f>
        <x:v>46.5</x:v>
      </x:c>
      <x:c r="J76" s="76" t="n">
        <x:f>IF(A76,I76*$F$5/$J$5,"")</x:f>
        <x:v>46.5</x:v>
      </x:c>
      <x:c r="K76" s="76" t="n">
        <x:f>IF(A76,MAX(I76,J76)*2^30/(J24*1e6),"")</x:f>
        <x:v>10.40187392</x:v>
      </x:c>
      <x:c r="L76" s="76" t="n">
        <x:f>IF(A76,B76/$B$9,"")</x:f>
        <x:v>20000</x:v>
      </x:c>
      <x:c r="M76" s="77" t="n">
        <x:f>IF(A76,K76/L76,"")</x:f>
        <x:v>0.000520093696</x:v>
      </x:c>
      <x:c r="N76" s="76" t="n">
        <x:f>IF(A76,(E24*ROUNDUP(K24/D24,0)*G24*(B24-1)/B24*(ROUNDUP((ROUNDUP(F24*2/32,0)*32+32)/480,0)*512+F24*2+32)+E24*ROUNDUP(H24/B24,0)*(B24-1)*32)/1e9,"")</x:f>
        <x:v>1.96146</x:v>
      </x:c>
      <x:c r="O76" s="76" t="n">
        <x:f>IF(A76,N76*1000/I24,"")</x:f>
        <x:v>0.4086375</x:v>
      </x:c>
      <x:c r="P76" s="76" t="n">
        <x:f>IF(A76,O76/E24,"")</x:f>
        <x:v>0.0054485</x:v>
      </x:c>
      <x:c r="Q76" s="76" t="n">
        <x:f>IF(A76,N76*1000/C76,"")</x:f>
        <x:v>392.29200000000003</x:v>
      </x:c>
      <x:c r="R76" s="76" t="n">
        <x:f>IF(W76="估算",IF(OR(K76=0,O76=0),0,1-((E24-1)*MAX(0,(C76-O76)/E24-(K76))+MAX(0,L76-((E24-1)*C76/E24+P76)-(K76)))/L76),"")</x:f>
        <x:v>0.000767032787666766</x:v>
      </x:c>
      <x:c r="S76" s="76" t="n">
        <x:f>IF(W76="估算",IF(O76=0,0,MAX(0,1-(1-((E24-1)*MAX(0,(C76-O76)/E24-(L76-K76))+MAX(0,L76-((E24-1)*C76/E24+P76)-(L76-K76)))/L76))),"")</x:f>
        <x:v>0.0002731546043333033</x:v>
      </x:c>
      <x:c r="T76" s="76" t="n">
        <x:f>IF(W76="估算",IF(OR(P76=0,K76=0,$J$7=0),0,IF(P76&lt;=(1-$J$7)*K76,$J$7*P76*K76/(1-$J$7)-$J$7^2*P76^2/(2*(1-$J$7)^2),$J$7*P76*K76+$J$7^2*K76^2/2)/L76),"")</x:f>
        <x:v>3.148497823468858e-7</x:v>
      </x:c>
      <x:c r="U76" s="76" t="n">
        <x:f>IF(A76,60000/C76,"")</x:f>
        <x:v>12000</x:v>
      </x:c>
      <x:c r="V76" s="76" t="n">
        <x:f>IF(W76="估算",U76*E24*T76*M24*N24,"")</x:f>
        <x:v>0.2833648041121972</x:v>
      </x:c>
      <x:c r="W76" s="76" t="str">
        <x:f>IF(NOT(A76),"输入无效",IF(K76&gt;=L76,"KV 超载",IF(O76&gt;C76+1e-9,"TPOT 不自洽",IF(OR(C76&gt;L76,P76&gt;L76-K76),"需时序仿真","估算"))))</x:f>
        <x:v>估算</x:v>
      </x:c>
      <x:c r="X76" s="76" t="n">
        <x:f>IF(W76="估算",U76*M76,"")</x:f>
        <x:v>6.241124352000001</x:v>
      </x:c>
    </x:row>
    <x:row r="77" ht="22" customHeight="1">
      <x:c r="A77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47),D47&gt;0),AND(ISNUMBER(E47),E47&gt;0),MOD($B$5,1)=0,MOD($F$5,1)=0,MOD($J$5,1)=0,MOD($B$9,1)=0,MOD(K24,1)=0,ISNUMBER(C47),C47&gt;=2,MOD(C47,1)=0,OR($N$9=32,$N$9=64,$N$9=128),ISNUMBER($B$11),$B$11&gt;=0,MOD($B$11,1)=0,ISNUMBER($J$7),$J$7&gt;=0,$J$7&lt;1,AND(ISNUMBER(M24),M24&gt;=0,M24&lt;=1),AND(ISNUMBER(N24),N24&gt;=0,N24&lt;=1))</x:f>
        <x:v>1</x:v>
      </x:c>
      <x:c r="B77" s="76" t="n">
        <x:f>IF(A77,D47*1000,"")</x:f>
        <x:v>20000</x:v>
      </x:c>
      <x:c r="C77" s="76" t="n">
        <x:f>IF(A77,E47*L24,"")</x:f>
        <x:v>10</x:v>
      </x:c>
      <x:c r="D77" s="76" t="n">
        <x:f>IF(A77,M95,"")</x:f>
        <x:v>23.25</x:v>
      </x:c>
      <x:c r="E77" s="76" t="n">
        <x:f>IF(A77,B24/C24,"")</x:f>
        <x:v>32</x:v>
      </x:c>
      <x:c r="F77" s="76" t="n">
        <x:f>IF(A77,B24/D24,"")</x:f>
        <x:v>256</x:v>
      </x:c>
      <x:c r="G77" s="76" t="n">
        <x:f>IF(A77,$F$5*E77*$B$5*60000/B77,"")</x:f>
        <x:v>1536</x:v>
      </x:c>
      <x:c r="H77" s="76" t="n">
        <x:f>IF(A77,G77/($J$5*F77),"")</x:f>
        <x:v>6</x:v>
      </x:c>
      <x:c r="I77" s="76" t="n">
        <x:f>IF(A77,$B$5*D77/C24/$B$9,"")</x:f>
        <x:v>46.5</x:v>
      </x:c>
      <x:c r="J77" s="76" t="n">
        <x:f>IF(A77,I77*$F$5/$J$5,"")</x:f>
        <x:v>46.5</x:v>
      </x:c>
      <x:c r="K77" s="76" t="n">
        <x:f>IF(A77,MAX(I77,J77)*2^30/(J24*1e6),"")</x:f>
        <x:v>10.40187392</x:v>
      </x:c>
      <x:c r="L77" s="76" t="n">
        <x:f>IF(A77,B77/$B$9,"")</x:f>
        <x:v>20000</x:v>
      </x:c>
      <x:c r="M77" s="77" t="n">
        <x:f>IF(A77,K77/L77,"")</x:f>
        <x:v>0.000520093696</x:v>
      </x:c>
      <x:c r="N77" s="76" t="n">
        <x:f>IF(A77,(E24*ROUNDUP(K24/D24,0)*G24*(B24-1)/B24*(ROUNDUP((ROUNDUP(F24*2/32,0)*32+32)/480,0)*512+F24*2+32)+E24*ROUNDUP(H24/B24,0)*(B24-1)*32)/1e9,"")</x:f>
        <x:v>1.96146</x:v>
      </x:c>
      <x:c r="O77" s="76" t="n">
        <x:f>IF(A77,N77*1000/I24,"")</x:f>
        <x:v>0.4086375</x:v>
      </x:c>
      <x:c r="P77" s="76" t="n">
        <x:f>IF(A77,O77/E24,"")</x:f>
        <x:v>0.0054485</x:v>
      </x:c>
      <x:c r="Q77" s="76" t="n">
        <x:f>IF(A77,N77*1000/C77,"")</x:f>
        <x:v>196.14600000000002</x:v>
      </x:c>
      <x:c r="R77" s="76" t="n">
        <x:f>IF(W77="估算",IF(OR(K77=0,O77=0),0,1-((E24-1)*MAX(0,(C77-O77)/E24-(K77))+MAX(0,L77-((E24-1)*C77/E24+P77)-(K77)))/L77),"")</x:f>
        <x:v>0.0010136994543332722</x:v>
      </x:c>
      <x:c r="S77" s="76" t="n">
        <x:f>IF(W77="估算",IF(O77=0,0,MAX(0,1-(1-((E24-1)*MAX(0,(C77-O77)/E24-(L77-K77))+MAX(0,L77-((E24-1)*C77/E24+P77)-(L77-K77)))/L77))),"")</x:f>
        <x:v>0.000026487937666797023</x:v>
      </x:c>
      <x:c r="T77" s="76" t="n">
        <x:f>IF(W77="估算",IF(OR(P77=0,K77=0,$J$7=0),0,IF(P77&lt;=(1-$J$7)*K77,$J$7*P77*K77/(1-$J$7)-$J$7^2*P77^2/(2*(1-$J$7)^2),$J$7*P77*K77+$J$7^2*K77^2/2)/L77),"")</x:f>
        <x:v>3.148497823468858e-7</x:v>
      </x:c>
      <x:c r="U77" s="76" t="n">
        <x:f>IF(A77,60000/C77,"")</x:f>
        <x:v>6000</x:v>
      </x:c>
      <x:c r="V77" s="76" t="n">
        <x:f>IF(W77="估算",U77*E24*T77*M24*N24,"")</x:f>
        <x:v>0.1416824020560986</x:v>
      </x:c>
      <x:c r="W77" s="76" t="str">
        <x:f>IF(NOT(A77),"输入无效",IF(K77&gt;=L77,"KV 超载",IF(O77&gt;C77+1e-9,"TPOT 不自洽",IF(OR(C77&gt;L77,P77&gt;L77-K77),"需时序仿真","估算"))))</x:f>
        <x:v>估算</x:v>
      </x:c>
      <x:c r="X77" s="76" t="n">
        <x:f>IF(W77="估算",U77*M77,"")</x:f>
        <x:v>3.1205621760000004</x:v>
      </x:c>
    </x:row>
    <x:row r="78" ht="22" customHeight="1">
      <x:c r="A78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48),D48&gt;0),AND(ISNUMBER(E48),E48&gt;0),MOD($B$5,1)=0,MOD($F$5,1)=0,MOD($J$5,1)=0,MOD($B$9,1)=0,MOD(K24,1)=0,ISNUMBER(C48),C48&gt;=2,MOD(C48,1)=0,OR($N$9=32,$N$9=64,$N$9=128),ISNUMBER($B$11),$B$11&gt;=0,MOD($B$11,1)=0,ISNUMBER($J$7),$J$7&gt;=0,$J$7&lt;1,AND(ISNUMBER(M24),M24&gt;=0,M24&lt;=1),AND(ISNUMBER(N24),N24&gt;=0,N24&lt;=1))</x:f>
        <x:v>1</x:v>
      </x:c>
      <x:c r="B78" s="76" t="n">
        <x:f>IF(A78,D48*1000,"")</x:f>
        <x:v>20000</x:v>
      </x:c>
      <x:c r="C78" s="76" t="n">
        <x:f>IF(A78,E48*L24,"")</x:f>
        <x:v>20</x:v>
      </x:c>
      <x:c r="D78" s="76" t="n">
        <x:f>IF(A78,M95,"")</x:f>
        <x:v>23.25</x:v>
      </x:c>
      <x:c r="E78" s="76" t="n">
        <x:f>IF(A78,B24/C24,"")</x:f>
        <x:v>32</x:v>
      </x:c>
      <x:c r="F78" s="76" t="n">
        <x:f>IF(A78,B24/D24,"")</x:f>
        <x:v>256</x:v>
      </x:c>
      <x:c r="G78" s="76" t="n">
        <x:f>IF(A78,$F$5*E78*$B$5*60000/B78,"")</x:f>
        <x:v>1536</x:v>
      </x:c>
      <x:c r="H78" s="76" t="n">
        <x:f>IF(A78,G78/($J$5*F78),"")</x:f>
        <x:v>6</x:v>
      </x:c>
      <x:c r="I78" s="76" t="n">
        <x:f>IF(A78,$B$5*D78/C24/$B$9,"")</x:f>
        <x:v>46.5</x:v>
      </x:c>
      <x:c r="J78" s="76" t="n">
        <x:f>IF(A78,I78*$F$5/$J$5,"")</x:f>
        <x:v>46.5</x:v>
      </x:c>
      <x:c r="K78" s="76" t="n">
        <x:f>IF(A78,MAX(I78,J78)*2^30/(J24*1e6),"")</x:f>
        <x:v>10.40187392</x:v>
      </x:c>
      <x:c r="L78" s="76" t="n">
        <x:f>IF(A78,B78/$B$9,"")</x:f>
        <x:v>20000</x:v>
      </x:c>
      <x:c r="M78" s="77" t="n">
        <x:f>IF(A78,K78/L78,"")</x:f>
        <x:v>0.000520093696</x:v>
      </x:c>
      <x:c r="N78" s="76" t="n">
        <x:f>IF(A78,(E24*ROUNDUP(K24/D24,0)*G24*(B24-1)/B24*(ROUNDUP((ROUNDUP(F24*2/32,0)*32+32)/480,0)*512+F24*2+32)+E24*ROUNDUP(H24/B24,0)*(B24-1)*32)/1e9,"")</x:f>
        <x:v>1.96146</x:v>
      </x:c>
      <x:c r="O78" s="76" t="n">
        <x:f>IF(A78,N78*1000/I24,"")</x:f>
        <x:v>0.4086375</x:v>
      </x:c>
      <x:c r="P78" s="76" t="n">
        <x:f>IF(A78,O78/E24,"")</x:f>
        <x:v>0.0054485</x:v>
      </x:c>
      <x:c r="Q78" s="76" t="n">
        <x:f>IF(A78,N78*1000/C78,"")</x:f>
        <x:v>98.07300000000001</x:v>
      </x:c>
      <x:c r="R78" s="76" t="n">
        <x:f>IF(W78="估算",IF(OR(K78=0,O78=0),0,1-((E24-1)*MAX(0,(C78-O78)/E24-(K78))+MAX(0,L78-((E24-1)*C78/E24+P78)-(K78)))/L78),"")</x:f>
        <x:v>0.0015070327876667289</x:v>
      </x:c>
      <x:c r="S78" s="76" t="n">
        <x:f>IF(W78="估算",IF(O78=0,0,MAX(0,1-(1-((E24-1)*MAX(0,(C78-O78)/E24-(L78-K78))+MAX(0,L78-((E24-1)*C78/E24+P78)-(L78-K78)))/L78))),"")</x:f>
        <x:v>0</x:v>
      </x:c>
      <x:c r="T78" s="76" t="n">
        <x:f>IF(W78="估算",IF(OR(P78=0,K78=0,$J$7=0),0,IF(P78&lt;=(1-$J$7)*K78,$J$7*P78*K78/(1-$J$7)-$J$7^2*P78^2/(2*(1-$J$7)^2),$J$7*P78*K78+$J$7^2*K78^2/2)/L78),"")</x:f>
        <x:v>3.148497823468858e-7</x:v>
      </x:c>
      <x:c r="U78" s="76" t="n">
        <x:f>IF(A78,60000/C78,"")</x:f>
        <x:v>3000</x:v>
      </x:c>
      <x:c r="V78" s="76" t="n">
        <x:f>IF(W78="估算",U78*E24*T78*M24*N24,"")</x:f>
        <x:v>0.0708412010280493</x:v>
      </x:c>
      <x:c r="W78" s="76" t="str">
        <x:f>IF(NOT(A78),"输入无效",IF(K78&gt;=L78,"KV 超载",IF(O78&gt;C78+1e-9,"TPOT 不自洽",IF(OR(C78&gt;L78,P78&gt;L78-K78),"需时序仿真","估算"))))</x:f>
        <x:v>估算</x:v>
      </x:c>
      <x:c r="X78" s="76" t="n">
        <x:f>IF(W78="估算",U78*M78,"")</x:f>
        <x:v>1.5602810880000002</x:v>
      </x:c>
    </x:row>
    <x:row r="79" ht="22" customHeight="1">
      <x:c r="A79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49),D49&gt;0),AND(ISNUMBER(E49),E49&gt;0),MOD($B$5,1)=0,MOD($F$5,1)=0,MOD($J$5,1)=0,MOD($B$9,1)=0,MOD(K24,1)=0,ISNUMBER(C49),C49&gt;=2,MOD(C49,1)=0,OR($N$9=32,$N$9=64,$N$9=128),ISNUMBER($B$11),$B$11&gt;=0,MOD($B$11,1)=0,ISNUMBER($J$7),$J$7&gt;=0,$J$7&lt;1,AND(ISNUMBER(M24),M24&gt;=0,M24&lt;=1),AND(ISNUMBER(N24),N24&gt;=0,N24&lt;=1))</x:f>
        <x:v>1</x:v>
      </x:c>
      <x:c r="B79" s="76" t="n">
        <x:f>IF(A79,D49*1000,"")</x:f>
        <x:v>20000</x:v>
      </x:c>
      <x:c r="C79" s="76" t="n">
        <x:f>IF(A79,E49*L24,"")</x:f>
        <x:v>30</x:v>
      </x:c>
      <x:c r="D79" s="76" t="n">
        <x:f>IF(A79,M95,"")</x:f>
        <x:v>23.25</x:v>
      </x:c>
      <x:c r="E79" s="76" t="n">
        <x:f>IF(A79,B24/C24,"")</x:f>
        <x:v>32</x:v>
      </x:c>
      <x:c r="F79" s="76" t="n">
        <x:f>IF(A79,B24/D24,"")</x:f>
        <x:v>256</x:v>
      </x:c>
      <x:c r="G79" s="76" t="n">
        <x:f>IF(A79,$F$5*E79*$B$5*60000/B79,"")</x:f>
        <x:v>1536</x:v>
      </x:c>
      <x:c r="H79" s="76" t="n">
        <x:f>IF(A79,G79/($J$5*F79),"")</x:f>
        <x:v>6</x:v>
      </x:c>
      <x:c r="I79" s="76" t="n">
        <x:f>IF(A79,$B$5*D79/C24/$B$9,"")</x:f>
        <x:v>46.5</x:v>
      </x:c>
      <x:c r="J79" s="76" t="n">
        <x:f>IF(A79,I79*$F$5/$J$5,"")</x:f>
        <x:v>46.5</x:v>
      </x:c>
      <x:c r="K79" s="76" t="n">
        <x:f>IF(A79,MAX(I79,J79)*2^30/(J24*1e6),"")</x:f>
        <x:v>10.40187392</x:v>
      </x:c>
      <x:c r="L79" s="76" t="n">
        <x:f>IF(A79,B79/$B$9,"")</x:f>
        <x:v>20000</x:v>
      </x:c>
      <x:c r="M79" s="77" t="n">
        <x:f>IF(A79,K79/L79,"")</x:f>
        <x:v>0.000520093696</x:v>
      </x:c>
      <x:c r="N79" s="76" t="n">
        <x:f>IF(A79,(E24*ROUNDUP(K24/D24,0)*G24*(B24-1)/B24*(ROUNDUP((ROUNDUP(F24*2/32,0)*32+32)/480,0)*512+F24*2+32)+E24*ROUNDUP(H24/B24,0)*(B24-1)*32)/1e9,"")</x:f>
        <x:v>1.96146</x:v>
      </x:c>
      <x:c r="O79" s="76" t="n">
        <x:f>IF(A79,N79*1000/I24,"")</x:f>
        <x:v>0.4086375</x:v>
      </x:c>
      <x:c r="P79" s="76" t="n">
        <x:f>IF(A79,O79/E24,"")</x:f>
        <x:v>0.0054485</x:v>
      </x:c>
      <x:c r="Q79" s="76" t="n">
        <x:f>IF(A79,N79*1000/C79,"")</x:f>
        <x:v>65.382</x:v>
      </x:c>
      <x:c r="R79" s="76" t="n">
        <x:f>IF(W79="估算",IF(OR(K79=0,O79=0),0,1-((E24-1)*MAX(0,(C79-O79)/E24-(K79))+MAX(0,L79-((E24-1)*C79/E24+P79)-(K79)))/L79),"")</x:f>
        <x:v>0.0020003661209999635</x:v>
      </x:c>
      <x:c r="S79" s="76" t="n">
        <x:f>IF(W79="估算",IF(O79=0,0,MAX(0,1-(1-((E24-1)*MAX(0,(C79-O79)/E24-(L79-K79))+MAX(0,L79-((E24-1)*C79/E24+P79)-(L79-K79)))/L79))),"")</x:f>
        <x:v>0</x:v>
      </x:c>
      <x:c r="T79" s="76" t="n">
        <x:f>IF(W79="估算",IF(OR(P79=0,K79=0,$J$7=0),0,IF(P79&lt;=(1-$J$7)*K79,$J$7*P79*K79/(1-$J$7)-$J$7^2*P79^2/(2*(1-$J$7)^2),$J$7*P79*K79+$J$7^2*K79^2/2)/L79),"")</x:f>
        <x:v>3.148497823468858e-7</x:v>
      </x:c>
      <x:c r="U79" s="76" t="n">
        <x:f>IF(A79,60000/C79,"")</x:f>
        <x:v>2000</x:v>
      </x:c>
      <x:c r="V79" s="76" t="n">
        <x:f>IF(W79="估算",U79*E24*T79*M24*N24,"")</x:f>
        <x:v>0.04722746735203287</x:v>
      </x:c>
      <x:c r="W79" s="76" t="str">
        <x:f>IF(NOT(A79),"输入无效",IF(K79&gt;=L79,"KV 超载",IF(O79&gt;C79+1e-9,"TPOT 不自洽",IF(OR(C79&gt;L79,P79&gt;L79-K79),"需时序仿真","估算"))))</x:f>
        <x:v>估算</x:v>
      </x:c>
      <x:c r="X79" s="76" t="n">
        <x:f>IF(W79="估算",U79*M79,"")</x:f>
        <x:v>1.040187392</x:v>
      </x:c>
    </x:row>
    <x:row r="80" ht="22" customHeight="1">
      <x:c r="A80" s="30" t="b">
        <x:f>AND(AND(ISNUMBER($B$5),$B$5&gt;0),AND(ISNUMBER($F$5),$F$5&gt;0),AND(ISNUMBER($J$5),$J$5&gt;0),AND(ISNUMBER($B$9),$B$9&gt;0),AND(ISNUMBER(I24),I24&gt;0),AND(ISNUMBER(J24),J24&gt;0),AND(ISNUMBER(K24),K24&gt;0),AND(ISNUMBER(L24),L24&gt;0),AND(ISNUMBER(D50),D50&gt;0),AND(ISNUMBER(E50),E50&gt;0),MOD($B$5,1)=0,MOD($F$5,1)=0,MOD($J$5,1)=0,MOD($B$9,1)=0,MOD(K24,1)=0,ISNUMBER(C50),C50&gt;=2,MOD(C50,1)=0,OR($N$9=32,$N$9=64,$N$9=128),ISNUMBER($B$11),$B$11&gt;=0,MOD($B$11,1)=0,ISNUMBER($J$7),$J$7&gt;=0,$J$7&lt;1,AND(ISNUMBER(M24),M24&gt;=0,M24&lt;=1),AND(ISNUMBER(N24),N24&gt;=0,N24&lt;=1))</x:f>
        <x:v>1</x:v>
      </x:c>
      <x:c r="B80" s="76" t="n">
        <x:f>IF(A80,D50*1000,"")</x:f>
        <x:v>60000</x:v>
      </x:c>
      <x:c r="C80" s="76" t="n">
        <x:f>IF(A80,E50*L24,"")</x:f>
        <x:v>5</x:v>
      </x:c>
      <x:c r="D80" s="76" t="n">
        <x:f>IF(A80,M98,"")</x:f>
        <x:v>93</x:v>
      </x:c>
      <x:c r="E80" s="76" t="n">
        <x:f>IF(A80,B24/C24,"")</x:f>
        <x:v>32</x:v>
      </x:c>
      <x:c r="F80" s="76" t="n">
        <x:f>IF(A80,B24/D24,"")</x:f>
        <x:v>256</x:v>
      </x:c>
      <x:c r="G80" s="76" t="n">
        <x:f>IF(A80,$F$5*E80*$B$5*60000/B80,"")</x:f>
        <x:v>512</x:v>
      </x:c>
      <x:c r="H80" s="76" t="n">
        <x:f>IF(A80,G80/($J$5*F80),"")</x:f>
        <x:v>2</x:v>
      </x:c>
      <x:c r="I80" s="76" t="n">
        <x:f>IF(A80,$B$5*D80/C24/$B$9,"")</x:f>
        <x:v>186</x:v>
      </x:c>
      <x:c r="J80" s="76" t="n">
        <x:f>IF(A80,I80*$F$5/$J$5,"")</x:f>
        <x:v>186</x:v>
      </x:c>
      <x:c r="K80" s="76" t="n">
        <x:f>IF(A80,MAX(I80,J80)*2^30/(J24*1e6),"")</x:f>
        <x:v>41.60749568</x:v>
      </x:c>
      <x:c r="L80" s="76" t="n">
        <x:f>IF(A80,B80/$B$9,"")</x:f>
        <x:v>60000</x:v>
      </x:c>
      <x:c r="M80" s="77" t="n">
        <x:f>IF(A80,K80/L80,"")</x:f>
        <x:v>0.0006934582613333333</x:v>
      </x:c>
      <x:c r="N80" s="76" t="n">
        <x:f>IF(A80,(E24*ROUNDUP(K24/D24,0)*G24*(B24-1)/B24*(ROUNDUP((ROUNDUP(F24*2/32,0)*32+32)/480,0)*512+F24*2+32)+E24*ROUNDUP(H24/B24,0)*(B24-1)*32)/1e9,"")</x:f>
        <x:v>1.96146</x:v>
      </x:c>
      <x:c r="O80" s="76" t="n">
        <x:f>IF(A80,N80*1000/I24,"")</x:f>
        <x:v>0.4086375</x:v>
      </x:c>
      <x:c r="P80" s="76" t="n">
        <x:f>IF(A80,O80/E24,"")</x:f>
        <x:v>0.0054485</x:v>
      </x:c>
      <x:c r="Q80" s="76" t="n">
        <x:f>IF(A80,N80*1000/C80,"")</x:f>
        <x:v>392.29200000000003</x:v>
      </x:c>
      <x:c r="R80" s="76" t="n">
        <x:f>IF(W80="估算",IF(OR(K80=0,O80=0),0,1-((E24-1)*MAX(0,(C80-O80)/E24-(K80))+MAX(0,L80-((E24-1)*C80/E24+P80)-(K80)))/L80),"")</x:f>
        <x:v>0.0007757712918888826</x:v>
      </x:c>
      <x:c r="S80" s="76" t="n">
        <x:f>IF(W80="估算",IF(O80=0,0,MAX(0,1-(1-((E24-1)*MAX(0,(C80-O80)/E24-(L80-K80))+MAX(0,L80-((E24-1)*C80/E24+P80)-(L80-K80)))/L80))),"")</x:f>
        <x:v>0.0006111452307777654</x:v>
      </x:c>
      <x:c r="T80" s="76" t="n">
        <x:f>IF(W80="估算",IF(OR(P80=0,K80=0,$J$7=0),0,IF(P80&lt;=(1-$J$7)*K80,$J$7*P80*K80/(1-$J$7)-$J$7^2*P80^2/(2*(1-$J$7)^2),$J$7*P80*K80+$J$7^2*K80^2/2)/L80),"")</x:f>
        <x:v>4.1980887218851754e-7</x:v>
      </x:c>
      <x:c r="U80" s="76" t="n">
        <x:f>IF(A80,60000/C80,"")</x:f>
        <x:v>12000</x:v>
      </x:c>
      <x:c r="V80" s="76" t="n">
        <x:f>IF(W80="估算",U80*E24*T80*M24*N24,"")</x:f>
        <x:v>0.3778279849696658</x:v>
      </x:c>
      <x:c r="W80" s="76" t="str">
        <x:f>IF(NOT(A80),"输入无效",IF(K80&gt;=L80,"KV 超载",IF(O80&gt;C80+1e-9,"TPOT 不自洽",IF(OR(C80&gt;L80,P80&gt;L80-K80),"需时序仿真","估算"))))</x:f>
        <x:v>估算</x:v>
      </x:c>
      <x:c r="X80" s="76" t="n">
        <x:f>IF(W80="估算",U80*M80,"")</x:f>
        <x:v>8.321499136</x:v>
      </x:c>
    </x:row>
    <x:row r="81" ht="22" customHeight="1">
      <x:c r="A81" s="30" t="b">
        <x:f>AND(AND(ISNUMBER($B$5),$B$5&gt;0),AND(ISNUMBER($F$5),$F$5&gt;0),AND(ISNUMBER($J$5),$J$5&gt;0),AND(ISNUMBER($B$9),$B$9&gt;0),AND(ISNUMBER(I24),I24&gt;0),AND(ISNUMBER(J24),J24&gt;0),AND(ISNUMBER(K24),K24&gt;0),AND(ISNUMBER(L24),L24&gt;0),AND(ISNUMBER(D51),D51&gt;0),AND(ISNUMBER(E51),E51&gt;0),MOD($B$5,1)=0,MOD($F$5,1)=0,MOD($J$5,1)=0,MOD($B$9,1)=0,MOD(K24,1)=0,ISNUMBER(C51),C51&gt;=2,MOD(C51,1)=0,OR($N$9=32,$N$9=64,$N$9=128),ISNUMBER($B$11),$B$11&gt;=0,MOD($B$11,1)=0,ISNUMBER($J$7),$J$7&gt;=0,$J$7&lt;1,AND(ISNUMBER(M24),M24&gt;=0,M24&lt;=1),AND(ISNUMBER(N24),N24&gt;=0,N24&lt;=1))</x:f>
        <x:v>1</x:v>
      </x:c>
      <x:c r="B81" s="76" t="n">
        <x:f>IF(A81,D51*1000,"")</x:f>
        <x:v>60000</x:v>
      </x:c>
      <x:c r="C81" s="76" t="n">
        <x:f>IF(A81,E51*L24,"")</x:f>
        <x:v>10</x:v>
      </x:c>
      <x:c r="D81" s="76" t="n">
        <x:f>IF(A81,M98,"")</x:f>
        <x:v>93</x:v>
      </x:c>
      <x:c r="E81" s="76" t="n">
        <x:f>IF(A81,B24/C24,"")</x:f>
        <x:v>32</x:v>
      </x:c>
      <x:c r="F81" s="76" t="n">
        <x:f>IF(A81,B24/D24,"")</x:f>
        <x:v>256</x:v>
      </x:c>
      <x:c r="G81" s="76" t="n">
        <x:f>IF(A81,$F$5*E81*$B$5*60000/B81,"")</x:f>
        <x:v>512</x:v>
      </x:c>
      <x:c r="H81" s="76" t="n">
        <x:f>IF(A81,G81/($J$5*F81),"")</x:f>
        <x:v>2</x:v>
      </x:c>
      <x:c r="I81" s="76" t="n">
        <x:f>IF(A81,$B$5*D81/C24/$B$9,"")</x:f>
        <x:v>186</x:v>
      </x:c>
      <x:c r="J81" s="76" t="n">
        <x:f>IF(A81,I81*$F$5/$J$5,"")</x:f>
        <x:v>186</x:v>
      </x:c>
      <x:c r="K81" s="76" t="n">
        <x:f>IF(A81,MAX(I81,J81)*2^30/(J24*1e6),"")</x:f>
        <x:v>41.60749568</x:v>
      </x:c>
      <x:c r="L81" s="76" t="n">
        <x:f>IF(A81,B81/$B$9,"")</x:f>
        <x:v>60000</x:v>
      </x:c>
      <x:c r="M81" s="77" t="n">
        <x:f>IF(A81,K81/L81,"")</x:f>
        <x:v>0.0006934582613333333</x:v>
      </x:c>
      <x:c r="N81" s="76" t="n">
        <x:f>IF(A81,(E24*ROUNDUP(K24/D24,0)*G24*(B24-1)/B24*(ROUNDUP((ROUNDUP(F24*2/32,0)*32+32)/480,0)*512+F24*2+32)+E24*ROUNDUP(H24/B24,0)*(B24-1)*32)/1e9,"")</x:f>
        <x:v>1.96146</x:v>
      </x:c>
      <x:c r="O81" s="76" t="n">
        <x:f>IF(A81,N81*1000/I24,"")</x:f>
        <x:v>0.4086375</x:v>
      </x:c>
      <x:c r="P81" s="76" t="n">
        <x:f>IF(A81,O81/E24,"")</x:f>
        <x:v>0.0054485</x:v>
      </x:c>
      <x:c r="Q81" s="76" t="n">
        <x:f>IF(A81,N81*1000/C81,"")</x:f>
        <x:v>196.14600000000002</x:v>
      </x:c>
      <x:c r="R81" s="76" t="n">
        <x:f>IF(W81="估算",IF(OR(K81=0,O81=0),0,1-((E24-1)*MAX(0,(C81-O81)/E24-(K81))+MAX(0,L81-((E24-1)*C81/E24+P81)-(K81)))/L81),"")</x:f>
        <x:v>0.0008579935141111994</x:v>
      </x:c>
      <x:c r="S81" s="76" t="n">
        <x:f>IF(W81="估算",IF(O81=0,0,MAX(0,1-(1-((E24-1)*MAX(0,(C81-O81)/E24-(L81-K81))+MAX(0,L81-((E24-1)*C81/E24+P81)-(L81-K81)))/L81))),"")</x:f>
        <x:v>0.0005289230085555596</x:v>
      </x:c>
      <x:c r="T81" s="76" t="n">
        <x:f>IF(W81="估算",IF(OR(P81=0,K81=0,$J$7=0),0,IF(P81&lt;=(1-$J$7)*K81,$J$7*P81*K81/(1-$J$7)-$J$7^2*P81^2/(2*(1-$J$7)^2),$J$7*P81*K81+$J$7^2*K81^2/2)/L81),"")</x:f>
        <x:v>4.1980887218851754e-7</x:v>
      </x:c>
      <x:c r="U81" s="76" t="n">
        <x:f>IF(A81,60000/C81,"")</x:f>
        <x:v>6000</x:v>
      </x:c>
      <x:c r="V81" s="76" t="n">
        <x:f>IF(W81="估算",U81*E24*T81*M24*N24,"")</x:f>
        <x:v>0.1889139924848329</x:v>
      </x:c>
      <x:c r="W81" s="76" t="str">
        <x:f>IF(NOT(A81),"输入无效",IF(K81&gt;=L81,"KV 超载",IF(O81&gt;C81+1e-9,"TPOT 不自洽",IF(OR(C81&gt;L81,P81&gt;L81-K81),"需时序仿真","估算"))))</x:f>
        <x:v>估算</x:v>
      </x:c>
      <x:c r="X81" s="76" t="n">
        <x:f>IF(W81="估算",U81*M81,"")</x:f>
        <x:v>4.160749568</x:v>
      </x:c>
    </x:row>
    <x:row r="82" ht="22" customHeight="1">
      <x:c r="A82" s="30" t="b">
        <x:f>AND(AND(ISNUMBER($B$5),$B$5&gt;0),AND(ISNUMBER($F$5),$F$5&gt;0),AND(ISNUMBER($J$5),$J$5&gt;0),AND(ISNUMBER($B$9),$B$9&gt;0),AND(ISNUMBER(I24),I24&gt;0),AND(ISNUMBER(J24),J24&gt;0),AND(ISNUMBER(K24),K24&gt;0),AND(ISNUMBER(L24),L24&gt;0),AND(ISNUMBER(D52),D52&gt;0),AND(ISNUMBER(E52),E52&gt;0),MOD($B$5,1)=0,MOD($F$5,1)=0,MOD($J$5,1)=0,MOD($B$9,1)=0,MOD(K24,1)=0,ISNUMBER(C52),C52&gt;=2,MOD(C52,1)=0,OR($N$9=32,$N$9=64,$N$9=128),ISNUMBER($B$11),$B$11&gt;=0,MOD($B$11,1)=0,ISNUMBER($J$7),$J$7&gt;=0,$J$7&lt;1,AND(ISNUMBER(M24),M24&gt;=0,M24&lt;=1),AND(ISNUMBER(N24),N24&gt;=0,N24&lt;=1))</x:f>
        <x:v>1</x:v>
      </x:c>
      <x:c r="B82" s="76" t="n">
        <x:f>IF(A82,D52*1000,"")</x:f>
        <x:v>60000</x:v>
      </x:c>
      <x:c r="C82" s="76" t="n">
        <x:f>IF(A82,E52*L24,"")</x:f>
        <x:v>20</x:v>
      </x:c>
      <x:c r="D82" s="76" t="n">
        <x:f>IF(A82,M98,"")</x:f>
        <x:v>93</x:v>
      </x:c>
      <x:c r="E82" s="76" t="n">
        <x:f>IF(A82,B24/C24,"")</x:f>
        <x:v>32</x:v>
      </x:c>
      <x:c r="F82" s="76" t="n">
        <x:f>IF(A82,B24/D24,"")</x:f>
        <x:v>256</x:v>
      </x:c>
      <x:c r="G82" s="76" t="n">
        <x:f>IF(A82,$F$5*E82*$B$5*60000/B82,"")</x:f>
        <x:v>512</x:v>
      </x:c>
      <x:c r="H82" s="76" t="n">
        <x:f>IF(A82,G82/($J$5*F82),"")</x:f>
        <x:v>2</x:v>
      </x:c>
      <x:c r="I82" s="76" t="n">
        <x:f>IF(A82,$B$5*D82/C24/$B$9,"")</x:f>
        <x:v>186</x:v>
      </x:c>
      <x:c r="J82" s="76" t="n">
        <x:f>IF(A82,I82*$F$5/$J$5,"")</x:f>
        <x:v>186</x:v>
      </x:c>
      <x:c r="K82" s="76" t="n">
        <x:f>IF(A82,MAX(I82,J82)*2^30/(J24*1e6),"")</x:f>
        <x:v>41.60749568</x:v>
      </x:c>
      <x:c r="L82" s="76" t="n">
        <x:f>IF(A82,B82/$B$9,"")</x:f>
        <x:v>60000</x:v>
      </x:c>
      <x:c r="M82" s="77" t="n">
        <x:f>IF(A82,K82/L82,"")</x:f>
        <x:v>0.0006934582613333333</x:v>
      </x:c>
      <x:c r="N82" s="76" t="n">
        <x:f>IF(A82,(E24*ROUNDUP(K24/D24,0)*G24*(B24-1)/B24*(ROUNDUP((ROUNDUP(F24*2/32,0)*32+32)/480,0)*512+F24*2+32)+E24*ROUNDUP(H24/B24,0)*(B24-1)*32)/1e9,"")</x:f>
        <x:v>1.96146</x:v>
      </x:c>
      <x:c r="O82" s="76" t="n">
        <x:f>IF(A82,N82*1000/I24,"")</x:f>
        <x:v>0.4086375</x:v>
      </x:c>
      <x:c r="P82" s="76" t="n">
        <x:f>IF(A82,O82/E24,"")</x:f>
        <x:v>0.0054485</x:v>
      </x:c>
      <x:c r="Q82" s="76" t="n">
        <x:f>IF(A82,N82*1000/C82,"")</x:f>
        <x:v>98.07300000000001</x:v>
      </x:c>
      <x:c r="R82" s="76" t="n">
        <x:f>IF(W82="估算",IF(OR(K82=0,O82=0),0,1-((E24-1)*MAX(0,(C82-O82)/E24-(K82))+MAX(0,L82-((E24-1)*C82/E24+P82)-(K82)))/L82),"")</x:f>
        <x:v>0.0010224379585555</x:v>
      </x:c>
      <x:c r="S82" s="76" t="n">
        <x:f>IF(W82="估算",IF(O82=0,0,MAX(0,1-(1-((E24-1)*MAX(0,(C82-O82)/E24-(L82-K82))+MAX(0,L82-((E24-1)*C82/E24+P82)-(L82-K82)))/L82))),"")</x:f>
        <x:v>0.0003644785641111481</x:v>
      </x:c>
      <x:c r="T82" s="76" t="n">
        <x:f>IF(W82="估算",IF(OR(P82=0,K82=0,$J$7=0),0,IF(P82&lt;=(1-$J$7)*K82,$J$7*P82*K82/(1-$J$7)-$J$7^2*P82^2/(2*(1-$J$7)^2),$J$7*P82*K82+$J$7^2*K82^2/2)/L82),"")</x:f>
        <x:v>4.1980887218851754e-7</x:v>
      </x:c>
      <x:c r="U82" s="76" t="n">
        <x:f>IF(A82,60000/C82,"")</x:f>
        <x:v>3000</x:v>
      </x:c>
      <x:c r="V82" s="76" t="n">
        <x:f>IF(W82="估算",U82*E24*T82*M24*N24,"")</x:f>
        <x:v>0.09445699624241645</x:v>
      </x:c>
      <x:c r="W82" s="76" t="str">
        <x:f>IF(NOT(A82),"输入无效",IF(K82&gt;=L82,"KV 超载",IF(O82&gt;C82+1e-9,"TPOT 不自洽",IF(OR(C82&gt;L82,P82&gt;L82-K82),"需时序仿真","估算"))))</x:f>
        <x:v>估算</x:v>
      </x:c>
      <x:c r="X82" s="76" t="n">
        <x:f>IF(W82="估算",U82*M82,"")</x:f>
        <x:v>2.080374784</x:v>
      </x:c>
    </x:row>
    <x:row r="83" ht="22" customHeight="1">
      <x:c r="A83" s="30" t="b">
        <x:f>AND(AND(ISNUMBER($B$5),$B$5&gt;0),AND(ISNUMBER($F$5),$F$5&gt;0),AND(ISNUMBER($J$5),$J$5&gt;0),AND(ISNUMBER($B$9),$B$9&gt;0),AND(ISNUMBER(I24),I24&gt;0),AND(ISNUMBER(J24),J24&gt;0),AND(ISNUMBER(K24),K24&gt;0),AND(ISNUMBER(L24),L24&gt;0),AND(ISNUMBER(D53),D53&gt;0),AND(ISNUMBER(E53),E53&gt;0),MOD($B$5,1)=0,MOD($F$5,1)=0,MOD($J$5,1)=0,MOD($B$9,1)=0,MOD(K24,1)=0,ISNUMBER(C53),C53&gt;=2,MOD(C53,1)=0,OR($N$9=32,$N$9=64,$N$9=128),ISNUMBER($B$11),$B$11&gt;=0,MOD($B$11,1)=0,ISNUMBER($J$7),$J$7&gt;=0,$J$7&lt;1,AND(ISNUMBER(M24),M24&gt;=0,M24&lt;=1),AND(ISNUMBER(N24),N24&gt;=0,N24&lt;=1))</x:f>
        <x:v>1</x:v>
      </x:c>
      <x:c r="B83" s="76" t="n">
        <x:f>IF(A83,D53*1000,"")</x:f>
        <x:v>60000</x:v>
      </x:c>
      <x:c r="C83" s="76" t="n">
        <x:f>IF(A83,E53*L24,"")</x:f>
        <x:v>30</x:v>
      </x:c>
      <x:c r="D83" s="76" t="n">
        <x:f>IF(A83,M98,"")</x:f>
        <x:v>93</x:v>
      </x:c>
      <x:c r="E83" s="76" t="n">
        <x:f>IF(A83,B24/C24,"")</x:f>
        <x:v>32</x:v>
      </x:c>
      <x:c r="F83" s="76" t="n">
        <x:f>IF(A83,B24/D24,"")</x:f>
        <x:v>256</x:v>
      </x:c>
      <x:c r="G83" s="76" t="n">
        <x:f>IF(A83,$F$5*E83*$B$5*60000/B83,"")</x:f>
        <x:v>512</x:v>
      </x:c>
      <x:c r="H83" s="76" t="n">
        <x:f>IF(A83,G83/($J$5*F83),"")</x:f>
        <x:v>2</x:v>
      </x:c>
      <x:c r="I83" s="76" t="n">
        <x:f>IF(A83,$B$5*D83/C24/$B$9,"")</x:f>
        <x:v>186</x:v>
      </x:c>
      <x:c r="J83" s="76" t="n">
        <x:f>IF(A83,I83*$F$5/$J$5,"")</x:f>
        <x:v>186</x:v>
      </x:c>
      <x:c r="K83" s="76" t="n">
        <x:f>IF(A83,MAX(I83,J83)*2^30/(J24*1e6),"")</x:f>
        <x:v>41.60749568</x:v>
      </x:c>
      <x:c r="L83" s="76" t="n">
        <x:f>IF(A83,B83/$B$9,"")</x:f>
        <x:v>60000</x:v>
      </x:c>
      <x:c r="M83" s="77" t="n">
        <x:f>IF(A83,K83/L83,"")</x:f>
        <x:v>0.0006934582613333333</x:v>
      </x:c>
      <x:c r="N83" s="76" t="n">
        <x:f>IF(A83,(E24*ROUNDUP(K24/D24,0)*G24*(B24-1)/B24*(ROUNDUP((ROUNDUP(F24*2/32,0)*32+32)/480,0)*512+F24*2+32)+E24*ROUNDUP(H24/B24,0)*(B24-1)*32)/1e9,"")</x:f>
        <x:v>1.96146</x:v>
      </x:c>
      <x:c r="O83" s="76" t="n">
        <x:f>IF(A83,N83*1000/I24,"")</x:f>
        <x:v>0.4086375</x:v>
      </x:c>
      <x:c r="P83" s="76" t="n">
        <x:f>IF(A83,O83/E24,"")</x:f>
        <x:v>0.0054485</x:v>
      </x:c>
      <x:c r="Q83" s="76" t="n">
        <x:f>IF(A83,N83*1000/C83,"")</x:f>
        <x:v>65.382</x:v>
      </x:c>
      <x:c r="R83" s="76" t="n">
        <x:f>IF(W83="估算",IF(OR(K83=0,O83=0),0,1-((E24-1)*MAX(0,(C83-O83)/E24-(K83))+MAX(0,L83-((E24-1)*C83/E24+P83)-(K83)))/L83),"")</x:f>
        <x:v>0.0011868824030000225</x:v>
      </x:c>
      <x:c r="S83" s="76" t="n">
        <x:f>IF(W83="估算",IF(O83=0,0,MAX(0,1-(1-((E24-1)*MAX(0,(C83-O83)/E24-(L83-K83))+MAX(0,L83-((E24-1)*C83/E24+P83)-(L83-K83)))/L83))),"")</x:f>
        <x:v>0.00020003411966673657</x:v>
      </x:c>
      <x:c r="T83" s="76" t="n">
        <x:f>IF(W83="估算",IF(OR(P83=0,K83=0,$J$7=0),0,IF(P83&lt;=(1-$J$7)*K83,$J$7*P83*K83/(1-$J$7)-$J$7^2*P83^2/(2*(1-$J$7)^2),$J$7*P83*K83+$J$7^2*K83^2/2)/L83),"")</x:f>
        <x:v>4.1980887218851754e-7</x:v>
      </x:c>
      <x:c r="U83" s="76" t="n">
        <x:f>IF(A83,60000/C83,"")</x:f>
        <x:v>2000</x:v>
      </x:c>
      <x:c r="V83" s="76" t="n">
        <x:f>IF(W83="估算",U83*E24*T83*M24*N24,"")</x:f>
        <x:v>0.06297133082827763</x:v>
      </x:c>
      <x:c r="W83" s="76" t="str">
        <x:f>IF(NOT(A83),"输入无效",IF(K83&gt;=L83,"KV 超载",IF(O83&gt;C83+1e-9,"TPOT 不自洽",IF(OR(C83&gt;L83,P83&gt;L83-K83),"需时序仿真","估算"))))</x:f>
        <x:v>估算</x:v>
      </x:c>
      <x:c r="X83" s="76" t="n">
        <x:f>IF(W83="估算",U83*M83,"")</x:f>
        <x:v>1.3869165226666667</x:v>
      </x:c>
    </x:row>
    <x:row r="84" ht="22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</x:row>
    <x:row r="85" ht="22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</x:row>
    <x:row r="86" ht="22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</x:row>
    <x:row r="87" ht="22" customHeight="1">
      <x:c r="A87" s="30" t="str">
        <x:v>KV 组件：输入长度变化时重新计算生成、保留和迁移字节</x:v>
      </x:c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</x:row>
    <x:row r="88" ht="22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</x:row>
    <x:row r="89" ht="42" customHeight="1">
      <x:c r="A89" s="73" t="str">
        <x:v>模型</x:v>
      </x:c>
      <x:c r="B89" s="73" t="str">
        <x:v>输入 tokens</x:v>
      </x:c>
      <x:c r="C89" s="73" t="str">
        <x:v>组件</x:v>
      </x:c>
      <x:c r="D89" s="73" t="str">
        <x:v>层数</x:v>
      </x:c>
      <x:c r="E89" s="73" t="str">
        <x:v>B/行/Rank</x:v>
      </x:c>
      <x:c r="F89" s="73" t="str">
        <x:v>P 副本</x:v>
      </x:c>
      <x:c r="G89" s="73" t="str">
        <x:v>D 副本</x:v>
      </x:c>
      <x:c r="H89" s="73" t="str">
        <x:v>生成行</x:v>
      </x:c>
      <x:c r="I89" s="73" t="str">
        <x:v>保留行</x:v>
      </x:c>
      <x:c r="J89" s="73" t="str">
        <x:v>取/规划行</x:v>
      </x:c>
      <x:c r="K89" s="73" t="str">
        <x:v>生成 GiB</x:v>
      </x:c>
      <x:c r="L89" s="73" t="str">
        <x:v>保留 GiB</x:v>
      </x:c>
      <x:c r="M89" s="73" t="str">
        <x:v>取/规划 GiB</x:v>
      </x:c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</x:row>
    <x:row r="90" ht="45" customHeight="1">
      <x:c r="A90" s="30" t="str">
        <x:v>GLM5.3</x:v>
      </x:c>
      <x:c r="B90" s="30" t="n">
        <x:f>$B$15</x:f>
        <x:v>16384</x:v>
      </x:c>
      <x:c r="C90" s="79" t="str">
        <x:v>MLA / BF16</x:v>
      </x:c>
      <x:c r="D90" s="30" t="n">
        <x:v>78</x:v>
      </x:c>
      <x:c r="E90" s="30" t="n">
        <x:v>1152</x:v>
      </x:c>
      <x:c r="F90" s="30" t="n">
        <x:v>8</x:v>
      </x:c>
      <x:c r="G90" s="30" t="n">
        <x:v>1</x:v>
      </x:c>
      <x:c r="H90" s="30" t="n">
        <x:f>IF(AND(ISNUMBER($B$15),$B$15&gt;=2,MOD($B$15,1)=0,OR($N$9=32,$N$9=64,$N$9=128),ISNUMBER($B$11),$B$11&gt;=0,MOD($B$11,1)=0),INT($B$15/1),"")</x:f>
        <x:v>16384</x:v>
      </x:c>
      <x:c r="I90" s="30" t="n">
        <x:f>IF(AND(ISNUMBER($B$15),$B$15&gt;=2,MOD($B$15,1)=0,OR($N$9=32,$N$9=64,$N$9=128),ISNUMBER($B$11),$B$11&gt;=0,MOD($B$11,1)=0),INT($B$15/1),"")</x:f>
        <x:v>16384</x:v>
      </x:c>
      <x:c r="J90" s="30" t="n">
        <x:f>IF(AND(ISNUMBER($B$15),$B$15&gt;=2,MOD($B$15,1)=0,OR($N$9=32,$N$9=64,$N$9=128),ISNUMBER($B$11),$B$11&gt;=0,MOD($B$11,1)=0),ROUNDUP($B$15/(1*$N$9),0)*$N$9,"")</x:f>
        <x:v>16384</x:v>
      </x:c>
      <x:c r="K90" s="76" t="n">
        <x:f>IF(AND(ISNUMBER($B$15),$B$15&gt;=2,MOD($B$15,1)=0,OR($N$9=32,$N$9=64,$N$9=128),ISNUMBER($B$11),$B$11&gt;=0,MOD($B$11,1)=0),D90*E90*F90*H90/2^30,"")</x:f>
        <x:v>10.96875</x:v>
      </x:c>
      <x:c r="L90" s="76" t="n">
        <x:f>IF(AND(ISNUMBER($B$15),$B$15&gt;=2,MOD($B$15,1)=0,OR($N$9=32,$N$9=64,$N$9=128),ISNUMBER($B$11),$B$11&gt;=0,MOD($B$11,1)=0),D90*E90*F90*I90/2^30,"")</x:f>
        <x:v>10.96875</x:v>
      </x:c>
      <x:c r="M90" s="76" t="n">
        <x:f>IF(AND(ISNUMBER($B$15),$B$15&gt;=2,MOD($B$15,1)=0,OR($N$9=32,$N$9=64,$N$9=128),ISNUMBER($B$11),$B$11&gt;=0,MOD($B$11,1)=0),D90*E90*G90*J90/2^30,"")</x:f>
        <x:v>1.37109375</x:v>
      </x:c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</x:row>
    <x:row r="91" ht="45" customHeight="1">
      <x:c r="A91" s="30" t="str">
        <x:v>GLM5.3</x:v>
      </x:c>
      <x:c r="B91" s="30" t="n">
        <x:f>$B$15</x:f>
        <x:v>16384</x:v>
      </x:c>
      <x:c r="C91" s="79" t="str">
        <x:v>Indexer / BF16</x:v>
      </x:c>
      <x:c r="D91" s="30" t="n">
        <x:v>21</x:v>
      </x:c>
      <x:c r="E91" s="30" t="n">
        <x:v>256</x:v>
      </x:c>
      <x:c r="F91" s="30" t="n">
        <x:v>8</x:v>
      </x:c>
      <x:c r="G91" s="30" t="n">
        <x:v>1</x:v>
      </x:c>
      <x:c r="H91" s="30" t="n">
        <x:f>IF(AND(ISNUMBER($B$15),$B$15&gt;=2,MOD($B$15,1)=0,OR($N$9=32,$N$9=64,$N$9=128),ISNUMBER($B$11),$B$11&gt;=0,MOD($B$11,1)=0),INT($B$15/1),"")</x:f>
        <x:v>16384</x:v>
      </x:c>
      <x:c r="I91" s="30" t="n">
        <x:f>IF(AND(ISNUMBER($B$15),$B$15&gt;=2,MOD($B$15,1)=0,OR($N$9=32,$N$9=64,$N$9=128),ISNUMBER($B$11),$B$11&gt;=0,MOD($B$11,1)=0),INT($B$15/1),"")</x:f>
        <x:v>16384</x:v>
      </x:c>
      <x:c r="J91" s="30" t="n">
        <x:f>IF(AND(ISNUMBER($B$15),$B$15&gt;=2,MOD($B$15,1)=0,OR($N$9=32,$N$9=64,$N$9=128),ISNUMBER($B$11),$B$11&gt;=0,MOD($B$11,1)=0),ROUNDUP($B$15/(1*$N$9),0)*$N$9,"")</x:f>
        <x:v>16384</x:v>
      </x:c>
      <x:c r="K91" s="76" t="n">
        <x:f>IF(AND(ISNUMBER($B$15),$B$15&gt;=2,MOD($B$15,1)=0,OR($N$9=32,$N$9=64,$N$9=128),ISNUMBER($B$11),$B$11&gt;=0,MOD($B$11,1)=0),D91*E91*F91*H91/2^30,"")</x:f>
        <x:v>0.65625</x:v>
      </x:c>
      <x:c r="L91" s="76" t="n">
        <x:f>IF(AND(ISNUMBER($B$15),$B$15&gt;=2,MOD($B$15,1)=0,OR($N$9=32,$N$9=64,$N$9=128),ISNUMBER($B$11),$B$11&gt;=0,MOD($B$11,1)=0),D91*E91*F91*I91/2^30,"")</x:f>
        <x:v>0.65625</x:v>
      </x:c>
      <x:c r="M91" s="76" t="n">
        <x:f>IF(AND(ISNUMBER($B$15),$B$15&gt;=2,MOD($B$15,1)=0,OR($N$9=32,$N$9=64,$N$9=128),ISNUMBER($B$11),$B$11&gt;=0,MOD($B$11,1)=0),D91*E91*G91*J91/2^30,"")</x:f>
        <x:v>0.08203125</x:v>
      </x:c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</x:row>
    <x:row r="92" ht="45" customHeight="1">
      <x:c r="A92" s="40" t="str">
        <x:v>GLM5.3</x:v>
      </x:c>
      <x:c r="B92" s="40" t="n">
        <x:f>$B$15</x:f>
        <x:v>16384</x:v>
      </x:c>
      <x:c r="C92" s="80" t="str">
        <x:v>每请求合计</x:v>
      </x:c>
      <x:c r="D92" s="40"/>
      <x:c r="E92" s="40"/>
      <x:c r="F92" s="40"/>
      <x:c r="G92" s="40"/>
      <x:c r="H92" s="40"/>
      <x:c r="I92" s="40"/>
      <x:c r="J92" s="40"/>
      <x:c r="K92" s="78" t="n">
        <x:f>SUM(K90:K91)</x:f>
        <x:v>11.625</x:v>
      </x:c>
      <x:c r="L92" s="78" t="n">
        <x:f>SUM(L90:L91)</x:f>
        <x:v>11.625</x:v>
      </x:c>
      <x:c r="M92" s="78" t="n">
        <x:f>SUM(M90:M91)</x:f>
        <x:v>1.453125</x:v>
      </x:c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</x:row>
    <x:row r="93" ht="45" customHeight="1">
      <x:c r="A93" s="30" t="str">
        <x:v>GLM5.3</x:v>
      </x:c>
      <x:c r="B93" s="30" t="n">
        <x:f>$B$16</x:f>
        <x:v>262144</x:v>
      </x:c>
      <x:c r="C93" s="79" t="str">
        <x:v>MLA / BF16</x:v>
      </x:c>
      <x:c r="D93" s="30" t="n">
        <x:v>78</x:v>
      </x:c>
      <x:c r="E93" s="30" t="n">
        <x:v>1152</x:v>
      </x:c>
      <x:c r="F93" s="30" t="n">
        <x:v>8</x:v>
      </x:c>
      <x:c r="G93" s="30" t="n">
        <x:v>1</x:v>
      </x:c>
      <x:c r="H93" s="30" t="n">
        <x:f>IF(AND(ISNUMBER($B$16),$B$16&gt;=2,MOD($B$16,1)=0,OR($N$9=32,$N$9=64,$N$9=128),ISNUMBER($B$11),$B$11&gt;=0,MOD($B$11,1)=0),INT($B$16/1),"")</x:f>
        <x:v>262144</x:v>
      </x:c>
      <x:c r="I93" s="30" t="n">
        <x:f>IF(AND(ISNUMBER($B$16),$B$16&gt;=2,MOD($B$16,1)=0,OR($N$9=32,$N$9=64,$N$9=128),ISNUMBER($B$11),$B$11&gt;=0,MOD($B$11,1)=0),INT($B$16/1),"")</x:f>
        <x:v>262144</x:v>
      </x:c>
      <x:c r="J93" s="30" t="n">
        <x:f>IF(AND(ISNUMBER($B$16),$B$16&gt;=2,MOD($B$16,1)=0,OR($N$9=32,$N$9=64,$N$9=128),ISNUMBER($B$11),$B$11&gt;=0,MOD($B$11,1)=0),ROUNDUP($B$16/(1*$N$9),0)*$N$9,"")</x:f>
        <x:v>262144</x:v>
      </x:c>
      <x:c r="K93" s="76" t="n">
        <x:f>IF(AND(ISNUMBER($B$16),$B$16&gt;=2,MOD($B$16,1)=0,OR($N$9=32,$N$9=64,$N$9=128),ISNUMBER($B$11),$B$11&gt;=0,MOD($B$11,1)=0),D93*E93*F93*H93/2^30,"")</x:f>
        <x:v>175.5</x:v>
      </x:c>
      <x:c r="L93" s="76" t="n">
        <x:f>IF(AND(ISNUMBER($B$16),$B$16&gt;=2,MOD($B$16,1)=0,OR($N$9=32,$N$9=64,$N$9=128),ISNUMBER($B$11),$B$11&gt;=0,MOD($B$11,1)=0),D93*E93*F93*I93/2^30,"")</x:f>
        <x:v>175.5</x:v>
      </x:c>
      <x:c r="M93" s="76" t="n">
        <x:f>IF(AND(ISNUMBER($B$16),$B$16&gt;=2,MOD($B$16,1)=0,OR($N$9=32,$N$9=64,$N$9=128),ISNUMBER($B$11),$B$11&gt;=0,MOD($B$11,1)=0),D93*E93*G93*J93/2^30,"")</x:f>
        <x:v>21.9375</x:v>
      </x:c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</x:row>
    <x:row r="94" ht="45" customHeight="1">
      <x:c r="A94" s="30" t="str">
        <x:v>GLM5.3</x:v>
      </x:c>
      <x:c r="B94" s="30" t="n">
        <x:f>$B$16</x:f>
        <x:v>262144</x:v>
      </x:c>
      <x:c r="C94" s="79" t="str">
        <x:v>Indexer / BF16</x:v>
      </x:c>
      <x:c r="D94" s="30" t="n">
        <x:v>21</x:v>
      </x:c>
      <x:c r="E94" s="30" t="n">
        <x:v>256</x:v>
      </x:c>
      <x:c r="F94" s="30" t="n">
        <x:v>8</x:v>
      </x:c>
      <x:c r="G94" s="30" t="n">
        <x:v>1</x:v>
      </x:c>
      <x:c r="H94" s="30" t="n">
        <x:f>IF(AND(ISNUMBER($B$16),$B$16&gt;=2,MOD($B$16,1)=0,OR($N$9=32,$N$9=64,$N$9=128),ISNUMBER($B$11),$B$11&gt;=0,MOD($B$11,1)=0),INT($B$16/1),"")</x:f>
        <x:v>262144</x:v>
      </x:c>
      <x:c r="I94" s="30" t="n">
        <x:f>IF(AND(ISNUMBER($B$16),$B$16&gt;=2,MOD($B$16,1)=0,OR($N$9=32,$N$9=64,$N$9=128),ISNUMBER($B$11),$B$11&gt;=0,MOD($B$11,1)=0),INT($B$16/1),"")</x:f>
        <x:v>262144</x:v>
      </x:c>
      <x:c r="J94" s="30" t="n">
        <x:f>IF(AND(ISNUMBER($B$16),$B$16&gt;=2,MOD($B$16,1)=0,OR($N$9=32,$N$9=64,$N$9=128),ISNUMBER($B$11),$B$11&gt;=0,MOD($B$11,1)=0),ROUNDUP($B$16/(1*$N$9),0)*$N$9,"")</x:f>
        <x:v>262144</x:v>
      </x:c>
      <x:c r="K94" s="76" t="n">
        <x:f>IF(AND(ISNUMBER($B$16),$B$16&gt;=2,MOD($B$16,1)=0,OR($N$9=32,$N$9=64,$N$9=128),ISNUMBER($B$11),$B$11&gt;=0,MOD($B$11,1)=0),D94*E94*F94*H94/2^30,"")</x:f>
        <x:v>10.5</x:v>
      </x:c>
      <x:c r="L94" s="76" t="n">
        <x:f>IF(AND(ISNUMBER($B$16),$B$16&gt;=2,MOD($B$16,1)=0,OR($N$9=32,$N$9=64,$N$9=128),ISNUMBER($B$11),$B$11&gt;=0,MOD($B$11,1)=0),D94*E94*F94*I94/2^30,"")</x:f>
        <x:v>10.5</x:v>
      </x:c>
      <x:c r="M94" s="76" t="n">
        <x:f>IF(AND(ISNUMBER($B$16),$B$16&gt;=2,MOD($B$16,1)=0,OR($N$9=32,$N$9=64,$N$9=128),ISNUMBER($B$11),$B$11&gt;=0,MOD($B$11,1)=0),D94*E94*G94*J94/2^30,"")</x:f>
        <x:v>1.3125</x:v>
      </x:c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</x:row>
    <x:row r="95" ht="45" customHeight="1">
      <x:c r="A95" s="40" t="str">
        <x:v>GLM5.3</x:v>
      </x:c>
      <x:c r="B95" s="40" t="n">
        <x:f>$B$16</x:f>
        <x:v>262144</x:v>
      </x:c>
      <x:c r="C95" s="80" t="str">
        <x:v>每请求合计</x:v>
      </x:c>
      <x:c r="D95" s="40"/>
      <x:c r="E95" s="40"/>
      <x:c r="F95" s="40"/>
      <x:c r="G95" s="40"/>
      <x:c r="H95" s="40"/>
      <x:c r="I95" s="40"/>
      <x:c r="J95" s="40"/>
      <x:c r="K95" s="78" t="n">
        <x:f>SUM(K93:K94)</x:f>
        <x:v>186</x:v>
      </x:c>
      <x:c r="L95" s="78" t="n">
        <x:f>SUM(L93:L94)</x:f>
        <x:v>186</x:v>
      </x:c>
      <x:c r="M95" s="78" t="n">
        <x:f>SUM(M93:M94)</x:f>
        <x:v>23.25</x:v>
      </x:c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</x:row>
    <x:row r="96" ht="45" customHeight="1">
      <x:c r="A96" s="30" t="str">
        <x:v>GLM5.3</x:v>
      </x:c>
      <x:c r="B96" s="30" t="n">
        <x:f>$B$17</x:f>
        <x:v>1048576</x:v>
      </x:c>
      <x:c r="C96" s="79" t="str">
        <x:v>MLA / BF16</x:v>
      </x:c>
      <x:c r="D96" s="30" t="n">
        <x:v>78</x:v>
      </x:c>
      <x:c r="E96" s="30" t="n">
        <x:v>1152</x:v>
      </x:c>
      <x:c r="F96" s="30" t="n">
        <x:v>8</x:v>
      </x:c>
      <x:c r="G96" s="30" t="n">
        <x:v>1</x:v>
      </x:c>
      <x:c r="H96" s="30" t="n">
        <x:f>IF(AND(ISNUMBER($B$17),$B$17&gt;=2,MOD($B$17,1)=0,OR($N$9=32,$N$9=64,$N$9=128),ISNUMBER($B$11),$B$11&gt;=0,MOD($B$11,1)=0),INT($B$17/1),"")</x:f>
        <x:v>1048576</x:v>
      </x:c>
      <x:c r="I96" s="30" t="n">
        <x:f>IF(AND(ISNUMBER($B$17),$B$17&gt;=2,MOD($B$17,1)=0,OR($N$9=32,$N$9=64,$N$9=128),ISNUMBER($B$11),$B$11&gt;=0,MOD($B$11,1)=0),INT($B$17/1),"")</x:f>
        <x:v>1048576</x:v>
      </x:c>
      <x:c r="J96" s="30" t="n">
        <x:f>IF(AND(ISNUMBER($B$17),$B$17&gt;=2,MOD($B$17,1)=0,OR($N$9=32,$N$9=64,$N$9=128),ISNUMBER($B$11),$B$11&gt;=0,MOD($B$11,1)=0),ROUNDUP($B$17/(1*$N$9),0)*$N$9,"")</x:f>
        <x:v>1048576</x:v>
      </x:c>
      <x:c r="K96" s="76" t="n">
        <x:f>IF(AND(ISNUMBER($B$17),$B$17&gt;=2,MOD($B$17,1)=0,OR($N$9=32,$N$9=64,$N$9=128),ISNUMBER($B$11),$B$11&gt;=0,MOD($B$11,1)=0),D96*E96*F96*H96/2^30,"")</x:f>
        <x:v>702</x:v>
      </x:c>
      <x:c r="L96" s="76" t="n">
        <x:f>IF(AND(ISNUMBER($B$17),$B$17&gt;=2,MOD($B$17,1)=0,OR($N$9=32,$N$9=64,$N$9=128),ISNUMBER($B$11),$B$11&gt;=0,MOD($B$11,1)=0),D96*E96*F96*I96/2^30,"")</x:f>
        <x:v>702</x:v>
      </x:c>
      <x:c r="M96" s="76" t="n">
        <x:f>IF(AND(ISNUMBER($B$17),$B$17&gt;=2,MOD($B$17,1)=0,OR($N$9=32,$N$9=64,$N$9=128),ISNUMBER($B$11),$B$11&gt;=0,MOD($B$11,1)=0),D96*E96*G96*J96/2^30,"")</x:f>
        <x:v>87.75</x:v>
      </x:c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</x:row>
    <x:row r="97" ht="45" customHeight="1">
      <x:c r="A97" s="30" t="str">
        <x:v>GLM5.3</x:v>
      </x:c>
      <x:c r="B97" s="30" t="n">
        <x:f>$B$17</x:f>
        <x:v>1048576</x:v>
      </x:c>
      <x:c r="C97" s="79" t="str">
        <x:v>Indexer / BF16</x:v>
      </x:c>
      <x:c r="D97" s="30" t="n">
        <x:v>21</x:v>
      </x:c>
      <x:c r="E97" s="30" t="n">
        <x:v>256</x:v>
      </x:c>
      <x:c r="F97" s="30" t="n">
        <x:v>8</x:v>
      </x:c>
      <x:c r="G97" s="30" t="n">
        <x:v>1</x:v>
      </x:c>
      <x:c r="H97" s="30" t="n">
        <x:f>IF(AND(ISNUMBER($B$17),$B$17&gt;=2,MOD($B$17,1)=0,OR($N$9=32,$N$9=64,$N$9=128),ISNUMBER($B$11),$B$11&gt;=0,MOD($B$11,1)=0),INT($B$17/1),"")</x:f>
        <x:v>1048576</x:v>
      </x:c>
      <x:c r="I97" s="30" t="n">
        <x:f>IF(AND(ISNUMBER($B$17),$B$17&gt;=2,MOD($B$17,1)=0,OR($N$9=32,$N$9=64,$N$9=128),ISNUMBER($B$11),$B$11&gt;=0,MOD($B$11,1)=0),INT($B$17/1),"")</x:f>
        <x:v>1048576</x:v>
      </x:c>
      <x:c r="J97" s="30" t="n">
        <x:f>IF(AND(ISNUMBER($B$17),$B$17&gt;=2,MOD($B$17,1)=0,OR($N$9=32,$N$9=64,$N$9=128),ISNUMBER($B$11),$B$11&gt;=0,MOD($B$11,1)=0),ROUNDUP($B$17/(1*$N$9),0)*$N$9,"")</x:f>
        <x:v>1048576</x:v>
      </x:c>
      <x:c r="K97" s="76" t="n">
        <x:f>IF(AND(ISNUMBER($B$17),$B$17&gt;=2,MOD($B$17,1)=0,OR($N$9=32,$N$9=64,$N$9=128),ISNUMBER($B$11),$B$11&gt;=0,MOD($B$11,1)=0),D97*E97*F97*H97/2^30,"")</x:f>
        <x:v>42</x:v>
      </x:c>
      <x:c r="L97" s="76" t="n">
        <x:f>IF(AND(ISNUMBER($B$17),$B$17&gt;=2,MOD($B$17,1)=0,OR($N$9=32,$N$9=64,$N$9=128),ISNUMBER($B$11),$B$11&gt;=0,MOD($B$11,1)=0),D97*E97*F97*I97/2^30,"")</x:f>
        <x:v>42</x:v>
      </x:c>
      <x:c r="M97" s="76" t="n">
        <x:f>IF(AND(ISNUMBER($B$17),$B$17&gt;=2,MOD($B$17,1)=0,OR($N$9=32,$N$9=64,$N$9=128),ISNUMBER($B$11),$B$11&gt;=0,MOD($B$11,1)=0),D97*E97*G97*J97/2^30,"")</x:f>
        <x:v>5.25</x:v>
      </x:c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</x:row>
    <x:row r="98" ht="45" customHeight="1">
      <x:c r="A98" s="40" t="str">
        <x:v>GLM5.3</x:v>
      </x:c>
      <x:c r="B98" s="40" t="n">
        <x:f>$B$17</x:f>
        <x:v>1048576</x:v>
      </x:c>
      <x:c r="C98" s="80" t="str">
        <x:v>每请求合计</x:v>
      </x:c>
      <x:c r="D98" s="40"/>
      <x:c r="E98" s="40"/>
      <x:c r="F98" s="40"/>
      <x:c r="G98" s="40"/>
      <x:c r="H98" s="40"/>
      <x:c r="I98" s="40"/>
      <x:c r="J98" s="40"/>
      <x:c r="K98" s="78" t="n">
        <x:f>SUM(K96:K97)</x:f>
        <x:v>744</x:v>
      </x:c>
      <x:c r="L98" s="78" t="n">
        <x:f>SUM(L96:L97)</x:f>
        <x:v>744</x:v>
      </x:c>
      <x:c r="M98" s="78" t="n">
        <x:f>SUM(M96:M97)</x:f>
        <x:v>93</x:v>
      </x:c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</x:row>
    <x:row r="99" ht="45" customHeight="1">
      <x:c r="A99" s="30"/>
      <x:c r="B99" s="30"/>
      <x:c r="C99" s="79"/>
      <x:c r="D99" s="30"/>
      <x:c r="E99" s="30"/>
      <x:c r="F99" s="30"/>
      <x:c r="G99" s="30"/>
      <x:c r="H99" s="30"/>
      <x:c r="I99" s="30"/>
      <x:c r="J99" s="30"/>
      <x:c r="K99" s="76"/>
      <x:c r="L99" s="76"/>
      <x:c r="M99" s="76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</x:row>
    <x:row r="100" ht="22" customHeight="1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</x:row>
    <x:row r="101" ht="22" customHeight="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</x:row>
    <x:row r="102" ht="22" customHeight="1">
      <x:c r="A102" s="30" t="str">
        <x:v>来源：库内 config.json、analysis/KV-EP-SPECS.md、analysis/PD-MINUTE.md；V4.1 为既有 KV 规划量。</x:v>
      </x:c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</x:row>
    <x:row r="103" ht="22" customHeight="1">
      <x:c r="A103" s="30" t="str">
        <x:v>MC2：A3 FullMesh BF16；均衡路由。未计 TP / Attention / Engram、通信启动和真实排队，未复现 NPU 实测。</x:v>
      </x:c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</x:row>
    <x:row r="104" ht="22" customHeight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</x:row>
    <x:row r="105" ht="22" customHeight="1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</x:row>
    <x:row r="106" ht="22" customHeight="1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</x:row>
    <x:row r="107" ht="22" customHeight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</x:row>
    <x:row r="108" ht="22" customHeight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</x:row>
    <x:row r="109" ht="22" customHeight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</x:row>
    <x:row r="110" ht="22" customHeight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</x:row>
    <x:row r="111" ht="22" customHeight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</x:row>
    <x:row r="112" ht="22" customHeight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</x:row>
    <x:row r="113" ht="22" customHeight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</x:row>
    <x:row r="114" ht="22" customHeight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</x:row>
    <x:row r="115" ht="22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</x:row>
    <x:row r="116" ht="22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</x:row>
    <x:row r="117" ht="22" customHeight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</x:row>
    <x:row r="118" ht="22" customHeight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</x:row>
    <x:row r="119" ht="22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</x:row>
    <x:row r="120" ht="22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</x:row>
    <x:row r="121" ht="22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</x:row>
    <x:row r="122" ht="22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</x:row>
    <x:row r="123" ht="22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</x:row>
    <x:row r="124" ht="22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</x:row>
    <x:row r="125" ht="22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</x:row>
    <x:row r="126" ht="22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</x:row>
    <x:row r="127" ht="22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</x:row>
    <x:row r="128" ht="22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</x:row>
    <x:row r="129" ht="22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</x:row>
    <x:row r="130" ht="22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</x:row>
    <x:row r="131" ht="22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</x:row>
    <x:row r="132" ht="22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</x:row>
    <x:row r="133" ht="22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</x:row>
    <x:row r="134" ht="22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</x:row>
    <x:row r="135" ht="22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</x:row>
    <x:row r="136" ht="22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</x:row>
    <x:row r="137" ht="22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</x:row>
    <x:row r="138" ht="22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</x:row>
    <x:row r="139" ht="22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</x:row>
    <x:row r="140" ht="22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</x:row>
    <x:row r="141" ht="22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</x:row>
    <x:row r="142" ht="22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</x:row>
    <x:row r="143" ht="22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</x:row>
    <x:row r="144" ht="22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</x:row>
    <x:row r="145" ht="22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</x:row>
    <x:row r="146" ht="22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</x:row>
    <x:row r="147" ht="22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</x:row>
    <x:row r="148" ht="22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</x:row>
    <x:row r="149" ht="22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</x:row>
    <x:row r="150" ht="22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</x:row>
    <x:row r="151" ht="22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</x:row>
    <x:row r="152" ht="22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</x:row>
    <x:row r="153" ht="22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</x:row>
    <x:row r="154" ht="22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</x:row>
    <x:row r="155" ht="22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</x:row>
    <x:row r="156" ht="22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</x:row>
    <x:row r="157" ht="22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</x:row>
    <x:row r="158" ht="22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</x:row>
    <x:row r="159" ht="22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</x:row>
    <x:row r="160" ht="22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</x:row>
    <x:row r="161" ht="22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</x:row>
    <x:row r="162" ht="22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</x:row>
    <x:row r="163" ht="22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</x:row>
    <x:row r="164" ht="22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</x:row>
    <x:row r="165" ht="22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</x:row>
    <x:row r="166" ht="22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</x:row>
    <x:row r="167" ht="22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</x:row>
    <x:row r="168" ht="22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</x:row>
    <x:row r="169" ht="22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</x:row>
    <x:row r="170" ht="22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</x:row>
    <x:row r="171" ht="22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</x:row>
    <x:row r="172" ht="22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</x:row>
    <x:row r="173" ht="22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</x:row>
    <x:row r="174" ht="22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</x:row>
    <x:row r="175" ht="22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</x:row>
    <x:row r="176" ht="22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</x:row>
    <x:row r="177" ht="22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</x:row>
    <x:row r="178" ht="22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</x:row>
    <x:row r="179" ht="22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</x:row>
    <x:row r="180" ht="22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</x:row>
    <x:row r="181" ht="22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</x:row>
    <x:row r="182" ht="22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</x:row>
    <x:row r="183" ht="22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</x:row>
    <x:row r="184" ht="22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</x:row>
    <x:row r="185" ht="22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</x:row>
    <x:row r="186" ht="22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</x:row>
    <x:row r="187" ht="22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</x:row>
    <x:row r="188" ht="22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</x:row>
    <x:row r="189" ht="22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</x:row>
    <x:row r="190" ht="22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</x:row>
    <x:row r="191" ht="22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</x:row>
    <x:row r="192" ht="22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</x:row>
    <x:row r="193" ht="22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</x:row>
    <x:row r="194" ht="22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</x:row>
    <x:row r="195" ht="22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</x:row>
    <x:row r="196" ht="22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</x:row>
    <x:row r="197" ht="22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</x:row>
    <x:row r="198" ht="22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</x:row>
    <x:row r="199" ht="22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</x:row>
    <x:row r="200" ht="22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</x:row>
    <x:row r="201" ht="22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</x:row>
    <x:row r="202" ht="22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</x:row>
    <x:row r="203" ht="22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</x:row>
    <x:row r="204" ht="22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</x:row>
    <x:row r="205" ht="22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</x:row>
    <x:row r="206" ht="22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</x:row>
    <x:row r="207" ht="22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</x:row>
    <x:row r="208" ht="22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</x:row>
    <x:row r="209" ht="22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</x:row>
    <x:row r="210" ht="22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</x:row>
    <x:row r="211" ht="22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</x:row>
    <x:row r="212" ht="22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</x:row>
    <x:row r="213" ht="22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</x:row>
    <x:row r="214" ht="22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</x:row>
    <x:row r="215" ht="22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</x:row>
    <x:row r="216" ht="22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</x:row>
    <x:row r="217" ht="22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</x:row>
    <x:row r="218" ht="22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</x:row>
    <x:row r="219" ht="22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</x:row>
    <x:row r="220" ht="22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</x:row>
    <x:row r="221" ht="22" customHeight="1">
      <x:c r="A221" s="30"/>
      <x:c r="B221" s="30"/>
      <x:c r="C221" s="30"/>
      <x:c r="D221" s="30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</x:row>
    <x:row r="222" ht="22" customHeight="1">
      <x:c r="A222" s="30"/>
      <x:c r="B222" s="30"/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</x:row>
    <x:row r="223" ht="22" customHeight="1">
      <x:c r="A223" s="30"/>
      <x:c r="B223" s="30"/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</x:row>
    <x:row r="224" ht="22" customHeight="1">
      <x:c r="A224" s="30"/>
      <x:c r="B224" s="30"/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</x:row>
    <x:row r="225" ht="22" customHeight="1">
      <x:c r="A225" s="30"/>
      <x:c r="B225" s="30"/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</x:row>
    <x:row r="226" ht="22" customHeight="1">
      <x:c r="A226" s="30"/>
      <x:c r="B226" s="30"/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</x:row>
    <x:row r="227" ht="22" customHeight="1">
      <x:c r="A227" s="30"/>
      <x:c r="B227" s="30"/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</x:row>
    <x:row r="228" ht="22" customHeight="1">
      <x:c r="A228" s="30"/>
      <x:c r="B228" s="30"/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</x:row>
    <x:row r="229" ht="22" customHeight="1">
      <x:c r="A229" s="30"/>
      <x:c r="B229" s="30"/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</x:row>
    <x:row r="230" ht="22" customHeight="1">
      <x:c r="A230" s="30"/>
      <x:c r="B230" s="30"/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</x:row>
    <x:row r="231" ht="22" customHeight="1">
      <x:c r="A231" s="30"/>
      <x:c r="B231" s="30"/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</x:row>
    <x:row r="232" ht="22" customHeight="1">
      <x:c r="A232" s="30"/>
      <x:c r="B232" s="30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</x:row>
    <x:row r="233" ht="22" customHeight="1">
      <x:c r="A233" s="30"/>
      <x:c r="B233" s="30"/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</x:row>
    <x:row r="234" ht="22" customHeight="1">
      <x:c r="A234" s="30"/>
      <x:c r="B234" s="30"/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</x:row>
    <x:row r="235" ht="22" customHeight="1">
      <x:c r="A235" s="30"/>
      <x:c r="B235" s="30"/>
      <x:c r="C235" s="30"/>
      <x:c r="D235" s="30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</x:row>
    <x:row r="236" ht="22" customHeight="1">
      <x:c r="A236" s="30"/>
      <x:c r="B236" s="30"/>
      <x:c r="C236" s="30"/>
      <x:c r="D236" s="30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</x:row>
    <x:row r="237" ht="22" customHeight="1">
      <x:c r="A237" s="30"/>
      <x:c r="B237" s="30"/>
      <x:c r="C237" s="30"/>
      <x:c r="D237" s="30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</x:row>
    <x:row r="238" ht="22" customHeight="1">
      <x:c r="A238" s="30"/>
      <x:c r="B238" s="30"/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</x:row>
    <x:row r="239" ht="22" customHeight="1">
      <x:c r="A239" s="30"/>
      <x:c r="B239" s="30"/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</x:row>
    <x:row r="240" ht="22" customHeight="1">
      <x:c r="A240" s="30"/>
      <x:c r="B240" s="30"/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</x:row>
    <x:row r="241" ht="22" customHeight="1">
      <x:c r="A241" s="30"/>
      <x:c r="B241" s="30"/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</x:row>
    <x:row r="242" ht="22" customHeight="1">
      <x:c r="A242" s="30"/>
      <x:c r="B242" s="30"/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</x:row>
    <x:row r="243" ht="22" customHeight="1">
      <x:c r="A243" s="30"/>
      <x:c r="B243" s="30"/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</x:row>
    <x:row r="244" ht="22" customHeight="1">
      <x:c r="A244" s="30"/>
      <x:c r="B244" s="30"/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</x:row>
    <x:row r="245" ht="22" customHeight="1">
      <x:c r="A245" s="30"/>
      <x:c r="B245" s="30"/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</x:row>
    <x:row r="246" ht="22" customHeight="1">
      <x:c r="A246" s="30"/>
      <x:c r="B246" s="30"/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</x:row>
    <x:row r="247" ht="22" customHeight="1">
      <x:c r="A247" s="30"/>
      <x:c r="B247" s="30"/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</x:row>
    <x:row r="248" ht="22" customHeight="1">
      <x:c r="A248" s="30"/>
      <x:c r="B248" s="30"/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</x:row>
    <x:row r="249" ht="22" customHeight="1">
      <x:c r="A249" s="30"/>
      <x:c r="B249" s="30"/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</x:row>
    <x:row r="250" ht="22" customHeight="1">
      <x:c r="A250" s="30"/>
      <x:c r="B250" s="30"/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</x:row>
    <x:row r="251" ht="22" customHeight="1">
      <x:c r="A251" s="30"/>
      <x:c r="B251" s="30"/>
      <x:c r="C251" s="30"/>
      <x:c r="D251" s="30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</x:row>
    <x:row r="252" ht="22" customHeight="1">
      <x:c r="A252" s="30"/>
      <x:c r="B252" s="30"/>
      <x:c r="C252" s="30"/>
      <x:c r="D252" s="30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</x:row>
    <x:row r="253" ht="22" customHeight="1">
      <x:c r="A253" s="30"/>
      <x:c r="B253" s="30"/>
      <x:c r="C253" s="30"/>
      <x:c r="D253" s="30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</x:row>
    <x:row r="254" ht="22" customHeight="1">
      <x:c r="A254" s="30"/>
      <x:c r="B254" s="30"/>
      <x:c r="C254" s="30"/>
      <x:c r="D254" s="30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</x:row>
    <x:row r="255" ht="22" customHeight="1">
      <x:c r="A255" s="30"/>
      <x:c r="B255" s="30"/>
      <x:c r="C255" s="30"/>
      <x:c r="D255" s="30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</x:row>
    <x:row r="256" ht="22" customHeight="1">
      <x:c r="A256" s="30"/>
      <x:c r="B256" s="30"/>
      <x:c r="C256" s="30"/>
      <x:c r="D256" s="30"/>
      <x:c r="E256" s="30"/>
      <x:c r="F256" s="30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</x:row>
    <x:row r="257" ht="22" customHeight="1">
      <x:c r="A257" s="30"/>
      <x:c r="B257" s="30"/>
      <x:c r="C257" s="30"/>
      <x:c r="D257" s="30"/>
      <x:c r="E257" s="30"/>
      <x:c r="F257" s="30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</x:row>
    <x:row r="258" ht="22" customHeight="1">
      <x:c r="A258" s="30"/>
      <x:c r="B258" s="30"/>
      <x:c r="C258" s="30"/>
      <x:c r="D258" s="30"/>
      <x:c r="E258" s="30"/>
      <x:c r="F258" s="30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</x:row>
    <x:row r="259" ht="22" customHeight="1">
      <x:c r="A259" s="30"/>
      <x:c r="B259" s="30"/>
      <x:c r="C259" s="30"/>
      <x:c r="D259" s="30"/>
      <x:c r="E259" s="30"/>
      <x:c r="F259" s="30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</x:row>
    <x:row r="260" ht="22" customHeight="1">
      <x:c r="A260" s="30"/>
      <x:c r="B260" s="30"/>
      <x:c r="C260" s="30"/>
      <x:c r="D260" s="30"/>
      <x:c r="E260" s="30"/>
      <x:c r="F260" s="30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</x:row>
    <x:row r="261" ht="22" customHeight="1">
      <x:c r="A261" s="30"/>
      <x:c r="B261" s="30"/>
      <x:c r="C261" s="30"/>
      <x:c r="D261" s="30"/>
      <x:c r="E261" s="30"/>
      <x:c r="F261" s="30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</x:row>
    <x:row r="262" ht="22" customHeight="1">
      <x:c r="A262" s="30"/>
      <x:c r="B262" s="30"/>
      <x:c r="C262" s="30"/>
      <x:c r="D262" s="30"/>
      <x:c r="E262" s="30"/>
      <x:c r="F262" s="30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</x:row>
    <x:row r="263" ht="22" customHeight="1">
      <x:c r="A263" s="30"/>
      <x:c r="B263" s="30"/>
      <x:c r="C263" s="30"/>
      <x:c r="D263" s="30"/>
      <x:c r="E263" s="30"/>
      <x:c r="F263" s="30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</x:row>
    <x:row r="264" ht="22" customHeight="1">
      <x:c r="A264" s="30"/>
      <x:c r="B264" s="30"/>
      <x:c r="C264" s="30"/>
      <x:c r="D264" s="30"/>
      <x:c r="E264" s="30"/>
      <x:c r="F264" s="30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</x:row>
    <x:row r="265" ht="22" customHeight="1">
      <x:c r="A265" s="30"/>
      <x:c r="B265" s="30"/>
      <x:c r="C265" s="30"/>
      <x:c r="D265" s="30"/>
      <x:c r="E265" s="30"/>
      <x:c r="F265" s="30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</x:row>
    <x:row r="266" ht="22" customHeight="1">
      <x:c r="A266" s="30"/>
      <x:c r="B266" s="30"/>
      <x:c r="C266" s="30"/>
      <x:c r="D266" s="30"/>
      <x:c r="E266" s="30"/>
      <x:c r="F266" s="30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</x:row>
    <x:row r="267" ht="22" customHeight="1">
      <x:c r="A267" s="30"/>
      <x:c r="B267" s="30"/>
      <x:c r="C267" s="30"/>
      <x:c r="D267" s="30"/>
      <x:c r="E267" s="30"/>
      <x:c r="F267" s="30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</x:row>
    <x:row r="268" ht="22" customHeight="1">
      <x:c r="A268" s="30"/>
      <x:c r="B268" s="30"/>
      <x:c r="C268" s="30"/>
      <x:c r="D268" s="30"/>
      <x:c r="E268" s="30"/>
      <x:c r="F268" s="30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</x:row>
    <x:row r="269" ht="22" customHeight="1">
      <x:c r="A269" s="30"/>
      <x:c r="B269" s="30"/>
      <x:c r="C269" s="30"/>
      <x:c r="D269" s="30"/>
      <x:c r="E269" s="30"/>
      <x:c r="F269" s="30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</x:row>
    <x:row r="270" ht="22" customHeight="1">
      <x:c r="A270" s="30"/>
      <x:c r="B270" s="30"/>
      <x:c r="C270" s="30"/>
      <x:c r="D270" s="30"/>
      <x:c r="E270" s="30"/>
      <x:c r="F270" s="30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</x:row>
    <x:row r="271" ht="22" customHeight="1">
      <x:c r="A271" s="30"/>
      <x:c r="B271" s="30"/>
      <x:c r="C271" s="30"/>
      <x:c r="D271" s="30"/>
      <x:c r="E271" s="30"/>
      <x:c r="F271" s="30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</x:row>
    <x:row r="272" ht="22" customHeight="1">
      <x:c r="A272" s="30"/>
      <x:c r="B272" s="30"/>
      <x:c r="C272" s="30"/>
      <x:c r="D272" s="30"/>
      <x:c r="E272" s="30"/>
      <x:c r="F272" s="30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</x:row>
    <x:row r="273" ht="22" customHeight="1">
      <x:c r="A273" s="30"/>
      <x:c r="B273" s="30"/>
      <x:c r="C273" s="30"/>
      <x:c r="D273" s="30"/>
      <x:c r="E273" s="30"/>
      <x:c r="F273" s="30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</x:row>
    <x:row r="274" ht="22" customHeight="1">
      <x:c r="A274" s="30"/>
      <x:c r="B274" s="30"/>
      <x:c r="C274" s="30"/>
      <x:c r="D274" s="30"/>
      <x:c r="E274" s="30"/>
      <x:c r="F274" s="30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</x:row>
    <x:row r="275" ht="22" customHeight="1">
      <x:c r="A275" s="30"/>
      <x:c r="B275" s="30"/>
      <x:c r="C275" s="30"/>
      <x:c r="D275" s="30"/>
      <x:c r="E275" s="30"/>
      <x:c r="F275" s="30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</x:row>
    <x:row r="276" ht="22" customHeight="1">
      <x:c r="A276" s="30"/>
      <x:c r="B276" s="30"/>
      <x:c r="C276" s="30"/>
      <x:c r="D276" s="30"/>
      <x:c r="E276" s="30"/>
      <x:c r="F276" s="30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</x:row>
    <x:row r="277" ht="22" customHeight="1">
      <x:c r="A277" s="30"/>
      <x:c r="B277" s="30"/>
      <x:c r="C277" s="30"/>
      <x:c r="D277" s="30"/>
      <x:c r="E277" s="30"/>
      <x:c r="F277" s="30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</x:row>
    <x:row r="278" ht="22" customHeight="1">
      <x:c r="A278" s="30"/>
      <x:c r="B278" s="30"/>
      <x:c r="C278" s="30"/>
      <x:c r="D278" s="30"/>
      <x:c r="E278" s="30"/>
      <x:c r="F278" s="30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</x:row>
    <x:row r="279" ht="22" customHeight="1">
      <x:c r="A279" s="30"/>
      <x:c r="B279" s="30"/>
      <x:c r="C279" s="30"/>
      <x:c r="D279" s="30"/>
      <x:c r="E279" s="30"/>
      <x:c r="F279" s="30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</x:row>
    <x:row r="280" ht="22" customHeight="1">
      <x:c r="A280" s="30"/>
      <x:c r="B280" s="30"/>
      <x:c r="C280" s="30"/>
      <x:c r="D280" s="30"/>
      <x:c r="E280" s="30"/>
      <x:c r="F280" s="30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</x:row>
    <x:row r="281" ht="22" customHeight="1">
      <x:c r="A281" s="30"/>
      <x:c r="B281" s="30"/>
      <x:c r="C281" s="30"/>
      <x:c r="D281" s="30"/>
      <x:c r="E281" s="30"/>
      <x:c r="F281" s="30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</x:row>
    <x:row r="282" ht="22" customHeight="1">
      <x:c r="A282" s="30"/>
      <x:c r="B282" s="30"/>
      <x:c r="C282" s="30"/>
      <x:c r="D282" s="30"/>
      <x:c r="E282" s="30"/>
      <x:c r="F282" s="30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</x:row>
    <x:row r="283" ht="22" customHeight="1">
      <x:c r="A283" s="30"/>
      <x:c r="B283" s="30"/>
      <x:c r="C283" s="30"/>
      <x:c r="D283" s="30"/>
      <x:c r="E283" s="30"/>
      <x:c r="F283" s="30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</x:row>
    <x:row r="284" ht="22" customHeight="1">
      <x:c r="A284" s="30"/>
      <x:c r="B284" s="30"/>
      <x:c r="C284" s="30"/>
      <x:c r="D284" s="30"/>
      <x:c r="E284" s="30"/>
      <x:c r="F284" s="30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</x:row>
    <x:row r="285" ht="22" customHeight="1">
      <x:c r="A285" s="30"/>
      <x:c r="B285" s="30"/>
      <x:c r="C285" s="30"/>
      <x:c r="D285" s="30"/>
      <x:c r="E285" s="30"/>
      <x:c r="F285" s="30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</x:row>
    <x:row r="286" ht="22" customHeight="1">
      <x:c r="A286" s="30"/>
      <x:c r="B286" s="30"/>
      <x:c r="C286" s="30"/>
      <x:c r="D286" s="30"/>
      <x:c r="E286" s="30"/>
      <x:c r="F286" s="30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</x:row>
    <x:row r="287" ht="22" customHeight="1">
      <x:c r="A287" s="30"/>
      <x:c r="B287" s="30"/>
      <x:c r="C287" s="30"/>
      <x:c r="D287" s="30"/>
      <x:c r="E287" s="30"/>
      <x:c r="F287" s="30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</x:row>
    <x:row r="288" ht="22" customHeight="1">
      <x:c r="A288" s="30"/>
      <x:c r="B288" s="30"/>
      <x:c r="C288" s="30"/>
      <x:c r="D288" s="30"/>
      <x:c r="E288" s="30"/>
      <x:c r="F288" s="30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</x:row>
    <x:row r="289" ht="22" customHeight="1">
      <x:c r="A289" s="30"/>
      <x:c r="B289" s="30"/>
      <x:c r="C289" s="30"/>
      <x:c r="D289" s="30"/>
      <x:c r="E289" s="30"/>
      <x:c r="F289" s="30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</x:row>
    <x:row r="290" ht="22" customHeight="1">
      <x:c r="A290" s="30"/>
      <x:c r="B290" s="30"/>
      <x:c r="C290" s="30"/>
      <x:c r="D290" s="30"/>
      <x:c r="E290" s="30"/>
      <x:c r="F290" s="30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</x:row>
    <x:row r="291" ht="22" customHeight="1">
      <x:c r="A291" s="30"/>
      <x:c r="B291" s="30"/>
      <x:c r="C291" s="30"/>
      <x:c r="D291" s="30"/>
      <x:c r="E291" s="30"/>
      <x:c r="F291" s="30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</x:row>
    <x:row r="292" ht="22" customHeight="1">
      <x:c r="A292" s="30"/>
      <x:c r="B292" s="30"/>
      <x:c r="C292" s="30"/>
      <x:c r="D292" s="30"/>
      <x:c r="E292" s="30"/>
      <x:c r="F292" s="30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</x:row>
    <x:row r="293" ht="22" customHeight="1">
      <x:c r="A293" s="30"/>
      <x:c r="B293" s="30"/>
      <x:c r="C293" s="30"/>
      <x:c r="D293" s="30"/>
      <x:c r="E293" s="30"/>
      <x:c r="F293" s="30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</x:row>
    <x:row r="294" ht="22" customHeight="1">
      <x:c r="A294" s="30"/>
      <x:c r="B294" s="30"/>
      <x:c r="C294" s="30"/>
      <x:c r="D294" s="30"/>
      <x:c r="E294" s="30"/>
      <x:c r="F294" s="30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</x:row>
    <x:row r="295" ht="22" customHeight="1">
      <x:c r="A295" s="30"/>
      <x:c r="B295" s="30"/>
      <x:c r="C295" s="30"/>
      <x:c r="D295" s="30"/>
      <x:c r="E295" s="30"/>
      <x:c r="F295" s="30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</x:row>
    <x:row r="296" ht="22" customHeight="1">
      <x:c r="A296" s="30"/>
      <x:c r="B296" s="30"/>
      <x:c r="C296" s="30"/>
      <x:c r="D296" s="30"/>
      <x:c r="E296" s="30"/>
      <x:c r="F296" s="30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</x:row>
    <x:row r="297" ht="22" customHeight="1">
      <x:c r="A297" s="30"/>
      <x:c r="B297" s="30"/>
      <x:c r="C297" s="30"/>
      <x:c r="D297" s="30"/>
      <x:c r="E297" s="30"/>
      <x:c r="F297" s="30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</x:row>
    <x:row r="298" ht="22" customHeight="1">
      <x:c r="A298" s="30"/>
      <x:c r="B298" s="30"/>
      <x:c r="C298" s="30"/>
      <x:c r="D298" s="30"/>
      <x:c r="E298" s="30"/>
      <x:c r="F298" s="30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</x:row>
    <x:row r="299" ht="22" customHeight="1">
      <x:c r="A299" s="30"/>
      <x:c r="B299" s="30"/>
      <x:c r="C299" s="30"/>
      <x:c r="D299" s="30"/>
      <x:c r="E299" s="30"/>
      <x:c r="F299" s="30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</x:row>
    <x:row r="300" ht="22" customHeight="1">
      <x:c r="A300" s="30"/>
      <x:c r="B300" s="30"/>
      <x:c r="C300" s="30"/>
      <x:c r="D300" s="30"/>
      <x:c r="E300" s="30"/>
      <x:c r="F300" s="30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</x:row>
    <x:row r="301" ht="22" customHeight="1">
      <x:c r="A301" s="30"/>
      <x:c r="B301" s="30"/>
      <x:c r="C301" s="30"/>
      <x:c r="D301" s="30"/>
      <x:c r="E301" s="30"/>
      <x:c r="F301" s="30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</x:row>
    <x:row r="302" ht="22" customHeight="1">
      <x:c r="A302" s="30"/>
      <x:c r="B302" s="30"/>
      <x:c r="C302" s="30"/>
      <x:c r="D302" s="30"/>
      <x:c r="E302" s="30"/>
      <x:c r="F302" s="30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</x:row>
    <x:row r="303" ht="22" customHeight="1">
      <x:c r="A303" s="30"/>
      <x:c r="B303" s="30"/>
      <x:c r="C303" s="30"/>
      <x:c r="D303" s="30"/>
      <x:c r="E303" s="30"/>
      <x:c r="F303" s="30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</x:row>
    <x:row r="304" ht="22" customHeight="1">
      <x:c r="A304" s="30"/>
      <x:c r="B304" s="30"/>
      <x:c r="C304" s="30"/>
      <x:c r="D304" s="30"/>
      <x:c r="E304" s="30"/>
      <x:c r="F304" s="30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</x:row>
    <x:row r="305" ht="22" customHeight="1">
      <x:c r="A305" s="30"/>
      <x:c r="B305" s="30"/>
      <x:c r="C305" s="30"/>
      <x:c r="D305" s="30"/>
      <x:c r="E305" s="30"/>
      <x:c r="F305" s="30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</x:row>
    <x:row r="306" ht="22" customHeight="1">
      <x:c r="A306" s="30"/>
      <x:c r="B306" s="30"/>
      <x:c r="C306" s="30"/>
      <x:c r="D306" s="30"/>
      <x:c r="E306" s="30"/>
      <x:c r="F306" s="30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</x:row>
    <x:row r="307" ht="22" customHeight="1">
      <x:c r="A307" s="30"/>
      <x:c r="B307" s="30"/>
      <x:c r="C307" s="30"/>
      <x:c r="D307" s="30"/>
      <x:c r="E307" s="30"/>
      <x:c r="F307" s="30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</x:row>
    <x:row r="308" ht="22" customHeight="1">
      <x:c r="A308" s="30"/>
      <x:c r="B308" s="30"/>
      <x:c r="C308" s="30"/>
      <x:c r="D308" s="30"/>
      <x:c r="E308" s="30"/>
      <x:c r="F308" s="30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</x:row>
    <x:row r="309" ht="22" customHeight="1">
      <x:c r="A309" s="30"/>
      <x:c r="B309" s="30"/>
      <x:c r="C309" s="30"/>
      <x:c r="D309" s="30"/>
      <x:c r="E309" s="30"/>
      <x:c r="F309" s="30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</x:row>
    <x:row r="310" ht="22" customHeight="1">
      <x:c r="A310" s="30"/>
      <x:c r="B310" s="30"/>
      <x:c r="C310" s="30"/>
      <x:c r="D310" s="30"/>
      <x:c r="E310" s="30"/>
      <x:c r="F310" s="30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</x:row>
    <x:row r="311" ht="22" customHeight="1">
      <x:c r="A311" s="30"/>
      <x:c r="B311" s="30"/>
      <x:c r="C311" s="30"/>
      <x:c r="D311" s="30"/>
      <x:c r="E311" s="30"/>
      <x:c r="F311" s="30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</x:row>
    <x:row r="312" ht="22" customHeight="1">
      <x:c r="A312" s="30"/>
      <x:c r="B312" s="30"/>
      <x:c r="C312" s="30"/>
      <x:c r="D312" s="30"/>
      <x:c r="E312" s="30"/>
      <x:c r="F312" s="30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</x:row>
    <x:row r="313" ht="22" customHeight="1">
      <x:c r="A313" s="30"/>
      <x:c r="B313" s="30"/>
      <x:c r="C313" s="30"/>
      <x:c r="D313" s="30"/>
      <x:c r="E313" s="30"/>
      <x:c r="F313" s="30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</x:row>
    <x:row r="314" ht="22" customHeight="1">
      <x:c r="A314" s="30"/>
      <x:c r="B314" s="30"/>
      <x:c r="C314" s="30"/>
      <x:c r="D314" s="30"/>
      <x:c r="E314" s="30"/>
      <x:c r="F314" s="30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</x:row>
    <x:row r="315" ht="22" customHeight="1">
      <x:c r="A315" s="30"/>
      <x:c r="B315" s="30"/>
      <x:c r="C315" s="30"/>
      <x:c r="D315" s="30"/>
      <x:c r="E315" s="30"/>
      <x:c r="F315" s="30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</x:row>
    <x:row r="316" ht="22" customHeight="1">
      <x:c r="A316" s="30"/>
      <x:c r="B316" s="30"/>
      <x:c r="C316" s="30"/>
      <x:c r="D316" s="30"/>
      <x:c r="E316" s="30"/>
      <x:c r="F316" s="30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</x:row>
    <x:row r="317" ht="22" customHeight="1">
      <x:c r="A317" s="30"/>
      <x:c r="B317" s="30"/>
      <x:c r="C317" s="30"/>
      <x:c r="D317" s="30"/>
      <x:c r="E317" s="30"/>
      <x:c r="F317" s="30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</x:row>
    <x:row r="318" ht="22" customHeight="1">
      <x:c r="A318" s="30"/>
      <x:c r="B318" s="30"/>
      <x:c r="C318" s="30"/>
      <x:c r="D318" s="30"/>
      <x:c r="E318" s="30"/>
      <x:c r="F318" s="30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</x:row>
    <x:row r="319" ht="22" customHeight="1">
      <x:c r="A319" s="30"/>
      <x:c r="B319" s="30"/>
      <x:c r="C319" s="30"/>
      <x:c r="D319" s="30"/>
      <x:c r="E319" s="30"/>
      <x:c r="F319" s="30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</x:row>
    <x:row r="320" ht="22" customHeight="1">
      <x:c r="A320" s="30"/>
      <x:c r="B320" s="30"/>
      <x:c r="C320" s="30"/>
      <x:c r="D320" s="30"/>
      <x:c r="E320" s="30"/>
      <x:c r="F320" s="30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</x:row>
    <x:row r="321" ht="22" customHeight="1">
      <x:c r="A321" s="30"/>
      <x:c r="B321" s="30"/>
      <x:c r="C321" s="30"/>
      <x:c r="D321" s="30"/>
      <x:c r="E321" s="30"/>
      <x:c r="F321" s="30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</x:row>
    <x:row r="322" ht="22" customHeight="1">
      <x:c r="A322" s="30"/>
      <x:c r="B322" s="30"/>
      <x:c r="C322" s="30"/>
      <x:c r="D322" s="30"/>
      <x:c r="E322" s="30"/>
      <x:c r="F322" s="30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</x:row>
    <x:row r="323" ht="22" customHeight="1">
      <x:c r="A323" s="30"/>
      <x:c r="B323" s="30"/>
      <x:c r="C323" s="30"/>
      <x:c r="D323" s="30"/>
      <x:c r="E323" s="30"/>
      <x:c r="F323" s="30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</x:row>
    <x:row r="324" ht="22" customHeight="1">
      <x:c r="A324" s="30"/>
      <x:c r="B324" s="30"/>
      <x:c r="C324" s="30"/>
      <x:c r="D324" s="30"/>
      <x:c r="E324" s="30"/>
      <x:c r="F324" s="30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</x:row>
    <x:row r="325" ht="22" customHeight="1">
      <x:c r="A325" s="30"/>
      <x:c r="B325" s="30"/>
      <x:c r="C325" s="30"/>
      <x:c r="D325" s="30"/>
      <x:c r="E325" s="30"/>
      <x:c r="F325" s="30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</x:row>
    <x:row r="326" ht="22" customHeight="1">
      <x:c r="A326" s="30"/>
      <x:c r="B326" s="30"/>
      <x:c r="C326" s="30"/>
      <x:c r="D326" s="30"/>
      <x:c r="E326" s="30"/>
      <x:c r="F326" s="30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</x:row>
    <x:row r="327" ht="22" customHeight="1">
      <x:c r="A327" s="30"/>
      <x:c r="B327" s="30"/>
      <x:c r="C327" s="30"/>
      <x:c r="D327" s="30"/>
      <x:c r="E327" s="30"/>
      <x:c r="F327" s="30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</x:row>
    <x:row r="328" ht="22" customHeight="1">
      <x:c r="A328" s="30"/>
      <x:c r="B328" s="30"/>
      <x:c r="C328" s="30"/>
      <x:c r="D328" s="30"/>
      <x:c r="E328" s="30"/>
      <x:c r="F328" s="30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</x:row>
    <x:row r="329" ht="22" customHeight="1">
      <x:c r="A329" s="30"/>
      <x:c r="B329" s="30"/>
      <x:c r="C329" s="30"/>
      <x:c r="D329" s="30"/>
      <x:c r="E329" s="30"/>
      <x:c r="F329" s="30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</x:row>
  </x:sheetData>
  <x:conditionalFormatting sqref="O30:O53">
    <x:cfRule type="containsText" dxfId="2" priority="1" operator="containsText" text="输入无效"/>
    <x:cfRule type="containsText" dxfId="3" priority="2" operator="containsText" text="KV 超载"/>
    <x:cfRule type="containsText" dxfId="4" priority="3" operator="containsText" text="TPOT 不自洽"/>
    <x:cfRule type="containsText" dxfId="5" priority="4" operator="containsText" text="需时序仿真"/>
  </x:conditionalFormatting>
  <x:dataValidations count="1">
    <x:dataValidation type="list" sqref="N9">
      <x:formula1>"32,64,128"</x:formula1>
    </x:dataValidation>
  </x:dataValidations>
  <x:pageMargins left="0.7" right="0.7" top="0.75" bottom="0.75" header="0.3" footer="0.3"/>
</x:worksheet>
</file>