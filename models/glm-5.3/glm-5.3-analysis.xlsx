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4006fd77cf4d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fcf28e90223d42ec"/>
    <x:sheet xmlns:r="http://schemas.openxmlformats.org/officeDocument/2006/relationships" name="Decode" sheetId="2" r:id="Ra1a32d12811a49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2816e267394fd2" /><Relationship Type="http://schemas.openxmlformats.org/officeDocument/2006/relationships/theme" Target="/xl/theme/theme1.xml" Id="R81e235d080a54873" /><Relationship Type="http://schemas.openxmlformats.org/officeDocument/2006/relationships/sharedStrings" Target="/xl/sharedStrings.xml" Id="Re15d9bd3c9894668" /><Relationship Type="http://schemas.openxmlformats.org/officeDocument/2006/relationships/worksheet" Target="/xl/worksheets/sheet1.xml" Id="Rfcf28e90223d42ec" /><Relationship Type="http://schemas.openxmlformats.org/officeDocument/2006/relationships/worksheet" Target="/xl/worksheets/sheet2.xml" Id="Ra1a32d12811a49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'Prefill'!$P$12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'Prefill'!$P$12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'Prefill'!$P$12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'Prefill'!$P$12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'Prefill'!$P$12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'Prefill'!$P$12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'Prefill'!$P$14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'Prefill'!$P$14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'Prefill'!$P$14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'Prefill'!$P$14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'Prefill'!$P$14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'Prefill'!$P$14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IF('Prefill'!$P$17="TP",'Prefill'!$P$18,1)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IF('Prefill'!$P$17="TP",'Prefill'!$P$18,1)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IF('Prefill'!$P$17="TP",'Prefill'!$P$18,1)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IF('Prefill'!$P$17="TP",'Prefill'!$P$18,1)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IF('Prefill'!$P$17="TP",'Prefill'!$P$18,1)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IF('Prefill'!$P$25&lt;&gt;0,1,'Prefill'!$P$12)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IF('Prefill'!$P$25&lt;&gt;0,1,'Prefill'!$P$12)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IF('Prefill'!$P$25&lt;&gt;0,1,'Prefill'!$P$12)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IF('Prefill'!$P$25&lt;&gt;0,1,'Prefill'!$P$12)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IF('Prefill'!$P$19&gt;0,'Prefill'!$P$19,'Prefill'!$P$12)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'Prefill'!$P$7*6144</x:f>
        <x:v>50331648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IF(AND(IF('Prefill'!$P$21&gt;0,'Prefill'!$P$21,'Prefill'!$P$12)&gt;1,'Prefill'!$P$24=0),1,0)</x:f>
        <x:v>1</x:v>
      </x:c>
      <x:c r="I53" s="34" t="n">
        <x:f>E53*F53/1048576</x:f>
        <x:v>96</x:v>
      </x:c>
      <x:c r="J53" s="34" t="n">
        <x:f>I53*(IF(G53&gt;1,2*(G53-1)/G53,0))</x:f>
        <x:v>168</x:v>
      </x:c>
      <x:c r="K53" s="34" t="n">
        <x:f>J53*H53</x:f>
        <x:v>168</x:v>
      </x:c>
      <x:c r="L53" s="34" t="n">
        <x:f>K53*G53</x:f>
        <x:v>1344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'Prefill'!$P$7</x:f>
        <x:v>8192</x:v>
      </x:c>
      <x:c r="F54" s="33" t="n">
        <x:f>'Prefill'!$P$30</x:f>
        <x:v>8</x:v>
      </x:c>
      <x:c r="G54" s="33" t="n">
        <x:f>IF('Prefill'!$P$21&gt;0,'Prefill'!$P$21,'Prefill'!$P$12)</x:f>
        <x:v>8</x:v>
      </x:c>
      <x:c r="H54" s="33" t="n">
        <x:f>IF(AND(IF('Prefill'!$P$21&gt;0,'Prefill'!$P$21,'Prefill'!$P$12)&gt;1,'Prefill'!$P$24&lt;&gt;0),1,0)</x:f>
        <x:v>0</x:v>
      </x:c>
      <x:c r="I54" s="34" t="n">
        <x:f>E54*F54/1048576</x:f>
        <x:v>0.0625</x:v>
      </x:c>
      <x:c r="J54" s="34" t="n">
        <x:f>I54*(IF(G54&gt;1,G54-1,0))</x:f>
        <x:v>0.4375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'Prefill'!$P$7*IF('Prefill'!$P$21&gt;0,'Prefill'!$P$21,'Prefill'!$P$12)*6144</x:f>
        <x:v>402653184</x:v>
      </x:c>
      <x:c r="F55" s="33" t="n">
        <x:f>'Prefill'!$P$28</x:f>
        <x:v>2</x:v>
      </x:c>
      <x:c r="G55" s="33" t="n">
        <x:f>IF('Prefill'!$P$21&gt;0,'Prefill'!$P$21,'Prefill'!$P$12)</x:f>
        <x:v>8</x:v>
      </x:c>
      <x:c r="H55" s="33" t="n">
        <x:f>IF(AND(IF('Prefill'!$P$21&gt;0,'Prefill'!$P$21,'Prefill'!$P$12)&gt;1,'Prefill'!$P$24&lt;&gt;0),1,0)</x:f>
        <x:v>0</x:v>
      </x:c>
      <x:c r="I55" s="34" t="n">
        <x:f>E55*F55/1048576</x:f>
        <x:v>768</x:v>
      </x:c>
      <x:c r="J55" s="34" t="n">
        <x:f>I55*(IF(G55&gt;1,(G55-1)/G55,0))</x:f>
        <x:v>672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((ROUNDUP('Prefill'!$P$7/'Prefill'!$P$12,0)*'Prefill'!$P$12)/'Prefill'!$P$12)*6144</x:f>
        <x:v>6291456</x:v>
      </x:c>
      <x:c r="F56" s="33" t="n">
        <x:f>'Prefill'!$P$28</x:f>
        <x:v>2</x:v>
      </x:c>
      <x:c r="G56" s="33" t="n">
        <x:f>'Prefill'!$P$12</x:f>
        <x:v>8</x:v>
      </x:c>
      <x:c r="H56" s="33" t="n">
        <x:f>79*IF(AND('Prefill'!$P$25&lt;&gt;0,'Prefill'!$P$12&gt;1),1,0)</x:f>
        <x:v>79</x:v>
      </x:c>
      <x:c r="I56" s="34" t="n">
        <x:f>E56*F56/1048576</x:f>
        <x:v>12</x:v>
      </x:c>
      <x:c r="J56" s="34" t="n">
        <x:f>I56*(IF(G56&gt;1,G56-1,0))</x:f>
        <x:v>84</x:v>
      </x:c>
      <x:c r="K56" s="34" t="n">
        <x:f>J56*H56</x:f>
        <x:v>6636</x:v>
      </x:c>
      <x:c r="L56" s="34" t="n">
        <x:f>K56*G56</x:f>
        <x:v>53088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((ROUNDUP('Prefill'!$P$7/'Prefill'!$P$12,0)*'Prefill'!$P$12)/'Prefill'!$P$12)*64*256</x:f>
        <x:v>16777216</x:v>
      </x:c>
      <x:c r="F57" s="33" t="n">
        <x:f>'Prefill'!$P$28</x:f>
        <x:v>2</x:v>
      </x:c>
      <x:c r="G57" s="33" t="n">
        <x:f>'Prefill'!$P$12</x:f>
        <x:v>8</x:v>
      </x:c>
      <x:c r="H57" s="33" t="n">
        <x:f>79*IF(AND('Prefill'!$P$25&lt;&gt;0,'Prefill'!$P$12&gt;1),1,0)</x:f>
        <x:v>79</x:v>
      </x:c>
      <x:c r="I57" s="34" t="n">
        <x:f>E57*F57/1048576</x:f>
        <x:v>32</x:v>
      </x:c>
      <x:c r="J57" s="34" t="n">
        <x:f>I57*(IF(G57&gt;1,(G57-1)/G57,0))</x:f>
        <x:v>28</x:v>
      </x:c>
      <x:c r="K57" s="34" t="n">
        <x:f>J57*H57</x:f>
        <x:v>2212</x:v>
      </x:c>
      <x:c r="L57" s="34" t="n">
        <x:f>K57*G57</x:f>
        <x:v>17696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((ROUNDUP('Prefill'!$P$7/'Prefill'!$P$12,0)*'Prefill'!$P$12)/'Prefill'!$P$12)*2048</x:f>
        <x:v>2097152</x:v>
      </x:c>
      <x:c r="F58" s="33" t="n">
        <x:f>'Prefill'!$P$31</x:f>
        <x:v>4</x:v>
      </x:c>
      <x:c r="G58" s="33" t="n">
        <x:f>'Prefill'!$P$12</x:f>
        <x:v>8</x:v>
      </x:c>
      <x:c r="H58" s="33" t="n">
        <x:f>22*IF(AND('Prefill'!$P$25&lt;&gt;0,'Prefill'!$P$12&gt;1),1,0)</x:f>
        <x:v>22</x:v>
      </x:c>
      <x:c r="I58" s="34" t="n">
        <x:f>E58*F58/1048576</x:f>
        <x:v>8</x:v>
      </x:c>
      <x:c r="J58" s="34" t="n">
        <x:f>I58*(IF(G58&gt;1,G58-1,0))</x:f>
        <x:v>56</x:v>
      </x:c>
      <x:c r="K58" s="34" t="n">
        <x:f>J58*H58</x:f>
        <x:v>1232</x:v>
      </x:c>
      <x:c r="L58" s="34" t="n">
        <x:f>K58*G58</x:f>
        <x:v>9856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'Prefill'!$P$7*6144</x:f>
        <x:v>50331648</x:v>
      </x:c>
      <x:c r="F59" s="33" t="n">
        <x:f>'Prefill'!$P$28</x:f>
        <x:v>2</x:v>
      </x:c>
      <x:c r="G59" s="33" t="n">
        <x:f>IF('Prefill'!$P$19&gt;0,'Prefill'!$P$19,'Prefill'!$P$12)</x:f>
        <x:v>8</x:v>
      </x:c>
      <x:c r="H59" s="33" t="n">
        <x:f>79*IF(AND('Prefill'!$P$25=0,IF('Prefill'!$P$19&gt;0,'Prefill'!$P$19,'Prefill'!$P$12)&gt;1),1,0)</x:f>
        <x:v>0</x:v>
      </x:c>
      <x:c r="I59" s="34" t="n">
        <x:f>E59*F59/1048576</x:f>
        <x:v>96</x:v>
      </x:c>
      <x:c r="J59" s="34" t="n">
        <x:f>I59*(IF(G59&gt;1,2*(G59-1)/G59,0))</x:f>
        <x:v>168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IF('Prefill'!$P$13&lt;&gt;0,((ROUNDUP('Prefill'!$P$7/'Prefill'!$P$12,0)*'Prefill'!$P$12)/'Prefill'!$P$12),'Prefill'!$P$7)*6144</x:f>
        <x:v>6291456</x:v>
      </x:c>
      <x:c r="F60" s="33" t="n">
        <x:f>'Prefill'!$P$28</x:f>
        <x:v>2</x:v>
      </x:c>
      <x:c r="G60" s="33" t="n">
        <x:f>'Prefill'!$P$12</x:f>
        <x:v>8</x:v>
      </x:c>
      <x:c r="H60" s="33" t="n">
        <x:f>3*IF('Prefill'!$P$12&gt;1,1,0)</x:f>
        <x:v>3</x:v>
      </x:c>
      <x:c r="I60" s="34" t="n">
        <x:f>E60*F60/1048576</x:f>
        <x:v>12</x:v>
      </x:c>
      <x:c r="J60" s="34" t="n">
        <x:f>I60*(IF(G60&gt;1,2*(G60-1)/G60,0))</x:f>
        <x:v>21</x:v>
      </x:c>
      <x:c r="K60" s="34" t="n">
        <x:f>J60*H60</x:f>
        <x:v>63</x:v>
      </x:c>
      <x:c r="L60" s="34" t="n">
        <x:f>K60*G60</x:f>
        <x:v>504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IF('Prefill'!$P$13&lt;&gt;0,((ROUNDUP('Prefill'!$P$7/'Prefill'!$P$12,0)*'Prefill'!$P$12)/'Prefill'!$P$12),'Prefill'!$P$7)*8*'Prefill'!$P$32*6144</x:f>
        <x:v>44040192</x:v>
      </x:c>
      <x:c r="F61" s="33" t="n">
        <x:f>'Prefill'!$P$28</x:f>
        <x:v>2</x:v>
      </x:c>
      <x:c r="G61" s="33" t="n">
        <x:f>'Prefill'!$P$14</x:f>
        <x:v>8</x:v>
      </x:c>
      <x:c r="H61" s="33" t="n">
        <x:f>76*IF('Prefill'!$P$14&gt;1,1,0)</x:f>
        <x:v>76</x:v>
      </x:c>
      <x:c r="I61" s="34" t="n">
        <x:f>E61*F61/1048576</x:f>
        <x:v>84</x:v>
      </x:c>
      <x:c r="J61" s="34" t="n">
        <x:f>I61*(1)</x:f>
        <x:v>84</x:v>
      </x:c>
      <x:c r="K61" s="34" t="n">
        <x:f>J61*H61</x:f>
        <x:v>6384</x:v>
      </x:c>
      <x:c r="L61" s="34" t="n">
        <x:f>K61*G61</x:f>
        <x:v>51072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IF('Prefill'!$P$13&lt;&gt;0,((ROUNDUP('Prefill'!$P$7/'Prefill'!$P$12,0)*'Prefill'!$P$12)/'Prefill'!$P$12),'Prefill'!$P$7)*8*'Prefill'!$P$32*6144</x:f>
        <x:v>44040192</x:v>
      </x:c>
      <x:c r="F62" s="33" t="n">
        <x:f>'Prefill'!$P$28</x:f>
        <x:v>2</x:v>
      </x:c>
      <x:c r="G62" s="33" t="n">
        <x:f>'Prefill'!$P$14</x:f>
        <x:v>8</x:v>
      </x:c>
      <x:c r="H62" s="33" t="n">
        <x:f>76*IF('Prefill'!$P$14&gt;1,1,0)</x:f>
        <x:v>76</x:v>
      </x:c>
      <x:c r="I62" s="34" t="n">
        <x:f>E62*F62/1048576</x:f>
        <x:v>84</x:v>
      </x:c>
      <x:c r="J62" s="34" t="n">
        <x:f>I62*(1)</x:f>
        <x:v>84</x:v>
      </x:c>
      <x:c r="K62" s="34" t="n">
        <x:f>J62*H62</x:f>
        <x:v>6384</x:v>
      </x:c>
      <x:c r="L62" s="34" t="n">
        <x:f>K62*G62</x:f>
        <x:v>51072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'Prefill'!$P$7*6144</x:f>
        <x:v>50331648</x:v>
      </x:c>
      <x:c r="F63" s="33" t="n">
        <x:f>'Prefill'!$P$28</x:f>
        <x:v>2</x:v>
      </x:c>
      <x:c r="G63" s="33" t="n">
        <x:f>'Prefill'!$P$11</x:f>
        <x:v>1</x:v>
      </x:c>
      <x:c r="H63" s="33" t="n">
        <x:f>76*IF(AND('Prefill'!$P$11&gt;1,'Prefill'!$P$14=1),1,0)</x:f>
        <x:v>0</x:v>
      </x:c>
      <x:c r="I63" s="34" t="n">
        <x:f>E63*F63/1048576</x:f>
        <x:v>96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'Prefill'!$P$7*256</x:f>
        <x:v>2097152</x:v>
      </x:c>
      <x:c r="F64" s="33" t="n">
        <x:f>'Prefill'!$P$28</x:f>
        <x:v>2</x:v>
      </x:c>
      <x:c r="G64" s="33" t="n">
        <x:f>'Prefill'!$P$11</x:f>
        <x:v>1</x:v>
      </x:c>
      <x:c r="H64" s="33" t="n">
        <x:f>76*IF(AND('Prefill'!$P$11&gt;1,'Prefill'!$P$14=1),1,0)</x:f>
        <x:v>0</x:v>
      </x:c>
      <x:c r="I64" s="34" t="n">
        <x:f>E64*F64/1048576</x:f>
        <x:v>4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'Prefill'!$P$7*'Prefill'!$P$11*6144</x:f>
        <x:v>50331648</x:v>
      </x:c>
      <x:c r="F65" s="33" t="n">
        <x:f>'Prefill'!$P$28</x:f>
        <x:v>2</x:v>
      </x:c>
      <x:c r="G65" s="33" t="n">
        <x:f>'Prefill'!$P$11</x:f>
        <x:v>1</x:v>
      </x:c>
      <x:c r="H65" s="33" t="n">
        <x:f>76*IF(AND('Prefill'!$P$11&gt;1,'Prefill'!$P$14=1),1,0)</x:f>
        <x:v>0</x:v>
      </x:c>
      <x:c r="I65" s="34" t="n">
        <x:f>E65*F65/1048576</x:f>
        <x:v>96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((ROUNDUP('Prefill'!$P$7/'Prefill'!$P$12,0)*'Prefill'!$P$12)/'Prefill'!$P$12)*6144</x:f>
        <x:v>6291456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76*IF(AND('Prefill'!$P$17="TP",IF('Prefill'!$P$17="TP",'Prefill'!$P$18,1)&gt;1,'Prefill'!$P$13&lt;&gt;0),1,0)</x:f>
        <x:v>76</x:v>
      </x:c>
      <x:c r="I66" s="34" t="n">
        <x:f>E66*F66/1048576</x:f>
        <x:v>12</x:v>
      </x:c>
      <x:c r="J66" s="34" t="n">
        <x:f>I66*(IF(G66&gt;1,G66-1,0))</x:f>
        <x:v>84</x:v>
      </x:c>
      <x:c r="K66" s="34" t="n">
        <x:f>J66*H66</x:f>
        <x:v>6384</x:v>
      </x:c>
      <x:c r="L66" s="34" t="n">
        <x:f>K66*G66</x:f>
        <x:v>51072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(ROUNDUP('Prefill'!$P$7/'Prefill'!$P$12,0)*'Prefill'!$P$12)*6144</x:f>
        <x:v>50331648</x:v>
      </x:c>
      <x:c r="F67" s="33" t="n">
        <x:f>'Prefill'!$P$28</x:f>
        <x:v>2</x:v>
      </x:c>
      <x:c r="G67" s="33" t="n">
        <x:f>IF('Prefill'!$P$17="TP",'Prefill'!$P$18,1)</x:f>
        <x:v>8</x:v>
      </x:c>
      <x:c r="H67" s="33" t="n">
        <x:f>76*IF(AND('Prefill'!$P$17="TP",IF('Prefill'!$P$17="TP",'Prefill'!$P$18,1)&gt;1,'Prefill'!$P$13&lt;&gt;0),1,0)</x:f>
        <x:v>76</x:v>
      </x:c>
      <x:c r="I67" s="34" t="n">
        <x:f>E67*F67/1048576</x:f>
        <x:v>96</x:v>
      </x:c>
      <x:c r="J67" s="34" t="n">
        <x:f>I67*(IF(G67&gt;1,(G67-1)/G67,0))</x:f>
        <x:v>84</x:v>
      </x:c>
      <x:c r="K67" s="34" t="n">
        <x:f>J67*H67</x:f>
        <x:v>6384</x:v>
      </x:c>
      <x:c r="L67" s="34" t="n">
        <x:f>K67*G67</x:f>
        <x:v>51072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'Prefill'!$P$7*6144</x:f>
        <x:v>50331648</x:v>
      </x:c>
      <x:c r="F68" s="33" t="n">
        <x:f>'Prefill'!$P$28</x:f>
        <x:v>2</x:v>
      </x:c>
      <x:c r="G68" s="33" t="n">
        <x:f>IF('Prefill'!$P$17="TP",'Prefill'!$P$18,1)</x:f>
        <x:v>8</x:v>
      </x:c>
      <x:c r="H68" s="33" t="n">
        <x:f>76*IF(AND('Prefill'!$P$17="TP",IF('Prefill'!$P$17="TP",'Prefill'!$P$18,1)&gt;1,'Prefill'!$P$13=0),1,0)</x:f>
        <x:v>0</x:v>
      </x:c>
      <x:c r="I68" s="34" t="n">
        <x:f>E68*F68/1048576</x:f>
        <x:v>96</x:v>
      </x:c>
      <x:c r="J68" s="34" t="n">
        <x:f>I68*(IF(G68&gt;1,2*(G68-1)/G68,0))</x:f>
        <x:v>168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Hidden 输入</x:v>
      </x:c>
      <x:c r="D69" s="30" t="str">
        <x:v>Ring AllGather</x:v>
      </x:c>
      <x:c r="E69" s="33" t="n">
        <x:f>((ROUNDUP('Prefill'!$P$7/'Prefill'!$P$15,0)*'Prefill'!$P$15)/'Prefill'!$P$15)*6144</x:f>
        <x:v>50331648</x:v>
      </x:c>
      <x:c r="F69" s="33" t="n">
        <x:f>'Prefill'!$P$28</x:f>
        <x:v>2</x:v>
      </x:c>
      <x:c r="G69" s="33" t="n">
        <x:f>'Prefill'!$P$15</x:f>
        <x:v>1</x:v>
      </x:c>
      <x:c r="H69" s="33" t="n">
        <x:f>76*IF('Prefill'!$P$15&gt;1,1,0)</x:f>
        <x:v>0</x:v>
      </x:c>
      <x:c r="I69" s="34" t="n">
        <x:f>E69*F69/1048576</x:f>
        <x:v>96</x:v>
      </x:c>
      <x:c r="J69" s="34" t="n">
        <x:f>I69*(IF(G69&gt;1,G69-1,0))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MoE Router</x:v>
      </x:c>
      <x:c r="C70" s="30" t="str">
        <x:v>Router Logits</x:v>
      </x:c>
      <x:c r="D70" s="30" t="str">
        <x:v>Ring AllGather</x:v>
      </x:c>
      <x:c r="E70" s="33" t="n">
        <x:f>((ROUNDUP('Prefill'!$P$7/'Prefill'!$P$15,0)*'Prefill'!$P$15)/'Prefill'!$P$15)*256</x:f>
        <x:v>2097152</x:v>
      </x:c>
      <x:c r="F70" s="33" t="n">
        <x:f>'Prefill'!$P$28</x:f>
        <x:v>2</x:v>
      </x:c>
      <x:c r="G70" s="33" t="n">
        <x:f>'Prefill'!$P$15</x:f>
        <x:v>1</x:v>
      </x:c>
      <x:c r="H70" s="33" t="n">
        <x:f>76*IF('Prefill'!$P$15&gt;1,1,0)</x:f>
        <x:v>0</x:v>
      </x:c>
      <x:c r="I70" s="34" t="n">
        <x:f>E70*F70/1048576</x:f>
        <x:v>4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PCP</x:v>
      </x:c>
      <x:c r="B71" s="30" t="str">
        <x:v>MoE</x:v>
      </x:c>
      <x:c r="C71" s="30" t="str">
        <x:v>Routed Expert 输出</x:v>
      </x:c>
      <x:c r="D71" s="30" t="str">
        <x:v>Ring ReduceScatter</x:v>
      </x:c>
      <x:c r="E71" s="33" t="n">
        <x:f>(ROUNDUP('Prefill'!$P$7/'Prefill'!$P$15,0)*'Prefill'!$P$15)*6144</x:f>
        <x:v>50331648</x:v>
      </x:c>
      <x:c r="F71" s="33" t="n">
        <x:f>'Prefill'!$P$28</x:f>
        <x:v>2</x:v>
      </x:c>
      <x:c r="G71" s="33" t="n">
        <x:f>'Prefill'!$P$15</x:f>
        <x:v>1</x:v>
      </x:c>
      <x:c r="H71" s="33" t="n">
        <x:f>76*IF('Prefill'!$P$15&gt;1,1,0)</x:f>
        <x:v>0</x:v>
      </x:c>
      <x:c r="I71" s="34" t="n">
        <x:f>E71*F71/1048576</x:f>
        <x:v>96</x:v>
      </x:c>
      <x:c r="J71" s="34" t="n">
        <x:f>I71*(IF(G71&gt;1,(G71-1)/G71,0))</x:f>
        <x:v>0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PCP</x:v>
      </x:c>
      <x:c r="B72" s="30" t="str">
        <x:v>Attention KV</x:v>
      </x:c>
      <x:c r="C72" s="30" t="str">
        <x:v>KV Cache 写入前</x:v>
      </x:c>
      <x:c r="D72" s="30" t="str">
        <x:v>Ring AllGather</x:v>
      </x:c>
      <x:c r="E72" s="33" t="n">
        <x:f>((ROUNDUP('Prefill'!$P$7/'Prefill'!$P$15,0)*'Prefill'!$P$15)/'Prefill'!$P$15)*576</x:f>
        <x:v>4718592</x:v>
      </x:c>
      <x:c r="F72" s="33" t="n">
        <x:f>'Prefill'!$P$28</x:f>
        <x:v>2</x:v>
      </x:c>
      <x:c r="G72" s="33" t="n">
        <x:f>'Prefill'!$P$15</x:f>
        <x:v>1</x:v>
      </x:c>
      <x:c r="H72" s="33" t="n">
        <x:f>79*IF('Prefill'!$P$15&gt;1,1,0)</x:f>
        <x:v>0</x:v>
      </x:c>
      <x:c r="I72" s="34" t="n">
        <x:f>E72*F72/1048576</x:f>
        <x:v>9</x:v>
      </x:c>
      <x:c r="J72" s="34" t="n">
        <x:f>I72*(IF(G72&gt;1,G72-1,0))</x:f>
        <x:v>0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Model Output</x:v>
      </x:c>
      <x:c r="C73" s="30" t="str">
        <x:v>Final Norm 后</x:v>
      </x:c>
      <x:c r="D73" s="30" t="str">
        <x:v>Ring AllGather</x:v>
      </x:c>
      <x:c r="E73" s="33" t="n">
        <x:f>((ROUNDUP('Prefill'!$P$7/'Prefill'!$P$12,0)*'Prefill'!$P$12)/'Prefill'!$P$12)*6144</x:f>
        <x:v>6291456</x:v>
      </x:c>
      <x:c r="F73" s="33" t="n">
        <x:f>'Prefill'!$P$28</x:f>
        <x:v>2</x:v>
      </x:c>
      <x:c r="G73" s="33" t="n">
        <x:f>'Prefill'!$P$12</x:f>
        <x:v>8</x:v>
      </x:c>
      <x:c r="H73" s="33" t="n">
        <x:f>IF(AND('Prefill'!$P$13&lt;&gt;0,'Prefill'!$P$12&gt;1),1,0)</x:f>
        <x:v>1</x:v>
      </x:c>
      <x:c r="I73" s="34" t="n">
        <x:f>E73*F73/1048576</x:f>
        <x:v>12</x:v>
      </x:c>
      <x:c r="J73" s="34" t="n">
        <x:f>I73*(IF(G73&gt;1,G73-1,0))</x:f>
        <x:v>84</x:v>
      </x:c>
      <x:c r="K73" s="34" t="n">
        <x:f>J73*H73</x:f>
        <x:v>84</x:v>
      </x:c>
      <x:c r="L73" s="34" t="n">
        <x:f>K73*G73</x:f>
        <x:v>672</x:v>
      </x:c>
      <x:c r="M73" s="30"/>
      <x:c r="N73" s="30"/>
      <x:c r="O73" s="30"/>
      <x:c r="P73" s="30"/>
    </x:row>
    <x:row r="74">
      <x:c r="A74" s="30" t="str">
        <x:v>LM Head TP</x:v>
      </x:c>
      <x:c r="B74" s="30" t="str">
        <x:v>LM Head</x:v>
      </x:c>
      <x:c r="C74" s="30" t="str">
        <x:v>完整 Logits</x:v>
      </x:c>
      <x:c r="D74" s="30" t="str">
        <x:v>Ring AllGather</x:v>
      </x:c>
      <x:c r="E74" s="33" t="n">
        <x:f>'Prefill'!$P$8*154880/IF('Prefill'!$P$20&gt;0,'Prefill'!$P$20,'Prefill'!$P$12)</x:f>
        <x:v>2478080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IF(AND(IF('Prefill'!$P$20&gt;0,'Prefill'!$P$20,'Prefill'!$P$12)&gt;1,'Prefill'!$P$23=0,'Prefill'!$P$33=0),1,0)</x:f>
        <x:v>0</x:v>
      </x:c>
      <x:c r="I74" s="34" t="n">
        <x:f>E74*F74/1048576</x:f>
        <x:v>4.7265625</x:v>
      </x:c>
      <x:c r="J74" s="34" t="n">
        <x:f>I74*(IF(G74&gt;1,G74-1,0))</x:f>
        <x:v>33.0859375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'Prefill'!$P$8*'Prefill'!$P$34</x:f>
        <x:v>32768</x:v>
      </x:c>
      <x:c r="F75" s="33" t="n">
        <x:f>('Prefill'!$P$28+'Prefill'!$P$31)</x:f>
        <x:v>6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IF(AND(IF('Prefill'!$P$20&gt;0,'Prefill'!$P$20,'Prefill'!$P$12)&gt;1,'Prefill'!$P$23=0,'Prefill'!$P$33&lt;&gt;0),1,0)</x:f>
        <x:v>1</x:v>
      </x:c>
      <x:c r="I75" s="34" t="n">
        <x:f>E75*F75/1048576</x:f>
        <x:v>0.1875</x:v>
      </x:c>
      <x:c r="J75" s="34" t="n">
        <x:f>I75*(IF(G75&gt;1,G75-1,0))</x:f>
        <x:v>1.3125</x:v>
      </x:c>
      <x:c r="K75" s="34" t="n">
        <x:f>J75*H75</x:f>
        <x:v>1.3125</x:v>
      </x:c>
      <x:c r="L75" s="34" t="n">
        <x:f>K75*G75</x:f>
        <x:v>10.5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Hidden 输入</x:v>
      </x:c>
      <x:c r="D76" s="30" t="str">
        <x:v>Ring AllGather</x:v>
      </x:c>
      <x:c r="E76" s="33" t="n">
        <x:f>'Prefill'!$P$8*6144</x:f>
        <x:v>786432</x:v>
      </x:c>
      <x:c r="F76" s="33" t="n">
        <x:f>'Prefill'!$P$28</x:f>
        <x:v>2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IF(AND(IF('Prefill'!$P$20&gt;0,'Prefill'!$P$20,'Prefill'!$P$12)&gt;1,'Prefill'!$P$23&lt;&gt;0),1,0)</x:f>
        <x:v>0</x:v>
      </x:c>
      <x:c r="I76" s="34" t="n">
        <x:f>E76*F76/1048576</x:f>
        <x:v>1.5</x:v>
      </x:c>
      <x:c r="J76" s="34" t="n">
        <x:f>I76*(IF(G76&gt;1,G76-1,0))</x:f>
        <x:v>10.5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Fine LM Head TP</x:v>
      </x:c>
      <x:c r="B77" s="30" t="str">
        <x:v>LM Head</x:v>
      </x:c>
      <x:c r="C77" s="30" t="str">
        <x:v>完整 Logits</x:v>
      </x:c>
      <x:c r="D77" s="30" t="str">
        <x:v>Equal-split AllToAll</x:v>
      </x:c>
      <x:c r="E77" s="33" t="n">
        <x:f>'Prefill'!$P$8*154880</x:f>
        <x:v>19824640</x:v>
      </x:c>
      <x:c r="F77" s="33" t="n">
        <x:f>'Prefill'!$P$28</x:f>
        <x:v>2</x:v>
      </x:c>
      <x:c r="G77" s="33" t="n">
        <x:f>IF('Prefill'!$P$20&gt;0,'Prefill'!$P$20,'Prefill'!$P$12)</x:f>
        <x:v>8</x:v>
      </x:c>
      <x:c r="H77" s="33" t="n">
        <x:f>IF(AND(IF('Prefill'!$P$20&gt;0,'Prefill'!$P$20,'Prefill'!$P$12)&gt;1,'Prefill'!$P$23&lt;&gt;0,'Prefill'!$P$33=0),1,0)</x:f>
        <x:v>0</x:v>
      </x:c>
      <x:c r="I77" s="34" t="n">
        <x:f>E77*F77/1048576</x:f>
        <x:v>37.8125</x:v>
      </x:c>
      <x:c r="J77" s="34" t="n">
        <x:f>I77*(IF(G77&gt;1,(G77-1)/G77,0))</x:f>
        <x:v>33.0859375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Fine LM Head TP</x:v>
      </x:c>
      <x:c r="B78" s="30" t="str">
        <x:v>LM Head</x:v>
      </x:c>
      <x:c r="C78" s="30" t="str">
        <x:v>Reduce Sample</x:v>
      </x:c>
      <x:c r="D78" s="30" t="str">
        <x:v>Ring AllGather</x:v>
      </x:c>
      <x:c r="E78" s="33" t="n">
        <x:f>'Prefill'!$P$8*'Prefill'!$P$34</x:f>
        <x:v>32768</x:v>
      </x:c>
      <x:c r="F78" s="33" t="n">
        <x:f>('Prefill'!$P$28+'Prefill'!$P$31)</x:f>
        <x:v>6</x:v>
      </x:c>
      <x:c r="G78" s="33" t="n">
        <x:f>IF('Prefill'!$P$20&gt;0,'Prefill'!$P$20,'Prefill'!$P$12)</x:f>
        <x:v>8</x:v>
      </x:c>
      <x:c r="H78" s="33" t="n">
        <x:f>IF(AND(IF('Prefill'!$P$20&gt;0,'Prefill'!$P$20,'Prefill'!$P$12)&gt;1,'Prefill'!$P$23&lt;&gt;0,'Prefill'!$P$33&lt;&gt;0),1,0)</x:f>
        <x:v>0</x:v>
      </x:c>
      <x:c r="I78" s="34" t="n">
        <x:f>E78*F78/1048576</x:f>
        <x:v>0.1875</x:v>
      </x:c>
      <x:c r="J78" s="34" t="n">
        <x:f>I78*(IF(G78&gt;1,G78-1,0))</x:f>
        <x:v>1.3125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40" t="str">
        <x:v>合计</x:v>
      </x:c>
      <x:c r="B79" s="40"/>
      <x:c r="C79" s="40"/>
      <x:c r="D79" s="40"/>
      <x:c r="E79" s="40"/>
      <x:c r="F79" s="40"/>
      <x:c r="G79" s="40"/>
      <x:c r="H79" s="40"/>
      <x:c r="I79" s="41"/>
      <x:c r="J79" s="41"/>
      <x:c r="K79" s="41" t="n">
        <x:f>SUM(K53:K78)</x:f>
        <x:v>35932.3125</x:v>
      </x:c>
      <x:c r="L79" s="41" t="n">
        <x:f>SUM(L53:L78)</x:f>
        <x:v>287458.5</x:v>
      </x:c>
      <x:c r="M79" s="30"/>
      <x:c r="N79" s="30"/>
      <x:c r="O79" s="30"/>
      <x:c r="P79" s="30"/>
    </x:row>
    <x:row r="82" ht="15" customHeight="1">
      <x:c r="A82" s="40" t="str">
        <x:v>PD 带宽争用耗时评估</x:v>
      </x:c>
      <x:c r="B82" s="30"/>
      <x:c r="C82" s="30"/>
      <x:c r="D82" s="30"/>
      <x:c r="E82" s="30"/>
      <x:c r="F82" s="30"/>
      <x:c r="G82" s="30"/>
      <x:c r="H82" s="30"/>
      <x:c r="I82" s="30"/>
      <x:c r="J82" s="30"/>
      <x:c r="K82" s="30"/>
      <x:c r="L82" s="30"/>
    </x:row>
    <x:row r="83" ht="15" customHeight="1">
      <x:c r="A83" s="30" t="str">
        <x:v>Prefill 当前表参数；100 GB/s 为归一化示例。所列事件的带宽项，不等于完整 forward 耗时。</x:v>
      </x:c>
      <x:c r="B83" s="30"/>
      <x:c r="C83" s="30"/>
      <x:c r="D83" s="30"/>
      <x:c r="E83" s="30"/>
      <x:c r="F83" s="30"/>
      <x:c r="G83" s="30"/>
      <x:c r="H83" s="30"/>
      <x:c r="I83" s="30"/>
      <x:c r="J83" s="30"/>
      <x:c r="K83" s="30"/>
      <x:c r="L83" s="30"/>
    </x:row>
    <x:row r="84" ht="30" customHeight="1">
      <x:c r="A84" s="62" t="str">
        <x:v>带宽降幅</x:v>
      </x:c>
      <x:c r="B84" s="62" t="str">
        <x:v>输入</x:v>
      </x:c>
      <x:c r="C84" s="62" t="str">
        <x:v>争用覆盖率</x:v>
      </x:c>
      <x:c r="D84" s="62" t="str">
        <x:v>输入</x:v>
      </x:c>
      <x:c r="E84" s="62" t="str">
        <x:v>基线 forward ms</x:v>
      </x:c>
      <x:c r="F84" s="62" t="str">
        <x:v>实测输入</x:v>
      </x:c>
      <x:c r="G84" s="62" t="str">
        <x:v>默认带宽 GB/s</x:v>
      </x:c>
      <x:c r="H84" s="62" t="str">
        <x:v>输入</x:v>
      </x:c>
      <x:c r="I84" s="30"/>
      <x:c r="J84" s="30"/>
      <x:c r="K84" s="30"/>
      <x:c r="L84" s="30"/>
    </x:row>
    <x:row r="85" ht="15" customHeight="1">
      <x:c r="A85" s="30"/>
      <x:c r="B85" s="63" t="n">
        <x:v>0.1</x:v>
      </x:c>
      <x:c r="C85" s="30"/>
      <x:c r="D85" s="63" t="n">
        <x:v>1</x:v>
      </x:c>
      <x:c r="E85" s="30"/>
      <x:c r="F85" s="38"/>
      <x:c r="G85" s="30"/>
      <x:c r="H85" s="36" t="n">
        <x:v>100</x:v>
      </x:c>
      <x:c r="I85" s="30"/>
      <x:c r="J85" s="30"/>
      <x:c r="K85" s="30"/>
      <x:c r="L85" s="30"/>
    </x:row>
    <x:row r="86" ht="30" customHeight="1">
      <x:c r="A86" s="62" t="str">
        <x:v>通信基线 ms</x:v>
      </x:c>
      <x:c r="B86" s="62" t="str">
        <x:v>结果</x:v>
      </x:c>
      <x:c r="C86" s="62" t="str">
        <x:v>通信争用后 ms</x:v>
      </x:c>
      <x:c r="D86" s="62" t="str">
        <x:v>结果</x:v>
      </x:c>
      <x:c r="E86" s="62" t="str">
        <x:v>forward 增量 ms</x:v>
      </x:c>
      <x:c r="F86" s="62" t="str">
        <x:v>结果</x:v>
      </x:c>
      <x:c r="G86" s="62" t="str">
        <x:v>forward 新耗时 ms</x:v>
      </x:c>
      <x:c r="H86" s="62" t="str">
        <x:v>结果</x:v>
      </x:c>
      <x:c r="I86" s="62" t="str">
        <x:v>forward 增幅</x:v>
      </x:c>
      <x:c r="J86" s="62" t="str">
        <x:v>结果</x:v>
      </x:c>
      <x:c r="K86" s="62" t="str">
        <x:v>输入状态</x:v>
      </x:c>
      <x:c r="L86" s="62" t="str">
        <x:v>状态</x:v>
      </x:c>
    </x:row>
    <x:row r="87" ht="15" customHeight="1">
      <x:c r="A87" s="49"/>
      <x:c r="B87" s="49" t="n">
        <x:f>SUM(G91:G117)</x:f>
        <x:v>376.7830528</x:v>
      </x:c>
      <x:c r="C87" s="49"/>
      <x:c r="D87" s="49" t="n">
        <x:f>SUM(H91:H117)</x:f>
        <x:v>418.64783644444447</x:v>
      </x:c>
      <x:c r="E87" s="49"/>
      <x:c r="F87" s="49" t="n">
        <x:f>SUM(K91:K117)</x:f>
        <x:v>41.86478364444446</x:v>
      </x:c>
      <x:c r="G87" s="49"/>
      <x:c r="H87" s="49" t="str">
        <x:f>IF(AND(ISNUMBER($F$85),$F$85&gt;0,$F$85&gt;=SUMPRODUCT(G91:G117,J91:J117)),$F$85+F87,"")</x:f>
      </x:c>
      <x:c r="I87" s="49"/>
      <x:c r="J87" s="50" t="str">
        <x:f>IF(AND(ISNUMBER($F$85),$F$85&gt;0,$F$85&gt;=SUMPRODUCT(G91:G117,J91:J117)),F87/$F$85,"")</x:f>
      </x:c>
      <x:c r="K87" s="49"/>
      <x:c r="L87" s="49" t="str">
        <x:f>IF($F$85="","待填基线",IF(AND(ISNUMBER($F$85),$F$85&gt;0,$F$85&gt;=SUMPRODUCT(G91:G117,J91:J117)),"已填基线","基线/暴露不一致"))</x:f>
        <x:v>待填基线</x:v>
      </x:c>
    </x:row>
    <x:row r="88" ht="15" customHeight="1">
      <x:c r="A88" s="30" t="str">
        <x:v>共享比例=0 表示独立链路；暴露系数=0 表示增量完全隐藏。默认均为 1，降幅只作用于带宽项。</x:v>
      </x:c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</x:row>
    <x:row r="89" ht="15" customHeight="1">
      <x:c r="A89" s="30" t="str">
        <x:v>P: AllToAllV + 4 B 计数 Ring；D: A3 BF16 MC2 FullMesh。每事件带宽按端点发送量定义。</x:v>
      </x:c>
      <x:c r="B89" s="30"/>
      <x:c r="C89" s="30"/>
      <x:c r="D89" s="30"/>
      <x:c r="E89" s="30"/>
      <x:c r="F89" s="30"/>
      <x:c r="G89" s="30"/>
      <x:c r="H89" s="30"/>
      <x:c r="I89" s="30"/>
      <x:c r="J89" s="30"/>
      <x:c r="K89" s="30"/>
      <x:c r="L89" s="30"/>
    </x:row>
    <x:row r="90" ht="30" customHeight="1">
      <x:c r="A90" s="62" t="str">
        <x:v>并行域</x:v>
      </x:c>
      <x:c r="B90" s="62" t="str">
        <x:v>模块</x:v>
      </x:c>
      <x:c r="C90" s="62" t="str">
        <x:v>通信事件</x:v>
      </x:c>
      <x:c r="D90" s="62" t="str">
        <x:v>GB/Rank/Step</x:v>
      </x:c>
      <x:c r="E90" s="62" t="str">
        <x:v>有效带宽 GB/s</x:v>
      </x:c>
      <x:c r="F90" s="62" t="str">
        <x:v>共享比例</x:v>
      </x:c>
      <x:c r="G90" s="62" t="str">
        <x:v>基线带宽项 ms</x:v>
      </x:c>
      <x:c r="H90" s="62" t="str">
        <x:v>争用后带宽项 ms</x:v>
      </x:c>
      <x:c r="I90" s="62" t="str">
        <x:v>通信增量 ms</x:v>
      </x:c>
      <x:c r="J90" s="62" t="str">
        <x:v>暴露系数</x:v>
      </x:c>
      <x:c r="K90" s="62" t="str">
        <x:v>forward 增量 ms</x:v>
      </x:c>
      <x:c r="L90" s="62" t="str">
        <x:v>公式口径</x:v>
      </x:c>
    </x:row>
    <x:row r="91" ht="15" customHeight="1">
      <x:c r="A91" s="30" t="str">
        <x:v>Embedding TP</x:v>
      </x:c>
      <x:c r="B91" s="30" t="str">
        <x:v>Embedding</x:v>
      </x:c>
      <x:c r="C91" s="30" t="str">
        <x:v>标准 TP 输出</x:v>
      </x:c>
      <x:c r="D91" s="34" t="n">
        <x:f>(K53*2^20)/1e9</x:f>
        <x:v>0.176160768</x:v>
      </x:c>
      <x:c r="E91" s="64" t="n">
        <x:f>$H$85</x:f>
        <x:v>100</x:v>
      </x:c>
      <x:c r="F91" s="59" t="n">
        <x:v>1</x:v>
      </x:c>
      <x:c r="G91" s="34" t="n">
        <x:f>IF(AND(ISNUMBER(E91),E91&gt;0,ISNUMBER($B$85),$B$85&gt;=0,$B$85&lt;1,ISNUMBER($D$85),$D$85&gt;=0,$D$85&lt;=1,ISNUMBER(F91),F91&gt;=0,F91&lt;=1,ISNUMBER(J91),J91&gt;=0,J91&lt;=1),D91/E91*1000,NA())</x:f>
        <x:v>1.76160768</x:v>
      </x:c>
      <x:c r="H91" s="34" t="n">
        <x:f>G91+I91</x:f>
        <x:v>1.9573418666666667</x:v>
      </x:c>
      <x:c r="I91" s="34" t="n">
        <x:f>G91*F91*$D$85*$B$85/(1-$B$85)</x:f>
        <x:v>0.1957341866666667</x:v>
      </x:c>
      <x:c r="J91" s="59" t="n">
        <x:v>1</x:v>
      </x:c>
      <x:c r="K91" s="34" t="n">
        <x:f>I91*J91</x:f>
        <x:v>0.1957341866666667</x:v>
      </x:c>
      <x:c r="L91" s="30" t="str">
        <x:v>原通信行 53</x:v>
      </x:c>
    </x:row>
    <x:row r="92" ht="15" customHeight="1">
      <x:c r="A92" s="30" t="str">
        <x:v>Embedding TP</x:v>
      </x:c>
      <x:c r="B92" s="30" t="str">
        <x:v>Embedding</x:v>
      </x:c>
      <x:c r="C92" s="30" t="str">
        <x:v>Fine TP Token ID</x:v>
      </x:c>
      <x:c r="D92" s="34" t="n">
        <x:f>(K54*2^20)/1e9</x:f>
        <x:v>0</x:v>
      </x:c>
      <x:c r="E92" s="64" t="n">
        <x:f>$H$85</x:f>
        <x:v>100</x:v>
      </x:c>
      <x:c r="F92" s="59" t="n">
        <x:v>1</x:v>
      </x:c>
      <x:c r="G92" s="34" t="n">
        <x:f>IF(AND(ISNUMBER(E92),E92&gt;0,ISNUMBER($B$85),$B$85&gt;=0,$B$85&lt;1,ISNUMBER($D$85),$D$85&gt;=0,$D$85&lt;=1,ISNUMBER(F92),F92&gt;=0,F92&lt;=1,ISNUMBER(J92),J92&gt;=0,J92&lt;=1),D92/E92*1000,NA())</x:f>
        <x:v>0</x:v>
      </x:c>
      <x:c r="H92" s="34" t="n">
        <x:f>G92+I92</x:f>
        <x:v>0</x:v>
      </x:c>
      <x:c r="I92" s="34" t="n">
        <x:f>G92*F92*$D$85*$B$85/(1-$B$85)</x:f>
        <x:v>0</x:v>
      </x:c>
      <x:c r="J92" s="59" t="n">
        <x:v>1</x:v>
      </x:c>
      <x:c r="K92" s="34" t="n">
        <x:f>I92*J92</x:f>
        <x:v>0</x:v>
      </x:c>
      <x:c r="L92" s="30" t="str">
        <x:v>原通信行 54</x:v>
      </x:c>
    </x:row>
    <x:row r="93" ht="15" customHeight="1">
      <x:c r="A93" s="30" t="str">
        <x:v>Embedding TP</x:v>
      </x:c>
      <x:c r="B93" s="30" t="str">
        <x:v>Embedding</x:v>
      </x:c>
      <x:c r="C93" s="30" t="str">
        <x:v>Fine TP Hidden</x:v>
      </x:c>
      <x:c r="D93" s="34" t="n">
        <x:f>(K55*2^20)/1e9</x:f>
        <x:v>0</x:v>
      </x:c>
      <x:c r="E93" s="64" t="n">
        <x:f>$H$85</x:f>
        <x:v>100</x:v>
      </x:c>
      <x:c r="F93" s="59" t="n">
        <x:v>1</x:v>
      </x:c>
      <x:c r="G93" s="34" t="n">
        <x:f>IF(AND(ISNUMBER(E93),E93&gt;0,ISNUMBER($B$85),$B$85&gt;=0,$B$85&lt;1,ISNUMBER($D$85),$D$85&gt;=0,$D$85&lt;=1,ISNUMBER(F93),F93&gt;=0,F93&lt;=1,ISNUMBER(J93),J93&gt;=0,J93&lt;=1),D93/E93*1000,NA())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G93*F93*$D$85*$B$85/(1-$B$85)</x:f>
        <x:v>0</x:v>
      </x:c>
      <x:c r="J93" s="59" t="n">
        <x:v>1</x:v>
      </x:c>
      <x:c r="K93" s="34" t="n">
        <x:f>I93*J93</x:f>
        <x:v>0</x:v>
      </x:c>
      <x:c r="L93" s="30" t="str">
        <x:v>原通信行 55</x:v>
      </x:c>
    </x:row>
    <x:row r="94" ht="15" customHeight="1">
      <x:c r="A94" s="30" t="str">
        <x:v>DSA CP</x:v>
      </x:c>
      <x:c r="B94" s="30" t="str">
        <x:v>Sparse Attention</x:v>
      </x:c>
      <x:c r="C94" s="30" t="str">
        <x:v>Q/KV 投影输入</x:v>
      </x:c>
      <x:c r="D94" s="34" t="n">
        <x:f>(K56*2^20)/1e9</x:f>
        <x:v>6.958350336</x:v>
      </x:c>
      <x:c r="E94" s="64" t="n">
        <x:f>$H$85</x:f>
        <x:v>100</x:v>
      </x:c>
      <x:c r="F94" s="59" t="n">
        <x:v>1</x:v>
      </x:c>
      <x:c r="G94" s="34" t="n">
        <x:f>IF(AND(ISNUMBER(E94),E94&gt;0,ISNUMBER($B$85),$B$85&gt;=0,$B$85&lt;1,ISNUMBER($D$85),$D$85&gt;=0,$D$85&lt;=1,ISNUMBER(F94),F94&gt;=0,F94&lt;=1,ISNUMBER(J94),J94&gt;=0,J94&lt;=1),D94/E94*1000,NA())</x:f>
        <x:v>69.58350336</x:v>
      </x:c>
      <x:c r="H94" s="34" t="n">
        <x:f>G94+I94</x:f>
        <x:v>77.31500373333333</x:v>
      </x:c>
      <x:c r="I94" s="34" t="n">
        <x:f>G94*F94*$D$85*$B$85/(1-$B$85)</x:f>
        <x:v>7.731500373333333</x:v>
      </x:c>
      <x:c r="J94" s="59" t="n">
        <x:v>1</x:v>
      </x:c>
      <x:c r="K94" s="34" t="n">
        <x:f>I94*J94</x:f>
        <x:v>7.731500373333333</x:v>
      </x:c>
      <x:c r="L94" s="30" t="str">
        <x:v>原通信行 56</x:v>
      </x:c>
    </x:row>
    <x:row r="95" ht="15" customHeight="1">
      <x:c r="A95" s="30" t="str">
        <x:v>DSA CP</x:v>
      </x:c>
      <x:c r="B95" s="30" t="str">
        <x:v>Sparse Attention</x:v>
      </x:c>
      <x:c r="C95" s="30" t="str">
        <x:v>恢复 TP Head Layout</x:v>
      </x:c>
      <x:c r="D95" s="34" t="n">
        <x:f>(K57*2^20)/1e9</x:f>
        <x:v>2.319450112</x:v>
      </x:c>
      <x:c r="E95" s="64" t="n">
        <x:f>$H$85</x:f>
        <x:v>100</x:v>
      </x:c>
      <x:c r="F95" s="59" t="n">
        <x:v>1</x:v>
      </x:c>
      <x:c r="G95" s="34" t="n">
        <x:f>IF(AND(ISNUMBER(E95),E95&gt;0,ISNUMBER($B$85),$B$85&gt;=0,$B$85&lt;1,ISNUMBER($D$85),$D$85&gt;=0,$D$85&lt;=1,ISNUMBER(F95),F95&gt;=0,F95&lt;=1,ISNUMBER(J95),J95&gt;=0,J95&lt;=1),D95/E95*1000,NA())</x:f>
        <x:v>23.19450112</x:v>
      </x:c>
      <x:c r="H95" s="34" t="n">
        <x:f>G95+I95</x:f>
        <x:v>25.771667911111113</x:v>
      </x:c>
      <x:c r="I95" s="34" t="n">
        <x:f>G95*F95*$D$85*$B$85/(1-$B$85)</x:f>
        <x:v>2.5771667911111114</x:v>
      </x:c>
      <x:c r="J95" s="59" t="n">
        <x:v>1</x:v>
      </x:c>
      <x:c r="K95" s="34" t="n">
        <x:f>I95*J95</x:f>
        <x:v>2.5771667911111114</x:v>
      </x:c>
      <x:c r="L95" s="30" t="str">
        <x:v>原通信行 57</x:v>
      </x:c>
    </x:row>
    <x:row r="96" ht="15" customHeight="1">
      <x:c r="A96" s="30" t="str">
        <x:v>DSA CP</x:v>
      </x:c>
      <x:c r="B96" s="30" t="str">
        <x:v>Indexer</x:v>
      </x:c>
      <x:c r="C96" s="30" t="str">
        <x:v>Top-k Index</x:v>
      </x:c>
      <x:c r="D96" s="34" t="n">
        <x:f>(K58*2^20)/1e9</x:f>
        <x:v>1.291845632</x:v>
      </x:c>
      <x:c r="E96" s="64" t="n">
        <x:f>$H$85</x:f>
        <x:v>100</x:v>
      </x:c>
      <x:c r="F96" s="59" t="n">
        <x:v>1</x:v>
      </x:c>
      <x:c r="G96" s="34" t="n">
        <x:f>IF(AND(ISNUMBER(E96),E96&gt;0,ISNUMBER($B$85),$B$85&gt;=0,$B$85&lt;1,ISNUMBER($D$85),$D$85&gt;=0,$D$85&lt;=1,ISNUMBER(F96),F96&gt;=0,F96&lt;=1,ISNUMBER(J96),J96&gt;=0,J96&lt;=1),D96/E96*1000,NA())</x:f>
        <x:v>12.91845632</x:v>
      </x:c>
      <x:c r="H96" s="34" t="n">
        <x:f>G96+I96</x:f>
        <x:v>14.353840355555556</x:v>
      </x:c>
      <x:c r="I96" s="34" t="n">
        <x:f>G96*F96*$D$85*$B$85/(1-$B$85)</x:f>
        <x:v>1.4353840355555558</x:v>
      </x:c>
      <x:c r="J96" s="59" t="n">
        <x:v>1</x:v>
      </x:c>
      <x:c r="K96" s="34" t="n">
        <x:f>I96*J96</x:f>
        <x:v>1.4353840355555558</x:v>
      </x:c>
      <x:c r="L96" s="30" t="str">
        <x:v>原通信行 58</x:v>
      </x:c>
    </x:row>
    <x:row r="97" ht="15" customHeight="1">
      <x:c r="A97" s="30" t="str">
        <x:v>O Proj TP</x:v>
      </x:c>
      <x:c r="B97" s="30" t="str">
        <x:v>Sparse Attention</x:v>
      </x:c>
      <x:c r="C97" s="30" t="str">
        <x:v>DSA CP 关闭</x:v>
      </x:c>
      <x:c r="D97" s="34" t="n">
        <x:f>(K59*2^20)/1e9</x:f>
        <x:v>0</x:v>
      </x:c>
      <x:c r="E97" s="64" t="n">
        <x:f>$H$85</x:f>
        <x:v>100</x:v>
      </x:c>
      <x:c r="F97" s="59" t="n">
        <x:v>1</x:v>
      </x:c>
      <x:c r="G97" s="34" t="n">
        <x:f>IF(AND(ISNUMBER(E97),E97&gt;0,ISNUMBER($B$85),$B$85&gt;=0,$B$85&lt;1,ISNUMBER($D$85),$D$85&gt;=0,$D$85&lt;=1,ISNUMBER(F97),F97&gt;=0,F97&lt;=1,ISNUMBER(J97),J97&gt;=0,J97&lt;=1),D97/E97*1000,NA())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G97*F97*$D$85*$B$85/(1-$B$85)</x:f>
        <x:v>0</x:v>
      </x:c>
      <x:c r="J97" s="59" t="n">
        <x:v>1</x:v>
      </x:c>
      <x:c r="K97" s="34" t="n">
        <x:f>I97*J97</x:f>
        <x:v>0</x:v>
      </x:c>
      <x:c r="L97" s="30" t="str">
        <x:v>原通信行 59</x:v>
      </x:c>
    </x:row>
    <x:row r="98" ht="15" customHeight="1">
      <x:c r="A98" s="30" t="str">
        <x:v>SP</x:v>
      </x:c>
      <x:c r="B98" s="30" t="str">
        <x:v>Dense MLP</x:v>
      </x:c>
      <x:c r="C98" s="30" t="str">
        <x:v>Down Proj 输出</x:v>
      </x:c>
      <x:c r="D98" s="34" t="n">
        <x:f>(K60*2^20)/1e9</x:f>
        <x:v>0.066060288</x:v>
      </x:c>
      <x:c r="E98" s="64" t="n">
        <x:f>$H$85</x:f>
        <x:v>100</x:v>
      </x:c>
      <x:c r="F98" s="59" t="n">
        <x:v>1</x:v>
      </x:c>
      <x:c r="G98" s="34" t="n">
        <x:f>IF(AND(ISNUMBER(E98),E98&gt;0,ISNUMBER($B$85),$B$85&gt;=0,$B$85&lt;1,ISNUMBER($D$85),$D$85&gt;=0,$D$85&lt;=1,ISNUMBER(F98),F98&gt;=0,F98&lt;=1,ISNUMBER(J98),J98&gt;=0,J98&lt;=1),D98/E98*1000,NA())</x:f>
        <x:v>0.66060288</x:v>
      </x:c>
      <x:c r="H98" s="34" t="n">
        <x:f>G98+I98</x:f>
        <x:v>0.7340032</x:v>
      </x:c>
      <x:c r="I98" s="34" t="n">
        <x:f>G98*F98*$D$85*$B$85/(1-$B$85)</x:f>
        <x:v>0.07340032</x:v>
      </x:c>
      <x:c r="J98" s="59" t="n">
        <x:v>1</x:v>
      </x:c>
      <x:c r="K98" s="34" t="n">
        <x:f>I98*J98</x:f>
        <x:v>0.07340032</x:v>
      </x:c>
      <x:c r="L98" s="30" t="str">
        <x:v>原通信行 60</x:v>
      </x:c>
    </x:row>
    <x:row r="99" ht="15" customHeight="1">
      <x:c r="A99" s="30" t="str">
        <x:v>EP</x:v>
      </x:c>
      <x:c r="B99" s="30" t="str">
        <x:v>Routed Experts</x:v>
      </x:c>
      <x:c r="C99" s="30" t="str">
        <x:v>Dispatch Hidden</x:v>
      </x:c>
      <x:c r="D99" s="34" t="n">
        <x:f>(K61*2^20)/1e9</x:f>
        <x:v>6.694109184</x:v>
      </x:c>
      <x:c r="E99" s="64" t="n">
        <x:f>$H$85</x:f>
        <x:v>100</x:v>
      </x:c>
      <x:c r="F99" s="59" t="n">
        <x:v>1</x:v>
      </x:c>
      <x:c r="G99" s="34" t="n">
        <x:f>IF(AND(ISNUMBER(E99),E99&gt;0,ISNUMBER($B$85),$B$85&gt;=0,$B$85&lt;1,ISNUMBER($D$85),$D$85&gt;=0,$D$85&lt;=1,ISNUMBER(F99),F99&gt;=0,F99&lt;=1,ISNUMBER(J99),J99&gt;=0,J99&lt;=1),D99/E99*1000,NA())</x:f>
        <x:v>66.94109184000001</x:v>
      </x:c>
      <x:c r="H99" s="34" t="n">
        <x:f>G99+I99</x:f>
        <x:v>74.37899093333334</x:v>
      </x:c>
      <x:c r="I99" s="34" t="n">
        <x:f>G99*F99*$D$85*$B$85/(1-$B$85)</x:f>
        <x:v>7.4378990933333355</x:v>
      </x:c>
      <x:c r="J99" s="59" t="n">
        <x:v>1</x:v>
      </x:c>
      <x:c r="K99" s="34" t="n">
        <x:f>I99*J99</x:f>
        <x:v>7.4378990933333355</x:v>
      </x:c>
      <x:c r="L99" s="30" t="str">
        <x:v>原通信行 61</x:v>
      </x:c>
    </x:row>
    <x:row r="100" ht="15" customHeight="1">
      <x:c r="A100" s="30" t="str">
        <x:v>EP</x:v>
      </x:c>
      <x:c r="B100" s="30" t="str">
        <x:v>Routed Experts</x:v>
      </x:c>
      <x:c r="C100" s="30" t="str">
        <x:v>Combine Hidden</x:v>
      </x:c>
      <x:c r="D100" s="34" t="n">
        <x:f>(K62*2^20)/1e9</x:f>
        <x:v>6.694109184</x:v>
      </x:c>
      <x:c r="E100" s="64" t="n">
        <x:f>$H$85</x:f>
        <x:v>100</x:v>
      </x:c>
      <x:c r="F100" s="59" t="n">
        <x:v>1</x:v>
      </x:c>
      <x:c r="G100" s="34" t="n">
        <x:f>IF(AND(ISNUMBER(E100),E100&gt;0,ISNUMBER($B$85),$B$85&gt;=0,$B$85&lt;1,ISNUMBER($D$85),$D$85&gt;=0,$D$85&lt;=1,ISNUMBER(F100),F100&gt;=0,F100&lt;=1,ISNUMBER(J100),J100&gt;=0,J100&lt;=1),D100/E100*1000,NA())</x:f>
        <x:v>66.94109184000001</x:v>
      </x:c>
      <x:c r="H100" s="34" t="n">
        <x:f>G100+I100</x:f>
        <x:v>74.37899093333334</x:v>
      </x:c>
      <x:c r="I100" s="34" t="n">
        <x:f>G100*F100*$D$85*$B$85/(1-$B$85)</x:f>
        <x:v>7.4378990933333355</x:v>
      </x:c>
      <x:c r="J100" s="59" t="n">
        <x:v>1</x:v>
      </x:c>
      <x:c r="K100" s="34" t="n">
        <x:f>I100*J100</x:f>
        <x:v>7.4378990933333355</x:v>
      </x:c>
      <x:c r="L100" s="30" t="str">
        <x:v>原通信行 62</x:v>
      </x:c>
    </x:row>
    <x:row r="101" ht="15" customHeight="1">
      <x:c r="A101" s="30" t="str">
        <x:v>DP</x:v>
      </x:c>
      <x:c r="B101" s="30" t="str">
        <x:v>MoE</x:v>
      </x:c>
      <x:c r="C101" s="30" t="str">
        <x:v>Hidden 输入</x:v>
      </x:c>
      <x:c r="D101" s="34" t="n">
        <x:f>(K63*2^20)/1e9</x:f>
        <x:v>0</x:v>
      </x:c>
      <x:c r="E101" s="64" t="n">
        <x:f>$H$85</x:f>
        <x:v>100</x:v>
      </x:c>
      <x:c r="F101" s="59" t="n">
        <x:v>1</x:v>
      </x:c>
      <x:c r="G101" s="34" t="n">
        <x:f>IF(AND(ISNUMBER(E101),E101&gt;0,ISNUMBER($B$85),$B$85&gt;=0,$B$85&lt;1,ISNUMBER($D$85),$D$85&gt;=0,$D$85&lt;=1,ISNUMBER(F101),F101&gt;=0,F101&lt;=1,ISNUMBER(J101),J101&gt;=0,J101&lt;=1),D101/E101*1000,NA())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G101*F101*$D$85*$B$85/(1-$B$85)</x:f>
        <x:v>0</x:v>
      </x:c>
      <x:c r="J101" s="59" t="n">
        <x:v>1</x:v>
      </x:c>
      <x:c r="K101" s="34" t="n">
        <x:f>I101*J101</x:f>
        <x:v>0</x:v>
      </x:c>
      <x:c r="L101" s="30" t="str">
        <x:v>原通信行 63</x:v>
      </x:c>
    </x:row>
    <x:row r="102" ht="15" customHeight="1">
      <x:c r="A102" s="30" t="str">
        <x:v>DP</x:v>
      </x:c>
      <x:c r="B102" s="30" t="str">
        <x:v>MoE Router</x:v>
      </x:c>
      <x:c r="C102" s="30" t="str">
        <x:v>Router Logits</x:v>
      </x:c>
      <x:c r="D102" s="34" t="n">
        <x:f>(K64*2^20)/1e9</x:f>
        <x:v>0</x:v>
      </x:c>
      <x:c r="E102" s="64" t="n">
        <x:f>$H$85</x:f>
        <x:v>100</x:v>
      </x:c>
      <x:c r="F102" s="59" t="n">
        <x:v>1</x:v>
      </x:c>
      <x:c r="G102" s="34" t="n">
        <x:f>IF(AND(ISNUMBER(E102),E102&gt;0,ISNUMBER($B$85),$B$85&gt;=0,$B$85&lt;1,ISNUMBER($D$85),$D$85&gt;=0,$D$85&lt;=1,ISNUMBER(F102),F102&gt;=0,F102&lt;=1,ISNUMBER(J102),J102&gt;=0,J102&lt;=1),D102/E102*1000,NA())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G102*F102*$D$85*$B$85/(1-$B$85)</x:f>
        <x:v>0</x:v>
      </x:c>
      <x:c r="J102" s="59" t="n">
        <x:v>1</x:v>
      </x:c>
      <x:c r="K102" s="34" t="n">
        <x:f>I102*J102</x:f>
        <x:v>0</x:v>
      </x:c>
      <x:c r="L102" s="30" t="str">
        <x:v>原通信行 64</x:v>
      </x:c>
    </x:row>
    <x:row r="103" ht="15" customHeight="1">
      <x:c r="A103" s="30" t="str">
        <x:v>DP</x:v>
      </x:c>
      <x:c r="B103" s="30" t="str">
        <x:v>MoE</x:v>
      </x:c>
      <x:c r="C103" s="30" t="str">
        <x:v>Routed Expert 输出</x:v>
      </x:c>
      <x:c r="D103" s="34" t="n">
        <x:f>(K65*2^20)/1e9</x:f>
        <x:v>0</x:v>
      </x:c>
      <x:c r="E103" s="64" t="n">
        <x:f>$H$85</x:f>
        <x:v>100</x:v>
      </x:c>
      <x:c r="F103" s="59" t="n">
        <x:v>1</x:v>
      </x:c>
      <x:c r="G103" s="34" t="n">
        <x:f>IF(AND(ISNUMBER(E103),E103&gt;0,ISNUMBER($B$85),$B$85&gt;=0,$B$85&lt;1,ISNUMBER($D$85),$D$85&gt;=0,$D$85&lt;=1,ISNUMBER(F103),F103&gt;=0,F103&lt;=1,ISNUMBER(J103),J103&gt;=0,J103&lt;=1),D103/E103*1000,NA())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G103*F103*$D$85*$B$85/(1-$B$85)</x:f>
        <x:v>0</x:v>
      </x:c>
      <x:c r="J103" s="59" t="n">
        <x:v>1</x:v>
      </x:c>
      <x:c r="K103" s="34" t="n">
        <x:f>I103*J103</x:f>
        <x:v>0</x:v>
      </x:c>
      <x:c r="L103" s="30" t="str">
        <x:v>原通信行 65</x:v>
      </x:c>
    </x:row>
    <x:row r="104" ht="15" customHeight="1">
      <x:c r="A104" s="30" t="str">
        <x:v>共享专家 TP</x:v>
      </x:c>
      <x:c r="B104" s="30" t="str">
        <x:v>Shared Experts</x:v>
      </x:c>
      <x:c r="C104" s="30" t="str">
        <x:v>SP 输入</x:v>
      </x:c>
      <x:c r="D104" s="34" t="n">
        <x:f>(K66*2^20)/1e9</x:f>
        <x:v>6.694109184</x:v>
      </x:c>
      <x:c r="E104" s="64" t="n">
        <x:f>$H$85</x:f>
        <x:v>100</x:v>
      </x:c>
      <x:c r="F104" s="59" t="n">
        <x:v>1</x:v>
      </x:c>
      <x:c r="G104" s="34" t="n">
        <x:f>IF(AND(ISNUMBER(E104),E104&gt;0,ISNUMBER($B$85),$B$85&gt;=0,$B$85&lt;1,ISNUMBER($D$85),$D$85&gt;=0,$D$85&lt;=1,ISNUMBER(F104),F104&gt;=0,F104&lt;=1,ISNUMBER(J104),J104&gt;=0,J104&lt;=1),D104/E104*1000,NA())</x:f>
        <x:v>66.94109184000001</x:v>
      </x:c>
      <x:c r="H104" s="34" t="n">
        <x:f>G104+I104</x:f>
        <x:v>74.37899093333334</x:v>
      </x:c>
      <x:c r="I104" s="34" t="n">
        <x:f>G104*F104*$D$85*$B$85/(1-$B$85)</x:f>
        <x:v>7.4378990933333355</x:v>
      </x:c>
      <x:c r="J104" s="59" t="n">
        <x:v>1</x:v>
      </x:c>
      <x:c r="K104" s="34" t="n">
        <x:f>I104*J104</x:f>
        <x:v>7.4378990933333355</x:v>
      </x:c>
      <x:c r="L104" s="30" t="str">
        <x:v>原通信行 66</x:v>
      </x:c>
    </x:row>
    <x:row r="105" ht="15" customHeight="1">
      <x:c r="A105" s="30" t="str">
        <x:v>共享专家 TP</x:v>
      </x:c>
      <x:c r="B105" s="30" t="str">
        <x:v>Shared Experts</x:v>
      </x:c>
      <x:c r="C105" s="30" t="str">
        <x:v>SP 输出</x:v>
      </x:c>
      <x:c r="D105" s="34" t="n">
        <x:f>(K67*2^20)/1e9</x:f>
        <x:v>6.694109184</x:v>
      </x:c>
      <x:c r="E105" s="64" t="n">
        <x:f>$H$85</x:f>
        <x:v>100</x:v>
      </x:c>
      <x:c r="F105" s="59" t="n">
        <x:v>1</x:v>
      </x:c>
      <x:c r="G105" s="34" t="n">
        <x:f>IF(AND(ISNUMBER(E105),E105&gt;0,ISNUMBER($B$85),$B$85&gt;=0,$B$85&lt;1,ISNUMBER($D$85),$D$85&gt;=0,$D$85&lt;=1,ISNUMBER(F105),F105&gt;=0,F105&lt;=1,ISNUMBER(J105),J105&gt;=0,J105&lt;=1),D105/E105*1000,NA())</x:f>
        <x:v>66.94109184000001</x:v>
      </x:c>
      <x:c r="H105" s="34" t="n">
        <x:f>G105+I105</x:f>
        <x:v>74.37899093333334</x:v>
      </x:c>
      <x:c r="I105" s="34" t="n">
        <x:f>G105*F105*$D$85*$B$85/(1-$B$85)</x:f>
        <x:v>7.4378990933333355</x:v>
      </x:c>
      <x:c r="J105" s="59" t="n">
        <x:v>1</x:v>
      </x:c>
      <x:c r="K105" s="34" t="n">
        <x:f>I105*J105</x:f>
        <x:v>7.4378990933333355</x:v>
      </x:c>
      <x:c r="L105" s="30" t="str">
        <x:v>原通信行 67</x:v>
      </x:c>
    </x:row>
    <x:row r="106" ht="15" customHeight="1">
      <x:c r="A106" s="30" t="str">
        <x:v>共享专家 TP</x:v>
      </x:c>
      <x:c r="B106" s="30" t="str">
        <x:v>Shared Experts</x:v>
      </x:c>
      <x:c r="C106" s="30" t="str">
        <x:v>非 SP 输出</x:v>
      </x:c>
      <x:c r="D106" s="34" t="n">
        <x:f>(K68*2^20)/1e9</x:f>
        <x:v>0</x:v>
      </x:c>
      <x:c r="E106" s="64" t="n">
        <x:f>$H$85</x:f>
        <x:v>100</x:v>
      </x:c>
      <x:c r="F106" s="59" t="n">
        <x:v>1</x:v>
      </x:c>
      <x:c r="G106" s="34" t="n">
        <x:f>IF(AND(ISNUMBER(E106),E106&gt;0,ISNUMBER($B$85),$B$85&gt;=0,$B$85&lt;1,ISNUMBER($D$85),$D$85&gt;=0,$D$85&lt;=1,ISNUMBER(F106),F106&gt;=0,F106&lt;=1,ISNUMBER(J106),J106&gt;=0,J106&lt;=1),D106/E106*1000,NA())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G106*F106*$D$85*$B$85/(1-$B$85)</x:f>
        <x:v>0</x:v>
      </x:c>
      <x:c r="J106" s="59" t="n">
        <x:v>1</x:v>
      </x:c>
      <x:c r="K106" s="34" t="n">
        <x:f>I106*J106</x:f>
        <x:v>0</x:v>
      </x:c>
      <x:c r="L106" s="30" t="str">
        <x:v>原通信行 68</x:v>
      </x:c>
    </x:row>
    <x:row r="107" ht="15" customHeight="1">
      <x:c r="A107" s="30" t="str">
        <x:v>PCP</x:v>
      </x:c>
      <x:c r="B107" s="30" t="str">
        <x:v>MoE</x:v>
      </x:c>
      <x:c r="C107" s="30" t="str">
        <x:v>Hidden 输入</x:v>
      </x:c>
      <x:c r="D107" s="34" t="n">
        <x:f>(K69*2^20)/1e9</x:f>
        <x:v>0</x:v>
      </x:c>
      <x:c r="E107" s="64" t="n">
        <x:f>$H$85</x:f>
        <x:v>100</x:v>
      </x:c>
      <x:c r="F107" s="59" t="n">
        <x:v>1</x:v>
      </x:c>
      <x:c r="G107" s="34" t="n">
        <x:f>IF(AND(ISNUMBER(E107),E107&gt;0,ISNUMBER($B$85),$B$85&gt;=0,$B$85&lt;1,ISNUMBER($D$85),$D$85&gt;=0,$D$85&lt;=1,ISNUMBER(F107),F107&gt;=0,F107&lt;=1,ISNUMBER(J107),J107&gt;=0,J107&lt;=1),D107/E107*1000,NA())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G107*F107*$D$85*$B$85/(1-$B$85)</x:f>
        <x:v>0</x:v>
      </x:c>
      <x:c r="J107" s="59" t="n">
        <x:v>1</x:v>
      </x:c>
      <x:c r="K107" s="34" t="n">
        <x:f>I107*J107</x:f>
        <x:v>0</x:v>
      </x:c>
      <x:c r="L107" s="30" t="str">
        <x:v>原通信行 69</x:v>
      </x:c>
    </x:row>
    <x:row r="108" ht="15" customHeight="1">
      <x:c r="A108" s="30" t="str">
        <x:v>PCP</x:v>
      </x:c>
      <x:c r="B108" s="30" t="str">
        <x:v>MoE Router</x:v>
      </x:c>
      <x:c r="C108" s="30" t="str">
        <x:v>Router Logits</x:v>
      </x:c>
      <x:c r="D108" s="34" t="n">
        <x:f>(K70*2^20)/1e9</x:f>
        <x:v>0</x:v>
      </x:c>
      <x:c r="E108" s="64" t="n">
        <x:f>$H$85</x:f>
        <x:v>100</x:v>
      </x:c>
      <x:c r="F108" s="59" t="n">
        <x:v>1</x:v>
      </x:c>
      <x:c r="G108" s="34" t="n">
        <x:f>IF(AND(ISNUMBER(E108),E108&gt;0,ISNUMBER($B$85),$B$85&gt;=0,$B$85&lt;1,ISNUMBER($D$85),$D$85&gt;=0,$D$85&lt;=1,ISNUMBER(F108),F108&gt;=0,F108&lt;=1,ISNUMBER(J108),J108&gt;=0,J108&lt;=1),D108/E108*1000,NA())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G108*F108*$D$85*$B$85/(1-$B$85)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PCP</x:v>
      </x:c>
      <x:c r="B109" s="30" t="str">
        <x:v>MoE</x:v>
      </x:c>
      <x:c r="C109" s="30" t="str">
        <x:v>Routed Expert 输出</x:v>
      </x:c>
      <x:c r="D109" s="34" t="n">
        <x:f>(K71*2^20)/1e9</x:f>
        <x:v>0</x:v>
      </x:c>
      <x:c r="E109" s="64" t="n">
        <x:f>$H$85</x:f>
        <x:v>100</x:v>
      </x:c>
      <x:c r="F109" s="59" t="n">
        <x:v>1</x:v>
      </x:c>
      <x:c r="G109" s="34" t="n">
        <x:f>IF(AND(ISNUMBER(E109),E109&gt;0,ISNUMBER($B$85),$B$85&gt;=0,$B$85&lt;1,ISNUMBER($D$85),$D$85&gt;=0,$D$85&lt;=1,ISNUMBER(F109),F109&gt;=0,F109&lt;=1,ISNUMBER(J109),J109&gt;=0,J109&lt;=1),D109/E109*1000,NA())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G109*F109*$D$85*$B$85/(1-$B$85)</x:f>
        <x:v>0</x:v>
      </x:c>
      <x:c r="J109" s="59" t="n">
        <x:v>1</x:v>
      </x:c>
      <x:c r="K109" s="34" t="n">
        <x:f>I109*J109</x:f>
        <x:v>0</x:v>
      </x:c>
      <x:c r="L109" s="30" t="str">
        <x:v>原通信行 71</x:v>
      </x:c>
    </x:row>
    <x:row r="110" ht="15" customHeight="1">
      <x:c r="A110" s="30" t="str">
        <x:v>PCP</x:v>
      </x:c>
      <x:c r="B110" s="30" t="str">
        <x:v>Attention KV</x:v>
      </x:c>
      <x:c r="C110" s="30" t="str">
        <x:v>KV Cache 写入前</x:v>
      </x:c>
      <x:c r="D110" s="34" t="n">
        <x:f>(K72*2^20)/1e9</x:f>
        <x:v>0</x:v>
      </x:c>
      <x:c r="E110" s="64" t="n">
        <x:f>$H$85</x:f>
        <x:v>100</x:v>
      </x:c>
      <x:c r="F110" s="59" t="n">
        <x:v>1</x:v>
      </x:c>
      <x:c r="G110" s="34" t="n">
        <x:f>IF(AND(ISNUMBER(E110),E110&gt;0,ISNUMBER($B$85),$B$85&gt;=0,$B$85&lt;1,ISNUMBER($D$85),$D$85&gt;=0,$D$85&lt;=1,ISNUMBER(F110),F110&gt;=0,F110&lt;=1,ISNUMBER(J110),J110&gt;=0,J110&lt;=1),D110/E110*1000,NA())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G110*F110*$D$85*$B$85/(1-$B$85)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SP</x:v>
      </x:c>
      <x:c r="B111" s="30" t="str">
        <x:v>Model Output</x:v>
      </x:c>
      <x:c r="C111" s="30" t="str">
        <x:v>Final Norm 后</x:v>
      </x:c>
      <x:c r="D111" s="34" t="n">
        <x:f>(K73*2^20)/1e9</x:f>
        <x:v>0.088080384</x:v>
      </x:c>
      <x:c r="E111" s="64" t="n">
        <x:f>$H$85</x:f>
        <x:v>100</x:v>
      </x:c>
      <x:c r="F111" s="59" t="n">
        <x:v>1</x:v>
      </x:c>
      <x:c r="G111" s="34" t="n">
        <x:f>IF(AND(ISNUMBER(E111),E111&gt;0,ISNUMBER($B$85),$B$85&gt;=0,$B$85&lt;1,ISNUMBER($D$85),$D$85&gt;=0,$D$85&lt;=1,ISNUMBER(F111),F111&gt;=0,F111&lt;=1,ISNUMBER(J111),J111&gt;=0,J111&lt;=1),D111/E111*1000,NA())</x:f>
        <x:v>0.88080384</x:v>
      </x:c>
      <x:c r="H111" s="34" t="n">
        <x:f>G111+I111</x:f>
        <x:v>0.9786709333333333</x:v>
      </x:c>
      <x:c r="I111" s="34" t="n">
        <x:f>G111*F111*$D$85*$B$85/(1-$B$85)</x:f>
        <x:v>0.09786709333333335</x:v>
      </x:c>
      <x:c r="J111" s="59" t="n">
        <x:v>1</x:v>
      </x:c>
      <x:c r="K111" s="34" t="n">
        <x:f>I111*J111</x:f>
        <x:v>0.09786709333333335</x:v>
      </x:c>
      <x:c r="L111" s="30" t="str">
        <x:v>原通信行 73</x:v>
      </x:c>
    </x:row>
    <x:row r="112" ht="15" customHeight="1">
      <x:c r="A112" s="30" t="str">
        <x:v>LM Head TP</x:v>
      </x:c>
      <x:c r="B112" s="30" t="str">
        <x:v>LM Head</x:v>
      </x:c>
      <x:c r="C112" s="30" t="str">
        <x:v>完整 Logits</x:v>
      </x:c>
      <x:c r="D112" s="34" t="n">
        <x:f>(K74*2^20)/1e9</x:f>
        <x:v>0</x:v>
      </x:c>
      <x:c r="E112" s="64" t="n">
        <x:f>$H$85</x:f>
        <x:v>100</x:v>
      </x:c>
      <x:c r="F112" s="59" t="n">
        <x:v>1</x:v>
      </x:c>
      <x:c r="G112" s="34" t="n">
        <x:f>IF(AND(ISNUMBER(E112),E112&gt;0,ISNUMBER($B$85),$B$85&gt;=0,$B$85&lt;1,ISNUMBER($D$85),$D$85&gt;=0,$D$85&lt;=1,ISNUMBER(F112),F112&gt;=0,F112&lt;=1,ISNUMBER(J112),J112&gt;=0,J112&lt;=1),D112/E112*1000,NA())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G112*F112*$D$85*$B$85/(1-$B$85)</x:f>
        <x:v>0</x:v>
      </x:c>
      <x:c r="J112" s="59" t="n">
        <x:v>1</x:v>
      </x:c>
      <x:c r="K112" s="34" t="n">
        <x:f>I112*J112</x:f>
        <x:v>0</x:v>
      </x:c>
      <x:c r="L112" s="30" t="str">
        <x:v>原通信行 74</x:v>
      </x:c>
    </x:row>
    <x:row r="113" ht="15" customHeight="1">
      <x:c r="A113" s="30" t="str">
        <x:v>LM Head TP</x:v>
      </x:c>
      <x:c r="B113" s="30" t="str">
        <x:v>LM Head</x:v>
      </x:c>
      <x:c r="C113" s="30" t="str">
        <x:v>Reduce Sample</x:v>
      </x:c>
      <x:c r="D113" s="34" t="n">
        <x:f>(K75*2^20)/1e9</x:f>
        <x:v>0.001376256</x:v>
      </x:c>
      <x:c r="E113" s="64" t="n">
        <x:f>$H$85</x:f>
        <x:v>100</x:v>
      </x:c>
      <x:c r="F113" s="59" t="n">
        <x:v>1</x:v>
      </x:c>
      <x:c r="G113" s="34" t="n">
        <x:f>IF(AND(ISNUMBER(E113),E113&gt;0,ISNUMBER($B$85),$B$85&gt;=0,$B$85&lt;1,ISNUMBER($D$85),$D$85&gt;=0,$D$85&lt;=1,ISNUMBER(F113),F113&gt;=0,F113&lt;=1,ISNUMBER(J113),J113&gt;=0,J113&lt;=1),D113/E113*1000,NA())</x:f>
        <x:v>0.01376256</x:v>
      </x:c>
      <x:c r="H113" s="34" t="n">
        <x:f>G113+I113</x:f>
        <x:v>0.015291733333333333</x:v>
      </x:c>
      <x:c r="I113" s="34" t="n">
        <x:f>G113*F113*$D$85*$B$85/(1-$B$85)</x:f>
        <x:v>0.0015291733333333336</x:v>
      </x:c>
      <x:c r="J113" s="59" t="n">
        <x:v>1</x:v>
      </x:c>
      <x:c r="K113" s="34" t="n">
        <x:f>I113*J113</x:f>
        <x:v>0.0015291733333333336</x:v>
      </x:c>
      <x:c r="L113" s="30" t="str">
        <x:v>原通信行 75</x:v>
      </x:c>
    </x:row>
    <x:row r="114" ht="15" customHeight="1">
      <x:c r="A114" s="30" t="str">
        <x:v>Fine LM Head TP</x:v>
      </x:c>
      <x:c r="B114" s="30" t="str">
        <x:v>LM Head</x:v>
      </x:c>
      <x:c r="C114" s="30" t="str">
        <x:v>Hidden 输入</x:v>
      </x:c>
      <x:c r="D114" s="34" t="n">
        <x:f>(K76*2^20)/1e9</x:f>
        <x:v>0</x:v>
      </x:c>
      <x:c r="E114" s="64" t="n">
        <x:f>$H$85</x:f>
        <x:v>100</x:v>
      </x:c>
      <x:c r="F114" s="59" t="n">
        <x:v>1</x:v>
      </x:c>
      <x:c r="G114" s="34" t="n">
        <x:f>IF(AND(ISNUMBER(E114),E114&gt;0,ISNUMBER($B$85),$B$85&gt;=0,$B$85&lt;1,ISNUMBER($D$85),$D$85&gt;=0,$D$85&lt;=1,ISNUMBER(F114),F114&gt;=0,F114&lt;=1,ISNUMBER(J114),J114&gt;=0,J114&lt;=1),D114/E114*1000,NA())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G114*F114*$D$85*$B$85/(1-$B$85)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Fine LM Head TP</x:v>
      </x:c>
      <x:c r="B115" s="30" t="str">
        <x:v>LM Head</x:v>
      </x:c>
      <x:c r="C115" s="30" t="str">
        <x:v>完整 Logits</x:v>
      </x:c>
      <x:c r="D115" s="34" t="n">
        <x:f>(K77*2^20)/1e9</x:f>
        <x:v>0</x:v>
      </x:c>
      <x:c r="E115" s="64" t="n">
        <x:f>$H$85</x:f>
        <x:v>100</x:v>
      </x:c>
      <x:c r="F115" s="59" t="n">
        <x:v>1</x:v>
      </x:c>
      <x:c r="G115" s="34" t="n">
        <x:f>IF(AND(ISNUMBER(E115),E115&gt;0,ISNUMBER($B$85),$B$85&gt;=0,$B$85&lt;1,ISNUMBER($D$85),$D$85&gt;=0,$D$85&lt;=1,ISNUMBER(F115),F115&gt;=0,F115&lt;=1,ISNUMBER(J115),J115&gt;=0,J115&lt;=1),D115/E115*1000,NA())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G115*F115*$D$85*$B$85/(1-$B$85)</x:f>
        <x:v>0</x:v>
      </x:c>
      <x:c r="J115" s="59" t="n">
        <x:v>1</x:v>
      </x:c>
      <x:c r="K115" s="34" t="n">
        <x:f>I115*J115</x:f>
        <x:v>0</x:v>
      </x:c>
      <x:c r="L115" s="30" t="str">
        <x:v>原通信行 77</x:v>
      </x:c>
    </x:row>
    <x:row r="116" ht="15" customHeight="1">
      <x:c r="A116" s="30" t="str">
        <x:v>Fine LM Head TP</x:v>
      </x:c>
      <x:c r="B116" s="30" t="str">
        <x:v>LM Head</x:v>
      </x:c>
      <x:c r="C116" s="30" t="str">
        <x:v>Reduce Sample</x:v>
      </x:c>
      <x:c r="D116" s="34" t="n">
        <x:f>(K78*2^20)/1e9</x:f>
        <x:v>0</x:v>
      </x:c>
      <x:c r="E116" s="64" t="n">
        <x:f>$H$85</x:f>
        <x:v>100</x:v>
      </x:c>
      <x:c r="F116" s="59" t="n">
        <x:v>1</x:v>
      </x:c>
      <x:c r="G116" s="34" t="n">
        <x:f>IF(AND(ISNUMBER(E116),E116&gt;0,ISNUMBER($B$85),$B$85&gt;=0,$B$85&lt;1,ISNUMBER($D$85),$D$85&gt;=0,$D$85&lt;=1,ISNUMBER(F116),F116&gt;=0,F116&lt;=1,ISNUMBER(J116),J116&gt;=0,J116&lt;=1),D116/E116*1000,NA())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G116*F116*$D$85*$B$85/(1-$B$85)</x:f>
        <x:v>0</x:v>
      </x:c>
      <x:c r="J116" s="59" t="n">
        <x:v>1</x:v>
      </x:c>
      <x:c r="K116" s="34" t="n">
        <x:f>I116*J116</x:f>
        <x:v>0</x:v>
      </x:c>
      <x:c r="L116" s="30" t="str">
        <x:v>原通信行 78</x:v>
      </x:c>
    </x:row>
    <x:row r="117" ht="15" customHeight="1">
      <x:c r="A117" s="30" t="str">
        <x:v>EP</x:v>
      </x:c>
      <x:c r="B117" s="30" t="str">
        <x:v>MoE 计数</x:v>
      </x:c>
      <x:c r="C117" s="30" t="str">
        <x:v>直方图 Ring AG</x:v>
      </x:c>
      <x:c r="D117" s="34" t="n">
        <x:f>(IF(E61=0,0,H61*ROUNDUP(256/G61,0)*G61*4*(G61-1)))/1e9</x:f>
        <x:v>0.000544768</x:v>
      </x:c>
      <x:c r="E117" s="64" t="n">
        <x:f>$H$85</x:f>
        <x:v>100</x:v>
      </x:c>
      <x:c r="F117" s="59" t="n">
        <x:v>1</x:v>
      </x:c>
      <x:c r="G117" s="34" t="n">
        <x:f>IF(AND(ISNUMBER(E117),E117&gt;0,ISNUMBER($B$85),$B$85&gt;=0,$B$85&lt;1,ISNUMBER($D$85),$D$85&gt;=0,$D$85&lt;=1,ISNUMBER(F117),F117&gt;=0,F117&lt;=1,ISNUMBER(J117),J117&gt;=0,J117&lt;=1),D117/E117*1000,NA())</x:f>
        <x:v>0.005447680000000001</x:v>
      </x:c>
      <x:c r="H117" s="34" t="n">
        <x:f>G117+I117</x:f>
        <x:v>0.006052977777777779</x:v>
      </x:c>
      <x:c r="I117" s="34" t="n">
        <x:f>G117*F117*$D$85*$B$85/(1-$B$85)</x:f>
        <x:v>0.0006052977777777778</x:v>
      </x:c>
      <x:c r="J117" s="59" t="n">
        <x:v>1</x:v>
      </x:c>
      <x:c r="K117" s="34" t="n">
        <x:f>I117*J117</x:f>
        <x:v>0.0006052977777777778</x:v>
      </x:c>
      <x:c r="L117" s="30" t="str">
        <x:v>额外控制量</x:v>
      </x:c>
    </x:row>
    <x:row r="118" ht="15" customHeight="1">
      <x:c r="A118" s="40" t="str">
        <x:v>所列事件串行相加</x:v>
      </x:c>
      <x:c r="B118" s="40"/>
      <x:c r="C118" s="40"/>
      <x:c r="D118" s="41" t="n">
        <x:f>SUM(D91:D117)</x:f>
        <x:v>37.67830528</x:v>
      </x:c>
      <x:c r="E118" s="40"/>
      <x:c r="F118" s="40"/>
      <x:c r="G118" s="41" t="n">
        <x:f>SUM(G91:G117)</x:f>
        <x:v>376.7830528</x:v>
      </x:c>
      <x:c r="H118" s="41" t="n">
        <x:f>SUM(H91:H117)</x:f>
        <x:v>418.64783644444447</x:v>
      </x:c>
      <x:c r="I118" s="41" t="n">
        <x:f>SUM(I91:I117)</x:f>
        <x:v>41.86478364444446</x:v>
      </x:c>
      <x:c r="J118" s="40"/>
      <x:c r="K118" s="41" t="n">
        <x:f>SUM(K91:K117)</x:f>
        <x:v>41.86478364444446</x:v>
      </x:c>
      <x:c r="L118" s="40"/>
    </x:row>
  </x:sheetData>
  <x:conditionalFormatting sqref="L87:L87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'Decode'!$P$12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'Decode'!$P$12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'Decode'!$P$12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'Decode'!$P$12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'Decode'!$P$12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'Decode'!$P$12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'Decode'!$P$14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/>
      <x:c r="P15" s="35"/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'Decode'!$P$14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'Decode'!$P$14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'Decode'!$P$14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'Decode'!$P$14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'Decode'!$P$14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IF('Decode'!$P$17="TP",'Decode'!$P$18,1)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IF('Decode'!$P$17="TP",'Decode'!$P$18,1)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IF('Decode'!$P$17="TP",'Decode'!$P$18,1)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IF('Decode'!$P$17="TP",'Decode'!$P$18,1)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IF('Decode'!$P$17="TP",'Decode'!$P$18,1)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IF('Decode'!$P$25&lt;&gt;0,1,'Decode'!$P$12)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IF('Decode'!$P$25&lt;&gt;0,1,'Decode'!$P$12)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IF('Decode'!$P$25&lt;&gt;0,1,'Decode'!$P$12)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IF('Decode'!$P$25&lt;&gt;0,1,'Decode'!$P$12)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IF('Decode'!$P$19&gt;0,'Decode'!$P$19,'Decode'!$P$12)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'Decode'!$P$7*6144</x:f>
        <x:v>1572864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IF(AND(IF('Decode'!$P$21&gt;0,'Decode'!$P$21,'Decode'!$P$12)&gt;1,'Decode'!$P$24=0),1,0)</x:f>
        <x:v>1</x:v>
      </x:c>
      <x:c r="I53" s="34" t="n">
        <x:f>E53*F53/1048576</x:f>
        <x:v>3</x:v>
      </x:c>
      <x:c r="J53" s="34" t="n">
        <x:f>I53*(IF(G53&gt;1,2*(G53-1)/G53,0))</x:f>
        <x:v>5.25</x:v>
      </x:c>
      <x:c r="K53" s="34" t="n">
        <x:f>J53*H53</x:f>
        <x:v>5.25</x:v>
      </x:c>
      <x:c r="L53" s="34" t="n">
        <x:f>K53*G53</x:f>
        <x:v>42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'Decode'!$P$7</x:f>
        <x:v>256</x:v>
      </x:c>
      <x:c r="F54" s="33" t="n">
        <x:f>'Decode'!$P$30</x:f>
        <x:v>8</x:v>
      </x:c>
      <x:c r="G54" s="33" t="n">
        <x:f>IF('Decode'!$P$21&gt;0,'Decode'!$P$21,'Decode'!$P$12)</x:f>
        <x:v>8</x:v>
      </x:c>
      <x:c r="H54" s="33" t="n">
        <x:f>IF(AND(IF('Decode'!$P$21&gt;0,'Decode'!$P$21,'Decode'!$P$12)&gt;1,'Decode'!$P$24&lt;&gt;0),1,0)</x:f>
        <x:v>0</x:v>
      </x:c>
      <x:c r="I54" s="34" t="n">
        <x:f>E54*F54/1048576</x:f>
        <x:v>0.001953125</x:v>
      </x:c>
      <x:c r="J54" s="34" t="n">
        <x:f>I54*(IF(G54&gt;1,G54-1,0))</x:f>
        <x:v>0.013671875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'Decode'!$P$7*IF('Decode'!$P$21&gt;0,'Decode'!$P$21,'Decode'!$P$12)*6144</x:f>
        <x:v>12582912</x:v>
      </x:c>
      <x:c r="F55" s="33" t="n">
        <x:f>'Decode'!$P$28</x:f>
        <x:v>2</x:v>
      </x:c>
      <x:c r="G55" s="33" t="n">
        <x:f>IF('Decode'!$P$21&gt;0,'Decode'!$P$21,'Decode'!$P$12)</x:f>
        <x:v>8</x:v>
      </x:c>
      <x:c r="H55" s="33" t="n">
        <x:f>IF(AND(IF('Decode'!$P$21&gt;0,'Decode'!$P$21,'Decode'!$P$12)&gt;1,'Decode'!$P$24&lt;&gt;0),1,0)</x:f>
        <x:v>0</x:v>
      </x:c>
      <x:c r="I55" s="34" t="n">
        <x:f>E55*F55/1048576</x:f>
        <x:v>24</x:v>
      </x:c>
      <x:c r="J55" s="34" t="n">
        <x:f>I55*(IF(G55&gt;1,(G55-1)/G55,0))</x:f>
        <x:v>21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((ROUNDUP('Decode'!$P$7/'Decode'!$P$12,0)*'Decode'!$P$12)/'Decode'!$P$12)*6144</x:f>
        <x:v>196608</x:v>
      </x:c>
      <x:c r="F56" s="33" t="n">
        <x:f>'Decode'!$P$28</x:f>
        <x:v>2</x:v>
      </x:c>
      <x:c r="G56" s="33" t="n">
        <x:f>'Decode'!$P$12</x:f>
        <x:v>8</x:v>
      </x:c>
      <x:c r="H56" s="33" t="n">
        <x:f>79*IF(AND('Decode'!$P$25&lt;&gt;0,'Decode'!$P$12&gt;1),1,0)</x:f>
        <x:v>79</x:v>
      </x:c>
      <x:c r="I56" s="34" t="n">
        <x:f>E56*F56/1048576</x:f>
        <x:v>0.375</x:v>
      </x:c>
      <x:c r="J56" s="34" t="n">
        <x:f>I56*(IF(G56&gt;1,G56-1,0))</x:f>
        <x:v>2.625</x:v>
      </x:c>
      <x:c r="K56" s="34" t="n">
        <x:f>J56*H56</x:f>
        <x:v>207.375</x:v>
      </x:c>
      <x:c r="L56" s="34" t="n">
        <x:f>K56*G56</x:f>
        <x:v>1659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((ROUNDUP('Decode'!$P$7/'Decode'!$P$12,0)*'Decode'!$P$12)/'Decode'!$P$12)*64*256</x:f>
        <x:v>524288</x:v>
      </x:c>
      <x:c r="F57" s="33" t="n">
        <x:f>'Decode'!$P$28</x:f>
        <x:v>2</x:v>
      </x:c>
      <x:c r="G57" s="33" t="n">
        <x:f>'Decode'!$P$12</x:f>
        <x:v>8</x:v>
      </x:c>
      <x:c r="H57" s="33" t="n">
        <x:f>79*IF(AND('Decode'!$P$25&lt;&gt;0,'Decode'!$P$12&gt;1),1,0)</x:f>
        <x:v>79</x:v>
      </x:c>
      <x:c r="I57" s="34" t="n">
        <x:f>E57*F57/1048576</x:f>
        <x:v>1</x:v>
      </x:c>
      <x:c r="J57" s="34" t="n">
        <x:f>I57*(IF(G57&gt;1,(G57-1)/G57,0))</x:f>
        <x:v>0.875</x:v>
      </x:c>
      <x:c r="K57" s="34" t="n">
        <x:f>J57*H57</x:f>
        <x:v>69.125</x:v>
      </x:c>
      <x:c r="L57" s="34" t="n">
        <x:f>K57*G57</x:f>
        <x:v>553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((ROUNDUP('Decode'!$P$7/'Decode'!$P$12,0)*'Decode'!$P$12)/'Decode'!$P$12)*2048</x:f>
        <x:v>65536</x:v>
      </x:c>
      <x:c r="F58" s="33" t="n">
        <x:f>'Decode'!$P$31</x:f>
        <x:v>4</x:v>
      </x:c>
      <x:c r="G58" s="33" t="n">
        <x:f>'Decode'!$P$12</x:f>
        <x:v>8</x:v>
      </x:c>
      <x:c r="H58" s="33" t="n">
        <x:f>22*IF(AND('Decode'!$P$25&lt;&gt;0,'Decode'!$P$12&gt;1),1,0)</x:f>
        <x:v>22</x:v>
      </x:c>
      <x:c r="I58" s="34" t="n">
        <x:f>E58*F58/1048576</x:f>
        <x:v>0.25</x:v>
      </x:c>
      <x:c r="J58" s="34" t="n">
        <x:f>I58*(IF(G58&gt;1,G58-1,0))</x:f>
        <x:v>1.75</x:v>
      </x:c>
      <x:c r="K58" s="34" t="n">
        <x:f>J58*H58</x:f>
        <x:v>38.5</x:v>
      </x:c>
      <x:c r="L58" s="34" t="n">
        <x:f>K58*G58</x:f>
        <x:v>308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'Decode'!$P$7*6144</x:f>
        <x:v>1572864</x:v>
      </x:c>
      <x:c r="F59" s="33" t="n">
        <x:f>'Decode'!$P$28</x:f>
        <x:v>2</x:v>
      </x:c>
      <x:c r="G59" s="33" t="n">
        <x:f>IF('Decode'!$P$19&gt;0,'Decode'!$P$19,'Decode'!$P$12)</x:f>
        <x:v>8</x:v>
      </x:c>
      <x:c r="H59" s="33" t="n">
        <x:f>79*IF(AND('Decode'!$P$25=0,IF('Decode'!$P$19&gt;0,'Decode'!$P$19,'Decode'!$P$12)&gt;1),1,0)</x:f>
        <x:v>0</x:v>
      </x:c>
      <x:c r="I59" s="34" t="n">
        <x:f>E59*F59/1048576</x:f>
        <x:v>3</x:v>
      </x:c>
      <x:c r="J59" s="34" t="n">
        <x:f>I59*(IF(G59&gt;1,2*(G59-1)/G59,0))</x:f>
        <x:v>5.25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IF('Decode'!$P$13&lt;&gt;0,((ROUNDUP('Decode'!$P$7/'Decode'!$P$12,0)*'Decode'!$P$12)/'Decode'!$P$12),'Decode'!$P$7)*6144</x:f>
        <x:v>196608</x:v>
      </x:c>
      <x:c r="F60" s="33" t="n">
        <x:f>'Decode'!$P$28</x:f>
        <x:v>2</x:v>
      </x:c>
      <x:c r="G60" s="33" t="n">
        <x:f>'Decode'!$P$12</x:f>
        <x:v>8</x:v>
      </x:c>
      <x:c r="H60" s="33" t="n">
        <x:f>3*IF('Decode'!$P$12&gt;1,1,0)</x:f>
        <x:v>3</x:v>
      </x:c>
      <x:c r="I60" s="34" t="n">
        <x:f>E60*F60/1048576</x:f>
        <x:v>0.375</x:v>
      </x:c>
      <x:c r="J60" s="34" t="n">
        <x:f>I60*(IF(G60&gt;1,2*(G60-1)/G60,0))</x:f>
        <x:v>0.65625</x:v>
      </x:c>
      <x:c r="K60" s="34" t="n">
        <x:f>J60*H60</x:f>
        <x:v>1.96875</x:v>
      </x:c>
      <x:c r="L60" s="34" t="n">
        <x:f>K60*G60</x:f>
        <x:v>15.75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IF('Decode'!$P$13&lt;&gt;0,((ROUNDUP('Decode'!$P$7/'Decode'!$P$12,0)*'Decode'!$P$12)/'Decode'!$P$12),'Decode'!$P$7)*8*'Decode'!$P$32*6144</x:f>
        <x:v>1376256</x:v>
      </x:c>
      <x:c r="F61" s="33" t="n">
        <x:f>'Decode'!$P$28</x:f>
        <x:v>2</x:v>
      </x:c>
      <x:c r="G61" s="33" t="n">
        <x:f>'Decode'!$P$14</x:f>
        <x:v>8</x:v>
      </x:c>
      <x:c r="H61" s="33" t="n">
        <x:f>76*IF('Decode'!$P$14&gt;1,1,0)</x:f>
        <x:v>76</x:v>
      </x:c>
      <x:c r="I61" s="34" t="n">
        <x:f>E61*F61/1048576</x:f>
        <x:v>2.625</x:v>
      </x:c>
      <x:c r="J61" s="34" t="n">
        <x:f>I61*(1)</x:f>
        <x:v>2.625</x:v>
      </x:c>
      <x:c r="K61" s="34" t="n">
        <x:f>J61*H61</x:f>
        <x:v>199.5</x:v>
      </x:c>
      <x:c r="L61" s="34" t="n">
        <x:f>K61*G61</x:f>
        <x:v>1596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IF('Decode'!$P$13&lt;&gt;0,((ROUNDUP('Decode'!$P$7/'Decode'!$P$12,0)*'Decode'!$P$12)/'Decode'!$P$12),'Decode'!$P$7)*8*'Decode'!$P$32*6144</x:f>
        <x:v>1376256</x:v>
      </x:c>
      <x:c r="F62" s="33" t="n">
        <x:f>'Decode'!$P$28</x:f>
        <x:v>2</x:v>
      </x:c>
      <x:c r="G62" s="33" t="n">
        <x:f>'Decode'!$P$14</x:f>
        <x:v>8</x:v>
      </x:c>
      <x:c r="H62" s="33" t="n">
        <x:f>76*IF('Decode'!$P$14&gt;1,1,0)</x:f>
        <x:v>76</x:v>
      </x:c>
      <x:c r="I62" s="34" t="n">
        <x:f>E62*F62/1048576</x:f>
        <x:v>2.625</x:v>
      </x:c>
      <x:c r="J62" s="34" t="n">
        <x:f>I62*(1)</x:f>
        <x:v>2.625</x:v>
      </x:c>
      <x:c r="K62" s="34" t="n">
        <x:f>J62*H62</x:f>
        <x:v>199.5</x:v>
      </x:c>
      <x:c r="L62" s="34" t="n">
        <x:f>K62*G62</x:f>
        <x:v>1596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'Decode'!$P$7*6144</x:f>
        <x:v>1572864</x:v>
      </x:c>
      <x:c r="F63" s="33" t="n">
        <x:f>'Decode'!$P$28</x:f>
        <x:v>2</x:v>
      </x:c>
      <x:c r="G63" s="33" t="n">
        <x:f>'Decode'!$P$11</x:f>
        <x:v>1</x:v>
      </x:c>
      <x:c r="H63" s="33" t="n">
        <x:f>76*IF(AND('Decode'!$P$11&gt;1,'Decode'!$P$14=1),1,0)</x:f>
        <x:v>0</x:v>
      </x:c>
      <x:c r="I63" s="34" t="n">
        <x:f>E63*F63/1048576</x:f>
        <x:v>3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'Decode'!$P$7*256</x:f>
        <x:v>65536</x:v>
      </x:c>
      <x:c r="F64" s="33" t="n">
        <x:f>'Decode'!$P$28</x:f>
        <x:v>2</x:v>
      </x:c>
      <x:c r="G64" s="33" t="n">
        <x:f>'Decode'!$P$11</x:f>
        <x:v>1</x:v>
      </x:c>
      <x:c r="H64" s="33" t="n">
        <x:f>76*IF(AND('Decode'!$P$11&gt;1,'Decode'!$P$14=1),1,0)</x:f>
        <x:v>0</x:v>
      </x:c>
      <x:c r="I64" s="34" t="n">
        <x:f>E64*F64/1048576</x:f>
        <x:v>0.125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'Decode'!$P$7*'Decode'!$P$11*6144</x:f>
        <x:v>1572864</x:v>
      </x:c>
      <x:c r="F65" s="33" t="n">
        <x:f>'Decode'!$P$28</x:f>
        <x:v>2</x:v>
      </x:c>
      <x:c r="G65" s="33" t="n">
        <x:f>'Decode'!$P$11</x:f>
        <x:v>1</x:v>
      </x:c>
      <x:c r="H65" s="33" t="n">
        <x:f>76*IF(AND('Decode'!$P$11&gt;1,'Decode'!$P$14=1),1,0)</x:f>
        <x:v>0</x:v>
      </x:c>
      <x:c r="I65" s="34" t="n">
        <x:f>E65*F65/1048576</x:f>
        <x:v>3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((ROUNDUP('Decode'!$P$7/'Decode'!$P$12,0)*'Decode'!$P$12)/'Decode'!$P$12)*6144</x:f>
        <x:v>196608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76*IF(AND('Decode'!$P$17="TP",IF('Decode'!$P$17="TP",'Decode'!$P$18,1)&gt;1,'Decode'!$P$13&lt;&gt;0),1,0)</x:f>
        <x:v>76</x:v>
      </x:c>
      <x:c r="I66" s="34" t="n">
        <x:f>E66*F66/1048576</x:f>
        <x:v>0.375</x:v>
      </x:c>
      <x:c r="J66" s="34" t="n">
        <x:f>I66*(IF(G66&gt;1,G66-1,0))</x:f>
        <x:v>2.625</x:v>
      </x:c>
      <x:c r="K66" s="34" t="n">
        <x:f>J66*H66</x:f>
        <x:v>199.5</x:v>
      </x:c>
      <x:c r="L66" s="34" t="n">
        <x:f>K66*G66</x:f>
        <x:v>1596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(ROUNDUP('Decode'!$P$7/'Decode'!$P$12,0)*'Decode'!$P$12)*6144</x:f>
        <x:v>1572864</x:v>
      </x:c>
      <x:c r="F67" s="33" t="n">
        <x:f>'Decode'!$P$28</x:f>
        <x:v>2</x:v>
      </x:c>
      <x:c r="G67" s="33" t="n">
        <x:f>IF('Decode'!$P$17="TP",'Decode'!$P$18,1)</x:f>
        <x:v>8</x:v>
      </x:c>
      <x:c r="H67" s="33" t="n">
        <x:f>76*IF(AND('Decode'!$P$17="TP",IF('Decode'!$P$17="TP",'Decode'!$P$18,1)&gt;1,'Decode'!$P$13&lt;&gt;0),1,0)</x:f>
        <x:v>76</x:v>
      </x:c>
      <x:c r="I67" s="34" t="n">
        <x:f>E67*F67/1048576</x:f>
        <x:v>3</x:v>
      </x:c>
      <x:c r="J67" s="34" t="n">
        <x:f>I67*(IF(G67&gt;1,(G67-1)/G67,0))</x:f>
        <x:v>2.625</x:v>
      </x:c>
      <x:c r="K67" s="34" t="n">
        <x:f>J67*H67</x:f>
        <x:v>199.5</x:v>
      </x:c>
      <x:c r="L67" s="34" t="n">
        <x:f>K67*G67</x:f>
        <x:v>1596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'Decode'!$P$7*6144</x:f>
        <x:v>1572864</x:v>
      </x:c>
      <x:c r="F68" s="33" t="n">
        <x:f>'Decode'!$P$28</x:f>
        <x:v>2</x:v>
      </x:c>
      <x:c r="G68" s="33" t="n">
        <x:f>IF('Decode'!$P$17="TP",'Decode'!$P$18,1)</x:f>
        <x:v>8</x:v>
      </x:c>
      <x:c r="H68" s="33" t="n">
        <x:f>76*IF(AND('Decode'!$P$17="TP",IF('Decode'!$P$17="TP",'Decode'!$P$18,1)&gt;1,'Decode'!$P$13=0),1,0)</x:f>
        <x:v>0</x:v>
      </x:c>
      <x:c r="I68" s="34" t="n">
        <x:f>E68*F68/1048576</x:f>
        <x:v>3</x:v>
      </x:c>
      <x:c r="J68" s="34" t="n">
        <x:f>I68*(IF(G68&gt;1,2*(G68-1)/G68,0))</x:f>
        <x:v>5.25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Model Output</x:v>
      </x:c>
      <x:c r="C69" s="30" t="str">
        <x:v>Final Norm 后</x:v>
      </x:c>
      <x:c r="D69" s="30" t="str">
        <x:v>Ring AllGather</x:v>
      </x:c>
      <x:c r="E69" s="33" t="n">
        <x:f>((ROUNDUP('Decode'!$P$7/'Decode'!$P$12,0)*'Decode'!$P$12)/'Decode'!$P$12)*6144</x:f>
        <x:v>196608</x:v>
      </x:c>
      <x:c r="F69" s="33" t="n">
        <x:f>'Decode'!$P$28</x:f>
        <x:v>2</x:v>
      </x:c>
      <x:c r="G69" s="33" t="n">
        <x:f>'Decode'!$P$12</x:f>
        <x:v>8</x:v>
      </x:c>
      <x:c r="H69" s="33" t="n">
        <x:f>IF(AND('Decode'!$P$13&lt;&gt;0,'Decode'!$P$12&gt;1),1,0)</x:f>
        <x:v>1</x:v>
      </x:c>
      <x:c r="I69" s="34" t="n">
        <x:f>E69*F69/1048576</x:f>
        <x:v>0.375</x:v>
      </x:c>
      <x:c r="J69" s="34" t="n">
        <x:f>I69*(IF(G69&gt;1,G69-1,0))</x:f>
        <x:v>2.625</x:v>
      </x:c>
      <x:c r="K69" s="34" t="n">
        <x:f>J69*H69</x:f>
        <x:v>2.625</x:v>
      </x:c>
      <x:c r="L69" s="34" t="n">
        <x:f>K69*G69</x:f>
        <x:v>21</x:v>
      </x:c>
      <x:c r="M69" s="30"/>
      <x:c r="N69" s="30"/>
      <x:c r="O69" s="30"/>
      <x:c r="P69" s="30"/>
    </x:row>
    <x:row r="70">
      <x:c r="A70" s="30" t="str">
        <x:v>LM Head TP</x:v>
      </x:c>
      <x:c r="B70" s="30" t="str">
        <x:v>LM Head</x:v>
      </x:c>
      <x:c r="C70" s="30" t="str">
        <x:v>完整 Logits</x:v>
      </x:c>
      <x:c r="D70" s="30" t="str">
        <x:v>Ring AllGather</x:v>
      </x:c>
      <x:c r="E70" s="33" t="n">
        <x:f>'Decode'!$P$8*154880/IF('Decode'!$P$20&gt;0,'Decode'!$P$20,'Decode'!$P$12)</x:f>
        <x:v>4956160</x:v>
      </x:c>
      <x:c r="F70" s="33" t="n">
        <x:f>'Decode'!$P$28</x:f>
        <x:v>2</x:v>
      </x:c>
      <x:c r="G70" s="33" t="n">
        <x:f>IF('Decode'!$P$20&gt;0,'Decode'!$P$20,'Decode'!$P$12)</x:f>
        <x:v>8</x:v>
      </x:c>
      <x:c r="H70" s="33" t="n">
        <x:f>IF(AND(IF('Decode'!$P$20&gt;0,'Decode'!$P$20,'Decode'!$P$12)&gt;1,'Decode'!$P$23=0,'Decode'!$P$33=0),1,0)</x:f>
        <x:v>0</x:v>
      </x:c>
      <x:c r="I70" s="34" t="n">
        <x:f>E70*F70/1048576</x:f>
        <x:v>9.453125</x:v>
      </x:c>
      <x:c r="J70" s="34" t="n">
        <x:f>I70*(IF(G70&gt;1,G70-1,0))</x:f>
        <x:v>66.171875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Reduce Sample</x:v>
      </x:c>
      <x:c r="D71" s="30" t="str">
        <x:v>Ring AllGather</x:v>
      </x:c>
      <x:c r="E71" s="33" t="n">
        <x:f>'Decode'!$P$8*'Decode'!$P$34</x:f>
        <x:v>65536</x:v>
      </x:c>
      <x:c r="F71" s="33" t="n">
        <x:f>('Decode'!$P$28+'Decode'!$P$31)</x:f>
        <x:v>6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IF(AND(IF('Decode'!$P$20&gt;0,'Decode'!$P$20,'Decode'!$P$12)&gt;1,'Decode'!$P$23=0,'Decode'!$P$33&lt;&gt;0),1,0)</x:f>
        <x:v>1</x:v>
      </x:c>
      <x:c r="I71" s="34" t="n">
        <x:f>E71*F71/1048576</x:f>
        <x:v>0.375</x:v>
      </x:c>
      <x:c r="J71" s="34" t="n">
        <x:f>I71*(IF(G71&gt;1,G71-1,0))</x:f>
        <x:v>2.625</x:v>
      </x:c>
      <x:c r="K71" s="34" t="n">
        <x:f>J71*H71</x:f>
        <x:v>2.625</x:v>
      </x:c>
      <x:c r="L71" s="34" t="n">
        <x:f>K71*G71</x:f>
        <x:v>21</x:v>
      </x:c>
      <x:c r="M71" s="30"/>
      <x:c r="N71" s="30"/>
      <x:c r="O71" s="30"/>
      <x:c r="P71" s="30"/>
    </x:row>
    <x:row r="72">
      <x:c r="A72" s="30" t="str">
        <x:v>Fine LM Head TP</x:v>
      </x:c>
      <x:c r="B72" s="30" t="str">
        <x:v>LM Head</x:v>
      </x:c>
      <x:c r="C72" s="30" t="str">
        <x:v>Hidden 输入</x:v>
      </x:c>
      <x:c r="D72" s="30" t="str">
        <x:v>Ring AllGather</x:v>
      </x:c>
      <x:c r="E72" s="33" t="n">
        <x:f>'Decode'!$P$8*6144</x:f>
        <x:v>1572864</x:v>
      </x:c>
      <x:c r="F72" s="33" t="n">
        <x:f>'Decode'!$P$28</x:f>
        <x:v>2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IF(AND(IF('Decode'!$P$20&gt;0,'Decode'!$P$20,'Decode'!$P$12)&gt;1,'Decode'!$P$23&lt;&gt;0),1,0)</x:f>
        <x:v>0</x:v>
      </x:c>
      <x:c r="I72" s="34" t="n">
        <x:f>E72*F72/1048576</x:f>
        <x:v>3</x:v>
      </x:c>
      <x:c r="J72" s="34" t="n">
        <x:f>I72*(IF(G72&gt;1,G72-1,0))</x:f>
        <x:v>21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完整 Logits</x:v>
      </x:c>
      <x:c r="D73" s="30" t="str">
        <x:v>Equal-split AllToAll</x:v>
      </x:c>
      <x:c r="E73" s="33" t="n">
        <x:f>'Decode'!$P$8*154880</x:f>
        <x:v>39649280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IF(AND(IF('Decode'!$P$20&gt;0,'Decode'!$P$20,'Decode'!$P$12)&gt;1,'Decode'!$P$23&lt;&gt;0,'Decode'!$P$33=0),1,0)</x:f>
        <x:v>0</x:v>
      </x:c>
      <x:c r="I73" s="34" t="n">
        <x:f>E73*F73/1048576</x:f>
        <x:v>75.625</x:v>
      </x:c>
      <x:c r="J73" s="34" t="n">
        <x:f>I73*(IF(G73&gt;1,(G73-1)/G73,0))</x:f>
        <x:v>66.171875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Reduce Sample</x:v>
      </x:c>
      <x:c r="D74" s="30" t="str">
        <x:v>Ring AllGather</x:v>
      </x:c>
      <x:c r="E74" s="33" t="n">
        <x:f>'Decode'!$P$8*'Decode'!$P$34</x:f>
        <x:v>65536</x:v>
      </x:c>
      <x:c r="F74" s="33" t="n">
        <x:f>('Decode'!$P$28+'Decode'!$P$31)</x:f>
        <x:v>6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IF(AND(IF('Decode'!$P$20&gt;0,'Decode'!$P$20,'Decode'!$P$12)&gt;1,'Decode'!$P$23&lt;&gt;0,'Decode'!$P$33&lt;&gt;0),1,0)</x:f>
        <x:v>0</x:v>
      </x:c>
      <x:c r="I74" s="34" t="n">
        <x:f>E74*F74/1048576</x:f>
        <x:v>0.375</x:v>
      </x:c>
      <x:c r="J74" s="34" t="n">
        <x:f>I74*(IF(G74&gt;1,G74-1,0))</x:f>
        <x:v>2.625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40" t="str">
        <x:v>合计</x:v>
      </x:c>
      <x:c r="B75" s="40"/>
      <x:c r="C75" s="40"/>
      <x:c r="D75" s="40"/>
      <x:c r="E75" s="40"/>
      <x:c r="F75" s="40"/>
      <x:c r="G75" s="40"/>
      <x:c r="H75" s="40"/>
      <x:c r="I75" s="41"/>
      <x:c r="J75" s="41"/>
      <x:c r="K75" s="41" t="n">
        <x:f>SUM(K53:K74)</x:f>
        <x:v>1125.46875</x:v>
      </x:c>
      <x:c r="L75" s="41" t="n">
        <x:f>SUM(L53:L74)</x:f>
        <x:v>9003.75</x:v>
      </x:c>
      <x:c r="M75" s="30"/>
      <x:c r="N75" s="30"/>
      <x:c r="O75" s="30"/>
      <x:c r="P75" s="30"/>
    </x:row>
    <x:row r="78" ht="15" customHeight="1">
      <x:c r="A78" s="40" t="str">
        <x:v>PD 带宽争用耗时评估</x:v>
      </x:c>
      <x:c r="B78" s="30"/>
      <x:c r="C78" s="30"/>
      <x:c r="D78" s="30"/>
      <x:c r="E78" s="30"/>
      <x:c r="F78" s="30"/>
      <x:c r="G78" s="30"/>
      <x:c r="H78" s="30"/>
      <x:c r="I78" s="30"/>
      <x:c r="J78" s="30"/>
      <x:c r="K78" s="30"/>
      <x:c r="L78" s="30"/>
    </x:row>
    <x:row r="79" ht="15" customHeight="1">
      <x:c r="A79" s="30" t="str">
        <x:v>Decode 当前表参数；100 GB/s 为归一化示例。所列事件的带宽项，不等于完整 forward 耗时。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30" customHeight="1">
      <x:c r="A80" s="62" t="str">
        <x:v>带宽降幅</x:v>
      </x:c>
      <x:c r="B80" s="62" t="str">
        <x:v>输入</x:v>
      </x:c>
      <x:c r="C80" s="62" t="str">
        <x:v>争用覆盖率</x:v>
      </x:c>
      <x:c r="D80" s="62" t="str">
        <x:v>输入</x:v>
      </x:c>
      <x:c r="E80" s="62" t="str">
        <x:v>基线 forward ms</x:v>
      </x:c>
      <x:c r="F80" s="62" t="str">
        <x:v>实测输入</x:v>
      </x:c>
      <x:c r="G80" s="62" t="str">
        <x:v>默认带宽 GB/s</x:v>
      </x:c>
      <x:c r="H80" s="62" t="str">
        <x:v>输入</x:v>
      </x:c>
      <x:c r="I80" s="30"/>
      <x:c r="J80" s="30"/>
      <x:c r="K80" s="30"/>
      <x:c r="L80" s="30"/>
    </x:row>
    <x:row r="81" ht="15" customHeight="1">
      <x:c r="A81" s="30"/>
      <x:c r="B81" s="63" t="n">
        <x:v>0.1</x:v>
      </x:c>
      <x:c r="C81" s="30"/>
      <x:c r="D81" s="63" t="n">
        <x:v>1</x:v>
      </x:c>
      <x:c r="E81" s="30"/>
      <x:c r="F81" s="38"/>
      <x:c r="G81" s="30"/>
      <x:c r="H81" s="36" t="n">
        <x:v>100</x:v>
      </x:c>
      <x:c r="I81" s="30"/>
      <x:c r="J81" s="30"/>
      <x:c r="K81" s="30"/>
      <x:c r="L81" s="30"/>
    </x:row>
    <x:row r="82" ht="30" customHeight="1">
      <x:c r="A82" s="62" t="str">
        <x:v>通信基线 ms</x:v>
      </x:c>
      <x:c r="B82" s="62" t="str">
        <x:v>结果</x:v>
      </x:c>
      <x:c r="C82" s="62" t="str">
        <x:v>通信争用后 ms</x:v>
      </x:c>
      <x:c r="D82" s="62" t="str">
        <x:v>结果</x:v>
      </x:c>
      <x:c r="E82" s="62" t="str">
        <x:v>forward 增量 ms</x:v>
      </x:c>
      <x:c r="F82" s="62" t="str">
        <x:v>结果</x:v>
      </x:c>
      <x:c r="G82" s="62" t="str">
        <x:v>forward 新耗时 ms</x:v>
      </x:c>
      <x:c r="H82" s="62" t="str">
        <x:v>结果</x:v>
      </x:c>
      <x:c r="I82" s="62" t="str">
        <x:v>forward 增幅</x:v>
      </x:c>
      <x:c r="J82" s="62" t="str">
        <x:v>结果</x:v>
      </x:c>
      <x:c r="K82" s="62" t="str">
        <x:v>输入状态</x:v>
      </x:c>
      <x:c r="L82" s="62" t="str">
        <x:v>状态</x:v>
      </x:c>
    </x:row>
    <x:row r="83" ht="15" customHeight="1">
      <x:c r="A83" s="49"/>
      <x:c r="B83" s="49" t="n">
        <x:f>SUM(G87:G109)</x:f>
        <x:v>11.98661632</x:v>
      </x:c>
      <x:c r="C83" s="49"/>
      <x:c r="D83" s="49" t="n">
        <x:f>SUM(H87:H109)</x:f>
        <x:v>13.318462577777776</x:v>
      </x:c>
      <x:c r="E83" s="49"/>
      <x:c r="F83" s="49" t="n">
        <x:f>SUM(K87:K109)</x:f>
        <x:v>1.331846257777778</x:v>
      </x:c>
      <x:c r="G83" s="49"/>
      <x:c r="H83" s="49" t="str">
        <x:f>IF(AND(ISNUMBER($F$81),$F$81&gt;0,$F$81&gt;=SUMPRODUCT(G87:G109,J87:J109)),$F$81+F83,"")</x:f>
      </x:c>
      <x:c r="I83" s="49"/>
      <x:c r="J83" s="50" t="str">
        <x:f>IF(AND(ISNUMBER($F$81),$F$81&gt;0,$F$81&gt;=SUMPRODUCT(G87:G109,J87:J109)),F83/$F$81,"")</x:f>
      </x:c>
      <x:c r="K83" s="49"/>
      <x:c r="L83" s="49" t="str">
        <x:f>IF($F$81="","待填基线",IF(AND(ISNUMBER($F$81),$F$81&gt;0,$F$81&gt;=SUMPRODUCT(G87:G109,J87:J109)),"已填基线","基线/暴露不一致"))</x:f>
        <x:v>待填基线</x:v>
      </x:c>
    </x:row>
    <x:row r="84" ht="15" customHeight="1">
      <x:c r="A84" s="30" t="str">
        <x:v>共享比例=0 表示独立链路；暴露系数=0 表示增量完全隐藏。默认均为 1，降幅只作用于带宽项。</x:v>
      </x:c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</x:row>
    <x:row r="85" ht="15" customHeight="1">
      <x:c r="A85" s="30" t="str">
        <x:v>P: AllToAllV + 4 B 计数 Ring；D: A3 BF16 MC2 FullMesh。每事件带宽按端点发送量定义。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30" customHeight="1">
      <x:c r="A86" s="62" t="str">
        <x:v>并行域</x:v>
      </x:c>
      <x:c r="B86" s="62" t="str">
        <x:v>模块</x:v>
      </x:c>
      <x:c r="C86" s="62" t="str">
        <x:v>通信事件</x:v>
      </x:c>
      <x:c r="D86" s="62" t="str">
        <x:v>GB/Rank/Step</x:v>
      </x:c>
      <x:c r="E86" s="62" t="str">
        <x:v>有效带宽 GB/s</x:v>
      </x:c>
      <x:c r="F86" s="62" t="str">
        <x:v>共享比例</x:v>
      </x:c>
      <x:c r="G86" s="62" t="str">
        <x:v>基线带宽项 ms</x:v>
      </x:c>
      <x:c r="H86" s="62" t="str">
        <x:v>争用后带宽项 ms</x:v>
      </x:c>
      <x:c r="I86" s="62" t="str">
        <x:v>通信增量 ms</x:v>
      </x:c>
      <x:c r="J86" s="62" t="str">
        <x:v>暴露系数</x:v>
      </x:c>
      <x:c r="K86" s="62" t="str">
        <x:v>forward 增量 ms</x:v>
      </x:c>
      <x:c r="L86" s="62" t="str">
        <x:v>公式口径</x:v>
      </x:c>
    </x:row>
    <x:row r="87" ht="15" customHeight="1">
      <x:c r="A87" s="30" t="str">
        <x:v>Embedding TP</x:v>
      </x:c>
      <x:c r="B87" s="30" t="str">
        <x:v>Embedding</x:v>
      </x:c>
      <x:c r="C87" s="30" t="str">
        <x:v>标准 TP 输出</x:v>
      </x:c>
      <x:c r="D87" s="34" t="n">
        <x:f>(K53*2^20)/1e9</x:f>
        <x:v>0.005505024</x:v>
      </x:c>
      <x:c r="E87" s="64" t="n">
        <x:f>$H$81</x:f>
        <x:v>100</x:v>
      </x:c>
      <x:c r="F87" s="59" t="n">
        <x:v>1</x:v>
      </x:c>
      <x:c r="G87" s="34" t="n">
        <x:f>IF(AND(ISNUMBER(E87),E87&gt;0,ISNUMBER($B$81),$B$81&gt;=0,$B$81&lt;1,ISNUMBER($D$81),$D$81&gt;=0,$D$81&lt;=1,ISNUMBER(F87),F87&gt;=0,F87&lt;=1,ISNUMBER(J87),J87&gt;=0,J87&lt;=1),D87/E87*1000,NA())</x:f>
        <x:v>0.05505024</x:v>
      </x:c>
      <x:c r="H87" s="34" t="n">
        <x:f>G87+I87</x:f>
        <x:v>0.06116693333333333</x:v>
      </x:c>
      <x:c r="I87" s="34" t="n">
        <x:f>G87*F87*$D$81*$B$81/(1-$B$81)</x:f>
        <x:v>0.006116693333333334</x:v>
      </x:c>
      <x:c r="J87" s="59" t="n">
        <x:v>1</x:v>
      </x:c>
      <x:c r="K87" s="34" t="n">
        <x:f>I87*J87</x:f>
        <x:v>0.006116693333333334</x:v>
      </x:c>
      <x:c r="L87" s="30" t="str">
        <x:v>原通信行 53</x:v>
      </x:c>
    </x:row>
    <x:row r="88" ht="15" customHeight="1">
      <x:c r="A88" s="30" t="str">
        <x:v>Embedding TP</x:v>
      </x:c>
      <x:c r="B88" s="30" t="str">
        <x:v>Embedding</x:v>
      </x:c>
      <x:c r="C88" s="30" t="str">
        <x:v>Fine TP Token ID</x:v>
      </x:c>
      <x:c r="D88" s="34" t="n">
        <x:f>(K54*2^20)/1e9</x:f>
        <x:v>0</x:v>
      </x:c>
      <x:c r="E88" s="64" t="n">
        <x:f>$H$81</x:f>
        <x:v>100</x:v>
      </x:c>
      <x:c r="F88" s="59" t="n">
        <x:v>1</x:v>
      </x:c>
      <x:c r="G88" s="34" t="n">
        <x:f>IF(AND(ISNUMBER(E88),E88&gt;0,ISNUMBER($B$81),$B$81&gt;=0,$B$81&lt;1,ISNUMBER($D$81),$D$81&gt;=0,$D$81&lt;=1,ISNUMBER(F88),F88&gt;=0,F88&lt;=1,ISNUMBER(J88),J88&gt;=0,J88&lt;=1),D88/E88*1000,NA())</x:f>
        <x:v>0</x:v>
      </x:c>
      <x:c r="H88" s="34" t="n">
        <x:f>G88+I88</x:f>
        <x:v>0</x:v>
      </x:c>
      <x:c r="I88" s="34" t="n">
        <x:f>G88*F88*$D$81*$B$81/(1-$B$81)</x:f>
        <x:v>0</x:v>
      </x:c>
      <x:c r="J88" s="59" t="n">
        <x:v>1</x:v>
      </x:c>
      <x:c r="K88" s="34" t="n">
        <x:f>I88*J88</x:f>
        <x:v>0</x:v>
      </x:c>
      <x:c r="L88" s="30" t="str">
        <x:v>原通信行 54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Fine TP Hidden</x:v>
      </x:c>
      <x:c r="D89" s="34" t="n">
        <x:f>(K55*2^20)/1e9</x:f>
        <x:v>0</x:v>
      </x:c>
      <x:c r="E89" s="64" t="n">
        <x:f>$H$81</x:f>
        <x:v>100</x:v>
      </x:c>
      <x:c r="F89" s="59" t="n">
        <x:v>1</x:v>
      </x:c>
      <x:c r="G89" s="34" t="n">
        <x:f>IF(AND(ISNUMBER(E89),E89&gt;0,ISNUMBER($B$81),$B$81&gt;=0,$B$81&lt;1,ISNUMBER($D$81),$D$81&gt;=0,$D$81&lt;=1,ISNUMBER(F89),F89&gt;=0,F89&lt;=1,ISNUMBER(J89),J89&gt;=0,J89&lt;=1),D89/E89*1000,NA())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G89*F89*$D$81*$B$81/(1-$B$81)</x:f>
        <x:v>0</x:v>
      </x:c>
      <x:c r="J89" s="59" t="n">
        <x:v>1</x:v>
      </x:c>
      <x:c r="K89" s="34" t="n">
        <x:f>I89*J89</x:f>
        <x:v>0</x:v>
      </x:c>
      <x:c r="L89" s="30" t="str">
        <x:v>原通信行 55</x:v>
      </x:c>
    </x:row>
    <x:row r="90" ht="15" customHeight="1">
      <x:c r="A90" s="30" t="str">
        <x:v>DSA CP</x:v>
      </x:c>
      <x:c r="B90" s="30" t="str">
        <x:v>Sparse Attention</x:v>
      </x:c>
      <x:c r="C90" s="30" t="str">
        <x:v>Q/KV 投影输入</x:v>
      </x:c>
      <x:c r="D90" s="34" t="n">
        <x:f>(K56*2^20)/1e9</x:f>
        <x:v>0.217448448</x:v>
      </x:c>
      <x:c r="E90" s="64" t="n">
        <x:f>$H$81</x:f>
        <x:v>100</x:v>
      </x:c>
      <x:c r="F90" s="59" t="n">
        <x:v>1</x:v>
      </x:c>
      <x:c r="G90" s="34" t="n">
        <x:f>IF(AND(ISNUMBER(E90),E90&gt;0,ISNUMBER($B$81),$B$81&gt;=0,$B$81&lt;1,ISNUMBER($D$81),$D$81&gt;=0,$D$81&lt;=1,ISNUMBER(F90),F90&gt;=0,F90&lt;=1,ISNUMBER(J90),J90&gt;=0,J90&lt;=1),D90/E90*1000,NA())</x:f>
        <x:v>2.17448448</x:v>
      </x:c>
      <x:c r="H90" s="34" t="n">
        <x:f>G90+I90</x:f>
        <x:v>2.4160938666666665</x:v>
      </x:c>
      <x:c r="I90" s="34" t="n">
        <x:f>G90*F90*$D$81*$B$81/(1-$B$81)</x:f>
        <x:v>0.24160938666666665</x:v>
      </x:c>
      <x:c r="J90" s="59" t="n">
        <x:v>1</x:v>
      </x:c>
      <x:c r="K90" s="34" t="n">
        <x:f>I90*J90</x:f>
        <x:v>0.24160938666666665</x:v>
      </x:c>
      <x:c r="L90" s="30" t="str">
        <x:v>原通信行 56</x:v>
      </x:c>
    </x:row>
    <x:row r="91" ht="15" customHeight="1">
      <x:c r="A91" s="30" t="str">
        <x:v>DSA CP</x:v>
      </x:c>
      <x:c r="B91" s="30" t="str">
        <x:v>Sparse Attention</x:v>
      </x:c>
      <x:c r="C91" s="30" t="str">
        <x:v>恢复 TP Head Layout</x:v>
      </x:c>
      <x:c r="D91" s="34" t="n">
        <x:f>(K57*2^20)/1e9</x:f>
        <x:v>0.072482816</x:v>
      </x:c>
      <x:c r="E91" s="64" t="n">
        <x:f>$H$81</x:f>
        <x:v>100</x:v>
      </x:c>
      <x:c r="F91" s="59" t="n">
        <x:v>1</x:v>
      </x:c>
      <x:c r="G91" s="34" t="n">
        <x:f>IF(AND(ISNUMBER(E91),E91&gt;0,ISNUMBER($B$81),$B$81&gt;=0,$B$81&lt;1,ISNUMBER($D$81),$D$81&gt;=0,$D$81&lt;=1,ISNUMBER(F91),F91&gt;=0,F91&lt;=1,ISNUMBER(J91),J91&gt;=0,J91&lt;=1),D91/E91*1000,NA())</x:f>
        <x:v>0.72482816</x:v>
      </x:c>
      <x:c r="H91" s="34" t="n">
        <x:f>G91+I91</x:f>
        <x:v>0.8053646222222223</x:v>
      </x:c>
      <x:c r="I91" s="34" t="n">
        <x:f>G91*F91*$D$81*$B$81/(1-$B$81)</x:f>
        <x:v>0.08053646222222223</x:v>
      </x:c>
      <x:c r="J91" s="59" t="n">
        <x:v>1</x:v>
      </x:c>
      <x:c r="K91" s="34" t="n">
        <x:f>I91*J91</x:f>
        <x:v>0.08053646222222223</x:v>
      </x:c>
      <x:c r="L91" s="30" t="str">
        <x:v>原通信行 57</x:v>
      </x:c>
    </x:row>
    <x:row r="92" ht="15" customHeight="1">
      <x:c r="A92" s="30" t="str">
        <x:v>DSA CP</x:v>
      </x:c>
      <x:c r="B92" s="30" t="str">
        <x:v>Indexer</x:v>
      </x:c>
      <x:c r="C92" s="30" t="str">
        <x:v>Top-k Index</x:v>
      </x:c>
      <x:c r="D92" s="34" t="n">
        <x:f>(K58*2^20)/1e9</x:f>
        <x:v>0.040370176</x:v>
      </x:c>
      <x:c r="E92" s="64" t="n">
        <x:f>$H$81</x:f>
        <x:v>100</x:v>
      </x:c>
      <x:c r="F92" s="59" t="n">
        <x:v>1</x:v>
      </x:c>
      <x:c r="G92" s="34" t="n">
        <x:f>IF(AND(ISNUMBER(E92),E92&gt;0,ISNUMBER($B$81),$B$81&gt;=0,$B$81&lt;1,ISNUMBER($D$81),$D$81&gt;=0,$D$81&lt;=1,ISNUMBER(F92),F92&gt;=0,F92&lt;=1,ISNUMBER(J92),J92&gt;=0,J92&lt;=1),D92/E92*1000,NA())</x:f>
        <x:v>0.40370176</x:v>
      </x:c>
      <x:c r="H92" s="34" t="n">
        <x:f>G92+I92</x:f>
        <x:v>0.44855751111111114</x:v>
      </x:c>
      <x:c r="I92" s="34" t="n">
        <x:f>G92*F92*$D$81*$B$81/(1-$B$81)</x:f>
        <x:v>0.04485575111111112</x:v>
      </x:c>
      <x:c r="J92" s="59" t="n">
        <x:v>1</x:v>
      </x:c>
      <x:c r="K92" s="34" t="n">
        <x:f>I92*J92</x:f>
        <x:v>0.04485575111111112</x:v>
      </x:c>
      <x:c r="L92" s="30" t="str">
        <x:v>原通信行 58</x:v>
      </x:c>
    </x:row>
    <x:row r="93" ht="15" customHeight="1">
      <x:c r="A93" s="30" t="str">
        <x:v>O Proj TP</x:v>
      </x:c>
      <x:c r="B93" s="30" t="str">
        <x:v>Sparse Attention</x:v>
      </x:c>
      <x:c r="C93" s="30" t="str">
        <x:v>DSA CP 关闭</x:v>
      </x:c>
      <x:c r="D93" s="34" t="n">
        <x:f>(K59*2^20)/1e9</x:f>
        <x:v>0</x:v>
      </x:c>
      <x:c r="E93" s="64" t="n">
        <x:f>$H$81</x:f>
        <x:v>100</x:v>
      </x:c>
      <x:c r="F93" s="59" t="n">
        <x:v>1</x:v>
      </x:c>
      <x:c r="G93" s="34" t="n">
        <x:f>IF(AND(ISNUMBER(E93),E93&gt;0,ISNUMBER($B$81),$B$81&gt;=0,$B$81&lt;1,ISNUMBER($D$81),$D$81&gt;=0,$D$81&lt;=1,ISNUMBER(F93),F93&gt;=0,F93&lt;=1,ISNUMBER(J93),J93&gt;=0,J93&lt;=1),D93/E93*1000,NA())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G93*F93*$D$81*$B$81/(1-$B$81)</x:f>
        <x:v>0</x:v>
      </x:c>
      <x:c r="J93" s="59" t="n">
        <x:v>1</x:v>
      </x:c>
      <x:c r="K93" s="34" t="n">
        <x:f>I93*J93</x:f>
        <x:v>0</x:v>
      </x:c>
      <x:c r="L93" s="30" t="str">
        <x:v>原通信行 59</x:v>
      </x:c>
    </x:row>
    <x:row r="94" ht="15" customHeight="1">
      <x:c r="A94" s="30" t="str">
        <x:v>SP</x:v>
      </x:c>
      <x:c r="B94" s="30" t="str">
        <x:v>Dense MLP</x:v>
      </x:c>
      <x:c r="C94" s="30" t="str">
        <x:v>Down Proj 输出</x:v>
      </x:c>
      <x:c r="D94" s="34" t="n">
        <x:f>(K60*2^20)/1e9</x:f>
        <x:v>0.002064384</x:v>
      </x:c>
      <x:c r="E94" s="64" t="n">
        <x:f>$H$81</x:f>
        <x:v>100</x:v>
      </x:c>
      <x:c r="F94" s="59" t="n">
        <x:v>1</x:v>
      </x:c>
      <x:c r="G94" s="34" t="n">
        <x:f>IF(AND(ISNUMBER(E94),E94&gt;0,ISNUMBER($B$81),$B$81&gt;=0,$B$81&lt;1,ISNUMBER($D$81),$D$81&gt;=0,$D$81&lt;=1,ISNUMBER(F94),F94&gt;=0,F94&lt;=1,ISNUMBER(J94),J94&gt;=0,J94&lt;=1),D94/E94*1000,NA())</x:f>
        <x:v>0.02064384</x:v>
      </x:c>
      <x:c r="H94" s="34" t="n">
        <x:f>G94+I94</x:f>
        <x:v>0.0229376</x:v>
      </x:c>
      <x:c r="I94" s="34" t="n">
        <x:f>G94*F94*$D$81*$B$81/(1-$B$81)</x:f>
        <x:v>0.00229376</x:v>
      </x:c>
      <x:c r="J94" s="59" t="n">
        <x:v>1</x:v>
      </x:c>
      <x:c r="K94" s="34" t="n">
        <x:f>I94*J94</x:f>
        <x:v>0.00229376</x:v>
      </x:c>
      <x:c r="L94" s="30" t="str">
        <x:v>原通信行 60</x:v>
      </x:c>
    </x:row>
    <x:row r="95" ht="15" customHeight="1">
      <x:c r="A95" s="30" t="str">
        <x:v>EP</x:v>
      </x:c>
      <x:c r="B95" s="30" t="str">
        <x:v>Routed Experts</x:v>
      </x:c>
      <x:c r="C95" s="30" t="str">
        <x:v>MC2 FullMesh Dispatch</x:v>
      </x:c>
      <x:c r="D95" s="34" t="n">
        <x:f>(IF(F61=2,E61/6144*H61*(ROUNDUP((ROUNDUP(6144*F61/32,0)*32+32)/480,0)*512),NA()))/1e9</x:f>
        <x:v>0.226623488</x:v>
      </x:c>
      <x:c r="E95" s="64" t="n">
        <x:f>$H$81</x:f>
        <x:v>100</x:v>
      </x:c>
      <x:c r="F95" s="59" t="n">
        <x:v>1</x:v>
      </x:c>
      <x:c r="G95" s="34" t="n">
        <x:f>IF(AND(ISNUMBER(E95),E95&gt;0,ISNUMBER($B$81),$B$81&gt;=0,$B$81&lt;1,ISNUMBER($D$81),$D$81&gt;=0,$D$81&lt;=1,ISNUMBER(F95),F95&gt;=0,F95&lt;=1,ISNUMBER(J95),J95&gt;=0,J95&lt;=1),D95/E95*1000,NA())</x:f>
        <x:v>2.2662348800000003</x:v>
      </x:c>
      <x:c r="H95" s="34" t="n">
        <x:f>G95+I95</x:f>
        <x:v>2.5180387555555557</x:v>
      </x:c>
      <x:c r="I95" s="34" t="n">
        <x:f>G95*F95*$D$81*$B$81/(1-$B$81)</x:f>
        <x:v>0.2518038755555556</x:v>
      </x:c>
      <x:c r="J95" s="59" t="n">
        <x:v>1</x:v>
      </x:c>
      <x:c r="K95" s="34" t="n">
        <x:f>I95*J95</x:f>
        <x:v>0.2518038755555556</x:v>
      </x:c>
      <x:c r="L95" s="30" t="str">
        <x:v>原通信行 61</x:v>
      </x:c>
    </x:row>
    <x:row r="96" ht="15" customHeight="1">
      <x:c r="A96" s="30" t="str">
        <x:v>EP</x:v>
      </x:c>
      <x:c r="B96" s="30" t="str">
        <x:v>Routed Experts</x:v>
      </x:c>
      <x:c r="C96" s="30" t="str">
        <x:v>MC2 Combine + flags</x:v>
      </x:c>
      <x:c r="D96" s="34" t="n">
        <x:f>(IF(F62=2,K62*2^20+E62/6144*H62*32,NA()))/1e9</x:f>
        <x:v>0.20973568</x:v>
      </x:c>
      <x:c r="E96" s="64" t="n">
        <x:f>$H$81</x:f>
        <x:v>100</x:v>
      </x:c>
      <x:c r="F96" s="59" t="n">
        <x:v>1</x:v>
      </x:c>
      <x:c r="G96" s="34" t="n">
        <x:f>IF(AND(ISNUMBER(E96),E96&gt;0,ISNUMBER($B$81),$B$81&gt;=0,$B$81&lt;1,ISNUMBER($D$81),$D$81&gt;=0,$D$81&lt;=1,ISNUMBER(F96),F96&gt;=0,F96&lt;=1,ISNUMBER(J96),J96&gt;=0,J96&lt;=1),D96/E96*1000,NA())</x:f>
        <x:v>2.0973568</x:v>
      </x:c>
      <x:c r="H96" s="34" t="n">
        <x:f>G96+I96</x:f>
        <x:v>2.3303964444444443</x:v>
      </x:c>
      <x:c r="I96" s="34" t="n">
        <x:f>G96*F96*$D$81*$B$81/(1-$B$81)</x:f>
        <x:v>0.23303964444444444</x:v>
      </x:c>
      <x:c r="J96" s="59" t="n">
        <x:v>1</x:v>
      </x:c>
      <x:c r="K96" s="34" t="n">
        <x:f>I96*J96</x:f>
        <x:v>0.23303964444444444</x:v>
      </x:c>
      <x:c r="L96" s="30" t="str">
        <x:v>原通信行 62</x:v>
      </x:c>
    </x:row>
    <x:row r="97" ht="15" customHeight="1">
      <x:c r="A97" s="30" t="str">
        <x:v>DP</x:v>
      </x:c>
      <x:c r="B97" s="30" t="str">
        <x:v>MoE</x:v>
      </x:c>
      <x:c r="C97" s="30" t="str">
        <x:v>Hidden 输入</x:v>
      </x:c>
      <x:c r="D97" s="34" t="n">
        <x:f>(K63*2^20)/1e9</x:f>
        <x:v>0</x:v>
      </x:c>
      <x:c r="E97" s="64" t="n">
        <x:f>$H$81</x:f>
        <x:v>100</x:v>
      </x:c>
      <x:c r="F97" s="59" t="n">
        <x:v>1</x:v>
      </x:c>
      <x:c r="G97" s="34" t="n">
        <x:f>IF(AND(ISNUMBER(E97),E97&gt;0,ISNUMBER($B$81),$B$81&gt;=0,$B$81&lt;1,ISNUMBER($D$81),$D$81&gt;=0,$D$81&lt;=1,ISNUMBER(F97),F97&gt;=0,F97&lt;=1,ISNUMBER(J97),J97&gt;=0,J97&lt;=1),D97/E97*1000,NA())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G97*F97*$D$81*$B$81/(1-$B$81)</x:f>
        <x:v>0</x:v>
      </x:c>
      <x:c r="J97" s="59" t="n">
        <x:v>1</x:v>
      </x:c>
      <x:c r="K97" s="34" t="n">
        <x:f>I97*J97</x:f>
        <x:v>0</x:v>
      </x:c>
      <x:c r="L97" s="30" t="str">
        <x:v>原通信行 63</x:v>
      </x:c>
    </x:row>
    <x:row r="98" ht="15" customHeight="1">
      <x:c r="A98" s="30" t="str">
        <x:v>DP</x:v>
      </x:c>
      <x:c r="B98" s="30" t="str">
        <x:v>MoE Router</x:v>
      </x:c>
      <x:c r="C98" s="30" t="str">
        <x:v>Router Logits</x:v>
      </x:c>
      <x:c r="D98" s="34" t="n">
        <x:f>(K64*2^20)/1e9</x:f>
        <x:v>0</x:v>
      </x:c>
      <x:c r="E98" s="64" t="n">
        <x:f>$H$81</x:f>
        <x:v>100</x:v>
      </x:c>
      <x:c r="F98" s="59" t="n">
        <x:v>1</x:v>
      </x:c>
      <x:c r="G98" s="34" t="n">
        <x:f>IF(AND(ISNUMBER(E98),E98&gt;0,ISNUMBER($B$81),$B$81&gt;=0,$B$81&lt;1,ISNUMBER($D$81),$D$81&gt;=0,$D$81&lt;=1,ISNUMBER(F98),F98&gt;=0,F98&lt;=1,ISNUMBER(J98),J98&gt;=0,J98&lt;=1),D98/E98*1000,NA())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G98*F98*$D$81*$B$81/(1-$B$81)</x:f>
        <x:v>0</x:v>
      </x:c>
      <x:c r="J98" s="59" t="n">
        <x:v>1</x:v>
      </x:c>
      <x:c r="K98" s="34" t="n">
        <x:f>I98*J98</x:f>
        <x:v>0</x:v>
      </x:c>
      <x:c r="L98" s="30" t="str">
        <x:v>原通信行 64</x:v>
      </x:c>
    </x:row>
    <x:row r="99" ht="15" customHeight="1">
      <x:c r="A99" s="30" t="str">
        <x:v>DP</x:v>
      </x:c>
      <x:c r="B99" s="30" t="str">
        <x:v>MoE</x:v>
      </x:c>
      <x:c r="C99" s="30" t="str">
        <x:v>Routed Expert 输出</x:v>
      </x:c>
      <x:c r="D99" s="34" t="n">
        <x:f>(K65*2^20)/1e9</x:f>
        <x:v>0</x:v>
      </x:c>
      <x:c r="E99" s="64" t="n">
        <x:f>$H$81</x:f>
        <x:v>100</x:v>
      </x:c>
      <x:c r="F99" s="59" t="n">
        <x:v>1</x:v>
      </x:c>
      <x:c r="G99" s="34" t="n">
        <x:f>IF(AND(ISNUMBER(E99),E99&gt;0,ISNUMBER($B$81),$B$81&gt;=0,$B$81&lt;1,ISNUMBER($D$81),$D$81&gt;=0,$D$81&lt;=1,ISNUMBER(F99),F99&gt;=0,F99&lt;=1,ISNUMBER(J99),J99&gt;=0,J99&lt;=1),D99/E99*1000,NA())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G99*F99*$D$81*$B$81/(1-$B$81)</x:f>
        <x:v>0</x:v>
      </x:c>
      <x:c r="J99" s="59" t="n">
        <x:v>1</x:v>
      </x:c>
      <x:c r="K99" s="34" t="n">
        <x:f>I99*J99</x:f>
        <x:v>0</x:v>
      </x:c>
      <x:c r="L99" s="30" t="str">
        <x:v>原通信行 65</x:v>
      </x:c>
    </x:row>
    <x:row r="100" ht="15" customHeight="1">
      <x:c r="A100" s="30" t="str">
        <x:v>共享专家 TP</x:v>
      </x:c>
      <x:c r="B100" s="30" t="str">
        <x:v>Shared Experts</x:v>
      </x:c>
      <x:c r="C100" s="30" t="str">
        <x:v>SP 输入</x:v>
      </x:c>
      <x:c r="D100" s="34" t="n">
        <x:f>(K66*2^20)/1e9</x:f>
        <x:v>0.209190912</x:v>
      </x:c>
      <x:c r="E100" s="64" t="n">
        <x:f>$H$81</x:f>
        <x:v>100</x:v>
      </x:c>
      <x:c r="F100" s="59" t="n">
        <x:v>1</x:v>
      </x:c>
      <x:c r="G100" s="34" t="n">
        <x:f>IF(AND(ISNUMBER(E100),E100&gt;0,ISNUMBER($B$81),$B$81&gt;=0,$B$81&lt;1,ISNUMBER($D$81),$D$81&gt;=0,$D$81&lt;=1,ISNUMBER(F100),F100&gt;=0,F100&lt;=1,ISNUMBER(J100),J100&gt;=0,J100&lt;=1),D100/E100*1000,NA())</x:f>
        <x:v>2.0919091200000004</x:v>
      </x:c>
      <x:c r="H100" s="34" t="n">
        <x:f>G100+I100</x:f>
        <x:v>2.324343466666667</x:v>
      </x:c>
      <x:c r="I100" s="34" t="n">
        <x:f>G100*F100*$D$81*$B$81/(1-$B$81)</x:f>
        <x:v>0.23243434666666674</x:v>
      </x:c>
      <x:c r="J100" s="59" t="n">
        <x:v>1</x:v>
      </x:c>
      <x:c r="K100" s="34" t="n">
        <x:f>I100*J100</x:f>
        <x:v>0.23243434666666674</x:v>
      </x:c>
      <x:c r="L100" s="30" t="str">
        <x:v>原通信行 66</x:v>
      </x:c>
    </x:row>
    <x:row r="101" ht="15" customHeight="1">
      <x:c r="A101" s="30" t="str">
        <x:v>共享专家 TP</x:v>
      </x:c>
      <x:c r="B101" s="30" t="str">
        <x:v>Shared Experts</x:v>
      </x:c>
      <x:c r="C101" s="30" t="str">
        <x:v>SP 输出</x:v>
      </x:c>
      <x:c r="D101" s="34" t="n">
        <x:f>(K67*2^20)/1e9</x:f>
        <x:v>0.209190912</x:v>
      </x:c>
      <x:c r="E101" s="64" t="n">
        <x:f>$H$81</x:f>
        <x:v>100</x:v>
      </x:c>
      <x:c r="F101" s="59" t="n">
        <x:v>1</x:v>
      </x:c>
      <x:c r="G101" s="34" t="n">
        <x:f>IF(AND(ISNUMBER(E101),E101&gt;0,ISNUMBER($B$81),$B$81&gt;=0,$B$81&lt;1,ISNUMBER($D$81),$D$81&gt;=0,$D$81&lt;=1,ISNUMBER(F101),F101&gt;=0,F101&lt;=1,ISNUMBER(J101),J101&gt;=0,J101&lt;=1),D101/E101*1000,NA())</x:f>
        <x:v>2.0919091200000004</x:v>
      </x:c>
      <x:c r="H101" s="34" t="n">
        <x:f>G101+I101</x:f>
        <x:v>2.324343466666667</x:v>
      </x:c>
      <x:c r="I101" s="34" t="n">
        <x:f>G101*F101*$D$81*$B$81/(1-$B$81)</x:f>
        <x:v>0.23243434666666674</x:v>
      </x:c>
      <x:c r="J101" s="59" t="n">
        <x:v>1</x:v>
      </x:c>
      <x:c r="K101" s="34" t="n">
        <x:f>I101*J101</x:f>
        <x:v>0.23243434666666674</x:v>
      </x:c>
      <x:c r="L101" s="30" t="str">
        <x:v>原通信行 67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非 SP 输出</x:v>
      </x:c>
      <x:c r="D102" s="34" t="n">
        <x:f>(K68*2^20)/1e9</x:f>
        <x:v>0</x:v>
      </x:c>
      <x:c r="E102" s="64" t="n">
        <x:f>$H$81</x:f>
        <x:v>100</x:v>
      </x:c>
      <x:c r="F102" s="59" t="n">
        <x:v>1</x:v>
      </x:c>
      <x:c r="G102" s="34" t="n">
        <x:f>IF(AND(ISNUMBER(E102),E102&gt;0,ISNUMBER($B$81),$B$81&gt;=0,$B$81&lt;1,ISNUMBER($D$81),$D$81&gt;=0,$D$81&lt;=1,ISNUMBER(F102),F102&gt;=0,F102&lt;=1,ISNUMBER(J102),J102&gt;=0,J102&lt;=1),D102/E102*1000,NA())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G102*F102*$D$81*$B$81/(1-$B$81)</x:f>
        <x:v>0</x:v>
      </x:c>
      <x:c r="J102" s="59" t="n">
        <x:v>1</x:v>
      </x:c>
      <x:c r="K102" s="34" t="n">
        <x:f>I102*J102</x:f>
        <x:v>0</x:v>
      </x:c>
      <x:c r="L102" s="30" t="str">
        <x:v>原通信行 68</x:v>
      </x:c>
    </x:row>
    <x:row r="103" ht="15" customHeight="1">
      <x:c r="A103" s="30" t="str">
        <x:v>SP</x:v>
      </x:c>
      <x:c r="B103" s="30" t="str">
        <x:v>Model Output</x:v>
      </x:c>
      <x:c r="C103" s="30" t="str">
        <x:v>Final Norm 后</x:v>
      </x:c>
      <x:c r="D103" s="34" t="n">
        <x:f>(K69*2^20)/1e9</x:f>
        <x:v>0.002752512</x:v>
      </x:c>
      <x:c r="E103" s="64" t="n">
        <x:f>$H$81</x:f>
        <x:v>100</x:v>
      </x:c>
      <x:c r="F103" s="59" t="n">
        <x:v>1</x:v>
      </x:c>
      <x:c r="G103" s="34" t="n">
        <x:f>IF(AND(ISNUMBER(E103),E103&gt;0,ISNUMBER($B$81),$B$81&gt;=0,$B$81&lt;1,ISNUMBER($D$81),$D$81&gt;=0,$D$81&lt;=1,ISNUMBER(F103),F103&gt;=0,F103&lt;=1,ISNUMBER(J103),J103&gt;=0,J103&lt;=1),D103/E103*1000,NA())</x:f>
        <x:v>0.02752512</x:v>
      </x:c>
      <x:c r="H103" s="34" t="n">
        <x:f>G103+I103</x:f>
        <x:v>0.030583466666666666</x:v>
      </x:c>
      <x:c r="I103" s="34" t="n">
        <x:f>G103*F103*$D$81*$B$81/(1-$B$81)</x:f>
        <x:v>0.003058346666666667</x:v>
      </x:c>
      <x:c r="J103" s="59" t="n">
        <x:v>1</x:v>
      </x:c>
      <x:c r="K103" s="34" t="n">
        <x:f>I103*J103</x:f>
        <x:v>0.003058346666666667</x:v>
      </x:c>
      <x:c r="L103" s="30" t="str">
        <x:v>原通信行 69</x:v>
      </x:c>
    </x:row>
    <x:row r="104" ht="15" customHeight="1">
      <x:c r="A104" s="30" t="str">
        <x:v>LM Head TP</x:v>
      </x:c>
      <x:c r="B104" s="30" t="str">
        <x:v>LM Head</x:v>
      </x:c>
      <x:c r="C104" s="30" t="str">
        <x:v>完整 Logits</x:v>
      </x:c>
      <x:c r="D104" s="34" t="n">
        <x:f>(K70*2^20)/1e9</x:f>
        <x:v>0</x:v>
      </x:c>
      <x:c r="E104" s="64" t="n">
        <x:f>$H$81</x:f>
        <x:v>100</x:v>
      </x:c>
      <x:c r="F104" s="59" t="n">
        <x:v>1</x:v>
      </x:c>
      <x:c r="G104" s="34" t="n">
        <x:f>IF(AND(ISNUMBER(E104),E104&gt;0,ISNUMBER($B$81),$B$81&gt;=0,$B$81&lt;1,ISNUMBER($D$81),$D$81&gt;=0,$D$81&lt;=1,ISNUMBER(F104),F104&gt;=0,F104&lt;=1,ISNUMBER(J104),J104&gt;=0,J104&lt;=1),D104/E104*1000,NA())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G104*F104*$D$81*$B$81/(1-$B$81)</x:f>
        <x:v>0</x:v>
      </x:c>
      <x:c r="J104" s="59" t="n">
        <x:v>1</x:v>
      </x:c>
      <x:c r="K104" s="34" t="n">
        <x:f>I104*J104</x:f>
        <x:v>0</x:v>
      </x:c>
      <x:c r="L104" s="30" t="str">
        <x:v>原通信行 70</x:v>
      </x:c>
    </x:row>
    <x:row r="105" ht="15" customHeight="1">
      <x:c r="A105" s="30" t="str">
        <x:v>LM Head TP</x:v>
      </x:c>
      <x:c r="B105" s="30" t="str">
        <x:v>LM Head</x:v>
      </x:c>
      <x:c r="C105" s="30" t="str">
        <x:v>Reduce Sample</x:v>
      </x:c>
      <x:c r="D105" s="34" t="n">
        <x:f>(K71*2^20)/1e9</x:f>
        <x:v>0.002752512</x:v>
      </x:c>
      <x:c r="E105" s="64" t="n">
        <x:f>$H$81</x:f>
        <x:v>100</x:v>
      </x:c>
      <x:c r="F105" s="59" t="n">
        <x:v>1</x:v>
      </x:c>
      <x:c r="G105" s="34" t="n">
        <x:f>IF(AND(ISNUMBER(E105),E105&gt;0,ISNUMBER($B$81),$B$81&gt;=0,$B$81&lt;1,ISNUMBER($D$81),$D$81&gt;=0,$D$81&lt;=1,ISNUMBER(F105),F105&gt;=0,F105&lt;=1,ISNUMBER(J105),J105&gt;=0,J105&lt;=1),D105/E105*1000,NA())</x:f>
        <x:v>0.02752512</x:v>
      </x:c>
      <x:c r="H105" s="34" t="n">
        <x:f>G105+I105</x:f>
        <x:v>0.030583466666666666</x:v>
      </x:c>
      <x:c r="I105" s="34" t="n">
        <x:f>G105*F105*$D$81*$B$81/(1-$B$81)</x:f>
        <x:v>0.003058346666666667</x:v>
      </x:c>
      <x:c r="J105" s="59" t="n">
        <x:v>1</x:v>
      </x:c>
      <x:c r="K105" s="34" t="n">
        <x:f>I105*J105</x:f>
        <x:v>0.003058346666666667</x:v>
      </x:c>
      <x:c r="L105" s="30" t="str">
        <x:v>原通信行 71</x:v>
      </x:c>
    </x:row>
    <x:row r="106" ht="15" customHeight="1">
      <x:c r="A106" s="30" t="str">
        <x:v>Fine LM Head TP</x:v>
      </x:c>
      <x:c r="B106" s="30" t="str">
        <x:v>LM Head</x:v>
      </x:c>
      <x:c r="C106" s="30" t="str">
        <x:v>Hidden 输入</x:v>
      </x:c>
      <x:c r="D106" s="34" t="n">
        <x:f>(K72*2^20)/1e9</x:f>
        <x:v>0</x:v>
      </x:c>
      <x:c r="E106" s="64" t="n">
        <x:f>$H$81</x:f>
        <x:v>100</x:v>
      </x:c>
      <x:c r="F106" s="59" t="n">
        <x:v>1</x:v>
      </x:c>
      <x:c r="G106" s="34" t="n">
        <x:f>IF(AND(ISNUMBER(E106),E106&gt;0,ISNUMBER($B$81),$B$81&gt;=0,$B$81&lt;1,ISNUMBER($D$81),$D$81&gt;=0,$D$81&lt;=1,ISNUMBER(F106),F106&gt;=0,F106&lt;=1,ISNUMBER(J106),J106&gt;=0,J106&lt;=1),D106/E106*1000,NA())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G106*F106*$D$81*$B$81/(1-$B$81)</x:f>
        <x:v>0</x:v>
      </x:c>
      <x:c r="J106" s="59" t="n">
        <x:v>1</x:v>
      </x:c>
      <x:c r="K106" s="34" t="n">
        <x:f>I106*J106</x:f>
        <x:v>0</x:v>
      </x:c>
      <x:c r="L106" s="30" t="str">
        <x:v>原通信行 72</x:v>
      </x:c>
    </x:row>
    <x:row r="107" ht="15" customHeight="1">
      <x:c r="A107" s="30" t="str">
        <x:v>Fine LM Head TP</x:v>
      </x:c>
      <x:c r="B107" s="30" t="str">
        <x:v>LM Head</x:v>
      </x:c>
      <x:c r="C107" s="30" t="str">
        <x:v>完整 Logits</x:v>
      </x:c>
      <x:c r="D107" s="34" t="n">
        <x:f>(K73*2^20)/1e9</x:f>
        <x:v>0</x:v>
      </x:c>
      <x:c r="E107" s="64" t="n">
        <x:f>$H$81</x:f>
        <x:v>100</x:v>
      </x:c>
      <x:c r="F107" s="59" t="n">
        <x:v>1</x:v>
      </x:c>
      <x:c r="G107" s="34" t="n">
        <x:f>IF(AND(ISNUMBER(E107),E107&gt;0,ISNUMBER($B$81),$B$81&gt;=0,$B$81&lt;1,ISNUMBER($D$81),$D$81&gt;=0,$D$81&lt;=1,ISNUMBER(F107),F107&gt;=0,F107&lt;=1,ISNUMBER(J107),J107&gt;=0,J107&lt;=1),D107/E107*1000,NA())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G107*F107*$D$81*$B$81/(1-$B$81)</x:f>
        <x:v>0</x:v>
      </x:c>
      <x:c r="J107" s="59" t="n">
        <x:v>1</x:v>
      </x:c>
      <x:c r="K107" s="34" t="n">
        <x:f>I107*J107</x:f>
        <x:v>0</x:v>
      </x:c>
      <x:c r="L107" s="30" t="str">
        <x:v>原通信行 73</x:v>
      </x:c>
    </x:row>
    <x:row r="108" ht="15" customHeight="1">
      <x:c r="A108" s="30" t="str">
        <x:v>Fine LM Head TP</x:v>
      </x:c>
      <x:c r="B108" s="30" t="str">
        <x:v>LM Head</x:v>
      </x:c>
      <x:c r="C108" s="30" t="str">
        <x:v>Reduce Sample</x:v>
      </x:c>
      <x:c r="D108" s="34" t="n">
        <x:f>(K74*2^20)/1e9</x:f>
        <x:v>0</x:v>
      </x:c>
      <x:c r="E108" s="64" t="n">
        <x:f>$H$81</x:f>
        <x:v>100</x:v>
      </x:c>
      <x:c r="F108" s="59" t="n">
        <x:v>1</x:v>
      </x:c>
      <x:c r="G108" s="34" t="n">
        <x:f>IF(AND(ISNUMBER(E108),E108&gt;0,ISNUMBER($B$81),$B$81&gt;=0,$B$81&lt;1,ISNUMBER($D$81),$D$81&gt;=0,$D$81&lt;=1,ISNUMBER(F108),F108&gt;=0,F108&lt;=1,ISNUMBER(J108),J108&gt;=0,J108&lt;=1),D108/E108*1000,NA())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G108*F108*$D$81*$B$81/(1-$B$81)</x:f>
        <x:v>0</x:v>
      </x:c>
      <x:c r="J108" s="59" t="n">
        <x:v>1</x:v>
      </x:c>
      <x:c r="K108" s="34" t="n">
        <x:f>I108*J108</x:f>
        <x:v>0</x:v>
      </x:c>
      <x:c r="L108" s="30" t="str">
        <x:v>原通信行 74</x:v>
      </x:c>
    </x:row>
    <x:row r="109" ht="15" customHeight="1">
      <x:c r="A109" s="30" t="str">
        <x:v>EP</x:v>
      </x:c>
      <x:c r="B109" s="30" t="str">
        <x:v>MoE 计数</x:v>
      </x:c>
      <x:c r="C109" s="30" t="str">
        <x:v>MC2 count 写入</x:v>
      </x:c>
      <x:c r="D109" s="34" t="n">
        <x:f>(IF(E61=0,0,H61*ROUNDUP(256/G61,0)*(G61-1)*32))/1e9</x:f>
        <x:v>0.000544768</x:v>
      </x:c>
      <x:c r="E109" s="64" t="n">
        <x:f>$H$81</x:f>
        <x:v>100</x:v>
      </x:c>
      <x:c r="F109" s="59" t="n">
        <x:v>1</x:v>
      </x:c>
      <x:c r="G109" s="34" t="n">
        <x:f>IF(AND(ISNUMBER(E109),E109&gt;0,ISNUMBER($B$81),$B$81&gt;=0,$B$81&lt;1,ISNUMBER($D$81),$D$81&gt;=0,$D$81&lt;=1,ISNUMBER(F109),F109&gt;=0,F109&lt;=1,ISNUMBER(J109),J109&gt;=0,J109&lt;=1),D109/E109*1000,NA())</x:f>
        <x:v>0.005447680000000001</x:v>
      </x:c>
      <x:c r="H109" s="34" t="n">
        <x:f>G109+I109</x:f>
        <x:v>0.006052977777777779</x:v>
      </x:c>
      <x:c r="I109" s="34" t="n">
        <x:f>G109*F109*$D$81*$B$81/(1-$B$81)</x:f>
        <x:v>0.0006052977777777778</x:v>
      </x:c>
      <x:c r="J109" s="59" t="n">
        <x:v>1</x:v>
      </x:c>
      <x:c r="K109" s="34" t="n">
        <x:f>I109*J109</x:f>
        <x:v>0.0006052977777777778</x:v>
      </x:c>
      <x:c r="L109" s="30" t="str">
        <x:v>额外控制量</x:v>
      </x:c>
    </x:row>
    <x:row r="110" ht="15" customHeight="1">
      <x:c r="A110" s="40" t="str">
        <x:v>所列事件串行相加</x:v>
      </x:c>
      <x:c r="B110" s="40"/>
      <x:c r="C110" s="40"/>
      <x:c r="D110" s="41" t="n">
        <x:f>SUM(D87:D109)</x:f>
        <x:v>1.1986616319999999</x:v>
      </x:c>
      <x:c r="E110" s="40"/>
      <x:c r="F110" s="40"/>
      <x:c r="G110" s="41" t="n">
        <x:f>SUM(G87:G109)</x:f>
        <x:v>11.98661632</x:v>
      </x:c>
      <x:c r="H110" s="41" t="n">
        <x:f>SUM(H87:H109)</x:f>
        <x:v>13.318462577777776</x:v>
      </x:c>
      <x:c r="I110" s="41" t="n">
        <x:f>SUM(I87:I109)</x:f>
        <x:v>1.331846257777778</x:v>
      </x:c>
      <x:c r="J110" s="40"/>
      <x:c r="K110" s="41" t="n">
        <x:f>SUM(K87:K109)</x:f>
        <x:v>1.331846257777778</x:v>
      </x:c>
      <x:c r="L110" s="40"/>
    </x:row>
  </x:sheetData>
  <x:conditionalFormatting sqref="L83:L83">
    <x:cfRule type="containsText" dxfId="1" priority="1" operator="containsText" text="不一致"/>
  </x:conditionalFormatting>
  <x:pageMargins left="0.7" right="0.7" top="0.75" bottom="0.75" header="0.3" footer="0.3"/>
</x:worksheet>
</file>