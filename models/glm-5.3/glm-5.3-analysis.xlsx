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21c7bd93144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384ae4fa64f9491b"/>
    <x:sheet xmlns:r="http://schemas.openxmlformats.org/officeDocument/2006/relationships" name="Decode" sheetId="2" r:id="Rfe8fe7c3f5684f97"/>
    <x:sheet xmlns:r="http://schemas.openxmlformats.org/officeDocument/2006/relationships" name="分钟场景" sheetId="3" r:id="R506e9c7113c245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  <x:numFmt numFmtId="213" formatCode="0.00000000%"/>
    <x:numFmt numFmtId="214" formatCode="[=0]0.000000%;[&lt;0.00000001]&quot;&lt;0.000001%&quot;;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11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213" fontId="3" fillId="0" borderId="0" xfId="0" applyNumberFormat="1" applyFont="1" applyFill="1" applyBorder="1" applyAlignment="1">
      <x:alignment vertical="center"/>
    </x:xf>
    <x:xf numFmtId="0" fontId="1" fillId="12" borderId="1" xfId="0" applyNumberFormat="1" applyFont="1" applyFill="1" applyBorder="1" applyAlignment="1">
      <x:alignment horizontal="center" vertical="center" wrapText="1"/>
    </x:xf>
    <x:xf numFmtId="214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c4eaf5e20942d7" /><Relationship Type="http://schemas.openxmlformats.org/officeDocument/2006/relationships/theme" Target="/xl/theme/theme1.xml" Id="R054c806552594a93" /><Relationship Type="http://schemas.openxmlformats.org/officeDocument/2006/relationships/sharedStrings" Target="/xl/sharedStrings.xml" Id="R77ecb7faf53f4585" /><Relationship Type="http://schemas.openxmlformats.org/officeDocument/2006/relationships/worksheet" Target="/xl/worksheets/sheet1.xml" Id="R384ae4fa64f9491b" /><Relationship Type="http://schemas.openxmlformats.org/officeDocument/2006/relationships/worksheet" Target="/xl/worksheets/sheet2.xml" Id="Rfe8fe7c3f5684f97" /><Relationship Type="http://schemas.openxmlformats.org/officeDocument/2006/relationships/worksheet" Target="/xl/worksheets/sheet3.xml" Id="R506e9c7113c245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'Prefill'!$P$12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'Prefill'!$P$12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'Prefill'!$P$12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'Prefill'!$P$12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'Prefill'!$P$12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'Prefill'!$P$12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'Prefill'!$P$14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'Prefill'!$P$14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'Prefill'!$P$14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'Prefill'!$P$14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'Prefill'!$P$14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'Prefill'!$P$14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IF('Prefill'!$P$17="TP",'Prefill'!$P$18,1)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IF('Prefill'!$P$17="TP",'Prefill'!$P$18,1)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IF('Prefill'!$P$17="TP",'Prefill'!$P$18,1)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IF('Prefill'!$P$17="TP",'Prefill'!$P$18,1)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IF('Prefill'!$P$17="TP",'Prefill'!$P$18,1)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IF('Prefill'!$P$25&lt;&gt;0,1,'Prefill'!$P$12)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IF('Prefill'!$P$25&lt;&gt;0,1,'Prefill'!$P$12)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IF('Prefill'!$P$25&lt;&gt;0,1,'Prefill'!$P$12)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IF('Prefill'!$P$25&lt;&gt;0,1,'Prefill'!$P$12)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IF('Prefill'!$P$19&gt;0,'Prefill'!$P$19,'Prefill'!$P$12)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'Prefill'!$P$7*6144</x:f>
        <x:v>50331648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IF(AND(IF('Prefill'!$P$21&gt;0,'Prefill'!$P$21,'Prefill'!$P$12)&gt;1,'Prefill'!$P$24=0),1,0)</x:f>
        <x:v>1</x:v>
      </x:c>
      <x:c r="I53" s="34" t="n">
        <x:f>E53*F53/1048576</x:f>
        <x:v>96</x:v>
      </x:c>
      <x:c r="J53" s="34" t="n">
        <x:f>I53*(IF(G53&gt;1,2*(G53-1)/G53,0))</x:f>
        <x:v>168</x:v>
      </x:c>
      <x:c r="K53" s="34" t="n">
        <x:f>J53*H53</x:f>
        <x:v>168</x:v>
      </x:c>
      <x:c r="L53" s="34" t="n">
        <x:f>K53*G53</x:f>
        <x:v>1344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'Prefill'!$P$7</x:f>
        <x:v>8192</x:v>
      </x:c>
      <x:c r="F54" s="33" t="n">
        <x:f>'Prefill'!$P$30</x:f>
        <x:v>8</x:v>
      </x:c>
      <x:c r="G54" s="33" t="n">
        <x:f>IF('Prefill'!$P$21&gt;0,'Prefill'!$P$21,'Prefill'!$P$12)</x:f>
        <x:v>8</x:v>
      </x:c>
      <x:c r="H54" s="33" t="n">
        <x:f>IF(AND(IF('Prefill'!$P$21&gt;0,'Prefill'!$P$21,'Prefill'!$P$12)&gt;1,'Prefill'!$P$24&lt;&gt;0),1,0)</x:f>
        <x:v>0</x:v>
      </x:c>
      <x:c r="I54" s="34" t="n">
        <x:f>E54*F54/1048576</x:f>
        <x:v>0.0625</x:v>
      </x:c>
      <x:c r="J54" s="34" t="n">
        <x:f>I54*(IF(G54&gt;1,G54-1,0))</x:f>
        <x:v>0.4375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'Prefill'!$P$7*IF('Prefill'!$P$21&gt;0,'Prefill'!$P$21,'Prefill'!$P$12)*6144</x:f>
        <x:v>402653184</x:v>
      </x:c>
      <x:c r="F55" s="33" t="n">
        <x:f>'Prefill'!$P$28</x:f>
        <x:v>2</x:v>
      </x:c>
      <x:c r="G55" s="33" t="n">
        <x:f>IF('Prefill'!$P$21&gt;0,'Prefill'!$P$21,'Prefill'!$P$12)</x:f>
        <x:v>8</x:v>
      </x:c>
      <x:c r="H55" s="33" t="n">
        <x:f>IF(AND(IF('Prefill'!$P$21&gt;0,'Prefill'!$P$21,'Prefill'!$P$12)&gt;1,'Prefill'!$P$24&lt;&gt;0),1,0)</x:f>
        <x:v>0</x:v>
      </x:c>
      <x:c r="I55" s="34" t="n">
        <x:f>E55*F55/1048576</x:f>
        <x:v>768</x:v>
      </x:c>
      <x:c r="J55" s="34" t="n">
        <x:f>I55*(IF(G55&gt;1,(G55-1)/G55,0))</x:f>
        <x:v>672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((ROUNDUP('Prefill'!$P$7/'Prefill'!$P$12,0)*'Prefill'!$P$12)/'Prefill'!$P$12)*6144</x:f>
        <x:v>6291456</x:v>
      </x:c>
      <x:c r="F56" s="33" t="n">
        <x:f>'Prefill'!$P$28</x:f>
        <x:v>2</x:v>
      </x:c>
      <x:c r="G56" s="33" t="n">
        <x:f>'Prefill'!$P$12</x:f>
        <x:v>8</x:v>
      </x:c>
      <x:c r="H56" s="33" t="n">
        <x:f>79*IF(AND('Prefill'!$P$25&lt;&gt;0,'Prefill'!$P$12&gt;1),1,0)</x:f>
        <x:v>79</x:v>
      </x:c>
      <x:c r="I56" s="34" t="n">
        <x:f>E56*F56/1048576</x:f>
        <x:v>12</x:v>
      </x:c>
      <x:c r="J56" s="34" t="n">
        <x:f>I56*(IF(G56&gt;1,G56-1,0))</x:f>
        <x:v>84</x:v>
      </x:c>
      <x:c r="K56" s="34" t="n">
        <x:f>J56*H56</x:f>
        <x:v>6636</x:v>
      </x:c>
      <x:c r="L56" s="34" t="n">
        <x:f>K56*G56</x:f>
        <x:v>53088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((ROUNDUP('Prefill'!$P$7/'Prefill'!$P$12,0)*'Prefill'!$P$12)/'Prefill'!$P$12)*64*256</x:f>
        <x:v>16777216</x:v>
      </x:c>
      <x:c r="F57" s="33" t="n">
        <x:f>'Prefill'!$P$28</x:f>
        <x:v>2</x:v>
      </x:c>
      <x:c r="G57" s="33" t="n">
        <x:f>'Prefill'!$P$12</x:f>
        <x:v>8</x:v>
      </x:c>
      <x:c r="H57" s="33" t="n">
        <x:f>79*IF(AND('Prefill'!$P$25&lt;&gt;0,'Prefill'!$P$12&gt;1),1,0)</x:f>
        <x:v>79</x:v>
      </x:c>
      <x:c r="I57" s="34" t="n">
        <x:f>E57*F57/1048576</x:f>
        <x:v>32</x:v>
      </x:c>
      <x:c r="J57" s="34" t="n">
        <x:f>I57*(IF(G57&gt;1,(G57-1)/G57,0))</x:f>
        <x:v>28</x:v>
      </x:c>
      <x:c r="K57" s="34" t="n">
        <x:f>J57*H57</x:f>
        <x:v>2212</x:v>
      </x:c>
      <x:c r="L57" s="34" t="n">
        <x:f>K57*G57</x:f>
        <x:v>17696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((ROUNDUP('Prefill'!$P$7/'Prefill'!$P$12,0)*'Prefill'!$P$12)/'Prefill'!$P$12)*2048</x:f>
        <x:v>2097152</x:v>
      </x:c>
      <x:c r="F58" s="33" t="n">
        <x:f>'Prefill'!$P$31</x:f>
        <x:v>4</x:v>
      </x:c>
      <x:c r="G58" s="33" t="n">
        <x:f>'Prefill'!$P$12</x:f>
        <x:v>8</x:v>
      </x:c>
      <x:c r="H58" s="33" t="n">
        <x:f>22*IF(AND('Prefill'!$P$25&lt;&gt;0,'Prefill'!$P$12&gt;1),1,0)</x:f>
        <x:v>22</x:v>
      </x:c>
      <x:c r="I58" s="34" t="n">
        <x:f>E58*F58/1048576</x:f>
        <x:v>8</x:v>
      </x:c>
      <x:c r="J58" s="34" t="n">
        <x:f>I58*(IF(G58&gt;1,G58-1,0))</x:f>
        <x:v>56</x:v>
      </x:c>
      <x:c r="K58" s="34" t="n">
        <x:f>J58*H58</x:f>
        <x:v>1232</x:v>
      </x:c>
      <x:c r="L58" s="34" t="n">
        <x:f>K58*G58</x:f>
        <x:v>9856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'Prefill'!$P$7*6144</x:f>
        <x:v>50331648</x:v>
      </x:c>
      <x:c r="F59" s="33" t="n">
        <x:f>'Prefill'!$P$28</x:f>
        <x:v>2</x:v>
      </x:c>
      <x:c r="G59" s="33" t="n">
        <x:f>IF('Prefill'!$P$19&gt;0,'Prefill'!$P$19,'Prefill'!$P$12)</x:f>
        <x:v>8</x:v>
      </x:c>
      <x:c r="H59" s="33" t="n">
        <x:f>79*IF(AND('Prefill'!$P$25=0,IF('Prefill'!$P$19&gt;0,'Prefill'!$P$19,'Prefill'!$P$12)&gt;1),1,0)</x:f>
        <x:v>0</x:v>
      </x:c>
      <x:c r="I59" s="34" t="n">
        <x:f>E59*F59/1048576</x:f>
        <x:v>96</x:v>
      </x:c>
      <x:c r="J59" s="34" t="n">
        <x:f>I59*(IF(G59&gt;1,2*(G59-1)/G59,0))</x:f>
        <x:v>168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IF('Prefill'!$P$13&lt;&gt;0,((ROUNDUP('Prefill'!$P$7/'Prefill'!$P$12,0)*'Prefill'!$P$12)/'Prefill'!$P$12),'Prefill'!$P$7)*6144</x:f>
        <x:v>6291456</x:v>
      </x:c>
      <x:c r="F60" s="33" t="n">
        <x:f>'Prefill'!$P$28</x:f>
        <x:v>2</x:v>
      </x:c>
      <x:c r="G60" s="33" t="n">
        <x:f>'Prefill'!$P$12</x:f>
        <x:v>8</x:v>
      </x:c>
      <x:c r="H60" s="33" t="n">
        <x:f>3*IF('Prefill'!$P$12&gt;1,1,0)</x:f>
        <x:v>3</x:v>
      </x:c>
      <x:c r="I60" s="34" t="n">
        <x:f>E60*F60/1048576</x:f>
        <x:v>12</x:v>
      </x:c>
      <x:c r="J60" s="34" t="n">
        <x:f>I60*(IF(G60&gt;1,2*(G60-1)/G60,0))</x:f>
        <x:v>21</x:v>
      </x:c>
      <x:c r="K60" s="34" t="n">
        <x:f>J60*H60</x:f>
        <x:v>63</x:v>
      </x:c>
      <x:c r="L60" s="34" t="n">
        <x:f>K60*G60</x:f>
        <x:v>504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IF('Prefill'!$P$13&lt;&gt;0,((ROUNDUP('Prefill'!$P$7/'Prefill'!$P$12,0)*'Prefill'!$P$12)/'Prefill'!$P$12),'Prefill'!$P$7)*8*'Prefill'!$P$32*6144</x:f>
        <x:v>44040192</x:v>
      </x:c>
      <x:c r="F61" s="33" t="n">
        <x:f>'Prefill'!$P$28</x:f>
        <x:v>2</x:v>
      </x:c>
      <x:c r="G61" s="33" t="n">
        <x:f>'Prefill'!$P$14</x:f>
        <x:v>8</x:v>
      </x:c>
      <x:c r="H61" s="33" t="n">
        <x:f>76*IF('Prefill'!$P$14&gt;1,1,0)</x:f>
        <x:v>76</x:v>
      </x:c>
      <x:c r="I61" s="34" t="n">
        <x:f>E61*F61/1048576</x:f>
        <x:v>84</x:v>
      </x:c>
      <x:c r="J61" s="34" t="n">
        <x:f>I61*(1)</x:f>
        <x:v>84</x:v>
      </x:c>
      <x:c r="K61" s="34" t="n">
        <x:f>J61*H61</x:f>
        <x:v>6384</x:v>
      </x:c>
      <x:c r="L61" s="34" t="n">
        <x:f>K61*G61</x:f>
        <x:v>51072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IF('Prefill'!$P$13&lt;&gt;0,((ROUNDUP('Prefill'!$P$7/'Prefill'!$P$12,0)*'Prefill'!$P$12)/'Prefill'!$P$12),'Prefill'!$P$7)*8*'Prefill'!$P$32*6144</x:f>
        <x:v>44040192</x:v>
      </x:c>
      <x:c r="F62" s="33" t="n">
        <x:f>'Prefill'!$P$28</x:f>
        <x:v>2</x:v>
      </x:c>
      <x:c r="G62" s="33" t="n">
        <x:f>'Prefill'!$P$14</x:f>
        <x:v>8</x:v>
      </x:c>
      <x:c r="H62" s="33" t="n">
        <x:f>76*IF('Prefill'!$P$14&gt;1,1,0)</x:f>
        <x:v>76</x:v>
      </x:c>
      <x:c r="I62" s="34" t="n">
        <x:f>E62*F62/1048576</x:f>
        <x:v>84</x:v>
      </x:c>
      <x:c r="J62" s="34" t="n">
        <x:f>I62*(1)</x:f>
        <x:v>84</x:v>
      </x:c>
      <x:c r="K62" s="34" t="n">
        <x:f>J62*H62</x:f>
        <x:v>6384</x:v>
      </x:c>
      <x:c r="L62" s="34" t="n">
        <x:f>K62*G62</x:f>
        <x:v>51072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'Prefill'!$P$7*6144</x:f>
        <x:v>50331648</x:v>
      </x:c>
      <x:c r="F63" s="33" t="n">
        <x:f>'Prefill'!$P$28</x:f>
        <x:v>2</x:v>
      </x:c>
      <x:c r="G63" s="33" t="n">
        <x:f>'Prefill'!$P$11</x:f>
        <x:v>1</x:v>
      </x:c>
      <x:c r="H63" s="33" t="n">
        <x:f>76*IF(AND('Prefill'!$P$11&gt;1,'Prefill'!$P$14=1),1,0)</x:f>
        <x:v>0</x:v>
      </x:c>
      <x:c r="I63" s="34" t="n">
        <x:f>E63*F63/1048576</x:f>
        <x:v>96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'Prefill'!$P$7*256</x:f>
        <x:v>2097152</x:v>
      </x:c>
      <x:c r="F64" s="33" t="n">
        <x:f>'Prefill'!$P$28</x:f>
        <x:v>2</x:v>
      </x:c>
      <x:c r="G64" s="33" t="n">
        <x:f>'Prefill'!$P$11</x:f>
        <x:v>1</x:v>
      </x:c>
      <x:c r="H64" s="33" t="n">
        <x:f>76*IF(AND('Prefill'!$P$11&gt;1,'Prefill'!$P$14=1),1,0)</x:f>
        <x:v>0</x:v>
      </x:c>
      <x:c r="I64" s="34" t="n">
        <x:f>E64*F64/1048576</x:f>
        <x:v>4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'Prefill'!$P$7*'Prefill'!$P$11*6144</x:f>
        <x:v>50331648</x:v>
      </x:c>
      <x:c r="F65" s="33" t="n">
        <x:f>'Prefill'!$P$28</x:f>
        <x:v>2</x:v>
      </x:c>
      <x:c r="G65" s="33" t="n">
        <x:f>'Prefill'!$P$11</x:f>
        <x:v>1</x:v>
      </x:c>
      <x:c r="H65" s="33" t="n">
        <x:f>76*IF(AND('Prefill'!$P$11&gt;1,'Prefill'!$P$14=1),1,0)</x:f>
        <x:v>0</x:v>
      </x:c>
      <x:c r="I65" s="34" t="n">
        <x:f>E65*F65/1048576</x:f>
        <x:v>96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((ROUNDUP('Prefill'!$P$7/'Prefill'!$P$12,0)*'Prefill'!$P$12)/'Prefill'!$P$12)*6144</x:f>
        <x:v>6291456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76*IF(AND('Prefill'!$P$17="TP",IF('Prefill'!$P$17="TP",'Prefill'!$P$18,1)&gt;1,'Prefill'!$P$13&lt;&gt;0),1,0)</x:f>
        <x:v>76</x:v>
      </x:c>
      <x:c r="I66" s="34" t="n">
        <x:f>E66*F66/1048576</x:f>
        <x:v>12</x:v>
      </x:c>
      <x:c r="J66" s="34" t="n">
        <x:f>I66*(IF(G66&gt;1,G66-1,0))</x:f>
        <x:v>84</x:v>
      </x:c>
      <x:c r="K66" s="34" t="n">
        <x:f>J66*H66</x:f>
        <x:v>6384</x:v>
      </x:c>
      <x:c r="L66" s="34" t="n">
        <x:f>K66*G66</x:f>
        <x:v>51072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(ROUNDUP('Prefill'!$P$7/'Prefill'!$P$12,0)*'Prefill'!$P$12)*6144</x:f>
        <x:v>50331648</x:v>
      </x:c>
      <x:c r="F67" s="33" t="n">
        <x:f>'Prefill'!$P$28</x:f>
        <x:v>2</x:v>
      </x:c>
      <x:c r="G67" s="33" t="n">
        <x:f>IF('Prefill'!$P$17="TP",'Prefill'!$P$18,1)</x:f>
        <x:v>8</x:v>
      </x:c>
      <x:c r="H67" s="33" t="n">
        <x:f>76*IF(AND('Prefill'!$P$17="TP",IF('Prefill'!$P$17="TP",'Prefill'!$P$18,1)&gt;1,'Prefill'!$P$13&lt;&gt;0),1,0)</x:f>
        <x:v>76</x:v>
      </x:c>
      <x:c r="I67" s="34" t="n">
        <x:f>E67*F67/1048576</x:f>
        <x:v>96</x:v>
      </x:c>
      <x:c r="J67" s="34" t="n">
        <x:f>I67*(IF(G67&gt;1,(G67-1)/G67,0))</x:f>
        <x:v>84</x:v>
      </x:c>
      <x:c r="K67" s="34" t="n">
        <x:f>J67*H67</x:f>
        <x:v>6384</x:v>
      </x:c>
      <x:c r="L67" s="34" t="n">
        <x:f>K67*G67</x:f>
        <x:v>51072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'Prefill'!$P$7*6144</x:f>
        <x:v>50331648</x:v>
      </x:c>
      <x:c r="F68" s="33" t="n">
        <x:f>'Prefill'!$P$28</x:f>
        <x:v>2</x:v>
      </x:c>
      <x:c r="G68" s="33" t="n">
        <x:f>IF('Prefill'!$P$17="TP",'Prefill'!$P$18,1)</x:f>
        <x:v>8</x:v>
      </x:c>
      <x:c r="H68" s="33" t="n">
        <x:f>76*IF(AND('Prefill'!$P$17="TP",IF('Prefill'!$P$17="TP",'Prefill'!$P$18,1)&gt;1,'Prefill'!$P$13=0),1,0)</x:f>
        <x:v>0</x:v>
      </x:c>
      <x:c r="I68" s="34" t="n">
        <x:f>E68*F68/1048576</x:f>
        <x:v>96</x:v>
      </x:c>
      <x:c r="J68" s="34" t="n">
        <x:f>I68*(IF(G68&gt;1,2*(G68-1)/G68,0))</x:f>
        <x:v>168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Hidden 输入</x:v>
      </x:c>
      <x:c r="D69" s="30" t="str">
        <x:v>Ring AllGather</x:v>
      </x:c>
      <x:c r="E69" s="33" t="n">
        <x:f>((ROUNDUP('Prefill'!$P$7/'Prefill'!$P$15,0)*'Prefill'!$P$15)/'Prefill'!$P$15)*6144</x:f>
        <x:v>50331648</x:v>
      </x:c>
      <x:c r="F69" s="33" t="n">
        <x:f>'Prefill'!$P$28</x:f>
        <x:v>2</x:v>
      </x:c>
      <x:c r="G69" s="33" t="n">
        <x:f>'Prefill'!$P$15</x:f>
        <x:v>1</x:v>
      </x:c>
      <x:c r="H69" s="33" t="n">
        <x:f>76*IF('Prefill'!$P$15&gt;1,1,0)</x:f>
        <x:v>0</x:v>
      </x:c>
      <x:c r="I69" s="34" t="n">
        <x:f>E69*F69/1048576</x:f>
        <x:v>96</x:v>
      </x:c>
      <x:c r="J69" s="34" t="n">
        <x:f>I69*(IF(G69&gt;1,G69-1,0))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MoE Router</x:v>
      </x:c>
      <x:c r="C70" s="30" t="str">
        <x:v>Router Logits</x:v>
      </x:c>
      <x:c r="D70" s="30" t="str">
        <x:v>Ring AllGather</x:v>
      </x:c>
      <x:c r="E70" s="33" t="n">
        <x:f>((ROUNDUP('Prefill'!$P$7/'Prefill'!$P$15,0)*'Prefill'!$P$15)/'Prefill'!$P$15)*256</x:f>
        <x:v>2097152</x:v>
      </x:c>
      <x:c r="F70" s="33" t="n">
        <x:f>'Prefill'!$P$28</x:f>
        <x:v>2</x:v>
      </x:c>
      <x:c r="G70" s="33" t="n">
        <x:f>'Prefill'!$P$15</x:f>
        <x:v>1</x:v>
      </x:c>
      <x:c r="H70" s="33" t="n">
        <x:f>76*IF('Prefill'!$P$15&gt;1,1,0)</x:f>
        <x:v>0</x:v>
      </x:c>
      <x:c r="I70" s="34" t="n">
        <x:f>E70*F70/1048576</x:f>
        <x:v>4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PCP</x:v>
      </x:c>
      <x:c r="B71" s="30" t="str">
        <x:v>MoE</x:v>
      </x:c>
      <x:c r="C71" s="30" t="str">
        <x:v>Routed Expert 输出</x:v>
      </x:c>
      <x:c r="D71" s="30" t="str">
        <x:v>Ring ReduceScatter</x:v>
      </x:c>
      <x:c r="E71" s="33" t="n">
        <x:f>(ROUNDUP('Prefill'!$P$7/'Prefill'!$P$15,0)*'Prefill'!$P$15)*6144</x:f>
        <x:v>50331648</x:v>
      </x:c>
      <x:c r="F71" s="33" t="n">
        <x:f>'Prefill'!$P$28</x:f>
        <x:v>2</x:v>
      </x:c>
      <x:c r="G71" s="33" t="n">
        <x:f>'Prefill'!$P$15</x:f>
        <x:v>1</x:v>
      </x:c>
      <x:c r="H71" s="33" t="n">
        <x:f>76*IF('Prefill'!$P$15&gt;1,1,0)</x:f>
        <x:v>0</x:v>
      </x:c>
      <x:c r="I71" s="34" t="n">
        <x:f>E71*F71/1048576</x:f>
        <x:v>96</x:v>
      </x:c>
      <x:c r="J71" s="34" t="n">
        <x:f>I71*(IF(G71&gt;1,(G71-1)/G71,0))</x:f>
        <x:v>0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PCP</x:v>
      </x:c>
      <x:c r="B72" s="30" t="str">
        <x:v>Attention KV</x:v>
      </x:c>
      <x:c r="C72" s="30" t="str">
        <x:v>KV Cache 写入前</x:v>
      </x:c>
      <x:c r="D72" s="30" t="str">
        <x:v>Ring AllGather</x:v>
      </x:c>
      <x:c r="E72" s="33" t="n">
        <x:f>((ROUNDUP('Prefill'!$P$7/'Prefill'!$P$15,0)*'Prefill'!$P$15)/'Prefill'!$P$15)*576</x:f>
        <x:v>4718592</x:v>
      </x:c>
      <x:c r="F72" s="33" t="n">
        <x:f>'Prefill'!$P$28</x:f>
        <x:v>2</x:v>
      </x:c>
      <x:c r="G72" s="33" t="n">
        <x:f>'Prefill'!$P$15</x:f>
        <x:v>1</x:v>
      </x:c>
      <x:c r="H72" s="33" t="n">
        <x:f>79*IF('Prefill'!$P$15&gt;1,1,0)</x:f>
        <x:v>0</x:v>
      </x:c>
      <x:c r="I72" s="34" t="n">
        <x:f>E72*F72/1048576</x:f>
        <x:v>9</x:v>
      </x:c>
      <x:c r="J72" s="34" t="n">
        <x:f>I72*(IF(G72&gt;1,G72-1,0))</x:f>
        <x:v>0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Model Output</x:v>
      </x:c>
      <x:c r="C73" s="30" t="str">
        <x:v>Final Norm 后</x:v>
      </x:c>
      <x:c r="D73" s="30" t="str">
        <x:v>Ring AllGather</x:v>
      </x:c>
      <x:c r="E73" s="33" t="n">
        <x:f>((ROUNDUP('Prefill'!$P$7/'Prefill'!$P$12,0)*'Prefill'!$P$12)/'Prefill'!$P$12)*6144</x:f>
        <x:v>6291456</x:v>
      </x:c>
      <x:c r="F73" s="33" t="n">
        <x:f>'Prefill'!$P$28</x:f>
        <x:v>2</x:v>
      </x:c>
      <x:c r="G73" s="33" t="n">
        <x:f>'Prefill'!$P$12</x:f>
        <x:v>8</x:v>
      </x:c>
      <x:c r="H73" s="33" t="n">
        <x:f>IF(AND('Prefill'!$P$13&lt;&gt;0,'Prefill'!$P$12&gt;1),1,0)</x:f>
        <x:v>1</x:v>
      </x:c>
      <x:c r="I73" s="34" t="n">
        <x:f>E73*F73/1048576</x:f>
        <x:v>12</x:v>
      </x:c>
      <x:c r="J73" s="34" t="n">
        <x:f>I73*(IF(G73&gt;1,G73-1,0))</x:f>
        <x:v>84</x:v>
      </x:c>
      <x:c r="K73" s="34" t="n">
        <x:f>J73*H73</x:f>
        <x:v>84</x:v>
      </x:c>
      <x:c r="L73" s="34" t="n">
        <x:f>K73*G73</x:f>
        <x:v>672</x:v>
      </x:c>
      <x:c r="M73" s="30"/>
      <x:c r="N73" s="30"/>
      <x:c r="O73" s="30"/>
      <x:c r="P73" s="30"/>
    </x:row>
    <x:row r="74">
      <x:c r="A74" s="30" t="str">
        <x:v>LM Head TP</x:v>
      </x:c>
      <x:c r="B74" s="30" t="str">
        <x:v>LM Head</x:v>
      </x:c>
      <x:c r="C74" s="30" t="str">
        <x:v>完整 Logits</x:v>
      </x:c>
      <x:c r="D74" s="30" t="str">
        <x:v>Ring AllGather</x:v>
      </x:c>
      <x:c r="E74" s="33" t="n">
        <x:f>'Prefill'!$P$8*154880/IF('Prefill'!$P$20&gt;0,'Prefill'!$P$20,'Prefill'!$P$12)</x:f>
        <x:v>2478080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IF(AND(IF('Prefill'!$P$20&gt;0,'Prefill'!$P$20,'Prefill'!$P$12)&gt;1,'Prefill'!$P$23=0,'Prefill'!$P$33=0),1,0)</x:f>
        <x:v>0</x:v>
      </x:c>
      <x:c r="I74" s="34" t="n">
        <x:f>E74*F74/1048576</x:f>
        <x:v>4.7265625</x:v>
      </x:c>
      <x:c r="J74" s="34" t="n">
        <x:f>I74*(IF(G74&gt;1,G74-1,0))</x:f>
        <x:v>33.0859375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'Prefill'!$P$8*'Prefill'!$P$34</x:f>
        <x:v>32768</x:v>
      </x:c>
      <x:c r="F75" s="33" t="n">
        <x:f>('Prefill'!$P$28+'Prefill'!$P$31)</x:f>
        <x:v>6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IF(AND(IF('Prefill'!$P$20&gt;0,'Prefill'!$P$20,'Prefill'!$P$12)&gt;1,'Prefill'!$P$23=0,'Prefill'!$P$33&lt;&gt;0),1,0)</x:f>
        <x:v>1</x:v>
      </x:c>
      <x:c r="I75" s="34" t="n">
        <x:f>E75*F75/1048576</x:f>
        <x:v>0.1875</x:v>
      </x:c>
      <x:c r="J75" s="34" t="n">
        <x:f>I75*(IF(G75&gt;1,G75-1,0))</x:f>
        <x:v>1.3125</x:v>
      </x:c>
      <x:c r="K75" s="34" t="n">
        <x:f>J75*H75</x:f>
        <x:v>1.3125</x:v>
      </x:c>
      <x:c r="L75" s="34" t="n">
        <x:f>K75*G75</x:f>
        <x:v>10.5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Hidden 输入</x:v>
      </x:c>
      <x:c r="D76" s="30" t="str">
        <x:v>Ring AllGather</x:v>
      </x:c>
      <x:c r="E76" s="33" t="n">
        <x:f>'Prefill'!$P$8*6144</x:f>
        <x:v>786432</x:v>
      </x:c>
      <x:c r="F76" s="33" t="n">
        <x:f>'Prefill'!$P$28</x:f>
        <x:v>2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IF(AND(IF('Prefill'!$P$20&gt;0,'Prefill'!$P$20,'Prefill'!$P$12)&gt;1,'Prefill'!$P$23&lt;&gt;0),1,0)</x:f>
        <x:v>0</x:v>
      </x:c>
      <x:c r="I76" s="34" t="n">
        <x:f>E76*F76/1048576</x:f>
        <x:v>1.5</x:v>
      </x:c>
      <x:c r="J76" s="34" t="n">
        <x:f>I76*(IF(G76&gt;1,G76-1,0))</x:f>
        <x:v>10.5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Fine LM Head TP</x:v>
      </x:c>
      <x:c r="B77" s="30" t="str">
        <x:v>LM Head</x:v>
      </x:c>
      <x:c r="C77" s="30" t="str">
        <x:v>完整 Logits</x:v>
      </x:c>
      <x:c r="D77" s="30" t="str">
        <x:v>Equal-split AllToAll</x:v>
      </x:c>
      <x:c r="E77" s="33" t="n">
        <x:f>'Prefill'!$P$8*154880</x:f>
        <x:v>19824640</x:v>
      </x:c>
      <x:c r="F77" s="33" t="n">
        <x:f>'Prefill'!$P$28</x:f>
        <x:v>2</x:v>
      </x:c>
      <x:c r="G77" s="33" t="n">
        <x:f>IF('Prefill'!$P$20&gt;0,'Prefill'!$P$20,'Prefill'!$P$12)</x:f>
        <x:v>8</x:v>
      </x:c>
      <x:c r="H77" s="33" t="n">
        <x:f>IF(AND(IF('Prefill'!$P$20&gt;0,'Prefill'!$P$20,'Prefill'!$P$12)&gt;1,'Prefill'!$P$23&lt;&gt;0,'Prefill'!$P$33=0),1,0)</x:f>
        <x:v>0</x:v>
      </x:c>
      <x:c r="I77" s="34" t="n">
        <x:f>E77*F77/1048576</x:f>
        <x:v>37.8125</x:v>
      </x:c>
      <x:c r="J77" s="34" t="n">
        <x:f>I77*(IF(G77&gt;1,(G77-1)/G77,0))</x:f>
        <x:v>33.0859375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Fine LM Head TP</x:v>
      </x:c>
      <x:c r="B78" s="30" t="str">
        <x:v>LM Head</x:v>
      </x:c>
      <x:c r="C78" s="30" t="str">
        <x:v>Reduce Sample</x:v>
      </x:c>
      <x:c r="D78" s="30" t="str">
        <x:v>Ring AllGather</x:v>
      </x:c>
      <x:c r="E78" s="33" t="n">
        <x:f>'Prefill'!$P$8*'Prefill'!$P$34</x:f>
        <x:v>32768</x:v>
      </x:c>
      <x:c r="F78" s="33" t="n">
        <x:f>('Prefill'!$P$28+'Prefill'!$P$31)</x:f>
        <x:v>6</x:v>
      </x:c>
      <x:c r="G78" s="33" t="n">
        <x:f>IF('Prefill'!$P$20&gt;0,'Prefill'!$P$20,'Prefill'!$P$12)</x:f>
        <x:v>8</x:v>
      </x:c>
      <x:c r="H78" s="33" t="n">
        <x:f>IF(AND(IF('Prefill'!$P$20&gt;0,'Prefill'!$P$20,'Prefill'!$P$12)&gt;1,'Prefill'!$P$23&lt;&gt;0,'Prefill'!$P$33&lt;&gt;0),1,0)</x:f>
        <x:v>0</x:v>
      </x:c>
      <x:c r="I78" s="34" t="n">
        <x:f>E78*F78/1048576</x:f>
        <x:v>0.1875</x:v>
      </x:c>
      <x:c r="J78" s="34" t="n">
        <x:f>I78*(IF(G78&gt;1,G78-1,0))</x:f>
        <x:v>1.3125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40" t="str">
        <x:v>合计</x:v>
      </x:c>
      <x:c r="B79" s="40"/>
      <x:c r="C79" s="40"/>
      <x:c r="D79" s="40"/>
      <x:c r="E79" s="40"/>
      <x:c r="F79" s="40"/>
      <x:c r="G79" s="40"/>
      <x:c r="H79" s="40"/>
      <x:c r="I79" s="41"/>
      <x:c r="J79" s="41"/>
      <x:c r="K79" s="41" t="n">
        <x:f>SUM(K53:K78)</x:f>
        <x:v>35932.3125</x:v>
      </x:c>
      <x:c r="L79" s="41" t="n">
        <x:f>SUM(L53:L78)</x:f>
        <x:v>287458.5</x:v>
      </x:c>
      <x:c r="M79" s="30"/>
      <x:c r="N79" s="30"/>
      <x:c r="O79" s="30"/>
      <x:c r="P79" s="30"/>
    </x:row>
    <x:row r="82" ht="15" customHeight="1">
      <x:c r="A82" s="40" t="str">
        <x:v>PD 带宽争用耗时评估</x:v>
      </x:c>
      <x:c r="B82" s="30"/>
      <x:c r="C82" s="30"/>
      <x:c r="D82" s="30"/>
      <x:c r="E82" s="30"/>
      <x:c r="F82" s="30"/>
      <x:c r="G82" s="30"/>
      <x:c r="H82" s="30"/>
      <x:c r="I82" s="30"/>
      <x:c r="J82" s="30"/>
      <x:c r="K82" s="30"/>
      <x:c r="L82" s="30"/>
    </x:row>
    <x:row r="83" ht="15" customHeight="1">
      <x:c r="A83" s="30" t="str">
        <x:v>Prefill 当前表参数；100 GB/s 为归一化示例。所列事件的带宽项，不等于完整 forward 耗时。</x:v>
      </x:c>
      <x:c r="B83" s="30"/>
      <x:c r="C83" s="30"/>
      <x:c r="D83" s="30"/>
      <x:c r="E83" s="30"/>
      <x:c r="F83" s="30"/>
      <x:c r="G83" s="30"/>
      <x:c r="H83" s="30"/>
      <x:c r="I83" s="30"/>
      <x:c r="J83" s="30"/>
      <x:c r="K83" s="30"/>
      <x:c r="L83" s="30"/>
    </x:row>
    <x:row r="84" ht="30" customHeight="1">
      <x:c r="A84" s="62" t="str">
        <x:v>带宽降幅</x:v>
      </x:c>
      <x:c r="B84" s="62" t="str">
        <x:v>输入</x:v>
      </x:c>
      <x:c r="C84" s="62" t="str">
        <x:v>争用覆盖率</x:v>
      </x:c>
      <x:c r="D84" s="62" t="str">
        <x:v>输入</x:v>
      </x:c>
      <x:c r="E84" s="62" t="str">
        <x:v>基线 forward ms</x:v>
      </x:c>
      <x:c r="F84" s="62" t="str">
        <x:v>实测输入</x:v>
      </x:c>
      <x:c r="G84" s="62" t="str">
        <x:v>默认带宽 GB/s</x:v>
      </x:c>
      <x:c r="H84" s="62" t="str">
        <x:v>输入</x:v>
      </x:c>
      <x:c r="I84" s="30"/>
      <x:c r="J84" s="30"/>
      <x:c r="K84" s="30"/>
      <x:c r="L84" s="30"/>
    </x:row>
    <x:row r="85" ht="15" customHeight="1">
      <x:c r="A85" s="30"/>
      <x:c r="B85" s="63" t="n">
        <x:v>0.1</x:v>
      </x:c>
      <x:c r="C85" s="30"/>
      <x:c r="D85" s="63" t="n">
        <x:v>1</x:v>
      </x:c>
      <x:c r="E85" s="30"/>
      <x:c r="F85" s="38"/>
      <x:c r="G85" s="30"/>
      <x:c r="H85" s="36" t="n">
        <x:v>100</x:v>
      </x:c>
      <x:c r="I85" s="30"/>
      <x:c r="J85" s="30"/>
      <x:c r="K85" s="30"/>
      <x:c r="L85" s="30"/>
    </x:row>
    <x:row r="86" ht="30" customHeight="1">
      <x:c r="A86" s="62" t="str">
        <x:v>通信基线 ms</x:v>
      </x:c>
      <x:c r="B86" s="62" t="str">
        <x:v>结果</x:v>
      </x:c>
      <x:c r="C86" s="62" t="str">
        <x:v>通信争用后 ms</x:v>
      </x:c>
      <x:c r="D86" s="62" t="str">
        <x:v>结果</x:v>
      </x:c>
      <x:c r="E86" s="62" t="str">
        <x:v>forward 增量 ms</x:v>
      </x:c>
      <x:c r="F86" s="62" t="str">
        <x:v>结果</x:v>
      </x:c>
      <x:c r="G86" s="62" t="str">
        <x:v>forward 新耗时 ms</x:v>
      </x:c>
      <x:c r="H86" s="62" t="str">
        <x:v>结果</x:v>
      </x:c>
      <x:c r="I86" s="62" t="str">
        <x:v>forward 增幅</x:v>
      </x:c>
      <x:c r="J86" s="62" t="str">
        <x:v>结果</x:v>
      </x:c>
      <x:c r="K86" s="62" t="str">
        <x:v>输入状态</x:v>
      </x:c>
      <x:c r="L86" s="62" t="str">
        <x:v>状态</x:v>
      </x:c>
    </x:row>
    <x:row r="87" ht="15" customHeight="1">
      <x:c r="A87" s="49"/>
      <x:c r="B87" s="49" t="n">
        <x:f>SUM(G91:G117)</x:f>
        <x:v>376.7830528</x:v>
      </x:c>
      <x:c r="C87" s="49"/>
      <x:c r="D87" s="49" t="n">
        <x:f>SUM(H91:H117)</x:f>
        <x:v>418.64783644444447</x:v>
      </x:c>
      <x:c r="E87" s="49"/>
      <x:c r="F87" s="49" t="n">
        <x:f>SUM(K91:K117)</x:f>
        <x:v>41.86478364444446</x:v>
      </x:c>
      <x:c r="G87" s="49"/>
      <x:c r="H87" s="49" t="str">
        <x:f>IF(AND(ISNUMBER($F$85),$F$85&gt;0,$F$85&gt;=SUMPRODUCT(G91:G117,J91:J117)),$F$85+F87,"")</x:f>
      </x:c>
      <x:c r="I87" s="49"/>
      <x:c r="J87" s="50" t="str">
        <x:f>IF(AND(ISNUMBER($F$85),$F$85&gt;0,$F$85&gt;=SUMPRODUCT(G91:G117,J91:J117)),F87/$F$85,"")</x:f>
      </x:c>
      <x:c r="K87" s="49"/>
      <x:c r="L87" s="49" t="str">
        <x:f>IF($F$85="","待填基线",IF(AND(ISNUMBER($F$85),$F$85&gt;0,$F$85&gt;=SUMPRODUCT(G91:G117,J91:J117)),"已填基线","基线/暴露不一致"))</x:f>
        <x:v>待填基线</x:v>
      </x:c>
    </x:row>
    <x:row r="88" ht="15" customHeight="1">
      <x:c r="A88" s="30" t="str">
        <x:v>共享比例=0 表示独立链路；暴露系数=0 表示增量完全隐藏。默认均为 1，降幅只作用于带宽项。</x:v>
      </x:c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</x:row>
    <x:row r="89" ht="15" customHeight="1">
      <x:c r="A89" s="30" t="str">
        <x:v>P: AllToAllV + 4 B 计数 Ring；D: A3 BF16 MC2 FullMesh。每事件带宽按端点发送量定义。</x:v>
      </x:c>
      <x:c r="B89" s="30"/>
      <x:c r="C89" s="30"/>
      <x:c r="D89" s="30"/>
      <x:c r="E89" s="30"/>
      <x:c r="F89" s="30"/>
      <x:c r="G89" s="30"/>
      <x:c r="H89" s="30"/>
      <x:c r="I89" s="30"/>
      <x:c r="J89" s="30"/>
      <x:c r="K89" s="30"/>
      <x:c r="L89" s="30"/>
    </x:row>
    <x:row r="90" ht="30" customHeight="1">
      <x:c r="A90" s="62" t="str">
        <x:v>并行域</x:v>
      </x:c>
      <x:c r="B90" s="62" t="str">
        <x:v>模块</x:v>
      </x:c>
      <x:c r="C90" s="62" t="str">
        <x:v>通信事件</x:v>
      </x:c>
      <x:c r="D90" s="62" t="str">
        <x:v>GB/Rank/Step</x:v>
      </x:c>
      <x:c r="E90" s="62" t="str">
        <x:v>有效带宽 GB/s</x:v>
      </x:c>
      <x:c r="F90" s="62" t="str">
        <x:v>共享比例</x:v>
      </x:c>
      <x:c r="G90" s="62" t="str">
        <x:v>基线带宽项 ms</x:v>
      </x:c>
      <x:c r="H90" s="62" t="str">
        <x:v>争用后带宽项 ms</x:v>
      </x:c>
      <x:c r="I90" s="62" t="str">
        <x:v>通信增量 ms</x:v>
      </x:c>
      <x:c r="J90" s="62" t="str">
        <x:v>暴露系数</x:v>
      </x:c>
      <x:c r="K90" s="62" t="str">
        <x:v>forward 增量 ms</x:v>
      </x:c>
      <x:c r="L90" s="62" t="str">
        <x:v>公式口径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标准 TP 输出</x:v>
      </x:c>
      <x:c r="D91" s="34" t="n">
        <x:f>(K53*2^20)/1e9</x:f>
        <x:v>0.176160768</x:v>
      </x:c>
      <x:c r="E91" s="64" t="n">
        <x:f>$H$85</x:f>
        <x:v>100</x:v>
      </x:c>
      <x:c r="F91" s="59" t="n">
        <x:v>1</x:v>
      </x:c>
      <x:c r="G91" s="34" t="n">
        <x:f>IF(AND(ISNUMBER(E91),E91&gt;0,ISNUMBER($B$85),$B$85&gt;=0,$B$85&lt;1,ISNUMBER($D$85),$D$85&gt;=0,$D$85&lt;=1,ISNUMBER(F91),F91&gt;=0,F91&lt;=1,ISNUMBER(J91),J91&gt;=0,J91&lt;=1),D91/E91*1000,NA())</x:f>
        <x:v>1.76160768</x:v>
      </x:c>
      <x:c r="H91" s="34" t="n">
        <x:f>G91+I91</x:f>
        <x:v>1.9573418666666667</x:v>
      </x:c>
      <x:c r="I91" s="34" t="n">
        <x:f>G91*F91*$D$85*$B$85/(1-$B$85)</x:f>
        <x:v>0.1957341866666667</x:v>
      </x:c>
      <x:c r="J91" s="59" t="n">
        <x:v>1</x:v>
      </x:c>
      <x:c r="K91" s="34" t="n">
        <x:f>I91*J91</x:f>
        <x:v>0.1957341866666667</x:v>
      </x:c>
      <x:c r="L91" s="30" t="str">
        <x:v>原通信行 53</x:v>
      </x:c>
    </x:row>
    <x:row r="92" ht="15" customHeight="1">
      <x:c r="A92" s="30" t="str">
        <x:v>Embedding TP</x:v>
      </x:c>
      <x:c r="B92" s="30" t="str">
        <x:v>Embedding</x:v>
      </x:c>
      <x:c r="C92" s="30" t="str">
        <x:v>Fine TP Token ID</x:v>
      </x:c>
      <x:c r="D92" s="34" t="n">
        <x:f>(K54*2^20)/1e9</x:f>
        <x:v>0</x:v>
      </x:c>
      <x:c r="E92" s="64" t="n">
        <x:f>$H$85</x:f>
        <x:v>100</x:v>
      </x:c>
      <x:c r="F92" s="59" t="n">
        <x:v>1</x:v>
      </x:c>
      <x:c r="G92" s="34" t="n">
        <x:f>IF(AND(ISNUMBER(E92),E92&gt;0,ISNUMBER($B$85),$B$85&gt;=0,$B$85&lt;1,ISNUMBER($D$85),$D$85&gt;=0,$D$85&lt;=1,ISNUMBER(F92),F92&gt;=0,F92&lt;=1,ISNUMBER(J92),J92&gt;=0,J92&lt;=1),D92/E92*1000,NA())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G92*F92*$D$85*$B$85/(1-$B$85)</x:f>
        <x:v>0</x:v>
      </x:c>
      <x:c r="J92" s="59" t="n">
        <x:v>1</x:v>
      </x:c>
      <x:c r="K92" s="34" t="n">
        <x:f>I92*J92</x:f>
        <x:v>0</x:v>
      </x:c>
      <x:c r="L92" s="30" t="str">
        <x:v>原通信行 54</x:v>
      </x:c>
    </x:row>
    <x:row r="93" ht="15" customHeight="1">
      <x:c r="A93" s="30" t="str">
        <x:v>Embedding TP</x:v>
      </x:c>
      <x:c r="B93" s="30" t="str">
        <x:v>Embedding</x:v>
      </x:c>
      <x:c r="C93" s="30" t="str">
        <x:v>Fine TP Hidden</x:v>
      </x:c>
      <x:c r="D93" s="34" t="n">
        <x:f>(K55*2^20)/1e9</x:f>
        <x:v>0</x:v>
      </x:c>
      <x:c r="E93" s="64" t="n">
        <x:f>$H$85</x:f>
        <x:v>100</x:v>
      </x:c>
      <x:c r="F93" s="59" t="n">
        <x:v>1</x:v>
      </x:c>
      <x:c r="G93" s="34" t="n">
        <x:f>IF(AND(ISNUMBER(E93),E93&gt;0,ISNUMBER($B$85),$B$85&gt;=0,$B$85&lt;1,ISNUMBER($D$85),$D$85&gt;=0,$D$85&lt;=1,ISNUMBER(F93),F93&gt;=0,F93&lt;=1,ISNUMBER(J93),J93&gt;=0,J93&lt;=1),D93/E93*1000,NA())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G93*F93*$D$85*$B$85/(1-$B$85)</x:f>
        <x:v>0</x:v>
      </x:c>
      <x:c r="J93" s="59" t="n">
        <x:v>1</x:v>
      </x:c>
      <x:c r="K93" s="34" t="n">
        <x:f>I93*J93</x:f>
        <x:v>0</x:v>
      </x:c>
      <x:c r="L93" s="30" t="str">
        <x:v>原通信行 55</x:v>
      </x:c>
    </x:row>
    <x:row r="94" ht="15" customHeight="1">
      <x:c r="A94" s="30" t="str">
        <x:v>DSA CP</x:v>
      </x:c>
      <x:c r="B94" s="30" t="str">
        <x:v>Sparse Attention</x:v>
      </x:c>
      <x:c r="C94" s="30" t="str">
        <x:v>Q/KV 投影输入</x:v>
      </x:c>
      <x:c r="D94" s="34" t="n">
        <x:f>(K56*2^20)/1e9</x:f>
        <x:v>6.958350336</x:v>
      </x:c>
      <x:c r="E94" s="64" t="n">
        <x:f>$H$85</x:f>
        <x:v>100</x:v>
      </x:c>
      <x:c r="F94" s="59" t="n">
        <x:v>1</x:v>
      </x:c>
      <x:c r="G94" s="34" t="n">
        <x:f>IF(AND(ISNUMBER(E94),E94&gt;0,ISNUMBER($B$85),$B$85&gt;=0,$B$85&lt;1,ISNUMBER($D$85),$D$85&gt;=0,$D$85&lt;=1,ISNUMBER(F94),F94&gt;=0,F94&lt;=1,ISNUMBER(J94),J94&gt;=0,J94&lt;=1),D94/E94*1000,NA())</x:f>
        <x:v>69.58350336</x:v>
      </x:c>
      <x:c r="H94" s="34" t="n">
        <x:f>G94+I94</x:f>
        <x:v>77.31500373333333</x:v>
      </x:c>
      <x:c r="I94" s="34" t="n">
        <x:f>G94*F94*$D$85*$B$85/(1-$B$85)</x:f>
        <x:v>7.731500373333333</x:v>
      </x:c>
      <x:c r="J94" s="59" t="n">
        <x:v>1</x:v>
      </x:c>
      <x:c r="K94" s="34" t="n">
        <x:f>I94*J94</x:f>
        <x:v>7.731500373333333</x:v>
      </x:c>
      <x:c r="L94" s="30" t="str">
        <x:v>原通信行 56</x:v>
      </x:c>
    </x:row>
    <x:row r="95" ht="15" customHeight="1">
      <x:c r="A95" s="30" t="str">
        <x:v>DSA CP</x:v>
      </x:c>
      <x:c r="B95" s="30" t="str">
        <x:v>Sparse Attention</x:v>
      </x:c>
      <x:c r="C95" s="30" t="str">
        <x:v>恢复 TP Head Layout</x:v>
      </x:c>
      <x:c r="D95" s="34" t="n">
        <x:f>(K57*2^20)/1e9</x:f>
        <x:v>2.319450112</x:v>
      </x:c>
      <x:c r="E95" s="64" t="n">
        <x:f>$H$85</x:f>
        <x:v>100</x:v>
      </x:c>
      <x:c r="F95" s="59" t="n">
        <x:v>1</x:v>
      </x:c>
      <x:c r="G95" s="34" t="n">
        <x:f>IF(AND(ISNUMBER(E95),E95&gt;0,ISNUMBER($B$85),$B$85&gt;=0,$B$85&lt;1,ISNUMBER($D$85),$D$85&gt;=0,$D$85&lt;=1,ISNUMBER(F95),F95&gt;=0,F95&lt;=1,ISNUMBER(J95),J95&gt;=0,J95&lt;=1),D95/E95*1000,NA())</x:f>
        <x:v>23.19450112</x:v>
      </x:c>
      <x:c r="H95" s="34" t="n">
        <x:f>G95+I95</x:f>
        <x:v>25.771667911111113</x:v>
      </x:c>
      <x:c r="I95" s="34" t="n">
        <x:f>G95*F95*$D$85*$B$85/(1-$B$85)</x:f>
        <x:v>2.5771667911111114</x:v>
      </x:c>
      <x:c r="J95" s="59" t="n">
        <x:v>1</x:v>
      </x:c>
      <x:c r="K95" s="34" t="n">
        <x:f>I95*J95</x:f>
        <x:v>2.5771667911111114</x:v>
      </x:c>
      <x:c r="L95" s="30" t="str">
        <x:v>原通信行 57</x:v>
      </x:c>
    </x:row>
    <x:row r="96" ht="15" customHeight="1">
      <x:c r="A96" s="30" t="str">
        <x:v>DSA CP</x:v>
      </x:c>
      <x:c r="B96" s="30" t="str">
        <x:v>Indexer</x:v>
      </x:c>
      <x:c r="C96" s="30" t="str">
        <x:v>Top-k Index</x:v>
      </x:c>
      <x:c r="D96" s="34" t="n">
        <x:f>(K58*2^20)/1e9</x:f>
        <x:v>1.291845632</x:v>
      </x:c>
      <x:c r="E96" s="64" t="n">
        <x:f>$H$85</x:f>
        <x:v>100</x:v>
      </x:c>
      <x:c r="F96" s="59" t="n">
        <x:v>1</x:v>
      </x:c>
      <x:c r="G96" s="34" t="n">
        <x:f>IF(AND(ISNUMBER(E96),E96&gt;0,ISNUMBER($B$85),$B$85&gt;=0,$B$85&lt;1,ISNUMBER($D$85),$D$85&gt;=0,$D$85&lt;=1,ISNUMBER(F96),F96&gt;=0,F96&lt;=1,ISNUMBER(J96),J96&gt;=0,J96&lt;=1),D96/E96*1000,NA())</x:f>
        <x:v>12.91845632</x:v>
      </x:c>
      <x:c r="H96" s="34" t="n">
        <x:f>G96+I96</x:f>
        <x:v>14.353840355555556</x:v>
      </x:c>
      <x:c r="I96" s="34" t="n">
        <x:f>G96*F96*$D$85*$B$85/(1-$B$85)</x:f>
        <x:v>1.4353840355555558</x:v>
      </x:c>
      <x:c r="J96" s="59" t="n">
        <x:v>1</x:v>
      </x:c>
      <x:c r="K96" s="34" t="n">
        <x:f>I96*J96</x:f>
        <x:v>1.4353840355555558</x:v>
      </x:c>
      <x:c r="L96" s="30" t="str">
        <x:v>原通信行 58</x:v>
      </x:c>
    </x:row>
    <x:row r="97" ht="15" customHeight="1">
      <x:c r="A97" s="30" t="str">
        <x:v>O Proj TP</x:v>
      </x:c>
      <x:c r="B97" s="30" t="str">
        <x:v>Sparse Attention</x:v>
      </x:c>
      <x:c r="C97" s="30" t="str">
        <x:v>DSA CP 关闭</x:v>
      </x:c>
      <x:c r="D97" s="34" t="n">
        <x:f>(K59*2^20)/1e9</x:f>
        <x:v>0</x:v>
      </x:c>
      <x:c r="E97" s="64" t="n">
        <x:f>$H$85</x:f>
        <x:v>100</x:v>
      </x:c>
      <x:c r="F97" s="59" t="n">
        <x:v>1</x:v>
      </x:c>
      <x:c r="G97" s="34" t="n">
        <x:f>IF(AND(ISNUMBER(E97),E97&gt;0,ISNUMBER($B$85),$B$85&gt;=0,$B$85&lt;1,ISNUMBER($D$85),$D$85&gt;=0,$D$85&lt;=1,ISNUMBER(F97),F97&gt;=0,F97&lt;=1,ISNUMBER(J97),J97&gt;=0,J97&lt;=1),D97/E97*1000,NA())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G97*F97*$D$85*$B$85/(1-$B$85)</x:f>
        <x:v>0</x:v>
      </x:c>
      <x:c r="J97" s="59" t="n">
        <x:v>1</x:v>
      </x:c>
      <x:c r="K97" s="34" t="n">
        <x:f>I97*J97</x:f>
        <x:v>0</x:v>
      </x:c>
      <x:c r="L97" s="30" t="str">
        <x:v>原通信行 59</x:v>
      </x:c>
    </x:row>
    <x:row r="98" ht="15" customHeight="1">
      <x:c r="A98" s="30" t="str">
        <x:v>SP</x:v>
      </x:c>
      <x:c r="B98" s="30" t="str">
        <x:v>Dense MLP</x:v>
      </x:c>
      <x:c r="C98" s="30" t="str">
        <x:v>Down Proj 输出</x:v>
      </x:c>
      <x:c r="D98" s="34" t="n">
        <x:f>(K60*2^20)/1e9</x:f>
        <x:v>0.066060288</x:v>
      </x:c>
      <x:c r="E98" s="64" t="n">
        <x:f>$H$85</x:f>
        <x:v>100</x:v>
      </x:c>
      <x:c r="F98" s="59" t="n">
        <x:v>1</x:v>
      </x:c>
      <x:c r="G98" s="34" t="n">
        <x:f>IF(AND(ISNUMBER(E98),E98&gt;0,ISNUMBER($B$85),$B$85&gt;=0,$B$85&lt;1,ISNUMBER($D$85),$D$85&gt;=0,$D$85&lt;=1,ISNUMBER(F98),F98&gt;=0,F98&lt;=1,ISNUMBER(J98),J98&gt;=0,J98&lt;=1),D98/E98*1000,NA())</x:f>
        <x:v>0.66060288</x:v>
      </x:c>
      <x:c r="H98" s="34" t="n">
        <x:f>G98+I98</x:f>
        <x:v>0.7340032</x:v>
      </x:c>
      <x:c r="I98" s="34" t="n">
        <x:f>G98*F98*$D$85*$B$85/(1-$B$85)</x:f>
        <x:v>0.07340032</x:v>
      </x:c>
      <x:c r="J98" s="59" t="n">
        <x:v>1</x:v>
      </x:c>
      <x:c r="K98" s="34" t="n">
        <x:f>I98*J98</x:f>
        <x:v>0.07340032</x:v>
      </x:c>
      <x:c r="L98" s="30" t="str">
        <x:v>原通信行 60</x:v>
      </x:c>
    </x:row>
    <x:row r="99" ht="15" customHeight="1">
      <x:c r="A99" s="30" t="str">
        <x:v>EP</x:v>
      </x:c>
      <x:c r="B99" s="30" t="str">
        <x:v>Routed Experts</x:v>
      </x:c>
      <x:c r="C99" s="30" t="str">
        <x:v>Dispatch Hidden</x:v>
      </x:c>
      <x:c r="D99" s="34" t="n">
        <x:f>(K61*2^20)/1e9</x:f>
        <x:v>6.694109184</x:v>
      </x:c>
      <x:c r="E99" s="64" t="n">
        <x:f>$H$85</x:f>
        <x:v>100</x:v>
      </x:c>
      <x:c r="F99" s="59" t="n">
        <x:v>1</x:v>
      </x:c>
      <x:c r="G99" s="34" t="n">
        <x:f>IF(AND(ISNUMBER(E99),E99&gt;0,ISNUMBER($B$85),$B$85&gt;=0,$B$85&lt;1,ISNUMBER($D$85),$D$85&gt;=0,$D$85&lt;=1,ISNUMBER(F99),F99&gt;=0,F99&lt;=1,ISNUMBER(J99),J99&gt;=0,J99&lt;=1),D99/E99*1000,NA())</x:f>
        <x:v>66.94109184000001</x:v>
      </x:c>
      <x:c r="H99" s="34" t="n">
        <x:f>G99+I99</x:f>
        <x:v>74.37899093333334</x:v>
      </x:c>
      <x:c r="I99" s="34" t="n">
        <x:f>G99*F99*$D$85*$B$85/(1-$B$85)</x:f>
        <x:v>7.4378990933333355</x:v>
      </x:c>
      <x:c r="J99" s="59" t="n">
        <x:v>1</x:v>
      </x:c>
      <x:c r="K99" s="34" t="n">
        <x:f>I99*J99</x:f>
        <x:v>7.4378990933333355</x:v>
      </x:c>
      <x:c r="L99" s="30" t="str">
        <x:v>原通信行 61</x:v>
      </x:c>
    </x:row>
    <x:row r="100" ht="15" customHeight="1">
      <x:c r="A100" s="30" t="str">
        <x:v>EP</x:v>
      </x:c>
      <x:c r="B100" s="30" t="str">
        <x:v>Routed Experts</x:v>
      </x:c>
      <x:c r="C100" s="30" t="str">
        <x:v>Combine Hidden</x:v>
      </x:c>
      <x:c r="D100" s="34" t="n">
        <x:f>(K62*2^20)/1e9</x:f>
        <x:v>6.694109184</x:v>
      </x:c>
      <x:c r="E100" s="64" t="n">
        <x:f>$H$85</x:f>
        <x:v>100</x:v>
      </x:c>
      <x:c r="F100" s="59" t="n">
        <x:v>1</x:v>
      </x:c>
      <x:c r="G100" s="34" t="n">
        <x:f>IF(AND(ISNUMBER(E100),E100&gt;0,ISNUMBER($B$85),$B$85&gt;=0,$B$85&lt;1,ISNUMBER($D$85),$D$85&gt;=0,$D$85&lt;=1,ISNUMBER(F100),F100&gt;=0,F100&lt;=1,ISNUMBER(J100),J100&gt;=0,J100&lt;=1),D100/E100*1000,NA())</x:f>
        <x:v>66.94109184000001</x:v>
      </x:c>
      <x:c r="H100" s="34" t="n">
        <x:f>G100+I100</x:f>
        <x:v>74.37899093333334</x:v>
      </x:c>
      <x:c r="I100" s="34" t="n">
        <x:f>G100*F100*$D$85*$B$85/(1-$B$85)</x:f>
        <x:v>7.4378990933333355</x:v>
      </x:c>
      <x:c r="J100" s="59" t="n">
        <x:v>1</x:v>
      </x:c>
      <x:c r="K100" s="34" t="n">
        <x:f>I100*J100</x:f>
        <x:v>7.4378990933333355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Hidden 输入</x:v>
      </x:c>
      <x:c r="D101" s="34" t="n">
        <x:f>(K63*2^20)/1e9</x:f>
        <x:v>0</x:v>
      </x:c>
      <x:c r="E101" s="64" t="n">
        <x:f>$H$85</x:f>
        <x:v>100</x:v>
      </x:c>
      <x:c r="F101" s="59" t="n">
        <x:v>1</x:v>
      </x:c>
      <x:c r="G101" s="34" t="n">
        <x:f>IF(AND(ISNUMBER(E101),E101&gt;0,ISNUMBER($B$85),$B$85&gt;=0,$B$85&lt;1,ISNUMBER($D$85),$D$85&gt;=0,$D$85&lt;=1,ISNUMBER(F101),F101&gt;=0,F101&lt;=1,ISNUMBER(J101),J101&gt;=0,J101&lt;=1),D101/E101*1000,NA())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G101*F101*$D$85*$B$85/(1-$B$85)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DP</x:v>
      </x:c>
      <x:c r="B102" s="30" t="str">
        <x:v>MoE Router</x:v>
      </x:c>
      <x:c r="C102" s="30" t="str">
        <x:v>Router Logits</x:v>
      </x:c>
      <x:c r="D102" s="34" t="n">
        <x:f>(K64*2^20)/1e9</x:f>
        <x:v>0</x:v>
      </x:c>
      <x:c r="E102" s="64" t="n">
        <x:f>$H$85</x:f>
        <x:v>100</x:v>
      </x:c>
      <x:c r="F102" s="59" t="n">
        <x:v>1</x:v>
      </x:c>
      <x:c r="G102" s="34" t="n">
        <x:f>IF(AND(ISNUMBER(E102),E102&gt;0,ISNUMBER($B$85),$B$85&gt;=0,$B$85&lt;1,ISNUMBER($D$85),$D$85&gt;=0,$D$85&lt;=1,ISNUMBER(F102),F102&gt;=0,F102&lt;=1,ISNUMBER(J102),J102&gt;=0,J102&lt;=1),D102/E102*1000,NA())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G102*F102*$D$85*$B$85/(1-$B$85)</x:f>
        <x:v>0</x:v>
      </x:c>
      <x:c r="J102" s="59" t="n">
        <x:v>1</x:v>
      </x:c>
      <x:c r="K102" s="34" t="n">
        <x:f>I102*J102</x:f>
        <x:v>0</x:v>
      </x:c>
      <x:c r="L102" s="30" t="str">
        <x:v>原通信行 64</x:v>
      </x:c>
    </x:row>
    <x:row r="103" ht="15" customHeight="1">
      <x:c r="A103" s="30" t="str">
        <x:v>DP</x:v>
      </x:c>
      <x:c r="B103" s="30" t="str">
        <x:v>MoE</x:v>
      </x:c>
      <x:c r="C103" s="30" t="str">
        <x:v>Routed Expert 输出</x:v>
      </x:c>
      <x:c r="D103" s="34" t="n">
        <x:f>(K65*2^20)/1e9</x:f>
        <x:v>0</x:v>
      </x:c>
      <x:c r="E103" s="64" t="n">
        <x:f>$H$85</x:f>
        <x:v>100</x:v>
      </x:c>
      <x:c r="F103" s="59" t="n">
        <x:v>1</x:v>
      </x:c>
      <x:c r="G103" s="34" t="n">
        <x:f>IF(AND(ISNUMBER(E103),E103&gt;0,ISNUMBER($B$85),$B$85&gt;=0,$B$85&lt;1,ISNUMBER($D$85),$D$85&gt;=0,$D$85&lt;=1,ISNUMBER(F103),F103&gt;=0,F103&lt;=1,ISNUMBER(J103),J103&gt;=0,J103&lt;=1),D103/E103*1000,NA())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G103*F103*$D$85*$B$85/(1-$B$85)</x:f>
        <x:v>0</x:v>
      </x:c>
      <x:c r="J103" s="59" t="n">
        <x:v>1</x:v>
      </x:c>
      <x:c r="K103" s="34" t="n">
        <x:f>I103*J103</x:f>
        <x:v>0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SP 输入</x:v>
      </x:c>
      <x:c r="D104" s="34" t="n">
        <x:f>(K66*2^20)/1e9</x:f>
        <x:v>6.694109184</x:v>
      </x:c>
      <x:c r="E104" s="64" t="n">
        <x:f>$H$85</x:f>
        <x:v>100</x:v>
      </x:c>
      <x:c r="F104" s="59" t="n">
        <x:v>1</x:v>
      </x:c>
      <x:c r="G104" s="34" t="n">
        <x:f>IF(AND(ISNUMBER(E104),E104&gt;0,ISNUMBER($B$85),$B$85&gt;=0,$B$85&lt;1,ISNUMBER($D$85),$D$85&gt;=0,$D$85&lt;=1,ISNUMBER(F104),F104&gt;=0,F104&lt;=1,ISNUMBER(J104),J104&gt;=0,J104&lt;=1),D104/E104*1000,NA())</x:f>
        <x:v>66.94109184000001</x:v>
      </x:c>
      <x:c r="H104" s="34" t="n">
        <x:f>G104+I104</x:f>
        <x:v>74.37899093333334</x:v>
      </x:c>
      <x:c r="I104" s="34" t="n">
        <x:f>G104*F104*$D$85*$B$85/(1-$B$85)</x:f>
        <x:v>7.4378990933333355</x:v>
      </x:c>
      <x:c r="J104" s="59" t="n">
        <x:v>1</x:v>
      </x:c>
      <x:c r="K104" s="34" t="n">
        <x:f>I104*J104</x:f>
        <x:v>7.4378990933333355</x:v>
      </x:c>
      <x:c r="L104" s="30" t="str">
        <x:v>原通信行 66</x:v>
      </x:c>
    </x:row>
    <x:row r="105" ht="15" customHeight="1">
      <x:c r="A105" s="30" t="str">
        <x:v>共享专家 TP</x:v>
      </x:c>
      <x:c r="B105" s="30" t="str">
        <x:v>Shared Experts</x:v>
      </x:c>
      <x:c r="C105" s="30" t="str">
        <x:v>SP 输出</x:v>
      </x:c>
      <x:c r="D105" s="34" t="n">
        <x:f>(K67*2^20)/1e9</x:f>
        <x:v>6.694109184</x:v>
      </x:c>
      <x:c r="E105" s="64" t="n">
        <x:f>$H$85</x:f>
        <x:v>100</x:v>
      </x:c>
      <x:c r="F105" s="59" t="n">
        <x:v>1</x:v>
      </x:c>
      <x:c r="G105" s="34" t="n">
        <x:f>IF(AND(ISNUMBER(E105),E105&gt;0,ISNUMBER($B$85),$B$85&gt;=0,$B$85&lt;1,ISNUMBER($D$85),$D$85&gt;=0,$D$85&lt;=1,ISNUMBER(F105),F105&gt;=0,F105&lt;=1,ISNUMBER(J105),J105&gt;=0,J105&lt;=1),D105/E105*1000,NA())</x:f>
        <x:v>66.94109184000001</x:v>
      </x:c>
      <x:c r="H105" s="34" t="n">
        <x:f>G105+I105</x:f>
        <x:v>74.37899093333334</x:v>
      </x:c>
      <x:c r="I105" s="34" t="n">
        <x:f>G105*F105*$D$85*$B$85/(1-$B$85)</x:f>
        <x:v>7.4378990933333355</x:v>
      </x:c>
      <x:c r="J105" s="59" t="n">
        <x:v>1</x:v>
      </x:c>
      <x:c r="K105" s="34" t="n">
        <x:f>I105*J105</x:f>
        <x:v>7.4378990933333355</x:v>
      </x:c>
      <x:c r="L105" s="30" t="str">
        <x:v>原通信行 67</x:v>
      </x:c>
    </x:row>
    <x:row r="106" ht="15" customHeight="1">
      <x:c r="A106" s="30" t="str">
        <x:v>共享专家 TP</x:v>
      </x:c>
      <x:c r="B106" s="30" t="str">
        <x:v>Shared Experts</x:v>
      </x:c>
      <x:c r="C106" s="30" t="str">
        <x:v>非 SP 输出</x:v>
      </x:c>
      <x:c r="D106" s="34" t="n">
        <x:f>(K68*2^20)/1e9</x:f>
        <x:v>0</x:v>
      </x:c>
      <x:c r="E106" s="64" t="n">
        <x:f>$H$85</x:f>
        <x:v>100</x:v>
      </x:c>
      <x:c r="F106" s="59" t="n">
        <x:v>1</x:v>
      </x:c>
      <x:c r="G106" s="34" t="n">
        <x:f>IF(AND(ISNUMBER(E106),E106&gt;0,ISNUMBER($B$85),$B$85&gt;=0,$B$85&lt;1,ISNUMBER($D$85),$D$85&gt;=0,$D$85&lt;=1,ISNUMBER(F106),F106&gt;=0,F106&lt;=1,ISNUMBER(J106),J106&gt;=0,J106&lt;=1),D106/E106*1000,NA())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G106*F106*$D$85*$B$85/(1-$B$85)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Hidden 输入</x:v>
      </x:c>
      <x:c r="D107" s="34" t="n">
        <x:f>(K69*2^20)/1e9</x:f>
        <x:v>0</x:v>
      </x:c>
      <x:c r="E107" s="64" t="n">
        <x:f>$H$85</x:f>
        <x:v>100</x:v>
      </x:c>
      <x:c r="F107" s="59" t="n">
        <x:v>1</x:v>
      </x:c>
      <x:c r="G107" s="34" t="n">
        <x:f>IF(AND(ISNUMBER(E107),E107&gt;0,ISNUMBER($B$85),$B$85&gt;=0,$B$85&lt;1,ISNUMBER($D$85),$D$85&gt;=0,$D$85&lt;=1,ISNUMBER(F107),F107&gt;=0,F107&lt;=1,ISNUMBER(J107),J107&gt;=0,J107&lt;=1),D107/E107*1000,NA())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G107*F107*$D$85*$B$85/(1-$B$85)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MoE Router</x:v>
      </x:c>
      <x:c r="C108" s="30" t="str">
        <x:v>Router Logits</x:v>
      </x:c>
      <x:c r="D108" s="34" t="n">
        <x:f>(K70*2^20)/1e9</x:f>
        <x:v>0</x:v>
      </x:c>
      <x:c r="E108" s="64" t="n">
        <x:f>$H$85</x:f>
        <x:v>100</x:v>
      </x:c>
      <x:c r="F108" s="59" t="n">
        <x:v>1</x:v>
      </x:c>
      <x:c r="G108" s="34" t="n">
        <x:f>IF(AND(ISNUMBER(E108),E108&gt;0,ISNUMBER($B$85),$B$85&gt;=0,$B$85&lt;1,ISNUMBER($D$85),$D$85&gt;=0,$D$85&lt;=1,ISNUMBER(F108),F108&gt;=0,F108&lt;=1,ISNUMBER(J108),J108&gt;=0,J108&lt;=1),D108/E108*1000,NA())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G108*F108*$D$85*$B$85/(1-$B$85)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PCP</x:v>
      </x:c>
      <x:c r="B109" s="30" t="str">
        <x:v>MoE</x:v>
      </x:c>
      <x:c r="C109" s="30" t="str">
        <x:v>Routed Expert 输出</x:v>
      </x:c>
      <x:c r="D109" s="34" t="n">
        <x:f>(K71*2^20)/1e9</x:f>
        <x:v>0</x:v>
      </x:c>
      <x:c r="E109" s="64" t="n">
        <x:f>$H$85</x:f>
        <x:v>100</x:v>
      </x:c>
      <x:c r="F109" s="59" t="n">
        <x:v>1</x:v>
      </x:c>
      <x:c r="G109" s="34" t="n">
        <x:f>IF(AND(ISNUMBER(E109),E109&gt;0,ISNUMBER($B$85),$B$85&gt;=0,$B$85&lt;1,ISNUMBER($D$85),$D$85&gt;=0,$D$85&lt;=1,ISNUMBER(F109),F109&gt;=0,F109&lt;=1,ISNUMBER(J109),J109&gt;=0,J109&lt;=1),D109/E109*1000,NA())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G109*F109*$D$85*$B$85/(1-$B$85)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PCP</x:v>
      </x:c>
      <x:c r="B110" s="30" t="str">
        <x:v>Attention KV</x:v>
      </x:c>
      <x:c r="C110" s="30" t="str">
        <x:v>KV Cache 写入前</x:v>
      </x:c>
      <x:c r="D110" s="34" t="n">
        <x:f>(K72*2^20)/1e9</x:f>
        <x:v>0</x:v>
      </x:c>
      <x:c r="E110" s="64" t="n">
        <x:f>$H$85</x:f>
        <x:v>100</x:v>
      </x:c>
      <x:c r="F110" s="59" t="n">
        <x:v>1</x:v>
      </x:c>
      <x:c r="G110" s="34" t="n">
        <x:f>IF(AND(ISNUMBER(E110),E110&gt;0,ISNUMBER($B$85),$B$85&gt;=0,$B$85&lt;1,ISNUMBER($D$85),$D$85&gt;=0,$D$85&lt;=1,ISNUMBER(F110),F110&gt;=0,F110&lt;=1,ISNUMBER(J110),J110&gt;=0,J110&lt;=1),D110/E110*1000,NA())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G110*F110*$D$85*$B$85/(1-$B$85)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Model Output</x:v>
      </x:c>
      <x:c r="C111" s="30" t="str">
        <x:v>Final Norm 后</x:v>
      </x:c>
      <x:c r="D111" s="34" t="n">
        <x:f>(K73*2^20)/1e9</x:f>
        <x:v>0.088080384</x:v>
      </x:c>
      <x:c r="E111" s="64" t="n">
        <x:f>$H$85</x:f>
        <x:v>100</x:v>
      </x:c>
      <x:c r="F111" s="59" t="n">
        <x:v>1</x:v>
      </x:c>
      <x:c r="G111" s="34" t="n">
        <x:f>IF(AND(ISNUMBER(E111),E111&gt;0,ISNUMBER($B$85),$B$85&gt;=0,$B$85&lt;1,ISNUMBER($D$85),$D$85&gt;=0,$D$85&lt;=1,ISNUMBER(F111),F111&gt;=0,F111&lt;=1,ISNUMBER(J111),J111&gt;=0,J111&lt;=1),D111/E111*1000,NA())</x:f>
        <x:v>0.88080384</x:v>
      </x:c>
      <x:c r="H111" s="34" t="n">
        <x:f>G111+I111</x:f>
        <x:v>0.9786709333333333</x:v>
      </x:c>
      <x:c r="I111" s="34" t="n">
        <x:f>G111*F111*$D$85*$B$85/(1-$B$85)</x:f>
        <x:v>0.09786709333333335</x:v>
      </x:c>
      <x:c r="J111" s="59" t="n">
        <x:v>1</x:v>
      </x:c>
      <x:c r="K111" s="34" t="n">
        <x:f>I111*J111</x:f>
        <x:v>0.09786709333333335</x:v>
      </x:c>
      <x:c r="L111" s="30" t="str">
        <x:v>原通信行 73</x:v>
      </x:c>
    </x:row>
    <x:row r="112" ht="15" customHeight="1">
      <x:c r="A112" s="30" t="str">
        <x:v>LM Head TP</x:v>
      </x:c>
      <x:c r="B112" s="30" t="str">
        <x:v>LM Head</x:v>
      </x:c>
      <x:c r="C112" s="30" t="str">
        <x:v>完整 Logits</x:v>
      </x:c>
      <x:c r="D112" s="34" t="n">
        <x:f>(K74*2^20)/1e9</x:f>
        <x:v>0</x:v>
      </x:c>
      <x:c r="E112" s="64" t="n">
        <x:f>$H$85</x:f>
        <x:v>100</x:v>
      </x:c>
      <x:c r="F112" s="59" t="n">
        <x:v>1</x:v>
      </x:c>
      <x:c r="G112" s="34" t="n">
        <x:f>IF(AND(ISNUMBER(E112),E112&gt;0,ISNUMBER($B$85),$B$85&gt;=0,$B$85&lt;1,ISNUMBER($D$85),$D$85&gt;=0,$D$85&lt;=1,ISNUMBER(F112),F112&gt;=0,F112&lt;=1,ISNUMBER(J112),J112&gt;=0,J112&lt;=1),D112/E112*1000,NA())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G112*F112*$D$85*$B$85/(1-$B$85)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LM Head TP</x:v>
      </x:c>
      <x:c r="B113" s="30" t="str">
        <x:v>LM Head</x:v>
      </x:c>
      <x:c r="C113" s="30" t="str">
        <x:v>Reduce Sample</x:v>
      </x:c>
      <x:c r="D113" s="34" t="n">
        <x:f>(K75*2^20)/1e9</x:f>
        <x:v>0.001376256</x:v>
      </x:c>
      <x:c r="E113" s="64" t="n">
        <x:f>$H$85</x:f>
        <x:v>100</x:v>
      </x:c>
      <x:c r="F113" s="59" t="n">
        <x:v>1</x:v>
      </x:c>
      <x:c r="G113" s="34" t="n">
        <x:f>IF(AND(ISNUMBER(E113),E113&gt;0,ISNUMBER($B$85),$B$85&gt;=0,$B$85&lt;1,ISNUMBER($D$85),$D$85&gt;=0,$D$85&lt;=1,ISNUMBER(F113),F113&gt;=0,F113&lt;=1,ISNUMBER(J113),J113&gt;=0,J113&lt;=1),D113/E113*1000,NA())</x:f>
        <x:v>0.01376256</x:v>
      </x:c>
      <x:c r="H113" s="34" t="n">
        <x:f>G113+I113</x:f>
        <x:v>0.015291733333333333</x:v>
      </x:c>
      <x:c r="I113" s="34" t="n">
        <x:f>G113*F113*$D$85*$B$85/(1-$B$85)</x:f>
        <x:v>0.0015291733333333336</x:v>
      </x:c>
      <x:c r="J113" s="59" t="n">
        <x:v>1</x:v>
      </x:c>
      <x:c r="K113" s="34" t="n">
        <x:f>I113*J113</x:f>
        <x:v>0.0015291733333333336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Hidden 输入</x:v>
      </x:c>
      <x:c r="D114" s="34" t="n">
        <x:f>(K76*2^20)/1e9</x:f>
        <x:v>0</x:v>
      </x:c>
      <x:c r="E114" s="64" t="n">
        <x:f>$H$85</x:f>
        <x:v>100</x:v>
      </x:c>
      <x:c r="F114" s="59" t="n">
        <x:v>1</x:v>
      </x:c>
      <x:c r="G114" s="34" t="n">
        <x:f>IF(AND(ISNUMBER(E114),E114&gt;0,ISNUMBER($B$85),$B$85&gt;=0,$B$85&lt;1,ISNUMBER($D$85),$D$85&gt;=0,$D$85&lt;=1,ISNUMBER(F114),F114&gt;=0,F114&lt;=1,ISNUMBER(J114),J114&gt;=0,J114&lt;=1),D114/E114*1000,NA())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G114*F114*$D$85*$B$85/(1-$B$85)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Fine LM Head TP</x:v>
      </x:c>
      <x:c r="B115" s="30" t="str">
        <x:v>LM Head</x:v>
      </x:c>
      <x:c r="C115" s="30" t="str">
        <x:v>完整 Logits</x:v>
      </x:c>
      <x:c r="D115" s="34" t="n">
        <x:f>(K77*2^20)/1e9</x:f>
        <x:v>0</x:v>
      </x:c>
      <x:c r="E115" s="64" t="n">
        <x:f>$H$85</x:f>
        <x:v>100</x:v>
      </x:c>
      <x:c r="F115" s="59" t="n">
        <x:v>1</x:v>
      </x:c>
      <x:c r="G115" s="34" t="n">
        <x:f>IF(AND(ISNUMBER(E115),E115&gt;0,ISNUMBER($B$85),$B$85&gt;=0,$B$85&lt;1,ISNUMBER($D$85),$D$85&gt;=0,$D$85&lt;=1,ISNUMBER(F115),F115&gt;=0,F115&lt;=1,ISNUMBER(J115),J115&gt;=0,J115&lt;=1),D115/E115*1000,NA())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G115*F115*$D$85*$B$85/(1-$B$85)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Fine LM Head TP</x:v>
      </x:c>
      <x:c r="B116" s="30" t="str">
        <x:v>LM Head</x:v>
      </x:c>
      <x:c r="C116" s="30" t="str">
        <x:v>Reduce Sample</x:v>
      </x:c>
      <x:c r="D116" s="34" t="n">
        <x:f>(K78*2^20)/1e9</x:f>
        <x:v>0</x:v>
      </x:c>
      <x:c r="E116" s="64" t="n">
        <x:f>$H$85</x:f>
        <x:v>100</x:v>
      </x:c>
      <x:c r="F116" s="59" t="n">
        <x:v>1</x:v>
      </x:c>
      <x:c r="G116" s="34" t="n">
        <x:f>IF(AND(ISNUMBER(E116),E116&gt;0,ISNUMBER($B$85),$B$85&gt;=0,$B$85&lt;1,ISNUMBER($D$85),$D$85&gt;=0,$D$85&lt;=1,ISNUMBER(F116),F116&gt;=0,F116&lt;=1,ISNUMBER(J116),J116&gt;=0,J116&lt;=1),D116/E116*1000,NA())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G116*F116*$D$85*$B$85/(1-$B$85)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EP</x:v>
      </x:c>
      <x:c r="B117" s="30" t="str">
        <x:v>MoE 计数</x:v>
      </x:c>
      <x:c r="C117" s="30" t="str">
        <x:v>直方图 Ring AG</x:v>
      </x:c>
      <x:c r="D117" s="34" t="n">
        <x:f>(IF(E61=0,0,H61*ROUNDUP(256/G61,0)*G61*4*(G61-1)))/1e9</x:f>
        <x:v>0.000544768</x:v>
      </x:c>
      <x:c r="E117" s="64" t="n">
        <x:f>$H$85</x:f>
        <x:v>100</x:v>
      </x:c>
      <x:c r="F117" s="59" t="n">
        <x:v>1</x:v>
      </x:c>
      <x:c r="G117" s="34" t="n">
        <x:f>IF(AND(ISNUMBER(E117),E117&gt;0,ISNUMBER($B$85),$B$85&gt;=0,$B$85&lt;1,ISNUMBER($D$85),$D$85&gt;=0,$D$85&lt;=1,ISNUMBER(F117),F117&gt;=0,F117&lt;=1,ISNUMBER(J117),J117&gt;=0,J117&lt;=1),D117/E117*1000,NA())</x:f>
        <x:v>0.005447680000000001</x:v>
      </x:c>
      <x:c r="H117" s="34" t="n">
        <x:f>G117+I117</x:f>
        <x:v>0.006052977777777779</x:v>
      </x:c>
      <x:c r="I117" s="34" t="n">
        <x:f>G117*F117*$D$85*$B$85/(1-$B$85)</x:f>
        <x:v>0.0006052977777777778</x:v>
      </x:c>
      <x:c r="J117" s="59" t="n">
        <x:v>1</x:v>
      </x:c>
      <x:c r="K117" s="34" t="n">
        <x:f>I117*J117</x:f>
        <x:v>0.0006052977777777778</x:v>
      </x:c>
      <x:c r="L117" s="30" t="str">
        <x:v>额外控制量</x:v>
      </x:c>
    </x:row>
    <x:row r="118" ht="15" customHeight="1">
      <x:c r="A118" s="40" t="str">
        <x:v>所列事件串行相加</x:v>
      </x:c>
      <x:c r="B118" s="40"/>
      <x:c r="C118" s="40"/>
      <x:c r="D118" s="41" t="n">
        <x:f>SUM(D91:D117)</x:f>
        <x:v>37.67830528</x:v>
      </x:c>
      <x:c r="E118" s="40"/>
      <x:c r="F118" s="40"/>
      <x:c r="G118" s="41" t="n">
        <x:f>SUM(G91:G117)</x:f>
        <x:v>376.7830528</x:v>
      </x:c>
      <x:c r="H118" s="41" t="n">
        <x:f>SUM(H91:H117)</x:f>
        <x:v>418.64783644444447</x:v>
      </x:c>
      <x:c r="I118" s="41" t="n">
        <x:f>SUM(I91:I117)</x:f>
        <x:v>41.86478364444446</x:v>
      </x:c>
      <x:c r="J118" s="40"/>
      <x:c r="K118" s="41" t="n">
        <x:f>SUM(K91:K117)</x:f>
        <x:v>41.86478364444446</x:v>
      </x:c>
      <x:c r="L118" s="40"/>
    </x:row>
  </x:sheetData>
  <x:conditionalFormatting sqref="L87:L87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'Decode'!$P$12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'Decode'!$P$12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'Decode'!$P$12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'Decode'!$P$12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'Decode'!$P$12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'Decode'!$P$12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'Decode'!$P$14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/>
      <x:c r="P15" s="35"/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'Decode'!$P$14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'Decode'!$P$14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'Decode'!$P$14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'Decode'!$P$14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'Decode'!$P$14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IF('Decode'!$P$17="TP",'Decode'!$P$18,1)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IF('Decode'!$P$17="TP",'Decode'!$P$18,1)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IF('Decode'!$P$17="TP",'Decode'!$P$18,1)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IF('Decode'!$P$17="TP",'Decode'!$P$18,1)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IF('Decode'!$P$17="TP",'Decode'!$P$18,1)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IF('Decode'!$P$25&lt;&gt;0,1,'Decode'!$P$12)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IF('Decode'!$P$25&lt;&gt;0,1,'Decode'!$P$12)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IF('Decode'!$P$25&lt;&gt;0,1,'Decode'!$P$12)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IF('Decode'!$P$25&lt;&gt;0,1,'Decode'!$P$12)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IF('Decode'!$P$19&gt;0,'Decode'!$P$19,'Decode'!$P$12)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'Decode'!$P$7*6144</x:f>
        <x:v>1572864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IF(AND(IF('Decode'!$P$21&gt;0,'Decode'!$P$21,'Decode'!$P$12)&gt;1,'Decode'!$P$24=0),1,0)</x:f>
        <x:v>1</x:v>
      </x:c>
      <x:c r="I53" s="34" t="n">
        <x:f>E53*F53/1048576</x:f>
        <x:v>3</x:v>
      </x:c>
      <x:c r="J53" s="34" t="n">
        <x:f>I53*(IF(G53&gt;1,2*(G53-1)/G53,0))</x:f>
        <x:v>5.25</x:v>
      </x:c>
      <x:c r="K53" s="34" t="n">
        <x:f>J53*H53</x:f>
        <x:v>5.25</x:v>
      </x:c>
      <x:c r="L53" s="34" t="n">
        <x:f>K53*G53</x:f>
        <x:v>42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'Decode'!$P$7</x:f>
        <x:v>256</x:v>
      </x:c>
      <x:c r="F54" s="33" t="n">
        <x:f>'Decode'!$P$30</x:f>
        <x:v>8</x:v>
      </x:c>
      <x:c r="G54" s="33" t="n">
        <x:f>IF('Decode'!$P$21&gt;0,'Decode'!$P$21,'Decode'!$P$12)</x:f>
        <x:v>8</x:v>
      </x:c>
      <x:c r="H54" s="33" t="n">
        <x:f>IF(AND(IF('Decode'!$P$21&gt;0,'Decode'!$P$21,'Decode'!$P$12)&gt;1,'Decode'!$P$24&lt;&gt;0),1,0)</x:f>
        <x:v>0</x:v>
      </x:c>
      <x:c r="I54" s="34" t="n">
        <x:f>E54*F54/1048576</x:f>
        <x:v>0.001953125</x:v>
      </x:c>
      <x:c r="J54" s="34" t="n">
        <x:f>I54*(IF(G54&gt;1,G54-1,0))</x:f>
        <x:v>0.013671875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'Decode'!$P$7*IF('Decode'!$P$21&gt;0,'Decode'!$P$21,'Decode'!$P$12)*6144</x:f>
        <x:v>12582912</x:v>
      </x:c>
      <x:c r="F55" s="33" t="n">
        <x:f>'Decode'!$P$28</x:f>
        <x:v>2</x:v>
      </x:c>
      <x:c r="G55" s="33" t="n">
        <x:f>IF('Decode'!$P$21&gt;0,'Decode'!$P$21,'Decode'!$P$12)</x:f>
        <x:v>8</x:v>
      </x:c>
      <x:c r="H55" s="33" t="n">
        <x:f>IF(AND(IF('Decode'!$P$21&gt;0,'Decode'!$P$21,'Decode'!$P$12)&gt;1,'Decode'!$P$24&lt;&gt;0),1,0)</x:f>
        <x:v>0</x:v>
      </x:c>
      <x:c r="I55" s="34" t="n">
        <x:f>E55*F55/1048576</x:f>
        <x:v>24</x:v>
      </x:c>
      <x:c r="J55" s="34" t="n">
        <x:f>I55*(IF(G55&gt;1,(G55-1)/G55,0))</x:f>
        <x:v>21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((ROUNDUP('Decode'!$P$7/'Decode'!$P$12,0)*'Decode'!$P$12)/'Decode'!$P$12)*6144</x:f>
        <x:v>196608</x:v>
      </x:c>
      <x:c r="F56" s="33" t="n">
        <x:f>'Decode'!$P$28</x:f>
        <x:v>2</x:v>
      </x:c>
      <x:c r="G56" s="33" t="n">
        <x:f>'Decode'!$P$12</x:f>
        <x:v>8</x:v>
      </x:c>
      <x:c r="H56" s="33" t="n">
        <x:f>79*IF(AND('Decode'!$P$25&lt;&gt;0,'Decode'!$P$12&gt;1),1,0)</x:f>
        <x:v>79</x:v>
      </x:c>
      <x:c r="I56" s="34" t="n">
        <x:f>E56*F56/1048576</x:f>
        <x:v>0.375</x:v>
      </x:c>
      <x:c r="J56" s="34" t="n">
        <x:f>I56*(IF(G56&gt;1,G56-1,0))</x:f>
        <x:v>2.625</x:v>
      </x:c>
      <x:c r="K56" s="34" t="n">
        <x:f>J56*H56</x:f>
        <x:v>207.375</x:v>
      </x:c>
      <x:c r="L56" s="34" t="n">
        <x:f>K56*G56</x:f>
        <x:v>1659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((ROUNDUP('Decode'!$P$7/'Decode'!$P$12,0)*'Decode'!$P$12)/'Decode'!$P$12)*64*256</x:f>
        <x:v>524288</x:v>
      </x:c>
      <x:c r="F57" s="33" t="n">
        <x:f>'Decode'!$P$28</x:f>
        <x:v>2</x:v>
      </x:c>
      <x:c r="G57" s="33" t="n">
        <x:f>'Decode'!$P$12</x:f>
        <x:v>8</x:v>
      </x:c>
      <x:c r="H57" s="33" t="n">
        <x:f>79*IF(AND('Decode'!$P$25&lt;&gt;0,'Decode'!$P$12&gt;1),1,0)</x:f>
        <x:v>79</x:v>
      </x:c>
      <x:c r="I57" s="34" t="n">
        <x:f>E57*F57/1048576</x:f>
        <x:v>1</x:v>
      </x:c>
      <x:c r="J57" s="34" t="n">
        <x:f>I57*(IF(G57&gt;1,(G57-1)/G57,0))</x:f>
        <x:v>0.875</x:v>
      </x:c>
      <x:c r="K57" s="34" t="n">
        <x:f>J57*H57</x:f>
        <x:v>69.125</x:v>
      </x:c>
      <x:c r="L57" s="34" t="n">
        <x:f>K57*G57</x:f>
        <x:v>553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((ROUNDUP('Decode'!$P$7/'Decode'!$P$12,0)*'Decode'!$P$12)/'Decode'!$P$12)*2048</x:f>
        <x:v>65536</x:v>
      </x:c>
      <x:c r="F58" s="33" t="n">
        <x:f>'Decode'!$P$31</x:f>
        <x:v>4</x:v>
      </x:c>
      <x:c r="G58" s="33" t="n">
        <x:f>'Decode'!$P$12</x:f>
        <x:v>8</x:v>
      </x:c>
      <x:c r="H58" s="33" t="n">
        <x:f>22*IF(AND('Decode'!$P$25&lt;&gt;0,'Decode'!$P$12&gt;1),1,0)</x:f>
        <x:v>22</x:v>
      </x:c>
      <x:c r="I58" s="34" t="n">
        <x:f>E58*F58/1048576</x:f>
        <x:v>0.25</x:v>
      </x:c>
      <x:c r="J58" s="34" t="n">
        <x:f>I58*(IF(G58&gt;1,G58-1,0))</x:f>
        <x:v>1.75</x:v>
      </x:c>
      <x:c r="K58" s="34" t="n">
        <x:f>J58*H58</x:f>
        <x:v>38.5</x:v>
      </x:c>
      <x:c r="L58" s="34" t="n">
        <x:f>K58*G58</x:f>
        <x:v>308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'Decode'!$P$7*6144</x:f>
        <x:v>1572864</x:v>
      </x:c>
      <x:c r="F59" s="33" t="n">
        <x:f>'Decode'!$P$28</x:f>
        <x:v>2</x:v>
      </x:c>
      <x:c r="G59" s="33" t="n">
        <x:f>IF('Decode'!$P$19&gt;0,'Decode'!$P$19,'Decode'!$P$12)</x:f>
        <x:v>8</x:v>
      </x:c>
      <x:c r="H59" s="33" t="n">
        <x:f>79*IF(AND('Decode'!$P$25=0,IF('Decode'!$P$19&gt;0,'Decode'!$P$19,'Decode'!$P$12)&gt;1),1,0)</x:f>
        <x:v>0</x:v>
      </x:c>
      <x:c r="I59" s="34" t="n">
        <x:f>E59*F59/1048576</x:f>
        <x:v>3</x:v>
      </x:c>
      <x:c r="J59" s="34" t="n">
        <x:f>I59*(IF(G59&gt;1,2*(G59-1)/G59,0))</x:f>
        <x:v>5.25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IF('Decode'!$P$13&lt;&gt;0,((ROUNDUP('Decode'!$P$7/'Decode'!$P$12,0)*'Decode'!$P$12)/'Decode'!$P$12),'Decode'!$P$7)*6144</x:f>
        <x:v>196608</x:v>
      </x:c>
      <x:c r="F60" s="33" t="n">
        <x:f>'Decode'!$P$28</x:f>
        <x:v>2</x:v>
      </x:c>
      <x:c r="G60" s="33" t="n">
        <x:f>'Decode'!$P$12</x:f>
        <x:v>8</x:v>
      </x:c>
      <x:c r="H60" s="33" t="n">
        <x:f>3*IF('Decode'!$P$12&gt;1,1,0)</x:f>
        <x:v>3</x:v>
      </x:c>
      <x:c r="I60" s="34" t="n">
        <x:f>E60*F60/1048576</x:f>
        <x:v>0.375</x:v>
      </x:c>
      <x:c r="J60" s="34" t="n">
        <x:f>I60*(IF(G60&gt;1,2*(G60-1)/G60,0))</x:f>
        <x:v>0.65625</x:v>
      </x:c>
      <x:c r="K60" s="34" t="n">
        <x:f>J60*H60</x:f>
        <x:v>1.96875</x:v>
      </x:c>
      <x:c r="L60" s="34" t="n">
        <x:f>K60*G60</x:f>
        <x:v>15.75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IF('Decode'!$P$13&lt;&gt;0,((ROUNDUP('Decode'!$P$7/'Decode'!$P$12,0)*'Decode'!$P$12)/'Decode'!$P$12),'Decode'!$P$7)*8*'Decode'!$P$32*6144</x:f>
        <x:v>1376256</x:v>
      </x:c>
      <x:c r="F61" s="33" t="n">
        <x:f>'Decode'!$P$28</x:f>
        <x:v>2</x:v>
      </x:c>
      <x:c r="G61" s="33" t="n">
        <x:f>'Decode'!$P$14</x:f>
        <x:v>8</x:v>
      </x:c>
      <x:c r="H61" s="33" t="n">
        <x:f>76*IF('Decode'!$P$14&gt;1,1,0)</x:f>
        <x:v>76</x:v>
      </x:c>
      <x:c r="I61" s="34" t="n">
        <x:f>E61*F61/1048576</x:f>
        <x:v>2.625</x:v>
      </x:c>
      <x:c r="J61" s="34" t="n">
        <x:f>I61*(1)</x:f>
        <x:v>2.625</x:v>
      </x:c>
      <x:c r="K61" s="34" t="n">
        <x:f>J61*H61</x:f>
        <x:v>199.5</x:v>
      </x:c>
      <x:c r="L61" s="34" t="n">
        <x:f>K61*G61</x:f>
        <x:v>1596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IF('Decode'!$P$13&lt;&gt;0,((ROUNDUP('Decode'!$P$7/'Decode'!$P$12,0)*'Decode'!$P$12)/'Decode'!$P$12),'Decode'!$P$7)*8*'Decode'!$P$32*6144</x:f>
        <x:v>1376256</x:v>
      </x:c>
      <x:c r="F62" s="33" t="n">
        <x:f>'Decode'!$P$28</x:f>
        <x:v>2</x:v>
      </x:c>
      <x:c r="G62" s="33" t="n">
        <x:f>'Decode'!$P$14</x:f>
        <x:v>8</x:v>
      </x:c>
      <x:c r="H62" s="33" t="n">
        <x:f>76*IF('Decode'!$P$14&gt;1,1,0)</x:f>
        <x:v>76</x:v>
      </x:c>
      <x:c r="I62" s="34" t="n">
        <x:f>E62*F62/1048576</x:f>
        <x:v>2.625</x:v>
      </x:c>
      <x:c r="J62" s="34" t="n">
        <x:f>I62*(1)</x:f>
        <x:v>2.625</x:v>
      </x:c>
      <x:c r="K62" s="34" t="n">
        <x:f>J62*H62</x:f>
        <x:v>199.5</x:v>
      </x:c>
      <x:c r="L62" s="34" t="n">
        <x:f>K62*G62</x:f>
        <x:v>1596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'Decode'!$P$7*6144</x:f>
        <x:v>1572864</x:v>
      </x:c>
      <x:c r="F63" s="33" t="n">
        <x:f>'Decode'!$P$28</x:f>
        <x:v>2</x:v>
      </x:c>
      <x:c r="G63" s="33" t="n">
        <x:f>'Decode'!$P$11</x:f>
        <x:v>1</x:v>
      </x:c>
      <x:c r="H63" s="33" t="n">
        <x:f>76*IF(AND('Decode'!$P$11&gt;1,'Decode'!$P$14=1),1,0)</x:f>
        <x:v>0</x:v>
      </x:c>
      <x:c r="I63" s="34" t="n">
        <x:f>E63*F63/1048576</x:f>
        <x:v>3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'Decode'!$P$7*256</x:f>
        <x:v>65536</x:v>
      </x:c>
      <x:c r="F64" s="33" t="n">
        <x:f>'Decode'!$P$28</x:f>
        <x:v>2</x:v>
      </x:c>
      <x:c r="G64" s="33" t="n">
        <x:f>'Decode'!$P$11</x:f>
        <x:v>1</x:v>
      </x:c>
      <x:c r="H64" s="33" t="n">
        <x:f>76*IF(AND('Decode'!$P$11&gt;1,'Decode'!$P$14=1),1,0)</x:f>
        <x:v>0</x:v>
      </x:c>
      <x:c r="I64" s="34" t="n">
        <x:f>E64*F64/1048576</x:f>
        <x:v>0.125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'Decode'!$P$7*'Decode'!$P$11*6144</x:f>
        <x:v>1572864</x:v>
      </x:c>
      <x:c r="F65" s="33" t="n">
        <x:f>'Decode'!$P$28</x:f>
        <x:v>2</x:v>
      </x:c>
      <x:c r="G65" s="33" t="n">
        <x:f>'Decode'!$P$11</x:f>
        <x:v>1</x:v>
      </x:c>
      <x:c r="H65" s="33" t="n">
        <x:f>76*IF(AND('Decode'!$P$11&gt;1,'Decode'!$P$14=1),1,0)</x:f>
        <x:v>0</x:v>
      </x:c>
      <x:c r="I65" s="34" t="n">
        <x:f>E65*F65/1048576</x:f>
        <x:v>3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((ROUNDUP('Decode'!$P$7/'Decode'!$P$12,0)*'Decode'!$P$12)/'Decode'!$P$12)*6144</x:f>
        <x:v>196608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76*IF(AND('Decode'!$P$17="TP",IF('Decode'!$P$17="TP",'Decode'!$P$18,1)&gt;1,'Decode'!$P$13&lt;&gt;0),1,0)</x:f>
        <x:v>76</x:v>
      </x:c>
      <x:c r="I66" s="34" t="n">
        <x:f>E66*F66/1048576</x:f>
        <x:v>0.375</x:v>
      </x:c>
      <x:c r="J66" s="34" t="n">
        <x:f>I66*(IF(G66&gt;1,G66-1,0))</x:f>
        <x:v>2.625</x:v>
      </x:c>
      <x:c r="K66" s="34" t="n">
        <x:f>J66*H66</x:f>
        <x:v>199.5</x:v>
      </x:c>
      <x:c r="L66" s="34" t="n">
        <x:f>K66*G66</x:f>
        <x:v>1596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(ROUNDUP('Decode'!$P$7/'Decode'!$P$12,0)*'Decode'!$P$12)*6144</x:f>
        <x:v>1572864</x:v>
      </x:c>
      <x:c r="F67" s="33" t="n">
        <x:f>'Decode'!$P$28</x:f>
        <x:v>2</x:v>
      </x:c>
      <x:c r="G67" s="33" t="n">
        <x:f>IF('Decode'!$P$17="TP",'Decode'!$P$18,1)</x:f>
        <x:v>8</x:v>
      </x:c>
      <x:c r="H67" s="33" t="n">
        <x:f>76*IF(AND('Decode'!$P$17="TP",IF('Decode'!$P$17="TP",'Decode'!$P$18,1)&gt;1,'Decode'!$P$13&lt;&gt;0),1,0)</x:f>
        <x:v>76</x:v>
      </x:c>
      <x:c r="I67" s="34" t="n">
        <x:f>E67*F67/1048576</x:f>
        <x:v>3</x:v>
      </x:c>
      <x:c r="J67" s="34" t="n">
        <x:f>I67*(IF(G67&gt;1,(G67-1)/G67,0))</x:f>
        <x:v>2.625</x:v>
      </x:c>
      <x:c r="K67" s="34" t="n">
        <x:f>J67*H67</x:f>
        <x:v>199.5</x:v>
      </x:c>
      <x:c r="L67" s="34" t="n">
        <x:f>K67*G67</x:f>
        <x:v>1596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'Decode'!$P$7*6144</x:f>
        <x:v>1572864</x:v>
      </x:c>
      <x:c r="F68" s="33" t="n">
        <x:f>'Decode'!$P$28</x:f>
        <x:v>2</x:v>
      </x:c>
      <x:c r="G68" s="33" t="n">
        <x:f>IF('Decode'!$P$17="TP",'Decode'!$P$18,1)</x:f>
        <x:v>8</x:v>
      </x:c>
      <x:c r="H68" s="33" t="n">
        <x:f>76*IF(AND('Decode'!$P$17="TP",IF('Decode'!$P$17="TP",'Decode'!$P$18,1)&gt;1,'Decode'!$P$13=0),1,0)</x:f>
        <x:v>0</x:v>
      </x:c>
      <x:c r="I68" s="34" t="n">
        <x:f>E68*F68/1048576</x:f>
        <x:v>3</x:v>
      </x:c>
      <x:c r="J68" s="34" t="n">
        <x:f>I68*(IF(G68&gt;1,2*(G68-1)/G68,0))</x:f>
        <x:v>5.25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Model Output</x:v>
      </x:c>
      <x:c r="C69" s="30" t="str">
        <x:v>Final Norm 后</x:v>
      </x:c>
      <x:c r="D69" s="30" t="str">
        <x:v>Ring AllGather</x:v>
      </x:c>
      <x:c r="E69" s="33" t="n">
        <x:f>((ROUNDUP('Decode'!$P$7/'Decode'!$P$12,0)*'Decode'!$P$12)/'Decode'!$P$12)*6144</x:f>
        <x:v>196608</x:v>
      </x:c>
      <x:c r="F69" s="33" t="n">
        <x:f>'Decode'!$P$28</x:f>
        <x:v>2</x:v>
      </x:c>
      <x:c r="G69" s="33" t="n">
        <x:f>'Decode'!$P$12</x:f>
        <x:v>8</x:v>
      </x:c>
      <x:c r="H69" s="33" t="n">
        <x:f>IF(AND('Decode'!$P$13&lt;&gt;0,'Decode'!$P$12&gt;1),1,0)</x:f>
        <x:v>1</x:v>
      </x:c>
      <x:c r="I69" s="34" t="n">
        <x:f>E69*F69/1048576</x:f>
        <x:v>0.375</x:v>
      </x:c>
      <x:c r="J69" s="34" t="n">
        <x:f>I69*(IF(G69&gt;1,G69-1,0))</x:f>
        <x:v>2.625</x:v>
      </x:c>
      <x:c r="K69" s="34" t="n">
        <x:f>J69*H69</x:f>
        <x:v>2.625</x:v>
      </x:c>
      <x:c r="L69" s="34" t="n">
        <x:f>K69*G69</x:f>
        <x:v>21</x:v>
      </x:c>
      <x:c r="M69" s="30"/>
      <x:c r="N69" s="30"/>
      <x:c r="O69" s="30"/>
      <x:c r="P69" s="30"/>
    </x:row>
    <x:row r="70">
      <x:c r="A70" s="30" t="str">
        <x:v>LM Head TP</x:v>
      </x:c>
      <x:c r="B70" s="30" t="str">
        <x:v>LM Head</x:v>
      </x:c>
      <x:c r="C70" s="30" t="str">
        <x:v>完整 Logits</x:v>
      </x:c>
      <x:c r="D70" s="30" t="str">
        <x:v>Ring AllGather</x:v>
      </x:c>
      <x:c r="E70" s="33" t="n">
        <x:f>'Decode'!$P$8*154880/IF('Decode'!$P$20&gt;0,'Decode'!$P$20,'Decode'!$P$12)</x:f>
        <x:v>4956160</x:v>
      </x:c>
      <x:c r="F70" s="33" t="n">
        <x:f>'Decode'!$P$28</x:f>
        <x:v>2</x:v>
      </x:c>
      <x:c r="G70" s="33" t="n">
        <x:f>IF('Decode'!$P$20&gt;0,'Decode'!$P$20,'Decode'!$P$12)</x:f>
        <x:v>8</x:v>
      </x:c>
      <x:c r="H70" s="33" t="n">
        <x:f>IF(AND(IF('Decode'!$P$20&gt;0,'Decode'!$P$20,'Decode'!$P$12)&gt;1,'Decode'!$P$23=0,'Decode'!$P$33=0),1,0)</x:f>
        <x:v>0</x:v>
      </x:c>
      <x:c r="I70" s="34" t="n">
        <x:f>E70*F70/1048576</x:f>
        <x:v>9.453125</x:v>
      </x:c>
      <x:c r="J70" s="34" t="n">
        <x:f>I70*(IF(G70&gt;1,G70-1,0))</x:f>
        <x:v>66.171875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Reduce Sample</x:v>
      </x:c>
      <x:c r="D71" s="30" t="str">
        <x:v>Ring AllGather</x:v>
      </x:c>
      <x:c r="E71" s="33" t="n">
        <x:f>'Decode'!$P$8*'Decode'!$P$34</x:f>
        <x:v>65536</x:v>
      </x:c>
      <x:c r="F71" s="33" t="n">
        <x:f>('Decode'!$P$28+'Decode'!$P$31)</x:f>
        <x:v>6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IF(AND(IF('Decode'!$P$20&gt;0,'Decode'!$P$20,'Decode'!$P$12)&gt;1,'Decode'!$P$23=0,'Decode'!$P$33&lt;&gt;0),1,0)</x:f>
        <x:v>1</x:v>
      </x:c>
      <x:c r="I71" s="34" t="n">
        <x:f>E71*F71/1048576</x:f>
        <x:v>0.375</x:v>
      </x:c>
      <x:c r="J71" s="34" t="n">
        <x:f>I71*(IF(G71&gt;1,G71-1,0))</x:f>
        <x:v>2.625</x:v>
      </x:c>
      <x:c r="K71" s="34" t="n">
        <x:f>J71*H71</x:f>
        <x:v>2.625</x:v>
      </x:c>
      <x:c r="L71" s="34" t="n">
        <x:f>K71*G71</x:f>
        <x:v>21</x:v>
      </x:c>
      <x:c r="M71" s="30"/>
      <x:c r="N71" s="30"/>
      <x:c r="O71" s="30"/>
      <x:c r="P71" s="30"/>
    </x:row>
    <x:row r="72">
      <x:c r="A72" s="30" t="str">
        <x:v>Fine LM Head TP</x:v>
      </x:c>
      <x:c r="B72" s="30" t="str">
        <x:v>LM Head</x:v>
      </x:c>
      <x:c r="C72" s="30" t="str">
        <x:v>Hidden 输入</x:v>
      </x:c>
      <x:c r="D72" s="30" t="str">
        <x:v>Ring AllGather</x:v>
      </x:c>
      <x:c r="E72" s="33" t="n">
        <x:f>'Decode'!$P$8*6144</x:f>
        <x:v>1572864</x:v>
      </x:c>
      <x:c r="F72" s="33" t="n">
        <x:f>'Decode'!$P$28</x:f>
        <x:v>2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IF(AND(IF('Decode'!$P$20&gt;0,'Decode'!$P$20,'Decode'!$P$12)&gt;1,'Decode'!$P$23&lt;&gt;0),1,0)</x:f>
        <x:v>0</x:v>
      </x:c>
      <x:c r="I72" s="34" t="n">
        <x:f>E72*F72/1048576</x:f>
        <x:v>3</x:v>
      </x:c>
      <x:c r="J72" s="34" t="n">
        <x:f>I72*(IF(G72&gt;1,G72-1,0))</x:f>
        <x:v>21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完整 Logits</x:v>
      </x:c>
      <x:c r="D73" s="30" t="str">
        <x:v>Equal-split AllToAll</x:v>
      </x:c>
      <x:c r="E73" s="33" t="n">
        <x:f>'Decode'!$P$8*154880</x:f>
        <x:v>39649280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IF(AND(IF('Decode'!$P$20&gt;0,'Decode'!$P$20,'Decode'!$P$12)&gt;1,'Decode'!$P$23&lt;&gt;0,'Decode'!$P$33=0),1,0)</x:f>
        <x:v>0</x:v>
      </x:c>
      <x:c r="I73" s="34" t="n">
        <x:f>E73*F73/1048576</x:f>
        <x:v>75.625</x:v>
      </x:c>
      <x:c r="J73" s="34" t="n">
        <x:f>I73*(IF(G73&gt;1,(G73-1)/G73,0))</x:f>
        <x:v>66.171875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Reduce Sample</x:v>
      </x:c>
      <x:c r="D74" s="30" t="str">
        <x:v>Ring AllGather</x:v>
      </x:c>
      <x:c r="E74" s="33" t="n">
        <x:f>'Decode'!$P$8*'Decode'!$P$34</x:f>
        <x:v>65536</x:v>
      </x:c>
      <x:c r="F74" s="33" t="n">
        <x:f>('Decode'!$P$28+'Decode'!$P$31)</x:f>
        <x:v>6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IF(AND(IF('Decode'!$P$20&gt;0,'Decode'!$P$20,'Decode'!$P$12)&gt;1,'Decode'!$P$23&lt;&gt;0,'Decode'!$P$33&lt;&gt;0),1,0)</x:f>
        <x:v>0</x:v>
      </x:c>
      <x:c r="I74" s="34" t="n">
        <x:f>E74*F74/1048576</x:f>
        <x:v>0.375</x:v>
      </x:c>
      <x:c r="J74" s="34" t="n">
        <x:f>I74*(IF(G74&gt;1,G74-1,0))</x:f>
        <x:v>2.625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40" t="str">
        <x:v>合计</x:v>
      </x:c>
      <x:c r="B75" s="40"/>
      <x:c r="C75" s="40"/>
      <x:c r="D75" s="40"/>
      <x:c r="E75" s="40"/>
      <x:c r="F75" s="40"/>
      <x:c r="G75" s="40"/>
      <x:c r="H75" s="40"/>
      <x:c r="I75" s="41"/>
      <x:c r="J75" s="41"/>
      <x:c r="K75" s="41" t="n">
        <x:f>SUM(K53:K74)</x:f>
        <x:v>1125.46875</x:v>
      </x:c>
      <x:c r="L75" s="41" t="n">
        <x:f>SUM(L53:L74)</x:f>
        <x:v>9003.75</x:v>
      </x:c>
      <x:c r="M75" s="30"/>
      <x:c r="N75" s="30"/>
      <x:c r="O75" s="30"/>
      <x:c r="P75" s="30"/>
    </x:row>
    <x:row r="78" ht="15" customHeight="1">
      <x:c r="A78" s="40" t="str">
        <x:v>PD 带宽争用耗时评估</x:v>
      </x:c>
      <x:c r="B78" s="30"/>
      <x:c r="C78" s="30"/>
      <x:c r="D78" s="30"/>
      <x:c r="E78" s="30"/>
      <x:c r="F78" s="30"/>
      <x:c r="G78" s="30"/>
      <x:c r="H78" s="30"/>
      <x:c r="I78" s="30"/>
      <x:c r="J78" s="30"/>
      <x:c r="K78" s="30"/>
      <x:c r="L78" s="30"/>
    </x:row>
    <x:row r="79" ht="15" customHeight="1">
      <x:c r="A79" s="30" t="str">
        <x:v>Decode 当前表参数；100 GB/s 为归一化示例。所列事件的带宽项，不等于完整 forward 耗时。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30" customHeight="1">
      <x:c r="A80" s="62" t="str">
        <x:v>带宽降幅</x:v>
      </x:c>
      <x:c r="B80" s="62" t="str">
        <x:v>输入</x:v>
      </x:c>
      <x:c r="C80" s="62" t="str">
        <x:v>争用覆盖率</x:v>
      </x:c>
      <x:c r="D80" s="62" t="str">
        <x:v>输入</x:v>
      </x:c>
      <x:c r="E80" s="62" t="str">
        <x:v>基线 forward ms</x:v>
      </x:c>
      <x:c r="F80" s="62" t="str">
        <x:v>实测输入</x:v>
      </x:c>
      <x:c r="G80" s="62" t="str">
        <x:v>默认带宽 GB/s</x:v>
      </x:c>
      <x:c r="H80" s="62" t="str">
        <x:v>输入</x:v>
      </x:c>
      <x:c r="I80" s="30"/>
      <x:c r="J80" s="30"/>
      <x:c r="K80" s="30"/>
      <x:c r="L80" s="30"/>
    </x:row>
    <x:row r="81" ht="15" customHeight="1">
      <x:c r="A81" s="30"/>
      <x:c r="B81" s="63" t="n">
        <x:v>0.1</x:v>
      </x:c>
      <x:c r="C81" s="30"/>
      <x:c r="D81" s="63" t="n">
        <x:v>1</x:v>
      </x:c>
      <x:c r="E81" s="30"/>
      <x:c r="F81" s="38"/>
      <x:c r="G81" s="30"/>
      <x:c r="H81" s="36" t="n">
        <x:v>100</x:v>
      </x:c>
      <x:c r="I81" s="30"/>
      <x:c r="J81" s="30"/>
      <x:c r="K81" s="30"/>
      <x:c r="L81" s="30"/>
    </x:row>
    <x:row r="82" ht="30" customHeight="1">
      <x:c r="A82" s="62" t="str">
        <x:v>通信基线 ms</x:v>
      </x:c>
      <x:c r="B82" s="62" t="str">
        <x:v>结果</x:v>
      </x:c>
      <x:c r="C82" s="62" t="str">
        <x:v>通信争用后 ms</x:v>
      </x:c>
      <x:c r="D82" s="62" t="str">
        <x:v>结果</x:v>
      </x:c>
      <x:c r="E82" s="62" t="str">
        <x:v>forward 增量 ms</x:v>
      </x:c>
      <x:c r="F82" s="62" t="str">
        <x:v>结果</x:v>
      </x:c>
      <x:c r="G82" s="62" t="str">
        <x:v>forward 新耗时 ms</x:v>
      </x:c>
      <x:c r="H82" s="62" t="str">
        <x:v>结果</x:v>
      </x:c>
      <x:c r="I82" s="62" t="str">
        <x:v>forward 增幅</x:v>
      </x:c>
      <x:c r="J82" s="62" t="str">
        <x:v>结果</x:v>
      </x:c>
      <x:c r="K82" s="62" t="str">
        <x:v>输入状态</x:v>
      </x:c>
      <x:c r="L82" s="62" t="str">
        <x:v>状态</x:v>
      </x:c>
    </x:row>
    <x:row r="83" ht="15" customHeight="1">
      <x:c r="A83" s="49"/>
      <x:c r="B83" s="49" t="n">
        <x:f>SUM(G87:G109)</x:f>
        <x:v>11.98661632</x:v>
      </x:c>
      <x:c r="C83" s="49"/>
      <x:c r="D83" s="49" t="n">
        <x:f>SUM(H87:H109)</x:f>
        <x:v>13.318462577777776</x:v>
      </x:c>
      <x:c r="E83" s="49"/>
      <x:c r="F83" s="49" t="n">
        <x:f>SUM(K87:K109)</x:f>
        <x:v>1.331846257777778</x:v>
      </x:c>
      <x:c r="G83" s="49"/>
      <x:c r="H83" s="49" t="str">
        <x:f>IF(AND(ISNUMBER($F$81),$F$81&gt;0,$F$81&gt;=SUMPRODUCT(G87:G109,J87:J109)),$F$81+F83,"")</x:f>
      </x:c>
      <x:c r="I83" s="49"/>
      <x:c r="J83" s="50" t="str">
        <x:f>IF(AND(ISNUMBER($F$81),$F$81&gt;0,$F$81&gt;=SUMPRODUCT(G87:G109,J87:J109)),F83/$F$81,"")</x:f>
      </x:c>
      <x:c r="K83" s="49"/>
      <x:c r="L83" s="49" t="str">
        <x:f>IF($F$81="","待填基线",IF(AND(ISNUMBER($F$81),$F$81&gt;0,$F$81&gt;=SUMPRODUCT(G87:G109,J87:J109)),"已填基线","基线/暴露不一致"))</x:f>
        <x:v>待填基线</x:v>
      </x:c>
    </x:row>
    <x:row r="84" ht="15" customHeight="1">
      <x:c r="A84" s="30" t="str">
        <x:v>共享比例=0 表示独立链路；暴露系数=0 表示增量完全隐藏。默认均为 1，降幅只作用于带宽项。</x:v>
      </x:c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</x:row>
    <x:row r="85" ht="15" customHeight="1">
      <x:c r="A85" s="30" t="str">
        <x:v>P: AllToAllV + 4 B 计数 Ring；D: A3 BF16 MC2 FullMesh。每事件带宽按端点发送量定义。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30" customHeight="1">
      <x:c r="A86" s="62" t="str">
        <x:v>并行域</x:v>
      </x:c>
      <x:c r="B86" s="62" t="str">
        <x:v>模块</x:v>
      </x:c>
      <x:c r="C86" s="62" t="str">
        <x:v>通信事件</x:v>
      </x:c>
      <x:c r="D86" s="62" t="str">
        <x:v>GB/Rank/Step</x:v>
      </x:c>
      <x:c r="E86" s="62" t="str">
        <x:v>有效带宽 GB/s</x:v>
      </x:c>
      <x:c r="F86" s="62" t="str">
        <x:v>共享比例</x:v>
      </x:c>
      <x:c r="G86" s="62" t="str">
        <x:v>基线带宽项 ms</x:v>
      </x:c>
      <x:c r="H86" s="62" t="str">
        <x:v>争用后带宽项 ms</x:v>
      </x:c>
      <x:c r="I86" s="62" t="str">
        <x:v>通信增量 ms</x:v>
      </x:c>
      <x:c r="J86" s="62" t="str">
        <x:v>暴露系数</x:v>
      </x:c>
      <x:c r="K86" s="62" t="str">
        <x:v>forward 增量 ms</x:v>
      </x:c>
      <x:c r="L86" s="62" t="str">
        <x:v>公式口径</x:v>
      </x:c>
    </x:row>
    <x:row r="87" ht="15" customHeight="1">
      <x:c r="A87" s="30" t="str">
        <x:v>Embedding TP</x:v>
      </x:c>
      <x:c r="B87" s="30" t="str">
        <x:v>Embedding</x:v>
      </x:c>
      <x:c r="C87" s="30" t="str">
        <x:v>标准 TP 输出</x:v>
      </x:c>
      <x:c r="D87" s="34" t="n">
        <x:f>(K53*2^20)/1e9</x:f>
        <x:v>0.005505024</x:v>
      </x:c>
      <x:c r="E87" s="64" t="n">
        <x:f>$H$81</x:f>
        <x:v>100</x:v>
      </x:c>
      <x:c r="F87" s="59" t="n">
        <x:v>1</x:v>
      </x:c>
      <x:c r="G87" s="34" t="n">
        <x:f>IF(AND(ISNUMBER(E87),E87&gt;0,ISNUMBER($B$81),$B$81&gt;=0,$B$81&lt;1,ISNUMBER($D$81),$D$81&gt;=0,$D$81&lt;=1,ISNUMBER(F87),F87&gt;=0,F87&lt;=1,ISNUMBER(J87),J87&gt;=0,J87&lt;=1),D87/E87*1000,NA())</x:f>
        <x:v>0.05505024</x:v>
      </x:c>
      <x:c r="H87" s="34" t="n">
        <x:f>G87+I87</x:f>
        <x:v>0.06116693333333333</x:v>
      </x:c>
      <x:c r="I87" s="34" t="n">
        <x:f>G87*F87*$D$81*$B$81/(1-$B$81)</x:f>
        <x:v>0.006116693333333334</x:v>
      </x:c>
      <x:c r="J87" s="59" t="n">
        <x:v>1</x:v>
      </x:c>
      <x:c r="K87" s="34" t="n">
        <x:f>I87*J87</x:f>
        <x:v>0.006116693333333334</x:v>
      </x:c>
      <x:c r="L87" s="30" t="str">
        <x:v>原通信行 53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Fine TP Token ID</x:v>
      </x:c>
      <x:c r="D88" s="34" t="n">
        <x:f>(K54*2^20)/1e9</x:f>
        <x:v>0</x:v>
      </x:c>
      <x:c r="E88" s="64" t="n">
        <x:f>$H$81</x:f>
        <x:v>100</x:v>
      </x:c>
      <x:c r="F88" s="59" t="n">
        <x:v>1</x:v>
      </x:c>
      <x:c r="G88" s="34" t="n">
        <x:f>IF(AND(ISNUMBER(E88),E88&gt;0,ISNUMBER($B$81),$B$81&gt;=0,$B$81&lt;1,ISNUMBER($D$81),$D$81&gt;=0,$D$81&lt;=1,ISNUMBER(F88),F88&gt;=0,F88&lt;=1,ISNUMBER(J88),J88&gt;=0,J88&lt;=1),D88/E88*1000,NA())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G88*F88*$D$81*$B$81/(1-$B$81)</x:f>
        <x:v>0</x:v>
      </x:c>
      <x:c r="J88" s="59" t="n">
        <x:v>1</x:v>
      </x:c>
      <x:c r="K88" s="34" t="n">
        <x:f>I88*J88</x:f>
        <x:v>0</x:v>
      </x:c>
      <x:c r="L88" s="30" t="str">
        <x:v>原通信行 54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Hidden</x:v>
      </x:c>
      <x:c r="D89" s="34" t="n">
        <x:f>(K55*2^20)/1e9</x:f>
        <x:v>0</x:v>
      </x:c>
      <x:c r="E89" s="64" t="n">
        <x:f>$H$81</x:f>
        <x:v>100</x:v>
      </x:c>
      <x:c r="F89" s="59" t="n">
        <x:v>1</x:v>
      </x:c>
      <x:c r="G89" s="34" t="n">
        <x:f>IF(AND(ISNUMBER(E89),E89&gt;0,ISNUMBER($B$81),$B$81&gt;=0,$B$81&lt;1,ISNUMBER($D$81),$D$81&gt;=0,$D$81&lt;=1,ISNUMBER(F89),F89&gt;=0,F89&lt;=1,ISNUMBER(J89),J89&gt;=0,J89&lt;=1),D89/E89*1000,NA())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G89*F89*$D$81*$B$81/(1-$B$81)</x:f>
        <x:v>0</x:v>
      </x:c>
      <x:c r="J89" s="59" t="n">
        <x:v>1</x:v>
      </x:c>
      <x:c r="K89" s="34" t="n">
        <x:f>I89*J89</x:f>
        <x:v>0</x:v>
      </x:c>
      <x:c r="L89" s="30" t="str">
        <x:v>原通信行 55</x:v>
      </x:c>
    </x:row>
    <x:row r="90" ht="15" customHeight="1">
      <x:c r="A90" s="30" t="str">
        <x:v>DSA CP</x:v>
      </x:c>
      <x:c r="B90" s="30" t="str">
        <x:v>Sparse Attention</x:v>
      </x:c>
      <x:c r="C90" s="30" t="str">
        <x:v>Q/KV 投影输入</x:v>
      </x:c>
      <x:c r="D90" s="34" t="n">
        <x:f>(K56*2^20)/1e9</x:f>
        <x:v>0.217448448</x:v>
      </x:c>
      <x:c r="E90" s="64" t="n">
        <x:f>$H$81</x:f>
        <x:v>100</x:v>
      </x:c>
      <x:c r="F90" s="59" t="n">
        <x:v>1</x:v>
      </x:c>
      <x:c r="G90" s="34" t="n">
        <x:f>IF(AND(ISNUMBER(E90),E90&gt;0,ISNUMBER($B$81),$B$81&gt;=0,$B$81&lt;1,ISNUMBER($D$81),$D$81&gt;=0,$D$81&lt;=1,ISNUMBER(F90),F90&gt;=0,F90&lt;=1,ISNUMBER(J90),J90&gt;=0,J90&lt;=1),D90/E90*1000,NA())</x:f>
        <x:v>2.17448448</x:v>
      </x:c>
      <x:c r="H90" s="34" t="n">
        <x:f>G90+I90</x:f>
        <x:v>2.4160938666666665</x:v>
      </x:c>
      <x:c r="I90" s="34" t="n">
        <x:f>G90*F90*$D$81*$B$81/(1-$B$81)</x:f>
        <x:v>0.24160938666666665</x:v>
      </x:c>
      <x:c r="J90" s="59" t="n">
        <x:v>1</x:v>
      </x:c>
      <x:c r="K90" s="34" t="n">
        <x:f>I90*J90</x:f>
        <x:v>0.24160938666666665</x:v>
      </x:c>
      <x:c r="L90" s="30" t="str">
        <x:v>原通信行 56</x:v>
      </x:c>
    </x:row>
    <x:row r="91" ht="15" customHeight="1">
      <x:c r="A91" s="30" t="str">
        <x:v>DSA CP</x:v>
      </x:c>
      <x:c r="B91" s="30" t="str">
        <x:v>Sparse Attention</x:v>
      </x:c>
      <x:c r="C91" s="30" t="str">
        <x:v>恢复 TP Head Layout</x:v>
      </x:c>
      <x:c r="D91" s="34" t="n">
        <x:f>(K57*2^20)/1e9</x:f>
        <x:v>0.072482816</x:v>
      </x:c>
      <x:c r="E91" s="64" t="n">
        <x:f>$H$81</x:f>
        <x:v>100</x:v>
      </x:c>
      <x:c r="F91" s="59" t="n">
        <x:v>1</x:v>
      </x:c>
      <x:c r="G91" s="34" t="n">
        <x:f>IF(AND(ISNUMBER(E91),E91&gt;0,ISNUMBER($B$81),$B$81&gt;=0,$B$81&lt;1,ISNUMBER($D$81),$D$81&gt;=0,$D$81&lt;=1,ISNUMBER(F91),F91&gt;=0,F91&lt;=1,ISNUMBER(J91),J91&gt;=0,J91&lt;=1),D91/E91*1000,NA())</x:f>
        <x:v>0.72482816</x:v>
      </x:c>
      <x:c r="H91" s="34" t="n">
        <x:f>G91+I91</x:f>
        <x:v>0.8053646222222223</x:v>
      </x:c>
      <x:c r="I91" s="34" t="n">
        <x:f>G91*F91*$D$81*$B$81/(1-$B$81)</x:f>
        <x:v>0.08053646222222223</x:v>
      </x:c>
      <x:c r="J91" s="59" t="n">
        <x:v>1</x:v>
      </x:c>
      <x:c r="K91" s="34" t="n">
        <x:f>I91*J91</x:f>
        <x:v>0.08053646222222223</x:v>
      </x:c>
      <x:c r="L91" s="30" t="str">
        <x:v>原通信行 57</x:v>
      </x:c>
    </x:row>
    <x:row r="92" ht="15" customHeight="1">
      <x:c r="A92" s="30" t="str">
        <x:v>DSA CP</x:v>
      </x:c>
      <x:c r="B92" s="30" t="str">
        <x:v>Indexer</x:v>
      </x:c>
      <x:c r="C92" s="30" t="str">
        <x:v>Top-k Index</x:v>
      </x:c>
      <x:c r="D92" s="34" t="n">
        <x:f>(K58*2^20)/1e9</x:f>
        <x:v>0.040370176</x:v>
      </x:c>
      <x:c r="E92" s="64" t="n">
        <x:f>$H$81</x:f>
        <x:v>100</x:v>
      </x:c>
      <x:c r="F92" s="59" t="n">
        <x:v>1</x:v>
      </x:c>
      <x:c r="G92" s="34" t="n">
        <x:f>IF(AND(ISNUMBER(E92),E92&gt;0,ISNUMBER($B$81),$B$81&gt;=0,$B$81&lt;1,ISNUMBER($D$81),$D$81&gt;=0,$D$81&lt;=1,ISNUMBER(F92),F92&gt;=0,F92&lt;=1,ISNUMBER(J92),J92&gt;=0,J92&lt;=1),D92/E92*1000,NA())</x:f>
        <x:v>0.40370176</x:v>
      </x:c>
      <x:c r="H92" s="34" t="n">
        <x:f>G92+I92</x:f>
        <x:v>0.44855751111111114</x:v>
      </x:c>
      <x:c r="I92" s="34" t="n">
        <x:f>G92*F92*$D$81*$B$81/(1-$B$81)</x:f>
        <x:v>0.04485575111111112</x:v>
      </x:c>
      <x:c r="J92" s="59" t="n">
        <x:v>1</x:v>
      </x:c>
      <x:c r="K92" s="34" t="n">
        <x:f>I92*J92</x:f>
        <x:v>0.04485575111111112</x:v>
      </x:c>
      <x:c r="L92" s="30" t="str">
        <x:v>原通信行 58</x:v>
      </x:c>
    </x:row>
    <x:row r="93" ht="15" customHeight="1">
      <x:c r="A93" s="30" t="str">
        <x:v>O Proj TP</x:v>
      </x:c>
      <x:c r="B93" s="30" t="str">
        <x:v>Sparse Attention</x:v>
      </x:c>
      <x:c r="C93" s="30" t="str">
        <x:v>DSA CP 关闭</x:v>
      </x:c>
      <x:c r="D93" s="34" t="n">
        <x:f>(K59*2^20)/1e9</x:f>
        <x:v>0</x:v>
      </x:c>
      <x:c r="E93" s="64" t="n">
        <x:f>$H$81</x:f>
        <x:v>100</x:v>
      </x:c>
      <x:c r="F93" s="59" t="n">
        <x:v>1</x:v>
      </x:c>
      <x:c r="G93" s="34" t="n">
        <x:f>IF(AND(ISNUMBER(E93),E93&gt;0,ISNUMBER($B$81),$B$81&gt;=0,$B$81&lt;1,ISNUMBER($D$81),$D$81&gt;=0,$D$81&lt;=1,ISNUMBER(F93),F93&gt;=0,F93&lt;=1,ISNUMBER(J93),J93&gt;=0,J93&lt;=1),D93/E93*1000,NA())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G93*F93*$D$81*$B$81/(1-$B$81)</x:f>
        <x:v>0</x:v>
      </x:c>
      <x:c r="J93" s="59" t="n">
        <x:v>1</x:v>
      </x:c>
      <x:c r="K93" s="34" t="n">
        <x:f>I93*J93</x:f>
        <x:v>0</x:v>
      </x:c>
      <x:c r="L93" s="30" t="str">
        <x:v>原通信行 59</x:v>
      </x:c>
    </x:row>
    <x:row r="94" ht="15" customHeight="1">
      <x:c r="A94" s="30" t="str">
        <x:v>SP</x:v>
      </x:c>
      <x:c r="B94" s="30" t="str">
        <x:v>Dense MLP</x:v>
      </x:c>
      <x:c r="C94" s="30" t="str">
        <x:v>Down Proj 输出</x:v>
      </x:c>
      <x:c r="D94" s="34" t="n">
        <x:f>(K60*2^20)/1e9</x:f>
        <x:v>0.002064384</x:v>
      </x:c>
      <x:c r="E94" s="64" t="n">
        <x:f>$H$81</x:f>
        <x:v>100</x:v>
      </x:c>
      <x:c r="F94" s="59" t="n">
        <x:v>1</x:v>
      </x:c>
      <x:c r="G94" s="34" t="n">
        <x:f>IF(AND(ISNUMBER(E94),E94&gt;0,ISNUMBER($B$81),$B$81&gt;=0,$B$81&lt;1,ISNUMBER($D$81),$D$81&gt;=0,$D$81&lt;=1,ISNUMBER(F94),F94&gt;=0,F94&lt;=1,ISNUMBER(J94),J94&gt;=0,J94&lt;=1),D94/E94*1000,NA())</x:f>
        <x:v>0.02064384</x:v>
      </x:c>
      <x:c r="H94" s="34" t="n">
        <x:f>G94+I94</x:f>
        <x:v>0.0229376</x:v>
      </x:c>
      <x:c r="I94" s="34" t="n">
        <x:f>G94*F94*$D$81*$B$81/(1-$B$81)</x:f>
        <x:v>0.00229376</x:v>
      </x:c>
      <x:c r="J94" s="59" t="n">
        <x:v>1</x:v>
      </x:c>
      <x:c r="K94" s="34" t="n">
        <x:f>I94*J94</x:f>
        <x:v>0.00229376</x:v>
      </x:c>
      <x:c r="L94" s="30" t="str">
        <x:v>原通信行 60</x:v>
      </x:c>
    </x:row>
    <x:row r="95" ht="15" customHeight="1">
      <x:c r="A95" s="30" t="str">
        <x:v>EP</x:v>
      </x:c>
      <x:c r="B95" s="30" t="str">
        <x:v>Routed Experts</x:v>
      </x:c>
      <x:c r="C95" s="30" t="str">
        <x:v>MC2 FullMesh Dispatch</x:v>
      </x:c>
      <x:c r="D95" s="34" t="n">
        <x:f>(IF(F61=2,E61/6144*H61*(ROUNDUP((ROUNDUP(6144*F61/32,0)*32+32)/480,0)*512),NA()))/1e9</x:f>
        <x:v>0.226623488</x:v>
      </x:c>
      <x:c r="E95" s="64" t="n">
        <x:f>$H$81</x:f>
        <x:v>100</x:v>
      </x:c>
      <x:c r="F95" s="59" t="n">
        <x:v>1</x:v>
      </x:c>
      <x:c r="G95" s="34" t="n">
        <x:f>IF(AND(ISNUMBER(E95),E95&gt;0,ISNUMBER($B$81),$B$81&gt;=0,$B$81&lt;1,ISNUMBER($D$81),$D$81&gt;=0,$D$81&lt;=1,ISNUMBER(F95),F95&gt;=0,F95&lt;=1,ISNUMBER(J95),J95&gt;=0,J95&lt;=1),D95/E95*1000,NA())</x:f>
        <x:v>2.2662348800000003</x:v>
      </x:c>
      <x:c r="H95" s="34" t="n">
        <x:f>G95+I95</x:f>
        <x:v>2.5180387555555557</x:v>
      </x:c>
      <x:c r="I95" s="34" t="n">
        <x:f>G95*F95*$D$81*$B$81/(1-$B$81)</x:f>
        <x:v>0.2518038755555556</x:v>
      </x:c>
      <x:c r="J95" s="59" t="n">
        <x:v>1</x:v>
      </x:c>
      <x:c r="K95" s="34" t="n">
        <x:f>I95*J95</x:f>
        <x:v>0.2518038755555556</x:v>
      </x:c>
      <x:c r="L95" s="30" t="str">
        <x:v>原通信行 61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Combine + flags</x:v>
      </x:c>
      <x:c r="D96" s="34" t="n">
        <x:f>(IF(F62=2,K62*2^20+E62/6144*H62*32,NA()))/1e9</x:f>
        <x:v>0.20973568</x:v>
      </x:c>
      <x:c r="E96" s="64" t="n">
        <x:f>$H$81</x:f>
        <x:v>100</x:v>
      </x:c>
      <x:c r="F96" s="59" t="n">
        <x:v>1</x:v>
      </x:c>
      <x:c r="G96" s="34" t="n">
        <x:f>IF(AND(ISNUMBER(E96),E96&gt;0,ISNUMBER($B$81),$B$81&gt;=0,$B$81&lt;1,ISNUMBER($D$81),$D$81&gt;=0,$D$81&lt;=1,ISNUMBER(F96),F96&gt;=0,F96&lt;=1,ISNUMBER(J96),J96&gt;=0,J96&lt;=1),D96/E96*1000,NA())</x:f>
        <x:v>2.0973568</x:v>
      </x:c>
      <x:c r="H96" s="34" t="n">
        <x:f>G96+I96</x:f>
        <x:v>2.3303964444444443</x:v>
      </x:c>
      <x:c r="I96" s="34" t="n">
        <x:f>G96*F96*$D$81*$B$81/(1-$B$81)</x:f>
        <x:v>0.23303964444444444</x:v>
      </x:c>
      <x:c r="J96" s="59" t="n">
        <x:v>1</x:v>
      </x:c>
      <x:c r="K96" s="34" t="n">
        <x:f>I96*J96</x:f>
        <x:v>0.23303964444444444</x:v>
      </x:c>
      <x:c r="L96" s="30" t="str">
        <x:v>原通信行 62</x:v>
      </x:c>
    </x:row>
    <x:row r="97" ht="15" customHeight="1">
      <x:c r="A97" s="30" t="str">
        <x:v>DP</x:v>
      </x:c>
      <x:c r="B97" s="30" t="str">
        <x:v>MoE</x:v>
      </x:c>
      <x:c r="C97" s="30" t="str">
        <x:v>Hidden 输入</x:v>
      </x:c>
      <x:c r="D97" s="34" t="n">
        <x:f>(K63*2^20)/1e9</x:f>
        <x:v>0</x:v>
      </x:c>
      <x:c r="E97" s="64" t="n">
        <x:f>$H$81</x:f>
        <x:v>100</x:v>
      </x:c>
      <x:c r="F97" s="59" t="n">
        <x:v>1</x:v>
      </x:c>
      <x:c r="G97" s="34" t="n">
        <x:f>IF(AND(ISNUMBER(E97),E97&gt;0,ISNUMBER($B$81),$B$81&gt;=0,$B$81&lt;1,ISNUMBER($D$81),$D$81&gt;=0,$D$81&lt;=1,ISNUMBER(F97),F97&gt;=0,F97&lt;=1,ISNUMBER(J97),J97&gt;=0,J97&lt;=1),D97/E97*1000,NA())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G97*F97*$D$81*$B$81/(1-$B$81)</x:f>
        <x:v>0</x:v>
      </x:c>
      <x:c r="J97" s="59" t="n">
        <x:v>1</x:v>
      </x:c>
      <x:c r="K97" s="34" t="n">
        <x:f>I97*J97</x:f>
        <x:v>0</x:v>
      </x:c>
      <x:c r="L97" s="30" t="str">
        <x:v>原通信行 63</x:v>
      </x:c>
    </x:row>
    <x:row r="98" ht="15" customHeight="1">
      <x:c r="A98" s="30" t="str">
        <x:v>DP</x:v>
      </x:c>
      <x:c r="B98" s="30" t="str">
        <x:v>MoE Router</x:v>
      </x:c>
      <x:c r="C98" s="30" t="str">
        <x:v>Router Logits</x:v>
      </x:c>
      <x:c r="D98" s="34" t="n">
        <x:f>(K64*2^20)/1e9</x:f>
        <x:v>0</x:v>
      </x:c>
      <x:c r="E98" s="64" t="n">
        <x:f>$H$81</x:f>
        <x:v>100</x:v>
      </x:c>
      <x:c r="F98" s="59" t="n">
        <x:v>1</x:v>
      </x:c>
      <x:c r="G98" s="34" t="n">
        <x:f>IF(AND(ISNUMBER(E98),E98&gt;0,ISNUMBER($B$81),$B$81&gt;=0,$B$81&lt;1,ISNUMBER($D$81),$D$81&gt;=0,$D$81&lt;=1,ISNUMBER(F98),F98&gt;=0,F98&lt;=1,ISNUMBER(J98),J98&gt;=0,J98&lt;=1),D98/E98*1000,NA())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G98*F98*$D$81*$B$81/(1-$B$81)</x:f>
        <x:v>0</x:v>
      </x:c>
      <x:c r="J98" s="59" t="n">
        <x:v>1</x:v>
      </x:c>
      <x:c r="K98" s="34" t="n">
        <x:f>I98*J98</x:f>
        <x:v>0</x:v>
      </x:c>
      <x:c r="L98" s="30" t="str">
        <x:v>原通信行 64</x:v>
      </x:c>
    </x:row>
    <x:row r="99" ht="15" customHeight="1">
      <x:c r="A99" s="30" t="str">
        <x:v>DP</x:v>
      </x:c>
      <x:c r="B99" s="30" t="str">
        <x:v>MoE</x:v>
      </x:c>
      <x:c r="C99" s="30" t="str">
        <x:v>Routed Expert 输出</x:v>
      </x:c>
      <x:c r="D99" s="34" t="n">
        <x:f>(K65*2^20)/1e9</x:f>
        <x:v>0</x:v>
      </x:c>
      <x:c r="E99" s="64" t="n">
        <x:f>$H$81</x:f>
        <x:v>100</x:v>
      </x:c>
      <x:c r="F99" s="59" t="n">
        <x:v>1</x:v>
      </x:c>
      <x:c r="G99" s="34" t="n">
        <x:f>IF(AND(ISNUMBER(E99),E99&gt;0,ISNUMBER($B$81),$B$81&gt;=0,$B$81&lt;1,ISNUMBER($D$81),$D$81&gt;=0,$D$81&lt;=1,ISNUMBER(F99),F99&gt;=0,F99&lt;=1,ISNUMBER(J99),J99&gt;=0,J99&lt;=1),D99/E99*1000,NA())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G99*F99*$D$81*$B$81/(1-$B$81)</x:f>
        <x:v>0</x:v>
      </x:c>
      <x:c r="J99" s="59" t="n">
        <x:v>1</x:v>
      </x:c>
      <x:c r="K99" s="34" t="n">
        <x:f>I99*J99</x:f>
        <x:v>0</x:v>
      </x:c>
      <x:c r="L99" s="30" t="str">
        <x:v>原通信行 65</x:v>
      </x:c>
    </x:row>
    <x:row r="100" ht="15" customHeight="1">
      <x:c r="A100" s="30" t="str">
        <x:v>共享专家 TP</x:v>
      </x:c>
      <x:c r="B100" s="30" t="str">
        <x:v>Shared Experts</x:v>
      </x:c>
      <x:c r="C100" s="30" t="str">
        <x:v>SP 输入</x:v>
      </x:c>
      <x:c r="D100" s="34" t="n">
        <x:f>(K66*2^20)/1e9</x:f>
        <x:v>0.209190912</x:v>
      </x:c>
      <x:c r="E100" s="64" t="n">
        <x:f>$H$81</x:f>
        <x:v>100</x:v>
      </x:c>
      <x:c r="F100" s="59" t="n">
        <x:v>1</x:v>
      </x:c>
      <x:c r="G100" s="34" t="n">
        <x:f>IF(AND(ISNUMBER(E100),E100&gt;0,ISNUMBER($B$81),$B$81&gt;=0,$B$81&lt;1,ISNUMBER($D$81),$D$81&gt;=0,$D$81&lt;=1,ISNUMBER(F100),F100&gt;=0,F100&lt;=1,ISNUMBER(J100),J100&gt;=0,J100&lt;=1),D100/E100*1000,NA())</x:f>
        <x:v>2.0919091200000004</x:v>
      </x:c>
      <x:c r="H100" s="34" t="n">
        <x:f>G100+I100</x:f>
        <x:v>2.324343466666667</x:v>
      </x:c>
      <x:c r="I100" s="34" t="n">
        <x:f>G100*F100*$D$81*$B$81/(1-$B$81)</x:f>
        <x:v>0.23243434666666674</x:v>
      </x:c>
      <x:c r="J100" s="59" t="n">
        <x:v>1</x:v>
      </x:c>
      <x:c r="K100" s="34" t="n">
        <x:f>I100*J100</x:f>
        <x:v>0.23243434666666674</x:v>
      </x:c>
      <x:c r="L100" s="30" t="str">
        <x:v>原通信行 66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输出</x:v>
      </x:c>
      <x:c r="D101" s="34" t="n">
        <x:f>(K67*2^20)/1e9</x:f>
        <x:v>0.209190912</x:v>
      </x:c>
      <x:c r="E101" s="64" t="n">
        <x:f>$H$81</x:f>
        <x:v>100</x:v>
      </x:c>
      <x:c r="F101" s="59" t="n">
        <x:v>1</x:v>
      </x:c>
      <x:c r="G101" s="34" t="n">
        <x:f>IF(AND(ISNUMBER(E101),E101&gt;0,ISNUMBER($B$81),$B$81&gt;=0,$B$81&lt;1,ISNUMBER($D$81),$D$81&gt;=0,$D$81&lt;=1,ISNUMBER(F101),F101&gt;=0,F101&lt;=1,ISNUMBER(J101),J101&gt;=0,J101&lt;=1),D101/E101*1000,NA())</x:f>
        <x:v>2.0919091200000004</x:v>
      </x:c>
      <x:c r="H101" s="34" t="n">
        <x:f>G101+I101</x:f>
        <x:v>2.324343466666667</x:v>
      </x:c>
      <x:c r="I101" s="34" t="n">
        <x:f>G101*F101*$D$81*$B$81/(1-$B$81)</x:f>
        <x:v>0.23243434666666674</x:v>
      </x:c>
      <x:c r="J101" s="59" t="n">
        <x:v>1</x:v>
      </x:c>
      <x:c r="K101" s="34" t="n">
        <x:f>I101*J101</x:f>
        <x:v>0.23243434666666674</x:v>
      </x:c>
      <x:c r="L101" s="30" t="str">
        <x:v>原通信行 67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非 SP 输出</x:v>
      </x:c>
      <x:c r="D102" s="34" t="n">
        <x:f>(K68*2^20)/1e9</x:f>
        <x:v>0</x:v>
      </x:c>
      <x:c r="E102" s="64" t="n">
        <x:f>$H$81</x:f>
        <x:v>100</x:v>
      </x:c>
      <x:c r="F102" s="59" t="n">
        <x:v>1</x:v>
      </x:c>
      <x:c r="G102" s="34" t="n">
        <x:f>IF(AND(ISNUMBER(E102),E102&gt;0,ISNUMBER($B$81),$B$81&gt;=0,$B$81&lt;1,ISNUMBER($D$81),$D$81&gt;=0,$D$81&lt;=1,ISNUMBER(F102),F102&gt;=0,F102&lt;=1,ISNUMBER(J102),J102&gt;=0,J102&lt;=1),D102/E102*1000,NA())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G102*F102*$D$81*$B$81/(1-$B$81)</x:f>
        <x:v>0</x:v>
      </x:c>
      <x:c r="J102" s="59" t="n">
        <x:v>1</x:v>
      </x:c>
      <x:c r="K102" s="34" t="n">
        <x:f>I102*J102</x:f>
        <x:v>0</x:v>
      </x:c>
      <x:c r="L102" s="30" t="str">
        <x:v>原通信行 68</x:v>
      </x:c>
    </x:row>
    <x:row r="103" ht="15" customHeight="1">
      <x:c r="A103" s="30" t="str">
        <x:v>SP</x:v>
      </x:c>
      <x:c r="B103" s="30" t="str">
        <x:v>Model Output</x:v>
      </x:c>
      <x:c r="C103" s="30" t="str">
        <x:v>Final Norm 后</x:v>
      </x:c>
      <x:c r="D103" s="34" t="n">
        <x:f>(K69*2^20)/1e9</x:f>
        <x:v>0.002752512</x:v>
      </x:c>
      <x:c r="E103" s="64" t="n">
        <x:f>$H$81</x:f>
        <x:v>100</x:v>
      </x:c>
      <x:c r="F103" s="59" t="n">
        <x:v>1</x:v>
      </x:c>
      <x:c r="G103" s="34" t="n">
        <x:f>IF(AND(ISNUMBER(E103),E103&gt;0,ISNUMBER($B$81),$B$81&gt;=0,$B$81&lt;1,ISNUMBER($D$81),$D$81&gt;=0,$D$81&lt;=1,ISNUMBER(F103),F103&gt;=0,F103&lt;=1,ISNUMBER(J103),J103&gt;=0,J103&lt;=1),D103/E103*1000,NA())</x:f>
        <x:v>0.02752512</x:v>
      </x:c>
      <x:c r="H103" s="34" t="n">
        <x:f>G103+I103</x:f>
        <x:v>0.030583466666666666</x:v>
      </x:c>
      <x:c r="I103" s="34" t="n">
        <x:f>G103*F103*$D$81*$B$81/(1-$B$81)</x:f>
        <x:v>0.003058346666666667</x:v>
      </x:c>
      <x:c r="J103" s="59" t="n">
        <x:v>1</x:v>
      </x:c>
      <x:c r="K103" s="34" t="n">
        <x:f>I103*J103</x:f>
        <x:v>0.003058346666666667</x:v>
      </x:c>
      <x:c r="L103" s="30" t="str">
        <x:v>原通信行 69</x:v>
      </x:c>
    </x:row>
    <x:row r="104" ht="15" customHeight="1">
      <x:c r="A104" s="30" t="str">
        <x:v>LM Head TP</x:v>
      </x:c>
      <x:c r="B104" s="30" t="str">
        <x:v>LM Head</x:v>
      </x:c>
      <x:c r="C104" s="30" t="str">
        <x:v>完整 Logits</x:v>
      </x:c>
      <x:c r="D104" s="34" t="n">
        <x:f>(K70*2^20)/1e9</x:f>
        <x:v>0</x:v>
      </x:c>
      <x:c r="E104" s="64" t="n">
        <x:f>$H$81</x:f>
        <x:v>100</x:v>
      </x:c>
      <x:c r="F104" s="59" t="n">
        <x:v>1</x:v>
      </x:c>
      <x:c r="G104" s="34" t="n">
        <x:f>IF(AND(ISNUMBER(E104),E104&gt;0,ISNUMBER($B$81),$B$81&gt;=0,$B$81&lt;1,ISNUMBER($D$81),$D$81&gt;=0,$D$81&lt;=1,ISNUMBER(F104),F104&gt;=0,F104&lt;=1,ISNUMBER(J104),J104&gt;=0,J104&lt;=1),D104/E104*1000,NA())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G104*F104*$D$81*$B$81/(1-$B$81)</x:f>
        <x:v>0</x:v>
      </x:c>
      <x:c r="J104" s="59" t="n">
        <x:v>1</x:v>
      </x:c>
      <x:c r="K104" s="34" t="n">
        <x:f>I104*J104</x:f>
        <x:v>0</x:v>
      </x:c>
      <x:c r="L104" s="30" t="str">
        <x:v>原通信行 70</x:v>
      </x:c>
    </x:row>
    <x:row r="105" ht="15" customHeight="1">
      <x:c r="A105" s="30" t="str">
        <x:v>LM Head TP</x:v>
      </x:c>
      <x:c r="B105" s="30" t="str">
        <x:v>LM Head</x:v>
      </x:c>
      <x:c r="C105" s="30" t="str">
        <x:v>Reduce Sample</x:v>
      </x:c>
      <x:c r="D105" s="34" t="n">
        <x:f>(K71*2^20)/1e9</x:f>
        <x:v>0.002752512</x:v>
      </x:c>
      <x:c r="E105" s="64" t="n">
        <x:f>$H$81</x:f>
        <x:v>100</x:v>
      </x:c>
      <x:c r="F105" s="59" t="n">
        <x:v>1</x:v>
      </x:c>
      <x:c r="G105" s="34" t="n">
        <x:f>IF(AND(ISNUMBER(E105),E105&gt;0,ISNUMBER($B$81),$B$81&gt;=0,$B$81&lt;1,ISNUMBER($D$81),$D$81&gt;=0,$D$81&lt;=1,ISNUMBER(F105),F105&gt;=0,F105&lt;=1,ISNUMBER(J105),J105&gt;=0,J105&lt;=1),D105/E105*1000,NA())</x:f>
        <x:v>0.02752512</x:v>
      </x:c>
      <x:c r="H105" s="34" t="n">
        <x:f>G105+I105</x:f>
        <x:v>0.030583466666666666</x:v>
      </x:c>
      <x:c r="I105" s="34" t="n">
        <x:f>G105*F105*$D$81*$B$81/(1-$B$81)</x:f>
        <x:v>0.003058346666666667</x:v>
      </x:c>
      <x:c r="J105" s="59" t="n">
        <x:v>1</x:v>
      </x:c>
      <x:c r="K105" s="34" t="n">
        <x:f>I105*J105</x:f>
        <x:v>0.003058346666666667</x:v>
      </x:c>
      <x:c r="L105" s="30" t="str">
        <x:v>原通信行 71</x:v>
      </x:c>
    </x:row>
    <x:row r="106" ht="15" customHeight="1">
      <x:c r="A106" s="30" t="str">
        <x:v>Fine LM Head TP</x:v>
      </x:c>
      <x:c r="B106" s="30" t="str">
        <x:v>LM Head</x:v>
      </x:c>
      <x:c r="C106" s="30" t="str">
        <x:v>Hidden 输入</x:v>
      </x:c>
      <x:c r="D106" s="34" t="n">
        <x:f>(K72*2^20)/1e9</x:f>
        <x:v>0</x:v>
      </x:c>
      <x:c r="E106" s="64" t="n">
        <x:f>$H$81</x:f>
        <x:v>100</x:v>
      </x:c>
      <x:c r="F106" s="59" t="n">
        <x:v>1</x:v>
      </x:c>
      <x:c r="G106" s="34" t="n">
        <x:f>IF(AND(ISNUMBER(E106),E106&gt;0,ISNUMBER($B$81),$B$81&gt;=0,$B$81&lt;1,ISNUMBER($D$81),$D$81&gt;=0,$D$81&lt;=1,ISNUMBER(F106),F106&gt;=0,F106&lt;=1,ISNUMBER(J106),J106&gt;=0,J106&lt;=1),D106/E106*1000,NA())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G106*F106*$D$81*$B$81/(1-$B$81)</x:f>
        <x:v>0</x:v>
      </x:c>
      <x:c r="J106" s="59" t="n">
        <x:v>1</x:v>
      </x:c>
      <x:c r="K106" s="34" t="n">
        <x:f>I106*J106</x:f>
        <x:v>0</x:v>
      </x:c>
      <x:c r="L106" s="30" t="str">
        <x:v>原通信行 72</x:v>
      </x:c>
    </x:row>
    <x:row r="107" ht="15" customHeight="1">
      <x:c r="A107" s="30" t="str">
        <x:v>Fine LM Head TP</x:v>
      </x:c>
      <x:c r="B107" s="30" t="str">
        <x:v>LM Head</x:v>
      </x:c>
      <x:c r="C107" s="30" t="str">
        <x:v>完整 Logits</x:v>
      </x:c>
      <x:c r="D107" s="34" t="n">
        <x:f>(K73*2^20)/1e9</x:f>
        <x:v>0</x:v>
      </x:c>
      <x:c r="E107" s="64" t="n">
        <x:f>$H$81</x:f>
        <x:v>100</x:v>
      </x:c>
      <x:c r="F107" s="59" t="n">
        <x:v>1</x:v>
      </x:c>
      <x:c r="G107" s="34" t="n">
        <x:f>IF(AND(ISNUMBER(E107),E107&gt;0,ISNUMBER($B$81),$B$81&gt;=0,$B$81&lt;1,ISNUMBER($D$81),$D$81&gt;=0,$D$81&lt;=1,ISNUMBER(F107),F107&gt;=0,F107&lt;=1,ISNUMBER(J107),J107&gt;=0,J107&lt;=1),D107/E107*1000,NA())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G107*F107*$D$81*$B$81/(1-$B$81)</x:f>
        <x:v>0</x:v>
      </x:c>
      <x:c r="J107" s="59" t="n">
        <x:v>1</x:v>
      </x:c>
      <x:c r="K107" s="34" t="n">
        <x:f>I107*J107</x:f>
        <x:v>0</x:v>
      </x:c>
      <x:c r="L107" s="30" t="str">
        <x:v>原通信行 73</x:v>
      </x:c>
    </x:row>
    <x:row r="108" ht="15" customHeight="1">
      <x:c r="A108" s="30" t="str">
        <x:v>Fine LM Head TP</x:v>
      </x:c>
      <x:c r="B108" s="30" t="str">
        <x:v>LM Head</x:v>
      </x:c>
      <x:c r="C108" s="30" t="str">
        <x:v>Reduce Sample</x:v>
      </x:c>
      <x:c r="D108" s="34" t="n">
        <x:f>(K74*2^20)/1e9</x:f>
        <x:v>0</x:v>
      </x:c>
      <x:c r="E108" s="64" t="n">
        <x:f>$H$81</x:f>
        <x:v>100</x:v>
      </x:c>
      <x:c r="F108" s="59" t="n">
        <x:v>1</x:v>
      </x:c>
      <x:c r="G108" s="34" t="n">
        <x:f>IF(AND(ISNUMBER(E108),E108&gt;0,ISNUMBER($B$81),$B$81&gt;=0,$B$81&lt;1,ISNUMBER($D$81),$D$81&gt;=0,$D$81&lt;=1,ISNUMBER(F108),F108&gt;=0,F108&lt;=1,ISNUMBER(J108),J108&gt;=0,J108&lt;=1),D108/E108*1000,NA())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G108*F108*$D$81*$B$81/(1-$B$81)</x:f>
        <x:v>0</x:v>
      </x:c>
      <x:c r="J108" s="59" t="n">
        <x:v>1</x:v>
      </x:c>
      <x:c r="K108" s="34" t="n">
        <x:f>I108*J108</x:f>
        <x:v>0</x:v>
      </x:c>
      <x:c r="L108" s="30" t="str">
        <x:v>原通信行 74</x:v>
      </x:c>
    </x:row>
    <x:row r="109" ht="15" customHeight="1">
      <x:c r="A109" s="30" t="str">
        <x:v>EP</x:v>
      </x:c>
      <x:c r="B109" s="30" t="str">
        <x:v>MoE 计数</x:v>
      </x:c>
      <x:c r="C109" s="30" t="str">
        <x:v>MC2 count 写入</x:v>
      </x:c>
      <x:c r="D109" s="34" t="n">
        <x:f>(IF(E61=0,0,H61*ROUNDUP(256/G61,0)*(G61-1)*32))/1e9</x:f>
        <x:v>0.000544768</x:v>
      </x:c>
      <x:c r="E109" s="64" t="n">
        <x:f>$H$81</x:f>
        <x:v>100</x:v>
      </x:c>
      <x:c r="F109" s="59" t="n">
        <x:v>1</x:v>
      </x:c>
      <x:c r="G109" s="34" t="n">
        <x:f>IF(AND(ISNUMBER(E109),E109&gt;0,ISNUMBER($B$81),$B$81&gt;=0,$B$81&lt;1,ISNUMBER($D$81),$D$81&gt;=0,$D$81&lt;=1,ISNUMBER(F109),F109&gt;=0,F109&lt;=1,ISNUMBER(J109),J109&gt;=0,J109&lt;=1),D109/E109*1000,NA())</x:f>
        <x:v>0.005447680000000001</x:v>
      </x:c>
      <x:c r="H109" s="34" t="n">
        <x:f>G109+I109</x:f>
        <x:v>0.006052977777777779</x:v>
      </x:c>
      <x:c r="I109" s="34" t="n">
        <x:f>G109*F109*$D$81*$B$81/(1-$B$81)</x:f>
        <x:v>0.0006052977777777778</x:v>
      </x:c>
      <x:c r="J109" s="59" t="n">
        <x:v>1</x:v>
      </x:c>
      <x:c r="K109" s="34" t="n">
        <x:f>I109*J109</x:f>
        <x:v>0.0006052977777777778</x:v>
      </x:c>
      <x:c r="L109" s="30" t="str">
        <x:v>额外控制量</x:v>
      </x:c>
    </x:row>
    <x:row r="110" ht="15" customHeight="1">
      <x:c r="A110" s="40" t="str">
        <x:v>所列事件串行相加</x:v>
      </x:c>
      <x:c r="B110" s="40"/>
      <x:c r="C110" s="40"/>
      <x:c r="D110" s="41" t="n">
        <x:f>SUM(D87:D109)</x:f>
        <x:v>1.1986616319999999</x:v>
      </x:c>
      <x:c r="E110" s="40"/>
      <x:c r="F110" s="40"/>
      <x:c r="G110" s="41" t="n">
        <x:f>SUM(G87:G109)</x:f>
        <x:v>11.98661632</x:v>
      </x:c>
      <x:c r="H110" s="41" t="n">
        <x:f>SUM(H87:H109)</x:f>
        <x:v>13.318462577777776</x:v>
      </x:c>
      <x:c r="I110" s="41" t="n">
        <x:f>SUM(I87:I109)</x:f>
        <x:v>1.331846257777778</x:v>
      </x:c>
      <x:c r="J110" s="40"/>
      <x:c r="K110" s="41" t="n">
        <x:f>SUM(K87:K109)</x:f>
        <x:v>1.331846257777778</x:v>
      </x:c>
      <x:c r="L110" s="40"/>
    </x:row>
  </x:sheetData>
  <x:conditionalFormatting sqref="L83:L83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21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/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81" t="str">
        <x:v>Default: P = D = 1; KV bursts = 1; shared / exposed fractions = 100%.</x:v>
      </x:c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81" t="str">
        <x:v>Deployment count：完整 EP 部署的套数；EP32 每套 32 卡，EP256 每套 256 卡。</x:v>
      </x:c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81" t="str">
        <x:v>Shared resource fraction：通信中与 KV 竞争同一资源的比例。100% = 全部；0% = 资源独立。</x:v>
      </x:c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81" t="str">
        <x:v>Exposed communication fraction：通信增时最终计入 forward 的比例；被计算遮住的部分不计入。</x:v>
      </x:c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81" t="str">
        <x:v>KV bursts per interval：一批 KV 均分成 m 次、等间隔发送；m = 2 时每次一半，总量不变。</x:v>
      </x:c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81" t="str">
        <x:v>Temporal overlap 由 KV 窗口自动计算；没有 profiling 时，不必另猜 shared / exposed 两个比例。</x:v>
      </x:c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GLM5.3</x:v>
      </x:c>
      <x:c r="B23" s="30" t="n">
        <x:v>32</x:v>
      </x:c>
      <x:c r="C23" s="30" t="n">
        <x:v>8</x:v>
      </x:c>
      <x:c r="D23" s="30" t="n">
        <x:v>1</x:v>
      </x:c>
      <x:c r="E23" s="30" t="n">
        <x:v>75</x:v>
      </x:c>
      <x:c r="F23" s="30" t="n">
        <x:v>6144</x:v>
      </x:c>
      <x:c r="G23" s="30" t="n">
        <x:v>8</x:v>
      </x:c>
      <x:c r="H23" s="30" t="n">
        <x:v>256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GLM5.3</x:v>
      </x:c>
      <x:c r="B24" s="30" t="n">
        <x:v>256</x:v>
      </x:c>
      <x:c r="C24" s="30" t="n">
        <x:v>8</x:v>
      </x:c>
      <x:c r="D24" s="30" t="n">
        <x:v>1</x:v>
      </x:c>
      <x:c r="E24" s="30" t="n">
        <x:v>75</x:v>
      </x:c>
      <x:c r="F24" s="30" t="n">
        <x:v>6144</x:v>
      </x:c>
      <x:c r="G24" s="30" t="n">
        <x:v>8</x:v>
      </x:c>
      <x:c r="H24" s="30" t="n">
        <x:v>256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运行未验证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88" t="str">
        <x:v>Decode throughput
loss (%)</x:v>
      </x:c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GLM5.3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0.65011712</x:v>
      </x:c>
      <x:c r="H30" s="75" t="n">
        <x:f>IF(W60="估算",U60*R60,"")</x:f>
        <x:v>16.766248159999275</x:v>
      </x:c>
      <x:c r="I30" s="75" t="n">
        <x:f>IF(W60="估算",U60*S60,"")</x:f>
        <x:v>0</x:v>
      </x:c>
      <x:c r="J30" s="75" t="n">
        <x:f>IF(W60="估算",U60*MAX(0,R60-S60),"")</x:f>
        <x:v>16.766248159999275</x:v>
      </x:c>
      <x:c r="K30" s="75" t="n">
        <x:f>IF(W60="估算",IF(OR(O60=0,K60=0),0,U60*E23*MIN(1,(K60+P60)/L60)),"")</x:f>
        <x:v>147.468612</x:v>
      </x:c>
      <x:c r="L30" s="34" t="n">
        <x:f>IF(W60="估算",V60,"")</x:f>
        <x:v>0.08608418375670125</x:v>
      </x:c>
      <x:c r="M30" s="34" t="n">
        <x:f>IF(W60="估算",E30*V60/60,"")</x:f>
        <x:v>0.007173681979725104</x:v>
      </x:c>
      <x:c r="N30" s="34" t="n">
        <x:f>IF(W60="估算",V60/60000*1e6,"")</x:f>
        <x:v>1.4347363959450208</x:v>
      </x:c>
      <x:c r="O30" s="30" t="str">
        <x:f>IF(W60="估算","相位平均估算",W60)</x:f>
        <x:v>相位平均估算</x:v>
      </x:c>
      <x:c r="P30" s="49" t="n">
        <x:f>Q60</x:f>
        <x:v>381.5232</x:v>
      </x:c>
      <x:c r="Q30" s="89" t="n">
        <x:f>IF(ISNUMBER(L30),L30/(60000+L30),IF(L30="","",L30))</x:f>
        <x:v>0.0000014347343374794483</x:v>
      </x:c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GLM5.3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0.65011712</x:v>
      </x:c>
      <x:c r="H31" s="75" t="n">
        <x:f>IF(W61="估算",U61*R61,"")</x:f>
        <x:v>15.783124079999489</x:v>
      </x:c>
      <x:c r="I31" s="75" t="n">
        <x:f>IF(W61="估算",U61*S61,"")</x:f>
        <x:v>0</x:v>
      </x:c>
      <x:c r="J31" s="75" t="n">
        <x:f>IF(W61="估算",U61*MAX(0,R61-S61),"")</x:f>
        <x:v>15.783124079999489</x:v>
      </x:c>
      <x:c r="K31" s="75" t="n">
        <x:f>IF(W61="估算",IF(OR(O61=0,K61=0),0,U61*E23*MIN(1,(K61+P61)/L61)),"")</x:f>
        <x:v>73.734306</x:v>
      </x:c>
      <x:c r="L31" s="34" t="n">
        <x:f>IF(W61="估算",V61,"")</x:f>
        <x:v>0.043042091878350626</x:v>
      </x:c>
      <x:c r="M31" s="34" t="n">
        <x:f>IF(W61="估算",E31*V61/60,"")</x:f>
        <x:v>0.007173681979725104</x:v>
      </x:c>
      <x:c r="N31" s="34" t="n">
        <x:f>IF(W61="估算",V61/60000*1e6,"")</x:f>
        <x:v>0.7173681979725104</x:v>
      </x:c>
      <x:c r="O31" s="30" t="str">
        <x:f>IF(W61="估算","相位平均估算",W61)</x:f>
        <x:v>相位平均估算</x:v>
      </x:c>
      <x:c r="P31" s="49" t="n">
        <x:f>Q61</x:f>
        <x:v>190.7616</x:v>
      </x:c>
      <x:c r="Q31" s="89" t="n">
        <x:f>IF(ISNUMBER(L31),L31/(60000+L31),IF(L31="","",L31))</x:f>
        <x:v>7.173676833557481e-7</x:v>
      </x:c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GLM5.3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0.65011712</x:v>
      </x:c>
      <x:c r="H32" s="75" t="n">
        <x:f>IF(W62="估算",U62*R62,"")</x:f>
        <x:v>15.291562039999928</x:v>
      </x:c>
      <x:c r="I32" s="75" t="n">
        <x:f>IF(W62="估算",U62*S62,"")</x:f>
        <x:v>0</x:v>
      </x:c>
      <x:c r="J32" s="75" t="n">
        <x:f>IF(W62="估算",U62*MAX(0,R62-S62),"")</x:f>
        <x:v>15.291562039999928</x:v>
      </x:c>
      <x:c r="K32" s="75" t="n">
        <x:f>IF(W62="估算",IF(OR(O62=0,K62=0),0,U62*E23*MIN(1,(K62+P62)/L62)),"")</x:f>
        <x:v>36.867153</x:v>
      </x:c>
      <x:c r="L32" s="34" t="n">
        <x:f>IF(W62="估算",V62,"")</x:f>
        <x:v>0.021521045939175313</x:v>
      </x:c>
      <x:c r="M32" s="34" t="n">
        <x:f>IF(W62="估算",E32*V62/60,"")</x:f>
        <x:v>0.007173681979725104</x:v>
      </x:c>
      <x:c r="N32" s="34" t="n">
        <x:f>IF(W62="估算",V62/60000*1e6,"")</x:f>
        <x:v>0.3586840989862552</x:v>
      </x:c>
      <x:c r="O32" s="30" t="str">
        <x:f>IF(W62="估算","相位平均估算",W62)</x:f>
        <x:v>相位平均估算</x:v>
      </x:c>
      <x:c r="P32" s="49" t="n">
        <x:f>Q62</x:f>
        <x:v>95.3808</x:v>
      </x:c>
      <x:c r="Q32" s="89" t="n">
        <x:f>IF(ISNUMBER(L32),L32/(60000+L32),IF(L32="","",L32))</x:f>
        <x:v>3.586839703320185e-7</x:v>
      </x:c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GLM5.3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0.65011712</x:v>
      </x:c>
      <x:c r="H33" s="75" t="n">
        <x:f>IF(W63="估算",U63*R63,"")</x:f>
        <x:v>15.12770802666652</x:v>
      </x:c>
      <x:c r="I33" s="75" t="n">
        <x:f>IF(W63="估算",U63*S63,"")</x:f>
        <x:v>0</x:v>
      </x:c>
      <x:c r="J33" s="75" t="n">
        <x:f>IF(W63="估算",U63*MAX(0,R63-S63),"")</x:f>
        <x:v>15.12770802666652</x:v>
      </x:c>
      <x:c r="K33" s="75" t="n">
        <x:f>IF(W63="估算",IF(OR(O63=0,K63=0),0,U63*E23*MIN(1,(K63+P63)/L63)),"")</x:f>
        <x:v>24.578102</x:v>
      </x:c>
      <x:c r="L33" s="34" t="n">
        <x:f>IF(W63="估算",V63,"")</x:f>
        <x:v>0.014347363959450209</x:v>
      </x:c>
      <x:c r="M33" s="34" t="n">
        <x:f>IF(W63="估算",E33*V63/60,"")</x:f>
        <x:v>0.007173681979725104</x:v>
      </x:c>
      <x:c r="N33" s="34" t="n">
        <x:f>IF(W63="估算",V63/60000*1e6,"")</x:f>
        <x:v>0.2391227326575035</x:v>
      </x:c>
      <x:c r="O33" s="30" t="str">
        <x:f>IF(W63="估算","相位平均估算",W63)</x:f>
        <x:v>相位平均估算</x:v>
      </x:c>
      <x:c r="P33" s="49" t="n">
        <x:f>Q63</x:f>
        <x:v>63.5872</x:v>
      </x:c>
      <x:c r="Q33" s="89" t="n">
        <x:f>IF(ISNUMBER(L33),L33/(60000+L33),IF(L33="","",L33))</x:f>
        <x:v>2.3912267547783585e-7</x:v>
      </x:c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GLM5.3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10.40187392</x:v>
      </x:c>
      <x:c r="H34" s="75" t="n">
        <x:f>IF(W64="估算",U64*R64,"")</x:f>
        <x:v>9.204303711999096</x:v>
      </x:c>
      <x:c r="I34" s="75" t="n">
        <x:f>IF(W64="估算",U64*S64,"")</x:f>
        <x:v>3.2779449920004033</x:v>
      </x:c>
      <x:c r="J34" s="75" t="n">
        <x:f>IF(W64="估算",U64*MAX(0,R64-S64),"")</x:f>
        <x:v>5.926358719998692</x:v>
      </x:c>
      <x:c r="K34" s="75" t="n">
        <x:f>IF(W64="估算",IF(OR(O64=0,K64=0),0,U64*E23*MIN(1,(K64+P64)/L64)),"")</x:f>
        <x:v>468.3227784</x:v>
      </x:c>
      <x:c r="L34" s="34" t="n">
        <x:f>IF(W64="估算",V64,"")</x:f>
        <x:v>0.2755863825817403</x:v>
      </x:c>
      <x:c r="M34" s="34" t="n">
        <x:f>IF(W64="估算",E34*V64/60,"")</x:f>
        <x:v>0.022965531881811687</x:v>
      </x:c>
      <x:c r="N34" s="34" t="n">
        <x:f>IF(W64="估算",V64/60000*1e6,"")</x:f>
        <x:v>4.593106376362338</x:v>
      </x:c>
      <x:c r="O34" s="30" t="str">
        <x:f>IF(W64="估算","相位平均估算",W64)</x:f>
        <x:v>相位平均估算</x:v>
      </x:c>
      <x:c r="P34" s="49" t="n">
        <x:f>Q64</x:f>
        <x:v>381.5232</x:v>
      </x:c>
      <x:c r="Q34" s="89" t="n">
        <x:f>IF(ISNUMBER(L34),L34/(60000+L34),IF(L34="","",L34))</x:f>
        <x:v>0.0000045930852798330524</x:v>
      </x:c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GLM5.3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10.40187392</x:v>
      </x:c>
      <x:c r="H35" s="75" t="n">
        <x:f>IF(W65="估算",U65*R65,"")</x:f>
        <x:v>6.082151855999918</x:v>
      </x:c>
      <x:c r="I35" s="75" t="n">
        <x:f>IF(W65="估算",U65*S65,"")</x:f>
        <x:v>0.1589724960004979</x:v>
      </x:c>
      <x:c r="J35" s="75" t="n">
        <x:f>IF(W65="估算",U65*MAX(0,R65-S65),"")</x:f>
        <x:v>5.92317935999942</x:v>
      </x:c>
      <x:c r="K35" s="75" t="n">
        <x:f>IF(W65="估算",IF(OR(O65=0,K65=0),0,U65*E23*MIN(1,(K65+P65)/L65)),"")</x:f>
        <x:v>234.1613892</x:v>
      </x:c>
      <x:c r="L35" s="34" t="n">
        <x:f>IF(W65="估算",V65,"")</x:f>
        <x:v>0.13779319129087014</x:v>
      </x:c>
      <x:c r="M35" s="34" t="n">
        <x:f>IF(W65="估算",E35*V65/60,"")</x:f>
        <x:v>0.022965531881811687</x:v>
      </x:c>
      <x:c r="N35" s="34" t="n">
        <x:f>IF(W65="估算",V65/60000*1e6,"")</x:f>
        <x:v>2.296553188181169</x:v>
      </x:c>
      <x:c r="O35" s="30" t="str">
        <x:f>IF(W65="估算","相位平均估算",W65)</x:f>
        <x:v>相位平均估算</x:v>
      </x:c>
      <x:c r="P35" s="49" t="n">
        <x:f>Q65</x:f>
        <x:v>190.7616</x:v>
      </x:c>
      <x:c r="Q35" s="89" t="n">
        <x:f>IF(ISNUMBER(L35),L35/(60000+L35),IF(L35="","",L35))</x:f>
        <x:v>0.0000022965479140367353</x:v>
      </x:c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GLM5.3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10.40187392</x:v>
      </x:c>
      <x:c r="H36" s="75" t="n">
        <x:f>IF(W66="估算",U66*R66,"")</x:f>
        <x:v>4.521075928000329</x:v>
      </x:c>
      <x:c r="I36" s="75" t="n">
        <x:f>IF(W66="估算",U66*S66,"")</x:f>
        <x:v>0</x:v>
      </x:c>
      <x:c r="J36" s="75" t="n">
        <x:f>IF(W66="估算",U66*MAX(0,R66-S66),"")</x:f>
        <x:v>4.521075928000329</x:v>
      </x:c>
      <x:c r="K36" s="75" t="n">
        <x:f>IF(W66="估算",IF(OR(O66=0,K66=0),0,U66*E23*MIN(1,(K66+P66)/L66)),"")</x:f>
        <x:v>117.0806946</x:v>
      </x:c>
      <x:c r="L36" s="34" t="n">
        <x:f>IF(W66="估算",V66,"")</x:f>
        <x:v>0.06889659564543507</x:v>
      </x:c>
      <x:c r="M36" s="34" t="n">
        <x:f>IF(W66="估算",E36*V66/60,"")</x:f>
        <x:v>0.022965531881811687</x:v>
      </x:c>
      <x:c r="N36" s="34" t="n">
        <x:f>IF(W66="估算",V66/60000*1e6,"")</x:f>
        <x:v>1.1482765940905846</x:v>
      </x:c>
      <x:c r="O36" s="30" t="str">
        <x:f>IF(W66="估算","相位平均估算",W66)</x:f>
        <x:v>相位平均估算</x:v>
      </x:c>
      <x:c r="P36" s="49" t="n">
        <x:f>Q66</x:f>
        <x:v>95.3808</x:v>
      </x:c>
      <x:c r="Q36" s="89" t="n">
        <x:f>IF(ISNUMBER(L36),L36/(60000+L36),IF(L36="","",L36))</x:f>
        <x:v>0.000001148275275552962</x:v>
      </x:c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GLM5.3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10.40187392</x:v>
      </x:c>
      <x:c r="H37" s="75" t="n">
        <x:f>IF(W67="估算",U67*R67,"")</x:f>
        <x:v>4.000717285333355</x:v>
      </x:c>
      <x:c r="I37" s="75" t="n">
        <x:f>IF(W67="估算",U67*S67,"")</x:f>
        <x:v>0</x:v>
      </x:c>
      <x:c r="J37" s="75" t="n">
        <x:f>IF(W67="估算",U67*MAX(0,R67-S67),"")</x:f>
        <x:v>4.000717285333355</x:v>
      </x:c>
      <x:c r="K37" s="75" t="n">
        <x:f>IF(W67="估算",IF(OR(O67=0,K67=0),0,U67*E23*MIN(1,(K67+P67)/L67)),"")</x:f>
        <x:v>78.05379640000001</x:v>
      </x:c>
      <x:c r="L37" s="34" t="n">
        <x:f>IF(W67="估算",V67,"")</x:f>
        <x:v>0.04593106376362338</x:v>
      </x:c>
      <x:c r="M37" s="34" t="n">
        <x:f>IF(W67="估算",E37*V67/60,"")</x:f>
        <x:v>0.022965531881811687</x:v>
      </x:c>
      <x:c r="N37" s="34" t="n">
        <x:f>IF(W67="估算",V67/60000*1e6,"")</x:f>
        <x:v>0.765517729393723</x:v>
      </x:c>
      <x:c r="O37" s="30" t="str">
        <x:f>IF(W67="估算","相位平均估算",W67)</x:f>
        <x:v>相位平均估算</x:v>
      </x:c>
      <x:c r="P37" s="49" t="n">
        <x:f>Q67</x:f>
        <x:v>63.5872</x:v>
      </x:c>
      <x:c r="Q37" s="89" t="n">
        <x:f>IF(ISNUMBER(L37),L37/(60000+L37),IF(L37="","",L37))</x:f>
        <x:v>7.655171433767776e-7</x:v>
      </x:c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GLM5.3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41.60749568</x:v>
      </x:c>
      <x:c r="H38" s="75" t="n">
        <x:f>IF(W68="估算",U68*R68,"")</x:f>
        <x:v>9.309225589333447</x:v>
      </x:c>
      <x:c r="I38" s="75" t="n">
        <x:f>IF(W68="估算",U68*S68,"")</x:f>
        <x:v>7.3337726826663285</x:v>
      </x:c>
      <x:c r="J38" s="75" t="n">
        <x:f>IF(W68="估算",U68*MAX(0,R68-S68),"")</x:f>
        <x:v>1.975452906667119</x:v>
      </x:c>
      <x:c r="K38" s="75" t="n">
        <x:f>IF(W68="估算",IF(OR(O68=0,K68=0),0,U68*E23*MIN(1,(K68+P68)/L68)),"")</x:f>
        <x:v>624.1919192</x:v>
      </x:c>
      <x:c r="L38" s="34" t="n">
        <x:f>IF(W68="估算",V68,"")</x:f>
        <x:v>0.3674563097463402</x:v>
      </x:c>
      <x:c r="M38" s="34" t="n">
        <x:f>IF(W68="估算",E38*V68/60,"")</x:f>
        <x:v>0.030621359145528347</x:v>
      </x:c>
      <x:c r="N38" s="34" t="n">
        <x:f>IF(W68="估算",V68/60000*1e6,"")</x:f>
        <x:v>6.12427182910567</x:v>
      </x:c>
      <x:c r="O38" s="30" t="str">
        <x:f>IF(W68="估算","相位平均估算",W68)</x:f>
        <x:v>相位平均估算</x:v>
      </x:c>
      <x:c r="P38" s="49" t="n">
        <x:f>Q68</x:f>
        <x:v>381.5232</x:v>
      </x:c>
      <x:c r="Q38" s="89" t="n">
        <x:f>IF(ISNUMBER(L38),L38/(60000+L38),IF(L38="","",L38))</x:f>
        <x:v>0.000006124234322629933</x:v>
      </x:c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GLM5.3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41.60749568</x:v>
      </x:c>
      <x:c r="H39" s="75" t="n">
        <x:f>IF(W69="估算",U69*R69,"")</x:f>
        <x:v>5.1479461280006245</x:v>
      </x:c>
      <x:c r="I39" s="75" t="n">
        <x:f>IF(W69="估算",U69*S69,"")</x:f>
        <x:v>3.1735530079999297</x:v>
      </x:c>
      <x:c r="J39" s="75" t="n">
        <x:f>IF(W69="估算",U69*MAX(0,R69-S69),"")</x:f>
        <x:v>1.9743931200006948</x:v>
      </x:c>
      <x:c r="K39" s="75" t="n">
        <x:f>IF(W69="估算",IF(OR(O69=0,K69=0),0,U69*E23*MIN(1,(K69+P69)/L69)),"")</x:f>
        <x:v>312.0959596</x:v>
      </x:c>
      <x:c r="L39" s="34" t="n">
        <x:f>IF(W69="估算",V69,"")</x:f>
        <x:v>0.1837281548731701</x:v>
      </x:c>
      <x:c r="M39" s="34" t="n">
        <x:f>IF(W69="估算",E39*V69/60,"")</x:f>
        <x:v>0.030621359145528347</x:v>
      </x:c>
      <x:c r="N39" s="34" t="n">
        <x:f>IF(W69="估算",V69/60000*1e6,"")</x:f>
        <x:v>3.062135914552835</x:v>
      </x:c>
      <x:c r="O39" s="30" t="str">
        <x:f>IF(W69="估算","相位平均估算",W69)</x:f>
        <x:v>相位平均估算</x:v>
      </x:c>
      <x:c r="P39" s="49" t="n">
        <x:f>Q69</x:f>
        <x:v>190.7616</x:v>
      </x:c>
      <x:c r="Q39" s="89" t="n">
        <x:f>IF(ISNUMBER(L39),L39/(60000+L39),IF(L39="","",L39))</x:f>
        <x:v>0.0000030621265379051884</x:v>
      </x:c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GLM5.3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41.60749568</x:v>
      </x:c>
      <x:c r="H40" s="75" t="n">
        <x:f>IF(W70="估算",U70*R70,"")</x:f>
        <x:v>3.0673063973332138</x:v>
      </x:c>
      <x:c r="I40" s="75" t="n">
        <x:f>IF(W70="估算",U70*S70,"")</x:f>
        <x:v>1.0934431706667302</x:v>
      </x:c>
      <x:c r="J40" s="75" t="n">
        <x:f>IF(W70="估算",U70*MAX(0,R70-S70),"")</x:f>
        <x:v>1.9738632266664835</x:v>
      </x:c>
      <x:c r="K40" s="75" t="n">
        <x:f>IF(W70="估算",IF(OR(O70=0,K70=0),0,U70*E23*MIN(1,(K70+P70)/L70)),"")</x:f>
        <x:v>156.0479798</x:v>
      </x:c>
      <x:c r="L40" s="34" t="n">
        <x:f>IF(W70="估算",V70,"")</x:f>
        <x:v>0.09186407743658505</x:v>
      </x:c>
      <x:c r="M40" s="34" t="n">
        <x:f>IF(W70="估算",E40*V70/60,"")</x:f>
        <x:v>0.030621359145528347</x:v>
      </x:c>
      <x:c r="N40" s="34" t="n">
        <x:f>IF(W70="估算",V70/60000*1e6,"")</x:f>
        <x:v>1.5310679572764174</x:v>
      </x:c>
      <x:c r="O40" s="30" t="str">
        <x:f>IF(W70="估算","相位平均估算",W70)</x:f>
        <x:v>相位平均估算</x:v>
      </x:c>
      <x:c r="P40" s="49" t="n">
        <x:f>Q70</x:f>
        <x:v>95.3808</x:v>
      </x:c>
      <x:c r="Q40" s="89" t="n">
        <x:f>IF(ISNUMBER(L40),L40/(60000+L40),IF(L40="","",L40))</x:f>
        <x:v>0.0000015310656131109166</x:v>
      </x:c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GLM5.3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41.60749568</x:v>
      </x:c>
      <x:c r="H41" s="75" t="n">
        <x:f>IF(W71="估算",U71*R71,"")</x:f>
        <x:v>2.373759820444521</x:v>
      </x:c>
      <x:c r="I41" s="75" t="n">
        <x:f>IF(W71="估算",U71*S71,"")</x:f>
        <x:v>0.4000732248889971</x:v>
      </x:c>
      <x:c r="J41" s="75" t="n">
        <x:f>IF(W71="估算",U71*MAX(0,R71-S71),"")</x:f>
        <x:v>1.9736865955555238</x:v>
      </x:c>
      <x:c r="K41" s="75" t="n">
        <x:f>IF(W71="估算",IF(OR(O71=0,K71=0),0,U71*E23*MIN(1,(K71+P71)/L71)),"")</x:f>
        <x:v>104.03198653333334</x:v>
      </x:c>
      <x:c r="L41" s="34" t="n">
        <x:f>IF(W71="估算",V71,"")</x:f>
        <x:v>0.061242718291056694</x:v>
      </x:c>
      <x:c r="M41" s="34" t="n">
        <x:f>IF(W71="估算",E41*V71/60,"")</x:f>
        <x:v>0.030621359145528347</x:v>
      </x:c>
      <x:c r="N41" s="34" t="n">
        <x:f>IF(W71="估算",V71/60000*1e6,"")</x:f>
        <x:v>1.0207119715176116</x:v>
      </x:c>
      <x:c r="O41" s="30" t="str">
        <x:f>IF(W71="估算","相位平均估算",W71)</x:f>
        <x:v>相位平均估算</x:v>
      </x:c>
      <x:c r="P41" s="49" t="n">
        <x:f>Q71</x:f>
        <x:v>63.5872</x:v>
      </x:c>
      <x:c r="Q41" s="89" t="n">
        <x:f>IF(ISNUMBER(L41),L41/(60000+L41),IF(L41="","",L41))</x:f>
        <x:v>0.0000010207109296657463</x:v>
      </x:c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GLM5.3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0.65011712</x:v>
      </x:c>
      <x:c r="H42" s="75" t="n">
        <x:f>IF(W72="估算",U72*R72,"")</x:f>
        <x:v>16.766696859999097</x:v>
      </x:c>
      <x:c r="I42" s="75" t="n">
        <x:f>IF(W72="估算",U72*S72,"")</x:f>
        <x:v>0</x:v>
      </x:c>
      <x:c r="J42" s="75" t="n">
        <x:f>IF(W72="估算",U72*MAX(0,R72-S72),"")</x:f>
        <x:v>16.766696859999097</x:v>
      </x:c>
      <x:c r="K42" s="75" t="n">
        <x:f>IF(W72="估算",IF(OR(O72=0,K72=0),0,U72*E24*MIN(1,(K72+P72)/L72)),"")</x:f>
        <x:v>147.5022645</x:v>
      </x:c>
      <x:c r="L42" s="34" t="n">
        <x:f>IF(W72="估算",V72,"")</x:f>
        <x:v>0.08851284744098611</x:v>
      </x:c>
      <x:c r="M42" s="34" t="n">
        <x:f>IF(W72="估算",E42*V72/60,"")</x:f>
        <x:v>0.007376070620082176</x:v>
      </x:c>
      <x:c r="N42" s="34" t="n">
        <x:f>IF(W72="估算",V72/60000*1e6,"")</x:f>
        <x:v>1.4752141240164354</x:v>
      </x:c>
      <x:c r="O42" s="30" t="str">
        <x:f>IF(W72="估算","相位平均估算",W72)</x:f>
        <x:v>相位平均估算</x:v>
      </x:c>
      <x:c r="P42" s="49" t="n">
        <x:f>Q72</x:f>
        <x:v>392.29200000000003</x:v>
      </x:c>
      <x:c r="Q42" s="89" t="n">
        <x:f>IF(ISNUMBER(L42),L42/(60000+L42),IF(L42="","",L42))</x:f>
        <x:v>0.000001475211947762934</x:v>
      </x:c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GLM5.3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0.65011712</x:v>
      </x:c>
      <x:c r="H43" s="75" t="n">
        <x:f>IF(W73="估算",U73*R73,"")</x:f>
        <x:v>15.783348430000066</x:v>
      </x:c>
      <x:c r="I43" s="75" t="n">
        <x:f>IF(W73="估算",U73*S73,"")</x:f>
        <x:v>0</x:v>
      </x:c>
      <x:c r="J43" s="75" t="n">
        <x:f>IF(W73="估算",U73*MAX(0,R73-S73),"")</x:f>
        <x:v>15.783348430000066</x:v>
      </x:c>
      <x:c r="K43" s="75" t="n">
        <x:f>IF(W73="估算",IF(OR(O73=0,K73=0),0,U73*E24*MIN(1,(K73+P73)/L73)),"")</x:f>
        <x:v>73.75113225</x:v>
      </x:c>
      <x:c r="L43" s="34" t="n">
        <x:f>IF(W73="估算",V73,"")</x:f>
        <x:v>0.04425642372049306</x:v>
      </x:c>
      <x:c r="M43" s="34" t="n">
        <x:f>IF(W73="估算",E43*V73/60,"")</x:f>
        <x:v>0.007376070620082176</x:v>
      </x:c>
      <x:c r="N43" s="34" t="n">
        <x:f>IF(W73="估算",V73/60000*1e6,"")</x:f>
        <x:v>0.7376070620082177</x:v>
      </x:c>
      <x:c r="O43" s="30" t="str">
        <x:f>IF(W73="估算","相位平均估算",W73)</x:f>
        <x:v>相位平均估算</x:v>
      </x:c>
      <x:c r="P43" s="49" t="n">
        <x:f>Q73</x:f>
        <x:v>196.14600000000002</x:v>
      </x:c>
      <x:c r="Q43" s="89" t="n">
        <x:f>IF(ISNUMBER(L43),L43/(60000+L43),IF(L43="","",L43))</x:f>
        <x:v>7.37606517944441e-7</x:v>
      </x:c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GLM5.3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0.65011712</x:v>
      </x:c>
      <x:c r="H44" s="75" t="n">
        <x:f>IF(W74="估算",U74*R74,"")</x:f>
        <x:v>15.291674214999551</x:v>
      </x:c>
      <x:c r="I44" s="75" t="n">
        <x:f>IF(W74="估算",U74*S74,"")</x:f>
        <x:v>0</x:v>
      </x:c>
      <x:c r="J44" s="75" t="n">
        <x:f>IF(W74="估算",U74*MAX(0,R74-S74),"")</x:f>
        <x:v>15.291674214999551</x:v>
      </x:c>
      <x:c r="K44" s="75" t="n">
        <x:f>IF(W74="估算",IF(OR(O74=0,K74=0),0,U74*E24*MIN(1,(K74+P74)/L74)),"")</x:f>
        <x:v>36.875566125</x:v>
      </x:c>
      <x:c r="L44" s="34" t="n">
        <x:f>IF(W74="估算",V74,"")</x:f>
        <x:v>0.02212821186024653</x:v>
      </x:c>
      <x:c r="M44" s="34" t="n">
        <x:f>IF(W74="估算",E44*V74/60,"")</x:f>
        <x:v>0.007376070620082176</x:v>
      </x:c>
      <x:c r="N44" s="34" t="n">
        <x:f>IF(W74="估算",V74/60000*1e6,"")</x:f>
        <x:v>0.36880353100410884</x:v>
      </x:c>
      <x:c r="O44" s="30" t="str">
        <x:f>IF(W74="估算","相位平均估算",W74)</x:f>
        <x:v>相位平均估算</x:v>
      </x:c>
      <x:c r="P44" s="49" t="n">
        <x:f>Q74</x:f>
        <x:v>98.07300000000001</x:v>
      </x:c>
      <x:c r="Q44" s="89" t="n">
        <x:f>IF(ISNUMBER(L44),L44/(60000+L44),IF(L44="","",L44))</x:f>
        <x:v>3.688033949881145e-7</x:v>
      </x:c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GLM5.3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0.65011712</x:v>
      </x:c>
      <x:c r="H45" s="75" t="n">
        <x:f>IF(W75="估算",U75*R75,"")</x:f>
        <x:v>15.127782809999823</x:v>
      </x:c>
      <x:c r="I45" s="75" t="n">
        <x:f>IF(W75="估算",U75*S75,"")</x:f>
        <x:v>0</x:v>
      </x:c>
      <x:c r="J45" s="75" t="n">
        <x:f>IF(W75="估算",U75*MAX(0,R75-S75),"")</x:f>
        <x:v>15.127782809999823</x:v>
      </x:c>
      <x:c r="K45" s="75" t="n">
        <x:f>IF(W75="估算",IF(OR(O75=0,K75=0),0,U75*E24*MIN(1,(K75+P75)/L75)),"")</x:f>
        <x:v>24.58371075</x:v>
      </x:c>
      <x:c r="L45" s="34" t="n">
        <x:f>IF(W75="估算",V75,"")</x:f>
        <x:v>0.014752141240164354</x:v>
      </x:c>
      <x:c r="M45" s="34" t="n">
        <x:f>IF(W75="估算",E45*V75/60,"")</x:f>
        <x:v>0.007376070620082177</x:v>
      </x:c>
      <x:c r="N45" s="34" t="n">
        <x:f>IF(W75="估算",V75/60000*1e6,"")</x:f>
        <x:v>0.2458690206694059</x:v>
      </x:c>
      <x:c r="O45" s="30" t="str">
        <x:f>IF(W75="估算","相位平均估算",W75)</x:f>
        <x:v>相位平均估算</x:v>
      </x:c>
      <x:c r="P45" s="49" t="n">
        <x:f>Q75</x:f>
        <x:v>65.382</x:v>
      </x:c>
      <x:c r="Q45" s="89" t="n">
        <x:f>IF(ISNUMBER(L45),L45/(60000+L45),IF(L45="","",L45))</x:f>
        <x:v>2.4586896021784544e-7</x:v>
      </x:c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GLM5.3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10.40187392</x:v>
      </x:c>
      <x:c r="H46" s="75" t="n">
        <x:f>IF(W76="估算",U76*R76,"")</x:f>
        <x:v>9.204393452001192</x:v>
      </x:c>
      <x:c r="I46" s="75" t="n">
        <x:f>IF(W76="估算",U76*S76,"")</x:f>
        <x:v>3.2778552519996396</x:v>
      </x:c>
      <x:c r="J46" s="75" t="n">
        <x:f>IF(W76="估算",U76*MAX(0,R76-S76),"")</x:f>
        <x:v>5.926538200001552</x:v>
      </x:c>
      <x:c r="K46" s="75" t="n">
        <x:f>IF(W76="估算",IF(OR(O76=0,K76=0),0,U76*E24*MIN(1,(K76+P76)/L76)),"")</x:f>
        <x:v>468.3295089</x:v>
      </x:c>
      <x:c r="L46" s="34" t="n">
        <x:f>IF(W76="估算",V76,"")</x:f>
        <x:v>0.2833648041121972</x:v>
      </x:c>
      <x:c r="M46" s="34" t="n">
        <x:f>IF(W76="估算",E46*V76/60,"")</x:f>
        <x:v>0.023613733676016435</x:v>
      </x:c>
      <x:c r="N46" s="34" t="n">
        <x:f>IF(W76="估算",V76/60000*1e6,"")</x:f>
        <x:v>4.7227467352032875</x:v>
      </x:c>
      <x:c r="O46" s="30" t="str">
        <x:f>IF(W76="估算","相位平均估算",W76)</x:f>
        <x:v>相位平均估算</x:v>
      </x:c>
      <x:c r="P46" s="49" t="n">
        <x:f>Q76</x:f>
        <x:v>392.29200000000003</x:v>
      </x:c>
      <x:c r="Q46" s="89" t="n">
        <x:f>IF(ISNUMBER(L46),L46/(60000+L46),IF(L46="","",L46))</x:f>
        <x:v>0.0000047227244309719</x:v>
      </x:c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GLM5.3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10.40187392</x:v>
      </x:c>
      <x:c r="H47" s="75" t="n">
        <x:f>IF(W77="估算",U77*R77,"")</x:f>
        <x:v>6.0821967259996335</x:v>
      </x:c>
      <x:c r="I47" s="75" t="n">
        <x:f>IF(W77="估算",U77*S77,"")</x:f>
        <x:v>0.15892762600078214</x:v>
      </x:c>
      <x:c r="J47" s="75" t="n">
        <x:f>IF(W77="估算",U77*MAX(0,R77-S77),"")</x:f>
        <x:v>5.923269099998851</x:v>
      </x:c>
      <x:c r="K47" s="75" t="n">
        <x:f>IF(W77="估算",IF(OR(O77=0,K77=0),0,U77*E24*MIN(1,(K77+P77)/L77)),"")</x:f>
        <x:v>234.16475445</x:v>
      </x:c>
      <x:c r="L47" s="34" t="n">
        <x:f>IF(W77="估算",V77,"")</x:f>
        <x:v>0.1416824020560986</x:v>
      </x:c>
      <x:c r="M47" s="34" t="n">
        <x:f>IF(W77="估算",E47*V77/60,"")</x:f>
        <x:v>0.023613733676016435</x:v>
      </x:c>
      <x:c r="N47" s="34" t="n">
        <x:f>IF(W77="估算",V77/60000*1e6,"")</x:f>
        <x:v>2.3613733676016437</x:v>
      </x:c>
      <x:c r="O47" s="30" t="str">
        <x:f>IF(W77="估算","相位平均估算",W77)</x:f>
        <x:v>相位平均估算</x:v>
      </x:c>
      <x:c r="P47" s="49" t="n">
        <x:f>Q77</x:f>
        <x:v>196.14600000000002</x:v>
      </x:c>
      <x:c r="Q47" s="89" t="n">
        <x:f>IF(ISNUMBER(L47),L47/(60000+L47),IF(L47="","",L47))</x:f>
        <x:v>0.0000023613677915306294</x:v>
      </x:c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GLM5.3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10.40187392</x:v>
      </x:c>
      <x:c r="H48" s="75" t="n">
        <x:f>IF(W78="估算",U78*R78,"")</x:f>
        <x:v>4.521098363000187</x:v>
      </x:c>
      <x:c r="I48" s="75" t="n">
        <x:f>IF(W78="估算",U78*S78,"")</x:f>
        <x:v>0</x:v>
      </x:c>
      <x:c r="J48" s="75" t="n">
        <x:f>IF(W78="估算",U78*MAX(0,R78-S78),"")</x:f>
        <x:v>4.521098363000187</x:v>
      </x:c>
      <x:c r="K48" s="75" t="n">
        <x:f>IF(W78="估算",IF(OR(O78=0,K78=0),0,U78*E24*MIN(1,(K78+P78)/L78)),"")</x:f>
        <x:v>117.082377225</x:v>
      </x:c>
      <x:c r="L48" s="34" t="n">
        <x:f>IF(W78="估算",V78,"")</x:f>
        <x:v>0.0708412010280493</x:v>
      </x:c>
      <x:c r="M48" s="34" t="n">
        <x:f>IF(W78="估算",E48*V78/60,"")</x:f>
        <x:v>0.023613733676016435</x:v>
      </x:c>
      <x:c r="N48" s="34" t="n">
        <x:f>IF(W78="估算",V78/60000*1e6,"")</x:f>
        <x:v>1.1806866838008219</x:v>
      </x:c>
      <x:c r="O48" s="30" t="str">
        <x:f>IF(W78="估算","相位平均估算",W78)</x:f>
        <x:v>相位平均估算</x:v>
      </x:c>
      <x:c r="P48" s="49" t="n">
        <x:f>Q78</x:f>
        <x:v>98.07300000000001</x:v>
      </x:c>
      <x:c r="Q48" s="89" t="n">
        <x:f>IF(ISNUMBER(L48),L48/(60000+L48),IF(L48="","",L48))</x:f>
        <x:v>0.0000011806852897814223</x:v>
      </x:c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GLM5.3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10.40187392</x:v>
      </x:c>
      <x:c r="H49" s="75" t="n">
        <x:f>IF(W79="估算",U79*R79,"")</x:f>
        <x:v>4.000732241999927</x:v>
      </x:c>
      <x:c r="I49" s="75" t="n">
        <x:f>IF(W79="估算",U79*S79,"")</x:f>
        <x:v>0</x:v>
      </x:c>
      <x:c r="J49" s="75" t="n">
        <x:f>IF(W79="估算",U79*MAX(0,R79-S79),"")</x:f>
        <x:v>4.000732241999927</x:v>
      </x:c>
      <x:c r="K49" s="75" t="n">
        <x:f>IF(W79="估算",IF(OR(O79=0,K79=0),0,U79*E24*MIN(1,(K79+P79)/L79)),"")</x:f>
        <x:v>78.05491815</x:v>
      </x:c>
      <x:c r="L49" s="34" t="n">
        <x:f>IF(W79="估算",V79,"")</x:f>
        <x:v>0.04722746735203287</x:v>
      </x:c>
      <x:c r="M49" s="34" t="n">
        <x:f>IF(W79="估算",E49*V79/60,"")</x:f>
        <x:v>0.023613733676016435</x:v>
      </x:c>
      <x:c r="N49" s="34" t="n">
        <x:f>IF(W79="估算",V79/60000*1e6,"")</x:f>
        <x:v>0.7871244558672145</x:v>
      </x:c>
      <x:c r="O49" s="30" t="str">
        <x:f>IF(W79="估算","相位平均估算",W79)</x:f>
        <x:v>相位平均估算</x:v>
      </x:c>
      <x:c r="P49" s="49" t="n">
        <x:f>Q79</x:f>
        <x:v>65.382</x:v>
      </x:c>
      <x:c r="Q49" s="89" t="n">
        <x:f>IF(ISNUMBER(L49),L49/(60000+L49),IF(L49="","",L49))</x:f>
        <x:v>7.871238363027931e-7</x:v>
      </x:c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GLM5.3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41.60749568</x:v>
      </x:c>
      <x:c r="H50" s="75" t="n">
        <x:f>IF(W80="估算",U80*R80,"")</x:f>
        <x:v>9.309255502666591</x:v>
      </x:c>
      <x:c r="I50" s="75" t="n">
        <x:f>IF(W80="估算",U80*S80,"")</x:f>
        <x:v>7.333742769333185</x:v>
      </x:c>
      <x:c r="J50" s="75" t="n">
        <x:f>IF(W80="估算",U80*MAX(0,R80-S80),"")</x:f>
        <x:v>1.9755127333334066</x:v>
      </x:c>
      <x:c r="K50" s="75" t="n">
        <x:f>IF(W80="估算",IF(OR(O80=0,K80=0),0,U80*E24*MIN(1,(K80+P80)/L80)),"")</x:f>
        <x:v>624.1941627</x:v>
      </x:c>
      <x:c r="L50" s="34" t="n">
        <x:f>IF(W80="估算",V80,"")</x:f>
        <x:v>0.3778279849696658</x:v>
      </x:c>
      <x:c r="M50" s="34" t="n">
        <x:f>IF(W80="估算",E50*V80/60,"")</x:f>
        <x:v>0.031485665414138816</x:v>
      </x:c>
      <x:c r="N50" s="34" t="n">
        <x:f>IF(W80="估算",V80/60000*1e6,"")</x:f>
        <x:v>6.297133082827764</x:v>
      </x:c>
      <x:c r="O50" s="30" t="str">
        <x:f>IF(W80="估算","相位平均估算",W80)</x:f>
        <x:v>相位平均估算</x:v>
      </x:c>
      <x:c r="P50" s="49" t="n">
        <x:f>Q80</x:f>
        <x:v>392.29200000000003</x:v>
      </x:c>
      <x:c r="Q50" s="89" t="n">
        <x:f>IF(ISNUMBER(L50),L50/(60000+L50),IF(L50="","",L50))</x:f>
        <x:v>0.000006297093429192404</x:v>
      </x:c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GLM5.3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41.60749568</x:v>
      </x:c>
      <x:c r="H51" s="75" t="n">
        <x:f>IF(W81="估算",U81*R81,"")</x:f>
        <x:v>5.147961084667196</x:v>
      </x:c>
      <x:c r="I51" s="75" t="n">
        <x:f>IF(W81="估算",U81*S81,"")</x:f>
        <x:v>3.1735380513333578</x:v>
      </x:c>
      <x:c r="J51" s="75" t="n">
        <x:f>IF(W81="估算",U81*MAX(0,R81-S81),"")</x:f>
        <x:v>1.9744230333338386</x:v>
      </x:c>
      <x:c r="K51" s="75" t="n">
        <x:f>IF(W81="估算",IF(OR(O81=0,K81=0),0,U81*E24*MIN(1,(K81+P81)/L81)),"")</x:f>
        <x:v>312.09708135</x:v>
      </x:c>
      <x:c r="L51" s="34" t="n">
        <x:f>IF(W81="估算",V81,"")</x:f>
        <x:v>0.1889139924848329</x:v>
      </x:c>
      <x:c r="M51" s="34" t="n">
        <x:f>IF(W81="估算",E51*V81/60,"")</x:f>
        <x:v>0.031485665414138816</x:v>
      </x:c>
      <x:c r="N51" s="34" t="n">
        <x:f>IF(W81="估算",V81/60000*1e6,"")</x:f>
        <x:v>3.148566541413882</x:v>
      </x:c>
      <x:c r="O51" s="30" t="str">
        <x:f>IF(W81="估算","相位平均估算",W81)</x:f>
        <x:v>相位平均估算</x:v>
      </x:c>
      <x:c r="P51" s="49" t="n">
        <x:f>Q81</x:f>
        <x:v>196.14600000000002</x:v>
      </x:c>
      <x:c r="Q51" s="89" t="n">
        <x:f>IF(ISNUMBER(L51),L51/(60000+L51),IF(L51="","",L51))</x:f>
        <x:v>0.0000031485566279738292</x:v>
      </x:c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GLM5.3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41.60749568</x:v>
      </x:c>
      <x:c r="H52" s="75" t="n">
        <x:f>IF(W82="估算",U82*R82,"")</x:f>
        <x:v>3.0673138756664997</x:v>
      </x:c>
      <x:c r="I52" s="75" t="n">
        <x:f>IF(W82="估算",U82*S82,"")</x:f>
        <x:v>1.0934356923334443</x:v>
      </x:c>
      <x:c r="J52" s="75" t="n">
        <x:f>IF(W82="估算",U82*MAX(0,R82-S82),"")</x:f>
        <x:v>1.9738781833330554</x:v>
      </x:c>
      <x:c r="K52" s="75" t="n">
        <x:f>IF(W82="估算",IF(OR(O82=0,K82=0),0,U82*E24*MIN(1,(K82+P82)/L82)),"")</x:f>
        <x:v>156.048540675</x:v>
      </x:c>
      <x:c r="L52" s="34" t="n">
        <x:f>IF(W82="估算",V82,"")</x:f>
        <x:v>0.09445699624241645</x:v>
      </x:c>
      <x:c r="M52" s="34" t="n">
        <x:f>IF(W82="估算",E52*V82/60,"")</x:f>
        <x:v>0.031485665414138816</x:v>
      </x:c>
      <x:c r="N52" s="34" t="n">
        <x:f>IF(W82="估算",V82/60000*1e6,"")</x:f>
        <x:v>1.574283270706941</x:v>
      </x:c>
      <x:c r="O52" s="30" t="str">
        <x:f>IF(W82="估算","相位平均估算",W82)</x:f>
        <x:v>相位平均估算</x:v>
      </x:c>
      <x:c r="P52" s="49" t="n">
        <x:f>Q82</x:f>
        <x:v>98.07300000000001</x:v>
      </x:c>
      <x:c r="Q52" s="89" t="n">
        <x:f>IF(ISNUMBER(L52),L52/(60000+L52),IF(L52="","",L52))</x:f>
        <x:v>0.000001574280792343026</x:v>
      </x:c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GLM5.3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41.60749568</x:v>
      </x:c>
      <x:c r="H53" s="75" t="n">
        <x:f>IF(W83="估算",U83*R83,"")</x:f>
        <x:v>2.373764806000045</x:v>
      </x:c>
      <x:c r="I53" s="75" t="n">
        <x:f>IF(W83="估算",U83*S83,"")</x:f>
        <x:v>0.40006823933347313</x:v>
      </x:c>
      <x:c r="J53" s="75" t="n">
        <x:f>IF(W83="估算",U83*MAX(0,R83-S83),"")</x:f>
        <x:v>1.9736965666665718</x:v>
      </x:c>
      <x:c r="K53" s="75" t="n">
        <x:f>IF(W83="估算",IF(OR(O83=0,K83=0),0,U83*E24*MIN(1,(K83+P83)/L83)),"")</x:f>
        <x:v>104.03236045</x:v>
      </x:c>
      <x:c r="L53" s="34" t="n">
        <x:f>IF(W83="估算",V83,"")</x:f>
        <x:v>0.06297133082827763</x:v>
      </x:c>
      <x:c r="M53" s="34" t="n">
        <x:f>IF(W83="估算",E53*V83/60,"")</x:f>
        <x:v>0.031485665414138816</x:v>
      </x:c>
      <x:c r="N53" s="34" t="n">
        <x:f>IF(W83="估算",V83/60000*1e6,"")</x:f>
        <x:v>1.0495221804712938</x:v>
      </x:c>
      <x:c r="O53" s="30" t="str">
        <x:f>IF(W83="估算","相位平均估算",W83)</x:f>
        <x:v>相位平均估算</x:v>
      </x:c>
      <x:c r="P53" s="49" t="n">
        <x:f>Q83</x:f>
        <x:v>65.382</x:v>
      </x:c>
      <x:c r="Q53" s="89" t="n">
        <x:f>IF(ISNUMBER(L53),L53/(60000+L53),IF(L53="","",L53))</x:f>
        <x:v>0.0000010495210789756425</x:v>
      </x:c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 t="str">
        <x:v>Decode throughput loss = Total overhead / (60000 + Total overhead). Fixed batch size and tokens/step; Decode stays busy.</x:v>
      </x:c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IF(A60,M92,"")</x:f>
        <x:v>1.453125</x:v>
      </x:c>
      <x:c r="E60" s="76" t="n">
        <x:f>IF(A60,B23/C23,"")</x:f>
        <x:v>4</x:v>
      </x:c>
      <x:c r="F60" s="76" t="n">
        <x:f>IF(A60,B23/D23,"")</x:f>
        <x:v>32</x:v>
      </x:c>
      <x:c r="G60" s="76" t="n">
        <x:f>IF(A60,$F$5*E60*$B$5*60000/B60,"")</x:f>
        <x:v>960</x:v>
      </x:c>
      <x:c r="H60" s="76" t="n">
        <x:f>IF(A60,G60/($J$5*F60),"")</x:f>
        <x:v>30</x:v>
      </x:c>
      <x:c r="I60" s="76" t="n">
        <x:f>IF(A60,$B$5*D60/C23/$B$9,"")</x:f>
        <x:v>2.90625</x:v>
      </x:c>
      <x:c r="J60" s="76" t="n">
        <x:f>IF(A60,I60*$F$5/$J$5,"")</x:f>
        <x:v>2.90625</x:v>
      </x:c>
      <x:c r="K60" s="76" t="n">
        <x:f>IF(A60,MAX(I60,J60)*2^30/(J23*1e6),"")</x:f>
        <x:v>0.65011712</x:v>
      </x:c>
      <x:c r="L60" s="76" t="n">
        <x:f>IF(A60,B60/$B$9,"")</x:f>
        <x:v>4000</x:v>
      </x:c>
      <x:c r="M60" s="77" t="n">
        <x:f>IF(A60,K60/L60,"")</x:f>
        <x:v>0.00016252928</x:v>
      </x:c>
      <x:c r="N60" s="76" t="n">
        <x:f>IF(A60,(E23*ROUNDUP(K23/D23,0)*G23*(B23-1)/B23*(ROUNDUP((ROUNDUP(F23*2/32,0)*32+32)/480,0)*512+F23*2+32)+E23*ROUNDUP(H23/B23,0)*(B23-1)*32)/1e9,"")</x:f>
        <x:v>1.907616</x:v>
      </x:c>
      <x:c r="O60" s="76" t="n">
        <x:f>IF(A60,N60*1000/I23,"")</x:f>
        <x:v>0.39742</x:v>
      </x:c>
      <x:c r="P60" s="76" t="n">
        <x:f>IF(A60,O60/E23,"")</x:f>
        <x:v>0.005298933333333334</x:v>
      </x:c>
      <x:c r="Q60" s="76" t="n">
        <x:f>IF(A60,N60*1000/C60,"")</x:f>
        <x:v>381.5232</x:v>
      </x:c>
      <x:c r="R60" s="76" t="n">
        <x:f>IF(W60="估算",IF(OR(K60=0,O60=0),0,1-((E23-1)*MAX(0,(C60-O60)/E23-(K60))+MAX(0,L60-((E23-1)*C60/E23+P60)-(K60)))/L60),"")</x:f>
        <x:v>0.0013971873466666063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9.564909306300139e-8</x:v>
      </x:c>
      <x:c r="U60" s="76" t="n">
        <x:f>IF(A60,60000/C60,"")</x:f>
        <x:v>12000</x:v>
      </x:c>
      <x:c r="V60" s="76" t="n">
        <x:f>IF(W60="估算",U60*E23*T60*M23*N23,"")</x:f>
        <x:v>0.08608418375670125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1.9503513600000002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IF(A61,M92,"")</x:f>
        <x:v>1.453125</x:v>
      </x:c>
      <x:c r="E61" s="76" t="n">
        <x:f>IF(A61,B23/C23,"")</x:f>
        <x:v>4</x:v>
      </x:c>
      <x:c r="F61" s="76" t="n">
        <x:f>IF(A61,B23/D23,"")</x:f>
        <x:v>32</x:v>
      </x:c>
      <x:c r="G61" s="76" t="n">
        <x:f>IF(A61,$F$5*E61*$B$5*60000/B61,"")</x:f>
        <x:v>960</x:v>
      </x:c>
      <x:c r="H61" s="76" t="n">
        <x:f>IF(A61,G61/($J$5*F61),"")</x:f>
        <x:v>30</x:v>
      </x:c>
      <x:c r="I61" s="76" t="n">
        <x:f>IF(A61,$B$5*D61/C23/$B$9,"")</x:f>
        <x:v>2.90625</x:v>
      </x:c>
      <x:c r="J61" s="76" t="n">
        <x:f>IF(A61,I61*$F$5/$J$5,"")</x:f>
        <x:v>2.90625</x:v>
      </x:c>
      <x:c r="K61" s="76" t="n">
        <x:f>IF(A61,MAX(I61,J61)*2^30/(J23*1e6),"")</x:f>
        <x:v>0.65011712</x:v>
      </x:c>
      <x:c r="L61" s="76" t="n">
        <x:f>IF(A61,B61/$B$9,"")</x:f>
        <x:v>4000</x:v>
      </x:c>
      <x:c r="M61" s="77" t="n">
        <x:f>IF(A61,K61/L61,"")</x:f>
        <x:v>0.00016252928</x:v>
      </x:c>
      <x:c r="N61" s="76" t="n">
        <x:f>IF(A61,(E23*ROUNDUP(K23/D23,0)*G23*(B23-1)/B23*(ROUNDUP((ROUNDUP(F23*2/32,0)*32+32)/480,0)*512+F23*2+32)+E23*ROUNDUP(H23/B23,0)*(B23-1)*32)/1e9,"")</x:f>
        <x:v>1.907616</x:v>
      </x:c>
      <x:c r="O61" s="76" t="n">
        <x:f>IF(A61,N61*1000/I23,"")</x:f>
        <x:v>0.39742</x:v>
      </x:c>
      <x:c r="P61" s="76" t="n">
        <x:f>IF(A61,O61/E23,"")</x:f>
        <x:v>0.005298933333333334</x:v>
      </x:c>
      <x:c r="Q61" s="76" t="n">
        <x:f>IF(A61,N61*1000/C61,"")</x:f>
        <x:v>190.7616</x:v>
      </x:c>
      <x:c r="R61" s="76" t="n">
        <x:f>IF(W61="估算",IF(OR(K61=0,O61=0),0,1-((E23-1)*MAX(0,(C61-O61)/E23-(K61))+MAX(0,L61-((E23-1)*C61/E23+P61)-(K61)))/L61),"")</x:f>
        <x:v>0.002630520679999915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9.564909306300139e-8</x:v>
      </x:c>
      <x:c r="U61" s="76" t="n">
        <x:f>IF(A61,60000/C61,"")</x:f>
        <x:v>6000</x:v>
      </x:c>
      <x:c r="V61" s="76" t="n">
        <x:f>IF(W61="估算",U61*E23*T61*M23*N23,"")</x:f>
        <x:v>0.043042091878350626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0.9751756800000001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IF(A62,M92,"")</x:f>
        <x:v>1.453125</x:v>
      </x:c>
      <x:c r="E62" s="76" t="n">
        <x:f>IF(A62,B23/C23,"")</x:f>
        <x:v>4</x:v>
      </x:c>
      <x:c r="F62" s="76" t="n">
        <x:f>IF(A62,B23/D23,"")</x:f>
        <x:v>32</x:v>
      </x:c>
      <x:c r="G62" s="76" t="n">
        <x:f>IF(A62,$F$5*E62*$B$5*60000/B62,"")</x:f>
        <x:v>960</x:v>
      </x:c>
      <x:c r="H62" s="76" t="n">
        <x:f>IF(A62,G62/($J$5*F62),"")</x:f>
        <x:v>30</x:v>
      </x:c>
      <x:c r="I62" s="76" t="n">
        <x:f>IF(A62,$B$5*D62/C23/$B$9,"")</x:f>
        <x:v>2.90625</x:v>
      </x:c>
      <x:c r="J62" s="76" t="n">
        <x:f>IF(A62,I62*$F$5/$J$5,"")</x:f>
        <x:v>2.90625</x:v>
      </x:c>
      <x:c r="K62" s="76" t="n">
        <x:f>IF(A62,MAX(I62,J62)*2^30/(J23*1e6),"")</x:f>
        <x:v>0.65011712</x:v>
      </x:c>
      <x:c r="L62" s="76" t="n">
        <x:f>IF(A62,B62/$B$9,"")</x:f>
        <x:v>4000</x:v>
      </x:c>
      <x:c r="M62" s="77" t="n">
        <x:f>IF(A62,K62/L62,"")</x:f>
        <x:v>0.00016252928</x:v>
      </x:c>
      <x:c r="N62" s="76" t="n">
        <x:f>IF(A62,(E23*ROUNDUP(K23/D23,0)*G23*(B23-1)/B23*(ROUNDUP((ROUNDUP(F23*2/32,0)*32+32)/480,0)*512+F23*2+32)+E23*ROUNDUP(H23/B23,0)*(B23-1)*32)/1e9,"")</x:f>
        <x:v>1.907616</x:v>
      </x:c>
      <x:c r="O62" s="76" t="n">
        <x:f>IF(A62,N62*1000/I23,"")</x:f>
        <x:v>0.39742</x:v>
      </x:c>
      <x:c r="P62" s="76" t="n">
        <x:f>IF(A62,O62/E23,"")</x:f>
        <x:v>0.005298933333333334</x:v>
      </x:c>
      <x:c r="Q62" s="76" t="n">
        <x:f>IF(A62,N62*1000/C62,"")</x:f>
        <x:v>95.3808</x:v>
      </x:c>
      <x:c r="R62" s="76" t="n">
        <x:f>IF(W62="估算",IF(OR(K62=0,O62=0),0,1-((E23-1)*MAX(0,(C62-O62)/E23-(K62))+MAX(0,L62-((E23-1)*C62/E23+P62)-(K62)))/L62),"")</x:f>
        <x:v>0.005097187346666643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9.564909306300139e-8</x:v>
      </x:c>
      <x:c r="U62" s="76" t="n">
        <x:f>IF(A62,60000/C62,"")</x:f>
        <x:v>3000</x:v>
      </x:c>
      <x:c r="V62" s="76" t="n">
        <x:f>IF(W62="估算",U62*E23*T62*M23*N23,"")</x:f>
        <x:v>0.021521045939175313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0.48758784000000005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IF(A63,M92,"")</x:f>
        <x:v>1.453125</x:v>
      </x:c>
      <x:c r="E63" s="76" t="n">
        <x:f>IF(A63,B23/C23,"")</x:f>
        <x:v>4</x:v>
      </x:c>
      <x:c r="F63" s="76" t="n">
        <x:f>IF(A63,B23/D23,"")</x:f>
        <x:v>32</x:v>
      </x:c>
      <x:c r="G63" s="76" t="n">
        <x:f>IF(A63,$F$5*E63*$B$5*60000/B63,"")</x:f>
        <x:v>960</x:v>
      </x:c>
      <x:c r="H63" s="76" t="n">
        <x:f>IF(A63,G63/($J$5*F63),"")</x:f>
        <x:v>30</x:v>
      </x:c>
      <x:c r="I63" s="76" t="n">
        <x:f>IF(A63,$B$5*D63/C23/$B$9,"")</x:f>
        <x:v>2.90625</x:v>
      </x:c>
      <x:c r="J63" s="76" t="n">
        <x:f>IF(A63,I63*$F$5/$J$5,"")</x:f>
        <x:v>2.90625</x:v>
      </x:c>
      <x:c r="K63" s="76" t="n">
        <x:f>IF(A63,MAX(I63,J63)*2^30/(J23*1e6),"")</x:f>
        <x:v>0.65011712</x:v>
      </x:c>
      <x:c r="L63" s="76" t="n">
        <x:f>IF(A63,B63/$B$9,"")</x:f>
        <x:v>4000</x:v>
      </x:c>
      <x:c r="M63" s="77" t="n">
        <x:f>IF(A63,K63/L63,"")</x:f>
        <x:v>0.00016252928</x:v>
      </x:c>
      <x:c r="N63" s="76" t="n">
        <x:f>IF(A63,(E23*ROUNDUP(K23/D23,0)*G23*(B23-1)/B23*(ROUNDUP((ROUNDUP(F23*2/32,0)*32+32)/480,0)*512+F23*2+32)+E23*ROUNDUP(H23/B23,0)*(B23-1)*32)/1e9,"")</x:f>
        <x:v>1.907616</x:v>
      </x:c>
      <x:c r="O63" s="76" t="n">
        <x:f>IF(A63,N63*1000/I23,"")</x:f>
        <x:v>0.39742</x:v>
      </x:c>
      <x:c r="P63" s="76" t="n">
        <x:f>IF(A63,O63/E23,"")</x:f>
        <x:v>0.005298933333333334</x:v>
      </x:c>
      <x:c r="Q63" s="76" t="n">
        <x:f>IF(A63,N63*1000/C63,"")</x:f>
        <x:v>63.5872</x:v>
      </x:c>
      <x:c r="R63" s="76" t="n">
        <x:f>IF(W63="估算",IF(OR(K63=0,O63=0),0,1-((E23-1)*MAX(0,(C63-O63)/E23-(K63))+MAX(0,L63-((E23-1)*C63/E23+P63)-(K63)))/L63),"")</x:f>
        <x:v>0.00756385401333326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9.564909306300139e-8</x:v>
      </x:c>
      <x:c r="U63" s="76" t="n">
        <x:f>IF(A63,60000/C63,"")</x:f>
        <x:v>2000</x:v>
      </x:c>
      <x:c r="V63" s="76" t="n">
        <x:f>IF(W63="估算",U63*E23*T63*M23*N23,"")</x:f>
        <x:v>0.014347363959450209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0.32505856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IF(A64,M95,"")</x:f>
        <x:v>23.25</x:v>
      </x:c>
      <x:c r="E64" s="76" t="n">
        <x:f>IF(A64,B23/C23,"")</x:f>
        <x:v>4</x:v>
      </x:c>
      <x:c r="F64" s="76" t="n">
        <x:f>IF(A64,B23/D23,"")</x:f>
        <x:v>32</x:v>
      </x:c>
      <x:c r="G64" s="76" t="n">
        <x:f>IF(A64,$F$5*E64*$B$5*60000/B64,"")</x:f>
        <x:v>192</x:v>
      </x:c>
      <x:c r="H64" s="76" t="n">
        <x:f>IF(A64,G64/($J$5*F64),"")</x:f>
        <x:v>6</x:v>
      </x:c>
      <x:c r="I64" s="76" t="n">
        <x:f>IF(A64,$B$5*D64/C23/$B$9,"")</x:f>
        <x:v>46.5</x:v>
      </x:c>
      <x:c r="J64" s="76" t="n">
        <x:f>IF(A64,I64*$F$5/$J$5,"")</x:f>
        <x:v>46.5</x:v>
      </x:c>
      <x:c r="K64" s="76" t="n">
        <x:f>IF(A64,MAX(I64,J64)*2^30/(J23*1e6),"")</x:f>
        <x:v>10.40187392</x:v>
      </x:c>
      <x:c r="L64" s="76" t="n">
        <x:f>IF(A64,B64/$B$9,"")</x:f>
        <x:v>20000</x:v>
      </x:c>
      <x:c r="M64" s="77" t="n">
        <x:f>IF(A64,K64/L64,"")</x:f>
        <x:v>0.000520093696</x:v>
      </x:c>
      <x:c r="N64" s="76" t="n">
        <x:f>IF(A64,(E23*ROUNDUP(K23/D23,0)*G23*(B23-1)/B23*(ROUNDUP((ROUNDUP(F23*2/32,0)*32+32)/480,0)*512+F23*2+32)+E23*ROUNDUP(H23/B23,0)*(B23-1)*32)/1e9,"")</x:f>
        <x:v>1.907616</x:v>
      </x:c>
      <x:c r="O64" s="76" t="n">
        <x:f>IF(A64,N64*1000/I23,"")</x:f>
        <x:v>0.39742</x:v>
      </x:c>
      <x:c r="P64" s="76" t="n">
        <x:f>IF(A64,O64/E23,"")</x:f>
        <x:v>0.005298933333333334</x:v>
      </x:c>
      <x:c r="Q64" s="76" t="n">
        <x:f>IF(A64,N64*1000/C64,"")</x:f>
        <x:v>381.5232</x:v>
      </x:c>
      <x:c r="R64" s="76" t="n">
        <x:f>IF(W64="估算",IF(OR(K64=0,O64=0),0,1-((E23-1)*MAX(0,(C64-O64)/E23-(K64))+MAX(0,L64-((E23-1)*C64/E23+P64)-(K64)))/L64),"")</x:f>
        <x:v>0.000767025309333258</x:v>
      </x:c>
      <x:c r="S64" s="76" t="n">
        <x:f>IF(W64="估算",IF(O64=0,0,MAX(0,1-(1-((E23-1)*MAX(0,(C64-O64)/E23-(L64-K64))+MAX(0,L64-((E23-1)*C64/E23+P64)-(L64-K64)))/L64))),"")</x:f>
        <x:v>0.0002731620826667003</x:v>
      </x:c>
      <x:c r="T64" s="76" t="n">
        <x:f>IF(W64="估算",IF(OR(P64=0,K64=0,$J$7=0),0,IF(P64&lt;=(1-$J$7)*K64,$J$7*P64*K64/(1-$J$7)-$J$7^2*P64^2/(2*(1-$J$7)^2),$J$7*P64*K64+$J$7^2*K64^2/2)/L64),"")</x:f>
        <x:v>3.062070917574892e-7</x:v>
      </x:c>
      <x:c r="U64" s="76" t="n">
        <x:f>IF(A64,60000/C64,"")</x:f>
        <x:v>12000</x:v>
      </x:c>
      <x:c r="V64" s="76" t="n">
        <x:f>IF(W64="估算",U64*E23*T64*M23*N23,"")</x:f>
        <x:v>0.2755863825817403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6.241124352000001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IF(A65,M95,"")</x:f>
        <x:v>23.25</x:v>
      </x:c>
      <x:c r="E65" s="76" t="n">
        <x:f>IF(A65,B23/C23,"")</x:f>
        <x:v>4</x:v>
      </x:c>
      <x:c r="F65" s="76" t="n">
        <x:f>IF(A65,B23/D23,"")</x:f>
        <x:v>32</x:v>
      </x:c>
      <x:c r="G65" s="76" t="n">
        <x:f>IF(A65,$F$5*E65*$B$5*60000/B65,"")</x:f>
        <x:v>192</x:v>
      </x:c>
      <x:c r="H65" s="76" t="n">
        <x:f>IF(A65,G65/($J$5*F65),"")</x:f>
        <x:v>6</x:v>
      </x:c>
      <x:c r="I65" s="76" t="n">
        <x:f>IF(A65,$B$5*D65/C23/$B$9,"")</x:f>
        <x:v>46.5</x:v>
      </x:c>
      <x:c r="J65" s="76" t="n">
        <x:f>IF(A65,I65*$F$5/$J$5,"")</x:f>
        <x:v>46.5</x:v>
      </x:c>
      <x:c r="K65" s="76" t="n">
        <x:f>IF(A65,MAX(I65,J65)*2^30/(J23*1e6),"")</x:f>
        <x:v>10.40187392</x:v>
      </x:c>
      <x:c r="L65" s="76" t="n">
        <x:f>IF(A65,B65/$B$9,"")</x:f>
        <x:v>20000</x:v>
      </x:c>
      <x:c r="M65" s="77" t="n">
        <x:f>IF(A65,K65/L65,"")</x:f>
        <x:v>0.000520093696</x:v>
      </x:c>
      <x:c r="N65" s="76" t="n">
        <x:f>IF(A65,(E23*ROUNDUP(K23/D23,0)*G23*(B23-1)/B23*(ROUNDUP((ROUNDUP(F23*2/32,0)*32+32)/480,0)*512+F23*2+32)+E23*ROUNDUP(H23/B23,0)*(B23-1)*32)/1e9,"")</x:f>
        <x:v>1.907616</x:v>
      </x:c>
      <x:c r="O65" s="76" t="n">
        <x:f>IF(A65,N65*1000/I23,"")</x:f>
        <x:v>0.39742</x:v>
      </x:c>
      <x:c r="P65" s="76" t="n">
        <x:f>IF(A65,O65/E23,"")</x:f>
        <x:v>0.005298933333333334</x:v>
      </x:c>
      <x:c r="Q65" s="76" t="n">
        <x:f>IF(A65,N65*1000/C65,"")</x:f>
        <x:v>190.7616</x:v>
      </x:c>
      <x:c r="R65" s="76" t="n">
        <x:f>IF(W65="估算",IF(OR(K65=0,O65=0),0,1-((E23-1)*MAX(0,(C65-O65)/E23-(K65))+MAX(0,L65-((E23-1)*C65/E23+P65)-(K65)))/L65),"")</x:f>
        <x:v>0.0010136919759999863</x:v>
      </x:c>
      <x:c r="S65" s="76" t="n">
        <x:f>IF(W65="估算",IF(O65=0,0,MAX(0,1-(1-((E23-1)*MAX(0,(C65-O65)/E23-(L65-K65))+MAX(0,L65-((E23-1)*C65/E23+P65)-(L65-K65)))/L65))),"")</x:f>
        <x:v>0.000026495416000082983</x:v>
      </x:c>
      <x:c r="T65" s="76" t="n">
        <x:f>IF(W65="估算",IF(OR(P65=0,K65=0,$J$7=0),0,IF(P65&lt;=(1-$J$7)*K65,$J$7*P65*K65/(1-$J$7)-$J$7^2*P65^2/(2*(1-$J$7)^2),$J$7*P65*K65+$J$7^2*K65^2/2)/L65),"")</x:f>
        <x:v>3.062070917574892e-7</x:v>
      </x:c>
      <x:c r="U65" s="76" t="n">
        <x:f>IF(A65,60000/C65,"")</x:f>
        <x:v>6000</x:v>
      </x:c>
      <x:c r="V65" s="76" t="n">
        <x:f>IF(W65="估算",U65*E23*T65*M23*N23,"")</x:f>
        <x:v>0.13779319129087014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3.1205621760000004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IF(A66,M95,"")</x:f>
        <x:v>23.25</x:v>
      </x:c>
      <x:c r="E66" s="76" t="n">
        <x:f>IF(A66,B23/C23,"")</x:f>
        <x:v>4</x:v>
      </x:c>
      <x:c r="F66" s="76" t="n">
        <x:f>IF(A66,B23/D23,"")</x:f>
        <x:v>32</x:v>
      </x:c>
      <x:c r="G66" s="76" t="n">
        <x:f>IF(A66,$F$5*E66*$B$5*60000/B66,"")</x:f>
        <x:v>192</x:v>
      </x:c>
      <x:c r="H66" s="76" t="n">
        <x:f>IF(A66,G66/($J$5*F66),"")</x:f>
        <x:v>6</x:v>
      </x:c>
      <x:c r="I66" s="76" t="n">
        <x:f>IF(A66,$B$5*D66/C23/$B$9,"")</x:f>
        <x:v>46.5</x:v>
      </x:c>
      <x:c r="J66" s="76" t="n">
        <x:f>IF(A66,I66*$F$5/$J$5,"")</x:f>
        <x:v>46.5</x:v>
      </x:c>
      <x:c r="K66" s="76" t="n">
        <x:f>IF(A66,MAX(I66,J66)*2^30/(J23*1e6),"")</x:f>
        <x:v>10.40187392</x:v>
      </x:c>
      <x:c r="L66" s="76" t="n">
        <x:f>IF(A66,B66/$B$9,"")</x:f>
        <x:v>20000</x:v>
      </x:c>
      <x:c r="M66" s="77" t="n">
        <x:f>IF(A66,K66/L66,"")</x:f>
        <x:v>0.000520093696</x:v>
      </x:c>
      <x:c r="N66" s="76" t="n">
        <x:f>IF(A66,(E23*ROUNDUP(K23/D23,0)*G23*(B23-1)/B23*(ROUNDUP((ROUNDUP(F23*2/32,0)*32+32)/480,0)*512+F23*2+32)+E23*ROUNDUP(H23/B23,0)*(B23-1)*32)/1e9,"")</x:f>
        <x:v>1.907616</x:v>
      </x:c>
      <x:c r="O66" s="76" t="n">
        <x:f>IF(A66,N66*1000/I23,"")</x:f>
        <x:v>0.39742</x:v>
      </x:c>
      <x:c r="P66" s="76" t="n">
        <x:f>IF(A66,O66/E23,"")</x:f>
        <x:v>0.005298933333333334</x:v>
      </x:c>
      <x:c r="Q66" s="76" t="n">
        <x:f>IF(A66,N66*1000/C66,"")</x:f>
        <x:v>95.3808</x:v>
      </x:c>
      <x:c r="R66" s="76" t="n">
        <x:f>IF(W66="估算",IF(OR(K66=0,O66=0),0,1-((E23-1)*MAX(0,(C66-O66)/E23-(K66))+MAX(0,L66-((E23-1)*C66/E23+P66)-(K66)))/L66),"")</x:f>
        <x:v>0.001507025309333443</x:v>
      </x:c>
      <x:c r="S66" s="76" t="n">
        <x:f>IF(W66="估算",IF(O66=0,0,MAX(0,1-(1-((E23-1)*MAX(0,(C66-O66)/E23-(L66-K66))+MAX(0,L66-((E23-1)*C66/E23+P66)-(L66-K66)))/L66))),"")</x:f>
        <x:v>0</x:v>
      </x:c>
      <x:c r="T66" s="76" t="n">
        <x:f>IF(W66="估算",IF(OR(P66=0,K66=0,$J$7=0),0,IF(P66&lt;=(1-$J$7)*K66,$J$7*P66*K66/(1-$J$7)-$J$7^2*P66^2/(2*(1-$J$7)^2),$J$7*P66*K66+$J$7^2*K66^2/2)/L66),"")</x:f>
        <x:v>3.062070917574892e-7</x:v>
      </x:c>
      <x:c r="U66" s="76" t="n">
        <x:f>IF(A66,60000/C66,"")</x:f>
        <x:v>3000</x:v>
      </x:c>
      <x:c r="V66" s="76" t="n">
        <x:f>IF(W66="估算",U66*E23*T66*M23*N23,"")</x:f>
        <x:v>0.06889659564543507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1.5602810880000002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IF(A67,M95,"")</x:f>
        <x:v>23.25</x:v>
      </x:c>
      <x:c r="E67" s="76" t="n">
        <x:f>IF(A67,B23/C23,"")</x:f>
        <x:v>4</x:v>
      </x:c>
      <x:c r="F67" s="76" t="n">
        <x:f>IF(A67,B23/D23,"")</x:f>
        <x:v>32</x:v>
      </x:c>
      <x:c r="G67" s="76" t="n">
        <x:f>IF(A67,$F$5*E67*$B$5*60000/B67,"")</x:f>
        <x:v>192</x:v>
      </x:c>
      <x:c r="H67" s="76" t="n">
        <x:f>IF(A67,G67/($J$5*F67),"")</x:f>
        <x:v>6</x:v>
      </x:c>
      <x:c r="I67" s="76" t="n">
        <x:f>IF(A67,$B$5*D67/C23/$B$9,"")</x:f>
        <x:v>46.5</x:v>
      </x:c>
      <x:c r="J67" s="76" t="n">
        <x:f>IF(A67,I67*$F$5/$J$5,"")</x:f>
        <x:v>46.5</x:v>
      </x:c>
      <x:c r="K67" s="76" t="n">
        <x:f>IF(A67,MAX(I67,J67)*2^30/(J23*1e6),"")</x:f>
        <x:v>10.40187392</x:v>
      </x:c>
      <x:c r="L67" s="76" t="n">
        <x:f>IF(A67,B67/$B$9,"")</x:f>
        <x:v>20000</x:v>
      </x:c>
      <x:c r="M67" s="77" t="n">
        <x:f>IF(A67,K67/L67,"")</x:f>
        <x:v>0.000520093696</x:v>
      </x:c>
      <x:c r="N67" s="76" t="n">
        <x:f>IF(A67,(E23*ROUNDUP(K23/D23,0)*G23*(B23-1)/B23*(ROUNDUP((ROUNDUP(F23*2/32,0)*32+32)/480,0)*512+F23*2+32)+E23*ROUNDUP(H23/B23,0)*(B23-1)*32)/1e9,"")</x:f>
        <x:v>1.907616</x:v>
      </x:c>
      <x:c r="O67" s="76" t="n">
        <x:f>IF(A67,N67*1000/I23,"")</x:f>
        <x:v>0.39742</x:v>
      </x:c>
      <x:c r="P67" s="76" t="n">
        <x:f>IF(A67,O67/E23,"")</x:f>
        <x:v>0.005298933333333334</x:v>
      </x:c>
      <x:c r="Q67" s="76" t="n">
        <x:f>IF(A67,N67*1000/C67,"")</x:f>
        <x:v>63.5872</x:v>
      </x:c>
      <x:c r="R67" s="76" t="n">
        <x:f>IF(W67="估算",IF(OR(K67=0,O67=0),0,1-((E23-1)*MAX(0,(C67-O67)/E23-(K67))+MAX(0,L67-((E23-1)*C67/E23+P67)-(K67)))/L67),"")</x:f>
        <x:v>0.0020003586426666775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3.062070917574892e-7</x:v>
      </x:c>
      <x:c r="U67" s="76" t="n">
        <x:f>IF(A67,60000/C67,"")</x:f>
        <x:v>2000</x:v>
      </x:c>
      <x:c r="V67" s="76" t="n">
        <x:f>IF(W67="估算",U67*E23*T67*M23*N23,"")</x:f>
        <x:v>0.04593106376362338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1.040187392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IF(A68,M98,"")</x:f>
        <x:v>93</x:v>
      </x:c>
      <x:c r="E68" s="76" t="n">
        <x:f>IF(A68,B23/C23,"")</x:f>
        <x:v>4</x:v>
      </x:c>
      <x:c r="F68" s="76" t="n">
        <x:f>IF(A68,B23/D23,"")</x:f>
        <x:v>32</x:v>
      </x:c>
      <x:c r="G68" s="76" t="n">
        <x:f>IF(A68,$F$5*E68*$B$5*60000/B68,"")</x:f>
        <x:v>64</x:v>
      </x:c>
      <x:c r="H68" s="76" t="n">
        <x:f>IF(A68,G68/($J$5*F68),"")</x:f>
        <x:v>2</x:v>
      </x:c>
      <x:c r="I68" s="76" t="n">
        <x:f>IF(A68,$B$5*D68/C23/$B$9,"")</x:f>
        <x:v>186</x:v>
      </x:c>
      <x:c r="J68" s="76" t="n">
        <x:f>IF(A68,I68*$F$5/$J$5,"")</x:f>
        <x:v>186</x:v>
      </x:c>
      <x:c r="K68" s="76" t="n">
        <x:f>IF(A68,MAX(I68,J68)*2^30/(J23*1e6),"")</x:f>
        <x:v>41.60749568</x:v>
      </x:c>
      <x:c r="L68" s="76" t="n">
        <x:f>IF(A68,B68/$B$9,"")</x:f>
        <x:v>60000</x:v>
      </x:c>
      <x:c r="M68" s="77" t="n">
        <x:f>IF(A68,K68/L68,"")</x:f>
        <x:v>0.0006934582613333333</x:v>
      </x:c>
      <x:c r="N68" s="76" t="n">
        <x:f>IF(A68,(E23*ROUNDUP(K23/D23,0)*G23*(B23-1)/B23*(ROUNDUP((ROUNDUP(F23*2/32,0)*32+32)/480,0)*512+F23*2+32)+E23*ROUNDUP(H23/B23,0)*(B23-1)*32)/1e9,"")</x:f>
        <x:v>1.907616</x:v>
      </x:c>
      <x:c r="O68" s="76" t="n">
        <x:f>IF(A68,N68*1000/I23,"")</x:f>
        <x:v>0.39742</x:v>
      </x:c>
      <x:c r="P68" s="76" t="n">
        <x:f>IF(A68,O68/E23,"")</x:f>
        <x:v>0.005298933333333334</x:v>
      </x:c>
      <x:c r="Q68" s="76" t="n">
        <x:f>IF(A68,N68*1000/C68,"")</x:f>
        <x:v>381.5232</x:v>
      </x:c>
      <x:c r="R68" s="76" t="n">
        <x:f>IF(W68="估算",IF(OR(K68=0,O68=0),0,1-((E23-1)*MAX(0,(C68-O68)/E23-(K68))+MAX(0,L68-((E23-1)*C68/E23+P68)-(K68)))/L68),"")</x:f>
        <x:v>0.0007757687991111206</x:v>
      </x:c>
      <x:c r="S68" s="76" t="n">
        <x:f>IF(W68="估算",IF(O68=0,0,MAX(0,1-(1-((E23-1)*MAX(0,(C68-O68)/E23-(L68-K68))+MAX(0,L68-((E23-1)*C68/E23+P68)-(L68-K68)))/L68))),"")</x:f>
        <x:v>0.0006111477235555274</x:v>
      </x:c>
      <x:c r="T68" s="76" t="n">
        <x:f>IF(W68="估算",IF(OR(P68=0,K68=0,$J$7=0),0,IF(P68&lt;=(1-$J$7)*K68,$J$7*P68*K68/(1-$J$7)-$J$7^2*P68^2/(2*(1-$J$7)^2),$J$7*P68*K68+$J$7^2*K68^2/2)/L68),"")</x:f>
        <x:v>4.0828478860704464e-7</x:v>
      </x:c>
      <x:c r="U68" s="76" t="n">
        <x:f>IF(A68,60000/C68,"")</x:f>
        <x:v>12000</x:v>
      </x:c>
      <x:c r="V68" s="76" t="n">
        <x:f>IF(W68="估算",U68*E23*T68*M23*N23,"")</x:f>
        <x:v>0.3674563097463402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8.321499136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IF(A69,M98,"")</x:f>
        <x:v>93</x:v>
      </x:c>
      <x:c r="E69" s="76" t="n">
        <x:f>IF(A69,B23/C23,"")</x:f>
        <x:v>4</x:v>
      </x:c>
      <x:c r="F69" s="76" t="n">
        <x:f>IF(A69,B23/D23,"")</x:f>
        <x:v>32</x:v>
      </x:c>
      <x:c r="G69" s="76" t="n">
        <x:f>IF(A69,$F$5*E69*$B$5*60000/B69,"")</x:f>
        <x:v>64</x:v>
      </x:c>
      <x:c r="H69" s="76" t="n">
        <x:f>IF(A69,G69/($J$5*F69),"")</x:f>
        <x:v>2</x:v>
      </x:c>
      <x:c r="I69" s="76" t="n">
        <x:f>IF(A69,$B$5*D69/C23/$B$9,"")</x:f>
        <x:v>186</x:v>
      </x:c>
      <x:c r="J69" s="76" t="n">
        <x:f>IF(A69,I69*$F$5/$J$5,"")</x:f>
        <x:v>186</x:v>
      </x:c>
      <x:c r="K69" s="76" t="n">
        <x:f>IF(A69,MAX(I69,J69)*2^30/(J23*1e6),"")</x:f>
        <x:v>41.60749568</x:v>
      </x:c>
      <x:c r="L69" s="76" t="n">
        <x:f>IF(A69,B69/$B$9,"")</x:f>
        <x:v>60000</x:v>
      </x:c>
      <x:c r="M69" s="77" t="n">
        <x:f>IF(A69,K69/L69,"")</x:f>
        <x:v>0.0006934582613333333</x:v>
      </x:c>
      <x:c r="N69" s="76" t="n">
        <x:f>IF(A69,(E23*ROUNDUP(K23/D23,0)*G23*(B23-1)/B23*(ROUNDUP((ROUNDUP(F23*2/32,0)*32+32)/480,0)*512+F23*2+32)+E23*ROUNDUP(H23/B23,0)*(B23-1)*32)/1e9,"")</x:f>
        <x:v>1.907616</x:v>
      </x:c>
      <x:c r="O69" s="76" t="n">
        <x:f>IF(A69,N69*1000/I23,"")</x:f>
        <x:v>0.39742</x:v>
      </x:c>
      <x:c r="P69" s="76" t="n">
        <x:f>IF(A69,O69/E23,"")</x:f>
        <x:v>0.005298933333333334</x:v>
      </x:c>
      <x:c r="Q69" s="76" t="n">
        <x:f>IF(A69,N69*1000/C69,"")</x:f>
        <x:v>190.7616</x:v>
      </x:c>
      <x:c r="R69" s="76" t="n">
        <x:f>IF(W69="估算",IF(OR(K69=0,O69=0),0,1-((E23-1)*MAX(0,(C69-O69)/E23-(K69))+MAX(0,L69-((E23-1)*C69/E23+P69)-(K69)))/L69),"")</x:f>
        <x:v>0.0008579910213334374</x:v>
      </x:c>
      <x:c r="S69" s="76" t="n">
        <x:f>IF(W69="估算",IF(O69=0,0,MAX(0,1-(1-((E23-1)*MAX(0,(C69-O69)/E23-(L69-K69))+MAX(0,L69-((E23-1)*C69/E23+P69)-(L69-K69)))/L69))),"")</x:f>
        <x:v>0.0005289255013333216</x:v>
      </x:c>
      <x:c r="T69" s="76" t="n">
        <x:f>IF(W69="估算",IF(OR(P69=0,K69=0,$J$7=0),0,IF(P69&lt;=(1-$J$7)*K69,$J$7*P69*K69/(1-$J$7)-$J$7^2*P69^2/(2*(1-$J$7)^2),$J$7*P69*K69+$J$7^2*K69^2/2)/L69),"")</x:f>
        <x:v>4.0828478860704464e-7</x:v>
      </x:c>
      <x:c r="U69" s="76" t="n">
        <x:f>IF(A69,60000/C69,"")</x:f>
        <x:v>6000</x:v>
      </x:c>
      <x:c r="V69" s="76" t="n">
        <x:f>IF(W69="估算",U69*E23*T69*M23*N23,"")</x:f>
        <x:v>0.1837281548731701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4.160749568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IF(A70,M98,"")</x:f>
        <x:v>93</x:v>
      </x:c>
      <x:c r="E70" s="76" t="n">
        <x:f>IF(A70,B23/C23,"")</x:f>
        <x:v>4</x:v>
      </x:c>
      <x:c r="F70" s="76" t="n">
        <x:f>IF(A70,B23/D23,"")</x:f>
        <x:v>32</x:v>
      </x:c>
      <x:c r="G70" s="76" t="n">
        <x:f>IF(A70,$F$5*E70*$B$5*60000/B70,"")</x:f>
        <x:v>64</x:v>
      </x:c>
      <x:c r="H70" s="76" t="n">
        <x:f>IF(A70,G70/($J$5*F70),"")</x:f>
        <x:v>2</x:v>
      </x:c>
      <x:c r="I70" s="76" t="n">
        <x:f>IF(A70,$B$5*D70/C23/$B$9,"")</x:f>
        <x:v>186</x:v>
      </x:c>
      <x:c r="J70" s="76" t="n">
        <x:f>IF(A70,I70*$F$5/$J$5,"")</x:f>
        <x:v>186</x:v>
      </x:c>
      <x:c r="K70" s="76" t="n">
        <x:f>IF(A70,MAX(I70,J70)*2^30/(J23*1e6),"")</x:f>
        <x:v>41.60749568</x:v>
      </x:c>
      <x:c r="L70" s="76" t="n">
        <x:f>IF(A70,B70/$B$9,"")</x:f>
        <x:v>60000</x:v>
      </x:c>
      <x:c r="M70" s="77" t="n">
        <x:f>IF(A70,K70/L70,"")</x:f>
        <x:v>0.0006934582613333333</x:v>
      </x:c>
      <x:c r="N70" s="76" t="n">
        <x:f>IF(A70,(E23*ROUNDUP(K23/D23,0)*G23*(B23-1)/B23*(ROUNDUP((ROUNDUP(F23*2/32,0)*32+32)/480,0)*512+F23*2+32)+E23*ROUNDUP(H23/B23,0)*(B23-1)*32)/1e9,"")</x:f>
        <x:v>1.907616</x:v>
      </x:c>
      <x:c r="O70" s="76" t="n">
        <x:f>IF(A70,N70*1000/I23,"")</x:f>
        <x:v>0.39742</x:v>
      </x:c>
      <x:c r="P70" s="76" t="n">
        <x:f>IF(A70,O70/E23,"")</x:f>
        <x:v>0.005298933333333334</x:v>
      </x:c>
      <x:c r="Q70" s="76" t="n">
        <x:f>IF(A70,N70*1000/C70,"")</x:f>
        <x:v>95.3808</x:v>
      </x:c>
      <x:c r="R70" s="76" t="n">
        <x:f>IF(W70="估算",IF(OR(K70=0,O70=0),0,1-((E23-1)*MAX(0,(C70-O70)/E23-(K70))+MAX(0,L70-((E23-1)*C70/E23+P70)-(K70)))/L70),"")</x:f>
        <x:v>0.001022435465777738</x:v>
      </x:c>
      <x:c r="S70" s="76" t="n">
        <x:f>IF(W70="估算",IF(O70=0,0,MAX(0,1-(1-((E23-1)*MAX(0,(C70-O70)/E23-(L70-K70))+MAX(0,L70-((E23-1)*C70/E23+P70)-(L70-K70)))/L70))),"")</x:f>
        <x:v>0.0003644810568889101</x:v>
      </x:c>
      <x:c r="T70" s="76" t="n">
        <x:f>IF(W70="估算",IF(OR(P70=0,K70=0,$J$7=0),0,IF(P70&lt;=(1-$J$7)*K70,$J$7*P70*K70/(1-$J$7)-$J$7^2*P70^2/(2*(1-$J$7)^2),$J$7*P70*K70+$J$7^2*K70^2/2)/L70),"")</x:f>
        <x:v>4.0828478860704464e-7</x:v>
      </x:c>
      <x:c r="U70" s="76" t="n">
        <x:f>IF(A70,60000/C70,"")</x:f>
        <x:v>3000</x:v>
      </x:c>
      <x:c r="V70" s="76" t="n">
        <x:f>IF(W70="估算",U70*E23*T70*M23*N23,"")</x:f>
        <x:v>0.09186407743658505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2.080374784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IF(A71,M98,"")</x:f>
        <x:v>93</x:v>
      </x:c>
      <x:c r="E71" s="76" t="n">
        <x:f>IF(A71,B23/C23,"")</x:f>
        <x:v>4</x:v>
      </x:c>
      <x:c r="F71" s="76" t="n">
        <x:f>IF(A71,B23/D23,"")</x:f>
        <x:v>32</x:v>
      </x:c>
      <x:c r="G71" s="76" t="n">
        <x:f>IF(A71,$F$5*E71*$B$5*60000/B71,"")</x:f>
        <x:v>64</x:v>
      </x:c>
      <x:c r="H71" s="76" t="n">
        <x:f>IF(A71,G71/($J$5*F71),"")</x:f>
        <x:v>2</x:v>
      </x:c>
      <x:c r="I71" s="76" t="n">
        <x:f>IF(A71,$B$5*D71/C23/$B$9,"")</x:f>
        <x:v>186</x:v>
      </x:c>
      <x:c r="J71" s="76" t="n">
        <x:f>IF(A71,I71*$F$5/$J$5,"")</x:f>
        <x:v>186</x:v>
      </x:c>
      <x:c r="K71" s="76" t="n">
        <x:f>IF(A71,MAX(I71,J71)*2^30/(J23*1e6),"")</x:f>
        <x:v>41.60749568</x:v>
      </x:c>
      <x:c r="L71" s="76" t="n">
        <x:f>IF(A71,B71/$B$9,"")</x:f>
        <x:v>60000</x:v>
      </x:c>
      <x:c r="M71" s="77" t="n">
        <x:f>IF(A71,K71/L71,"")</x:f>
        <x:v>0.0006934582613333333</x:v>
      </x:c>
      <x:c r="N71" s="76" t="n">
        <x:f>IF(A71,(E23*ROUNDUP(K23/D23,0)*G23*(B23-1)/B23*(ROUNDUP((ROUNDUP(F23*2/32,0)*32+32)/480,0)*512+F23*2+32)+E23*ROUNDUP(H23/B23,0)*(B23-1)*32)/1e9,"")</x:f>
        <x:v>1.907616</x:v>
      </x:c>
      <x:c r="O71" s="76" t="n">
        <x:f>IF(A71,N71*1000/I23,"")</x:f>
        <x:v>0.39742</x:v>
      </x:c>
      <x:c r="P71" s="76" t="n">
        <x:f>IF(A71,O71/E23,"")</x:f>
        <x:v>0.005298933333333334</x:v>
      </x:c>
      <x:c r="Q71" s="76" t="n">
        <x:f>IF(A71,N71*1000/C71,"")</x:f>
        <x:v>63.5872</x:v>
      </x:c>
      <x:c r="R71" s="76" t="n">
        <x:f>IF(W71="估算",IF(OR(K71=0,O71=0),0,1-((E23-1)*MAX(0,(C71-O71)/E23-(K71))+MAX(0,L71-((E23-1)*C71/E23+P71)-(K71)))/L71),"")</x:f>
        <x:v>0.0011868799102222605</x:v>
      </x:c>
      <x:c r="S71" s="76" t="n">
        <x:f>IF(W71="估算",IF(O71=0,0,MAX(0,1-(1-((E23-1)*MAX(0,(C71-O71)/E23-(L71-K71))+MAX(0,L71-((E23-1)*C71/E23+P71)-(L71-K71)))/L71))),"")</x:f>
        <x:v>0.00020003661244449855</x:v>
      </x:c>
      <x:c r="T71" s="76" t="n">
        <x:f>IF(W71="估算",IF(OR(P71=0,K71=0,$J$7=0),0,IF(P71&lt;=(1-$J$7)*K71,$J$7*P71*K71/(1-$J$7)-$J$7^2*P71^2/(2*(1-$J$7)^2),$J$7*P71*K71+$J$7^2*K71^2/2)/L71),"")</x:f>
        <x:v>4.0828478860704464e-7</x:v>
      </x:c>
      <x:c r="U71" s="76" t="n">
        <x:f>IF(A71,60000/C71,"")</x:f>
        <x:v>2000</x:v>
      </x:c>
      <x:c r="V71" s="76" t="n">
        <x:f>IF(W71="估算",U71*E23*T71*M23*N23,"")</x:f>
        <x:v>0.061242718291056694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1.3869165226666667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IF(A72,M92,"")</x:f>
        <x:v>1.453125</x:v>
      </x:c>
      <x:c r="E72" s="76" t="n">
        <x:f>IF(A72,B24/C24,"")</x:f>
        <x:v>32</x:v>
      </x:c>
      <x:c r="F72" s="76" t="n">
        <x:f>IF(A72,B24/D24,"")</x:f>
        <x:v>256</x:v>
      </x:c>
      <x:c r="G72" s="76" t="n">
        <x:f>IF(A72,$F$5*E72*$B$5*60000/B72,"")</x:f>
        <x:v>7680</x:v>
      </x:c>
      <x:c r="H72" s="76" t="n">
        <x:f>IF(A72,G72/($J$5*F72),"")</x:f>
        <x:v>30</x:v>
      </x:c>
      <x:c r="I72" s="76" t="n">
        <x:f>IF(A72,$B$5*D72/C24/$B$9,"")</x:f>
        <x:v>2.90625</x:v>
      </x:c>
      <x:c r="J72" s="76" t="n">
        <x:f>IF(A72,I72*$F$5/$J$5,"")</x:f>
        <x:v>2.90625</x:v>
      </x:c>
      <x:c r="K72" s="76" t="n">
        <x:f>IF(A72,MAX(I72,J72)*2^30/(J24*1e6),"")</x:f>
        <x:v>0.65011712</x:v>
      </x:c>
      <x:c r="L72" s="76" t="n">
        <x:f>IF(A72,B72/$B$9,"")</x:f>
        <x:v>4000</x:v>
      </x:c>
      <x:c r="M72" s="77" t="n">
        <x:f>IF(A72,K72/L72,"")</x:f>
        <x:v>0.00016252928</x:v>
      </x:c>
      <x:c r="N72" s="76" t="n">
        <x:f>IF(A72,(E24*ROUNDUP(K24/D24,0)*G24*(B24-1)/B24*(ROUNDUP((ROUNDUP(F24*2/32,0)*32+32)/480,0)*512+F24*2+32)+E24*ROUNDUP(H24/B24,0)*(B24-1)*32)/1e9,"")</x:f>
        <x:v>1.96146</x:v>
      </x:c>
      <x:c r="O72" s="76" t="n">
        <x:f>IF(A72,N72*1000/I24,"")</x:f>
        <x:v>0.4086375</x:v>
      </x:c>
      <x:c r="P72" s="76" t="n">
        <x:f>IF(A72,O72/E24,"")</x:f>
        <x:v>0.0054485</x:v>
      </x:c>
      <x:c r="Q72" s="76" t="n">
        <x:f>IF(A72,N72*1000/C72,"")</x:f>
        <x:v>392.29200000000003</x:v>
      </x:c>
      <x:c r="R72" s="76" t="n">
        <x:f>IF(W72="估算",IF(OR(K72=0,O72=0),0,1-((E24-1)*MAX(0,(C72-O72)/E24-(K72))+MAX(0,L72-((E24-1)*C72/E24+P72)-(K72)))/L72),"")</x:f>
        <x:v>0.0013972247383332581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9.834760826776236e-8</x:v>
      </x:c>
      <x:c r="U72" s="76" t="n">
        <x:f>IF(A72,60000/C72,"")</x:f>
        <x:v>12000</x:v>
      </x:c>
      <x:c r="V72" s="76" t="n">
        <x:f>IF(W72="估算",U72*E24*T72*M24*N24,"")</x:f>
        <x:v>0.08851284744098611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1.9503513600000002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IF(A73,M92,"")</x:f>
        <x:v>1.453125</x:v>
      </x:c>
      <x:c r="E73" s="76" t="n">
        <x:f>IF(A73,B24/C24,"")</x:f>
        <x:v>32</x:v>
      </x:c>
      <x:c r="F73" s="76" t="n">
        <x:f>IF(A73,B24/D24,"")</x:f>
        <x:v>256</x:v>
      </x:c>
      <x:c r="G73" s="76" t="n">
        <x:f>IF(A73,$F$5*E73*$B$5*60000/B73,"")</x:f>
        <x:v>7680</x:v>
      </x:c>
      <x:c r="H73" s="76" t="n">
        <x:f>IF(A73,G73/($J$5*F73),"")</x:f>
        <x:v>30</x:v>
      </x:c>
      <x:c r="I73" s="76" t="n">
        <x:f>IF(A73,$B$5*D73/C24/$B$9,"")</x:f>
        <x:v>2.90625</x:v>
      </x:c>
      <x:c r="J73" s="76" t="n">
        <x:f>IF(A73,I73*$F$5/$J$5,"")</x:f>
        <x:v>2.90625</x:v>
      </x:c>
      <x:c r="K73" s="76" t="n">
        <x:f>IF(A73,MAX(I73,J73)*2^30/(J24*1e6),"")</x:f>
        <x:v>0.65011712</x:v>
      </x:c>
      <x:c r="L73" s="76" t="n">
        <x:f>IF(A73,B73/$B$9,"")</x:f>
        <x:v>4000</x:v>
      </x:c>
      <x:c r="M73" s="77" t="n">
        <x:f>IF(A73,K73/L73,"")</x:f>
        <x:v>0.00016252928</x:v>
      </x:c>
      <x:c r="N73" s="76" t="n">
        <x:f>IF(A73,(E24*ROUNDUP(K24/D24,0)*G24*(B24-1)/B24*(ROUNDUP((ROUNDUP(F24*2/32,0)*32+32)/480,0)*512+F24*2+32)+E24*ROUNDUP(H24/B24,0)*(B24-1)*32)/1e9,"")</x:f>
        <x:v>1.96146</x:v>
      </x:c>
      <x:c r="O73" s="76" t="n">
        <x:f>IF(A73,N73*1000/I24,"")</x:f>
        <x:v>0.4086375</x:v>
      </x:c>
      <x:c r="P73" s="76" t="n">
        <x:f>IF(A73,O73/E24,"")</x:f>
        <x:v>0.0054485</x:v>
      </x:c>
      <x:c r="Q73" s="76" t="n">
        <x:f>IF(A73,N73*1000/C73,"")</x:f>
        <x:v>196.14600000000002</x:v>
      </x:c>
      <x:c r="R73" s="76" t="n">
        <x:f>IF(W73="估算",IF(OR(K73=0,O73=0),0,1-((E24-1)*MAX(0,(C73-O73)/E24-(K73))+MAX(0,L73-((E24-1)*C73/E24+P73)-(K73)))/L73),"")</x:f>
        <x:v>0.0026305580716666777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9.834760826776236e-8</x:v>
      </x:c>
      <x:c r="U73" s="76" t="n">
        <x:f>IF(A73,60000/C73,"")</x:f>
        <x:v>6000</x:v>
      </x:c>
      <x:c r="V73" s="76" t="n">
        <x:f>IF(W73="估算",U73*E24*T73*M24*N24,"")</x:f>
        <x:v>0.04425642372049306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0.9751756800000001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IF(A74,M92,"")</x:f>
        <x:v>1.453125</x:v>
      </x:c>
      <x:c r="E74" s="76" t="n">
        <x:f>IF(A74,B24/C24,"")</x:f>
        <x:v>32</x:v>
      </x:c>
      <x:c r="F74" s="76" t="n">
        <x:f>IF(A74,B24/D24,"")</x:f>
        <x:v>256</x:v>
      </x:c>
      <x:c r="G74" s="76" t="n">
        <x:f>IF(A74,$F$5*E74*$B$5*60000/B74,"")</x:f>
        <x:v>7680</x:v>
      </x:c>
      <x:c r="H74" s="76" t="n">
        <x:f>IF(A74,G74/($J$5*F74),"")</x:f>
        <x:v>30</x:v>
      </x:c>
      <x:c r="I74" s="76" t="n">
        <x:f>IF(A74,$B$5*D74/C24/$B$9,"")</x:f>
        <x:v>2.90625</x:v>
      </x:c>
      <x:c r="J74" s="76" t="n">
        <x:f>IF(A74,I74*$F$5/$J$5,"")</x:f>
        <x:v>2.90625</x:v>
      </x:c>
      <x:c r="K74" s="76" t="n">
        <x:f>IF(A74,MAX(I74,J74)*2^30/(J24*1e6),"")</x:f>
        <x:v>0.65011712</x:v>
      </x:c>
      <x:c r="L74" s="76" t="n">
        <x:f>IF(A74,B74/$B$9,"")</x:f>
        <x:v>4000</x:v>
      </x:c>
      <x:c r="M74" s="77" t="n">
        <x:f>IF(A74,K74/L74,"")</x:f>
        <x:v>0.00016252928</x:v>
      </x:c>
      <x:c r="N74" s="76" t="n">
        <x:f>IF(A74,(E24*ROUNDUP(K24/D24,0)*G24*(B24-1)/B24*(ROUNDUP((ROUNDUP(F24*2/32,0)*32+32)/480,0)*512+F24*2+32)+E24*ROUNDUP(H24/B24,0)*(B24-1)*32)/1e9,"")</x:f>
        <x:v>1.96146</x:v>
      </x:c>
      <x:c r="O74" s="76" t="n">
        <x:f>IF(A74,N74*1000/I24,"")</x:f>
        <x:v>0.4086375</x:v>
      </x:c>
      <x:c r="P74" s="76" t="n">
        <x:f>IF(A74,O74/E24,"")</x:f>
        <x:v>0.0054485</x:v>
      </x:c>
      <x:c r="Q74" s="76" t="n">
        <x:f>IF(A74,N74*1000/C74,"")</x:f>
        <x:v>98.07300000000001</x:v>
      </x:c>
      <x:c r="R74" s="76" t="n">
        <x:f>IF(W74="估算",IF(OR(K74=0,O74=0),0,1-((E24-1)*MAX(0,(C74-O74)/E24-(K74))+MAX(0,L74-((E24-1)*C74/E24+P74)-(K74)))/L74),"")</x:f>
        <x:v>0.005097224738333184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9.834760826776236e-8</x:v>
      </x:c>
      <x:c r="U74" s="76" t="n">
        <x:f>IF(A74,60000/C74,"")</x:f>
        <x:v>3000</x:v>
      </x:c>
      <x:c r="V74" s="76" t="n">
        <x:f>IF(W74="估算",U74*E24*T74*M24*N24,"")</x:f>
        <x:v>0.02212821186024653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0.48758784000000005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IF(A75,M92,"")</x:f>
        <x:v>1.453125</x:v>
      </x:c>
      <x:c r="E75" s="76" t="n">
        <x:f>IF(A75,B24/C24,"")</x:f>
        <x:v>32</x:v>
      </x:c>
      <x:c r="F75" s="76" t="n">
        <x:f>IF(A75,B24/D24,"")</x:f>
        <x:v>256</x:v>
      </x:c>
      <x:c r="G75" s="76" t="n">
        <x:f>IF(A75,$F$5*E75*$B$5*60000/B75,"")</x:f>
        <x:v>7680</x:v>
      </x:c>
      <x:c r="H75" s="76" t="n">
        <x:f>IF(A75,G75/($J$5*F75),"")</x:f>
        <x:v>30</x:v>
      </x:c>
      <x:c r="I75" s="76" t="n">
        <x:f>IF(A75,$B$5*D75/C24/$B$9,"")</x:f>
        <x:v>2.90625</x:v>
      </x:c>
      <x:c r="J75" s="76" t="n">
        <x:f>IF(A75,I75*$F$5/$J$5,"")</x:f>
        <x:v>2.90625</x:v>
      </x:c>
      <x:c r="K75" s="76" t="n">
        <x:f>IF(A75,MAX(I75,J75)*2^30/(J24*1e6),"")</x:f>
        <x:v>0.65011712</x:v>
      </x:c>
      <x:c r="L75" s="76" t="n">
        <x:f>IF(A75,B75/$B$9,"")</x:f>
        <x:v>4000</x:v>
      </x:c>
      <x:c r="M75" s="77" t="n">
        <x:f>IF(A75,K75/L75,"")</x:f>
        <x:v>0.00016252928</x:v>
      </x:c>
      <x:c r="N75" s="76" t="n">
        <x:f>IF(A75,(E24*ROUNDUP(K24/D24,0)*G24*(B24-1)/B24*(ROUNDUP((ROUNDUP(F24*2/32,0)*32+32)/480,0)*512+F24*2+32)+E24*ROUNDUP(H24/B24,0)*(B24-1)*32)/1e9,"")</x:f>
        <x:v>1.96146</x:v>
      </x:c>
      <x:c r="O75" s="76" t="n">
        <x:f>IF(A75,N75*1000/I24,"")</x:f>
        <x:v>0.4086375</x:v>
      </x:c>
      <x:c r="P75" s="76" t="n">
        <x:f>IF(A75,O75/E24,"")</x:f>
        <x:v>0.0054485</x:v>
      </x:c>
      <x:c r="Q75" s="76" t="n">
        <x:f>IF(A75,N75*1000/C75,"")</x:f>
        <x:v>65.382</x:v>
      </x:c>
      <x:c r="R75" s="76" t="n">
        <x:f>IF(W75="估算",IF(OR(K75=0,O75=0),0,1-((E24-1)*MAX(0,(C75-O75)/E24-(K75))+MAX(0,L75-((E24-1)*C75/E24+P75)-(K75)))/L75),"")</x:f>
        <x:v>0.007563891404999912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9.834760826776236e-8</x:v>
      </x:c>
      <x:c r="U75" s="76" t="n">
        <x:f>IF(A75,60000/C75,"")</x:f>
        <x:v>2000</x:v>
      </x:c>
      <x:c r="V75" s="76" t="n">
        <x:f>IF(W75="估算",U75*E24*T75*M24*N24,"")</x:f>
        <x:v>0.014752141240164354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0.32505856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IF(A76,M95,"")</x:f>
        <x:v>23.25</x:v>
      </x:c>
      <x:c r="E76" s="76" t="n">
        <x:f>IF(A76,B24/C24,"")</x:f>
        <x:v>32</x:v>
      </x:c>
      <x:c r="F76" s="76" t="n">
        <x:f>IF(A76,B24/D24,"")</x:f>
        <x:v>256</x:v>
      </x:c>
      <x:c r="G76" s="76" t="n">
        <x:f>IF(A76,$F$5*E76*$B$5*60000/B76,"")</x:f>
        <x:v>1536</x:v>
      </x:c>
      <x:c r="H76" s="76" t="n">
        <x:f>IF(A76,G76/($J$5*F76),"")</x:f>
        <x:v>6</x:v>
      </x:c>
      <x:c r="I76" s="76" t="n">
        <x:f>IF(A76,$B$5*D76/C24/$B$9,"")</x:f>
        <x:v>46.5</x:v>
      </x:c>
      <x:c r="J76" s="76" t="n">
        <x:f>IF(A76,I76*$F$5/$J$5,"")</x:f>
        <x:v>46.5</x:v>
      </x:c>
      <x:c r="K76" s="76" t="n">
        <x:f>IF(A76,MAX(I76,J76)*2^30/(J24*1e6),"")</x:f>
        <x:v>10.40187392</x:v>
      </x:c>
      <x:c r="L76" s="76" t="n">
        <x:f>IF(A76,B76/$B$9,"")</x:f>
        <x:v>20000</x:v>
      </x:c>
      <x:c r="M76" s="77" t="n">
        <x:f>IF(A76,K76/L76,"")</x:f>
        <x:v>0.000520093696</x:v>
      </x:c>
      <x:c r="N76" s="76" t="n">
        <x:f>IF(A76,(E24*ROUNDUP(K24/D24,0)*G24*(B24-1)/B24*(ROUNDUP((ROUNDUP(F24*2/32,0)*32+32)/480,0)*512+F24*2+32)+E24*ROUNDUP(H24/B24,0)*(B24-1)*32)/1e9,"")</x:f>
        <x:v>1.96146</x:v>
      </x:c>
      <x:c r="O76" s="76" t="n">
        <x:f>IF(A76,N76*1000/I24,"")</x:f>
        <x:v>0.4086375</x:v>
      </x:c>
      <x:c r="P76" s="76" t="n">
        <x:f>IF(A76,O76/E24,"")</x:f>
        <x:v>0.0054485</x:v>
      </x:c>
      <x:c r="Q76" s="76" t="n">
        <x:f>IF(A76,N76*1000/C76,"")</x:f>
        <x:v>392.29200000000003</x:v>
      </x:c>
      <x:c r="R76" s="76" t="n">
        <x:f>IF(W76="估算",IF(OR(K76=0,O76=0),0,1-((E24-1)*MAX(0,(C76-O76)/E24-(K76))+MAX(0,L76-((E24-1)*C76/E24+P76)-(K76)))/L76),"")</x:f>
        <x:v>0.000767032787666766</x:v>
      </x:c>
      <x:c r="S76" s="76" t="n">
        <x:f>IF(W76="估算",IF(O76=0,0,MAX(0,1-(1-((E24-1)*MAX(0,(C76-O76)/E24-(L76-K76))+MAX(0,L76-((E24-1)*C76/E24+P76)-(L76-K76)))/L76))),"")</x:f>
        <x:v>0.0002731546043333033</x:v>
      </x:c>
      <x:c r="T76" s="76" t="n">
        <x:f>IF(W76="估算",IF(OR(P76=0,K76=0,$J$7=0),0,IF(P76&lt;=(1-$J$7)*K76,$J$7*P76*K76/(1-$J$7)-$J$7^2*P76^2/(2*(1-$J$7)^2),$J$7*P76*K76+$J$7^2*K76^2/2)/L76),"")</x:f>
        <x:v>3.148497823468858e-7</x:v>
      </x:c>
      <x:c r="U76" s="76" t="n">
        <x:f>IF(A76,60000/C76,"")</x:f>
        <x:v>12000</x:v>
      </x:c>
      <x:c r="V76" s="76" t="n">
        <x:f>IF(W76="估算",U76*E24*T76*M24*N24,"")</x:f>
        <x:v>0.2833648041121972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6.241124352000001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IF(A77,M95,"")</x:f>
        <x:v>23.25</x:v>
      </x:c>
      <x:c r="E77" s="76" t="n">
        <x:f>IF(A77,B24/C24,"")</x:f>
        <x:v>32</x:v>
      </x:c>
      <x:c r="F77" s="76" t="n">
        <x:f>IF(A77,B24/D24,"")</x:f>
        <x:v>256</x:v>
      </x:c>
      <x:c r="G77" s="76" t="n">
        <x:f>IF(A77,$F$5*E77*$B$5*60000/B77,"")</x:f>
        <x:v>1536</x:v>
      </x:c>
      <x:c r="H77" s="76" t="n">
        <x:f>IF(A77,G77/($J$5*F77),"")</x:f>
        <x:v>6</x:v>
      </x:c>
      <x:c r="I77" s="76" t="n">
        <x:f>IF(A77,$B$5*D77/C24/$B$9,"")</x:f>
        <x:v>46.5</x:v>
      </x:c>
      <x:c r="J77" s="76" t="n">
        <x:f>IF(A77,I77*$F$5/$J$5,"")</x:f>
        <x:v>46.5</x:v>
      </x:c>
      <x:c r="K77" s="76" t="n">
        <x:f>IF(A77,MAX(I77,J77)*2^30/(J24*1e6),"")</x:f>
        <x:v>10.40187392</x:v>
      </x:c>
      <x:c r="L77" s="76" t="n">
        <x:f>IF(A77,B77/$B$9,"")</x:f>
        <x:v>20000</x:v>
      </x:c>
      <x:c r="M77" s="77" t="n">
        <x:f>IF(A77,K77/L77,"")</x:f>
        <x:v>0.000520093696</x:v>
      </x:c>
      <x:c r="N77" s="76" t="n">
        <x:f>IF(A77,(E24*ROUNDUP(K24/D24,0)*G24*(B24-1)/B24*(ROUNDUP((ROUNDUP(F24*2/32,0)*32+32)/480,0)*512+F24*2+32)+E24*ROUNDUP(H24/B24,0)*(B24-1)*32)/1e9,"")</x:f>
        <x:v>1.96146</x:v>
      </x:c>
      <x:c r="O77" s="76" t="n">
        <x:f>IF(A77,N77*1000/I24,"")</x:f>
        <x:v>0.4086375</x:v>
      </x:c>
      <x:c r="P77" s="76" t="n">
        <x:f>IF(A77,O77/E24,"")</x:f>
        <x:v>0.0054485</x:v>
      </x:c>
      <x:c r="Q77" s="76" t="n">
        <x:f>IF(A77,N77*1000/C77,"")</x:f>
        <x:v>196.14600000000002</x:v>
      </x:c>
      <x:c r="R77" s="76" t="n">
        <x:f>IF(W77="估算",IF(OR(K77=0,O77=0),0,1-((E24-1)*MAX(0,(C77-O77)/E24-(K77))+MAX(0,L77-((E24-1)*C77/E24+P77)-(K77)))/L77),"")</x:f>
        <x:v>0.0010136994543332722</x:v>
      </x:c>
      <x:c r="S77" s="76" t="n">
        <x:f>IF(W77="估算",IF(O77=0,0,MAX(0,1-(1-((E24-1)*MAX(0,(C77-O77)/E24-(L77-K77))+MAX(0,L77-((E24-1)*C77/E24+P77)-(L77-K77)))/L77))),"")</x:f>
        <x:v>0.000026487937666797023</x:v>
      </x:c>
      <x:c r="T77" s="76" t="n">
        <x:f>IF(W77="估算",IF(OR(P77=0,K77=0,$J$7=0),0,IF(P77&lt;=(1-$J$7)*K77,$J$7*P77*K77/(1-$J$7)-$J$7^2*P77^2/(2*(1-$J$7)^2),$J$7*P77*K77+$J$7^2*K77^2/2)/L77),"")</x:f>
        <x:v>3.148497823468858e-7</x:v>
      </x:c>
      <x:c r="U77" s="76" t="n">
        <x:f>IF(A77,60000/C77,"")</x:f>
        <x:v>6000</x:v>
      </x:c>
      <x:c r="V77" s="76" t="n">
        <x:f>IF(W77="估算",U77*E24*T77*M24*N24,"")</x:f>
        <x:v>0.1416824020560986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3.1205621760000004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IF(A78,M95,"")</x:f>
        <x:v>23.25</x:v>
      </x:c>
      <x:c r="E78" s="76" t="n">
        <x:f>IF(A78,B24/C24,"")</x:f>
        <x:v>32</x:v>
      </x:c>
      <x:c r="F78" s="76" t="n">
        <x:f>IF(A78,B24/D24,"")</x:f>
        <x:v>256</x:v>
      </x:c>
      <x:c r="G78" s="76" t="n">
        <x:f>IF(A78,$F$5*E78*$B$5*60000/B78,"")</x:f>
        <x:v>1536</x:v>
      </x:c>
      <x:c r="H78" s="76" t="n">
        <x:f>IF(A78,G78/($J$5*F78),"")</x:f>
        <x:v>6</x:v>
      </x:c>
      <x:c r="I78" s="76" t="n">
        <x:f>IF(A78,$B$5*D78/C24/$B$9,"")</x:f>
        <x:v>46.5</x:v>
      </x:c>
      <x:c r="J78" s="76" t="n">
        <x:f>IF(A78,I78*$F$5/$J$5,"")</x:f>
        <x:v>46.5</x:v>
      </x:c>
      <x:c r="K78" s="76" t="n">
        <x:f>IF(A78,MAX(I78,J78)*2^30/(J24*1e6),"")</x:f>
        <x:v>10.40187392</x:v>
      </x:c>
      <x:c r="L78" s="76" t="n">
        <x:f>IF(A78,B78/$B$9,"")</x:f>
        <x:v>20000</x:v>
      </x:c>
      <x:c r="M78" s="77" t="n">
        <x:f>IF(A78,K78/L78,"")</x:f>
        <x:v>0.000520093696</x:v>
      </x:c>
      <x:c r="N78" s="76" t="n">
        <x:f>IF(A78,(E24*ROUNDUP(K24/D24,0)*G24*(B24-1)/B24*(ROUNDUP((ROUNDUP(F24*2/32,0)*32+32)/480,0)*512+F24*2+32)+E24*ROUNDUP(H24/B24,0)*(B24-1)*32)/1e9,"")</x:f>
        <x:v>1.96146</x:v>
      </x:c>
      <x:c r="O78" s="76" t="n">
        <x:f>IF(A78,N78*1000/I24,"")</x:f>
        <x:v>0.4086375</x:v>
      </x:c>
      <x:c r="P78" s="76" t="n">
        <x:f>IF(A78,O78/E24,"")</x:f>
        <x:v>0.0054485</x:v>
      </x:c>
      <x:c r="Q78" s="76" t="n">
        <x:f>IF(A78,N78*1000/C78,"")</x:f>
        <x:v>98.07300000000001</x:v>
      </x:c>
      <x:c r="R78" s="76" t="n">
        <x:f>IF(W78="估算",IF(OR(K78=0,O78=0),0,1-((E24-1)*MAX(0,(C78-O78)/E24-(K78))+MAX(0,L78-((E24-1)*C78/E24+P78)-(K78)))/L78),"")</x:f>
        <x:v>0.0015070327876667289</x:v>
      </x:c>
      <x:c r="S78" s="76" t="n">
        <x:f>IF(W78="估算",IF(O78=0,0,MAX(0,1-(1-((E24-1)*MAX(0,(C78-O78)/E24-(L78-K78))+MAX(0,L78-((E24-1)*C78/E24+P78)-(L78-K78)))/L78))),"")</x:f>
        <x:v>0</x:v>
      </x:c>
      <x:c r="T78" s="76" t="n">
        <x:f>IF(W78="估算",IF(OR(P78=0,K78=0,$J$7=0),0,IF(P78&lt;=(1-$J$7)*K78,$J$7*P78*K78/(1-$J$7)-$J$7^2*P78^2/(2*(1-$J$7)^2),$J$7*P78*K78+$J$7^2*K78^2/2)/L78),"")</x:f>
        <x:v>3.148497823468858e-7</x:v>
      </x:c>
      <x:c r="U78" s="76" t="n">
        <x:f>IF(A78,60000/C78,"")</x:f>
        <x:v>3000</x:v>
      </x:c>
      <x:c r="V78" s="76" t="n">
        <x:f>IF(W78="估算",U78*E24*T78*M24*N24,"")</x:f>
        <x:v>0.0708412010280493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1.5602810880000002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IF(A79,M95,"")</x:f>
        <x:v>23.25</x:v>
      </x:c>
      <x:c r="E79" s="76" t="n">
        <x:f>IF(A79,B24/C24,"")</x:f>
        <x:v>32</x:v>
      </x:c>
      <x:c r="F79" s="76" t="n">
        <x:f>IF(A79,B24/D24,"")</x:f>
        <x:v>256</x:v>
      </x:c>
      <x:c r="G79" s="76" t="n">
        <x:f>IF(A79,$F$5*E79*$B$5*60000/B79,"")</x:f>
        <x:v>1536</x:v>
      </x:c>
      <x:c r="H79" s="76" t="n">
        <x:f>IF(A79,G79/($J$5*F79),"")</x:f>
        <x:v>6</x:v>
      </x:c>
      <x:c r="I79" s="76" t="n">
        <x:f>IF(A79,$B$5*D79/C24/$B$9,"")</x:f>
        <x:v>46.5</x:v>
      </x:c>
      <x:c r="J79" s="76" t="n">
        <x:f>IF(A79,I79*$F$5/$J$5,"")</x:f>
        <x:v>46.5</x:v>
      </x:c>
      <x:c r="K79" s="76" t="n">
        <x:f>IF(A79,MAX(I79,J79)*2^30/(J24*1e6),"")</x:f>
        <x:v>10.40187392</x:v>
      </x:c>
      <x:c r="L79" s="76" t="n">
        <x:f>IF(A79,B79/$B$9,"")</x:f>
        <x:v>20000</x:v>
      </x:c>
      <x:c r="M79" s="77" t="n">
        <x:f>IF(A79,K79/L79,"")</x:f>
        <x:v>0.000520093696</x:v>
      </x:c>
      <x:c r="N79" s="76" t="n">
        <x:f>IF(A79,(E24*ROUNDUP(K24/D24,0)*G24*(B24-1)/B24*(ROUNDUP((ROUNDUP(F24*2/32,0)*32+32)/480,0)*512+F24*2+32)+E24*ROUNDUP(H24/B24,0)*(B24-1)*32)/1e9,"")</x:f>
        <x:v>1.96146</x:v>
      </x:c>
      <x:c r="O79" s="76" t="n">
        <x:f>IF(A79,N79*1000/I24,"")</x:f>
        <x:v>0.4086375</x:v>
      </x:c>
      <x:c r="P79" s="76" t="n">
        <x:f>IF(A79,O79/E24,"")</x:f>
        <x:v>0.0054485</x:v>
      </x:c>
      <x:c r="Q79" s="76" t="n">
        <x:f>IF(A79,N79*1000/C79,"")</x:f>
        <x:v>65.382</x:v>
      </x:c>
      <x:c r="R79" s="76" t="n">
        <x:f>IF(W79="估算",IF(OR(K79=0,O79=0),0,1-((E24-1)*MAX(0,(C79-O79)/E24-(K79))+MAX(0,L79-((E24-1)*C79/E24+P79)-(K79)))/L79),"")</x:f>
        <x:v>0.0020003661209999635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3.148497823468858e-7</x:v>
      </x:c>
      <x:c r="U79" s="76" t="n">
        <x:f>IF(A79,60000/C79,"")</x:f>
        <x:v>2000</x:v>
      </x:c>
      <x:c r="V79" s="76" t="n">
        <x:f>IF(W79="估算",U79*E24*T79*M24*N24,"")</x:f>
        <x:v>0.04722746735203287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1.040187392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IF(A80,M98,"")</x:f>
        <x:v>93</x:v>
      </x:c>
      <x:c r="E80" s="76" t="n">
        <x:f>IF(A80,B24/C24,"")</x:f>
        <x:v>32</x:v>
      </x:c>
      <x:c r="F80" s="76" t="n">
        <x:f>IF(A80,B24/D24,"")</x:f>
        <x:v>256</x:v>
      </x:c>
      <x:c r="G80" s="76" t="n">
        <x:f>IF(A80,$F$5*E80*$B$5*60000/B80,"")</x:f>
        <x:v>512</x:v>
      </x:c>
      <x:c r="H80" s="76" t="n">
        <x:f>IF(A80,G80/($J$5*F80),"")</x:f>
        <x:v>2</x:v>
      </x:c>
      <x:c r="I80" s="76" t="n">
        <x:f>IF(A80,$B$5*D80/C24/$B$9,"")</x:f>
        <x:v>186</x:v>
      </x:c>
      <x:c r="J80" s="76" t="n">
        <x:f>IF(A80,I80*$F$5/$J$5,"")</x:f>
        <x:v>186</x:v>
      </x:c>
      <x:c r="K80" s="76" t="n">
        <x:f>IF(A80,MAX(I80,J80)*2^30/(J24*1e6),"")</x:f>
        <x:v>41.60749568</x:v>
      </x:c>
      <x:c r="L80" s="76" t="n">
        <x:f>IF(A80,B80/$B$9,"")</x:f>
        <x:v>60000</x:v>
      </x:c>
      <x:c r="M80" s="77" t="n">
        <x:f>IF(A80,K80/L80,"")</x:f>
        <x:v>0.0006934582613333333</x:v>
      </x:c>
      <x:c r="N80" s="76" t="n">
        <x:f>IF(A80,(E24*ROUNDUP(K24/D24,0)*G24*(B24-1)/B24*(ROUNDUP((ROUNDUP(F24*2/32,0)*32+32)/480,0)*512+F24*2+32)+E24*ROUNDUP(H24/B24,0)*(B24-1)*32)/1e9,"")</x:f>
        <x:v>1.96146</x:v>
      </x:c>
      <x:c r="O80" s="76" t="n">
        <x:f>IF(A80,N80*1000/I24,"")</x:f>
        <x:v>0.4086375</x:v>
      </x:c>
      <x:c r="P80" s="76" t="n">
        <x:f>IF(A80,O80/E24,"")</x:f>
        <x:v>0.0054485</x:v>
      </x:c>
      <x:c r="Q80" s="76" t="n">
        <x:f>IF(A80,N80*1000/C80,"")</x:f>
        <x:v>392.29200000000003</x:v>
      </x:c>
      <x:c r="R80" s="76" t="n">
        <x:f>IF(W80="估算",IF(OR(K80=0,O80=0),0,1-((E24-1)*MAX(0,(C80-O80)/E24-(K80))+MAX(0,L80-((E24-1)*C80/E24+P80)-(K80)))/L80),"")</x:f>
        <x:v>0.0007757712918888826</x:v>
      </x:c>
      <x:c r="S80" s="76" t="n">
        <x:f>IF(W80="估算",IF(O80=0,0,MAX(0,1-(1-((E24-1)*MAX(0,(C80-O80)/E24-(L80-K80))+MAX(0,L80-((E24-1)*C80/E24+P80)-(L80-K80)))/L80))),"")</x:f>
        <x:v>0.0006111452307777654</x:v>
      </x:c>
      <x:c r="T80" s="76" t="n">
        <x:f>IF(W80="估算",IF(OR(P80=0,K80=0,$J$7=0),0,IF(P80&lt;=(1-$J$7)*K80,$J$7*P80*K80/(1-$J$7)-$J$7^2*P80^2/(2*(1-$J$7)^2),$J$7*P80*K80+$J$7^2*K80^2/2)/L80),"")</x:f>
        <x:v>4.1980887218851754e-7</x:v>
      </x:c>
      <x:c r="U80" s="76" t="n">
        <x:f>IF(A80,60000/C80,"")</x:f>
        <x:v>12000</x:v>
      </x:c>
      <x:c r="V80" s="76" t="n">
        <x:f>IF(W80="估算",U80*E24*T80*M24*N24,"")</x:f>
        <x:v>0.3778279849696658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8.321499136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IF(A81,M98,"")</x:f>
        <x:v>93</x:v>
      </x:c>
      <x:c r="E81" s="76" t="n">
        <x:f>IF(A81,B24/C24,"")</x:f>
        <x:v>32</x:v>
      </x:c>
      <x:c r="F81" s="76" t="n">
        <x:f>IF(A81,B24/D24,"")</x:f>
        <x:v>256</x:v>
      </x:c>
      <x:c r="G81" s="76" t="n">
        <x:f>IF(A81,$F$5*E81*$B$5*60000/B81,"")</x:f>
        <x:v>512</x:v>
      </x:c>
      <x:c r="H81" s="76" t="n">
        <x:f>IF(A81,G81/($J$5*F81),"")</x:f>
        <x:v>2</x:v>
      </x:c>
      <x:c r="I81" s="76" t="n">
        <x:f>IF(A81,$B$5*D81/C24/$B$9,"")</x:f>
        <x:v>186</x:v>
      </x:c>
      <x:c r="J81" s="76" t="n">
        <x:f>IF(A81,I81*$F$5/$J$5,"")</x:f>
        <x:v>186</x:v>
      </x:c>
      <x:c r="K81" s="76" t="n">
        <x:f>IF(A81,MAX(I81,J81)*2^30/(J24*1e6),"")</x:f>
        <x:v>41.60749568</x:v>
      </x:c>
      <x:c r="L81" s="76" t="n">
        <x:f>IF(A81,B81/$B$9,"")</x:f>
        <x:v>60000</x:v>
      </x:c>
      <x:c r="M81" s="77" t="n">
        <x:f>IF(A81,K81/L81,"")</x:f>
        <x:v>0.0006934582613333333</x:v>
      </x:c>
      <x:c r="N81" s="76" t="n">
        <x:f>IF(A81,(E24*ROUNDUP(K24/D24,0)*G24*(B24-1)/B24*(ROUNDUP((ROUNDUP(F24*2/32,0)*32+32)/480,0)*512+F24*2+32)+E24*ROUNDUP(H24/B24,0)*(B24-1)*32)/1e9,"")</x:f>
        <x:v>1.96146</x:v>
      </x:c>
      <x:c r="O81" s="76" t="n">
        <x:f>IF(A81,N81*1000/I24,"")</x:f>
        <x:v>0.4086375</x:v>
      </x:c>
      <x:c r="P81" s="76" t="n">
        <x:f>IF(A81,O81/E24,"")</x:f>
        <x:v>0.0054485</x:v>
      </x:c>
      <x:c r="Q81" s="76" t="n">
        <x:f>IF(A81,N81*1000/C81,"")</x:f>
        <x:v>196.14600000000002</x:v>
      </x:c>
      <x:c r="R81" s="76" t="n">
        <x:f>IF(W81="估算",IF(OR(K81=0,O81=0),0,1-((E24-1)*MAX(0,(C81-O81)/E24-(K81))+MAX(0,L81-((E24-1)*C81/E24+P81)-(K81)))/L81),"")</x:f>
        <x:v>0.0008579935141111994</x:v>
      </x:c>
      <x:c r="S81" s="76" t="n">
        <x:f>IF(W81="估算",IF(O81=0,0,MAX(0,1-(1-((E24-1)*MAX(0,(C81-O81)/E24-(L81-K81))+MAX(0,L81-((E24-1)*C81/E24+P81)-(L81-K81)))/L81))),"")</x:f>
        <x:v>0.0005289230085555596</x:v>
      </x:c>
      <x:c r="T81" s="76" t="n">
        <x:f>IF(W81="估算",IF(OR(P81=0,K81=0,$J$7=0),0,IF(P81&lt;=(1-$J$7)*K81,$J$7*P81*K81/(1-$J$7)-$J$7^2*P81^2/(2*(1-$J$7)^2),$J$7*P81*K81+$J$7^2*K81^2/2)/L81),"")</x:f>
        <x:v>4.1980887218851754e-7</x:v>
      </x:c>
      <x:c r="U81" s="76" t="n">
        <x:f>IF(A81,60000/C81,"")</x:f>
        <x:v>6000</x:v>
      </x:c>
      <x:c r="V81" s="76" t="n">
        <x:f>IF(W81="估算",U81*E24*T81*M24*N24,"")</x:f>
        <x:v>0.1889139924848329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4.160749568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IF(A82,M98,"")</x:f>
        <x:v>93</x:v>
      </x:c>
      <x:c r="E82" s="76" t="n">
        <x:f>IF(A82,B24/C24,"")</x:f>
        <x:v>32</x:v>
      </x:c>
      <x:c r="F82" s="76" t="n">
        <x:f>IF(A82,B24/D24,"")</x:f>
        <x:v>256</x:v>
      </x:c>
      <x:c r="G82" s="76" t="n">
        <x:f>IF(A82,$F$5*E82*$B$5*60000/B82,"")</x:f>
        <x:v>512</x:v>
      </x:c>
      <x:c r="H82" s="76" t="n">
        <x:f>IF(A82,G82/($J$5*F82),"")</x:f>
        <x:v>2</x:v>
      </x:c>
      <x:c r="I82" s="76" t="n">
        <x:f>IF(A82,$B$5*D82/C24/$B$9,"")</x:f>
        <x:v>186</x:v>
      </x:c>
      <x:c r="J82" s="76" t="n">
        <x:f>IF(A82,I82*$F$5/$J$5,"")</x:f>
        <x:v>186</x:v>
      </x:c>
      <x:c r="K82" s="76" t="n">
        <x:f>IF(A82,MAX(I82,J82)*2^30/(J24*1e6),"")</x:f>
        <x:v>41.60749568</x:v>
      </x:c>
      <x:c r="L82" s="76" t="n">
        <x:f>IF(A82,B82/$B$9,"")</x:f>
        <x:v>60000</x:v>
      </x:c>
      <x:c r="M82" s="77" t="n">
        <x:f>IF(A82,K82/L82,"")</x:f>
        <x:v>0.0006934582613333333</x:v>
      </x:c>
      <x:c r="N82" s="76" t="n">
        <x:f>IF(A82,(E24*ROUNDUP(K24/D24,0)*G24*(B24-1)/B24*(ROUNDUP((ROUNDUP(F24*2/32,0)*32+32)/480,0)*512+F24*2+32)+E24*ROUNDUP(H24/B24,0)*(B24-1)*32)/1e9,"")</x:f>
        <x:v>1.96146</x:v>
      </x:c>
      <x:c r="O82" s="76" t="n">
        <x:f>IF(A82,N82*1000/I24,"")</x:f>
        <x:v>0.4086375</x:v>
      </x:c>
      <x:c r="P82" s="76" t="n">
        <x:f>IF(A82,O82/E24,"")</x:f>
        <x:v>0.0054485</x:v>
      </x:c>
      <x:c r="Q82" s="76" t="n">
        <x:f>IF(A82,N82*1000/C82,"")</x:f>
        <x:v>98.07300000000001</x:v>
      </x:c>
      <x:c r="R82" s="76" t="n">
        <x:f>IF(W82="估算",IF(OR(K82=0,O82=0),0,1-((E24-1)*MAX(0,(C82-O82)/E24-(K82))+MAX(0,L82-((E24-1)*C82/E24+P82)-(K82)))/L82),"")</x:f>
        <x:v>0.0010224379585555</x:v>
      </x:c>
      <x:c r="S82" s="76" t="n">
        <x:f>IF(W82="估算",IF(O82=0,0,MAX(0,1-(1-((E24-1)*MAX(0,(C82-O82)/E24-(L82-K82))+MAX(0,L82-((E24-1)*C82/E24+P82)-(L82-K82)))/L82))),"")</x:f>
        <x:v>0.0003644785641111481</x:v>
      </x:c>
      <x:c r="T82" s="76" t="n">
        <x:f>IF(W82="估算",IF(OR(P82=0,K82=0,$J$7=0),0,IF(P82&lt;=(1-$J$7)*K82,$J$7*P82*K82/(1-$J$7)-$J$7^2*P82^2/(2*(1-$J$7)^2),$J$7*P82*K82+$J$7^2*K82^2/2)/L82),"")</x:f>
        <x:v>4.1980887218851754e-7</x:v>
      </x:c>
      <x:c r="U82" s="76" t="n">
        <x:f>IF(A82,60000/C82,"")</x:f>
        <x:v>3000</x:v>
      </x:c>
      <x:c r="V82" s="76" t="n">
        <x:f>IF(W82="估算",U82*E24*T82*M24*N24,"")</x:f>
        <x:v>0.09445699624241645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2.080374784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IF(A83,M98,"")</x:f>
        <x:v>93</x:v>
      </x:c>
      <x:c r="E83" s="76" t="n">
        <x:f>IF(A83,B24/C24,"")</x:f>
        <x:v>32</x:v>
      </x:c>
      <x:c r="F83" s="76" t="n">
        <x:f>IF(A83,B24/D24,"")</x:f>
        <x:v>256</x:v>
      </x:c>
      <x:c r="G83" s="76" t="n">
        <x:f>IF(A83,$F$5*E83*$B$5*60000/B83,"")</x:f>
        <x:v>512</x:v>
      </x:c>
      <x:c r="H83" s="76" t="n">
        <x:f>IF(A83,G83/($J$5*F83),"")</x:f>
        <x:v>2</x:v>
      </x:c>
      <x:c r="I83" s="76" t="n">
        <x:f>IF(A83,$B$5*D83/C24/$B$9,"")</x:f>
        <x:v>186</x:v>
      </x:c>
      <x:c r="J83" s="76" t="n">
        <x:f>IF(A83,I83*$F$5/$J$5,"")</x:f>
        <x:v>186</x:v>
      </x:c>
      <x:c r="K83" s="76" t="n">
        <x:f>IF(A83,MAX(I83,J83)*2^30/(J24*1e6),"")</x:f>
        <x:v>41.60749568</x:v>
      </x:c>
      <x:c r="L83" s="76" t="n">
        <x:f>IF(A83,B83/$B$9,"")</x:f>
        <x:v>60000</x:v>
      </x:c>
      <x:c r="M83" s="77" t="n">
        <x:f>IF(A83,K83/L83,"")</x:f>
        <x:v>0.0006934582613333333</x:v>
      </x:c>
      <x:c r="N83" s="76" t="n">
        <x:f>IF(A83,(E24*ROUNDUP(K24/D24,0)*G24*(B24-1)/B24*(ROUNDUP((ROUNDUP(F24*2/32,0)*32+32)/480,0)*512+F24*2+32)+E24*ROUNDUP(H24/B24,0)*(B24-1)*32)/1e9,"")</x:f>
        <x:v>1.96146</x:v>
      </x:c>
      <x:c r="O83" s="76" t="n">
        <x:f>IF(A83,N83*1000/I24,"")</x:f>
        <x:v>0.4086375</x:v>
      </x:c>
      <x:c r="P83" s="76" t="n">
        <x:f>IF(A83,O83/E24,"")</x:f>
        <x:v>0.0054485</x:v>
      </x:c>
      <x:c r="Q83" s="76" t="n">
        <x:f>IF(A83,N83*1000/C83,"")</x:f>
        <x:v>65.382</x:v>
      </x:c>
      <x:c r="R83" s="76" t="n">
        <x:f>IF(W83="估算",IF(OR(K83=0,O83=0),0,1-((E24-1)*MAX(0,(C83-O83)/E24-(K83))+MAX(0,L83-((E24-1)*C83/E24+P83)-(K83)))/L83),"")</x:f>
        <x:v>0.0011868824030000225</x:v>
      </x:c>
      <x:c r="S83" s="76" t="n">
        <x:f>IF(W83="估算",IF(O83=0,0,MAX(0,1-(1-((E24-1)*MAX(0,(C83-O83)/E24-(L83-K83))+MAX(0,L83-((E24-1)*C83/E24+P83)-(L83-K83)))/L83))),"")</x:f>
        <x:v>0.00020003411966673657</x:v>
      </x:c>
      <x:c r="T83" s="76" t="n">
        <x:f>IF(W83="估算",IF(OR(P83=0,K83=0,$J$7=0),0,IF(P83&lt;=(1-$J$7)*K83,$J$7*P83*K83/(1-$J$7)-$J$7^2*P83^2/(2*(1-$J$7)^2),$J$7*P83*K83+$J$7^2*K83^2/2)/L83),"")</x:f>
        <x:v>4.1980887218851754e-7</x:v>
      </x:c>
      <x:c r="U83" s="76" t="n">
        <x:f>IF(A83,60000/C83,"")</x:f>
        <x:v>2000</x:v>
      </x:c>
      <x:c r="V83" s="76" t="n">
        <x:f>IF(W83="估算",U83*E24*T83*M24*N24,"")</x:f>
        <x:v>0.06297133082827763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1.3869165226666667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GLM5.3</x:v>
      </x:c>
      <x:c r="B90" s="30" t="n">
        <x:f>$B$15</x:f>
        <x:v>16384</x:v>
      </x:c>
      <x:c r="C90" s="79" t="str">
        <x:v>MLA / BF16</x:v>
      </x:c>
      <x:c r="D90" s="30" t="n">
        <x:v>78</x:v>
      </x:c>
      <x:c r="E90" s="30" t="n">
        <x:v>1152</x:v>
      </x:c>
      <x:c r="F90" s="30" t="n">
        <x:v>8</x:v>
      </x:c>
      <x:c r="G90" s="30" t="n">
        <x:v>1</x:v>
      </x:c>
      <x:c r="H90" s="30" t="n">
        <x:f>IF(AND(ISNUMBER($B$15),$B$15&gt;=2,MOD($B$15,1)=0,OR($N$9=32,$N$9=64,$N$9=128),ISNUMBER($B$11),$B$11&gt;=0,MOD($B$11,1)=0),INT($B$15/1),"")</x:f>
        <x:v>16384</x:v>
      </x:c>
      <x:c r="I90" s="30" t="n">
        <x:f>IF(AND(ISNUMBER($B$15),$B$15&gt;=2,MOD($B$15,1)=0,OR($N$9=32,$N$9=64,$N$9=128),ISNUMBER($B$11),$B$11&gt;=0,MOD($B$11,1)=0),INT($B$15/1),"")</x:f>
        <x:v>16384</x:v>
      </x:c>
      <x:c r="J90" s="30" t="n">
        <x:f>IF(AND(ISNUMBER($B$15),$B$15&gt;=2,MOD($B$15,1)=0,OR($N$9=32,$N$9=64,$N$9=128),ISNUMBER($B$11),$B$11&gt;=0,MOD($B$11,1)=0),ROUNDUP($B$15/(1*$N$9),0)*$N$9,"")</x:f>
        <x:v>16384</x:v>
      </x:c>
      <x:c r="K90" s="76" t="n">
        <x:f>IF(AND(ISNUMBER($B$15),$B$15&gt;=2,MOD($B$15,1)=0,OR($N$9=32,$N$9=64,$N$9=128),ISNUMBER($B$11),$B$11&gt;=0,MOD($B$11,1)=0),D90*E90*F90*H90/2^30,"")</x:f>
        <x:v>10.96875</x:v>
      </x:c>
      <x:c r="L90" s="76" t="n">
        <x:f>IF(AND(ISNUMBER($B$15),$B$15&gt;=2,MOD($B$15,1)=0,OR($N$9=32,$N$9=64,$N$9=128),ISNUMBER($B$11),$B$11&gt;=0,MOD($B$11,1)=0),D90*E90*F90*I90/2^30,"")</x:f>
        <x:v>10.96875</x:v>
      </x:c>
      <x:c r="M90" s="76" t="n">
        <x:f>IF(AND(ISNUMBER($B$15),$B$15&gt;=2,MOD($B$15,1)=0,OR($N$9=32,$N$9=64,$N$9=128),ISNUMBER($B$11),$B$11&gt;=0,MOD($B$11,1)=0),D90*E90*G90*J90/2^30,"")</x:f>
        <x:v>1.37109375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GLM5.3</x:v>
      </x:c>
      <x:c r="B91" s="30" t="n">
        <x:f>$B$15</x:f>
        <x:v>16384</x:v>
      </x:c>
      <x:c r="C91" s="79" t="str">
        <x:v>Indexer / BF16</x:v>
      </x:c>
      <x:c r="D91" s="30" t="n">
        <x:v>21</x:v>
      </x:c>
      <x:c r="E91" s="30" t="n">
        <x:v>256</x:v>
      </x:c>
      <x:c r="F91" s="30" t="n">
        <x:v>8</x:v>
      </x:c>
      <x:c r="G91" s="30" t="n">
        <x:v>1</x:v>
      </x:c>
      <x:c r="H91" s="30" t="n">
        <x:f>IF(AND(ISNUMBER($B$15),$B$15&gt;=2,MOD($B$15,1)=0,OR($N$9=32,$N$9=64,$N$9=128),ISNUMBER($B$11),$B$11&gt;=0,MOD($B$11,1)=0),INT($B$15/1),"")</x:f>
        <x:v>16384</x:v>
      </x:c>
      <x:c r="I91" s="30" t="n">
        <x:f>IF(AND(ISNUMBER($B$15),$B$15&gt;=2,MOD($B$15,1)=0,OR($N$9=32,$N$9=64,$N$9=128),ISNUMBER($B$11),$B$11&gt;=0,MOD($B$11,1)=0),INT($B$15/1),"")</x:f>
        <x:v>16384</x:v>
      </x:c>
      <x:c r="J91" s="30" t="n">
        <x:f>IF(AND(ISNUMBER($B$15),$B$15&gt;=2,MOD($B$15,1)=0,OR($N$9=32,$N$9=64,$N$9=128),ISNUMBER($B$11),$B$11&gt;=0,MOD($B$11,1)=0),ROUNDUP($B$15/(1*$N$9),0)*$N$9,"")</x:f>
        <x:v>16384</x:v>
      </x:c>
      <x:c r="K91" s="76" t="n">
        <x:f>IF(AND(ISNUMBER($B$15),$B$15&gt;=2,MOD($B$15,1)=0,OR($N$9=32,$N$9=64,$N$9=128),ISNUMBER($B$11),$B$11&gt;=0,MOD($B$11,1)=0),D91*E91*F91*H91/2^30,"")</x:f>
        <x:v>0.65625</x:v>
      </x:c>
      <x:c r="L91" s="76" t="n">
        <x:f>IF(AND(ISNUMBER($B$15),$B$15&gt;=2,MOD($B$15,1)=0,OR($N$9=32,$N$9=64,$N$9=128),ISNUMBER($B$11),$B$11&gt;=0,MOD($B$11,1)=0),D91*E91*F91*I91/2^30,"")</x:f>
        <x:v>0.65625</x:v>
      </x:c>
      <x:c r="M91" s="76" t="n">
        <x:f>IF(AND(ISNUMBER($B$15),$B$15&gt;=2,MOD($B$15,1)=0,OR($N$9=32,$N$9=64,$N$9=128),ISNUMBER($B$11),$B$11&gt;=0,MOD($B$11,1)=0),D91*E91*G91*J91/2^30,"")</x:f>
        <x:v>0.08203125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40" t="str">
        <x:v>GLM5.3</x:v>
      </x:c>
      <x:c r="B92" s="40" t="n">
        <x:f>$B$15</x:f>
        <x:v>16384</x:v>
      </x:c>
      <x:c r="C92" s="80" t="str">
        <x:v>每请求合计</x:v>
      </x:c>
      <x:c r="D92" s="40"/>
      <x:c r="E92" s="40"/>
      <x:c r="F92" s="40"/>
      <x:c r="G92" s="40"/>
      <x:c r="H92" s="40"/>
      <x:c r="I92" s="40"/>
      <x:c r="J92" s="40"/>
      <x:c r="K92" s="78" t="n">
        <x:f>SUM(K90:K91)</x:f>
        <x:v>11.625</x:v>
      </x:c>
      <x:c r="L92" s="78" t="n">
        <x:f>SUM(L90:L91)</x:f>
        <x:v>11.625</x:v>
      </x:c>
      <x:c r="M92" s="78" t="n">
        <x:f>SUM(M90:M91)</x:f>
        <x:v>1.453125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30" t="str">
        <x:v>GLM5.3</x:v>
      </x:c>
      <x:c r="B93" s="30" t="n">
        <x:f>$B$16</x:f>
        <x:v>262144</x:v>
      </x:c>
      <x:c r="C93" s="79" t="str">
        <x:v>MLA / BF16</x:v>
      </x:c>
      <x:c r="D93" s="30" t="n">
        <x:v>78</x:v>
      </x:c>
      <x:c r="E93" s="30" t="n">
        <x:v>1152</x:v>
      </x:c>
      <x:c r="F93" s="30" t="n">
        <x:v>8</x:v>
      </x:c>
      <x:c r="G93" s="30" t="n">
        <x:v>1</x:v>
      </x:c>
      <x:c r="H93" s="30" t="n">
        <x:f>IF(AND(ISNUMBER($B$16),$B$16&gt;=2,MOD($B$16,1)=0,OR($N$9=32,$N$9=64,$N$9=128),ISNUMBER($B$11),$B$11&gt;=0,MOD($B$11,1)=0),INT($B$16/1),"")</x:f>
        <x:v>262144</x:v>
      </x:c>
      <x:c r="I93" s="30" t="n">
        <x:f>IF(AND(ISNUMBER($B$16),$B$16&gt;=2,MOD($B$16,1)=0,OR($N$9=32,$N$9=64,$N$9=128),ISNUMBER($B$11),$B$11&gt;=0,MOD($B$11,1)=0),INT($B$16/1),"")</x:f>
        <x:v>262144</x:v>
      </x:c>
      <x:c r="J93" s="30" t="n">
        <x:f>IF(AND(ISNUMBER($B$16),$B$16&gt;=2,MOD($B$16,1)=0,OR($N$9=32,$N$9=64,$N$9=128),ISNUMBER($B$11),$B$11&gt;=0,MOD($B$11,1)=0),ROUNDUP($B$16/(1*$N$9),0)*$N$9,"")</x:f>
        <x:v>262144</x:v>
      </x:c>
      <x:c r="K93" s="76" t="n">
        <x:f>IF(AND(ISNUMBER($B$16),$B$16&gt;=2,MOD($B$16,1)=0,OR($N$9=32,$N$9=64,$N$9=128),ISNUMBER($B$11),$B$11&gt;=0,MOD($B$11,1)=0),D93*E93*F93*H93/2^30,"")</x:f>
        <x:v>175.5</x:v>
      </x:c>
      <x:c r="L93" s="76" t="n">
        <x:f>IF(AND(ISNUMBER($B$16),$B$16&gt;=2,MOD($B$16,1)=0,OR($N$9=32,$N$9=64,$N$9=128),ISNUMBER($B$11),$B$11&gt;=0,MOD($B$11,1)=0),D93*E93*F93*I93/2^30,"")</x:f>
        <x:v>175.5</x:v>
      </x:c>
      <x:c r="M93" s="76" t="n">
        <x:f>IF(AND(ISNUMBER($B$16),$B$16&gt;=2,MOD($B$16,1)=0,OR($N$9=32,$N$9=64,$N$9=128),ISNUMBER($B$11),$B$11&gt;=0,MOD($B$11,1)=0),D93*E93*G93*J93/2^30,"")</x:f>
        <x:v>21.9375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GLM5.3</x:v>
      </x:c>
      <x:c r="B94" s="30" t="n">
        <x:f>$B$16</x:f>
        <x:v>262144</x:v>
      </x:c>
      <x:c r="C94" s="79" t="str">
        <x:v>Indexer / BF16</x:v>
      </x:c>
      <x:c r="D94" s="30" t="n">
        <x:v>21</x:v>
      </x:c>
      <x:c r="E94" s="30" t="n">
        <x:v>256</x:v>
      </x:c>
      <x:c r="F94" s="30" t="n">
        <x:v>8</x:v>
      </x:c>
      <x:c r="G94" s="30" t="n">
        <x:v>1</x:v>
      </x:c>
      <x:c r="H94" s="30" t="n">
        <x:f>IF(AND(ISNUMBER($B$16),$B$16&gt;=2,MOD($B$16,1)=0,OR($N$9=32,$N$9=64,$N$9=128),ISNUMBER($B$11),$B$11&gt;=0,MOD($B$11,1)=0),INT($B$16/1),"")</x:f>
        <x:v>262144</x:v>
      </x:c>
      <x:c r="I94" s="30" t="n">
        <x:f>IF(AND(ISNUMBER($B$16),$B$16&gt;=2,MOD($B$16,1)=0,OR($N$9=32,$N$9=64,$N$9=128),ISNUMBER($B$11),$B$11&gt;=0,MOD($B$11,1)=0),INT($B$16/1),"")</x:f>
        <x:v>262144</x:v>
      </x:c>
      <x:c r="J94" s="30" t="n">
        <x:f>IF(AND(ISNUMBER($B$16),$B$16&gt;=2,MOD($B$16,1)=0,OR($N$9=32,$N$9=64,$N$9=128),ISNUMBER($B$11),$B$11&gt;=0,MOD($B$11,1)=0),ROUNDUP($B$16/(1*$N$9),0)*$N$9,"")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10.5</x:v>
      </x:c>
      <x:c r="L94" s="76" t="n">
        <x:f>IF(AND(ISNUMBER($B$16),$B$16&gt;=2,MOD($B$16,1)=0,OR($N$9=32,$N$9=64,$N$9=128),ISNUMBER($B$11),$B$11&gt;=0,MOD($B$11,1)=0),D94*E94*F94*I94/2^30,"")</x:f>
        <x:v>10.5</x:v>
      </x:c>
      <x:c r="M94" s="76" t="n">
        <x:f>IF(AND(ISNUMBER($B$16),$B$16&gt;=2,MOD($B$16,1)=0,OR($N$9=32,$N$9=64,$N$9=128),ISNUMBER($B$11),$B$11&gt;=0,MOD($B$11,1)=0),D94*E94*G94*J94/2^30,"")</x:f>
        <x:v>1.3125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40" t="str">
        <x:v>GLM5.3</x:v>
      </x:c>
      <x:c r="B95" s="40" t="n">
        <x:f>$B$16</x:f>
        <x:v>262144</x:v>
      </x:c>
      <x:c r="C95" s="80" t="str">
        <x:v>每请求合计</x:v>
      </x:c>
      <x:c r="D95" s="40"/>
      <x:c r="E95" s="40"/>
      <x:c r="F95" s="40"/>
      <x:c r="G95" s="40"/>
      <x:c r="H95" s="40"/>
      <x:c r="I95" s="40"/>
      <x:c r="J95" s="40"/>
      <x:c r="K95" s="78" t="n">
        <x:f>SUM(K93:K94)</x:f>
        <x:v>186</x:v>
      </x:c>
      <x:c r="L95" s="78" t="n">
        <x:f>SUM(L93:L94)</x:f>
        <x:v>186</x:v>
      </x:c>
      <x:c r="M95" s="78" t="n">
        <x:f>SUM(M93:M94)</x:f>
        <x:v>23.25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GLM5.3</x:v>
      </x:c>
      <x:c r="B96" s="30" t="n">
        <x:f>$B$17</x:f>
        <x:v>1048576</x:v>
      </x:c>
      <x:c r="C96" s="79" t="str">
        <x:v>MLA / BF16</x:v>
      </x:c>
      <x:c r="D96" s="30" t="n">
        <x:v>78</x:v>
      </x:c>
      <x:c r="E96" s="30" t="n">
        <x:v>1152</x:v>
      </x:c>
      <x:c r="F96" s="30" t="n">
        <x:v>8</x:v>
      </x:c>
      <x:c r="G96" s="30" t="n">
        <x:v>1</x:v>
      </x:c>
      <x:c r="H96" s="30" t="n">
        <x:f>IF(AND(ISNUMBER($B$17),$B$17&gt;=2,MOD($B$17,1)=0,OR($N$9=32,$N$9=64,$N$9=128),ISNUMBER($B$11),$B$11&gt;=0,MOD($B$11,1)=0),INT($B$17/1),"")</x:f>
        <x:v>1048576</x:v>
      </x:c>
      <x:c r="I96" s="30" t="n">
        <x:f>IF(AND(ISNUMBER($B$17),$B$17&gt;=2,MOD($B$17,1)=0,OR($N$9=32,$N$9=64,$N$9=128),ISNUMBER($B$11),$B$11&gt;=0,MOD($B$11,1)=0),INT($B$17/1),"")</x:f>
        <x:v>1048576</x:v>
      </x:c>
      <x:c r="J96" s="30" t="n">
        <x:f>IF(AND(ISNUMBER($B$17),$B$17&gt;=2,MOD($B$17,1)=0,OR($N$9=32,$N$9=64,$N$9=128),ISNUMBER($B$11),$B$11&gt;=0,MOD($B$11,1)=0),ROUNDUP($B$17/(1*$N$9),0)*$N$9,"")</x:f>
        <x:v>1048576</x:v>
      </x:c>
      <x:c r="K96" s="76" t="n">
        <x:f>IF(AND(ISNUMBER($B$17),$B$17&gt;=2,MOD($B$17,1)=0,OR($N$9=32,$N$9=64,$N$9=128),ISNUMBER($B$11),$B$11&gt;=0,MOD($B$11,1)=0),D96*E96*F96*H96/2^30,"")</x:f>
        <x:v>702</x:v>
      </x:c>
      <x:c r="L96" s="76" t="n">
        <x:f>IF(AND(ISNUMBER($B$17),$B$17&gt;=2,MOD($B$17,1)=0,OR($N$9=32,$N$9=64,$N$9=128),ISNUMBER($B$11),$B$11&gt;=0,MOD($B$11,1)=0),D96*E96*F96*I96/2^30,"")</x:f>
        <x:v>702</x:v>
      </x:c>
      <x:c r="M96" s="76" t="n">
        <x:f>IF(AND(ISNUMBER($B$17),$B$17&gt;=2,MOD($B$17,1)=0,OR($N$9=32,$N$9=64,$N$9=128),ISNUMBER($B$11),$B$11&gt;=0,MOD($B$11,1)=0),D96*E96*G96*J96/2^30,"")</x:f>
        <x:v>87.75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30" t="str">
        <x:v>GLM5.3</x:v>
      </x:c>
      <x:c r="B97" s="30" t="n">
        <x:f>$B$17</x:f>
        <x:v>1048576</x:v>
      </x:c>
      <x:c r="C97" s="79" t="str">
        <x:v>Indexer / BF16</x:v>
      </x:c>
      <x:c r="D97" s="30" t="n">
        <x:v>21</x:v>
      </x:c>
      <x:c r="E97" s="30" t="n">
        <x:v>256</x:v>
      </x:c>
      <x:c r="F97" s="30" t="n">
        <x:v>8</x:v>
      </x:c>
      <x:c r="G97" s="30" t="n">
        <x:v>1</x:v>
      </x:c>
      <x:c r="H97" s="30" t="n">
        <x:f>IF(AND(ISNUMBER($B$17),$B$17&gt;=2,MOD($B$17,1)=0,OR($N$9=32,$N$9=64,$N$9=128),ISNUMBER($B$11),$B$11&gt;=0,MOD($B$11,1)=0),INT($B$17/1),"")</x:f>
        <x:v>1048576</x:v>
      </x:c>
      <x:c r="I97" s="30" t="n">
        <x:f>IF(AND(ISNUMBER($B$17),$B$17&gt;=2,MOD($B$17,1)=0,OR($N$9=32,$N$9=64,$N$9=128),ISNUMBER($B$11),$B$11&gt;=0,MOD($B$11,1)=0),INT($B$17/1),"")</x:f>
        <x:v>1048576</x:v>
      </x:c>
      <x:c r="J97" s="30" t="n">
        <x:f>IF(AND(ISNUMBER($B$17),$B$17&gt;=2,MOD($B$17,1)=0,OR($N$9=32,$N$9=64,$N$9=128),ISNUMBER($B$11),$B$11&gt;=0,MOD($B$11,1)=0),ROUNDUP($B$17/(1*$N$9),0)*$N$9,"")</x:f>
        <x:v>1048576</x:v>
      </x:c>
      <x:c r="K97" s="76" t="n">
        <x:f>IF(AND(ISNUMBER($B$17),$B$17&gt;=2,MOD($B$17,1)=0,OR($N$9=32,$N$9=64,$N$9=128),ISNUMBER($B$11),$B$11&gt;=0,MOD($B$11,1)=0),D97*E97*F97*H97/2^30,"")</x:f>
        <x:v>42</x:v>
      </x:c>
      <x:c r="L97" s="76" t="n">
        <x:f>IF(AND(ISNUMBER($B$17),$B$17&gt;=2,MOD($B$17,1)=0,OR($N$9=32,$N$9=64,$N$9=128),ISNUMBER($B$11),$B$11&gt;=0,MOD($B$11,1)=0),D97*E97*F97*I97/2^30,"")</x:f>
        <x:v>42</x:v>
      </x:c>
      <x:c r="M97" s="76" t="n">
        <x:f>IF(AND(ISNUMBER($B$17),$B$17&gt;=2,MOD($B$17,1)=0,OR($N$9=32,$N$9=64,$N$9=128),ISNUMBER($B$11),$B$11&gt;=0,MOD($B$11,1)=0),D97*E97*G97*J97/2^30,"")</x:f>
        <x:v>5.25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40" t="str">
        <x:v>GLM5.3</x:v>
      </x:c>
      <x:c r="B98" s="40" t="n">
        <x:f>$B$17</x:f>
        <x:v>1048576</x:v>
      </x:c>
      <x:c r="C98" s="80" t="str">
        <x:v>每请求合计</x:v>
      </x:c>
      <x:c r="D98" s="40"/>
      <x:c r="E98" s="40"/>
      <x:c r="F98" s="40"/>
      <x:c r="G98" s="40"/>
      <x:c r="H98" s="40"/>
      <x:c r="I98" s="40"/>
      <x:c r="J98" s="40"/>
      <x:c r="K98" s="78" t="n">
        <x:f>SUM(K96:K97)</x:f>
        <x:v>744</x:v>
      </x:c>
      <x:c r="L98" s="78" t="n">
        <x:f>SUM(L96:L97)</x:f>
        <x:v>744</x:v>
      </x:c>
      <x:c r="M98" s="78" t="n">
        <x:f>SUM(M96:M97)</x:f>
        <x:v>93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/>
      <x:c r="B99" s="30"/>
      <x:c r="C99" s="79"/>
      <x:c r="D99" s="30"/>
      <x:c r="E99" s="30"/>
      <x:c r="F99" s="30"/>
      <x:c r="G99" s="30"/>
      <x:c r="H99" s="30"/>
      <x:c r="I99" s="30"/>
      <x:c r="J99" s="30"/>
      <x:c r="K99" s="76"/>
      <x:c r="L99" s="76"/>
      <x:c r="M99" s="76"/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22" customHeight="1">
      <x:c r="A100" s="30"/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  <x:c r="M100" s="30"/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22" customHeight="1">
      <x:c r="A101" s="30"/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  <x:c r="M101" s="30"/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22" customHeight="1">
      <x:c r="A102" s="30" t="str">
        <x:v>来源：库内 config.json、analysis/KV-EP-SPECS.md、analysis/PD-MINUTE.md；V4.1 为既有 KV 规划量。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  <x:c r="M102" s="30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 t="str">
        <x:v>MC2：A3 FullMesh BF16；均衡路由。未计 TP / Attention / Engram、通信启动和真实排队，未复现 NPU 实测。</x:v>
      </x:c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/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