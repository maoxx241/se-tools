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beb0a00cd346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fill" sheetId="1" r:id="R808b538ff19444ba"/>
    <x:sheet xmlns:r="http://schemas.openxmlformats.org/officeDocument/2006/relationships" name="Decode" sheetId="2" r:id="Rbac5f2fc42374a55"/>
    <x:sheet xmlns:r="http://schemas.openxmlformats.org/officeDocument/2006/relationships" name="分钟场景" sheetId="3" r:id="Ra1460851042d45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200" formatCode="0.##"/>
    <x:numFmt numFmtId="201" formatCode="0.0000"/>
    <x:numFmt numFmtId="202" formatCode="#,##0.####"/>
    <x:numFmt numFmtId="203" formatCode="0.000000"/>
    <x:numFmt numFmtId="204" formatCode="0.0%"/>
    <x:numFmt numFmtId="205" formatCode="0.000"/>
    <x:numFmt numFmtId="206" formatCode="0.00%"/>
    <x:numFmt numFmtId="207" formatCode="0%"/>
    <x:numFmt numFmtId="208" formatCode="#,##0"/>
    <x:numFmt numFmtId="209" formatCode="#,##0.00"/>
    <x:numFmt numFmtId="210" formatCode="#,##0.000"/>
    <x:numFmt numFmtId="211" formatCode="#,##0.000000"/>
    <x:numFmt numFmtId="212" formatCode="0.000000%"/>
  </x:numFmts>
  <x:fonts count="5">
    <x:font>
      <x:sz val="11"/>
      <x:name val="Carlito"/>
    </x:font>
    <x:font>
      <x:b/>
      <x:sz val="10"/>
      <x:color rgb="FF000000"/>
      <x:name val="Arial"/>
    </x:font>
    <x:font>
      <x:b/>
      <x:sz val="11"/>
      <x:name val="Carlito"/>
    </x:font>
    <x:font>
      <x:sz val="10"/>
      <x:color rgb="FF000000"/>
      <x:name val="Arial"/>
    </x:font>
    <x:font>
      <x:b/>
      <x:sz val="14"/>
      <x:color rgb="FF000000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E8EEF5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D9E2F3"/>
      </x:patternFill>
    </x:fill>
  </x:fills>
  <x:borders count="3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0" fontId="0" fillId="3" borderId="2" xfId="0" applyNumberFormat="1" applyFont="1" applyFill="1" applyBorder="1"/>
    <x:xf numFmtId="200" fontId="0" fillId="3" borderId="2" xfId="0" applyNumberFormat="1" applyFont="1" applyFill="1" applyBorder="1"/>
    <x:xf numFmtId="0" fontId="0" fillId="4" borderId="2" xfId="0" applyNumberFormat="1" applyFont="1" applyFill="1" applyBorder="1"/>
    <x:xf numFmtId="200" fontId="0" fillId="4" borderId="2" xfId="0" applyNumberFormat="1" applyFont="1" applyFill="1" applyBorder="1"/>
    <x:xf numFmtId="201" fontId="0" fillId="4" borderId="2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202" fontId="0" fillId="3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3" fontId="2" fillId="0" borderId="0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2" fontId="3" fillId="3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2" xfId="0" applyNumberFormat="1" applyFont="1" applyFill="1" applyBorder="1"/>
    <x:xf numFmtId="200" fontId="3" fillId="3" borderId="2" xfId="0" applyNumberFormat="1" applyFont="1" applyFill="1" applyBorder="1"/>
    <x:xf numFmtId="200" fontId="3" fillId="4" borderId="2" xfId="0" applyNumberFormat="1" applyFont="1" applyFill="1" applyBorder="1"/>
    <x:xf numFmtId="0" fontId="3" fillId="3" borderId="2" xfId="0" applyNumberFormat="1" applyFont="1" applyFill="1" applyBorder="1"/>
    <x:xf numFmtId="201" fontId="3" fillId="4" borderId="2" xfId="0" applyNumberFormat="1" applyFont="1" applyFill="1" applyBorder="1"/>
    <x:xf numFmtId="0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202" fontId="3" fillId="3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200" fontId="3" fillId="3" borderId="2" xfId="0" applyNumberFormat="1" applyFont="1" applyFill="1" applyBorder="1" applyAlignment="1">
      <x:alignment vertical="center"/>
    </x:xf>
    <x:xf numFmtId="200" fontId="3" fillId="4" borderId="2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201" fontId="3" fillId="4" borderId="2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204" fontId="3" fillId="0" borderId="0" xfId="0" applyNumberFormat="1" applyFont="1" applyFill="1" applyBorder="1" applyAlignment="1">
      <x:alignment vertical="center"/>
    </x:xf>
    <x:xf numFmtId="204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3" fontId="3" fillId="6" borderId="0" xfId="0" applyNumberFormat="1" applyFont="1" applyFill="1" applyBorder="1" applyAlignment="1">
      <x:alignment vertical="center"/>
    </x:xf>
    <x:xf numFmtId="207" fontId="3" fillId="6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203" fontId="3" fillId="7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204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3" fontId="3" fillId="3" borderId="0" xfId="0" applyNumberFormat="1" applyFont="1" applyFill="1" applyBorder="1" applyAlignment="1">
      <x:alignment vertical="center"/>
    </x:xf>
    <x:xf numFmtId="207" fontId="3" fillId="3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204" fontId="3" fillId="3" borderId="2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vertical="center"/>
    </x:xf>
    <x:xf numFmtId="0" fontId="3" fillId="9" borderId="0" xfId="0" applyNumberFormat="1" applyFont="1" applyFill="1" applyBorder="1" applyAlignment="1">
      <x:alignment vertical="center"/>
    </x:xf>
    <x:xf numFmtId="208" fontId="3" fillId="9" borderId="0" xfId="0" applyNumberFormat="1" applyFont="1" applyFill="1" applyBorder="1" applyAlignment="1">
      <x:alignment vertical="center"/>
    </x:xf>
    <x:xf numFmtId="209" fontId="3" fillId="9" borderId="0" xfId="0" applyNumberFormat="1" applyFont="1" applyFill="1" applyBorder="1" applyAlignment="1">
      <x:alignment vertical="center"/>
    </x:xf>
    <x:xf numFmtId="204" fontId="3" fillId="9" borderId="0" xfId="0" applyNumberFormat="1" applyFont="1" applyFill="1" applyBorder="1" applyAlignment="1">
      <x:alignment vertical="center"/>
    </x:xf>
    <x:xf numFmtId="0" fontId="3" fillId="10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0" fontId="1" fillId="10" borderId="1" xfId="0" applyNumberFormat="1" applyFont="1" applyFill="1" applyBorder="1" applyAlignment="1">
      <x:alignment vertical="center"/>
    </x:xf>
    <x:xf numFmtId="0" fontId="1" fillId="10" borderId="1" xfId="0" applyNumberFormat="1" applyFont="1" applyFill="1" applyBorder="1" applyAlignment="1">
      <x:alignment vertical="center" wrapText="1"/>
    </x:xf>
    <x:xf numFmtId="0" fontId="1" fillId="10" borderId="1" xfId="0" applyNumberFormat="1" applyFont="1" applyFill="1" applyBorder="1" applyAlignment="1">
      <x:alignment horizontal="center" vertical="center" wrapText="1"/>
    </x:xf>
    <x:xf numFmtId="208" fontId="3" fillId="0" borderId="0" xfId="0" applyNumberFormat="1" applyFont="1" applyFill="1" applyBorder="1" applyAlignment="1">
      <x:alignment vertical="center"/>
    </x:xf>
    <x:xf numFmtId="210" fontId="3" fillId="0" borderId="0" xfId="0" applyNumberFormat="1" applyFont="1" applyFill="1" applyBorder="1" applyAlignment="1">
      <x:alignment vertical="center"/>
    </x:xf>
    <x:xf numFmtId="211" fontId="3" fillId="0" borderId="0" xfId="0" applyNumberFormat="1" applyFont="1" applyFill="1" applyBorder="1" applyAlignment="1">
      <x:alignment vertical="center"/>
    </x:xf>
    <x:xf numFmtId="212" fontId="3" fillId="0" borderId="0" xfId="0" applyNumberFormat="1" applyFont="1" applyFill="1" applyBorder="1" applyAlignment="1">
      <x:alignment vertical="center"/>
    </x:xf>
    <x:xf numFmtId="211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6">
    <x:dxf>
      <x:font>
        <x:color rgb="FFA32020"/>
      </x:font>
      <x:fill>
        <x:patternFill>
          <x:bgColor rgb="FFFDE9E7"/>
        </x:patternFill>
      </x:fill>
    </x:dxf>
    <x:dxf>
      <x:font>
        <x:color rgb="FFA32020"/>
      </x:font>
      <x:fill>
        <x:patternFill>
          <x:bgColor rgb="FFFDE9E7"/>
        </x:patternFill>
      </x:fill>
    </x:dxf>
    <x:dxf>
      <x:font>
        <x:color rgb="FFA32020"/>
      </x:font>
      <x:fill>
        <x:patternFill>
          <x:bgColor rgb="FFFDE9E7"/>
        </x:patternFill>
      </x:fill>
    </x:dxf>
    <x:dxf>
      <x:font>
        <x:color rgb="FFA32020"/>
      </x:font>
      <x:fill>
        <x:patternFill>
          <x:bgColor rgb="FFFDE9E7"/>
        </x:patternFill>
      </x:fill>
    </x:dxf>
    <x:dxf>
      <x:font>
        <x:color rgb="FFA32020"/>
      </x:font>
      <x:fill>
        <x:patternFill>
          <x:bgColor rgb="FFFDE9E7"/>
        </x:patternFill>
      </x:fill>
    </x:dxf>
    <x:dxf>
      <x:font>
        <x:color rgb="FFA32020"/>
      </x:font>
      <x:fill>
        <x:patternFill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c8108a3a7246c0" /><Relationship Type="http://schemas.openxmlformats.org/officeDocument/2006/relationships/theme" Target="/xl/theme/theme1.xml" Id="Rbcd6e1a885964d5d" /><Relationship Type="http://schemas.openxmlformats.org/officeDocument/2006/relationships/sharedStrings" Target="/xl/sharedStrings.xml" Id="R33e9b85c00414f45" /><Relationship Type="http://schemas.openxmlformats.org/officeDocument/2006/relationships/worksheet" Target="/xl/worksheets/sheet1.xml" Id="R808b538ff19444ba" /><Relationship Type="http://schemas.openxmlformats.org/officeDocument/2006/relationships/worksheet" Target="/xl/worksheets/sheet2.xml" Id="Rbac5f2fc42374a55" /><Relationship Type="http://schemas.openxmlformats.org/officeDocument/2006/relationships/worksheet" Target="/xl/worksheets/sheet3.xml" Id="Ra1460851042d45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4" hidden="0" customWidth="1"/>
    <x:col min="4" max="4" width="1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0" hidden="0" customWidth="1"/>
    <x:col min="11" max="11" width="20" hidden="0" customWidth="1"/>
    <x:col min="12" max="12" width="20" hidden="0" customWidth="1"/>
    <x:col min="13" max="13" width="3" hidden="0" customWidth="1"/>
    <x:col min="14" max="14" width="3" hidden="0" customWidth="1"/>
    <x:col min="15" max="15" width="34" hidden="0" customWidth="1"/>
    <x:col min="16" max="16" width="18" hidden="0" customWidth="1"/>
  </x:cols>
  <x:sheetData>
    <x:row r="1" ht="30" customHeight="1">
      <x:c r="A1" s="18" t="str">
        <x:v>模块</x:v>
      </x:c>
      <x:c r="B1" s="18" t="str">
        <x:v>权重 / Tensor</x:v>
      </x:c>
      <x:c r="C1" s="18" t="str">
        <x:v>shape</x:v>
      </x:c>
      <x:c r="D1" s="18" t="str">
        <x:v>dtype</x:v>
      </x:c>
      <x:c r="E1" s="18" t="str">
        <x:v>字节/元素</x:v>
      </x:c>
      <x:c r="F1" s="18" t="str">
        <x:v>数量</x:v>
      </x:c>
      <x:c r="G1" s="18" t="str">
        <x:v>单个 Tensor 元素数</x:v>
      </x:c>
      <x:c r="H1" s="18" t="str">
        <x:v>切分方式</x:v>
      </x:c>
      <x:c r="I1" s="18" t="str">
        <x:v>切分份数</x:v>
      </x:c>
      <x:c r="J1" s="18" t="str">
        <x:v>总权重 GiB</x:v>
      </x:c>
      <x:c r="K1" s="18" t="str">
        <x:v>单 Rank 权重 GiB</x:v>
      </x:c>
      <x:c r="L1" s="30"/>
      <x:c r="M1" s="30"/>
      <x:c r="N1" s="30"/>
      <x:c r="O1" s="31" t="str">
        <x:v>请求参数</x:v>
      </x:c>
      <x:c r="P1" s="31"/>
    </x:row>
    <x:row r="2">
      <x:c r="A2" s="30" t="str">
        <x:v>Embedding</x:v>
      </x:c>
      <x:c r="B2" s="30" t="str">
        <x:v>embed.weight</x:v>
      </x:c>
      <x:c r="C2" s="30" t="str">
        <x:v>[129280, 7168]</x:v>
      </x:c>
      <x:c r="D2" s="30" t="str">
        <x:v>BF16</x:v>
      </x:c>
      <x:c r="E2" s="32" t="n">
        <x:v>2</x:v>
      </x:c>
      <x:c r="F2" s="33" t="n">
        <x:v>1</x:v>
      </x:c>
      <x:c r="G2" s="33" t="n">
        <x:v>926679040</x:v>
      </x:c>
      <x:c r="H2" s="33" t="str">
        <x:v>Embedding TP</x:v>
      </x:c>
      <x:c r="I2" s="33" t="n">
        <x:f>IF('Prefill'!$P$21&gt;0,'Prefill'!$P$21,'Prefill'!$P$12)</x:f>
        <x:v>8</x:v>
      </x:c>
      <x:c r="J2" s="34" t="n">
        <x:f>E2*F2*G2/1073741824</x:f>
        <x:v>1.72607421875</x:v>
      </x:c>
      <x:c r="K2" s="34" t="n">
        <x:f>J2/I2</x:f>
        <x:v>0.21575927734375</x:v>
      </x:c>
      <x:c r="L2" s="30"/>
      <x:c r="M2" s="30"/>
      <x:c r="N2" s="30"/>
      <x:c r="O2" s="35" t="str">
        <x:v>max_num_batched_tokens</x:v>
      </x:c>
      <x:c r="P2" s="36" t="n">
        <x:v>8192</x:v>
      </x:c>
    </x:row>
    <x:row r="3">
      <x:c r="A3" s="30" t="str">
        <x:v>LM Head</x:v>
      </x:c>
      <x:c r="B3" s="30" t="str">
        <x:v>head.weight</x:v>
      </x:c>
      <x:c r="C3" s="30" t="str">
        <x:v>[129280, 7168]</x:v>
      </x:c>
      <x:c r="D3" s="30" t="str">
        <x:v>BF16</x:v>
      </x:c>
      <x:c r="E3" s="32" t="n">
        <x:v>2</x:v>
      </x:c>
      <x:c r="F3" s="33" t="n">
        <x:v>1</x:v>
      </x:c>
      <x:c r="G3" s="33" t="n">
        <x:v>926679040</x:v>
      </x:c>
      <x:c r="H3" s="33" t="str">
        <x:v>LM Head TP</x:v>
      </x:c>
      <x:c r="I3" s="33" t="n">
        <x:f>IF('Prefill'!$P$20&gt;0,'Prefill'!$P$20,'Prefill'!$P$12)</x:f>
        <x:v>8</x:v>
      </x:c>
      <x:c r="J3" s="34" t="n">
        <x:f>E3*F3*G3/1073741824</x:f>
        <x:v>1.72607421875</x:v>
      </x:c>
      <x:c r="K3" s="34" t="n">
        <x:f>J3/I3</x:f>
        <x:v>0.21575927734375</x:v>
      </x:c>
      <x:c r="L3" s="30"/>
      <x:c r="M3" s="30"/>
      <x:c r="N3" s="30"/>
      <x:c r="O3" s="35" t="str">
        <x:v>max_num_seqs</x:v>
      </x:c>
      <x:c r="P3" s="36" t="n">
        <x:v>128</x:v>
      </x:c>
    </x:row>
    <x:row r="4">
      <x:c r="A4" s="30" t="str">
        <x:v>Backbone</x:v>
      </x:c>
      <x:c r="B4" s="30" t="str">
        <x:v>norm.weight</x:v>
      </x:c>
      <x:c r="C4" s="30" t="str">
        <x:v>[7168]</x:v>
      </x:c>
      <x:c r="D4" s="30" t="str">
        <x:v>BF16</x:v>
      </x:c>
      <x:c r="E4" s="32" t="n">
        <x:v>2</x:v>
      </x:c>
      <x:c r="F4" s="33" t="n">
        <x:v>1</x:v>
      </x:c>
      <x:c r="G4" s="33" t="n">
        <x:v>7168</x:v>
      </x:c>
      <x:c r="H4" s="33" t="str">
        <x:v>Replicated</x:v>
      </x:c>
      <x:c r="I4" s="33" t="n">
        <x:f>1</x:f>
        <x:v>1</x:v>
      </x:c>
      <x:c r="J4" s="34" t="n">
        <x:f>E4*F4*G4/1073741824</x:f>
        <x:v>0.0000133514404296875</x:v>
      </x:c>
      <x:c r="K4" s="34" t="n">
        <x:f>J4/I4</x:f>
        <x:v>0.0000133514404296875</x:v>
      </x:c>
      <x:c r="L4" s="30"/>
      <x:c r="M4" s="30"/>
      <x:c r="N4" s="30"/>
      <x:c r="O4" s="35" t="str">
        <x:v>平均输入 Token 数</x:v>
      </x:c>
      <x:c r="P4" s="36" t="n">
        <x:v>4096</x:v>
      </x:c>
    </x:row>
    <x:row r="5">
      <x:c r="A5" s="30" t="str">
        <x:v>Backbone</x:v>
      </x:c>
      <x:c r="B5" s="30" t="str">
        <x:v>attn_norm.weight</x:v>
      </x:c>
      <x:c r="C5" s="30" t="str">
        <x:v>[7168]</x:v>
      </x:c>
      <x:c r="D5" s="30" t="str">
        <x:v>BF16</x:v>
      </x:c>
      <x:c r="E5" s="32" t="n">
        <x:v>2</x:v>
      </x:c>
      <x:c r="F5" s="33" t="n">
        <x:v>61</x:v>
      </x:c>
      <x:c r="G5" s="33" t="n">
        <x:v>7168</x:v>
      </x:c>
      <x:c r="H5" s="33" t="str">
        <x:v>Replicated</x:v>
      </x:c>
      <x:c r="I5" s="33" t="n">
        <x:f>1</x:f>
        <x:v>1</x:v>
      </x:c>
      <x:c r="J5" s="34" t="n">
        <x:f>E5*F5*G5/1073741824</x:f>
        <x:v>0.0008144378662109375</x:v>
      </x:c>
      <x:c r="K5" s="34" t="n">
        <x:f>J5/I5</x:f>
        <x:v>0.0008144378662109375</x:v>
      </x:c>
      <x:c r="L5" s="30"/>
      <x:c r="M5" s="30"/>
      <x:c r="N5" s="30"/>
      <x:c r="O5" s="35" t="str">
        <x:v>平均输出 Token 数</x:v>
      </x:c>
      <x:c r="P5" s="36" t="n">
        <x:v>1024</x:v>
      </x:c>
    </x:row>
    <x:row r="6">
      <x:c r="A6" s="30" t="str">
        <x:v>Backbone</x:v>
      </x:c>
      <x:c r="B6" s="30" t="str">
        <x:v>ffn_norm.weight</x:v>
      </x:c>
      <x:c r="C6" s="30" t="str">
        <x:v>[7168]</x:v>
      </x:c>
      <x:c r="D6" s="30" t="str">
        <x:v>BF16</x:v>
      </x:c>
      <x:c r="E6" s="32" t="n">
        <x:v>2</x:v>
      </x:c>
      <x:c r="F6" s="33" t="n">
        <x:v>61</x:v>
      </x:c>
      <x:c r="G6" s="33" t="n">
        <x:v>7168</x:v>
      </x:c>
      <x:c r="H6" s="33" t="str">
        <x:v>Replicated</x:v>
      </x:c>
      <x:c r="I6" s="33" t="n">
        <x:f>1</x:f>
        <x:v>1</x:v>
      </x:c>
      <x:c r="J6" s="34" t="n">
        <x:f>E6*F6*G6/1073741824</x:f>
        <x:v>0.0008144378662109375</x:v>
      </x:c>
      <x:c r="K6" s="34" t="n">
        <x:f>J6/I6</x:f>
        <x:v>0.0008144378662109375</x:v>
      </x:c>
      <x:c r="L6" s="30"/>
      <x:c r="M6" s="30"/>
      <x:c r="N6" s="30"/>
      <x:c r="O6" s="35" t="str">
        <x:v>投机采样步数</x:v>
      </x:c>
      <x:c r="P6" s="36" t="n">
        <x:v>0</x:v>
      </x:c>
    </x:row>
    <x:row r="7">
      <x:c r="A7" s="30" t="str">
        <x:v>DSA</x:v>
      </x:c>
      <x:c r="B7" s="30" t="str">
        <x:v>attn_sink</x:v>
      </x:c>
      <x:c r="C7" s="30" t="str">
        <x:v>[128]</x:v>
      </x:c>
      <x:c r="D7" s="30" t="str">
        <x:v>F32</x:v>
      </x:c>
      <x:c r="E7" s="32" t="n">
        <x:v>4</x:v>
      </x:c>
      <x:c r="F7" s="33" t="n">
        <x:v>61</x:v>
      </x:c>
      <x:c r="G7" s="33" t="n">
        <x:v>128</x:v>
      </x:c>
      <x:c r="H7" s="33" t="str">
        <x:v>DSA CP / TP</x:v>
      </x:c>
      <x:c r="I7" s="33" t="n">
        <x:f>IF('Prefill'!$P$25&lt;&gt;0,1,'Prefill'!$P$12)</x:f>
        <x:v>1</x:v>
      </x:c>
      <x:c r="J7" s="34" t="n">
        <x:f>E7*F7*G7/1073741824</x:f>
        <x:v>0.000029087066650390625</x:v>
      </x:c>
      <x:c r="K7" s="34" t="n">
        <x:f>J7/I7</x:f>
        <x:v>0.000029087066650390625</x:v>
      </x:c>
      <x:c r="L7" s="30"/>
      <x:c r="M7" s="30"/>
      <x:c r="N7" s="30"/>
      <x:c r="O7" s="35" t="str">
        <x:v>当前 Step Token 数</x:v>
      </x:c>
      <x:c r="P7" s="37" t="n">
        <x:f>MIN($P$2,$P$3*$P$4)</x:f>
        <x:v>8192</x:v>
      </x:c>
    </x:row>
    <x:row r="8">
      <x:c r="A8" s="30" t="str">
        <x:v>DSA</x:v>
      </x:c>
      <x:c r="B8" s="30" t="str">
        <x:v>wq_a.weight</x:v>
      </x:c>
      <x:c r="C8" s="30" t="str">
        <x:v>[1536, 7168]</x:v>
      </x:c>
      <x:c r="D8" s="30" t="str">
        <x:v>FP8 E4M3</x:v>
      </x:c>
      <x:c r="E8" s="32" t="n">
        <x:v>1</x:v>
      </x:c>
      <x:c r="F8" s="33" t="n">
        <x:v>61</x:v>
      </x:c>
      <x:c r="G8" s="33" t="n">
        <x:v>11010048</x:v>
      </x:c>
      <x:c r="H8" s="33" t="str">
        <x:v>Replicated</x:v>
      </x:c>
      <x:c r="I8" s="33" t="n">
        <x:f>1</x:f>
        <x:v>1</x:v>
      </x:c>
      <x:c r="J8" s="34" t="n">
        <x:f>E8*F8*G8/1073741824</x:f>
        <x:v>0.62548828125</x:v>
      </x:c>
      <x:c r="K8" s="34" t="n">
        <x:f>J8/I8</x:f>
        <x:v>0.62548828125</x:v>
      </x:c>
      <x:c r="L8" s="30"/>
      <x:c r="M8" s="30"/>
      <x:c r="N8" s="30"/>
      <x:c r="O8" s="35" t="str">
        <x:v>本 Step 采样行数</x:v>
      </x:c>
      <x:c r="P8" s="37" t="n">
        <x:f>MIN($P$3,$P$7)</x:f>
        <x:v>128</x:v>
      </x:c>
    </x:row>
    <x:row r="9">
      <x:c r="A9" s="30" t="str">
        <x:v>DSA</x:v>
      </x:c>
      <x:c r="B9" s="30" t="str">
        <x:v>wq_a.weight_scale</x:v>
      </x:c>
      <x:c r="C9" s="30" t="str">
        <x:v>[12, 56]</x:v>
      </x:c>
      <x:c r="D9" s="30" t="str">
        <x:v>F8_E8M0</x:v>
      </x:c>
      <x:c r="E9" s="32" t="n">
        <x:v>1</x:v>
      </x:c>
      <x:c r="F9" s="33" t="n">
        <x:v>61</x:v>
      </x:c>
      <x:c r="G9" s="33" t="n">
        <x:v>672</x:v>
      </x:c>
      <x:c r="H9" s="33" t="str">
        <x:v>Replicated</x:v>
      </x:c>
      <x:c r="I9" s="33" t="n">
        <x:f>1</x:f>
        <x:v>1</x:v>
      </x:c>
      <x:c r="J9" s="34" t="n">
        <x:f>E9*F9*G9/1073741824</x:f>
        <x:v>0.000038176774978637695</x:v>
      </x:c>
      <x:c r="K9" s="34" t="n">
        <x:f>J9/I9</x:f>
        <x:v>0.000038176774978637695</x:v>
      </x:c>
      <x:c r="L9" s="30"/>
      <x:c r="M9" s="30"/>
      <x:c r="N9" s="30"/>
      <x:c r="O9" s="30"/>
      <x:c r="P9" s="30"/>
    </x:row>
    <x:row r="10">
      <x:c r="A10" s="30" t="str">
        <x:v>DSA</x:v>
      </x:c>
      <x:c r="B10" s="30" t="str">
        <x:v>q_norm.weight</x:v>
      </x:c>
      <x:c r="C10" s="30" t="str">
        <x:v>[1536]</x:v>
      </x:c>
      <x:c r="D10" s="30" t="str">
        <x:v>BF16</x:v>
      </x:c>
      <x:c r="E10" s="32" t="n">
        <x:v>2</x:v>
      </x:c>
      <x:c r="F10" s="33" t="n">
        <x:v>61</x:v>
      </x:c>
      <x:c r="G10" s="33" t="n">
        <x:v>1536</x:v>
      </x:c>
      <x:c r="H10" s="33" t="str">
        <x:v>Replicated</x:v>
      </x:c>
      <x:c r="I10" s="33" t="n">
        <x:f>1</x:f>
        <x:v>1</x:v>
      </x:c>
      <x:c r="J10" s="34" t="n">
        <x:f>E10*F10*G10/1073741824</x:f>
        <x:v>0.00017452239990234375</x:v>
      </x:c>
      <x:c r="K10" s="34" t="n">
        <x:f>J10/I10</x:f>
        <x:v>0.00017452239990234375</x:v>
      </x:c>
      <x:c r="L10" s="30"/>
      <x:c r="M10" s="30"/>
      <x:c r="N10" s="30"/>
      <x:c r="O10" s="31" t="str">
        <x:v>并行策略</x:v>
      </x:c>
      <x:c r="P10" s="31"/>
    </x:row>
    <x:row r="11">
      <x:c r="A11" s="30" t="str">
        <x:v>DSA</x:v>
      </x:c>
      <x:c r="B11" s="30" t="str">
        <x:v>wq_b.weight</x:v>
      </x:c>
      <x:c r="C11" s="30" t="str">
        <x:v>[65536, 1536]</x:v>
      </x:c>
      <x:c r="D11" s="30" t="str">
        <x:v>FP8 E4M3</x:v>
      </x:c>
      <x:c r="E11" s="32" t="n">
        <x:v>1</x:v>
      </x:c>
      <x:c r="F11" s="33" t="n">
        <x:v>61</x:v>
      </x:c>
      <x:c r="G11" s="33" t="n">
        <x:v>100663296</x:v>
      </x:c>
      <x:c r="H11" s="33" t="str">
        <x:v>DSA CP / TP</x:v>
      </x:c>
      <x:c r="I11" s="33" t="n">
        <x:f>IF('Prefill'!$P$25&lt;&gt;0,1,'Prefill'!$P$12)</x:f>
        <x:v>1</x:v>
      </x:c>
      <x:c r="J11" s="34" t="n">
        <x:f>E11*F11*G11/1073741824</x:f>
        <x:v>5.71875</x:v>
      </x:c>
      <x:c r="K11" s="34" t="n">
        <x:f>J11/I11</x:f>
        <x:v>5.71875</x:v>
      </x:c>
      <x:c r="L11" s="30"/>
      <x:c r="M11" s="30"/>
      <x:c r="N11" s="30"/>
      <x:c r="O11" s="35" t="str">
        <x:v>DP</x:v>
      </x:c>
      <x:c r="P11" s="36" t="n">
        <x:v>1</x:v>
      </x:c>
    </x:row>
    <x:row r="12">
      <x:c r="A12" s="30" t="str">
        <x:v>DSA</x:v>
      </x:c>
      <x:c r="B12" s="30" t="str">
        <x:v>wq_b.weight_scale</x:v>
      </x:c>
      <x:c r="C12" s="30" t="str">
        <x:v>[512, 12]</x:v>
      </x:c>
      <x:c r="D12" s="30" t="str">
        <x:v>F8_E8M0</x:v>
      </x:c>
      <x:c r="E12" s="32" t="n">
        <x:v>1</x:v>
      </x:c>
      <x:c r="F12" s="33" t="n">
        <x:v>61</x:v>
      </x:c>
      <x:c r="G12" s="33" t="n">
        <x:v>6144</x:v>
      </x:c>
      <x:c r="H12" s="33" t="str">
        <x:v>DSA CP / TP</x:v>
      </x:c>
      <x:c r="I12" s="33" t="n">
        <x:f>IF('Prefill'!$P$25&lt;&gt;0,1,'Prefill'!$P$12)</x:f>
        <x:v>1</x:v>
      </x:c>
      <x:c r="J12" s="34" t="n">
        <x:f>E12*F12*G12/1073741824</x:f>
        <x:v>0.0003490447998046875</x:v>
      </x:c>
      <x:c r="K12" s="34" t="n">
        <x:f>J12/I12</x:f>
        <x:v>0.0003490447998046875</x:v>
      </x:c>
      <x:c r="L12" s="30"/>
      <x:c r="M12" s="30"/>
      <x:c r="N12" s="30"/>
      <x:c r="O12" s="35" t="str">
        <x:v>TP</x:v>
      </x:c>
      <x:c r="P12" s="36" t="n">
        <x:v>8</x:v>
      </x:c>
    </x:row>
    <x:row r="13">
      <x:c r="A13" s="30" t="str">
        <x:v>DSA</x:v>
      </x:c>
      <x:c r="B13" s="30" t="str">
        <x:v>wkv.weight</x:v>
      </x:c>
      <x:c r="C13" s="30" t="str">
        <x:v>[512, 7168]</x:v>
      </x:c>
      <x:c r="D13" s="30" t="str">
        <x:v>FP8 E4M3</x:v>
      </x:c>
      <x:c r="E13" s="32" t="n">
        <x:v>1</x:v>
      </x:c>
      <x:c r="F13" s="33" t="n">
        <x:v>61</x:v>
      </x:c>
      <x:c r="G13" s="33" t="n">
        <x:v>3670016</x:v>
      </x:c>
      <x:c r="H13" s="33" t="str">
        <x:v>Replicated</x:v>
      </x:c>
      <x:c r="I13" s="33" t="n">
        <x:f>1</x:f>
        <x:v>1</x:v>
      </x:c>
      <x:c r="J13" s="34" t="n">
        <x:f>E13*F13*G13/1073741824</x:f>
        <x:v>0.20849609375</x:v>
      </x:c>
      <x:c r="K13" s="34" t="n">
        <x:f>J13/I13</x:f>
        <x:v>0.20849609375</x:v>
      </x:c>
      <x:c r="L13" s="30"/>
      <x:c r="M13" s="30"/>
      <x:c r="N13" s="30"/>
      <x:c r="O13" s="35" t="str">
        <x:v>SP（0/1）</x:v>
      </x:c>
      <x:c r="P13" s="36" t="n">
        <x:v>1</x:v>
      </x:c>
    </x:row>
    <x:row r="14">
      <x:c r="A14" s="30" t="str">
        <x:v>DSA</x:v>
      </x:c>
      <x:c r="B14" s="30" t="str">
        <x:v>wkv.weight_scale</x:v>
      </x:c>
      <x:c r="C14" s="30" t="str">
        <x:v>[4, 56]</x:v>
      </x:c>
      <x:c r="D14" s="30" t="str">
        <x:v>F8_E8M0</x:v>
      </x:c>
      <x:c r="E14" s="32" t="n">
        <x:v>1</x:v>
      </x:c>
      <x:c r="F14" s="33" t="n">
        <x:v>61</x:v>
      </x:c>
      <x:c r="G14" s="33" t="n">
        <x:v>224</x:v>
      </x:c>
      <x:c r="H14" s="33" t="str">
        <x:v>Replicated</x:v>
      </x:c>
      <x:c r="I14" s="33" t="n">
        <x:f>1</x:f>
        <x:v>1</x:v>
      </x:c>
      <x:c r="J14" s="34" t="n">
        <x:f>E14*F14*G14/1073741824</x:f>
        <x:v>0.000012725591659545898</x:v>
      </x:c>
      <x:c r="K14" s="34" t="n">
        <x:f>J14/I14</x:f>
        <x:v>0.000012725591659545898</x:v>
      </x:c>
      <x:c r="L14" s="30"/>
      <x:c r="M14" s="30"/>
      <x:c r="N14" s="30"/>
      <x:c r="O14" s="35" t="str">
        <x:v>EP</x:v>
      </x:c>
      <x:c r="P14" s="36" t="n">
        <x:v>8</x:v>
      </x:c>
    </x:row>
    <x:row r="15">
      <x:c r="A15" s="30" t="str">
        <x:v>DSA</x:v>
      </x:c>
      <x:c r="B15" s="30" t="str">
        <x:v>kv_norm.weight</x:v>
      </x:c>
      <x:c r="C15" s="30" t="str">
        <x:v>[512]</x:v>
      </x:c>
      <x:c r="D15" s="30" t="str">
        <x:v>BF16</x:v>
      </x:c>
      <x:c r="E15" s="32" t="n">
        <x:v>2</x:v>
      </x:c>
      <x:c r="F15" s="33" t="n">
        <x:v>61</x:v>
      </x:c>
      <x:c r="G15" s="33" t="n">
        <x:v>512</x:v>
      </x:c>
      <x:c r="H15" s="33" t="str">
        <x:v>Replicated</x:v>
      </x:c>
      <x:c r="I15" s="33" t="n">
        <x:f>1</x:f>
        <x:v>1</x:v>
      </x:c>
      <x:c r="J15" s="34" t="n">
        <x:f>E15*F15*G15/1073741824</x:f>
        <x:v>0.00005817413330078125</x:v>
      </x:c>
      <x:c r="K15" s="34" t="n">
        <x:f>J15/I15</x:f>
        <x:v>0.00005817413330078125</x:v>
      </x:c>
      <x:c r="L15" s="30"/>
      <x:c r="M15" s="30"/>
      <x:c r="N15" s="30"/>
      <x:c r="O15" s="35" t="str">
        <x:v>PCP（1 表示关闭）</x:v>
      </x:c>
      <x:c r="P15" s="36" t="n">
        <x:v>1</x:v>
      </x:c>
    </x:row>
    <x:row r="16">
      <x:c r="A16" s="30" t="str">
        <x:v>DSA</x:v>
      </x:c>
      <x:c r="B16" s="30" t="str">
        <x:v>wo_a.weight</x:v>
      </x:c>
      <x:c r="C16" s="30" t="str">
        <x:v>[16384, 4096]</x:v>
      </x:c>
      <x:c r="D16" s="30" t="str">
        <x:v>FP8 E4M3</x:v>
      </x:c>
      <x:c r="E16" s="32" t="n">
        <x:v>1</x:v>
      </x:c>
      <x:c r="F16" s="33" t="n">
        <x:v>61</x:v>
      </x:c>
      <x:c r="G16" s="33" t="n">
        <x:v>67108864</x:v>
      </x:c>
      <x:c r="H16" s="33" t="str">
        <x:v>O Proj TP</x:v>
      </x:c>
      <x:c r="I16" s="33" t="n">
        <x:f>IF('Prefill'!$P$19&gt;0,'Prefill'!$P$19,'Prefill'!$P$12)</x:f>
        <x:v>8</x:v>
      </x:c>
      <x:c r="J16" s="34" t="n">
        <x:f>E16*F16*G16/1073741824</x:f>
        <x:v>3.8125</x:v>
      </x:c>
      <x:c r="K16" s="34" t="n">
        <x:f>J16/I16</x:f>
        <x:v>0.4765625</x:v>
      </x:c>
      <x:c r="L16" s="30"/>
      <x:c r="M16" s="30"/>
      <x:c r="N16" s="30"/>
      <x:c r="O16" s="35"/>
      <x:c r="P16" s="35"/>
    </x:row>
    <x:row r="17">
      <x:c r="A17" s="30" t="str">
        <x:v>DSA</x:v>
      </x:c>
      <x:c r="B17" s="30" t="str">
        <x:v>wo_a.weight_scale</x:v>
      </x:c>
      <x:c r="C17" s="30" t="str">
        <x:v>[128, 32]</x:v>
      </x:c>
      <x:c r="D17" s="30" t="str">
        <x:v>F8_E8M0</x:v>
      </x:c>
      <x:c r="E17" s="32" t="n">
        <x:v>1</x:v>
      </x:c>
      <x:c r="F17" s="33" t="n">
        <x:v>61</x:v>
      </x:c>
      <x:c r="G17" s="33" t="n">
        <x:v>4096</x:v>
      </x:c>
      <x:c r="H17" s="33" t="str">
        <x:v>O Proj TP</x:v>
      </x:c>
      <x:c r="I17" s="33" t="n">
        <x:f>IF('Prefill'!$P$19&gt;0,'Prefill'!$P$19,'Prefill'!$P$12)</x:f>
        <x:v>8</x:v>
      </x:c>
      <x:c r="J17" s="34" t="n">
        <x:f>E17*F17*G17/1073741824</x:f>
        <x:v>0.000232696533203125</x:v>
      </x:c>
      <x:c r="K17" s="34" t="n">
        <x:f>J17/I17</x:f>
        <x:v>0.000029087066650390625</x:v>
      </x:c>
      <x:c r="L17" s="30"/>
      <x:c r="M17" s="30"/>
      <x:c r="N17" s="30"/>
      <x:c r="O17" s="35" t="str">
        <x:v>共享专家并行方式</x:v>
      </x:c>
      <x:c r="P17" s="38" t="str">
        <x:v>TP</x:v>
      </x:c>
    </x:row>
    <x:row r="18">
      <x:c r="A18" s="30" t="str">
        <x:v>DSA</x:v>
      </x:c>
      <x:c r="B18" s="30" t="str">
        <x:v>wo_b.weight</x:v>
      </x:c>
      <x:c r="C18" s="30" t="str">
        <x:v>[7168, 16384]</x:v>
      </x:c>
      <x:c r="D18" s="30" t="str">
        <x:v>FP8 E4M3</x:v>
      </x:c>
      <x:c r="E18" s="32" t="n">
        <x:v>1</x:v>
      </x:c>
      <x:c r="F18" s="33" t="n">
        <x:v>61</x:v>
      </x:c>
      <x:c r="G18" s="33" t="n">
        <x:v>117440512</x:v>
      </x:c>
      <x:c r="H18" s="33" t="str">
        <x:v>O Proj TP</x:v>
      </x:c>
      <x:c r="I18" s="33" t="n">
        <x:f>IF('Prefill'!$P$19&gt;0,'Prefill'!$P$19,'Prefill'!$P$12)</x:f>
        <x:v>8</x:v>
      </x:c>
      <x:c r="J18" s="34" t="n">
        <x:f>E18*F18*G18/1073741824</x:f>
        <x:v>6.671875</x:v>
      </x:c>
      <x:c r="K18" s="34" t="n">
        <x:f>J18/I18</x:f>
        <x:v>0.833984375</x:v>
      </x:c>
      <x:c r="L18" s="30"/>
      <x:c r="M18" s="30"/>
      <x:c r="N18" s="30"/>
      <x:c r="O18" s="35" t="str">
        <x:v>共享专家 TP</x:v>
      </x:c>
      <x:c r="P18" s="36" t="n">
        <x:v>8</x:v>
      </x:c>
    </x:row>
    <x:row r="19">
      <x:c r="A19" s="30" t="str">
        <x:v>DSA</x:v>
      </x:c>
      <x:c r="B19" s="30" t="str">
        <x:v>wo_b.weight_scale</x:v>
      </x:c>
      <x:c r="C19" s="30" t="str">
        <x:v>[56, 128]</x:v>
      </x:c>
      <x:c r="D19" s="30" t="str">
        <x:v>F8_E8M0</x:v>
      </x:c>
      <x:c r="E19" s="32" t="n">
        <x:v>1</x:v>
      </x:c>
      <x:c r="F19" s="33" t="n">
        <x:v>61</x:v>
      </x:c>
      <x:c r="G19" s="33" t="n">
        <x:v>7168</x:v>
      </x:c>
      <x:c r="H19" s="33" t="str">
        <x:v>O Proj TP</x:v>
      </x:c>
      <x:c r="I19" s="33" t="n">
        <x:f>IF('Prefill'!$P$19&gt;0,'Prefill'!$P$19,'Prefill'!$P$12)</x:f>
        <x:v>8</x:v>
      </x:c>
      <x:c r="J19" s="34" t="n">
        <x:f>E19*F19*G19/1073741824</x:f>
        <x:v>0.00040721893310546875</x:v>
      </x:c>
      <x:c r="K19" s="34" t="n">
        <x:f>J19/I19</x:f>
        <x:v>0.000050902366638183594</x:v>
      </x:c>
      <x:c r="L19" s="30"/>
      <x:c r="M19" s="30"/>
      <x:c r="N19" s="30"/>
      <x:c r="O19" s="35" t="str">
        <x:v>O Proj TP（0 表示使用 TP）</x:v>
      </x:c>
      <x:c r="P19" s="36" t="n">
        <x:v>0</x:v>
      </x:c>
    </x:row>
    <x:row r="20">
      <x:c r="A20" s="30" t="str">
        <x:v>Compressor C4</x:v>
      </x:c>
      <x:c r="B20" s="30" t="str">
        <x:v>compressor.ape</x:v>
      </x:c>
      <x:c r="C20" s="30" t="str">
        <x:v>[4, 1024]</x:v>
      </x:c>
      <x:c r="D20" s="30" t="str">
        <x:v>F32</x:v>
      </x:c>
      <x:c r="E20" s="32" t="n">
        <x:v>4</x:v>
      </x:c>
      <x:c r="F20" s="33" t="n">
        <x:v>30</x:v>
      </x:c>
      <x:c r="G20" s="33" t="n">
        <x:v>4096</x:v>
      </x:c>
      <x:c r="H20" s="33" t="str">
        <x:v>Replicated</x:v>
      </x:c>
      <x:c r="I20" s="33" t="n">
        <x:f>1</x:f>
        <x:v>1</x:v>
      </x:c>
      <x:c r="J20" s="34" t="n">
        <x:f>E20*F20*G20/1073741824</x:f>
        <x:v>0.000457763671875</x:v>
      </x:c>
      <x:c r="K20" s="34" t="n">
        <x:f>J20/I20</x:f>
        <x:v>0.000457763671875</x:v>
      </x:c>
      <x:c r="L20" s="30"/>
      <x:c r="M20" s="30"/>
      <x:c r="N20" s="30"/>
      <x:c r="O20" s="35" t="str">
        <x:v>LM Head TP（0 表示使用 TP）</x:v>
      </x:c>
      <x:c r="P20" s="36" t="n">
        <x:v>0</x:v>
      </x:c>
    </x:row>
    <x:row r="21">
      <x:c r="A21" s="30" t="str">
        <x:v>Compressor C4</x:v>
      </x:c>
      <x:c r="B21" s="30" t="str">
        <x:v>compressor.norm.weight</x:v>
      </x:c>
      <x:c r="C21" s="30" t="str">
        <x:v>[512]</x:v>
      </x:c>
      <x:c r="D21" s="30" t="str">
        <x:v>BF16</x:v>
      </x:c>
      <x:c r="E21" s="32" t="n">
        <x:v>2</x:v>
      </x:c>
      <x:c r="F21" s="33" t="n">
        <x:v>30</x:v>
      </x:c>
      <x:c r="G21" s="33" t="n">
        <x:v>512</x:v>
      </x:c>
      <x:c r="H21" s="33" t="str">
        <x:v>Replicated</x:v>
      </x:c>
      <x:c r="I21" s="33" t="n">
        <x:f>1</x:f>
        <x:v>1</x:v>
      </x:c>
      <x:c r="J21" s="34" t="n">
        <x:f>E21*F21*G21/1073741824</x:f>
        <x:v>0.0000286102294921875</x:v>
      </x:c>
      <x:c r="K21" s="34" t="n">
        <x:f>J21/I21</x:f>
        <x:v>0.0000286102294921875</x:v>
      </x:c>
      <x:c r="L21" s="30"/>
      <x:c r="M21" s="30"/>
      <x:c r="N21" s="30"/>
      <x:c r="O21" s="35" t="str">
        <x:v>Embedding TP（0 表示使用 TP）</x:v>
      </x:c>
      <x:c r="P21" s="36" t="n">
        <x:v>0</x:v>
      </x:c>
    </x:row>
    <x:row r="22">
      <x:c r="A22" s="30" t="str">
        <x:v>Compressor C4</x:v>
      </x:c>
      <x:c r="B22" s="30" t="str">
        <x:v>compressor.wkv.weight</x:v>
      </x:c>
      <x:c r="C22" s="30" t="str">
        <x:v>[1024, 7168]</x:v>
      </x:c>
      <x:c r="D22" s="30" t="str">
        <x:v>BF16</x:v>
      </x:c>
      <x:c r="E22" s="32" t="n">
        <x:v>2</x:v>
      </x:c>
      <x:c r="F22" s="33" t="n">
        <x:v>30</x:v>
      </x:c>
      <x:c r="G22" s="33" t="n">
        <x:v>7340032</x:v>
      </x:c>
      <x:c r="H22" s="33" t="str">
        <x:v>Replicated</x:v>
      </x:c>
      <x:c r="I22" s="33" t="n">
        <x:f>1</x:f>
        <x:v>1</x:v>
      </x:c>
      <x:c r="J22" s="34" t="n">
        <x:f>E22*F22*G22/1073741824</x:f>
        <x:v>0.41015625</x:v>
      </x:c>
      <x:c r="K22" s="34" t="n">
        <x:f>J22/I22</x:f>
        <x:v>0.41015625</x:v>
      </x:c>
      <x:c r="L22" s="30"/>
      <x:c r="M22" s="30"/>
      <x:c r="N22" s="30"/>
      <x:c r="O22" s="35" t="str">
        <x:v>Fine O TP（0/1）</x:v>
      </x:c>
      <x:c r="P22" s="36" t="n">
        <x:v>0</x:v>
      </x:c>
    </x:row>
    <x:row r="23">
      <x:c r="A23" s="30" t="str">
        <x:v>Compressor C4</x:v>
      </x:c>
      <x:c r="B23" s="30" t="str">
        <x:v>compressor.wgate.weight</x:v>
      </x:c>
      <x:c r="C23" s="30" t="str">
        <x:v>[1024, 7168]</x:v>
      </x:c>
      <x:c r="D23" s="30" t="str">
        <x:v>BF16</x:v>
      </x:c>
      <x:c r="E23" s="32" t="n">
        <x:v>2</x:v>
      </x:c>
      <x:c r="F23" s="33" t="n">
        <x:v>30</x:v>
      </x:c>
      <x:c r="G23" s="33" t="n">
        <x:v>7340032</x:v>
      </x:c>
      <x:c r="H23" s="33" t="str">
        <x:v>Replicated</x:v>
      </x:c>
      <x:c r="I23" s="33" t="n">
        <x:f>1</x:f>
        <x:v>1</x:v>
      </x:c>
      <x:c r="J23" s="34" t="n">
        <x:f>E23*F23*G23/1073741824</x:f>
        <x:v>0.41015625</x:v>
      </x:c>
      <x:c r="K23" s="34" t="n">
        <x:f>J23/I23</x:f>
        <x:v>0.41015625</x:v>
      </x:c>
      <x:c r="L23" s="30"/>
      <x:c r="M23" s="30"/>
      <x:c r="N23" s="30"/>
      <x:c r="O23" s="35" t="str">
        <x:v>Fine LM Head TP（0/1）</x:v>
      </x:c>
      <x:c r="P23" s="36" t="n">
        <x:v>0</x:v>
      </x:c>
    </x:row>
    <x:row r="24">
      <x:c r="A24" s="30" t="str">
        <x:v>Compressor C128</x:v>
      </x:c>
      <x:c r="B24" s="30" t="str">
        <x:v>compressor.ape</x:v>
      </x:c>
      <x:c r="C24" s="30" t="str">
        <x:v>[128, 512]</x:v>
      </x:c>
      <x:c r="D24" s="30" t="str">
        <x:v>F32</x:v>
      </x:c>
      <x:c r="E24" s="32" t="n">
        <x:v>4</x:v>
      </x:c>
      <x:c r="F24" s="33" t="n">
        <x:v>31</x:v>
      </x:c>
      <x:c r="G24" s="33" t="n">
        <x:v>65536</x:v>
      </x:c>
      <x:c r="H24" s="33" t="str">
        <x:v>Replicated</x:v>
      </x:c>
      <x:c r="I24" s="33" t="n">
        <x:f>1</x:f>
        <x:v>1</x:v>
      </x:c>
      <x:c r="J24" s="34" t="n">
        <x:f>E24*F24*G24/1073741824</x:f>
        <x:v>0.007568359375</x:v>
      </x:c>
      <x:c r="K24" s="34" t="n">
        <x:f>J24/I24</x:f>
        <x:v>0.007568359375</x:v>
      </x:c>
      <x:c r="L24" s="30"/>
      <x:c r="M24" s="30"/>
      <x:c r="N24" s="30"/>
      <x:c r="O24" s="35" t="str">
        <x:v>Fine Embedding TP（0/1）</x:v>
      </x:c>
      <x:c r="P24" s="36" t="n">
        <x:v>0</x:v>
      </x:c>
    </x:row>
    <x:row r="25">
      <x:c r="A25" s="30" t="str">
        <x:v>Compressor C128</x:v>
      </x:c>
      <x:c r="B25" s="30" t="str">
        <x:v>compressor.norm.weight</x:v>
      </x:c>
      <x:c r="C25" s="30" t="str">
        <x:v>[512]</x:v>
      </x:c>
      <x:c r="D25" s="30" t="str">
        <x:v>BF16</x:v>
      </x:c>
      <x:c r="E25" s="32" t="n">
        <x:v>2</x:v>
      </x:c>
      <x:c r="F25" s="33" t="n">
        <x:v>31</x:v>
      </x:c>
      <x:c r="G25" s="33" t="n">
        <x:v>512</x:v>
      </x:c>
      <x:c r="H25" s="33" t="str">
        <x:v>Replicated</x:v>
      </x:c>
      <x:c r="I25" s="33" t="n">
        <x:f>1</x:f>
        <x:v>1</x:v>
      </x:c>
      <x:c r="J25" s="34" t="n">
        <x:f>E25*F25*G25/1073741824</x:f>
        <x:v>0.00002956390380859375</x:v>
      </x:c>
      <x:c r="K25" s="34" t="n">
        <x:f>J25/I25</x:f>
        <x:v>0.00002956390380859375</x:v>
      </x:c>
      <x:c r="L25" s="30"/>
      <x:c r="M25" s="30"/>
      <x:c r="N25" s="30"/>
      <x:c r="O25" s="35" t="str">
        <x:v>DSA CP（0/1）</x:v>
      </x:c>
      <x:c r="P25" s="36" t="n">
        <x:v>1</x:v>
      </x:c>
    </x:row>
    <x:row r="26">
      <x:c r="A26" s="30" t="str">
        <x:v>Compressor C128</x:v>
      </x:c>
      <x:c r="B26" s="30" t="str">
        <x:v>compressor.wkv.weight</x:v>
      </x:c>
      <x:c r="C26" s="30" t="str">
        <x:v>[512, 7168]</x:v>
      </x:c>
      <x:c r="D26" s="30" t="str">
        <x:v>BF16</x:v>
      </x:c>
      <x:c r="E26" s="32" t="n">
        <x:v>2</x:v>
      </x:c>
      <x:c r="F26" s="33" t="n">
        <x:v>31</x:v>
      </x:c>
      <x:c r="G26" s="33" t="n">
        <x:v>3670016</x:v>
      </x:c>
      <x:c r="H26" s="33" t="str">
        <x:v>Replicated</x:v>
      </x:c>
      <x:c r="I26" s="33" t="n">
        <x:f>1</x:f>
        <x:v>1</x:v>
      </x:c>
      <x:c r="J26" s="34" t="n">
        <x:f>E26*F26*G26/1073741824</x:f>
        <x:v>0.2119140625</x:v>
      </x:c>
      <x:c r="K26" s="34" t="n">
        <x:f>J26/I26</x:f>
        <x:v>0.2119140625</x:v>
      </x:c>
      <x:c r="L26" s="30"/>
      <x:c r="M26" s="30"/>
      <x:c r="N26" s="30"/>
      <x:c r="O26" s="30"/>
      <x:c r="P26" s="30"/>
    </x:row>
    <x:row r="27">
      <x:c r="A27" s="30" t="str">
        <x:v>Compressor C128</x:v>
      </x:c>
      <x:c r="B27" s="30" t="str">
        <x:v>compressor.wgate.weight</x:v>
      </x:c>
      <x:c r="C27" s="30" t="str">
        <x:v>[512, 7168]</x:v>
      </x:c>
      <x:c r="D27" s="30" t="str">
        <x:v>BF16</x:v>
      </x:c>
      <x:c r="E27" s="32" t="n">
        <x:v>2</x:v>
      </x:c>
      <x:c r="F27" s="33" t="n">
        <x:v>31</x:v>
      </x:c>
      <x:c r="G27" s="33" t="n">
        <x:v>3670016</x:v>
      </x:c>
      <x:c r="H27" s="33" t="str">
        <x:v>Replicated</x:v>
      </x:c>
      <x:c r="I27" s="33" t="n">
        <x:f>1</x:f>
        <x:v>1</x:v>
      </x:c>
      <x:c r="J27" s="34" t="n">
        <x:f>E27*F27*G27/1073741824</x:f>
        <x:v>0.2119140625</x:v>
      </x:c>
      <x:c r="K27" s="34" t="n">
        <x:f>J27/I27</x:f>
        <x:v>0.2119140625</x:v>
      </x:c>
      <x:c r="L27" s="30"/>
      <x:c r="M27" s="30"/>
      <x:c r="N27" s="30"/>
      <x:c r="O27" s="31" t="str">
        <x:v>通信参数</x:v>
      </x:c>
      <x:c r="P27" s="31"/>
    </x:row>
    <x:row r="28">
      <x:c r="A28" s="30" t="str">
        <x:v>Indexer</x:v>
      </x:c>
      <x:c r="B28" s="30" t="str">
        <x:v>indexer.wq_b.weight</x:v>
      </x:c>
      <x:c r="C28" s="30" t="str">
        <x:v>[8192, 1536]</x:v>
      </x:c>
      <x:c r="D28" s="30" t="str">
        <x:v>FP8 E4M3</x:v>
      </x:c>
      <x:c r="E28" s="32" t="n">
        <x:v>1</x:v>
      </x:c>
      <x:c r="F28" s="33" t="n">
        <x:v>30</x:v>
      </x:c>
      <x:c r="G28" s="33" t="n">
        <x:v>12582912</x:v>
      </x:c>
      <x:c r="H28" s="33" t="str">
        <x:v>Replicated</x:v>
      </x:c>
      <x:c r="I28" s="33" t="n">
        <x:f>1</x:f>
        <x:v>1</x:v>
      </x:c>
      <x:c r="J28" s="34" t="n">
        <x:f>E28*F28*G28/1073741824</x:f>
        <x:v>0.3515625</x:v>
      </x:c>
      <x:c r="K28" s="34" t="n">
        <x:f>J28/I28</x:f>
        <x:v>0.3515625</x:v>
      </x:c>
      <x:c r="L28" s="30"/>
      <x:c r="M28" s="30"/>
      <x:c r="N28" s="30"/>
      <x:c r="O28" s="35" t="str">
        <x:v>激活字节/元素</x:v>
      </x:c>
      <x:c r="P28" s="36" t="n">
        <x:v>2</x:v>
      </x:c>
    </x:row>
    <x:row r="29">
      <x:c r="A29" s="30" t="str">
        <x:v>Indexer</x:v>
      </x:c>
      <x:c r="B29" s="30" t="str">
        <x:v>indexer.wq_b.weight_scale</x:v>
      </x:c>
      <x:c r="C29" s="30" t="str">
        <x:v>[64, 12]</x:v>
      </x:c>
      <x:c r="D29" s="30" t="str">
        <x:v>F8_E8M0</x:v>
      </x:c>
      <x:c r="E29" s="32" t="n">
        <x:v>1</x:v>
      </x:c>
      <x:c r="F29" s="33" t="n">
        <x:v>30</x:v>
      </x:c>
      <x:c r="G29" s="33" t="n">
        <x:v>768</x:v>
      </x:c>
      <x:c r="H29" s="33" t="str">
        <x:v>Replicated</x:v>
      </x:c>
      <x:c r="I29" s="33" t="n">
        <x:f>1</x:f>
        <x:v>1</x:v>
      </x:c>
      <x:c r="J29" s="34" t="n">
        <x:f>E29*F29*G29/1073741824</x:f>
        <x:v>0.000021457672119140625</x:v>
      </x:c>
      <x:c r="K29" s="34" t="n">
        <x:f>J29/I29</x:f>
        <x:v>0.000021457672119140625</x:v>
      </x:c>
      <x:c r="L29" s="30"/>
      <x:c r="M29" s="30"/>
      <x:c r="N29" s="30"/>
      <x:c r="O29" s="35" t="str">
        <x:v>LSE 字节/元素</x:v>
      </x:c>
      <x:c r="P29" s="36" t="n">
        <x:v>4</x:v>
      </x:c>
    </x:row>
    <x:row r="30">
      <x:c r="A30" s="30" t="str">
        <x:v>Indexer</x:v>
      </x:c>
      <x:c r="B30" s="30" t="str">
        <x:v>indexer.weights_proj.weight</x:v>
      </x:c>
      <x:c r="C30" s="30" t="str">
        <x:v>[64, 7168]</x:v>
      </x:c>
      <x:c r="D30" s="30" t="str">
        <x:v>BF16</x:v>
      </x:c>
      <x:c r="E30" s="32" t="n">
        <x:v>2</x:v>
      </x:c>
      <x:c r="F30" s="33" t="n">
        <x:v>30</x:v>
      </x:c>
      <x:c r="G30" s="33" t="n">
        <x:v>458752</x:v>
      </x:c>
      <x:c r="H30" s="33" t="str">
        <x:v>Replicated</x:v>
      </x:c>
      <x:c r="I30" s="33" t="n">
        <x:f>1</x:f>
        <x:v>1</x:v>
      </x:c>
      <x:c r="J30" s="34" t="n">
        <x:f>E30*F30*G30/1073741824</x:f>
        <x:v>0.025634765625</x:v>
      </x:c>
      <x:c r="K30" s="34" t="n">
        <x:f>J30/I30</x:f>
        <x:v>0.025634765625</x:v>
      </x:c>
      <x:c r="L30" s="30"/>
      <x:c r="M30" s="30"/>
      <x:c r="N30" s="30"/>
      <x:c r="O30" s="35" t="str">
        <x:v>Token ID 字节/元素</x:v>
      </x:c>
      <x:c r="P30" s="36" t="n">
        <x:v>8</x:v>
      </x:c>
    </x:row>
    <x:row r="31">
      <x:c r="A31" s="30" t="str">
        <x:v>Indexer</x:v>
      </x:c>
      <x:c r="B31" s="30" t="str">
        <x:v>indexer.compressor.ape</x:v>
      </x:c>
      <x:c r="C31" s="30" t="str">
        <x:v>[4, 256]</x:v>
      </x:c>
      <x:c r="D31" s="30" t="str">
        <x:v>F32</x:v>
      </x:c>
      <x:c r="E31" s="32" t="n">
        <x:v>4</x:v>
      </x:c>
      <x:c r="F31" s="33" t="n">
        <x:v>30</x:v>
      </x:c>
      <x:c r="G31" s="33" t="n">
        <x:v>1024</x:v>
      </x:c>
      <x:c r="H31" s="33" t="str">
        <x:v>Replicated</x:v>
      </x:c>
      <x:c r="I31" s="33" t="n">
        <x:f>1</x:f>
        <x:v>1</x:v>
      </x:c>
      <x:c r="J31" s="34" t="n">
        <x:f>E31*F31*G31/1073741824</x:f>
        <x:v>0.00011444091796875</x:v>
      </x:c>
      <x:c r="K31" s="34" t="n">
        <x:f>J31/I31</x:f>
        <x:v>0.00011444091796875</x:v>
      </x:c>
      <x:c r="L31" s="30"/>
      <x:c r="M31" s="30"/>
      <x:c r="N31" s="30"/>
      <x:c r="O31" s="35" t="str">
        <x:v>Index 字节/元素</x:v>
      </x:c>
      <x:c r="P31" s="36" t="n">
        <x:v>4</x:v>
      </x:c>
    </x:row>
    <x:row r="32">
      <x:c r="A32" s="30" t="str">
        <x:v>Indexer</x:v>
      </x:c>
      <x:c r="B32" s="30" t="str">
        <x:v>indexer.compressor.norm.weight</x:v>
      </x:c>
      <x:c r="C32" s="30" t="str">
        <x:v>[128]</x:v>
      </x:c>
      <x:c r="D32" s="30" t="str">
        <x:v>BF16</x:v>
      </x:c>
      <x:c r="E32" s="32" t="n">
        <x:v>2</x:v>
      </x:c>
      <x:c r="F32" s="33" t="n">
        <x:v>30</x:v>
      </x:c>
      <x:c r="G32" s="33" t="n">
        <x:v>128</x:v>
      </x:c>
      <x:c r="H32" s="33" t="str">
        <x:v>Replicated</x:v>
      </x:c>
      <x:c r="I32" s="33" t="n">
        <x:f>1</x:f>
        <x:v>1</x:v>
      </x:c>
      <x:c r="J32" s="34" t="n">
        <x:f>E32*F32*G32/1073741824</x:f>
        <x:v>0.000007152557373046875</x:v>
      </x:c>
      <x:c r="K32" s="34" t="n">
        <x:f>J32/I32</x:f>
        <x:v>0.000007152557373046875</x:v>
      </x:c>
      <x:c r="L32" s="30"/>
      <x:c r="M32" s="30"/>
      <x:c r="N32" s="30"/>
      <x:c r="O32" s="35" t="str">
        <x:v>跨 EP Rank 路由比例</x:v>
      </x:c>
      <x:c r="P32" s="39" t="n">
        <x:f>IF($P$14&gt;1,($P$14-1)/$P$14,0)</x:f>
        <x:v>0.875</x:v>
      </x:c>
    </x:row>
    <x:row r="33">
      <x:c r="A33" s="30" t="str">
        <x:v>Indexer</x:v>
      </x:c>
      <x:c r="B33" s="30" t="str">
        <x:v>indexer.compressor.wkv.weight</x:v>
      </x:c>
      <x:c r="C33" s="30" t="str">
        <x:v>[256, 7168]</x:v>
      </x:c>
      <x:c r="D33" s="30" t="str">
        <x:v>BF16</x:v>
      </x:c>
      <x:c r="E33" s="32" t="n">
        <x:v>2</x:v>
      </x:c>
      <x:c r="F33" s="33" t="n">
        <x:v>30</x:v>
      </x:c>
      <x:c r="G33" s="33" t="n">
        <x:v>1835008</x:v>
      </x:c>
      <x:c r="H33" s="33" t="str">
        <x:v>Replicated</x:v>
      </x:c>
      <x:c r="I33" s="33" t="n">
        <x:f>1</x:f>
        <x:v>1</x:v>
      </x:c>
      <x:c r="J33" s="34" t="n">
        <x:f>E33*F33*G33/1073741824</x:f>
        <x:v>0.1025390625</x:v>
      </x:c>
      <x:c r="K33" s="34" t="n">
        <x:f>J33/I33</x:f>
        <x:v>0.1025390625</x:v>
      </x:c>
      <x:c r="L33" s="30"/>
      <x:c r="M33" s="30"/>
      <x:c r="N33" s="30"/>
      <x:c r="O33" s="35" t="str">
        <x:v>Reduce Sample（0/1）</x:v>
      </x:c>
      <x:c r="P33" s="36" t="n">
        <x:v>1</x:v>
      </x:c>
    </x:row>
    <x:row r="34">
      <x:c r="A34" s="30" t="str">
        <x:v>Indexer</x:v>
      </x:c>
      <x:c r="B34" s="30" t="str">
        <x:v>indexer.compressor.wgate.weight</x:v>
      </x:c>
      <x:c r="C34" s="30" t="str">
        <x:v>[256, 7168]</x:v>
      </x:c>
      <x:c r="D34" s="30" t="str">
        <x:v>BF16</x:v>
      </x:c>
      <x:c r="E34" s="32" t="n">
        <x:v>2</x:v>
      </x:c>
      <x:c r="F34" s="33" t="n">
        <x:v>30</x:v>
      </x:c>
      <x:c r="G34" s="33" t="n">
        <x:v>1835008</x:v>
      </x:c>
      <x:c r="H34" s="33" t="str">
        <x:v>Replicated</x:v>
      </x:c>
      <x:c r="I34" s="33" t="n">
        <x:f>1</x:f>
        <x:v>1</x:v>
      </x:c>
      <x:c r="J34" s="34" t="n">
        <x:f>E34*F34*G34/1073741824</x:f>
        <x:v>0.1025390625</x:v>
      </x:c>
      <x:c r="K34" s="34" t="n">
        <x:f>J34/I34</x:f>
        <x:v>0.1025390625</x:v>
      </x:c>
      <x:c r="L34" s="30"/>
      <x:c r="M34" s="30"/>
      <x:c r="N34" s="30"/>
      <x:c r="O34" s="35" t="str">
        <x:v>Reduce Sample K</x:v>
      </x:c>
      <x:c r="P34" s="36" t="n">
        <x:v>256</x:v>
      </x:c>
    </x:row>
    <x:row r="35">
      <x:c r="A35" s="30" t="str">
        <x:v>MoE Router</x:v>
      </x:c>
      <x:c r="B35" s="30" t="str">
        <x:v>ffn.gate.weight</x:v>
      </x:c>
      <x:c r="C35" s="30" t="str">
        <x:v>[384, 7168]</x:v>
      </x:c>
      <x:c r="D35" s="30" t="str">
        <x:v>BF16</x:v>
      </x:c>
      <x:c r="E35" s="32" t="n">
        <x:v>2</x:v>
      </x:c>
      <x:c r="F35" s="33" t="n">
        <x:v>61</x:v>
      </x:c>
      <x:c r="G35" s="33" t="n">
        <x:v>2752512</x:v>
      </x:c>
      <x:c r="H35" s="33" t="str">
        <x:v>Replicated</x:v>
      </x:c>
      <x:c r="I35" s="33" t="n">
        <x:f>1</x:f>
        <x:v>1</x:v>
      </x:c>
      <x:c r="J35" s="34" t="n">
        <x:f>E35*F35*G35/1073741824</x:f>
        <x:v>0.312744140625</x:v>
      </x:c>
      <x:c r="K35" s="34" t="n">
        <x:f>J35/I35</x:f>
        <x:v>0.312744140625</x:v>
      </x:c>
      <x:c r="L35" s="30"/>
      <x:c r="M35" s="30"/>
      <x:c r="N35" s="30"/>
      <x:c r="O35" s="30"/>
      <x:c r="P35" s="30"/>
    </x:row>
    <x:row r="36">
      <x:c r="A36" s="30" t="str">
        <x:v>MoE Router</x:v>
      </x:c>
      <x:c r="B36" s="30" t="str">
        <x:v>ffn.gate.bias</x:v>
      </x:c>
      <x:c r="C36" s="30" t="str">
        <x:v>[384]</x:v>
      </x:c>
      <x:c r="D36" s="30" t="str">
        <x:v>F32</x:v>
      </x:c>
      <x:c r="E36" s="32" t="n">
        <x:v>4</x:v>
      </x:c>
      <x:c r="F36" s="33" t="n">
        <x:v>58</x:v>
      </x:c>
      <x:c r="G36" s="33" t="n">
        <x:v>384</x:v>
      </x:c>
      <x:c r="H36" s="33" t="str">
        <x:v>Replicated</x:v>
      </x:c>
      <x:c r="I36" s="33" t="n">
        <x:f>1</x:f>
        <x:v>1</x:v>
      </x:c>
      <x:c r="J36" s="34" t="n">
        <x:f>E36*F36*G36/1073741824</x:f>
        <x:v>0.00008296966552734375</x:v>
      </x:c>
      <x:c r="K36" s="34" t="n">
        <x:f>J36/I36</x:f>
        <x:v>0.00008296966552734375</x:v>
      </x:c>
      <x:c r="L36" s="30"/>
      <x:c r="M36" s="30"/>
      <x:c r="N36" s="30"/>
      <x:c r="O36" s="30"/>
      <x:c r="P36" s="30"/>
    </x:row>
    <x:row r="37">
      <x:c r="A37" s="30" t="str">
        <x:v>DSpark Routing</x:v>
      </x:c>
      <x:c r="B37" s="30" t="str">
        <x:v>ffn.gate.tid2eid</x:v>
      </x:c>
      <x:c r="C37" s="30" t="str">
        <x:v>[129280, 6]</x:v>
      </x:c>
      <x:c r="D37" s="30" t="str">
        <x:v>I64</x:v>
      </x:c>
      <x:c r="E37" s="32" t="n">
        <x:v>8</x:v>
      </x:c>
      <x:c r="F37" s="33" t="n">
        <x:v>3</x:v>
      </x:c>
      <x:c r="G37" s="33" t="n">
        <x:v>775680</x:v>
      </x:c>
      <x:c r="H37" s="33" t="str">
        <x:v>Replicated</x:v>
      </x:c>
      <x:c r="I37" s="33" t="n">
        <x:f>1</x:f>
        <x:v>1</x:v>
      </x:c>
      <x:c r="J37" s="34" t="n">
        <x:f>E37*F37*G37/1073741824</x:f>
        <x:v>0.017337799072265625</x:v>
      </x:c>
      <x:c r="K37" s="34" t="n">
        <x:f>J37/I37</x:f>
        <x:v>0.017337799072265625</x:v>
      </x:c>
      <x:c r="L37" s="30"/>
      <x:c r="M37" s="30"/>
      <x:c r="N37" s="30"/>
      <x:c r="O37" s="30"/>
      <x:c r="P37" s="30"/>
    </x:row>
    <x:row r="38">
      <x:c r="A38" s="30" t="str">
        <x:v>Routed Experts</x:v>
      </x:c>
      <x:c r="B38" s="30" t="str">
        <x:v>ffn.experts.w1.weight</x:v>
      </x:c>
      <x:c r="C38" s="30" t="str">
        <x:v>[3072, 7168]</x:v>
      </x:c>
      <x:c r="D38" s="30" t="str">
        <x:v>FP4</x:v>
      </x:c>
      <x:c r="E38" s="32" t="n">
        <x:v>0.5</x:v>
      </x:c>
      <x:c r="F38" s="33" t="n">
        <x:v>23424</x:v>
      </x:c>
      <x:c r="G38" s="33" t="n">
        <x:v>22020096</x:v>
      </x:c>
      <x:c r="H38" s="33" t="str">
        <x:v>EP</x:v>
      </x:c>
      <x:c r="I38" s="33" t="n">
        <x:f>'Prefill'!$P$14</x:f>
        <x:v>8</x:v>
      </x:c>
      <x:c r="J38" s="34" t="n">
        <x:f>E38*F38*G38/1073741824</x:f>
        <x:v>240.1875</x:v>
      </x:c>
      <x:c r="K38" s="34" t="n">
        <x:f>J38/I38</x:f>
        <x:v>30.0234375</x:v>
      </x:c>
      <x:c r="L38" s="30"/>
      <x:c r="M38" s="30"/>
      <x:c r="N38" s="30"/>
      <x:c r="O38" s="30"/>
      <x:c r="P38" s="30"/>
    </x:row>
    <x:row r="39">
      <x:c r="A39" s="30" t="str">
        <x:v>Routed Experts</x:v>
      </x:c>
      <x:c r="B39" s="30" t="str">
        <x:v>ffn.experts.w1.weight_scale</x:v>
      </x:c>
      <x:c r="C39" s="30" t="str">
        <x:v>[3072, 224]</x:v>
      </x:c>
      <x:c r="D39" s="30" t="str">
        <x:v>E8M0</x:v>
      </x:c>
      <x:c r="E39" s="32" t="n">
        <x:v>1</x:v>
      </x:c>
      <x:c r="F39" s="33" t="n">
        <x:v>23424</x:v>
      </x:c>
      <x:c r="G39" s="33" t="n">
        <x:v>688128</x:v>
      </x:c>
      <x:c r="H39" s="33" t="str">
        <x:v>EP</x:v>
      </x:c>
      <x:c r="I39" s="33" t="n">
        <x:f>'Prefill'!$P$14</x:f>
        <x:v>8</x:v>
      </x:c>
      <x:c r="J39" s="34" t="n">
        <x:f>E39*F39*G39/1073741824</x:f>
        <x:v>15.01171875</x:v>
      </x:c>
      <x:c r="K39" s="34" t="n">
        <x:f>J39/I39</x:f>
        <x:v>1.87646484375</x:v>
      </x:c>
      <x:c r="L39" s="30"/>
      <x:c r="M39" s="30"/>
      <x:c r="N39" s="30"/>
      <x:c r="O39" s="30"/>
      <x:c r="P39" s="30"/>
    </x:row>
    <x:row r="40">
      <x:c r="A40" s="30" t="str">
        <x:v>Routed Experts</x:v>
      </x:c>
      <x:c r="B40" s="30" t="str">
        <x:v>ffn.experts.w3.weight</x:v>
      </x:c>
      <x:c r="C40" s="30" t="str">
        <x:v>[3072, 7168]</x:v>
      </x:c>
      <x:c r="D40" s="30" t="str">
        <x:v>FP4</x:v>
      </x:c>
      <x:c r="E40" s="32" t="n">
        <x:v>0.5</x:v>
      </x:c>
      <x:c r="F40" s="33" t="n">
        <x:v>23424</x:v>
      </x:c>
      <x:c r="G40" s="33" t="n">
        <x:v>22020096</x:v>
      </x:c>
      <x:c r="H40" s="33" t="str">
        <x:v>EP</x:v>
      </x:c>
      <x:c r="I40" s="33" t="n">
        <x:f>'Prefill'!$P$14</x:f>
        <x:v>8</x:v>
      </x:c>
      <x:c r="J40" s="34" t="n">
        <x:f>E40*F40*G40/1073741824</x:f>
        <x:v>240.1875</x:v>
      </x:c>
      <x:c r="K40" s="34" t="n">
        <x:f>J40/I40</x:f>
        <x:v>30.0234375</x:v>
      </x:c>
      <x:c r="L40" s="30"/>
      <x:c r="M40" s="30"/>
      <x:c r="N40" s="30"/>
      <x:c r="O40" s="30"/>
      <x:c r="P40" s="30"/>
    </x:row>
    <x:row r="41">
      <x:c r="A41" s="30" t="str">
        <x:v>Routed Experts</x:v>
      </x:c>
      <x:c r="B41" s="30" t="str">
        <x:v>ffn.experts.w3.weight_scale</x:v>
      </x:c>
      <x:c r="C41" s="30" t="str">
        <x:v>[3072, 224]</x:v>
      </x:c>
      <x:c r="D41" s="30" t="str">
        <x:v>E8M0</x:v>
      </x:c>
      <x:c r="E41" s="32" t="n">
        <x:v>1</x:v>
      </x:c>
      <x:c r="F41" s="33" t="n">
        <x:v>23424</x:v>
      </x:c>
      <x:c r="G41" s="33" t="n">
        <x:v>688128</x:v>
      </x:c>
      <x:c r="H41" s="33" t="str">
        <x:v>EP</x:v>
      </x:c>
      <x:c r="I41" s="33" t="n">
        <x:f>'Prefill'!$P$14</x:f>
        <x:v>8</x:v>
      </x:c>
      <x:c r="J41" s="34" t="n">
        <x:f>E41*F41*G41/1073741824</x:f>
        <x:v>15.01171875</x:v>
      </x:c>
      <x:c r="K41" s="34" t="n">
        <x:f>J41/I41</x:f>
        <x:v>1.87646484375</x:v>
      </x:c>
      <x:c r="L41" s="30"/>
      <x:c r="M41" s="30"/>
      <x:c r="N41" s="30"/>
      <x:c r="O41" s="30"/>
      <x:c r="P41" s="30"/>
    </x:row>
    <x:row r="42">
      <x:c r="A42" s="30" t="str">
        <x:v>Routed Experts</x:v>
      </x:c>
      <x:c r="B42" s="30" t="str">
        <x:v>ffn.experts.w2.weight</x:v>
      </x:c>
      <x:c r="C42" s="30" t="str">
        <x:v>[7168, 3072]</x:v>
      </x:c>
      <x:c r="D42" s="30" t="str">
        <x:v>FP4</x:v>
      </x:c>
      <x:c r="E42" s="32" t="n">
        <x:v>0.5</x:v>
      </x:c>
      <x:c r="F42" s="33" t="n">
        <x:v>23424</x:v>
      </x:c>
      <x:c r="G42" s="33" t="n">
        <x:v>22020096</x:v>
      </x:c>
      <x:c r="H42" s="33" t="str">
        <x:v>EP</x:v>
      </x:c>
      <x:c r="I42" s="33" t="n">
        <x:f>'Prefill'!$P$14</x:f>
        <x:v>8</x:v>
      </x:c>
      <x:c r="J42" s="34" t="n">
        <x:f>E42*F42*G42/1073741824</x:f>
        <x:v>240.1875</x:v>
      </x:c>
      <x:c r="K42" s="34" t="n">
        <x:f>J42/I42</x:f>
        <x:v>30.0234375</x:v>
      </x:c>
      <x:c r="L42" s="30"/>
      <x:c r="M42" s="30"/>
      <x:c r="N42" s="30"/>
      <x:c r="O42" s="30"/>
      <x:c r="P42" s="30"/>
    </x:row>
    <x:row r="43">
      <x:c r="A43" s="30" t="str">
        <x:v>Routed Experts</x:v>
      </x:c>
      <x:c r="B43" s="30" t="str">
        <x:v>ffn.experts.w2.weight_scale</x:v>
      </x:c>
      <x:c r="C43" s="30" t="str">
        <x:v>[7168, 96]</x:v>
      </x:c>
      <x:c r="D43" s="30" t="str">
        <x:v>E8M0</x:v>
      </x:c>
      <x:c r="E43" s="32" t="n">
        <x:v>1</x:v>
      </x:c>
      <x:c r="F43" s="33" t="n">
        <x:v>23424</x:v>
      </x:c>
      <x:c r="G43" s="33" t="n">
        <x:v>688128</x:v>
      </x:c>
      <x:c r="H43" s="33" t="str">
        <x:v>EP</x:v>
      </x:c>
      <x:c r="I43" s="33" t="n">
        <x:f>'Prefill'!$P$14</x:f>
        <x:v>8</x:v>
      </x:c>
      <x:c r="J43" s="34" t="n">
        <x:f>E43*F43*G43/1073741824</x:f>
        <x:v>15.01171875</x:v>
      </x:c>
      <x:c r="K43" s="34" t="n">
        <x:f>J43/I43</x:f>
        <x:v>1.87646484375</x:v>
      </x:c>
      <x:c r="L43" s="30"/>
      <x:c r="M43" s="30"/>
      <x:c r="N43" s="30"/>
      <x:c r="O43" s="30"/>
      <x:c r="P43" s="30"/>
    </x:row>
    <x:row r="44">
      <x:c r="A44" s="30" t="str">
        <x:v>Shared Experts</x:v>
      </x:c>
      <x:c r="B44" s="30" t="str">
        <x:v>ffn.shared_experts.w1.weight</x:v>
      </x:c>
      <x:c r="C44" s="30" t="str">
        <x:v>[3072, 7168]</x:v>
      </x:c>
      <x:c r="D44" s="30" t="str">
        <x:v>FP8 E4M3</x:v>
      </x:c>
      <x:c r="E44" s="32" t="n">
        <x:v>1</x:v>
      </x:c>
      <x:c r="F44" s="33" t="n">
        <x:v>61</x:v>
      </x:c>
      <x:c r="G44" s="33" t="n">
        <x:v>22020096</x:v>
      </x:c>
      <x:c r="H44" s="33" t="str">
        <x:v>共享专家 TP/DP</x:v>
      </x:c>
      <x:c r="I44" s="33" t="n">
        <x:f>IF('Prefill'!$P$17="TP",'Prefill'!$P$18,1)</x:f>
        <x:v>8</x:v>
      </x:c>
      <x:c r="J44" s="34" t="n">
        <x:f>E44*F44*G44/1073741824</x:f>
        <x:v>1.2509765625</x:v>
      </x:c>
      <x:c r="K44" s="34" t="n">
        <x:f>J44/I44</x:f>
        <x:v>0.1563720703125</x:v>
      </x:c>
      <x:c r="L44" s="30"/>
      <x:c r="M44" s="30"/>
      <x:c r="N44" s="30"/>
      <x:c r="O44" s="30"/>
      <x:c r="P44" s="30"/>
    </x:row>
    <x:row r="45">
      <x:c r="A45" s="30" t="str">
        <x:v>Shared Experts</x:v>
      </x:c>
      <x:c r="B45" s="30" t="str">
        <x:v>ffn.shared_experts.w1.weight_scale</x:v>
      </x:c>
      <x:c r="C45" s="30" t="str">
        <x:v>[24, 56]</x:v>
      </x:c>
      <x:c r="D45" s="30" t="str">
        <x:v>F8_E8M0</x:v>
      </x:c>
      <x:c r="E45" s="32" t="n">
        <x:v>1</x:v>
      </x:c>
      <x:c r="F45" s="33" t="n">
        <x:v>61</x:v>
      </x:c>
      <x:c r="G45" s="33" t="n">
        <x:v>1344</x:v>
      </x:c>
      <x:c r="H45" s="33" t="str">
        <x:v>共享专家 TP/DP</x:v>
      </x:c>
      <x:c r="I45" s="33" t="n">
        <x:f>IF('Prefill'!$P$17="TP",'Prefill'!$P$18,1)</x:f>
        <x:v>8</x:v>
      </x:c>
      <x:c r="J45" s="34" t="n">
        <x:f>E45*F45*G45/1073741824</x:f>
        <x:v>0.00007635354995727539</x:v>
      </x:c>
      <x:c r="K45" s="34" t="n">
        <x:f>J45/I45</x:f>
        <x:v>0.000009544193744659424</x:v>
      </x:c>
      <x:c r="L45" s="30"/>
      <x:c r="M45" s="30"/>
      <x:c r="N45" s="30"/>
      <x:c r="O45" s="30"/>
      <x:c r="P45" s="30"/>
    </x:row>
    <x:row r="46">
      <x:c r="A46" s="30" t="str">
        <x:v>Shared Experts</x:v>
      </x:c>
      <x:c r="B46" s="30" t="str">
        <x:v>ffn.shared_experts.w3.weight</x:v>
      </x:c>
      <x:c r="C46" s="30" t="str">
        <x:v>[3072, 7168]</x:v>
      </x:c>
      <x:c r="D46" s="30" t="str">
        <x:v>FP8 E4M3</x:v>
      </x:c>
      <x:c r="E46" s="32" t="n">
        <x:v>1</x:v>
      </x:c>
      <x:c r="F46" s="33" t="n">
        <x:v>61</x:v>
      </x:c>
      <x:c r="G46" s="33" t="n">
        <x:v>22020096</x:v>
      </x:c>
      <x:c r="H46" s="33" t="str">
        <x:v>共享专家 TP/DP</x:v>
      </x:c>
      <x:c r="I46" s="33" t="n">
        <x:f>IF('Prefill'!$P$17="TP",'Prefill'!$P$18,1)</x:f>
        <x:v>8</x:v>
      </x:c>
      <x:c r="J46" s="34" t="n">
        <x:f>E46*F46*G46/1073741824</x:f>
        <x:v>1.2509765625</x:v>
      </x:c>
      <x:c r="K46" s="34" t="n">
        <x:f>J46/I46</x:f>
        <x:v>0.1563720703125</x:v>
      </x:c>
      <x:c r="L46" s="30"/>
      <x:c r="M46" s="30"/>
      <x:c r="N46" s="30"/>
      <x:c r="O46" s="30"/>
      <x:c r="P46" s="30"/>
    </x:row>
    <x:row r="47">
      <x:c r="A47" s="30" t="str">
        <x:v>Shared Experts</x:v>
      </x:c>
      <x:c r="B47" s="30" t="str">
        <x:v>ffn.shared_experts.w3.weight_scale</x:v>
      </x:c>
      <x:c r="C47" s="30" t="str">
        <x:v>[24, 56]</x:v>
      </x:c>
      <x:c r="D47" s="30" t="str">
        <x:v>F8_E8M0</x:v>
      </x:c>
      <x:c r="E47" s="32" t="n">
        <x:v>1</x:v>
      </x:c>
      <x:c r="F47" s="33" t="n">
        <x:v>61</x:v>
      </x:c>
      <x:c r="G47" s="33" t="n">
        <x:v>1344</x:v>
      </x:c>
      <x:c r="H47" s="33" t="str">
        <x:v>共享专家 TP/DP</x:v>
      </x:c>
      <x:c r="I47" s="33" t="n">
        <x:f>IF('Prefill'!$P$17="TP",'Prefill'!$P$18,1)</x:f>
        <x:v>8</x:v>
      </x:c>
      <x:c r="J47" s="34" t="n">
        <x:f>E47*F47*G47/1073741824</x:f>
        <x:v>0.00007635354995727539</x:v>
      </x:c>
      <x:c r="K47" s="34" t="n">
        <x:f>J47/I47</x:f>
        <x:v>0.000009544193744659424</x:v>
      </x:c>
      <x:c r="L47" s="30"/>
      <x:c r="M47" s="30"/>
      <x:c r="N47" s="30"/>
      <x:c r="O47" s="30"/>
      <x:c r="P47" s="30"/>
    </x:row>
    <x:row r="48">
      <x:c r="A48" s="30" t="str">
        <x:v>Shared Experts</x:v>
      </x:c>
      <x:c r="B48" s="30" t="str">
        <x:v>ffn.shared_experts.w2.weight</x:v>
      </x:c>
      <x:c r="C48" s="30" t="str">
        <x:v>[7168, 3072]</x:v>
      </x:c>
      <x:c r="D48" s="30" t="str">
        <x:v>FP8 E4M3</x:v>
      </x:c>
      <x:c r="E48" s="32" t="n">
        <x:v>1</x:v>
      </x:c>
      <x:c r="F48" s="33" t="n">
        <x:v>61</x:v>
      </x:c>
      <x:c r="G48" s="33" t="n">
        <x:v>22020096</x:v>
      </x:c>
      <x:c r="H48" s="33" t="str">
        <x:v>共享专家 TP/DP</x:v>
      </x:c>
      <x:c r="I48" s="33" t="n">
        <x:f>IF('Prefill'!$P$17="TP",'Prefill'!$P$18,1)</x:f>
        <x:v>8</x:v>
      </x:c>
      <x:c r="J48" s="34" t="n">
        <x:f>E48*F48*G48/1073741824</x:f>
        <x:v>1.2509765625</x:v>
      </x:c>
      <x:c r="K48" s="34" t="n">
        <x:f>J48/I48</x:f>
        <x:v>0.1563720703125</x:v>
      </x:c>
      <x:c r="L48" s="30"/>
      <x:c r="M48" s="30"/>
      <x:c r="N48" s="30"/>
      <x:c r="O48" s="30"/>
      <x:c r="P48" s="30"/>
    </x:row>
    <x:row r="49">
      <x:c r="A49" s="30" t="str">
        <x:v>Shared Experts</x:v>
      </x:c>
      <x:c r="B49" s="30" t="str">
        <x:v>ffn.shared_experts.w2.weight_scale</x:v>
      </x:c>
      <x:c r="C49" s="30" t="str">
        <x:v>[56, 24]</x:v>
      </x:c>
      <x:c r="D49" s="30" t="str">
        <x:v>F8_E8M0</x:v>
      </x:c>
      <x:c r="E49" s="32" t="n">
        <x:v>1</x:v>
      </x:c>
      <x:c r="F49" s="33" t="n">
        <x:v>61</x:v>
      </x:c>
      <x:c r="G49" s="33" t="n">
        <x:v>1344</x:v>
      </x:c>
      <x:c r="H49" s="33" t="str">
        <x:v>共享专家 TP/DP</x:v>
      </x:c>
      <x:c r="I49" s="33" t="n">
        <x:f>IF('Prefill'!$P$17="TP",'Prefill'!$P$18,1)</x:f>
        <x:v>8</x:v>
      </x:c>
      <x:c r="J49" s="34" t="n">
        <x:f>E49*F49*G49/1073741824</x:f>
        <x:v>0.00007635354995727539</x:v>
      </x:c>
      <x:c r="K49" s="34" t="n">
        <x:f>J49/I49</x:f>
        <x:v>0.000009544193744659424</x:v>
      </x:c>
      <x:c r="L49" s="30"/>
      <x:c r="M49" s="30"/>
      <x:c r="N49" s="30"/>
      <x:c r="O49" s="30"/>
      <x:c r="P49" s="30"/>
    </x:row>
    <x:row r="50">
      <x:c r="A50" s="30" t="str">
        <x:v>HC</x:v>
      </x:c>
      <x:c r="B50" s="30" t="str">
        <x:v>hc_attn_fn</x:v>
      </x:c>
      <x:c r="C50" s="30" t="str">
        <x:v>[24, 28672]</x:v>
      </x:c>
      <x:c r="D50" s="30" t="str">
        <x:v>F32</x:v>
      </x:c>
      <x:c r="E50" s="32" t="n">
        <x:v>4</x:v>
      </x:c>
      <x:c r="F50" s="33" t="n">
        <x:v>61</x:v>
      </x:c>
      <x:c r="G50" s="33" t="n">
        <x:v>688128</x:v>
      </x:c>
      <x:c r="H50" s="33" t="str">
        <x:v>Replicated</x:v>
      </x:c>
      <x:c r="I50" s="33" t="n">
        <x:f>1</x:f>
        <x:v>1</x:v>
      </x:c>
      <x:c r="J50" s="34" t="n">
        <x:f>E50*F50*G50/1073741824</x:f>
        <x:v>0.1563720703125</x:v>
      </x:c>
      <x:c r="K50" s="34" t="n">
        <x:f>J50/I50</x:f>
        <x:v>0.1563720703125</x:v>
      </x:c>
      <x:c r="L50" s="30"/>
      <x:c r="M50" s="30"/>
      <x:c r="N50" s="30"/>
      <x:c r="O50" s="30"/>
      <x:c r="P50" s="30"/>
    </x:row>
    <x:row r="51">
      <x:c r="A51" s="30" t="str">
        <x:v>HC</x:v>
      </x:c>
      <x:c r="B51" s="30" t="str">
        <x:v>hc_ffn_fn</x:v>
      </x:c>
      <x:c r="C51" s="30" t="str">
        <x:v>[24, 28672]</x:v>
      </x:c>
      <x:c r="D51" s="30" t="str">
        <x:v>F32</x:v>
      </x:c>
      <x:c r="E51" s="32" t="n">
        <x:v>4</x:v>
      </x:c>
      <x:c r="F51" s="33" t="n">
        <x:v>61</x:v>
      </x:c>
      <x:c r="G51" s="33" t="n">
        <x:v>688128</x:v>
      </x:c>
      <x:c r="H51" s="33" t="str">
        <x:v>Replicated</x:v>
      </x:c>
      <x:c r="I51" s="33" t="n">
        <x:f>1</x:f>
        <x:v>1</x:v>
      </x:c>
      <x:c r="J51" s="34" t="n">
        <x:f>E51*F51*G51/1073741824</x:f>
        <x:v>0.1563720703125</x:v>
      </x:c>
      <x:c r="K51" s="34" t="n">
        <x:f>J51/I51</x:f>
        <x:v>0.1563720703125</x:v>
      </x:c>
      <x:c r="L51" s="30"/>
      <x:c r="M51" s="30"/>
      <x:c r="N51" s="30"/>
      <x:c r="O51" s="30"/>
      <x:c r="P51" s="30"/>
    </x:row>
    <x:row r="52">
      <x:c r="A52" s="30" t="str">
        <x:v>HC</x:v>
      </x:c>
      <x:c r="B52" s="30" t="str">
        <x:v>hc_attn_base</x:v>
      </x:c>
      <x:c r="C52" s="30" t="str">
        <x:v>[24]</x:v>
      </x:c>
      <x:c r="D52" s="30" t="str">
        <x:v>F32</x:v>
      </x:c>
      <x:c r="E52" s="32" t="n">
        <x:v>4</x:v>
      </x:c>
      <x:c r="F52" s="33" t="n">
        <x:v>61</x:v>
      </x:c>
      <x:c r="G52" s="33" t="n">
        <x:v>24</x:v>
      </x:c>
      <x:c r="H52" s="33" t="str">
        <x:v>Replicated</x:v>
      </x:c>
      <x:c r="I52" s="33" t="n">
        <x:f>1</x:f>
        <x:v>1</x:v>
      </x:c>
      <x:c r="J52" s="34" t="n">
        <x:f>E52*F52*G52/1073741824</x:f>
        <x:v>0.000005453824996948242</x:v>
      </x:c>
      <x:c r="K52" s="34" t="n">
        <x:f>J52/I52</x:f>
        <x:v>0.000005453824996948242</x:v>
      </x:c>
      <x:c r="L52" s="30"/>
      <x:c r="M52" s="30"/>
      <x:c r="N52" s="30"/>
      <x:c r="O52" s="30"/>
      <x:c r="P52" s="30"/>
    </x:row>
    <x:row r="53">
      <x:c r="A53" s="30" t="str">
        <x:v>HC</x:v>
      </x:c>
      <x:c r="B53" s="30" t="str">
        <x:v>hc_ffn_base</x:v>
      </x:c>
      <x:c r="C53" s="30" t="str">
        <x:v>[24]</x:v>
      </x:c>
      <x:c r="D53" s="30" t="str">
        <x:v>F32</x:v>
      </x:c>
      <x:c r="E53" s="32" t="n">
        <x:v>4</x:v>
      </x:c>
      <x:c r="F53" s="33" t="n">
        <x:v>61</x:v>
      </x:c>
      <x:c r="G53" s="33" t="n">
        <x:v>24</x:v>
      </x:c>
      <x:c r="H53" s="33" t="str">
        <x:v>Replicated</x:v>
      </x:c>
      <x:c r="I53" s="33" t="n">
        <x:f>1</x:f>
        <x:v>1</x:v>
      </x:c>
      <x:c r="J53" s="34" t="n">
        <x:f>E53*F53*G53/1073741824</x:f>
        <x:v>0.000005453824996948242</x:v>
      </x:c>
      <x:c r="K53" s="34" t="n">
        <x:f>J53/I53</x:f>
        <x:v>0.000005453824996948242</x:v>
      </x:c>
      <x:c r="L53" s="30"/>
      <x:c r="M53" s="30"/>
      <x:c r="N53" s="30"/>
      <x:c r="O53" s="30"/>
      <x:c r="P53" s="30"/>
    </x:row>
    <x:row r="54">
      <x:c r="A54" s="30" t="str">
        <x:v>HC</x:v>
      </x:c>
      <x:c r="B54" s="30" t="str">
        <x:v>hc_attn_scale</x:v>
      </x:c>
      <x:c r="C54" s="30" t="str">
        <x:v>[3]</x:v>
      </x:c>
      <x:c r="D54" s="30" t="str">
        <x:v>F32</x:v>
      </x:c>
      <x:c r="E54" s="32" t="n">
        <x:v>4</x:v>
      </x:c>
      <x:c r="F54" s="33" t="n">
        <x:v>61</x:v>
      </x:c>
      <x:c r="G54" s="33" t="n">
        <x:v>3</x:v>
      </x:c>
      <x:c r="H54" s="33" t="str">
        <x:v>Replicated</x:v>
      </x:c>
      <x:c r="I54" s="33" t="n">
        <x:f>1</x:f>
        <x:v>1</x:v>
      </x:c>
      <x:c r="J54" s="34" t="n">
        <x:f>E54*F54*G54/1073741824</x:f>
        <x:v>6.817281246185303e-7</x:v>
      </x:c>
      <x:c r="K54" s="34" t="n">
        <x:f>J54/I54</x:f>
        <x:v>6.817281246185303e-7</x:v>
      </x:c>
      <x:c r="L54" s="30"/>
      <x:c r="M54" s="30"/>
      <x:c r="N54" s="30"/>
      <x:c r="O54" s="30"/>
      <x:c r="P54" s="30"/>
    </x:row>
    <x:row r="55">
      <x:c r="A55" s="30" t="str">
        <x:v>HC</x:v>
      </x:c>
      <x:c r="B55" s="30" t="str">
        <x:v>hc_ffn_scale</x:v>
      </x:c>
      <x:c r="C55" s="30" t="str">
        <x:v>[3]</x:v>
      </x:c>
      <x:c r="D55" s="30" t="str">
        <x:v>F32</x:v>
      </x:c>
      <x:c r="E55" s="32" t="n">
        <x:v>4</x:v>
      </x:c>
      <x:c r="F55" s="33" t="n">
        <x:v>61</x:v>
      </x:c>
      <x:c r="G55" s="33" t="n">
        <x:v>3</x:v>
      </x:c>
      <x:c r="H55" s="33" t="str">
        <x:v>Replicated</x:v>
      </x:c>
      <x:c r="I55" s="33" t="n">
        <x:f>1</x:f>
        <x:v>1</x:v>
      </x:c>
      <x:c r="J55" s="34" t="n">
        <x:f>E55*F55*G55/1073741824</x:f>
        <x:v>6.817281246185303e-7</x:v>
      </x:c>
      <x:c r="K55" s="34" t="n">
        <x:f>J55/I55</x:f>
        <x:v>6.817281246185303e-7</x:v>
      </x:c>
      <x:c r="L55" s="30"/>
      <x:c r="M55" s="30"/>
      <x:c r="N55" s="30"/>
      <x:c r="O55" s="30"/>
      <x:c r="P55" s="30"/>
    </x:row>
    <x:row r="56">
      <x:c r="A56" s="30" t="str">
        <x:v>MTP</x:v>
      </x:c>
      <x:c r="B56" s="30" t="str">
        <x:v>mtp.attn_norm.weight</x:v>
      </x:c>
      <x:c r="C56" s="30" t="str">
        <x:v>[7168]</x:v>
      </x:c>
      <x:c r="D56" s="30" t="str">
        <x:v>BF16</x:v>
      </x:c>
      <x:c r="E56" s="32" t="n">
        <x:v>2</x:v>
      </x:c>
      <x:c r="F56" s="33" t="n">
        <x:v>3</x:v>
      </x:c>
      <x:c r="G56" s="33" t="n">
        <x:v>7168</x:v>
      </x:c>
      <x:c r="H56" s="33" t="str">
        <x:v>Replicated</x:v>
      </x:c>
      <x:c r="I56" s="33" t="n">
        <x:f>1</x:f>
        <x:v>1</x:v>
      </x:c>
      <x:c r="J56" s="34" t="n">
        <x:f>E56*F56*G56/1073741824</x:f>
        <x:v>0.0000400543212890625</x:v>
      </x:c>
      <x:c r="K56" s="34" t="n">
        <x:f>J56/I56</x:f>
        <x:v>0.0000400543212890625</x:v>
      </x:c>
      <x:c r="L56" s="30"/>
      <x:c r="M56" s="30"/>
      <x:c r="N56" s="30"/>
      <x:c r="O56" s="30"/>
      <x:c r="P56" s="30"/>
    </x:row>
    <x:row r="57">
      <x:c r="A57" s="30" t="str">
        <x:v>MTP</x:v>
      </x:c>
      <x:c r="B57" s="30" t="str">
        <x:v>mtp.ffn_norm.weight</x:v>
      </x:c>
      <x:c r="C57" s="30" t="str">
        <x:v>[7168]</x:v>
      </x:c>
      <x:c r="D57" s="30" t="str">
        <x:v>BF16</x:v>
      </x:c>
      <x:c r="E57" s="32" t="n">
        <x:v>2</x:v>
      </x:c>
      <x:c r="F57" s="33" t="n">
        <x:v>3</x:v>
      </x:c>
      <x:c r="G57" s="33" t="n">
        <x:v>7168</x:v>
      </x:c>
      <x:c r="H57" s="33" t="str">
        <x:v>Replicated</x:v>
      </x:c>
      <x:c r="I57" s="33" t="n">
        <x:f>1</x:f>
        <x:v>1</x:v>
      </x:c>
      <x:c r="J57" s="34" t="n">
        <x:f>E57*F57*G57/1073741824</x:f>
        <x:v>0.0000400543212890625</x:v>
      </x:c>
      <x:c r="K57" s="34" t="n">
        <x:f>J57/I57</x:f>
        <x:v>0.0000400543212890625</x:v>
      </x:c>
      <x:c r="L57" s="30"/>
      <x:c r="M57" s="30"/>
      <x:c r="N57" s="30"/>
      <x:c r="O57" s="30"/>
      <x:c r="P57" s="30"/>
    </x:row>
    <x:row r="58">
      <x:c r="A58" s="30" t="str">
        <x:v>MTP</x:v>
      </x:c>
      <x:c r="B58" s="30" t="str">
        <x:v>mtp.attn.attn_sink</x:v>
      </x:c>
      <x:c r="C58" s="30" t="str">
        <x:v>[128]</x:v>
      </x:c>
      <x:c r="D58" s="30" t="str">
        <x:v>F32</x:v>
      </x:c>
      <x:c r="E58" s="32" t="n">
        <x:v>4</x:v>
      </x:c>
      <x:c r="F58" s="33" t="n">
        <x:v>3</x:v>
      </x:c>
      <x:c r="G58" s="33" t="n">
        <x:v>128</x:v>
      </x:c>
      <x:c r="H58" s="33" t="str">
        <x:v>DSA CP / TP</x:v>
      </x:c>
      <x:c r="I58" s="33" t="n">
        <x:f>IF('Prefill'!$P$25&lt;&gt;0,1,'Prefill'!$P$12)</x:f>
        <x:v>1</x:v>
      </x:c>
      <x:c r="J58" s="34" t="n">
        <x:f>E58*F58*G58/1073741824</x:f>
        <x:v>0.000001430511474609375</x:v>
      </x:c>
      <x:c r="K58" s="34" t="n">
        <x:f>J58/I58</x:f>
        <x:v>0.000001430511474609375</x:v>
      </x:c>
      <x:c r="L58" s="30"/>
      <x:c r="M58" s="30"/>
      <x:c r="N58" s="30"/>
      <x:c r="O58" s="30"/>
      <x:c r="P58" s="30"/>
    </x:row>
    <x:row r="59">
      <x:c r="A59" s="30" t="str">
        <x:v>MTP</x:v>
      </x:c>
      <x:c r="B59" s="30" t="str">
        <x:v>mtp.attn.wq_a.weight</x:v>
      </x:c>
      <x:c r="C59" s="30" t="str">
        <x:v>[1536, 7168]</x:v>
      </x:c>
      <x:c r="D59" s="30" t="str">
        <x:v>FP8 E4M3</x:v>
      </x:c>
      <x:c r="E59" s="32" t="n">
        <x:v>1</x:v>
      </x:c>
      <x:c r="F59" s="33" t="n">
        <x:v>3</x:v>
      </x:c>
      <x:c r="G59" s="33" t="n">
        <x:v>11010048</x:v>
      </x:c>
      <x:c r="H59" s="33" t="str">
        <x:v>Replicated</x:v>
      </x:c>
      <x:c r="I59" s="33" t="n">
        <x:f>1</x:f>
        <x:v>1</x:v>
      </x:c>
      <x:c r="J59" s="34" t="n">
        <x:f>E59*F59*G59/1073741824</x:f>
        <x:v>0.03076171875</x:v>
      </x:c>
      <x:c r="K59" s="34" t="n">
        <x:f>J59/I59</x:f>
        <x:v>0.03076171875</x:v>
      </x:c>
      <x:c r="L59" s="30"/>
      <x:c r="M59" s="30"/>
      <x:c r="N59" s="30"/>
      <x:c r="O59" s="30"/>
      <x:c r="P59" s="30"/>
    </x:row>
    <x:row r="60">
      <x:c r="A60" s="30" t="str">
        <x:v>MTP</x:v>
      </x:c>
      <x:c r="B60" s="30" t="str">
        <x:v>mtp.attn.wq_a.weight_scale</x:v>
      </x:c>
      <x:c r="C60" s="30" t="str">
        <x:v>[12, 56]</x:v>
      </x:c>
      <x:c r="D60" s="30" t="str">
        <x:v>F8_E8M0</x:v>
      </x:c>
      <x:c r="E60" s="32" t="n">
        <x:v>1</x:v>
      </x:c>
      <x:c r="F60" s="33" t="n">
        <x:v>3</x:v>
      </x:c>
      <x:c r="G60" s="33" t="n">
        <x:v>672</x:v>
      </x:c>
      <x:c r="H60" s="33" t="str">
        <x:v>Replicated</x:v>
      </x:c>
      <x:c r="I60" s="33" t="n">
        <x:f>1</x:f>
        <x:v>1</x:v>
      </x:c>
      <x:c r="J60" s="34" t="n">
        <x:f>E60*F60*G60/1073741824</x:f>
        <x:v>0.0000018775463104248047</x:v>
      </x:c>
      <x:c r="K60" s="34" t="n">
        <x:f>J60/I60</x:f>
        <x:v>0.0000018775463104248047</x:v>
      </x:c>
      <x:c r="L60" s="30"/>
      <x:c r="M60" s="30"/>
      <x:c r="N60" s="30"/>
      <x:c r="O60" s="30"/>
      <x:c r="P60" s="30"/>
    </x:row>
    <x:row r="61">
      <x:c r="A61" s="30" t="str">
        <x:v>MTP</x:v>
      </x:c>
      <x:c r="B61" s="30" t="str">
        <x:v>mtp.attn.q_norm.weight</x:v>
      </x:c>
      <x:c r="C61" s="30" t="str">
        <x:v>[1536]</x:v>
      </x:c>
      <x:c r="D61" s="30" t="str">
        <x:v>BF16</x:v>
      </x:c>
      <x:c r="E61" s="32" t="n">
        <x:v>2</x:v>
      </x:c>
      <x:c r="F61" s="33" t="n">
        <x:v>3</x:v>
      </x:c>
      <x:c r="G61" s="33" t="n">
        <x:v>1536</x:v>
      </x:c>
      <x:c r="H61" s="33" t="str">
        <x:v>Replicated</x:v>
      </x:c>
      <x:c r="I61" s="33" t="n">
        <x:f>1</x:f>
        <x:v>1</x:v>
      </x:c>
      <x:c r="J61" s="34" t="n">
        <x:f>E61*F61*G61/1073741824</x:f>
        <x:v>0.00000858306884765625</x:v>
      </x:c>
      <x:c r="K61" s="34" t="n">
        <x:f>J61/I61</x:f>
        <x:v>0.00000858306884765625</x:v>
      </x:c>
      <x:c r="L61" s="30"/>
      <x:c r="M61" s="30"/>
      <x:c r="N61" s="30"/>
      <x:c r="O61" s="30"/>
      <x:c r="P61" s="30"/>
    </x:row>
    <x:row r="62">
      <x:c r="A62" s="30" t="str">
        <x:v>MTP</x:v>
      </x:c>
      <x:c r="B62" s="30" t="str">
        <x:v>mtp.attn.wq_b.weight</x:v>
      </x:c>
      <x:c r="C62" s="30" t="str">
        <x:v>[65536, 1536]</x:v>
      </x:c>
      <x:c r="D62" s="30" t="str">
        <x:v>FP8 E4M3</x:v>
      </x:c>
      <x:c r="E62" s="32" t="n">
        <x:v>1</x:v>
      </x:c>
      <x:c r="F62" s="33" t="n">
        <x:v>3</x:v>
      </x:c>
      <x:c r="G62" s="33" t="n">
        <x:v>100663296</x:v>
      </x:c>
      <x:c r="H62" s="33" t="str">
        <x:v>DSA CP / TP</x:v>
      </x:c>
      <x:c r="I62" s="33" t="n">
        <x:f>IF('Prefill'!$P$25&lt;&gt;0,1,'Prefill'!$P$12)</x:f>
        <x:v>1</x:v>
      </x:c>
      <x:c r="J62" s="34" t="n">
        <x:f>E62*F62*G62/1073741824</x:f>
        <x:v>0.28125</x:v>
      </x:c>
      <x:c r="K62" s="34" t="n">
        <x:f>J62/I62</x:f>
        <x:v>0.28125</x:v>
      </x:c>
      <x:c r="L62" s="30"/>
      <x:c r="M62" s="30"/>
      <x:c r="N62" s="30"/>
      <x:c r="O62" s="30"/>
      <x:c r="P62" s="30"/>
    </x:row>
    <x:row r="63">
      <x:c r="A63" s="30" t="str">
        <x:v>MTP</x:v>
      </x:c>
      <x:c r="B63" s="30" t="str">
        <x:v>mtp.attn.wq_b.weight_scale</x:v>
      </x:c>
      <x:c r="C63" s="30" t="str">
        <x:v>[512, 12]</x:v>
      </x:c>
      <x:c r="D63" s="30" t="str">
        <x:v>F8_E8M0</x:v>
      </x:c>
      <x:c r="E63" s="32" t="n">
        <x:v>1</x:v>
      </x:c>
      <x:c r="F63" s="33" t="n">
        <x:v>3</x:v>
      </x:c>
      <x:c r="G63" s="33" t="n">
        <x:v>6144</x:v>
      </x:c>
      <x:c r="H63" s="33" t="str">
        <x:v>DSA CP / TP</x:v>
      </x:c>
      <x:c r="I63" s="33" t="n">
        <x:f>IF('Prefill'!$P$25&lt;&gt;0,1,'Prefill'!$P$12)</x:f>
        <x:v>1</x:v>
      </x:c>
      <x:c r="J63" s="34" t="n">
        <x:f>E63*F63*G63/1073741824</x:f>
        <x:v>0.0000171661376953125</x:v>
      </x:c>
      <x:c r="K63" s="34" t="n">
        <x:f>J63/I63</x:f>
        <x:v>0.0000171661376953125</x:v>
      </x:c>
      <x:c r="L63" s="30"/>
      <x:c r="M63" s="30"/>
      <x:c r="N63" s="30"/>
      <x:c r="O63" s="30"/>
      <x:c r="P63" s="30"/>
    </x:row>
    <x:row r="64">
      <x:c r="A64" s="30" t="str">
        <x:v>MTP</x:v>
      </x:c>
      <x:c r="B64" s="30" t="str">
        <x:v>mtp.attn.wkv.weight</x:v>
      </x:c>
      <x:c r="C64" s="30" t="str">
        <x:v>[512, 7168]</x:v>
      </x:c>
      <x:c r="D64" s="30" t="str">
        <x:v>FP8 E4M3</x:v>
      </x:c>
      <x:c r="E64" s="32" t="n">
        <x:v>1</x:v>
      </x:c>
      <x:c r="F64" s="33" t="n">
        <x:v>3</x:v>
      </x:c>
      <x:c r="G64" s="33" t="n">
        <x:v>3670016</x:v>
      </x:c>
      <x:c r="H64" s="33" t="str">
        <x:v>Replicated</x:v>
      </x:c>
      <x:c r="I64" s="33" t="n">
        <x:f>1</x:f>
        <x:v>1</x:v>
      </x:c>
      <x:c r="J64" s="34" t="n">
        <x:f>E64*F64*G64/1073741824</x:f>
        <x:v>0.01025390625</x:v>
      </x:c>
      <x:c r="K64" s="34" t="n">
        <x:f>J64/I64</x:f>
        <x:v>0.01025390625</x:v>
      </x:c>
      <x:c r="L64" s="30"/>
      <x:c r="M64" s="30"/>
      <x:c r="N64" s="30"/>
      <x:c r="O64" s="30"/>
      <x:c r="P64" s="30"/>
    </x:row>
    <x:row r="65">
      <x:c r="A65" s="30" t="str">
        <x:v>MTP</x:v>
      </x:c>
      <x:c r="B65" s="30" t="str">
        <x:v>mtp.attn.wkv.weight_scale</x:v>
      </x:c>
      <x:c r="C65" s="30" t="str">
        <x:v>[4, 56]</x:v>
      </x:c>
      <x:c r="D65" s="30" t="str">
        <x:v>F8_E8M0</x:v>
      </x:c>
      <x:c r="E65" s="32" t="n">
        <x:v>1</x:v>
      </x:c>
      <x:c r="F65" s="33" t="n">
        <x:v>3</x:v>
      </x:c>
      <x:c r="G65" s="33" t="n">
        <x:v>224</x:v>
      </x:c>
      <x:c r="H65" s="33" t="str">
        <x:v>Replicated</x:v>
      </x:c>
      <x:c r="I65" s="33" t="n">
        <x:f>1</x:f>
        <x:v>1</x:v>
      </x:c>
      <x:c r="J65" s="34" t="n">
        <x:f>E65*F65*G65/1073741824</x:f>
        <x:v>6.258487701416016e-7</x:v>
      </x:c>
      <x:c r="K65" s="34" t="n">
        <x:f>J65/I65</x:f>
        <x:v>6.258487701416016e-7</x:v>
      </x:c>
      <x:c r="L65" s="30"/>
      <x:c r="M65" s="30"/>
      <x:c r="N65" s="30"/>
      <x:c r="O65" s="30"/>
      <x:c r="P65" s="30"/>
    </x:row>
    <x:row r="66">
      <x:c r="A66" s="30" t="str">
        <x:v>MTP</x:v>
      </x:c>
      <x:c r="B66" s="30" t="str">
        <x:v>mtp.attn.kv_norm.weight</x:v>
      </x:c>
      <x:c r="C66" s="30" t="str">
        <x:v>[512]</x:v>
      </x:c>
      <x:c r="D66" s="30" t="str">
        <x:v>BF16</x:v>
      </x:c>
      <x:c r="E66" s="32" t="n">
        <x:v>2</x:v>
      </x:c>
      <x:c r="F66" s="33" t="n">
        <x:v>3</x:v>
      </x:c>
      <x:c r="G66" s="33" t="n">
        <x:v>512</x:v>
      </x:c>
      <x:c r="H66" s="33" t="str">
        <x:v>Replicated</x:v>
      </x:c>
      <x:c r="I66" s="33" t="n">
        <x:f>1</x:f>
        <x:v>1</x:v>
      </x:c>
      <x:c r="J66" s="34" t="n">
        <x:f>E66*F66*G66/1073741824</x:f>
        <x:v>0.00000286102294921875</x:v>
      </x:c>
      <x:c r="K66" s="34" t="n">
        <x:f>J66/I66</x:f>
        <x:v>0.00000286102294921875</x:v>
      </x:c>
      <x:c r="L66" s="30"/>
      <x:c r="M66" s="30"/>
      <x:c r="N66" s="30"/>
      <x:c r="O66" s="30"/>
      <x:c r="P66" s="30"/>
    </x:row>
    <x:row r="67">
      <x:c r="A67" s="30" t="str">
        <x:v>MTP</x:v>
      </x:c>
      <x:c r="B67" s="30" t="str">
        <x:v>mtp.attn.wo_a.weight</x:v>
      </x:c>
      <x:c r="C67" s="30" t="str">
        <x:v>[16384, 4096]</x:v>
      </x:c>
      <x:c r="D67" s="30" t="str">
        <x:v>FP8 E4M3</x:v>
      </x:c>
      <x:c r="E67" s="32" t="n">
        <x:v>1</x:v>
      </x:c>
      <x:c r="F67" s="33" t="n">
        <x:v>3</x:v>
      </x:c>
      <x:c r="G67" s="33" t="n">
        <x:v>67108864</x:v>
      </x:c>
      <x:c r="H67" s="33" t="str">
        <x:v>O Proj TP</x:v>
      </x:c>
      <x:c r="I67" s="33" t="n">
        <x:f>IF('Prefill'!$P$19&gt;0,'Prefill'!$P$19,'Prefill'!$P$12)</x:f>
        <x:v>8</x:v>
      </x:c>
      <x:c r="J67" s="34" t="n">
        <x:f>E67*F67*G67/1073741824</x:f>
        <x:v>0.1875</x:v>
      </x:c>
      <x:c r="K67" s="34" t="n">
        <x:f>J67/I67</x:f>
        <x:v>0.0234375</x:v>
      </x:c>
      <x:c r="L67" s="30"/>
      <x:c r="M67" s="30"/>
      <x:c r="N67" s="30"/>
      <x:c r="O67" s="30"/>
      <x:c r="P67" s="30"/>
    </x:row>
    <x:row r="68">
      <x:c r="A68" s="30" t="str">
        <x:v>MTP</x:v>
      </x:c>
      <x:c r="B68" s="30" t="str">
        <x:v>mtp.attn.wo_a.weight_scale</x:v>
      </x:c>
      <x:c r="C68" s="30" t="str">
        <x:v>[128, 32]</x:v>
      </x:c>
      <x:c r="D68" s="30" t="str">
        <x:v>F8_E8M0</x:v>
      </x:c>
      <x:c r="E68" s="32" t="n">
        <x:v>1</x:v>
      </x:c>
      <x:c r="F68" s="33" t="n">
        <x:v>3</x:v>
      </x:c>
      <x:c r="G68" s="33" t="n">
        <x:v>4096</x:v>
      </x:c>
      <x:c r="H68" s="33" t="str">
        <x:v>O Proj TP</x:v>
      </x:c>
      <x:c r="I68" s="33" t="n">
        <x:f>IF('Prefill'!$P$19&gt;0,'Prefill'!$P$19,'Prefill'!$P$12)</x:f>
        <x:v>8</x:v>
      </x:c>
      <x:c r="J68" s="34" t="n">
        <x:f>E68*F68*G68/1073741824</x:f>
        <x:v>0.000011444091796875</x:v>
      </x:c>
      <x:c r="K68" s="34" t="n">
        <x:f>J68/I68</x:f>
        <x:v>0.000001430511474609375</x:v>
      </x:c>
      <x:c r="L68" s="30"/>
      <x:c r="M68" s="30"/>
      <x:c r="N68" s="30"/>
      <x:c r="O68" s="30"/>
      <x:c r="P68" s="30"/>
    </x:row>
    <x:row r="69">
      <x:c r="A69" s="30" t="str">
        <x:v>MTP</x:v>
      </x:c>
      <x:c r="B69" s="30" t="str">
        <x:v>mtp.attn.wo_b.weight</x:v>
      </x:c>
      <x:c r="C69" s="30" t="str">
        <x:v>[7168, 16384]</x:v>
      </x:c>
      <x:c r="D69" s="30" t="str">
        <x:v>FP8 E4M3</x:v>
      </x:c>
      <x:c r="E69" s="32" t="n">
        <x:v>1</x:v>
      </x:c>
      <x:c r="F69" s="33" t="n">
        <x:v>3</x:v>
      </x:c>
      <x:c r="G69" s="33" t="n">
        <x:v>117440512</x:v>
      </x:c>
      <x:c r="H69" s="33" t="str">
        <x:v>O Proj TP</x:v>
      </x:c>
      <x:c r="I69" s="33" t="n">
        <x:f>IF('Prefill'!$P$19&gt;0,'Prefill'!$P$19,'Prefill'!$P$12)</x:f>
        <x:v>8</x:v>
      </x:c>
      <x:c r="J69" s="34" t="n">
        <x:f>E69*F69*G69/1073741824</x:f>
        <x:v>0.328125</x:v>
      </x:c>
      <x:c r="K69" s="34" t="n">
        <x:f>J69/I69</x:f>
        <x:v>0.041015625</x:v>
      </x:c>
      <x:c r="L69" s="30"/>
      <x:c r="M69" s="30"/>
      <x:c r="N69" s="30"/>
      <x:c r="O69" s="30"/>
      <x:c r="P69" s="30"/>
    </x:row>
    <x:row r="70">
      <x:c r="A70" s="30" t="str">
        <x:v>MTP</x:v>
      </x:c>
      <x:c r="B70" s="30" t="str">
        <x:v>mtp.attn.wo_b.weight_scale</x:v>
      </x:c>
      <x:c r="C70" s="30" t="str">
        <x:v>[56, 128]</x:v>
      </x:c>
      <x:c r="D70" s="30" t="str">
        <x:v>F8_E8M0</x:v>
      </x:c>
      <x:c r="E70" s="32" t="n">
        <x:v>1</x:v>
      </x:c>
      <x:c r="F70" s="33" t="n">
        <x:v>3</x:v>
      </x:c>
      <x:c r="G70" s="33" t="n">
        <x:v>7168</x:v>
      </x:c>
      <x:c r="H70" s="33" t="str">
        <x:v>O Proj TP</x:v>
      </x:c>
      <x:c r="I70" s="33" t="n">
        <x:f>IF('Prefill'!$P$19&gt;0,'Prefill'!$P$19,'Prefill'!$P$12)</x:f>
        <x:v>8</x:v>
      </x:c>
      <x:c r="J70" s="34" t="n">
        <x:f>E70*F70*G70/1073741824</x:f>
        <x:v>0.00002002716064453125</x:v>
      </x:c>
      <x:c r="K70" s="34" t="n">
        <x:f>J70/I70</x:f>
        <x:v>0.0000025033950805664062</x:v>
      </x:c>
      <x:c r="L70" s="30"/>
      <x:c r="M70" s="30"/>
      <x:c r="N70" s="30"/>
      <x:c r="O70" s="30"/>
      <x:c r="P70" s="30"/>
    </x:row>
    <x:row r="71">
      <x:c r="A71" s="30" t="str">
        <x:v>MTP</x:v>
      </x:c>
      <x:c r="B71" s="30" t="str">
        <x:v>mtp.ffn.gate.weight</x:v>
      </x:c>
      <x:c r="C71" s="30" t="str">
        <x:v>[384, 7168]</x:v>
      </x:c>
      <x:c r="D71" s="30" t="str">
        <x:v>BF16</x:v>
      </x:c>
      <x:c r="E71" s="32" t="n">
        <x:v>2</x:v>
      </x:c>
      <x:c r="F71" s="33" t="n">
        <x:v>3</x:v>
      </x:c>
      <x:c r="G71" s="33" t="n">
        <x:v>2752512</x:v>
      </x:c>
      <x:c r="H71" s="33" t="str">
        <x:v>Replicated</x:v>
      </x:c>
      <x:c r="I71" s="33" t="n">
        <x:f>1</x:f>
        <x:v>1</x:v>
      </x:c>
      <x:c r="J71" s="34" t="n">
        <x:f>E71*F71*G71/1073741824</x:f>
        <x:v>0.015380859375</x:v>
      </x:c>
      <x:c r="K71" s="34" t="n">
        <x:f>J71/I71</x:f>
        <x:v>0.015380859375</x:v>
      </x:c>
      <x:c r="L71" s="30"/>
      <x:c r="M71" s="30"/>
      <x:c r="N71" s="30"/>
      <x:c r="O71" s="30"/>
      <x:c r="P71" s="30"/>
    </x:row>
    <x:row r="72">
      <x:c r="A72" s="30" t="str">
        <x:v>MTP</x:v>
      </x:c>
      <x:c r="B72" s="30" t="str">
        <x:v>mtp.ffn.gate.bias</x:v>
      </x:c>
      <x:c r="C72" s="30" t="str">
        <x:v>[384]</x:v>
      </x:c>
      <x:c r="D72" s="30" t="str">
        <x:v>F32</x:v>
      </x:c>
      <x:c r="E72" s="32" t="n">
        <x:v>4</x:v>
      </x:c>
      <x:c r="F72" s="33" t="n">
        <x:v>3</x:v>
      </x:c>
      <x:c r="G72" s="33" t="n">
        <x:v>384</x:v>
      </x:c>
      <x:c r="H72" s="33" t="str">
        <x:v>Replicated</x:v>
      </x:c>
      <x:c r="I72" s="33" t="n">
        <x:f>1</x:f>
        <x:v>1</x:v>
      </x:c>
      <x:c r="J72" s="34" t="n">
        <x:f>E72*F72*G72/1073741824</x:f>
        <x:v>0.000004291534423828125</x:v>
      </x:c>
      <x:c r="K72" s="34" t="n">
        <x:f>J72/I72</x:f>
        <x:v>0.000004291534423828125</x:v>
      </x:c>
      <x:c r="L72" s="30"/>
      <x:c r="M72" s="30"/>
      <x:c r="N72" s="30"/>
      <x:c r="O72" s="30"/>
      <x:c r="P72" s="30"/>
    </x:row>
    <x:row r="73">
      <x:c r="A73" s="30" t="str">
        <x:v>MTP Routed Experts</x:v>
      </x:c>
      <x:c r="B73" s="30" t="str">
        <x:v>mtp.ffn.experts.w1.weight</x:v>
      </x:c>
      <x:c r="C73" s="30" t="str">
        <x:v>[3072, 7168]</x:v>
      </x:c>
      <x:c r="D73" s="30" t="str">
        <x:v>FP4</x:v>
      </x:c>
      <x:c r="E73" s="32" t="n">
        <x:v>0.5</x:v>
      </x:c>
      <x:c r="F73" s="33" t="n">
        <x:v>1152</x:v>
      </x:c>
      <x:c r="G73" s="33" t="n">
        <x:v>22020096</x:v>
      </x:c>
      <x:c r="H73" s="33" t="str">
        <x:v>EP</x:v>
      </x:c>
      <x:c r="I73" s="33" t="n">
        <x:f>'Prefill'!$P$14</x:f>
        <x:v>8</x:v>
      </x:c>
      <x:c r="J73" s="34" t="n">
        <x:f>E73*F73*G73/1073741824</x:f>
        <x:v>11.8125</x:v>
      </x:c>
      <x:c r="K73" s="34" t="n">
        <x:f>J73/I73</x:f>
        <x:v>1.4765625</x:v>
      </x:c>
      <x:c r="L73" s="30"/>
      <x:c r="M73" s="30"/>
      <x:c r="N73" s="30"/>
      <x:c r="O73" s="30"/>
      <x:c r="P73" s="30"/>
    </x:row>
    <x:row r="74">
      <x:c r="A74" s="30" t="str">
        <x:v>MTP Routed Experts</x:v>
      </x:c>
      <x:c r="B74" s="30" t="str">
        <x:v>mtp.ffn.experts.w1.weight_scale</x:v>
      </x:c>
      <x:c r="C74" s="30" t="str">
        <x:v>[3072, 224]</x:v>
      </x:c>
      <x:c r="D74" s="30" t="str">
        <x:v>E8M0</x:v>
      </x:c>
      <x:c r="E74" s="32" t="n">
        <x:v>1</x:v>
      </x:c>
      <x:c r="F74" s="33" t="n">
        <x:v>1152</x:v>
      </x:c>
      <x:c r="G74" s="33" t="n">
        <x:v>688128</x:v>
      </x:c>
      <x:c r="H74" s="33" t="str">
        <x:v>EP</x:v>
      </x:c>
      <x:c r="I74" s="33" t="n">
        <x:f>'Prefill'!$P$14</x:f>
        <x:v>8</x:v>
      </x:c>
      <x:c r="J74" s="34" t="n">
        <x:f>E74*F74*G74/1073741824</x:f>
        <x:v>0.73828125</x:v>
      </x:c>
      <x:c r="K74" s="34" t="n">
        <x:f>J74/I74</x:f>
        <x:v>0.09228515625</x:v>
      </x:c>
      <x:c r="L74" s="30"/>
      <x:c r="M74" s="30"/>
      <x:c r="N74" s="30"/>
      <x:c r="O74" s="30"/>
      <x:c r="P74" s="30"/>
    </x:row>
    <x:row r="75">
      <x:c r="A75" s="30" t="str">
        <x:v>MTP Routed Experts</x:v>
      </x:c>
      <x:c r="B75" s="30" t="str">
        <x:v>mtp.ffn.experts.w3.weight</x:v>
      </x:c>
      <x:c r="C75" s="30" t="str">
        <x:v>[3072, 7168]</x:v>
      </x:c>
      <x:c r="D75" s="30" t="str">
        <x:v>FP4</x:v>
      </x:c>
      <x:c r="E75" s="32" t="n">
        <x:v>0.5</x:v>
      </x:c>
      <x:c r="F75" s="33" t="n">
        <x:v>1152</x:v>
      </x:c>
      <x:c r="G75" s="33" t="n">
        <x:v>22020096</x:v>
      </x:c>
      <x:c r="H75" s="33" t="str">
        <x:v>EP</x:v>
      </x:c>
      <x:c r="I75" s="33" t="n">
        <x:f>'Prefill'!$P$14</x:f>
        <x:v>8</x:v>
      </x:c>
      <x:c r="J75" s="34" t="n">
        <x:f>E75*F75*G75/1073741824</x:f>
        <x:v>11.8125</x:v>
      </x:c>
      <x:c r="K75" s="34" t="n">
        <x:f>J75/I75</x:f>
        <x:v>1.4765625</x:v>
      </x:c>
      <x:c r="L75" s="30"/>
      <x:c r="M75" s="30"/>
      <x:c r="N75" s="30"/>
      <x:c r="O75" s="30"/>
      <x:c r="P75" s="30"/>
    </x:row>
    <x:row r="76">
      <x:c r="A76" s="30" t="str">
        <x:v>MTP Routed Experts</x:v>
      </x:c>
      <x:c r="B76" s="30" t="str">
        <x:v>mtp.ffn.experts.w3.weight_scale</x:v>
      </x:c>
      <x:c r="C76" s="30" t="str">
        <x:v>[3072, 224]</x:v>
      </x:c>
      <x:c r="D76" s="30" t="str">
        <x:v>E8M0</x:v>
      </x:c>
      <x:c r="E76" s="32" t="n">
        <x:v>1</x:v>
      </x:c>
      <x:c r="F76" s="33" t="n">
        <x:v>1152</x:v>
      </x:c>
      <x:c r="G76" s="33" t="n">
        <x:v>688128</x:v>
      </x:c>
      <x:c r="H76" s="33" t="str">
        <x:v>EP</x:v>
      </x:c>
      <x:c r="I76" s="33" t="n">
        <x:f>'Prefill'!$P$14</x:f>
        <x:v>8</x:v>
      </x:c>
      <x:c r="J76" s="34" t="n">
        <x:f>E76*F76*G76/1073741824</x:f>
        <x:v>0.73828125</x:v>
      </x:c>
      <x:c r="K76" s="34" t="n">
        <x:f>J76/I76</x:f>
        <x:v>0.09228515625</x:v>
      </x:c>
      <x:c r="L76" s="30"/>
      <x:c r="M76" s="30"/>
      <x:c r="N76" s="30"/>
      <x:c r="O76" s="30"/>
      <x:c r="P76" s="30"/>
    </x:row>
    <x:row r="77">
      <x:c r="A77" s="30" t="str">
        <x:v>MTP Routed Experts</x:v>
      </x:c>
      <x:c r="B77" s="30" t="str">
        <x:v>mtp.ffn.experts.w2.weight</x:v>
      </x:c>
      <x:c r="C77" s="30" t="str">
        <x:v>[7168, 3072]</x:v>
      </x:c>
      <x:c r="D77" s="30" t="str">
        <x:v>FP4</x:v>
      </x:c>
      <x:c r="E77" s="32" t="n">
        <x:v>0.5</x:v>
      </x:c>
      <x:c r="F77" s="33" t="n">
        <x:v>1152</x:v>
      </x:c>
      <x:c r="G77" s="33" t="n">
        <x:v>22020096</x:v>
      </x:c>
      <x:c r="H77" s="33" t="str">
        <x:v>EP</x:v>
      </x:c>
      <x:c r="I77" s="33" t="n">
        <x:f>'Prefill'!$P$14</x:f>
        <x:v>8</x:v>
      </x:c>
      <x:c r="J77" s="34" t="n">
        <x:f>E77*F77*G77/1073741824</x:f>
        <x:v>11.8125</x:v>
      </x:c>
      <x:c r="K77" s="34" t="n">
        <x:f>J77/I77</x:f>
        <x:v>1.4765625</x:v>
      </x:c>
      <x:c r="L77" s="30"/>
      <x:c r="M77" s="30"/>
      <x:c r="N77" s="30"/>
      <x:c r="O77" s="30"/>
      <x:c r="P77" s="30"/>
    </x:row>
    <x:row r="78">
      <x:c r="A78" s="30" t="str">
        <x:v>MTP Routed Experts</x:v>
      </x:c>
      <x:c r="B78" s="30" t="str">
        <x:v>mtp.ffn.experts.w2.weight_scale</x:v>
      </x:c>
      <x:c r="C78" s="30" t="str">
        <x:v>[7168, 96]</x:v>
      </x:c>
      <x:c r="D78" s="30" t="str">
        <x:v>E8M0</x:v>
      </x:c>
      <x:c r="E78" s="32" t="n">
        <x:v>1</x:v>
      </x:c>
      <x:c r="F78" s="33" t="n">
        <x:v>1152</x:v>
      </x:c>
      <x:c r="G78" s="33" t="n">
        <x:v>688128</x:v>
      </x:c>
      <x:c r="H78" s="33" t="str">
        <x:v>EP</x:v>
      </x:c>
      <x:c r="I78" s="33" t="n">
        <x:f>'Prefill'!$P$14</x:f>
        <x:v>8</x:v>
      </x:c>
      <x:c r="J78" s="34" t="n">
        <x:f>E78*F78*G78/1073741824</x:f>
        <x:v>0.73828125</x:v>
      </x:c>
      <x:c r="K78" s="34" t="n">
        <x:f>J78/I78</x:f>
        <x:v>0.09228515625</x:v>
      </x:c>
      <x:c r="L78" s="30"/>
      <x:c r="M78" s="30"/>
      <x:c r="N78" s="30"/>
      <x:c r="O78" s="30"/>
      <x:c r="P78" s="30"/>
    </x:row>
    <x:row r="79">
      <x:c r="A79" s="30" t="str">
        <x:v>MTP Shared Experts</x:v>
      </x:c>
      <x:c r="B79" s="30" t="str">
        <x:v>mtp.ffn.shared_experts.w1.weight</x:v>
      </x:c>
      <x:c r="C79" s="30" t="str">
        <x:v>[3072, 7168]</x:v>
      </x:c>
      <x:c r="D79" s="30" t="str">
        <x:v>FP8 E4M3</x:v>
      </x:c>
      <x:c r="E79" s="32" t="n">
        <x:v>1</x:v>
      </x:c>
      <x:c r="F79" s="33" t="n">
        <x:v>3</x:v>
      </x:c>
      <x:c r="G79" s="33" t="n">
        <x:v>22020096</x:v>
      </x:c>
      <x:c r="H79" s="33" t="str">
        <x:v>共享专家 TP/DP</x:v>
      </x:c>
      <x:c r="I79" s="33" t="n">
        <x:f>IF('Prefill'!$P$17="TP",'Prefill'!$P$18,1)</x:f>
        <x:v>8</x:v>
      </x:c>
      <x:c r="J79" s="34" t="n">
        <x:f>E79*F79*G79/1073741824</x:f>
        <x:v>0.0615234375</x:v>
      </x:c>
      <x:c r="K79" s="34" t="n">
        <x:f>J79/I79</x:f>
        <x:v>0.0076904296875</x:v>
      </x:c>
      <x:c r="L79" s="30"/>
      <x:c r="M79" s="30"/>
      <x:c r="N79" s="30"/>
      <x:c r="O79" s="30"/>
      <x:c r="P79" s="30"/>
    </x:row>
    <x:row r="80">
      <x:c r="A80" s="30" t="str">
        <x:v>MTP Shared Experts</x:v>
      </x:c>
      <x:c r="B80" s="30" t="str">
        <x:v>mtp.ffn.shared_experts.w1.weight_scale</x:v>
      </x:c>
      <x:c r="C80" s="30" t="str">
        <x:v>[24, 56]</x:v>
      </x:c>
      <x:c r="D80" s="30" t="str">
        <x:v>F8_E8M0</x:v>
      </x:c>
      <x:c r="E80" s="32" t="n">
        <x:v>1</x:v>
      </x:c>
      <x:c r="F80" s="33" t="n">
        <x:v>3</x:v>
      </x:c>
      <x:c r="G80" s="33" t="n">
        <x:v>1344</x:v>
      </x:c>
      <x:c r="H80" s="33" t="str">
        <x:v>共享专家 TP/DP</x:v>
      </x:c>
      <x:c r="I80" s="33" t="n">
        <x:f>IF('Prefill'!$P$17="TP",'Prefill'!$P$18,1)</x:f>
        <x:v>8</x:v>
      </x:c>
      <x:c r="J80" s="34" t="n">
        <x:f>E80*F80*G80/1073741824</x:f>
        <x:v>0.0000037550926208496094</x:v>
      </x:c>
      <x:c r="K80" s="34" t="n">
        <x:f>J80/I80</x:f>
        <x:v>4.6938657760620117e-7</x:v>
      </x:c>
      <x:c r="L80" s="30"/>
      <x:c r="M80" s="30"/>
      <x:c r="N80" s="30"/>
      <x:c r="O80" s="30"/>
      <x:c r="P80" s="30"/>
    </x:row>
    <x:row r="81">
      <x:c r="A81" s="30" t="str">
        <x:v>MTP Shared Experts</x:v>
      </x:c>
      <x:c r="B81" s="30" t="str">
        <x:v>mtp.ffn.shared_experts.w3.weight</x:v>
      </x:c>
      <x:c r="C81" s="30" t="str">
        <x:v>[3072, 7168]</x:v>
      </x:c>
      <x:c r="D81" s="30" t="str">
        <x:v>FP8 E4M3</x:v>
      </x:c>
      <x:c r="E81" s="32" t="n">
        <x:v>1</x:v>
      </x:c>
      <x:c r="F81" s="33" t="n">
        <x:v>3</x:v>
      </x:c>
      <x:c r="G81" s="33" t="n">
        <x:v>22020096</x:v>
      </x:c>
      <x:c r="H81" s="33" t="str">
        <x:v>共享专家 TP/DP</x:v>
      </x:c>
      <x:c r="I81" s="33" t="n">
        <x:f>IF('Prefill'!$P$17="TP",'Prefill'!$P$18,1)</x:f>
        <x:v>8</x:v>
      </x:c>
      <x:c r="J81" s="34" t="n">
        <x:f>E81*F81*G81/1073741824</x:f>
        <x:v>0.0615234375</x:v>
      </x:c>
      <x:c r="K81" s="34" t="n">
        <x:f>J81/I81</x:f>
        <x:v>0.0076904296875</x:v>
      </x:c>
      <x:c r="L81" s="30"/>
      <x:c r="M81" s="30"/>
      <x:c r="N81" s="30"/>
      <x:c r="O81" s="30"/>
      <x:c r="P81" s="30"/>
    </x:row>
    <x:row r="82">
      <x:c r="A82" s="30" t="str">
        <x:v>MTP Shared Experts</x:v>
      </x:c>
      <x:c r="B82" s="30" t="str">
        <x:v>mtp.ffn.shared_experts.w3.weight_scale</x:v>
      </x:c>
      <x:c r="C82" s="30" t="str">
        <x:v>[24, 56]</x:v>
      </x:c>
      <x:c r="D82" s="30" t="str">
        <x:v>F8_E8M0</x:v>
      </x:c>
      <x:c r="E82" s="32" t="n">
        <x:v>1</x:v>
      </x:c>
      <x:c r="F82" s="33" t="n">
        <x:v>3</x:v>
      </x:c>
      <x:c r="G82" s="33" t="n">
        <x:v>1344</x:v>
      </x:c>
      <x:c r="H82" s="33" t="str">
        <x:v>共享专家 TP/DP</x:v>
      </x:c>
      <x:c r="I82" s="33" t="n">
        <x:f>IF('Prefill'!$P$17="TP",'Prefill'!$P$18,1)</x:f>
        <x:v>8</x:v>
      </x:c>
      <x:c r="J82" s="34" t="n">
        <x:f>E82*F82*G82/1073741824</x:f>
        <x:v>0.0000037550926208496094</x:v>
      </x:c>
      <x:c r="K82" s="34" t="n">
        <x:f>J82/I82</x:f>
        <x:v>4.6938657760620117e-7</x:v>
      </x:c>
      <x:c r="L82" s="30"/>
      <x:c r="M82" s="30"/>
      <x:c r="N82" s="30"/>
      <x:c r="O82" s="30"/>
      <x:c r="P82" s="30"/>
    </x:row>
    <x:row r="83">
      <x:c r="A83" s="30" t="str">
        <x:v>MTP Shared Experts</x:v>
      </x:c>
      <x:c r="B83" s="30" t="str">
        <x:v>mtp.ffn.shared_experts.w2.weight</x:v>
      </x:c>
      <x:c r="C83" s="30" t="str">
        <x:v>[7168, 3072]</x:v>
      </x:c>
      <x:c r="D83" s="30" t="str">
        <x:v>FP8 E4M3</x:v>
      </x:c>
      <x:c r="E83" s="32" t="n">
        <x:v>1</x:v>
      </x:c>
      <x:c r="F83" s="33" t="n">
        <x:v>3</x:v>
      </x:c>
      <x:c r="G83" s="33" t="n">
        <x:v>22020096</x:v>
      </x:c>
      <x:c r="H83" s="33" t="str">
        <x:v>共享专家 TP/DP</x:v>
      </x:c>
      <x:c r="I83" s="33" t="n">
        <x:f>IF('Prefill'!$P$17="TP",'Prefill'!$P$18,1)</x:f>
        <x:v>8</x:v>
      </x:c>
      <x:c r="J83" s="34" t="n">
        <x:f>E83*F83*G83/1073741824</x:f>
        <x:v>0.0615234375</x:v>
      </x:c>
      <x:c r="K83" s="34" t="n">
        <x:f>J83/I83</x:f>
        <x:v>0.0076904296875</x:v>
      </x:c>
      <x:c r="L83" s="30"/>
      <x:c r="M83" s="30"/>
      <x:c r="N83" s="30"/>
      <x:c r="O83" s="30"/>
      <x:c r="P83" s="30"/>
    </x:row>
    <x:row r="84">
      <x:c r="A84" s="30" t="str">
        <x:v>MTP Shared Experts</x:v>
      </x:c>
      <x:c r="B84" s="30" t="str">
        <x:v>mtp.ffn.shared_experts.w2.weight_scale</x:v>
      </x:c>
      <x:c r="C84" s="30" t="str">
        <x:v>[56, 24]</x:v>
      </x:c>
      <x:c r="D84" s="30" t="str">
        <x:v>F8_E8M0</x:v>
      </x:c>
      <x:c r="E84" s="32" t="n">
        <x:v>1</x:v>
      </x:c>
      <x:c r="F84" s="33" t="n">
        <x:v>3</x:v>
      </x:c>
      <x:c r="G84" s="33" t="n">
        <x:v>1344</x:v>
      </x:c>
      <x:c r="H84" s="33" t="str">
        <x:v>共享专家 TP/DP</x:v>
      </x:c>
      <x:c r="I84" s="33" t="n">
        <x:f>IF('Prefill'!$P$17="TP",'Prefill'!$P$18,1)</x:f>
        <x:v>8</x:v>
      </x:c>
      <x:c r="J84" s="34" t="n">
        <x:f>E84*F84*G84/1073741824</x:f>
        <x:v>0.0000037550926208496094</x:v>
      </x:c>
      <x:c r="K84" s="34" t="n">
        <x:f>J84/I84</x:f>
        <x:v>4.6938657760620117e-7</x:v>
      </x:c>
      <x:c r="L84" s="30"/>
      <x:c r="M84" s="30"/>
      <x:c r="N84" s="30"/>
      <x:c r="O84" s="30"/>
      <x:c r="P84" s="30"/>
    </x:row>
    <x:row r="85">
      <x:c r="A85" s="30" t="str">
        <x:v>MTP HC</x:v>
      </x:c>
      <x:c r="B85" s="30" t="str">
        <x:v>mtp.hc_attn_fn</x:v>
      </x:c>
      <x:c r="C85" s="30" t="str">
        <x:v>[24, 28672]</x:v>
      </x:c>
      <x:c r="D85" s="30" t="str">
        <x:v>F32</x:v>
      </x:c>
      <x:c r="E85" s="32" t="n">
        <x:v>4</x:v>
      </x:c>
      <x:c r="F85" s="33" t="n">
        <x:v>3</x:v>
      </x:c>
      <x:c r="G85" s="33" t="n">
        <x:v>688128</x:v>
      </x:c>
      <x:c r="H85" s="33" t="str">
        <x:v>Replicated</x:v>
      </x:c>
      <x:c r="I85" s="33" t="n">
        <x:f>1</x:f>
        <x:v>1</x:v>
      </x:c>
      <x:c r="J85" s="34" t="n">
        <x:f>E85*F85*G85/1073741824</x:f>
        <x:v>0.0076904296875</x:v>
      </x:c>
      <x:c r="K85" s="34" t="n">
        <x:f>J85/I85</x:f>
        <x:v>0.0076904296875</x:v>
      </x:c>
      <x:c r="L85" s="30"/>
      <x:c r="M85" s="30"/>
      <x:c r="N85" s="30"/>
      <x:c r="O85" s="30"/>
      <x:c r="P85" s="30"/>
    </x:row>
    <x:row r="86">
      <x:c r="A86" s="30" t="str">
        <x:v>MTP HC</x:v>
      </x:c>
      <x:c r="B86" s="30" t="str">
        <x:v>mtp.hc_ffn_fn</x:v>
      </x:c>
      <x:c r="C86" s="30" t="str">
        <x:v>[24, 28672]</x:v>
      </x:c>
      <x:c r="D86" s="30" t="str">
        <x:v>F32</x:v>
      </x:c>
      <x:c r="E86" s="32" t="n">
        <x:v>4</x:v>
      </x:c>
      <x:c r="F86" s="33" t="n">
        <x:v>3</x:v>
      </x:c>
      <x:c r="G86" s="33" t="n">
        <x:v>688128</x:v>
      </x:c>
      <x:c r="H86" s="33" t="str">
        <x:v>Replicated</x:v>
      </x:c>
      <x:c r="I86" s="33" t="n">
        <x:f>1</x:f>
        <x:v>1</x:v>
      </x:c>
      <x:c r="J86" s="34" t="n">
        <x:f>E86*F86*G86/1073741824</x:f>
        <x:v>0.0076904296875</x:v>
      </x:c>
      <x:c r="K86" s="34" t="n">
        <x:f>J86/I86</x:f>
        <x:v>0.0076904296875</x:v>
      </x:c>
      <x:c r="L86" s="30"/>
      <x:c r="M86" s="30"/>
      <x:c r="N86" s="30"/>
      <x:c r="O86" s="30"/>
      <x:c r="P86" s="30"/>
    </x:row>
    <x:row r="87">
      <x:c r="A87" s="30" t="str">
        <x:v>MTP HC</x:v>
      </x:c>
      <x:c r="B87" s="30" t="str">
        <x:v>mtp.hc_attn_base</x:v>
      </x:c>
      <x:c r="C87" s="30" t="str">
        <x:v>[24]</x:v>
      </x:c>
      <x:c r="D87" s="30" t="str">
        <x:v>F32</x:v>
      </x:c>
      <x:c r="E87" s="32" t="n">
        <x:v>4</x:v>
      </x:c>
      <x:c r="F87" s="33" t="n">
        <x:v>3</x:v>
      </x:c>
      <x:c r="G87" s="33" t="n">
        <x:v>24</x:v>
      </x:c>
      <x:c r="H87" s="33" t="str">
        <x:v>Replicated</x:v>
      </x:c>
      <x:c r="I87" s="33" t="n">
        <x:f>1</x:f>
        <x:v>1</x:v>
      </x:c>
      <x:c r="J87" s="34" t="n">
        <x:f>E87*F87*G87/1073741824</x:f>
        <x:v>2.682209014892578e-7</x:v>
      </x:c>
      <x:c r="K87" s="34" t="n">
        <x:f>J87/I87</x:f>
        <x:v>2.682209014892578e-7</x:v>
      </x:c>
      <x:c r="L87" s="30"/>
      <x:c r="M87" s="30"/>
      <x:c r="N87" s="30"/>
      <x:c r="O87" s="30"/>
      <x:c r="P87" s="30"/>
    </x:row>
    <x:row r="88">
      <x:c r="A88" s="30" t="str">
        <x:v>MTP HC</x:v>
      </x:c>
      <x:c r="B88" s="30" t="str">
        <x:v>mtp.hc_ffn_base</x:v>
      </x:c>
      <x:c r="C88" s="30" t="str">
        <x:v>[24]</x:v>
      </x:c>
      <x:c r="D88" s="30" t="str">
        <x:v>F32</x:v>
      </x:c>
      <x:c r="E88" s="32" t="n">
        <x:v>4</x:v>
      </x:c>
      <x:c r="F88" s="33" t="n">
        <x:v>3</x:v>
      </x:c>
      <x:c r="G88" s="33" t="n">
        <x:v>24</x:v>
      </x:c>
      <x:c r="H88" s="33" t="str">
        <x:v>Replicated</x:v>
      </x:c>
      <x:c r="I88" s="33" t="n">
        <x:f>1</x:f>
        <x:v>1</x:v>
      </x:c>
      <x:c r="J88" s="34" t="n">
        <x:f>E88*F88*G88/1073741824</x:f>
        <x:v>2.682209014892578e-7</x:v>
      </x:c>
      <x:c r="K88" s="34" t="n">
        <x:f>J88/I88</x:f>
        <x:v>2.682209014892578e-7</x:v>
      </x:c>
      <x:c r="L88" s="30"/>
      <x:c r="M88" s="30"/>
      <x:c r="N88" s="30"/>
      <x:c r="O88" s="30"/>
      <x:c r="P88" s="30"/>
    </x:row>
    <x:row r="89">
      <x:c r="A89" s="30" t="str">
        <x:v>MTP HC</x:v>
      </x:c>
      <x:c r="B89" s="30" t="str">
        <x:v>mtp.hc_attn_scale</x:v>
      </x:c>
      <x:c r="C89" s="30" t="str">
        <x:v>[3]</x:v>
      </x:c>
      <x:c r="D89" s="30" t="str">
        <x:v>F32</x:v>
      </x:c>
      <x:c r="E89" s="32" t="n">
        <x:v>4</x:v>
      </x:c>
      <x:c r="F89" s="33" t="n">
        <x:v>3</x:v>
      </x:c>
      <x:c r="G89" s="33" t="n">
        <x:v>3</x:v>
      </x:c>
      <x:c r="H89" s="33" t="str">
        <x:v>Replicated</x:v>
      </x:c>
      <x:c r="I89" s="33" t="n">
        <x:f>1</x:f>
        <x:v>1</x:v>
      </x:c>
      <x:c r="J89" s="34" t="n">
        <x:f>E89*F89*G89/1073741824</x:f>
        <x:v>3.3527612686157227e-8</x:v>
      </x:c>
      <x:c r="K89" s="34" t="n">
        <x:f>J89/I89</x:f>
        <x:v>3.3527612686157227e-8</x:v>
      </x:c>
      <x:c r="L89" s="30"/>
      <x:c r="M89" s="30"/>
      <x:c r="N89" s="30"/>
      <x:c r="O89" s="30"/>
      <x:c r="P89" s="30"/>
    </x:row>
    <x:row r="90">
      <x:c r="A90" s="30" t="str">
        <x:v>MTP HC</x:v>
      </x:c>
      <x:c r="B90" s="30" t="str">
        <x:v>mtp.hc_ffn_scale</x:v>
      </x:c>
      <x:c r="C90" s="30" t="str">
        <x:v>[3]</x:v>
      </x:c>
      <x:c r="D90" s="30" t="str">
        <x:v>F32</x:v>
      </x:c>
      <x:c r="E90" s="32" t="n">
        <x:v>4</x:v>
      </x:c>
      <x:c r="F90" s="33" t="n">
        <x:v>3</x:v>
      </x:c>
      <x:c r="G90" s="33" t="n">
        <x:v>3</x:v>
      </x:c>
      <x:c r="H90" s="33" t="str">
        <x:v>Replicated</x:v>
      </x:c>
      <x:c r="I90" s="33" t="n">
        <x:f>1</x:f>
        <x:v>1</x:v>
      </x:c>
      <x:c r="J90" s="34" t="n">
        <x:f>E90*F90*G90/1073741824</x:f>
        <x:v>3.3527612686157227e-8</x:v>
      </x:c>
      <x:c r="K90" s="34" t="n">
        <x:f>J90/I90</x:f>
        <x:v>3.3527612686157227e-8</x:v>
      </x:c>
      <x:c r="L90" s="30"/>
      <x:c r="M90" s="30"/>
      <x:c r="N90" s="30"/>
      <x:c r="O90" s="30"/>
      <x:c r="P90" s="30"/>
    </x:row>
    <x:row r="91">
      <x:c r="A91" s="30" t="str">
        <x:v>MTP</x:v>
      </x:c>
      <x:c r="B91" s="30" t="str">
        <x:v>mtp.main_norm.weight</x:v>
      </x:c>
      <x:c r="C91" s="30" t="str">
        <x:v>[7168]</x:v>
      </x:c>
      <x:c r="D91" s="30" t="str">
        <x:v>BF16</x:v>
      </x:c>
      <x:c r="E91" s="32" t="n">
        <x:v>2</x:v>
      </x:c>
      <x:c r="F91" s="33" t="n">
        <x:v>1</x:v>
      </x:c>
      <x:c r="G91" s="33" t="n">
        <x:v>7168</x:v>
      </x:c>
      <x:c r="H91" s="33" t="str">
        <x:v>Replicated</x:v>
      </x:c>
      <x:c r="I91" s="33" t="n">
        <x:f>1</x:f>
        <x:v>1</x:v>
      </x:c>
      <x:c r="J91" s="34" t="n">
        <x:f>E91*F91*G91/1073741824</x:f>
        <x:v>0.0000133514404296875</x:v>
      </x:c>
      <x:c r="K91" s="34" t="n">
        <x:f>J91/I91</x:f>
        <x:v>0.0000133514404296875</x:v>
      </x:c>
      <x:c r="L91" s="30"/>
      <x:c r="M91" s="30"/>
      <x:c r="N91" s="30"/>
      <x:c r="O91" s="30"/>
      <x:c r="P91" s="30"/>
    </x:row>
    <x:row r="92">
      <x:c r="A92" s="30" t="str">
        <x:v>MTP</x:v>
      </x:c>
      <x:c r="B92" s="30" t="str">
        <x:v>mtp.main_proj.weight</x:v>
      </x:c>
      <x:c r="C92" s="30" t="str">
        <x:v>[7168, 21504]</x:v>
      </x:c>
      <x:c r="D92" s="30" t="str">
        <x:v>FP8 E4M3</x:v>
      </x:c>
      <x:c r="E92" s="32" t="n">
        <x:v>1</x:v>
      </x:c>
      <x:c r="F92" s="33" t="n">
        <x:v>1</x:v>
      </x:c>
      <x:c r="G92" s="33" t="n">
        <x:v>154140672</x:v>
      </x:c>
      <x:c r="H92" s="33" t="str">
        <x:v>Replicated</x:v>
      </x:c>
      <x:c r="I92" s="33" t="n">
        <x:f>1</x:f>
        <x:v>1</x:v>
      </x:c>
      <x:c r="J92" s="34" t="n">
        <x:f>E92*F92*G92/1073741824</x:f>
        <x:v>0.1435546875</x:v>
      </x:c>
      <x:c r="K92" s="34" t="n">
        <x:f>J92/I92</x:f>
        <x:v>0.1435546875</x:v>
      </x:c>
      <x:c r="L92" s="30"/>
      <x:c r="M92" s="30"/>
      <x:c r="N92" s="30"/>
      <x:c r="O92" s="30"/>
      <x:c r="P92" s="30"/>
    </x:row>
    <x:row r="93">
      <x:c r="A93" s="30" t="str">
        <x:v>MTP</x:v>
      </x:c>
      <x:c r="B93" s="30" t="str">
        <x:v>mtp.main_proj.weight_scale</x:v>
      </x:c>
      <x:c r="C93" s="30" t="str">
        <x:v>[56, 168]</x:v>
      </x:c>
      <x:c r="D93" s="30" t="str">
        <x:v>F8_E8M0</x:v>
      </x:c>
      <x:c r="E93" s="32" t="n">
        <x:v>1</x:v>
      </x:c>
      <x:c r="F93" s="33" t="n">
        <x:v>1</x:v>
      </x:c>
      <x:c r="G93" s="33" t="n">
        <x:v>9408</x:v>
      </x:c>
      <x:c r="H93" s="33" t="str">
        <x:v>Replicated</x:v>
      </x:c>
      <x:c r="I93" s="33" t="n">
        <x:f>1</x:f>
        <x:v>1</x:v>
      </x:c>
      <x:c r="J93" s="34" t="n">
        <x:f>E93*F93*G93/1073741824</x:f>
        <x:v>0.000008761882781982422</x:v>
      </x:c>
      <x:c r="K93" s="34" t="n">
        <x:f>J93/I93</x:f>
        <x:v>0.000008761882781982422</x:v>
      </x:c>
      <x:c r="L93" s="30"/>
      <x:c r="M93" s="30"/>
      <x:c r="N93" s="30"/>
      <x:c r="O93" s="30"/>
      <x:c r="P93" s="30"/>
    </x:row>
    <x:row r="94">
      <x:c r="A94" s="30" t="str">
        <x:v>MTP</x:v>
      </x:c>
      <x:c r="B94" s="30" t="str">
        <x:v>mtp.norm.weight</x:v>
      </x:c>
      <x:c r="C94" s="30" t="str">
        <x:v>[7168]</x:v>
      </x:c>
      <x:c r="D94" s="30" t="str">
        <x:v>BF16</x:v>
      </x:c>
      <x:c r="E94" s="32" t="n">
        <x:v>2</x:v>
      </x:c>
      <x:c r="F94" s="33" t="n">
        <x:v>1</x:v>
      </x:c>
      <x:c r="G94" s="33" t="n">
        <x:v>7168</x:v>
      </x:c>
      <x:c r="H94" s="33" t="str">
        <x:v>Replicated</x:v>
      </x:c>
      <x:c r="I94" s="33" t="n">
        <x:f>1</x:f>
        <x:v>1</x:v>
      </x:c>
      <x:c r="J94" s="34" t="n">
        <x:f>E94*F94*G94/1073741824</x:f>
        <x:v>0.0000133514404296875</x:v>
      </x:c>
      <x:c r="K94" s="34" t="n">
        <x:f>J94/I94</x:f>
        <x:v>0.0000133514404296875</x:v>
      </x:c>
      <x:c r="L94" s="30"/>
      <x:c r="M94" s="30"/>
      <x:c r="N94" s="30"/>
      <x:c r="O94" s="30"/>
      <x:c r="P94" s="30"/>
    </x:row>
    <x:row r="95">
      <x:c r="A95" s="30" t="str">
        <x:v>MTP Markov Head</x:v>
      </x:c>
      <x:c r="B95" s="30" t="str">
        <x:v>mtp.markov_w1.weight</x:v>
      </x:c>
      <x:c r="C95" s="30" t="str">
        <x:v>[129280, 512]</x:v>
      </x:c>
      <x:c r="D95" s="30" t="str">
        <x:v>BF16</x:v>
      </x:c>
      <x:c r="E95" s="32" t="n">
        <x:v>2</x:v>
      </x:c>
      <x:c r="F95" s="33" t="n">
        <x:v>1</x:v>
      </x:c>
      <x:c r="G95" s="33" t="n">
        <x:v>66191360</x:v>
      </x:c>
      <x:c r="H95" s="33" t="str">
        <x:v>Embedding TP</x:v>
      </x:c>
      <x:c r="I95" s="33" t="n">
        <x:f>IF('Prefill'!$P$21&gt;0,'Prefill'!$P$21,'Prefill'!$P$12)</x:f>
        <x:v>8</x:v>
      </x:c>
      <x:c r="J95" s="34" t="n">
        <x:f>E95*F95*G95/1073741824</x:f>
        <x:v>0.123291015625</x:v>
      </x:c>
      <x:c r="K95" s="34" t="n">
        <x:f>J95/I95</x:f>
        <x:v>0.015411376953125</x:v>
      </x:c>
      <x:c r="L95" s="30"/>
      <x:c r="M95" s="30"/>
      <x:c r="N95" s="30"/>
      <x:c r="O95" s="30"/>
      <x:c r="P95" s="30"/>
    </x:row>
    <x:row r="96">
      <x:c r="A96" s="30" t="str">
        <x:v>MTP Markov Head</x:v>
      </x:c>
      <x:c r="B96" s="30" t="str">
        <x:v>mtp.markov_w2.weight</x:v>
      </x:c>
      <x:c r="C96" s="30" t="str">
        <x:v>[129280, 512]</x:v>
      </x:c>
      <x:c r="D96" s="30" t="str">
        <x:v>BF16</x:v>
      </x:c>
      <x:c r="E96" s="32" t="n">
        <x:v>2</x:v>
      </x:c>
      <x:c r="F96" s="33" t="n">
        <x:v>1</x:v>
      </x:c>
      <x:c r="G96" s="33" t="n">
        <x:v>66191360</x:v>
      </x:c>
      <x:c r="H96" s="33" t="str">
        <x:v>LM Head TP</x:v>
      </x:c>
      <x:c r="I96" s="33" t="n">
        <x:f>IF('Prefill'!$P$20&gt;0,'Prefill'!$P$20,'Prefill'!$P$12)</x:f>
        <x:v>8</x:v>
      </x:c>
      <x:c r="J96" s="34" t="n">
        <x:f>E96*F96*G96/1073741824</x:f>
        <x:v>0.123291015625</x:v>
      </x:c>
      <x:c r="K96" s="34" t="n">
        <x:f>J96/I96</x:f>
        <x:v>0.015411376953125</x:v>
      </x:c>
      <x:c r="L96" s="30"/>
      <x:c r="M96" s="30"/>
      <x:c r="N96" s="30"/>
      <x:c r="O96" s="30"/>
      <x:c r="P96" s="30"/>
    </x:row>
    <x:row r="97">
      <x:c r="A97" s="30" t="str">
        <x:v>MTP Confidence Head</x:v>
      </x:c>
      <x:c r="B97" s="30" t="str">
        <x:v>mtp.confidence_head.proj.weight</x:v>
      </x:c>
      <x:c r="C97" s="30" t="str">
        <x:v>[1, 7680]</x:v>
      </x:c>
      <x:c r="D97" s="30" t="str">
        <x:v>BF16</x:v>
      </x:c>
      <x:c r="E97" s="32" t="n">
        <x:v>2</x:v>
      </x:c>
      <x:c r="F97" s="33" t="n">
        <x:v>1</x:v>
      </x:c>
      <x:c r="G97" s="33" t="n">
        <x:v>7680</x:v>
      </x:c>
      <x:c r="H97" s="33" t="str">
        <x:v>Replicated</x:v>
      </x:c>
      <x:c r="I97" s="33" t="n">
        <x:f>1</x:f>
        <x:v>1</x:v>
      </x:c>
      <x:c r="J97" s="34" t="n">
        <x:f>E97*F97*G97/1073741824</x:f>
        <x:v>0.00001430511474609375</x:v>
      </x:c>
      <x:c r="K97" s="34" t="n">
        <x:f>J97/I97</x:f>
        <x:v>0.00001430511474609375</x:v>
      </x:c>
      <x:c r="L97" s="30"/>
      <x:c r="M97" s="30"/>
      <x:c r="N97" s="30"/>
      <x:c r="O97" s="30"/>
      <x:c r="P97" s="30"/>
    </x:row>
    <x:row r="98">
      <x:c r="A98" s="30" t="str">
        <x:v>MTP HC Head</x:v>
      </x:c>
      <x:c r="B98" s="30" t="str">
        <x:v>mtp.hc_head_fn</x:v>
      </x:c>
      <x:c r="C98" s="30" t="str">
        <x:v>[4, 28672]</x:v>
      </x:c>
      <x:c r="D98" s="30" t="str">
        <x:v>F32</x:v>
      </x:c>
      <x:c r="E98" s="32" t="n">
        <x:v>4</x:v>
      </x:c>
      <x:c r="F98" s="33" t="n">
        <x:v>1</x:v>
      </x:c>
      <x:c r="G98" s="33" t="n">
        <x:v>114688</x:v>
      </x:c>
      <x:c r="H98" s="33" t="str">
        <x:v>Replicated</x:v>
      </x:c>
      <x:c r="I98" s="33" t="n">
        <x:f>1</x:f>
        <x:v>1</x:v>
      </x:c>
      <x:c r="J98" s="34" t="n">
        <x:f>E98*F98*G98/1073741824</x:f>
        <x:v>0.00042724609375</x:v>
      </x:c>
      <x:c r="K98" s="34" t="n">
        <x:f>J98/I98</x:f>
        <x:v>0.00042724609375</x:v>
      </x:c>
      <x:c r="L98" s="30"/>
      <x:c r="M98" s="30"/>
      <x:c r="N98" s="30"/>
      <x:c r="O98" s="30"/>
      <x:c r="P98" s="30"/>
    </x:row>
    <x:row r="99">
      <x:c r="A99" s="30" t="str">
        <x:v>MTP HC Head</x:v>
      </x:c>
      <x:c r="B99" s="30" t="str">
        <x:v>mtp.hc_head_base</x:v>
      </x:c>
      <x:c r="C99" s="30" t="str">
        <x:v>[4]</x:v>
      </x:c>
      <x:c r="D99" s="30" t="str">
        <x:v>F32</x:v>
      </x:c>
      <x:c r="E99" s="32" t="n">
        <x:v>4</x:v>
      </x:c>
      <x:c r="F99" s="33" t="n">
        <x:v>1</x:v>
      </x:c>
      <x:c r="G99" s="33" t="n">
        <x:v>4</x:v>
      </x:c>
      <x:c r="H99" s="33" t="str">
        <x:v>Replicated</x:v>
      </x:c>
      <x:c r="I99" s="33" t="n">
        <x:f>1</x:f>
        <x:v>1</x:v>
      </x:c>
      <x:c r="J99" s="34" t="n">
        <x:f>E99*F99*G99/1073741824</x:f>
        <x:v>1.4901161193847656e-8</x:v>
      </x:c>
      <x:c r="K99" s="34" t="n">
        <x:f>J99/I99</x:f>
        <x:v>1.4901161193847656e-8</x:v>
      </x:c>
      <x:c r="L99" s="30"/>
      <x:c r="M99" s="30"/>
      <x:c r="N99" s="30"/>
      <x:c r="O99" s="30"/>
      <x:c r="P99" s="30"/>
    </x:row>
    <x:row r="100">
      <x:c r="A100" s="30" t="str">
        <x:v>MTP HC Head</x:v>
      </x:c>
      <x:c r="B100" s="30" t="str">
        <x:v>mtp.hc_head_scale</x:v>
      </x:c>
      <x:c r="C100" s="30" t="str">
        <x:v>[1]</x:v>
      </x:c>
      <x:c r="D100" s="30" t="str">
        <x:v>F32</x:v>
      </x:c>
      <x:c r="E100" s="32" t="n">
        <x:v>4</x:v>
      </x:c>
      <x:c r="F100" s="33" t="n">
        <x:v>1</x:v>
      </x:c>
      <x:c r="G100" s="33" t="n">
        <x:v>1</x:v>
      </x:c>
      <x:c r="H100" s="33" t="str">
        <x:v>Replicated</x:v>
      </x:c>
      <x:c r="I100" s="33" t="n">
        <x:f>1</x:f>
        <x:v>1</x:v>
      </x:c>
      <x:c r="J100" s="34" t="n">
        <x:f>E100*F100*G100/1073741824</x:f>
        <x:v>3.725290298461914e-9</x:v>
      </x:c>
      <x:c r="K100" s="34" t="n">
        <x:f>J100/I100</x:f>
        <x:v>3.725290298461914e-9</x:v>
      </x:c>
      <x:c r="L100" s="30"/>
      <x:c r="M100" s="30"/>
      <x:c r="N100" s="30"/>
      <x:c r="O100" s="30"/>
      <x:c r="P100" s="30"/>
    </x:row>
    <x:row r="101">
      <x:c r="A101" s="30" t="str">
        <x:v>HC Head</x:v>
      </x:c>
      <x:c r="B101" s="30" t="str">
        <x:v>hc_head_fn</x:v>
      </x:c>
      <x:c r="C101" s="30" t="str">
        <x:v>[4, 28672]</x:v>
      </x:c>
      <x:c r="D101" s="30" t="str">
        <x:v>F32</x:v>
      </x:c>
      <x:c r="E101" s="32" t="n">
        <x:v>4</x:v>
      </x:c>
      <x:c r="F101" s="33" t="n">
        <x:v>1</x:v>
      </x:c>
      <x:c r="G101" s="33" t="n">
        <x:v>114688</x:v>
      </x:c>
      <x:c r="H101" s="33" t="str">
        <x:v>Replicated</x:v>
      </x:c>
      <x:c r="I101" s="33" t="n">
        <x:f>1</x:f>
        <x:v>1</x:v>
      </x:c>
      <x:c r="J101" s="34" t="n">
        <x:f>E101*F101*G101/1073741824</x:f>
        <x:v>0.00042724609375</x:v>
      </x:c>
      <x:c r="K101" s="34" t="n">
        <x:f>J101/I101</x:f>
        <x:v>0.00042724609375</x:v>
      </x:c>
      <x:c r="L101" s="30"/>
      <x:c r="M101" s="30"/>
      <x:c r="N101" s="30"/>
      <x:c r="O101" s="30"/>
      <x:c r="P101" s="30"/>
    </x:row>
    <x:row r="102">
      <x:c r="A102" s="30" t="str">
        <x:v>HC Head</x:v>
      </x:c>
      <x:c r="B102" s="30" t="str">
        <x:v>hc_head_base</x:v>
      </x:c>
      <x:c r="C102" s="30" t="str">
        <x:v>[4]</x:v>
      </x:c>
      <x:c r="D102" s="30" t="str">
        <x:v>F32</x:v>
      </x:c>
      <x:c r="E102" s="32" t="n">
        <x:v>4</x:v>
      </x:c>
      <x:c r="F102" s="33" t="n">
        <x:v>1</x:v>
      </x:c>
      <x:c r="G102" s="33" t="n">
        <x:v>4</x:v>
      </x:c>
      <x:c r="H102" s="33" t="str">
        <x:v>Replicated</x:v>
      </x:c>
      <x:c r="I102" s="33" t="n">
        <x:f>1</x:f>
        <x:v>1</x:v>
      </x:c>
      <x:c r="J102" s="34" t="n">
        <x:f>E102*F102*G102/1073741824</x:f>
        <x:v>1.4901161193847656e-8</x:v>
      </x:c>
      <x:c r="K102" s="34" t="n">
        <x:f>J102/I102</x:f>
        <x:v>1.4901161193847656e-8</x:v>
      </x:c>
      <x:c r="L102" s="30"/>
      <x:c r="M102" s="30"/>
      <x:c r="N102" s="30"/>
      <x:c r="O102" s="30"/>
      <x:c r="P102" s="30"/>
    </x:row>
    <x:row r="103">
      <x:c r="A103" s="30" t="str">
        <x:v>HC Head</x:v>
      </x:c>
      <x:c r="B103" s="30" t="str">
        <x:v>hc_head_scale</x:v>
      </x:c>
      <x:c r="C103" s="30" t="str">
        <x:v>[1]</x:v>
      </x:c>
      <x:c r="D103" s="30" t="str">
        <x:v>F32</x:v>
      </x:c>
      <x:c r="E103" s="32" t="n">
        <x:v>4</x:v>
      </x:c>
      <x:c r="F103" s="33" t="n">
        <x:v>1</x:v>
      </x:c>
      <x:c r="G103" s="33" t="n">
        <x:v>1</x:v>
      </x:c>
      <x:c r="H103" s="33" t="str">
        <x:v>Replicated</x:v>
      </x:c>
      <x:c r="I103" s="33" t="n">
        <x:f>1</x:f>
        <x:v>1</x:v>
      </x:c>
      <x:c r="J103" s="34" t="n">
        <x:f>E103*F103*G103/1073741824</x:f>
        <x:v>3.725290298461914e-9</x:v>
      </x:c>
      <x:c r="K103" s="34" t="n">
        <x:f>J103/I103</x:f>
        <x:v>3.725290298461914e-9</x:v>
      </x:c>
      <x:c r="L103" s="30"/>
      <x:c r="M103" s="30"/>
      <x:c r="N103" s="30"/>
      <x:c r="O103" s="30"/>
      <x:c r="P103" s="30"/>
    </x:row>
    <x:row r="104">
      <x:c r="A104" s="40" t="str">
        <x:v>合计</x:v>
      </x:c>
      <x:c r="B104" s="40"/>
      <x:c r="C104" s="40"/>
      <x:c r="D104" s="40"/>
      <x:c r="E104" s="40"/>
      <x:c r="F104" s="40"/>
      <x:c r="G104" s="40"/>
      <x:c r="H104" s="40"/>
      <x:c r="I104" s="40"/>
      <x:c r="J104" s="41" t="n">
        <x:f>SUM(J2:J103)</x:f>
        <x:v>831.4173490777612</x:v>
      </x:c>
      <x:c r="K104" s="41" t="n">
        <x:f>SUM(K2:K103)</x:f>
        <x:v>112.26609966903925</x:v>
      </x:c>
      <x:c r="L104" s="30"/>
      <x:c r="M104" s="30"/>
      <x:c r="N104" s="30"/>
      <x:c r="O104" s="30"/>
      <x:c r="P104" s="30"/>
    </x:row>
    <x:row r="105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</x:row>
    <x:row r="106" ht="30" customHeight="1">
      <x:c r="A106" s="18" t="str">
        <x:v>并行策略</x:v>
      </x:c>
      <x:c r="B106" s="18" t="str">
        <x:v>模块</x:v>
      </x:c>
      <x:c r="C106" s="18" t="str">
        <x:v>通信位置</x:v>
      </x:c>
      <x:c r="D106" s="18" t="str">
        <x:v>Collective</x:v>
      </x:c>
      <x:c r="E106" s="18" t="str">
        <x:v>本 Rank 输入元素/次</x:v>
      </x:c>
      <x:c r="F106" s="18" t="str">
        <x:v>字节/元素</x:v>
      </x:c>
      <x:c r="G106" s="18" t="str">
        <x:v>通信组大小</x:v>
      </x:c>
      <x:c r="H106" s="18" t="str">
        <x:v>次数/Step</x:v>
      </x:c>
      <x:c r="I106" s="18" t="str">
        <x:v>有效负载 MiB/次</x:v>
      </x:c>
      <x:c r="J106" s="18" t="str">
        <x:v>单 Rank 发送 MiB/次</x:v>
      </x:c>
      <x:c r="K106" s="18" t="str">
        <x:v>单 Rank 发送 MiB/Step</x:v>
      </x:c>
      <x:c r="L106" s="18" t="str">
        <x:v>通信组发送 MiB/Step</x:v>
      </x:c>
      <x:c r="M106" s="30"/>
      <x:c r="N106" s="30"/>
      <x:c r="O106" s="30"/>
      <x:c r="P106" s="30"/>
    </x:row>
    <x:row r="107">
      <x:c r="A107" s="30" t="str">
        <x:v>Embedding TP</x:v>
      </x:c>
      <x:c r="B107" s="30" t="str">
        <x:v>Embedding</x:v>
      </x:c>
      <x:c r="C107" s="30" t="str">
        <x:v>标准 TP 输出</x:v>
      </x:c>
      <x:c r="D107" s="30" t="str">
        <x:v>Ring AllReduce</x:v>
      </x:c>
      <x:c r="E107" s="33" t="n">
        <x:f>'Prefill'!$P$7*7168</x:f>
        <x:v>58720256</x:v>
      </x:c>
      <x:c r="F107" s="33" t="n">
        <x:f>'Prefill'!$P$28</x:f>
        <x:v>2</x:v>
      </x:c>
      <x:c r="G107" s="33" t="n">
        <x:f>IF('Prefill'!$P$21&gt;0,'Prefill'!$P$21,'Prefill'!$P$12)</x:f>
        <x:v>8</x:v>
      </x:c>
      <x:c r="H107" s="33" t="n">
        <x:f>IF(AND(IF('Prefill'!$P$21&gt;0,'Prefill'!$P$21,'Prefill'!$P$12)&gt;1,'Prefill'!$P$24=0),1,0)</x:f>
        <x:v>1</x:v>
      </x:c>
      <x:c r="I107" s="34" t="n">
        <x:f>E107*F107/1048576</x:f>
        <x:v>112</x:v>
      </x:c>
      <x:c r="J107" s="34" t="n">
        <x:f>I107*(IF(G107&gt;1,2*(G107-1)/G107,0))</x:f>
        <x:v>196</x:v>
      </x:c>
      <x:c r="K107" s="34" t="n">
        <x:f>J107*H107</x:f>
        <x:v>196</x:v>
      </x:c>
      <x:c r="L107" s="34" t="n">
        <x:f>K107*G107</x:f>
        <x:v>1568</x:v>
      </x:c>
      <x:c r="M107" s="30"/>
      <x:c r="N107" s="30"/>
      <x:c r="O107" s="30"/>
      <x:c r="P107" s="30"/>
    </x:row>
    <x:row r="108">
      <x:c r="A108" s="30" t="str">
        <x:v>Embedding TP</x:v>
      </x:c>
      <x:c r="B108" s="30" t="str">
        <x:v>Embedding</x:v>
      </x:c>
      <x:c r="C108" s="30" t="str">
        <x:v>Fine TP Token ID</x:v>
      </x:c>
      <x:c r="D108" s="30" t="str">
        <x:v>Ring AllGather</x:v>
      </x:c>
      <x:c r="E108" s="33" t="n">
        <x:f>'Prefill'!$P$7</x:f>
        <x:v>8192</x:v>
      </x:c>
      <x:c r="F108" s="33" t="n">
        <x:f>'Prefill'!$P$30</x:f>
        <x:v>8</x:v>
      </x:c>
      <x:c r="G108" s="33" t="n">
        <x:f>IF('Prefill'!$P$21&gt;0,'Prefill'!$P$21,'Prefill'!$P$12)</x:f>
        <x:v>8</x:v>
      </x:c>
      <x:c r="H108" s="33" t="n">
        <x:f>IF(AND(IF('Prefill'!$P$21&gt;0,'Prefill'!$P$21,'Prefill'!$P$12)&gt;1,'Prefill'!$P$24&lt;&gt;0),1,0)</x:f>
        <x:v>0</x:v>
      </x:c>
      <x:c r="I108" s="34" t="n">
        <x:f>E108*F108/1048576</x:f>
        <x:v>0.0625</x:v>
      </x:c>
      <x:c r="J108" s="34" t="n">
        <x:f>I108*(IF(G108&gt;1,G108-1,0))</x:f>
        <x:v>0.4375</x:v>
      </x:c>
      <x:c r="K108" s="34" t="n">
        <x:f>J108*H108</x:f>
        <x:v>0</x:v>
      </x:c>
      <x:c r="L108" s="34" t="n">
        <x:f>K108*G108</x:f>
        <x:v>0</x:v>
      </x:c>
      <x:c r="M108" s="30"/>
      <x:c r="N108" s="30"/>
      <x:c r="O108" s="30"/>
      <x:c r="P108" s="30"/>
    </x:row>
    <x:row r="109">
      <x:c r="A109" s="30" t="str">
        <x:v>Embedding TP</x:v>
      </x:c>
      <x:c r="B109" s="30" t="str">
        <x:v>Embedding</x:v>
      </x:c>
      <x:c r="C109" s="30" t="str">
        <x:v>Fine TP Hidden</x:v>
      </x:c>
      <x:c r="D109" s="30" t="str">
        <x:v>Ring ReduceScatter</x:v>
      </x:c>
      <x:c r="E109" s="33" t="n">
        <x:f>'Prefill'!$P$7*IF('Prefill'!$P$21&gt;0,'Prefill'!$P$21,'Prefill'!$P$12)*7168</x:f>
        <x:v>469762048</x:v>
      </x:c>
      <x:c r="F109" s="33" t="n">
        <x:f>'Prefill'!$P$28</x:f>
        <x:v>2</x:v>
      </x:c>
      <x:c r="G109" s="33" t="n">
        <x:f>IF('Prefill'!$P$21&gt;0,'Prefill'!$P$21,'Prefill'!$P$12)</x:f>
        <x:v>8</x:v>
      </x:c>
      <x:c r="H109" s="33" t="n">
        <x:f>IF(AND(IF('Prefill'!$P$21&gt;0,'Prefill'!$P$21,'Prefill'!$P$12)&gt;1,'Prefill'!$P$24&lt;&gt;0),1,0)</x:f>
        <x:v>0</x:v>
      </x:c>
      <x:c r="I109" s="34" t="n">
        <x:f>E109*F109/1048576</x:f>
        <x:v>896</x:v>
      </x:c>
      <x:c r="J109" s="34" t="n">
        <x:f>I109*(IF(G109&gt;1,(G109-1)/G109,0))</x:f>
        <x:v>784</x:v>
      </x:c>
      <x:c r="K109" s="34" t="n">
        <x:f>J109*H109</x:f>
        <x:v>0</x:v>
      </x:c>
      <x:c r="L109" s="34" t="n">
        <x:f>K109*G109</x:f>
        <x:v>0</x:v>
      </x:c>
      <x:c r="M109" s="30"/>
      <x:c r="N109" s="30"/>
      <x:c r="O109" s="30"/>
      <x:c r="P109" s="30"/>
    </x:row>
    <x:row r="110">
      <x:c r="A110" s="30" t="str">
        <x:v>DSA CP</x:v>
      </x:c>
      <x:c r="B110" s="30" t="str">
        <x:v>Sparse Attention</x:v>
      </x:c>
      <x:c r="C110" s="30" t="str">
        <x:v>Q/KV 投影输入</x:v>
      </x:c>
      <x:c r="D110" s="30" t="str">
        <x:v>Ring AllGather</x:v>
      </x:c>
      <x:c r="E110" s="33" t="n">
        <x:f>((ROUNDUP('Prefill'!$P$7/'Prefill'!$P$12,0)*'Prefill'!$P$12)/'Prefill'!$P$12)*7168</x:f>
        <x:v>7340032</x:v>
      </x:c>
      <x:c r="F110" s="33" t="n">
        <x:f>'Prefill'!$P$28</x:f>
        <x:v>2</x:v>
      </x:c>
      <x:c r="G110" s="33" t="n">
        <x:f>'Prefill'!$P$12</x:f>
        <x:v>8</x:v>
      </x:c>
      <x:c r="H110" s="33" t="n">
        <x:f>61*IF(AND('Prefill'!$P$25&lt;&gt;0,'Prefill'!$P$12&gt;1),1,0)</x:f>
        <x:v>61</x:v>
      </x:c>
      <x:c r="I110" s="34" t="n">
        <x:f>E110*F110/1048576</x:f>
        <x:v>14</x:v>
      </x:c>
      <x:c r="J110" s="34" t="n">
        <x:f>I110*(IF(G110&gt;1,G110-1,0))</x:f>
        <x:v>98</x:v>
      </x:c>
      <x:c r="K110" s="34" t="n">
        <x:f>J110*H110</x:f>
        <x:v>5978</x:v>
      </x:c>
      <x:c r="L110" s="34" t="n">
        <x:f>K110*G110</x:f>
        <x:v>47824</x:v>
      </x:c>
      <x:c r="M110" s="30"/>
      <x:c r="N110" s="30"/>
      <x:c r="O110" s="30"/>
      <x:c r="P110" s="30"/>
    </x:row>
    <x:row r="111">
      <x:c r="A111" s="30" t="str">
        <x:v>DSA CP</x:v>
      </x:c>
      <x:c r="B111" s="30" t="str">
        <x:v>Sparse Attention</x:v>
      </x:c>
      <x:c r="C111" s="30" t="str">
        <x:v>恢复 TP Head Layout</x:v>
      </x:c>
      <x:c r="D111" s="30" t="str">
        <x:v>Equal-split AllToAll</x:v>
      </x:c>
      <x:c r="E111" s="33" t="n">
        <x:f>((ROUNDUP('Prefill'!$P$7/'Prefill'!$P$12,0)*'Prefill'!$P$12)/'Prefill'!$P$12)*128*512</x:f>
        <x:v>67108864</x:v>
      </x:c>
      <x:c r="F111" s="33" t="n">
        <x:f>'Prefill'!$P$28</x:f>
        <x:v>2</x:v>
      </x:c>
      <x:c r="G111" s="33" t="n">
        <x:f>'Prefill'!$P$12</x:f>
        <x:v>8</x:v>
      </x:c>
      <x:c r="H111" s="33" t="n">
        <x:f>61*IF(AND('Prefill'!$P$25&lt;&gt;0,'Prefill'!$P$12&gt;1),1,0)</x:f>
        <x:v>61</x:v>
      </x:c>
      <x:c r="I111" s="34" t="n">
        <x:f>E111*F111/1048576</x:f>
        <x:v>128</x:v>
      </x:c>
      <x:c r="J111" s="34" t="n">
        <x:f>I111*(IF(G111&gt;1,(G111-1)/G111,0))</x:f>
        <x:v>112</x:v>
      </x:c>
      <x:c r="K111" s="34" t="n">
        <x:f>J111*H111</x:f>
        <x:v>6832</x:v>
      </x:c>
      <x:c r="L111" s="34" t="n">
        <x:f>K111*G111</x:f>
        <x:v>54656</x:v>
      </x:c>
      <x:c r="M111" s="30"/>
      <x:c r="N111" s="30"/>
      <x:c r="O111" s="30"/>
      <x:c r="P111" s="30"/>
    </x:row>
    <x:row r="112">
      <x:c r="A112" s="30" t="str">
        <x:v>DSA CP</x:v>
      </x:c>
      <x:c r="B112" s="30" t="str">
        <x:v>Indexer</x:v>
      </x:c>
      <x:c r="C112" s="30" t="str">
        <x:v>Top-k Index</x:v>
      </x:c>
      <x:c r="D112" s="30" t="str">
        <x:v>Ring AllGather</x:v>
      </x:c>
      <x:c r="E112" s="33" t="n">
        <x:f>((ROUNDUP('Prefill'!$P$7/'Prefill'!$P$12,0)*'Prefill'!$P$12)/'Prefill'!$P$12)*1024</x:f>
        <x:v>1048576</x:v>
      </x:c>
      <x:c r="F112" s="33" t="n">
        <x:f>'Prefill'!$P$31</x:f>
        <x:v>4</x:v>
      </x:c>
      <x:c r="G112" s="33" t="n">
        <x:f>'Prefill'!$P$12</x:f>
        <x:v>8</x:v>
      </x:c>
      <x:c r="H112" s="33" t="n">
        <x:f>30*IF(AND('Prefill'!$P$25&lt;&gt;0,'Prefill'!$P$12&gt;1),1,0)</x:f>
        <x:v>30</x:v>
      </x:c>
      <x:c r="I112" s="34" t="n">
        <x:f>E112*F112/1048576</x:f>
        <x:v>4</x:v>
      </x:c>
      <x:c r="J112" s="34" t="n">
        <x:f>I112*(IF(G112&gt;1,G112-1,0))</x:f>
        <x:v>28</x:v>
      </x:c>
      <x:c r="K112" s="34" t="n">
        <x:f>J112*H112</x:f>
        <x:v>840</x:v>
      </x:c>
      <x:c r="L112" s="34" t="n">
        <x:f>K112*G112</x:f>
        <x:v>6720</x:v>
      </x:c>
      <x:c r="M112" s="30"/>
      <x:c r="N112" s="30"/>
      <x:c r="O112" s="30"/>
      <x:c r="P112" s="30"/>
    </x:row>
    <x:row r="113">
      <x:c r="A113" s="30" t="str">
        <x:v>O Proj TP</x:v>
      </x:c>
      <x:c r="B113" s="30" t="str">
        <x:v>Sparse Attention</x:v>
      </x:c>
      <x:c r="C113" s="30" t="str">
        <x:v>DSA CP 关闭</x:v>
      </x:c>
      <x:c r="D113" s="30" t="str">
        <x:v>Ring AllReduce</x:v>
      </x:c>
      <x:c r="E113" s="33" t="n">
        <x:f>'Prefill'!$P$7*7168</x:f>
        <x:v>58720256</x:v>
      </x:c>
      <x:c r="F113" s="33" t="n">
        <x:f>'Prefill'!$P$28</x:f>
        <x:v>2</x:v>
      </x:c>
      <x:c r="G113" s="33" t="n">
        <x:f>IF('Prefill'!$P$19&gt;0,'Prefill'!$P$19,'Prefill'!$P$12)</x:f>
        <x:v>8</x:v>
      </x:c>
      <x:c r="H113" s="33" t="n">
        <x:f>61*IF(AND('Prefill'!$P$25=0,IF('Prefill'!$P$19&gt;0,'Prefill'!$P$19,'Prefill'!$P$12)&gt;1),1,0)</x:f>
        <x:v>0</x:v>
      </x:c>
      <x:c r="I113" s="34" t="n">
        <x:f>E113*F113/1048576</x:f>
        <x:v>112</x:v>
      </x:c>
      <x:c r="J113" s="34" t="n">
        <x:f>I113*(IF(G113&gt;1,2*(G113-1)/G113,0))</x:f>
        <x:v>196</x:v>
      </x:c>
      <x:c r="K113" s="34" t="n">
        <x:f>J113*H113</x:f>
        <x:v>0</x:v>
      </x:c>
      <x:c r="L113" s="34" t="n">
        <x:f>K113*G113</x:f>
        <x:v>0</x:v>
      </x:c>
      <x:c r="M113" s="30"/>
      <x:c r="N113" s="30"/>
      <x:c r="O113" s="30"/>
      <x:c r="P113" s="30"/>
    </x:row>
    <x:row r="114">
      <x:c r="A114" s="30" t="str">
        <x:v>EP</x:v>
      </x:c>
      <x:c r="B114" s="30" t="str">
        <x:v>Routed Experts</x:v>
      </x:c>
      <x:c r="C114" s="30" t="str">
        <x:v>Dispatch Hidden</x:v>
      </x:c>
      <x:c r="D114" s="30" t="str">
        <x:v>AllToAllV（跨 Rank 发送）</x:v>
      </x:c>
      <x:c r="E114" s="33" t="n">
        <x:f>IF('Prefill'!$P$13&lt;&gt;0,((ROUNDUP('Prefill'!$P$7/'Prefill'!$P$12,0)*'Prefill'!$P$12)/'Prefill'!$P$12),'Prefill'!$P$7)*6*'Prefill'!$P$32*7168</x:f>
        <x:v>38535168</x:v>
      </x:c>
      <x:c r="F114" s="33" t="n">
        <x:f>'Prefill'!$P$28</x:f>
        <x:v>2</x:v>
      </x:c>
      <x:c r="G114" s="33" t="n">
        <x:f>'Prefill'!$P$14</x:f>
        <x:v>8</x:v>
      </x:c>
      <x:c r="H114" s="33" t="n">
        <x:f>61*IF('Prefill'!$P$14&gt;1,1,0)</x:f>
        <x:v>61</x:v>
      </x:c>
      <x:c r="I114" s="34" t="n">
        <x:f>E114*F114/1048576</x:f>
        <x:v>73.5</x:v>
      </x:c>
      <x:c r="J114" s="34" t="n">
        <x:f>I114*(1)</x:f>
        <x:v>73.5</x:v>
      </x:c>
      <x:c r="K114" s="34" t="n">
        <x:f>J114*H114</x:f>
        <x:v>4483.5</x:v>
      </x:c>
      <x:c r="L114" s="34" t="n">
        <x:f>K114*G114</x:f>
        <x:v>35868</x:v>
      </x:c>
      <x:c r="M114" s="30"/>
      <x:c r="N114" s="30"/>
      <x:c r="O114" s="30"/>
      <x:c r="P114" s="30"/>
    </x:row>
    <x:row r="115">
      <x:c r="A115" s="30" t="str">
        <x:v>EP</x:v>
      </x:c>
      <x:c r="B115" s="30" t="str">
        <x:v>Routed Experts</x:v>
      </x:c>
      <x:c r="C115" s="30" t="str">
        <x:v>Combine Hidden</x:v>
      </x:c>
      <x:c r="D115" s="30" t="str">
        <x:v>AllToAllV（跨 Rank 发送）</x:v>
      </x:c>
      <x:c r="E115" s="33" t="n">
        <x:f>IF('Prefill'!$P$13&lt;&gt;0,((ROUNDUP('Prefill'!$P$7/'Prefill'!$P$12,0)*'Prefill'!$P$12)/'Prefill'!$P$12),'Prefill'!$P$7)*6*'Prefill'!$P$32*7168</x:f>
        <x:v>38535168</x:v>
      </x:c>
      <x:c r="F115" s="33" t="n">
        <x:f>'Prefill'!$P$28</x:f>
        <x:v>2</x:v>
      </x:c>
      <x:c r="G115" s="33" t="n">
        <x:f>'Prefill'!$P$14</x:f>
        <x:v>8</x:v>
      </x:c>
      <x:c r="H115" s="33" t="n">
        <x:f>61*IF('Prefill'!$P$14&gt;1,1,0)</x:f>
        <x:v>61</x:v>
      </x:c>
      <x:c r="I115" s="34" t="n">
        <x:f>E115*F115/1048576</x:f>
        <x:v>73.5</x:v>
      </x:c>
      <x:c r="J115" s="34" t="n">
        <x:f>I115*(1)</x:f>
        <x:v>73.5</x:v>
      </x:c>
      <x:c r="K115" s="34" t="n">
        <x:f>J115*H115</x:f>
        <x:v>4483.5</x:v>
      </x:c>
      <x:c r="L115" s="34" t="n">
        <x:f>K115*G115</x:f>
        <x:v>35868</x:v>
      </x:c>
      <x:c r="M115" s="30"/>
      <x:c r="N115" s="30"/>
      <x:c r="O115" s="30"/>
      <x:c r="P115" s="30"/>
    </x:row>
    <x:row r="116">
      <x:c r="A116" s="30" t="str">
        <x:v>DP</x:v>
      </x:c>
      <x:c r="B116" s="30" t="str">
        <x:v>MoE</x:v>
      </x:c>
      <x:c r="C116" s="30" t="str">
        <x:v>Hidden 输入</x:v>
      </x:c>
      <x:c r="D116" s="30" t="str">
        <x:v>Ring AllGather</x:v>
      </x:c>
      <x:c r="E116" s="33" t="n">
        <x:f>'Prefill'!$P$7*7168</x:f>
        <x:v>58720256</x:v>
      </x:c>
      <x:c r="F116" s="33" t="n">
        <x:f>'Prefill'!$P$28</x:f>
        <x:v>2</x:v>
      </x:c>
      <x:c r="G116" s="33" t="n">
        <x:f>'Prefill'!$P$11</x:f>
        <x:v>1</x:v>
      </x:c>
      <x:c r="H116" s="33" t="n">
        <x:f>61*IF(AND('Prefill'!$P$11&gt;1,'Prefill'!$P$14=1),1,0)</x:f>
        <x:v>0</x:v>
      </x:c>
      <x:c r="I116" s="34" t="n">
        <x:f>E116*F116/1048576</x:f>
        <x:v>112</x:v>
      </x:c>
      <x:c r="J116" s="34" t="n">
        <x:f>I116*(IF(G116&gt;1,G116-1,0))</x:f>
        <x:v>0</x:v>
      </x:c>
      <x:c r="K116" s="34" t="n">
        <x:f>J116*H116</x:f>
        <x:v>0</x:v>
      </x:c>
      <x:c r="L116" s="34" t="n">
        <x:f>K116*G116</x:f>
        <x:v>0</x:v>
      </x:c>
      <x:c r="M116" s="30"/>
      <x:c r="N116" s="30"/>
      <x:c r="O116" s="30"/>
      <x:c r="P116" s="30"/>
    </x:row>
    <x:row r="117">
      <x:c r="A117" s="30" t="str">
        <x:v>DP</x:v>
      </x:c>
      <x:c r="B117" s="30" t="str">
        <x:v>MoE Router</x:v>
      </x:c>
      <x:c r="C117" s="30" t="str">
        <x:v>Router Logits</x:v>
      </x:c>
      <x:c r="D117" s="30" t="str">
        <x:v>Ring AllGather</x:v>
      </x:c>
      <x:c r="E117" s="33" t="n">
        <x:f>'Prefill'!$P$7*384</x:f>
        <x:v>3145728</x:v>
      </x:c>
      <x:c r="F117" s="33" t="n">
        <x:f>'Prefill'!$P$28</x:f>
        <x:v>2</x:v>
      </x:c>
      <x:c r="G117" s="33" t="n">
        <x:f>'Prefill'!$P$11</x:f>
        <x:v>1</x:v>
      </x:c>
      <x:c r="H117" s="33" t="n">
        <x:f>61*IF(AND('Prefill'!$P$11&gt;1,'Prefill'!$P$14=1),1,0)</x:f>
        <x:v>0</x:v>
      </x:c>
      <x:c r="I117" s="34" t="n">
        <x:f>E117*F117/1048576</x:f>
        <x:v>6</x:v>
      </x:c>
      <x:c r="J117" s="34" t="n">
        <x:f>I117*(IF(G117&gt;1,G117-1,0))</x:f>
        <x:v>0</x:v>
      </x:c>
      <x:c r="K117" s="34" t="n">
        <x:f>J117*H117</x:f>
        <x:v>0</x:v>
      </x:c>
      <x:c r="L117" s="34" t="n">
        <x:f>K117*G117</x:f>
        <x:v>0</x:v>
      </x:c>
      <x:c r="M117" s="30"/>
      <x:c r="N117" s="30"/>
      <x:c r="O117" s="30"/>
      <x:c r="P117" s="30"/>
    </x:row>
    <x:row r="118">
      <x:c r="A118" s="30" t="str">
        <x:v>DP</x:v>
      </x:c>
      <x:c r="B118" s="30" t="str">
        <x:v>MoE</x:v>
      </x:c>
      <x:c r="C118" s="30" t="str">
        <x:v>Routed Expert 输出</x:v>
      </x:c>
      <x:c r="D118" s="30" t="str">
        <x:v>Ring ReduceScatter</x:v>
      </x:c>
      <x:c r="E118" s="33" t="n">
        <x:f>'Prefill'!$P$7*'Prefill'!$P$11*7168</x:f>
        <x:v>58720256</x:v>
      </x:c>
      <x:c r="F118" s="33" t="n">
        <x:f>'Prefill'!$P$28</x:f>
        <x:v>2</x:v>
      </x:c>
      <x:c r="G118" s="33" t="n">
        <x:f>'Prefill'!$P$11</x:f>
        <x:v>1</x:v>
      </x:c>
      <x:c r="H118" s="33" t="n">
        <x:f>61*IF(AND('Prefill'!$P$11&gt;1,'Prefill'!$P$14=1),1,0)</x:f>
        <x:v>0</x:v>
      </x:c>
      <x:c r="I118" s="34" t="n">
        <x:f>E118*F118/1048576</x:f>
        <x:v>112</x:v>
      </x:c>
      <x:c r="J118" s="34" t="n">
        <x:f>I118*(IF(G118&gt;1,(G118-1)/G118,0))</x:f>
        <x:v>0</x:v>
      </x:c>
      <x:c r="K118" s="34" t="n">
        <x:f>J118*H118</x:f>
        <x:v>0</x:v>
      </x:c>
      <x:c r="L118" s="34" t="n">
        <x:f>K118*G118</x:f>
        <x:v>0</x:v>
      </x:c>
      <x:c r="M118" s="30"/>
      <x:c r="N118" s="30"/>
      <x:c r="O118" s="30"/>
      <x:c r="P118" s="30"/>
    </x:row>
    <x:row r="119">
      <x:c r="A119" s="30" t="str">
        <x:v>共享专家 TP</x:v>
      </x:c>
      <x:c r="B119" s="30" t="str">
        <x:v>Shared Experts</x:v>
      </x:c>
      <x:c r="C119" s="30" t="str">
        <x:v>SP 输入</x:v>
      </x:c>
      <x:c r="D119" s="30" t="str">
        <x:v>Ring AllGather</x:v>
      </x:c>
      <x:c r="E119" s="33" t="n">
        <x:f>((ROUNDUP('Prefill'!$P$7/'Prefill'!$P$12,0)*'Prefill'!$P$12)/'Prefill'!$P$12)*7168</x:f>
        <x:v>7340032</x:v>
      </x:c>
      <x:c r="F119" s="33" t="n">
        <x:f>'Prefill'!$P$28</x:f>
        <x:v>2</x:v>
      </x:c>
      <x:c r="G119" s="33" t="n">
        <x:f>IF('Prefill'!$P$17="TP",'Prefill'!$P$18,1)</x:f>
        <x:v>8</x:v>
      </x:c>
      <x:c r="H119" s="33" t="n">
        <x:f>61*IF(AND('Prefill'!$P$17="TP",IF('Prefill'!$P$17="TP",'Prefill'!$P$18,1)&gt;1,'Prefill'!$P$13&lt;&gt;0),1,0)</x:f>
        <x:v>61</x:v>
      </x:c>
      <x:c r="I119" s="34" t="n">
        <x:f>E119*F119/1048576</x:f>
        <x:v>14</x:v>
      </x:c>
      <x:c r="J119" s="34" t="n">
        <x:f>I119*(IF(G119&gt;1,G119-1,0))</x:f>
        <x:v>98</x:v>
      </x:c>
      <x:c r="K119" s="34" t="n">
        <x:f>J119*H119</x:f>
        <x:v>5978</x:v>
      </x:c>
      <x:c r="L119" s="34" t="n">
        <x:f>K119*G119</x:f>
        <x:v>47824</x:v>
      </x:c>
      <x:c r="M119" s="30"/>
      <x:c r="N119" s="30"/>
      <x:c r="O119" s="30"/>
      <x:c r="P119" s="30"/>
    </x:row>
    <x:row r="120">
      <x:c r="A120" s="30" t="str">
        <x:v>共享专家 TP</x:v>
      </x:c>
      <x:c r="B120" s="30" t="str">
        <x:v>Shared Experts</x:v>
      </x:c>
      <x:c r="C120" s="30" t="str">
        <x:v>SP 输出</x:v>
      </x:c>
      <x:c r="D120" s="30" t="str">
        <x:v>Ring ReduceScatter</x:v>
      </x:c>
      <x:c r="E120" s="33" t="n">
        <x:f>(ROUNDUP('Prefill'!$P$7/'Prefill'!$P$12,0)*'Prefill'!$P$12)*7168</x:f>
        <x:v>58720256</x:v>
      </x:c>
      <x:c r="F120" s="33" t="n">
        <x:f>'Prefill'!$P$28</x:f>
        <x:v>2</x:v>
      </x:c>
      <x:c r="G120" s="33" t="n">
        <x:f>IF('Prefill'!$P$17="TP",'Prefill'!$P$18,1)</x:f>
        <x:v>8</x:v>
      </x:c>
      <x:c r="H120" s="33" t="n">
        <x:f>61*IF(AND('Prefill'!$P$17="TP",IF('Prefill'!$P$17="TP",'Prefill'!$P$18,1)&gt;1,'Prefill'!$P$13&lt;&gt;0),1,0)</x:f>
        <x:v>61</x:v>
      </x:c>
      <x:c r="I120" s="34" t="n">
        <x:f>E120*F120/1048576</x:f>
        <x:v>112</x:v>
      </x:c>
      <x:c r="J120" s="34" t="n">
        <x:f>I120*(IF(G120&gt;1,(G120-1)/G120,0))</x:f>
        <x:v>98</x:v>
      </x:c>
      <x:c r="K120" s="34" t="n">
        <x:f>J120*H120</x:f>
        <x:v>5978</x:v>
      </x:c>
      <x:c r="L120" s="34" t="n">
        <x:f>K120*G120</x:f>
        <x:v>47824</x:v>
      </x:c>
      <x:c r="M120" s="30"/>
      <x:c r="N120" s="30"/>
      <x:c r="O120" s="30"/>
      <x:c r="P120" s="30"/>
    </x:row>
    <x:row r="121">
      <x:c r="A121" s="30" t="str">
        <x:v>共享专家 TP</x:v>
      </x:c>
      <x:c r="B121" s="30" t="str">
        <x:v>Shared Experts</x:v>
      </x:c>
      <x:c r="C121" s="30" t="str">
        <x:v>非 SP 输出</x:v>
      </x:c>
      <x:c r="D121" s="30" t="str">
        <x:v>Ring AllReduce</x:v>
      </x:c>
      <x:c r="E121" s="33" t="n">
        <x:f>'Prefill'!$P$7*7168</x:f>
        <x:v>58720256</x:v>
      </x:c>
      <x:c r="F121" s="33" t="n">
        <x:f>'Prefill'!$P$28</x:f>
        <x:v>2</x:v>
      </x:c>
      <x:c r="G121" s="33" t="n">
        <x:f>IF('Prefill'!$P$17="TP",'Prefill'!$P$18,1)</x:f>
        <x:v>8</x:v>
      </x:c>
      <x:c r="H121" s="33" t="n">
        <x:f>61*IF(AND('Prefill'!$P$17="TP",IF('Prefill'!$P$17="TP",'Prefill'!$P$18,1)&gt;1,'Prefill'!$P$13=0),1,0)</x:f>
        <x:v>0</x:v>
      </x:c>
      <x:c r="I121" s="34" t="n">
        <x:f>E121*F121/1048576</x:f>
        <x:v>112</x:v>
      </x:c>
      <x:c r="J121" s="34" t="n">
        <x:f>I121*(IF(G121&gt;1,2*(G121-1)/G121,0))</x:f>
        <x:v>196</x:v>
      </x:c>
      <x:c r="K121" s="34" t="n">
        <x:f>J121*H121</x:f>
        <x:v>0</x:v>
      </x:c>
      <x:c r="L121" s="34" t="n">
        <x:f>K121*G121</x:f>
        <x:v>0</x:v>
      </x:c>
      <x:c r="M121" s="30"/>
      <x:c r="N121" s="30"/>
      <x:c r="O121" s="30"/>
      <x:c r="P121" s="30"/>
    </x:row>
    <x:row r="122">
      <x:c r="A122" s="30" t="str">
        <x:v>PCP</x:v>
      </x:c>
      <x:c r="B122" s="30" t="str">
        <x:v>MoE</x:v>
      </x:c>
      <x:c r="C122" s="30" t="str">
        <x:v>Hidden 输入</x:v>
      </x:c>
      <x:c r="D122" s="30" t="str">
        <x:v>Ring AllGather</x:v>
      </x:c>
      <x:c r="E122" s="33" t="n">
        <x:f>((ROUNDUP('Prefill'!$P$7/'Prefill'!$P$15,0)*'Prefill'!$P$15)/'Prefill'!$P$15)*7168</x:f>
        <x:v>58720256</x:v>
      </x:c>
      <x:c r="F122" s="33" t="n">
        <x:f>'Prefill'!$P$28</x:f>
        <x:v>2</x:v>
      </x:c>
      <x:c r="G122" s="33" t="n">
        <x:f>'Prefill'!$P$15</x:f>
        <x:v>1</x:v>
      </x:c>
      <x:c r="H122" s="33" t="n">
        <x:f>61*IF('Prefill'!$P$15&gt;1,1,0)</x:f>
        <x:v>0</x:v>
      </x:c>
      <x:c r="I122" s="34" t="n">
        <x:f>E122*F122/1048576</x:f>
        <x:v>112</x:v>
      </x:c>
      <x:c r="J122" s="34" t="n">
        <x:f>I122*(IF(G122&gt;1,G122-1,0))</x:f>
        <x:v>0</x:v>
      </x:c>
      <x:c r="K122" s="34" t="n">
        <x:f>J122*H122</x:f>
        <x:v>0</x:v>
      </x:c>
      <x:c r="L122" s="34" t="n">
        <x:f>K122*G122</x:f>
        <x:v>0</x:v>
      </x:c>
      <x:c r="M122" s="30"/>
      <x:c r="N122" s="30"/>
      <x:c r="O122" s="30"/>
      <x:c r="P122" s="30"/>
    </x:row>
    <x:row r="123">
      <x:c r="A123" s="30" t="str">
        <x:v>PCP</x:v>
      </x:c>
      <x:c r="B123" s="30" t="str">
        <x:v>MoE Router</x:v>
      </x:c>
      <x:c r="C123" s="30" t="str">
        <x:v>Router Logits</x:v>
      </x:c>
      <x:c r="D123" s="30" t="str">
        <x:v>Ring AllGather</x:v>
      </x:c>
      <x:c r="E123" s="33" t="n">
        <x:f>((ROUNDUP('Prefill'!$P$7/'Prefill'!$P$15,0)*'Prefill'!$P$15)/'Prefill'!$P$15)*384</x:f>
        <x:v>3145728</x:v>
      </x:c>
      <x:c r="F123" s="33" t="n">
        <x:f>'Prefill'!$P$28</x:f>
        <x:v>2</x:v>
      </x:c>
      <x:c r="G123" s="33" t="n">
        <x:f>'Prefill'!$P$15</x:f>
        <x:v>1</x:v>
      </x:c>
      <x:c r="H123" s="33" t="n">
        <x:f>61*IF('Prefill'!$P$15&gt;1,1,0)</x:f>
        <x:v>0</x:v>
      </x:c>
      <x:c r="I123" s="34" t="n">
        <x:f>E123*F123/1048576</x:f>
        <x:v>6</x:v>
      </x:c>
      <x:c r="J123" s="34" t="n">
        <x:f>I123*(IF(G123&gt;1,G123-1,0))</x:f>
        <x:v>0</x:v>
      </x:c>
      <x:c r="K123" s="34" t="n">
        <x:f>J123*H123</x:f>
        <x:v>0</x:v>
      </x:c>
      <x:c r="L123" s="34" t="n">
        <x:f>K123*G123</x:f>
        <x:v>0</x:v>
      </x:c>
      <x:c r="M123" s="30"/>
      <x:c r="N123" s="30"/>
      <x:c r="O123" s="30"/>
      <x:c r="P123" s="30"/>
    </x:row>
    <x:row r="124">
      <x:c r="A124" s="30" t="str">
        <x:v>PCP</x:v>
      </x:c>
      <x:c r="B124" s="30" t="str">
        <x:v>MoE</x:v>
      </x:c>
      <x:c r="C124" s="30" t="str">
        <x:v>Routed Expert 输出</x:v>
      </x:c>
      <x:c r="D124" s="30" t="str">
        <x:v>Ring ReduceScatter</x:v>
      </x:c>
      <x:c r="E124" s="33" t="n">
        <x:f>(ROUNDUP('Prefill'!$P$7/'Prefill'!$P$15,0)*'Prefill'!$P$15)*7168</x:f>
        <x:v>58720256</x:v>
      </x:c>
      <x:c r="F124" s="33" t="n">
        <x:f>'Prefill'!$P$28</x:f>
        <x:v>2</x:v>
      </x:c>
      <x:c r="G124" s="33" t="n">
        <x:f>'Prefill'!$P$15</x:f>
        <x:v>1</x:v>
      </x:c>
      <x:c r="H124" s="33" t="n">
        <x:f>61*IF('Prefill'!$P$15&gt;1,1,0)</x:f>
        <x:v>0</x:v>
      </x:c>
      <x:c r="I124" s="34" t="n">
        <x:f>E124*F124/1048576</x:f>
        <x:v>112</x:v>
      </x:c>
      <x:c r="J124" s="34" t="n">
        <x:f>I124*(IF(G124&gt;1,(G124-1)/G124,0))</x:f>
        <x:v>0</x:v>
      </x:c>
      <x:c r="K124" s="34" t="n">
        <x:f>J124*H124</x:f>
        <x:v>0</x:v>
      </x:c>
      <x:c r="L124" s="34" t="n">
        <x:f>K124*G124</x:f>
        <x:v>0</x:v>
      </x:c>
      <x:c r="M124" s="30"/>
      <x:c r="N124" s="30"/>
      <x:c r="O124" s="30"/>
      <x:c r="P124" s="30"/>
    </x:row>
    <x:row r="125">
      <x:c r="A125" s="30" t="str">
        <x:v>PCP</x:v>
      </x:c>
      <x:c r="B125" s="30" t="str">
        <x:v>Attention KV</x:v>
      </x:c>
      <x:c r="C125" s="30" t="str">
        <x:v>KV Cache 写入前</x:v>
      </x:c>
      <x:c r="D125" s="30" t="str">
        <x:v>Ring AllGather</x:v>
      </x:c>
      <x:c r="E125" s="33" t="n">
        <x:f>((ROUNDUP('Prefill'!$P$7/'Prefill'!$P$15,0)*'Prefill'!$P$15)/'Prefill'!$P$15)*576</x:f>
        <x:v>4718592</x:v>
      </x:c>
      <x:c r="F125" s="33" t="n">
        <x:f>'Prefill'!$P$28</x:f>
        <x:v>2</x:v>
      </x:c>
      <x:c r="G125" s="33" t="n">
        <x:f>'Prefill'!$P$15</x:f>
        <x:v>1</x:v>
      </x:c>
      <x:c r="H125" s="33" t="n">
        <x:f>61*IF('Prefill'!$P$15&gt;1,1,0)</x:f>
        <x:v>0</x:v>
      </x:c>
      <x:c r="I125" s="34" t="n">
        <x:f>E125*F125/1048576</x:f>
        <x:v>9</x:v>
      </x:c>
      <x:c r="J125" s="34" t="n">
        <x:f>I125*(IF(G125&gt;1,G125-1,0))</x:f>
        <x:v>0</x:v>
      </x:c>
      <x:c r="K125" s="34" t="n">
        <x:f>J125*H125</x:f>
        <x:v>0</x:v>
      </x:c>
      <x:c r="L125" s="34" t="n">
        <x:f>K125*G125</x:f>
        <x:v>0</x:v>
      </x:c>
      <x:c r="M125" s="30"/>
      <x:c r="N125" s="30"/>
      <x:c r="O125" s="30"/>
      <x:c r="P125" s="30"/>
    </x:row>
    <x:row r="126">
      <x:c r="A126" s="30" t="str">
        <x:v>SP</x:v>
      </x:c>
      <x:c r="B126" s="30" t="str">
        <x:v>Model Output</x:v>
      </x:c>
      <x:c r="C126" s="30" t="str">
        <x:v>Final Norm 后</x:v>
      </x:c>
      <x:c r="D126" s="30" t="str">
        <x:v>Ring AllGather</x:v>
      </x:c>
      <x:c r="E126" s="33" t="n">
        <x:f>((ROUNDUP('Prefill'!$P$7/'Prefill'!$P$12,0)*'Prefill'!$P$12)/'Prefill'!$P$12)*7168</x:f>
        <x:v>7340032</x:v>
      </x:c>
      <x:c r="F126" s="33" t="n">
        <x:f>'Prefill'!$P$28</x:f>
        <x:v>2</x:v>
      </x:c>
      <x:c r="G126" s="33" t="n">
        <x:f>'Prefill'!$P$12</x:f>
        <x:v>8</x:v>
      </x:c>
      <x:c r="H126" s="33" t="n">
        <x:f>IF(AND('Prefill'!$P$13&lt;&gt;0,'Prefill'!$P$12&gt;1),1,0)</x:f>
        <x:v>1</x:v>
      </x:c>
      <x:c r="I126" s="34" t="n">
        <x:f>E126*F126/1048576</x:f>
        <x:v>14</x:v>
      </x:c>
      <x:c r="J126" s="34" t="n">
        <x:f>I126*(IF(G126&gt;1,G126-1,0))</x:f>
        <x:v>98</x:v>
      </x:c>
      <x:c r="K126" s="34" t="n">
        <x:f>J126*H126</x:f>
        <x:v>98</x:v>
      </x:c>
      <x:c r="L126" s="34" t="n">
        <x:f>K126*G126</x:f>
        <x:v>784</x:v>
      </x:c>
      <x:c r="M126" s="30"/>
      <x:c r="N126" s="30"/>
      <x:c r="O126" s="30"/>
      <x:c r="P126" s="30"/>
    </x:row>
    <x:row r="127">
      <x:c r="A127" s="30" t="str">
        <x:v>LM Head TP</x:v>
      </x:c>
      <x:c r="B127" s="30" t="str">
        <x:v>LM Head</x:v>
      </x:c>
      <x:c r="C127" s="30" t="str">
        <x:v>完整 Logits</x:v>
      </x:c>
      <x:c r="D127" s="30" t="str">
        <x:v>Ring AllGather</x:v>
      </x:c>
      <x:c r="E127" s="33" t="n">
        <x:f>'Prefill'!$P$8*129280/IF('Prefill'!$P$20&gt;0,'Prefill'!$P$20,'Prefill'!$P$12)</x:f>
        <x:v>2068480</x:v>
      </x:c>
      <x:c r="F127" s="33" t="n">
        <x:f>'Prefill'!$P$28</x:f>
        <x:v>2</x:v>
      </x:c>
      <x:c r="G127" s="33" t="n">
        <x:f>IF('Prefill'!$P$20&gt;0,'Prefill'!$P$20,'Prefill'!$P$12)</x:f>
        <x:v>8</x:v>
      </x:c>
      <x:c r="H127" s="33" t="n">
        <x:f>IF(AND(IF('Prefill'!$P$20&gt;0,'Prefill'!$P$20,'Prefill'!$P$12)&gt;1,'Prefill'!$P$23=0,'Prefill'!$P$33=0),1,0)</x:f>
        <x:v>0</x:v>
      </x:c>
      <x:c r="I127" s="34" t="n">
        <x:f>E127*F127/1048576</x:f>
        <x:v>3.9453125</x:v>
      </x:c>
      <x:c r="J127" s="34" t="n">
        <x:f>I127*(IF(G127&gt;1,G127-1,0))</x:f>
        <x:v>27.6171875</x:v>
      </x:c>
      <x:c r="K127" s="34" t="n">
        <x:f>J127*H127</x:f>
        <x:v>0</x:v>
      </x:c>
      <x:c r="L127" s="34" t="n">
        <x:f>K127*G127</x:f>
        <x:v>0</x:v>
      </x:c>
      <x:c r="M127" s="30"/>
      <x:c r="N127" s="30"/>
      <x:c r="O127" s="30"/>
      <x:c r="P127" s="30"/>
    </x:row>
    <x:row r="128">
      <x:c r="A128" s="30" t="str">
        <x:v>LM Head TP</x:v>
      </x:c>
      <x:c r="B128" s="30" t="str">
        <x:v>LM Head</x:v>
      </x:c>
      <x:c r="C128" s="30" t="str">
        <x:v>Reduce Sample</x:v>
      </x:c>
      <x:c r="D128" s="30" t="str">
        <x:v>Ring AllGather</x:v>
      </x:c>
      <x:c r="E128" s="33" t="n">
        <x:f>'Prefill'!$P$8*'Prefill'!$P$34</x:f>
        <x:v>32768</x:v>
      </x:c>
      <x:c r="F128" s="33" t="n">
        <x:f>('Prefill'!$P$28+'Prefill'!$P$31)</x:f>
        <x:v>6</x:v>
      </x:c>
      <x:c r="G128" s="33" t="n">
        <x:f>IF('Prefill'!$P$20&gt;0,'Prefill'!$P$20,'Prefill'!$P$12)</x:f>
        <x:v>8</x:v>
      </x:c>
      <x:c r="H128" s="33" t="n">
        <x:f>IF(AND(IF('Prefill'!$P$20&gt;0,'Prefill'!$P$20,'Prefill'!$P$12)&gt;1,'Prefill'!$P$23=0,'Prefill'!$P$33&lt;&gt;0),1,0)</x:f>
        <x:v>1</x:v>
      </x:c>
      <x:c r="I128" s="34" t="n">
        <x:f>E128*F128/1048576</x:f>
        <x:v>0.1875</x:v>
      </x:c>
      <x:c r="J128" s="34" t="n">
        <x:f>I128*(IF(G128&gt;1,G128-1,0))</x:f>
        <x:v>1.3125</x:v>
      </x:c>
      <x:c r="K128" s="34" t="n">
        <x:f>J128*H128</x:f>
        <x:v>1.3125</x:v>
      </x:c>
      <x:c r="L128" s="34" t="n">
        <x:f>K128*G128</x:f>
        <x:v>10.5</x:v>
      </x:c>
      <x:c r="M128" s="30"/>
      <x:c r="N128" s="30"/>
      <x:c r="O128" s="30"/>
      <x:c r="P128" s="30"/>
    </x:row>
    <x:row r="129">
      <x:c r="A129" s="30" t="str">
        <x:v>Fine LM Head TP</x:v>
      </x:c>
      <x:c r="B129" s="30" t="str">
        <x:v>LM Head</x:v>
      </x:c>
      <x:c r="C129" s="30" t="str">
        <x:v>Hidden 输入</x:v>
      </x:c>
      <x:c r="D129" s="30" t="str">
        <x:v>Ring AllGather</x:v>
      </x:c>
      <x:c r="E129" s="33" t="n">
        <x:f>'Prefill'!$P$8*7168</x:f>
        <x:v>917504</x:v>
      </x:c>
      <x:c r="F129" s="33" t="n">
        <x:f>'Prefill'!$P$28</x:f>
        <x:v>2</x:v>
      </x:c>
      <x:c r="G129" s="33" t="n">
        <x:f>IF('Prefill'!$P$20&gt;0,'Prefill'!$P$20,'Prefill'!$P$12)</x:f>
        <x:v>8</x:v>
      </x:c>
      <x:c r="H129" s="33" t="n">
        <x:f>IF(AND(IF('Prefill'!$P$20&gt;0,'Prefill'!$P$20,'Prefill'!$P$12)&gt;1,'Prefill'!$P$23&lt;&gt;0),1,0)</x:f>
        <x:v>0</x:v>
      </x:c>
      <x:c r="I129" s="34" t="n">
        <x:f>E129*F129/1048576</x:f>
        <x:v>1.75</x:v>
      </x:c>
      <x:c r="J129" s="34" t="n">
        <x:f>I129*(IF(G129&gt;1,G129-1,0))</x:f>
        <x:v>12.25</x:v>
      </x:c>
      <x:c r="K129" s="34" t="n">
        <x:f>J129*H129</x:f>
        <x:v>0</x:v>
      </x:c>
      <x:c r="L129" s="34" t="n">
        <x:f>K129*G129</x:f>
        <x:v>0</x:v>
      </x:c>
      <x:c r="M129" s="30"/>
      <x:c r="N129" s="30"/>
      <x:c r="O129" s="30"/>
      <x:c r="P129" s="30"/>
    </x:row>
    <x:row r="130">
      <x:c r="A130" s="30" t="str">
        <x:v>Fine LM Head TP</x:v>
      </x:c>
      <x:c r="B130" s="30" t="str">
        <x:v>LM Head</x:v>
      </x:c>
      <x:c r="C130" s="30" t="str">
        <x:v>完整 Logits</x:v>
      </x:c>
      <x:c r="D130" s="30" t="str">
        <x:v>Equal-split AllToAll</x:v>
      </x:c>
      <x:c r="E130" s="33" t="n">
        <x:f>'Prefill'!$P$8*129280</x:f>
        <x:v>16547840</x:v>
      </x:c>
      <x:c r="F130" s="33" t="n">
        <x:f>'Prefill'!$P$28</x:f>
        <x:v>2</x:v>
      </x:c>
      <x:c r="G130" s="33" t="n">
        <x:f>IF('Prefill'!$P$20&gt;0,'Prefill'!$P$20,'Prefill'!$P$12)</x:f>
        <x:v>8</x:v>
      </x:c>
      <x:c r="H130" s="33" t="n">
        <x:f>IF(AND(IF('Prefill'!$P$20&gt;0,'Prefill'!$P$20,'Prefill'!$P$12)&gt;1,'Prefill'!$P$23&lt;&gt;0,'Prefill'!$P$33=0),1,0)</x:f>
        <x:v>0</x:v>
      </x:c>
      <x:c r="I130" s="34" t="n">
        <x:f>E130*F130/1048576</x:f>
        <x:v>31.5625</x:v>
      </x:c>
      <x:c r="J130" s="34" t="n">
        <x:f>I130*(IF(G130&gt;1,(G130-1)/G130,0))</x:f>
        <x:v>27.6171875</x:v>
      </x:c>
      <x:c r="K130" s="34" t="n">
        <x:f>J130*H130</x:f>
        <x:v>0</x:v>
      </x:c>
      <x:c r="L130" s="34" t="n">
        <x:f>K130*G130</x:f>
        <x:v>0</x:v>
      </x:c>
      <x:c r="M130" s="30"/>
      <x:c r="N130" s="30"/>
      <x:c r="O130" s="30"/>
      <x:c r="P130" s="30"/>
    </x:row>
    <x:row r="131">
      <x:c r="A131" s="30" t="str">
        <x:v>Fine LM Head TP</x:v>
      </x:c>
      <x:c r="B131" s="30" t="str">
        <x:v>LM Head</x:v>
      </x:c>
      <x:c r="C131" s="30" t="str">
        <x:v>Reduce Sample</x:v>
      </x:c>
      <x:c r="D131" s="30" t="str">
        <x:v>Ring AllGather</x:v>
      </x:c>
      <x:c r="E131" s="33" t="n">
        <x:f>'Prefill'!$P$8*'Prefill'!$P$34</x:f>
        <x:v>32768</x:v>
      </x:c>
      <x:c r="F131" s="33" t="n">
        <x:f>('Prefill'!$P$28+'Prefill'!$P$31)</x:f>
        <x:v>6</x:v>
      </x:c>
      <x:c r="G131" s="33" t="n">
        <x:f>IF('Prefill'!$P$20&gt;0,'Prefill'!$P$20,'Prefill'!$P$12)</x:f>
        <x:v>8</x:v>
      </x:c>
      <x:c r="H131" s="33" t="n">
        <x:f>IF(AND(IF('Prefill'!$P$20&gt;0,'Prefill'!$P$20,'Prefill'!$P$12)&gt;1,'Prefill'!$P$23&lt;&gt;0,'Prefill'!$P$33&lt;&gt;0),1,0)</x:f>
        <x:v>0</x:v>
      </x:c>
      <x:c r="I131" s="34" t="n">
        <x:f>E131*F131/1048576</x:f>
        <x:v>0.1875</x:v>
      </x:c>
      <x:c r="J131" s="34" t="n">
        <x:f>I131*(IF(G131&gt;1,G131-1,0))</x:f>
        <x:v>1.3125</x:v>
      </x:c>
      <x:c r="K131" s="34" t="n">
        <x:f>J131*H131</x:f>
        <x:v>0</x:v>
      </x:c>
      <x:c r="L131" s="34" t="n">
        <x:f>K131*G131</x:f>
        <x:v>0</x:v>
      </x:c>
      <x:c r="M131" s="30"/>
      <x:c r="N131" s="30"/>
      <x:c r="O131" s="30"/>
      <x:c r="P131" s="30"/>
    </x:row>
    <x:row r="132">
      <x:c r="A132" s="40" t="str">
        <x:v>合计</x:v>
      </x:c>
      <x:c r="B132" s="40"/>
      <x:c r="C132" s="40"/>
      <x:c r="D132" s="40"/>
      <x:c r="E132" s="40"/>
      <x:c r="F132" s="40"/>
      <x:c r="G132" s="40"/>
      <x:c r="H132" s="40"/>
      <x:c r="I132" s="41"/>
      <x:c r="J132" s="41"/>
      <x:c r="K132" s="41" t="n">
        <x:f>SUM(K107:K131)</x:f>
        <x:v>34868.3125</x:v>
      </x:c>
      <x:c r="L132" s="41" t="n">
        <x:f>SUM(L107:L131)</x:f>
        <x:v>278946.5</x:v>
      </x:c>
      <x:c r="M132" s="30"/>
      <x:c r="N132" s="30"/>
      <x:c r="O132" s="30"/>
      <x:c r="P132" s="30"/>
    </x:row>
    <x:row r="135" ht="15" customHeight="1">
      <x:c r="A135" s="40" t="str">
        <x:v>PD 带宽争用耗时评估</x:v>
      </x:c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0"/>
      <x:c r="L135" s="30"/>
    </x:row>
    <x:row r="136" ht="15" customHeight="1">
      <x:c r="A136" s="30" t="str">
        <x:v>Prefill 当前表参数；100 GB/s 为归一化示例。所列事件的带宽项，不等于完整 forward 耗时。</x:v>
      </x:c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0"/>
      <x:c r="L136" s="30"/>
    </x:row>
    <x:row r="137" ht="30" customHeight="1">
      <x:c r="A137" s="62" t="str">
        <x:v>带宽降幅</x:v>
      </x:c>
      <x:c r="B137" s="62" t="str">
        <x:v>输入</x:v>
      </x:c>
      <x:c r="C137" s="62" t="str">
        <x:v>争用覆盖率</x:v>
      </x:c>
      <x:c r="D137" s="62" t="str">
        <x:v>输入</x:v>
      </x:c>
      <x:c r="E137" s="62" t="str">
        <x:v>基线 forward ms</x:v>
      </x:c>
      <x:c r="F137" s="62" t="str">
        <x:v>实测输入</x:v>
      </x:c>
      <x:c r="G137" s="62" t="str">
        <x:v>默认带宽 GB/s</x:v>
      </x:c>
      <x:c r="H137" s="62" t="str">
        <x:v>输入</x:v>
      </x:c>
      <x:c r="I137" s="30"/>
      <x:c r="J137" s="30"/>
      <x:c r="K137" s="30"/>
      <x:c r="L137" s="30"/>
    </x:row>
    <x:row r="138" ht="15" customHeight="1">
      <x:c r="A138" s="30"/>
      <x:c r="B138" s="63" t="n">
        <x:v>0.1</x:v>
      </x:c>
      <x:c r="C138" s="30"/>
      <x:c r="D138" s="63" t="n">
        <x:v>1</x:v>
      </x:c>
      <x:c r="E138" s="30"/>
      <x:c r="F138" s="38"/>
      <x:c r="G138" s="30"/>
      <x:c r="H138" s="36" t="n">
        <x:v>100</x:v>
      </x:c>
      <x:c r="I138" s="30"/>
      <x:c r="J138" s="30"/>
      <x:c r="K138" s="30"/>
      <x:c r="L138" s="30"/>
    </x:row>
    <x:row r="139" ht="30" customHeight="1">
      <x:c r="A139" s="62" t="str">
        <x:v>通信基线 ms</x:v>
      </x:c>
      <x:c r="B139" s="62" t="str">
        <x:v>结果</x:v>
      </x:c>
      <x:c r="C139" s="62" t="str">
        <x:v>通信争用后 ms</x:v>
      </x:c>
      <x:c r="D139" s="62" t="str">
        <x:v>结果</x:v>
      </x:c>
      <x:c r="E139" s="62" t="str">
        <x:v>forward 增量 ms</x:v>
      </x:c>
      <x:c r="F139" s="62" t="str">
        <x:v>结果</x:v>
      </x:c>
      <x:c r="G139" s="62" t="str">
        <x:v>forward 新耗时 ms</x:v>
      </x:c>
      <x:c r="H139" s="62" t="str">
        <x:v>结果</x:v>
      </x:c>
      <x:c r="I139" s="62" t="str">
        <x:v>forward 增幅</x:v>
      </x:c>
      <x:c r="J139" s="62" t="str">
        <x:v>结果</x:v>
      </x:c>
      <x:c r="K139" s="62" t="str">
        <x:v>输入状态</x:v>
      </x:c>
      <x:c r="L139" s="62" t="str">
        <x:v>状态</x:v>
      </x:c>
    </x:row>
    <x:row r="140" ht="15" customHeight="1">
      <x:c r="A140" s="49"/>
      <x:c r="B140" s="49" t="n">
        <x:f>SUM(G144:G169)</x:f>
        <x:v>365.62731519999994</x:v>
      </x:c>
      <x:c r="C140" s="49"/>
      <x:c r="D140" s="49" t="n">
        <x:f>SUM(H144:H169)</x:f>
        <x:v>406.2525724444444</x:v>
      </x:c>
      <x:c r="E140" s="49"/>
      <x:c r="F140" s="49" t="n">
        <x:f>SUM(K144:K169)</x:f>
        <x:v>40.62525724444444</x:v>
      </x:c>
      <x:c r="G140" s="49"/>
      <x:c r="H140" s="49" t="str">
        <x:f>IF(AND(ISNUMBER($F$138),$F$138&gt;0,$F$138&gt;=SUMPRODUCT(G144:G169,J144:J169)),$F$138+F140,"")</x:f>
      </x:c>
      <x:c r="I140" s="49"/>
      <x:c r="J140" s="50" t="str">
        <x:f>IF(AND(ISNUMBER($F$138),$F$138&gt;0,$F$138&gt;=SUMPRODUCT(G144:G169,J144:J169)),F140/$F$138,"")</x:f>
      </x:c>
      <x:c r="K140" s="49"/>
      <x:c r="L140" s="49" t="str">
        <x:f>IF($F$138="","待填基线",IF(AND(ISNUMBER($F$138),$F$138&gt;0,$F$138&gt;=SUMPRODUCT(G144:G169,J144:J169)),"已填基线","基线/暴露不一致"))</x:f>
        <x:v>待填基线</x:v>
      </x:c>
    </x:row>
    <x:row r="141" ht="15" customHeight="1">
      <x:c r="A141" s="30" t="str">
        <x:v>共享比例=0 表示独立链路；暴露系数=0 表示增量完全隐藏。默认均为 1，降幅只作用于带宽项。</x:v>
      </x:c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0"/>
      <x:c r="L141" s="30"/>
    </x:row>
    <x:row r="142" ht="15" customHeight="1">
      <x:c r="A142" s="30" t="str">
        <x:v>P: AllToAllV + 4 B 计数 Ring；D: A3 BF16 MC2 FullMesh。每事件带宽按端点发送量定义。</x:v>
      </x:c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0"/>
      <x:c r="L142" s="30"/>
    </x:row>
    <x:row r="143" ht="30" customHeight="1">
      <x:c r="A143" s="62" t="str">
        <x:v>并行域</x:v>
      </x:c>
      <x:c r="B143" s="62" t="str">
        <x:v>模块</x:v>
      </x:c>
      <x:c r="C143" s="62" t="str">
        <x:v>通信事件</x:v>
      </x:c>
      <x:c r="D143" s="62" t="str">
        <x:v>GB/Rank/Step</x:v>
      </x:c>
      <x:c r="E143" s="62" t="str">
        <x:v>有效带宽 GB/s</x:v>
      </x:c>
      <x:c r="F143" s="62" t="str">
        <x:v>共享比例</x:v>
      </x:c>
      <x:c r="G143" s="62" t="str">
        <x:v>基线带宽项 ms</x:v>
      </x:c>
      <x:c r="H143" s="62" t="str">
        <x:v>争用后带宽项 ms</x:v>
      </x:c>
      <x:c r="I143" s="62" t="str">
        <x:v>通信增量 ms</x:v>
      </x:c>
      <x:c r="J143" s="62" t="str">
        <x:v>暴露系数</x:v>
      </x:c>
      <x:c r="K143" s="62" t="str">
        <x:v>forward 增量 ms</x:v>
      </x:c>
      <x:c r="L143" s="62" t="str">
        <x:v>公式口径</x:v>
      </x:c>
    </x:row>
    <x:row r="144" ht="15" customHeight="1">
      <x:c r="A144" s="30" t="str">
        <x:v>Embedding TP</x:v>
      </x:c>
      <x:c r="B144" s="30" t="str">
        <x:v>Embedding</x:v>
      </x:c>
      <x:c r="C144" s="30" t="str">
        <x:v>标准 TP 输出</x:v>
      </x:c>
      <x:c r="D144" s="34" t="n">
        <x:f>(K107*2^20)/1e9</x:f>
        <x:v>0.205520896</x:v>
      </x:c>
      <x:c r="E144" s="64" t="n">
        <x:f>$H$138</x:f>
        <x:v>100</x:v>
      </x:c>
      <x:c r="F144" s="59" t="n">
        <x:v>1</x:v>
      </x:c>
      <x:c r="G144" s="34" t="n">
        <x:f>IF(AND(ISNUMBER(E144),E144&gt;0,ISNUMBER($B$138),$B$138&gt;=0,$B$138&lt;1,ISNUMBER($D$138),$D$138&gt;=0,$D$138&lt;=1,ISNUMBER(F144),F144&gt;=0,F144&lt;=1,ISNUMBER(J144),J144&gt;=0,J144&lt;=1),D144/E144*1000,NA())</x:f>
        <x:v>2.0552089600000003</x:v>
      </x:c>
      <x:c r="H144" s="34" t="n">
        <x:f>G144+I144</x:f>
        <x:v>2.2835655111111115</x:v>
      </x:c>
      <x:c r="I144" s="34" t="n">
        <x:f>G144*F144*$D$138*$B$138/(1-$B$138)</x:f>
        <x:v>0.22835655111111114</x:v>
      </x:c>
      <x:c r="J144" s="59" t="n">
        <x:v>1</x:v>
      </x:c>
      <x:c r="K144" s="34" t="n">
        <x:f>I144*J144</x:f>
        <x:v>0.22835655111111114</x:v>
      </x:c>
      <x:c r="L144" s="30" t="str">
        <x:v>原通信行 107</x:v>
      </x:c>
    </x:row>
    <x:row r="145" ht="15" customHeight="1">
      <x:c r="A145" s="30" t="str">
        <x:v>Embedding TP</x:v>
      </x:c>
      <x:c r="B145" s="30" t="str">
        <x:v>Embedding</x:v>
      </x:c>
      <x:c r="C145" s="30" t="str">
        <x:v>Fine TP Token ID</x:v>
      </x:c>
      <x:c r="D145" s="34" t="n">
        <x:f>(K108*2^20)/1e9</x:f>
        <x:v>0</x:v>
      </x:c>
      <x:c r="E145" s="64" t="n">
        <x:f>$H$138</x:f>
        <x:v>100</x:v>
      </x:c>
      <x:c r="F145" s="59" t="n">
        <x:v>1</x:v>
      </x:c>
      <x:c r="G145" s="34" t="n">
        <x:f>IF(AND(ISNUMBER(E145),E145&gt;0,ISNUMBER($B$138),$B$138&gt;=0,$B$138&lt;1,ISNUMBER($D$138),$D$138&gt;=0,$D$138&lt;=1,ISNUMBER(F145),F145&gt;=0,F145&lt;=1,ISNUMBER(J145),J145&gt;=0,J145&lt;=1),D145/E145*1000,NA())</x:f>
        <x:v>0</x:v>
      </x:c>
      <x:c r="H145" s="34" t="n">
        <x:f>G145+I145</x:f>
        <x:v>0</x:v>
      </x:c>
      <x:c r="I145" s="34" t="n">
        <x:f>G145*F145*$D$138*$B$138/(1-$B$138)</x:f>
        <x:v>0</x:v>
      </x:c>
      <x:c r="J145" s="59" t="n">
        <x:v>1</x:v>
      </x:c>
      <x:c r="K145" s="34" t="n">
        <x:f>I145*J145</x:f>
        <x:v>0</x:v>
      </x:c>
      <x:c r="L145" s="30" t="str">
        <x:v>原通信行 108</x:v>
      </x:c>
    </x:row>
    <x:row r="146" ht="15" customHeight="1">
      <x:c r="A146" s="30" t="str">
        <x:v>Embedding TP</x:v>
      </x:c>
      <x:c r="B146" s="30" t="str">
        <x:v>Embedding</x:v>
      </x:c>
      <x:c r="C146" s="30" t="str">
        <x:v>Fine TP Hidden</x:v>
      </x:c>
      <x:c r="D146" s="34" t="n">
        <x:f>(K109*2^20)/1e9</x:f>
        <x:v>0</x:v>
      </x:c>
      <x:c r="E146" s="64" t="n">
        <x:f>$H$138</x:f>
        <x:v>100</x:v>
      </x:c>
      <x:c r="F146" s="59" t="n">
        <x:v>1</x:v>
      </x:c>
      <x:c r="G146" s="34" t="n">
        <x:f>IF(AND(ISNUMBER(E146),E146&gt;0,ISNUMBER($B$138),$B$138&gt;=0,$B$138&lt;1,ISNUMBER($D$138),$D$138&gt;=0,$D$138&lt;=1,ISNUMBER(F146),F146&gt;=0,F146&lt;=1,ISNUMBER(J146),J146&gt;=0,J146&lt;=1),D146/E146*1000,NA())</x:f>
        <x:v>0</x:v>
      </x:c>
      <x:c r="H146" s="34" t="n">
        <x:f>G146+I146</x:f>
        <x:v>0</x:v>
      </x:c>
      <x:c r="I146" s="34" t="n">
        <x:f>G146*F146*$D$138*$B$138/(1-$B$138)</x:f>
        <x:v>0</x:v>
      </x:c>
      <x:c r="J146" s="59" t="n">
        <x:v>1</x:v>
      </x:c>
      <x:c r="K146" s="34" t="n">
        <x:f>I146*J146</x:f>
        <x:v>0</x:v>
      </x:c>
      <x:c r="L146" s="30" t="str">
        <x:v>原通信行 109</x:v>
      </x:c>
    </x:row>
    <x:row r="147" ht="15" customHeight="1">
      <x:c r="A147" s="30" t="str">
        <x:v>DSA CP</x:v>
      </x:c>
      <x:c r="B147" s="30" t="str">
        <x:v>Sparse Attention</x:v>
      </x:c>
      <x:c r="C147" s="30" t="str">
        <x:v>Q/KV 投影输入</x:v>
      </x:c>
      <x:c r="D147" s="34" t="n">
        <x:f>(K110*2^20)/1e9</x:f>
        <x:v>6.268387328</x:v>
      </x:c>
      <x:c r="E147" s="64" t="n">
        <x:f>$H$138</x:f>
        <x:v>100</x:v>
      </x:c>
      <x:c r="F147" s="59" t="n">
        <x:v>1</x:v>
      </x:c>
      <x:c r="G147" s="34" t="n">
        <x:f>IF(AND(ISNUMBER(E147),E147&gt;0,ISNUMBER($B$138),$B$138&gt;=0,$B$138&lt;1,ISNUMBER($D$138),$D$138&gt;=0,$D$138&lt;=1,ISNUMBER(F147),F147&gt;=0,F147&lt;=1,ISNUMBER(J147),J147&gt;=0,J147&lt;=1),D147/E147*1000,NA())</x:f>
        <x:v>62.68387327999999</x:v>
      </x:c>
      <x:c r="H147" s="34" t="n">
        <x:f>G147+I147</x:f>
        <x:v>69.64874808888888</x:v>
      </x:c>
      <x:c r="I147" s="34" t="n">
        <x:f>G147*F147*$D$138*$B$138/(1-$B$138)</x:f>
        <x:v>6.964874808888888</x:v>
      </x:c>
      <x:c r="J147" s="59" t="n">
        <x:v>1</x:v>
      </x:c>
      <x:c r="K147" s="34" t="n">
        <x:f>I147*J147</x:f>
        <x:v>6.964874808888888</x:v>
      </x:c>
      <x:c r="L147" s="30" t="str">
        <x:v>原通信行 110</x:v>
      </x:c>
    </x:row>
    <x:row r="148" ht="15" customHeight="1">
      <x:c r="A148" s="30" t="str">
        <x:v>DSA CP</x:v>
      </x:c>
      <x:c r="B148" s="30" t="str">
        <x:v>Sparse Attention</x:v>
      </x:c>
      <x:c r="C148" s="30" t="str">
        <x:v>恢复 TP Head Layout</x:v>
      </x:c>
      <x:c r="D148" s="34" t="n">
        <x:f>(K111*2^20)/1e9</x:f>
        <x:v>7.163871232</x:v>
      </x:c>
      <x:c r="E148" s="64" t="n">
        <x:f>$H$138</x:f>
        <x:v>100</x:v>
      </x:c>
      <x:c r="F148" s="59" t="n">
        <x:v>1</x:v>
      </x:c>
      <x:c r="G148" s="34" t="n">
        <x:f>IF(AND(ISNUMBER(E148),E148&gt;0,ISNUMBER($B$138),$B$138&gt;=0,$B$138&lt;1,ISNUMBER($D$138),$D$138&gt;=0,$D$138&lt;=1,ISNUMBER(F148),F148&gt;=0,F148&lt;=1,ISNUMBER(J148),J148&gt;=0,J148&lt;=1),D148/E148*1000,NA())</x:f>
        <x:v>71.63871232000001</x:v>
      </x:c>
      <x:c r="H148" s="34" t="n">
        <x:f>G148+I148</x:f>
        <x:v>79.59856924444446</x:v>
      </x:c>
      <x:c r="I148" s="34" t="n">
        <x:f>G148*F148*$D$138*$B$138/(1-$B$138)</x:f>
        <x:v>7.959856924444447</x:v>
      </x:c>
      <x:c r="J148" s="59" t="n">
        <x:v>1</x:v>
      </x:c>
      <x:c r="K148" s="34" t="n">
        <x:f>I148*J148</x:f>
        <x:v>7.959856924444447</x:v>
      </x:c>
      <x:c r="L148" s="30" t="str">
        <x:v>原通信行 111</x:v>
      </x:c>
    </x:row>
    <x:row r="149" ht="15" customHeight="1">
      <x:c r="A149" s="30" t="str">
        <x:v>DSA CP</x:v>
      </x:c>
      <x:c r="B149" s="30" t="str">
        <x:v>Indexer</x:v>
      </x:c>
      <x:c r="C149" s="30" t="str">
        <x:v>Top-k Index</x:v>
      </x:c>
      <x:c r="D149" s="34" t="n">
        <x:f>(K112*2^20)/1e9</x:f>
        <x:v>0.88080384</x:v>
      </x:c>
      <x:c r="E149" s="64" t="n">
        <x:f>$H$138</x:f>
        <x:v>100</x:v>
      </x:c>
      <x:c r="F149" s="59" t="n">
        <x:v>1</x:v>
      </x:c>
      <x:c r="G149" s="34" t="n">
        <x:f>IF(AND(ISNUMBER(E149),E149&gt;0,ISNUMBER($B$138),$B$138&gt;=0,$B$138&lt;1,ISNUMBER($D$138),$D$138&gt;=0,$D$138&lt;=1,ISNUMBER(F149),F149&gt;=0,F149&lt;=1,ISNUMBER(J149),J149&gt;=0,J149&lt;=1),D149/E149*1000,NA())</x:f>
        <x:v>8.808038400000001</x:v>
      </x:c>
      <x:c r="H149" s="34" t="n">
        <x:f>G149+I149</x:f>
        <x:v>9.786709333333334</x:v>
      </x:c>
      <x:c r="I149" s="34" t="n">
        <x:f>G149*F149*$D$138*$B$138/(1-$B$138)</x:f>
        <x:v>0.9786709333333334</x:v>
      </x:c>
      <x:c r="J149" s="59" t="n">
        <x:v>1</x:v>
      </x:c>
      <x:c r="K149" s="34" t="n">
        <x:f>I149*J149</x:f>
        <x:v>0.9786709333333334</x:v>
      </x:c>
      <x:c r="L149" s="30" t="str">
        <x:v>原通信行 112</x:v>
      </x:c>
    </x:row>
    <x:row r="150" ht="15" customHeight="1">
      <x:c r="A150" s="30" t="str">
        <x:v>O Proj TP</x:v>
      </x:c>
      <x:c r="B150" s="30" t="str">
        <x:v>Sparse Attention</x:v>
      </x:c>
      <x:c r="C150" s="30" t="str">
        <x:v>DSA CP 关闭</x:v>
      </x:c>
      <x:c r="D150" s="34" t="n">
        <x:f>(K113*2^20)/1e9</x:f>
        <x:v>0</x:v>
      </x:c>
      <x:c r="E150" s="64" t="n">
        <x:f>$H$138</x:f>
        <x:v>100</x:v>
      </x:c>
      <x:c r="F150" s="59" t="n">
        <x:v>1</x:v>
      </x:c>
      <x:c r="G150" s="34" t="n">
        <x:f>IF(AND(ISNUMBER(E150),E150&gt;0,ISNUMBER($B$138),$B$138&gt;=0,$B$138&lt;1,ISNUMBER($D$138),$D$138&gt;=0,$D$138&lt;=1,ISNUMBER(F150),F150&gt;=0,F150&lt;=1,ISNUMBER(J150),J150&gt;=0,J150&lt;=1),D150/E150*1000,NA())</x:f>
        <x:v>0</x:v>
      </x:c>
      <x:c r="H150" s="34" t="n">
        <x:f>G150+I150</x:f>
        <x:v>0</x:v>
      </x:c>
      <x:c r="I150" s="34" t="n">
        <x:f>G150*F150*$D$138*$B$138/(1-$B$138)</x:f>
        <x:v>0</x:v>
      </x:c>
      <x:c r="J150" s="59" t="n">
        <x:v>1</x:v>
      </x:c>
      <x:c r="K150" s="34" t="n">
        <x:f>I150*J150</x:f>
        <x:v>0</x:v>
      </x:c>
      <x:c r="L150" s="30" t="str">
        <x:v>原通信行 113</x:v>
      </x:c>
    </x:row>
    <x:row r="151" ht="15" customHeight="1">
      <x:c r="A151" s="30" t="str">
        <x:v>EP</x:v>
      </x:c>
      <x:c r="B151" s="30" t="str">
        <x:v>Routed Experts</x:v>
      </x:c>
      <x:c r="C151" s="30" t="str">
        <x:v>Dispatch Hidden</x:v>
      </x:c>
      <x:c r="D151" s="34" t="n">
        <x:f>(K114*2^20)/1e9</x:f>
        <x:v>4.701290496</x:v>
      </x:c>
      <x:c r="E151" s="64" t="n">
        <x:f>$H$138</x:f>
        <x:v>100</x:v>
      </x:c>
      <x:c r="F151" s="59" t="n">
        <x:v>1</x:v>
      </x:c>
      <x:c r="G151" s="34" t="n">
        <x:f>IF(AND(ISNUMBER(E151),E151&gt;0,ISNUMBER($B$138),$B$138&gt;=0,$B$138&lt;1,ISNUMBER($D$138),$D$138&gt;=0,$D$138&lt;=1,ISNUMBER(F151),F151&gt;=0,F151&lt;=1,ISNUMBER(J151),J151&gt;=0,J151&lt;=1),D151/E151*1000,NA())</x:f>
        <x:v>47.01290496000001</x:v>
      </x:c>
      <x:c r="H151" s="34" t="n">
        <x:f>G151+I151</x:f>
        <x:v>52.236561066666674</x:v>
      </x:c>
      <x:c r="I151" s="34" t="n">
        <x:f>G151*F151*$D$138*$B$138/(1-$B$138)</x:f>
        <x:v>5.223656106666668</x:v>
      </x:c>
      <x:c r="J151" s="59" t="n">
        <x:v>1</x:v>
      </x:c>
      <x:c r="K151" s="34" t="n">
        <x:f>I151*J151</x:f>
        <x:v>5.223656106666668</x:v>
      </x:c>
      <x:c r="L151" s="30" t="str">
        <x:v>原通信行 114</x:v>
      </x:c>
    </x:row>
    <x:row r="152" ht="15" customHeight="1">
      <x:c r="A152" s="30" t="str">
        <x:v>EP</x:v>
      </x:c>
      <x:c r="B152" s="30" t="str">
        <x:v>Routed Experts</x:v>
      </x:c>
      <x:c r="C152" s="30" t="str">
        <x:v>Combine Hidden</x:v>
      </x:c>
      <x:c r="D152" s="34" t="n">
        <x:f>(K115*2^20)/1e9</x:f>
        <x:v>4.701290496</x:v>
      </x:c>
      <x:c r="E152" s="64" t="n">
        <x:f>$H$138</x:f>
        <x:v>100</x:v>
      </x:c>
      <x:c r="F152" s="59" t="n">
        <x:v>1</x:v>
      </x:c>
      <x:c r="G152" s="34" t="n">
        <x:f>IF(AND(ISNUMBER(E152),E152&gt;0,ISNUMBER($B$138),$B$138&gt;=0,$B$138&lt;1,ISNUMBER($D$138),$D$138&gt;=0,$D$138&lt;=1,ISNUMBER(F152),F152&gt;=0,F152&lt;=1,ISNUMBER(J152),J152&gt;=0,J152&lt;=1),D152/E152*1000,NA())</x:f>
        <x:v>47.01290496000001</x:v>
      </x:c>
      <x:c r="H152" s="34" t="n">
        <x:f>G152+I152</x:f>
        <x:v>52.236561066666674</x:v>
      </x:c>
      <x:c r="I152" s="34" t="n">
        <x:f>G152*F152*$D$138*$B$138/(1-$B$138)</x:f>
        <x:v>5.223656106666668</x:v>
      </x:c>
      <x:c r="J152" s="59" t="n">
        <x:v>1</x:v>
      </x:c>
      <x:c r="K152" s="34" t="n">
        <x:f>I152*J152</x:f>
        <x:v>5.223656106666668</x:v>
      </x:c>
      <x:c r="L152" s="30" t="str">
        <x:v>原通信行 115</x:v>
      </x:c>
    </x:row>
    <x:row r="153" ht="15" customHeight="1">
      <x:c r="A153" s="30" t="str">
        <x:v>DP</x:v>
      </x:c>
      <x:c r="B153" s="30" t="str">
        <x:v>MoE</x:v>
      </x:c>
      <x:c r="C153" s="30" t="str">
        <x:v>Hidden 输入</x:v>
      </x:c>
      <x:c r="D153" s="34" t="n">
        <x:f>(K116*2^20)/1e9</x:f>
        <x:v>0</x:v>
      </x:c>
      <x:c r="E153" s="64" t="n">
        <x:f>$H$138</x:f>
        <x:v>100</x:v>
      </x:c>
      <x:c r="F153" s="59" t="n">
        <x:v>1</x:v>
      </x:c>
      <x:c r="G153" s="34" t="n">
        <x:f>IF(AND(ISNUMBER(E153),E153&gt;0,ISNUMBER($B$138),$B$138&gt;=0,$B$138&lt;1,ISNUMBER($D$138),$D$138&gt;=0,$D$138&lt;=1,ISNUMBER(F153),F153&gt;=0,F153&lt;=1,ISNUMBER(J153),J153&gt;=0,J153&lt;=1),D153/E153*1000,NA())</x:f>
        <x:v>0</x:v>
      </x:c>
      <x:c r="H153" s="34" t="n">
        <x:f>G153+I153</x:f>
        <x:v>0</x:v>
      </x:c>
      <x:c r="I153" s="34" t="n">
        <x:f>G153*F153*$D$138*$B$138/(1-$B$138)</x:f>
        <x:v>0</x:v>
      </x:c>
      <x:c r="J153" s="59" t="n">
        <x:v>1</x:v>
      </x:c>
      <x:c r="K153" s="34" t="n">
        <x:f>I153*J153</x:f>
        <x:v>0</x:v>
      </x:c>
      <x:c r="L153" s="30" t="str">
        <x:v>原通信行 116</x:v>
      </x:c>
    </x:row>
    <x:row r="154" ht="15" customHeight="1">
      <x:c r="A154" s="30" t="str">
        <x:v>DP</x:v>
      </x:c>
      <x:c r="B154" s="30" t="str">
        <x:v>MoE Router</x:v>
      </x:c>
      <x:c r="C154" s="30" t="str">
        <x:v>Router Logits</x:v>
      </x:c>
      <x:c r="D154" s="34" t="n">
        <x:f>(K117*2^20)/1e9</x:f>
        <x:v>0</x:v>
      </x:c>
      <x:c r="E154" s="64" t="n">
        <x:f>$H$138</x:f>
        <x:v>100</x:v>
      </x:c>
      <x:c r="F154" s="59" t="n">
        <x:v>1</x:v>
      </x:c>
      <x:c r="G154" s="34" t="n">
        <x:f>IF(AND(ISNUMBER(E154),E154&gt;0,ISNUMBER($B$138),$B$138&gt;=0,$B$138&lt;1,ISNUMBER($D$138),$D$138&gt;=0,$D$138&lt;=1,ISNUMBER(F154),F154&gt;=0,F154&lt;=1,ISNUMBER(J154),J154&gt;=0,J154&lt;=1),D154/E154*1000,NA())</x:f>
        <x:v>0</x:v>
      </x:c>
      <x:c r="H154" s="34" t="n">
        <x:f>G154+I154</x:f>
        <x:v>0</x:v>
      </x:c>
      <x:c r="I154" s="34" t="n">
        <x:f>G154*F154*$D$138*$B$138/(1-$B$138)</x:f>
        <x:v>0</x:v>
      </x:c>
      <x:c r="J154" s="59" t="n">
        <x:v>1</x:v>
      </x:c>
      <x:c r="K154" s="34" t="n">
        <x:f>I154*J154</x:f>
        <x:v>0</x:v>
      </x:c>
      <x:c r="L154" s="30" t="str">
        <x:v>原通信行 117</x:v>
      </x:c>
    </x:row>
    <x:row r="155" ht="15" customHeight="1">
      <x:c r="A155" s="30" t="str">
        <x:v>DP</x:v>
      </x:c>
      <x:c r="B155" s="30" t="str">
        <x:v>MoE</x:v>
      </x:c>
      <x:c r="C155" s="30" t="str">
        <x:v>Routed Expert 输出</x:v>
      </x:c>
      <x:c r="D155" s="34" t="n">
        <x:f>(K118*2^20)/1e9</x:f>
        <x:v>0</x:v>
      </x:c>
      <x:c r="E155" s="64" t="n">
        <x:f>$H$138</x:f>
        <x:v>100</x:v>
      </x:c>
      <x:c r="F155" s="59" t="n">
        <x:v>1</x:v>
      </x:c>
      <x:c r="G155" s="34" t="n">
        <x:f>IF(AND(ISNUMBER(E155),E155&gt;0,ISNUMBER($B$138),$B$138&gt;=0,$B$138&lt;1,ISNUMBER($D$138),$D$138&gt;=0,$D$138&lt;=1,ISNUMBER(F155),F155&gt;=0,F155&lt;=1,ISNUMBER(J155),J155&gt;=0,J155&lt;=1),D155/E155*1000,NA())</x:f>
        <x:v>0</x:v>
      </x:c>
      <x:c r="H155" s="34" t="n">
        <x:f>G155+I155</x:f>
        <x:v>0</x:v>
      </x:c>
      <x:c r="I155" s="34" t="n">
        <x:f>G155*F155*$D$138*$B$138/(1-$B$138)</x:f>
        <x:v>0</x:v>
      </x:c>
      <x:c r="J155" s="59" t="n">
        <x:v>1</x:v>
      </x:c>
      <x:c r="K155" s="34" t="n">
        <x:f>I155*J155</x:f>
        <x:v>0</x:v>
      </x:c>
      <x:c r="L155" s="30" t="str">
        <x:v>原通信行 118</x:v>
      </x:c>
    </x:row>
    <x:row r="156" ht="15" customHeight="1">
      <x:c r="A156" s="30" t="str">
        <x:v>共享专家 TP</x:v>
      </x:c>
      <x:c r="B156" s="30" t="str">
        <x:v>Shared Experts</x:v>
      </x:c>
      <x:c r="C156" s="30" t="str">
        <x:v>SP 输入</x:v>
      </x:c>
      <x:c r="D156" s="34" t="n">
        <x:f>(K119*2^20)/1e9</x:f>
        <x:v>6.268387328</x:v>
      </x:c>
      <x:c r="E156" s="64" t="n">
        <x:f>$H$138</x:f>
        <x:v>100</x:v>
      </x:c>
      <x:c r="F156" s="59" t="n">
        <x:v>1</x:v>
      </x:c>
      <x:c r="G156" s="34" t="n">
        <x:f>IF(AND(ISNUMBER(E156),E156&gt;0,ISNUMBER($B$138),$B$138&gt;=0,$B$138&lt;1,ISNUMBER($D$138),$D$138&gt;=0,$D$138&lt;=1,ISNUMBER(F156),F156&gt;=0,F156&lt;=1,ISNUMBER(J156),J156&gt;=0,J156&lt;=1),D156/E156*1000,NA())</x:f>
        <x:v>62.68387327999999</x:v>
      </x:c>
      <x:c r="H156" s="34" t="n">
        <x:f>G156+I156</x:f>
        <x:v>69.64874808888888</x:v>
      </x:c>
      <x:c r="I156" s="34" t="n">
        <x:f>G156*F156*$D$138*$B$138/(1-$B$138)</x:f>
        <x:v>6.964874808888888</x:v>
      </x:c>
      <x:c r="J156" s="59" t="n">
        <x:v>1</x:v>
      </x:c>
      <x:c r="K156" s="34" t="n">
        <x:f>I156*J156</x:f>
        <x:v>6.964874808888888</x:v>
      </x:c>
      <x:c r="L156" s="30" t="str">
        <x:v>原通信行 119</x:v>
      </x:c>
    </x:row>
    <x:row r="157" ht="15" customHeight="1">
      <x:c r="A157" s="30" t="str">
        <x:v>共享专家 TP</x:v>
      </x:c>
      <x:c r="B157" s="30" t="str">
        <x:v>Shared Experts</x:v>
      </x:c>
      <x:c r="C157" s="30" t="str">
        <x:v>SP 输出</x:v>
      </x:c>
      <x:c r="D157" s="34" t="n">
        <x:f>(K120*2^20)/1e9</x:f>
        <x:v>6.268387328</x:v>
      </x:c>
      <x:c r="E157" s="64" t="n">
        <x:f>$H$138</x:f>
        <x:v>100</x:v>
      </x:c>
      <x:c r="F157" s="59" t="n">
        <x:v>1</x:v>
      </x:c>
      <x:c r="G157" s="34" t="n">
        <x:f>IF(AND(ISNUMBER(E157),E157&gt;0,ISNUMBER($B$138),$B$138&gt;=0,$B$138&lt;1,ISNUMBER($D$138),$D$138&gt;=0,$D$138&lt;=1,ISNUMBER(F157),F157&gt;=0,F157&lt;=1,ISNUMBER(J157),J157&gt;=0,J157&lt;=1),D157/E157*1000,NA())</x:f>
        <x:v>62.68387327999999</x:v>
      </x:c>
      <x:c r="H157" s="34" t="n">
        <x:f>G157+I157</x:f>
        <x:v>69.64874808888888</x:v>
      </x:c>
      <x:c r="I157" s="34" t="n">
        <x:f>G157*F157*$D$138*$B$138/(1-$B$138)</x:f>
        <x:v>6.964874808888888</x:v>
      </x:c>
      <x:c r="J157" s="59" t="n">
        <x:v>1</x:v>
      </x:c>
      <x:c r="K157" s="34" t="n">
        <x:f>I157*J157</x:f>
        <x:v>6.964874808888888</x:v>
      </x:c>
      <x:c r="L157" s="30" t="str">
        <x:v>原通信行 120</x:v>
      </x:c>
    </x:row>
    <x:row r="158" ht="15" customHeight="1">
      <x:c r="A158" s="30" t="str">
        <x:v>共享专家 TP</x:v>
      </x:c>
      <x:c r="B158" s="30" t="str">
        <x:v>Shared Experts</x:v>
      </x:c>
      <x:c r="C158" s="30" t="str">
        <x:v>非 SP 输出</x:v>
      </x:c>
      <x:c r="D158" s="34" t="n">
        <x:f>(K121*2^20)/1e9</x:f>
        <x:v>0</x:v>
      </x:c>
      <x:c r="E158" s="64" t="n">
        <x:f>$H$138</x:f>
        <x:v>100</x:v>
      </x:c>
      <x:c r="F158" s="59" t="n">
        <x:v>1</x:v>
      </x:c>
      <x:c r="G158" s="34" t="n">
        <x:f>IF(AND(ISNUMBER(E158),E158&gt;0,ISNUMBER($B$138),$B$138&gt;=0,$B$138&lt;1,ISNUMBER($D$138),$D$138&gt;=0,$D$138&lt;=1,ISNUMBER(F158),F158&gt;=0,F158&lt;=1,ISNUMBER(J158),J158&gt;=0,J158&lt;=1),D158/E158*1000,NA())</x:f>
        <x:v>0</x:v>
      </x:c>
      <x:c r="H158" s="34" t="n">
        <x:f>G158+I158</x:f>
        <x:v>0</x:v>
      </x:c>
      <x:c r="I158" s="34" t="n">
        <x:f>G158*F158*$D$138*$B$138/(1-$B$138)</x:f>
        <x:v>0</x:v>
      </x:c>
      <x:c r="J158" s="59" t="n">
        <x:v>1</x:v>
      </x:c>
      <x:c r="K158" s="34" t="n">
        <x:f>I158*J158</x:f>
        <x:v>0</x:v>
      </x:c>
      <x:c r="L158" s="30" t="str">
        <x:v>原通信行 121</x:v>
      </x:c>
    </x:row>
    <x:row r="159" ht="15" customHeight="1">
      <x:c r="A159" s="30" t="str">
        <x:v>PCP</x:v>
      </x:c>
      <x:c r="B159" s="30" t="str">
        <x:v>MoE</x:v>
      </x:c>
      <x:c r="C159" s="30" t="str">
        <x:v>Hidden 输入</x:v>
      </x:c>
      <x:c r="D159" s="34" t="n">
        <x:f>(K122*2^20)/1e9</x:f>
        <x:v>0</x:v>
      </x:c>
      <x:c r="E159" s="64" t="n">
        <x:f>$H$138</x:f>
        <x:v>100</x:v>
      </x:c>
      <x:c r="F159" s="59" t="n">
        <x:v>1</x:v>
      </x:c>
      <x:c r="G159" s="34" t="n">
        <x:f>IF(AND(ISNUMBER(E159),E159&gt;0,ISNUMBER($B$138),$B$138&gt;=0,$B$138&lt;1,ISNUMBER($D$138),$D$138&gt;=0,$D$138&lt;=1,ISNUMBER(F159),F159&gt;=0,F159&lt;=1,ISNUMBER(J159),J159&gt;=0,J159&lt;=1),D159/E159*1000,NA())</x:f>
        <x:v>0</x:v>
      </x:c>
      <x:c r="H159" s="34" t="n">
        <x:f>G159+I159</x:f>
        <x:v>0</x:v>
      </x:c>
      <x:c r="I159" s="34" t="n">
        <x:f>G159*F159*$D$138*$B$138/(1-$B$138)</x:f>
        <x:v>0</x:v>
      </x:c>
      <x:c r="J159" s="59" t="n">
        <x:v>1</x:v>
      </x:c>
      <x:c r="K159" s="34" t="n">
        <x:f>I159*J159</x:f>
        <x:v>0</x:v>
      </x:c>
      <x:c r="L159" s="30" t="str">
        <x:v>原通信行 122</x:v>
      </x:c>
    </x:row>
    <x:row r="160" ht="15" customHeight="1">
      <x:c r="A160" s="30" t="str">
        <x:v>PCP</x:v>
      </x:c>
      <x:c r="B160" s="30" t="str">
        <x:v>MoE Router</x:v>
      </x:c>
      <x:c r="C160" s="30" t="str">
        <x:v>Router Logits</x:v>
      </x:c>
      <x:c r="D160" s="34" t="n">
        <x:f>(K123*2^20)/1e9</x:f>
        <x:v>0</x:v>
      </x:c>
      <x:c r="E160" s="64" t="n">
        <x:f>$H$138</x:f>
        <x:v>100</x:v>
      </x:c>
      <x:c r="F160" s="59" t="n">
        <x:v>1</x:v>
      </x:c>
      <x:c r="G160" s="34" t="n">
        <x:f>IF(AND(ISNUMBER(E160),E160&gt;0,ISNUMBER($B$138),$B$138&gt;=0,$B$138&lt;1,ISNUMBER($D$138),$D$138&gt;=0,$D$138&lt;=1,ISNUMBER(F160),F160&gt;=0,F160&lt;=1,ISNUMBER(J160),J160&gt;=0,J160&lt;=1),D160/E160*1000,NA())</x:f>
        <x:v>0</x:v>
      </x:c>
      <x:c r="H160" s="34" t="n">
        <x:f>G160+I160</x:f>
        <x:v>0</x:v>
      </x:c>
      <x:c r="I160" s="34" t="n">
        <x:f>G160*F160*$D$138*$B$138/(1-$B$138)</x:f>
        <x:v>0</x:v>
      </x:c>
      <x:c r="J160" s="59" t="n">
        <x:v>1</x:v>
      </x:c>
      <x:c r="K160" s="34" t="n">
        <x:f>I160*J160</x:f>
        <x:v>0</x:v>
      </x:c>
      <x:c r="L160" s="30" t="str">
        <x:v>原通信行 123</x:v>
      </x:c>
    </x:row>
    <x:row r="161" ht="15" customHeight="1">
      <x:c r="A161" s="30" t="str">
        <x:v>PCP</x:v>
      </x:c>
      <x:c r="B161" s="30" t="str">
        <x:v>MoE</x:v>
      </x:c>
      <x:c r="C161" s="30" t="str">
        <x:v>Routed Expert 输出</x:v>
      </x:c>
      <x:c r="D161" s="34" t="n">
        <x:f>(K124*2^20)/1e9</x:f>
        <x:v>0</x:v>
      </x:c>
      <x:c r="E161" s="64" t="n">
        <x:f>$H$138</x:f>
        <x:v>100</x:v>
      </x:c>
      <x:c r="F161" s="59" t="n">
        <x:v>1</x:v>
      </x:c>
      <x:c r="G161" s="34" t="n">
        <x:f>IF(AND(ISNUMBER(E161),E161&gt;0,ISNUMBER($B$138),$B$138&gt;=0,$B$138&lt;1,ISNUMBER($D$138),$D$138&gt;=0,$D$138&lt;=1,ISNUMBER(F161),F161&gt;=0,F161&lt;=1,ISNUMBER(J161),J161&gt;=0,J161&lt;=1),D161/E161*1000,NA())</x:f>
        <x:v>0</x:v>
      </x:c>
      <x:c r="H161" s="34" t="n">
        <x:f>G161+I161</x:f>
        <x:v>0</x:v>
      </x:c>
      <x:c r="I161" s="34" t="n">
        <x:f>G161*F161*$D$138*$B$138/(1-$B$138)</x:f>
        <x:v>0</x:v>
      </x:c>
      <x:c r="J161" s="59" t="n">
        <x:v>1</x:v>
      </x:c>
      <x:c r="K161" s="34" t="n">
        <x:f>I161*J161</x:f>
        <x:v>0</x:v>
      </x:c>
      <x:c r="L161" s="30" t="str">
        <x:v>原通信行 124</x:v>
      </x:c>
    </x:row>
    <x:row r="162" ht="15" customHeight="1">
      <x:c r="A162" s="30" t="str">
        <x:v>PCP</x:v>
      </x:c>
      <x:c r="B162" s="30" t="str">
        <x:v>Attention KV</x:v>
      </x:c>
      <x:c r="C162" s="30" t="str">
        <x:v>KV Cache 写入前</x:v>
      </x:c>
      <x:c r="D162" s="34" t="n">
        <x:f>(K125*2^20)/1e9</x:f>
        <x:v>0</x:v>
      </x:c>
      <x:c r="E162" s="64" t="n">
        <x:f>$H$138</x:f>
        <x:v>100</x:v>
      </x:c>
      <x:c r="F162" s="59" t="n">
        <x:v>1</x:v>
      </x:c>
      <x:c r="G162" s="34" t="n">
        <x:f>IF(AND(ISNUMBER(E162),E162&gt;0,ISNUMBER($B$138),$B$138&gt;=0,$B$138&lt;1,ISNUMBER($D$138),$D$138&gt;=0,$D$138&lt;=1,ISNUMBER(F162),F162&gt;=0,F162&lt;=1,ISNUMBER(J162),J162&gt;=0,J162&lt;=1),D162/E162*1000,NA())</x:f>
        <x:v>0</x:v>
      </x:c>
      <x:c r="H162" s="34" t="n">
        <x:f>G162+I162</x:f>
        <x:v>0</x:v>
      </x:c>
      <x:c r="I162" s="34" t="n">
        <x:f>G162*F162*$D$138*$B$138/(1-$B$138)</x:f>
        <x:v>0</x:v>
      </x:c>
      <x:c r="J162" s="59" t="n">
        <x:v>1</x:v>
      </x:c>
      <x:c r="K162" s="34" t="n">
        <x:f>I162*J162</x:f>
        <x:v>0</x:v>
      </x:c>
      <x:c r="L162" s="30" t="str">
        <x:v>原通信行 125</x:v>
      </x:c>
    </x:row>
    <x:row r="163" ht="15" customHeight="1">
      <x:c r="A163" s="30" t="str">
        <x:v>SP</x:v>
      </x:c>
      <x:c r="B163" s="30" t="str">
        <x:v>Model Output</x:v>
      </x:c>
      <x:c r="C163" s="30" t="str">
        <x:v>Final Norm 后</x:v>
      </x:c>
      <x:c r="D163" s="34" t="n">
        <x:f>(K126*2^20)/1e9</x:f>
        <x:v>0.102760448</x:v>
      </x:c>
      <x:c r="E163" s="64" t="n">
        <x:f>$H$138</x:f>
        <x:v>100</x:v>
      </x:c>
      <x:c r="F163" s="59" t="n">
        <x:v>1</x:v>
      </x:c>
      <x:c r="G163" s="34" t="n">
        <x:f>IF(AND(ISNUMBER(E163),E163&gt;0,ISNUMBER($B$138),$B$138&gt;=0,$B$138&lt;1,ISNUMBER($D$138),$D$138&gt;=0,$D$138&lt;=1,ISNUMBER(F163),F163&gt;=0,F163&lt;=1,ISNUMBER(J163),J163&gt;=0,J163&lt;=1),D163/E163*1000,NA())</x:f>
        <x:v>1.0276044800000002</x:v>
      </x:c>
      <x:c r="H163" s="34" t="n">
        <x:f>G163+I163</x:f>
        <x:v>1.1417827555555558</x:v>
      </x:c>
      <x:c r="I163" s="34" t="n">
        <x:f>G163*F163*$D$138*$B$138/(1-$B$138)</x:f>
        <x:v>0.11417827555555557</x:v>
      </x:c>
      <x:c r="J163" s="59" t="n">
        <x:v>1</x:v>
      </x:c>
      <x:c r="K163" s="34" t="n">
        <x:f>I163*J163</x:f>
        <x:v>0.11417827555555557</x:v>
      </x:c>
      <x:c r="L163" s="30" t="str">
        <x:v>原通信行 126</x:v>
      </x:c>
    </x:row>
    <x:row r="164" ht="15" customHeight="1">
      <x:c r="A164" s="30" t="str">
        <x:v>LM Head TP</x:v>
      </x:c>
      <x:c r="B164" s="30" t="str">
        <x:v>LM Head</x:v>
      </x:c>
      <x:c r="C164" s="30" t="str">
        <x:v>完整 Logits</x:v>
      </x:c>
      <x:c r="D164" s="34" t="n">
        <x:f>(K127*2^20)/1e9</x:f>
        <x:v>0</x:v>
      </x:c>
      <x:c r="E164" s="64" t="n">
        <x:f>$H$138</x:f>
        <x:v>100</x:v>
      </x:c>
      <x:c r="F164" s="59" t="n">
        <x:v>1</x:v>
      </x:c>
      <x:c r="G164" s="34" t="n">
        <x:f>IF(AND(ISNUMBER(E164),E164&gt;0,ISNUMBER($B$138),$B$138&gt;=0,$B$138&lt;1,ISNUMBER($D$138),$D$138&gt;=0,$D$138&lt;=1,ISNUMBER(F164),F164&gt;=0,F164&lt;=1,ISNUMBER(J164),J164&gt;=0,J164&lt;=1),D164/E164*1000,NA())</x:f>
        <x:v>0</x:v>
      </x:c>
      <x:c r="H164" s="34" t="n">
        <x:f>G164+I164</x:f>
        <x:v>0</x:v>
      </x:c>
      <x:c r="I164" s="34" t="n">
        <x:f>G164*F164*$D$138*$B$138/(1-$B$138)</x:f>
        <x:v>0</x:v>
      </x:c>
      <x:c r="J164" s="59" t="n">
        <x:v>1</x:v>
      </x:c>
      <x:c r="K164" s="34" t="n">
        <x:f>I164*J164</x:f>
        <x:v>0</x:v>
      </x:c>
      <x:c r="L164" s="30" t="str">
        <x:v>原通信行 127</x:v>
      </x:c>
    </x:row>
    <x:row r="165" ht="15" customHeight="1">
      <x:c r="A165" s="30" t="str">
        <x:v>LM Head TP</x:v>
      </x:c>
      <x:c r="B165" s="30" t="str">
        <x:v>LM Head</x:v>
      </x:c>
      <x:c r="C165" s="30" t="str">
        <x:v>Reduce Sample</x:v>
      </x:c>
      <x:c r="D165" s="34" t="n">
        <x:f>(K128*2^20)/1e9</x:f>
        <x:v>0.001376256</x:v>
      </x:c>
      <x:c r="E165" s="64" t="n">
        <x:f>$H$138</x:f>
        <x:v>100</x:v>
      </x:c>
      <x:c r="F165" s="59" t="n">
        <x:v>1</x:v>
      </x:c>
      <x:c r="G165" s="34" t="n">
        <x:f>IF(AND(ISNUMBER(E165),E165&gt;0,ISNUMBER($B$138),$B$138&gt;=0,$B$138&lt;1,ISNUMBER($D$138),$D$138&gt;=0,$D$138&lt;=1,ISNUMBER(F165),F165&gt;=0,F165&lt;=1,ISNUMBER(J165),J165&gt;=0,J165&lt;=1),D165/E165*1000,NA())</x:f>
        <x:v>0.01376256</x:v>
      </x:c>
      <x:c r="H165" s="34" t="n">
        <x:f>G165+I165</x:f>
        <x:v>0.015291733333333333</x:v>
      </x:c>
      <x:c r="I165" s="34" t="n">
        <x:f>G165*F165*$D$138*$B$138/(1-$B$138)</x:f>
        <x:v>0.0015291733333333336</x:v>
      </x:c>
      <x:c r="J165" s="59" t="n">
        <x:v>1</x:v>
      </x:c>
      <x:c r="K165" s="34" t="n">
        <x:f>I165*J165</x:f>
        <x:v>0.0015291733333333336</x:v>
      </x:c>
      <x:c r="L165" s="30" t="str">
        <x:v>原通信行 128</x:v>
      </x:c>
    </x:row>
    <x:row r="166" ht="15" customHeight="1">
      <x:c r="A166" s="30" t="str">
        <x:v>Fine LM Head TP</x:v>
      </x:c>
      <x:c r="B166" s="30" t="str">
        <x:v>LM Head</x:v>
      </x:c>
      <x:c r="C166" s="30" t="str">
        <x:v>Hidden 输入</x:v>
      </x:c>
      <x:c r="D166" s="34" t="n">
        <x:f>(K129*2^20)/1e9</x:f>
        <x:v>0</x:v>
      </x:c>
      <x:c r="E166" s="64" t="n">
        <x:f>$H$138</x:f>
        <x:v>100</x:v>
      </x:c>
      <x:c r="F166" s="59" t="n">
        <x:v>1</x:v>
      </x:c>
      <x:c r="G166" s="34" t="n">
        <x:f>IF(AND(ISNUMBER(E166),E166&gt;0,ISNUMBER($B$138),$B$138&gt;=0,$B$138&lt;1,ISNUMBER($D$138),$D$138&gt;=0,$D$138&lt;=1,ISNUMBER(F166),F166&gt;=0,F166&lt;=1,ISNUMBER(J166),J166&gt;=0,J166&lt;=1),D166/E166*1000,NA())</x:f>
        <x:v>0</x:v>
      </x:c>
      <x:c r="H166" s="34" t="n">
        <x:f>G166+I166</x:f>
        <x:v>0</x:v>
      </x:c>
      <x:c r="I166" s="34" t="n">
        <x:f>G166*F166*$D$138*$B$138/(1-$B$138)</x:f>
        <x:v>0</x:v>
      </x:c>
      <x:c r="J166" s="59" t="n">
        <x:v>1</x:v>
      </x:c>
      <x:c r="K166" s="34" t="n">
        <x:f>I166*J166</x:f>
        <x:v>0</x:v>
      </x:c>
      <x:c r="L166" s="30" t="str">
        <x:v>原通信行 129</x:v>
      </x:c>
    </x:row>
    <x:row r="167" ht="15" customHeight="1">
      <x:c r="A167" s="30" t="str">
        <x:v>Fine LM Head TP</x:v>
      </x:c>
      <x:c r="B167" s="30" t="str">
        <x:v>LM Head</x:v>
      </x:c>
      <x:c r="C167" s="30" t="str">
        <x:v>完整 Logits</x:v>
      </x:c>
      <x:c r="D167" s="34" t="n">
        <x:f>(K130*2^20)/1e9</x:f>
        <x:v>0</x:v>
      </x:c>
      <x:c r="E167" s="64" t="n">
        <x:f>$H$138</x:f>
        <x:v>100</x:v>
      </x:c>
      <x:c r="F167" s="59" t="n">
        <x:v>1</x:v>
      </x:c>
      <x:c r="G167" s="34" t="n">
        <x:f>IF(AND(ISNUMBER(E167),E167&gt;0,ISNUMBER($B$138),$B$138&gt;=0,$B$138&lt;1,ISNUMBER($D$138),$D$138&gt;=0,$D$138&lt;=1,ISNUMBER(F167),F167&gt;=0,F167&lt;=1,ISNUMBER(J167),J167&gt;=0,J167&lt;=1),D167/E167*1000,NA())</x:f>
        <x:v>0</x:v>
      </x:c>
      <x:c r="H167" s="34" t="n">
        <x:f>G167+I167</x:f>
        <x:v>0</x:v>
      </x:c>
      <x:c r="I167" s="34" t="n">
        <x:f>G167*F167*$D$138*$B$138/(1-$B$138)</x:f>
        <x:v>0</x:v>
      </x:c>
      <x:c r="J167" s="59" t="n">
        <x:v>1</x:v>
      </x:c>
      <x:c r="K167" s="34" t="n">
        <x:f>I167*J167</x:f>
        <x:v>0</x:v>
      </x:c>
      <x:c r="L167" s="30" t="str">
        <x:v>原通信行 130</x:v>
      </x:c>
    </x:row>
    <x:row r="168" ht="15" customHeight="1">
      <x:c r="A168" s="30" t="str">
        <x:v>Fine LM Head TP</x:v>
      </x:c>
      <x:c r="B168" s="30" t="str">
        <x:v>LM Head</x:v>
      </x:c>
      <x:c r="C168" s="30" t="str">
        <x:v>Reduce Sample</x:v>
      </x:c>
      <x:c r="D168" s="34" t="n">
        <x:f>(K131*2^20)/1e9</x:f>
        <x:v>0</x:v>
      </x:c>
      <x:c r="E168" s="64" t="n">
        <x:f>$H$138</x:f>
        <x:v>100</x:v>
      </x:c>
      <x:c r="F168" s="59" t="n">
        <x:v>1</x:v>
      </x:c>
      <x:c r="G168" s="34" t="n">
        <x:f>IF(AND(ISNUMBER(E168),E168&gt;0,ISNUMBER($B$138),$B$138&gt;=0,$B$138&lt;1,ISNUMBER($D$138),$D$138&gt;=0,$D$138&lt;=1,ISNUMBER(F168),F168&gt;=0,F168&lt;=1,ISNUMBER(J168),J168&gt;=0,J168&lt;=1),D168/E168*1000,NA())</x:f>
        <x:v>0</x:v>
      </x:c>
      <x:c r="H168" s="34" t="n">
        <x:f>G168+I168</x:f>
        <x:v>0</x:v>
      </x:c>
      <x:c r="I168" s="34" t="n">
        <x:f>G168*F168*$D$138*$B$138/(1-$B$138)</x:f>
        <x:v>0</x:v>
      </x:c>
      <x:c r="J168" s="59" t="n">
        <x:v>1</x:v>
      </x:c>
      <x:c r="K168" s="34" t="n">
        <x:f>I168*J168</x:f>
        <x:v>0</x:v>
      </x:c>
      <x:c r="L168" s="30" t="str">
        <x:v>原通信行 131</x:v>
      </x:c>
    </x:row>
    <x:row r="169" ht="15" customHeight="1">
      <x:c r="A169" s="30" t="str">
        <x:v>EP</x:v>
      </x:c>
      <x:c r="B169" s="30" t="str">
        <x:v>MoE 计数</x:v>
      </x:c>
      <x:c r="C169" s="30" t="str">
        <x:v>直方图 Ring AG</x:v>
      </x:c>
      <x:c r="D169" s="34" t="n">
        <x:f>(IF(E114=0,0,H114*ROUNDUP(384/G114,0)*G114*4*(G114-1)))/1e9</x:f>
        <x:v>0.000655872</x:v>
      </x:c>
      <x:c r="E169" s="64" t="n">
        <x:f>$H$138</x:f>
        <x:v>100</x:v>
      </x:c>
      <x:c r="F169" s="59" t="n">
        <x:v>1</x:v>
      </x:c>
      <x:c r="G169" s="34" t="n">
        <x:f>IF(AND(ISNUMBER(E169),E169&gt;0,ISNUMBER($B$138),$B$138&gt;=0,$B$138&lt;1,ISNUMBER($D$138),$D$138&gt;=0,$D$138&lt;=1,ISNUMBER(F169),F169&gt;=0,F169&lt;=1,ISNUMBER(J169),J169&gt;=0,J169&lt;=1),D169/E169*1000,NA())</x:f>
        <x:v>0.0065587200000000005</x:v>
      </x:c>
      <x:c r="H169" s="34" t="n">
        <x:f>G169+I169</x:f>
        <x:v>0.0072874666666666674</x:v>
      </x:c>
      <x:c r="I169" s="34" t="n">
        <x:f>G169*F169*$D$138*$B$138/(1-$B$138)</x:f>
        <x:v>0.0007287466666666667</x:v>
      </x:c>
      <x:c r="J169" s="59" t="n">
        <x:v>1</x:v>
      </x:c>
      <x:c r="K169" s="34" t="n">
        <x:f>I169*J169</x:f>
        <x:v>0.0007287466666666667</x:v>
      </x:c>
      <x:c r="L169" s="30" t="str">
        <x:v>额外控制量</x:v>
      </x:c>
    </x:row>
    <x:row r="170" ht="15" customHeight="1">
      <x:c r="A170" s="40" t="str">
        <x:v>所列事件串行相加</x:v>
      </x:c>
      <x:c r="B170" s="40"/>
      <x:c r="C170" s="40"/>
      <x:c r="D170" s="41" t="n">
        <x:f>SUM(D144:D169)</x:f>
        <x:v>36.56273152</x:v>
      </x:c>
      <x:c r="E170" s="40"/>
      <x:c r="F170" s="40"/>
      <x:c r="G170" s="41" t="n">
        <x:f>SUM(G144:G169)</x:f>
        <x:v>365.62731519999994</x:v>
      </x:c>
      <x:c r="H170" s="41" t="n">
        <x:f>SUM(H144:H169)</x:f>
        <x:v>406.2525724444444</x:v>
      </x:c>
      <x:c r="I170" s="41" t="n">
        <x:f>SUM(I144:I169)</x:f>
        <x:v>40.62525724444444</x:v>
      </x:c>
      <x:c r="J170" s="40"/>
      <x:c r="K170" s="41" t="n">
        <x:f>SUM(K144:K169)</x:f>
        <x:v>40.62525724444444</x:v>
      </x:c>
      <x:c r="L170" s="40"/>
    </x:row>
  </x:sheetData>
  <x:conditionalFormatting sqref="L140:L140">
    <x:cfRule type="containsText" dxfId="0" priority="1" operator="containsText" text="不一致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4" hidden="0" customWidth="1"/>
    <x:col min="4" max="4" width="1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0" hidden="0" customWidth="1"/>
    <x:col min="11" max="11" width="20" hidden="0" customWidth="1"/>
    <x:col min="12" max="12" width="20" hidden="0" customWidth="1"/>
    <x:col min="13" max="13" width="3" hidden="0" customWidth="1"/>
    <x:col min="14" max="14" width="3" hidden="0" customWidth="1"/>
    <x:col min="15" max="15" width="34" hidden="0" customWidth="1"/>
    <x:col min="16" max="16" width="18" hidden="0" customWidth="1"/>
  </x:cols>
  <x:sheetData>
    <x:row r="1" ht="30" customHeight="1">
      <x:c r="A1" s="18" t="str">
        <x:v>模块</x:v>
      </x:c>
      <x:c r="B1" s="18" t="str">
        <x:v>权重 / Tensor</x:v>
      </x:c>
      <x:c r="C1" s="18" t="str">
        <x:v>shape</x:v>
      </x:c>
      <x:c r="D1" s="18" t="str">
        <x:v>dtype</x:v>
      </x:c>
      <x:c r="E1" s="18" t="str">
        <x:v>字节/元素</x:v>
      </x:c>
      <x:c r="F1" s="18" t="str">
        <x:v>数量</x:v>
      </x:c>
      <x:c r="G1" s="18" t="str">
        <x:v>单个 Tensor 元素数</x:v>
      </x:c>
      <x:c r="H1" s="18" t="str">
        <x:v>切分方式</x:v>
      </x:c>
      <x:c r="I1" s="18" t="str">
        <x:v>切分份数</x:v>
      </x:c>
      <x:c r="J1" s="18" t="str">
        <x:v>总权重 GiB</x:v>
      </x:c>
      <x:c r="K1" s="18" t="str">
        <x:v>单 Rank 权重 GiB</x:v>
      </x:c>
      <x:c r="L1" s="30"/>
      <x:c r="M1" s="30"/>
      <x:c r="N1" s="30"/>
      <x:c r="O1" s="31" t="str">
        <x:v>请求参数</x:v>
      </x:c>
      <x:c r="P1" s="31"/>
    </x:row>
    <x:row r="2">
      <x:c r="A2" s="30" t="str">
        <x:v>Embedding</x:v>
      </x:c>
      <x:c r="B2" s="30" t="str">
        <x:v>embed.weight</x:v>
      </x:c>
      <x:c r="C2" s="30" t="str">
        <x:v>[129280, 7168]</x:v>
      </x:c>
      <x:c r="D2" s="30" t="str">
        <x:v>BF16</x:v>
      </x:c>
      <x:c r="E2" s="32" t="n">
        <x:v>2</x:v>
      </x:c>
      <x:c r="F2" s="33" t="n">
        <x:v>1</x:v>
      </x:c>
      <x:c r="G2" s="33" t="n">
        <x:v>926679040</x:v>
      </x:c>
      <x:c r="H2" s="33" t="str">
        <x:v>Embedding TP</x:v>
      </x:c>
      <x:c r="I2" s="33" t="n">
        <x:f>IF('Decode'!$P$21&gt;0,'Decode'!$P$21,'Decode'!$P$12)</x:f>
        <x:v>8</x:v>
      </x:c>
      <x:c r="J2" s="34" t="n">
        <x:f>E2*F2*G2/1073741824</x:f>
        <x:v>1.72607421875</x:v>
      </x:c>
      <x:c r="K2" s="34" t="n">
        <x:f>J2/I2</x:f>
        <x:v>0.21575927734375</x:v>
      </x:c>
      <x:c r="L2" s="30"/>
      <x:c r="M2" s="30"/>
      <x:c r="N2" s="30"/>
      <x:c r="O2" s="35" t="str">
        <x:v>max_num_batched_tokens</x:v>
      </x:c>
      <x:c r="P2" s="36" t="n">
        <x:v>8192</x:v>
      </x:c>
    </x:row>
    <x:row r="3">
      <x:c r="A3" s="30" t="str">
        <x:v>LM Head</x:v>
      </x:c>
      <x:c r="B3" s="30" t="str">
        <x:v>head.weight</x:v>
      </x:c>
      <x:c r="C3" s="30" t="str">
        <x:v>[129280, 7168]</x:v>
      </x:c>
      <x:c r="D3" s="30" t="str">
        <x:v>BF16</x:v>
      </x:c>
      <x:c r="E3" s="32" t="n">
        <x:v>2</x:v>
      </x:c>
      <x:c r="F3" s="33" t="n">
        <x:v>1</x:v>
      </x:c>
      <x:c r="G3" s="33" t="n">
        <x:v>926679040</x:v>
      </x:c>
      <x:c r="H3" s="33" t="str">
        <x:v>LM Head TP</x:v>
      </x:c>
      <x:c r="I3" s="33" t="n">
        <x:f>IF('Decode'!$P$20&gt;0,'Decode'!$P$20,'Decode'!$P$12)</x:f>
        <x:v>8</x:v>
      </x:c>
      <x:c r="J3" s="34" t="n">
        <x:f>E3*F3*G3/1073741824</x:f>
        <x:v>1.72607421875</x:v>
      </x:c>
      <x:c r="K3" s="34" t="n">
        <x:f>J3/I3</x:f>
        <x:v>0.21575927734375</x:v>
      </x:c>
      <x:c r="L3" s="30"/>
      <x:c r="M3" s="30"/>
      <x:c r="N3" s="30"/>
      <x:c r="O3" s="35" t="str">
        <x:v>max_num_seqs</x:v>
      </x:c>
      <x:c r="P3" s="36" t="n">
        <x:v>128</x:v>
      </x:c>
    </x:row>
    <x:row r="4">
      <x:c r="A4" s="30" t="str">
        <x:v>Backbone</x:v>
      </x:c>
      <x:c r="B4" s="30" t="str">
        <x:v>norm.weight</x:v>
      </x:c>
      <x:c r="C4" s="30" t="str">
        <x:v>[7168]</x:v>
      </x:c>
      <x:c r="D4" s="30" t="str">
        <x:v>BF16</x:v>
      </x:c>
      <x:c r="E4" s="32" t="n">
        <x:v>2</x:v>
      </x:c>
      <x:c r="F4" s="33" t="n">
        <x:v>1</x:v>
      </x:c>
      <x:c r="G4" s="33" t="n">
        <x:v>7168</x:v>
      </x:c>
      <x:c r="H4" s="33" t="str">
        <x:v>Replicated</x:v>
      </x:c>
      <x:c r="I4" s="33" t="n">
        <x:f>1</x:f>
        <x:v>1</x:v>
      </x:c>
      <x:c r="J4" s="34" t="n">
        <x:f>E4*F4*G4/1073741824</x:f>
        <x:v>0.0000133514404296875</x:v>
      </x:c>
      <x:c r="K4" s="34" t="n">
        <x:f>J4/I4</x:f>
        <x:v>0.0000133514404296875</x:v>
      </x:c>
      <x:c r="L4" s="30"/>
      <x:c r="M4" s="30"/>
      <x:c r="N4" s="30"/>
      <x:c r="O4" s="35" t="str">
        <x:v>平均输入 Token 数</x:v>
      </x:c>
      <x:c r="P4" s="36" t="n">
        <x:v>4096</x:v>
      </x:c>
    </x:row>
    <x:row r="5">
      <x:c r="A5" s="30" t="str">
        <x:v>Backbone</x:v>
      </x:c>
      <x:c r="B5" s="30" t="str">
        <x:v>attn_norm.weight</x:v>
      </x:c>
      <x:c r="C5" s="30" t="str">
        <x:v>[7168]</x:v>
      </x:c>
      <x:c r="D5" s="30" t="str">
        <x:v>BF16</x:v>
      </x:c>
      <x:c r="E5" s="32" t="n">
        <x:v>2</x:v>
      </x:c>
      <x:c r="F5" s="33" t="n">
        <x:v>61</x:v>
      </x:c>
      <x:c r="G5" s="33" t="n">
        <x:v>7168</x:v>
      </x:c>
      <x:c r="H5" s="33" t="str">
        <x:v>Replicated</x:v>
      </x:c>
      <x:c r="I5" s="33" t="n">
        <x:f>1</x:f>
        <x:v>1</x:v>
      </x:c>
      <x:c r="J5" s="34" t="n">
        <x:f>E5*F5*G5/1073741824</x:f>
        <x:v>0.0008144378662109375</x:v>
      </x:c>
      <x:c r="K5" s="34" t="n">
        <x:f>J5/I5</x:f>
        <x:v>0.0008144378662109375</x:v>
      </x:c>
      <x:c r="L5" s="30"/>
      <x:c r="M5" s="30"/>
      <x:c r="N5" s="30"/>
      <x:c r="O5" s="35" t="str">
        <x:v>平均输出 Token 数</x:v>
      </x:c>
      <x:c r="P5" s="36" t="n">
        <x:v>1024</x:v>
      </x:c>
    </x:row>
    <x:row r="6">
      <x:c r="A6" s="30" t="str">
        <x:v>Backbone</x:v>
      </x:c>
      <x:c r="B6" s="30" t="str">
        <x:v>ffn_norm.weight</x:v>
      </x:c>
      <x:c r="C6" s="30" t="str">
        <x:v>[7168]</x:v>
      </x:c>
      <x:c r="D6" s="30" t="str">
        <x:v>BF16</x:v>
      </x:c>
      <x:c r="E6" s="32" t="n">
        <x:v>2</x:v>
      </x:c>
      <x:c r="F6" s="33" t="n">
        <x:v>61</x:v>
      </x:c>
      <x:c r="G6" s="33" t="n">
        <x:v>7168</x:v>
      </x:c>
      <x:c r="H6" s="33" t="str">
        <x:v>Replicated</x:v>
      </x:c>
      <x:c r="I6" s="33" t="n">
        <x:f>1</x:f>
        <x:v>1</x:v>
      </x:c>
      <x:c r="J6" s="34" t="n">
        <x:f>E6*F6*G6/1073741824</x:f>
        <x:v>0.0008144378662109375</x:v>
      </x:c>
      <x:c r="K6" s="34" t="n">
        <x:f>J6/I6</x:f>
        <x:v>0.0008144378662109375</x:v>
      </x:c>
      <x:c r="L6" s="30"/>
      <x:c r="M6" s="30"/>
      <x:c r="N6" s="30"/>
      <x:c r="O6" s="35" t="str">
        <x:v>投机采样步数</x:v>
      </x:c>
      <x:c r="P6" s="36" t="n">
        <x:v>7</x:v>
      </x:c>
    </x:row>
    <x:row r="7">
      <x:c r="A7" s="30" t="str">
        <x:v>DSA</x:v>
      </x:c>
      <x:c r="B7" s="30" t="str">
        <x:v>attn_sink</x:v>
      </x:c>
      <x:c r="C7" s="30" t="str">
        <x:v>[128]</x:v>
      </x:c>
      <x:c r="D7" s="30" t="str">
        <x:v>F32</x:v>
      </x:c>
      <x:c r="E7" s="32" t="n">
        <x:v>4</x:v>
      </x:c>
      <x:c r="F7" s="33" t="n">
        <x:v>61</x:v>
      </x:c>
      <x:c r="G7" s="33" t="n">
        <x:v>128</x:v>
      </x:c>
      <x:c r="H7" s="33" t="str">
        <x:v>DSA CP / TP</x:v>
      </x:c>
      <x:c r="I7" s="33" t="n">
        <x:f>IF('Decode'!$P$25&lt;&gt;0,1,'Decode'!$P$12)</x:f>
        <x:v>1</x:v>
      </x:c>
      <x:c r="J7" s="34" t="n">
        <x:f>E7*F7*G7/1073741824</x:f>
        <x:v>0.000029087066650390625</x:v>
      </x:c>
      <x:c r="K7" s="34" t="n">
        <x:f>J7/I7</x:f>
        <x:v>0.000029087066650390625</x:v>
      </x:c>
      <x:c r="L7" s="30"/>
      <x:c r="M7" s="30"/>
      <x:c r="N7" s="30"/>
      <x:c r="O7" s="35" t="str">
        <x:v>当前 Step Token 数</x:v>
      </x:c>
      <x:c r="P7" s="37" t="n">
        <x:f>MIN($P$2,$P$3*($P$6+1))</x:f>
        <x:v>1024</x:v>
      </x:c>
    </x:row>
    <x:row r="8">
      <x:c r="A8" s="30" t="str">
        <x:v>DSA</x:v>
      </x:c>
      <x:c r="B8" s="30" t="str">
        <x:v>wq_a.weight</x:v>
      </x:c>
      <x:c r="C8" s="30" t="str">
        <x:v>[1536, 7168]</x:v>
      </x:c>
      <x:c r="D8" s="30" t="str">
        <x:v>FP8 E4M3</x:v>
      </x:c>
      <x:c r="E8" s="32" t="n">
        <x:v>1</x:v>
      </x:c>
      <x:c r="F8" s="33" t="n">
        <x:v>61</x:v>
      </x:c>
      <x:c r="G8" s="33" t="n">
        <x:v>11010048</x:v>
      </x:c>
      <x:c r="H8" s="33" t="str">
        <x:v>Replicated</x:v>
      </x:c>
      <x:c r="I8" s="33" t="n">
        <x:f>1</x:f>
        <x:v>1</x:v>
      </x:c>
      <x:c r="J8" s="34" t="n">
        <x:f>E8*F8*G8/1073741824</x:f>
        <x:v>0.62548828125</x:v>
      </x:c>
      <x:c r="K8" s="34" t="n">
        <x:f>J8/I8</x:f>
        <x:v>0.62548828125</x:v>
      </x:c>
      <x:c r="L8" s="30"/>
      <x:c r="M8" s="30"/>
      <x:c r="N8" s="30"/>
      <x:c r="O8" s="35" t="str">
        <x:v>本 Step 采样行数</x:v>
      </x:c>
      <x:c r="P8" s="37" t="n">
        <x:f>MIN($P$7,$P$3*($P$6+1))</x:f>
        <x:v>1024</x:v>
      </x:c>
    </x:row>
    <x:row r="9">
      <x:c r="A9" s="30" t="str">
        <x:v>DSA</x:v>
      </x:c>
      <x:c r="B9" s="30" t="str">
        <x:v>wq_a.weight_scale</x:v>
      </x:c>
      <x:c r="C9" s="30" t="str">
        <x:v>[12, 56]</x:v>
      </x:c>
      <x:c r="D9" s="30" t="str">
        <x:v>F8_E8M0</x:v>
      </x:c>
      <x:c r="E9" s="32" t="n">
        <x:v>1</x:v>
      </x:c>
      <x:c r="F9" s="33" t="n">
        <x:v>61</x:v>
      </x:c>
      <x:c r="G9" s="33" t="n">
        <x:v>672</x:v>
      </x:c>
      <x:c r="H9" s="33" t="str">
        <x:v>Replicated</x:v>
      </x:c>
      <x:c r="I9" s="33" t="n">
        <x:f>1</x:f>
        <x:v>1</x:v>
      </x:c>
      <x:c r="J9" s="34" t="n">
        <x:f>E9*F9*G9/1073741824</x:f>
        <x:v>0.000038176774978637695</x:v>
      </x:c>
      <x:c r="K9" s="34" t="n">
        <x:f>J9/I9</x:f>
        <x:v>0.000038176774978637695</x:v>
      </x:c>
      <x:c r="L9" s="30"/>
      <x:c r="M9" s="30"/>
      <x:c r="N9" s="30"/>
      <x:c r="O9" s="30"/>
      <x:c r="P9" s="30"/>
    </x:row>
    <x:row r="10">
      <x:c r="A10" s="30" t="str">
        <x:v>DSA</x:v>
      </x:c>
      <x:c r="B10" s="30" t="str">
        <x:v>q_norm.weight</x:v>
      </x:c>
      <x:c r="C10" s="30" t="str">
        <x:v>[1536]</x:v>
      </x:c>
      <x:c r="D10" s="30" t="str">
        <x:v>BF16</x:v>
      </x:c>
      <x:c r="E10" s="32" t="n">
        <x:v>2</x:v>
      </x:c>
      <x:c r="F10" s="33" t="n">
        <x:v>61</x:v>
      </x:c>
      <x:c r="G10" s="33" t="n">
        <x:v>1536</x:v>
      </x:c>
      <x:c r="H10" s="33" t="str">
        <x:v>Replicated</x:v>
      </x:c>
      <x:c r="I10" s="33" t="n">
        <x:f>1</x:f>
        <x:v>1</x:v>
      </x:c>
      <x:c r="J10" s="34" t="n">
        <x:f>E10*F10*G10/1073741824</x:f>
        <x:v>0.00017452239990234375</x:v>
      </x:c>
      <x:c r="K10" s="34" t="n">
        <x:f>J10/I10</x:f>
        <x:v>0.00017452239990234375</x:v>
      </x:c>
      <x:c r="L10" s="30"/>
      <x:c r="M10" s="30"/>
      <x:c r="N10" s="30"/>
      <x:c r="O10" s="31" t="str">
        <x:v>并行策略</x:v>
      </x:c>
      <x:c r="P10" s="31"/>
    </x:row>
    <x:row r="11">
      <x:c r="A11" s="30" t="str">
        <x:v>DSA</x:v>
      </x:c>
      <x:c r="B11" s="30" t="str">
        <x:v>wq_b.weight</x:v>
      </x:c>
      <x:c r="C11" s="30" t="str">
        <x:v>[65536, 1536]</x:v>
      </x:c>
      <x:c r="D11" s="30" t="str">
        <x:v>FP8 E4M3</x:v>
      </x:c>
      <x:c r="E11" s="32" t="n">
        <x:v>1</x:v>
      </x:c>
      <x:c r="F11" s="33" t="n">
        <x:v>61</x:v>
      </x:c>
      <x:c r="G11" s="33" t="n">
        <x:v>100663296</x:v>
      </x:c>
      <x:c r="H11" s="33" t="str">
        <x:v>DSA CP / TP</x:v>
      </x:c>
      <x:c r="I11" s="33" t="n">
        <x:f>IF('Decode'!$P$25&lt;&gt;0,1,'Decode'!$P$12)</x:f>
        <x:v>1</x:v>
      </x:c>
      <x:c r="J11" s="34" t="n">
        <x:f>E11*F11*G11/1073741824</x:f>
        <x:v>5.71875</x:v>
      </x:c>
      <x:c r="K11" s="34" t="n">
        <x:f>J11/I11</x:f>
        <x:v>5.71875</x:v>
      </x:c>
      <x:c r="L11" s="30"/>
      <x:c r="M11" s="30"/>
      <x:c r="N11" s="30"/>
      <x:c r="O11" s="35" t="str">
        <x:v>DP</x:v>
      </x:c>
      <x:c r="P11" s="36" t="n">
        <x:v>1</x:v>
      </x:c>
    </x:row>
    <x:row r="12">
      <x:c r="A12" s="30" t="str">
        <x:v>DSA</x:v>
      </x:c>
      <x:c r="B12" s="30" t="str">
        <x:v>wq_b.weight_scale</x:v>
      </x:c>
      <x:c r="C12" s="30" t="str">
        <x:v>[512, 12]</x:v>
      </x:c>
      <x:c r="D12" s="30" t="str">
        <x:v>F8_E8M0</x:v>
      </x:c>
      <x:c r="E12" s="32" t="n">
        <x:v>1</x:v>
      </x:c>
      <x:c r="F12" s="33" t="n">
        <x:v>61</x:v>
      </x:c>
      <x:c r="G12" s="33" t="n">
        <x:v>6144</x:v>
      </x:c>
      <x:c r="H12" s="33" t="str">
        <x:v>DSA CP / TP</x:v>
      </x:c>
      <x:c r="I12" s="33" t="n">
        <x:f>IF('Decode'!$P$25&lt;&gt;0,1,'Decode'!$P$12)</x:f>
        <x:v>1</x:v>
      </x:c>
      <x:c r="J12" s="34" t="n">
        <x:f>E12*F12*G12/1073741824</x:f>
        <x:v>0.0003490447998046875</x:v>
      </x:c>
      <x:c r="K12" s="34" t="n">
        <x:f>J12/I12</x:f>
        <x:v>0.0003490447998046875</x:v>
      </x:c>
      <x:c r="L12" s="30"/>
      <x:c r="M12" s="30"/>
      <x:c r="N12" s="30"/>
      <x:c r="O12" s="35" t="str">
        <x:v>TP</x:v>
      </x:c>
      <x:c r="P12" s="36" t="n">
        <x:v>8</x:v>
      </x:c>
    </x:row>
    <x:row r="13">
      <x:c r="A13" s="30" t="str">
        <x:v>DSA</x:v>
      </x:c>
      <x:c r="B13" s="30" t="str">
        <x:v>wkv.weight</x:v>
      </x:c>
      <x:c r="C13" s="30" t="str">
        <x:v>[512, 7168]</x:v>
      </x:c>
      <x:c r="D13" s="30" t="str">
        <x:v>FP8 E4M3</x:v>
      </x:c>
      <x:c r="E13" s="32" t="n">
        <x:v>1</x:v>
      </x:c>
      <x:c r="F13" s="33" t="n">
        <x:v>61</x:v>
      </x:c>
      <x:c r="G13" s="33" t="n">
        <x:v>3670016</x:v>
      </x:c>
      <x:c r="H13" s="33" t="str">
        <x:v>Replicated</x:v>
      </x:c>
      <x:c r="I13" s="33" t="n">
        <x:f>1</x:f>
        <x:v>1</x:v>
      </x:c>
      <x:c r="J13" s="34" t="n">
        <x:f>E13*F13*G13/1073741824</x:f>
        <x:v>0.20849609375</x:v>
      </x:c>
      <x:c r="K13" s="34" t="n">
        <x:f>J13/I13</x:f>
        <x:v>0.20849609375</x:v>
      </x:c>
      <x:c r="L13" s="30"/>
      <x:c r="M13" s="30"/>
      <x:c r="N13" s="30"/>
      <x:c r="O13" s="35" t="str">
        <x:v>SP（0/1）</x:v>
      </x:c>
      <x:c r="P13" s="36" t="n">
        <x:v>1</x:v>
      </x:c>
    </x:row>
    <x:row r="14">
      <x:c r="A14" s="30" t="str">
        <x:v>DSA</x:v>
      </x:c>
      <x:c r="B14" s="30" t="str">
        <x:v>wkv.weight_scale</x:v>
      </x:c>
      <x:c r="C14" s="30" t="str">
        <x:v>[4, 56]</x:v>
      </x:c>
      <x:c r="D14" s="30" t="str">
        <x:v>F8_E8M0</x:v>
      </x:c>
      <x:c r="E14" s="32" t="n">
        <x:v>1</x:v>
      </x:c>
      <x:c r="F14" s="33" t="n">
        <x:v>61</x:v>
      </x:c>
      <x:c r="G14" s="33" t="n">
        <x:v>224</x:v>
      </x:c>
      <x:c r="H14" s="33" t="str">
        <x:v>Replicated</x:v>
      </x:c>
      <x:c r="I14" s="33" t="n">
        <x:f>1</x:f>
        <x:v>1</x:v>
      </x:c>
      <x:c r="J14" s="34" t="n">
        <x:f>E14*F14*G14/1073741824</x:f>
        <x:v>0.000012725591659545898</x:v>
      </x:c>
      <x:c r="K14" s="34" t="n">
        <x:f>J14/I14</x:f>
        <x:v>0.000012725591659545898</x:v>
      </x:c>
      <x:c r="L14" s="30"/>
      <x:c r="M14" s="30"/>
      <x:c r="N14" s="30"/>
      <x:c r="O14" s="35" t="str">
        <x:v>EP</x:v>
      </x:c>
      <x:c r="P14" s="36" t="n">
        <x:v>8</x:v>
      </x:c>
    </x:row>
    <x:row r="15">
      <x:c r="A15" s="30" t="str">
        <x:v>DSA</x:v>
      </x:c>
      <x:c r="B15" s="30" t="str">
        <x:v>kv_norm.weight</x:v>
      </x:c>
      <x:c r="C15" s="30" t="str">
        <x:v>[512]</x:v>
      </x:c>
      <x:c r="D15" s="30" t="str">
        <x:v>BF16</x:v>
      </x:c>
      <x:c r="E15" s="32" t="n">
        <x:v>2</x:v>
      </x:c>
      <x:c r="F15" s="33" t="n">
        <x:v>61</x:v>
      </x:c>
      <x:c r="G15" s="33" t="n">
        <x:v>512</x:v>
      </x:c>
      <x:c r="H15" s="33" t="str">
        <x:v>Replicated</x:v>
      </x:c>
      <x:c r="I15" s="33" t="n">
        <x:f>1</x:f>
        <x:v>1</x:v>
      </x:c>
      <x:c r="J15" s="34" t="n">
        <x:f>E15*F15*G15/1073741824</x:f>
        <x:v>0.00005817413330078125</x:v>
      </x:c>
      <x:c r="K15" s="34" t="n">
        <x:f>J15/I15</x:f>
        <x:v>0.00005817413330078125</x:v>
      </x:c>
      <x:c r="L15" s="30"/>
      <x:c r="M15" s="30"/>
      <x:c r="N15" s="30"/>
      <x:c r="O15" s="35"/>
      <x:c r="P15" s="35"/>
    </x:row>
    <x:row r="16">
      <x:c r="A16" s="30" t="str">
        <x:v>DSA</x:v>
      </x:c>
      <x:c r="B16" s="30" t="str">
        <x:v>wo_a.weight</x:v>
      </x:c>
      <x:c r="C16" s="30" t="str">
        <x:v>[16384, 4096]</x:v>
      </x:c>
      <x:c r="D16" s="30" t="str">
        <x:v>FP8 E4M3</x:v>
      </x:c>
      <x:c r="E16" s="32" t="n">
        <x:v>1</x:v>
      </x:c>
      <x:c r="F16" s="33" t="n">
        <x:v>61</x:v>
      </x:c>
      <x:c r="G16" s="33" t="n">
        <x:v>67108864</x:v>
      </x:c>
      <x:c r="H16" s="33" t="str">
        <x:v>O Proj TP</x:v>
      </x:c>
      <x:c r="I16" s="33" t="n">
        <x:f>IF('Decode'!$P$19&gt;0,'Decode'!$P$19,'Decode'!$P$12)</x:f>
        <x:v>8</x:v>
      </x:c>
      <x:c r="J16" s="34" t="n">
        <x:f>E16*F16*G16/1073741824</x:f>
        <x:v>3.8125</x:v>
      </x:c>
      <x:c r="K16" s="34" t="n">
        <x:f>J16/I16</x:f>
        <x:v>0.4765625</x:v>
      </x:c>
      <x:c r="L16" s="30"/>
      <x:c r="M16" s="30"/>
      <x:c r="N16" s="30"/>
      <x:c r="O16" s="35"/>
      <x:c r="P16" s="35"/>
    </x:row>
    <x:row r="17">
      <x:c r="A17" s="30" t="str">
        <x:v>DSA</x:v>
      </x:c>
      <x:c r="B17" s="30" t="str">
        <x:v>wo_a.weight_scale</x:v>
      </x:c>
      <x:c r="C17" s="30" t="str">
        <x:v>[128, 32]</x:v>
      </x:c>
      <x:c r="D17" s="30" t="str">
        <x:v>F8_E8M0</x:v>
      </x:c>
      <x:c r="E17" s="32" t="n">
        <x:v>1</x:v>
      </x:c>
      <x:c r="F17" s="33" t="n">
        <x:v>61</x:v>
      </x:c>
      <x:c r="G17" s="33" t="n">
        <x:v>4096</x:v>
      </x:c>
      <x:c r="H17" s="33" t="str">
        <x:v>O Proj TP</x:v>
      </x:c>
      <x:c r="I17" s="33" t="n">
        <x:f>IF('Decode'!$P$19&gt;0,'Decode'!$P$19,'Decode'!$P$12)</x:f>
        <x:v>8</x:v>
      </x:c>
      <x:c r="J17" s="34" t="n">
        <x:f>E17*F17*G17/1073741824</x:f>
        <x:v>0.000232696533203125</x:v>
      </x:c>
      <x:c r="K17" s="34" t="n">
        <x:f>J17/I17</x:f>
        <x:v>0.000029087066650390625</x:v>
      </x:c>
      <x:c r="L17" s="30"/>
      <x:c r="M17" s="30"/>
      <x:c r="N17" s="30"/>
      <x:c r="O17" s="35" t="str">
        <x:v>共享专家并行方式</x:v>
      </x:c>
      <x:c r="P17" s="38" t="str">
        <x:v>TP</x:v>
      </x:c>
    </x:row>
    <x:row r="18">
      <x:c r="A18" s="30" t="str">
        <x:v>DSA</x:v>
      </x:c>
      <x:c r="B18" s="30" t="str">
        <x:v>wo_b.weight</x:v>
      </x:c>
      <x:c r="C18" s="30" t="str">
        <x:v>[7168, 16384]</x:v>
      </x:c>
      <x:c r="D18" s="30" t="str">
        <x:v>FP8 E4M3</x:v>
      </x:c>
      <x:c r="E18" s="32" t="n">
        <x:v>1</x:v>
      </x:c>
      <x:c r="F18" s="33" t="n">
        <x:v>61</x:v>
      </x:c>
      <x:c r="G18" s="33" t="n">
        <x:v>117440512</x:v>
      </x:c>
      <x:c r="H18" s="33" t="str">
        <x:v>O Proj TP</x:v>
      </x:c>
      <x:c r="I18" s="33" t="n">
        <x:f>IF('Decode'!$P$19&gt;0,'Decode'!$P$19,'Decode'!$P$12)</x:f>
        <x:v>8</x:v>
      </x:c>
      <x:c r="J18" s="34" t="n">
        <x:f>E18*F18*G18/1073741824</x:f>
        <x:v>6.671875</x:v>
      </x:c>
      <x:c r="K18" s="34" t="n">
        <x:f>J18/I18</x:f>
        <x:v>0.833984375</x:v>
      </x:c>
      <x:c r="L18" s="30"/>
      <x:c r="M18" s="30"/>
      <x:c r="N18" s="30"/>
      <x:c r="O18" s="35" t="str">
        <x:v>共享专家 TP</x:v>
      </x:c>
      <x:c r="P18" s="36" t="n">
        <x:v>8</x:v>
      </x:c>
    </x:row>
    <x:row r="19">
      <x:c r="A19" s="30" t="str">
        <x:v>DSA</x:v>
      </x:c>
      <x:c r="B19" s="30" t="str">
        <x:v>wo_b.weight_scale</x:v>
      </x:c>
      <x:c r="C19" s="30" t="str">
        <x:v>[56, 128]</x:v>
      </x:c>
      <x:c r="D19" s="30" t="str">
        <x:v>F8_E8M0</x:v>
      </x:c>
      <x:c r="E19" s="32" t="n">
        <x:v>1</x:v>
      </x:c>
      <x:c r="F19" s="33" t="n">
        <x:v>61</x:v>
      </x:c>
      <x:c r="G19" s="33" t="n">
        <x:v>7168</x:v>
      </x:c>
      <x:c r="H19" s="33" t="str">
        <x:v>O Proj TP</x:v>
      </x:c>
      <x:c r="I19" s="33" t="n">
        <x:f>IF('Decode'!$P$19&gt;0,'Decode'!$P$19,'Decode'!$P$12)</x:f>
        <x:v>8</x:v>
      </x:c>
      <x:c r="J19" s="34" t="n">
        <x:f>E19*F19*G19/1073741824</x:f>
        <x:v>0.00040721893310546875</x:v>
      </x:c>
      <x:c r="K19" s="34" t="n">
        <x:f>J19/I19</x:f>
        <x:v>0.000050902366638183594</x:v>
      </x:c>
      <x:c r="L19" s="30"/>
      <x:c r="M19" s="30"/>
      <x:c r="N19" s="30"/>
      <x:c r="O19" s="35" t="str">
        <x:v>O Proj TP（0 表示使用 TP）</x:v>
      </x:c>
      <x:c r="P19" s="36" t="n">
        <x:v>0</x:v>
      </x:c>
    </x:row>
    <x:row r="20">
      <x:c r="A20" s="30" t="str">
        <x:v>Compressor C4</x:v>
      </x:c>
      <x:c r="B20" s="30" t="str">
        <x:v>compressor.ape</x:v>
      </x:c>
      <x:c r="C20" s="30" t="str">
        <x:v>[4, 1024]</x:v>
      </x:c>
      <x:c r="D20" s="30" t="str">
        <x:v>F32</x:v>
      </x:c>
      <x:c r="E20" s="32" t="n">
        <x:v>4</x:v>
      </x:c>
      <x:c r="F20" s="33" t="n">
        <x:v>30</x:v>
      </x:c>
      <x:c r="G20" s="33" t="n">
        <x:v>4096</x:v>
      </x:c>
      <x:c r="H20" s="33" t="str">
        <x:v>Replicated</x:v>
      </x:c>
      <x:c r="I20" s="33" t="n">
        <x:f>1</x:f>
        <x:v>1</x:v>
      </x:c>
      <x:c r="J20" s="34" t="n">
        <x:f>E20*F20*G20/1073741824</x:f>
        <x:v>0.000457763671875</x:v>
      </x:c>
      <x:c r="K20" s="34" t="n">
        <x:f>J20/I20</x:f>
        <x:v>0.000457763671875</x:v>
      </x:c>
      <x:c r="L20" s="30"/>
      <x:c r="M20" s="30"/>
      <x:c r="N20" s="30"/>
      <x:c r="O20" s="35" t="str">
        <x:v>LM Head TP（0 表示使用 TP）</x:v>
      </x:c>
      <x:c r="P20" s="36" t="n">
        <x:v>0</x:v>
      </x:c>
    </x:row>
    <x:row r="21">
      <x:c r="A21" s="30" t="str">
        <x:v>Compressor C4</x:v>
      </x:c>
      <x:c r="B21" s="30" t="str">
        <x:v>compressor.norm.weight</x:v>
      </x:c>
      <x:c r="C21" s="30" t="str">
        <x:v>[512]</x:v>
      </x:c>
      <x:c r="D21" s="30" t="str">
        <x:v>BF16</x:v>
      </x:c>
      <x:c r="E21" s="32" t="n">
        <x:v>2</x:v>
      </x:c>
      <x:c r="F21" s="33" t="n">
        <x:v>30</x:v>
      </x:c>
      <x:c r="G21" s="33" t="n">
        <x:v>512</x:v>
      </x:c>
      <x:c r="H21" s="33" t="str">
        <x:v>Replicated</x:v>
      </x:c>
      <x:c r="I21" s="33" t="n">
        <x:f>1</x:f>
        <x:v>1</x:v>
      </x:c>
      <x:c r="J21" s="34" t="n">
        <x:f>E21*F21*G21/1073741824</x:f>
        <x:v>0.0000286102294921875</x:v>
      </x:c>
      <x:c r="K21" s="34" t="n">
        <x:f>J21/I21</x:f>
        <x:v>0.0000286102294921875</x:v>
      </x:c>
      <x:c r="L21" s="30"/>
      <x:c r="M21" s="30"/>
      <x:c r="N21" s="30"/>
      <x:c r="O21" s="35" t="str">
        <x:v>Embedding TP（0 表示使用 TP）</x:v>
      </x:c>
      <x:c r="P21" s="36" t="n">
        <x:v>0</x:v>
      </x:c>
    </x:row>
    <x:row r="22">
      <x:c r="A22" s="30" t="str">
        <x:v>Compressor C4</x:v>
      </x:c>
      <x:c r="B22" s="30" t="str">
        <x:v>compressor.wkv.weight</x:v>
      </x:c>
      <x:c r="C22" s="30" t="str">
        <x:v>[1024, 7168]</x:v>
      </x:c>
      <x:c r="D22" s="30" t="str">
        <x:v>BF16</x:v>
      </x:c>
      <x:c r="E22" s="32" t="n">
        <x:v>2</x:v>
      </x:c>
      <x:c r="F22" s="33" t="n">
        <x:v>30</x:v>
      </x:c>
      <x:c r="G22" s="33" t="n">
        <x:v>7340032</x:v>
      </x:c>
      <x:c r="H22" s="33" t="str">
        <x:v>Replicated</x:v>
      </x:c>
      <x:c r="I22" s="33" t="n">
        <x:f>1</x:f>
        <x:v>1</x:v>
      </x:c>
      <x:c r="J22" s="34" t="n">
        <x:f>E22*F22*G22/1073741824</x:f>
        <x:v>0.41015625</x:v>
      </x:c>
      <x:c r="K22" s="34" t="n">
        <x:f>J22/I22</x:f>
        <x:v>0.41015625</x:v>
      </x:c>
      <x:c r="L22" s="30"/>
      <x:c r="M22" s="30"/>
      <x:c r="N22" s="30"/>
      <x:c r="O22" s="35" t="str">
        <x:v>Fine O TP（0/1）</x:v>
      </x:c>
      <x:c r="P22" s="36" t="n">
        <x:v>0</x:v>
      </x:c>
    </x:row>
    <x:row r="23">
      <x:c r="A23" s="30" t="str">
        <x:v>Compressor C4</x:v>
      </x:c>
      <x:c r="B23" s="30" t="str">
        <x:v>compressor.wgate.weight</x:v>
      </x:c>
      <x:c r="C23" s="30" t="str">
        <x:v>[1024, 7168]</x:v>
      </x:c>
      <x:c r="D23" s="30" t="str">
        <x:v>BF16</x:v>
      </x:c>
      <x:c r="E23" s="32" t="n">
        <x:v>2</x:v>
      </x:c>
      <x:c r="F23" s="33" t="n">
        <x:v>30</x:v>
      </x:c>
      <x:c r="G23" s="33" t="n">
        <x:v>7340032</x:v>
      </x:c>
      <x:c r="H23" s="33" t="str">
        <x:v>Replicated</x:v>
      </x:c>
      <x:c r="I23" s="33" t="n">
        <x:f>1</x:f>
        <x:v>1</x:v>
      </x:c>
      <x:c r="J23" s="34" t="n">
        <x:f>E23*F23*G23/1073741824</x:f>
        <x:v>0.41015625</x:v>
      </x:c>
      <x:c r="K23" s="34" t="n">
        <x:f>J23/I23</x:f>
        <x:v>0.41015625</x:v>
      </x:c>
      <x:c r="L23" s="30"/>
      <x:c r="M23" s="30"/>
      <x:c r="N23" s="30"/>
      <x:c r="O23" s="35" t="str">
        <x:v>Fine LM Head TP（0/1）</x:v>
      </x:c>
      <x:c r="P23" s="36" t="n">
        <x:v>0</x:v>
      </x:c>
    </x:row>
    <x:row r="24">
      <x:c r="A24" s="30" t="str">
        <x:v>Compressor C128</x:v>
      </x:c>
      <x:c r="B24" s="30" t="str">
        <x:v>compressor.ape</x:v>
      </x:c>
      <x:c r="C24" s="30" t="str">
        <x:v>[128, 512]</x:v>
      </x:c>
      <x:c r="D24" s="30" t="str">
        <x:v>F32</x:v>
      </x:c>
      <x:c r="E24" s="32" t="n">
        <x:v>4</x:v>
      </x:c>
      <x:c r="F24" s="33" t="n">
        <x:v>31</x:v>
      </x:c>
      <x:c r="G24" s="33" t="n">
        <x:v>65536</x:v>
      </x:c>
      <x:c r="H24" s="33" t="str">
        <x:v>Replicated</x:v>
      </x:c>
      <x:c r="I24" s="33" t="n">
        <x:f>1</x:f>
        <x:v>1</x:v>
      </x:c>
      <x:c r="J24" s="34" t="n">
        <x:f>E24*F24*G24/1073741824</x:f>
        <x:v>0.007568359375</x:v>
      </x:c>
      <x:c r="K24" s="34" t="n">
        <x:f>J24/I24</x:f>
        <x:v>0.007568359375</x:v>
      </x:c>
      <x:c r="L24" s="30"/>
      <x:c r="M24" s="30"/>
      <x:c r="N24" s="30"/>
      <x:c r="O24" s="35" t="str">
        <x:v>Fine Embedding TP（0/1）</x:v>
      </x:c>
      <x:c r="P24" s="36" t="n">
        <x:v>0</x:v>
      </x:c>
    </x:row>
    <x:row r="25">
      <x:c r="A25" s="30" t="str">
        <x:v>Compressor C128</x:v>
      </x:c>
      <x:c r="B25" s="30" t="str">
        <x:v>compressor.norm.weight</x:v>
      </x:c>
      <x:c r="C25" s="30" t="str">
        <x:v>[512]</x:v>
      </x:c>
      <x:c r="D25" s="30" t="str">
        <x:v>BF16</x:v>
      </x:c>
      <x:c r="E25" s="32" t="n">
        <x:v>2</x:v>
      </x:c>
      <x:c r="F25" s="33" t="n">
        <x:v>31</x:v>
      </x:c>
      <x:c r="G25" s="33" t="n">
        <x:v>512</x:v>
      </x:c>
      <x:c r="H25" s="33" t="str">
        <x:v>Replicated</x:v>
      </x:c>
      <x:c r="I25" s="33" t="n">
        <x:f>1</x:f>
        <x:v>1</x:v>
      </x:c>
      <x:c r="J25" s="34" t="n">
        <x:f>E25*F25*G25/1073741824</x:f>
        <x:v>0.00002956390380859375</x:v>
      </x:c>
      <x:c r="K25" s="34" t="n">
        <x:f>J25/I25</x:f>
        <x:v>0.00002956390380859375</x:v>
      </x:c>
      <x:c r="L25" s="30"/>
      <x:c r="M25" s="30"/>
      <x:c r="N25" s="30"/>
      <x:c r="O25" s="35" t="str">
        <x:v>DSA CP（0/1）</x:v>
      </x:c>
      <x:c r="P25" s="36" t="n">
        <x:v>1</x:v>
      </x:c>
    </x:row>
    <x:row r="26">
      <x:c r="A26" s="30" t="str">
        <x:v>Compressor C128</x:v>
      </x:c>
      <x:c r="B26" s="30" t="str">
        <x:v>compressor.wkv.weight</x:v>
      </x:c>
      <x:c r="C26" s="30" t="str">
        <x:v>[512, 7168]</x:v>
      </x:c>
      <x:c r="D26" s="30" t="str">
        <x:v>BF16</x:v>
      </x:c>
      <x:c r="E26" s="32" t="n">
        <x:v>2</x:v>
      </x:c>
      <x:c r="F26" s="33" t="n">
        <x:v>31</x:v>
      </x:c>
      <x:c r="G26" s="33" t="n">
        <x:v>3670016</x:v>
      </x:c>
      <x:c r="H26" s="33" t="str">
        <x:v>Replicated</x:v>
      </x:c>
      <x:c r="I26" s="33" t="n">
        <x:f>1</x:f>
        <x:v>1</x:v>
      </x:c>
      <x:c r="J26" s="34" t="n">
        <x:f>E26*F26*G26/1073741824</x:f>
        <x:v>0.2119140625</x:v>
      </x:c>
      <x:c r="K26" s="34" t="n">
        <x:f>J26/I26</x:f>
        <x:v>0.2119140625</x:v>
      </x:c>
      <x:c r="L26" s="30"/>
      <x:c r="M26" s="30"/>
      <x:c r="N26" s="30"/>
      <x:c r="O26" s="30"/>
      <x:c r="P26" s="30"/>
    </x:row>
    <x:row r="27">
      <x:c r="A27" s="30" t="str">
        <x:v>Compressor C128</x:v>
      </x:c>
      <x:c r="B27" s="30" t="str">
        <x:v>compressor.wgate.weight</x:v>
      </x:c>
      <x:c r="C27" s="30" t="str">
        <x:v>[512, 7168]</x:v>
      </x:c>
      <x:c r="D27" s="30" t="str">
        <x:v>BF16</x:v>
      </x:c>
      <x:c r="E27" s="32" t="n">
        <x:v>2</x:v>
      </x:c>
      <x:c r="F27" s="33" t="n">
        <x:v>31</x:v>
      </x:c>
      <x:c r="G27" s="33" t="n">
        <x:v>3670016</x:v>
      </x:c>
      <x:c r="H27" s="33" t="str">
        <x:v>Replicated</x:v>
      </x:c>
      <x:c r="I27" s="33" t="n">
        <x:f>1</x:f>
        <x:v>1</x:v>
      </x:c>
      <x:c r="J27" s="34" t="n">
        <x:f>E27*F27*G27/1073741824</x:f>
        <x:v>0.2119140625</x:v>
      </x:c>
      <x:c r="K27" s="34" t="n">
        <x:f>J27/I27</x:f>
        <x:v>0.2119140625</x:v>
      </x:c>
      <x:c r="L27" s="30"/>
      <x:c r="M27" s="30"/>
      <x:c r="N27" s="30"/>
      <x:c r="O27" s="31" t="str">
        <x:v>通信参数</x:v>
      </x:c>
      <x:c r="P27" s="31"/>
    </x:row>
    <x:row r="28">
      <x:c r="A28" s="30" t="str">
        <x:v>Indexer</x:v>
      </x:c>
      <x:c r="B28" s="30" t="str">
        <x:v>indexer.wq_b.weight</x:v>
      </x:c>
      <x:c r="C28" s="30" t="str">
        <x:v>[8192, 1536]</x:v>
      </x:c>
      <x:c r="D28" s="30" t="str">
        <x:v>FP8 E4M3</x:v>
      </x:c>
      <x:c r="E28" s="32" t="n">
        <x:v>1</x:v>
      </x:c>
      <x:c r="F28" s="33" t="n">
        <x:v>30</x:v>
      </x:c>
      <x:c r="G28" s="33" t="n">
        <x:v>12582912</x:v>
      </x:c>
      <x:c r="H28" s="33" t="str">
        <x:v>Replicated</x:v>
      </x:c>
      <x:c r="I28" s="33" t="n">
        <x:f>1</x:f>
        <x:v>1</x:v>
      </x:c>
      <x:c r="J28" s="34" t="n">
        <x:f>E28*F28*G28/1073741824</x:f>
        <x:v>0.3515625</x:v>
      </x:c>
      <x:c r="K28" s="34" t="n">
        <x:f>J28/I28</x:f>
        <x:v>0.3515625</x:v>
      </x:c>
      <x:c r="L28" s="30"/>
      <x:c r="M28" s="30"/>
      <x:c r="N28" s="30"/>
      <x:c r="O28" s="35" t="str">
        <x:v>激活字节/元素</x:v>
      </x:c>
      <x:c r="P28" s="36" t="n">
        <x:v>2</x:v>
      </x:c>
    </x:row>
    <x:row r="29">
      <x:c r="A29" s="30" t="str">
        <x:v>Indexer</x:v>
      </x:c>
      <x:c r="B29" s="30" t="str">
        <x:v>indexer.wq_b.weight_scale</x:v>
      </x:c>
      <x:c r="C29" s="30" t="str">
        <x:v>[64, 12]</x:v>
      </x:c>
      <x:c r="D29" s="30" t="str">
        <x:v>F8_E8M0</x:v>
      </x:c>
      <x:c r="E29" s="32" t="n">
        <x:v>1</x:v>
      </x:c>
      <x:c r="F29" s="33" t="n">
        <x:v>30</x:v>
      </x:c>
      <x:c r="G29" s="33" t="n">
        <x:v>768</x:v>
      </x:c>
      <x:c r="H29" s="33" t="str">
        <x:v>Replicated</x:v>
      </x:c>
      <x:c r="I29" s="33" t="n">
        <x:f>1</x:f>
        <x:v>1</x:v>
      </x:c>
      <x:c r="J29" s="34" t="n">
        <x:f>E29*F29*G29/1073741824</x:f>
        <x:v>0.000021457672119140625</x:v>
      </x:c>
      <x:c r="K29" s="34" t="n">
        <x:f>J29/I29</x:f>
        <x:v>0.000021457672119140625</x:v>
      </x:c>
      <x:c r="L29" s="30"/>
      <x:c r="M29" s="30"/>
      <x:c r="N29" s="30"/>
      <x:c r="O29" s="35" t="str">
        <x:v>LSE 字节/元素</x:v>
      </x:c>
      <x:c r="P29" s="36" t="n">
        <x:v>4</x:v>
      </x:c>
    </x:row>
    <x:row r="30">
      <x:c r="A30" s="30" t="str">
        <x:v>Indexer</x:v>
      </x:c>
      <x:c r="B30" s="30" t="str">
        <x:v>indexer.weights_proj.weight</x:v>
      </x:c>
      <x:c r="C30" s="30" t="str">
        <x:v>[64, 7168]</x:v>
      </x:c>
      <x:c r="D30" s="30" t="str">
        <x:v>BF16</x:v>
      </x:c>
      <x:c r="E30" s="32" t="n">
        <x:v>2</x:v>
      </x:c>
      <x:c r="F30" s="33" t="n">
        <x:v>30</x:v>
      </x:c>
      <x:c r="G30" s="33" t="n">
        <x:v>458752</x:v>
      </x:c>
      <x:c r="H30" s="33" t="str">
        <x:v>Replicated</x:v>
      </x:c>
      <x:c r="I30" s="33" t="n">
        <x:f>1</x:f>
        <x:v>1</x:v>
      </x:c>
      <x:c r="J30" s="34" t="n">
        <x:f>E30*F30*G30/1073741824</x:f>
        <x:v>0.025634765625</x:v>
      </x:c>
      <x:c r="K30" s="34" t="n">
        <x:f>J30/I30</x:f>
        <x:v>0.025634765625</x:v>
      </x:c>
      <x:c r="L30" s="30"/>
      <x:c r="M30" s="30"/>
      <x:c r="N30" s="30"/>
      <x:c r="O30" s="35" t="str">
        <x:v>Token ID 字节/元素</x:v>
      </x:c>
      <x:c r="P30" s="36" t="n">
        <x:v>8</x:v>
      </x:c>
    </x:row>
    <x:row r="31">
      <x:c r="A31" s="30" t="str">
        <x:v>Indexer</x:v>
      </x:c>
      <x:c r="B31" s="30" t="str">
        <x:v>indexer.compressor.ape</x:v>
      </x:c>
      <x:c r="C31" s="30" t="str">
        <x:v>[4, 256]</x:v>
      </x:c>
      <x:c r="D31" s="30" t="str">
        <x:v>F32</x:v>
      </x:c>
      <x:c r="E31" s="32" t="n">
        <x:v>4</x:v>
      </x:c>
      <x:c r="F31" s="33" t="n">
        <x:v>30</x:v>
      </x:c>
      <x:c r="G31" s="33" t="n">
        <x:v>1024</x:v>
      </x:c>
      <x:c r="H31" s="33" t="str">
        <x:v>Replicated</x:v>
      </x:c>
      <x:c r="I31" s="33" t="n">
        <x:f>1</x:f>
        <x:v>1</x:v>
      </x:c>
      <x:c r="J31" s="34" t="n">
        <x:f>E31*F31*G31/1073741824</x:f>
        <x:v>0.00011444091796875</x:v>
      </x:c>
      <x:c r="K31" s="34" t="n">
        <x:f>J31/I31</x:f>
        <x:v>0.00011444091796875</x:v>
      </x:c>
      <x:c r="L31" s="30"/>
      <x:c r="M31" s="30"/>
      <x:c r="N31" s="30"/>
      <x:c r="O31" s="35" t="str">
        <x:v>Index 字节/元素</x:v>
      </x:c>
      <x:c r="P31" s="36" t="n">
        <x:v>4</x:v>
      </x:c>
    </x:row>
    <x:row r="32">
      <x:c r="A32" s="30" t="str">
        <x:v>Indexer</x:v>
      </x:c>
      <x:c r="B32" s="30" t="str">
        <x:v>indexer.compressor.norm.weight</x:v>
      </x:c>
      <x:c r="C32" s="30" t="str">
        <x:v>[128]</x:v>
      </x:c>
      <x:c r="D32" s="30" t="str">
        <x:v>BF16</x:v>
      </x:c>
      <x:c r="E32" s="32" t="n">
        <x:v>2</x:v>
      </x:c>
      <x:c r="F32" s="33" t="n">
        <x:v>30</x:v>
      </x:c>
      <x:c r="G32" s="33" t="n">
        <x:v>128</x:v>
      </x:c>
      <x:c r="H32" s="33" t="str">
        <x:v>Replicated</x:v>
      </x:c>
      <x:c r="I32" s="33" t="n">
        <x:f>1</x:f>
        <x:v>1</x:v>
      </x:c>
      <x:c r="J32" s="34" t="n">
        <x:f>E32*F32*G32/1073741824</x:f>
        <x:v>0.000007152557373046875</x:v>
      </x:c>
      <x:c r="K32" s="34" t="n">
        <x:f>J32/I32</x:f>
        <x:v>0.000007152557373046875</x:v>
      </x:c>
      <x:c r="L32" s="30"/>
      <x:c r="M32" s="30"/>
      <x:c r="N32" s="30"/>
      <x:c r="O32" s="35" t="str">
        <x:v>跨 EP Rank 路由比例</x:v>
      </x:c>
      <x:c r="P32" s="39" t="n">
        <x:f>IF($P$14&gt;1,($P$14-1)/$P$14,0)</x:f>
        <x:v>0.875</x:v>
      </x:c>
    </x:row>
    <x:row r="33">
      <x:c r="A33" s="30" t="str">
        <x:v>Indexer</x:v>
      </x:c>
      <x:c r="B33" s="30" t="str">
        <x:v>indexer.compressor.wkv.weight</x:v>
      </x:c>
      <x:c r="C33" s="30" t="str">
        <x:v>[256, 7168]</x:v>
      </x:c>
      <x:c r="D33" s="30" t="str">
        <x:v>BF16</x:v>
      </x:c>
      <x:c r="E33" s="32" t="n">
        <x:v>2</x:v>
      </x:c>
      <x:c r="F33" s="33" t="n">
        <x:v>30</x:v>
      </x:c>
      <x:c r="G33" s="33" t="n">
        <x:v>1835008</x:v>
      </x:c>
      <x:c r="H33" s="33" t="str">
        <x:v>Replicated</x:v>
      </x:c>
      <x:c r="I33" s="33" t="n">
        <x:f>1</x:f>
        <x:v>1</x:v>
      </x:c>
      <x:c r="J33" s="34" t="n">
        <x:f>E33*F33*G33/1073741824</x:f>
        <x:v>0.1025390625</x:v>
      </x:c>
      <x:c r="K33" s="34" t="n">
        <x:f>J33/I33</x:f>
        <x:v>0.1025390625</x:v>
      </x:c>
      <x:c r="L33" s="30"/>
      <x:c r="M33" s="30"/>
      <x:c r="N33" s="30"/>
      <x:c r="O33" s="35" t="str">
        <x:v>Reduce Sample（0/1）</x:v>
      </x:c>
      <x:c r="P33" s="36" t="n">
        <x:v>1</x:v>
      </x:c>
    </x:row>
    <x:row r="34">
      <x:c r="A34" s="30" t="str">
        <x:v>Indexer</x:v>
      </x:c>
      <x:c r="B34" s="30" t="str">
        <x:v>indexer.compressor.wgate.weight</x:v>
      </x:c>
      <x:c r="C34" s="30" t="str">
        <x:v>[256, 7168]</x:v>
      </x:c>
      <x:c r="D34" s="30" t="str">
        <x:v>BF16</x:v>
      </x:c>
      <x:c r="E34" s="32" t="n">
        <x:v>2</x:v>
      </x:c>
      <x:c r="F34" s="33" t="n">
        <x:v>30</x:v>
      </x:c>
      <x:c r="G34" s="33" t="n">
        <x:v>1835008</x:v>
      </x:c>
      <x:c r="H34" s="33" t="str">
        <x:v>Replicated</x:v>
      </x:c>
      <x:c r="I34" s="33" t="n">
        <x:f>1</x:f>
        <x:v>1</x:v>
      </x:c>
      <x:c r="J34" s="34" t="n">
        <x:f>E34*F34*G34/1073741824</x:f>
        <x:v>0.1025390625</x:v>
      </x:c>
      <x:c r="K34" s="34" t="n">
        <x:f>J34/I34</x:f>
        <x:v>0.1025390625</x:v>
      </x:c>
      <x:c r="L34" s="30"/>
      <x:c r="M34" s="30"/>
      <x:c r="N34" s="30"/>
      <x:c r="O34" s="35" t="str">
        <x:v>Reduce Sample K</x:v>
      </x:c>
      <x:c r="P34" s="36" t="n">
        <x:v>256</x:v>
      </x:c>
    </x:row>
    <x:row r="35">
      <x:c r="A35" s="30" t="str">
        <x:v>MoE Router</x:v>
      </x:c>
      <x:c r="B35" s="30" t="str">
        <x:v>ffn.gate.weight</x:v>
      </x:c>
      <x:c r="C35" s="30" t="str">
        <x:v>[384, 7168]</x:v>
      </x:c>
      <x:c r="D35" s="30" t="str">
        <x:v>BF16</x:v>
      </x:c>
      <x:c r="E35" s="32" t="n">
        <x:v>2</x:v>
      </x:c>
      <x:c r="F35" s="33" t="n">
        <x:v>61</x:v>
      </x:c>
      <x:c r="G35" s="33" t="n">
        <x:v>2752512</x:v>
      </x:c>
      <x:c r="H35" s="33" t="str">
        <x:v>Replicated</x:v>
      </x:c>
      <x:c r="I35" s="33" t="n">
        <x:f>1</x:f>
        <x:v>1</x:v>
      </x:c>
      <x:c r="J35" s="34" t="n">
        <x:f>E35*F35*G35/1073741824</x:f>
        <x:v>0.312744140625</x:v>
      </x:c>
      <x:c r="K35" s="34" t="n">
        <x:f>J35/I35</x:f>
        <x:v>0.312744140625</x:v>
      </x:c>
      <x:c r="L35" s="30"/>
      <x:c r="M35" s="30"/>
      <x:c r="N35" s="30"/>
      <x:c r="O35" s="30"/>
      <x:c r="P35" s="30"/>
    </x:row>
    <x:row r="36">
      <x:c r="A36" s="30" t="str">
        <x:v>MoE Router</x:v>
      </x:c>
      <x:c r="B36" s="30" t="str">
        <x:v>ffn.gate.bias</x:v>
      </x:c>
      <x:c r="C36" s="30" t="str">
        <x:v>[384]</x:v>
      </x:c>
      <x:c r="D36" s="30" t="str">
        <x:v>F32</x:v>
      </x:c>
      <x:c r="E36" s="32" t="n">
        <x:v>4</x:v>
      </x:c>
      <x:c r="F36" s="33" t="n">
        <x:v>58</x:v>
      </x:c>
      <x:c r="G36" s="33" t="n">
        <x:v>384</x:v>
      </x:c>
      <x:c r="H36" s="33" t="str">
        <x:v>Replicated</x:v>
      </x:c>
      <x:c r="I36" s="33" t="n">
        <x:f>1</x:f>
        <x:v>1</x:v>
      </x:c>
      <x:c r="J36" s="34" t="n">
        <x:f>E36*F36*G36/1073741824</x:f>
        <x:v>0.00008296966552734375</x:v>
      </x:c>
      <x:c r="K36" s="34" t="n">
        <x:f>J36/I36</x:f>
        <x:v>0.00008296966552734375</x:v>
      </x:c>
      <x:c r="L36" s="30"/>
      <x:c r="M36" s="30"/>
      <x:c r="N36" s="30"/>
      <x:c r="O36" s="30"/>
      <x:c r="P36" s="30"/>
    </x:row>
    <x:row r="37">
      <x:c r="A37" s="30" t="str">
        <x:v>DSpark Routing</x:v>
      </x:c>
      <x:c r="B37" s="30" t="str">
        <x:v>ffn.gate.tid2eid</x:v>
      </x:c>
      <x:c r="C37" s="30" t="str">
        <x:v>[129280, 6]</x:v>
      </x:c>
      <x:c r="D37" s="30" t="str">
        <x:v>I64</x:v>
      </x:c>
      <x:c r="E37" s="32" t="n">
        <x:v>8</x:v>
      </x:c>
      <x:c r="F37" s="33" t="n">
        <x:v>3</x:v>
      </x:c>
      <x:c r="G37" s="33" t="n">
        <x:v>775680</x:v>
      </x:c>
      <x:c r="H37" s="33" t="str">
        <x:v>Replicated</x:v>
      </x:c>
      <x:c r="I37" s="33" t="n">
        <x:f>1</x:f>
        <x:v>1</x:v>
      </x:c>
      <x:c r="J37" s="34" t="n">
        <x:f>E37*F37*G37/1073741824</x:f>
        <x:v>0.017337799072265625</x:v>
      </x:c>
      <x:c r="K37" s="34" t="n">
        <x:f>J37/I37</x:f>
        <x:v>0.017337799072265625</x:v>
      </x:c>
      <x:c r="L37" s="30"/>
      <x:c r="M37" s="30"/>
      <x:c r="N37" s="30"/>
      <x:c r="O37" s="30"/>
      <x:c r="P37" s="30"/>
    </x:row>
    <x:row r="38">
      <x:c r="A38" s="30" t="str">
        <x:v>Routed Experts</x:v>
      </x:c>
      <x:c r="B38" s="30" t="str">
        <x:v>ffn.experts.w1.weight</x:v>
      </x:c>
      <x:c r="C38" s="30" t="str">
        <x:v>[3072, 7168]</x:v>
      </x:c>
      <x:c r="D38" s="30" t="str">
        <x:v>FP4</x:v>
      </x:c>
      <x:c r="E38" s="32" t="n">
        <x:v>0.5</x:v>
      </x:c>
      <x:c r="F38" s="33" t="n">
        <x:v>23424</x:v>
      </x:c>
      <x:c r="G38" s="33" t="n">
        <x:v>22020096</x:v>
      </x:c>
      <x:c r="H38" s="33" t="str">
        <x:v>EP</x:v>
      </x:c>
      <x:c r="I38" s="33" t="n">
        <x:f>'Decode'!$P$14</x:f>
        <x:v>8</x:v>
      </x:c>
      <x:c r="J38" s="34" t="n">
        <x:f>E38*F38*G38/1073741824</x:f>
        <x:v>240.1875</x:v>
      </x:c>
      <x:c r="K38" s="34" t="n">
        <x:f>J38/I38</x:f>
        <x:v>30.0234375</x:v>
      </x:c>
      <x:c r="L38" s="30"/>
      <x:c r="M38" s="30"/>
      <x:c r="N38" s="30"/>
      <x:c r="O38" s="30"/>
      <x:c r="P38" s="30"/>
    </x:row>
    <x:row r="39">
      <x:c r="A39" s="30" t="str">
        <x:v>Routed Experts</x:v>
      </x:c>
      <x:c r="B39" s="30" t="str">
        <x:v>ffn.experts.w1.weight_scale</x:v>
      </x:c>
      <x:c r="C39" s="30" t="str">
        <x:v>[3072, 224]</x:v>
      </x:c>
      <x:c r="D39" s="30" t="str">
        <x:v>E8M0</x:v>
      </x:c>
      <x:c r="E39" s="32" t="n">
        <x:v>1</x:v>
      </x:c>
      <x:c r="F39" s="33" t="n">
        <x:v>23424</x:v>
      </x:c>
      <x:c r="G39" s="33" t="n">
        <x:v>688128</x:v>
      </x:c>
      <x:c r="H39" s="33" t="str">
        <x:v>EP</x:v>
      </x:c>
      <x:c r="I39" s="33" t="n">
        <x:f>'Decode'!$P$14</x:f>
        <x:v>8</x:v>
      </x:c>
      <x:c r="J39" s="34" t="n">
        <x:f>E39*F39*G39/1073741824</x:f>
        <x:v>15.01171875</x:v>
      </x:c>
      <x:c r="K39" s="34" t="n">
        <x:f>J39/I39</x:f>
        <x:v>1.87646484375</x:v>
      </x:c>
      <x:c r="L39" s="30"/>
      <x:c r="M39" s="30"/>
      <x:c r="N39" s="30"/>
      <x:c r="O39" s="30"/>
      <x:c r="P39" s="30"/>
    </x:row>
    <x:row r="40">
      <x:c r="A40" s="30" t="str">
        <x:v>Routed Experts</x:v>
      </x:c>
      <x:c r="B40" s="30" t="str">
        <x:v>ffn.experts.w3.weight</x:v>
      </x:c>
      <x:c r="C40" s="30" t="str">
        <x:v>[3072, 7168]</x:v>
      </x:c>
      <x:c r="D40" s="30" t="str">
        <x:v>FP4</x:v>
      </x:c>
      <x:c r="E40" s="32" t="n">
        <x:v>0.5</x:v>
      </x:c>
      <x:c r="F40" s="33" t="n">
        <x:v>23424</x:v>
      </x:c>
      <x:c r="G40" s="33" t="n">
        <x:v>22020096</x:v>
      </x:c>
      <x:c r="H40" s="33" t="str">
        <x:v>EP</x:v>
      </x:c>
      <x:c r="I40" s="33" t="n">
        <x:f>'Decode'!$P$14</x:f>
        <x:v>8</x:v>
      </x:c>
      <x:c r="J40" s="34" t="n">
        <x:f>E40*F40*G40/1073741824</x:f>
        <x:v>240.1875</x:v>
      </x:c>
      <x:c r="K40" s="34" t="n">
        <x:f>J40/I40</x:f>
        <x:v>30.0234375</x:v>
      </x:c>
      <x:c r="L40" s="30"/>
      <x:c r="M40" s="30"/>
      <x:c r="N40" s="30"/>
      <x:c r="O40" s="30"/>
      <x:c r="P40" s="30"/>
    </x:row>
    <x:row r="41">
      <x:c r="A41" s="30" t="str">
        <x:v>Routed Experts</x:v>
      </x:c>
      <x:c r="B41" s="30" t="str">
        <x:v>ffn.experts.w3.weight_scale</x:v>
      </x:c>
      <x:c r="C41" s="30" t="str">
        <x:v>[3072, 224]</x:v>
      </x:c>
      <x:c r="D41" s="30" t="str">
        <x:v>E8M0</x:v>
      </x:c>
      <x:c r="E41" s="32" t="n">
        <x:v>1</x:v>
      </x:c>
      <x:c r="F41" s="33" t="n">
        <x:v>23424</x:v>
      </x:c>
      <x:c r="G41" s="33" t="n">
        <x:v>688128</x:v>
      </x:c>
      <x:c r="H41" s="33" t="str">
        <x:v>EP</x:v>
      </x:c>
      <x:c r="I41" s="33" t="n">
        <x:f>'Decode'!$P$14</x:f>
        <x:v>8</x:v>
      </x:c>
      <x:c r="J41" s="34" t="n">
        <x:f>E41*F41*G41/1073741824</x:f>
        <x:v>15.01171875</x:v>
      </x:c>
      <x:c r="K41" s="34" t="n">
        <x:f>J41/I41</x:f>
        <x:v>1.87646484375</x:v>
      </x:c>
      <x:c r="L41" s="30"/>
      <x:c r="M41" s="30"/>
      <x:c r="N41" s="30"/>
      <x:c r="O41" s="30"/>
      <x:c r="P41" s="30"/>
    </x:row>
    <x:row r="42">
      <x:c r="A42" s="30" t="str">
        <x:v>Routed Experts</x:v>
      </x:c>
      <x:c r="B42" s="30" t="str">
        <x:v>ffn.experts.w2.weight</x:v>
      </x:c>
      <x:c r="C42" s="30" t="str">
        <x:v>[7168, 3072]</x:v>
      </x:c>
      <x:c r="D42" s="30" t="str">
        <x:v>FP4</x:v>
      </x:c>
      <x:c r="E42" s="32" t="n">
        <x:v>0.5</x:v>
      </x:c>
      <x:c r="F42" s="33" t="n">
        <x:v>23424</x:v>
      </x:c>
      <x:c r="G42" s="33" t="n">
        <x:v>22020096</x:v>
      </x:c>
      <x:c r="H42" s="33" t="str">
        <x:v>EP</x:v>
      </x:c>
      <x:c r="I42" s="33" t="n">
        <x:f>'Decode'!$P$14</x:f>
        <x:v>8</x:v>
      </x:c>
      <x:c r="J42" s="34" t="n">
        <x:f>E42*F42*G42/1073741824</x:f>
        <x:v>240.1875</x:v>
      </x:c>
      <x:c r="K42" s="34" t="n">
        <x:f>J42/I42</x:f>
        <x:v>30.0234375</x:v>
      </x:c>
      <x:c r="L42" s="30"/>
      <x:c r="M42" s="30"/>
      <x:c r="N42" s="30"/>
      <x:c r="O42" s="30"/>
      <x:c r="P42" s="30"/>
    </x:row>
    <x:row r="43">
      <x:c r="A43" s="30" t="str">
        <x:v>Routed Experts</x:v>
      </x:c>
      <x:c r="B43" s="30" t="str">
        <x:v>ffn.experts.w2.weight_scale</x:v>
      </x:c>
      <x:c r="C43" s="30" t="str">
        <x:v>[7168, 96]</x:v>
      </x:c>
      <x:c r="D43" s="30" t="str">
        <x:v>E8M0</x:v>
      </x:c>
      <x:c r="E43" s="32" t="n">
        <x:v>1</x:v>
      </x:c>
      <x:c r="F43" s="33" t="n">
        <x:v>23424</x:v>
      </x:c>
      <x:c r="G43" s="33" t="n">
        <x:v>688128</x:v>
      </x:c>
      <x:c r="H43" s="33" t="str">
        <x:v>EP</x:v>
      </x:c>
      <x:c r="I43" s="33" t="n">
        <x:f>'Decode'!$P$14</x:f>
        <x:v>8</x:v>
      </x:c>
      <x:c r="J43" s="34" t="n">
        <x:f>E43*F43*G43/1073741824</x:f>
        <x:v>15.01171875</x:v>
      </x:c>
      <x:c r="K43" s="34" t="n">
        <x:f>J43/I43</x:f>
        <x:v>1.87646484375</x:v>
      </x:c>
      <x:c r="L43" s="30"/>
      <x:c r="M43" s="30"/>
      <x:c r="N43" s="30"/>
      <x:c r="O43" s="30"/>
      <x:c r="P43" s="30"/>
    </x:row>
    <x:row r="44">
      <x:c r="A44" s="30" t="str">
        <x:v>Shared Experts</x:v>
      </x:c>
      <x:c r="B44" s="30" t="str">
        <x:v>ffn.shared_experts.w1.weight</x:v>
      </x:c>
      <x:c r="C44" s="30" t="str">
        <x:v>[3072, 7168]</x:v>
      </x:c>
      <x:c r="D44" s="30" t="str">
        <x:v>FP8 E4M3</x:v>
      </x:c>
      <x:c r="E44" s="32" t="n">
        <x:v>1</x:v>
      </x:c>
      <x:c r="F44" s="33" t="n">
        <x:v>61</x:v>
      </x:c>
      <x:c r="G44" s="33" t="n">
        <x:v>22020096</x:v>
      </x:c>
      <x:c r="H44" s="33" t="str">
        <x:v>共享专家 TP/DP</x:v>
      </x:c>
      <x:c r="I44" s="33" t="n">
        <x:f>IF('Decode'!$P$17="TP",'Decode'!$P$18,1)</x:f>
        <x:v>8</x:v>
      </x:c>
      <x:c r="J44" s="34" t="n">
        <x:f>E44*F44*G44/1073741824</x:f>
        <x:v>1.2509765625</x:v>
      </x:c>
      <x:c r="K44" s="34" t="n">
        <x:f>J44/I44</x:f>
        <x:v>0.1563720703125</x:v>
      </x:c>
      <x:c r="L44" s="30"/>
      <x:c r="M44" s="30"/>
      <x:c r="N44" s="30"/>
      <x:c r="O44" s="30"/>
      <x:c r="P44" s="30"/>
    </x:row>
    <x:row r="45">
      <x:c r="A45" s="30" t="str">
        <x:v>Shared Experts</x:v>
      </x:c>
      <x:c r="B45" s="30" t="str">
        <x:v>ffn.shared_experts.w1.weight_scale</x:v>
      </x:c>
      <x:c r="C45" s="30" t="str">
        <x:v>[24, 56]</x:v>
      </x:c>
      <x:c r="D45" s="30" t="str">
        <x:v>F8_E8M0</x:v>
      </x:c>
      <x:c r="E45" s="32" t="n">
        <x:v>1</x:v>
      </x:c>
      <x:c r="F45" s="33" t="n">
        <x:v>61</x:v>
      </x:c>
      <x:c r="G45" s="33" t="n">
        <x:v>1344</x:v>
      </x:c>
      <x:c r="H45" s="33" t="str">
        <x:v>共享专家 TP/DP</x:v>
      </x:c>
      <x:c r="I45" s="33" t="n">
        <x:f>IF('Decode'!$P$17="TP",'Decode'!$P$18,1)</x:f>
        <x:v>8</x:v>
      </x:c>
      <x:c r="J45" s="34" t="n">
        <x:f>E45*F45*G45/1073741824</x:f>
        <x:v>0.00007635354995727539</x:v>
      </x:c>
      <x:c r="K45" s="34" t="n">
        <x:f>J45/I45</x:f>
        <x:v>0.000009544193744659424</x:v>
      </x:c>
      <x:c r="L45" s="30"/>
      <x:c r="M45" s="30"/>
      <x:c r="N45" s="30"/>
      <x:c r="O45" s="30"/>
      <x:c r="P45" s="30"/>
    </x:row>
    <x:row r="46">
      <x:c r="A46" s="30" t="str">
        <x:v>Shared Experts</x:v>
      </x:c>
      <x:c r="B46" s="30" t="str">
        <x:v>ffn.shared_experts.w3.weight</x:v>
      </x:c>
      <x:c r="C46" s="30" t="str">
        <x:v>[3072, 7168]</x:v>
      </x:c>
      <x:c r="D46" s="30" t="str">
        <x:v>FP8 E4M3</x:v>
      </x:c>
      <x:c r="E46" s="32" t="n">
        <x:v>1</x:v>
      </x:c>
      <x:c r="F46" s="33" t="n">
        <x:v>61</x:v>
      </x:c>
      <x:c r="G46" s="33" t="n">
        <x:v>22020096</x:v>
      </x:c>
      <x:c r="H46" s="33" t="str">
        <x:v>共享专家 TP/DP</x:v>
      </x:c>
      <x:c r="I46" s="33" t="n">
        <x:f>IF('Decode'!$P$17="TP",'Decode'!$P$18,1)</x:f>
        <x:v>8</x:v>
      </x:c>
      <x:c r="J46" s="34" t="n">
        <x:f>E46*F46*G46/1073741824</x:f>
        <x:v>1.2509765625</x:v>
      </x:c>
      <x:c r="K46" s="34" t="n">
        <x:f>J46/I46</x:f>
        <x:v>0.1563720703125</x:v>
      </x:c>
      <x:c r="L46" s="30"/>
      <x:c r="M46" s="30"/>
      <x:c r="N46" s="30"/>
      <x:c r="O46" s="30"/>
      <x:c r="P46" s="30"/>
    </x:row>
    <x:row r="47">
      <x:c r="A47" s="30" t="str">
        <x:v>Shared Experts</x:v>
      </x:c>
      <x:c r="B47" s="30" t="str">
        <x:v>ffn.shared_experts.w3.weight_scale</x:v>
      </x:c>
      <x:c r="C47" s="30" t="str">
        <x:v>[24, 56]</x:v>
      </x:c>
      <x:c r="D47" s="30" t="str">
        <x:v>F8_E8M0</x:v>
      </x:c>
      <x:c r="E47" s="32" t="n">
        <x:v>1</x:v>
      </x:c>
      <x:c r="F47" s="33" t="n">
        <x:v>61</x:v>
      </x:c>
      <x:c r="G47" s="33" t="n">
        <x:v>1344</x:v>
      </x:c>
      <x:c r="H47" s="33" t="str">
        <x:v>共享专家 TP/DP</x:v>
      </x:c>
      <x:c r="I47" s="33" t="n">
        <x:f>IF('Decode'!$P$17="TP",'Decode'!$P$18,1)</x:f>
        <x:v>8</x:v>
      </x:c>
      <x:c r="J47" s="34" t="n">
        <x:f>E47*F47*G47/1073741824</x:f>
        <x:v>0.00007635354995727539</x:v>
      </x:c>
      <x:c r="K47" s="34" t="n">
        <x:f>J47/I47</x:f>
        <x:v>0.000009544193744659424</x:v>
      </x:c>
      <x:c r="L47" s="30"/>
      <x:c r="M47" s="30"/>
      <x:c r="N47" s="30"/>
      <x:c r="O47" s="30"/>
      <x:c r="P47" s="30"/>
    </x:row>
    <x:row r="48">
      <x:c r="A48" s="30" t="str">
        <x:v>Shared Experts</x:v>
      </x:c>
      <x:c r="B48" s="30" t="str">
        <x:v>ffn.shared_experts.w2.weight</x:v>
      </x:c>
      <x:c r="C48" s="30" t="str">
        <x:v>[7168, 3072]</x:v>
      </x:c>
      <x:c r="D48" s="30" t="str">
        <x:v>FP8 E4M3</x:v>
      </x:c>
      <x:c r="E48" s="32" t="n">
        <x:v>1</x:v>
      </x:c>
      <x:c r="F48" s="33" t="n">
        <x:v>61</x:v>
      </x:c>
      <x:c r="G48" s="33" t="n">
        <x:v>22020096</x:v>
      </x:c>
      <x:c r="H48" s="33" t="str">
        <x:v>共享专家 TP/DP</x:v>
      </x:c>
      <x:c r="I48" s="33" t="n">
        <x:f>IF('Decode'!$P$17="TP",'Decode'!$P$18,1)</x:f>
        <x:v>8</x:v>
      </x:c>
      <x:c r="J48" s="34" t="n">
        <x:f>E48*F48*G48/1073741824</x:f>
        <x:v>1.2509765625</x:v>
      </x:c>
      <x:c r="K48" s="34" t="n">
        <x:f>J48/I48</x:f>
        <x:v>0.1563720703125</x:v>
      </x:c>
      <x:c r="L48" s="30"/>
      <x:c r="M48" s="30"/>
      <x:c r="N48" s="30"/>
      <x:c r="O48" s="30"/>
      <x:c r="P48" s="30"/>
    </x:row>
    <x:row r="49">
      <x:c r="A49" s="30" t="str">
        <x:v>Shared Experts</x:v>
      </x:c>
      <x:c r="B49" s="30" t="str">
        <x:v>ffn.shared_experts.w2.weight_scale</x:v>
      </x:c>
      <x:c r="C49" s="30" t="str">
        <x:v>[56, 24]</x:v>
      </x:c>
      <x:c r="D49" s="30" t="str">
        <x:v>F8_E8M0</x:v>
      </x:c>
      <x:c r="E49" s="32" t="n">
        <x:v>1</x:v>
      </x:c>
      <x:c r="F49" s="33" t="n">
        <x:v>61</x:v>
      </x:c>
      <x:c r="G49" s="33" t="n">
        <x:v>1344</x:v>
      </x:c>
      <x:c r="H49" s="33" t="str">
        <x:v>共享专家 TP/DP</x:v>
      </x:c>
      <x:c r="I49" s="33" t="n">
        <x:f>IF('Decode'!$P$17="TP",'Decode'!$P$18,1)</x:f>
        <x:v>8</x:v>
      </x:c>
      <x:c r="J49" s="34" t="n">
        <x:f>E49*F49*G49/1073741824</x:f>
        <x:v>0.00007635354995727539</x:v>
      </x:c>
      <x:c r="K49" s="34" t="n">
        <x:f>J49/I49</x:f>
        <x:v>0.000009544193744659424</x:v>
      </x:c>
      <x:c r="L49" s="30"/>
      <x:c r="M49" s="30"/>
      <x:c r="N49" s="30"/>
      <x:c r="O49" s="30"/>
      <x:c r="P49" s="30"/>
    </x:row>
    <x:row r="50">
      <x:c r="A50" s="30" t="str">
        <x:v>HC</x:v>
      </x:c>
      <x:c r="B50" s="30" t="str">
        <x:v>hc_attn_fn</x:v>
      </x:c>
      <x:c r="C50" s="30" t="str">
        <x:v>[24, 28672]</x:v>
      </x:c>
      <x:c r="D50" s="30" t="str">
        <x:v>F32</x:v>
      </x:c>
      <x:c r="E50" s="32" t="n">
        <x:v>4</x:v>
      </x:c>
      <x:c r="F50" s="33" t="n">
        <x:v>61</x:v>
      </x:c>
      <x:c r="G50" s="33" t="n">
        <x:v>688128</x:v>
      </x:c>
      <x:c r="H50" s="33" t="str">
        <x:v>Replicated</x:v>
      </x:c>
      <x:c r="I50" s="33" t="n">
        <x:f>1</x:f>
        <x:v>1</x:v>
      </x:c>
      <x:c r="J50" s="34" t="n">
        <x:f>E50*F50*G50/1073741824</x:f>
        <x:v>0.1563720703125</x:v>
      </x:c>
      <x:c r="K50" s="34" t="n">
        <x:f>J50/I50</x:f>
        <x:v>0.1563720703125</x:v>
      </x:c>
      <x:c r="L50" s="30"/>
      <x:c r="M50" s="30"/>
      <x:c r="N50" s="30"/>
      <x:c r="O50" s="30"/>
      <x:c r="P50" s="30"/>
    </x:row>
    <x:row r="51">
      <x:c r="A51" s="30" t="str">
        <x:v>HC</x:v>
      </x:c>
      <x:c r="B51" s="30" t="str">
        <x:v>hc_ffn_fn</x:v>
      </x:c>
      <x:c r="C51" s="30" t="str">
        <x:v>[24, 28672]</x:v>
      </x:c>
      <x:c r="D51" s="30" t="str">
        <x:v>F32</x:v>
      </x:c>
      <x:c r="E51" s="32" t="n">
        <x:v>4</x:v>
      </x:c>
      <x:c r="F51" s="33" t="n">
        <x:v>61</x:v>
      </x:c>
      <x:c r="G51" s="33" t="n">
        <x:v>688128</x:v>
      </x:c>
      <x:c r="H51" s="33" t="str">
        <x:v>Replicated</x:v>
      </x:c>
      <x:c r="I51" s="33" t="n">
        <x:f>1</x:f>
        <x:v>1</x:v>
      </x:c>
      <x:c r="J51" s="34" t="n">
        <x:f>E51*F51*G51/1073741824</x:f>
        <x:v>0.1563720703125</x:v>
      </x:c>
      <x:c r="K51" s="34" t="n">
        <x:f>J51/I51</x:f>
        <x:v>0.1563720703125</x:v>
      </x:c>
      <x:c r="L51" s="30"/>
      <x:c r="M51" s="30"/>
      <x:c r="N51" s="30"/>
      <x:c r="O51" s="30"/>
      <x:c r="P51" s="30"/>
    </x:row>
    <x:row r="52">
      <x:c r="A52" s="30" t="str">
        <x:v>HC</x:v>
      </x:c>
      <x:c r="B52" s="30" t="str">
        <x:v>hc_attn_base</x:v>
      </x:c>
      <x:c r="C52" s="30" t="str">
        <x:v>[24]</x:v>
      </x:c>
      <x:c r="D52" s="30" t="str">
        <x:v>F32</x:v>
      </x:c>
      <x:c r="E52" s="32" t="n">
        <x:v>4</x:v>
      </x:c>
      <x:c r="F52" s="33" t="n">
        <x:v>61</x:v>
      </x:c>
      <x:c r="G52" s="33" t="n">
        <x:v>24</x:v>
      </x:c>
      <x:c r="H52" s="33" t="str">
        <x:v>Replicated</x:v>
      </x:c>
      <x:c r="I52" s="33" t="n">
        <x:f>1</x:f>
        <x:v>1</x:v>
      </x:c>
      <x:c r="J52" s="34" t="n">
        <x:f>E52*F52*G52/1073741824</x:f>
        <x:v>0.000005453824996948242</x:v>
      </x:c>
      <x:c r="K52" s="34" t="n">
        <x:f>J52/I52</x:f>
        <x:v>0.000005453824996948242</x:v>
      </x:c>
      <x:c r="L52" s="30"/>
      <x:c r="M52" s="30"/>
      <x:c r="N52" s="30"/>
      <x:c r="O52" s="30"/>
      <x:c r="P52" s="30"/>
    </x:row>
    <x:row r="53">
      <x:c r="A53" s="30" t="str">
        <x:v>HC</x:v>
      </x:c>
      <x:c r="B53" s="30" t="str">
        <x:v>hc_ffn_base</x:v>
      </x:c>
      <x:c r="C53" s="30" t="str">
        <x:v>[24]</x:v>
      </x:c>
      <x:c r="D53" s="30" t="str">
        <x:v>F32</x:v>
      </x:c>
      <x:c r="E53" s="32" t="n">
        <x:v>4</x:v>
      </x:c>
      <x:c r="F53" s="33" t="n">
        <x:v>61</x:v>
      </x:c>
      <x:c r="G53" s="33" t="n">
        <x:v>24</x:v>
      </x:c>
      <x:c r="H53" s="33" t="str">
        <x:v>Replicated</x:v>
      </x:c>
      <x:c r="I53" s="33" t="n">
        <x:f>1</x:f>
        <x:v>1</x:v>
      </x:c>
      <x:c r="J53" s="34" t="n">
        <x:f>E53*F53*G53/1073741824</x:f>
        <x:v>0.000005453824996948242</x:v>
      </x:c>
      <x:c r="K53" s="34" t="n">
        <x:f>J53/I53</x:f>
        <x:v>0.000005453824996948242</x:v>
      </x:c>
      <x:c r="L53" s="30"/>
      <x:c r="M53" s="30"/>
      <x:c r="N53" s="30"/>
      <x:c r="O53" s="30"/>
      <x:c r="P53" s="30"/>
    </x:row>
    <x:row r="54">
      <x:c r="A54" s="30" t="str">
        <x:v>HC</x:v>
      </x:c>
      <x:c r="B54" s="30" t="str">
        <x:v>hc_attn_scale</x:v>
      </x:c>
      <x:c r="C54" s="30" t="str">
        <x:v>[3]</x:v>
      </x:c>
      <x:c r="D54" s="30" t="str">
        <x:v>F32</x:v>
      </x:c>
      <x:c r="E54" s="32" t="n">
        <x:v>4</x:v>
      </x:c>
      <x:c r="F54" s="33" t="n">
        <x:v>61</x:v>
      </x:c>
      <x:c r="G54" s="33" t="n">
        <x:v>3</x:v>
      </x:c>
      <x:c r="H54" s="33" t="str">
        <x:v>Replicated</x:v>
      </x:c>
      <x:c r="I54" s="33" t="n">
        <x:f>1</x:f>
        <x:v>1</x:v>
      </x:c>
      <x:c r="J54" s="34" t="n">
        <x:f>E54*F54*G54/1073741824</x:f>
        <x:v>6.817281246185303e-7</x:v>
      </x:c>
      <x:c r="K54" s="34" t="n">
        <x:f>J54/I54</x:f>
        <x:v>6.817281246185303e-7</x:v>
      </x:c>
      <x:c r="L54" s="30"/>
      <x:c r="M54" s="30"/>
      <x:c r="N54" s="30"/>
      <x:c r="O54" s="30"/>
      <x:c r="P54" s="30"/>
    </x:row>
    <x:row r="55">
      <x:c r="A55" s="30" t="str">
        <x:v>HC</x:v>
      </x:c>
      <x:c r="B55" s="30" t="str">
        <x:v>hc_ffn_scale</x:v>
      </x:c>
      <x:c r="C55" s="30" t="str">
        <x:v>[3]</x:v>
      </x:c>
      <x:c r="D55" s="30" t="str">
        <x:v>F32</x:v>
      </x:c>
      <x:c r="E55" s="32" t="n">
        <x:v>4</x:v>
      </x:c>
      <x:c r="F55" s="33" t="n">
        <x:v>61</x:v>
      </x:c>
      <x:c r="G55" s="33" t="n">
        <x:v>3</x:v>
      </x:c>
      <x:c r="H55" s="33" t="str">
        <x:v>Replicated</x:v>
      </x:c>
      <x:c r="I55" s="33" t="n">
        <x:f>1</x:f>
        <x:v>1</x:v>
      </x:c>
      <x:c r="J55" s="34" t="n">
        <x:f>E55*F55*G55/1073741824</x:f>
        <x:v>6.817281246185303e-7</x:v>
      </x:c>
      <x:c r="K55" s="34" t="n">
        <x:f>J55/I55</x:f>
        <x:v>6.817281246185303e-7</x:v>
      </x:c>
      <x:c r="L55" s="30"/>
      <x:c r="M55" s="30"/>
      <x:c r="N55" s="30"/>
      <x:c r="O55" s="30"/>
      <x:c r="P55" s="30"/>
    </x:row>
    <x:row r="56">
      <x:c r="A56" s="30" t="str">
        <x:v>MTP</x:v>
      </x:c>
      <x:c r="B56" s="30" t="str">
        <x:v>mtp.attn_norm.weight</x:v>
      </x:c>
      <x:c r="C56" s="30" t="str">
        <x:v>[7168]</x:v>
      </x:c>
      <x:c r="D56" s="30" t="str">
        <x:v>BF16</x:v>
      </x:c>
      <x:c r="E56" s="32" t="n">
        <x:v>2</x:v>
      </x:c>
      <x:c r="F56" s="33" t="n">
        <x:v>3</x:v>
      </x:c>
      <x:c r="G56" s="33" t="n">
        <x:v>7168</x:v>
      </x:c>
      <x:c r="H56" s="33" t="str">
        <x:v>Replicated</x:v>
      </x:c>
      <x:c r="I56" s="33" t="n">
        <x:f>1</x:f>
        <x:v>1</x:v>
      </x:c>
      <x:c r="J56" s="34" t="n">
        <x:f>E56*F56*G56/1073741824</x:f>
        <x:v>0.0000400543212890625</x:v>
      </x:c>
      <x:c r="K56" s="34" t="n">
        <x:f>J56/I56</x:f>
        <x:v>0.0000400543212890625</x:v>
      </x:c>
      <x:c r="L56" s="30"/>
      <x:c r="M56" s="30"/>
      <x:c r="N56" s="30"/>
      <x:c r="O56" s="30"/>
      <x:c r="P56" s="30"/>
    </x:row>
    <x:row r="57">
      <x:c r="A57" s="30" t="str">
        <x:v>MTP</x:v>
      </x:c>
      <x:c r="B57" s="30" t="str">
        <x:v>mtp.ffn_norm.weight</x:v>
      </x:c>
      <x:c r="C57" s="30" t="str">
        <x:v>[7168]</x:v>
      </x:c>
      <x:c r="D57" s="30" t="str">
        <x:v>BF16</x:v>
      </x:c>
      <x:c r="E57" s="32" t="n">
        <x:v>2</x:v>
      </x:c>
      <x:c r="F57" s="33" t="n">
        <x:v>3</x:v>
      </x:c>
      <x:c r="G57" s="33" t="n">
        <x:v>7168</x:v>
      </x:c>
      <x:c r="H57" s="33" t="str">
        <x:v>Replicated</x:v>
      </x:c>
      <x:c r="I57" s="33" t="n">
        <x:f>1</x:f>
        <x:v>1</x:v>
      </x:c>
      <x:c r="J57" s="34" t="n">
        <x:f>E57*F57*G57/1073741824</x:f>
        <x:v>0.0000400543212890625</x:v>
      </x:c>
      <x:c r="K57" s="34" t="n">
        <x:f>J57/I57</x:f>
        <x:v>0.0000400543212890625</x:v>
      </x:c>
      <x:c r="L57" s="30"/>
      <x:c r="M57" s="30"/>
      <x:c r="N57" s="30"/>
      <x:c r="O57" s="30"/>
      <x:c r="P57" s="30"/>
    </x:row>
    <x:row r="58">
      <x:c r="A58" s="30" t="str">
        <x:v>MTP</x:v>
      </x:c>
      <x:c r="B58" s="30" t="str">
        <x:v>mtp.attn.attn_sink</x:v>
      </x:c>
      <x:c r="C58" s="30" t="str">
        <x:v>[128]</x:v>
      </x:c>
      <x:c r="D58" s="30" t="str">
        <x:v>F32</x:v>
      </x:c>
      <x:c r="E58" s="32" t="n">
        <x:v>4</x:v>
      </x:c>
      <x:c r="F58" s="33" t="n">
        <x:v>3</x:v>
      </x:c>
      <x:c r="G58" s="33" t="n">
        <x:v>128</x:v>
      </x:c>
      <x:c r="H58" s="33" t="str">
        <x:v>DSA CP / TP</x:v>
      </x:c>
      <x:c r="I58" s="33" t="n">
        <x:f>IF('Decode'!$P$25&lt;&gt;0,1,'Decode'!$P$12)</x:f>
        <x:v>1</x:v>
      </x:c>
      <x:c r="J58" s="34" t="n">
        <x:f>E58*F58*G58/1073741824</x:f>
        <x:v>0.000001430511474609375</x:v>
      </x:c>
      <x:c r="K58" s="34" t="n">
        <x:f>J58/I58</x:f>
        <x:v>0.000001430511474609375</x:v>
      </x:c>
      <x:c r="L58" s="30"/>
      <x:c r="M58" s="30"/>
      <x:c r="N58" s="30"/>
      <x:c r="O58" s="30"/>
      <x:c r="P58" s="30"/>
    </x:row>
    <x:row r="59">
      <x:c r="A59" s="30" t="str">
        <x:v>MTP</x:v>
      </x:c>
      <x:c r="B59" s="30" t="str">
        <x:v>mtp.attn.wq_a.weight</x:v>
      </x:c>
      <x:c r="C59" s="30" t="str">
        <x:v>[1536, 7168]</x:v>
      </x:c>
      <x:c r="D59" s="30" t="str">
        <x:v>FP8 E4M3</x:v>
      </x:c>
      <x:c r="E59" s="32" t="n">
        <x:v>1</x:v>
      </x:c>
      <x:c r="F59" s="33" t="n">
        <x:v>3</x:v>
      </x:c>
      <x:c r="G59" s="33" t="n">
        <x:v>11010048</x:v>
      </x:c>
      <x:c r="H59" s="33" t="str">
        <x:v>Replicated</x:v>
      </x:c>
      <x:c r="I59" s="33" t="n">
        <x:f>1</x:f>
        <x:v>1</x:v>
      </x:c>
      <x:c r="J59" s="34" t="n">
        <x:f>E59*F59*G59/1073741824</x:f>
        <x:v>0.03076171875</x:v>
      </x:c>
      <x:c r="K59" s="34" t="n">
        <x:f>J59/I59</x:f>
        <x:v>0.03076171875</x:v>
      </x:c>
      <x:c r="L59" s="30"/>
      <x:c r="M59" s="30"/>
      <x:c r="N59" s="30"/>
      <x:c r="O59" s="30"/>
      <x:c r="P59" s="30"/>
    </x:row>
    <x:row r="60">
      <x:c r="A60" s="30" t="str">
        <x:v>MTP</x:v>
      </x:c>
      <x:c r="B60" s="30" t="str">
        <x:v>mtp.attn.wq_a.weight_scale</x:v>
      </x:c>
      <x:c r="C60" s="30" t="str">
        <x:v>[12, 56]</x:v>
      </x:c>
      <x:c r="D60" s="30" t="str">
        <x:v>F8_E8M0</x:v>
      </x:c>
      <x:c r="E60" s="32" t="n">
        <x:v>1</x:v>
      </x:c>
      <x:c r="F60" s="33" t="n">
        <x:v>3</x:v>
      </x:c>
      <x:c r="G60" s="33" t="n">
        <x:v>672</x:v>
      </x:c>
      <x:c r="H60" s="33" t="str">
        <x:v>Replicated</x:v>
      </x:c>
      <x:c r="I60" s="33" t="n">
        <x:f>1</x:f>
        <x:v>1</x:v>
      </x:c>
      <x:c r="J60" s="34" t="n">
        <x:f>E60*F60*G60/1073741824</x:f>
        <x:v>0.0000018775463104248047</x:v>
      </x:c>
      <x:c r="K60" s="34" t="n">
        <x:f>J60/I60</x:f>
        <x:v>0.0000018775463104248047</x:v>
      </x:c>
      <x:c r="L60" s="30"/>
      <x:c r="M60" s="30"/>
      <x:c r="N60" s="30"/>
      <x:c r="O60" s="30"/>
      <x:c r="P60" s="30"/>
    </x:row>
    <x:row r="61">
      <x:c r="A61" s="30" t="str">
        <x:v>MTP</x:v>
      </x:c>
      <x:c r="B61" s="30" t="str">
        <x:v>mtp.attn.q_norm.weight</x:v>
      </x:c>
      <x:c r="C61" s="30" t="str">
        <x:v>[1536]</x:v>
      </x:c>
      <x:c r="D61" s="30" t="str">
        <x:v>BF16</x:v>
      </x:c>
      <x:c r="E61" s="32" t="n">
        <x:v>2</x:v>
      </x:c>
      <x:c r="F61" s="33" t="n">
        <x:v>3</x:v>
      </x:c>
      <x:c r="G61" s="33" t="n">
        <x:v>1536</x:v>
      </x:c>
      <x:c r="H61" s="33" t="str">
        <x:v>Replicated</x:v>
      </x:c>
      <x:c r="I61" s="33" t="n">
        <x:f>1</x:f>
        <x:v>1</x:v>
      </x:c>
      <x:c r="J61" s="34" t="n">
        <x:f>E61*F61*G61/1073741824</x:f>
        <x:v>0.00000858306884765625</x:v>
      </x:c>
      <x:c r="K61" s="34" t="n">
        <x:f>J61/I61</x:f>
        <x:v>0.00000858306884765625</x:v>
      </x:c>
      <x:c r="L61" s="30"/>
      <x:c r="M61" s="30"/>
      <x:c r="N61" s="30"/>
      <x:c r="O61" s="30"/>
      <x:c r="P61" s="30"/>
    </x:row>
    <x:row r="62">
      <x:c r="A62" s="30" t="str">
        <x:v>MTP</x:v>
      </x:c>
      <x:c r="B62" s="30" t="str">
        <x:v>mtp.attn.wq_b.weight</x:v>
      </x:c>
      <x:c r="C62" s="30" t="str">
        <x:v>[65536, 1536]</x:v>
      </x:c>
      <x:c r="D62" s="30" t="str">
        <x:v>FP8 E4M3</x:v>
      </x:c>
      <x:c r="E62" s="32" t="n">
        <x:v>1</x:v>
      </x:c>
      <x:c r="F62" s="33" t="n">
        <x:v>3</x:v>
      </x:c>
      <x:c r="G62" s="33" t="n">
        <x:v>100663296</x:v>
      </x:c>
      <x:c r="H62" s="33" t="str">
        <x:v>DSA CP / TP</x:v>
      </x:c>
      <x:c r="I62" s="33" t="n">
        <x:f>IF('Decode'!$P$25&lt;&gt;0,1,'Decode'!$P$12)</x:f>
        <x:v>1</x:v>
      </x:c>
      <x:c r="J62" s="34" t="n">
        <x:f>E62*F62*G62/1073741824</x:f>
        <x:v>0.28125</x:v>
      </x:c>
      <x:c r="K62" s="34" t="n">
        <x:f>J62/I62</x:f>
        <x:v>0.28125</x:v>
      </x:c>
      <x:c r="L62" s="30"/>
      <x:c r="M62" s="30"/>
      <x:c r="N62" s="30"/>
      <x:c r="O62" s="30"/>
      <x:c r="P62" s="30"/>
    </x:row>
    <x:row r="63">
      <x:c r="A63" s="30" t="str">
        <x:v>MTP</x:v>
      </x:c>
      <x:c r="B63" s="30" t="str">
        <x:v>mtp.attn.wq_b.weight_scale</x:v>
      </x:c>
      <x:c r="C63" s="30" t="str">
        <x:v>[512, 12]</x:v>
      </x:c>
      <x:c r="D63" s="30" t="str">
        <x:v>F8_E8M0</x:v>
      </x:c>
      <x:c r="E63" s="32" t="n">
        <x:v>1</x:v>
      </x:c>
      <x:c r="F63" s="33" t="n">
        <x:v>3</x:v>
      </x:c>
      <x:c r="G63" s="33" t="n">
        <x:v>6144</x:v>
      </x:c>
      <x:c r="H63" s="33" t="str">
        <x:v>DSA CP / TP</x:v>
      </x:c>
      <x:c r="I63" s="33" t="n">
        <x:f>IF('Decode'!$P$25&lt;&gt;0,1,'Decode'!$P$12)</x:f>
        <x:v>1</x:v>
      </x:c>
      <x:c r="J63" s="34" t="n">
        <x:f>E63*F63*G63/1073741824</x:f>
        <x:v>0.0000171661376953125</x:v>
      </x:c>
      <x:c r="K63" s="34" t="n">
        <x:f>J63/I63</x:f>
        <x:v>0.0000171661376953125</x:v>
      </x:c>
      <x:c r="L63" s="30"/>
      <x:c r="M63" s="30"/>
      <x:c r="N63" s="30"/>
      <x:c r="O63" s="30"/>
      <x:c r="P63" s="30"/>
    </x:row>
    <x:row r="64">
      <x:c r="A64" s="30" t="str">
        <x:v>MTP</x:v>
      </x:c>
      <x:c r="B64" s="30" t="str">
        <x:v>mtp.attn.wkv.weight</x:v>
      </x:c>
      <x:c r="C64" s="30" t="str">
        <x:v>[512, 7168]</x:v>
      </x:c>
      <x:c r="D64" s="30" t="str">
        <x:v>FP8 E4M3</x:v>
      </x:c>
      <x:c r="E64" s="32" t="n">
        <x:v>1</x:v>
      </x:c>
      <x:c r="F64" s="33" t="n">
        <x:v>3</x:v>
      </x:c>
      <x:c r="G64" s="33" t="n">
        <x:v>3670016</x:v>
      </x:c>
      <x:c r="H64" s="33" t="str">
        <x:v>Replicated</x:v>
      </x:c>
      <x:c r="I64" s="33" t="n">
        <x:f>1</x:f>
        <x:v>1</x:v>
      </x:c>
      <x:c r="J64" s="34" t="n">
        <x:f>E64*F64*G64/1073741824</x:f>
        <x:v>0.01025390625</x:v>
      </x:c>
      <x:c r="K64" s="34" t="n">
        <x:f>J64/I64</x:f>
        <x:v>0.01025390625</x:v>
      </x:c>
      <x:c r="L64" s="30"/>
      <x:c r="M64" s="30"/>
      <x:c r="N64" s="30"/>
      <x:c r="O64" s="30"/>
      <x:c r="P64" s="30"/>
    </x:row>
    <x:row r="65">
      <x:c r="A65" s="30" t="str">
        <x:v>MTP</x:v>
      </x:c>
      <x:c r="B65" s="30" t="str">
        <x:v>mtp.attn.wkv.weight_scale</x:v>
      </x:c>
      <x:c r="C65" s="30" t="str">
        <x:v>[4, 56]</x:v>
      </x:c>
      <x:c r="D65" s="30" t="str">
        <x:v>F8_E8M0</x:v>
      </x:c>
      <x:c r="E65" s="32" t="n">
        <x:v>1</x:v>
      </x:c>
      <x:c r="F65" s="33" t="n">
        <x:v>3</x:v>
      </x:c>
      <x:c r="G65" s="33" t="n">
        <x:v>224</x:v>
      </x:c>
      <x:c r="H65" s="33" t="str">
        <x:v>Replicated</x:v>
      </x:c>
      <x:c r="I65" s="33" t="n">
        <x:f>1</x:f>
        <x:v>1</x:v>
      </x:c>
      <x:c r="J65" s="34" t="n">
        <x:f>E65*F65*G65/1073741824</x:f>
        <x:v>6.258487701416016e-7</x:v>
      </x:c>
      <x:c r="K65" s="34" t="n">
        <x:f>J65/I65</x:f>
        <x:v>6.258487701416016e-7</x:v>
      </x:c>
      <x:c r="L65" s="30"/>
      <x:c r="M65" s="30"/>
      <x:c r="N65" s="30"/>
      <x:c r="O65" s="30"/>
      <x:c r="P65" s="30"/>
    </x:row>
    <x:row r="66">
      <x:c r="A66" s="30" t="str">
        <x:v>MTP</x:v>
      </x:c>
      <x:c r="B66" s="30" t="str">
        <x:v>mtp.attn.kv_norm.weight</x:v>
      </x:c>
      <x:c r="C66" s="30" t="str">
        <x:v>[512]</x:v>
      </x:c>
      <x:c r="D66" s="30" t="str">
        <x:v>BF16</x:v>
      </x:c>
      <x:c r="E66" s="32" t="n">
        <x:v>2</x:v>
      </x:c>
      <x:c r="F66" s="33" t="n">
        <x:v>3</x:v>
      </x:c>
      <x:c r="G66" s="33" t="n">
        <x:v>512</x:v>
      </x:c>
      <x:c r="H66" s="33" t="str">
        <x:v>Replicated</x:v>
      </x:c>
      <x:c r="I66" s="33" t="n">
        <x:f>1</x:f>
        <x:v>1</x:v>
      </x:c>
      <x:c r="J66" s="34" t="n">
        <x:f>E66*F66*G66/1073741824</x:f>
        <x:v>0.00000286102294921875</x:v>
      </x:c>
      <x:c r="K66" s="34" t="n">
        <x:f>J66/I66</x:f>
        <x:v>0.00000286102294921875</x:v>
      </x:c>
      <x:c r="L66" s="30"/>
      <x:c r="M66" s="30"/>
      <x:c r="N66" s="30"/>
      <x:c r="O66" s="30"/>
      <x:c r="P66" s="30"/>
    </x:row>
    <x:row r="67">
      <x:c r="A67" s="30" t="str">
        <x:v>MTP</x:v>
      </x:c>
      <x:c r="B67" s="30" t="str">
        <x:v>mtp.attn.wo_a.weight</x:v>
      </x:c>
      <x:c r="C67" s="30" t="str">
        <x:v>[16384, 4096]</x:v>
      </x:c>
      <x:c r="D67" s="30" t="str">
        <x:v>FP8 E4M3</x:v>
      </x:c>
      <x:c r="E67" s="32" t="n">
        <x:v>1</x:v>
      </x:c>
      <x:c r="F67" s="33" t="n">
        <x:v>3</x:v>
      </x:c>
      <x:c r="G67" s="33" t="n">
        <x:v>67108864</x:v>
      </x:c>
      <x:c r="H67" s="33" t="str">
        <x:v>O Proj TP</x:v>
      </x:c>
      <x:c r="I67" s="33" t="n">
        <x:f>IF('Decode'!$P$19&gt;0,'Decode'!$P$19,'Decode'!$P$12)</x:f>
        <x:v>8</x:v>
      </x:c>
      <x:c r="J67" s="34" t="n">
        <x:f>E67*F67*G67/1073741824</x:f>
        <x:v>0.1875</x:v>
      </x:c>
      <x:c r="K67" s="34" t="n">
        <x:f>J67/I67</x:f>
        <x:v>0.0234375</x:v>
      </x:c>
      <x:c r="L67" s="30"/>
      <x:c r="M67" s="30"/>
      <x:c r="N67" s="30"/>
      <x:c r="O67" s="30"/>
      <x:c r="P67" s="30"/>
    </x:row>
    <x:row r="68">
      <x:c r="A68" s="30" t="str">
        <x:v>MTP</x:v>
      </x:c>
      <x:c r="B68" s="30" t="str">
        <x:v>mtp.attn.wo_a.weight_scale</x:v>
      </x:c>
      <x:c r="C68" s="30" t="str">
        <x:v>[128, 32]</x:v>
      </x:c>
      <x:c r="D68" s="30" t="str">
        <x:v>F8_E8M0</x:v>
      </x:c>
      <x:c r="E68" s="32" t="n">
        <x:v>1</x:v>
      </x:c>
      <x:c r="F68" s="33" t="n">
        <x:v>3</x:v>
      </x:c>
      <x:c r="G68" s="33" t="n">
        <x:v>4096</x:v>
      </x:c>
      <x:c r="H68" s="33" t="str">
        <x:v>O Proj TP</x:v>
      </x:c>
      <x:c r="I68" s="33" t="n">
        <x:f>IF('Decode'!$P$19&gt;0,'Decode'!$P$19,'Decode'!$P$12)</x:f>
        <x:v>8</x:v>
      </x:c>
      <x:c r="J68" s="34" t="n">
        <x:f>E68*F68*G68/1073741824</x:f>
        <x:v>0.000011444091796875</x:v>
      </x:c>
      <x:c r="K68" s="34" t="n">
        <x:f>J68/I68</x:f>
        <x:v>0.000001430511474609375</x:v>
      </x:c>
      <x:c r="L68" s="30"/>
      <x:c r="M68" s="30"/>
      <x:c r="N68" s="30"/>
      <x:c r="O68" s="30"/>
      <x:c r="P68" s="30"/>
    </x:row>
    <x:row r="69">
      <x:c r="A69" s="30" t="str">
        <x:v>MTP</x:v>
      </x:c>
      <x:c r="B69" s="30" t="str">
        <x:v>mtp.attn.wo_b.weight</x:v>
      </x:c>
      <x:c r="C69" s="30" t="str">
        <x:v>[7168, 16384]</x:v>
      </x:c>
      <x:c r="D69" s="30" t="str">
        <x:v>FP8 E4M3</x:v>
      </x:c>
      <x:c r="E69" s="32" t="n">
        <x:v>1</x:v>
      </x:c>
      <x:c r="F69" s="33" t="n">
        <x:v>3</x:v>
      </x:c>
      <x:c r="G69" s="33" t="n">
        <x:v>117440512</x:v>
      </x:c>
      <x:c r="H69" s="33" t="str">
        <x:v>O Proj TP</x:v>
      </x:c>
      <x:c r="I69" s="33" t="n">
        <x:f>IF('Decode'!$P$19&gt;0,'Decode'!$P$19,'Decode'!$P$12)</x:f>
        <x:v>8</x:v>
      </x:c>
      <x:c r="J69" s="34" t="n">
        <x:f>E69*F69*G69/1073741824</x:f>
        <x:v>0.328125</x:v>
      </x:c>
      <x:c r="K69" s="34" t="n">
        <x:f>J69/I69</x:f>
        <x:v>0.041015625</x:v>
      </x:c>
      <x:c r="L69" s="30"/>
      <x:c r="M69" s="30"/>
      <x:c r="N69" s="30"/>
      <x:c r="O69" s="30"/>
      <x:c r="P69" s="30"/>
    </x:row>
    <x:row r="70">
      <x:c r="A70" s="30" t="str">
        <x:v>MTP</x:v>
      </x:c>
      <x:c r="B70" s="30" t="str">
        <x:v>mtp.attn.wo_b.weight_scale</x:v>
      </x:c>
      <x:c r="C70" s="30" t="str">
        <x:v>[56, 128]</x:v>
      </x:c>
      <x:c r="D70" s="30" t="str">
        <x:v>F8_E8M0</x:v>
      </x:c>
      <x:c r="E70" s="32" t="n">
        <x:v>1</x:v>
      </x:c>
      <x:c r="F70" s="33" t="n">
        <x:v>3</x:v>
      </x:c>
      <x:c r="G70" s="33" t="n">
        <x:v>7168</x:v>
      </x:c>
      <x:c r="H70" s="33" t="str">
        <x:v>O Proj TP</x:v>
      </x:c>
      <x:c r="I70" s="33" t="n">
        <x:f>IF('Decode'!$P$19&gt;0,'Decode'!$P$19,'Decode'!$P$12)</x:f>
        <x:v>8</x:v>
      </x:c>
      <x:c r="J70" s="34" t="n">
        <x:f>E70*F70*G70/1073741824</x:f>
        <x:v>0.00002002716064453125</x:v>
      </x:c>
      <x:c r="K70" s="34" t="n">
        <x:f>J70/I70</x:f>
        <x:v>0.0000025033950805664062</x:v>
      </x:c>
      <x:c r="L70" s="30"/>
      <x:c r="M70" s="30"/>
      <x:c r="N70" s="30"/>
      <x:c r="O70" s="30"/>
      <x:c r="P70" s="30"/>
    </x:row>
    <x:row r="71">
      <x:c r="A71" s="30" t="str">
        <x:v>MTP</x:v>
      </x:c>
      <x:c r="B71" s="30" t="str">
        <x:v>mtp.ffn.gate.weight</x:v>
      </x:c>
      <x:c r="C71" s="30" t="str">
        <x:v>[384, 7168]</x:v>
      </x:c>
      <x:c r="D71" s="30" t="str">
        <x:v>BF16</x:v>
      </x:c>
      <x:c r="E71" s="32" t="n">
        <x:v>2</x:v>
      </x:c>
      <x:c r="F71" s="33" t="n">
        <x:v>3</x:v>
      </x:c>
      <x:c r="G71" s="33" t="n">
        <x:v>2752512</x:v>
      </x:c>
      <x:c r="H71" s="33" t="str">
        <x:v>Replicated</x:v>
      </x:c>
      <x:c r="I71" s="33" t="n">
        <x:f>1</x:f>
        <x:v>1</x:v>
      </x:c>
      <x:c r="J71" s="34" t="n">
        <x:f>E71*F71*G71/1073741824</x:f>
        <x:v>0.015380859375</x:v>
      </x:c>
      <x:c r="K71" s="34" t="n">
        <x:f>J71/I71</x:f>
        <x:v>0.015380859375</x:v>
      </x:c>
      <x:c r="L71" s="30"/>
      <x:c r="M71" s="30"/>
      <x:c r="N71" s="30"/>
      <x:c r="O71" s="30"/>
      <x:c r="P71" s="30"/>
    </x:row>
    <x:row r="72">
      <x:c r="A72" s="30" t="str">
        <x:v>MTP</x:v>
      </x:c>
      <x:c r="B72" s="30" t="str">
        <x:v>mtp.ffn.gate.bias</x:v>
      </x:c>
      <x:c r="C72" s="30" t="str">
        <x:v>[384]</x:v>
      </x:c>
      <x:c r="D72" s="30" t="str">
        <x:v>F32</x:v>
      </x:c>
      <x:c r="E72" s="32" t="n">
        <x:v>4</x:v>
      </x:c>
      <x:c r="F72" s="33" t="n">
        <x:v>3</x:v>
      </x:c>
      <x:c r="G72" s="33" t="n">
        <x:v>384</x:v>
      </x:c>
      <x:c r="H72" s="33" t="str">
        <x:v>Replicated</x:v>
      </x:c>
      <x:c r="I72" s="33" t="n">
        <x:f>1</x:f>
        <x:v>1</x:v>
      </x:c>
      <x:c r="J72" s="34" t="n">
        <x:f>E72*F72*G72/1073741824</x:f>
        <x:v>0.000004291534423828125</x:v>
      </x:c>
      <x:c r="K72" s="34" t="n">
        <x:f>J72/I72</x:f>
        <x:v>0.000004291534423828125</x:v>
      </x:c>
      <x:c r="L72" s="30"/>
      <x:c r="M72" s="30"/>
      <x:c r="N72" s="30"/>
      <x:c r="O72" s="30"/>
      <x:c r="P72" s="30"/>
    </x:row>
    <x:row r="73">
      <x:c r="A73" s="30" t="str">
        <x:v>MTP Routed Experts</x:v>
      </x:c>
      <x:c r="B73" s="30" t="str">
        <x:v>mtp.ffn.experts.w1.weight</x:v>
      </x:c>
      <x:c r="C73" s="30" t="str">
        <x:v>[3072, 7168]</x:v>
      </x:c>
      <x:c r="D73" s="30" t="str">
        <x:v>FP4</x:v>
      </x:c>
      <x:c r="E73" s="32" t="n">
        <x:v>0.5</x:v>
      </x:c>
      <x:c r="F73" s="33" t="n">
        <x:v>1152</x:v>
      </x:c>
      <x:c r="G73" s="33" t="n">
        <x:v>22020096</x:v>
      </x:c>
      <x:c r="H73" s="33" t="str">
        <x:v>EP</x:v>
      </x:c>
      <x:c r="I73" s="33" t="n">
        <x:f>'Decode'!$P$14</x:f>
        <x:v>8</x:v>
      </x:c>
      <x:c r="J73" s="34" t="n">
        <x:f>E73*F73*G73/1073741824</x:f>
        <x:v>11.8125</x:v>
      </x:c>
      <x:c r="K73" s="34" t="n">
        <x:f>J73/I73</x:f>
        <x:v>1.4765625</x:v>
      </x:c>
      <x:c r="L73" s="30"/>
      <x:c r="M73" s="30"/>
      <x:c r="N73" s="30"/>
      <x:c r="O73" s="30"/>
      <x:c r="P73" s="30"/>
    </x:row>
    <x:row r="74">
      <x:c r="A74" s="30" t="str">
        <x:v>MTP Routed Experts</x:v>
      </x:c>
      <x:c r="B74" s="30" t="str">
        <x:v>mtp.ffn.experts.w1.weight_scale</x:v>
      </x:c>
      <x:c r="C74" s="30" t="str">
        <x:v>[3072, 224]</x:v>
      </x:c>
      <x:c r="D74" s="30" t="str">
        <x:v>E8M0</x:v>
      </x:c>
      <x:c r="E74" s="32" t="n">
        <x:v>1</x:v>
      </x:c>
      <x:c r="F74" s="33" t="n">
        <x:v>1152</x:v>
      </x:c>
      <x:c r="G74" s="33" t="n">
        <x:v>688128</x:v>
      </x:c>
      <x:c r="H74" s="33" t="str">
        <x:v>EP</x:v>
      </x:c>
      <x:c r="I74" s="33" t="n">
        <x:f>'Decode'!$P$14</x:f>
        <x:v>8</x:v>
      </x:c>
      <x:c r="J74" s="34" t="n">
        <x:f>E74*F74*G74/1073741824</x:f>
        <x:v>0.73828125</x:v>
      </x:c>
      <x:c r="K74" s="34" t="n">
        <x:f>J74/I74</x:f>
        <x:v>0.09228515625</x:v>
      </x:c>
      <x:c r="L74" s="30"/>
      <x:c r="M74" s="30"/>
      <x:c r="N74" s="30"/>
      <x:c r="O74" s="30"/>
      <x:c r="P74" s="30"/>
    </x:row>
    <x:row r="75">
      <x:c r="A75" s="30" t="str">
        <x:v>MTP Routed Experts</x:v>
      </x:c>
      <x:c r="B75" s="30" t="str">
        <x:v>mtp.ffn.experts.w3.weight</x:v>
      </x:c>
      <x:c r="C75" s="30" t="str">
        <x:v>[3072, 7168]</x:v>
      </x:c>
      <x:c r="D75" s="30" t="str">
        <x:v>FP4</x:v>
      </x:c>
      <x:c r="E75" s="32" t="n">
        <x:v>0.5</x:v>
      </x:c>
      <x:c r="F75" s="33" t="n">
        <x:v>1152</x:v>
      </x:c>
      <x:c r="G75" s="33" t="n">
        <x:v>22020096</x:v>
      </x:c>
      <x:c r="H75" s="33" t="str">
        <x:v>EP</x:v>
      </x:c>
      <x:c r="I75" s="33" t="n">
        <x:f>'Decode'!$P$14</x:f>
        <x:v>8</x:v>
      </x:c>
      <x:c r="J75" s="34" t="n">
        <x:f>E75*F75*G75/1073741824</x:f>
        <x:v>11.8125</x:v>
      </x:c>
      <x:c r="K75" s="34" t="n">
        <x:f>J75/I75</x:f>
        <x:v>1.4765625</x:v>
      </x:c>
      <x:c r="L75" s="30"/>
      <x:c r="M75" s="30"/>
      <x:c r="N75" s="30"/>
      <x:c r="O75" s="30"/>
      <x:c r="P75" s="30"/>
    </x:row>
    <x:row r="76">
      <x:c r="A76" s="30" t="str">
        <x:v>MTP Routed Experts</x:v>
      </x:c>
      <x:c r="B76" s="30" t="str">
        <x:v>mtp.ffn.experts.w3.weight_scale</x:v>
      </x:c>
      <x:c r="C76" s="30" t="str">
        <x:v>[3072, 224]</x:v>
      </x:c>
      <x:c r="D76" s="30" t="str">
        <x:v>E8M0</x:v>
      </x:c>
      <x:c r="E76" s="32" t="n">
        <x:v>1</x:v>
      </x:c>
      <x:c r="F76" s="33" t="n">
        <x:v>1152</x:v>
      </x:c>
      <x:c r="G76" s="33" t="n">
        <x:v>688128</x:v>
      </x:c>
      <x:c r="H76" s="33" t="str">
        <x:v>EP</x:v>
      </x:c>
      <x:c r="I76" s="33" t="n">
        <x:f>'Decode'!$P$14</x:f>
        <x:v>8</x:v>
      </x:c>
      <x:c r="J76" s="34" t="n">
        <x:f>E76*F76*G76/1073741824</x:f>
        <x:v>0.73828125</x:v>
      </x:c>
      <x:c r="K76" s="34" t="n">
        <x:f>J76/I76</x:f>
        <x:v>0.09228515625</x:v>
      </x:c>
      <x:c r="L76" s="30"/>
      <x:c r="M76" s="30"/>
      <x:c r="N76" s="30"/>
      <x:c r="O76" s="30"/>
      <x:c r="P76" s="30"/>
    </x:row>
    <x:row r="77">
      <x:c r="A77" s="30" t="str">
        <x:v>MTP Routed Experts</x:v>
      </x:c>
      <x:c r="B77" s="30" t="str">
        <x:v>mtp.ffn.experts.w2.weight</x:v>
      </x:c>
      <x:c r="C77" s="30" t="str">
        <x:v>[7168, 3072]</x:v>
      </x:c>
      <x:c r="D77" s="30" t="str">
        <x:v>FP4</x:v>
      </x:c>
      <x:c r="E77" s="32" t="n">
        <x:v>0.5</x:v>
      </x:c>
      <x:c r="F77" s="33" t="n">
        <x:v>1152</x:v>
      </x:c>
      <x:c r="G77" s="33" t="n">
        <x:v>22020096</x:v>
      </x:c>
      <x:c r="H77" s="33" t="str">
        <x:v>EP</x:v>
      </x:c>
      <x:c r="I77" s="33" t="n">
        <x:f>'Decode'!$P$14</x:f>
        <x:v>8</x:v>
      </x:c>
      <x:c r="J77" s="34" t="n">
        <x:f>E77*F77*G77/1073741824</x:f>
        <x:v>11.8125</x:v>
      </x:c>
      <x:c r="K77" s="34" t="n">
        <x:f>J77/I77</x:f>
        <x:v>1.4765625</x:v>
      </x:c>
      <x:c r="L77" s="30"/>
      <x:c r="M77" s="30"/>
      <x:c r="N77" s="30"/>
      <x:c r="O77" s="30"/>
      <x:c r="P77" s="30"/>
    </x:row>
    <x:row r="78">
      <x:c r="A78" s="30" t="str">
        <x:v>MTP Routed Experts</x:v>
      </x:c>
      <x:c r="B78" s="30" t="str">
        <x:v>mtp.ffn.experts.w2.weight_scale</x:v>
      </x:c>
      <x:c r="C78" s="30" t="str">
        <x:v>[7168, 96]</x:v>
      </x:c>
      <x:c r="D78" s="30" t="str">
        <x:v>E8M0</x:v>
      </x:c>
      <x:c r="E78" s="32" t="n">
        <x:v>1</x:v>
      </x:c>
      <x:c r="F78" s="33" t="n">
        <x:v>1152</x:v>
      </x:c>
      <x:c r="G78" s="33" t="n">
        <x:v>688128</x:v>
      </x:c>
      <x:c r="H78" s="33" t="str">
        <x:v>EP</x:v>
      </x:c>
      <x:c r="I78" s="33" t="n">
        <x:f>'Decode'!$P$14</x:f>
        <x:v>8</x:v>
      </x:c>
      <x:c r="J78" s="34" t="n">
        <x:f>E78*F78*G78/1073741824</x:f>
        <x:v>0.73828125</x:v>
      </x:c>
      <x:c r="K78" s="34" t="n">
        <x:f>J78/I78</x:f>
        <x:v>0.09228515625</x:v>
      </x:c>
      <x:c r="L78" s="30"/>
      <x:c r="M78" s="30"/>
      <x:c r="N78" s="30"/>
      <x:c r="O78" s="30"/>
      <x:c r="P78" s="30"/>
    </x:row>
    <x:row r="79">
      <x:c r="A79" s="30" t="str">
        <x:v>MTP Shared Experts</x:v>
      </x:c>
      <x:c r="B79" s="30" t="str">
        <x:v>mtp.ffn.shared_experts.w1.weight</x:v>
      </x:c>
      <x:c r="C79" s="30" t="str">
        <x:v>[3072, 7168]</x:v>
      </x:c>
      <x:c r="D79" s="30" t="str">
        <x:v>FP8 E4M3</x:v>
      </x:c>
      <x:c r="E79" s="32" t="n">
        <x:v>1</x:v>
      </x:c>
      <x:c r="F79" s="33" t="n">
        <x:v>3</x:v>
      </x:c>
      <x:c r="G79" s="33" t="n">
        <x:v>22020096</x:v>
      </x:c>
      <x:c r="H79" s="33" t="str">
        <x:v>共享专家 TP/DP</x:v>
      </x:c>
      <x:c r="I79" s="33" t="n">
        <x:f>IF('Decode'!$P$17="TP",'Decode'!$P$18,1)</x:f>
        <x:v>8</x:v>
      </x:c>
      <x:c r="J79" s="34" t="n">
        <x:f>E79*F79*G79/1073741824</x:f>
        <x:v>0.0615234375</x:v>
      </x:c>
      <x:c r="K79" s="34" t="n">
        <x:f>J79/I79</x:f>
        <x:v>0.0076904296875</x:v>
      </x:c>
      <x:c r="L79" s="30"/>
      <x:c r="M79" s="30"/>
      <x:c r="N79" s="30"/>
      <x:c r="O79" s="30"/>
      <x:c r="P79" s="30"/>
    </x:row>
    <x:row r="80">
      <x:c r="A80" s="30" t="str">
        <x:v>MTP Shared Experts</x:v>
      </x:c>
      <x:c r="B80" s="30" t="str">
        <x:v>mtp.ffn.shared_experts.w1.weight_scale</x:v>
      </x:c>
      <x:c r="C80" s="30" t="str">
        <x:v>[24, 56]</x:v>
      </x:c>
      <x:c r="D80" s="30" t="str">
        <x:v>F8_E8M0</x:v>
      </x:c>
      <x:c r="E80" s="32" t="n">
        <x:v>1</x:v>
      </x:c>
      <x:c r="F80" s="33" t="n">
        <x:v>3</x:v>
      </x:c>
      <x:c r="G80" s="33" t="n">
        <x:v>1344</x:v>
      </x:c>
      <x:c r="H80" s="33" t="str">
        <x:v>共享专家 TP/DP</x:v>
      </x:c>
      <x:c r="I80" s="33" t="n">
        <x:f>IF('Decode'!$P$17="TP",'Decode'!$P$18,1)</x:f>
        <x:v>8</x:v>
      </x:c>
      <x:c r="J80" s="34" t="n">
        <x:f>E80*F80*G80/1073741824</x:f>
        <x:v>0.0000037550926208496094</x:v>
      </x:c>
      <x:c r="K80" s="34" t="n">
        <x:f>J80/I80</x:f>
        <x:v>4.6938657760620117e-7</x:v>
      </x:c>
      <x:c r="L80" s="30"/>
      <x:c r="M80" s="30"/>
      <x:c r="N80" s="30"/>
      <x:c r="O80" s="30"/>
      <x:c r="P80" s="30"/>
    </x:row>
    <x:row r="81">
      <x:c r="A81" s="30" t="str">
        <x:v>MTP Shared Experts</x:v>
      </x:c>
      <x:c r="B81" s="30" t="str">
        <x:v>mtp.ffn.shared_experts.w3.weight</x:v>
      </x:c>
      <x:c r="C81" s="30" t="str">
        <x:v>[3072, 7168]</x:v>
      </x:c>
      <x:c r="D81" s="30" t="str">
        <x:v>FP8 E4M3</x:v>
      </x:c>
      <x:c r="E81" s="32" t="n">
        <x:v>1</x:v>
      </x:c>
      <x:c r="F81" s="33" t="n">
        <x:v>3</x:v>
      </x:c>
      <x:c r="G81" s="33" t="n">
        <x:v>22020096</x:v>
      </x:c>
      <x:c r="H81" s="33" t="str">
        <x:v>共享专家 TP/DP</x:v>
      </x:c>
      <x:c r="I81" s="33" t="n">
        <x:f>IF('Decode'!$P$17="TP",'Decode'!$P$18,1)</x:f>
        <x:v>8</x:v>
      </x:c>
      <x:c r="J81" s="34" t="n">
        <x:f>E81*F81*G81/1073741824</x:f>
        <x:v>0.0615234375</x:v>
      </x:c>
      <x:c r="K81" s="34" t="n">
        <x:f>J81/I81</x:f>
        <x:v>0.0076904296875</x:v>
      </x:c>
      <x:c r="L81" s="30"/>
      <x:c r="M81" s="30"/>
      <x:c r="N81" s="30"/>
      <x:c r="O81" s="30"/>
      <x:c r="P81" s="30"/>
    </x:row>
    <x:row r="82">
      <x:c r="A82" s="30" t="str">
        <x:v>MTP Shared Experts</x:v>
      </x:c>
      <x:c r="B82" s="30" t="str">
        <x:v>mtp.ffn.shared_experts.w3.weight_scale</x:v>
      </x:c>
      <x:c r="C82" s="30" t="str">
        <x:v>[24, 56]</x:v>
      </x:c>
      <x:c r="D82" s="30" t="str">
        <x:v>F8_E8M0</x:v>
      </x:c>
      <x:c r="E82" s="32" t="n">
        <x:v>1</x:v>
      </x:c>
      <x:c r="F82" s="33" t="n">
        <x:v>3</x:v>
      </x:c>
      <x:c r="G82" s="33" t="n">
        <x:v>1344</x:v>
      </x:c>
      <x:c r="H82" s="33" t="str">
        <x:v>共享专家 TP/DP</x:v>
      </x:c>
      <x:c r="I82" s="33" t="n">
        <x:f>IF('Decode'!$P$17="TP",'Decode'!$P$18,1)</x:f>
        <x:v>8</x:v>
      </x:c>
      <x:c r="J82" s="34" t="n">
        <x:f>E82*F82*G82/1073741824</x:f>
        <x:v>0.0000037550926208496094</x:v>
      </x:c>
      <x:c r="K82" s="34" t="n">
        <x:f>J82/I82</x:f>
        <x:v>4.6938657760620117e-7</x:v>
      </x:c>
      <x:c r="L82" s="30"/>
      <x:c r="M82" s="30"/>
      <x:c r="N82" s="30"/>
      <x:c r="O82" s="30"/>
      <x:c r="P82" s="30"/>
    </x:row>
    <x:row r="83">
      <x:c r="A83" s="30" t="str">
        <x:v>MTP Shared Experts</x:v>
      </x:c>
      <x:c r="B83" s="30" t="str">
        <x:v>mtp.ffn.shared_experts.w2.weight</x:v>
      </x:c>
      <x:c r="C83" s="30" t="str">
        <x:v>[7168, 3072]</x:v>
      </x:c>
      <x:c r="D83" s="30" t="str">
        <x:v>FP8 E4M3</x:v>
      </x:c>
      <x:c r="E83" s="32" t="n">
        <x:v>1</x:v>
      </x:c>
      <x:c r="F83" s="33" t="n">
        <x:v>3</x:v>
      </x:c>
      <x:c r="G83" s="33" t="n">
        <x:v>22020096</x:v>
      </x:c>
      <x:c r="H83" s="33" t="str">
        <x:v>共享专家 TP/DP</x:v>
      </x:c>
      <x:c r="I83" s="33" t="n">
        <x:f>IF('Decode'!$P$17="TP",'Decode'!$P$18,1)</x:f>
        <x:v>8</x:v>
      </x:c>
      <x:c r="J83" s="34" t="n">
        <x:f>E83*F83*G83/1073741824</x:f>
        <x:v>0.0615234375</x:v>
      </x:c>
      <x:c r="K83" s="34" t="n">
        <x:f>J83/I83</x:f>
        <x:v>0.0076904296875</x:v>
      </x:c>
      <x:c r="L83" s="30"/>
      <x:c r="M83" s="30"/>
      <x:c r="N83" s="30"/>
      <x:c r="O83" s="30"/>
      <x:c r="P83" s="30"/>
    </x:row>
    <x:row r="84">
      <x:c r="A84" s="30" t="str">
        <x:v>MTP Shared Experts</x:v>
      </x:c>
      <x:c r="B84" s="30" t="str">
        <x:v>mtp.ffn.shared_experts.w2.weight_scale</x:v>
      </x:c>
      <x:c r="C84" s="30" t="str">
        <x:v>[56, 24]</x:v>
      </x:c>
      <x:c r="D84" s="30" t="str">
        <x:v>F8_E8M0</x:v>
      </x:c>
      <x:c r="E84" s="32" t="n">
        <x:v>1</x:v>
      </x:c>
      <x:c r="F84" s="33" t="n">
        <x:v>3</x:v>
      </x:c>
      <x:c r="G84" s="33" t="n">
        <x:v>1344</x:v>
      </x:c>
      <x:c r="H84" s="33" t="str">
        <x:v>共享专家 TP/DP</x:v>
      </x:c>
      <x:c r="I84" s="33" t="n">
        <x:f>IF('Decode'!$P$17="TP",'Decode'!$P$18,1)</x:f>
        <x:v>8</x:v>
      </x:c>
      <x:c r="J84" s="34" t="n">
        <x:f>E84*F84*G84/1073741824</x:f>
        <x:v>0.0000037550926208496094</x:v>
      </x:c>
      <x:c r="K84" s="34" t="n">
        <x:f>J84/I84</x:f>
        <x:v>4.6938657760620117e-7</x:v>
      </x:c>
      <x:c r="L84" s="30"/>
      <x:c r="M84" s="30"/>
      <x:c r="N84" s="30"/>
      <x:c r="O84" s="30"/>
      <x:c r="P84" s="30"/>
    </x:row>
    <x:row r="85">
      <x:c r="A85" s="30" t="str">
        <x:v>MTP HC</x:v>
      </x:c>
      <x:c r="B85" s="30" t="str">
        <x:v>mtp.hc_attn_fn</x:v>
      </x:c>
      <x:c r="C85" s="30" t="str">
        <x:v>[24, 28672]</x:v>
      </x:c>
      <x:c r="D85" s="30" t="str">
        <x:v>F32</x:v>
      </x:c>
      <x:c r="E85" s="32" t="n">
        <x:v>4</x:v>
      </x:c>
      <x:c r="F85" s="33" t="n">
        <x:v>3</x:v>
      </x:c>
      <x:c r="G85" s="33" t="n">
        <x:v>688128</x:v>
      </x:c>
      <x:c r="H85" s="33" t="str">
        <x:v>Replicated</x:v>
      </x:c>
      <x:c r="I85" s="33" t="n">
        <x:f>1</x:f>
        <x:v>1</x:v>
      </x:c>
      <x:c r="J85" s="34" t="n">
        <x:f>E85*F85*G85/1073741824</x:f>
        <x:v>0.0076904296875</x:v>
      </x:c>
      <x:c r="K85" s="34" t="n">
        <x:f>J85/I85</x:f>
        <x:v>0.0076904296875</x:v>
      </x:c>
      <x:c r="L85" s="30"/>
      <x:c r="M85" s="30"/>
      <x:c r="N85" s="30"/>
      <x:c r="O85" s="30"/>
      <x:c r="P85" s="30"/>
    </x:row>
    <x:row r="86">
      <x:c r="A86" s="30" t="str">
        <x:v>MTP HC</x:v>
      </x:c>
      <x:c r="B86" s="30" t="str">
        <x:v>mtp.hc_ffn_fn</x:v>
      </x:c>
      <x:c r="C86" s="30" t="str">
        <x:v>[24, 28672]</x:v>
      </x:c>
      <x:c r="D86" s="30" t="str">
        <x:v>F32</x:v>
      </x:c>
      <x:c r="E86" s="32" t="n">
        <x:v>4</x:v>
      </x:c>
      <x:c r="F86" s="33" t="n">
        <x:v>3</x:v>
      </x:c>
      <x:c r="G86" s="33" t="n">
        <x:v>688128</x:v>
      </x:c>
      <x:c r="H86" s="33" t="str">
        <x:v>Replicated</x:v>
      </x:c>
      <x:c r="I86" s="33" t="n">
        <x:f>1</x:f>
        <x:v>1</x:v>
      </x:c>
      <x:c r="J86" s="34" t="n">
        <x:f>E86*F86*G86/1073741824</x:f>
        <x:v>0.0076904296875</x:v>
      </x:c>
      <x:c r="K86" s="34" t="n">
        <x:f>J86/I86</x:f>
        <x:v>0.0076904296875</x:v>
      </x:c>
      <x:c r="L86" s="30"/>
      <x:c r="M86" s="30"/>
      <x:c r="N86" s="30"/>
      <x:c r="O86" s="30"/>
      <x:c r="P86" s="30"/>
    </x:row>
    <x:row r="87">
      <x:c r="A87" s="30" t="str">
        <x:v>MTP HC</x:v>
      </x:c>
      <x:c r="B87" s="30" t="str">
        <x:v>mtp.hc_attn_base</x:v>
      </x:c>
      <x:c r="C87" s="30" t="str">
        <x:v>[24]</x:v>
      </x:c>
      <x:c r="D87" s="30" t="str">
        <x:v>F32</x:v>
      </x:c>
      <x:c r="E87" s="32" t="n">
        <x:v>4</x:v>
      </x:c>
      <x:c r="F87" s="33" t="n">
        <x:v>3</x:v>
      </x:c>
      <x:c r="G87" s="33" t="n">
        <x:v>24</x:v>
      </x:c>
      <x:c r="H87" s="33" t="str">
        <x:v>Replicated</x:v>
      </x:c>
      <x:c r="I87" s="33" t="n">
        <x:f>1</x:f>
        <x:v>1</x:v>
      </x:c>
      <x:c r="J87" s="34" t="n">
        <x:f>E87*F87*G87/1073741824</x:f>
        <x:v>2.682209014892578e-7</x:v>
      </x:c>
      <x:c r="K87" s="34" t="n">
        <x:f>J87/I87</x:f>
        <x:v>2.682209014892578e-7</x:v>
      </x:c>
      <x:c r="L87" s="30"/>
      <x:c r="M87" s="30"/>
      <x:c r="N87" s="30"/>
      <x:c r="O87" s="30"/>
      <x:c r="P87" s="30"/>
    </x:row>
    <x:row r="88">
      <x:c r="A88" s="30" t="str">
        <x:v>MTP HC</x:v>
      </x:c>
      <x:c r="B88" s="30" t="str">
        <x:v>mtp.hc_ffn_base</x:v>
      </x:c>
      <x:c r="C88" s="30" t="str">
        <x:v>[24]</x:v>
      </x:c>
      <x:c r="D88" s="30" t="str">
        <x:v>F32</x:v>
      </x:c>
      <x:c r="E88" s="32" t="n">
        <x:v>4</x:v>
      </x:c>
      <x:c r="F88" s="33" t="n">
        <x:v>3</x:v>
      </x:c>
      <x:c r="G88" s="33" t="n">
        <x:v>24</x:v>
      </x:c>
      <x:c r="H88" s="33" t="str">
        <x:v>Replicated</x:v>
      </x:c>
      <x:c r="I88" s="33" t="n">
        <x:f>1</x:f>
        <x:v>1</x:v>
      </x:c>
      <x:c r="J88" s="34" t="n">
        <x:f>E88*F88*G88/1073741824</x:f>
        <x:v>2.682209014892578e-7</x:v>
      </x:c>
      <x:c r="K88" s="34" t="n">
        <x:f>J88/I88</x:f>
        <x:v>2.682209014892578e-7</x:v>
      </x:c>
      <x:c r="L88" s="30"/>
      <x:c r="M88" s="30"/>
      <x:c r="N88" s="30"/>
      <x:c r="O88" s="30"/>
      <x:c r="P88" s="30"/>
    </x:row>
    <x:row r="89">
      <x:c r="A89" s="30" t="str">
        <x:v>MTP HC</x:v>
      </x:c>
      <x:c r="B89" s="30" t="str">
        <x:v>mtp.hc_attn_scale</x:v>
      </x:c>
      <x:c r="C89" s="30" t="str">
        <x:v>[3]</x:v>
      </x:c>
      <x:c r="D89" s="30" t="str">
        <x:v>F32</x:v>
      </x:c>
      <x:c r="E89" s="32" t="n">
        <x:v>4</x:v>
      </x:c>
      <x:c r="F89" s="33" t="n">
        <x:v>3</x:v>
      </x:c>
      <x:c r="G89" s="33" t="n">
        <x:v>3</x:v>
      </x:c>
      <x:c r="H89" s="33" t="str">
        <x:v>Replicated</x:v>
      </x:c>
      <x:c r="I89" s="33" t="n">
        <x:f>1</x:f>
        <x:v>1</x:v>
      </x:c>
      <x:c r="J89" s="34" t="n">
        <x:f>E89*F89*G89/1073741824</x:f>
        <x:v>3.3527612686157227e-8</x:v>
      </x:c>
      <x:c r="K89" s="34" t="n">
        <x:f>J89/I89</x:f>
        <x:v>3.3527612686157227e-8</x:v>
      </x:c>
      <x:c r="L89" s="30"/>
      <x:c r="M89" s="30"/>
      <x:c r="N89" s="30"/>
      <x:c r="O89" s="30"/>
      <x:c r="P89" s="30"/>
    </x:row>
    <x:row r="90">
      <x:c r="A90" s="30" t="str">
        <x:v>MTP HC</x:v>
      </x:c>
      <x:c r="B90" s="30" t="str">
        <x:v>mtp.hc_ffn_scale</x:v>
      </x:c>
      <x:c r="C90" s="30" t="str">
        <x:v>[3]</x:v>
      </x:c>
      <x:c r="D90" s="30" t="str">
        <x:v>F32</x:v>
      </x:c>
      <x:c r="E90" s="32" t="n">
        <x:v>4</x:v>
      </x:c>
      <x:c r="F90" s="33" t="n">
        <x:v>3</x:v>
      </x:c>
      <x:c r="G90" s="33" t="n">
        <x:v>3</x:v>
      </x:c>
      <x:c r="H90" s="33" t="str">
        <x:v>Replicated</x:v>
      </x:c>
      <x:c r="I90" s="33" t="n">
        <x:f>1</x:f>
        <x:v>1</x:v>
      </x:c>
      <x:c r="J90" s="34" t="n">
        <x:f>E90*F90*G90/1073741824</x:f>
        <x:v>3.3527612686157227e-8</x:v>
      </x:c>
      <x:c r="K90" s="34" t="n">
        <x:f>J90/I90</x:f>
        <x:v>3.3527612686157227e-8</x:v>
      </x:c>
      <x:c r="L90" s="30"/>
      <x:c r="M90" s="30"/>
      <x:c r="N90" s="30"/>
      <x:c r="O90" s="30"/>
      <x:c r="P90" s="30"/>
    </x:row>
    <x:row r="91">
      <x:c r="A91" s="30" t="str">
        <x:v>MTP</x:v>
      </x:c>
      <x:c r="B91" s="30" t="str">
        <x:v>mtp.main_norm.weight</x:v>
      </x:c>
      <x:c r="C91" s="30" t="str">
        <x:v>[7168]</x:v>
      </x:c>
      <x:c r="D91" s="30" t="str">
        <x:v>BF16</x:v>
      </x:c>
      <x:c r="E91" s="32" t="n">
        <x:v>2</x:v>
      </x:c>
      <x:c r="F91" s="33" t="n">
        <x:v>1</x:v>
      </x:c>
      <x:c r="G91" s="33" t="n">
        <x:v>7168</x:v>
      </x:c>
      <x:c r="H91" s="33" t="str">
        <x:v>Replicated</x:v>
      </x:c>
      <x:c r="I91" s="33" t="n">
        <x:f>1</x:f>
        <x:v>1</x:v>
      </x:c>
      <x:c r="J91" s="34" t="n">
        <x:f>E91*F91*G91/1073741824</x:f>
        <x:v>0.0000133514404296875</x:v>
      </x:c>
      <x:c r="K91" s="34" t="n">
        <x:f>J91/I91</x:f>
        <x:v>0.0000133514404296875</x:v>
      </x:c>
      <x:c r="L91" s="30"/>
      <x:c r="M91" s="30"/>
      <x:c r="N91" s="30"/>
      <x:c r="O91" s="30"/>
      <x:c r="P91" s="30"/>
    </x:row>
    <x:row r="92">
      <x:c r="A92" s="30" t="str">
        <x:v>MTP</x:v>
      </x:c>
      <x:c r="B92" s="30" t="str">
        <x:v>mtp.main_proj.weight</x:v>
      </x:c>
      <x:c r="C92" s="30" t="str">
        <x:v>[7168, 21504]</x:v>
      </x:c>
      <x:c r="D92" s="30" t="str">
        <x:v>FP8 E4M3</x:v>
      </x:c>
      <x:c r="E92" s="32" t="n">
        <x:v>1</x:v>
      </x:c>
      <x:c r="F92" s="33" t="n">
        <x:v>1</x:v>
      </x:c>
      <x:c r="G92" s="33" t="n">
        <x:v>154140672</x:v>
      </x:c>
      <x:c r="H92" s="33" t="str">
        <x:v>Replicated</x:v>
      </x:c>
      <x:c r="I92" s="33" t="n">
        <x:f>1</x:f>
        <x:v>1</x:v>
      </x:c>
      <x:c r="J92" s="34" t="n">
        <x:f>E92*F92*G92/1073741824</x:f>
        <x:v>0.1435546875</x:v>
      </x:c>
      <x:c r="K92" s="34" t="n">
        <x:f>J92/I92</x:f>
        <x:v>0.1435546875</x:v>
      </x:c>
      <x:c r="L92" s="30"/>
      <x:c r="M92" s="30"/>
      <x:c r="N92" s="30"/>
      <x:c r="O92" s="30"/>
      <x:c r="P92" s="30"/>
    </x:row>
    <x:row r="93">
      <x:c r="A93" s="30" t="str">
        <x:v>MTP</x:v>
      </x:c>
      <x:c r="B93" s="30" t="str">
        <x:v>mtp.main_proj.weight_scale</x:v>
      </x:c>
      <x:c r="C93" s="30" t="str">
        <x:v>[56, 168]</x:v>
      </x:c>
      <x:c r="D93" s="30" t="str">
        <x:v>F8_E8M0</x:v>
      </x:c>
      <x:c r="E93" s="32" t="n">
        <x:v>1</x:v>
      </x:c>
      <x:c r="F93" s="33" t="n">
        <x:v>1</x:v>
      </x:c>
      <x:c r="G93" s="33" t="n">
        <x:v>9408</x:v>
      </x:c>
      <x:c r="H93" s="33" t="str">
        <x:v>Replicated</x:v>
      </x:c>
      <x:c r="I93" s="33" t="n">
        <x:f>1</x:f>
        <x:v>1</x:v>
      </x:c>
      <x:c r="J93" s="34" t="n">
        <x:f>E93*F93*G93/1073741824</x:f>
        <x:v>0.000008761882781982422</x:v>
      </x:c>
      <x:c r="K93" s="34" t="n">
        <x:f>J93/I93</x:f>
        <x:v>0.000008761882781982422</x:v>
      </x:c>
      <x:c r="L93" s="30"/>
      <x:c r="M93" s="30"/>
      <x:c r="N93" s="30"/>
      <x:c r="O93" s="30"/>
      <x:c r="P93" s="30"/>
    </x:row>
    <x:row r="94">
      <x:c r="A94" s="30" t="str">
        <x:v>MTP</x:v>
      </x:c>
      <x:c r="B94" s="30" t="str">
        <x:v>mtp.norm.weight</x:v>
      </x:c>
      <x:c r="C94" s="30" t="str">
        <x:v>[7168]</x:v>
      </x:c>
      <x:c r="D94" s="30" t="str">
        <x:v>BF16</x:v>
      </x:c>
      <x:c r="E94" s="32" t="n">
        <x:v>2</x:v>
      </x:c>
      <x:c r="F94" s="33" t="n">
        <x:v>1</x:v>
      </x:c>
      <x:c r="G94" s="33" t="n">
        <x:v>7168</x:v>
      </x:c>
      <x:c r="H94" s="33" t="str">
        <x:v>Replicated</x:v>
      </x:c>
      <x:c r="I94" s="33" t="n">
        <x:f>1</x:f>
        <x:v>1</x:v>
      </x:c>
      <x:c r="J94" s="34" t="n">
        <x:f>E94*F94*G94/1073741824</x:f>
        <x:v>0.0000133514404296875</x:v>
      </x:c>
      <x:c r="K94" s="34" t="n">
        <x:f>J94/I94</x:f>
        <x:v>0.0000133514404296875</x:v>
      </x:c>
      <x:c r="L94" s="30"/>
      <x:c r="M94" s="30"/>
      <x:c r="N94" s="30"/>
      <x:c r="O94" s="30"/>
      <x:c r="P94" s="30"/>
    </x:row>
    <x:row r="95">
      <x:c r="A95" s="30" t="str">
        <x:v>MTP Markov Head</x:v>
      </x:c>
      <x:c r="B95" s="30" t="str">
        <x:v>mtp.markov_w1.weight</x:v>
      </x:c>
      <x:c r="C95" s="30" t="str">
        <x:v>[129280, 512]</x:v>
      </x:c>
      <x:c r="D95" s="30" t="str">
        <x:v>BF16</x:v>
      </x:c>
      <x:c r="E95" s="32" t="n">
        <x:v>2</x:v>
      </x:c>
      <x:c r="F95" s="33" t="n">
        <x:v>1</x:v>
      </x:c>
      <x:c r="G95" s="33" t="n">
        <x:v>66191360</x:v>
      </x:c>
      <x:c r="H95" s="33" t="str">
        <x:v>Embedding TP</x:v>
      </x:c>
      <x:c r="I95" s="33" t="n">
        <x:f>IF('Decode'!$P$21&gt;0,'Decode'!$P$21,'Decode'!$P$12)</x:f>
        <x:v>8</x:v>
      </x:c>
      <x:c r="J95" s="34" t="n">
        <x:f>E95*F95*G95/1073741824</x:f>
        <x:v>0.123291015625</x:v>
      </x:c>
      <x:c r="K95" s="34" t="n">
        <x:f>J95/I95</x:f>
        <x:v>0.015411376953125</x:v>
      </x:c>
      <x:c r="L95" s="30"/>
      <x:c r="M95" s="30"/>
      <x:c r="N95" s="30"/>
      <x:c r="O95" s="30"/>
      <x:c r="P95" s="30"/>
    </x:row>
    <x:row r="96">
      <x:c r="A96" s="30" t="str">
        <x:v>MTP Markov Head</x:v>
      </x:c>
      <x:c r="B96" s="30" t="str">
        <x:v>mtp.markov_w2.weight</x:v>
      </x:c>
      <x:c r="C96" s="30" t="str">
        <x:v>[129280, 512]</x:v>
      </x:c>
      <x:c r="D96" s="30" t="str">
        <x:v>BF16</x:v>
      </x:c>
      <x:c r="E96" s="32" t="n">
        <x:v>2</x:v>
      </x:c>
      <x:c r="F96" s="33" t="n">
        <x:v>1</x:v>
      </x:c>
      <x:c r="G96" s="33" t="n">
        <x:v>66191360</x:v>
      </x:c>
      <x:c r="H96" s="33" t="str">
        <x:v>LM Head TP</x:v>
      </x:c>
      <x:c r="I96" s="33" t="n">
        <x:f>IF('Decode'!$P$20&gt;0,'Decode'!$P$20,'Decode'!$P$12)</x:f>
        <x:v>8</x:v>
      </x:c>
      <x:c r="J96" s="34" t="n">
        <x:f>E96*F96*G96/1073741824</x:f>
        <x:v>0.123291015625</x:v>
      </x:c>
      <x:c r="K96" s="34" t="n">
        <x:f>J96/I96</x:f>
        <x:v>0.015411376953125</x:v>
      </x:c>
      <x:c r="L96" s="30"/>
      <x:c r="M96" s="30"/>
      <x:c r="N96" s="30"/>
      <x:c r="O96" s="30"/>
      <x:c r="P96" s="30"/>
    </x:row>
    <x:row r="97">
      <x:c r="A97" s="30" t="str">
        <x:v>MTP Confidence Head</x:v>
      </x:c>
      <x:c r="B97" s="30" t="str">
        <x:v>mtp.confidence_head.proj.weight</x:v>
      </x:c>
      <x:c r="C97" s="30" t="str">
        <x:v>[1, 7680]</x:v>
      </x:c>
      <x:c r="D97" s="30" t="str">
        <x:v>BF16</x:v>
      </x:c>
      <x:c r="E97" s="32" t="n">
        <x:v>2</x:v>
      </x:c>
      <x:c r="F97" s="33" t="n">
        <x:v>1</x:v>
      </x:c>
      <x:c r="G97" s="33" t="n">
        <x:v>7680</x:v>
      </x:c>
      <x:c r="H97" s="33" t="str">
        <x:v>Replicated</x:v>
      </x:c>
      <x:c r="I97" s="33" t="n">
        <x:f>1</x:f>
        <x:v>1</x:v>
      </x:c>
      <x:c r="J97" s="34" t="n">
        <x:f>E97*F97*G97/1073741824</x:f>
        <x:v>0.00001430511474609375</x:v>
      </x:c>
      <x:c r="K97" s="34" t="n">
        <x:f>J97/I97</x:f>
        <x:v>0.00001430511474609375</x:v>
      </x:c>
      <x:c r="L97" s="30"/>
      <x:c r="M97" s="30"/>
      <x:c r="N97" s="30"/>
      <x:c r="O97" s="30"/>
      <x:c r="P97" s="30"/>
    </x:row>
    <x:row r="98">
      <x:c r="A98" s="30" t="str">
        <x:v>MTP HC Head</x:v>
      </x:c>
      <x:c r="B98" s="30" t="str">
        <x:v>mtp.hc_head_fn</x:v>
      </x:c>
      <x:c r="C98" s="30" t="str">
        <x:v>[4, 28672]</x:v>
      </x:c>
      <x:c r="D98" s="30" t="str">
        <x:v>F32</x:v>
      </x:c>
      <x:c r="E98" s="32" t="n">
        <x:v>4</x:v>
      </x:c>
      <x:c r="F98" s="33" t="n">
        <x:v>1</x:v>
      </x:c>
      <x:c r="G98" s="33" t="n">
        <x:v>114688</x:v>
      </x:c>
      <x:c r="H98" s="33" t="str">
        <x:v>Replicated</x:v>
      </x:c>
      <x:c r="I98" s="33" t="n">
        <x:f>1</x:f>
        <x:v>1</x:v>
      </x:c>
      <x:c r="J98" s="34" t="n">
        <x:f>E98*F98*G98/1073741824</x:f>
        <x:v>0.00042724609375</x:v>
      </x:c>
      <x:c r="K98" s="34" t="n">
        <x:f>J98/I98</x:f>
        <x:v>0.00042724609375</x:v>
      </x:c>
      <x:c r="L98" s="30"/>
      <x:c r="M98" s="30"/>
      <x:c r="N98" s="30"/>
      <x:c r="O98" s="30"/>
      <x:c r="P98" s="30"/>
    </x:row>
    <x:row r="99">
      <x:c r="A99" s="30" t="str">
        <x:v>MTP HC Head</x:v>
      </x:c>
      <x:c r="B99" s="30" t="str">
        <x:v>mtp.hc_head_base</x:v>
      </x:c>
      <x:c r="C99" s="30" t="str">
        <x:v>[4]</x:v>
      </x:c>
      <x:c r="D99" s="30" t="str">
        <x:v>F32</x:v>
      </x:c>
      <x:c r="E99" s="32" t="n">
        <x:v>4</x:v>
      </x:c>
      <x:c r="F99" s="33" t="n">
        <x:v>1</x:v>
      </x:c>
      <x:c r="G99" s="33" t="n">
        <x:v>4</x:v>
      </x:c>
      <x:c r="H99" s="33" t="str">
        <x:v>Replicated</x:v>
      </x:c>
      <x:c r="I99" s="33" t="n">
        <x:f>1</x:f>
        <x:v>1</x:v>
      </x:c>
      <x:c r="J99" s="34" t="n">
        <x:f>E99*F99*G99/1073741824</x:f>
        <x:v>1.4901161193847656e-8</x:v>
      </x:c>
      <x:c r="K99" s="34" t="n">
        <x:f>J99/I99</x:f>
        <x:v>1.4901161193847656e-8</x:v>
      </x:c>
      <x:c r="L99" s="30"/>
      <x:c r="M99" s="30"/>
      <x:c r="N99" s="30"/>
      <x:c r="O99" s="30"/>
      <x:c r="P99" s="30"/>
    </x:row>
    <x:row r="100">
      <x:c r="A100" s="30" t="str">
        <x:v>MTP HC Head</x:v>
      </x:c>
      <x:c r="B100" s="30" t="str">
        <x:v>mtp.hc_head_scale</x:v>
      </x:c>
      <x:c r="C100" s="30" t="str">
        <x:v>[1]</x:v>
      </x:c>
      <x:c r="D100" s="30" t="str">
        <x:v>F32</x:v>
      </x:c>
      <x:c r="E100" s="32" t="n">
        <x:v>4</x:v>
      </x:c>
      <x:c r="F100" s="33" t="n">
        <x:v>1</x:v>
      </x:c>
      <x:c r="G100" s="33" t="n">
        <x:v>1</x:v>
      </x:c>
      <x:c r="H100" s="33" t="str">
        <x:v>Replicated</x:v>
      </x:c>
      <x:c r="I100" s="33" t="n">
        <x:f>1</x:f>
        <x:v>1</x:v>
      </x:c>
      <x:c r="J100" s="34" t="n">
        <x:f>E100*F100*G100/1073741824</x:f>
        <x:v>3.725290298461914e-9</x:v>
      </x:c>
      <x:c r="K100" s="34" t="n">
        <x:f>J100/I100</x:f>
        <x:v>3.725290298461914e-9</x:v>
      </x:c>
      <x:c r="L100" s="30"/>
      <x:c r="M100" s="30"/>
      <x:c r="N100" s="30"/>
      <x:c r="O100" s="30"/>
      <x:c r="P100" s="30"/>
    </x:row>
    <x:row r="101">
      <x:c r="A101" s="30" t="str">
        <x:v>HC Head</x:v>
      </x:c>
      <x:c r="B101" s="30" t="str">
        <x:v>hc_head_fn</x:v>
      </x:c>
      <x:c r="C101" s="30" t="str">
        <x:v>[4, 28672]</x:v>
      </x:c>
      <x:c r="D101" s="30" t="str">
        <x:v>F32</x:v>
      </x:c>
      <x:c r="E101" s="32" t="n">
        <x:v>4</x:v>
      </x:c>
      <x:c r="F101" s="33" t="n">
        <x:v>1</x:v>
      </x:c>
      <x:c r="G101" s="33" t="n">
        <x:v>114688</x:v>
      </x:c>
      <x:c r="H101" s="33" t="str">
        <x:v>Replicated</x:v>
      </x:c>
      <x:c r="I101" s="33" t="n">
        <x:f>1</x:f>
        <x:v>1</x:v>
      </x:c>
      <x:c r="J101" s="34" t="n">
        <x:f>E101*F101*G101/1073741824</x:f>
        <x:v>0.00042724609375</x:v>
      </x:c>
      <x:c r="K101" s="34" t="n">
        <x:f>J101/I101</x:f>
        <x:v>0.00042724609375</x:v>
      </x:c>
      <x:c r="L101" s="30"/>
      <x:c r="M101" s="30"/>
      <x:c r="N101" s="30"/>
      <x:c r="O101" s="30"/>
      <x:c r="P101" s="30"/>
    </x:row>
    <x:row r="102">
      <x:c r="A102" s="30" t="str">
        <x:v>HC Head</x:v>
      </x:c>
      <x:c r="B102" s="30" t="str">
        <x:v>hc_head_base</x:v>
      </x:c>
      <x:c r="C102" s="30" t="str">
        <x:v>[4]</x:v>
      </x:c>
      <x:c r="D102" s="30" t="str">
        <x:v>F32</x:v>
      </x:c>
      <x:c r="E102" s="32" t="n">
        <x:v>4</x:v>
      </x:c>
      <x:c r="F102" s="33" t="n">
        <x:v>1</x:v>
      </x:c>
      <x:c r="G102" s="33" t="n">
        <x:v>4</x:v>
      </x:c>
      <x:c r="H102" s="33" t="str">
        <x:v>Replicated</x:v>
      </x:c>
      <x:c r="I102" s="33" t="n">
        <x:f>1</x:f>
        <x:v>1</x:v>
      </x:c>
      <x:c r="J102" s="34" t="n">
        <x:f>E102*F102*G102/1073741824</x:f>
        <x:v>1.4901161193847656e-8</x:v>
      </x:c>
      <x:c r="K102" s="34" t="n">
        <x:f>J102/I102</x:f>
        <x:v>1.4901161193847656e-8</x:v>
      </x:c>
      <x:c r="L102" s="30"/>
      <x:c r="M102" s="30"/>
      <x:c r="N102" s="30"/>
      <x:c r="O102" s="30"/>
      <x:c r="P102" s="30"/>
    </x:row>
    <x:row r="103">
      <x:c r="A103" s="30" t="str">
        <x:v>HC Head</x:v>
      </x:c>
      <x:c r="B103" s="30" t="str">
        <x:v>hc_head_scale</x:v>
      </x:c>
      <x:c r="C103" s="30" t="str">
        <x:v>[1]</x:v>
      </x:c>
      <x:c r="D103" s="30" t="str">
        <x:v>F32</x:v>
      </x:c>
      <x:c r="E103" s="32" t="n">
        <x:v>4</x:v>
      </x:c>
      <x:c r="F103" s="33" t="n">
        <x:v>1</x:v>
      </x:c>
      <x:c r="G103" s="33" t="n">
        <x:v>1</x:v>
      </x:c>
      <x:c r="H103" s="33" t="str">
        <x:v>Replicated</x:v>
      </x:c>
      <x:c r="I103" s="33" t="n">
        <x:f>1</x:f>
        <x:v>1</x:v>
      </x:c>
      <x:c r="J103" s="34" t="n">
        <x:f>E103*F103*G103/1073741824</x:f>
        <x:v>3.725290298461914e-9</x:v>
      </x:c>
      <x:c r="K103" s="34" t="n">
        <x:f>J103/I103</x:f>
        <x:v>3.725290298461914e-9</x:v>
      </x:c>
      <x:c r="L103" s="30"/>
      <x:c r="M103" s="30"/>
      <x:c r="N103" s="30"/>
      <x:c r="O103" s="30"/>
      <x:c r="P103" s="30"/>
    </x:row>
    <x:row r="104">
      <x:c r="A104" s="40" t="str">
        <x:v>合计</x:v>
      </x:c>
      <x:c r="B104" s="40"/>
      <x:c r="C104" s="40"/>
      <x:c r="D104" s="40"/>
      <x:c r="E104" s="40"/>
      <x:c r="F104" s="40"/>
      <x:c r="G104" s="40"/>
      <x:c r="H104" s="40"/>
      <x:c r="I104" s="40"/>
      <x:c r="J104" s="41" t="n">
        <x:f>SUM(J2:J103)</x:f>
        <x:v>831.4173490777612</x:v>
      </x:c>
      <x:c r="K104" s="41" t="n">
        <x:f>SUM(K2:K103)</x:f>
        <x:v>112.26609966903925</x:v>
      </x:c>
      <x:c r="L104" s="30"/>
      <x:c r="M104" s="30"/>
      <x:c r="N104" s="30"/>
      <x:c r="O104" s="30"/>
      <x:c r="P104" s="30"/>
    </x:row>
    <x:row r="105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</x:row>
    <x:row r="106" ht="30" customHeight="1">
      <x:c r="A106" s="18" t="str">
        <x:v>并行策略</x:v>
      </x:c>
      <x:c r="B106" s="18" t="str">
        <x:v>模块</x:v>
      </x:c>
      <x:c r="C106" s="18" t="str">
        <x:v>通信位置</x:v>
      </x:c>
      <x:c r="D106" s="18" t="str">
        <x:v>Collective</x:v>
      </x:c>
      <x:c r="E106" s="18" t="str">
        <x:v>本 Rank 输入元素/次</x:v>
      </x:c>
      <x:c r="F106" s="18" t="str">
        <x:v>字节/元素</x:v>
      </x:c>
      <x:c r="G106" s="18" t="str">
        <x:v>通信组大小</x:v>
      </x:c>
      <x:c r="H106" s="18" t="str">
        <x:v>次数/Step</x:v>
      </x:c>
      <x:c r="I106" s="18" t="str">
        <x:v>有效负载 MiB/次</x:v>
      </x:c>
      <x:c r="J106" s="18" t="str">
        <x:v>单 Rank 发送 MiB/次</x:v>
      </x:c>
      <x:c r="K106" s="18" t="str">
        <x:v>单 Rank 发送 MiB/Step</x:v>
      </x:c>
      <x:c r="L106" s="18" t="str">
        <x:v>通信组发送 MiB/Step</x:v>
      </x:c>
      <x:c r="M106" s="30"/>
      <x:c r="N106" s="30"/>
      <x:c r="O106" s="30"/>
      <x:c r="P106" s="30"/>
    </x:row>
    <x:row r="107">
      <x:c r="A107" s="30" t="str">
        <x:v>Embedding TP</x:v>
      </x:c>
      <x:c r="B107" s="30" t="str">
        <x:v>Embedding</x:v>
      </x:c>
      <x:c r="C107" s="30" t="str">
        <x:v>标准 TP 输出</x:v>
      </x:c>
      <x:c r="D107" s="30" t="str">
        <x:v>Ring AllReduce</x:v>
      </x:c>
      <x:c r="E107" s="33" t="n">
        <x:f>'Decode'!$P$7*7168</x:f>
        <x:v>7340032</x:v>
      </x:c>
      <x:c r="F107" s="33" t="n">
        <x:f>'Decode'!$P$28</x:f>
        <x:v>2</x:v>
      </x:c>
      <x:c r="G107" s="33" t="n">
        <x:f>IF('Decode'!$P$21&gt;0,'Decode'!$P$21,'Decode'!$P$12)</x:f>
        <x:v>8</x:v>
      </x:c>
      <x:c r="H107" s="33" t="n">
        <x:f>IF(AND(IF('Decode'!$P$21&gt;0,'Decode'!$P$21,'Decode'!$P$12)&gt;1,'Decode'!$P$24=0),1,0)</x:f>
        <x:v>1</x:v>
      </x:c>
      <x:c r="I107" s="34" t="n">
        <x:f>E107*F107/1048576</x:f>
        <x:v>14</x:v>
      </x:c>
      <x:c r="J107" s="34" t="n">
        <x:f>I107*(IF(G107&gt;1,2*(G107-1)/G107,0))</x:f>
        <x:v>24.5</x:v>
      </x:c>
      <x:c r="K107" s="34" t="n">
        <x:f>J107*H107</x:f>
        <x:v>24.5</x:v>
      </x:c>
      <x:c r="L107" s="34" t="n">
        <x:f>K107*G107</x:f>
        <x:v>196</x:v>
      </x:c>
      <x:c r="M107" s="30"/>
      <x:c r="N107" s="30"/>
      <x:c r="O107" s="30"/>
      <x:c r="P107" s="30"/>
    </x:row>
    <x:row r="108">
      <x:c r="A108" s="30" t="str">
        <x:v>Embedding TP</x:v>
      </x:c>
      <x:c r="B108" s="30" t="str">
        <x:v>Embedding</x:v>
      </x:c>
      <x:c r="C108" s="30" t="str">
        <x:v>Fine TP Token ID</x:v>
      </x:c>
      <x:c r="D108" s="30" t="str">
        <x:v>Ring AllGather</x:v>
      </x:c>
      <x:c r="E108" s="33" t="n">
        <x:f>'Decode'!$P$7</x:f>
        <x:v>1024</x:v>
      </x:c>
      <x:c r="F108" s="33" t="n">
        <x:f>'Decode'!$P$30</x:f>
        <x:v>8</x:v>
      </x:c>
      <x:c r="G108" s="33" t="n">
        <x:f>IF('Decode'!$P$21&gt;0,'Decode'!$P$21,'Decode'!$P$12)</x:f>
        <x:v>8</x:v>
      </x:c>
      <x:c r="H108" s="33" t="n">
        <x:f>IF(AND(IF('Decode'!$P$21&gt;0,'Decode'!$P$21,'Decode'!$P$12)&gt;1,'Decode'!$P$24&lt;&gt;0),1,0)</x:f>
        <x:v>0</x:v>
      </x:c>
      <x:c r="I108" s="34" t="n">
        <x:f>E108*F108/1048576</x:f>
        <x:v>0.0078125</x:v>
      </x:c>
      <x:c r="J108" s="34" t="n">
        <x:f>I108*(IF(G108&gt;1,G108-1,0))</x:f>
        <x:v>0.0546875</x:v>
      </x:c>
      <x:c r="K108" s="34" t="n">
        <x:f>J108*H108</x:f>
        <x:v>0</x:v>
      </x:c>
      <x:c r="L108" s="34" t="n">
        <x:f>K108*G108</x:f>
        <x:v>0</x:v>
      </x:c>
      <x:c r="M108" s="30"/>
      <x:c r="N108" s="30"/>
      <x:c r="O108" s="30"/>
      <x:c r="P108" s="30"/>
    </x:row>
    <x:row r="109">
      <x:c r="A109" s="30" t="str">
        <x:v>Embedding TP</x:v>
      </x:c>
      <x:c r="B109" s="30" t="str">
        <x:v>Embedding</x:v>
      </x:c>
      <x:c r="C109" s="30" t="str">
        <x:v>Fine TP Hidden</x:v>
      </x:c>
      <x:c r="D109" s="30" t="str">
        <x:v>Ring ReduceScatter</x:v>
      </x:c>
      <x:c r="E109" s="33" t="n">
        <x:f>'Decode'!$P$7*IF('Decode'!$P$21&gt;0,'Decode'!$P$21,'Decode'!$P$12)*7168</x:f>
        <x:v>58720256</x:v>
      </x:c>
      <x:c r="F109" s="33" t="n">
        <x:f>'Decode'!$P$28</x:f>
        <x:v>2</x:v>
      </x:c>
      <x:c r="G109" s="33" t="n">
        <x:f>IF('Decode'!$P$21&gt;0,'Decode'!$P$21,'Decode'!$P$12)</x:f>
        <x:v>8</x:v>
      </x:c>
      <x:c r="H109" s="33" t="n">
        <x:f>IF(AND(IF('Decode'!$P$21&gt;0,'Decode'!$P$21,'Decode'!$P$12)&gt;1,'Decode'!$P$24&lt;&gt;0),1,0)</x:f>
        <x:v>0</x:v>
      </x:c>
      <x:c r="I109" s="34" t="n">
        <x:f>E109*F109/1048576</x:f>
        <x:v>112</x:v>
      </x:c>
      <x:c r="J109" s="34" t="n">
        <x:f>I109*(IF(G109&gt;1,(G109-1)/G109,0))</x:f>
        <x:v>98</x:v>
      </x:c>
      <x:c r="K109" s="34" t="n">
        <x:f>J109*H109</x:f>
        <x:v>0</x:v>
      </x:c>
      <x:c r="L109" s="34" t="n">
        <x:f>K109*G109</x:f>
        <x:v>0</x:v>
      </x:c>
      <x:c r="M109" s="30"/>
      <x:c r="N109" s="30"/>
      <x:c r="O109" s="30"/>
      <x:c r="P109" s="30"/>
    </x:row>
    <x:row r="110">
      <x:c r="A110" s="30" t="str">
        <x:v>DSA CP</x:v>
      </x:c>
      <x:c r="B110" s="30" t="str">
        <x:v>Sparse Attention</x:v>
      </x:c>
      <x:c r="C110" s="30" t="str">
        <x:v>Q/KV 投影输入</x:v>
      </x:c>
      <x:c r="D110" s="30" t="str">
        <x:v>Ring AllGather</x:v>
      </x:c>
      <x:c r="E110" s="33" t="n">
        <x:f>((ROUNDUP('Decode'!$P$7/'Decode'!$P$12,0)*'Decode'!$P$12)/'Decode'!$P$12)*7168</x:f>
        <x:v>917504</x:v>
      </x:c>
      <x:c r="F110" s="33" t="n">
        <x:f>'Decode'!$P$28</x:f>
        <x:v>2</x:v>
      </x:c>
      <x:c r="G110" s="33" t="n">
        <x:f>'Decode'!$P$12</x:f>
        <x:v>8</x:v>
      </x:c>
      <x:c r="H110" s="33" t="n">
        <x:f>61*IF(AND('Decode'!$P$25&lt;&gt;0,'Decode'!$P$12&gt;1),1,0)</x:f>
        <x:v>61</x:v>
      </x:c>
      <x:c r="I110" s="34" t="n">
        <x:f>E110*F110/1048576</x:f>
        <x:v>1.75</x:v>
      </x:c>
      <x:c r="J110" s="34" t="n">
        <x:f>I110*(IF(G110&gt;1,G110-1,0))</x:f>
        <x:v>12.25</x:v>
      </x:c>
      <x:c r="K110" s="34" t="n">
        <x:f>J110*H110</x:f>
        <x:v>747.25</x:v>
      </x:c>
      <x:c r="L110" s="34" t="n">
        <x:f>K110*G110</x:f>
        <x:v>5978</x:v>
      </x:c>
      <x:c r="M110" s="30"/>
      <x:c r="N110" s="30"/>
      <x:c r="O110" s="30"/>
      <x:c r="P110" s="30"/>
    </x:row>
    <x:row r="111">
      <x:c r="A111" s="30" t="str">
        <x:v>DSA CP</x:v>
      </x:c>
      <x:c r="B111" s="30" t="str">
        <x:v>Sparse Attention</x:v>
      </x:c>
      <x:c r="C111" s="30" t="str">
        <x:v>恢复 TP Head Layout</x:v>
      </x:c>
      <x:c r="D111" s="30" t="str">
        <x:v>Equal-split AllToAll</x:v>
      </x:c>
      <x:c r="E111" s="33" t="n">
        <x:f>((ROUNDUP('Decode'!$P$7/'Decode'!$P$12,0)*'Decode'!$P$12)/'Decode'!$P$12)*128*512</x:f>
        <x:v>8388608</x:v>
      </x:c>
      <x:c r="F111" s="33" t="n">
        <x:f>'Decode'!$P$28</x:f>
        <x:v>2</x:v>
      </x:c>
      <x:c r="G111" s="33" t="n">
        <x:f>'Decode'!$P$12</x:f>
        <x:v>8</x:v>
      </x:c>
      <x:c r="H111" s="33" t="n">
        <x:f>61*IF(AND('Decode'!$P$25&lt;&gt;0,'Decode'!$P$12&gt;1),1,0)</x:f>
        <x:v>61</x:v>
      </x:c>
      <x:c r="I111" s="34" t="n">
        <x:f>E111*F111/1048576</x:f>
        <x:v>16</x:v>
      </x:c>
      <x:c r="J111" s="34" t="n">
        <x:f>I111*(IF(G111&gt;1,(G111-1)/G111,0))</x:f>
        <x:v>14</x:v>
      </x:c>
      <x:c r="K111" s="34" t="n">
        <x:f>J111*H111</x:f>
        <x:v>854</x:v>
      </x:c>
      <x:c r="L111" s="34" t="n">
        <x:f>K111*G111</x:f>
        <x:v>6832</x:v>
      </x:c>
      <x:c r="M111" s="30"/>
      <x:c r="N111" s="30"/>
      <x:c r="O111" s="30"/>
      <x:c r="P111" s="30"/>
    </x:row>
    <x:row r="112">
      <x:c r="A112" s="30" t="str">
        <x:v>DSA CP</x:v>
      </x:c>
      <x:c r="B112" s="30" t="str">
        <x:v>Indexer</x:v>
      </x:c>
      <x:c r="C112" s="30" t="str">
        <x:v>Top-k Index</x:v>
      </x:c>
      <x:c r="D112" s="30" t="str">
        <x:v>Ring AllGather</x:v>
      </x:c>
      <x:c r="E112" s="33" t="n">
        <x:f>((ROUNDUP('Decode'!$P$7/'Decode'!$P$12,0)*'Decode'!$P$12)/'Decode'!$P$12)*1024</x:f>
        <x:v>131072</x:v>
      </x:c>
      <x:c r="F112" s="33" t="n">
        <x:f>'Decode'!$P$31</x:f>
        <x:v>4</x:v>
      </x:c>
      <x:c r="G112" s="33" t="n">
        <x:f>'Decode'!$P$12</x:f>
        <x:v>8</x:v>
      </x:c>
      <x:c r="H112" s="33" t="n">
        <x:f>30*IF(AND('Decode'!$P$25&lt;&gt;0,'Decode'!$P$12&gt;1),1,0)</x:f>
        <x:v>30</x:v>
      </x:c>
      <x:c r="I112" s="34" t="n">
        <x:f>E112*F112/1048576</x:f>
        <x:v>0.5</x:v>
      </x:c>
      <x:c r="J112" s="34" t="n">
        <x:f>I112*(IF(G112&gt;1,G112-1,0))</x:f>
        <x:v>3.5</x:v>
      </x:c>
      <x:c r="K112" s="34" t="n">
        <x:f>J112*H112</x:f>
        <x:v>105</x:v>
      </x:c>
      <x:c r="L112" s="34" t="n">
        <x:f>K112*G112</x:f>
        <x:v>840</x:v>
      </x:c>
      <x:c r="M112" s="30"/>
      <x:c r="N112" s="30"/>
      <x:c r="O112" s="30"/>
      <x:c r="P112" s="30"/>
    </x:row>
    <x:row r="113">
      <x:c r="A113" s="30" t="str">
        <x:v>O Proj TP</x:v>
      </x:c>
      <x:c r="B113" s="30" t="str">
        <x:v>Sparse Attention</x:v>
      </x:c>
      <x:c r="C113" s="30" t="str">
        <x:v>DSA CP 关闭</x:v>
      </x:c>
      <x:c r="D113" s="30" t="str">
        <x:v>Ring AllReduce</x:v>
      </x:c>
      <x:c r="E113" s="33" t="n">
        <x:f>'Decode'!$P$7*7168</x:f>
        <x:v>7340032</x:v>
      </x:c>
      <x:c r="F113" s="33" t="n">
        <x:f>'Decode'!$P$28</x:f>
        <x:v>2</x:v>
      </x:c>
      <x:c r="G113" s="33" t="n">
        <x:f>IF('Decode'!$P$19&gt;0,'Decode'!$P$19,'Decode'!$P$12)</x:f>
        <x:v>8</x:v>
      </x:c>
      <x:c r="H113" s="33" t="n">
        <x:f>61*IF(AND('Decode'!$P$25=0,IF('Decode'!$P$19&gt;0,'Decode'!$P$19,'Decode'!$P$12)&gt;1),1,0)</x:f>
        <x:v>0</x:v>
      </x:c>
      <x:c r="I113" s="34" t="n">
        <x:f>E113*F113/1048576</x:f>
        <x:v>14</x:v>
      </x:c>
      <x:c r="J113" s="34" t="n">
        <x:f>I113*(IF(G113&gt;1,2*(G113-1)/G113,0))</x:f>
        <x:v>24.5</x:v>
      </x:c>
      <x:c r="K113" s="34" t="n">
        <x:f>J113*H113</x:f>
        <x:v>0</x:v>
      </x:c>
      <x:c r="L113" s="34" t="n">
        <x:f>K113*G113</x:f>
        <x:v>0</x:v>
      </x:c>
      <x:c r="M113" s="30"/>
      <x:c r="N113" s="30"/>
      <x:c r="O113" s="30"/>
      <x:c r="P113" s="30"/>
    </x:row>
    <x:row r="114">
      <x:c r="A114" s="30" t="str">
        <x:v>EP</x:v>
      </x:c>
      <x:c r="B114" s="30" t="str">
        <x:v>Routed Experts</x:v>
      </x:c>
      <x:c r="C114" s="30" t="str">
        <x:v>Dispatch Hidden</x:v>
      </x:c>
      <x:c r="D114" s="30" t="str">
        <x:v>AllToAllV（跨 Rank 发送）</x:v>
      </x:c>
      <x:c r="E114" s="33" t="n">
        <x:f>IF('Decode'!$P$13&lt;&gt;0,((ROUNDUP('Decode'!$P$7/'Decode'!$P$12,0)*'Decode'!$P$12)/'Decode'!$P$12),'Decode'!$P$7)*6*'Decode'!$P$32*7168</x:f>
        <x:v>4816896</x:v>
      </x:c>
      <x:c r="F114" s="33" t="n">
        <x:f>'Decode'!$P$28</x:f>
        <x:v>2</x:v>
      </x:c>
      <x:c r="G114" s="33" t="n">
        <x:f>'Decode'!$P$14</x:f>
        <x:v>8</x:v>
      </x:c>
      <x:c r="H114" s="33" t="n">
        <x:f>61*IF('Decode'!$P$14&gt;1,1,0)</x:f>
        <x:v>61</x:v>
      </x:c>
      <x:c r="I114" s="34" t="n">
        <x:f>E114*F114/1048576</x:f>
        <x:v>9.1875</x:v>
      </x:c>
      <x:c r="J114" s="34" t="n">
        <x:f>I114*(1)</x:f>
        <x:v>9.1875</x:v>
      </x:c>
      <x:c r="K114" s="34" t="n">
        <x:f>J114*H114</x:f>
        <x:v>560.4375</x:v>
      </x:c>
      <x:c r="L114" s="34" t="n">
        <x:f>K114*G114</x:f>
        <x:v>4483.5</x:v>
      </x:c>
      <x:c r="M114" s="30"/>
      <x:c r="N114" s="30"/>
      <x:c r="O114" s="30"/>
      <x:c r="P114" s="30"/>
    </x:row>
    <x:row r="115">
      <x:c r="A115" s="30" t="str">
        <x:v>EP</x:v>
      </x:c>
      <x:c r="B115" s="30" t="str">
        <x:v>Routed Experts</x:v>
      </x:c>
      <x:c r="C115" s="30" t="str">
        <x:v>Combine Hidden</x:v>
      </x:c>
      <x:c r="D115" s="30" t="str">
        <x:v>AllToAllV（跨 Rank 发送）</x:v>
      </x:c>
      <x:c r="E115" s="33" t="n">
        <x:f>IF('Decode'!$P$13&lt;&gt;0,((ROUNDUP('Decode'!$P$7/'Decode'!$P$12,0)*'Decode'!$P$12)/'Decode'!$P$12),'Decode'!$P$7)*6*'Decode'!$P$32*7168</x:f>
        <x:v>4816896</x:v>
      </x:c>
      <x:c r="F115" s="33" t="n">
        <x:f>'Decode'!$P$28</x:f>
        <x:v>2</x:v>
      </x:c>
      <x:c r="G115" s="33" t="n">
        <x:f>'Decode'!$P$14</x:f>
        <x:v>8</x:v>
      </x:c>
      <x:c r="H115" s="33" t="n">
        <x:f>61*IF('Decode'!$P$14&gt;1,1,0)</x:f>
        <x:v>61</x:v>
      </x:c>
      <x:c r="I115" s="34" t="n">
        <x:f>E115*F115/1048576</x:f>
        <x:v>9.1875</x:v>
      </x:c>
      <x:c r="J115" s="34" t="n">
        <x:f>I115*(1)</x:f>
        <x:v>9.1875</x:v>
      </x:c>
      <x:c r="K115" s="34" t="n">
        <x:f>J115*H115</x:f>
        <x:v>560.4375</x:v>
      </x:c>
      <x:c r="L115" s="34" t="n">
        <x:f>K115*G115</x:f>
        <x:v>4483.5</x:v>
      </x:c>
      <x:c r="M115" s="30"/>
      <x:c r="N115" s="30"/>
      <x:c r="O115" s="30"/>
      <x:c r="P115" s="30"/>
    </x:row>
    <x:row r="116">
      <x:c r="A116" s="30" t="str">
        <x:v>DP</x:v>
      </x:c>
      <x:c r="B116" s="30" t="str">
        <x:v>MoE</x:v>
      </x:c>
      <x:c r="C116" s="30" t="str">
        <x:v>Hidden 输入</x:v>
      </x:c>
      <x:c r="D116" s="30" t="str">
        <x:v>Ring AllGather</x:v>
      </x:c>
      <x:c r="E116" s="33" t="n">
        <x:f>'Decode'!$P$7*7168</x:f>
        <x:v>7340032</x:v>
      </x:c>
      <x:c r="F116" s="33" t="n">
        <x:f>'Decode'!$P$28</x:f>
        <x:v>2</x:v>
      </x:c>
      <x:c r="G116" s="33" t="n">
        <x:f>'Decode'!$P$11</x:f>
        <x:v>1</x:v>
      </x:c>
      <x:c r="H116" s="33" t="n">
        <x:f>61*IF(AND('Decode'!$P$11&gt;1,'Decode'!$P$14=1),1,0)</x:f>
        <x:v>0</x:v>
      </x:c>
      <x:c r="I116" s="34" t="n">
        <x:f>E116*F116/1048576</x:f>
        <x:v>14</x:v>
      </x:c>
      <x:c r="J116" s="34" t="n">
        <x:f>I116*(IF(G116&gt;1,G116-1,0))</x:f>
        <x:v>0</x:v>
      </x:c>
      <x:c r="K116" s="34" t="n">
        <x:f>J116*H116</x:f>
        <x:v>0</x:v>
      </x:c>
      <x:c r="L116" s="34" t="n">
        <x:f>K116*G116</x:f>
        <x:v>0</x:v>
      </x:c>
      <x:c r="M116" s="30"/>
      <x:c r="N116" s="30"/>
      <x:c r="O116" s="30"/>
      <x:c r="P116" s="30"/>
    </x:row>
    <x:row r="117">
      <x:c r="A117" s="30" t="str">
        <x:v>DP</x:v>
      </x:c>
      <x:c r="B117" s="30" t="str">
        <x:v>MoE Router</x:v>
      </x:c>
      <x:c r="C117" s="30" t="str">
        <x:v>Router Logits</x:v>
      </x:c>
      <x:c r="D117" s="30" t="str">
        <x:v>Ring AllGather</x:v>
      </x:c>
      <x:c r="E117" s="33" t="n">
        <x:f>'Decode'!$P$7*384</x:f>
        <x:v>393216</x:v>
      </x:c>
      <x:c r="F117" s="33" t="n">
        <x:f>'Decode'!$P$28</x:f>
        <x:v>2</x:v>
      </x:c>
      <x:c r="G117" s="33" t="n">
        <x:f>'Decode'!$P$11</x:f>
        <x:v>1</x:v>
      </x:c>
      <x:c r="H117" s="33" t="n">
        <x:f>61*IF(AND('Decode'!$P$11&gt;1,'Decode'!$P$14=1),1,0)</x:f>
        <x:v>0</x:v>
      </x:c>
      <x:c r="I117" s="34" t="n">
        <x:f>E117*F117/1048576</x:f>
        <x:v>0.75</x:v>
      </x:c>
      <x:c r="J117" s="34" t="n">
        <x:f>I117*(IF(G117&gt;1,G117-1,0))</x:f>
        <x:v>0</x:v>
      </x:c>
      <x:c r="K117" s="34" t="n">
        <x:f>J117*H117</x:f>
        <x:v>0</x:v>
      </x:c>
      <x:c r="L117" s="34" t="n">
        <x:f>K117*G117</x:f>
        <x:v>0</x:v>
      </x:c>
      <x:c r="M117" s="30"/>
      <x:c r="N117" s="30"/>
      <x:c r="O117" s="30"/>
      <x:c r="P117" s="30"/>
    </x:row>
    <x:row r="118">
      <x:c r="A118" s="30" t="str">
        <x:v>DP</x:v>
      </x:c>
      <x:c r="B118" s="30" t="str">
        <x:v>MoE</x:v>
      </x:c>
      <x:c r="C118" s="30" t="str">
        <x:v>Routed Expert 输出</x:v>
      </x:c>
      <x:c r="D118" s="30" t="str">
        <x:v>Ring ReduceScatter</x:v>
      </x:c>
      <x:c r="E118" s="33" t="n">
        <x:f>'Decode'!$P$7*'Decode'!$P$11*7168</x:f>
        <x:v>7340032</x:v>
      </x:c>
      <x:c r="F118" s="33" t="n">
        <x:f>'Decode'!$P$28</x:f>
        <x:v>2</x:v>
      </x:c>
      <x:c r="G118" s="33" t="n">
        <x:f>'Decode'!$P$11</x:f>
        <x:v>1</x:v>
      </x:c>
      <x:c r="H118" s="33" t="n">
        <x:f>61*IF(AND('Decode'!$P$11&gt;1,'Decode'!$P$14=1),1,0)</x:f>
        <x:v>0</x:v>
      </x:c>
      <x:c r="I118" s="34" t="n">
        <x:f>E118*F118/1048576</x:f>
        <x:v>14</x:v>
      </x:c>
      <x:c r="J118" s="34" t="n">
        <x:f>I118*(IF(G118&gt;1,(G118-1)/G118,0))</x:f>
        <x:v>0</x:v>
      </x:c>
      <x:c r="K118" s="34" t="n">
        <x:f>J118*H118</x:f>
        <x:v>0</x:v>
      </x:c>
      <x:c r="L118" s="34" t="n">
        <x:f>K118*G118</x:f>
        <x:v>0</x:v>
      </x:c>
      <x:c r="M118" s="30"/>
      <x:c r="N118" s="30"/>
      <x:c r="O118" s="30"/>
      <x:c r="P118" s="30"/>
    </x:row>
    <x:row r="119">
      <x:c r="A119" s="30" t="str">
        <x:v>共享专家 TP</x:v>
      </x:c>
      <x:c r="B119" s="30" t="str">
        <x:v>Shared Experts</x:v>
      </x:c>
      <x:c r="C119" s="30" t="str">
        <x:v>SP 输入</x:v>
      </x:c>
      <x:c r="D119" s="30" t="str">
        <x:v>Ring AllGather</x:v>
      </x:c>
      <x:c r="E119" s="33" t="n">
        <x:f>((ROUNDUP('Decode'!$P$7/'Decode'!$P$12,0)*'Decode'!$P$12)/'Decode'!$P$12)*7168</x:f>
        <x:v>917504</x:v>
      </x:c>
      <x:c r="F119" s="33" t="n">
        <x:f>'Decode'!$P$28</x:f>
        <x:v>2</x:v>
      </x:c>
      <x:c r="G119" s="33" t="n">
        <x:f>IF('Decode'!$P$17="TP",'Decode'!$P$18,1)</x:f>
        <x:v>8</x:v>
      </x:c>
      <x:c r="H119" s="33" t="n">
        <x:f>61*IF(AND('Decode'!$P$17="TP",IF('Decode'!$P$17="TP",'Decode'!$P$18,1)&gt;1,'Decode'!$P$13&lt;&gt;0),1,0)</x:f>
        <x:v>61</x:v>
      </x:c>
      <x:c r="I119" s="34" t="n">
        <x:f>E119*F119/1048576</x:f>
        <x:v>1.75</x:v>
      </x:c>
      <x:c r="J119" s="34" t="n">
        <x:f>I119*(IF(G119&gt;1,G119-1,0))</x:f>
        <x:v>12.25</x:v>
      </x:c>
      <x:c r="K119" s="34" t="n">
        <x:f>J119*H119</x:f>
        <x:v>747.25</x:v>
      </x:c>
      <x:c r="L119" s="34" t="n">
        <x:f>K119*G119</x:f>
        <x:v>5978</x:v>
      </x:c>
      <x:c r="M119" s="30"/>
      <x:c r="N119" s="30"/>
      <x:c r="O119" s="30"/>
      <x:c r="P119" s="30"/>
    </x:row>
    <x:row r="120">
      <x:c r="A120" s="30" t="str">
        <x:v>共享专家 TP</x:v>
      </x:c>
      <x:c r="B120" s="30" t="str">
        <x:v>Shared Experts</x:v>
      </x:c>
      <x:c r="C120" s="30" t="str">
        <x:v>SP 输出</x:v>
      </x:c>
      <x:c r="D120" s="30" t="str">
        <x:v>Ring ReduceScatter</x:v>
      </x:c>
      <x:c r="E120" s="33" t="n">
        <x:f>(ROUNDUP('Decode'!$P$7/'Decode'!$P$12,0)*'Decode'!$P$12)*7168</x:f>
        <x:v>7340032</x:v>
      </x:c>
      <x:c r="F120" s="33" t="n">
        <x:f>'Decode'!$P$28</x:f>
        <x:v>2</x:v>
      </x:c>
      <x:c r="G120" s="33" t="n">
        <x:f>IF('Decode'!$P$17="TP",'Decode'!$P$18,1)</x:f>
        <x:v>8</x:v>
      </x:c>
      <x:c r="H120" s="33" t="n">
        <x:f>61*IF(AND('Decode'!$P$17="TP",IF('Decode'!$P$17="TP",'Decode'!$P$18,1)&gt;1,'Decode'!$P$13&lt;&gt;0),1,0)</x:f>
        <x:v>61</x:v>
      </x:c>
      <x:c r="I120" s="34" t="n">
        <x:f>E120*F120/1048576</x:f>
        <x:v>14</x:v>
      </x:c>
      <x:c r="J120" s="34" t="n">
        <x:f>I120*(IF(G120&gt;1,(G120-1)/G120,0))</x:f>
        <x:v>12.25</x:v>
      </x:c>
      <x:c r="K120" s="34" t="n">
        <x:f>J120*H120</x:f>
        <x:v>747.25</x:v>
      </x:c>
      <x:c r="L120" s="34" t="n">
        <x:f>K120*G120</x:f>
        <x:v>5978</x:v>
      </x:c>
      <x:c r="M120" s="30"/>
      <x:c r="N120" s="30"/>
      <x:c r="O120" s="30"/>
      <x:c r="P120" s="30"/>
    </x:row>
    <x:row r="121">
      <x:c r="A121" s="30" t="str">
        <x:v>共享专家 TP</x:v>
      </x:c>
      <x:c r="B121" s="30" t="str">
        <x:v>Shared Experts</x:v>
      </x:c>
      <x:c r="C121" s="30" t="str">
        <x:v>非 SP 输出</x:v>
      </x:c>
      <x:c r="D121" s="30" t="str">
        <x:v>Ring AllReduce</x:v>
      </x:c>
      <x:c r="E121" s="33" t="n">
        <x:f>'Decode'!$P$7*7168</x:f>
        <x:v>7340032</x:v>
      </x:c>
      <x:c r="F121" s="33" t="n">
        <x:f>'Decode'!$P$28</x:f>
        <x:v>2</x:v>
      </x:c>
      <x:c r="G121" s="33" t="n">
        <x:f>IF('Decode'!$P$17="TP",'Decode'!$P$18,1)</x:f>
        <x:v>8</x:v>
      </x:c>
      <x:c r="H121" s="33" t="n">
        <x:f>61*IF(AND('Decode'!$P$17="TP",IF('Decode'!$P$17="TP",'Decode'!$P$18,1)&gt;1,'Decode'!$P$13=0),1,0)</x:f>
        <x:v>0</x:v>
      </x:c>
      <x:c r="I121" s="34" t="n">
        <x:f>E121*F121/1048576</x:f>
        <x:v>14</x:v>
      </x:c>
      <x:c r="J121" s="34" t="n">
        <x:f>I121*(IF(G121&gt;1,2*(G121-1)/G121,0))</x:f>
        <x:v>24.5</x:v>
      </x:c>
      <x:c r="K121" s="34" t="n">
        <x:f>J121*H121</x:f>
        <x:v>0</x:v>
      </x:c>
      <x:c r="L121" s="34" t="n">
        <x:f>K121*G121</x:f>
        <x:v>0</x:v>
      </x:c>
      <x:c r="M121" s="30"/>
      <x:c r="N121" s="30"/>
      <x:c r="O121" s="30"/>
      <x:c r="P121" s="30"/>
    </x:row>
    <x:row r="122">
      <x:c r="A122" s="30" t="str">
        <x:v>SP</x:v>
      </x:c>
      <x:c r="B122" s="30" t="str">
        <x:v>Model Output</x:v>
      </x:c>
      <x:c r="C122" s="30" t="str">
        <x:v>Final Norm 后</x:v>
      </x:c>
      <x:c r="D122" s="30" t="str">
        <x:v>Ring AllGather</x:v>
      </x:c>
      <x:c r="E122" s="33" t="n">
        <x:f>((ROUNDUP('Decode'!$P$7/'Decode'!$P$12,0)*'Decode'!$P$12)/'Decode'!$P$12)*7168</x:f>
        <x:v>917504</x:v>
      </x:c>
      <x:c r="F122" s="33" t="n">
        <x:f>'Decode'!$P$28</x:f>
        <x:v>2</x:v>
      </x:c>
      <x:c r="G122" s="33" t="n">
        <x:f>'Decode'!$P$12</x:f>
        <x:v>8</x:v>
      </x:c>
      <x:c r="H122" s="33" t="n">
        <x:f>IF(AND('Decode'!$P$13&lt;&gt;0,'Decode'!$P$12&gt;1),1,0)</x:f>
        <x:v>1</x:v>
      </x:c>
      <x:c r="I122" s="34" t="n">
        <x:f>E122*F122/1048576</x:f>
        <x:v>1.75</x:v>
      </x:c>
      <x:c r="J122" s="34" t="n">
        <x:f>I122*(IF(G122&gt;1,G122-1,0))</x:f>
        <x:v>12.25</x:v>
      </x:c>
      <x:c r="K122" s="34" t="n">
        <x:f>J122*H122</x:f>
        <x:v>12.25</x:v>
      </x:c>
      <x:c r="L122" s="34" t="n">
        <x:f>K122*G122</x:f>
        <x:v>98</x:v>
      </x:c>
      <x:c r="M122" s="30"/>
      <x:c r="N122" s="30"/>
      <x:c r="O122" s="30"/>
      <x:c r="P122" s="30"/>
    </x:row>
    <x:row r="123">
      <x:c r="A123" s="30" t="str">
        <x:v>LM Head TP</x:v>
      </x:c>
      <x:c r="B123" s="30" t="str">
        <x:v>LM Head</x:v>
      </x:c>
      <x:c r="C123" s="30" t="str">
        <x:v>完整 Logits</x:v>
      </x:c>
      <x:c r="D123" s="30" t="str">
        <x:v>Ring AllGather</x:v>
      </x:c>
      <x:c r="E123" s="33" t="n">
        <x:f>'Decode'!$P$8*129280/IF('Decode'!$P$20&gt;0,'Decode'!$P$20,'Decode'!$P$12)</x:f>
        <x:v>16547840</x:v>
      </x:c>
      <x:c r="F123" s="33" t="n">
        <x:f>'Decode'!$P$28</x:f>
        <x:v>2</x:v>
      </x:c>
      <x:c r="G123" s="33" t="n">
        <x:f>IF('Decode'!$P$20&gt;0,'Decode'!$P$20,'Decode'!$P$12)</x:f>
        <x:v>8</x:v>
      </x:c>
      <x:c r="H123" s="33" t="n">
        <x:f>IF(AND(IF('Decode'!$P$20&gt;0,'Decode'!$P$20,'Decode'!$P$12)&gt;1,'Decode'!$P$23=0,'Decode'!$P$33=0),1,0)</x:f>
        <x:v>0</x:v>
      </x:c>
      <x:c r="I123" s="34" t="n">
        <x:f>E123*F123/1048576</x:f>
        <x:v>31.5625</x:v>
      </x:c>
      <x:c r="J123" s="34" t="n">
        <x:f>I123*(IF(G123&gt;1,G123-1,0))</x:f>
        <x:v>220.9375</x:v>
      </x:c>
      <x:c r="K123" s="34" t="n">
        <x:f>J123*H123</x:f>
        <x:v>0</x:v>
      </x:c>
      <x:c r="L123" s="34" t="n">
        <x:f>K123*G123</x:f>
        <x:v>0</x:v>
      </x:c>
      <x:c r="M123" s="30"/>
      <x:c r="N123" s="30"/>
      <x:c r="O123" s="30"/>
      <x:c r="P123" s="30"/>
    </x:row>
    <x:row r="124">
      <x:c r="A124" s="30" t="str">
        <x:v>LM Head TP</x:v>
      </x:c>
      <x:c r="B124" s="30" t="str">
        <x:v>LM Head</x:v>
      </x:c>
      <x:c r="C124" s="30" t="str">
        <x:v>Reduce Sample</x:v>
      </x:c>
      <x:c r="D124" s="30" t="str">
        <x:v>Ring AllGather</x:v>
      </x:c>
      <x:c r="E124" s="33" t="n">
        <x:f>'Decode'!$P$8*'Decode'!$P$34</x:f>
        <x:v>262144</x:v>
      </x:c>
      <x:c r="F124" s="33" t="n">
        <x:f>('Decode'!$P$28+'Decode'!$P$31)</x:f>
        <x:v>6</x:v>
      </x:c>
      <x:c r="G124" s="33" t="n">
        <x:f>IF('Decode'!$P$20&gt;0,'Decode'!$P$20,'Decode'!$P$12)</x:f>
        <x:v>8</x:v>
      </x:c>
      <x:c r="H124" s="33" t="n">
        <x:f>IF(AND(IF('Decode'!$P$20&gt;0,'Decode'!$P$20,'Decode'!$P$12)&gt;1,'Decode'!$P$23=0,'Decode'!$P$33&lt;&gt;0),1,0)</x:f>
        <x:v>1</x:v>
      </x:c>
      <x:c r="I124" s="34" t="n">
        <x:f>E124*F124/1048576</x:f>
        <x:v>1.5</x:v>
      </x:c>
      <x:c r="J124" s="34" t="n">
        <x:f>I124*(IF(G124&gt;1,G124-1,0))</x:f>
        <x:v>10.5</x:v>
      </x:c>
      <x:c r="K124" s="34" t="n">
        <x:f>J124*H124</x:f>
        <x:v>10.5</x:v>
      </x:c>
      <x:c r="L124" s="34" t="n">
        <x:f>K124*G124</x:f>
        <x:v>84</x:v>
      </x:c>
      <x:c r="M124" s="30"/>
      <x:c r="N124" s="30"/>
      <x:c r="O124" s="30"/>
      <x:c r="P124" s="30"/>
    </x:row>
    <x:row r="125">
      <x:c r="A125" s="30" t="str">
        <x:v>Fine LM Head TP</x:v>
      </x:c>
      <x:c r="B125" s="30" t="str">
        <x:v>LM Head</x:v>
      </x:c>
      <x:c r="C125" s="30" t="str">
        <x:v>Hidden 输入</x:v>
      </x:c>
      <x:c r="D125" s="30" t="str">
        <x:v>Ring AllGather</x:v>
      </x:c>
      <x:c r="E125" s="33" t="n">
        <x:f>'Decode'!$P$8*7168</x:f>
        <x:v>7340032</x:v>
      </x:c>
      <x:c r="F125" s="33" t="n">
        <x:f>'Decode'!$P$28</x:f>
        <x:v>2</x:v>
      </x:c>
      <x:c r="G125" s="33" t="n">
        <x:f>IF('Decode'!$P$20&gt;0,'Decode'!$P$20,'Decode'!$P$12)</x:f>
        <x:v>8</x:v>
      </x:c>
      <x:c r="H125" s="33" t="n">
        <x:f>IF(AND(IF('Decode'!$P$20&gt;0,'Decode'!$P$20,'Decode'!$P$12)&gt;1,'Decode'!$P$23&lt;&gt;0),1,0)</x:f>
        <x:v>0</x:v>
      </x:c>
      <x:c r="I125" s="34" t="n">
        <x:f>E125*F125/1048576</x:f>
        <x:v>14</x:v>
      </x:c>
      <x:c r="J125" s="34" t="n">
        <x:f>I125*(IF(G125&gt;1,G125-1,0))</x:f>
        <x:v>98</x:v>
      </x:c>
      <x:c r="K125" s="34" t="n">
        <x:f>J125*H125</x:f>
        <x:v>0</x:v>
      </x:c>
      <x:c r="L125" s="34" t="n">
        <x:f>K125*G125</x:f>
        <x:v>0</x:v>
      </x:c>
      <x:c r="M125" s="30"/>
      <x:c r="N125" s="30"/>
      <x:c r="O125" s="30"/>
      <x:c r="P125" s="30"/>
    </x:row>
    <x:row r="126">
      <x:c r="A126" s="30" t="str">
        <x:v>Fine LM Head TP</x:v>
      </x:c>
      <x:c r="B126" s="30" t="str">
        <x:v>LM Head</x:v>
      </x:c>
      <x:c r="C126" s="30" t="str">
        <x:v>完整 Logits</x:v>
      </x:c>
      <x:c r="D126" s="30" t="str">
        <x:v>Equal-split AllToAll</x:v>
      </x:c>
      <x:c r="E126" s="33" t="n">
        <x:f>'Decode'!$P$8*129280</x:f>
        <x:v>132382720</x:v>
      </x:c>
      <x:c r="F126" s="33" t="n">
        <x:f>'Decode'!$P$28</x:f>
        <x:v>2</x:v>
      </x:c>
      <x:c r="G126" s="33" t="n">
        <x:f>IF('Decode'!$P$20&gt;0,'Decode'!$P$20,'Decode'!$P$12)</x:f>
        <x:v>8</x:v>
      </x:c>
      <x:c r="H126" s="33" t="n">
        <x:f>IF(AND(IF('Decode'!$P$20&gt;0,'Decode'!$P$20,'Decode'!$P$12)&gt;1,'Decode'!$P$23&lt;&gt;0,'Decode'!$P$33=0),1,0)</x:f>
        <x:v>0</x:v>
      </x:c>
      <x:c r="I126" s="34" t="n">
        <x:f>E126*F126/1048576</x:f>
        <x:v>252.5</x:v>
      </x:c>
      <x:c r="J126" s="34" t="n">
        <x:f>I126*(IF(G126&gt;1,(G126-1)/G126,0))</x:f>
        <x:v>220.9375</x:v>
      </x:c>
      <x:c r="K126" s="34" t="n">
        <x:f>J126*H126</x:f>
        <x:v>0</x:v>
      </x:c>
      <x:c r="L126" s="34" t="n">
        <x:f>K126*G126</x:f>
        <x:v>0</x:v>
      </x:c>
      <x:c r="M126" s="30"/>
      <x:c r="N126" s="30"/>
      <x:c r="O126" s="30"/>
      <x:c r="P126" s="30"/>
    </x:row>
    <x:row r="127">
      <x:c r="A127" s="30" t="str">
        <x:v>Fine LM Head TP</x:v>
      </x:c>
      <x:c r="B127" s="30" t="str">
        <x:v>LM Head</x:v>
      </x:c>
      <x:c r="C127" s="30" t="str">
        <x:v>Reduce Sample</x:v>
      </x:c>
      <x:c r="D127" s="30" t="str">
        <x:v>Ring AllGather</x:v>
      </x:c>
      <x:c r="E127" s="33" t="n">
        <x:f>'Decode'!$P$8*'Decode'!$P$34</x:f>
        <x:v>262144</x:v>
      </x:c>
      <x:c r="F127" s="33" t="n">
        <x:f>('Decode'!$P$28+'Decode'!$P$31)</x:f>
        <x:v>6</x:v>
      </x:c>
      <x:c r="G127" s="33" t="n">
        <x:f>IF('Decode'!$P$20&gt;0,'Decode'!$P$20,'Decode'!$P$12)</x:f>
        <x:v>8</x:v>
      </x:c>
      <x:c r="H127" s="33" t="n">
        <x:f>IF(AND(IF('Decode'!$P$20&gt;0,'Decode'!$P$20,'Decode'!$P$12)&gt;1,'Decode'!$P$23&lt;&gt;0,'Decode'!$P$33&lt;&gt;0),1,0)</x:f>
        <x:v>0</x:v>
      </x:c>
      <x:c r="I127" s="34" t="n">
        <x:f>E127*F127/1048576</x:f>
        <x:v>1.5</x:v>
      </x:c>
      <x:c r="J127" s="34" t="n">
        <x:f>I127*(IF(G127&gt;1,G127-1,0))</x:f>
        <x:v>10.5</x:v>
      </x:c>
      <x:c r="K127" s="34" t="n">
        <x:f>J127*H127</x:f>
        <x:v>0</x:v>
      </x:c>
      <x:c r="L127" s="34" t="n">
        <x:f>K127*G127</x:f>
        <x:v>0</x:v>
      </x:c>
      <x:c r="M127" s="30"/>
      <x:c r="N127" s="30"/>
      <x:c r="O127" s="30"/>
      <x:c r="P127" s="30"/>
    </x:row>
    <x:row r="128">
      <x:c r="A128" s="40" t="str">
        <x:v>合计</x:v>
      </x:c>
      <x:c r="B128" s="40"/>
      <x:c r="C128" s="40"/>
      <x:c r="D128" s="40"/>
      <x:c r="E128" s="40"/>
      <x:c r="F128" s="40"/>
      <x:c r="G128" s="40"/>
      <x:c r="H128" s="40"/>
      <x:c r="I128" s="41"/>
      <x:c r="J128" s="41"/>
      <x:c r="K128" s="41" t="n">
        <x:f>SUM(K107:K127)</x:f>
        <x:v>4368.875</x:v>
      </x:c>
      <x:c r="L128" s="41" t="n">
        <x:f>SUM(L107:L127)</x:f>
        <x:v>34951</x:v>
      </x:c>
      <x:c r="M128" s="30"/>
      <x:c r="N128" s="30"/>
      <x:c r="O128" s="30"/>
      <x:c r="P128" s="30"/>
    </x:row>
    <x:row r="131" ht="15" customHeight="1">
      <x:c r="A131" s="40" t="str">
        <x:v>PD 带宽争用耗时评估</x:v>
      </x:c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0"/>
      <x:c r="L131" s="30"/>
    </x:row>
    <x:row r="132" ht="15" customHeight="1">
      <x:c r="A132" s="30" t="str">
        <x:v>Decode 当前表参数；100 GB/s 为归一化示例。所列事件的带宽项，不等于完整 forward 耗时。</x:v>
      </x:c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0"/>
      <x:c r="L132" s="30"/>
    </x:row>
    <x:row r="133" ht="30" customHeight="1">
      <x:c r="A133" s="62" t="str">
        <x:v>带宽降幅</x:v>
      </x:c>
      <x:c r="B133" s="62" t="str">
        <x:v>输入</x:v>
      </x:c>
      <x:c r="C133" s="62" t="str">
        <x:v>争用覆盖率</x:v>
      </x:c>
      <x:c r="D133" s="62" t="str">
        <x:v>输入</x:v>
      </x:c>
      <x:c r="E133" s="62" t="str">
        <x:v>基线 forward ms</x:v>
      </x:c>
      <x:c r="F133" s="62" t="str">
        <x:v>实测输入</x:v>
      </x:c>
      <x:c r="G133" s="62" t="str">
        <x:v>默认带宽 GB/s</x:v>
      </x:c>
      <x:c r="H133" s="62" t="str">
        <x:v>输入</x:v>
      </x:c>
      <x:c r="I133" s="30"/>
      <x:c r="J133" s="30"/>
      <x:c r="K133" s="30"/>
      <x:c r="L133" s="30"/>
    </x:row>
    <x:row r="134" ht="15" customHeight="1">
      <x:c r="A134" s="30"/>
      <x:c r="B134" s="63" t="n">
        <x:v>0.1</x:v>
      </x:c>
      <x:c r="C134" s="30"/>
      <x:c r="D134" s="63" t="n">
        <x:v>1</x:v>
      </x:c>
      <x:c r="E134" s="30"/>
      <x:c r="F134" s="38"/>
      <x:c r="G134" s="30"/>
      <x:c r="H134" s="36" t="n">
        <x:v>100</x:v>
      </x:c>
      <x:c r="I134" s="30"/>
      <x:c r="J134" s="30"/>
      <x:c r="K134" s="30"/>
      <x:c r="L134" s="30"/>
    </x:row>
    <x:row r="135" ht="30" customHeight="1">
      <x:c r="A135" s="62" t="str">
        <x:v>通信基线 ms</x:v>
      </x:c>
      <x:c r="B135" s="62" t="str">
        <x:v>结果</x:v>
      </x:c>
      <x:c r="C135" s="62" t="str">
        <x:v>通信争用后 ms</x:v>
      </x:c>
      <x:c r="D135" s="62" t="str">
        <x:v>结果</x:v>
      </x:c>
      <x:c r="E135" s="62" t="str">
        <x:v>forward 增量 ms</x:v>
      </x:c>
      <x:c r="F135" s="62" t="str">
        <x:v>结果</x:v>
      </x:c>
      <x:c r="G135" s="62" t="str">
        <x:v>forward 新耗时 ms</x:v>
      </x:c>
      <x:c r="H135" s="62" t="str">
        <x:v>结果</x:v>
      </x:c>
      <x:c r="I135" s="62" t="str">
        <x:v>forward 增幅</x:v>
      </x:c>
      <x:c r="J135" s="62" t="str">
        <x:v>结果</x:v>
      </x:c>
      <x:c r="K135" s="62" t="str">
        <x:v>输入状态</x:v>
      </x:c>
      <x:c r="L135" s="62" t="str">
        <x:v>状态</x:v>
      </x:c>
    </x:row>
    <x:row r="136" ht="15" customHeight="1">
      <x:c r="A136" s="49"/>
      <x:c r="B136" s="49" t="n">
        <x:f>SUM(G140:G161)</x:f>
        <x:v>46.250408959999994</x:v>
      </x:c>
      <x:c r="C136" s="49"/>
      <x:c r="D136" s="49" t="n">
        <x:f>SUM(H140:H161)</x:f>
        <x:v>51.38934328888889</x:v>
      </x:c>
      <x:c r="E136" s="49"/>
      <x:c r="F136" s="49" t="n">
        <x:f>SUM(K140:K161)</x:f>
        <x:v>5.1389343288888885</x:v>
      </x:c>
      <x:c r="G136" s="49"/>
      <x:c r="H136" s="49" t="str">
        <x:f>IF(AND(ISNUMBER($F$134),$F$134&gt;0,$F$134&gt;=SUMPRODUCT(G140:G161,J140:J161)),$F$134+F136,"")</x:f>
      </x:c>
      <x:c r="I136" s="49"/>
      <x:c r="J136" s="50" t="str">
        <x:f>IF(AND(ISNUMBER($F$134),$F$134&gt;0,$F$134&gt;=SUMPRODUCT(G140:G161,J140:J161)),F136/$F$134,"")</x:f>
      </x:c>
      <x:c r="K136" s="49"/>
      <x:c r="L136" s="49" t="str">
        <x:f>IF($F$134="","待填基线",IF(AND(ISNUMBER($F$134),$F$134&gt;0,$F$134&gt;=SUMPRODUCT(G140:G161,J140:J161)),"已填基线","基线/暴露不一致"))</x:f>
        <x:v>待填基线</x:v>
      </x:c>
    </x:row>
    <x:row r="137" ht="15" customHeight="1">
      <x:c r="A137" s="30" t="str">
        <x:v>共享比例=0 表示独立链路；暴露系数=0 表示增量完全隐藏。默认均为 1，降幅只作用于带宽项。</x:v>
      </x:c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0"/>
      <x:c r="L137" s="30"/>
    </x:row>
    <x:row r="138" ht="15" customHeight="1">
      <x:c r="A138" s="30" t="str">
        <x:v>P: AllToAllV + 4 B 计数 Ring；D: A3 BF16 MC2 FullMesh。每事件带宽按端点发送量定义。</x:v>
      </x:c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0"/>
      <x:c r="L138" s="30"/>
    </x:row>
    <x:row r="139" ht="30" customHeight="1">
      <x:c r="A139" s="62" t="str">
        <x:v>并行域</x:v>
      </x:c>
      <x:c r="B139" s="62" t="str">
        <x:v>模块</x:v>
      </x:c>
      <x:c r="C139" s="62" t="str">
        <x:v>通信事件</x:v>
      </x:c>
      <x:c r="D139" s="62" t="str">
        <x:v>GB/Rank/Step</x:v>
      </x:c>
      <x:c r="E139" s="62" t="str">
        <x:v>有效带宽 GB/s</x:v>
      </x:c>
      <x:c r="F139" s="62" t="str">
        <x:v>共享比例</x:v>
      </x:c>
      <x:c r="G139" s="62" t="str">
        <x:v>基线带宽项 ms</x:v>
      </x:c>
      <x:c r="H139" s="62" t="str">
        <x:v>争用后带宽项 ms</x:v>
      </x:c>
      <x:c r="I139" s="62" t="str">
        <x:v>通信增量 ms</x:v>
      </x:c>
      <x:c r="J139" s="62" t="str">
        <x:v>暴露系数</x:v>
      </x:c>
      <x:c r="K139" s="62" t="str">
        <x:v>forward 增量 ms</x:v>
      </x:c>
      <x:c r="L139" s="62" t="str">
        <x:v>公式口径</x:v>
      </x:c>
    </x:row>
    <x:row r="140" ht="15" customHeight="1">
      <x:c r="A140" s="30" t="str">
        <x:v>Embedding TP</x:v>
      </x:c>
      <x:c r="B140" s="30" t="str">
        <x:v>Embedding</x:v>
      </x:c>
      <x:c r="C140" s="30" t="str">
        <x:v>标准 TP 输出</x:v>
      </x:c>
      <x:c r="D140" s="34" t="n">
        <x:f>(K107*2^20)/1e9</x:f>
        <x:v>0.025690112</x:v>
      </x:c>
      <x:c r="E140" s="64" t="n">
        <x:f>$H$134</x:f>
        <x:v>100</x:v>
      </x:c>
      <x:c r="F140" s="59" t="n">
        <x:v>1</x:v>
      </x:c>
      <x:c r="G140" s="34" t="n">
        <x:f>IF(AND(ISNUMBER(E140),E140&gt;0,ISNUMBER($B$134),$B$134&gt;=0,$B$134&lt;1,ISNUMBER($D$134),$D$134&gt;=0,$D$134&lt;=1,ISNUMBER(F140),F140&gt;=0,F140&lt;=1,ISNUMBER(J140),J140&gt;=0,J140&lt;=1),D140/E140*1000,NA())</x:f>
        <x:v>0.25690112000000004</x:v>
      </x:c>
      <x:c r="H140" s="34" t="n">
        <x:f>G140+I140</x:f>
        <x:v>0.28544568888888894</x:v>
      </x:c>
      <x:c r="I140" s="34" t="n">
        <x:f>G140*F140*$D$134*$B$134/(1-$B$134)</x:f>
        <x:v>0.028544568888888892</x:v>
      </x:c>
      <x:c r="J140" s="59" t="n">
        <x:v>1</x:v>
      </x:c>
      <x:c r="K140" s="34" t="n">
        <x:f>I140*J140</x:f>
        <x:v>0.028544568888888892</x:v>
      </x:c>
      <x:c r="L140" s="30" t="str">
        <x:v>原通信行 107</x:v>
      </x:c>
    </x:row>
    <x:row r="141" ht="15" customHeight="1">
      <x:c r="A141" s="30" t="str">
        <x:v>Embedding TP</x:v>
      </x:c>
      <x:c r="B141" s="30" t="str">
        <x:v>Embedding</x:v>
      </x:c>
      <x:c r="C141" s="30" t="str">
        <x:v>Fine TP Token ID</x:v>
      </x:c>
      <x:c r="D141" s="34" t="n">
        <x:f>(K108*2^20)/1e9</x:f>
        <x:v>0</x:v>
      </x:c>
      <x:c r="E141" s="64" t="n">
        <x:f>$H$134</x:f>
        <x:v>100</x:v>
      </x:c>
      <x:c r="F141" s="59" t="n">
        <x:v>1</x:v>
      </x:c>
      <x:c r="G141" s="34" t="n">
        <x:f>IF(AND(ISNUMBER(E141),E141&gt;0,ISNUMBER($B$134),$B$134&gt;=0,$B$134&lt;1,ISNUMBER($D$134),$D$134&gt;=0,$D$134&lt;=1,ISNUMBER(F141),F141&gt;=0,F141&lt;=1,ISNUMBER(J141),J141&gt;=0,J141&lt;=1),D141/E141*1000,NA())</x:f>
        <x:v>0</x:v>
      </x:c>
      <x:c r="H141" s="34" t="n">
        <x:f>G141+I141</x:f>
        <x:v>0</x:v>
      </x:c>
      <x:c r="I141" s="34" t="n">
        <x:f>G141*F141*$D$134*$B$134/(1-$B$134)</x:f>
        <x:v>0</x:v>
      </x:c>
      <x:c r="J141" s="59" t="n">
        <x:v>1</x:v>
      </x:c>
      <x:c r="K141" s="34" t="n">
        <x:f>I141*J141</x:f>
        <x:v>0</x:v>
      </x:c>
      <x:c r="L141" s="30" t="str">
        <x:v>原通信行 108</x:v>
      </x:c>
    </x:row>
    <x:row r="142" ht="15" customHeight="1">
      <x:c r="A142" s="30" t="str">
        <x:v>Embedding TP</x:v>
      </x:c>
      <x:c r="B142" s="30" t="str">
        <x:v>Embedding</x:v>
      </x:c>
      <x:c r="C142" s="30" t="str">
        <x:v>Fine TP Hidden</x:v>
      </x:c>
      <x:c r="D142" s="34" t="n">
        <x:f>(K109*2^20)/1e9</x:f>
        <x:v>0</x:v>
      </x:c>
      <x:c r="E142" s="64" t="n">
        <x:f>$H$134</x:f>
        <x:v>100</x:v>
      </x:c>
      <x:c r="F142" s="59" t="n">
        <x:v>1</x:v>
      </x:c>
      <x:c r="G142" s="34" t="n">
        <x:f>IF(AND(ISNUMBER(E142),E142&gt;0,ISNUMBER($B$134),$B$134&gt;=0,$B$134&lt;1,ISNUMBER($D$134),$D$134&gt;=0,$D$134&lt;=1,ISNUMBER(F142),F142&gt;=0,F142&lt;=1,ISNUMBER(J142),J142&gt;=0,J142&lt;=1),D142/E142*1000,NA())</x:f>
        <x:v>0</x:v>
      </x:c>
      <x:c r="H142" s="34" t="n">
        <x:f>G142+I142</x:f>
        <x:v>0</x:v>
      </x:c>
      <x:c r="I142" s="34" t="n">
        <x:f>G142*F142*$D$134*$B$134/(1-$B$134)</x:f>
        <x:v>0</x:v>
      </x:c>
      <x:c r="J142" s="59" t="n">
        <x:v>1</x:v>
      </x:c>
      <x:c r="K142" s="34" t="n">
        <x:f>I142*J142</x:f>
        <x:v>0</x:v>
      </x:c>
      <x:c r="L142" s="30" t="str">
        <x:v>原通信行 109</x:v>
      </x:c>
    </x:row>
    <x:row r="143" ht="15" customHeight="1">
      <x:c r="A143" s="30" t="str">
        <x:v>DSA CP</x:v>
      </x:c>
      <x:c r="B143" s="30" t="str">
        <x:v>Sparse Attention</x:v>
      </x:c>
      <x:c r="C143" s="30" t="str">
        <x:v>Q/KV 投影输入</x:v>
      </x:c>
      <x:c r="D143" s="34" t="n">
        <x:f>(K110*2^20)/1e9</x:f>
        <x:v>0.783548416</x:v>
      </x:c>
      <x:c r="E143" s="64" t="n">
        <x:f>$H$134</x:f>
        <x:v>100</x:v>
      </x:c>
      <x:c r="F143" s="59" t="n">
        <x:v>1</x:v>
      </x:c>
      <x:c r="G143" s="34" t="n">
        <x:f>IF(AND(ISNUMBER(E143),E143&gt;0,ISNUMBER($B$134),$B$134&gt;=0,$B$134&lt;1,ISNUMBER($D$134),$D$134&gt;=0,$D$134&lt;=1,ISNUMBER(F143),F143&gt;=0,F143&lt;=1,ISNUMBER(J143),J143&gt;=0,J143&lt;=1),D143/E143*1000,NA())</x:f>
        <x:v>7.835484159999999</x:v>
      </x:c>
      <x:c r="H143" s="34" t="n">
        <x:f>G143+I143</x:f>
        <x:v>8.70609351111111</x:v>
      </x:c>
      <x:c r="I143" s="34" t="n">
        <x:f>G143*F143*$D$134*$B$134/(1-$B$134)</x:f>
        <x:v>0.870609351111111</x:v>
      </x:c>
      <x:c r="J143" s="59" t="n">
        <x:v>1</x:v>
      </x:c>
      <x:c r="K143" s="34" t="n">
        <x:f>I143*J143</x:f>
        <x:v>0.870609351111111</x:v>
      </x:c>
      <x:c r="L143" s="30" t="str">
        <x:v>原通信行 110</x:v>
      </x:c>
    </x:row>
    <x:row r="144" ht="15" customHeight="1">
      <x:c r="A144" s="30" t="str">
        <x:v>DSA CP</x:v>
      </x:c>
      <x:c r="B144" s="30" t="str">
        <x:v>Sparse Attention</x:v>
      </x:c>
      <x:c r="C144" s="30" t="str">
        <x:v>恢复 TP Head Layout</x:v>
      </x:c>
      <x:c r="D144" s="34" t="n">
        <x:f>(K111*2^20)/1e9</x:f>
        <x:v>0.895483904</x:v>
      </x:c>
      <x:c r="E144" s="64" t="n">
        <x:f>$H$134</x:f>
        <x:v>100</x:v>
      </x:c>
      <x:c r="F144" s="59" t="n">
        <x:v>1</x:v>
      </x:c>
      <x:c r="G144" s="34" t="n">
        <x:f>IF(AND(ISNUMBER(E144),E144&gt;0,ISNUMBER($B$134),$B$134&gt;=0,$B$134&lt;1,ISNUMBER($D$134),$D$134&gt;=0,$D$134&lt;=1,ISNUMBER(F144),F144&gt;=0,F144&lt;=1,ISNUMBER(J144),J144&gt;=0,J144&lt;=1),D144/E144*1000,NA())</x:f>
        <x:v>8.954839040000001</x:v>
      </x:c>
      <x:c r="H144" s="34" t="n">
        <x:f>G144+I144</x:f>
        <x:v>9.949821155555558</x:v>
      </x:c>
      <x:c r="I144" s="34" t="n">
        <x:f>G144*F144*$D$134*$B$134/(1-$B$134)</x:f>
        <x:v>0.9949821155555558</x:v>
      </x:c>
      <x:c r="J144" s="59" t="n">
        <x:v>1</x:v>
      </x:c>
      <x:c r="K144" s="34" t="n">
        <x:f>I144*J144</x:f>
        <x:v>0.9949821155555558</x:v>
      </x:c>
      <x:c r="L144" s="30" t="str">
        <x:v>原通信行 111</x:v>
      </x:c>
    </x:row>
    <x:row r="145" ht="15" customHeight="1">
      <x:c r="A145" s="30" t="str">
        <x:v>DSA CP</x:v>
      </x:c>
      <x:c r="B145" s="30" t="str">
        <x:v>Indexer</x:v>
      </x:c>
      <x:c r="C145" s="30" t="str">
        <x:v>Top-k Index</x:v>
      </x:c>
      <x:c r="D145" s="34" t="n">
        <x:f>(K112*2^20)/1e9</x:f>
        <x:v>0.11010048</x:v>
      </x:c>
      <x:c r="E145" s="64" t="n">
        <x:f>$H$134</x:f>
        <x:v>100</x:v>
      </x:c>
      <x:c r="F145" s="59" t="n">
        <x:v>1</x:v>
      </x:c>
      <x:c r="G145" s="34" t="n">
        <x:f>IF(AND(ISNUMBER(E145),E145&gt;0,ISNUMBER($B$134),$B$134&gt;=0,$B$134&lt;1,ISNUMBER($D$134),$D$134&gt;=0,$D$134&lt;=1,ISNUMBER(F145),F145&gt;=0,F145&lt;=1,ISNUMBER(J145),J145&gt;=0,J145&lt;=1),D145/E145*1000,NA())</x:f>
        <x:v>1.1010048000000001</x:v>
      </x:c>
      <x:c r="H145" s="34" t="n">
        <x:f>G145+I145</x:f>
        <x:v>1.2233386666666668</x:v>
      </x:c>
      <x:c r="I145" s="34" t="n">
        <x:f>G145*F145*$D$134*$B$134/(1-$B$134)</x:f>
        <x:v>0.12233386666666668</x:v>
      </x:c>
      <x:c r="J145" s="59" t="n">
        <x:v>1</x:v>
      </x:c>
      <x:c r="K145" s="34" t="n">
        <x:f>I145*J145</x:f>
        <x:v>0.12233386666666668</x:v>
      </x:c>
      <x:c r="L145" s="30" t="str">
        <x:v>原通信行 112</x:v>
      </x:c>
    </x:row>
    <x:row r="146" ht="15" customHeight="1">
      <x:c r="A146" s="30" t="str">
        <x:v>O Proj TP</x:v>
      </x:c>
      <x:c r="B146" s="30" t="str">
        <x:v>Sparse Attention</x:v>
      </x:c>
      <x:c r="C146" s="30" t="str">
        <x:v>DSA CP 关闭</x:v>
      </x:c>
      <x:c r="D146" s="34" t="n">
        <x:f>(K113*2^20)/1e9</x:f>
        <x:v>0</x:v>
      </x:c>
      <x:c r="E146" s="64" t="n">
        <x:f>$H$134</x:f>
        <x:v>100</x:v>
      </x:c>
      <x:c r="F146" s="59" t="n">
        <x:v>1</x:v>
      </x:c>
      <x:c r="G146" s="34" t="n">
        <x:f>IF(AND(ISNUMBER(E146),E146&gt;0,ISNUMBER($B$134),$B$134&gt;=0,$B$134&lt;1,ISNUMBER($D$134),$D$134&gt;=0,$D$134&lt;=1,ISNUMBER(F146),F146&gt;=0,F146&lt;=1,ISNUMBER(J146),J146&gt;=0,J146&lt;=1),D146/E146*1000,NA())</x:f>
        <x:v>0</x:v>
      </x:c>
      <x:c r="H146" s="34" t="n">
        <x:f>G146+I146</x:f>
        <x:v>0</x:v>
      </x:c>
      <x:c r="I146" s="34" t="n">
        <x:f>G146*F146*$D$134*$B$134/(1-$B$134)</x:f>
        <x:v>0</x:v>
      </x:c>
      <x:c r="J146" s="59" t="n">
        <x:v>1</x:v>
      </x:c>
      <x:c r="K146" s="34" t="n">
        <x:f>I146*J146</x:f>
        <x:v>0</x:v>
      </x:c>
      <x:c r="L146" s="30" t="str">
        <x:v>原通信行 113</x:v>
      </x:c>
    </x:row>
    <x:row r="147" ht="15" customHeight="1">
      <x:c r="A147" s="30" t="str">
        <x:v>EP</x:v>
      </x:c>
      <x:c r="B147" s="30" t="str">
        <x:v>Routed Experts</x:v>
      </x:c>
      <x:c r="C147" s="30" t="str">
        <x:v>MC2 FullMesh Dispatch</x:v>
      </x:c>
      <x:c r="D147" s="34" t="n">
        <x:f>(IF(F114=2,E114/7168*H114*(ROUNDUP((ROUNDUP(7168*F114/32,0)*32+32)/480,0)*512),NA()))/1e9</x:f>
        <x:v>0.62963712</x:v>
      </x:c>
      <x:c r="E147" s="64" t="n">
        <x:f>$H$134</x:f>
        <x:v>100</x:v>
      </x:c>
      <x:c r="F147" s="59" t="n">
        <x:v>1</x:v>
      </x:c>
      <x:c r="G147" s="34" t="n">
        <x:f>IF(AND(ISNUMBER(E147),E147&gt;0,ISNUMBER($B$134),$B$134&gt;=0,$B$134&lt;1,ISNUMBER($D$134),$D$134&gt;=0,$D$134&lt;=1,ISNUMBER(F147),F147&gt;=0,F147&lt;=1,ISNUMBER(J147),J147&gt;=0,J147&lt;=1),D147/E147*1000,NA())</x:f>
        <x:v>6.2963712</x:v>
      </x:c>
      <x:c r="H147" s="34" t="n">
        <x:f>G147+I147</x:f>
        <x:v>6.995968</x:v>
      </x:c>
      <x:c r="I147" s="34" t="n">
        <x:f>G147*F147*$D$134*$B$134/(1-$B$134)</x:f>
        <x:v>0.6995968</x:v>
      </x:c>
      <x:c r="J147" s="59" t="n">
        <x:v>1</x:v>
      </x:c>
      <x:c r="K147" s="34" t="n">
        <x:f>I147*J147</x:f>
        <x:v>0.6995968</x:v>
      </x:c>
      <x:c r="L147" s="30" t="str">
        <x:v>原通信行 114</x:v>
      </x:c>
    </x:row>
    <x:row r="148" ht="15" customHeight="1">
      <x:c r="A148" s="30" t="str">
        <x:v>EP</x:v>
      </x:c>
      <x:c r="B148" s="30" t="str">
        <x:v>Routed Experts</x:v>
      </x:c>
      <x:c r="C148" s="30" t="str">
        <x:v>MC2 Combine + flags</x:v>
      </x:c>
      <x:c r="D148" s="34" t="n">
        <x:f>(IF(F115=2,K115*2^20+E115/7168*H115*32,NA()))/1e9</x:f>
        <x:v>0.588973056</x:v>
      </x:c>
      <x:c r="E148" s="64" t="n">
        <x:f>$H$134</x:f>
        <x:v>100</x:v>
      </x:c>
      <x:c r="F148" s="59" t="n">
        <x:v>1</x:v>
      </x:c>
      <x:c r="G148" s="34" t="n">
        <x:f>IF(AND(ISNUMBER(E148),E148&gt;0,ISNUMBER($B$134),$B$134&gt;=0,$B$134&lt;1,ISNUMBER($D$134),$D$134&gt;=0,$D$134&lt;=1,ISNUMBER(F148),F148&gt;=0,F148&lt;=1,ISNUMBER(J148),J148&gt;=0,J148&lt;=1),D148/E148*1000,NA())</x:f>
        <x:v>5.88973056</x:v>
      </x:c>
      <x:c r="H148" s="34" t="n">
        <x:f>G148+I148</x:f>
        <x:v>6.544145066666667</x:v>
      </x:c>
      <x:c r="I148" s="34" t="n">
        <x:f>G148*F148*$D$134*$B$134/(1-$B$134)</x:f>
        <x:v>0.6544145066666667</x:v>
      </x:c>
      <x:c r="J148" s="59" t="n">
        <x:v>1</x:v>
      </x:c>
      <x:c r="K148" s="34" t="n">
        <x:f>I148*J148</x:f>
        <x:v>0.6544145066666667</x:v>
      </x:c>
      <x:c r="L148" s="30" t="str">
        <x:v>原通信行 115</x:v>
      </x:c>
    </x:row>
    <x:row r="149" ht="15" customHeight="1">
      <x:c r="A149" s="30" t="str">
        <x:v>DP</x:v>
      </x:c>
      <x:c r="B149" s="30" t="str">
        <x:v>MoE</x:v>
      </x:c>
      <x:c r="C149" s="30" t="str">
        <x:v>Hidden 输入</x:v>
      </x:c>
      <x:c r="D149" s="34" t="n">
        <x:f>(K116*2^20)/1e9</x:f>
        <x:v>0</x:v>
      </x:c>
      <x:c r="E149" s="64" t="n">
        <x:f>$H$134</x:f>
        <x:v>100</x:v>
      </x:c>
      <x:c r="F149" s="59" t="n">
        <x:v>1</x:v>
      </x:c>
      <x:c r="G149" s="34" t="n">
        <x:f>IF(AND(ISNUMBER(E149),E149&gt;0,ISNUMBER($B$134),$B$134&gt;=0,$B$134&lt;1,ISNUMBER($D$134),$D$134&gt;=0,$D$134&lt;=1,ISNUMBER(F149),F149&gt;=0,F149&lt;=1,ISNUMBER(J149),J149&gt;=0,J149&lt;=1),D149/E149*1000,NA())</x:f>
        <x:v>0</x:v>
      </x:c>
      <x:c r="H149" s="34" t="n">
        <x:f>G149+I149</x:f>
        <x:v>0</x:v>
      </x:c>
      <x:c r="I149" s="34" t="n">
        <x:f>G149*F149*$D$134*$B$134/(1-$B$134)</x:f>
        <x:v>0</x:v>
      </x:c>
      <x:c r="J149" s="59" t="n">
        <x:v>1</x:v>
      </x:c>
      <x:c r="K149" s="34" t="n">
        <x:f>I149*J149</x:f>
        <x:v>0</x:v>
      </x:c>
      <x:c r="L149" s="30" t="str">
        <x:v>原通信行 116</x:v>
      </x:c>
    </x:row>
    <x:row r="150" ht="15" customHeight="1">
      <x:c r="A150" s="30" t="str">
        <x:v>DP</x:v>
      </x:c>
      <x:c r="B150" s="30" t="str">
        <x:v>MoE Router</x:v>
      </x:c>
      <x:c r="C150" s="30" t="str">
        <x:v>Router Logits</x:v>
      </x:c>
      <x:c r="D150" s="34" t="n">
        <x:f>(K117*2^20)/1e9</x:f>
        <x:v>0</x:v>
      </x:c>
      <x:c r="E150" s="64" t="n">
        <x:f>$H$134</x:f>
        <x:v>100</x:v>
      </x:c>
      <x:c r="F150" s="59" t="n">
        <x:v>1</x:v>
      </x:c>
      <x:c r="G150" s="34" t="n">
        <x:f>IF(AND(ISNUMBER(E150),E150&gt;0,ISNUMBER($B$134),$B$134&gt;=0,$B$134&lt;1,ISNUMBER($D$134),$D$134&gt;=0,$D$134&lt;=1,ISNUMBER(F150),F150&gt;=0,F150&lt;=1,ISNUMBER(J150),J150&gt;=0,J150&lt;=1),D150/E150*1000,NA())</x:f>
        <x:v>0</x:v>
      </x:c>
      <x:c r="H150" s="34" t="n">
        <x:f>G150+I150</x:f>
        <x:v>0</x:v>
      </x:c>
      <x:c r="I150" s="34" t="n">
        <x:f>G150*F150*$D$134*$B$134/(1-$B$134)</x:f>
        <x:v>0</x:v>
      </x:c>
      <x:c r="J150" s="59" t="n">
        <x:v>1</x:v>
      </x:c>
      <x:c r="K150" s="34" t="n">
        <x:f>I150*J150</x:f>
        <x:v>0</x:v>
      </x:c>
      <x:c r="L150" s="30" t="str">
        <x:v>原通信行 117</x:v>
      </x:c>
    </x:row>
    <x:row r="151" ht="15" customHeight="1">
      <x:c r="A151" s="30" t="str">
        <x:v>DP</x:v>
      </x:c>
      <x:c r="B151" s="30" t="str">
        <x:v>MoE</x:v>
      </x:c>
      <x:c r="C151" s="30" t="str">
        <x:v>Routed Expert 输出</x:v>
      </x:c>
      <x:c r="D151" s="34" t="n">
        <x:f>(K118*2^20)/1e9</x:f>
        <x:v>0</x:v>
      </x:c>
      <x:c r="E151" s="64" t="n">
        <x:f>$H$134</x:f>
        <x:v>100</x:v>
      </x:c>
      <x:c r="F151" s="59" t="n">
        <x:v>1</x:v>
      </x:c>
      <x:c r="G151" s="34" t="n">
        <x:f>IF(AND(ISNUMBER(E151),E151&gt;0,ISNUMBER($B$134),$B$134&gt;=0,$B$134&lt;1,ISNUMBER($D$134),$D$134&gt;=0,$D$134&lt;=1,ISNUMBER(F151),F151&gt;=0,F151&lt;=1,ISNUMBER(J151),J151&gt;=0,J151&lt;=1),D151/E151*1000,NA())</x:f>
        <x:v>0</x:v>
      </x:c>
      <x:c r="H151" s="34" t="n">
        <x:f>G151+I151</x:f>
        <x:v>0</x:v>
      </x:c>
      <x:c r="I151" s="34" t="n">
        <x:f>G151*F151*$D$134*$B$134/(1-$B$134)</x:f>
        <x:v>0</x:v>
      </x:c>
      <x:c r="J151" s="59" t="n">
        <x:v>1</x:v>
      </x:c>
      <x:c r="K151" s="34" t="n">
        <x:f>I151*J151</x:f>
        <x:v>0</x:v>
      </x:c>
      <x:c r="L151" s="30" t="str">
        <x:v>原通信行 118</x:v>
      </x:c>
    </x:row>
    <x:row r="152" ht="15" customHeight="1">
      <x:c r="A152" s="30" t="str">
        <x:v>共享专家 TP</x:v>
      </x:c>
      <x:c r="B152" s="30" t="str">
        <x:v>Shared Experts</x:v>
      </x:c>
      <x:c r="C152" s="30" t="str">
        <x:v>SP 输入</x:v>
      </x:c>
      <x:c r="D152" s="34" t="n">
        <x:f>(K119*2^20)/1e9</x:f>
        <x:v>0.783548416</x:v>
      </x:c>
      <x:c r="E152" s="64" t="n">
        <x:f>$H$134</x:f>
        <x:v>100</x:v>
      </x:c>
      <x:c r="F152" s="59" t="n">
        <x:v>1</x:v>
      </x:c>
      <x:c r="G152" s="34" t="n">
        <x:f>IF(AND(ISNUMBER(E152),E152&gt;0,ISNUMBER($B$134),$B$134&gt;=0,$B$134&lt;1,ISNUMBER($D$134),$D$134&gt;=0,$D$134&lt;=1,ISNUMBER(F152),F152&gt;=0,F152&lt;=1,ISNUMBER(J152),J152&gt;=0,J152&lt;=1),D152/E152*1000,NA())</x:f>
        <x:v>7.835484159999999</x:v>
      </x:c>
      <x:c r="H152" s="34" t="n">
        <x:f>G152+I152</x:f>
        <x:v>8.70609351111111</x:v>
      </x:c>
      <x:c r="I152" s="34" t="n">
        <x:f>G152*F152*$D$134*$B$134/(1-$B$134)</x:f>
        <x:v>0.870609351111111</x:v>
      </x:c>
      <x:c r="J152" s="59" t="n">
        <x:v>1</x:v>
      </x:c>
      <x:c r="K152" s="34" t="n">
        <x:f>I152*J152</x:f>
        <x:v>0.870609351111111</x:v>
      </x:c>
      <x:c r="L152" s="30" t="str">
        <x:v>原通信行 119</x:v>
      </x:c>
    </x:row>
    <x:row r="153" ht="15" customHeight="1">
      <x:c r="A153" s="30" t="str">
        <x:v>共享专家 TP</x:v>
      </x:c>
      <x:c r="B153" s="30" t="str">
        <x:v>Shared Experts</x:v>
      </x:c>
      <x:c r="C153" s="30" t="str">
        <x:v>SP 输出</x:v>
      </x:c>
      <x:c r="D153" s="34" t="n">
        <x:f>(K120*2^20)/1e9</x:f>
        <x:v>0.783548416</x:v>
      </x:c>
      <x:c r="E153" s="64" t="n">
        <x:f>$H$134</x:f>
        <x:v>100</x:v>
      </x:c>
      <x:c r="F153" s="59" t="n">
        <x:v>1</x:v>
      </x:c>
      <x:c r="G153" s="34" t="n">
        <x:f>IF(AND(ISNUMBER(E153),E153&gt;0,ISNUMBER($B$134),$B$134&gt;=0,$B$134&lt;1,ISNUMBER($D$134),$D$134&gt;=0,$D$134&lt;=1,ISNUMBER(F153),F153&gt;=0,F153&lt;=1,ISNUMBER(J153),J153&gt;=0,J153&lt;=1),D153/E153*1000,NA())</x:f>
        <x:v>7.835484159999999</x:v>
      </x:c>
      <x:c r="H153" s="34" t="n">
        <x:f>G153+I153</x:f>
        <x:v>8.70609351111111</x:v>
      </x:c>
      <x:c r="I153" s="34" t="n">
        <x:f>G153*F153*$D$134*$B$134/(1-$B$134)</x:f>
        <x:v>0.870609351111111</x:v>
      </x:c>
      <x:c r="J153" s="59" t="n">
        <x:v>1</x:v>
      </x:c>
      <x:c r="K153" s="34" t="n">
        <x:f>I153*J153</x:f>
        <x:v>0.870609351111111</x:v>
      </x:c>
      <x:c r="L153" s="30" t="str">
        <x:v>原通信行 120</x:v>
      </x:c>
    </x:row>
    <x:row r="154" ht="15" customHeight="1">
      <x:c r="A154" s="30" t="str">
        <x:v>共享专家 TP</x:v>
      </x:c>
      <x:c r="B154" s="30" t="str">
        <x:v>Shared Experts</x:v>
      </x:c>
      <x:c r="C154" s="30" t="str">
        <x:v>非 SP 输出</x:v>
      </x:c>
      <x:c r="D154" s="34" t="n">
        <x:f>(K121*2^20)/1e9</x:f>
        <x:v>0</x:v>
      </x:c>
      <x:c r="E154" s="64" t="n">
        <x:f>$H$134</x:f>
        <x:v>100</x:v>
      </x:c>
      <x:c r="F154" s="59" t="n">
        <x:v>1</x:v>
      </x:c>
      <x:c r="G154" s="34" t="n">
        <x:f>IF(AND(ISNUMBER(E154),E154&gt;0,ISNUMBER($B$134),$B$134&gt;=0,$B$134&lt;1,ISNUMBER($D$134),$D$134&gt;=0,$D$134&lt;=1,ISNUMBER(F154),F154&gt;=0,F154&lt;=1,ISNUMBER(J154),J154&gt;=0,J154&lt;=1),D154/E154*1000,NA())</x:f>
        <x:v>0</x:v>
      </x:c>
      <x:c r="H154" s="34" t="n">
        <x:f>G154+I154</x:f>
        <x:v>0</x:v>
      </x:c>
      <x:c r="I154" s="34" t="n">
        <x:f>G154*F154*$D$134*$B$134/(1-$B$134)</x:f>
        <x:v>0</x:v>
      </x:c>
      <x:c r="J154" s="59" t="n">
        <x:v>1</x:v>
      </x:c>
      <x:c r="K154" s="34" t="n">
        <x:f>I154*J154</x:f>
        <x:v>0</x:v>
      </x:c>
      <x:c r="L154" s="30" t="str">
        <x:v>原通信行 121</x:v>
      </x:c>
    </x:row>
    <x:row r="155" ht="15" customHeight="1">
      <x:c r="A155" s="30" t="str">
        <x:v>SP</x:v>
      </x:c>
      <x:c r="B155" s="30" t="str">
        <x:v>Model Output</x:v>
      </x:c>
      <x:c r="C155" s="30" t="str">
        <x:v>Final Norm 后</x:v>
      </x:c>
      <x:c r="D155" s="34" t="n">
        <x:f>(K122*2^20)/1e9</x:f>
        <x:v>0.012845056</x:v>
      </x:c>
      <x:c r="E155" s="64" t="n">
        <x:f>$H$134</x:f>
        <x:v>100</x:v>
      </x:c>
      <x:c r="F155" s="59" t="n">
        <x:v>1</x:v>
      </x:c>
      <x:c r="G155" s="34" t="n">
        <x:f>IF(AND(ISNUMBER(E155),E155&gt;0,ISNUMBER($B$134),$B$134&gt;=0,$B$134&lt;1,ISNUMBER($D$134),$D$134&gt;=0,$D$134&lt;=1,ISNUMBER(F155),F155&gt;=0,F155&lt;=1,ISNUMBER(J155),J155&gt;=0,J155&lt;=1),D155/E155*1000,NA())</x:f>
        <x:v>0.12845056000000002</x:v>
      </x:c>
      <x:c r="H155" s="34" t="n">
        <x:f>G155+I155</x:f>
        <x:v>0.14272284444444447</x:v>
      </x:c>
      <x:c r="I155" s="34" t="n">
        <x:f>G155*F155*$D$134*$B$134/(1-$B$134)</x:f>
        <x:v>0.014272284444444446</x:v>
      </x:c>
      <x:c r="J155" s="59" t="n">
        <x:v>1</x:v>
      </x:c>
      <x:c r="K155" s="34" t="n">
        <x:f>I155*J155</x:f>
        <x:v>0.014272284444444446</x:v>
      </x:c>
      <x:c r="L155" s="30" t="str">
        <x:v>原通信行 122</x:v>
      </x:c>
    </x:row>
    <x:row r="156" ht="15" customHeight="1">
      <x:c r="A156" s="30" t="str">
        <x:v>LM Head TP</x:v>
      </x:c>
      <x:c r="B156" s="30" t="str">
        <x:v>LM Head</x:v>
      </x:c>
      <x:c r="C156" s="30" t="str">
        <x:v>完整 Logits</x:v>
      </x:c>
      <x:c r="D156" s="34" t="n">
        <x:f>(K123*2^20)/1e9</x:f>
        <x:v>0</x:v>
      </x:c>
      <x:c r="E156" s="64" t="n">
        <x:f>$H$134</x:f>
        <x:v>100</x:v>
      </x:c>
      <x:c r="F156" s="59" t="n">
        <x:v>1</x:v>
      </x:c>
      <x:c r="G156" s="34" t="n">
        <x:f>IF(AND(ISNUMBER(E156),E156&gt;0,ISNUMBER($B$134),$B$134&gt;=0,$B$134&lt;1,ISNUMBER($D$134),$D$134&gt;=0,$D$134&lt;=1,ISNUMBER(F156),F156&gt;=0,F156&lt;=1,ISNUMBER(J156),J156&gt;=0,J156&lt;=1),D156/E156*1000,NA())</x:f>
        <x:v>0</x:v>
      </x:c>
      <x:c r="H156" s="34" t="n">
        <x:f>G156+I156</x:f>
        <x:v>0</x:v>
      </x:c>
      <x:c r="I156" s="34" t="n">
        <x:f>G156*F156*$D$134*$B$134/(1-$B$134)</x:f>
        <x:v>0</x:v>
      </x:c>
      <x:c r="J156" s="59" t="n">
        <x:v>1</x:v>
      </x:c>
      <x:c r="K156" s="34" t="n">
        <x:f>I156*J156</x:f>
        <x:v>0</x:v>
      </x:c>
      <x:c r="L156" s="30" t="str">
        <x:v>原通信行 123</x:v>
      </x:c>
    </x:row>
    <x:row r="157" ht="15" customHeight="1">
      <x:c r="A157" s="30" t="str">
        <x:v>LM Head TP</x:v>
      </x:c>
      <x:c r="B157" s="30" t="str">
        <x:v>LM Head</x:v>
      </x:c>
      <x:c r="C157" s="30" t="str">
        <x:v>Reduce Sample</x:v>
      </x:c>
      <x:c r="D157" s="34" t="n">
        <x:f>(K124*2^20)/1e9</x:f>
        <x:v>0.011010048</x:v>
      </x:c>
      <x:c r="E157" s="64" t="n">
        <x:f>$H$134</x:f>
        <x:v>100</x:v>
      </x:c>
      <x:c r="F157" s="59" t="n">
        <x:v>1</x:v>
      </x:c>
      <x:c r="G157" s="34" t="n">
        <x:f>IF(AND(ISNUMBER(E157),E157&gt;0,ISNUMBER($B$134),$B$134&gt;=0,$B$134&lt;1,ISNUMBER($D$134),$D$134&gt;=0,$D$134&lt;=1,ISNUMBER(F157),F157&gt;=0,F157&lt;=1,ISNUMBER(J157),J157&gt;=0,J157&lt;=1),D157/E157*1000,NA())</x:f>
        <x:v>0.11010048</x:v>
      </x:c>
      <x:c r="H157" s="34" t="n">
        <x:f>G157+I157</x:f>
        <x:v>0.12233386666666667</x:v>
      </x:c>
      <x:c r="I157" s="34" t="n">
        <x:f>G157*F157*$D$134*$B$134/(1-$B$134)</x:f>
        <x:v>0.012233386666666669</x:v>
      </x:c>
      <x:c r="J157" s="59" t="n">
        <x:v>1</x:v>
      </x:c>
      <x:c r="K157" s="34" t="n">
        <x:f>I157*J157</x:f>
        <x:v>0.012233386666666669</x:v>
      </x:c>
      <x:c r="L157" s="30" t="str">
        <x:v>原通信行 124</x:v>
      </x:c>
    </x:row>
    <x:row r="158" ht="15" customHeight="1">
      <x:c r="A158" s="30" t="str">
        <x:v>Fine LM Head TP</x:v>
      </x:c>
      <x:c r="B158" s="30" t="str">
        <x:v>LM Head</x:v>
      </x:c>
      <x:c r="C158" s="30" t="str">
        <x:v>Hidden 输入</x:v>
      </x:c>
      <x:c r="D158" s="34" t="n">
        <x:f>(K125*2^20)/1e9</x:f>
        <x:v>0</x:v>
      </x:c>
      <x:c r="E158" s="64" t="n">
        <x:f>$H$134</x:f>
        <x:v>100</x:v>
      </x:c>
      <x:c r="F158" s="59" t="n">
        <x:v>1</x:v>
      </x:c>
      <x:c r="G158" s="34" t="n">
        <x:f>IF(AND(ISNUMBER(E158),E158&gt;0,ISNUMBER($B$134),$B$134&gt;=0,$B$134&lt;1,ISNUMBER($D$134),$D$134&gt;=0,$D$134&lt;=1,ISNUMBER(F158),F158&gt;=0,F158&lt;=1,ISNUMBER(J158),J158&gt;=0,J158&lt;=1),D158/E158*1000,NA())</x:f>
        <x:v>0</x:v>
      </x:c>
      <x:c r="H158" s="34" t="n">
        <x:f>G158+I158</x:f>
        <x:v>0</x:v>
      </x:c>
      <x:c r="I158" s="34" t="n">
        <x:f>G158*F158*$D$134*$B$134/(1-$B$134)</x:f>
        <x:v>0</x:v>
      </x:c>
      <x:c r="J158" s="59" t="n">
        <x:v>1</x:v>
      </x:c>
      <x:c r="K158" s="34" t="n">
        <x:f>I158*J158</x:f>
        <x:v>0</x:v>
      </x:c>
      <x:c r="L158" s="30" t="str">
        <x:v>原通信行 125</x:v>
      </x:c>
    </x:row>
    <x:row r="159" ht="15" customHeight="1">
      <x:c r="A159" s="30" t="str">
        <x:v>Fine LM Head TP</x:v>
      </x:c>
      <x:c r="B159" s="30" t="str">
        <x:v>LM Head</x:v>
      </x:c>
      <x:c r="C159" s="30" t="str">
        <x:v>完整 Logits</x:v>
      </x:c>
      <x:c r="D159" s="34" t="n">
        <x:f>(K126*2^20)/1e9</x:f>
        <x:v>0</x:v>
      </x:c>
      <x:c r="E159" s="64" t="n">
        <x:f>$H$134</x:f>
        <x:v>100</x:v>
      </x:c>
      <x:c r="F159" s="59" t="n">
        <x:v>1</x:v>
      </x:c>
      <x:c r="G159" s="34" t="n">
        <x:f>IF(AND(ISNUMBER(E159),E159&gt;0,ISNUMBER($B$134),$B$134&gt;=0,$B$134&lt;1,ISNUMBER($D$134),$D$134&gt;=0,$D$134&lt;=1,ISNUMBER(F159),F159&gt;=0,F159&lt;=1,ISNUMBER(J159),J159&gt;=0,J159&lt;=1),D159/E159*1000,NA())</x:f>
        <x:v>0</x:v>
      </x:c>
      <x:c r="H159" s="34" t="n">
        <x:f>G159+I159</x:f>
        <x:v>0</x:v>
      </x:c>
      <x:c r="I159" s="34" t="n">
        <x:f>G159*F159*$D$134*$B$134/(1-$B$134)</x:f>
        <x:v>0</x:v>
      </x:c>
      <x:c r="J159" s="59" t="n">
        <x:v>1</x:v>
      </x:c>
      <x:c r="K159" s="34" t="n">
        <x:f>I159*J159</x:f>
        <x:v>0</x:v>
      </x:c>
      <x:c r="L159" s="30" t="str">
        <x:v>原通信行 126</x:v>
      </x:c>
    </x:row>
    <x:row r="160" ht="15" customHeight="1">
      <x:c r="A160" s="30" t="str">
        <x:v>Fine LM Head TP</x:v>
      </x:c>
      <x:c r="B160" s="30" t="str">
        <x:v>LM Head</x:v>
      </x:c>
      <x:c r="C160" s="30" t="str">
        <x:v>Reduce Sample</x:v>
      </x:c>
      <x:c r="D160" s="34" t="n">
        <x:f>(K127*2^20)/1e9</x:f>
        <x:v>0</x:v>
      </x:c>
      <x:c r="E160" s="64" t="n">
        <x:f>$H$134</x:f>
        <x:v>100</x:v>
      </x:c>
      <x:c r="F160" s="59" t="n">
        <x:v>1</x:v>
      </x:c>
      <x:c r="G160" s="34" t="n">
        <x:f>IF(AND(ISNUMBER(E160),E160&gt;0,ISNUMBER($B$134),$B$134&gt;=0,$B$134&lt;1,ISNUMBER($D$134),$D$134&gt;=0,$D$134&lt;=1,ISNUMBER(F160),F160&gt;=0,F160&lt;=1,ISNUMBER(J160),J160&gt;=0,J160&lt;=1),D160/E160*1000,NA())</x:f>
        <x:v>0</x:v>
      </x:c>
      <x:c r="H160" s="34" t="n">
        <x:f>G160+I160</x:f>
        <x:v>0</x:v>
      </x:c>
      <x:c r="I160" s="34" t="n">
        <x:f>G160*F160*$D$134*$B$134/(1-$B$134)</x:f>
        <x:v>0</x:v>
      </x:c>
      <x:c r="J160" s="59" t="n">
        <x:v>1</x:v>
      </x:c>
      <x:c r="K160" s="34" t="n">
        <x:f>I160*J160</x:f>
        <x:v>0</x:v>
      </x:c>
      <x:c r="L160" s="30" t="str">
        <x:v>原通信行 127</x:v>
      </x:c>
    </x:row>
    <x:row r="161" ht="15" customHeight="1">
      <x:c r="A161" s="30" t="str">
        <x:v>EP</x:v>
      </x:c>
      <x:c r="B161" s="30" t="str">
        <x:v>MoE 计数</x:v>
      </x:c>
      <x:c r="C161" s="30" t="str">
        <x:v>MC2 count 写入</x:v>
      </x:c>
      <x:c r="D161" s="34" t="n">
        <x:f>(IF(E114=0,0,H114*ROUNDUP(384/G114,0)*(G114-1)*32))/1e9</x:f>
        <x:v>0.000655872</x:v>
      </x:c>
      <x:c r="E161" s="64" t="n">
        <x:f>$H$134</x:f>
        <x:v>100</x:v>
      </x:c>
      <x:c r="F161" s="59" t="n">
        <x:v>1</x:v>
      </x:c>
      <x:c r="G161" s="34" t="n">
        <x:f>IF(AND(ISNUMBER(E161),E161&gt;0,ISNUMBER($B$134),$B$134&gt;=0,$B$134&lt;1,ISNUMBER($D$134),$D$134&gt;=0,$D$134&lt;=1,ISNUMBER(F161),F161&gt;=0,F161&lt;=1,ISNUMBER(J161),J161&gt;=0,J161&lt;=1),D161/E161*1000,NA())</x:f>
        <x:v>0.0065587200000000005</x:v>
      </x:c>
      <x:c r="H161" s="34" t="n">
        <x:f>G161+I161</x:f>
        <x:v>0.0072874666666666674</x:v>
      </x:c>
      <x:c r="I161" s="34" t="n">
        <x:f>G161*F161*$D$134*$B$134/(1-$B$134)</x:f>
        <x:v>0.0007287466666666667</x:v>
      </x:c>
      <x:c r="J161" s="59" t="n">
        <x:v>1</x:v>
      </x:c>
      <x:c r="K161" s="34" t="n">
        <x:f>I161*J161</x:f>
        <x:v>0.0007287466666666667</x:v>
      </x:c>
      <x:c r="L161" s="30" t="str">
        <x:v>额外控制量</x:v>
      </x:c>
    </x:row>
    <x:row r="162" ht="15" customHeight="1">
      <x:c r="A162" s="40" t="str">
        <x:v>所列事件串行相加</x:v>
      </x:c>
      <x:c r="B162" s="40"/>
      <x:c r="C162" s="40"/>
      <x:c r="D162" s="41" t="n">
        <x:f>SUM(D140:D161)</x:f>
        <x:v>4.625040896000001</x:v>
      </x:c>
      <x:c r="E162" s="40"/>
      <x:c r="F162" s="40"/>
      <x:c r="G162" s="41" t="n">
        <x:f>SUM(G140:G161)</x:f>
        <x:v>46.250408959999994</x:v>
      </x:c>
      <x:c r="H162" s="41" t="n">
        <x:f>SUM(H140:H161)</x:f>
        <x:v>51.38934328888889</x:v>
      </x:c>
      <x:c r="I162" s="41" t="n">
        <x:f>SUM(I140:I161)</x:f>
        <x:v>5.1389343288888885</x:v>
      </x:c>
      <x:c r="J162" s="40"/>
      <x:c r="K162" s="41" t="n">
        <x:f>SUM(K140:K161)</x:f>
        <x:v>5.1389343288888885</x:v>
      </x:c>
      <x:c r="L162" s="40"/>
    </x:row>
  </x:sheetData>
  <x:conditionalFormatting sqref="L136:L136">
    <x:cfRule type="containsText" dxfId="1" priority="1" operator="containsText" text="不一致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D9E2F3"/>
  </x:sheetPr>
  <x:sheetViews>
    <x:sheetView showGridLines="0" workbookViewId="0"/>
  </x:sheetViews>
  <x:sheetFormatPr defaultRowHeight="15"/>
  <x:cols>
    <x:col min="1" max="1" width="2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30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</x:cols>
  <x:sheetData>
    <x:row r="1" ht="22" customHeight="1">
      <x:c r="A1" s="30"/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</x:row>
    <x:row r="2" ht="22" customHeight="1">
      <x:c r="A2" s="42" t="str">
        <x:v>PD KV 传输：一分钟内的 Decode 通信暴露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  <x:c r="U2" s="30"/>
      <x:c r="V2" s="30"/>
      <x:c r="W2" s="30"/>
      <x:c r="X2" s="30"/>
    </x:row>
    <x:row r="3" ht="22" customHeight="1">
      <x:c r="A3" s="30" t="str">
        <x:v>稳态相位平均估算。每层以等长 EP 通信段建模；未使用逐层 profiling，次数可为小数。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</x:row>
    <x:row r="4" ht="22" customHeight="1">
      <x:c r="A4" s="30"/>
      <x:c r="B4" s="30"/>
      <x:c r="C4" s="30"/>
      <x:c r="D4" s="30"/>
      <x:c r="E4" s="30"/>
      <x:c r="F4" s="30"/>
      <x:c r="G4" s="30"/>
      <x:c r="H4" s="30"/>
      <x:c r="I4" s="30"/>
      <x:c r="J4" s="30"/>
      <x:c r="K4" s="30"/>
      <x:c r="L4" s="30"/>
      <x:c r="M4" s="30"/>
      <x:c r="N4" s="30"/>
      <x:c r="O4" s="30"/>
      <x:c r="P4" s="30"/>
      <x:c r="Q4" s="30"/>
      <x:c r="R4" s="30"/>
      <x:c r="S4" s="30"/>
      <x:c r="T4" s="30"/>
      <x:c r="U4" s="30"/>
      <x:c r="V4" s="30"/>
      <x:c r="W4" s="30"/>
      <x:c r="X4" s="30"/>
    </x:row>
    <x:row r="5" ht="34" customHeight="1">
      <x:c r="A5" s="30" t="str">
        <x:v>每 P DP 请求数</x:v>
      </x:c>
      <x:c r="B5" s="66" t="n">
        <x:v>16</x:v>
      </x:c>
      <x:c r="C5" s="30"/>
      <x:c r="D5" s="30"/>
      <x:c r="E5" s="79" t="str">
        <x:v>P deployment
count</x:v>
      </x:c>
      <x:c r="F5" s="66" t="n">
        <x:v>1</x:v>
      </x:c>
      <x:c r="G5" s="30"/>
      <x:c r="H5" s="30"/>
      <x:c r="I5" s="79" t="str">
        <x:v>D deployment
count</x:v>
      </x:c>
      <x:c r="J5" s="66" t="n">
        <x:v>1</x:v>
      </x:c>
      <x:c r="K5" s="30"/>
      <x:c r="L5" s="30"/>
      <x:c r="M5" s="30" t="str">
        <x:v>KV 带宽 GB/s</x:v>
      </x:c>
      <x:c r="N5" s="67" t="n">
        <x:v>4800</x:v>
      </x:c>
      <x:c r="O5" s="30"/>
      <x:c r="P5" s="30"/>
      <x:c r="Q5" s="30"/>
      <x:c r="R5" s="30"/>
      <x:c r="S5" s="30"/>
      <x:c r="T5" s="30"/>
      <x:c r="U5" s="30"/>
      <x:c r="V5" s="30"/>
      <x:c r="W5" s="30"/>
      <x:c r="X5" s="30"/>
    </x:row>
    <x:row r="6" ht="22" customHeight="1">
      <x:c r="A6" s="30"/>
      <x:c r="B6" s="30"/>
      <x:c r="C6" s="30"/>
      <x:c r="D6" s="30"/>
      <x:c r="E6" s="30"/>
      <x:c r="F6" s="30"/>
      <x:c r="G6" s="30"/>
      <x:c r="H6" s="30"/>
      <x:c r="I6" s="30"/>
      <x:c r="J6" s="30"/>
      <x:c r="K6" s="30"/>
      <x:c r="L6" s="30"/>
      <x:c r="M6" s="30"/>
      <x:c r="N6" s="30"/>
      <x:c r="O6" s="30"/>
      <x:c r="P6" s="30"/>
      <x:c r="Q6" s="30"/>
      <x:c r="R6" s="30"/>
      <x:c r="S6" s="30"/>
      <x:c r="T6" s="30"/>
      <x:c r="U6" s="30"/>
      <x:c r="V6" s="30"/>
      <x:c r="W6" s="30"/>
      <x:c r="X6" s="30"/>
    </x:row>
    <x:row r="7" ht="22" customHeight="1">
      <x:c r="A7" s="30" t="str">
        <x:v>D tokens/DP/步</x:v>
      </x:c>
      <x:c r="B7" s="66" t="n">
        <x:v>128</x:v>
      </x:c>
      <x:c r="C7" s="30"/>
      <x:c r="D7" s="30"/>
      <x:c r="E7" s="30" t="str">
        <x:v>产出 tokens/步</x:v>
      </x:c>
      <x:c r="F7" s="67" t="n">
        <x:v>1</x:v>
      </x:c>
      <x:c r="G7" s="30"/>
      <x:c r="H7" s="30"/>
      <x:c r="I7" s="30" t="str">
        <x:v>窗口内带宽降幅</x:v>
      </x:c>
      <x:c r="J7" s="68" t="n">
        <x:v>0.1</x:v>
      </x:c>
      <x:c r="K7" s="30"/>
      <x:c r="L7" s="30"/>
      <x:c r="M7" s="30" t="str">
        <x:v>EP 带宽 GB/s</x:v>
      </x:c>
      <x:c r="N7" s="67" t="n">
        <x:v>4800</x:v>
      </x:c>
      <x:c r="O7" s="30"/>
      <x:c r="P7" s="30"/>
      <x:c r="Q7" s="30"/>
      <x:c r="R7" s="30"/>
      <x:c r="S7" s="30"/>
      <x:c r="T7" s="30"/>
      <x:c r="U7" s="30"/>
      <x:c r="V7" s="30"/>
      <x:c r="W7" s="30"/>
      <x:c r="X7" s="30"/>
    </x:row>
    <x:row r="8" ht="22" customHeight="1">
      <x:c r="A8" s="30"/>
      <x:c r="B8" s="30"/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  <x:c r="T8" s="30"/>
      <x:c r="U8" s="30"/>
      <x:c r="V8" s="30"/>
      <x:c r="W8" s="30"/>
      <x:c r="X8" s="30"/>
    </x:row>
    <x:row r="9" ht="34" customHeight="1">
      <x:c r="A9" s="79" t="str">
        <x:v>KV bursts
per interval</x:v>
      </x:c>
      <x:c r="B9" s="66" t="n">
        <x:v>1</x:v>
      </x:c>
      <x:c r="C9" s="30"/>
      <x:c r="D9" s="30"/>
      <x:c r="E9" s="79" t="str">
        <x:v>EP shared
resource fraction</x:v>
      </x:c>
      <x:c r="F9" s="68" t="n">
        <x:v>1</x:v>
      </x:c>
      <x:c r="G9" s="30"/>
      <x:c r="H9" s="30"/>
      <x:c r="I9" s="79" t="str">
        <x:v>EP exposed
comm fraction</x:v>
      </x:c>
      <x:c r="J9" s="68" t="n">
        <x:v>1</x:v>
      </x:c>
      <x:c r="K9" s="30"/>
      <x:c r="L9" s="30"/>
      <x:c r="M9" s="30" t="str">
        <x:v>KV block tokens</x:v>
      </x:c>
      <x:c r="N9" s="66" t="n">
        <x:v>128</x:v>
      </x:c>
      <x:c r="O9" s="30"/>
      <x:c r="P9" s="30"/>
      <x:c r="Q9" s="30"/>
      <x:c r="R9" s="30"/>
      <x:c r="S9" s="30"/>
      <x:c r="T9" s="30"/>
      <x:c r="U9" s="30"/>
      <x:c r="V9" s="30"/>
      <x:c r="W9" s="30"/>
      <x:c r="X9" s="30"/>
    </x:row>
    <x:row r="10" ht="22" customHeight="1">
      <x:c r="A10" s="30"/>
      <x:c r="B10" s="30"/>
      <x:c r="C10" s="30"/>
      <x:c r="D10" s="30"/>
      <x:c r="E10" s="30"/>
      <x:c r="F10" s="30"/>
      <x:c r="G10" s="30"/>
      <x:c r="H10" s="30"/>
      <x:c r="I10" s="30"/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</x:row>
    <x:row r="11" ht="22" customHeight="1">
      <x:c r="A11" s="30" t="str">
        <x:v>Conv 额外 slots</x:v>
      </x:c>
      <x:c r="B11" s="66" t="n">
        <x:v>7</x:v>
      </x:c>
      <x:c r="C11" s="30"/>
      <x:c r="D11" s="30" t="str"/>
      <x:c r="E11" s="30"/>
      <x:c r="F11" s="30"/>
      <x:c r="G11" s="30"/>
      <x:c r="H11" s="30"/>
      <x:c r="I11" s="30"/>
      <x:c r="J11" s="30"/>
      <x:c r="K11" s="30"/>
      <x:c r="L11" s="30"/>
      <x:c r="M11" s="30"/>
      <x:c r="N11" s="30"/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</x:row>
    <x:row r="12" ht="22" customHeight="1">
      <x:c r="A12" s="30" t="str">
        <x:v>P = Prefill，D = Decode。通常只需修改带宽、请求数和 TTFT/TPOT；附加假设可保持默认。</x:v>
      </x:c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  <x:c r="M12" s="30"/>
      <x:c r="N12" s="30"/>
      <x:c r="O12" s="30"/>
      <x:c r="P12" s="30"/>
      <x:c r="Q12" s="30"/>
      <x:c r="R12" s="30"/>
      <x:c r="S12" s="30"/>
      <x:c r="T12" s="30"/>
      <x:c r="U12" s="30"/>
      <x:c r="V12" s="30"/>
      <x:c r="W12" s="30"/>
      <x:c r="X12" s="30"/>
    </x:row>
    <x:row r="13" ht="22" customHeight="1">
      <x:c r="A13" s="30" t="str">
        <x:v>Total overhead 表示基线 60 秒工作量的额外耗时；TTFT 在这里作为 KV 批次到达间隔。</x:v>
      </x:c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  <x:c r="N13" s="30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</x:row>
    <x:row r="14" ht="42" customHeight="1">
      <x:c r="A14" s="73" t="str">
        <x:v>输入场景</x:v>
      </x:c>
      <x:c r="B14" s="73" t="str">
        <x:v>输入 tokens</x:v>
      </x:c>
      <x:c r="C14" s="73" t="str">
        <x:v>TTFT / 周期 s</x:v>
      </x:c>
      <x:c r="D14" s="73" t="str"/>
      <x:c r="E14" s="73" t="str">
        <x:v>TPOT 档位</x:v>
      </x:c>
      <x:c r="F14" s="73" t="str">
        <x:v>TPOT ms</x:v>
      </x:c>
      <x:c r="G14" s="30"/>
      <x:c r="H14" s="30"/>
      <x:c r="I14" s="30"/>
      <x:c r="J14" s="30"/>
      <x:c r="K14" s="30"/>
      <x:c r="L14" s="30"/>
      <x:c r="M14" s="30"/>
      <x:c r="N14" s="30"/>
      <x:c r="O14" s="30"/>
      <x:c r="P14" s="30"/>
      <x:c r="Q14" s="30"/>
      <x:c r="R14" s="30"/>
      <x:c r="S14" s="30"/>
      <x:c r="T14" s="30"/>
      <x:c r="U14" s="30"/>
      <x:c r="V14" s="30"/>
      <x:c r="W14" s="30"/>
      <x:c r="X14" s="30"/>
    </x:row>
    <x:row r="15" ht="22" customHeight="1">
      <x:c r="A15" s="30" t="str">
        <x:v>16K</x:v>
      </x:c>
      <x:c r="B15" s="66" t="n">
        <x:v>16384</x:v>
      </x:c>
      <x:c r="C15" s="67" t="n">
        <x:v>4</x:v>
      </x:c>
      <x:c r="D15" s="30"/>
      <x:c r="E15" s="30" t="n">
        <x:v>1</x:v>
      </x:c>
      <x:c r="F15" s="67" t="n">
        <x:v>5</x:v>
      </x:c>
      <x:c r="G15" s="30"/>
      <x:c r="H15" s="81" t="str">
        <x:v>Default: P = D = 1; KV bursts = 1; shared / exposed fractions = 100%.</x:v>
      </x:c>
      <x:c r="I15" s="81"/>
      <x:c r="J15" s="81"/>
      <x:c r="K15" s="81"/>
      <x:c r="L15" s="81"/>
      <x:c r="M15" s="81"/>
      <x:c r="N15" s="81"/>
      <x:c r="O15" s="81"/>
      <x:c r="P15" s="81"/>
      <x:c r="Q15" s="81"/>
      <x:c r="R15" s="81"/>
      <x:c r="S15" s="81"/>
      <x:c r="T15" s="81"/>
      <x:c r="U15" s="81"/>
      <x:c r="V15" s="30"/>
      <x:c r="W15" s="30"/>
      <x:c r="X15" s="30"/>
    </x:row>
    <x:row r="16" ht="22" customHeight="1">
      <x:c r="A16" s="30" t="str">
        <x:v>256K</x:v>
      </x:c>
      <x:c r="B16" s="66" t="n">
        <x:v>262144</x:v>
      </x:c>
      <x:c r="C16" s="67" t="n">
        <x:v>20</x:v>
      </x:c>
      <x:c r="D16" s="30"/>
      <x:c r="E16" s="30" t="n">
        <x:v>2</x:v>
      </x:c>
      <x:c r="F16" s="67" t="n">
        <x:v>10</x:v>
      </x:c>
      <x:c r="G16" s="30"/>
      <x:c r="H16" s="81" t="str">
        <x:v>Deployment count：完整 EP 部署的套数；EP32 每套 32 卡，EP256 每套 256 卡。</x:v>
      </x:c>
      <x:c r="I16" s="81"/>
      <x:c r="J16" s="81"/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  <x:c r="U16" s="81"/>
      <x:c r="V16" s="30"/>
      <x:c r="W16" s="30"/>
      <x:c r="X16" s="30"/>
    </x:row>
    <x:row r="17" ht="22" customHeight="1">
      <x:c r="A17" s="30" t="str">
        <x:v>1M</x:v>
      </x:c>
      <x:c r="B17" s="66" t="n">
        <x:v>1048576</x:v>
      </x:c>
      <x:c r="C17" s="67" t="n">
        <x:v>60</x:v>
      </x:c>
      <x:c r="D17" s="30"/>
      <x:c r="E17" s="30" t="n">
        <x:v>3</x:v>
      </x:c>
      <x:c r="F17" s="67" t="n">
        <x:v>20</x:v>
      </x:c>
      <x:c r="G17" s="30"/>
      <x:c r="H17" s="81" t="str">
        <x:v>Shared resource fraction：通信中与 KV 竞争同一资源的比例。100% = 全部；0% = 资源独立。</x:v>
      </x:c>
      <x:c r="I17" s="81"/>
      <x:c r="J17" s="81"/>
      <x:c r="K17" s="81"/>
      <x:c r="L17" s="81"/>
      <x:c r="M17" s="81"/>
      <x:c r="N17" s="81"/>
      <x:c r="O17" s="81"/>
      <x:c r="P17" s="81"/>
      <x:c r="Q17" s="81"/>
      <x:c r="R17" s="81"/>
      <x:c r="S17" s="81"/>
      <x:c r="T17" s="81"/>
      <x:c r="U17" s="81"/>
      <x:c r="V17" s="30"/>
      <x:c r="W17" s="30"/>
      <x:c r="X17" s="30"/>
    </x:row>
    <x:row r="18" ht="22" customHeight="1">
      <x:c r="A18" s="30"/>
      <x:c r="B18" s="30"/>
      <x:c r="C18" s="30"/>
      <x:c r="D18" s="30"/>
      <x:c r="E18" s="30" t="n">
        <x:v>4</x:v>
      </x:c>
      <x:c r="F18" s="67" t="n">
        <x:v>30</x:v>
      </x:c>
      <x:c r="G18" s="30"/>
      <x:c r="H18" s="81" t="str">
        <x:v>Exposed communication fraction：通信增时最终计入 forward 的比例；被计算遮住的部分不计入。</x:v>
      </x:c>
      <x:c r="I18" s="81"/>
      <x:c r="J18" s="81"/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  <x:c r="U18" s="81"/>
      <x:c r="V18" s="30"/>
      <x:c r="W18" s="30"/>
      <x:c r="X18" s="30"/>
    </x:row>
    <x:row r="19" ht="22" customHeight="1">
      <x:c r="A19" s="30"/>
      <x:c r="B19" s="30"/>
      <x:c r="C19" s="30"/>
      <x:c r="D19" s="30"/>
      <x:c r="E19" s="30"/>
      <x:c r="F19" s="30"/>
      <x:c r="G19" s="30"/>
      <x:c r="H19" s="81" t="str">
        <x:v>KV bursts per interval：一批 KV 均分成 m 次、等间隔发送；m = 2 时每次一半，总量不变。</x:v>
      </x:c>
      <x:c r="I19" s="81"/>
      <x:c r="J19" s="81"/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  <x:c r="U19" s="81"/>
      <x:c r="V19" s="30"/>
      <x:c r="W19" s="30"/>
      <x:c r="X19" s="30"/>
    </x:row>
    <x:row r="20" ht="22" customHeight="1">
      <x:c r="A20" s="30"/>
      <x:c r="B20" s="30"/>
      <x:c r="C20" s="30"/>
      <x:c r="D20" s="30"/>
      <x:c r="E20" s="30"/>
      <x:c r="F20" s="30"/>
      <x:c r="G20" s="30"/>
      <x:c r="H20" s="81" t="str">
        <x:v>Temporal overlap 由 KV 窗口自动计算；没有 profiling 时，不必另猜 shared / exposed 两个比例。</x:v>
      </x:c>
      <x:c r="I20" s="81"/>
      <x:c r="J20" s="81"/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  <x:c r="U20" s="81"/>
      <x:c r="V20" s="30"/>
      <x:c r="W20" s="30"/>
      <x:c r="X20" s="30"/>
    </x:row>
    <x:row r="21" ht="22" customHeight="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  <x:c r="N21" s="30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</x:row>
    <x:row r="22" ht="42" customHeight="1">
      <x:c r="A22" s="73" t="str">
        <x:v>模型</x:v>
      </x:c>
      <x:c r="B22" s="73" t="str">
        <x:v>EP</x:v>
      </x:c>
      <x:c r="C22" s="73" t="str">
        <x:v>P TP</x:v>
      </x:c>
      <x:c r="D22" s="73" t="str">
        <x:v>D TP</x:v>
      </x:c>
      <x:c r="E22" s="73" t="str">
        <x:v>MoE 层数</x:v>
      </x:c>
      <x:c r="F22" s="73" t="str">
        <x:v>Hidden</x:v>
      </x:c>
      <x:c r="G22" s="73" t="str">
        <x:v>TopK</x:v>
      </x:c>
      <x:c r="H22" s="73" t="str">
        <x:v>逻辑专家数</x:v>
      </x:c>
      <x:c r="I22" s="73" t="str">
        <x:v>EP GB/s 输入</x:v>
      </x:c>
      <x:c r="J22" s="73" t="str">
        <x:v>KV GB/s 输入</x:v>
      </x:c>
      <x:c r="K22" s="73" t="str">
        <x:v>D tokens/DP/步</x:v>
      </x:c>
      <x:c r="L22" s="73" t="str">
        <x:v>产出 tokens/步</x:v>
      </x:c>
      <x:c r="M22" s="18" t="str">
        <x:v>EP shared
resource fraction</x:v>
      </x:c>
      <x:c r="N22" s="18" t="str">
        <x:v>EP exposed
comm fraction</x:v>
      </x:c>
      <x:c r="O22" s="73" t="str">
        <x:v>配置条件</x:v>
      </x:c>
      <x:c r="P22" s="30"/>
      <x:c r="Q22" s="30"/>
      <x:c r="R22" s="30"/>
      <x:c r="S22" s="30"/>
      <x:c r="T22" s="30"/>
      <x:c r="U22" s="30"/>
      <x:c r="V22" s="30"/>
      <x:c r="W22" s="30"/>
      <x:c r="X22" s="30"/>
    </x:row>
    <x:row r="23" ht="22" customHeight="1">
      <x:c r="A23" s="30" t="str">
        <x:v>DS V4 Pro</x:v>
      </x:c>
      <x:c r="B23" s="30" t="n">
        <x:v>32</x:v>
      </x:c>
      <x:c r="C23" s="30" t="n">
        <x:v>8</x:v>
      </x:c>
      <x:c r="D23" s="30" t="n">
        <x:v>1</x:v>
      </x:c>
      <x:c r="E23" s="30" t="n">
        <x:v>61</x:v>
      </x:c>
      <x:c r="F23" s="30" t="n">
        <x:v>7168</x:v>
      </x:c>
      <x:c r="G23" s="30" t="n">
        <x:v>6</x:v>
      </x:c>
      <x:c r="H23" s="30" t="n">
        <x:v>384</x:v>
      </x:c>
      <x:c r="I23" s="65" t="n">
        <x:f>$N$7</x:f>
        <x:v>4800</x:v>
      </x:c>
      <x:c r="J23" s="65" t="n">
        <x:f>$N$5</x:f>
        <x:v>4800</x:v>
      </x:c>
      <x:c r="K23" s="65" t="n">
        <x:f>$B$7</x:f>
        <x:v>128</x:v>
      </x:c>
      <x:c r="L23" s="65" t="n">
        <x:f>$F$7</x:f>
        <x:v>1</x:v>
      </x:c>
      <x:c r="M23" s="68" t="n">
        <x:f>$F$9</x:f>
        <x:v>1</x:v>
      </x:c>
      <x:c r="N23" s="68" t="n">
        <x:f>$J$9</x:f>
        <x:v>1</x:v>
      </x:c>
      <x:c r="O23" s="30" t="str">
        <x:v>运行未验证</x:v>
      </x:c>
      <x:c r="P23" s="30"/>
      <x:c r="Q23" s="30"/>
      <x:c r="R23" s="30"/>
      <x:c r="S23" s="30"/>
      <x:c r="T23" s="30"/>
      <x:c r="U23" s="30"/>
      <x:c r="V23" s="30"/>
      <x:c r="W23" s="30"/>
      <x:c r="X23" s="30"/>
    </x:row>
    <x:row r="24" ht="22" customHeight="1">
      <x:c r="A24" s="30" t="str">
        <x:v>DS V4 Pro</x:v>
      </x:c>
      <x:c r="B24" s="30" t="n">
        <x:v>256</x:v>
      </x:c>
      <x:c r="C24" s="30" t="n">
        <x:v>8</x:v>
      </x:c>
      <x:c r="D24" s="30" t="n">
        <x:v>1</x:v>
      </x:c>
      <x:c r="E24" s="30" t="n">
        <x:v>61</x:v>
      </x:c>
      <x:c r="F24" s="30" t="n">
        <x:v>7168</x:v>
      </x:c>
      <x:c r="G24" s="30" t="n">
        <x:v>6</x:v>
      </x:c>
      <x:c r="H24" s="30" t="n">
        <x:v>384</x:v>
      </x:c>
      <x:c r="I24" s="65" t="n">
        <x:f>$N$7</x:f>
        <x:v>4800</x:v>
      </x:c>
      <x:c r="J24" s="65" t="n">
        <x:f>$N$5</x:f>
        <x:v>4800</x:v>
      </x:c>
      <x:c r="K24" s="65" t="n">
        <x:f>$B$7</x:f>
        <x:v>128</x:v>
      </x:c>
      <x:c r="L24" s="65" t="n">
        <x:f>$F$7</x:f>
        <x:v>1</x:v>
      </x:c>
      <x:c r="M24" s="68" t="n">
        <x:f>$F$9</x:f>
        <x:v>1</x:v>
      </x:c>
      <x:c r="N24" s="68" t="n">
        <x:f>$J$9</x:f>
        <x:v>1</x:v>
      </x:c>
      <x:c r="O24" s="30" t="str">
        <x:v>需 128 个冗余专家槽</x:v>
      </x:c>
      <x:c r="P24" s="30"/>
      <x:c r="Q24" s="30"/>
      <x:c r="R24" s="30"/>
      <x:c r="S24" s="30"/>
      <x:c r="T24" s="30"/>
      <x:c r="U24" s="30"/>
      <x:c r="V24" s="30"/>
      <x:c r="W24" s="30"/>
      <x:c r="X24" s="30"/>
    </x:row>
    <x:row r="25" ht="22" customHeight="1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  <x:c r="L25" s="30"/>
      <x:c r="M25" s="30"/>
      <x:c r="N25" s="30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</x:row>
    <x:row r="26" ht="22" customHeight="1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</x:row>
    <x:row r="27" ht="22" customHeight="1">
      <x:c r="A27" s="40" t="str">
        <x:v>TPOT × 输入场景 × EP：稳态每分钟结果</x:v>
      </x:c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  <x:c r="L27" s="30"/>
      <x:c r="M27" s="30"/>
      <x:c r="N27" s="30"/>
      <x:c r="O27" s="30"/>
      <x:c r="P27" s="30"/>
      <x:c r="Q27" s="30"/>
      <x:c r="R27" s="30"/>
      <x:c r="S27" s="30"/>
      <x:c r="T27" s="30"/>
      <x:c r="U27" s="30"/>
      <x:c r="V27" s="30"/>
      <x:c r="W27" s="30"/>
      <x:c r="X27" s="30"/>
    </x:row>
    <x:row r="28" ht="22" customHeight="1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  <x:c r="L28" s="30"/>
      <x:c r="M28" s="30"/>
      <x:c r="N28" s="30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/>
    </x:row>
    <x:row r="29" ht="42" customHeight="1">
      <x:c r="A29" s="73" t="str">
        <x:v>模型</x:v>
      </x:c>
      <x:c r="B29" s="73" t="str">
        <x:v>EP</x:v>
      </x:c>
      <x:c r="C29" s="73" t="str">
        <x:v>输入 tokens</x:v>
      </x:c>
      <x:c r="D29" s="73" t="str">
        <x:v>周期 s</x:v>
      </x:c>
      <x:c r="E29" s="73" t="str">
        <x:v>TPOT ms</x:v>
      </x:c>
      <x:c r="F29" s="73" t="str">
        <x:v>KV 窗口 次/min</x:v>
      </x:c>
      <x:c r="G29" s="73" t="str">
        <x:v>KV 窗口 ms/次</x:v>
      </x:c>
      <x:c r="H29" s="73" t="str">
        <x:v>重叠 FW 次/min</x:v>
      </x:c>
      <x:c r="I29" s="73" t="str">
        <x:v>全 EP FW 次/min</x:v>
      </x:c>
      <x:c r="J29" s="73" t="str">
        <x:v>部分 EP FW 次/min</x:v>
      </x:c>
      <x:c r="K29" s="73" t="str">
        <x:v>重叠层调用 次/min</x:v>
      </x:c>
      <x:c r="L29" s="18" t="str">
        <x:v>Total overhead
ms/60s</x:v>
      </x:c>
      <x:c r="M29" s="73" t="str">
        <x:v>平均 TPOT 增量 μs</x:v>
      </x:c>
      <x:c r="N29" s="73" t="str">
        <x:v>TPOT 增幅 ppm</x:v>
      </x:c>
      <x:c r="O29" s="73" t="str">
        <x:v>结果条件</x:v>
      </x:c>
      <x:c r="P29" s="73" t="str">
        <x:v>最低 EP GB/s</x:v>
      </x:c>
      <x:c r="Q29" s="30"/>
      <x:c r="R29" s="30"/>
      <x:c r="S29" s="30"/>
      <x:c r="T29" s="30"/>
      <x:c r="U29" s="30"/>
      <x:c r="V29" s="30"/>
      <x:c r="W29" s="30"/>
      <x:c r="X29" s="30"/>
    </x:row>
    <x:row r="30" ht="22" customHeight="1">
      <x:c r="A30" s="30" t="str">
        <x:f>A23</x:f>
        <x:v>DS V4 Pro</x:v>
      </x:c>
      <x:c r="B30" s="30" t="n">
        <x:f>B23</x:f>
        <x:v>32</x:v>
      </x:c>
      <x:c r="C30" s="74" t="n">
        <x:f>$B$15</x:f>
        <x:v>16384</x:v>
      </x:c>
      <x:c r="D30" s="30" t="n">
        <x:f>$C$15</x:f>
        <x:v>4</x:v>
      </x:c>
      <x:c r="E30" s="30" t="n">
        <x:f>$F$15</x:f>
        <x:v>5</x:v>
      </x:c>
      <x:c r="F30" s="75" t="n">
        <x:f>IF(A60,60000/L60,"")</x:f>
        <x:v>15</x:v>
      </x:c>
      <x:c r="G30" s="75" t="n">
        <x:f>K60</x:f>
        <x:v>0.07795370666666666</x:v>
      </x:c>
      <x:c r="H30" s="75" t="n">
        <x:f>IF(W60="估算",U60*R60,"")</x:f>
        <x:v>15.001790440654084</x:v>
      </x:c>
      <x:c r="I30" s="75" t="n">
        <x:f>IF(W60="估算",U60*S60,"")</x:f>
        <x:v>0</x:v>
      </x:c>
      <x:c r="J30" s="75" t="n">
        <x:f>IF(W60="估算",U60*MAX(0,R60-S60),"")</x:f>
        <x:v>15.001790440654084</x:v>
      </x:c>
      <x:c r="K30" s="75" t="n">
        <x:f>IF(W60="估算",IF(OR(O60=0,K60=0),0,U60*E23*MIN(1,(K60+P60)/L60)),"")</x:f>
        <x:v>15.10921688</x:v>
      </x:c>
      <x:c r="L30" s="34" t="n">
        <x:f>IF(W60="估算",V60,"")</x:f>
        <x:v>0.007283617501202371</x:v>
      </x:c>
      <x:c r="M30" s="34" t="n">
        <x:f>IF(W60="估算",E30*V60/60,"")</x:f>
        <x:v>0.0006069681251001976</x:v>
      </x:c>
      <x:c r="N30" s="34" t="n">
        <x:f>IF(W60="估算",V60/60000*1e6,"")</x:f>
        <x:v>0.12139362502003953</x:v>
      </x:c>
      <x:c r="O30" s="30" t="str">
        <x:f>IF(W60="估算","相位平均估算",W60)</x:f>
        <x:v>相位平均估算</x:v>
      </x:c>
      <x:c r="P30" s="49" t="n">
        <x:f>Q60</x:f>
        <x:v>269.9803392</x:v>
      </x:c>
      <x:c r="Q30" s="30"/>
      <x:c r="R30" s="30"/>
      <x:c r="S30" s="30"/>
      <x:c r="T30" s="30"/>
      <x:c r="U30" s="30"/>
      <x:c r="V30" s="30"/>
      <x:c r="W30" s="30"/>
      <x:c r="X30" s="30"/>
    </x:row>
    <x:row r="31" ht="22" customHeight="1">
      <x:c r="A31" s="30" t="str">
        <x:f>A23</x:f>
        <x:v>DS V4 Pro</x:v>
      </x:c>
      <x:c r="B31" s="30" t="n">
        <x:f>B23</x:f>
        <x:v>32</x:v>
      </x:c>
      <x:c r="C31" s="74" t="n">
        <x:f>$B$15</x:f>
        <x:v>16384</x:v>
      </x:c>
      <x:c r="D31" s="30" t="n">
        <x:f>$C$15</x:f>
        <x:v>4</x:v>
      </x:c>
      <x:c r="E31" s="30" t="n">
        <x:f>$F$16</x:f>
        <x:v>10</x:v>
      </x:c>
      <x:c r="F31" s="75" t="n">
        <x:f>IF(A61,60000/L61,"")</x:f>
        <x:v>15</x:v>
      </x:c>
      <x:c r="G31" s="75" t="n">
        <x:f>K61</x:f>
        <x:v>0.07795370666666666</x:v>
      </x:c>
      <x:c r="H31" s="75" t="n">
        <x:f>IF(W61="估算",U61*R61,"")</x:f>
        <x:v>7.554608439999111</x:v>
      </x:c>
      <x:c r="I31" s="75" t="n">
        <x:f>IF(W61="估算",U61*S61,"")</x:f>
        <x:v>0</x:v>
      </x:c>
      <x:c r="J31" s="75" t="n">
        <x:f>IF(W61="估算",U61*MAX(0,R61-S61),"")</x:f>
        <x:v>7.554608439999111</x:v>
      </x:c>
      <x:c r="K31" s="75" t="n">
        <x:f>IF(W61="估算",IF(OR(O61=0,K61=0),0,U61*E23*MIN(1,(K61+P61)/L61)),"")</x:f>
        <x:v>7.55460844</x:v>
      </x:c>
      <x:c r="L31" s="34" t="n">
        <x:f>IF(W61="估算",V61,"")</x:f>
        <x:v>0.0036418087506011857</x:v>
      </x:c>
      <x:c r="M31" s="34" t="n">
        <x:f>IF(W61="估算",E31*V61/60,"")</x:f>
        <x:v>0.0006069681251001976</x:v>
      </x:c>
      <x:c r="N31" s="34" t="n">
        <x:f>IF(W61="估算",V61/60000*1e6,"")</x:f>
        <x:v>0.060696812510019765</x:v>
      </x:c>
      <x:c r="O31" s="30" t="str">
        <x:f>IF(W61="估算","相位平均估算",W61)</x:f>
        <x:v>相位平均估算</x:v>
      </x:c>
      <x:c r="P31" s="49" t="n">
        <x:f>Q61</x:f>
        <x:v>134.9901696</x:v>
      </x:c>
      <x:c r="Q31" s="30"/>
      <x:c r="R31" s="30"/>
      <x:c r="S31" s="30"/>
      <x:c r="T31" s="30"/>
      <x:c r="U31" s="30"/>
      <x:c r="V31" s="30"/>
      <x:c r="W31" s="30"/>
      <x:c r="X31" s="30"/>
    </x:row>
    <x:row r="32" ht="22" customHeight="1">
      <x:c r="A32" s="30" t="str">
        <x:f>A23</x:f>
        <x:v>DS V4 Pro</x:v>
      </x:c>
      <x:c r="B32" s="30" t="n">
        <x:f>B23</x:f>
        <x:v>32</x:v>
      </x:c>
      <x:c r="C32" s="74" t="n">
        <x:f>$B$15</x:f>
        <x:v>16384</x:v>
      </x:c>
      <x:c r="D32" s="30" t="n">
        <x:f>$C$15</x:f>
        <x:v>4</x:v>
      </x:c>
      <x:c r="E32" s="30" t="n">
        <x:f>$F$17</x:f>
        <x:v>20</x:v>
      </x:c>
      <x:c r="F32" s="75" t="n">
        <x:f>IF(A62,60000/L62,"")</x:f>
        <x:v>15</x:v>
      </x:c>
      <x:c r="G32" s="75" t="n">
        <x:f>K62</x:f>
        <x:v>0.07795370666666666</x:v>
      </x:c>
      <x:c r="H32" s="75" t="n">
        <x:f>IF(W62="估算",U62*R62,"")</x:f>
        <x:v>3.7773042199995555</x:v>
      </x:c>
      <x:c r="I32" s="75" t="n">
        <x:f>IF(W62="估算",U62*S62,"")</x:f>
        <x:v>0</x:v>
      </x:c>
      <x:c r="J32" s="75" t="n">
        <x:f>IF(W62="估算",U62*MAX(0,R62-S62),"")</x:f>
        <x:v>3.7773042199995555</x:v>
      </x:c>
      <x:c r="K32" s="75" t="n">
        <x:f>IF(W62="估算",IF(OR(O62=0,K62=0),0,U62*E23*MIN(1,(K62+P62)/L62)),"")</x:f>
        <x:v>3.77730422</x:v>
      </x:c>
      <x:c r="L32" s="34" t="n">
        <x:f>IF(W62="估算",V62,"")</x:f>
        <x:v>0.0018209043753005928</x:v>
      </x:c>
      <x:c r="M32" s="34" t="n">
        <x:f>IF(W62="估算",E32*V62/60,"")</x:f>
        <x:v>0.0006069681251001976</x:v>
      </x:c>
      <x:c r="N32" s="34" t="n">
        <x:f>IF(W62="估算",V62/60000*1e6,"")</x:f>
        <x:v>0.030348406255009883</x:v>
      </x:c>
      <x:c r="O32" s="30" t="str">
        <x:f>IF(W62="估算","相位平均估算",W62)</x:f>
        <x:v>相位平均估算</x:v>
      </x:c>
      <x:c r="P32" s="49" t="n">
        <x:f>Q62</x:f>
        <x:v>67.4950848</x:v>
      </x:c>
      <x:c r="Q32" s="30"/>
      <x:c r="R32" s="30"/>
      <x:c r="S32" s="30"/>
      <x:c r="T32" s="30"/>
      <x:c r="U32" s="30"/>
      <x:c r="V32" s="30"/>
      <x:c r="W32" s="30"/>
      <x:c r="X32" s="30"/>
    </x:row>
    <x:row r="33" ht="22" customHeight="1">
      <x:c r="A33" s="30" t="str">
        <x:f>A23</x:f>
        <x:v>DS V4 Pro</x:v>
      </x:c>
      <x:c r="B33" s="30" t="n">
        <x:f>B23</x:f>
        <x:v>32</x:v>
      </x:c>
      <x:c r="C33" s="74" t="n">
        <x:f>$B$15</x:f>
        <x:v>16384</x:v>
      </x:c>
      <x:c r="D33" s="30" t="n">
        <x:f>$C$15</x:f>
        <x:v>4</x:v>
      </x:c>
      <x:c r="E33" s="30" t="n">
        <x:f>$F$18</x:f>
        <x:v>30</x:v>
      </x:c>
      <x:c r="F33" s="75" t="n">
        <x:f>IF(A63,60000/L63,"")</x:f>
        <x:v>15</x:v>
      </x:c>
      <x:c r="G33" s="75" t="n">
        <x:f>K63</x:f>
        <x:v>0.07795370666666666</x:v>
      </x:c>
      <x:c r="H33" s="75" t="n">
        <x:f>IF(W63="估算",U63*R63,"")</x:f>
        <x:v>2.518202813333259</x:v>
      </x:c>
      <x:c r="I33" s="75" t="n">
        <x:f>IF(W63="估算",U63*S63,"")</x:f>
        <x:v>0</x:v>
      </x:c>
      <x:c r="J33" s="75" t="n">
        <x:f>IF(W63="估算",U63*MAX(0,R63-S63),"")</x:f>
        <x:v>2.518202813333259</x:v>
      </x:c>
      <x:c r="K33" s="75" t="n">
        <x:f>IF(W63="估算",IF(OR(O63=0,K63=0),0,U63*E23*MIN(1,(K63+P63)/L63)),"")</x:f>
        <x:v>2.518202813333333</x:v>
      </x:c>
      <x:c r="L33" s="34" t="n">
        <x:f>IF(W63="估算",V63,"")</x:f>
        <x:v>0.0012139362502003952</x:v>
      </x:c>
      <x:c r="M33" s="34" t="n">
        <x:f>IF(W63="估算",E33*V63/60,"")</x:f>
        <x:v>0.0006069681251001976</x:v>
      </x:c>
      <x:c r="N33" s="34" t="n">
        <x:f>IF(W63="估算",V63/60000*1e6,"")</x:f>
        <x:v>0.020232270836673255</x:v>
      </x:c>
      <x:c r="O33" s="30" t="str">
        <x:f>IF(W63="估算","相位平均估算",W63)</x:f>
        <x:v>相位平均估算</x:v>
      </x:c>
      <x:c r="P33" s="49" t="n">
        <x:f>Q63</x:f>
        <x:v>44.996723200000005</x:v>
      </x:c>
      <x:c r="Q33" s="30"/>
      <x:c r="R33" s="30"/>
      <x:c r="S33" s="30"/>
      <x:c r="T33" s="30"/>
      <x:c r="U33" s="30"/>
      <x:c r="V33" s="30"/>
      <x:c r="W33" s="30"/>
      <x:c r="X33" s="30"/>
    </x:row>
    <x:row r="34" ht="22" customHeight="1">
      <x:c r="A34" s="30" t="str">
        <x:f>A23</x:f>
        <x:v>DS V4 Pro</x:v>
      </x:c>
      <x:c r="B34" s="30" t="n">
        <x:f>B23</x:f>
        <x:v>32</x:v>
      </x:c>
      <x:c r="C34" s="74" t="n">
        <x:f>$B$16</x:f>
        <x:v>262144</x:v>
      </x:c>
      <x:c r="D34" s="30" t="n">
        <x:f>$C$16</x:f>
        <x:v>20</x:v>
      </x:c>
      <x:c r="E34" s="30" t="n">
        <x:f>$F$15</x:f>
        <x:v>5</x:v>
      </x:c>
      <x:c r="F34" s="75" t="n">
        <x:f>IF(A64,60000/L64,"")</x:f>
        <x:v>3</x:v>
      </x:c>
      <x:c r="G34" s="75" t="n">
        <x:f>K64</x:f>
        <x:v>0.9896209066666667</x:v>
      </x:c>
      <x:c r="H34" s="75" t="n">
        <x:f>IF(W64="估算",U64*R64,"")</x:f>
        <x:v>3.5473584081326948</x:v>
      </x:c>
      <x:c r="I34" s="75" t="n">
        <x:f>IF(W64="估算",U64*S64,"")</x:f>
        <x:v>0</x:v>
      </x:c>
      <x:c r="J34" s="75" t="n">
        <x:f>IF(W64="估算",U64*MAX(0,R64-S64),"")</x:f>
        <x:v>3.5473584081326948</x:v>
      </x:c>
      <x:c r="K34" s="75" t="n">
        <x:f>IF(W64="估算",IF(OR(O64=0,K64=0),0,U64*E23*MIN(1,(K64+P64)/L64)),"")</x:f>
        <x:v>36.388862896</x:v>
      </x:c>
      <x:c r="L34" s="34" t="n">
        <x:f>IF(W64="估算",V64,"")</x:f>
        <x:v>0.01854923877062341</x:v>
      </x:c>
      <x:c r="M34" s="34" t="n">
        <x:f>IF(W64="估算",E34*V64/60,"")</x:f>
        <x:v>0.001545769897551951</x:v>
      </x:c>
      <x:c r="N34" s="34" t="n">
        <x:f>IF(W64="估算",V64/60000*1e6,"")</x:f>
        <x:v>0.3091539795103902</x:v>
      </x:c>
      <x:c r="O34" s="30" t="str">
        <x:f>IF(W64="估算","相位平均估算",W64)</x:f>
        <x:v>相位平均估算</x:v>
      </x:c>
      <x:c r="P34" s="49" t="n">
        <x:f>Q64</x:f>
        <x:v>269.9803392</x:v>
      </x:c>
      <x:c r="Q34" s="30"/>
      <x:c r="R34" s="30"/>
      <x:c r="S34" s="30"/>
      <x:c r="T34" s="30"/>
      <x:c r="U34" s="30"/>
      <x:c r="V34" s="30"/>
      <x:c r="W34" s="30"/>
      <x:c r="X34" s="30"/>
    </x:row>
    <x:row r="35" ht="22" customHeight="1">
      <x:c r="A35" s="30" t="str">
        <x:f>A23</x:f>
        <x:v>DS V4 Pro</x:v>
      </x:c>
      <x:c r="B35" s="30" t="n">
        <x:f>B23</x:f>
        <x:v>32</x:v>
      </x:c>
      <x:c r="C35" s="74" t="n">
        <x:f>$B$16</x:f>
        <x:v>262144</x:v>
      </x:c>
      <x:c r="D35" s="30" t="n">
        <x:f>$C$16</x:f>
        <x:v>20</x:v>
      </x:c>
      <x:c r="E35" s="30" t="n">
        <x:f>$F$16</x:f>
        <x:v>10</x:v>
      </x:c>
      <x:c r="F35" s="75" t="n">
        <x:f>IF(A65,60000/L65,"")</x:f>
        <x:v>3</x:v>
      </x:c>
      <x:c r="G35" s="75" t="n">
        <x:f>K65</x:f>
        <x:v>0.9896209066666667</x:v>
      </x:c>
      <x:c r="H35" s="75" t="n">
        <x:f>IF(W65="估算",U65*R65,"")</x:f>
        <x:v>3.2490890401317696</x:v>
      </x:c>
      <x:c r="I35" s="75" t="n">
        <x:f>IF(W65="估算",U65*S65,"")</x:f>
        <x:v>0</x:v>
      </x:c>
      <x:c r="J35" s="75" t="n">
        <x:f>IF(W65="估算",U65*MAX(0,R65-S65),"")</x:f>
        <x:v>3.2490890401317696</x:v>
      </x:c>
      <x:c r="K35" s="75" t="n">
        <x:f>IF(W65="估算",IF(OR(O65=0,K65=0),0,U65*E23*MIN(1,(K65+P65)/L65)),"")</x:f>
        <x:v>18.194431448</x:v>
      </x:c>
      <x:c r="L35" s="34" t="n">
        <x:f>IF(W65="估算",V65,"")</x:f>
        <x:v>0.009274619385311706</x:v>
      </x:c>
      <x:c r="M35" s="34" t="n">
        <x:f>IF(W65="估算",E35*V65/60,"")</x:f>
        <x:v>0.001545769897551951</x:v>
      </x:c>
      <x:c r="N35" s="34" t="n">
        <x:f>IF(W65="估算",V65/60000*1e6,"")</x:f>
        <x:v>0.1545769897551951</x:v>
      </x:c>
      <x:c r="O35" s="30" t="str">
        <x:f>IF(W65="估算","相位平均估算",W65)</x:f>
        <x:v>相位平均估算</x:v>
      </x:c>
      <x:c r="P35" s="49" t="n">
        <x:f>Q65</x:f>
        <x:v>134.9901696</x:v>
      </x:c>
      <x:c r="Q35" s="30"/>
      <x:c r="R35" s="30"/>
      <x:c r="S35" s="30"/>
      <x:c r="T35" s="30"/>
      <x:c r="U35" s="30"/>
      <x:c r="V35" s="30"/>
      <x:c r="W35" s="30"/>
      <x:c r="X35" s="30"/>
    </x:row>
    <x:row r="36" ht="22" customHeight="1">
      <x:c r="A36" s="30" t="str">
        <x:f>A23</x:f>
        <x:v>DS V4 Pro</x:v>
      </x:c>
      <x:c r="B36" s="30" t="n">
        <x:f>B23</x:f>
        <x:v>32</x:v>
      </x:c>
      <x:c r="C36" s="74" t="n">
        <x:f>$B$16</x:f>
        <x:v>262144</x:v>
      </x:c>
      <x:c r="D36" s="30" t="n">
        <x:f>$C$16</x:f>
        <x:v>20</x:v>
      </x:c>
      <x:c r="E36" s="30" t="n">
        <x:f>$F$17</x:f>
        <x:v>20</x:v>
      </x:c>
      <x:c r="F36" s="75" t="n">
        <x:f>IF(A66,60000/L66,"")</x:f>
        <x:v>3</x:v>
      </x:c>
      <x:c r="G36" s="75" t="n">
        <x:f>K66</x:f>
        <x:v>0.9896209066666667</x:v>
      </x:c>
      <x:c r="H36" s="75" t="n">
        <x:f>IF(W66="估算",U66*R66,"")</x:f>
        <x:v>3.099954356131307</x:v>
      </x:c>
      <x:c r="I36" s="75" t="n">
        <x:f>IF(W66="估算",U66*S66,"")</x:f>
        <x:v>0</x:v>
      </x:c>
      <x:c r="J36" s="75" t="n">
        <x:f>IF(W66="估算",U66*MAX(0,R66-S66),"")</x:f>
        <x:v>3.099954356131307</x:v>
      </x:c>
      <x:c r="K36" s="75" t="n">
        <x:f>IF(W66="估算",IF(OR(O66=0,K66=0),0,U66*E23*MIN(1,(K66+P66)/L66)),"")</x:f>
        <x:v>9.097215724</x:v>
      </x:c>
      <x:c r="L36" s="34" t="n">
        <x:f>IF(W66="估算",V66,"")</x:f>
        <x:v>0.004637309692655853</x:v>
      </x:c>
      <x:c r="M36" s="34" t="n">
        <x:f>IF(W66="估算",E36*V66/60,"")</x:f>
        <x:v>0.001545769897551951</x:v>
      </x:c>
      <x:c r="N36" s="34" t="n">
        <x:f>IF(W66="估算",V66/60000*1e6,"")</x:f>
        <x:v>0.07728849487759755</x:v>
      </x:c>
      <x:c r="O36" s="30" t="str">
        <x:f>IF(W66="估算","相位平均估算",W66)</x:f>
        <x:v>相位平均估算</x:v>
      </x:c>
      <x:c r="P36" s="49" t="n">
        <x:f>Q66</x:f>
        <x:v>67.4950848</x:v>
      </x:c>
      <x:c r="Q36" s="30"/>
      <x:c r="R36" s="30"/>
      <x:c r="S36" s="30"/>
      <x:c r="T36" s="30"/>
      <x:c r="U36" s="30"/>
      <x:c r="V36" s="30"/>
      <x:c r="W36" s="30"/>
      <x:c r="X36" s="30"/>
    </x:row>
    <x:row r="37" ht="22" customHeight="1">
      <x:c r="A37" s="30" t="str">
        <x:f>A23</x:f>
        <x:v>DS V4 Pro</x:v>
      </x:c>
      <x:c r="B37" s="30" t="n">
        <x:f>B23</x:f>
        <x:v>32</x:v>
      </x:c>
      <x:c r="C37" s="74" t="n">
        <x:f>$B$16</x:f>
        <x:v>262144</x:v>
      </x:c>
      <x:c r="D37" s="30" t="n">
        <x:f>$C$16</x:f>
        <x:v>20</x:v>
      </x:c>
      <x:c r="E37" s="30" t="n">
        <x:f>$F$18</x:f>
        <x:v>30</x:v>
      </x:c>
      <x:c r="F37" s="75" t="n">
        <x:f>IF(A67,60000/L67,"")</x:f>
        <x:v>3</x:v>
      </x:c>
      <x:c r="G37" s="75" t="n">
        <x:f>K67</x:f>
        <x:v>0.9896209066666667</x:v>
      </x:c>
      <x:c r="H37" s="75" t="n">
        <x:f>IF(W67="估算",U67*R67,"")</x:f>
        <x:v>3.0502427947980415</x:v>
      </x:c>
      <x:c r="I37" s="75" t="n">
        <x:f>IF(W67="估算",U67*S67,"")</x:f>
        <x:v>0</x:v>
      </x:c>
      <x:c r="J37" s="75" t="n">
        <x:f>IF(W67="估算",U67*MAX(0,R67-S67),"")</x:f>
        <x:v>3.0502427947980415</x:v>
      </x:c>
      <x:c r="K37" s="75" t="n">
        <x:f>IF(W67="估算",IF(OR(O67=0,K67=0),0,U67*E23*MIN(1,(K67+P67)/L67)),"")</x:f>
        <x:v>6.064810482666666</x:v>
      </x:c>
      <x:c r="L37" s="34" t="n">
        <x:f>IF(W67="估算",V67,"")</x:f>
        <x:v>0.0030915397951039015</x:v>
      </x:c>
      <x:c r="M37" s="34" t="n">
        <x:f>IF(W67="估算",E37*V67/60,"")</x:f>
        <x:v>0.0015457698975519507</x:v>
      </x:c>
      <x:c r="N37" s="34" t="n">
        <x:f>IF(W67="估算",V67/60000*1e6,"")</x:f>
        <x:v>0.05152566325173169</x:v>
      </x:c>
      <x:c r="O37" s="30" t="str">
        <x:f>IF(W67="估算","相位平均估算",W67)</x:f>
        <x:v>相位平均估算</x:v>
      </x:c>
      <x:c r="P37" s="49" t="n">
        <x:f>Q67</x:f>
        <x:v>44.996723200000005</x:v>
      </x:c>
      <x:c r="Q37" s="30"/>
      <x:c r="R37" s="30"/>
      <x:c r="S37" s="30"/>
      <x:c r="T37" s="30"/>
      <x:c r="U37" s="30"/>
      <x:c r="V37" s="30"/>
      <x:c r="W37" s="30"/>
      <x:c r="X37" s="30"/>
    </x:row>
    <x:row r="38" ht="22" customHeight="1">
      <x:c r="A38" s="30" t="str">
        <x:f>A23</x:f>
        <x:v>DS V4 Pro</x:v>
      </x:c>
      <x:c r="B38" s="30" t="n">
        <x:f>B23</x:f>
        <x:v>32</x:v>
      </x:c>
      <x:c r="C38" s="74" t="n">
        <x:f>$B$17</x:f>
        <x:v>1048576</x:v>
      </x:c>
      <x:c r="D38" s="30" t="n">
        <x:f>$C$17</x:f>
        <x:v>60</x:v>
      </x:c>
      <x:c r="E38" s="30" t="n">
        <x:f>$F$15</x:f>
        <x:v>5</x:v>
      </x:c>
      <x:c r="F38" s="75" t="n">
        <x:f>IF(A68,60000/L68,"")</x:f>
        <x:v>1</x:v>
      </x:c>
      <x:c r="G38" s="75" t="n">
        <x:f>K68</x:f>
        <x:v>3.906955946666667</x:v>
      </x:c>
      <x:c r="H38" s="75" t="n">
        <x:f>IF(W68="估算",U68*R68,"")</x:f>
        <x:v>1.7659198107091711</x:v>
      </x:c>
      <x:c r="I38" s="75" t="n">
        <x:f>IF(W68="估算",U68*S68,"")</x:f>
        <x:v>0</x:v>
      </x:c>
      <x:c r="J38" s="75" t="n">
        <x:f>IF(W68="估算",U68*MAX(0,R68-S68),"")</x:f>
        <x:v>1.7659198107091711</x:v>
      </x:c>
      <x:c r="K38" s="75" t="n">
        <x:f>IF(W68="估算",IF(OR(O68=0,K68=0),0,U68*E23*MIN(1,(K68+P68)/L68)),"")</x:f>
        <x:v>47.721108453333336</x:v>
      </x:c>
      <x:c r="L38" s="34" t="n">
        <x:f>IF(W68="估算",V68,"")</x:f>
        <x:v>0.02441509587861627</x:v>
      </x:c>
      <x:c r="M38" s="34" t="n">
        <x:f>IF(W68="估算",E38*V68/60,"")</x:f>
        <x:v>0.0020345913232180227</x:v>
      </x:c>
      <x:c r="N38" s="34" t="n">
        <x:f>IF(W68="估算",V68/60000*1e6,"")</x:f>
        <x:v>0.40691826464360453</x:v>
      </x:c>
      <x:c r="O38" s="30" t="str">
        <x:f>IF(W68="估算","相位平均估算",W68)</x:f>
        <x:v>相位平均估算</x:v>
      </x:c>
      <x:c r="P38" s="49" t="n">
        <x:f>Q68</x:f>
        <x:v>269.9803392</x:v>
      </x:c>
      <x:c r="Q38" s="30"/>
      <x:c r="R38" s="30"/>
      <x:c r="S38" s="30"/>
      <x:c r="T38" s="30"/>
      <x:c r="U38" s="30"/>
      <x:c r="V38" s="30"/>
      <x:c r="W38" s="30"/>
      <x:c r="X38" s="30"/>
    </x:row>
    <x:row r="39" ht="22" customHeight="1">
      <x:c r="A39" s="30" t="str">
        <x:f>A23</x:f>
        <x:v>DS V4 Pro</x:v>
      </x:c>
      <x:c r="B39" s="30" t="n">
        <x:f>B23</x:f>
        <x:v>32</x:v>
      </x:c>
      <x:c r="C39" s="74" t="n">
        <x:f>$B$17</x:f>
        <x:v>1048576</x:v>
      </x:c>
      <x:c r="D39" s="30" t="n">
        <x:f>$C$17</x:f>
        <x:v>60</x:v>
      </x:c>
      <x:c r="E39" s="30" t="n">
        <x:f>$F$16</x:f>
        <x:v>10</x:v>
      </x:c>
      <x:c r="F39" s="75" t="n">
        <x:f>IF(A69,60000/L69,"")</x:f>
        <x:v>1</x:v>
      </x:c>
      <x:c r="G39" s="75" t="n">
        <x:f>K69</x:f>
        <x:v>3.906955946666667</x:v>
      </x:c>
      <x:c r="H39" s="75" t="n">
        <x:f>IF(W69="估算",U69*R69,"")</x:f>
        <x:v>1.3747631840435037</x:v>
      </x:c>
      <x:c r="I39" s="75" t="n">
        <x:f>IF(W69="估算",U69*S69,"")</x:f>
        <x:v>0</x:v>
      </x:c>
      <x:c r="J39" s="75" t="n">
        <x:f>IF(W69="估算",U69*MAX(0,R69-S69),"")</x:f>
        <x:v>1.3747631840435037</x:v>
      </x:c>
      <x:c r="K39" s="75" t="n">
        <x:f>IF(W69="估算",IF(OR(O69=0,K69=0),0,U69*E23*MIN(1,(K69+P69)/L69)),"")</x:f>
        <x:v>23.860554226666668</x:v>
      </x:c>
      <x:c r="L39" s="34" t="n">
        <x:f>IF(W69="估算",V69,"")</x:f>
        <x:v>0.012207547939308136</x:v>
      </x:c>
      <x:c r="M39" s="34" t="n">
        <x:f>IF(W69="估算",E39*V69/60,"")</x:f>
        <x:v>0.0020345913232180227</x:v>
      </x:c>
      <x:c r="N39" s="34" t="n">
        <x:f>IF(W69="估算",V69/60000*1e6,"")</x:f>
        <x:v>0.20345913232180227</x:v>
      </x:c>
      <x:c r="O39" s="30" t="str">
        <x:f>IF(W69="估算","相位平均估算",W69)</x:f>
        <x:v>相位平均估算</x:v>
      </x:c>
      <x:c r="P39" s="49" t="n">
        <x:f>Q69</x:f>
        <x:v>134.9901696</x:v>
      </x:c>
      <x:c r="Q39" s="30"/>
      <x:c r="R39" s="30"/>
      <x:c r="S39" s="30"/>
      <x:c r="T39" s="30"/>
      <x:c r="U39" s="30"/>
      <x:c r="V39" s="30"/>
      <x:c r="W39" s="30"/>
      <x:c r="X39" s="30"/>
    </x:row>
    <x:row r="40" ht="22" customHeight="1">
      <x:c r="A40" s="30" t="str">
        <x:f>A23</x:f>
        <x:v>DS V4 Pro</x:v>
      </x:c>
      <x:c r="B40" s="30" t="n">
        <x:f>B23</x:f>
        <x:v>32</x:v>
      </x:c>
      <x:c r="C40" s="74" t="n">
        <x:f>$B$17</x:f>
        <x:v>1048576</x:v>
      </x:c>
      <x:c r="D40" s="30" t="n">
        <x:f>$C$17</x:f>
        <x:v>60</x:v>
      </x:c>
      <x:c r="E40" s="30" t="n">
        <x:f>$F$17</x:f>
        <x:v>20</x:v>
      </x:c>
      <x:c r="F40" s="75" t="n">
        <x:f>IF(A70,60000/L70,"")</x:f>
        <x:v>1</x:v>
      </x:c>
      <x:c r="G40" s="75" t="n">
        <x:f>K70</x:f>
        <x:v>3.906955946666667</x:v>
      </x:c>
      <x:c r="H40" s="75" t="n">
        <x:f>IF(W70="估算",U70*R70,"")</x:f>
        <x:v>1.179184870710337</x:v>
      </x:c>
      <x:c r="I40" s="75" t="n">
        <x:f>IF(W70="估算",U70*S70,"")</x:f>
        <x:v>0</x:v>
      </x:c>
      <x:c r="J40" s="75" t="n">
        <x:f>IF(W70="估算",U70*MAX(0,R70-S70),"")</x:f>
        <x:v>1.179184870710337</x:v>
      </x:c>
      <x:c r="K40" s="75" t="n">
        <x:f>IF(W70="估算",IF(OR(O70=0,K70=0),0,U70*E23*MIN(1,(K70+P70)/L70)),"")</x:f>
        <x:v>11.930277113333334</x:v>
      </x:c>
      <x:c r="L40" s="34" t="n">
        <x:f>IF(W70="估算",V70,"")</x:f>
        <x:v>0.006103773969654068</x:v>
      </x:c>
      <x:c r="M40" s="34" t="n">
        <x:f>IF(W70="估算",E40*V70/60,"")</x:f>
        <x:v>0.0020345913232180227</x:v>
      </x:c>
      <x:c r="N40" s="34" t="n">
        <x:f>IF(W70="估算",V70/60000*1e6,"")</x:f>
        <x:v>0.10172956616090113</x:v>
      </x:c>
      <x:c r="O40" s="30" t="str">
        <x:f>IF(W70="估算","相位平均估算",W70)</x:f>
        <x:v>相位平均估算</x:v>
      </x:c>
      <x:c r="P40" s="49" t="n">
        <x:f>Q70</x:f>
        <x:v>67.4950848</x:v>
      </x:c>
      <x:c r="Q40" s="30"/>
      <x:c r="R40" s="30"/>
      <x:c r="S40" s="30"/>
      <x:c r="T40" s="30"/>
      <x:c r="U40" s="30"/>
      <x:c r="V40" s="30"/>
      <x:c r="W40" s="30"/>
      <x:c r="X40" s="30"/>
    </x:row>
    <x:row r="41" ht="22" customHeight="1">
      <x:c r="A41" s="30" t="str">
        <x:f>A23</x:f>
        <x:v>DS V4 Pro</x:v>
      </x:c>
      <x:c r="B41" s="30" t="n">
        <x:f>B23</x:f>
        <x:v>32</x:v>
      </x:c>
      <x:c r="C41" s="74" t="n">
        <x:f>$B$17</x:f>
        <x:v>1048576</x:v>
      </x:c>
      <x:c r="D41" s="30" t="n">
        <x:f>$C$17</x:f>
        <x:v>60</x:v>
      </x:c>
      <x:c r="E41" s="30" t="n">
        <x:f>$F$18</x:f>
        <x:v>30</x:v>
      </x:c>
      <x:c r="F41" s="75" t="n">
        <x:f>IF(A71,60000/L71,"")</x:f>
        <x:v>1</x:v>
      </x:c>
      <x:c r="G41" s="75" t="n">
        <x:f>K71</x:f>
        <x:v>3.906955946666667</x:v>
      </x:c>
      <x:c r="H41" s="75" t="n">
        <x:f>IF(W71="估算",U71*R71,"")</x:f>
        <x:v>1.1139920995992814</x:v>
      </x:c>
      <x:c r="I41" s="75" t="n">
        <x:f>IF(W71="估算",U71*S71,"")</x:f>
        <x:v>0</x:v>
      </x:c>
      <x:c r="J41" s="75" t="n">
        <x:f>IF(W71="估算",U71*MAX(0,R71-S71),"")</x:f>
        <x:v>1.1139920995992814</x:v>
      </x:c>
      <x:c r="K41" s="75" t="n">
        <x:f>IF(W71="估算",IF(OR(O71=0,K71=0),0,U71*E23*MIN(1,(K71+P71)/L71)),"")</x:f>
        <x:v>7.953518075555556</x:v>
      </x:c>
      <x:c r="L41" s="34" t="n">
        <x:f>IF(W71="估算",V71,"")</x:f>
        <x:v>0.0040691826464360455</x:v>
      </x:c>
      <x:c r="M41" s="34" t="n">
        <x:f>IF(W71="估算",E41*V71/60,"")</x:f>
        <x:v>0.0020345913232180227</x:v>
      </x:c>
      <x:c r="N41" s="34" t="n">
        <x:f>IF(W71="估算",V71/60000*1e6,"")</x:f>
        <x:v>0.0678197107739341</x:v>
      </x:c>
      <x:c r="O41" s="30" t="str">
        <x:f>IF(W71="估算","相位平均估算",W71)</x:f>
        <x:v>相位平均估算</x:v>
      </x:c>
      <x:c r="P41" s="49" t="n">
        <x:f>Q71</x:f>
        <x:v>44.996723200000005</x:v>
      </x:c>
      <x:c r="Q41" s="30"/>
      <x:c r="R41" s="30"/>
      <x:c r="S41" s="30"/>
      <x:c r="T41" s="30"/>
      <x:c r="U41" s="30"/>
      <x:c r="V41" s="30"/>
      <x:c r="W41" s="30"/>
      <x:c r="X41" s="30"/>
    </x:row>
    <x:row r="42" ht="22" customHeight="1">
      <x:c r="A42" s="30" t="str">
        <x:f>A24</x:f>
        <x:v>DS V4 Pro</x:v>
      </x:c>
      <x:c r="B42" s="30" t="n">
        <x:f>B24</x:f>
        <x:v>256</x:v>
      </x:c>
      <x:c r="C42" s="74" t="n">
        <x:f>$B$15</x:f>
        <x:v>16384</x:v>
      </x:c>
      <x:c r="D42" s="30" t="n">
        <x:f>$C$15</x:f>
        <x:v>4</x:v>
      </x:c>
      <x:c r="E42" s="30" t="n">
        <x:f>$F$15</x:f>
        <x:v>5</x:v>
      </x:c>
      <x:c r="F42" s="75" t="n">
        <x:f>IF(A72,60000/L72,"")</x:f>
        <x:v>15</x:v>
      </x:c>
      <x:c r="G42" s="75" t="n">
        <x:f>K72</x:f>
        <x:v>0.07795370666666666</x:v>
      </x:c>
      <x:c r="H42" s="75" t="n">
        <x:f>IF(W72="估算",U72*R72,"")</x:f>
        <x:v>15.002183380654621</x:v>
      </x:c>
      <x:c r="I42" s="75" t="n">
        <x:f>IF(W72="估算",U72*S72,"")</x:f>
        <x:v>0</x:v>
      </x:c>
      <x:c r="J42" s="75" t="n">
        <x:f>IF(W72="估算",U72*MAX(0,R72-S72),"")</x:f>
        <x:v>15.002183380654621</x:v>
      </x:c>
      <x:c r="K42" s="75" t="n">
        <x:f>IF(W72="估算",IF(OR(O72=0,K72=0),0,U72*E24*MIN(1,(K72+P72)/L72)),"")</x:f>
        <x:v>15.13318622</x:v>
      </x:c>
      <x:c r="L42" s="34" t="n">
        <x:f>IF(W72="估算",V72,"")</x:f>
        <x:v>0.007489844834714927</x:v>
      </x:c>
      <x:c r="M42" s="34" t="n">
        <x:f>IF(W72="估算",E42*V72/60,"")</x:f>
        <x:v>0.0006241537362262439</x:v>
      </x:c>
      <x:c r="N42" s="34" t="n">
        <x:f>IF(W72="估算",V72/60000*1e6,"")</x:f>
        <x:v>0.12483074724524877</x:v>
      </x:c>
      <x:c r="O42" s="30" t="str">
        <x:f>IF(W72="估算","相位平均估算",W72)</x:f>
        <x:v>相位平均估算</x:v>
      </x:c>
      <x:c r="P42" s="49" t="n">
        <x:f>Q72</x:f>
        <x:v>277.650528</x:v>
      </x:c>
      <x:c r="Q42" s="30"/>
      <x:c r="R42" s="30"/>
      <x:c r="S42" s="30"/>
      <x:c r="T42" s="30"/>
      <x:c r="U42" s="30"/>
      <x:c r="V42" s="30"/>
      <x:c r="W42" s="30"/>
      <x:c r="X42" s="30"/>
    </x:row>
    <x:row r="43" ht="22" customHeight="1">
      <x:c r="A43" s="30" t="str">
        <x:f>A24</x:f>
        <x:v>DS V4 Pro</x:v>
      </x:c>
      <x:c r="B43" s="30" t="n">
        <x:f>B24</x:f>
        <x:v>256</x:v>
      </x:c>
      <x:c r="C43" s="74" t="n">
        <x:f>$B$15</x:f>
        <x:v>16384</x:v>
      </x:c>
      <x:c r="D43" s="30" t="n">
        <x:f>$C$15</x:f>
        <x:v>4</x:v>
      </x:c>
      <x:c r="E43" s="30" t="n">
        <x:f>$F$16</x:f>
        <x:v>10</x:v>
      </x:c>
      <x:c r="F43" s="75" t="n">
        <x:f>IF(A73,60000/L73,"")</x:f>
        <x:v>15</x:v>
      </x:c>
      <x:c r="G43" s="75" t="n">
        <x:f>K73</x:f>
        <x:v>0.07795370666666666</x:v>
      </x:c>
      <x:c r="H43" s="75" t="n">
        <x:f>IF(W73="估算",U73*R73,"")</x:f>
        <x:v>7.56659310999952</x:v>
      </x:c>
      <x:c r="I43" s="75" t="n">
        <x:f>IF(W73="估算",U73*S73,"")</x:f>
        <x:v>0</x:v>
      </x:c>
      <x:c r="J43" s="75" t="n">
        <x:f>IF(W73="估算",U73*MAX(0,R73-S73),"")</x:f>
        <x:v>7.56659310999952</x:v>
      </x:c>
      <x:c r="K43" s="75" t="n">
        <x:f>IF(W73="估算",IF(OR(O73=0,K73=0),0,U73*E24*MIN(1,(K73+P73)/L73)),"")</x:f>
        <x:v>7.56659311</x:v>
      </x:c>
      <x:c r="L43" s="34" t="n">
        <x:f>IF(W73="估算",V73,"")</x:f>
        <x:v>0.0037449224173574636</x:v>
      </x:c>
      <x:c r="M43" s="34" t="n">
        <x:f>IF(W73="估算",E43*V73/60,"")</x:f>
        <x:v>0.0006241537362262439</x:v>
      </x:c>
      <x:c r="N43" s="34" t="n">
        <x:f>IF(W73="估算",V73/60000*1e6,"")</x:f>
        <x:v>0.062415373622624386</x:v>
      </x:c>
      <x:c r="O43" s="30" t="str">
        <x:f>IF(W73="估算","相位平均估算",W73)</x:f>
        <x:v>相位平均估算</x:v>
      </x:c>
      <x:c r="P43" s="49" t="n">
        <x:f>Q73</x:f>
        <x:v>138.825264</x:v>
      </x:c>
      <x:c r="Q43" s="30"/>
      <x:c r="R43" s="30"/>
      <x:c r="S43" s="30"/>
      <x:c r="T43" s="30"/>
      <x:c r="U43" s="30"/>
      <x:c r="V43" s="30"/>
      <x:c r="W43" s="30"/>
      <x:c r="X43" s="30"/>
    </x:row>
    <x:row r="44" ht="22" customHeight="1">
      <x:c r="A44" s="30" t="str">
        <x:f>A24</x:f>
        <x:v>DS V4 Pro</x:v>
      </x:c>
      <x:c r="B44" s="30" t="n">
        <x:f>B24</x:f>
        <x:v>256</x:v>
      </x:c>
      <x:c r="C44" s="74" t="n">
        <x:f>$B$15</x:f>
        <x:v>16384</x:v>
      </x:c>
      <x:c r="D44" s="30" t="n">
        <x:f>$C$15</x:f>
        <x:v>4</x:v>
      </x:c>
      <x:c r="E44" s="30" t="n">
        <x:f>$F$17</x:f>
        <x:v>20</x:v>
      </x:c>
      <x:c r="F44" s="75" t="n">
        <x:f>IF(A74,60000/L74,"")</x:f>
        <x:v>15</x:v>
      </x:c>
      <x:c r="G44" s="75" t="n">
        <x:f>K74</x:f>
        <x:v>0.07795370666666666</x:v>
      </x:c>
      <x:c r="H44" s="75" t="n">
        <x:f>IF(W74="估算",U74*R74,"")</x:f>
        <x:v>3.78329655499976</x:v>
      </x:c>
      <x:c r="I44" s="75" t="n">
        <x:f>IF(W74="估算",U74*S74,"")</x:f>
        <x:v>0</x:v>
      </x:c>
      <x:c r="J44" s="75" t="n">
        <x:f>IF(W74="估算",U74*MAX(0,R74-S74),"")</x:f>
        <x:v>3.78329655499976</x:v>
      </x:c>
      <x:c r="K44" s="75" t="n">
        <x:f>IF(W74="估算",IF(OR(O74=0,K74=0),0,U74*E24*MIN(1,(K74+P74)/L74)),"")</x:f>
        <x:v>3.783296555</x:v>
      </x:c>
      <x:c r="L44" s="34" t="n">
        <x:f>IF(W74="估算",V74,"")</x:f>
        <x:v>0.0018724612086787318</x:v>
      </x:c>
      <x:c r="M44" s="34" t="n">
        <x:f>IF(W74="估算",E44*V74/60,"")</x:f>
        <x:v>0.0006241537362262439</x:v>
      </x:c>
      <x:c r="N44" s="34" t="n">
        <x:f>IF(W74="估算",V74/60000*1e6,"")</x:f>
        <x:v>0.031207686811312193</x:v>
      </x:c>
      <x:c r="O44" s="30" t="str">
        <x:f>IF(W74="估算","相位平均估算",W74)</x:f>
        <x:v>相位平均估算</x:v>
      </x:c>
      <x:c r="P44" s="49" t="n">
        <x:f>Q74</x:f>
        <x:v>69.412632</x:v>
      </x:c>
      <x:c r="Q44" s="30"/>
      <x:c r="R44" s="30"/>
      <x:c r="S44" s="30"/>
      <x:c r="T44" s="30"/>
      <x:c r="U44" s="30"/>
      <x:c r="V44" s="30"/>
      <x:c r="W44" s="30"/>
      <x:c r="X44" s="30"/>
    </x:row>
    <x:row r="45" ht="22" customHeight="1">
      <x:c r="A45" s="30" t="str">
        <x:f>A24</x:f>
        <x:v>DS V4 Pro</x:v>
      </x:c>
      <x:c r="B45" s="30" t="n">
        <x:f>B24</x:f>
        <x:v>256</x:v>
      </x:c>
      <x:c r="C45" s="74" t="n">
        <x:f>$B$15</x:f>
        <x:v>16384</x:v>
      </x:c>
      <x:c r="D45" s="30" t="n">
        <x:f>$C$15</x:f>
        <x:v>4</x:v>
      </x:c>
      <x:c r="E45" s="30" t="n">
        <x:f>$F$18</x:f>
        <x:v>30</x:v>
      </x:c>
      <x:c r="F45" s="75" t="n">
        <x:f>IF(A75,60000/L75,"")</x:f>
        <x:v>15</x:v>
      </x:c>
      <x:c r="G45" s="75" t="n">
        <x:f>K75</x:f>
        <x:v>0.07795370666666666</x:v>
      </x:c>
      <x:c r="H45" s="75" t="n">
        <x:f>IF(W75="估算",U75*R75,"")</x:f>
        <x:v>2.5221977033331733</x:v>
      </x:c>
      <x:c r="I45" s="75" t="n">
        <x:f>IF(W75="估算",U75*S75,"")</x:f>
        <x:v>0</x:v>
      </x:c>
      <x:c r="J45" s="75" t="n">
        <x:f>IF(W75="估算",U75*MAX(0,R75-S75),"")</x:f>
        <x:v>2.5221977033331733</x:v>
      </x:c>
      <x:c r="K45" s="75" t="n">
        <x:f>IF(W75="估算",IF(OR(O75=0,K75=0),0,U75*E24*MIN(1,(K75+P75)/L75)),"")</x:f>
        <x:v>2.5221977033333336</x:v>
      </x:c>
      <x:c r="L45" s="34" t="n">
        <x:f>IF(W75="估算",V75,"")</x:f>
        <x:v>0.0012483074724524879</x:v>
      </x:c>
      <x:c r="M45" s="34" t="n">
        <x:f>IF(W75="估算",E45*V75/60,"")</x:f>
        <x:v>0.0006241537362262439</x:v>
      </x:c>
      <x:c r="N45" s="34" t="n">
        <x:f>IF(W75="估算",V75/60000*1e6,"")</x:f>
        <x:v>0.020805124540874798</x:v>
      </x:c>
      <x:c r="O45" s="30" t="str">
        <x:f>IF(W75="估算","相位平均估算",W75)</x:f>
        <x:v>相位平均估算</x:v>
      </x:c>
      <x:c r="P45" s="49" t="n">
        <x:f>Q75</x:f>
        <x:v>46.275088</x:v>
      </x:c>
      <x:c r="Q45" s="30"/>
      <x:c r="R45" s="30"/>
      <x:c r="S45" s="30"/>
      <x:c r="T45" s="30"/>
      <x:c r="U45" s="30"/>
      <x:c r="V45" s="30"/>
      <x:c r="W45" s="30"/>
      <x:c r="X45" s="30"/>
    </x:row>
    <x:row r="46" ht="22" customHeight="1">
      <x:c r="A46" s="30" t="str">
        <x:f>A24</x:f>
        <x:v>DS V4 Pro</x:v>
      </x:c>
      <x:c r="B46" s="30" t="n">
        <x:f>B24</x:f>
        <x:v>256</x:v>
      </x:c>
      <x:c r="C46" s="74" t="n">
        <x:f>$B$16</x:f>
        <x:v>262144</x:v>
      </x:c>
      <x:c r="D46" s="30" t="n">
        <x:f>$C$16</x:f>
        <x:v>20</x:v>
      </x:c>
      <x:c r="E46" s="30" t="n">
        <x:f>$F$15</x:f>
        <x:v>5</x:v>
      </x:c>
      <x:c r="F46" s="75" t="n">
        <x:f>IF(A76,60000/L76,"")</x:f>
        <x:v>3</x:v>
      </x:c>
      <x:c r="G46" s="75" t="n">
        <x:f>K76</x:f>
        <x:v>0.9896209066666667</x:v>
      </x:c>
      <x:c r="H46" s="75" t="n">
        <x:f>IF(W76="估算",U76*R76,"")</x:f>
        <x:v>3.54743699613147</x:v>
      </x:c>
      <x:c r="I46" s="75" t="n">
        <x:f>IF(W76="估算",U76*S76,"")</x:f>
        <x:v>0</x:v>
      </x:c>
      <x:c r="J46" s="75" t="n">
        <x:f>IF(W76="估算",U76*MAX(0,R76-S76),"")</x:f>
        <x:v>3.54743699613147</x:v>
      </x:c>
      <x:c r="K46" s="75" t="n">
        <x:f>IF(W76="估算",IF(OR(O76=0,K76=0),0,U76*E24*MIN(1,(K76+P76)/L76)),"")</x:f>
        <x:v>36.393656764</x:v>
      </x:c>
      <x:c r="L46" s="34" t="n">
        <x:f>IF(W76="估算",V76,"")</x:f>
        <x:v>0.019076085594740323</x:v>
      </x:c>
      <x:c r="M46" s="34" t="n">
        <x:f>IF(W76="估算",E46*V76/60,"")</x:f>
        <x:v>0.0015896737995616935</x:v>
      </x:c>
      <x:c r="N46" s="34" t="n">
        <x:f>IF(W76="估算",V76/60000*1e6,"")</x:f>
        <x:v>0.3179347599123387</x:v>
      </x:c>
      <x:c r="O46" s="30" t="str">
        <x:f>IF(W76="估算","相位平均估算",W76)</x:f>
        <x:v>相位平均估算</x:v>
      </x:c>
      <x:c r="P46" s="49" t="n">
        <x:f>Q76</x:f>
        <x:v>277.650528</x:v>
      </x:c>
      <x:c r="Q46" s="30"/>
      <x:c r="R46" s="30"/>
      <x:c r="S46" s="30"/>
      <x:c r="T46" s="30"/>
      <x:c r="U46" s="30"/>
      <x:c r="V46" s="30"/>
      <x:c r="W46" s="30"/>
      <x:c r="X46" s="30"/>
    </x:row>
    <x:row r="47" ht="22" customHeight="1">
      <x:c r="A47" s="30" t="str">
        <x:f>A24</x:f>
        <x:v>DS V4 Pro</x:v>
      </x:c>
      <x:c r="B47" s="30" t="n">
        <x:f>B24</x:f>
        <x:v>256</x:v>
      </x:c>
      <x:c r="C47" s="74" t="n">
        <x:f>$B$16</x:f>
        <x:v>262144</x:v>
      </x:c>
      <x:c r="D47" s="30" t="n">
        <x:f>$C$16</x:f>
        <x:v>20</x:v>
      </x:c>
      <x:c r="E47" s="30" t="n">
        <x:f>$F$16</x:f>
        <x:v>10</x:v>
      </x:c>
      <x:c r="F47" s="75" t="n">
        <x:f>IF(A77,60000/L77,"")</x:f>
        <x:v>3</x:v>
      </x:c>
      <x:c r="G47" s="75" t="n">
        <x:f>K77</x:f>
        <x:v>0.9896209066666667</x:v>
      </x:c>
      <x:c r="H47" s="75" t="n">
        <x:f>IF(W77="估算",U77*R77,"")</x:f>
        <x:v>3.249128334131157</x:v>
      </x:c>
      <x:c r="I47" s="75" t="n">
        <x:f>IF(W77="估算",U77*S77,"")</x:f>
        <x:v>0</x:v>
      </x:c>
      <x:c r="J47" s="75" t="n">
        <x:f>IF(W77="估算",U77*MAX(0,R77-S77),"")</x:f>
        <x:v>3.249128334131157</x:v>
      </x:c>
      <x:c r="K47" s="75" t="n">
        <x:f>IF(W77="估算",IF(OR(O77=0,K77=0),0,U77*E24*MIN(1,(K77+P77)/L77)),"")</x:f>
        <x:v>18.196828382</x:v>
      </x:c>
      <x:c r="L47" s="34" t="n">
        <x:f>IF(W77="估算",V77,"")</x:f>
        <x:v>0.009538042797370161</x:v>
      </x:c>
      <x:c r="M47" s="34" t="n">
        <x:f>IF(W77="估算",E47*V77/60,"")</x:f>
        <x:v>0.0015896737995616935</x:v>
      </x:c>
      <x:c r="N47" s="34" t="n">
        <x:f>IF(W77="估算",V77/60000*1e6,"")</x:f>
        <x:v>0.15896737995616936</x:v>
      </x:c>
      <x:c r="O47" s="30" t="str">
        <x:f>IF(W77="估算","相位平均估算",W77)</x:f>
        <x:v>相位平均估算</x:v>
      </x:c>
      <x:c r="P47" s="49" t="n">
        <x:f>Q77</x:f>
        <x:v>138.825264</x:v>
      </x:c>
      <x:c r="Q47" s="30"/>
      <x:c r="R47" s="30"/>
      <x:c r="S47" s="30"/>
      <x:c r="T47" s="30"/>
      <x:c r="U47" s="30"/>
      <x:c r="V47" s="30"/>
      <x:c r="W47" s="30"/>
      <x:c r="X47" s="30"/>
    </x:row>
    <x:row r="48" ht="22" customHeight="1">
      <x:c r="A48" s="30" t="str">
        <x:f>A24</x:f>
        <x:v>DS V4 Pro</x:v>
      </x:c>
      <x:c r="B48" s="30" t="n">
        <x:f>B24</x:f>
        <x:v>256</x:v>
      </x:c>
      <x:c r="C48" s="74" t="n">
        <x:f>$B$16</x:f>
        <x:v>262144</x:v>
      </x:c>
      <x:c r="D48" s="30" t="n">
        <x:f>$C$16</x:f>
        <x:v>20</x:v>
      </x:c>
      <x:c r="E48" s="30" t="n">
        <x:f>$F$17</x:f>
        <x:v>20</x:v>
      </x:c>
      <x:c r="F48" s="75" t="n">
        <x:f>IF(A78,60000/L78,"")</x:f>
        <x:v>3</x:v>
      </x:c>
      <x:c r="G48" s="75" t="n">
        <x:f>K78</x:f>
        <x:v>0.9896209066666667</x:v>
      </x:c>
      <x:c r="H48" s="75" t="n">
        <x:f>IF(W78="估算",U78*R78,"")</x:f>
        <x:v>3.099974003131334</x:v>
      </x:c>
      <x:c r="I48" s="75" t="n">
        <x:f>IF(W78="估算",U78*S78,"")</x:f>
        <x:v>0</x:v>
      </x:c>
      <x:c r="J48" s="75" t="n">
        <x:f>IF(W78="估算",U78*MAX(0,R78-S78),"")</x:f>
        <x:v>3.099974003131334</x:v>
      </x:c>
      <x:c r="K48" s="75" t="n">
        <x:f>IF(W78="估算",IF(OR(O78=0,K78=0),0,U78*E24*MIN(1,(K78+P78)/L78)),"")</x:f>
        <x:v>9.098414191</x:v>
      </x:c>
      <x:c r="L48" s="34" t="n">
        <x:f>IF(W78="估算",V78,"")</x:f>
        <x:v>0.004769021398685081</x:v>
      </x:c>
      <x:c r="M48" s="34" t="n">
        <x:f>IF(W78="估算",E48*V78/60,"")</x:f>
        <x:v>0.0015896737995616935</x:v>
      </x:c>
      <x:c r="N48" s="34" t="n">
        <x:f>IF(W78="估算",V78/60000*1e6,"")</x:f>
        <x:v>0.07948368997808468</x:v>
      </x:c>
      <x:c r="O48" s="30" t="str">
        <x:f>IF(W78="估算","相位平均估算",W78)</x:f>
        <x:v>相位平均估算</x:v>
      </x:c>
      <x:c r="P48" s="49" t="n">
        <x:f>Q78</x:f>
        <x:v>69.412632</x:v>
      </x:c>
      <x:c r="Q48" s="30"/>
      <x:c r="R48" s="30"/>
      <x:c r="S48" s="30"/>
      <x:c r="T48" s="30"/>
      <x:c r="U48" s="30"/>
      <x:c r="V48" s="30"/>
      <x:c r="W48" s="30"/>
      <x:c r="X48" s="30"/>
    </x:row>
    <x:row r="49" ht="22" customHeight="1">
      <x:c r="A49" s="30" t="str">
        <x:f>A24</x:f>
        <x:v>DS V4 Pro</x:v>
      </x:c>
      <x:c r="B49" s="30" t="n">
        <x:f>B24</x:f>
        <x:v>256</x:v>
      </x:c>
      <x:c r="C49" s="74" t="n">
        <x:f>$B$16</x:f>
        <x:v>262144</x:v>
      </x:c>
      <x:c r="D49" s="30" t="n">
        <x:f>$C$16</x:f>
        <x:v>20</x:v>
      </x:c>
      <x:c r="E49" s="30" t="n">
        <x:f>$F$18</x:f>
        <x:v>30</x:v>
      </x:c>
      <x:c r="F49" s="75" t="n">
        <x:f>IF(A79,60000/L79,"")</x:f>
        <x:v>3</x:v>
      </x:c>
      <x:c r="G49" s="75" t="n">
        <x:f>K79</x:f>
        <x:v>0.9896209066666667</x:v>
      </x:c>
      <x:c r="H49" s="75" t="n">
        <x:f>IF(W79="估算",U79*R79,"")</x:f>
        <x:v>3.0502558927978374</x:v>
      </x:c>
      <x:c r="I49" s="75" t="n">
        <x:f>IF(W79="估算",U79*S79,"")</x:f>
        <x:v>0</x:v>
      </x:c>
      <x:c r="J49" s="75" t="n">
        <x:f>IF(W79="估算",U79*MAX(0,R79-S79),"")</x:f>
        <x:v>3.0502558927978374</x:v>
      </x:c>
      <x:c r="K49" s="75" t="n">
        <x:f>IF(W79="估算",IF(OR(O79=0,K79=0),0,U79*E24*MIN(1,(K79+P79)/L79)),"")</x:f>
        <x:v>6.065609460666667</x:v>
      </x:c>
      <x:c r="L49" s="34" t="n">
        <x:f>IF(W79="估算",V79,"")</x:f>
        <x:v>0.003179347599123387</x:v>
      </x:c>
      <x:c r="M49" s="34" t="n">
        <x:f>IF(W79="估算",E49*V79/60,"")</x:f>
        <x:v>0.0015896737995616935</x:v>
      </x:c>
      <x:c r="N49" s="34" t="n">
        <x:f>IF(W79="估算",V79/60000*1e6,"")</x:f>
        <x:v>0.05298912665205645</x:v>
      </x:c>
      <x:c r="O49" s="30" t="str">
        <x:f>IF(W79="估算","相位平均估算",W79)</x:f>
        <x:v>相位平均估算</x:v>
      </x:c>
      <x:c r="P49" s="49" t="n">
        <x:f>Q79</x:f>
        <x:v>46.275088</x:v>
      </x:c>
      <x:c r="Q49" s="30"/>
      <x:c r="R49" s="30"/>
      <x:c r="S49" s="30"/>
      <x:c r="T49" s="30"/>
      <x:c r="U49" s="30"/>
      <x:c r="V49" s="30"/>
      <x:c r="W49" s="30"/>
      <x:c r="X49" s="30"/>
    </x:row>
    <x:row r="50" ht="22" customHeight="1">
      <x:c r="A50" s="30" t="str">
        <x:f>A24</x:f>
        <x:v>DS V4 Pro</x:v>
      </x:c>
      <x:c r="B50" s="30" t="n">
        <x:f>B24</x:f>
        <x:v>256</x:v>
      </x:c>
      <x:c r="C50" s="74" t="n">
        <x:f>$B$17</x:f>
        <x:v>1048576</x:v>
      </x:c>
      <x:c r="D50" s="30" t="n">
        <x:f>$C$17</x:f>
        <x:v>60</x:v>
      </x:c>
      <x:c r="E50" s="30" t="n">
        <x:f>$F$15</x:f>
        <x:v>5</x:v>
      </x:c>
      <x:c r="F50" s="75" t="n">
        <x:f>IF(A80,60000/L80,"")</x:f>
        <x:v>1</x:v>
      </x:c>
      <x:c r="G50" s="75" t="n">
        <x:f>K80</x:f>
        <x:v>3.906955946666667</x:v>
      </x:c>
      <x:c r="H50" s="75" t="n">
        <x:f>IF(W80="估算",U80*R80,"")</x:f>
        <x:v>1.7659460067105393</x:v>
      </x:c>
      <x:c r="I50" s="75" t="n">
        <x:f>IF(W80="估算",U80*S80,"")</x:f>
        <x:v>0</x:v>
      </x:c>
      <x:c r="J50" s="75" t="n">
        <x:f>IF(W80="估算",U80*MAX(0,R80-S80),"")</x:f>
        <x:v>1.7659460067105393</x:v>
      </x:c>
      <x:c r="K50" s="75" t="n">
        <x:f>IF(W80="估算",IF(OR(O80=0,K80=0),0,U80*E24*MIN(1,(K80+P80)/L80)),"")</x:f>
        <x:v>47.722706409333334</x:v>
      </x:c>
      <x:c r="L50" s="34" t="n">
        <x:f>IF(W80="估算",V80,"")</x:f>
        <x:v>0.02510868626789727</x:v>
      </x:c>
      <x:c r="M50" s="34" t="n">
        <x:f>IF(W80="估算",E50*V80/60,"")</x:f>
        <x:v>0.0020923905223247724</x:v>
      </x:c>
      <x:c r="N50" s="34" t="n">
        <x:f>IF(W80="估算",V80/60000*1e6,"")</x:f>
        <x:v>0.4184781044649545</x:v>
      </x:c>
      <x:c r="O50" s="30" t="str">
        <x:f>IF(W80="估算","相位平均估算",W80)</x:f>
        <x:v>相位平均估算</x:v>
      </x:c>
      <x:c r="P50" s="49" t="n">
        <x:f>Q80</x:f>
        <x:v>277.650528</x:v>
      </x:c>
      <x:c r="Q50" s="30"/>
      <x:c r="R50" s="30"/>
      <x:c r="S50" s="30"/>
      <x:c r="T50" s="30"/>
      <x:c r="U50" s="30"/>
      <x:c r="V50" s="30"/>
      <x:c r="W50" s="30"/>
      <x:c r="X50" s="30"/>
    </x:row>
    <x:row r="51" ht="22" customHeight="1">
      <x:c r="A51" s="30" t="str">
        <x:f>A24</x:f>
        <x:v>DS V4 Pro</x:v>
      </x:c>
      <x:c r="B51" s="30" t="n">
        <x:f>B24</x:f>
        <x:v>256</x:v>
      </x:c>
      <x:c r="C51" s="74" t="n">
        <x:f>$B$17</x:f>
        <x:v>1048576</x:v>
      </x:c>
      <x:c r="D51" s="30" t="n">
        <x:f>$C$17</x:f>
        <x:v>60</x:v>
      </x:c>
      <x:c r="E51" s="30" t="n">
        <x:f>$F$16</x:f>
        <x:v>10</x:v>
      </x:c>
      <x:c r="F51" s="75" t="n">
        <x:f>IF(A81,60000/L81,"")</x:f>
        <x:v>1</x:v>
      </x:c>
      <x:c r="G51" s="75" t="n">
        <x:f>K81</x:f>
        <x:v>3.906955946666667</x:v>
      </x:c>
      <x:c r="H51" s="75" t="n">
        <x:f>IF(W81="估算",U81*R81,"")</x:f>
        <x:v>1.3747762820435216</x:v>
      </x:c>
      <x:c r="I51" s="75" t="n">
        <x:f>IF(W81="估算",U81*S81,"")</x:f>
        <x:v>0</x:v>
      </x:c>
      <x:c r="J51" s="75" t="n">
        <x:f>IF(W81="估算",U81*MAX(0,R81-S81),"")</x:f>
        <x:v>1.3747762820435216</x:v>
      </x:c>
      <x:c r="K51" s="75" t="n">
        <x:f>IF(W81="估算",IF(OR(O81=0,K81=0),0,U81*E24*MIN(1,(K81+P81)/L81)),"")</x:f>
        <x:v>23.861353204666667</x:v>
      </x:c>
      <x:c r="L51" s="34" t="n">
        <x:f>IF(W81="估算",V81,"")</x:f>
        <x:v>0.012554343133948634</x:v>
      </x:c>
      <x:c r="M51" s="34" t="n">
        <x:f>IF(W81="估算",E51*V81/60,"")</x:f>
        <x:v>0.0020923905223247724</x:v>
      </x:c>
      <x:c r="N51" s="34" t="n">
        <x:f>IF(W81="估算",V81/60000*1e6,"")</x:f>
        <x:v>0.20923905223247724</x:v>
      </x:c>
      <x:c r="O51" s="30" t="str">
        <x:f>IF(W81="估算","相位平均估算",W81)</x:f>
        <x:v>相位平均估算</x:v>
      </x:c>
      <x:c r="P51" s="49" t="n">
        <x:f>Q81</x:f>
        <x:v>138.825264</x:v>
      </x:c>
      <x:c r="Q51" s="30"/>
      <x:c r="R51" s="30"/>
      <x:c r="S51" s="30"/>
      <x:c r="T51" s="30"/>
      <x:c r="U51" s="30"/>
      <x:c r="V51" s="30"/>
      <x:c r="W51" s="30"/>
      <x:c r="X51" s="30"/>
    </x:row>
    <x:row r="52" ht="22" customHeight="1">
      <x:c r="A52" s="30" t="str">
        <x:f>A24</x:f>
        <x:v>DS V4 Pro</x:v>
      </x:c>
      <x:c r="B52" s="30" t="n">
        <x:f>B24</x:f>
        <x:v>256</x:v>
      </x:c>
      <x:c r="C52" s="74" t="n">
        <x:f>$B$17</x:f>
        <x:v>1048576</x:v>
      </x:c>
      <x:c r="D52" s="30" t="n">
        <x:f>$C$17</x:f>
        <x:v>60</x:v>
      </x:c>
      <x:c r="E52" s="30" t="n">
        <x:f>$F$17</x:f>
        <x:v>20</x:v>
      </x:c>
      <x:c r="F52" s="75" t="n">
        <x:f>IF(A82,60000/L82,"")</x:f>
        <x:v>1</x:v>
      </x:c>
      <x:c r="G52" s="75" t="n">
        <x:f>K82</x:f>
        <x:v>3.906955946666667</x:v>
      </x:c>
      <x:c r="H52" s="75" t="n">
        <x:f>IF(W82="估算",U82*R82,"")</x:f>
        <x:v>1.179191419710346</x:v>
      </x:c>
      <x:c r="I52" s="75" t="n">
        <x:f>IF(W82="估算",U82*S82,"")</x:f>
        <x:v>0</x:v>
      </x:c>
      <x:c r="J52" s="75" t="n">
        <x:f>IF(W82="估算",U82*MAX(0,R82-S82),"")</x:f>
        <x:v>1.179191419710346</x:v>
      </x:c>
      <x:c r="K52" s="75" t="n">
        <x:f>IF(W82="估算",IF(OR(O82=0,K82=0),0,U82*E24*MIN(1,(K82+P82)/L82)),"")</x:f>
        <x:v>11.930676602333333</x:v>
      </x:c>
      <x:c r="L52" s="34" t="n">
        <x:f>IF(W82="估算",V82,"")</x:f>
        <x:v>0.006277171566974317</x:v>
      </x:c>
      <x:c r="M52" s="34" t="n">
        <x:f>IF(W82="估算",E52*V82/60,"")</x:f>
        <x:v>0.0020923905223247724</x:v>
      </x:c>
      <x:c r="N52" s="34" t="n">
        <x:f>IF(W82="估算",V82/60000*1e6,"")</x:f>
        <x:v>0.10461952611623862</x:v>
      </x:c>
      <x:c r="O52" s="30" t="str">
        <x:f>IF(W82="估算","相位平均估算",W82)</x:f>
        <x:v>相位平均估算</x:v>
      </x:c>
      <x:c r="P52" s="49" t="n">
        <x:f>Q82</x:f>
        <x:v>69.412632</x:v>
      </x:c>
      <x:c r="Q52" s="30"/>
      <x:c r="R52" s="30"/>
      <x:c r="S52" s="30"/>
      <x:c r="T52" s="30"/>
      <x:c r="U52" s="30"/>
      <x:c r="V52" s="30"/>
      <x:c r="W52" s="30"/>
      <x:c r="X52" s="30"/>
    </x:row>
    <x:row r="53" ht="22" customHeight="1">
      <x:c r="A53" s="30" t="str">
        <x:f>A24</x:f>
        <x:v>DS V4 Pro</x:v>
      </x:c>
      <x:c r="B53" s="30" t="n">
        <x:f>B24</x:f>
        <x:v>256</x:v>
      </x:c>
      <x:c r="C53" s="74" t="n">
        <x:f>$B$17</x:f>
        <x:v>1048576</x:v>
      </x:c>
      <x:c r="D53" s="30" t="n">
        <x:f>$C$17</x:f>
        <x:v>60</x:v>
      </x:c>
      <x:c r="E53" s="30" t="n">
        <x:f>$F$18</x:f>
        <x:v>30</x:v>
      </x:c>
      <x:c r="F53" s="75" t="n">
        <x:f>IF(A83,60000/L83,"")</x:f>
        <x:v>1</x:v>
      </x:c>
      <x:c r="G53" s="75" t="n">
        <x:f>K83</x:f>
        <x:v>3.906955946666667</x:v>
      </x:c>
      <x:c r="H53" s="75" t="n">
        <x:f>IF(W83="估算",U83*R83,"")</x:f>
        <x:v>1.1139964655992873</x:v>
      </x:c>
      <x:c r="I53" s="75" t="n">
        <x:f>IF(W83="估算",U83*S83,"")</x:f>
        <x:v>0</x:v>
      </x:c>
      <x:c r="J53" s="75" t="n">
        <x:f>IF(W83="估算",U83*MAX(0,R83-S83),"")</x:f>
        <x:v>1.1139964655992873</x:v>
      </x:c>
      <x:c r="K53" s="75" t="n">
        <x:f>IF(W83="估算",IF(OR(O83=0,K83=0),0,U83*E24*MIN(1,(K83+P83)/L83)),"")</x:f>
        <x:v>7.953784401555555</x:v>
      </x:c>
      <x:c r="L53" s="34" t="n">
        <x:f>IF(W83="估算",V83,"")</x:f>
        <x:v>0.004184781044649545</x:v>
      </x:c>
      <x:c r="M53" s="34" t="n">
        <x:f>IF(W83="估算",E53*V83/60,"")</x:f>
        <x:v>0.0020923905223247724</x:v>
      </x:c>
      <x:c r="N53" s="34" t="n">
        <x:f>IF(W83="估算",V83/60000*1e6,"")</x:f>
        <x:v>0.06974635074415908</x:v>
      </x:c>
      <x:c r="O53" s="30" t="str">
        <x:f>IF(W83="估算","相位平均估算",W83)</x:f>
        <x:v>相位平均估算</x:v>
      </x:c>
      <x:c r="P53" s="49" t="n">
        <x:f>Q83</x:f>
        <x:v>46.275088</x:v>
      </x:c>
      <x:c r="Q53" s="30"/>
      <x:c r="R53" s="30"/>
      <x:c r="S53" s="30"/>
      <x:c r="T53" s="30"/>
      <x:c r="U53" s="30"/>
      <x:c r="V53" s="30"/>
      <x:c r="W53" s="30"/>
      <x:c r="X53" s="30"/>
    </x:row>
    <x:row r="54" ht="22" customHeight="1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/>
    </x:row>
    <x:row r="55" ht="22" customHeight="1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0"/>
      <x:c r="U55" s="30"/>
      <x:c r="V55" s="30"/>
      <x:c r="W55" s="30"/>
      <x:c r="X55" s="30"/>
    </x:row>
    <x:row r="56" ht="22" customHeight="1">
      <x:c r="A56" s="30" t="str">
        <x:v>统计单位为一个 D DP 副本的 forward。EP 内各 Rank 并行，不能再把 forward 次数乘 EP。</x:v>
      </x:c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0"/>
      <x:c r="P56" s="30"/>
      <x:c r="Q56" s="30"/>
      <x:c r="R56" s="30"/>
      <x:c r="S56" s="30"/>
      <x:c r="T56" s="30"/>
      <x:c r="U56" s="30"/>
      <x:c r="V56" s="30"/>
      <x:c r="W56" s="30"/>
      <x:c r="X56" s="30"/>
    </x:row>
    <x:row r="57" ht="22" customHeight="1">
      <x:c r="A57" s="30" t="str">
        <x:v>交接请求总数、每 D DP 请求数、KV 占用和完整计算见下表。全 EP / 部分 EP 是基线窗口交集分类。</x:v>
      </x:c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/>
    </x:row>
    <x:row r="58" ht="22" customHeight="1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  <x:c r="O58" s="30"/>
      <x:c r="P58" s="30"/>
      <x:c r="Q58" s="30"/>
      <x:c r="R58" s="30"/>
      <x:c r="S58" s="30"/>
      <x:c r="T58" s="30"/>
      <x:c r="U58" s="30"/>
      <x:c r="V58" s="30"/>
      <x:c r="W58" s="30"/>
      <x:c r="X58" s="30"/>
    </x:row>
    <x:row r="59" ht="42" customHeight="1">
      <x:c r="A59" s="73" t="str">
        <x:v>输入有效</x:v>
      </x:c>
      <x:c r="B59" s="73" t="str">
        <x:v>周期 ms</x:v>
      </x:c>
      <x:c r="C59" s="73" t="str">
        <x:v>步间隔 ms</x:v>
      </x:c>
      <x:c r="D59" s="73" t="str">
        <x:v>取 GiB/请求</x:v>
      </x:c>
      <x:c r="E59" s="73" t="str">
        <x:v>P DP/组</x:v>
      </x:c>
      <x:c r="F59" s="73" t="str">
        <x:v>D DP/组</x:v>
      </x:c>
      <x:c r="G59" s="73" t="str">
        <x:v>全系统请求交接/min</x:v>
      </x:c>
      <x:c r="H59" s="73" t="str">
        <x:v>每 D DP 请求/min</x:v>
      </x:c>
      <x:c r="I59" s="73" t="str">
        <x:v>P Rank GiB/窗口</x:v>
      </x:c>
      <x:c r="J59" s="73" t="str">
        <x:v>D Rank GiB/窗口</x:v>
      </x:c>
      <x:c r="K59" s="73" t="str">
        <x:v>KV 窗口 ms</x:v>
      </x:c>
      <x:c r="L59" s="73" t="str">
        <x:v>KV 间隔 ms</x:v>
      </x:c>
      <x:c r="M59" s="73" t="str">
        <x:v>KV 负载率</x:v>
      </x:c>
      <x:c r="N59" s="73" t="str">
        <x:v>EP GB/Rank/步</x:v>
      </x:c>
      <x:c r="O59" s="73" t="str">
        <x:v>EP 带宽项 ms</x:v>
      </x:c>
      <x:c r="P59" s="73" t="str">
        <x:v>每层 EP 段 ms</x:v>
      </x:c>
      <x:c r="Q59" s="73" t="str">
        <x:v>最低 EP GB/s</x:v>
      </x:c>
      <x:c r="R59" s="73" t="str">
        <x:v>FW 重叠概率</x:v>
      </x:c>
      <x:c r="S59" s="73" t="str">
        <x:v>全 EP 概率</x:v>
      </x:c>
      <x:c r="T59" s="73" t="str">
        <x:v>每层平均增时 ms</x:v>
      </x:c>
      <x:c r="U59" s="73" t="str">
        <x:v>基线 FW/min</x:v>
      </x:c>
      <x:c r="V59" s="18" t="str">
        <x:v>Total overhead
ms/60s</x:v>
      </x:c>
      <x:c r="W59" s="73" t="str">
        <x:v>输入 / 调度状态</x:v>
      </x:c>
      <x:c r="X59" s="73" t="str">
        <x:v>等效全通信 FW/min</x:v>
      </x:c>
    </x:row>
    <x:row r="60" ht="22" customHeight="1">
      <x:c r="A60" s="30" t="b">
        <x:f>AND(AND(ISNUMBER($B$5),$B$5&gt;0),AND(ISNUMBER($F$5),$F$5&gt;0),AND(ISNUMBER($J$5),$J$5&gt;0),AND(ISNUMBER($B$9),$B$9&gt;0),AND(ISNUMBER(I23),I23&gt;0),AND(ISNUMBER(J23),J23&gt;0),AND(ISNUMBER(K23),K23&gt;0),AND(ISNUMBER(L23),L23&gt;0),AND(ISNUMBER(D30),D30&gt;0),AND(ISNUMBER(E30),E30&gt;0),MOD($B$5,1)=0,MOD($F$5,1)=0,MOD($J$5,1)=0,MOD($B$9,1)=0,MOD(K23,1)=0,ISNUMBER(C30),C30&gt;=2,MOD(C30,1)=0,OR($N$9=32,$N$9=64,$N$9=128),ISNUMBER($B$11),$B$11&gt;=0,MOD($B$11,1)=0,ISNUMBER($J$7),$J$7&gt;=0,$J$7&lt;1,AND(ISNUMBER(M23),M23&gt;=0,M23&lt;=1),AND(ISNUMBER(N23),N23&gt;=0,N23&lt;=1))</x:f>
        <x:v>1</x:v>
      </x:c>
      <x:c r="B60" s="76" t="n">
        <x:f>IF(A60,D30*1000,"")</x:f>
        <x:v>4000</x:v>
      </x:c>
      <x:c r="C60" s="76" t="n">
        <x:f>IF(A60,E30*L23,"")</x:f>
        <x:v>5</x:v>
      </x:c>
      <x:c r="D60" s="76" t="n">
        <x:f>IF(A60,M97,"")</x:f>
        <x:v>0.1742401123046875</x:v>
      </x:c>
      <x:c r="E60" s="76" t="n">
        <x:f>IF(A60,B23/C23,"")</x:f>
        <x:v>4</x:v>
      </x:c>
      <x:c r="F60" s="76" t="n">
        <x:f>IF(A60,B23/D23,"")</x:f>
        <x:v>32</x:v>
      </x:c>
      <x:c r="G60" s="76" t="n">
        <x:f>IF(A60,$F$5*E60*$B$5*60000/B60,"")</x:f>
        <x:v>960</x:v>
      </x:c>
      <x:c r="H60" s="76" t="n">
        <x:f>IF(A60,G60/($J$5*F60),"")</x:f>
        <x:v>30</x:v>
      </x:c>
      <x:c r="I60" s="76" t="n">
        <x:f>IF(A60,$B$5*D60/C23/$B$9,"")</x:f>
        <x:v>0.348480224609375</x:v>
      </x:c>
      <x:c r="J60" s="76" t="n">
        <x:f>IF(A60,I60*$F$5/$J$5,"")</x:f>
        <x:v>0.348480224609375</x:v>
      </x:c>
      <x:c r="K60" s="76" t="n">
        <x:f>IF(A60,MAX(I60,J60)*2^30/(J23*1e6),"")</x:f>
        <x:v>0.07795370666666666</x:v>
      </x:c>
      <x:c r="L60" s="76" t="n">
        <x:f>IF(A60,B60/$B$9,"")</x:f>
        <x:v>4000</x:v>
      </x:c>
      <x:c r="M60" s="77" t="n">
        <x:f>IF(A60,K60/L60,"")</x:f>
        <x:v>0.000019488426666666665</x:v>
      </x:c>
      <x:c r="N60" s="76" t="n">
        <x:f>IF(A60,(E23*ROUNDUP(K23/D23,0)*G23*(B23-1)/B23*(ROUNDUP((ROUNDUP(F23*2/32,0)*32+32)/480,0)*512+F23*2+32)+E23*ROUNDUP(H23/B23,0)*(B23-1)*32)/1e9,"")</x:f>
        <x:v>1.349901696</x:v>
      </x:c>
      <x:c r="O60" s="76" t="n">
        <x:f>IF(A60,N60*1000/I23,"")</x:f>
        <x:v>0.28122952</x:v>
      </x:c>
      <x:c r="P60" s="76" t="n">
        <x:f>IF(A60,O60/E23,"")</x:f>
        <x:v>0.00461032</x:v>
      </x:c>
      <x:c r="Q60" s="76" t="n">
        <x:f>IF(A60,N60*1000/C60,"")</x:f>
        <x:v>269.9803392</x:v>
      </x:c>
      <x:c r="R60" s="76" t="n">
        <x:f>IF(W60="估算",IF(OR(K60=0,O60=0),0,1-((E23-1)*MAX(0,(C60-O60)/E23-(K60))+MAX(0,L60-((E23-1)*C60/E23+P60)-(K60)))/L60),"")</x:f>
        <x:v>0.0012501492033878403</x:v>
      </x:c>
      <x:c r="S60" s="76" t="n">
        <x:f>IF(W60="估算",IF(O60=0,0,MAX(0,1-(1-((E23-1)*MAX(0,(C60-O60)/E23-(L60-K60))+MAX(0,L60-((E23-1)*C60/E23+P60)-(L60-K60)))/L60))),"")</x:f>
        <x:v>0</x:v>
      </x:c>
      <x:c r="T60" s="76" t="n">
        <x:f>IF(W60="估算",IF(OR(P60=0,K60=0,$J$7=0),0,IF(P60&lt;=(1-$J$7)*K60,$J$7*P60*K60/(1-$J$7)-$J$7^2*P60^2/(2*(1-$J$7)^2),$J$7*P60*K60+$J$7^2*K60^2/2)/L60),"")</x:f>
        <x:v>9.950297132790125e-9</x:v>
      </x:c>
      <x:c r="U60" s="76" t="n">
        <x:f>IF(A60,60000/C60,"")</x:f>
        <x:v>12000</x:v>
      </x:c>
      <x:c r="V60" s="76" t="n">
        <x:f>IF(W60="估算",U60*E23*T60*M23*N23,"")</x:f>
        <x:v>0.007283617501202371</x:v>
      </x:c>
      <x:c r="W60" s="76" t="str">
        <x:f>IF(NOT(A60),"输入无效",IF(K60&gt;=L60,"KV 超载",IF(O60&gt;C60+1e-9,"TPOT 不自洽",IF(OR(C60&gt;L60,P60&gt;L60-K60),"需时序仿真","估算"))))</x:f>
        <x:v>估算</x:v>
      </x:c>
      <x:c r="X60" s="76" t="n">
        <x:f>IF(W60="估算",U60*M60,"")</x:f>
        <x:v>0.23386111999999998</x:v>
      </x:c>
    </x:row>
    <x:row r="61" ht="22" customHeight="1">
      <x:c r="A61" s="30" t="b">
        <x:f>AND(AND(ISNUMBER($B$5),$B$5&gt;0),AND(ISNUMBER($F$5),$F$5&gt;0),AND(ISNUMBER($J$5),$J$5&gt;0),AND(ISNUMBER($B$9),$B$9&gt;0),AND(ISNUMBER(I23),I23&gt;0),AND(ISNUMBER(J23),J23&gt;0),AND(ISNUMBER(K23),K23&gt;0),AND(ISNUMBER(L23),L23&gt;0),AND(ISNUMBER(D31),D31&gt;0),AND(ISNUMBER(E31),E31&gt;0),MOD($B$5,1)=0,MOD($F$5,1)=0,MOD($J$5,1)=0,MOD($B$9,1)=0,MOD(K23,1)=0,ISNUMBER(C31),C31&gt;=2,MOD(C31,1)=0,OR($N$9=32,$N$9=64,$N$9=128),ISNUMBER($B$11),$B$11&gt;=0,MOD($B$11,1)=0,ISNUMBER($J$7),$J$7&gt;=0,$J$7&lt;1,AND(ISNUMBER(M23),M23&gt;=0,M23&lt;=1),AND(ISNUMBER(N23),N23&gt;=0,N23&lt;=1))</x:f>
        <x:v>1</x:v>
      </x:c>
      <x:c r="B61" s="76" t="n">
        <x:f>IF(A61,D31*1000,"")</x:f>
        <x:v>4000</x:v>
      </x:c>
      <x:c r="C61" s="76" t="n">
        <x:f>IF(A61,E31*L23,"")</x:f>
        <x:v>10</x:v>
      </x:c>
      <x:c r="D61" s="76" t="n">
        <x:f>IF(A61,M97,"")</x:f>
        <x:v>0.1742401123046875</x:v>
      </x:c>
      <x:c r="E61" s="76" t="n">
        <x:f>IF(A61,B23/C23,"")</x:f>
        <x:v>4</x:v>
      </x:c>
      <x:c r="F61" s="76" t="n">
        <x:f>IF(A61,B23/D23,"")</x:f>
        <x:v>32</x:v>
      </x:c>
      <x:c r="G61" s="76" t="n">
        <x:f>IF(A61,$F$5*E61*$B$5*60000/B61,"")</x:f>
        <x:v>960</x:v>
      </x:c>
      <x:c r="H61" s="76" t="n">
        <x:f>IF(A61,G61/($J$5*F61),"")</x:f>
        <x:v>30</x:v>
      </x:c>
      <x:c r="I61" s="76" t="n">
        <x:f>IF(A61,$B$5*D61/C23/$B$9,"")</x:f>
        <x:v>0.348480224609375</x:v>
      </x:c>
      <x:c r="J61" s="76" t="n">
        <x:f>IF(A61,I61*$F$5/$J$5,"")</x:f>
        <x:v>0.348480224609375</x:v>
      </x:c>
      <x:c r="K61" s="76" t="n">
        <x:f>IF(A61,MAX(I61,J61)*2^30/(J23*1e6),"")</x:f>
        <x:v>0.07795370666666666</x:v>
      </x:c>
      <x:c r="L61" s="76" t="n">
        <x:f>IF(A61,B61/$B$9,"")</x:f>
        <x:v>4000</x:v>
      </x:c>
      <x:c r="M61" s="77" t="n">
        <x:f>IF(A61,K61/L61,"")</x:f>
        <x:v>0.000019488426666666665</x:v>
      </x:c>
      <x:c r="N61" s="76" t="n">
        <x:f>IF(A61,(E23*ROUNDUP(K23/D23,0)*G23*(B23-1)/B23*(ROUNDUP((ROUNDUP(F23*2/32,0)*32+32)/480,0)*512+F23*2+32)+E23*ROUNDUP(H23/B23,0)*(B23-1)*32)/1e9,"")</x:f>
        <x:v>1.349901696</x:v>
      </x:c>
      <x:c r="O61" s="76" t="n">
        <x:f>IF(A61,N61*1000/I23,"")</x:f>
        <x:v>0.28122952</x:v>
      </x:c>
      <x:c r="P61" s="76" t="n">
        <x:f>IF(A61,O61/E23,"")</x:f>
        <x:v>0.00461032</x:v>
      </x:c>
      <x:c r="Q61" s="76" t="n">
        <x:f>IF(A61,N61*1000/C61,"")</x:f>
        <x:v>134.9901696</x:v>
      </x:c>
      <x:c r="R61" s="76" t="n">
        <x:f>IF(W61="估算",IF(OR(K61=0,O61=0),0,1-((E23-1)*MAX(0,(C61-O61)/E23-(K61))+MAX(0,L61-((E23-1)*C61/E23+P61)-(K61)))/L61),"")</x:f>
        <x:v>0.0012591014066665185</x:v>
      </x:c>
      <x:c r="S61" s="76" t="n">
        <x:f>IF(W61="估算",IF(O61=0,0,MAX(0,1-(1-((E23-1)*MAX(0,(C61-O61)/E23-(L61-K61))+MAX(0,L61-((E23-1)*C61/E23+P61)-(L61-K61)))/L61))),"")</x:f>
        <x:v>0</x:v>
      </x:c>
      <x:c r="T61" s="76" t="n">
        <x:f>IF(W61="估算",IF(OR(P61=0,K61=0,$J$7=0),0,IF(P61&lt;=(1-$J$7)*K61,$J$7*P61*K61/(1-$J$7)-$J$7^2*P61^2/(2*(1-$J$7)^2),$J$7*P61*K61+$J$7^2*K61^2/2)/L61),"")</x:f>
        <x:v>9.950297132790125e-9</x:v>
      </x:c>
      <x:c r="U61" s="76" t="n">
        <x:f>IF(A61,60000/C61,"")</x:f>
        <x:v>6000</x:v>
      </x:c>
      <x:c r="V61" s="76" t="n">
        <x:f>IF(W61="估算",U61*E23*T61*M23*N23,"")</x:f>
        <x:v>0.0036418087506011857</x:v>
      </x:c>
      <x:c r="W61" s="76" t="str">
        <x:f>IF(NOT(A61),"输入无效",IF(K61&gt;=L61,"KV 超载",IF(O61&gt;C61+1e-9,"TPOT 不自洽",IF(OR(C61&gt;L61,P61&gt;L61-K61),"需时序仿真","估算"))))</x:f>
        <x:v>估算</x:v>
      </x:c>
      <x:c r="X61" s="76" t="n">
        <x:f>IF(W61="估算",U61*M61,"")</x:f>
        <x:v>0.11693055999999999</x:v>
      </x:c>
    </x:row>
    <x:row r="62" ht="22" customHeight="1">
      <x:c r="A62" s="30" t="b">
        <x:f>AND(AND(ISNUMBER($B$5),$B$5&gt;0),AND(ISNUMBER($F$5),$F$5&gt;0),AND(ISNUMBER($J$5),$J$5&gt;0),AND(ISNUMBER($B$9),$B$9&gt;0),AND(ISNUMBER(I23),I23&gt;0),AND(ISNUMBER(J23),J23&gt;0),AND(ISNUMBER(K23),K23&gt;0),AND(ISNUMBER(L23),L23&gt;0),AND(ISNUMBER(D32),D32&gt;0),AND(ISNUMBER(E32),E32&gt;0),MOD($B$5,1)=0,MOD($F$5,1)=0,MOD($J$5,1)=0,MOD($B$9,1)=0,MOD(K23,1)=0,ISNUMBER(C32),C32&gt;=2,MOD(C32,1)=0,OR($N$9=32,$N$9=64,$N$9=128),ISNUMBER($B$11),$B$11&gt;=0,MOD($B$11,1)=0,ISNUMBER($J$7),$J$7&gt;=0,$J$7&lt;1,AND(ISNUMBER(M23),M23&gt;=0,M23&lt;=1),AND(ISNUMBER(N23),N23&gt;=0,N23&lt;=1))</x:f>
        <x:v>1</x:v>
      </x:c>
      <x:c r="B62" s="76" t="n">
        <x:f>IF(A62,D32*1000,"")</x:f>
        <x:v>4000</x:v>
      </x:c>
      <x:c r="C62" s="76" t="n">
        <x:f>IF(A62,E32*L23,"")</x:f>
        <x:v>20</x:v>
      </x:c>
      <x:c r="D62" s="76" t="n">
        <x:f>IF(A62,M97,"")</x:f>
        <x:v>0.1742401123046875</x:v>
      </x:c>
      <x:c r="E62" s="76" t="n">
        <x:f>IF(A62,B23/C23,"")</x:f>
        <x:v>4</x:v>
      </x:c>
      <x:c r="F62" s="76" t="n">
        <x:f>IF(A62,B23/D23,"")</x:f>
        <x:v>32</x:v>
      </x:c>
      <x:c r="G62" s="76" t="n">
        <x:f>IF(A62,$F$5*E62*$B$5*60000/B62,"")</x:f>
        <x:v>960</x:v>
      </x:c>
      <x:c r="H62" s="76" t="n">
        <x:f>IF(A62,G62/($J$5*F62),"")</x:f>
        <x:v>30</x:v>
      </x:c>
      <x:c r="I62" s="76" t="n">
        <x:f>IF(A62,$B$5*D62/C23/$B$9,"")</x:f>
        <x:v>0.348480224609375</x:v>
      </x:c>
      <x:c r="J62" s="76" t="n">
        <x:f>IF(A62,I62*$F$5/$J$5,"")</x:f>
        <x:v>0.348480224609375</x:v>
      </x:c>
      <x:c r="K62" s="76" t="n">
        <x:f>IF(A62,MAX(I62,J62)*2^30/(J23*1e6),"")</x:f>
        <x:v>0.07795370666666666</x:v>
      </x:c>
      <x:c r="L62" s="76" t="n">
        <x:f>IF(A62,B62/$B$9,"")</x:f>
        <x:v>4000</x:v>
      </x:c>
      <x:c r="M62" s="77" t="n">
        <x:f>IF(A62,K62/L62,"")</x:f>
        <x:v>0.000019488426666666665</x:v>
      </x:c>
      <x:c r="N62" s="76" t="n">
        <x:f>IF(A62,(E23*ROUNDUP(K23/D23,0)*G23*(B23-1)/B23*(ROUNDUP((ROUNDUP(F23*2/32,0)*32+32)/480,0)*512+F23*2+32)+E23*ROUNDUP(H23/B23,0)*(B23-1)*32)/1e9,"")</x:f>
        <x:v>1.349901696</x:v>
      </x:c>
      <x:c r="O62" s="76" t="n">
        <x:f>IF(A62,N62*1000/I23,"")</x:f>
        <x:v>0.28122952</x:v>
      </x:c>
      <x:c r="P62" s="76" t="n">
        <x:f>IF(A62,O62/E23,"")</x:f>
        <x:v>0.00461032</x:v>
      </x:c>
      <x:c r="Q62" s="76" t="n">
        <x:f>IF(A62,N62*1000/C62,"")</x:f>
        <x:v>67.4950848</x:v>
      </x:c>
      <x:c r="R62" s="76" t="n">
        <x:f>IF(W62="估算",IF(OR(K62=0,O62=0),0,1-((E23-1)*MAX(0,(C62-O62)/E23-(K62))+MAX(0,L62-((E23-1)*C62/E23+P62)-(K62)))/L62),"")</x:f>
        <x:v>0.0012591014066665185</x:v>
      </x:c>
      <x:c r="S62" s="76" t="n">
        <x:f>IF(W62="估算",IF(O62=0,0,MAX(0,1-(1-((E23-1)*MAX(0,(C62-O62)/E23-(L62-K62))+MAX(0,L62-((E23-1)*C62/E23+P62)-(L62-K62)))/L62))),"")</x:f>
        <x:v>0</x:v>
      </x:c>
      <x:c r="T62" s="76" t="n">
        <x:f>IF(W62="估算",IF(OR(P62=0,K62=0,$J$7=0),0,IF(P62&lt;=(1-$J$7)*K62,$J$7*P62*K62/(1-$J$7)-$J$7^2*P62^2/(2*(1-$J$7)^2),$J$7*P62*K62+$J$7^2*K62^2/2)/L62),"")</x:f>
        <x:v>9.950297132790125e-9</x:v>
      </x:c>
      <x:c r="U62" s="76" t="n">
        <x:f>IF(A62,60000/C62,"")</x:f>
        <x:v>3000</x:v>
      </x:c>
      <x:c r="V62" s="76" t="n">
        <x:f>IF(W62="估算",U62*E23*T62*M23*N23,"")</x:f>
        <x:v>0.0018209043753005928</x:v>
      </x:c>
      <x:c r="W62" s="76" t="str">
        <x:f>IF(NOT(A62),"输入无效",IF(K62&gt;=L62,"KV 超载",IF(O62&gt;C62+1e-9,"TPOT 不自洽",IF(OR(C62&gt;L62,P62&gt;L62-K62),"需时序仿真","估算"))))</x:f>
        <x:v>估算</x:v>
      </x:c>
      <x:c r="X62" s="76" t="n">
        <x:f>IF(W62="估算",U62*M62,"")</x:f>
        <x:v>0.058465279999999994</x:v>
      </x:c>
    </x:row>
    <x:row r="63" ht="22" customHeight="1">
      <x:c r="A63" s="30" t="b">
        <x:f>AND(AND(ISNUMBER($B$5),$B$5&gt;0),AND(ISNUMBER($F$5),$F$5&gt;0),AND(ISNUMBER($J$5),$J$5&gt;0),AND(ISNUMBER($B$9),$B$9&gt;0),AND(ISNUMBER(I23),I23&gt;0),AND(ISNUMBER(J23),J23&gt;0),AND(ISNUMBER(K23),K23&gt;0),AND(ISNUMBER(L23),L23&gt;0),AND(ISNUMBER(D33),D33&gt;0),AND(ISNUMBER(E33),E33&gt;0),MOD($B$5,1)=0,MOD($F$5,1)=0,MOD($J$5,1)=0,MOD($B$9,1)=0,MOD(K23,1)=0,ISNUMBER(C33),C33&gt;=2,MOD(C33,1)=0,OR($N$9=32,$N$9=64,$N$9=128),ISNUMBER($B$11),$B$11&gt;=0,MOD($B$11,1)=0,ISNUMBER($J$7),$J$7&gt;=0,$J$7&lt;1,AND(ISNUMBER(M23),M23&gt;=0,M23&lt;=1),AND(ISNUMBER(N23),N23&gt;=0,N23&lt;=1))</x:f>
        <x:v>1</x:v>
      </x:c>
      <x:c r="B63" s="76" t="n">
        <x:f>IF(A63,D33*1000,"")</x:f>
        <x:v>4000</x:v>
      </x:c>
      <x:c r="C63" s="76" t="n">
        <x:f>IF(A63,E33*L23,"")</x:f>
        <x:v>30</x:v>
      </x:c>
      <x:c r="D63" s="76" t="n">
        <x:f>IF(A63,M97,"")</x:f>
        <x:v>0.1742401123046875</x:v>
      </x:c>
      <x:c r="E63" s="76" t="n">
        <x:f>IF(A63,B23/C23,"")</x:f>
        <x:v>4</x:v>
      </x:c>
      <x:c r="F63" s="76" t="n">
        <x:f>IF(A63,B23/D23,"")</x:f>
        <x:v>32</x:v>
      </x:c>
      <x:c r="G63" s="76" t="n">
        <x:f>IF(A63,$F$5*E63*$B$5*60000/B63,"")</x:f>
        <x:v>960</x:v>
      </x:c>
      <x:c r="H63" s="76" t="n">
        <x:f>IF(A63,G63/($J$5*F63),"")</x:f>
        <x:v>30</x:v>
      </x:c>
      <x:c r="I63" s="76" t="n">
        <x:f>IF(A63,$B$5*D63/C23/$B$9,"")</x:f>
        <x:v>0.348480224609375</x:v>
      </x:c>
      <x:c r="J63" s="76" t="n">
        <x:f>IF(A63,I63*$F$5/$J$5,"")</x:f>
        <x:v>0.348480224609375</x:v>
      </x:c>
      <x:c r="K63" s="76" t="n">
        <x:f>IF(A63,MAX(I63,J63)*2^30/(J23*1e6),"")</x:f>
        <x:v>0.07795370666666666</x:v>
      </x:c>
      <x:c r="L63" s="76" t="n">
        <x:f>IF(A63,B63/$B$9,"")</x:f>
        <x:v>4000</x:v>
      </x:c>
      <x:c r="M63" s="77" t="n">
        <x:f>IF(A63,K63/L63,"")</x:f>
        <x:v>0.000019488426666666665</x:v>
      </x:c>
      <x:c r="N63" s="76" t="n">
        <x:f>IF(A63,(E23*ROUNDUP(K23/D23,0)*G23*(B23-1)/B23*(ROUNDUP((ROUNDUP(F23*2/32,0)*32+32)/480,0)*512+F23*2+32)+E23*ROUNDUP(H23/B23,0)*(B23-1)*32)/1e9,"")</x:f>
        <x:v>1.349901696</x:v>
      </x:c>
      <x:c r="O63" s="76" t="n">
        <x:f>IF(A63,N63*1000/I23,"")</x:f>
        <x:v>0.28122952</x:v>
      </x:c>
      <x:c r="P63" s="76" t="n">
        <x:f>IF(A63,O63/E23,"")</x:f>
        <x:v>0.00461032</x:v>
      </x:c>
      <x:c r="Q63" s="76" t="n">
        <x:f>IF(A63,N63*1000/C63,"")</x:f>
        <x:v>44.996723200000005</x:v>
      </x:c>
      <x:c r="R63" s="76" t="n">
        <x:f>IF(W63="估算",IF(OR(K63=0,O63=0),0,1-((E23-1)*MAX(0,(C63-O63)/E23-(K63))+MAX(0,L63-((E23-1)*C63/E23+P63)-(K63)))/L63),"")</x:f>
        <x:v>0.0012591014066666295</x:v>
      </x:c>
      <x:c r="S63" s="76" t="n">
        <x:f>IF(W63="估算",IF(O63=0,0,MAX(0,1-(1-((E23-1)*MAX(0,(C63-O63)/E23-(L63-K63))+MAX(0,L63-((E23-1)*C63/E23+P63)-(L63-K63)))/L63))),"")</x:f>
        <x:v>0</x:v>
      </x:c>
      <x:c r="T63" s="76" t="n">
        <x:f>IF(W63="估算",IF(OR(P63=0,K63=0,$J$7=0),0,IF(P63&lt;=(1-$J$7)*K63,$J$7*P63*K63/(1-$J$7)-$J$7^2*P63^2/(2*(1-$J$7)^2),$J$7*P63*K63+$J$7^2*K63^2/2)/L63),"")</x:f>
        <x:v>9.950297132790125e-9</x:v>
      </x:c>
      <x:c r="U63" s="76" t="n">
        <x:f>IF(A63,60000/C63,"")</x:f>
        <x:v>2000</x:v>
      </x:c>
      <x:c r="V63" s="76" t="n">
        <x:f>IF(W63="估算",U63*E23*T63*M23*N23,"")</x:f>
        <x:v>0.0012139362502003952</x:v>
      </x:c>
      <x:c r="W63" s="76" t="str">
        <x:f>IF(NOT(A63),"输入无效",IF(K63&gt;=L63,"KV 超载",IF(O63&gt;C63+1e-9,"TPOT 不自洽",IF(OR(C63&gt;L63,P63&gt;L63-K63),"需时序仿真","估算"))))</x:f>
        <x:v>估算</x:v>
      </x:c>
      <x:c r="X63" s="76" t="n">
        <x:f>IF(W63="估算",U63*M63,"")</x:f>
        <x:v>0.03897685333333333</x:v>
      </x:c>
    </x:row>
    <x:row r="64" ht="22" customHeight="1">
      <x:c r="A64" s="30" t="b">
        <x:f>AND(AND(ISNUMBER($B$5),$B$5&gt;0),AND(ISNUMBER($F$5),$F$5&gt;0),AND(ISNUMBER($J$5),$J$5&gt;0),AND(ISNUMBER($B$9),$B$9&gt;0),AND(ISNUMBER(I23),I23&gt;0),AND(ISNUMBER(J23),J23&gt;0),AND(ISNUMBER(K23),K23&gt;0),AND(ISNUMBER(L23),L23&gt;0),AND(ISNUMBER(D34),D34&gt;0),AND(ISNUMBER(E34),E34&gt;0),MOD($B$5,1)=0,MOD($F$5,1)=0,MOD($J$5,1)=0,MOD($B$9,1)=0,MOD(K23,1)=0,ISNUMBER(C34),C34&gt;=2,MOD(C34,1)=0,OR($N$9=32,$N$9=64,$N$9=128),ISNUMBER($B$11),$B$11&gt;=0,MOD($B$11,1)=0,ISNUMBER($J$7),$J$7&gt;=0,$J$7&lt;1,AND(ISNUMBER(M23),M23&gt;=0,M23&lt;=1),AND(ISNUMBER(N23),N23&gt;=0,N23&lt;=1))</x:f>
        <x:v>1</x:v>
      </x:c>
      <x:c r="B64" s="76" t="n">
        <x:f>IF(A64,D34*1000,"")</x:f>
        <x:v>20000</x:v>
      </x:c>
      <x:c r="C64" s="76" t="n">
        <x:f>IF(A64,E34*L23,"")</x:f>
        <x:v>5</x:v>
      </x:c>
      <x:c r="D64" s="76" t="n">
        <x:f>IF(A64,M105,"")</x:f>
        <x:v>2.21197509765625</x:v>
      </x:c>
      <x:c r="E64" s="76" t="n">
        <x:f>IF(A64,B23/C23,"")</x:f>
        <x:v>4</x:v>
      </x:c>
      <x:c r="F64" s="76" t="n">
        <x:f>IF(A64,B23/D23,"")</x:f>
        <x:v>32</x:v>
      </x:c>
      <x:c r="G64" s="76" t="n">
        <x:f>IF(A64,$F$5*E64*$B$5*60000/B64,"")</x:f>
        <x:v>192</x:v>
      </x:c>
      <x:c r="H64" s="76" t="n">
        <x:f>IF(A64,G64/($J$5*F64),"")</x:f>
        <x:v>6</x:v>
      </x:c>
      <x:c r="I64" s="76" t="n">
        <x:f>IF(A64,$B$5*D64/C23/$B$9,"")</x:f>
        <x:v>4.4239501953125</x:v>
      </x:c>
      <x:c r="J64" s="76" t="n">
        <x:f>IF(A64,I64*$F$5/$J$5,"")</x:f>
        <x:v>4.4239501953125</x:v>
      </x:c>
      <x:c r="K64" s="76" t="n">
        <x:f>IF(A64,MAX(I64,J64)*2^30/(J23*1e6),"")</x:f>
        <x:v>0.9896209066666667</x:v>
      </x:c>
      <x:c r="L64" s="76" t="n">
        <x:f>IF(A64,B64/$B$9,"")</x:f>
        <x:v>20000</x:v>
      </x:c>
      <x:c r="M64" s="77" t="n">
        <x:f>IF(A64,K64/L64,"")</x:f>
        <x:v>0.000049481045333333336</x:v>
      </x:c>
      <x:c r="N64" s="76" t="n">
        <x:f>IF(A64,(E23*ROUNDUP(K23/D23,0)*G23*(B23-1)/B23*(ROUNDUP((ROUNDUP(F23*2/32,0)*32+32)/480,0)*512+F23*2+32)+E23*ROUNDUP(H23/B23,0)*(B23-1)*32)/1e9,"")</x:f>
        <x:v>1.349901696</x:v>
      </x:c>
      <x:c r="O64" s="76" t="n">
        <x:f>IF(A64,N64*1000/I23,"")</x:f>
        <x:v>0.28122952</x:v>
      </x:c>
      <x:c r="P64" s="76" t="n">
        <x:f>IF(A64,O64/E23,"")</x:f>
        <x:v>0.00461032</x:v>
      </x:c>
      <x:c r="Q64" s="76" t="n">
        <x:f>IF(A64,N64*1000/C64,"")</x:f>
        <x:v>269.9803392</x:v>
      </x:c>
      <x:c r="R64" s="76" t="n">
        <x:f>IF(W64="估算",IF(OR(K64=0,O64=0),0,1-((E23-1)*MAX(0,(C64-O64)/E23-(K64))+MAX(0,L64-((E23-1)*C64/E23+P64)-(K64)))/L64),"")</x:f>
        <x:v>0.00029561320067772456</x:v>
      </x:c>
      <x:c r="S64" s="76" t="n">
        <x:f>IF(W64="估算",IF(O64=0,0,MAX(0,1-(1-((E23-1)*MAX(0,(C64-O64)/E23-(L64-K64))+MAX(0,L64-((E23-1)*C64/E23+P64)-(L64-K64)))/L64))),"")</x:f>
        <x:v>0</x:v>
      </x:c>
      <x:c r="T64" s="76" t="n">
        <x:f>IF(W64="估算",IF(OR(P64=0,K64=0,$J$7=0),0,IF(P64&lt;=(1-$J$7)*K64,$J$7*P64*K64/(1-$J$7)-$J$7^2*P64^2/(2*(1-$J$7)^2),$J$7*P64*K64+$J$7^2*K64^2/2)/L64),"")</x:f>
        <x:v>2.5340490123802473e-8</x:v>
      </x:c>
      <x:c r="U64" s="76" t="n">
        <x:f>IF(A64,60000/C64,"")</x:f>
        <x:v>12000</x:v>
      </x:c>
      <x:c r="V64" s="76" t="n">
        <x:f>IF(W64="估算",U64*E23*T64*M23*N23,"")</x:f>
        <x:v>0.01854923877062341</x:v>
      </x:c>
      <x:c r="W64" s="76" t="str">
        <x:f>IF(NOT(A64),"输入无效",IF(K64&gt;=L64,"KV 超载",IF(O64&gt;C64+1e-9,"TPOT 不自洽",IF(OR(C64&gt;L64,P64&gt;L64-K64),"需时序仿真","估算"))))</x:f>
        <x:v>估算</x:v>
      </x:c>
      <x:c r="X64" s="76" t="n">
        <x:f>IF(W64="估算",U64*M64,"")</x:f>
        <x:v>0.593772544</x:v>
      </x:c>
    </x:row>
    <x:row r="65" ht="22" customHeight="1">
      <x:c r="A65" s="30" t="b">
        <x:f>AND(AND(ISNUMBER($B$5),$B$5&gt;0),AND(ISNUMBER($F$5),$F$5&gt;0),AND(ISNUMBER($J$5),$J$5&gt;0),AND(ISNUMBER($B$9),$B$9&gt;0),AND(ISNUMBER(I23),I23&gt;0),AND(ISNUMBER(J23),J23&gt;0),AND(ISNUMBER(K23),K23&gt;0),AND(ISNUMBER(L23),L23&gt;0),AND(ISNUMBER(D35),D35&gt;0),AND(ISNUMBER(E35),E35&gt;0),MOD($B$5,1)=0,MOD($F$5,1)=0,MOD($J$5,1)=0,MOD($B$9,1)=0,MOD(K23,1)=0,ISNUMBER(C35),C35&gt;=2,MOD(C35,1)=0,OR($N$9=32,$N$9=64,$N$9=128),ISNUMBER($B$11),$B$11&gt;=0,MOD($B$11,1)=0,ISNUMBER($J$7),$J$7&gt;=0,$J$7&lt;1,AND(ISNUMBER(M23),M23&gt;=0,M23&lt;=1),AND(ISNUMBER(N23),N23&gt;=0,N23&lt;=1))</x:f>
        <x:v>1</x:v>
      </x:c>
      <x:c r="B65" s="76" t="n">
        <x:f>IF(A65,D35*1000,"")</x:f>
        <x:v>20000</x:v>
      </x:c>
      <x:c r="C65" s="76" t="n">
        <x:f>IF(A65,E35*L23,"")</x:f>
        <x:v>10</x:v>
      </x:c>
      <x:c r="D65" s="76" t="n">
        <x:f>IF(A65,M105,"")</x:f>
        <x:v>2.21197509765625</x:v>
      </x:c>
      <x:c r="E65" s="76" t="n">
        <x:f>IF(A65,B23/C23,"")</x:f>
        <x:v>4</x:v>
      </x:c>
      <x:c r="F65" s="76" t="n">
        <x:f>IF(A65,B23/D23,"")</x:f>
        <x:v>32</x:v>
      </x:c>
      <x:c r="G65" s="76" t="n">
        <x:f>IF(A65,$F$5*E65*$B$5*60000/B65,"")</x:f>
        <x:v>192</x:v>
      </x:c>
      <x:c r="H65" s="76" t="n">
        <x:f>IF(A65,G65/($J$5*F65),"")</x:f>
        <x:v>6</x:v>
      </x:c>
      <x:c r="I65" s="76" t="n">
        <x:f>IF(A65,$B$5*D65/C23/$B$9,"")</x:f>
        <x:v>4.4239501953125</x:v>
      </x:c>
      <x:c r="J65" s="76" t="n">
        <x:f>IF(A65,I65*$F$5/$J$5,"")</x:f>
        <x:v>4.4239501953125</x:v>
      </x:c>
      <x:c r="K65" s="76" t="n">
        <x:f>IF(A65,MAX(I65,J65)*2^30/(J23*1e6),"")</x:f>
        <x:v>0.9896209066666667</x:v>
      </x:c>
      <x:c r="L65" s="76" t="n">
        <x:f>IF(A65,B65/$B$9,"")</x:f>
        <x:v>20000</x:v>
      </x:c>
      <x:c r="M65" s="77" t="n">
        <x:f>IF(A65,K65/L65,"")</x:f>
        <x:v>0.000049481045333333336</x:v>
      </x:c>
      <x:c r="N65" s="76" t="n">
        <x:f>IF(A65,(E23*ROUNDUP(K23/D23,0)*G23*(B23-1)/B23*(ROUNDUP((ROUNDUP(F23*2/32,0)*32+32)/480,0)*512+F23*2+32)+E23*ROUNDUP(H23/B23,0)*(B23-1)*32)/1e9,"")</x:f>
        <x:v>1.349901696</x:v>
      </x:c>
      <x:c r="O65" s="76" t="n">
        <x:f>IF(A65,N65*1000/I23,"")</x:f>
        <x:v>0.28122952</x:v>
      </x:c>
      <x:c r="P65" s="76" t="n">
        <x:f>IF(A65,O65/E23,"")</x:f>
        <x:v>0.00461032</x:v>
      </x:c>
      <x:c r="Q65" s="76" t="n">
        <x:f>IF(A65,N65*1000/C65,"")</x:f>
        <x:v>134.9901696</x:v>
      </x:c>
      <x:c r="R65" s="76" t="n">
        <x:f>IF(W65="估算",IF(OR(K65=0,O65=0),0,1-((E23-1)*MAX(0,(C65-O65)/E23-(K65))+MAX(0,L65-((E23-1)*C65/E23+P65)-(K65)))/L65),"")</x:f>
        <x:v>0.0005415148400219616</x:v>
      </x:c>
      <x:c r="S65" s="76" t="n">
        <x:f>IF(W65="估算",IF(O65=0,0,MAX(0,1-(1-((E23-1)*MAX(0,(C65-O65)/E23-(L65-K65))+MAX(0,L65-((E23-1)*C65/E23+P65)-(L65-K65)))/L65))),"")</x:f>
        <x:v>0</x:v>
      </x:c>
      <x:c r="T65" s="76" t="n">
        <x:f>IF(W65="估算",IF(OR(P65=0,K65=0,$J$7=0),0,IF(P65&lt;=(1-$J$7)*K65,$J$7*P65*K65/(1-$J$7)-$J$7^2*P65^2/(2*(1-$J$7)^2),$J$7*P65*K65+$J$7^2*K65^2/2)/L65),"")</x:f>
        <x:v>2.5340490123802473e-8</x:v>
      </x:c>
      <x:c r="U65" s="76" t="n">
        <x:f>IF(A65,60000/C65,"")</x:f>
        <x:v>6000</x:v>
      </x:c>
      <x:c r="V65" s="76" t="n">
        <x:f>IF(W65="估算",U65*E23*T65*M23*N23,"")</x:f>
        <x:v>0.009274619385311706</x:v>
      </x:c>
      <x:c r="W65" s="76" t="str">
        <x:f>IF(NOT(A65),"输入无效",IF(K65&gt;=L65,"KV 超载",IF(O65&gt;C65+1e-9,"TPOT 不自洽",IF(OR(C65&gt;L65,P65&gt;L65-K65),"需时序仿真","估算"))))</x:f>
        <x:v>估算</x:v>
      </x:c>
      <x:c r="X65" s="76" t="n">
        <x:f>IF(W65="估算",U65*M65,"")</x:f>
        <x:v>0.296886272</x:v>
      </x:c>
    </x:row>
    <x:row r="66" ht="22" customHeight="1">
      <x:c r="A66" s="30" t="b">
        <x:f>AND(AND(ISNUMBER($B$5),$B$5&gt;0),AND(ISNUMBER($F$5),$F$5&gt;0),AND(ISNUMBER($J$5),$J$5&gt;0),AND(ISNUMBER($B$9),$B$9&gt;0),AND(ISNUMBER(I23),I23&gt;0),AND(ISNUMBER(J23),J23&gt;0),AND(ISNUMBER(K23),K23&gt;0),AND(ISNUMBER(L23),L23&gt;0),AND(ISNUMBER(D36),D36&gt;0),AND(ISNUMBER(E36),E36&gt;0),MOD($B$5,1)=0,MOD($F$5,1)=0,MOD($J$5,1)=0,MOD($B$9,1)=0,MOD(K23,1)=0,ISNUMBER(C36),C36&gt;=2,MOD(C36,1)=0,OR($N$9=32,$N$9=64,$N$9=128),ISNUMBER($B$11),$B$11&gt;=0,MOD($B$11,1)=0,ISNUMBER($J$7),$J$7&gt;=0,$J$7&lt;1,AND(ISNUMBER(M23),M23&gt;=0,M23&lt;=1),AND(ISNUMBER(N23),N23&gt;=0,N23&lt;=1))</x:f>
        <x:v>1</x:v>
      </x:c>
      <x:c r="B66" s="76" t="n">
        <x:f>IF(A66,D36*1000,"")</x:f>
        <x:v>20000</x:v>
      </x:c>
      <x:c r="C66" s="76" t="n">
        <x:f>IF(A66,E36*L23,"")</x:f>
        <x:v>20</x:v>
      </x:c>
      <x:c r="D66" s="76" t="n">
        <x:f>IF(A66,M105,"")</x:f>
        <x:v>2.21197509765625</x:v>
      </x:c>
      <x:c r="E66" s="76" t="n">
        <x:f>IF(A66,B23/C23,"")</x:f>
        <x:v>4</x:v>
      </x:c>
      <x:c r="F66" s="76" t="n">
        <x:f>IF(A66,B23/D23,"")</x:f>
        <x:v>32</x:v>
      </x:c>
      <x:c r="G66" s="76" t="n">
        <x:f>IF(A66,$F$5*E66*$B$5*60000/B66,"")</x:f>
        <x:v>192</x:v>
      </x:c>
      <x:c r="H66" s="76" t="n">
        <x:f>IF(A66,G66/($J$5*F66),"")</x:f>
        <x:v>6</x:v>
      </x:c>
      <x:c r="I66" s="76" t="n">
        <x:f>IF(A66,$B$5*D66/C23/$B$9,"")</x:f>
        <x:v>4.4239501953125</x:v>
      </x:c>
      <x:c r="J66" s="76" t="n">
        <x:f>IF(A66,I66*$F$5/$J$5,"")</x:f>
        <x:v>4.4239501953125</x:v>
      </x:c>
      <x:c r="K66" s="76" t="n">
        <x:f>IF(A66,MAX(I66,J66)*2^30/(J23*1e6),"")</x:f>
        <x:v>0.9896209066666667</x:v>
      </x:c>
      <x:c r="L66" s="76" t="n">
        <x:f>IF(A66,B66/$B$9,"")</x:f>
        <x:v>20000</x:v>
      </x:c>
      <x:c r="M66" s="77" t="n">
        <x:f>IF(A66,K66/L66,"")</x:f>
        <x:v>0.000049481045333333336</x:v>
      </x:c>
      <x:c r="N66" s="76" t="n">
        <x:f>IF(A66,(E23*ROUNDUP(K23/D23,0)*G23*(B23-1)/B23*(ROUNDUP((ROUNDUP(F23*2/32,0)*32+32)/480,0)*512+F23*2+32)+E23*ROUNDUP(H23/B23,0)*(B23-1)*32)/1e9,"")</x:f>
        <x:v>1.349901696</x:v>
      </x:c>
      <x:c r="O66" s="76" t="n">
        <x:f>IF(A66,N66*1000/I23,"")</x:f>
        <x:v>0.28122952</x:v>
      </x:c>
      <x:c r="P66" s="76" t="n">
        <x:f>IF(A66,O66/E23,"")</x:f>
        <x:v>0.00461032</x:v>
      </x:c>
      <x:c r="Q66" s="76" t="n">
        <x:f>IF(A66,N66*1000/C66,"")</x:f>
        <x:v>67.4950848</x:v>
      </x:c>
      <x:c r="R66" s="76" t="n">
        <x:f>IF(W66="估算",IF(OR(K66=0,O66=0),0,1-((E23-1)*MAX(0,(C66-O66)/E23-(K66))+MAX(0,L66-((E23-1)*C66/E23+P66)-(K66)))/L66),"")</x:f>
        <x:v>0.0010333181187104357</x:v>
      </x:c>
      <x:c r="S66" s="76" t="n">
        <x:f>IF(W66="估算",IF(O66=0,0,MAX(0,1-(1-((E23-1)*MAX(0,(C66-O66)/E23-(L66-K66))+MAX(0,L66-((E23-1)*C66/E23+P66)-(L66-K66)))/L66))),"")</x:f>
        <x:v>0</x:v>
      </x:c>
      <x:c r="T66" s="76" t="n">
        <x:f>IF(W66="估算",IF(OR(P66=0,K66=0,$J$7=0),0,IF(P66&lt;=(1-$J$7)*K66,$J$7*P66*K66/(1-$J$7)-$J$7^2*P66^2/(2*(1-$J$7)^2),$J$7*P66*K66+$J$7^2*K66^2/2)/L66),"")</x:f>
        <x:v>2.5340490123802473e-8</x:v>
      </x:c>
      <x:c r="U66" s="76" t="n">
        <x:f>IF(A66,60000/C66,"")</x:f>
        <x:v>3000</x:v>
      </x:c>
      <x:c r="V66" s="76" t="n">
        <x:f>IF(W66="估算",U66*E23*T66*M23*N23,"")</x:f>
        <x:v>0.004637309692655853</x:v>
      </x:c>
      <x:c r="W66" s="76" t="str">
        <x:f>IF(NOT(A66),"输入无效",IF(K66&gt;=L66,"KV 超载",IF(O66&gt;C66+1e-9,"TPOT 不自洽",IF(OR(C66&gt;L66,P66&gt;L66-K66),"需时序仿真","估算"))))</x:f>
        <x:v>估算</x:v>
      </x:c>
      <x:c r="X66" s="76" t="n">
        <x:f>IF(W66="估算",U66*M66,"")</x:f>
        <x:v>0.148443136</x:v>
      </x:c>
    </x:row>
    <x:row r="67" ht="22" customHeight="1">
      <x:c r="A67" s="30" t="b">
        <x:f>AND(AND(ISNUMBER($B$5),$B$5&gt;0),AND(ISNUMBER($F$5),$F$5&gt;0),AND(ISNUMBER($J$5),$J$5&gt;0),AND(ISNUMBER($B$9),$B$9&gt;0),AND(ISNUMBER(I23),I23&gt;0),AND(ISNUMBER(J23),J23&gt;0),AND(ISNUMBER(K23),K23&gt;0),AND(ISNUMBER(L23),L23&gt;0),AND(ISNUMBER(D37),D37&gt;0),AND(ISNUMBER(E37),E37&gt;0),MOD($B$5,1)=0,MOD($F$5,1)=0,MOD($J$5,1)=0,MOD($B$9,1)=0,MOD(K23,1)=0,ISNUMBER(C37),C37&gt;=2,MOD(C37,1)=0,OR($N$9=32,$N$9=64,$N$9=128),ISNUMBER($B$11),$B$11&gt;=0,MOD($B$11,1)=0,ISNUMBER($J$7),$J$7&gt;=0,$J$7&lt;1,AND(ISNUMBER(M23),M23&gt;=0,M23&lt;=1),AND(ISNUMBER(N23),N23&gt;=0,N23&lt;=1))</x:f>
        <x:v>1</x:v>
      </x:c>
      <x:c r="B67" s="76" t="n">
        <x:f>IF(A67,D37*1000,"")</x:f>
        <x:v>20000</x:v>
      </x:c>
      <x:c r="C67" s="76" t="n">
        <x:f>IF(A67,E37*L23,"")</x:f>
        <x:v>30</x:v>
      </x:c>
      <x:c r="D67" s="76" t="n">
        <x:f>IF(A67,M105,"")</x:f>
        <x:v>2.21197509765625</x:v>
      </x:c>
      <x:c r="E67" s="76" t="n">
        <x:f>IF(A67,B23/C23,"")</x:f>
        <x:v>4</x:v>
      </x:c>
      <x:c r="F67" s="76" t="n">
        <x:f>IF(A67,B23/D23,"")</x:f>
        <x:v>32</x:v>
      </x:c>
      <x:c r="G67" s="76" t="n">
        <x:f>IF(A67,$F$5*E67*$B$5*60000/B67,"")</x:f>
        <x:v>192</x:v>
      </x:c>
      <x:c r="H67" s="76" t="n">
        <x:f>IF(A67,G67/($J$5*F67),"")</x:f>
        <x:v>6</x:v>
      </x:c>
      <x:c r="I67" s="76" t="n">
        <x:f>IF(A67,$B$5*D67/C23/$B$9,"")</x:f>
        <x:v>4.4239501953125</x:v>
      </x:c>
      <x:c r="J67" s="76" t="n">
        <x:f>IF(A67,I67*$F$5/$J$5,"")</x:f>
        <x:v>4.4239501953125</x:v>
      </x:c>
      <x:c r="K67" s="76" t="n">
        <x:f>IF(A67,MAX(I67,J67)*2^30/(J23*1e6),"")</x:f>
        <x:v>0.9896209066666667</x:v>
      </x:c>
      <x:c r="L67" s="76" t="n">
        <x:f>IF(A67,B67/$B$9,"")</x:f>
        <x:v>20000</x:v>
      </x:c>
      <x:c r="M67" s="77" t="n">
        <x:f>IF(A67,K67/L67,"")</x:f>
        <x:v>0.000049481045333333336</x:v>
      </x:c>
      <x:c r="N67" s="76" t="n">
        <x:f>IF(A67,(E23*ROUNDUP(K23/D23,0)*G23*(B23-1)/B23*(ROUNDUP((ROUNDUP(F23*2/32,0)*32+32)/480,0)*512+F23*2+32)+E23*ROUNDUP(H23/B23,0)*(B23-1)*32)/1e9,"")</x:f>
        <x:v>1.349901696</x:v>
      </x:c>
      <x:c r="O67" s="76" t="n">
        <x:f>IF(A67,N67*1000/I23,"")</x:f>
        <x:v>0.28122952</x:v>
      </x:c>
      <x:c r="P67" s="76" t="n">
        <x:f>IF(A67,O67/E23,"")</x:f>
        <x:v>0.00461032</x:v>
      </x:c>
      <x:c r="Q67" s="76" t="n">
        <x:f>IF(A67,N67*1000/C67,"")</x:f>
        <x:v>44.996723200000005</x:v>
      </x:c>
      <x:c r="R67" s="76" t="n">
        <x:f>IF(W67="估算",IF(OR(K67=0,O67=0),0,1-((E23-1)*MAX(0,(C67-O67)/E23-(K67))+MAX(0,L67-((E23-1)*C67/E23+P67)-(K67)))/L67),"")</x:f>
        <x:v>0.0015251213973990208</x:v>
      </x:c>
      <x:c r="S67" s="76" t="n">
        <x:f>IF(W67="估算",IF(O67=0,0,MAX(0,1-(1-((E23-1)*MAX(0,(C67-O67)/E23-(L67-K67))+MAX(0,L67-((E23-1)*C67/E23+P67)-(L67-K67)))/L67))),"")</x:f>
        <x:v>0</x:v>
      </x:c>
      <x:c r="T67" s="76" t="n">
        <x:f>IF(W67="估算",IF(OR(P67=0,K67=0,$J$7=0),0,IF(P67&lt;=(1-$J$7)*K67,$J$7*P67*K67/(1-$J$7)-$J$7^2*P67^2/(2*(1-$J$7)^2),$J$7*P67*K67+$J$7^2*K67^2/2)/L67),"")</x:f>
        <x:v>2.5340490123802473e-8</x:v>
      </x:c>
      <x:c r="U67" s="76" t="n">
        <x:f>IF(A67,60000/C67,"")</x:f>
        <x:v>2000</x:v>
      </x:c>
      <x:c r="V67" s="76" t="n">
        <x:f>IF(W67="估算",U67*E23*T67*M23*N23,"")</x:f>
        <x:v>0.0030915397951039015</x:v>
      </x:c>
      <x:c r="W67" s="76" t="str">
        <x:f>IF(NOT(A67),"输入无效",IF(K67&gt;=L67,"KV 超载",IF(O67&gt;C67+1e-9,"TPOT 不自洽",IF(OR(C67&gt;L67,P67&gt;L67-K67),"需时序仿真","估算"))))</x:f>
        <x:v>估算</x:v>
      </x:c>
      <x:c r="X67" s="76" t="n">
        <x:f>IF(W67="估算",U67*M67,"")</x:f>
        <x:v>0.09896209066666667</x:v>
      </x:c>
    </x:row>
    <x:row r="68" ht="22" customHeight="1">
      <x:c r="A68" s="30" t="b">
        <x:f>AND(AND(ISNUMBER($B$5),$B$5&gt;0),AND(ISNUMBER($F$5),$F$5&gt;0),AND(ISNUMBER($J$5),$J$5&gt;0),AND(ISNUMBER($B$9),$B$9&gt;0),AND(ISNUMBER(I23),I23&gt;0),AND(ISNUMBER(J23),J23&gt;0),AND(ISNUMBER(K23),K23&gt;0),AND(ISNUMBER(L23),L23&gt;0),AND(ISNUMBER(D38),D38&gt;0),AND(ISNUMBER(E38),E38&gt;0),MOD($B$5,1)=0,MOD($F$5,1)=0,MOD($J$5,1)=0,MOD($B$9,1)=0,MOD(K23,1)=0,ISNUMBER(C38),C38&gt;=2,MOD(C38,1)=0,OR($N$9=32,$N$9=64,$N$9=128),ISNUMBER($B$11),$B$11&gt;=0,MOD($B$11,1)=0,ISNUMBER($J$7),$J$7&gt;=0,$J$7&lt;1,AND(ISNUMBER(M23),M23&gt;=0,M23&lt;=1),AND(ISNUMBER(N23),N23&gt;=0,N23&lt;=1))</x:f>
        <x:v>1</x:v>
      </x:c>
      <x:c r="B68" s="76" t="n">
        <x:f>IF(A68,D38*1000,"")</x:f>
        <x:v>60000</x:v>
      </x:c>
      <x:c r="C68" s="76" t="n">
        <x:f>IF(A68,E38*L23,"")</x:f>
        <x:v>5</x:v>
      </x:c>
      <x:c r="D68" s="76" t="n">
        <x:f>IF(A68,M113,"")</x:f>
        <x:v>8.73272705078125</x:v>
      </x:c>
      <x:c r="E68" s="76" t="n">
        <x:f>IF(A68,B23/C23,"")</x:f>
        <x:v>4</x:v>
      </x:c>
      <x:c r="F68" s="76" t="n">
        <x:f>IF(A68,B23/D23,"")</x:f>
        <x:v>32</x:v>
      </x:c>
      <x:c r="G68" s="76" t="n">
        <x:f>IF(A68,$F$5*E68*$B$5*60000/B68,"")</x:f>
        <x:v>64</x:v>
      </x:c>
      <x:c r="H68" s="76" t="n">
        <x:f>IF(A68,G68/($J$5*F68),"")</x:f>
        <x:v>2</x:v>
      </x:c>
      <x:c r="I68" s="76" t="n">
        <x:f>IF(A68,$B$5*D68/C23/$B$9,"")</x:f>
        <x:v>17.4654541015625</x:v>
      </x:c>
      <x:c r="J68" s="76" t="n">
        <x:f>IF(A68,I68*$F$5/$J$5,"")</x:f>
        <x:v>17.4654541015625</x:v>
      </x:c>
      <x:c r="K68" s="76" t="n">
        <x:f>IF(A68,MAX(I68,J68)*2^30/(J23*1e6),"")</x:f>
        <x:v>3.906955946666667</x:v>
      </x:c>
      <x:c r="L68" s="76" t="n">
        <x:f>IF(A68,B68/$B$9,"")</x:f>
        <x:v>60000</x:v>
      </x:c>
      <x:c r="M68" s="77" t="n">
        <x:f>IF(A68,K68/L68,"")</x:f>
        <x:v>0.00006511593244444444</x:v>
      </x:c>
      <x:c r="N68" s="76" t="n">
        <x:f>IF(A68,(E23*ROUNDUP(K23/D23,0)*G23*(B23-1)/B23*(ROUNDUP((ROUNDUP(F23*2/32,0)*32+32)/480,0)*512+F23*2+32)+E23*ROUNDUP(H23/B23,0)*(B23-1)*32)/1e9,"")</x:f>
        <x:v>1.349901696</x:v>
      </x:c>
      <x:c r="O68" s="76" t="n">
        <x:f>IF(A68,N68*1000/I23,"")</x:f>
        <x:v>0.28122952</x:v>
      </x:c>
      <x:c r="P68" s="76" t="n">
        <x:f>IF(A68,O68/E23,"")</x:f>
        <x:v>0.00461032</x:v>
      </x:c>
      <x:c r="Q68" s="76" t="n">
        <x:f>IF(A68,N68*1000/C68,"")</x:f>
        <x:v>269.9803392</x:v>
      </x:c>
      <x:c r="R68" s="76" t="n">
        <x:f>IF(W68="估算",IF(OR(K68=0,O68=0),0,1-((E23-1)*MAX(0,(C68-O68)/E23-(K68))+MAX(0,L68-((E23-1)*C68/E23+P68)-(K68)))/L68),"")</x:f>
        <x:v>0.00014715998422576426</x:v>
      </x:c>
      <x:c r="S68" s="76" t="n">
        <x:f>IF(W68="估算",IF(O68=0,0,MAX(0,1-(1-((E23-1)*MAX(0,(C68-O68)/E23-(L68-K68))+MAX(0,L68-((E23-1)*C68/E23+P68)-(L68-K68)))/L68))),"")</x:f>
        <x:v>0</x:v>
      </x:c>
      <x:c r="T68" s="76" t="n">
        <x:f>IF(W68="估算",IF(OR(P68=0,K68=0,$J$7=0),0,IF(P68&lt;=(1-$J$7)*K68,$J$7*P68*K68/(1-$J$7)-$J$7^2*P68^2/(2*(1-$J$7)^2),$J$7*P68*K68+$J$7^2*K68^2/2)/L68),"")</x:f>
        <x:v>3.335395611832824e-8</x:v>
      </x:c>
      <x:c r="U68" s="76" t="n">
        <x:f>IF(A68,60000/C68,"")</x:f>
        <x:v>12000</x:v>
      </x:c>
      <x:c r="V68" s="76" t="n">
        <x:f>IF(W68="估算",U68*E23*T68*M23*N23,"")</x:f>
        <x:v>0.02441509587861627</x:v>
      </x:c>
      <x:c r="W68" s="76" t="str">
        <x:f>IF(NOT(A68),"输入无效",IF(K68&gt;=L68,"KV 超载",IF(O68&gt;C68+1e-9,"TPOT 不自洽",IF(OR(C68&gt;L68,P68&gt;L68-K68),"需时序仿真","估算"))))</x:f>
        <x:v>估算</x:v>
      </x:c>
      <x:c r="X68" s="76" t="n">
        <x:f>IF(W68="估算",U68*M68,"")</x:f>
        <x:v>0.7813911893333333</x:v>
      </x:c>
    </x:row>
    <x:row r="69" ht="22" customHeight="1">
      <x:c r="A69" s="30" t="b">
        <x:f>AND(AND(ISNUMBER($B$5),$B$5&gt;0),AND(ISNUMBER($F$5),$F$5&gt;0),AND(ISNUMBER($J$5),$J$5&gt;0),AND(ISNUMBER($B$9),$B$9&gt;0),AND(ISNUMBER(I23),I23&gt;0),AND(ISNUMBER(J23),J23&gt;0),AND(ISNUMBER(K23),K23&gt;0),AND(ISNUMBER(L23),L23&gt;0),AND(ISNUMBER(D39),D39&gt;0),AND(ISNUMBER(E39),E39&gt;0),MOD($B$5,1)=0,MOD($F$5,1)=0,MOD($J$5,1)=0,MOD($B$9,1)=0,MOD(K23,1)=0,ISNUMBER(C39),C39&gt;=2,MOD(C39,1)=0,OR($N$9=32,$N$9=64,$N$9=128),ISNUMBER($B$11),$B$11&gt;=0,MOD($B$11,1)=0,ISNUMBER($J$7),$J$7&gt;=0,$J$7&lt;1,AND(ISNUMBER(M23),M23&gt;=0,M23&lt;=1),AND(ISNUMBER(N23),N23&gt;=0,N23&lt;=1))</x:f>
        <x:v>1</x:v>
      </x:c>
      <x:c r="B69" s="76" t="n">
        <x:f>IF(A69,D39*1000,"")</x:f>
        <x:v>60000</x:v>
      </x:c>
      <x:c r="C69" s="76" t="n">
        <x:f>IF(A69,E39*L23,"")</x:f>
        <x:v>10</x:v>
      </x:c>
      <x:c r="D69" s="76" t="n">
        <x:f>IF(A69,M113,"")</x:f>
        <x:v>8.73272705078125</x:v>
      </x:c>
      <x:c r="E69" s="76" t="n">
        <x:f>IF(A69,B23/C23,"")</x:f>
        <x:v>4</x:v>
      </x:c>
      <x:c r="F69" s="76" t="n">
        <x:f>IF(A69,B23/D23,"")</x:f>
        <x:v>32</x:v>
      </x:c>
      <x:c r="G69" s="76" t="n">
        <x:f>IF(A69,$F$5*E69*$B$5*60000/B69,"")</x:f>
        <x:v>64</x:v>
      </x:c>
      <x:c r="H69" s="76" t="n">
        <x:f>IF(A69,G69/($J$5*F69),"")</x:f>
        <x:v>2</x:v>
      </x:c>
      <x:c r="I69" s="76" t="n">
        <x:f>IF(A69,$B$5*D69/C23/$B$9,"")</x:f>
        <x:v>17.4654541015625</x:v>
      </x:c>
      <x:c r="J69" s="76" t="n">
        <x:f>IF(A69,I69*$F$5/$J$5,"")</x:f>
        <x:v>17.4654541015625</x:v>
      </x:c>
      <x:c r="K69" s="76" t="n">
        <x:f>IF(A69,MAX(I69,J69)*2^30/(J23*1e6),"")</x:f>
        <x:v>3.906955946666667</x:v>
      </x:c>
      <x:c r="L69" s="76" t="n">
        <x:f>IF(A69,B69/$B$9,"")</x:f>
        <x:v>60000</x:v>
      </x:c>
      <x:c r="M69" s="77" t="n">
        <x:f>IF(A69,K69/L69,"")</x:f>
        <x:v>0.00006511593244444444</x:v>
      </x:c>
      <x:c r="N69" s="76" t="n">
        <x:f>IF(A69,(E23*ROUNDUP(K23/D23,0)*G23*(B23-1)/B23*(ROUNDUP((ROUNDUP(F23*2/32,0)*32+32)/480,0)*512+F23*2+32)+E23*ROUNDUP(H23/B23,0)*(B23-1)*32)/1e9,"")</x:f>
        <x:v>1.349901696</x:v>
      </x:c>
      <x:c r="O69" s="76" t="n">
        <x:f>IF(A69,N69*1000/I23,"")</x:f>
        <x:v>0.28122952</x:v>
      </x:c>
      <x:c r="P69" s="76" t="n">
        <x:f>IF(A69,O69/E23,"")</x:f>
        <x:v>0.00461032</x:v>
      </x:c>
      <x:c r="Q69" s="76" t="n">
        <x:f>IF(A69,N69*1000/C69,"")</x:f>
        <x:v>134.9901696</x:v>
      </x:c>
      <x:c r="R69" s="76" t="n">
        <x:f>IF(W69="估算",IF(OR(K69=0,O69=0),0,1-((E23-1)*MAX(0,(C69-O69)/E23-(K69))+MAX(0,L69-((E23-1)*C69/E23+P69)-(K69)))/L69),"")</x:f>
        <x:v>0.00022912719734058395</x:v>
      </x:c>
      <x:c r="S69" s="76" t="n">
        <x:f>IF(W69="估算",IF(O69=0,0,MAX(0,1-(1-((E23-1)*MAX(0,(C69-O69)/E23-(L69-K69))+MAX(0,L69-((E23-1)*C69/E23+P69)-(L69-K69)))/L69))),"")</x:f>
        <x:v>0</x:v>
      </x:c>
      <x:c r="T69" s="76" t="n">
        <x:f>IF(W69="估算",IF(OR(P69=0,K69=0,$J$7=0),0,IF(P69&lt;=(1-$J$7)*K69,$J$7*P69*K69/(1-$J$7)-$J$7^2*P69^2/(2*(1-$J$7)^2),$J$7*P69*K69+$J$7^2*K69^2/2)/L69),"")</x:f>
        <x:v>3.335395611832824e-8</x:v>
      </x:c>
      <x:c r="U69" s="76" t="n">
        <x:f>IF(A69,60000/C69,"")</x:f>
        <x:v>6000</x:v>
      </x:c>
      <x:c r="V69" s="76" t="n">
        <x:f>IF(W69="估算",U69*E23*T69*M23*N23,"")</x:f>
        <x:v>0.012207547939308136</x:v>
      </x:c>
      <x:c r="W69" s="76" t="str">
        <x:f>IF(NOT(A69),"输入无效",IF(K69&gt;=L69,"KV 超载",IF(O69&gt;C69+1e-9,"TPOT 不自洽",IF(OR(C69&gt;L69,P69&gt;L69-K69),"需时序仿真","估算"))))</x:f>
        <x:v>估算</x:v>
      </x:c>
      <x:c r="X69" s="76" t="n">
        <x:f>IF(W69="估算",U69*M69,"")</x:f>
        <x:v>0.39069559466666665</x:v>
      </x:c>
    </x:row>
    <x:row r="70" ht="22" customHeight="1">
      <x:c r="A70" s="30" t="b">
        <x:f>AND(AND(ISNUMBER($B$5),$B$5&gt;0),AND(ISNUMBER($F$5),$F$5&gt;0),AND(ISNUMBER($J$5),$J$5&gt;0),AND(ISNUMBER($B$9),$B$9&gt;0),AND(ISNUMBER(I23),I23&gt;0),AND(ISNUMBER(J23),J23&gt;0),AND(ISNUMBER(K23),K23&gt;0),AND(ISNUMBER(L23),L23&gt;0),AND(ISNUMBER(D40),D40&gt;0),AND(ISNUMBER(E40),E40&gt;0),MOD($B$5,1)=0,MOD($F$5,1)=0,MOD($J$5,1)=0,MOD($B$9,1)=0,MOD(K23,1)=0,ISNUMBER(C40),C40&gt;=2,MOD(C40,1)=0,OR($N$9=32,$N$9=64,$N$9=128),ISNUMBER($B$11),$B$11&gt;=0,MOD($B$11,1)=0,ISNUMBER($J$7),$J$7&gt;=0,$J$7&lt;1,AND(ISNUMBER(M23),M23&gt;=0,M23&lt;=1),AND(ISNUMBER(N23),N23&gt;=0,N23&lt;=1))</x:f>
        <x:v>1</x:v>
      </x:c>
      <x:c r="B70" s="76" t="n">
        <x:f>IF(A70,D40*1000,"")</x:f>
        <x:v>60000</x:v>
      </x:c>
      <x:c r="C70" s="76" t="n">
        <x:f>IF(A70,E40*L23,"")</x:f>
        <x:v>20</x:v>
      </x:c>
      <x:c r="D70" s="76" t="n">
        <x:f>IF(A70,M113,"")</x:f>
        <x:v>8.73272705078125</x:v>
      </x:c>
      <x:c r="E70" s="76" t="n">
        <x:f>IF(A70,B23/C23,"")</x:f>
        <x:v>4</x:v>
      </x:c>
      <x:c r="F70" s="76" t="n">
        <x:f>IF(A70,B23/D23,"")</x:f>
        <x:v>32</x:v>
      </x:c>
      <x:c r="G70" s="76" t="n">
        <x:f>IF(A70,$F$5*E70*$B$5*60000/B70,"")</x:f>
        <x:v>64</x:v>
      </x:c>
      <x:c r="H70" s="76" t="n">
        <x:f>IF(A70,G70/($J$5*F70),"")</x:f>
        <x:v>2</x:v>
      </x:c>
      <x:c r="I70" s="76" t="n">
        <x:f>IF(A70,$B$5*D70/C23/$B$9,"")</x:f>
        <x:v>17.4654541015625</x:v>
      </x:c>
      <x:c r="J70" s="76" t="n">
        <x:f>IF(A70,I70*$F$5/$J$5,"")</x:f>
        <x:v>17.4654541015625</x:v>
      </x:c>
      <x:c r="K70" s="76" t="n">
        <x:f>IF(A70,MAX(I70,J70)*2^30/(J23*1e6),"")</x:f>
        <x:v>3.906955946666667</x:v>
      </x:c>
      <x:c r="L70" s="76" t="n">
        <x:f>IF(A70,B70/$B$9,"")</x:f>
        <x:v>60000</x:v>
      </x:c>
      <x:c r="M70" s="77" t="n">
        <x:f>IF(A70,K70/L70,"")</x:f>
        <x:v>0.00006511593244444444</x:v>
      </x:c>
      <x:c r="N70" s="76" t="n">
        <x:f>IF(A70,(E23*ROUNDUP(K23/D23,0)*G23*(B23-1)/B23*(ROUNDUP((ROUNDUP(F23*2/32,0)*32+32)/480,0)*512+F23*2+32)+E23*ROUNDUP(H23/B23,0)*(B23-1)*32)/1e9,"")</x:f>
        <x:v>1.349901696</x:v>
      </x:c>
      <x:c r="O70" s="76" t="n">
        <x:f>IF(A70,N70*1000/I23,"")</x:f>
        <x:v>0.28122952</x:v>
      </x:c>
      <x:c r="P70" s="76" t="n">
        <x:f>IF(A70,O70/E23,"")</x:f>
        <x:v>0.00461032</x:v>
      </x:c>
      <x:c r="Q70" s="76" t="n">
        <x:f>IF(A70,N70*1000/C70,"")</x:f>
        <x:v>67.4950848</x:v>
      </x:c>
      <x:c r="R70" s="76" t="n">
        <x:f>IF(W70="估算",IF(OR(K70=0,O70=0),0,1-((E23-1)*MAX(0,(C70-O70)/E23-(K70))+MAX(0,L70-((E23-1)*C70/E23+P70)-(K70)))/L70),"")</x:f>
        <x:v>0.0003930616235701123</x:v>
      </x:c>
      <x:c r="S70" s="76" t="n">
        <x:f>IF(W70="估算",IF(O70=0,0,MAX(0,1-(1-((E23-1)*MAX(0,(C70-O70)/E23-(L70-K70))+MAX(0,L70-((E23-1)*C70/E23+P70)-(L70-K70)))/L70))),"")</x:f>
        <x:v>0</x:v>
      </x:c>
      <x:c r="T70" s="76" t="n">
        <x:f>IF(W70="估算",IF(OR(P70=0,K70=0,$J$7=0),0,IF(P70&lt;=(1-$J$7)*K70,$J$7*P70*K70/(1-$J$7)-$J$7^2*P70^2/(2*(1-$J$7)^2),$J$7*P70*K70+$J$7^2*K70^2/2)/L70),"")</x:f>
        <x:v>3.335395611832824e-8</x:v>
      </x:c>
      <x:c r="U70" s="76" t="n">
        <x:f>IF(A70,60000/C70,"")</x:f>
        <x:v>3000</x:v>
      </x:c>
      <x:c r="V70" s="76" t="n">
        <x:f>IF(W70="估算",U70*E23*T70*M23*N23,"")</x:f>
        <x:v>0.006103773969654068</x:v>
      </x:c>
      <x:c r="W70" s="76" t="str">
        <x:f>IF(NOT(A70),"输入无效",IF(K70&gt;=L70,"KV 超载",IF(O70&gt;C70+1e-9,"TPOT 不自洽",IF(OR(C70&gt;L70,P70&gt;L70-K70),"需时序仿真","估算"))))</x:f>
        <x:v>估算</x:v>
      </x:c>
      <x:c r="X70" s="76" t="n">
        <x:f>IF(W70="估算",U70*M70,"")</x:f>
        <x:v>0.19534779733333332</x:v>
      </x:c>
    </x:row>
    <x:row r="71" ht="22" customHeight="1">
      <x:c r="A71" s="30" t="b">
        <x:f>AND(AND(ISNUMBER($B$5),$B$5&gt;0),AND(ISNUMBER($F$5),$F$5&gt;0),AND(ISNUMBER($J$5),$J$5&gt;0),AND(ISNUMBER($B$9),$B$9&gt;0),AND(ISNUMBER(I23),I23&gt;0),AND(ISNUMBER(J23),J23&gt;0),AND(ISNUMBER(K23),K23&gt;0),AND(ISNUMBER(L23),L23&gt;0),AND(ISNUMBER(D41),D41&gt;0),AND(ISNUMBER(E41),E41&gt;0),MOD($B$5,1)=0,MOD($F$5,1)=0,MOD($J$5,1)=0,MOD($B$9,1)=0,MOD(K23,1)=0,ISNUMBER(C41),C41&gt;=2,MOD(C41,1)=0,OR($N$9=32,$N$9=64,$N$9=128),ISNUMBER($B$11),$B$11&gt;=0,MOD($B$11,1)=0,ISNUMBER($J$7),$J$7&gt;=0,$J$7&lt;1,AND(ISNUMBER(M23),M23&gt;=0,M23&lt;=1),AND(ISNUMBER(N23),N23&gt;=0,N23&lt;=1))</x:f>
        <x:v>1</x:v>
      </x:c>
      <x:c r="B71" s="76" t="n">
        <x:f>IF(A71,D41*1000,"")</x:f>
        <x:v>60000</x:v>
      </x:c>
      <x:c r="C71" s="76" t="n">
        <x:f>IF(A71,E41*L23,"")</x:f>
        <x:v>30</x:v>
      </x:c>
      <x:c r="D71" s="76" t="n">
        <x:f>IF(A71,M113,"")</x:f>
        <x:v>8.73272705078125</x:v>
      </x:c>
      <x:c r="E71" s="76" t="n">
        <x:f>IF(A71,B23/C23,"")</x:f>
        <x:v>4</x:v>
      </x:c>
      <x:c r="F71" s="76" t="n">
        <x:f>IF(A71,B23/D23,"")</x:f>
        <x:v>32</x:v>
      </x:c>
      <x:c r="G71" s="76" t="n">
        <x:f>IF(A71,$F$5*E71*$B$5*60000/B71,"")</x:f>
        <x:v>64</x:v>
      </x:c>
      <x:c r="H71" s="76" t="n">
        <x:f>IF(A71,G71/($J$5*F71),"")</x:f>
        <x:v>2</x:v>
      </x:c>
      <x:c r="I71" s="76" t="n">
        <x:f>IF(A71,$B$5*D71/C23/$B$9,"")</x:f>
        <x:v>17.4654541015625</x:v>
      </x:c>
      <x:c r="J71" s="76" t="n">
        <x:f>IF(A71,I71*$F$5/$J$5,"")</x:f>
        <x:v>17.4654541015625</x:v>
      </x:c>
      <x:c r="K71" s="76" t="n">
        <x:f>IF(A71,MAX(I71,J71)*2^30/(J23*1e6),"")</x:f>
        <x:v>3.906955946666667</x:v>
      </x:c>
      <x:c r="L71" s="76" t="n">
        <x:f>IF(A71,B71/$B$9,"")</x:f>
        <x:v>60000</x:v>
      </x:c>
      <x:c r="M71" s="77" t="n">
        <x:f>IF(A71,K71/L71,"")</x:f>
        <x:v>0.00006511593244444444</x:v>
      </x:c>
      <x:c r="N71" s="76" t="n">
        <x:f>IF(A71,(E23*ROUNDUP(K23/D23,0)*G23*(B23-1)/B23*(ROUNDUP((ROUNDUP(F23*2/32,0)*32+32)/480,0)*512+F23*2+32)+E23*ROUNDUP(H23/B23,0)*(B23-1)*32)/1e9,"")</x:f>
        <x:v>1.349901696</x:v>
      </x:c>
      <x:c r="O71" s="76" t="n">
        <x:f>IF(A71,N71*1000/I23,"")</x:f>
        <x:v>0.28122952</x:v>
      </x:c>
      <x:c r="P71" s="76" t="n">
        <x:f>IF(A71,O71/E23,"")</x:f>
        <x:v>0.00461032</x:v>
      </x:c>
      <x:c r="Q71" s="76" t="n">
        <x:f>IF(A71,N71*1000/C71,"")</x:f>
        <x:v>44.996723200000005</x:v>
      </x:c>
      <x:c r="R71" s="76" t="n">
        <x:f>IF(W71="估算",IF(OR(K71=0,O71=0),0,1-((E23-1)*MAX(0,(C71-O71)/E23-(K71))+MAX(0,L71-((E23-1)*C71/E23+P71)-(K71)))/L71),"")</x:f>
        <x:v>0.0005569960497996407</x:v>
      </x:c>
      <x:c r="S71" s="76" t="n">
        <x:f>IF(W71="估算",IF(O71=0,0,MAX(0,1-(1-((E23-1)*MAX(0,(C71-O71)/E23-(L71-K71))+MAX(0,L71-((E23-1)*C71/E23+P71)-(L71-K71)))/L71))),"")</x:f>
        <x:v>0</x:v>
      </x:c>
      <x:c r="T71" s="76" t="n">
        <x:f>IF(W71="估算",IF(OR(P71=0,K71=0,$J$7=0),0,IF(P71&lt;=(1-$J$7)*K71,$J$7*P71*K71/(1-$J$7)-$J$7^2*P71^2/(2*(1-$J$7)^2),$J$7*P71*K71+$J$7^2*K71^2/2)/L71),"")</x:f>
        <x:v>3.335395611832824e-8</x:v>
      </x:c>
      <x:c r="U71" s="76" t="n">
        <x:f>IF(A71,60000/C71,"")</x:f>
        <x:v>2000</x:v>
      </x:c>
      <x:c r="V71" s="76" t="n">
        <x:f>IF(W71="估算",U71*E23*T71*M23*N23,"")</x:f>
        <x:v>0.0040691826464360455</x:v>
      </x:c>
      <x:c r="W71" s="76" t="str">
        <x:f>IF(NOT(A71),"输入无效",IF(K71&gt;=L71,"KV 超载",IF(O71&gt;C71+1e-9,"TPOT 不自洽",IF(OR(C71&gt;L71,P71&gt;L71-K71),"需时序仿真","估算"))))</x:f>
        <x:v>估算</x:v>
      </x:c>
      <x:c r="X71" s="76" t="n">
        <x:f>IF(W71="估算",U71*M71,"")</x:f>
        <x:v>0.13023186488888888</x:v>
      </x:c>
    </x:row>
    <x:row r="72" ht="22" customHeight="1">
      <x:c r="A72" s="30" t="b">
        <x:f>AND(AND(ISNUMBER($B$5),$B$5&gt;0),AND(ISNUMBER($F$5),$F$5&gt;0),AND(ISNUMBER($J$5),$J$5&gt;0),AND(ISNUMBER($B$9),$B$9&gt;0),AND(ISNUMBER(I24),I24&gt;0),AND(ISNUMBER(J24),J24&gt;0),AND(ISNUMBER(K24),K24&gt;0),AND(ISNUMBER(L24),L24&gt;0),AND(ISNUMBER(D42),D42&gt;0),AND(ISNUMBER(E42),E42&gt;0),MOD($B$5,1)=0,MOD($F$5,1)=0,MOD($J$5,1)=0,MOD($B$9,1)=0,MOD(K24,1)=0,ISNUMBER(C42),C42&gt;=2,MOD(C42,1)=0,OR($N$9=32,$N$9=64,$N$9=128),ISNUMBER($B$11),$B$11&gt;=0,MOD($B$11,1)=0,ISNUMBER($J$7),$J$7&gt;=0,$J$7&lt;1,AND(ISNUMBER(M24),M24&gt;=0,M24&lt;=1),AND(ISNUMBER(N24),N24&gt;=0,N24&lt;=1))</x:f>
        <x:v>1</x:v>
      </x:c>
      <x:c r="B72" s="76" t="n">
        <x:f>IF(A72,D42*1000,"")</x:f>
        <x:v>4000</x:v>
      </x:c>
      <x:c r="C72" s="76" t="n">
        <x:f>IF(A72,E42*L24,"")</x:f>
        <x:v>5</x:v>
      </x:c>
      <x:c r="D72" s="76" t="n">
        <x:f>IF(A72,M97,"")</x:f>
        <x:v>0.1742401123046875</x:v>
      </x:c>
      <x:c r="E72" s="76" t="n">
        <x:f>IF(A72,B24/C24,"")</x:f>
        <x:v>32</x:v>
      </x:c>
      <x:c r="F72" s="76" t="n">
        <x:f>IF(A72,B24/D24,"")</x:f>
        <x:v>256</x:v>
      </x:c>
      <x:c r="G72" s="76" t="n">
        <x:f>IF(A72,$F$5*E72*$B$5*60000/B72,"")</x:f>
        <x:v>7680</x:v>
      </x:c>
      <x:c r="H72" s="76" t="n">
        <x:f>IF(A72,G72/($J$5*F72),"")</x:f>
        <x:v>30</x:v>
      </x:c>
      <x:c r="I72" s="76" t="n">
        <x:f>IF(A72,$B$5*D72/C24/$B$9,"")</x:f>
        <x:v>0.348480224609375</x:v>
      </x:c>
      <x:c r="J72" s="76" t="n">
        <x:f>IF(A72,I72*$F$5/$J$5,"")</x:f>
        <x:v>0.348480224609375</x:v>
      </x:c>
      <x:c r="K72" s="76" t="n">
        <x:f>IF(A72,MAX(I72,J72)*2^30/(J24*1e6),"")</x:f>
        <x:v>0.07795370666666666</x:v>
      </x:c>
      <x:c r="L72" s="76" t="n">
        <x:f>IF(A72,B72/$B$9,"")</x:f>
        <x:v>4000</x:v>
      </x:c>
      <x:c r="M72" s="77" t="n">
        <x:f>IF(A72,K72/L72,"")</x:f>
        <x:v>0.000019488426666666665</x:v>
      </x:c>
      <x:c r="N72" s="76" t="n">
        <x:f>IF(A72,(E24*ROUNDUP(K24/D24,0)*G24*(B24-1)/B24*(ROUNDUP((ROUNDUP(F24*2/32,0)*32+32)/480,0)*512+F24*2+32)+E24*ROUNDUP(H24/B24,0)*(B24-1)*32)/1e9,"")</x:f>
        <x:v>1.38825264</x:v>
      </x:c>
      <x:c r="O72" s="76" t="n">
        <x:f>IF(A72,N72*1000/I24,"")</x:f>
        <x:v>0.2892193</x:v>
      </x:c>
      <x:c r="P72" s="76" t="n">
        <x:f>IF(A72,O72/E24,"")</x:f>
        <x:v>0.0047413</x:v>
      </x:c>
      <x:c r="Q72" s="76" t="n">
        <x:f>IF(A72,N72*1000/C72,"")</x:f>
        <x:v>277.650528</x:v>
      </x:c>
      <x:c r="R72" s="76" t="n">
        <x:f>IF(W72="估算",IF(OR(K72=0,O72=0),0,1-((E24-1)*MAX(0,(C72-O72)/E24-(K72))+MAX(0,L72-((E24-1)*C72/E24+P72)-(K72)))/L72),"")</x:f>
        <x:v>0.001250181948387885</x:v>
      </x:c>
      <x:c r="S72" s="76" t="n">
        <x:f>IF(W72="估算",IF(O72=0,0,MAX(0,1-(1-((E24-1)*MAX(0,(C72-O72)/E24-(L72-K72))+MAX(0,L72-((E24-1)*C72/E24+P72)-(L72-K72)))/L72))),"")</x:f>
        <x:v>0</x:v>
      </x:c>
      <x:c r="T72" s="76" t="n">
        <x:f>IF(W72="估算",IF(OR(P72=0,K72=0,$J$7=0),0,IF(P72&lt;=(1-$J$7)*K72,$J$7*P72*K72/(1-$J$7)-$J$7^2*P72^2/(2*(1-$J$7)^2),$J$7*P72*K72+$J$7^2*K72^2/2)/L72),"")</x:f>
        <x:v>1.023202846272531e-8</x:v>
      </x:c>
      <x:c r="U72" s="76" t="n">
        <x:f>IF(A72,60000/C72,"")</x:f>
        <x:v>12000</x:v>
      </x:c>
      <x:c r="V72" s="76" t="n">
        <x:f>IF(W72="估算",U72*E24*T72*M24*N24,"")</x:f>
        <x:v>0.007489844834714927</x:v>
      </x:c>
      <x:c r="W72" s="76" t="str">
        <x:f>IF(NOT(A72),"输入无效",IF(K72&gt;=L72,"KV 超载",IF(O72&gt;C72+1e-9,"TPOT 不自洽",IF(OR(C72&gt;L72,P72&gt;L72-K72),"需时序仿真","估算"))))</x:f>
        <x:v>估算</x:v>
      </x:c>
      <x:c r="X72" s="76" t="n">
        <x:f>IF(W72="估算",U72*M72,"")</x:f>
        <x:v>0.23386111999999998</x:v>
      </x:c>
    </x:row>
    <x:row r="73" ht="22" customHeight="1">
      <x:c r="A73" s="30" t="b">
        <x:f>AND(AND(ISNUMBER($B$5),$B$5&gt;0),AND(ISNUMBER($F$5),$F$5&gt;0),AND(ISNUMBER($J$5),$J$5&gt;0),AND(ISNUMBER($B$9),$B$9&gt;0),AND(ISNUMBER(I24),I24&gt;0),AND(ISNUMBER(J24),J24&gt;0),AND(ISNUMBER(K24),K24&gt;0),AND(ISNUMBER(L24),L24&gt;0),AND(ISNUMBER(D43),D43&gt;0),AND(ISNUMBER(E43),E43&gt;0),MOD($B$5,1)=0,MOD($F$5,1)=0,MOD($J$5,1)=0,MOD($B$9,1)=0,MOD(K24,1)=0,ISNUMBER(C43),C43&gt;=2,MOD(C43,1)=0,OR($N$9=32,$N$9=64,$N$9=128),ISNUMBER($B$11),$B$11&gt;=0,MOD($B$11,1)=0,ISNUMBER($J$7),$J$7&gt;=0,$J$7&lt;1,AND(ISNUMBER(M24),M24&gt;=0,M24&lt;=1),AND(ISNUMBER(N24),N24&gt;=0,N24&lt;=1))</x:f>
        <x:v>1</x:v>
      </x:c>
      <x:c r="B73" s="76" t="n">
        <x:f>IF(A73,D43*1000,"")</x:f>
        <x:v>4000</x:v>
      </x:c>
      <x:c r="C73" s="76" t="n">
        <x:f>IF(A73,E43*L24,"")</x:f>
        <x:v>10</x:v>
      </x:c>
      <x:c r="D73" s="76" t="n">
        <x:f>IF(A73,M97,"")</x:f>
        <x:v>0.1742401123046875</x:v>
      </x:c>
      <x:c r="E73" s="76" t="n">
        <x:f>IF(A73,B24/C24,"")</x:f>
        <x:v>32</x:v>
      </x:c>
      <x:c r="F73" s="76" t="n">
        <x:f>IF(A73,B24/D24,"")</x:f>
        <x:v>256</x:v>
      </x:c>
      <x:c r="G73" s="76" t="n">
        <x:f>IF(A73,$F$5*E73*$B$5*60000/B73,"")</x:f>
        <x:v>7680</x:v>
      </x:c>
      <x:c r="H73" s="76" t="n">
        <x:f>IF(A73,G73/($J$5*F73),"")</x:f>
        <x:v>30</x:v>
      </x:c>
      <x:c r="I73" s="76" t="n">
        <x:f>IF(A73,$B$5*D73/C24/$B$9,"")</x:f>
        <x:v>0.348480224609375</x:v>
      </x:c>
      <x:c r="J73" s="76" t="n">
        <x:f>IF(A73,I73*$F$5/$J$5,"")</x:f>
        <x:v>0.348480224609375</x:v>
      </x:c>
      <x:c r="K73" s="76" t="n">
        <x:f>IF(A73,MAX(I73,J73)*2^30/(J24*1e6),"")</x:f>
        <x:v>0.07795370666666666</x:v>
      </x:c>
      <x:c r="L73" s="76" t="n">
        <x:f>IF(A73,B73/$B$9,"")</x:f>
        <x:v>4000</x:v>
      </x:c>
      <x:c r="M73" s="77" t="n">
        <x:f>IF(A73,K73/L73,"")</x:f>
        <x:v>0.000019488426666666665</x:v>
      </x:c>
      <x:c r="N73" s="76" t="n">
        <x:f>IF(A73,(E24*ROUNDUP(K24/D24,0)*G24*(B24-1)/B24*(ROUNDUP((ROUNDUP(F24*2/32,0)*32+32)/480,0)*512+F24*2+32)+E24*ROUNDUP(H24/B24,0)*(B24-1)*32)/1e9,"")</x:f>
        <x:v>1.38825264</x:v>
      </x:c>
      <x:c r="O73" s="76" t="n">
        <x:f>IF(A73,N73*1000/I24,"")</x:f>
        <x:v>0.2892193</x:v>
      </x:c>
      <x:c r="P73" s="76" t="n">
        <x:f>IF(A73,O73/E24,"")</x:f>
        <x:v>0.0047413</x:v>
      </x:c>
      <x:c r="Q73" s="76" t="n">
        <x:f>IF(A73,N73*1000/C73,"")</x:f>
        <x:v>138.825264</x:v>
      </x:c>
      <x:c r="R73" s="76" t="n">
        <x:f>IF(W73="估算",IF(OR(K73=0,O73=0),0,1-((E24-1)*MAX(0,(C73-O73)/E24-(K73))+MAX(0,L73-((E24-1)*C73/E24+P73)-(K73)))/L73),"")</x:f>
        <x:v>0.0012610988516665866</x:v>
      </x:c>
      <x:c r="S73" s="76" t="n">
        <x:f>IF(W73="估算",IF(O73=0,0,MAX(0,1-(1-((E24-1)*MAX(0,(C73-O73)/E24-(L73-K73))+MAX(0,L73-((E24-1)*C73/E24+P73)-(L73-K73)))/L73))),"")</x:f>
        <x:v>0</x:v>
      </x:c>
      <x:c r="T73" s="76" t="n">
        <x:f>IF(W73="估算",IF(OR(P73=0,K73=0,$J$7=0),0,IF(P73&lt;=(1-$J$7)*K73,$J$7*P73*K73/(1-$J$7)-$J$7^2*P73^2/(2*(1-$J$7)^2),$J$7*P73*K73+$J$7^2*K73^2/2)/L73),"")</x:f>
        <x:v>1.023202846272531e-8</x:v>
      </x:c>
      <x:c r="U73" s="76" t="n">
        <x:f>IF(A73,60000/C73,"")</x:f>
        <x:v>6000</x:v>
      </x:c>
      <x:c r="V73" s="76" t="n">
        <x:f>IF(W73="估算",U73*E24*T73*M24*N24,"")</x:f>
        <x:v>0.0037449224173574636</x:v>
      </x:c>
      <x:c r="W73" s="76" t="str">
        <x:f>IF(NOT(A73),"输入无效",IF(K73&gt;=L73,"KV 超载",IF(O73&gt;C73+1e-9,"TPOT 不自洽",IF(OR(C73&gt;L73,P73&gt;L73-K73),"需时序仿真","估算"))))</x:f>
        <x:v>估算</x:v>
      </x:c>
      <x:c r="X73" s="76" t="n">
        <x:f>IF(W73="估算",U73*M73,"")</x:f>
        <x:v>0.11693055999999999</x:v>
      </x:c>
    </x:row>
    <x:row r="74" ht="22" customHeight="1">
      <x:c r="A74" s="30" t="b">
        <x:f>AND(AND(ISNUMBER($B$5),$B$5&gt;0),AND(ISNUMBER($F$5),$F$5&gt;0),AND(ISNUMBER($J$5),$J$5&gt;0),AND(ISNUMBER($B$9),$B$9&gt;0),AND(ISNUMBER(I24),I24&gt;0),AND(ISNUMBER(J24),J24&gt;0),AND(ISNUMBER(K24),K24&gt;0),AND(ISNUMBER(L24),L24&gt;0),AND(ISNUMBER(D44),D44&gt;0),AND(ISNUMBER(E44),E44&gt;0),MOD($B$5,1)=0,MOD($F$5,1)=0,MOD($J$5,1)=0,MOD($B$9,1)=0,MOD(K24,1)=0,ISNUMBER(C44),C44&gt;=2,MOD(C44,1)=0,OR($N$9=32,$N$9=64,$N$9=128),ISNUMBER($B$11),$B$11&gt;=0,MOD($B$11,1)=0,ISNUMBER($J$7),$J$7&gt;=0,$J$7&lt;1,AND(ISNUMBER(M24),M24&gt;=0,M24&lt;=1),AND(ISNUMBER(N24),N24&gt;=0,N24&lt;=1))</x:f>
        <x:v>1</x:v>
      </x:c>
      <x:c r="B74" s="76" t="n">
        <x:f>IF(A74,D44*1000,"")</x:f>
        <x:v>4000</x:v>
      </x:c>
      <x:c r="C74" s="76" t="n">
        <x:f>IF(A74,E44*L24,"")</x:f>
        <x:v>20</x:v>
      </x:c>
      <x:c r="D74" s="76" t="n">
        <x:f>IF(A74,M97,"")</x:f>
        <x:v>0.1742401123046875</x:v>
      </x:c>
      <x:c r="E74" s="76" t="n">
        <x:f>IF(A74,B24/C24,"")</x:f>
        <x:v>32</x:v>
      </x:c>
      <x:c r="F74" s="76" t="n">
        <x:f>IF(A74,B24/D24,"")</x:f>
        <x:v>256</x:v>
      </x:c>
      <x:c r="G74" s="76" t="n">
        <x:f>IF(A74,$F$5*E74*$B$5*60000/B74,"")</x:f>
        <x:v>7680</x:v>
      </x:c>
      <x:c r="H74" s="76" t="n">
        <x:f>IF(A74,G74/($J$5*F74),"")</x:f>
        <x:v>30</x:v>
      </x:c>
      <x:c r="I74" s="76" t="n">
        <x:f>IF(A74,$B$5*D74/C24/$B$9,"")</x:f>
        <x:v>0.348480224609375</x:v>
      </x:c>
      <x:c r="J74" s="76" t="n">
        <x:f>IF(A74,I74*$F$5/$J$5,"")</x:f>
        <x:v>0.348480224609375</x:v>
      </x:c>
      <x:c r="K74" s="76" t="n">
        <x:f>IF(A74,MAX(I74,J74)*2^30/(J24*1e6),"")</x:f>
        <x:v>0.07795370666666666</x:v>
      </x:c>
      <x:c r="L74" s="76" t="n">
        <x:f>IF(A74,B74/$B$9,"")</x:f>
        <x:v>4000</x:v>
      </x:c>
      <x:c r="M74" s="77" t="n">
        <x:f>IF(A74,K74/L74,"")</x:f>
        <x:v>0.000019488426666666665</x:v>
      </x:c>
      <x:c r="N74" s="76" t="n">
        <x:f>IF(A74,(E24*ROUNDUP(K24/D24,0)*G24*(B24-1)/B24*(ROUNDUP((ROUNDUP(F24*2/32,0)*32+32)/480,0)*512+F24*2+32)+E24*ROUNDUP(H24/B24,0)*(B24-1)*32)/1e9,"")</x:f>
        <x:v>1.38825264</x:v>
      </x:c>
      <x:c r="O74" s="76" t="n">
        <x:f>IF(A74,N74*1000/I24,"")</x:f>
        <x:v>0.2892193</x:v>
      </x:c>
      <x:c r="P74" s="76" t="n">
        <x:f>IF(A74,O74/E24,"")</x:f>
        <x:v>0.0047413</x:v>
      </x:c>
      <x:c r="Q74" s="76" t="n">
        <x:f>IF(A74,N74*1000/C74,"")</x:f>
        <x:v>69.412632</x:v>
      </x:c>
      <x:c r="R74" s="76" t="n">
        <x:f>IF(W74="估算",IF(OR(K74=0,O74=0),0,1-((E24-1)*MAX(0,(C74-O74)/E24-(K74))+MAX(0,L74-((E24-1)*C74/E24+P74)-(K74)))/L74),"")</x:f>
        <x:v>0.0012610988516665866</x:v>
      </x:c>
      <x:c r="S74" s="76" t="n">
        <x:f>IF(W74="估算",IF(O74=0,0,MAX(0,1-(1-((E24-1)*MAX(0,(C74-O74)/E24-(L74-K74))+MAX(0,L74-((E24-1)*C74/E24+P74)-(L74-K74)))/L74))),"")</x:f>
        <x:v>0</x:v>
      </x:c>
      <x:c r="T74" s="76" t="n">
        <x:f>IF(W74="估算",IF(OR(P74=0,K74=0,$J$7=0),0,IF(P74&lt;=(1-$J$7)*K74,$J$7*P74*K74/(1-$J$7)-$J$7^2*P74^2/(2*(1-$J$7)^2),$J$7*P74*K74+$J$7^2*K74^2/2)/L74),"")</x:f>
        <x:v>1.023202846272531e-8</x:v>
      </x:c>
      <x:c r="U74" s="76" t="n">
        <x:f>IF(A74,60000/C74,"")</x:f>
        <x:v>3000</x:v>
      </x:c>
      <x:c r="V74" s="76" t="n">
        <x:f>IF(W74="估算",U74*E24*T74*M24*N24,"")</x:f>
        <x:v>0.0018724612086787318</x:v>
      </x:c>
      <x:c r="W74" s="76" t="str">
        <x:f>IF(NOT(A74),"输入无效",IF(K74&gt;=L74,"KV 超载",IF(O74&gt;C74+1e-9,"TPOT 不自洽",IF(OR(C74&gt;L74,P74&gt;L74-K74),"需时序仿真","估算"))))</x:f>
        <x:v>估算</x:v>
      </x:c>
      <x:c r="X74" s="76" t="n">
        <x:f>IF(W74="估算",U74*M74,"")</x:f>
        <x:v>0.058465279999999994</x:v>
      </x:c>
    </x:row>
    <x:row r="75" ht="22" customHeight="1">
      <x:c r="A75" s="30" t="b">
        <x:f>AND(AND(ISNUMBER($B$5),$B$5&gt;0),AND(ISNUMBER($F$5),$F$5&gt;0),AND(ISNUMBER($J$5),$J$5&gt;0),AND(ISNUMBER($B$9),$B$9&gt;0),AND(ISNUMBER(I24),I24&gt;0),AND(ISNUMBER(J24),J24&gt;0),AND(ISNUMBER(K24),K24&gt;0),AND(ISNUMBER(L24),L24&gt;0),AND(ISNUMBER(D45),D45&gt;0),AND(ISNUMBER(E45),E45&gt;0),MOD($B$5,1)=0,MOD($F$5,1)=0,MOD($J$5,1)=0,MOD($B$9,1)=0,MOD(K24,1)=0,ISNUMBER(C45),C45&gt;=2,MOD(C45,1)=0,OR($N$9=32,$N$9=64,$N$9=128),ISNUMBER($B$11),$B$11&gt;=0,MOD($B$11,1)=0,ISNUMBER($J$7),$J$7&gt;=0,$J$7&lt;1,AND(ISNUMBER(M24),M24&gt;=0,M24&lt;=1),AND(ISNUMBER(N24),N24&gt;=0,N24&lt;=1))</x:f>
        <x:v>1</x:v>
      </x:c>
      <x:c r="B75" s="76" t="n">
        <x:f>IF(A75,D45*1000,"")</x:f>
        <x:v>4000</x:v>
      </x:c>
      <x:c r="C75" s="76" t="n">
        <x:f>IF(A75,E45*L24,"")</x:f>
        <x:v>30</x:v>
      </x:c>
      <x:c r="D75" s="76" t="n">
        <x:f>IF(A75,M97,"")</x:f>
        <x:v>0.1742401123046875</x:v>
      </x:c>
      <x:c r="E75" s="76" t="n">
        <x:f>IF(A75,B24/C24,"")</x:f>
        <x:v>32</x:v>
      </x:c>
      <x:c r="F75" s="76" t="n">
        <x:f>IF(A75,B24/D24,"")</x:f>
        <x:v>256</x:v>
      </x:c>
      <x:c r="G75" s="76" t="n">
        <x:f>IF(A75,$F$5*E75*$B$5*60000/B75,"")</x:f>
        <x:v>7680</x:v>
      </x:c>
      <x:c r="H75" s="76" t="n">
        <x:f>IF(A75,G75/($J$5*F75),"")</x:f>
        <x:v>30</x:v>
      </x:c>
      <x:c r="I75" s="76" t="n">
        <x:f>IF(A75,$B$5*D75/C24/$B$9,"")</x:f>
        <x:v>0.348480224609375</x:v>
      </x:c>
      <x:c r="J75" s="76" t="n">
        <x:f>IF(A75,I75*$F$5/$J$5,"")</x:f>
        <x:v>0.348480224609375</x:v>
      </x:c>
      <x:c r="K75" s="76" t="n">
        <x:f>IF(A75,MAX(I75,J75)*2^30/(J24*1e6),"")</x:f>
        <x:v>0.07795370666666666</x:v>
      </x:c>
      <x:c r="L75" s="76" t="n">
        <x:f>IF(A75,B75/$B$9,"")</x:f>
        <x:v>4000</x:v>
      </x:c>
      <x:c r="M75" s="77" t="n">
        <x:f>IF(A75,K75/L75,"")</x:f>
        <x:v>0.000019488426666666665</x:v>
      </x:c>
      <x:c r="N75" s="76" t="n">
        <x:f>IF(A75,(E24*ROUNDUP(K24/D24,0)*G24*(B24-1)/B24*(ROUNDUP((ROUNDUP(F24*2/32,0)*32+32)/480,0)*512+F24*2+32)+E24*ROUNDUP(H24/B24,0)*(B24-1)*32)/1e9,"")</x:f>
        <x:v>1.38825264</x:v>
      </x:c>
      <x:c r="O75" s="76" t="n">
        <x:f>IF(A75,N75*1000/I24,"")</x:f>
        <x:v>0.2892193</x:v>
      </x:c>
      <x:c r="P75" s="76" t="n">
        <x:f>IF(A75,O75/E24,"")</x:f>
        <x:v>0.0047413</x:v>
      </x:c>
      <x:c r="Q75" s="76" t="n">
        <x:f>IF(A75,N75*1000/C75,"")</x:f>
        <x:v>46.275088</x:v>
      </x:c>
      <x:c r="R75" s="76" t="n">
        <x:f>IF(W75="估算",IF(OR(K75=0,O75=0),0,1-((E24-1)*MAX(0,(C75-O75)/E24-(K75))+MAX(0,L75-((E24-1)*C75/E24+P75)-(K75)))/L75),"")</x:f>
        <x:v>0.0012610988516665866</x:v>
      </x:c>
      <x:c r="S75" s="76" t="n">
        <x:f>IF(W75="估算",IF(O75=0,0,MAX(0,1-(1-((E24-1)*MAX(0,(C75-O75)/E24-(L75-K75))+MAX(0,L75-((E24-1)*C75/E24+P75)-(L75-K75)))/L75))),"")</x:f>
        <x:v>0</x:v>
      </x:c>
      <x:c r="T75" s="76" t="n">
        <x:f>IF(W75="估算",IF(OR(P75=0,K75=0,$J$7=0),0,IF(P75&lt;=(1-$J$7)*K75,$J$7*P75*K75/(1-$J$7)-$J$7^2*P75^2/(2*(1-$J$7)^2),$J$7*P75*K75+$J$7^2*K75^2/2)/L75),"")</x:f>
        <x:v>1.023202846272531e-8</x:v>
      </x:c>
      <x:c r="U75" s="76" t="n">
        <x:f>IF(A75,60000/C75,"")</x:f>
        <x:v>2000</x:v>
      </x:c>
      <x:c r="V75" s="76" t="n">
        <x:f>IF(W75="估算",U75*E24*T75*M24*N24,"")</x:f>
        <x:v>0.0012483074724524879</x:v>
      </x:c>
      <x:c r="W75" s="76" t="str">
        <x:f>IF(NOT(A75),"输入无效",IF(K75&gt;=L75,"KV 超载",IF(O75&gt;C75+1e-9,"TPOT 不自洽",IF(OR(C75&gt;L75,P75&gt;L75-K75),"需时序仿真","估算"))))</x:f>
        <x:v>估算</x:v>
      </x:c>
      <x:c r="X75" s="76" t="n">
        <x:f>IF(W75="估算",U75*M75,"")</x:f>
        <x:v>0.03897685333333333</x:v>
      </x:c>
    </x:row>
    <x:row r="76" ht="22" customHeight="1">
      <x:c r="A76" s="30" t="b">
        <x:f>AND(AND(ISNUMBER($B$5),$B$5&gt;0),AND(ISNUMBER($F$5),$F$5&gt;0),AND(ISNUMBER($J$5),$J$5&gt;0),AND(ISNUMBER($B$9),$B$9&gt;0),AND(ISNUMBER(I24),I24&gt;0),AND(ISNUMBER(J24),J24&gt;0),AND(ISNUMBER(K24),K24&gt;0),AND(ISNUMBER(L24),L24&gt;0),AND(ISNUMBER(D46),D46&gt;0),AND(ISNUMBER(E46),E46&gt;0),MOD($B$5,1)=0,MOD($F$5,1)=0,MOD($J$5,1)=0,MOD($B$9,1)=0,MOD(K24,1)=0,ISNUMBER(C46),C46&gt;=2,MOD(C46,1)=0,OR($N$9=32,$N$9=64,$N$9=128),ISNUMBER($B$11),$B$11&gt;=0,MOD($B$11,1)=0,ISNUMBER($J$7),$J$7&gt;=0,$J$7&lt;1,AND(ISNUMBER(M24),M24&gt;=0,M24&lt;=1),AND(ISNUMBER(N24),N24&gt;=0,N24&lt;=1))</x:f>
        <x:v>1</x:v>
      </x:c>
      <x:c r="B76" s="76" t="n">
        <x:f>IF(A76,D46*1000,"")</x:f>
        <x:v>20000</x:v>
      </x:c>
      <x:c r="C76" s="76" t="n">
        <x:f>IF(A76,E46*L24,"")</x:f>
        <x:v>5</x:v>
      </x:c>
      <x:c r="D76" s="76" t="n">
        <x:f>IF(A76,M105,"")</x:f>
        <x:v>2.21197509765625</x:v>
      </x:c>
      <x:c r="E76" s="76" t="n">
        <x:f>IF(A76,B24/C24,"")</x:f>
        <x:v>32</x:v>
      </x:c>
      <x:c r="F76" s="76" t="n">
        <x:f>IF(A76,B24/D24,"")</x:f>
        <x:v>256</x:v>
      </x:c>
      <x:c r="G76" s="76" t="n">
        <x:f>IF(A76,$F$5*E76*$B$5*60000/B76,"")</x:f>
        <x:v>1536</x:v>
      </x:c>
      <x:c r="H76" s="76" t="n">
        <x:f>IF(A76,G76/($J$5*F76),"")</x:f>
        <x:v>6</x:v>
      </x:c>
      <x:c r="I76" s="76" t="n">
        <x:f>IF(A76,$B$5*D76/C24/$B$9,"")</x:f>
        <x:v>4.4239501953125</x:v>
      </x:c>
      <x:c r="J76" s="76" t="n">
        <x:f>IF(A76,I76*$F$5/$J$5,"")</x:f>
        <x:v>4.4239501953125</x:v>
      </x:c>
      <x:c r="K76" s="76" t="n">
        <x:f>IF(A76,MAX(I76,J76)*2^30/(J24*1e6),"")</x:f>
        <x:v>0.9896209066666667</x:v>
      </x:c>
      <x:c r="L76" s="76" t="n">
        <x:f>IF(A76,B76/$B$9,"")</x:f>
        <x:v>20000</x:v>
      </x:c>
      <x:c r="M76" s="77" t="n">
        <x:f>IF(A76,K76/L76,"")</x:f>
        <x:v>0.000049481045333333336</x:v>
      </x:c>
      <x:c r="N76" s="76" t="n">
        <x:f>IF(A76,(E24*ROUNDUP(K24/D24,0)*G24*(B24-1)/B24*(ROUNDUP((ROUNDUP(F24*2/32,0)*32+32)/480,0)*512+F24*2+32)+E24*ROUNDUP(H24/B24,0)*(B24-1)*32)/1e9,"")</x:f>
        <x:v>1.38825264</x:v>
      </x:c>
      <x:c r="O76" s="76" t="n">
        <x:f>IF(A76,N76*1000/I24,"")</x:f>
        <x:v>0.2892193</x:v>
      </x:c>
      <x:c r="P76" s="76" t="n">
        <x:f>IF(A76,O76/E24,"")</x:f>
        <x:v>0.0047413</x:v>
      </x:c>
      <x:c r="Q76" s="76" t="n">
        <x:f>IF(A76,N76*1000/C76,"")</x:f>
        <x:v>277.650528</x:v>
      </x:c>
      <x:c r="R76" s="76" t="n">
        <x:f>IF(W76="估算",IF(OR(K76=0,O76=0),0,1-((E24-1)*MAX(0,(C76-O76)/E24-(K76))+MAX(0,L76-((E24-1)*C76/E24+P76)-(K76)))/L76),"")</x:f>
        <x:v>0.0002956197496776225</x:v>
      </x:c>
      <x:c r="S76" s="76" t="n">
        <x:f>IF(W76="估算",IF(O76=0,0,MAX(0,1-(1-((E24-1)*MAX(0,(C76-O76)/E24-(L76-K76))+MAX(0,L76-((E24-1)*C76/E24+P76)-(L76-K76)))/L76))),"")</x:f>
        <x:v>0</x:v>
      </x:c>
      <x:c r="T76" s="76" t="n">
        <x:f>IF(W76="估算",IF(OR(P76=0,K76=0,$J$7=0),0,IF(P76&lt;=(1-$J$7)*K76,$J$7*P76*K76/(1-$J$7)-$J$7^2*P76^2/(2*(1-$J$7)^2),$J$7*P76*K76+$J$7^2*K76^2/2)/L76),"")</x:f>
        <x:v>2.6060226222322844e-8</x:v>
      </x:c>
      <x:c r="U76" s="76" t="n">
        <x:f>IF(A76,60000/C76,"")</x:f>
        <x:v>12000</x:v>
      </x:c>
      <x:c r="V76" s="76" t="n">
        <x:f>IF(W76="估算",U76*E24*T76*M24*N24,"")</x:f>
        <x:v>0.019076085594740323</x:v>
      </x:c>
      <x:c r="W76" s="76" t="str">
        <x:f>IF(NOT(A76),"输入无效",IF(K76&gt;=L76,"KV 超载",IF(O76&gt;C76+1e-9,"TPOT 不自洽",IF(OR(C76&gt;L76,P76&gt;L76-K76),"需时序仿真","估算"))))</x:f>
        <x:v>估算</x:v>
      </x:c>
      <x:c r="X76" s="76" t="n">
        <x:f>IF(W76="估算",U76*M76,"")</x:f>
        <x:v>0.593772544</x:v>
      </x:c>
    </x:row>
    <x:row r="77" ht="22" customHeight="1">
      <x:c r="A77" s="30" t="b">
        <x:f>AND(AND(ISNUMBER($B$5),$B$5&gt;0),AND(ISNUMBER($F$5),$F$5&gt;0),AND(ISNUMBER($J$5),$J$5&gt;0),AND(ISNUMBER($B$9),$B$9&gt;0),AND(ISNUMBER(I24),I24&gt;0),AND(ISNUMBER(J24),J24&gt;0),AND(ISNUMBER(K24),K24&gt;0),AND(ISNUMBER(L24),L24&gt;0),AND(ISNUMBER(D47),D47&gt;0),AND(ISNUMBER(E47),E47&gt;0),MOD($B$5,1)=0,MOD($F$5,1)=0,MOD($J$5,1)=0,MOD($B$9,1)=0,MOD(K24,1)=0,ISNUMBER(C47),C47&gt;=2,MOD(C47,1)=0,OR($N$9=32,$N$9=64,$N$9=128),ISNUMBER($B$11),$B$11&gt;=0,MOD($B$11,1)=0,ISNUMBER($J$7),$J$7&gt;=0,$J$7&lt;1,AND(ISNUMBER(M24),M24&gt;=0,M24&lt;=1),AND(ISNUMBER(N24),N24&gt;=0,N24&lt;=1))</x:f>
        <x:v>1</x:v>
      </x:c>
      <x:c r="B77" s="76" t="n">
        <x:f>IF(A77,D47*1000,"")</x:f>
        <x:v>20000</x:v>
      </x:c>
      <x:c r="C77" s="76" t="n">
        <x:f>IF(A77,E47*L24,"")</x:f>
        <x:v>10</x:v>
      </x:c>
      <x:c r="D77" s="76" t="n">
        <x:f>IF(A77,M105,"")</x:f>
        <x:v>2.21197509765625</x:v>
      </x:c>
      <x:c r="E77" s="76" t="n">
        <x:f>IF(A77,B24/C24,"")</x:f>
        <x:v>32</x:v>
      </x:c>
      <x:c r="F77" s="76" t="n">
        <x:f>IF(A77,B24/D24,"")</x:f>
        <x:v>256</x:v>
      </x:c>
      <x:c r="G77" s="76" t="n">
        <x:f>IF(A77,$F$5*E77*$B$5*60000/B77,"")</x:f>
        <x:v>1536</x:v>
      </x:c>
      <x:c r="H77" s="76" t="n">
        <x:f>IF(A77,G77/($J$5*F77),"")</x:f>
        <x:v>6</x:v>
      </x:c>
      <x:c r="I77" s="76" t="n">
        <x:f>IF(A77,$B$5*D77/C24/$B$9,"")</x:f>
        <x:v>4.4239501953125</x:v>
      </x:c>
      <x:c r="J77" s="76" t="n">
        <x:f>IF(A77,I77*$F$5/$J$5,"")</x:f>
        <x:v>4.4239501953125</x:v>
      </x:c>
      <x:c r="K77" s="76" t="n">
        <x:f>IF(A77,MAX(I77,J77)*2^30/(J24*1e6),"")</x:f>
        <x:v>0.9896209066666667</x:v>
      </x:c>
      <x:c r="L77" s="76" t="n">
        <x:f>IF(A77,B77/$B$9,"")</x:f>
        <x:v>20000</x:v>
      </x:c>
      <x:c r="M77" s="77" t="n">
        <x:f>IF(A77,K77/L77,"")</x:f>
        <x:v>0.000049481045333333336</x:v>
      </x:c>
      <x:c r="N77" s="76" t="n">
        <x:f>IF(A77,(E24*ROUNDUP(K24/D24,0)*G24*(B24-1)/B24*(ROUNDUP((ROUNDUP(F24*2/32,0)*32+32)/480,0)*512+F24*2+32)+E24*ROUNDUP(H24/B24,0)*(B24-1)*32)/1e9,"")</x:f>
        <x:v>1.38825264</x:v>
      </x:c>
      <x:c r="O77" s="76" t="n">
        <x:f>IF(A77,N77*1000/I24,"")</x:f>
        <x:v>0.2892193</x:v>
      </x:c>
      <x:c r="P77" s="76" t="n">
        <x:f>IF(A77,O77/E24,"")</x:f>
        <x:v>0.0047413</x:v>
      </x:c>
      <x:c r="Q77" s="76" t="n">
        <x:f>IF(A77,N77*1000/C77,"")</x:f>
        <x:v>138.825264</x:v>
      </x:c>
      <x:c r="R77" s="76" t="n">
        <x:f>IF(W77="估算",IF(OR(K77=0,O77=0),0,1-((E24-1)*MAX(0,(C77-O77)/E24-(K77))+MAX(0,L77-((E24-1)*C77/E24+P77)-(K77)))/L77),"")</x:f>
        <x:v>0.0005415213890218595</x:v>
      </x:c>
      <x:c r="S77" s="76" t="n">
        <x:f>IF(W77="估算",IF(O77=0,0,MAX(0,1-(1-((E24-1)*MAX(0,(C77-O77)/E24-(L77-K77))+MAX(0,L77-((E24-1)*C77/E24+P77)-(L77-K77)))/L77))),"")</x:f>
        <x:v>0</x:v>
      </x:c>
      <x:c r="T77" s="76" t="n">
        <x:f>IF(W77="估算",IF(OR(P77=0,K77=0,$J$7=0),0,IF(P77&lt;=(1-$J$7)*K77,$J$7*P77*K77/(1-$J$7)-$J$7^2*P77^2/(2*(1-$J$7)^2),$J$7*P77*K77+$J$7^2*K77^2/2)/L77),"")</x:f>
        <x:v>2.6060226222322844e-8</x:v>
      </x:c>
      <x:c r="U77" s="76" t="n">
        <x:f>IF(A77,60000/C77,"")</x:f>
        <x:v>6000</x:v>
      </x:c>
      <x:c r="V77" s="76" t="n">
        <x:f>IF(W77="估算",U77*E24*T77*M24*N24,"")</x:f>
        <x:v>0.009538042797370161</x:v>
      </x:c>
      <x:c r="W77" s="76" t="str">
        <x:f>IF(NOT(A77),"输入无效",IF(K77&gt;=L77,"KV 超载",IF(O77&gt;C77+1e-9,"TPOT 不自洽",IF(OR(C77&gt;L77,P77&gt;L77-K77),"需时序仿真","估算"))))</x:f>
        <x:v>估算</x:v>
      </x:c>
      <x:c r="X77" s="76" t="n">
        <x:f>IF(W77="估算",U77*M77,"")</x:f>
        <x:v>0.296886272</x:v>
      </x:c>
    </x:row>
    <x:row r="78" ht="22" customHeight="1">
      <x:c r="A78" s="30" t="b">
        <x:f>AND(AND(ISNUMBER($B$5),$B$5&gt;0),AND(ISNUMBER($F$5),$F$5&gt;0),AND(ISNUMBER($J$5),$J$5&gt;0),AND(ISNUMBER($B$9),$B$9&gt;0),AND(ISNUMBER(I24),I24&gt;0),AND(ISNUMBER(J24),J24&gt;0),AND(ISNUMBER(K24),K24&gt;0),AND(ISNUMBER(L24),L24&gt;0),AND(ISNUMBER(D48),D48&gt;0),AND(ISNUMBER(E48),E48&gt;0),MOD($B$5,1)=0,MOD($F$5,1)=0,MOD($J$5,1)=0,MOD($B$9,1)=0,MOD(K24,1)=0,ISNUMBER(C48),C48&gt;=2,MOD(C48,1)=0,OR($N$9=32,$N$9=64,$N$9=128),ISNUMBER($B$11),$B$11&gt;=0,MOD($B$11,1)=0,ISNUMBER($J$7),$J$7&gt;=0,$J$7&lt;1,AND(ISNUMBER(M24),M24&gt;=0,M24&lt;=1),AND(ISNUMBER(N24),N24&gt;=0,N24&lt;=1))</x:f>
        <x:v>1</x:v>
      </x:c>
      <x:c r="B78" s="76" t="n">
        <x:f>IF(A78,D48*1000,"")</x:f>
        <x:v>20000</x:v>
      </x:c>
      <x:c r="C78" s="76" t="n">
        <x:f>IF(A78,E48*L24,"")</x:f>
        <x:v>20</x:v>
      </x:c>
      <x:c r="D78" s="76" t="n">
        <x:f>IF(A78,M105,"")</x:f>
        <x:v>2.21197509765625</x:v>
      </x:c>
      <x:c r="E78" s="76" t="n">
        <x:f>IF(A78,B24/C24,"")</x:f>
        <x:v>32</x:v>
      </x:c>
      <x:c r="F78" s="76" t="n">
        <x:f>IF(A78,B24/D24,"")</x:f>
        <x:v>256</x:v>
      </x:c>
      <x:c r="G78" s="76" t="n">
        <x:f>IF(A78,$F$5*E78*$B$5*60000/B78,"")</x:f>
        <x:v>1536</x:v>
      </x:c>
      <x:c r="H78" s="76" t="n">
        <x:f>IF(A78,G78/($J$5*F78),"")</x:f>
        <x:v>6</x:v>
      </x:c>
      <x:c r="I78" s="76" t="n">
        <x:f>IF(A78,$B$5*D78/C24/$B$9,"")</x:f>
        <x:v>4.4239501953125</x:v>
      </x:c>
      <x:c r="J78" s="76" t="n">
        <x:f>IF(A78,I78*$F$5/$J$5,"")</x:f>
        <x:v>4.4239501953125</x:v>
      </x:c>
      <x:c r="K78" s="76" t="n">
        <x:f>IF(A78,MAX(I78,J78)*2^30/(J24*1e6),"")</x:f>
        <x:v>0.9896209066666667</x:v>
      </x:c>
      <x:c r="L78" s="76" t="n">
        <x:f>IF(A78,B78/$B$9,"")</x:f>
        <x:v>20000</x:v>
      </x:c>
      <x:c r="M78" s="77" t="n">
        <x:f>IF(A78,K78/L78,"")</x:f>
        <x:v>0.000049481045333333336</x:v>
      </x:c>
      <x:c r="N78" s="76" t="n">
        <x:f>IF(A78,(E24*ROUNDUP(K24/D24,0)*G24*(B24-1)/B24*(ROUNDUP((ROUNDUP(F24*2/32,0)*32+32)/480,0)*512+F24*2+32)+E24*ROUNDUP(H24/B24,0)*(B24-1)*32)/1e9,"")</x:f>
        <x:v>1.38825264</x:v>
      </x:c>
      <x:c r="O78" s="76" t="n">
        <x:f>IF(A78,N78*1000/I24,"")</x:f>
        <x:v>0.2892193</x:v>
      </x:c>
      <x:c r="P78" s="76" t="n">
        <x:f>IF(A78,O78/E24,"")</x:f>
        <x:v>0.0047413</x:v>
      </x:c>
      <x:c r="Q78" s="76" t="n">
        <x:f>IF(A78,N78*1000/C78,"")</x:f>
        <x:v>69.412632</x:v>
      </x:c>
      <x:c r="R78" s="76" t="n">
        <x:f>IF(W78="估算",IF(OR(K78=0,O78=0),0,1-((E24-1)*MAX(0,(C78-O78)/E24-(K78))+MAX(0,L78-((E24-1)*C78/E24+P78)-(K78)))/L78),"")</x:f>
        <x:v>0.0010333246677104446</x:v>
      </x:c>
      <x:c r="S78" s="76" t="n">
        <x:f>IF(W78="估算",IF(O78=0,0,MAX(0,1-(1-((E24-1)*MAX(0,(C78-O78)/E24-(L78-K78))+MAX(0,L78-((E24-1)*C78/E24+P78)-(L78-K78)))/L78))),"")</x:f>
        <x:v>0</x:v>
      </x:c>
      <x:c r="T78" s="76" t="n">
        <x:f>IF(W78="估算",IF(OR(P78=0,K78=0,$J$7=0),0,IF(P78&lt;=(1-$J$7)*K78,$J$7*P78*K78/(1-$J$7)-$J$7^2*P78^2/(2*(1-$J$7)^2),$J$7*P78*K78+$J$7^2*K78^2/2)/L78),"")</x:f>
        <x:v>2.6060226222322844e-8</x:v>
      </x:c>
      <x:c r="U78" s="76" t="n">
        <x:f>IF(A78,60000/C78,"")</x:f>
        <x:v>3000</x:v>
      </x:c>
      <x:c r="V78" s="76" t="n">
        <x:f>IF(W78="估算",U78*E24*T78*M24*N24,"")</x:f>
        <x:v>0.004769021398685081</x:v>
      </x:c>
      <x:c r="W78" s="76" t="str">
        <x:f>IF(NOT(A78),"输入无效",IF(K78&gt;=L78,"KV 超载",IF(O78&gt;C78+1e-9,"TPOT 不自洽",IF(OR(C78&gt;L78,P78&gt;L78-K78),"需时序仿真","估算"))))</x:f>
        <x:v>估算</x:v>
      </x:c>
      <x:c r="X78" s="76" t="n">
        <x:f>IF(W78="估算",U78*M78,"")</x:f>
        <x:v>0.148443136</x:v>
      </x:c>
    </x:row>
    <x:row r="79" ht="22" customHeight="1">
      <x:c r="A79" s="30" t="b">
        <x:f>AND(AND(ISNUMBER($B$5),$B$5&gt;0),AND(ISNUMBER($F$5),$F$5&gt;0),AND(ISNUMBER($J$5),$J$5&gt;0),AND(ISNUMBER($B$9),$B$9&gt;0),AND(ISNUMBER(I24),I24&gt;0),AND(ISNUMBER(J24),J24&gt;0),AND(ISNUMBER(K24),K24&gt;0),AND(ISNUMBER(L24),L24&gt;0),AND(ISNUMBER(D49),D49&gt;0),AND(ISNUMBER(E49),E49&gt;0),MOD($B$5,1)=0,MOD($F$5,1)=0,MOD($J$5,1)=0,MOD($B$9,1)=0,MOD(K24,1)=0,ISNUMBER(C49),C49&gt;=2,MOD(C49,1)=0,OR($N$9=32,$N$9=64,$N$9=128),ISNUMBER($B$11),$B$11&gt;=0,MOD($B$11,1)=0,ISNUMBER($J$7),$J$7&gt;=0,$J$7&lt;1,AND(ISNUMBER(M24),M24&gt;=0,M24&lt;=1),AND(ISNUMBER(N24),N24&gt;=0,N24&lt;=1))</x:f>
        <x:v>1</x:v>
      </x:c>
      <x:c r="B79" s="76" t="n">
        <x:f>IF(A79,D49*1000,"")</x:f>
        <x:v>20000</x:v>
      </x:c>
      <x:c r="C79" s="76" t="n">
        <x:f>IF(A79,E49*L24,"")</x:f>
        <x:v>30</x:v>
      </x:c>
      <x:c r="D79" s="76" t="n">
        <x:f>IF(A79,M105,"")</x:f>
        <x:v>2.21197509765625</x:v>
      </x:c>
      <x:c r="E79" s="76" t="n">
        <x:f>IF(A79,B24/C24,"")</x:f>
        <x:v>32</x:v>
      </x:c>
      <x:c r="F79" s="76" t="n">
        <x:f>IF(A79,B24/D24,"")</x:f>
        <x:v>256</x:v>
      </x:c>
      <x:c r="G79" s="76" t="n">
        <x:f>IF(A79,$F$5*E79*$B$5*60000/B79,"")</x:f>
        <x:v>1536</x:v>
      </x:c>
      <x:c r="H79" s="76" t="n">
        <x:f>IF(A79,G79/($J$5*F79),"")</x:f>
        <x:v>6</x:v>
      </x:c>
      <x:c r="I79" s="76" t="n">
        <x:f>IF(A79,$B$5*D79/C24/$B$9,"")</x:f>
        <x:v>4.4239501953125</x:v>
      </x:c>
      <x:c r="J79" s="76" t="n">
        <x:f>IF(A79,I79*$F$5/$J$5,"")</x:f>
        <x:v>4.4239501953125</x:v>
      </x:c>
      <x:c r="K79" s="76" t="n">
        <x:f>IF(A79,MAX(I79,J79)*2^30/(J24*1e6),"")</x:f>
        <x:v>0.9896209066666667</x:v>
      </x:c>
      <x:c r="L79" s="76" t="n">
        <x:f>IF(A79,B79/$B$9,"")</x:f>
        <x:v>20000</x:v>
      </x:c>
      <x:c r="M79" s="77" t="n">
        <x:f>IF(A79,K79/L79,"")</x:f>
        <x:v>0.000049481045333333336</x:v>
      </x:c>
      <x:c r="N79" s="76" t="n">
        <x:f>IF(A79,(E24*ROUNDUP(K24/D24,0)*G24*(B24-1)/B24*(ROUNDUP((ROUNDUP(F24*2/32,0)*32+32)/480,0)*512+F24*2+32)+E24*ROUNDUP(H24/B24,0)*(B24-1)*32)/1e9,"")</x:f>
        <x:v>1.38825264</x:v>
      </x:c>
      <x:c r="O79" s="76" t="n">
        <x:f>IF(A79,N79*1000/I24,"")</x:f>
        <x:v>0.2892193</x:v>
      </x:c>
      <x:c r="P79" s="76" t="n">
        <x:f>IF(A79,O79/E24,"")</x:f>
        <x:v>0.0047413</x:v>
      </x:c>
      <x:c r="Q79" s="76" t="n">
        <x:f>IF(A79,N79*1000/C79,"")</x:f>
        <x:v>46.275088</x:v>
      </x:c>
      <x:c r="R79" s="76" t="n">
        <x:f>IF(W79="估算",IF(OR(K79=0,O79=0),0,1-((E24-1)*MAX(0,(C79-O79)/E24-(K79))+MAX(0,L79-((E24-1)*C79/E24+P79)-(K79)))/L79),"")</x:f>
        <x:v>0.0015251279463989187</x:v>
      </x:c>
      <x:c r="S79" s="76" t="n">
        <x:f>IF(W79="估算",IF(O79=0,0,MAX(0,1-(1-((E24-1)*MAX(0,(C79-O79)/E24-(L79-K79))+MAX(0,L79-((E24-1)*C79/E24+P79)-(L79-K79)))/L79))),"")</x:f>
        <x:v>0</x:v>
      </x:c>
      <x:c r="T79" s="76" t="n">
        <x:f>IF(W79="估算",IF(OR(P79=0,K79=0,$J$7=0),0,IF(P79&lt;=(1-$J$7)*K79,$J$7*P79*K79/(1-$J$7)-$J$7^2*P79^2/(2*(1-$J$7)^2),$J$7*P79*K79+$J$7^2*K79^2/2)/L79),"")</x:f>
        <x:v>2.6060226222322844e-8</x:v>
      </x:c>
      <x:c r="U79" s="76" t="n">
        <x:f>IF(A79,60000/C79,"")</x:f>
        <x:v>2000</x:v>
      </x:c>
      <x:c r="V79" s="76" t="n">
        <x:f>IF(W79="估算",U79*E24*T79*M24*N24,"")</x:f>
        <x:v>0.003179347599123387</x:v>
      </x:c>
      <x:c r="W79" s="76" t="str">
        <x:f>IF(NOT(A79),"输入无效",IF(K79&gt;=L79,"KV 超载",IF(O79&gt;C79+1e-9,"TPOT 不自洽",IF(OR(C79&gt;L79,P79&gt;L79-K79),"需时序仿真","估算"))))</x:f>
        <x:v>估算</x:v>
      </x:c>
      <x:c r="X79" s="76" t="n">
        <x:f>IF(W79="估算",U79*M79,"")</x:f>
        <x:v>0.09896209066666667</x:v>
      </x:c>
    </x:row>
    <x:row r="80" ht="22" customHeight="1">
      <x:c r="A80" s="30" t="b">
        <x:f>AND(AND(ISNUMBER($B$5),$B$5&gt;0),AND(ISNUMBER($F$5),$F$5&gt;0),AND(ISNUMBER($J$5),$J$5&gt;0),AND(ISNUMBER($B$9),$B$9&gt;0),AND(ISNUMBER(I24),I24&gt;0),AND(ISNUMBER(J24),J24&gt;0),AND(ISNUMBER(K24),K24&gt;0),AND(ISNUMBER(L24),L24&gt;0),AND(ISNUMBER(D50),D50&gt;0),AND(ISNUMBER(E50),E50&gt;0),MOD($B$5,1)=0,MOD($F$5,1)=0,MOD($J$5,1)=0,MOD($B$9,1)=0,MOD(K24,1)=0,ISNUMBER(C50),C50&gt;=2,MOD(C50,1)=0,OR($N$9=32,$N$9=64,$N$9=128),ISNUMBER($B$11),$B$11&gt;=0,MOD($B$11,1)=0,ISNUMBER($J$7),$J$7&gt;=0,$J$7&lt;1,AND(ISNUMBER(M24),M24&gt;=0,M24&lt;=1),AND(ISNUMBER(N24),N24&gt;=0,N24&lt;=1))</x:f>
        <x:v>1</x:v>
      </x:c>
      <x:c r="B80" s="76" t="n">
        <x:f>IF(A80,D50*1000,"")</x:f>
        <x:v>60000</x:v>
      </x:c>
      <x:c r="C80" s="76" t="n">
        <x:f>IF(A80,E50*L24,"")</x:f>
        <x:v>5</x:v>
      </x:c>
      <x:c r="D80" s="76" t="n">
        <x:f>IF(A80,M113,"")</x:f>
        <x:v>8.73272705078125</x:v>
      </x:c>
      <x:c r="E80" s="76" t="n">
        <x:f>IF(A80,B24/C24,"")</x:f>
        <x:v>32</x:v>
      </x:c>
      <x:c r="F80" s="76" t="n">
        <x:f>IF(A80,B24/D24,"")</x:f>
        <x:v>256</x:v>
      </x:c>
      <x:c r="G80" s="76" t="n">
        <x:f>IF(A80,$F$5*E80*$B$5*60000/B80,"")</x:f>
        <x:v>512</x:v>
      </x:c>
      <x:c r="H80" s="76" t="n">
        <x:f>IF(A80,G80/($J$5*F80),"")</x:f>
        <x:v>2</x:v>
      </x:c>
      <x:c r="I80" s="76" t="n">
        <x:f>IF(A80,$B$5*D80/C24/$B$9,"")</x:f>
        <x:v>17.4654541015625</x:v>
      </x:c>
      <x:c r="J80" s="76" t="n">
        <x:f>IF(A80,I80*$F$5/$J$5,"")</x:f>
        <x:v>17.4654541015625</x:v>
      </x:c>
      <x:c r="K80" s="76" t="n">
        <x:f>IF(A80,MAX(I80,J80)*2^30/(J24*1e6),"")</x:f>
        <x:v>3.906955946666667</x:v>
      </x:c>
      <x:c r="L80" s="76" t="n">
        <x:f>IF(A80,B80/$B$9,"")</x:f>
        <x:v>60000</x:v>
      </x:c>
      <x:c r="M80" s="77" t="n">
        <x:f>IF(A80,K80/L80,"")</x:f>
        <x:v>0.00006511593244444444</x:v>
      </x:c>
      <x:c r="N80" s="76" t="n">
        <x:f>IF(A80,(E24*ROUNDUP(K24/D24,0)*G24*(B24-1)/B24*(ROUNDUP((ROUNDUP(F24*2/32,0)*32+32)/480,0)*512+F24*2+32)+E24*ROUNDUP(H24/B24,0)*(B24-1)*32)/1e9,"")</x:f>
        <x:v>1.38825264</x:v>
      </x:c>
      <x:c r="O80" s="76" t="n">
        <x:f>IF(A80,N80*1000/I24,"")</x:f>
        <x:v>0.2892193</x:v>
      </x:c>
      <x:c r="P80" s="76" t="n">
        <x:f>IF(A80,O80/E24,"")</x:f>
        <x:v>0.0047413</x:v>
      </x:c>
      <x:c r="Q80" s="76" t="n">
        <x:f>IF(A80,N80*1000/C80,"")</x:f>
        <x:v>277.650528</x:v>
      </x:c>
      <x:c r="R80" s="76" t="n">
        <x:f>IF(W80="估算",IF(OR(K80=0,O80=0),0,1-((E24-1)*MAX(0,(C80-O80)/E24-(K80))+MAX(0,L80-((E24-1)*C80/E24+P80)-(K80)))/L80),"")</x:f>
        <x:v>0.00014716216722587827</x:v>
      </x:c>
      <x:c r="S80" s="76" t="n">
        <x:f>IF(W80="估算",IF(O80=0,0,MAX(0,1-(1-((E24-1)*MAX(0,(C80-O80)/E24-(L80-K80))+MAX(0,L80-((E24-1)*C80/E24+P80)-(L80-K80)))/L80))),"")</x:f>
        <x:v>0</x:v>
      </x:c>
      <x:c r="T80" s="76" t="n">
        <x:f>IF(W80="估算",IF(OR(P80=0,K80=0,$J$7=0),0,IF(P80&lt;=(1-$J$7)*K80,$J$7*P80*K80/(1-$J$7)-$J$7^2*P80^2/(2*(1-$J$7)^2),$J$7*P80*K80+$J$7^2*K80^2/2)/L80),"")</x:f>
        <x:v>3.430148397253725e-8</x:v>
      </x:c>
      <x:c r="U80" s="76" t="n">
        <x:f>IF(A80,60000/C80,"")</x:f>
        <x:v>12000</x:v>
      </x:c>
      <x:c r="V80" s="76" t="n">
        <x:f>IF(W80="估算",U80*E24*T80*M24*N24,"")</x:f>
        <x:v>0.02510868626789727</x:v>
      </x:c>
      <x:c r="W80" s="76" t="str">
        <x:f>IF(NOT(A80),"输入无效",IF(K80&gt;=L80,"KV 超载",IF(O80&gt;C80+1e-9,"TPOT 不自洽",IF(OR(C80&gt;L80,P80&gt;L80-K80),"需时序仿真","估算"))))</x:f>
        <x:v>估算</x:v>
      </x:c>
      <x:c r="X80" s="76" t="n">
        <x:f>IF(W80="估算",U80*M80,"")</x:f>
        <x:v>0.7813911893333333</x:v>
      </x:c>
    </x:row>
    <x:row r="81" ht="22" customHeight="1">
      <x:c r="A81" s="30" t="b">
        <x:f>AND(AND(ISNUMBER($B$5),$B$5&gt;0),AND(ISNUMBER($F$5),$F$5&gt;0),AND(ISNUMBER($J$5),$J$5&gt;0),AND(ISNUMBER($B$9),$B$9&gt;0),AND(ISNUMBER(I24),I24&gt;0),AND(ISNUMBER(J24),J24&gt;0),AND(ISNUMBER(K24),K24&gt;0),AND(ISNUMBER(L24),L24&gt;0),AND(ISNUMBER(D51),D51&gt;0),AND(ISNUMBER(E51),E51&gt;0),MOD($B$5,1)=0,MOD($F$5,1)=0,MOD($J$5,1)=0,MOD($B$9,1)=0,MOD(K24,1)=0,ISNUMBER(C51),C51&gt;=2,MOD(C51,1)=0,OR($N$9=32,$N$9=64,$N$9=128),ISNUMBER($B$11),$B$11&gt;=0,MOD($B$11,1)=0,ISNUMBER($J$7),$J$7&gt;=0,$J$7&lt;1,AND(ISNUMBER(M24),M24&gt;=0,M24&lt;=1),AND(ISNUMBER(N24),N24&gt;=0,N24&lt;=1))</x:f>
        <x:v>1</x:v>
      </x:c>
      <x:c r="B81" s="76" t="n">
        <x:f>IF(A81,D51*1000,"")</x:f>
        <x:v>60000</x:v>
      </x:c>
      <x:c r="C81" s="76" t="n">
        <x:f>IF(A81,E51*L24,"")</x:f>
        <x:v>10</x:v>
      </x:c>
      <x:c r="D81" s="76" t="n">
        <x:f>IF(A81,M113,"")</x:f>
        <x:v>8.73272705078125</x:v>
      </x:c>
      <x:c r="E81" s="76" t="n">
        <x:f>IF(A81,B24/C24,"")</x:f>
        <x:v>32</x:v>
      </x:c>
      <x:c r="F81" s="76" t="n">
        <x:f>IF(A81,B24/D24,"")</x:f>
        <x:v>256</x:v>
      </x:c>
      <x:c r="G81" s="76" t="n">
        <x:f>IF(A81,$F$5*E81*$B$5*60000/B81,"")</x:f>
        <x:v>512</x:v>
      </x:c>
      <x:c r="H81" s="76" t="n">
        <x:f>IF(A81,G81/($J$5*F81),"")</x:f>
        <x:v>2</x:v>
      </x:c>
      <x:c r="I81" s="76" t="n">
        <x:f>IF(A81,$B$5*D81/C24/$B$9,"")</x:f>
        <x:v>17.4654541015625</x:v>
      </x:c>
      <x:c r="J81" s="76" t="n">
        <x:f>IF(A81,I81*$F$5/$J$5,"")</x:f>
        <x:v>17.4654541015625</x:v>
      </x:c>
      <x:c r="K81" s="76" t="n">
        <x:f>IF(A81,MAX(I81,J81)*2^30/(J24*1e6),"")</x:f>
        <x:v>3.906955946666667</x:v>
      </x:c>
      <x:c r="L81" s="76" t="n">
        <x:f>IF(A81,B81/$B$9,"")</x:f>
        <x:v>60000</x:v>
      </x:c>
      <x:c r="M81" s="77" t="n">
        <x:f>IF(A81,K81/L81,"")</x:f>
        <x:v>0.00006511593244444444</x:v>
      </x:c>
      <x:c r="N81" s="76" t="n">
        <x:f>IF(A81,(E24*ROUNDUP(K24/D24,0)*G24*(B24-1)/B24*(ROUNDUP((ROUNDUP(F24*2/32,0)*32+32)/480,0)*512+F24*2+32)+E24*ROUNDUP(H24/B24,0)*(B24-1)*32)/1e9,"")</x:f>
        <x:v>1.38825264</x:v>
      </x:c>
      <x:c r="O81" s="76" t="n">
        <x:f>IF(A81,N81*1000/I24,"")</x:f>
        <x:v>0.2892193</x:v>
      </x:c>
      <x:c r="P81" s="76" t="n">
        <x:f>IF(A81,O81/E24,"")</x:f>
        <x:v>0.0047413</x:v>
      </x:c>
      <x:c r="Q81" s="76" t="n">
        <x:f>IF(A81,N81*1000/C81,"")</x:f>
        <x:v>138.825264</x:v>
      </x:c>
      <x:c r="R81" s="76" t="n">
        <x:f>IF(W81="估算",IF(OR(K81=0,O81=0),0,1-((E24-1)*MAX(0,(C81-O81)/E24-(K81))+MAX(0,L81-((E24-1)*C81/E24+P81)-(K81)))/L81),"")</x:f>
        <x:v>0.00022912938034058694</x:v>
      </x:c>
      <x:c r="S81" s="76" t="n">
        <x:f>IF(W81="估算",IF(O81=0,0,MAX(0,1-(1-((E24-1)*MAX(0,(C81-O81)/E24-(L81-K81))+MAX(0,L81-((E24-1)*C81/E24+P81)-(L81-K81)))/L81))),"")</x:f>
        <x:v>0</x:v>
      </x:c>
      <x:c r="T81" s="76" t="n">
        <x:f>IF(W81="估算",IF(OR(P81=0,K81=0,$J$7=0),0,IF(P81&lt;=(1-$J$7)*K81,$J$7*P81*K81/(1-$J$7)-$J$7^2*P81^2/(2*(1-$J$7)^2),$J$7*P81*K81+$J$7^2*K81^2/2)/L81),"")</x:f>
        <x:v>3.430148397253725e-8</x:v>
      </x:c>
      <x:c r="U81" s="76" t="n">
        <x:f>IF(A81,60000/C81,"")</x:f>
        <x:v>6000</x:v>
      </x:c>
      <x:c r="V81" s="76" t="n">
        <x:f>IF(W81="估算",U81*E24*T81*M24*N24,"")</x:f>
        <x:v>0.012554343133948634</x:v>
      </x:c>
      <x:c r="W81" s="76" t="str">
        <x:f>IF(NOT(A81),"输入无效",IF(K81&gt;=L81,"KV 超载",IF(O81&gt;C81+1e-9,"TPOT 不自洽",IF(OR(C81&gt;L81,P81&gt;L81-K81),"需时序仿真","估算"))))</x:f>
        <x:v>估算</x:v>
      </x:c>
      <x:c r="X81" s="76" t="n">
        <x:f>IF(W81="估算",U81*M81,"")</x:f>
        <x:v>0.39069559466666665</x:v>
      </x:c>
    </x:row>
    <x:row r="82" ht="22" customHeight="1">
      <x:c r="A82" s="30" t="b">
        <x:f>AND(AND(ISNUMBER($B$5),$B$5&gt;0),AND(ISNUMBER($F$5),$F$5&gt;0),AND(ISNUMBER($J$5),$J$5&gt;0),AND(ISNUMBER($B$9),$B$9&gt;0),AND(ISNUMBER(I24),I24&gt;0),AND(ISNUMBER(J24),J24&gt;0),AND(ISNUMBER(K24),K24&gt;0),AND(ISNUMBER(L24),L24&gt;0),AND(ISNUMBER(D52),D52&gt;0),AND(ISNUMBER(E52),E52&gt;0),MOD($B$5,1)=0,MOD($F$5,1)=0,MOD($J$5,1)=0,MOD($B$9,1)=0,MOD(K24,1)=0,ISNUMBER(C52),C52&gt;=2,MOD(C52,1)=0,OR($N$9=32,$N$9=64,$N$9=128),ISNUMBER($B$11),$B$11&gt;=0,MOD($B$11,1)=0,ISNUMBER($J$7),$J$7&gt;=0,$J$7&lt;1,AND(ISNUMBER(M24),M24&gt;=0,M24&lt;=1),AND(ISNUMBER(N24),N24&gt;=0,N24&lt;=1))</x:f>
        <x:v>1</x:v>
      </x:c>
      <x:c r="B82" s="76" t="n">
        <x:f>IF(A82,D52*1000,"")</x:f>
        <x:v>60000</x:v>
      </x:c>
      <x:c r="C82" s="76" t="n">
        <x:f>IF(A82,E52*L24,"")</x:f>
        <x:v>20</x:v>
      </x:c>
      <x:c r="D82" s="76" t="n">
        <x:f>IF(A82,M113,"")</x:f>
        <x:v>8.73272705078125</x:v>
      </x:c>
      <x:c r="E82" s="76" t="n">
        <x:f>IF(A82,B24/C24,"")</x:f>
        <x:v>32</x:v>
      </x:c>
      <x:c r="F82" s="76" t="n">
        <x:f>IF(A82,B24/D24,"")</x:f>
        <x:v>256</x:v>
      </x:c>
      <x:c r="G82" s="76" t="n">
        <x:f>IF(A82,$F$5*E82*$B$5*60000/B82,"")</x:f>
        <x:v>512</x:v>
      </x:c>
      <x:c r="H82" s="76" t="n">
        <x:f>IF(A82,G82/($J$5*F82),"")</x:f>
        <x:v>2</x:v>
      </x:c>
      <x:c r="I82" s="76" t="n">
        <x:f>IF(A82,$B$5*D82/C24/$B$9,"")</x:f>
        <x:v>17.4654541015625</x:v>
      </x:c>
      <x:c r="J82" s="76" t="n">
        <x:f>IF(A82,I82*$F$5/$J$5,"")</x:f>
        <x:v>17.4654541015625</x:v>
      </x:c>
      <x:c r="K82" s="76" t="n">
        <x:f>IF(A82,MAX(I82,J82)*2^30/(J24*1e6),"")</x:f>
        <x:v>3.906955946666667</x:v>
      </x:c>
      <x:c r="L82" s="76" t="n">
        <x:f>IF(A82,B82/$B$9,"")</x:f>
        <x:v>60000</x:v>
      </x:c>
      <x:c r="M82" s="77" t="n">
        <x:f>IF(A82,K82/L82,"")</x:f>
        <x:v>0.00006511593244444444</x:v>
      </x:c>
      <x:c r="N82" s="76" t="n">
        <x:f>IF(A82,(E24*ROUNDUP(K24/D24,0)*G24*(B24-1)/B24*(ROUNDUP((ROUNDUP(F24*2/32,0)*32+32)/480,0)*512+F24*2+32)+E24*ROUNDUP(H24/B24,0)*(B24-1)*32)/1e9,"")</x:f>
        <x:v>1.38825264</x:v>
      </x:c>
      <x:c r="O82" s="76" t="n">
        <x:f>IF(A82,N82*1000/I24,"")</x:f>
        <x:v>0.2892193</x:v>
      </x:c>
      <x:c r="P82" s="76" t="n">
        <x:f>IF(A82,O82/E24,"")</x:f>
        <x:v>0.0047413</x:v>
      </x:c>
      <x:c r="Q82" s="76" t="n">
        <x:f>IF(A82,N82*1000/C82,"")</x:f>
        <x:v>69.412632</x:v>
      </x:c>
      <x:c r="R82" s="76" t="n">
        <x:f>IF(W82="估算",IF(OR(K82=0,O82=0),0,1-((E24-1)*MAX(0,(C82-O82)/E24-(K82))+MAX(0,L82-((E24-1)*C82/E24+P82)-(K82)))/L82),"")</x:f>
        <x:v>0.0003930638065701153</x:v>
      </x:c>
      <x:c r="S82" s="76" t="n">
        <x:f>IF(W82="估算",IF(O82=0,0,MAX(0,1-(1-((E24-1)*MAX(0,(C82-O82)/E24-(L82-K82))+MAX(0,L82-((E24-1)*C82/E24+P82)-(L82-K82)))/L82))),"")</x:f>
        <x:v>0</x:v>
      </x:c>
      <x:c r="T82" s="76" t="n">
        <x:f>IF(W82="估算",IF(OR(P82=0,K82=0,$J$7=0),0,IF(P82&lt;=(1-$J$7)*K82,$J$7*P82*K82/(1-$J$7)-$J$7^2*P82^2/(2*(1-$J$7)^2),$J$7*P82*K82+$J$7^2*K82^2/2)/L82),"")</x:f>
        <x:v>3.430148397253725e-8</x:v>
      </x:c>
      <x:c r="U82" s="76" t="n">
        <x:f>IF(A82,60000/C82,"")</x:f>
        <x:v>3000</x:v>
      </x:c>
      <x:c r="V82" s="76" t="n">
        <x:f>IF(W82="估算",U82*E24*T82*M24*N24,"")</x:f>
        <x:v>0.006277171566974317</x:v>
      </x:c>
      <x:c r="W82" s="76" t="str">
        <x:f>IF(NOT(A82),"输入无效",IF(K82&gt;=L82,"KV 超载",IF(O82&gt;C82+1e-9,"TPOT 不自洽",IF(OR(C82&gt;L82,P82&gt;L82-K82),"需时序仿真","估算"))))</x:f>
        <x:v>估算</x:v>
      </x:c>
      <x:c r="X82" s="76" t="n">
        <x:f>IF(W82="估算",U82*M82,"")</x:f>
        <x:v>0.19534779733333332</x:v>
      </x:c>
    </x:row>
    <x:row r="83" ht="22" customHeight="1">
      <x:c r="A83" s="30" t="b">
        <x:f>AND(AND(ISNUMBER($B$5),$B$5&gt;0),AND(ISNUMBER($F$5),$F$5&gt;0),AND(ISNUMBER($J$5),$J$5&gt;0),AND(ISNUMBER($B$9),$B$9&gt;0),AND(ISNUMBER(I24),I24&gt;0),AND(ISNUMBER(J24),J24&gt;0),AND(ISNUMBER(K24),K24&gt;0),AND(ISNUMBER(L24),L24&gt;0),AND(ISNUMBER(D53),D53&gt;0),AND(ISNUMBER(E53),E53&gt;0),MOD($B$5,1)=0,MOD($F$5,1)=0,MOD($J$5,1)=0,MOD($B$9,1)=0,MOD(K24,1)=0,ISNUMBER(C53),C53&gt;=2,MOD(C53,1)=0,OR($N$9=32,$N$9=64,$N$9=128),ISNUMBER($B$11),$B$11&gt;=0,MOD($B$11,1)=0,ISNUMBER($J$7),$J$7&gt;=0,$J$7&lt;1,AND(ISNUMBER(M24),M24&gt;=0,M24&lt;=1),AND(ISNUMBER(N24),N24&gt;=0,N24&lt;=1))</x:f>
        <x:v>1</x:v>
      </x:c>
      <x:c r="B83" s="76" t="n">
        <x:f>IF(A83,D53*1000,"")</x:f>
        <x:v>60000</x:v>
      </x:c>
      <x:c r="C83" s="76" t="n">
        <x:f>IF(A83,E53*L24,"")</x:f>
        <x:v>30</x:v>
      </x:c>
      <x:c r="D83" s="76" t="n">
        <x:f>IF(A83,M113,"")</x:f>
        <x:v>8.73272705078125</x:v>
      </x:c>
      <x:c r="E83" s="76" t="n">
        <x:f>IF(A83,B24/C24,"")</x:f>
        <x:v>32</x:v>
      </x:c>
      <x:c r="F83" s="76" t="n">
        <x:f>IF(A83,B24/D24,"")</x:f>
        <x:v>256</x:v>
      </x:c>
      <x:c r="G83" s="76" t="n">
        <x:f>IF(A83,$F$5*E83*$B$5*60000/B83,"")</x:f>
        <x:v>512</x:v>
      </x:c>
      <x:c r="H83" s="76" t="n">
        <x:f>IF(A83,G83/($J$5*F83),"")</x:f>
        <x:v>2</x:v>
      </x:c>
      <x:c r="I83" s="76" t="n">
        <x:f>IF(A83,$B$5*D83/C24/$B$9,"")</x:f>
        <x:v>17.4654541015625</x:v>
      </x:c>
      <x:c r="J83" s="76" t="n">
        <x:f>IF(A83,I83*$F$5/$J$5,"")</x:f>
        <x:v>17.4654541015625</x:v>
      </x:c>
      <x:c r="K83" s="76" t="n">
        <x:f>IF(A83,MAX(I83,J83)*2^30/(J24*1e6),"")</x:f>
        <x:v>3.906955946666667</x:v>
      </x:c>
      <x:c r="L83" s="76" t="n">
        <x:f>IF(A83,B83/$B$9,"")</x:f>
        <x:v>60000</x:v>
      </x:c>
      <x:c r="M83" s="77" t="n">
        <x:f>IF(A83,K83/L83,"")</x:f>
        <x:v>0.00006511593244444444</x:v>
      </x:c>
      <x:c r="N83" s="76" t="n">
        <x:f>IF(A83,(E24*ROUNDUP(K24/D24,0)*G24*(B24-1)/B24*(ROUNDUP((ROUNDUP(F24*2/32,0)*32+32)/480,0)*512+F24*2+32)+E24*ROUNDUP(H24/B24,0)*(B24-1)*32)/1e9,"")</x:f>
        <x:v>1.38825264</x:v>
      </x:c>
      <x:c r="O83" s="76" t="n">
        <x:f>IF(A83,N83*1000/I24,"")</x:f>
        <x:v>0.2892193</x:v>
      </x:c>
      <x:c r="P83" s="76" t="n">
        <x:f>IF(A83,O83/E24,"")</x:f>
        <x:v>0.0047413</x:v>
      </x:c>
      <x:c r="Q83" s="76" t="n">
        <x:f>IF(A83,N83*1000/C83,"")</x:f>
        <x:v>46.275088</x:v>
      </x:c>
      <x:c r="R83" s="76" t="n">
        <x:f>IF(W83="估算",IF(OR(K83=0,O83=0),0,1-((E24-1)*MAX(0,(C83-O83)/E24-(K83))+MAX(0,L83-((E24-1)*C83/E24+P83)-(K83)))/L83),"")</x:f>
        <x:v>0.0005569982327996437</x:v>
      </x:c>
      <x:c r="S83" s="76" t="n">
        <x:f>IF(W83="估算",IF(O83=0,0,MAX(0,1-(1-((E24-1)*MAX(0,(C83-O83)/E24-(L83-K83))+MAX(0,L83-((E24-1)*C83/E24+P83)-(L83-K83)))/L83))),"")</x:f>
        <x:v>0</x:v>
      </x:c>
      <x:c r="T83" s="76" t="n">
        <x:f>IF(W83="估算",IF(OR(P83=0,K83=0,$J$7=0),0,IF(P83&lt;=(1-$J$7)*K83,$J$7*P83*K83/(1-$J$7)-$J$7^2*P83^2/(2*(1-$J$7)^2),$J$7*P83*K83+$J$7^2*K83^2/2)/L83),"")</x:f>
        <x:v>3.430148397253725e-8</x:v>
      </x:c>
      <x:c r="U83" s="76" t="n">
        <x:f>IF(A83,60000/C83,"")</x:f>
        <x:v>2000</x:v>
      </x:c>
      <x:c r="V83" s="76" t="n">
        <x:f>IF(W83="估算",U83*E24*T83*M24*N24,"")</x:f>
        <x:v>0.004184781044649545</x:v>
      </x:c>
      <x:c r="W83" s="76" t="str">
        <x:f>IF(NOT(A83),"输入无效",IF(K83&gt;=L83,"KV 超载",IF(O83&gt;C83+1e-9,"TPOT 不自洽",IF(OR(C83&gt;L83,P83&gt;L83-K83),"需时序仿真","估算"))))</x:f>
        <x:v>估算</x:v>
      </x:c>
      <x:c r="X83" s="76" t="n">
        <x:f>IF(W83="估算",U83*M83,"")</x:f>
        <x:v>0.13023186488888888</x:v>
      </x:c>
    </x:row>
    <x:row r="84" ht="22" customHeight="1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</x:row>
    <x:row r="85" ht="22" customHeight="1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</x:row>
    <x:row r="86" ht="22" customHeight="1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</x:row>
    <x:row r="87" ht="22" customHeight="1">
      <x:c r="A87" s="30" t="str">
        <x:v>KV 组件：输入长度变化时重新计算生成、保留和迁移字节</x:v>
      </x:c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</x:row>
    <x:row r="88" ht="22" customHeight="1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</x:row>
    <x:row r="89" ht="42" customHeight="1">
      <x:c r="A89" s="73" t="str">
        <x:v>模型</x:v>
      </x:c>
      <x:c r="B89" s="73" t="str">
        <x:v>输入 tokens</x:v>
      </x:c>
      <x:c r="C89" s="73" t="str">
        <x:v>组件</x:v>
      </x:c>
      <x:c r="D89" s="73" t="str">
        <x:v>层数</x:v>
      </x:c>
      <x:c r="E89" s="73" t="str">
        <x:v>B/行/Rank</x:v>
      </x:c>
      <x:c r="F89" s="73" t="str">
        <x:v>P 副本</x:v>
      </x:c>
      <x:c r="G89" s="73" t="str">
        <x:v>D 副本</x:v>
      </x:c>
      <x:c r="H89" s="73" t="str">
        <x:v>生成行</x:v>
      </x:c>
      <x:c r="I89" s="73" t="str">
        <x:v>保留行</x:v>
      </x:c>
      <x:c r="J89" s="73" t="str">
        <x:v>取/规划行</x:v>
      </x:c>
      <x:c r="K89" s="73" t="str">
        <x:v>生成 GiB</x:v>
      </x:c>
      <x:c r="L89" s="73" t="str">
        <x:v>保留 GiB</x:v>
      </x:c>
      <x:c r="M89" s="73" t="str">
        <x:v>取/规划 GiB</x:v>
      </x:c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</x:row>
    <x:row r="90" ht="45" customHeight="1">
      <x:c r="A90" s="30" t="str">
        <x:v>DS V4 Pro</x:v>
      </x:c>
      <x:c r="B90" s="30" t="n">
        <x:f>$B$15</x:f>
        <x:v>16384</x:v>
      </x:c>
      <x:c r="C90" s="79" t="str">
        <x:v>SWA KV / BF16</x:v>
      </x:c>
      <x:c r="D90" s="30" t="n">
        <x:v>61</x:v>
      </x:c>
      <x:c r="E90" s="30" t="n">
        <x:v>1024</x:v>
      </x:c>
      <x:c r="F90" s="30" t="n">
        <x:v>8</x:v>
      </x:c>
      <x:c r="G90" s="30" t="n">
        <x:v>1</x:v>
      </x:c>
      <x:c r="H90" s="30" t="n">
        <x:f>IF(AND(ISNUMBER($B$15),$B$15&gt;=2,MOD($B$15,1)=0,OR($N$9=32,$N$9=64,$N$9=128),ISNUMBER($B$11),$B$11&gt;=0,MOD($B$11,1)=0),($B$15-1),"")</x:f>
        <x:v>16383</x:v>
      </x:c>
      <x:c r="I90" s="30" t="n">
        <x:f>IF(AND(ISNUMBER($B$15),$B$15&gt;=2,MOD($B$15,1)=0,OR($N$9=32,$N$9=64,$N$9=128),ISNUMBER($B$11),$B$11&gt;=0,MOD($B$11,1)=0),MIN(($B$15-1),128),"")</x:f>
        <x:v>128</x:v>
      </x:c>
      <x:c r="J90" s="30" t="n">
        <x:f>IF(AND(ISNUMBER($B$15),$B$15&gt;=2,MOD($B$15,1)=0,OR($N$9=32,$N$9=64,$N$9=128),ISNUMBER($B$11),$B$11&gt;=0,MOD($B$11,1)=0),MIN(ROUNDUP(($B$15-1)/$N$9,0),ROUNDUP(128/$N$9,0)+1)*$N$9,"")</x:f>
        <x:v>256</x:v>
      </x:c>
      <x:c r="K90" s="76" t="n">
        <x:f>IF(AND(ISNUMBER($B$15),$B$15&gt;=2,MOD($B$15,1)=0,OR($N$9=32,$N$9=64,$N$9=128),ISNUMBER($B$11),$B$11&gt;=0,MOD($B$11,1)=0),D90*E90*F90*H90/2^30,"")</x:f>
        <x:v>7.624534606933594</x:v>
      </x:c>
      <x:c r="L90" s="76" t="n">
        <x:f>IF(AND(ISNUMBER($B$15),$B$15&gt;=2,MOD($B$15,1)=0,OR($N$9=32,$N$9=64,$N$9=128),ISNUMBER($B$11),$B$11&gt;=0,MOD($B$11,1)=0),D90*E90*F90*I90/2^30,"")</x:f>
        <x:v>0.0595703125</x:v>
      </x:c>
      <x:c r="M90" s="76" t="n">
        <x:f>IF(AND(ISNUMBER($B$15),$B$15&gt;=2,MOD($B$15,1)=0,OR($N$9=32,$N$9=64,$N$9=128),ISNUMBER($B$11),$B$11&gt;=0,MOD($B$11,1)=0),D90*E90*G90*J90/2^30,"")</x:f>
        <x:v>0.014892578125</x:v>
      </x:c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</x:row>
    <x:row r="91" ht="45" customHeight="1">
      <x:c r="A91" s="30" t="str">
        <x:v>DS V4 Pro</x:v>
      </x:c>
      <x:c r="B91" s="30" t="n">
        <x:f>$B$15</x:f>
        <x:v>16384</x:v>
      </x:c>
      <x:c r="C91" s="79" t="str">
        <x:v>C4 KV / BF16</x:v>
      </x:c>
      <x:c r="D91" s="30" t="n">
        <x:v>30</x:v>
      </x:c>
      <x:c r="E91" s="30" t="n">
        <x:v>1024</x:v>
      </x:c>
      <x:c r="F91" s="30" t="n">
        <x:v>8</x:v>
      </x:c>
      <x:c r="G91" s="30" t="n">
        <x:v>1</x:v>
      </x:c>
      <x:c r="H91" s="30" t="n">
        <x:f>IF(AND(ISNUMBER($B$15),$B$15&gt;=2,MOD($B$15,1)=0,OR($N$9=32,$N$9=64,$N$9=128),ISNUMBER($B$11),$B$11&gt;=0,MOD($B$11,1)=0),INT(($B$15-1)/4),"")</x:f>
        <x:v>4095</x:v>
      </x:c>
      <x:c r="I91" s="30" t="n">
        <x:f>IF(AND(ISNUMBER($B$15),$B$15&gt;=2,MOD($B$15,1)=0,OR($N$9=32,$N$9=64,$N$9=128),ISNUMBER($B$11),$B$11&gt;=0,MOD($B$11,1)=0),INT(($B$15-1)/4),"")</x:f>
        <x:v>4095</x:v>
      </x:c>
      <x:c r="J91" s="30" t="n">
        <x:f>IF(AND(ISNUMBER($B$15),$B$15&gt;=2,MOD($B$15,1)=0,OR($N$9=32,$N$9=64,$N$9=128),ISNUMBER($B$11),$B$11&gt;=0,MOD($B$11,1)=0),ROUNDUP(($B$15-1)/(4*$N$9),0)*$N$9,"")</x:f>
        <x:v>4096</x:v>
      </x:c>
      <x:c r="K91" s="76" t="n">
        <x:f>IF(AND(ISNUMBER($B$15),$B$15&gt;=2,MOD($B$15,1)=0,OR($N$9=32,$N$9=64,$N$9=128),ISNUMBER($B$11),$B$11&gt;=0,MOD($B$11,1)=0),D91*E91*F91*H91/2^30,"")</x:f>
        <x:v>0.9372711181640625</x:v>
      </x:c>
      <x:c r="L91" s="76" t="n">
        <x:f>IF(AND(ISNUMBER($B$15),$B$15&gt;=2,MOD($B$15,1)=0,OR($N$9=32,$N$9=64,$N$9=128),ISNUMBER($B$11),$B$11&gt;=0,MOD($B$11,1)=0),D91*E91*F91*I91/2^30,"")</x:f>
        <x:v>0.9372711181640625</x:v>
      </x:c>
      <x:c r="M91" s="76" t="n">
        <x:f>IF(AND(ISNUMBER($B$15),$B$15&gt;=2,MOD($B$15,1)=0,OR($N$9=32,$N$9=64,$N$9=128),ISNUMBER($B$11),$B$11&gt;=0,MOD($B$11,1)=0),D91*E91*G91*J91/2^30,"")</x:f>
        <x:v>0.1171875</x:v>
      </x:c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</x:row>
    <x:row r="92" ht="45" customHeight="1">
      <x:c r="A92" s="30" t="str">
        <x:v>DS V4 Pro</x:v>
      </x:c>
      <x:c r="B92" s="30" t="n">
        <x:f>$B$15</x:f>
        <x:v>16384</x:v>
      </x:c>
      <x:c r="C92" s="79" t="str">
        <x:v>C128 KV / BF16</x:v>
      </x:c>
      <x:c r="D92" s="30" t="n">
        <x:v>31</x:v>
      </x:c>
      <x:c r="E92" s="30" t="n">
        <x:v>1024</x:v>
      </x:c>
      <x:c r="F92" s="30" t="n">
        <x:v>8</x:v>
      </x:c>
      <x:c r="G92" s="30" t="n">
        <x:v>1</x:v>
      </x:c>
      <x:c r="H92" s="30" t="n">
        <x:f>IF(AND(ISNUMBER($B$15),$B$15&gt;=2,MOD($B$15,1)=0,OR($N$9=32,$N$9=64,$N$9=128),ISNUMBER($B$11),$B$11&gt;=0,MOD($B$11,1)=0),INT(($B$15-1)/128),"")</x:f>
        <x:v>127</x:v>
      </x:c>
      <x:c r="I92" s="30" t="n">
        <x:f>IF(AND(ISNUMBER($B$15),$B$15&gt;=2,MOD($B$15,1)=0,OR($N$9=32,$N$9=64,$N$9=128),ISNUMBER($B$11),$B$11&gt;=0,MOD($B$11,1)=0),INT(($B$15-1)/128),"")</x:f>
        <x:v>127</x:v>
      </x:c>
      <x:c r="J92" s="30" t="n">
        <x:f>IF(AND(ISNUMBER($B$15),$B$15&gt;=2,MOD($B$15,1)=0,OR($N$9=32,$N$9=64,$N$9=128),ISNUMBER($B$11),$B$11&gt;=0,MOD($B$11,1)=0),ROUNDUP(($B$15-1)/(128*$N$9),0)*$N$9,"")</x:f>
        <x:v>128</x:v>
      </x:c>
      <x:c r="K92" s="76" t="n">
        <x:f>IF(AND(ISNUMBER($B$15),$B$15&gt;=2,MOD($B$15,1)=0,OR($N$9=32,$N$9=64,$N$9=128),ISNUMBER($B$11),$B$11&gt;=0,MOD($B$11,1)=0),D92*E92*F92*H92/2^30,"")</x:f>
        <x:v>0.03003692626953125</x:v>
      </x:c>
      <x:c r="L92" s="76" t="n">
        <x:f>IF(AND(ISNUMBER($B$15),$B$15&gt;=2,MOD($B$15,1)=0,OR($N$9=32,$N$9=64,$N$9=128),ISNUMBER($B$11),$B$11&gt;=0,MOD($B$11,1)=0),D92*E92*F92*I92/2^30,"")</x:f>
        <x:v>0.03003692626953125</x:v>
      </x:c>
      <x:c r="M92" s="76" t="n">
        <x:f>IF(AND(ISNUMBER($B$15),$B$15&gt;=2,MOD($B$15,1)=0,OR($N$9=32,$N$9=64,$N$9=128),ISNUMBER($B$11),$B$11&gt;=0,MOD($B$11,1)=0),D92*E92*G92*J92/2^30,"")</x:f>
        <x:v>0.0037841796875</x:v>
      </x:c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</x:row>
    <x:row r="93" ht="45" customHeight="1">
      <x:c r="A93" s="30" t="str">
        <x:v>DS V4 Pro</x:v>
      </x:c>
      <x:c r="B93" s="30" t="n">
        <x:f>$B$15</x:f>
        <x:v>16384</x:v>
      </x:c>
      <x:c r="C93" s="79" t="str">
        <x:v>C4 Indexer / INT8 + FP16 scale</x:v>
      </x:c>
      <x:c r="D93" s="30" t="n">
        <x:v>30</x:v>
      </x:c>
      <x:c r="E93" s="30" t="n">
        <x:v>130</x:v>
      </x:c>
      <x:c r="F93" s="30" t="n">
        <x:v>8</x:v>
      </x:c>
      <x:c r="G93" s="30" t="n">
        <x:v>1</x:v>
      </x:c>
      <x:c r="H93" s="30" t="n">
        <x:f>IF(AND(ISNUMBER($B$15),$B$15&gt;=2,MOD($B$15,1)=0,OR($N$9=32,$N$9=64,$N$9=128),ISNUMBER($B$11),$B$11&gt;=0,MOD($B$11,1)=0),INT(($B$15-1)/4),"")</x:f>
        <x:v>4095</x:v>
      </x:c>
      <x:c r="I93" s="30" t="n">
        <x:f>IF(AND(ISNUMBER($B$15),$B$15&gt;=2,MOD($B$15,1)=0,OR($N$9=32,$N$9=64,$N$9=128),ISNUMBER($B$11),$B$11&gt;=0,MOD($B$11,1)=0),INT(($B$15-1)/4),"")</x:f>
        <x:v>4095</x:v>
      </x:c>
      <x:c r="J93" s="30" t="n">
        <x:f>IF(AND(ISNUMBER($B$15),$B$15&gt;=2,MOD($B$15,1)=0,OR($N$9=32,$N$9=64,$N$9=128),ISNUMBER($B$11),$B$11&gt;=0,MOD($B$11,1)=0),ROUNDUP(($B$15-1)/(4*$N$9),0)*$N$9,"")</x:f>
        <x:v>4096</x:v>
      </x:c>
      <x:c r="K93" s="76" t="n">
        <x:f>IF(AND(ISNUMBER($B$15),$B$15&gt;=2,MOD($B$15,1)=0,OR($N$9=32,$N$9=64,$N$9=128),ISNUMBER($B$11),$B$11&gt;=0,MOD($B$11,1)=0),D93*E93*F93*H93/2^30,"")</x:f>
        <x:v>0.118989497423172</x:v>
      </x:c>
      <x:c r="L93" s="76" t="n">
        <x:f>IF(AND(ISNUMBER($B$15),$B$15&gt;=2,MOD($B$15,1)=0,OR($N$9=32,$N$9=64,$N$9=128),ISNUMBER($B$11),$B$11&gt;=0,MOD($B$11,1)=0),D93*E93*F93*I93/2^30,"")</x:f>
        <x:v>0.118989497423172</x:v>
      </x:c>
      <x:c r="M93" s="76" t="n">
        <x:f>IF(AND(ISNUMBER($B$15),$B$15&gt;=2,MOD($B$15,1)=0,OR($N$9=32,$N$9=64,$N$9=128),ISNUMBER($B$11),$B$11&gt;=0,MOD($B$11,1)=0),D93*E93*G93*J93/2^30,"")</x:f>
        <x:v>0.0148773193359375</x:v>
      </x:c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</x:row>
    <x:row r="94" ht="45" customHeight="1">
      <x:c r="A94" s="30" t="str">
        <x:v>DS V4 Pro</x:v>
      </x:c>
      <x:c r="B94" s="30" t="n">
        <x:f>$B$15</x:f>
        <x:v>16384</x:v>
      </x:c>
      <x:c r="C94" s="79" t="str">
        <x:v>C4 compressor state / FP32</x:v>
      </x:c>
      <x:c r="D94" s="30" t="n">
        <x:v>30</x:v>
      </x:c>
      <x:c r="E94" s="30" t="n">
        <x:v>8192</x:v>
      </x:c>
      <x:c r="F94" s="30" t="n">
        <x:v>8</x:v>
      </x:c>
      <x:c r="G94" s="30" t="n">
        <x:v>1</x:v>
      </x:c>
      <x:c r="H94" s="30" t="n">
        <x:f>IF(AND(ISNUMBER($B$15),$B$15&gt;=2,MOD($B$15,1)=0,OR($N$9=32,$N$9=64,$N$9=128),ISNUMBER($B$11),$B$11&gt;=0,MOD($B$11,1)=0),MIN(($B$15-1),8),"")</x:f>
        <x:v>8</x:v>
      </x:c>
      <x:c r="I94" s="30" t="n">
        <x:f>IF(AND(ISNUMBER($B$15),$B$15&gt;=2,MOD($B$15,1)=0,OR($N$9=32,$N$9=64,$N$9=128),ISNUMBER($B$11),$B$11&gt;=0,MOD($B$11,1)=0),MIN(($B$15-1),8),"")</x:f>
        <x:v>8</x:v>
      </x:c>
      <x:c r="J94" s="30" t="n">
        <x:f>IF(AND(ISNUMBER($B$15),$B$15&gt;=2,MOD($B$15,1)=0,OR($N$9=32,$N$9=64,$N$9=128),ISNUMBER($B$11),$B$11&gt;=0,MOD($B$11,1)=0),MIN(ROUNDUP(($B$15-1)/($N$9/16),0),ROUNDUP(8/($N$9/16),0)+1)*($N$9/16),"")</x:f>
        <x:v>16</x:v>
      </x:c>
      <x:c r="K94" s="76" t="n">
        <x:f>IF(AND(ISNUMBER($B$15),$B$15&gt;=2,MOD($B$15,1)=0,OR($N$9=32,$N$9=64,$N$9=128),ISNUMBER($B$11),$B$11&gt;=0,MOD($B$11,1)=0),D94*E94*F94*H94/2^30,"")</x:f>
        <x:v>0.0146484375</x:v>
      </x:c>
      <x:c r="L94" s="76" t="n">
        <x:f>IF(AND(ISNUMBER($B$15),$B$15&gt;=2,MOD($B$15,1)=0,OR($N$9=32,$N$9=64,$N$9=128),ISNUMBER($B$11),$B$11&gt;=0,MOD($B$11,1)=0),D94*E94*F94*I94/2^30,"")</x:f>
        <x:v>0.0146484375</x:v>
      </x:c>
      <x:c r="M94" s="76" t="n">
        <x:f>IF(AND(ISNUMBER($B$15),$B$15&gt;=2,MOD($B$15,1)=0,OR($N$9=32,$N$9=64,$N$9=128),ISNUMBER($B$11),$B$11&gt;=0,MOD($B$11,1)=0),D94*E94*G94*J94/2^30,"")</x:f>
        <x:v>0.003662109375</x:v>
      </x:c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</x:row>
    <x:row r="95" ht="45" customHeight="1">
      <x:c r="A95" s="30" t="str">
        <x:v>DS V4 Pro</x:v>
      </x:c>
      <x:c r="B95" s="30" t="n">
        <x:f>$B$15</x:f>
        <x:v>16384</x:v>
      </x:c>
      <x:c r="C95" s="79" t="str">
        <x:v>C128 compressor state / FP32</x:v>
      </x:c>
      <x:c r="D95" s="30" t="n">
        <x:v>31</x:v>
      </x:c>
      <x:c r="E95" s="30" t="n">
        <x:v>4096</x:v>
      </x:c>
      <x:c r="F95" s="30" t="n">
        <x:v>8</x:v>
      </x:c>
      <x:c r="G95" s="30" t="n">
        <x:v>1</x:v>
      </x:c>
      <x:c r="H95" s="30" t="n">
        <x:f>IF(AND(ISNUMBER($B$15),$B$15&gt;=2,MOD($B$15,1)=0,OR($N$9=32,$N$9=64,$N$9=128),ISNUMBER($B$11),$B$11&gt;=0,MOD($B$11,1)=0),MIN(($B$15-1),128),"")</x:f>
        <x:v>128</x:v>
      </x:c>
      <x:c r="I95" s="30" t="n">
        <x:f>IF(AND(ISNUMBER($B$15),$B$15&gt;=2,MOD($B$15,1)=0,OR($N$9=32,$N$9=64,$N$9=128),ISNUMBER($B$11),$B$11&gt;=0,MOD($B$11,1)=0),MIN(($B$15-1),128),"")</x:f>
        <x:v>128</x:v>
      </x:c>
      <x:c r="J95" s="30" t="n">
        <x:f>IF(AND(ISNUMBER($B$15),$B$15&gt;=2,MOD($B$15,1)=0,OR($N$9=32,$N$9=64,$N$9=128),ISNUMBER($B$11),$B$11&gt;=0,MOD($B$11,1)=0),MIN(ROUNDUP(($B$15-1)/($N$9/4),0),ROUNDUP(128/($N$9/4),0)+1)*($N$9/4),"")</x:f>
        <x:v>160</x:v>
      </x:c>
      <x:c r="K95" s="76" t="n">
        <x:f>IF(AND(ISNUMBER($B$15),$B$15&gt;=2,MOD($B$15,1)=0,OR($N$9=32,$N$9=64,$N$9=128),ISNUMBER($B$11),$B$11&gt;=0,MOD($B$11,1)=0),D95*E95*F95*H95/2^30,"")</x:f>
        <x:v>0.12109375</x:v>
      </x:c>
      <x:c r="L95" s="76" t="n">
        <x:f>IF(AND(ISNUMBER($B$15),$B$15&gt;=2,MOD($B$15,1)=0,OR($N$9=32,$N$9=64,$N$9=128),ISNUMBER($B$11),$B$11&gt;=0,MOD($B$11,1)=0),D95*E95*F95*I95/2^30,"")</x:f>
        <x:v>0.12109375</x:v>
      </x:c>
      <x:c r="M95" s="76" t="n">
        <x:f>IF(AND(ISNUMBER($B$15),$B$15&gt;=2,MOD($B$15,1)=0,OR($N$9=32,$N$9=64,$N$9=128),ISNUMBER($B$11),$B$11&gt;=0,MOD($B$11,1)=0),D95*E95*G95*J95/2^30,"")</x:f>
        <x:v>0.0189208984375</x:v>
      </x:c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</x:row>
    <x:row r="96" ht="45" customHeight="1">
      <x:c r="A96" s="30" t="str">
        <x:v>DS V4 Pro</x:v>
      </x:c>
      <x:c r="B96" s="30" t="n">
        <x:f>$B$15</x:f>
        <x:v>16384</x:v>
      </x:c>
      <x:c r="C96" s="79" t="str">
        <x:v>C4 indexer state / FP32</x:v>
      </x:c>
      <x:c r="D96" s="30" t="n">
        <x:v>30</x:v>
      </x:c>
      <x:c r="E96" s="30" t="n">
        <x:v>2048</x:v>
      </x:c>
      <x:c r="F96" s="30" t="n">
        <x:v>8</x:v>
      </x:c>
      <x:c r="G96" s="30" t="n">
        <x:v>1</x:v>
      </x:c>
      <x:c r="H96" s="30" t="n">
        <x:f>IF(AND(ISNUMBER($B$15),$B$15&gt;=2,MOD($B$15,1)=0,OR($N$9=32,$N$9=64,$N$9=128),ISNUMBER($B$11),$B$11&gt;=0,MOD($B$11,1)=0),MIN(($B$15-1),8),"")</x:f>
        <x:v>8</x:v>
      </x:c>
      <x:c r="I96" s="30" t="n">
        <x:f>IF(AND(ISNUMBER($B$15),$B$15&gt;=2,MOD($B$15,1)=0,OR($N$9=32,$N$9=64,$N$9=128),ISNUMBER($B$11),$B$11&gt;=0,MOD($B$11,1)=0),MIN(($B$15-1),8),"")</x:f>
        <x:v>8</x:v>
      </x:c>
      <x:c r="J96" s="30" t="n">
        <x:f>IF(AND(ISNUMBER($B$15),$B$15&gt;=2,MOD($B$15,1)=0,OR($N$9=32,$N$9=64,$N$9=128),ISNUMBER($B$11),$B$11&gt;=0,MOD($B$11,1)=0),MIN(ROUNDUP(($B$15-1)/($N$9/16),0),ROUNDUP(8/($N$9/16),0)+1)*($N$9/16),"")</x:f>
        <x:v>16</x:v>
      </x:c>
      <x:c r="K96" s="76" t="n">
        <x:f>IF(AND(ISNUMBER($B$15),$B$15&gt;=2,MOD($B$15,1)=0,OR($N$9=32,$N$9=64,$N$9=128),ISNUMBER($B$11),$B$11&gt;=0,MOD($B$11,1)=0),D96*E96*F96*H96/2^30,"")</x:f>
        <x:v>0.003662109375</x:v>
      </x:c>
      <x:c r="L96" s="76" t="n">
        <x:f>IF(AND(ISNUMBER($B$15),$B$15&gt;=2,MOD($B$15,1)=0,OR($N$9=32,$N$9=64,$N$9=128),ISNUMBER($B$11),$B$11&gt;=0,MOD($B$11,1)=0),D96*E96*F96*I96/2^30,"")</x:f>
        <x:v>0.003662109375</x:v>
      </x:c>
      <x:c r="M96" s="76" t="n">
        <x:f>IF(AND(ISNUMBER($B$15),$B$15&gt;=2,MOD($B$15,1)=0,OR($N$9=32,$N$9=64,$N$9=128),ISNUMBER($B$11),$B$11&gt;=0,MOD($B$11,1)=0),D96*E96*G96*J96/2^30,"")</x:f>
        <x:v>0.00091552734375</x:v>
      </x:c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</x:row>
    <x:row r="97" ht="45" customHeight="1">
      <x:c r="A97" s="40" t="str">
        <x:v>DS V4 Pro</x:v>
      </x:c>
      <x:c r="B97" s="40" t="n">
        <x:f>$B$15</x:f>
        <x:v>16384</x:v>
      </x:c>
      <x:c r="C97" s="80" t="str">
        <x:v>每请求合计</x:v>
      </x:c>
      <x:c r="D97" s="40"/>
      <x:c r="E97" s="40"/>
      <x:c r="F97" s="40"/>
      <x:c r="G97" s="40"/>
      <x:c r="H97" s="40"/>
      <x:c r="I97" s="40"/>
      <x:c r="J97" s="40"/>
      <x:c r="K97" s="78" t="n">
        <x:f>SUM(K90:K96)</x:f>
        <x:v>8.85023644566536</x:v>
      </x:c>
      <x:c r="L97" s="78" t="n">
        <x:f>SUM(L90:L96)</x:f>
        <x:v>1.2852721512317657</x:v>
      </x:c>
      <x:c r="M97" s="78" t="n">
        <x:f>SUM(M90:M96)</x:f>
        <x:v>0.1742401123046875</x:v>
      </x:c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</x:row>
    <x:row r="98" ht="45" customHeight="1">
      <x:c r="A98" s="30" t="str">
        <x:v>DS V4 Pro</x:v>
      </x:c>
      <x:c r="B98" s="30" t="n">
        <x:f>$B$16</x:f>
        <x:v>262144</x:v>
      </x:c>
      <x:c r="C98" s="79" t="str">
        <x:v>SWA KV / BF16</x:v>
      </x:c>
      <x:c r="D98" s="30" t="n">
        <x:v>61</x:v>
      </x:c>
      <x:c r="E98" s="30" t="n">
        <x:v>1024</x:v>
      </x:c>
      <x:c r="F98" s="30" t="n">
        <x:v>8</x:v>
      </x:c>
      <x:c r="G98" s="30" t="n">
        <x:v>1</x:v>
      </x:c>
      <x:c r="H98" s="30" t="n">
        <x:f>IF(AND(ISNUMBER($B$16),$B$16&gt;=2,MOD($B$16,1)=0,OR($N$9=32,$N$9=64,$N$9=128),ISNUMBER($B$11),$B$11&gt;=0,MOD($B$11,1)=0),($B$16-1),"")</x:f>
        <x:v>262143</x:v>
      </x:c>
      <x:c r="I98" s="30" t="n">
        <x:f>IF(AND(ISNUMBER($B$16),$B$16&gt;=2,MOD($B$16,1)=0,OR($N$9=32,$N$9=64,$N$9=128),ISNUMBER($B$11),$B$11&gt;=0,MOD($B$11,1)=0),MIN(($B$16-1),128),"")</x:f>
        <x:v>128</x:v>
      </x:c>
      <x:c r="J98" s="30" t="n">
        <x:f>IF(AND(ISNUMBER($B$16),$B$16&gt;=2,MOD($B$16,1)=0,OR($N$9=32,$N$9=64,$N$9=128),ISNUMBER($B$11),$B$11&gt;=0,MOD($B$11,1)=0),MIN(ROUNDUP(($B$16-1)/$N$9,0),ROUNDUP(128/$N$9,0)+1)*$N$9,"")</x:f>
        <x:v>256</x:v>
      </x:c>
      <x:c r="K98" s="76" t="n">
        <x:f>IF(AND(ISNUMBER($B$16),$B$16&gt;=2,MOD($B$16,1)=0,OR($N$9=32,$N$9=64,$N$9=128),ISNUMBER($B$11),$B$11&gt;=0,MOD($B$11,1)=0),D98*E98*F98*H98/2^30,"")</x:f>
        <x:v>121.9995346069336</x:v>
      </x:c>
      <x:c r="L98" s="76" t="n">
        <x:f>IF(AND(ISNUMBER($B$16),$B$16&gt;=2,MOD($B$16,1)=0,OR($N$9=32,$N$9=64,$N$9=128),ISNUMBER($B$11),$B$11&gt;=0,MOD($B$11,1)=0),D98*E98*F98*I98/2^30,"")</x:f>
        <x:v>0.0595703125</x:v>
      </x:c>
      <x:c r="M98" s="76" t="n">
        <x:f>IF(AND(ISNUMBER($B$16),$B$16&gt;=2,MOD($B$16,1)=0,OR($N$9=32,$N$9=64,$N$9=128),ISNUMBER($B$11),$B$11&gt;=0,MOD($B$11,1)=0),D98*E98*G98*J98/2^30,"")</x:f>
        <x:v>0.014892578125</x:v>
      </x:c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</x:row>
    <x:row r="99" ht="45" customHeight="1">
      <x:c r="A99" s="30" t="str">
        <x:v>DS V4 Pro</x:v>
      </x:c>
      <x:c r="B99" s="30" t="n">
        <x:f>$B$16</x:f>
        <x:v>262144</x:v>
      </x:c>
      <x:c r="C99" s="79" t="str">
        <x:v>C4 KV / BF16</x:v>
      </x:c>
      <x:c r="D99" s="30" t="n">
        <x:v>30</x:v>
      </x:c>
      <x:c r="E99" s="30" t="n">
        <x:v>1024</x:v>
      </x:c>
      <x:c r="F99" s="30" t="n">
        <x:v>8</x:v>
      </x:c>
      <x:c r="G99" s="30" t="n">
        <x:v>1</x:v>
      </x:c>
      <x:c r="H99" s="30" t="n">
        <x:f>IF(AND(ISNUMBER($B$16),$B$16&gt;=2,MOD($B$16,1)=0,OR($N$9=32,$N$9=64,$N$9=128),ISNUMBER($B$11),$B$11&gt;=0,MOD($B$11,1)=0),INT(($B$16-1)/4),"")</x:f>
        <x:v>65535</x:v>
      </x:c>
      <x:c r="I99" s="30" t="n">
        <x:f>IF(AND(ISNUMBER($B$16),$B$16&gt;=2,MOD($B$16,1)=0,OR($N$9=32,$N$9=64,$N$9=128),ISNUMBER($B$11),$B$11&gt;=0,MOD($B$11,1)=0),INT(($B$16-1)/4),"")</x:f>
        <x:v>65535</x:v>
      </x:c>
      <x:c r="J99" s="30" t="n">
        <x:f>IF(AND(ISNUMBER($B$16),$B$16&gt;=2,MOD($B$16,1)=0,OR($N$9=32,$N$9=64,$N$9=128),ISNUMBER($B$11),$B$11&gt;=0,MOD($B$11,1)=0),ROUNDUP(($B$16-1)/(4*$N$9),0)*$N$9,"")</x:f>
        <x:v>65536</x:v>
      </x:c>
      <x:c r="K99" s="76" t="n">
        <x:f>IF(AND(ISNUMBER($B$16),$B$16&gt;=2,MOD($B$16,1)=0,OR($N$9=32,$N$9=64,$N$9=128),ISNUMBER($B$11),$B$11&gt;=0,MOD($B$11,1)=0),D99*E99*F99*H99/2^30,"")</x:f>
        <x:v>14.999771118164062</x:v>
      </x:c>
      <x:c r="L99" s="76" t="n">
        <x:f>IF(AND(ISNUMBER($B$16),$B$16&gt;=2,MOD($B$16,1)=0,OR($N$9=32,$N$9=64,$N$9=128),ISNUMBER($B$11),$B$11&gt;=0,MOD($B$11,1)=0),D99*E99*F99*I99/2^30,"")</x:f>
        <x:v>14.999771118164062</x:v>
      </x:c>
      <x:c r="M99" s="76" t="n">
        <x:f>IF(AND(ISNUMBER($B$16),$B$16&gt;=2,MOD($B$16,1)=0,OR($N$9=32,$N$9=64,$N$9=128),ISNUMBER($B$11),$B$11&gt;=0,MOD($B$11,1)=0),D99*E99*G99*J99/2^30,"")</x:f>
        <x:v>1.875</x:v>
      </x:c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</x:row>
    <x:row r="100" ht="45" customHeight="1">
      <x:c r="A100" s="30" t="str">
        <x:v>DS V4 Pro</x:v>
      </x:c>
      <x:c r="B100" s="30" t="n">
        <x:f>$B$16</x:f>
        <x:v>262144</x:v>
      </x:c>
      <x:c r="C100" s="79" t="str">
        <x:v>C128 KV / BF16</x:v>
      </x:c>
      <x:c r="D100" s="30" t="n">
        <x:v>31</x:v>
      </x:c>
      <x:c r="E100" s="30" t="n">
        <x:v>1024</x:v>
      </x:c>
      <x:c r="F100" s="30" t="n">
        <x:v>8</x:v>
      </x:c>
      <x:c r="G100" s="30" t="n">
        <x:v>1</x:v>
      </x:c>
      <x:c r="H100" s="30" t="n">
        <x:f>IF(AND(ISNUMBER($B$16),$B$16&gt;=2,MOD($B$16,1)=0,OR($N$9=32,$N$9=64,$N$9=128),ISNUMBER($B$11),$B$11&gt;=0,MOD($B$11,1)=0),INT(($B$16-1)/128),"")</x:f>
        <x:v>2047</x:v>
      </x:c>
      <x:c r="I100" s="30" t="n">
        <x:f>IF(AND(ISNUMBER($B$16),$B$16&gt;=2,MOD($B$16,1)=0,OR($N$9=32,$N$9=64,$N$9=128),ISNUMBER($B$11),$B$11&gt;=0,MOD($B$11,1)=0),INT(($B$16-1)/128),"")</x:f>
        <x:v>2047</x:v>
      </x:c>
      <x:c r="J100" s="30" t="n">
        <x:f>IF(AND(ISNUMBER($B$16),$B$16&gt;=2,MOD($B$16,1)=0,OR($N$9=32,$N$9=64,$N$9=128),ISNUMBER($B$11),$B$11&gt;=0,MOD($B$11,1)=0),ROUNDUP(($B$16-1)/(128*$N$9),0)*$N$9,"")</x:f>
        <x:v>2048</x:v>
      </x:c>
      <x:c r="K100" s="76" t="n">
        <x:f>IF(AND(ISNUMBER($B$16),$B$16&gt;=2,MOD($B$16,1)=0,OR($N$9=32,$N$9=64,$N$9=128),ISNUMBER($B$11),$B$11&gt;=0,MOD($B$11,1)=0),D100*E100*F100*H100/2^30,"")</x:f>
        <x:v>0.48413848876953125</x:v>
      </x:c>
      <x:c r="L100" s="76" t="n">
        <x:f>IF(AND(ISNUMBER($B$16),$B$16&gt;=2,MOD($B$16,1)=0,OR($N$9=32,$N$9=64,$N$9=128),ISNUMBER($B$11),$B$11&gt;=0,MOD($B$11,1)=0),D100*E100*F100*I100/2^30,"")</x:f>
        <x:v>0.48413848876953125</x:v>
      </x:c>
      <x:c r="M100" s="76" t="n">
        <x:f>IF(AND(ISNUMBER($B$16),$B$16&gt;=2,MOD($B$16,1)=0,OR($N$9=32,$N$9=64,$N$9=128),ISNUMBER($B$11),$B$11&gt;=0,MOD($B$11,1)=0),D100*E100*G100*J100/2^30,"")</x:f>
        <x:v>0.060546875</x:v>
      </x:c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</x:row>
    <x:row r="101" ht="45" customHeight="1">
      <x:c r="A101" s="30" t="str">
        <x:v>DS V4 Pro</x:v>
      </x:c>
      <x:c r="B101" s="30" t="n">
        <x:f>$B$16</x:f>
        <x:v>262144</x:v>
      </x:c>
      <x:c r="C101" s="79" t="str">
        <x:v>C4 Indexer / INT8 + FP16 scale</x:v>
      </x:c>
      <x:c r="D101" s="30" t="n">
        <x:v>30</x:v>
      </x:c>
      <x:c r="E101" s="30" t="n">
        <x:v>130</x:v>
      </x:c>
      <x:c r="F101" s="30" t="n">
        <x:v>8</x:v>
      </x:c>
      <x:c r="G101" s="30" t="n">
        <x:v>1</x:v>
      </x:c>
      <x:c r="H101" s="30" t="n">
        <x:f>IF(AND(ISNUMBER($B$16),$B$16&gt;=2,MOD($B$16,1)=0,OR($N$9=32,$N$9=64,$N$9=128),ISNUMBER($B$11),$B$11&gt;=0,MOD($B$11,1)=0),INT(($B$16-1)/4),"")</x:f>
        <x:v>65535</x:v>
      </x:c>
      <x:c r="I101" s="30" t="n">
        <x:f>IF(AND(ISNUMBER($B$16),$B$16&gt;=2,MOD($B$16,1)=0,OR($N$9=32,$N$9=64,$N$9=128),ISNUMBER($B$11),$B$11&gt;=0,MOD($B$11,1)=0),INT(($B$16-1)/4),"")</x:f>
        <x:v>65535</x:v>
      </x:c>
      <x:c r="J101" s="30" t="n">
        <x:f>IF(AND(ISNUMBER($B$16),$B$16&gt;=2,MOD($B$16,1)=0,OR($N$9=32,$N$9=64,$N$9=128),ISNUMBER($B$11),$B$11&gt;=0,MOD($B$11,1)=0),ROUNDUP(($B$16-1)/(4*$N$9),0)*$N$9,"")</x:f>
        <x:v>65536</x:v>
      </x:c>
      <x:c r="K101" s="76" t="n">
        <x:f>IF(AND(ISNUMBER($B$16),$B$16&gt;=2,MOD($B$16,1)=0,OR($N$9=32,$N$9=64,$N$9=128),ISNUMBER($B$11),$B$11&gt;=0,MOD($B$11,1)=0),D101*E101*F101*H101/2^30,"")</x:f>
        <x:v>1.904267817735672</x:v>
      </x:c>
      <x:c r="L101" s="76" t="n">
        <x:f>IF(AND(ISNUMBER($B$16),$B$16&gt;=2,MOD($B$16,1)=0,OR($N$9=32,$N$9=64,$N$9=128),ISNUMBER($B$11),$B$11&gt;=0,MOD($B$11,1)=0),D101*E101*F101*I101/2^30,"")</x:f>
        <x:v>1.904267817735672</x:v>
      </x:c>
      <x:c r="M101" s="76" t="n">
        <x:f>IF(AND(ISNUMBER($B$16),$B$16&gt;=2,MOD($B$16,1)=0,OR($N$9=32,$N$9=64,$N$9=128),ISNUMBER($B$11),$B$11&gt;=0,MOD($B$11,1)=0),D101*E101*G101*J101/2^30,"")</x:f>
        <x:v>0.238037109375</x:v>
      </x:c>
      <x:c r="N101" s="30"/>
      <x:c r="O101" s="30"/>
      <x:c r="P101" s="30"/>
      <x:c r="Q101" s="30"/>
      <x:c r="R101" s="30"/>
      <x:c r="S101" s="30"/>
      <x:c r="T101" s="30"/>
      <x:c r="U101" s="30"/>
      <x:c r="V101" s="30"/>
      <x:c r="W101" s="30"/>
      <x:c r="X101" s="30"/>
    </x:row>
    <x:row r="102" ht="45" customHeight="1">
      <x:c r="A102" s="30" t="str">
        <x:v>DS V4 Pro</x:v>
      </x:c>
      <x:c r="B102" s="30" t="n">
        <x:f>$B$16</x:f>
        <x:v>262144</x:v>
      </x:c>
      <x:c r="C102" s="79" t="str">
        <x:v>C4 compressor state / FP32</x:v>
      </x:c>
      <x:c r="D102" s="30" t="n">
        <x:v>30</x:v>
      </x:c>
      <x:c r="E102" s="30" t="n">
        <x:v>8192</x:v>
      </x:c>
      <x:c r="F102" s="30" t="n">
        <x:v>8</x:v>
      </x:c>
      <x:c r="G102" s="30" t="n">
        <x:v>1</x:v>
      </x:c>
      <x:c r="H102" s="30" t="n">
        <x:f>IF(AND(ISNUMBER($B$16),$B$16&gt;=2,MOD($B$16,1)=0,OR($N$9=32,$N$9=64,$N$9=128),ISNUMBER($B$11),$B$11&gt;=0,MOD($B$11,1)=0),MIN(($B$16-1),8),"")</x:f>
        <x:v>8</x:v>
      </x:c>
      <x:c r="I102" s="30" t="n">
        <x:f>IF(AND(ISNUMBER($B$16),$B$16&gt;=2,MOD($B$16,1)=0,OR($N$9=32,$N$9=64,$N$9=128),ISNUMBER($B$11),$B$11&gt;=0,MOD($B$11,1)=0),MIN(($B$16-1),8),"")</x:f>
        <x:v>8</x:v>
      </x:c>
      <x:c r="J102" s="30" t="n">
        <x:f>IF(AND(ISNUMBER($B$16),$B$16&gt;=2,MOD($B$16,1)=0,OR($N$9=32,$N$9=64,$N$9=128),ISNUMBER($B$11),$B$11&gt;=0,MOD($B$11,1)=0),MIN(ROUNDUP(($B$16-1)/($N$9/16),0),ROUNDUP(8/($N$9/16),0)+1)*($N$9/16),"")</x:f>
        <x:v>16</x:v>
      </x:c>
      <x:c r="K102" s="76" t="n">
        <x:f>IF(AND(ISNUMBER($B$16),$B$16&gt;=2,MOD($B$16,1)=0,OR($N$9=32,$N$9=64,$N$9=128),ISNUMBER($B$11),$B$11&gt;=0,MOD($B$11,1)=0),D102*E102*F102*H102/2^30,"")</x:f>
        <x:v>0.0146484375</x:v>
      </x:c>
      <x:c r="L102" s="76" t="n">
        <x:f>IF(AND(ISNUMBER($B$16),$B$16&gt;=2,MOD($B$16,1)=0,OR($N$9=32,$N$9=64,$N$9=128),ISNUMBER($B$11),$B$11&gt;=0,MOD($B$11,1)=0),D102*E102*F102*I102/2^30,"")</x:f>
        <x:v>0.0146484375</x:v>
      </x:c>
      <x:c r="M102" s="76" t="n">
        <x:f>IF(AND(ISNUMBER($B$16),$B$16&gt;=2,MOD($B$16,1)=0,OR($N$9=32,$N$9=64,$N$9=128),ISNUMBER($B$11),$B$11&gt;=0,MOD($B$11,1)=0),D102*E102*G102*J102/2^30,"")</x:f>
        <x:v>0.003662109375</x:v>
      </x:c>
      <x:c r="N102" s="30"/>
      <x:c r="O102" s="30"/>
      <x:c r="P102" s="30"/>
      <x:c r="Q102" s="30"/>
      <x:c r="R102" s="30"/>
      <x:c r="S102" s="30"/>
      <x:c r="T102" s="30"/>
      <x:c r="U102" s="30"/>
      <x:c r="V102" s="30"/>
      <x:c r="W102" s="30"/>
      <x:c r="X102" s="30"/>
    </x:row>
    <x:row r="103" ht="45" customHeight="1">
      <x:c r="A103" s="30" t="str">
        <x:v>DS V4 Pro</x:v>
      </x:c>
      <x:c r="B103" s="30" t="n">
        <x:f>$B$16</x:f>
        <x:v>262144</x:v>
      </x:c>
      <x:c r="C103" s="79" t="str">
        <x:v>C128 compressor state / FP32</x:v>
      </x:c>
      <x:c r="D103" s="30" t="n">
        <x:v>31</x:v>
      </x:c>
      <x:c r="E103" s="30" t="n">
        <x:v>4096</x:v>
      </x:c>
      <x:c r="F103" s="30" t="n">
        <x:v>8</x:v>
      </x:c>
      <x:c r="G103" s="30" t="n">
        <x:v>1</x:v>
      </x:c>
      <x:c r="H103" s="30" t="n">
        <x:f>IF(AND(ISNUMBER($B$16),$B$16&gt;=2,MOD($B$16,1)=0,OR($N$9=32,$N$9=64,$N$9=128),ISNUMBER($B$11),$B$11&gt;=0,MOD($B$11,1)=0),MIN(($B$16-1),128),"")</x:f>
        <x:v>128</x:v>
      </x:c>
      <x:c r="I103" s="30" t="n">
        <x:f>IF(AND(ISNUMBER($B$16),$B$16&gt;=2,MOD($B$16,1)=0,OR($N$9=32,$N$9=64,$N$9=128),ISNUMBER($B$11),$B$11&gt;=0,MOD($B$11,1)=0),MIN(($B$16-1),128),"")</x:f>
        <x:v>128</x:v>
      </x:c>
      <x:c r="J103" s="30" t="n">
        <x:f>IF(AND(ISNUMBER($B$16),$B$16&gt;=2,MOD($B$16,1)=0,OR($N$9=32,$N$9=64,$N$9=128),ISNUMBER($B$11),$B$11&gt;=0,MOD($B$11,1)=0),MIN(ROUNDUP(($B$16-1)/($N$9/4),0),ROUNDUP(128/($N$9/4),0)+1)*($N$9/4),"")</x:f>
        <x:v>160</x:v>
      </x:c>
      <x:c r="K103" s="76" t="n">
        <x:f>IF(AND(ISNUMBER($B$16),$B$16&gt;=2,MOD($B$16,1)=0,OR($N$9=32,$N$9=64,$N$9=128),ISNUMBER($B$11),$B$11&gt;=0,MOD($B$11,1)=0),D103*E103*F103*H103/2^30,"")</x:f>
        <x:v>0.12109375</x:v>
      </x:c>
      <x:c r="L103" s="76" t="n">
        <x:f>IF(AND(ISNUMBER($B$16),$B$16&gt;=2,MOD($B$16,1)=0,OR($N$9=32,$N$9=64,$N$9=128),ISNUMBER($B$11),$B$11&gt;=0,MOD($B$11,1)=0),D103*E103*F103*I103/2^30,"")</x:f>
        <x:v>0.12109375</x:v>
      </x:c>
      <x:c r="M103" s="76" t="n">
        <x:f>IF(AND(ISNUMBER($B$16),$B$16&gt;=2,MOD($B$16,1)=0,OR($N$9=32,$N$9=64,$N$9=128),ISNUMBER($B$11),$B$11&gt;=0,MOD($B$11,1)=0),D103*E103*G103*J103/2^30,"")</x:f>
        <x:v>0.0189208984375</x:v>
      </x:c>
      <x:c r="N103" s="30"/>
      <x:c r="O103" s="30"/>
      <x:c r="P103" s="30"/>
      <x:c r="Q103" s="30"/>
      <x:c r="R103" s="30"/>
      <x:c r="S103" s="30"/>
      <x:c r="T103" s="30"/>
      <x:c r="U103" s="30"/>
      <x:c r="V103" s="30"/>
      <x:c r="W103" s="30"/>
      <x:c r="X103" s="30"/>
    </x:row>
    <x:row r="104" ht="45" customHeight="1">
      <x:c r="A104" s="30" t="str">
        <x:v>DS V4 Pro</x:v>
      </x:c>
      <x:c r="B104" s="30" t="n">
        <x:f>$B$16</x:f>
        <x:v>262144</x:v>
      </x:c>
      <x:c r="C104" s="79" t="str">
        <x:v>C4 indexer state / FP32</x:v>
      </x:c>
      <x:c r="D104" s="30" t="n">
        <x:v>30</x:v>
      </x:c>
      <x:c r="E104" s="30" t="n">
        <x:v>2048</x:v>
      </x:c>
      <x:c r="F104" s="30" t="n">
        <x:v>8</x:v>
      </x:c>
      <x:c r="G104" s="30" t="n">
        <x:v>1</x:v>
      </x:c>
      <x:c r="H104" s="30" t="n">
        <x:f>IF(AND(ISNUMBER($B$16),$B$16&gt;=2,MOD($B$16,1)=0,OR($N$9=32,$N$9=64,$N$9=128),ISNUMBER($B$11),$B$11&gt;=0,MOD($B$11,1)=0),MIN(($B$16-1),8),"")</x:f>
        <x:v>8</x:v>
      </x:c>
      <x:c r="I104" s="30" t="n">
        <x:f>IF(AND(ISNUMBER($B$16),$B$16&gt;=2,MOD($B$16,1)=0,OR($N$9=32,$N$9=64,$N$9=128),ISNUMBER($B$11),$B$11&gt;=0,MOD($B$11,1)=0),MIN(($B$16-1),8),"")</x:f>
        <x:v>8</x:v>
      </x:c>
      <x:c r="J104" s="30" t="n">
        <x:f>IF(AND(ISNUMBER($B$16),$B$16&gt;=2,MOD($B$16,1)=0,OR($N$9=32,$N$9=64,$N$9=128),ISNUMBER($B$11),$B$11&gt;=0,MOD($B$11,1)=0),MIN(ROUNDUP(($B$16-1)/($N$9/16),0),ROUNDUP(8/($N$9/16),0)+1)*($N$9/16),"")</x:f>
        <x:v>16</x:v>
      </x:c>
      <x:c r="K104" s="76" t="n">
        <x:f>IF(AND(ISNUMBER($B$16),$B$16&gt;=2,MOD($B$16,1)=0,OR($N$9=32,$N$9=64,$N$9=128),ISNUMBER($B$11),$B$11&gt;=0,MOD($B$11,1)=0),D104*E104*F104*H104/2^30,"")</x:f>
        <x:v>0.003662109375</x:v>
      </x:c>
      <x:c r="L104" s="76" t="n">
        <x:f>IF(AND(ISNUMBER($B$16),$B$16&gt;=2,MOD($B$16,1)=0,OR($N$9=32,$N$9=64,$N$9=128),ISNUMBER($B$11),$B$11&gt;=0,MOD($B$11,1)=0),D104*E104*F104*I104/2^30,"")</x:f>
        <x:v>0.003662109375</x:v>
      </x:c>
      <x:c r="M104" s="76" t="n">
        <x:f>IF(AND(ISNUMBER($B$16),$B$16&gt;=2,MOD($B$16,1)=0,OR($N$9=32,$N$9=64,$N$9=128),ISNUMBER($B$11),$B$11&gt;=0,MOD($B$11,1)=0),D104*E104*G104*J104/2^30,"")</x:f>
        <x:v>0.00091552734375</x:v>
      </x:c>
      <x:c r="N104" s="30"/>
      <x:c r="O104" s="30"/>
      <x:c r="P104" s="30"/>
      <x:c r="Q104" s="30"/>
      <x:c r="R104" s="30"/>
      <x:c r="S104" s="30"/>
      <x:c r="T104" s="30"/>
      <x:c r="U104" s="30"/>
      <x:c r="V104" s="30"/>
      <x:c r="W104" s="30"/>
      <x:c r="X104" s="30"/>
    </x:row>
    <x:row r="105" ht="45" customHeight="1">
      <x:c r="A105" s="40" t="str">
        <x:v>DS V4 Pro</x:v>
      </x:c>
      <x:c r="B105" s="40" t="n">
        <x:f>$B$16</x:f>
        <x:v>262144</x:v>
      </x:c>
      <x:c r="C105" s="80" t="str">
        <x:v>每请求合计</x:v>
      </x:c>
      <x:c r="D105" s="40"/>
      <x:c r="E105" s="40"/>
      <x:c r="F105" s="40"/>
      <x:c r="G105" s="40"/>
      <x:c r="H105" s="40"/>
      <x:c r="I105" s="40"/>
      <x:c r="J105" s="40"/>
      <x:c r="K105" s="78" t="n">
        <x:f>SUM(K98:K104)</x:f>
        <x:v>139.52711632847786</x:v>
      </x:c>
      <x:c r="L105" s="78" t="n">
        <x:f>SUM(L98:L104)</x:f>
        <x:v>17.587152034044266</x:v>
      </x:c>
      <x:c r="M105" s="78" t="n">
        <x:f>SUM(M98:M104)</x:f>
        <x:v>2.21197509765625</x:v>
      </x:c>
      <x:c r="N105" s="30"/>
      <x:c r="O105" s="30"/>
      <x:c r="P105" s="30"/>
      <x:c r="Q105" s="30"/>
      <x:c r="R105" s="30"/>
      <x:c r="S105" s="30"/>
      <x:c r="T105" s="30"/>
      <x:c r="U105" s="30"/>
      <x:c r="V105" s="30"/>
      <x:c r="W105" s="30"/>
      <x:c r="X105" s="30"/>
    </x:row>
    <x:row r="106" ht="45" customHeight="1">
      <x:c r="A106" s="30" t="str">
        <x:v>DS V4 Pro</x:v>
      </x:c>
      <x:c r="B106" s="30" t="n">
        <x:f>$B$17</x:f>
        <x:v>1048576</x:v>
      </x:c>
      <x:c r="C106" s="79" t="str">
        <x:v>SWA KV / BF16</x:v>
      </x:c>
      <x:c r="D106" s="30" t="n">
        <x:v>61</x:v>
      </x:c>
      <x:c r="E106" s="30" t="n">
        <x:v>1024</x:v>
      </x:c>
      <x:c r="F106" s="30" t="n">
        <x:v>8</x:v>
      </x:c>
      <x:c r="G106" s="30" t="n">
        <x:v>1</x:v>
      </x:c>
      <x:c r="H106" s="30" t="n">
        <x:f>IF(AND(ISNUMBER($B$17),$B$17&gt;=2,MOD($B$17,1)=0,OR($N$9=32,$N$9=64,$N$9=128),ISNUMBER($B$11),$B$11&gt;=0,MOD($B$11,1)=0),($B$17-1),"")</x:f>
        <x:v>1048575</x:v>
      </x:c>
      <x:c r="I106" s="30" t="n">
        <x:f>IF(AND(ISNUMBER($B$17),$B$17&gt;=2,MOD($B$17,1)=0,OR($N$9=32,$N$9=64,$N$9=128),ISNUMBER($B$11),$B$11&gt;=0,MOD($B$11,1)=0),MIN(($B$17-1),128),"")</x:f>
        <x:v>128</x:v>
      </x:c>
      <x:c r="J106" s="30" t="n">
        <x:f>IF(AND(ISNUMBER($B$17),$B$17&gt;=2,MOD($B$17,1)=0,OR($N$9=32,$N$9=64,$N$9=128),ISNUMBER($B$11),$B$11&gt;=0,MOD($B$11,1)=0),MIN(ROUNDUP(($B$17-1)/$N$9,0),ROUNDUP(128/$N$9,0)+1)*$N$9,"")</x:f>
        <x:v>256</x:v>
      </x:c>
      <x:c r="K106" s="76" t="n">
        <x:f>IF(AND(ISNUMBER($B$17),$B$17&gt;=2,MOD($B$17,1)=0,OR($N$9=32,$N$9=64,$N$9=128),ISNUMBER($B$11),$B$11&gt;=0,MOD($B$11,1)=0),D106*E106*F106*H106/2^30,"")</x:f>
        <x:v>487.9995346069336</x:v>
      </x:c>
      <x:c r="L106" s="76" t="n">
        <x:f>IF(AND(ISNUMBER($B$17),$B$17&gt;=2,MOD($B$17,1)=0,OR($N$9=32,$N$9=64,$N$9=128),ISNUMBER($B$11),$B$11&gt;=0,MOD($B$11,1)=0),D106*E106*F106*I106/2^30,"")</x:f>
        <x:v>0.0595703125</x:v>
      </x:c>
      <x:c r="M106" s="76" t="n">
        <x:f>IF(AND(ISNUMBER($B$17),$B$17&gt;=2,MOD($B$17,1)=0,OR($N$9=32,$N$9=64,$N$9=128),ISNUMBER($B$11),$B$11&gt;=0,MOD($B$11,1)=0),D106*E106*G106*J106/2^30,"")</x:f>
        <x:v>0.014892578125</x:v>
      </x:c>
      <x:c r="N106" s="30"/>
      <x:c r="O106" s="30"/>
      <x:c r="P106" s="30"/>
      <x:c r="Q106" s="30"/>
      <x:c r="R106" s="30"/>
      <x:c r="S106" s="30"/>
      <x:c r="T106" s="30"/>
      <x:c r="U106" s="30"/>
      <x:c r="V106" s="30"/>
      <x:c r="W106" s="30"/>
      <x:c r="X106" s="30"/>
    </x:row>
    <x:row r="107" ht="45" customHeight="1">
      <x:c r="A107" s="30" t="str">
        <x:v>DS V4 Pro</x:v>
      </x:c>
      <x:c r="B107" s="30" t="n">
        <x:f>$B$17</x:f>
        <x:v>1048576</x:v>
      </x:c>
      <x:c r="C107" s="79" t="str">
        <x:v>C4 KV / BF16</x:v>
      </x:c>
      <x:c r="D107" s="30" t="n">
        <x:v>30</x:v>
      </x:c>
      <x:c r="E107" s="30" t="n">
        <x:v>1024</x:v>
      </x:c>
      <x:c r="F107" s="30" t="n">
        <x:v>8</x:v>
      </x:c>
      <x:c r="G107" s="30" t="n">
        <x:v>1</x:v>
      </x:c>
      <x:c r="H107" s="30" t="n">
        <x:f>IF(AND(ISNUMBER($B$17),$B$17&gt;=2,MOD($B$17,1)=0,OR($N$9=32,$N$9=64,$N$9=128),ISNUMBER($B$11),$B$11&gt;=0,MOD($B$11,1)=0),INT(($B$17-1)/4),"")</x:f>
        <x:v>262143</x:v>
      </x:c>
      <x:c r="I107" s="30" t="n">
        <x:f>IF(AND(ISNUMBER($B$17),$B$17&gt;=2,MOD($B$17,1)=0,OR($N$9=32,$N$9=64,$N$9=128),ISNUMBER($B$11),$B$11&gt;=0,MOD($B$11,1)=0),INT(($B$17-1)/4),"")</x:f>
        <x:v>262143</x:v>
      </x:c>
      <x:c r="J107" s="30" t="n">
        <x:f>IF(AND(ISNUMBER($B$17),$B$17&gt;=2,MOD($B$17,1)=0,OR($N$9=32,$N$9=64,$N$9=128),ISNUMBER($B$11),$B$11&gt;=0,MOD($B$11,1)=0),ROUNDUP(($B$17-1)/(4*$N$9),0)*$N$9,"")</x:f>
        <x:v>262144</x:v>
      </x:c>
      <x:c r="K107" s="76" t="n">
        <x:f>IF(AND(ISNUMBER($B$17),$B$17&gt;=2,MOD($B$17,1)=0,OR($N$9=32,$N$9=64,$N$9=128),ISNUMBER($B$11),$B$11&gt;=0,MOD($B$11,1)=0),D107*E107*F107*H107/2^30,"")</x:f>
        <x:v>59.99977111816406</x:v>
      </x:c>
      <x:c r="L107" s="76" t="n">
        <x:f>IF(AND(ISNUMBER($B$17),$B$17&gt;=2,MOD($B$17,1)=0,OR($N$9=32,$N$9=64,$N$9=128),ISNUMBER($B$11),$B$11&gt;=0,MOD($B$11,1)=0),D107*E107*F107*I107/2^30,"")</x:f>
        <x:v>59.99977111816406</x:v>
      </x:c>
      <x:c r="M107" s="76" t="n">
        <x:f>IF(AND(ISNUMBER($B$17),$B$17&gt;=2,MOD($B$17,1)=0,OR($N$9=32,$N$9=64,$N$9=128),ISNUMBER($B$11),$B$11&gt;=0,MOD($B$11,1)=0),D107*E107*G107*J107/2^30,"")</x:f>
        <x:v>7.5</x:v>
      </x:c>
      <x:c r="N107" s="30"/>
      <x:c r="O107" s="30"/>
      <x:c r="P107" s="30"/>
      <x:c r="Q107" s="30"/>
      <x:c r="R107" s="30"/>
      <x:c r="S107" s="30"/>
      <x:c r="T107" s="30"/>
      <x:c r="U107" s="30"/>
      <x:c r="V107" s="30"/>
      <x:c r="W107" s="30"/>
      <x:c r="X107" s="30"/>
    </x:row>
    <x:row r="108" ht="45" customHeight="1">
      <x:c r="A108" s="30" t="str">
        <x:v>DS V4 Pro</x:v>
      </x:c>
      <x:c r="B108" s="30" t="n">
        <x:f>$B$17</x:f>
        <x:v>1048576</x:v>
      </x:c>
      <x:c r="C108" s="79" t="str">
        <x:v>C128 KV / BF16</x:v>
      </x:c>
      <x:c r="D108" s="30" t="n">
        <x:v>31</x:v>
      </x:c>
      <x:c r="E108" s="30" t="n">
        <x:v>1024</x:v>
      </x:c>
      <x:c r="F108" s="30" t="n">
        <x:v>8</x:v>
      </x:c>
      <x:c r="G108" s="30" t="n">
        <x:v>1</x:v>
      </x:c>
      <x:c r="H108" s="30" t="n">
        <x:f>IF(AND(ISNUMBER($B$17),$B$17&gt;=2,MOD($B$17,1)=0,OR($N$9=32,$N$9=64,$N$9=128),ISNUMBER($B$11),$B$11&gt;=0,MOD($B$11,1)=0),INT(($B$17-1)/128),"")</x:f>
        <x:v>8191</x:v>
      </x:c>
      <x:c r="I108" s="30" t="n">
        <x:f>IF(AND(ISNUMBER($B$17),$B$17&gt;=2,MOD($B$17,1)=0,OR($N$9=32,$N$9=64,$N$9=128),ISNUMBER($B$11),$B$11&gt;=0,MOD($B$11,1)=0),INT(($B$17-1)/128),"")</x:f>
        <x:v>8191</x:v>
      </x:c>
      <x:c r="J108" s="30" t="n">
        <x:f>IF(AND(ISNUMBER($B$17),$B$17&gt;=2,MOD($B$17,1)=0,OR($N$9=32,$N$9=64,$N$9=128),ISNUMBER($B$11),$B$11&gt;=0,MOD($B$11,1)=0),ROUNDUP(($B$17-1)/(128*$N$9),0)*$N$9,"")</x:f>
        <x:v>8192</x:v>
      </x:c>
      <x:c r="K108" s="76" t="n">
        <x:f>IF(AND(ISNUMBER($B$17),$B$17&gt;=2,MOD($B$17,1)=0,OR($N$9=32,$N$9=64,$N$9=128),ISNUMBER($B$11),$B$11&gt;=0,MOD($B$11,1)=0),D108*E108*F108*H108/2^30,"")</x:f>
        <x:v>1.9372634887695312</x:v>
      </x:c>
      <x:c r="L108" s="76" t="n">
        <x:f>IF(AND(ISNUMBER($B$17),$B$17&gt;=2,MOD($B$17,1)=0,OR($N$9=32,$N$9=64,$N$9=128),ISNUMBER($B$11),$B$11&gt;=0,MOD($B$11,1)=0),D108*E108*F108*I108/2^30,"")</x:f>
        <x:v>1.9372634887695312</x:v>
      </x:c>
      <x:c r="M108" s="76" t="n">
        <x:f>IF(AND(ISNUMBER($B$17),$B$17&gt;=2,MOD($B$17,1)=0,OR($N$9=32,$N$9=64,$N$9=128),ISNUMBER($B$11),$B$11&gt;=0,MOD($B$11,1)=0),D108*E108*G108*J108/2^30,"")</x:f>
        <x:v>0.2421875</x:v>
      </x:c>
      <x:c r="N108" s="30"/>
      <x:c r="O108" s="30"/>
      <x:c r="P108" s="30"/>
      <x:c r="Q108" s="30"/>
      <x:c r="R108" s="30"/>
      <x:c r="S108" s="30"/>
      <x:c r="T108" s="30"/>
      <x:c r="U108" s="30"/>
      <x:c r="V108" s="30"/>
      <x:c r="W108" s="30"/>
      <x:c r="X108" s="30"/>
    </x:row>
    <x:row r="109" ht="45" customHeight="1">
      <x:c r="A109" s="30" t="str">
        <x:v>DS V4 Pro</x:v>
      </x:c>
      <x:c r="B109" s="30" t="n">
        <x:f>$B$17</x:f>
        <x:v>1048576</x:v>
      </x:c>
      <x:c r="C109" s="79" t="str">
        <x:v>C4 Indexer / INT8 + FP16 scale</x:v>
      </x:c>
      <x:c r="D109" s="30" t="n">
        <x:v>30</x:v>
      </x:c>
      <x:c r="E109" s="30" t="n">
        <x:v>130</x:v>
      </x:c>
      <x:c r="F109" s="30" t="n">
        <x:v>8</x:v>
      </x:c>
      <x:c r="G109" s="30" t="n">
        <x:v>1</x:v>
      </x:c>
      <x:c r="H109" s="30" t="n">
        <x:f>IF(AND(ISNUMBER($B$17),$B$17&gt;=2,MOD($B$17,1)=0,OR($N$9=32,$N$9=64,$N$9=128),ISNUMBER($B$11),$B$11&gt;=0,MOD($B$11,1)=0),INT(($B$17-1)/4),"")</x:f>
        <x:v>262143</x:v>
      </x:c>
      <x:c r="I109" s="30" t="n">
        <x:f>IF(AND(ISNUMBER($B$17),$B$17&gt;=2,MOD($B$17,1)=0,OR($N$9=32,$N$9=64,$N$9=128),ISNUMBER($B$11),$B$11&gt;=0,MOD($B$11,1)=0),INT(($B$17-1)/4),"")</x:f>
        <x:v>262143</x:v>
      </x:c>
      <x:c r="J109" s="30" t="n">
        <x:f>IF(AND(ISNUMBER($B$17),$B$17&gt;=2,MOD($B$17,1)=0,OR($N$9=32,$N$9=64,$N$9=128),ISNUMBER($B$11),$B$11&gt;=0,MOD($B$11,1)=0),ROUNDUP(($B$17-1)/(4*$N$9),0)*$N$9,"")</x:f>
        <x:v>262144</x:v>
      </x:c>
      <x:c r="K109" s="76" t="n">
        <x:f>IF(AND(ISNUMBER($B$17),$B$17&gt;=2,MOD($B$17,1)=0,OR($N$9=32,$N$9=64,$N$9=128),ISNUMBER($B$11),$B$11&gt;=0,MOD($B$11,1)=0),D109*E109*F109*H109/2^30,"")</x:f>
        <x:v>7.617158442735672</x:v>
      </x:c>
      <x:c r="L109" s="76" t="n">
        <x:f>IF(AND(ISNUMBER($B$17),$B$17&gt;=2,MOD($B$17,1)=0,OR($N$9=32,$N$9=64,$N$9=128),ISNUMBER($B$11),$B$11&gt;=0,MOD($B$11,1)=0),D109*E109*F109*I109/2^30,"")</x:f>
        <x:v>7.617158442735672</x:v>
      </x:c>
      <x:c r="M109" s="76" t="n">
        <x:f>IF(AND(ISNUMBER($B$17),$B$17&gt;=2,MOD($B$17,1)=0,OR($N$9=32,$N$9=64,$N$9=128),ISNUMBER($B$11),$B$11&gt;=0,MOD($B$11,1)=0),D109*E109*G109*J109/2^30,"")</x:f>
        <x:v>0.9521484375</x:v>
      </x:c>
      <x:c r="N109" s="30"/>
      <x:c r="O109" s="30"/>
      <x:c r="P109" s="30"/>
      <x:c r="Q109" s="30"/>
      <x:c r="R109" s="30"/>
      <x:c r="S109" s="30"/>
      <x:c r="T109" s="30"/>
      <x:c r="U109" s="30"/>
      <x:c r="V109" s="30"/>
      <x:c r="W109" s="30"/>
      <x:c r="X109" s="30"/>
    </x:row>
    <x:row r="110" ht="45" customHeight="1">
      <x:c r="A110" s="30" t="str">
        <x:v>DS V4 Pro</x:v>
      </x:c>
      <x:c r="B110" s="30" t="n">
        <x:f>$B$17</x:f>
        <x:v>1048576</x:v>
      </x:c>
      <x:c r="C110" s="79" t="str">
        <x:v>C4 compressor state / FP32</x:v>
      </x:c>
      <x:c r="D110" s="30" t="n">
        <x:v>30</x:v>
      </x:c>
      <x:c r="E110" s="30" t="n">
        <x:v>8192</x:v>
      </x:c>
      <x:c r="F110" s="30" t="n">
        <x:v>8</x:v>
      </x:c>
      <x:c r="G110" s="30" t="n">
        <x:v>1</x:v>
      </x:c>
      <x:c r="H110" s="30" t="n">
        <x:f>IF(AND(ISNUMBER($B$17),$B$17&gt;=2,MOD($B$17,1)=0,OR($N$9=32,$N$9=64,$N$9=128),ISNUMBER($B$11),$B$11&gt;=0,MOD($B$11,1)=0),MIN(($B$17-1),8),"")</x:f>
        <x:v>8</x:v>
      </x:c>
      <x:c r="I110" s="30" t="n">
        <x:f>IF(AND(ISNUMBER($B$17),$B$17&gt;=2,MOD($B$17,1)=0,OR($N$9=32,$N$9=64,$N$9=128),ISNUMBER($B$11),$B$11&gt;=0,MOD($B$11,1)=0),MIN(($B$17-1),8),"")</x:f>
        <x:v>8</x:v>
      </x:c>
      <x:c r="J110" s="30" t="n">
        <x:f>IF(AND(ISNUMBER($B$17),$B$17&gt;=2,MOD($B$17,1)=0,OR($N$9=32,$N$9=64,$N$9=128),ISNUMBER($B$11),$B$11&gt;=0,MOD($B$11,1)=0),MIN(ROUNDUP(($B$17-1)/($N$9/16),0),ROUNDUP(8/($N$9/16),0)+1)*($N$9/16),"")</x:f>
        <x:v>16</x:v>
      </x:c>
      <x:c r="K110" s="76" t="n">
        <x:f>IF(AND(ISNUMBER($B$17),$B$17&gt;=2,MOD($B$17,1)=0,OR($N$9=32,$N$9=64,$N$9=128),ISNUMBER($B$11),$B$11&gt;=0,MOD($B$11,1)=0),D110*E110*F110*H110/2^30,"")</x:f>
        <x:v>0.0146484375</x:v>
      </x:c>
      <x:c r="L110" s="76" t="n">
        <x:f>IF(AND(ISNUMBER($B$17),$B$17&gt;=2,MOD($B$17,1)=0,OR($N$9=32,$N$9=64,$N$9=128),ISNUMBER($B$11),$B$11&gt;=0,MOD($B$11,1)=0),D110*E110*F110*I110/2^30,"")</x:f>
        <x:v>0.0146484375</x:v>
      </x:c>
      <x:c r="M110" s="76" t="n">
        <x:f>IF(AND(ISNUMBER($B$17),$B$17&gt;=2,MOD($B$17,1)=0,OR($N$9=32,$N$9=64,$N$9=128),ISNUMBER($B$11),$B$11&gt;=0,MOD($B$11,1)=0),D110*E110*G110*J110/2^30,"")</x:f>
        <x:v>0.003662109375</x:v>
      </x:c>
      <x:c r="N110" s="30"/>
      <x:c r="O110" s="30"/>
      <x:c r="P110" s="30"/>
      <x:c r="Q110" s="30"/>
      <x:c r="R110" s="30"/>
      <x:c r="S110" s="30"/>
      <x:c r="T110" s="30"/>
      <x:c r="U110" s="30"/>
      <x:c r="V110" s="30"/>
      <x:c r="W110" s="30"/>
      <x:c r="X110" s="30"/>
    </x:row>
    <x:row r="111" ht="45" customHeight="1">
      <x:c r="A111" s="30" t="str">
        <x:v>DS V4 Pro</x:v>
      </x:c>
      <x:c r="B111" s="30" t="n">
        <x:f>$B$17</x:f>
        <x:v>1048576</x:v>
      </x:c>
      <x:c r="C111" s="79" t="str">
        <x:v>C128 compressor state / FP32</x:v>
      </x:c>
      <x:c r="D111" s="30" t="n">
        <x:v>31</x:v>
      </x:c>
      <x:c r="E111" s="30" t="n">
        <x:v>4096</x:v>
      </x:c>
      <x:c r="F111" s="30" t="n">
        <x:v>8</x:v>
      </x:c>
      <x:c r="G111" s="30" t="n">
        <x:v>1</x:v>
      </x:c>
      <x:c r="H111" s="30" t="n">
        <x:f>IF(AND(ISNUMBER($B$17),$B$17&gt;=2,MOD($B$17,1)=0,OR($N$9=32,$N$9=64,$N$9=128),ISNUMBER($B$11),$B$11&gt;=0,MOD($B$11,1)=0),MIN(($B$17-1),128),"")</x:f>
        <x:v>128</x:v>
      </x:c>
      <x:c r="I111" s="30" t="n">
        <x:f>IF(AND(ISNUMBER($B$17),$B$17&gt;=2,MOD($B$17,1)=0,OR($N$9=32,$N$9=64,$N$9=128),ISNUMBER($B$11),$B$11&gt;=0,MOD($B$11,1)=0),MIN(($B$17-1),128),"")</x:f>
        <x:v>128</x:v>
      </x:c>
      <x:c r="J111" s="30" t="n">
        <x:f>IF(AND(ISNUMBER($B$17),$B$17&gt;=2,MOD($B$17,1)=0,OR($N$9=32,$N$9=64,$N$9=128),ISNUMBER($B$11),$B$11&gt;=0,MOD($B$11,1)=0),MIN(ROUNDUP(($B$17-1)/($N$9/4),0),ROUNDUP(128/($N$9/4),0)+1)*($N$9/4),"")</x:f>
        <x:v>160</x:v>
      </x:c>
      <x:c r="K111" s="76" t="n">
        <x:f>IF(AND(ISNUMBER($B$17),$B$17&gt;=2,MOD($B$17,1)=0,OR($N$9=32,$N$9=64,$N$9=128),ISNUMBER($B$11),$B$11&gt;=0,MOD($B$11,1)=0),D111*E111*F111*H111/2^30,"")</x:f>
        <x:v>0.12109375</x:v>
      </x:c>
      <x:c r="L111" s="76" t="n">
        <x:f>IF(AND(ISNUMBER($B$17),$B$17&gt;=2,MOD($B$17,1)=0,OR($N$9=32,$N$9=64,$N$9=128),ISNUMBER($B$11),$B$11&gt;=0,MOD($B$11,1)=0),D111*E111*F111*I111/2^30,"")</x:f>
        <x:v>0.12109375</x:v>
      </x:c>
      <x:c r="M111" s="76" t="n">
        <x:f>IF(AND(ISNUMBER($B$17),$B$17&gt;=2,MOD($B$17,1)=0,OR($N$9=32,$N$9=64,$N$9=128),ISNUMBER($B$11),$B$11&gt;=0,MOD($B$11,1)=0),D111*E111*G111*J111/2^30,"")</x:f>
        <x:v>0.0189208984375</x:v>
      </x:c>
      <x:c r="N111" s="30"/>
      <x:c r="O111" s="30"/>
      <x:c r="P111" s="30"/>
      <x:c r="Q111" s="30"/>
      <x:c r="R111" s="30"/>
      <x:c r="S111" s="30"/>
      <x:c r="T111" s="30"/>
      <x:c r="U111" s="30"/>
      <x:c r="V111" s="30"/>
      <x:c r="W111" s="30"/>
      <x:c r="X111" s="30"/>
    </x:row>
    <x:row r="112" ht="45" customHeight="1">
      <x:c r="A112" s="30" t="str">
        <x:v>DS V4 Pro</x:v>
      </x:c>
      <x:c r="B112" s="30" t="n">
        <x:f>$B$17</x:f>
        <x:v>1048576</x:v>
      </x:c>
      <x:c r="C112" s="79" t="str">
        <x:v>C4 indexer state / FP32</x:v>
      </x:c>
      <x:c r="D112" s="30" t="n">
        <x:v>30</x:v>
      </x:c>
      <x:c r="E112" s="30" t="n">
        <x:v>2048</x:v>
      </x:c>
      <x:c r="F112" s="30" t="n">
        <x:v>8</x:v>
      </x:c>
      <x:c r="G112" s="30" t="n">
        <x:v>1</x:v>
      </x:c>
      <x:c r="H112" s="30" t="n">
        <x:f>IF(AND(ISNUMBER($B$17),$B$17&gt;=2,MOD($B$17,1)=0,OR($N$9=32,$N$9=64,$N$9=128),ISNUMBER($B$11),$B$11&gt;=0,MOD($B$11,1)=0),MIN(($B$17-1),8),"")</x:f>
        <x:v>8</x:v>
      </x:c>
      <x:c r="I112" s="30" t="n">
        <x:f>IF(AND(ISNUMBER($B$17),$B$17&gt;=2,MOD($B$17,1)=0,OR($N$9=32,$N$9=64,$N$9=128),ISNUMBER($B$11),$B$11&gt;=0,MOD($B$11,1)=0),MIN(($B$17-1),8),"")</x:f>
        <x:v>8</x:v>
      </x:c>
      <x:c r="J112" s="30" t="n">
        <x:f>IF(AND(ISNUMBER($B$17),$B$17&gt;=2,MOD($B$17,1)=0,OR($N$9=32,$N$9=64,$N$9=128),ISNUMBER($B$11),$B$11&gt;=0,MOD($B$11,1)=0),MIN(ROUNDUP(($B$17-1)/($N$9/16),0),ROUNDUP(8/($N$9/16),0)+1)*($N$9/16),"")</x:f>
        <x:v>16</x:v>
      </x:c>
      <x:c r="K112" s="76" t="n">
        <x:f>IF(AND(ISNUMBER($B$17),$B$17&gt;=2,MOD($B$17,1)=0,OR($N$9=32,$N$9=64,$N$9=128),ISNUMBER($B$11),$B$11&gt;=0,MOD($B$11,1)=0),D112*E112*F112*H112/2^30,"")</x:f>
        <x:v>0.003662109375</x:v>
      </x:c>
      <x:c r="L112" s="76" t="n">
        <x:f>IF(AND(ISNUMBER($B$17),$B$17&gt;=2,MOD($B$17,1)=0,OR($N$9=32,$N$9=64,$N$9=128),ISNUMBER($B$11),$B$11&gt;=0,MOD($B$11,1)=0),D112*E112*F112*I112/2^30,"")</x:f>
        <x:v>0.003662109375</x:v>
      </x:c>
      <x:c r="M112" s="76" t="n">
        <x:f>IF(AND(ISNUMBER($B$17),$B$17&gt;=2,MOD($B$17,1)=0,OR($N$9=32,$N$9=64,$N$9=128),ISNUMBER($B$11),$B$11&gt;=0,MOD($B$11,1)=0),D112*E112*G112*J112/2^30,"")</x:f>
        <x:v>0.00091552734375</x:v>
      </x:c>
      <x:c r="N112" s="30"/>
      <x:c r="O112" s="30"/>
      <x:c r="P112" s="30"/>
      <x:c r="Q112" s="30"/>
      <x:c r="R112" s="30"/>
      <x:c r="S112" s="30"/>
      <x:c r="T112" s="30"/>
      <x:c r="U112" s="30"/>
      <x:c r="V112" s="30"/>
      <x:c r="W112" s="30"/>
      <x:c r="X112" s="30"/>
    </x:row>
    <x:row r="113" ht="45" customHeight="1">
      <x:c r="A113" s="40" t="str">
        <x:v>DS V4 Pro</x:v>
      </x:c>
      <x:c r="B113" s="40" t="n">
        <x:f>$B$17</x:f>
        <x:v>1048576</x:v>
      </x:c>
      <x:c r="C113" s="80" t="str">
        <x:v>每请求合计</x:v>
      </x:c>
      <x:c r="D113" s="40"/>
      <x:c r="E113" s="40"/>
      <x:c r="F113" s="40"/>
      <x:c r="G113" s="40"/>
      <x:c r="H113" s="40"/>
      <x:c r="I113" s="40"/>
      <x:c r="J113" s="40"/>
      <x:c r="K113" s="78" t="n">
        <x:f>SUM(K106:K112)</x:f>
        <x:v>557.6931319534779</x:v>
      </x:c>
      <x:c r="L113" s="78" t="n">
        <x:f>SUM(L106:L112)</x:f>
        <x:v>69.75316765904427</x:v>
      </x:c>
      <x:c r="M113" s="78" t="n">
        <x:f>SUM(M106:M112)</x:f>
        <x:v>8.73272705078125</x:v>
      </x:c>
      <x:c r="N113" s="30"/>
      <x:c r="O113" s="30"/>
      <x:c r="P113" s="30"/>
      <x:c r="Q113" s="30"/>
      <x:c r="R113" s="30"/>
      <x:c r="S113" s="30"/>
      <x:c r="T113" s="30"/>
      <x:c r="U113" s="30"/>
      <x:c r="V113" s="30"/>
      <x:c r="W113" s="30"/>
      <x:c r="X113" s="30"/>
    </x:row>
    <x:row r="114" ht="45" customHeight="1">
      <x:c r="A114" s="30"/>
      <x:c r="B114" s="30"/>
      <x:c r="C114" s="79"/>
      <x:c r="D114" s="30"/>
      <x:c r="E114" s="30"/>
      <x:c r="F114" s="30"/>
      <x:c r="G114" s="30"/>
      <x:c r="H114" s="30"/>
      <x:c r="I114" s="30"/>
      <x:c r="J114" s="30"/>
      <x:c r="K114" s="76"/>
      <x:c r="L114" s="76"/>
      <x:c r="M114" s="76"/>
      <x:c r="N114" s="30"/>
      <x:c r="O114" s="30"/>
      <x:c r="P114" s="30"/>
      <x:c r="Q114" s="30"/>
      <x:c r="R114" s="30"/>
      <x:c r="S114" s="30"/>
      <x:c r="T114" s="30"/>
      <x:c r="U114" s="30"/>
      <x:c r="V114" s="30"/>
      <x:c r="W114" s="30"/>
      <x:c r="X114" s="30"/>
    </x:row>
    <x:row r="115" ht="22" customHeight="1">
      <x:c r="A115" s="30"/>
      <x:c r="B115" s="30"/>
      <x:c r="C115" s="30"/>
      <x:c r="D115" s="30"/>
      <x:c r="E115" s="30"/>
      <x:c r="F115" s="30"/>
      <x:c r="G115" s="30"/>
      <x:c r="H115" s="30"/>
      <x:c r="I115" s="30"/>
      <x:c r="J115" s="30"/>
      <x:c r="K115" s="30"/>
      <x:c r="L115" s="30"/>
      <x:c r="M115" s="30"/>
      <x:c r="N115" s="30"/>
      <x:c r="O115" s="30"/>
      <x:c r="P115" s="30"/>
      <x:c r="Q115" s="30"/>
      <x:c r="R115" s="30"/>
      <x:c r="S115" s="30"/>
      <x:c r="T115" s="30"/>
      <x:c r="U115" s="30"/>
      <x:c r="V115" s="30"/>
      <x:c r="W115" s="30"/>
      <x:c r="X115" s="30"/>
    </x:row>
    <x:row r="116" ht="22" customHeight="1">
      <x:c r="A116" s="30"/>
      <x:c r="B116" s="30"/>
      <x:c r="C116" s="30"/>
      <x:c r="D116" s="30"/>
      <x:c r="E116" s="30"/>
      <x:c r="F116" s="30"/>
      <x:c r="G116" s="30"/>
      <x:c r="H116" s="30"/>
      <x:c r="I116" s="30"/>
      <x:c r="J116" s="30"/>
      <x:c r="K116" s="30"/>
      <x:c r="L116" s="30"/>
      <x:c r="M116" s="30"/>
      <x:c r="N116" s="30"/>
      <x:c r="O116" s="30"/>
      <x:c r="P116" s="30"/>
      <x:c r="Q116" s="30"/>
      <x:c r="R116" s="30"/>
      <x:c r="S116" s="30"/>
      <x:c r="T116" s="30"/>
      <x:c r="U116" s="30"/>
      <x:c r="V116" s="30"/>
      <x:c r="W116" s="30"/>
      <x:c r="X116" s="30"/>
    </x:row>
    <x:row r="117" ht="22" customHeight="1">
      <x:c r="A117" s="30" t="str">
        <x:v>来源：库内 config.json、analysis/KV-EP-SPECS.md、analysis/PD-MINUTE.md；V4.1 为既有 KV 规划量。</x:v>
      </x:c>
      <x:c r="B117" s="30"/>
      <x:c r="C117" s="30"/>
      <x:c r="D117" s="30"/>
      <x:c r="E117" s="30"/>
      <x:c r="F117" s="30"/>
      <x:c r="G117" s="30"/>
      <x:c r="H117" s="30"/>
      <x:c r="I117" s="30"/>
      <x:c r="J117" s="30"/>
      <x:c r="K117" s="30"/>
      <x:c r="L117" s="30"/>
      <x:c r="M117" s="30"/>
      <x:c r="N117" s="30"/>
      <x:c r="O117" s="30"/>
      <x:c r="P117" s="30"/>
      <x:c r="Q117" s="30"/>
      <x:c r="R117" s="30"/>
      <x:c r="S117" s="30"/>
      <x:c r="T117" s="30"/>
      <x:c r="U117" s="30"/>
      <x:c r="V117" s="30"/>
      <x:c r="W117" s="30"/>
      <x:c r="X117" s="30"/>
    </x:row>
    <x:row r="118" ht="22" customHeight="1">
      <x:c r="A118" s="30" t="str">
        <x:v>MC2：A3 FullMesh BF16；均衡路由。未计 TP / Attention / Engram、通信启动和真实排队，未复现 NPU 实测。</x:v>
      </x:c>
      <x:c r="B118" s="30"/>
      <x:c r="C118" s="30"/>
      <x:c r="D118" s="30"/>
      <x:c r="E118" s="30"/>
      <x:c r="F118" s="30"/>
      <x:c r="G118" s="30"/>
      <x:c r="H118" s="30"/>
      <x:c r="I118" s="30"/>
      <x:c r="J118" s="30"/>
      <x:c r="K118" s="30"/>
      <x:c r="L118" s="30"/>
      <x:c r="M118" s="30"/>
      <x:c r="N118" s="30"/>
      <x:c r="O118" s="30"/>
      <x:c r="P118" s="30"/>
      <x:c r="Q118" s="30"/>
      <x:c r="R118" s="30"/>
      <x:c r="S118" s="30"/>
      <x:c r="T118" s="30"/>
      <x:c r="U118" s="30"/>
      <x:c r="V118" s="30"/>
      <x:c r="W118" s="30"/>
      <x:c r="X118" s="30"/>
    </x:row>
    <x:row r="119" ht="22" customHeight="1">
      <x:c r="A119" s="30"/>
      <x:c r="B119" s="30"/>
      <x:c r="C119" s="30"/>
      <x:c r="D119" s="30"/>
      <x:c r="E119" s="30"/>
      <x:c r="F119" s="30"/>
      <x:c r="G119" s="30"/>
      <x:c r="H119" s="30"/>
      <x:c r="I119" s="30"/>
      <x:c r="J119" s="30"/>
      <x:c r="K119" s="30"/>
      <x:c r="L119" s="30"/>
      <x:c r="M119" s="30"/>
      <x:c r="N119" s="30"/>
      <x:c r="O119" s="30"/>
      <x:c r="P119" s="30"/>
      <x:c r="Q119" s="30"/>
      <x:c r="R119" s="30"/>
      <x:c r="S119" s="30"/>
      <x:c r="T119" s="30"/>
      <x:c r="U119" s="30"/>
      <x:c r="V119" s="30"/>
      <x:c r="W119" s="30"/>
      <x:c r="X119" s="30"/>
    </x:row>
    <x:row r="120" ht="22" customHeight="1">
      <x:c r="A120" s="30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30"/>
      <x:c r="L120" s="30"/>
      <x:c r="M120" s="30"/>
      <x:c r="N120" s="30"/>
      <x:c r="O120" s="30"/>
      <x:c r="P120" s="30"/>
      <x:c r="Q120" s="30"/>
      <x:c r="R120" s="30"/>
      <x:c r="S120" s="30"/>
      <x:c r="T120" s="30"/>
      <x:c r="U120" s="30"/>
      <x:c r="V120" s="30"/>
      <x:c r="W120" s="30"/>
      <x:c r="X120" s="30"/>
    </x:row>
    <x:row r="121" ht="22" customHeight="1">
      <x:c r="A121" s="30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30"/>
      <x:c r="L121" s="30"/>
      <x:c r="M121" s="30"/>
      <x:c r="N121" s="30"/>
      <x:c r="O121" s="30"/>
      <x:c r="P121" s="30"/>
      <x:c r="Q121" s="30"/>
      <x:c r="R121" s="30"/>
      <x:c r="S121" s="30"/>
      <x:c r="T121" s="30"/>
      <x:c r="U121" s="30"/>
      <x:c r="V121" s="30"/>
      <x:c r="W121" s="30"/>
      <x:c r="X121" s="30"/>
    </x:row>
    <x:row r="122" ht="22" customHeight="1">
      <x:c r="A122" s="30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30"/>
      <x:c r="L122" s="30"/>
      <x:c r="M122" s="30"/>
      <x:c r="N122" s="30"/>
      <x:c r="O122" s="30"/>
      <x:c r="P122" s="30"/>
      <x:c r="Q122" s="30"/>
      <x:c r="R122" s="30"/>
      <x:c r="S122" s="30"/>
      <x:c r="T122" s="30"/>
      <x:c r="U122" s="30"/>
      <x:c r="V122" s="30"/>
      <x:c r="W122" s="30"/>
      <x:c r="X122" s="30"/>
    </x:row>
    <x:row r="123" ht="22" customHeight="1">
      <x:c r="A123" s="30"/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30"/>
      <x:c r="L123" s="30"/>
      <x:c r="M123" s="30"/>
      <x:c r="N123" s="30"/>
      <x:c r="O123" s="30"/>
      <x:c r="P123" s="30"/>
      <x:c r="Q123" s="30"/>
      <x:c r="R123" s="30"/>
      <x:c r="S123" s="30"/>
      <x:c r="T123" s="30"/>
      <x:c r="U123" s="30"/>
      <x:c r="V123" s="30"/>
      <x:c r="W123" s="30"/>
      <x:c r="X123" s="30"/>
    </x:row>
    <x:row r="124" ht="22" customHeight="1">
      <x:c r="A124" s="30"/>
      <x:c r="B124" s="30"/>
      <x:c r="C124" s="30"/>
      <x:c r="D124" s="30"/>
      <x:c r="E124" s="30"/>
      <x:c r="F124" s="30"/>
      <x:c r="G124" s="30"/>
      <x:c r="H124" s="30"/>
      <x:c r="I124" s="30"/>
      <x:c r="J124" s="30"/>
      <x:c r="K124" s="30"/>
      <x:c r="L124" s="30"/>
      <x:c r="M124" s="30"/>
      <x:c r="N124" s="30"/>
      <x:c r="O124" s="30"/>
      <x:c r="P124" s="30"/>
      <x:c r="Q124" s="30"/>
      <x:c r="R124" s="30"/>
      <x:c r="S124" s="30"/>
      <x:c r="T124" s="30"/>
      <x:c r="U124" s="30"/>
      <x:c r="V124" s="30"/>
      <x:c r="W124" s="30"/>
      <x:c r="X124" s="30"/>
    </x:row>
    <x:row r="125" ht="22" customHeight="1">
      <x:c r="A125" s="30"/>
      <x:c r="B125" s="30"/>
      <x:c r="C125" s="30"/>
      <x:c r="D125" s="30"/>
      <x:c r="E125" s="30"/>
      <x:c r="F125" s="30"/>
      <x:c r="G125" s="30"/>
      <x:c r="H125" s="30"/>
      <x:c r="I125" s="30"/>
      <x:c r="J125" s="30"/>
      <x:c r="K125" s="30"/>
      <x:c r="L125" s="30"/>
      <x:c r="M125" s="30"/>
      <x:c r="N125" s="30"/>
      <x:c r="O125" s="30"/>
      <x:c r="P125" s="30"/>
      <x:c r="Q125" s="30"/>
      <x:c r="R125" s="30"/>
      <x:c r="S125" s="30"/>
      <x:c r="T125" s="30"/>
      <x:c r="U125" s="30"/>
      <x:c r="V125" s="30"/>
      <x:c r="W125" s="30"/>
      <x:c r="X125" s="30"/>
    </x:row>
    <x:row r="126" ht="22" customHeight="1">
      <x:c r="A126" s="30"/>
      <x:c r="B126" s="30"/>
      <x:c r="C126" s="30"/>
      <x:c r="D126" s="30"/>
      <x:c r="E126" s="30"/>
      <x:c r="F126" s="30"/>
      <x:c r="G126" s="30"/>
      <x:c r="H126" s="30"/>
      <x:c r="I126" s="30"/>
      <x:c r="J126" s="30"/>
      <x:c r="K126" s="30"/>
      <x:c r="L126" s="30"/>
      <x:c r="M126" s="30"/>
      <x:c r="N126" s="30"/>
      <x:c r="O126" s="30"/>
      <x:c r="P126" s="30"/>
      <x:c r="Q126" s="30"/>
      <x:c r="R126" s="30"/>
      <x:c r="S126" s="30"/>
      <x:c r="T126" s="30"/>
      <x:c r="U126" s="30"/>
      <x:c r="V126" s="30"/>
      <x:c r="W126" s="30"/>
      <x:c r="X126" s="30"/>
    </x:row>
    <x:row r="127" ht="22" customHeight="1">
      <x:c r="A127" s="30"/>
      <x:c r="B127" s="30"/>
      <x:c r="C127" s="30"/>
      <x:c r="D127" s="30"/>
      <x:c r="E127" s="30"/>
      <x:c r="F127" s="30"/>
      <x:c r="G127" s="30"/>
      <x:c r="H127" s="30"/>
      <x:c r="I127" s="30"/>
      <x:c r="J127" s="30"/>
      <x:c r="K127" s="30"/>
      <x:c r="L127" s="30"/>
      <x:c r="M127" s="30"/>
      <x:c r="N127" s="30"/>
      <x:c r="O127" s="30"/>
      <x:c r="P127" s="30"/>
      <x:c r="Q127" s="30"/>
      <x:c r="R127" s="30"/>
      <x:c r="S127" s="30"/>
      <x:c r="T127" s="30"/>
      <x:c r="U127" s="30"/>
      <x:c r="V127" s="30"/>
      <x:c r="W127" s="30"/>
      <x:c r="X127" s="30"/>
    </x:row>
    <x:row r="128" ht="22" customHeight="1">
      <x:c r="A128" s="30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30"/>
      <x:c r="L128" s="30"/>
      <x:c r="M128" s="30"/>
      <x:c r="N128" s="30"/>
      <x:c r="O128" s="30"/>
      <x:c r="P128" s="30"/>
      <x:c r="Q128" s="30"/>
      <x:c r="R128" s="30"/>
      <x:c r="S128" s="30"/>
      <x:c r="T128" s="30"/>
      <x:c r="U128" s="30"/>
      <x:c r="V128" s="30"/>
      <x:c r="W128" s="30"/>
      <x:c r="X128" s="30"/>
    </x:row>
    <x:row r="129" ht="22" customHeight="1">
      <x:c r="A129" s="30"/>
      <x:c r="B129" s="30"/>
      <x:c r="C129" s="30"/>
      <x:c r="D129" s="30"/>
      <x:c r="E129" s="30"/>
      <x:c r="F129" s="30"/>
      <x:c r="G129" s="30"/>
      <x:c r="H129" s="30"/>
      <x:c r="I129" s="30"/>
      <x:c r="J129" s="30"/>
      <x:c r="K129" s="30"/>
      <x:c r="L129" s="30"/>
      <x:c r="M129" s="30"/>
      <x:c r="N129" s="30"/>
      <x:c r="O129" s="30"/>
      <x:c r="P129" s="30"/>
      <x:c r="Q129" s="30"/>
      <x:c r="R129" s="30"/>
      <x:c r="S129" s="30"/>
      <x:c r="T129" s="30"/>
      <x:c r="U129" s="30"/>
      <x:c r="V129" s="30"/>
      <x:c r="W129" s="30"/>
      <x:c r="X129" s="30"/>
    </x:row>
    <x:row r="130" ht="22" customHeight="1">
      <x:c r="A130" s="30"/>
      <x:c r="B130" s="30"/>
      <x:c r="C130" s="30"/>
      <x:c r="D130" s="30"/>
      <x:c r="E130" s="30"/>
      <x:c r="F130" s="30"/>
      <x:c r="G130" s="30"/>
      <x:c r="H130" s="30"/>
      <x:c r="I130" s="30"/>
      <x:c r="J130" s="30"/>
      <x:c r="K130" s="30"/>
      <x:c r="L130" s="30"/>
      <x:c r="M130" s="30"/>
      <x:c r="N130" s="30"/>
      <x:c r="O130" s="30"/>
      <x:c r="P130" s="30"/>
      <x:c r="Q130" s="30"/>
      <x:c r="R130" s="30"/>
      <x:c r="S130" s="30"/>
      <x:c r="T130" s="30"/>
      <x:c r="U130" s="30"/>
      <x:c r="V130" s="30"/>
      <x:c r="W130" s="30"/>
      <x:c r="X130" s="30"/>
    </x:row>
    <x:row r="131" ht="22" customHeight="1">
      <x:c r="A131" s="30"/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0"/>
      <x:c r="L131" s="30"/>
      <x:c r="M131" s="30"/>
      <x:c r="N131" s="30"/>
      <x:c r="O131" s="30"/>
      <x:c r="P131" s="30"/>
      <x:c r="Q131" s="30"/>
      <x:c r="R131" s="30"/>
      <x:c r="S131" s="30"/>
      <x:c r="T131" s="30"/>
      <x:c r="U131" s="30"/>
      <x:c r="V131" s="30"/>
      <x:c r="W131" s="30"/>
      <x:c r="X131" s="30"/>
    </x:row>
    <x:row r="132" ht="22" customHeight="1">
      <x:c r="A132" s="30"/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0"/>
      <x:c r="L132" s="30"/>
      <x:c r="M132" s="30"/>
      <x:c r="N132" s="30"/>
      <x:c r="O132" s="30"/>
      <x:c r="P132" s="30"/>
      <x:c r="Q132" s="30"/>
      <x:c r="R132" s="30"/>
      <x:c r="S132" s="30"/>
      <x:c r="T132" s="30"/>
      <x:c r="U132" s="30"/>
      <x:c r="V132" s="30"/>
      <x:c r="W132" s="30"/>
      <x:c r="X132" s="30"/>
    </x:row>
    <x:row r="133" ht="22" customHeight="1">
      <x:c r="A133" s="30"/>
      <x:c r="B133" s="30"/>
      <x:c r="C133" s="30"/>
      <x:c r="D133" s="30"/>
      <x:c r="E133" s="30"/>
      <x:c r="F133" s="30"/>
      <x:c r="G133" s="30"/>
      <x:c r="H133" s="30"/>
      <x:c r="I133" s="30"/>
      <x:c r="J133" s="30"/>
      <x:c r="K133" s="30"/>
      <x:c r="L133" s="30"/>
      <x:c r="M133" s="30"/>
      <x:c r="N133" s="30"/>
      <x:c r="O133" s="30"/>
      <x:c r="P133" s="30"/>
      <x:c r="Q133" s="30"/>
      <x:c r="R133" s="30"/>
      <x:c r="S133" s="30"/>
      <x:c r="T133" s="30"/>
      <x:c r="U133" s="30"/>
      <x:c r="V133" s="30"/>
      <x:c r="W133" s="30"/>
      <x:c r="X133" s="30"/>
    </x:row>
    <x:row r="134" ht="22" customHeight="1">
      <x:c r="A134" s="30"/>
      <x:c r="B134" s="30"/>
      <x:c r="C134" s="30"/>
      <x:c r="D134" s="30"/>
      <x:c r="E134" s="30"/>
      <x:c r="F134" s="30"/>
      <x:c r="G134" s="30"/>
      <x:c r="H134" s="30"/>
      <x:c r="I134" s="30"/>
      <x:c r="J134" s="30"/>
      <x:c r="K134" s="30"/>
      <x:c r="L134" s="30"/>
      <x:c r="M134" s="30"/>
      <x:c r="N134" s="30"/>
      <x:c r="O134" s="30"/>
      <x:c r="P134" s="30"/>
      <x:c r="Q134" s="30"/>
      <x:c r="R134" s="30"/>
      <x:c r="S134" s="30"/>
      <x:c r="T134" s="30"/>
      <x:c r="U134" s="30"/>
      <x:c r="V134" s="30"/>
      <x:c r="W134" s="30"/>
      <x:c r="X134" s="30"/>
    </x:row>
    <x:row r="135" ht="22" customHeight="1">
      <x:c r="A135" s="30"/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0"/>
      <x:c r="L135" s="30"/>
      <x:c r="M135" s="30"/>
      <x:c r="N135" s="30"/>
      <x:c r="O135" s="30"/>
      <x:c r="P135" s="30"/>
      <x:c r="Q135" s="30"/>
      <x:c r="R135" s="30"/>
      <x:c r="S135" s="30"/>
      <x:c r="T135" s="30"/>
      <x:c r="U135" s="30"/>
      <x:c r="V135" s="30"/>
      <x:c r="W135" s="30"/>
      <x:c r="X135" s="30"/>
    </x:row>
    <x:row r="136" ht="22" customHeight="1">
      <x:c r="A136" s="30"/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0"/>
      <x:c r="L136" s="30"/>
      <x:c r="M136" s="30"/>
      <x:c r="N136" s="30"/>
      <x:c r="O136" s="30"/>
      <x:c r="P136" s="30"/>
      <x:c r="Q136" s="30"/>
      <x:c r="R136" s="30"/>
      <x:c r="S136" s="30"/>
      <x:c r="T136" s="30"/>
      <x:c r="U136" s="30"/>
      <x:c r="V136" s="30"/>
      <x:c r="W136" s="30"/>
      <x:c r="X136" s="30"/>
    </x:row>
    <x:row r="137" ht="22" customHeight="1">
      <x:c r="A137" s="30"/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0"/>
      <x:c r="L137" s="30"/>
      <x:c r="M137" s="30"/>
      <x:c r="N137" s="30"/>
      <x:c r="O137" s="30"/>
      <x:c r="P137" s="30"/>
      <x:c r="Q137" s="30"/>
      <x:c r="R137" s="30"/>
      <x:c r="S137" s="30"/>
      <x:c r="T137" s="30"/>
      <x:c r="U137" s="30"/>
      <x:c r="V137" s="30"/>
      <x:c r="W137" s="30"/>
      <x:c r="X137" s="30"/>
    </x:row>
    <x:row r="138" ht="22" customHeight="1">
      <x:c r="A138" s="30"/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0"/>
      <x:c r="L138" s="30"/>
      <x:c r="M138" s="30"/>
      <x:c r="N138" s="30"/>
      <x:c r="O138" s="30"/>
      <x:c r="P138" s="30"/>
      <x:c r="Q138" s="30"/>
      <x:c r="R138" s="30"/>
      <x:c r="S138" s="30"/>
      <x:c r="T138" s="30"/>
      <x:c r="U138" s="30"/>
      <x:c r="V138" s="30"/>
      <x:c r="W138" s="30"/>
      <x:c r="X138" s="30"/>
    </x:row>
    <x:row r="139" ht="22" customHeight="1">
      <x:c r="A139" s="30"/>
      <x:c r="B139" s="30"/>
      <x:c r="C139" s="30"/>
      <x:c r="D139" s="30"/>
      <x:c r="E139" s="30"/>
      <x:c r="F139" s="30"/>
      <x:c r="G139" s="30"/>
      <x:c r="H139" s="30"/>
      <x:c r="I139" s="30"/>
      <x:c r="J139" s="30"/>
      <x:c r="K139" s="30"/>
      <x:c r="L139" s="30"/>
      <x:c r="M139" s="30"/>
      <x:c r="N139" s="30"/>
      <x:c r="O139" s="30"/>
      <x:c r="P139" s="30"/>
      <x:c r="Q139" s="30"/>
      <x:c r="R139" s="30"/>
      <x:c r="S139" s="30"/>
      <x:c r="T139" s="30"/>
      <x:c r="U139" s="30"/>
      <x:c r="V139" s="30"/>
      <x:c r="W139" s="30"/>
      <x:c r="X139" s="30"/>
    </x:row>
    <x:row r="140" ht="22" customHeight="1">
      <x:c r="A140" s="30"/>
      <x:c r="B140" s="30"/>
      <x:c r="C140" s="30"/>
      <x:c r="D140" s="30"/>
      <x:c r="E140" s="30"/>
      <x:c r="F140" s="30"/>
      <x:c r="G140" s="30"/>
      <x:c r="H140" s="30"/>
      <x:c r="I140" s="30"/>
      <x:c r="J140" s="30"/>
      <x:c r="K140" s="30"/>
      <x:c r="L140" s="30"/>
      <x:c r="M140" s="30"/>
      <x:c r="N140" s="30"/>
      <x:c r="O140" s="30"/>
      <x:c r="P140" s="30"/>
      <x:c r="Q140" s="30"/>
      <x:c r="R140" s="30"/>
      <x:c r="S140" s="30"/>
      <x:c r="T140" s="30"/>
      <x:c r="U140" s="30"/>
      <x:c r="V140" s="30"/>
      <x:c r="W140" s="30"/>
      <x:c r="X140" s="30"/>
    </x:row>
    <x:row r="141" ht="22" customHeight="1">
      <x:c r="A141" s="30"/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0"/>
      <x:c r="L141" s="30"/>
      <x:c r="M141" s="30"/>
      <x:c r="N141" s="30"/>
      <x:c r="O141" s="30"/>
      <x:c r="P141" s="30"/>
      <x:c r="Q141" s="30"/>
      <x:c r="R141" s="30"/>
      <x:c r="S141" s="30"/>
      <x:c r="T141" s="30"/>
      <x:c r="U141" s="30"/>
      <x:c r="V141" s="30"/>
      <x:c r="W141" s="30"/>
      <x:c r="X141" s="30"/>
    </x:row>
    <x:row r="142" ht="22" customHeight="1">
      <x:c r="A142" s="30"/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0"/>
      <x:c r="L142" s="30"/>
      <x:c r="M142" s="30"/>
      <x:c r="N142" s="30"/>
      <x:c r="O142" s="30"/>
      <x:c r="P142" s="30"/>
      <x:c r="Q142" s="30"/>
      <x:c r="R142" s="30"/>
      <x:c r="S142" s="30"/>
      <x:c r="T142" s="30"/>
      <x:c r="U142" s="30"/>
      <x:c r="V142" s="30"/>
      <x:c r="W142" s="30"/>
      <x:c r="X142" s="30"/>
    </x:row>
    <x:row r="143" ht="22" customHeight="1">
      <x:c r="A143" s="30"/>
      <x:c r="B143" s="30"/>
      <x:c r="C143" s="30"/>
      <x:c r="D143" s="30"/>
      <x:c r="E143" s="30"/>
      <x:c r="F143" s="30"/>
      <x:c r="G143" s="30"/>
      <x:c r="H143" s="30"/>
      <x:c r="I143" s="30"/>
      <x:c r="J143" s="30"/>
      <x:c r="K143" s="30"/>
      <x:c r="L143" s="30"/>
      <x:c r="M143" s="30"/>
      <x:c r="N143" s="30"/>
      <x:c r="O143" s="30"/>
      <x:c r="P143" s="30"/>
      <x:c r="Q143" s="30"/>
      <x:c r="R143" s="30"/>
      <x:c r="S143" s="30"/>
      <x:c r="T143" s="30"/>
      <x:c r="U143" s="30"/>
      <x:c r="V143" s="30"/>
      <x:c r="W143" s="30"/>
      <x:c r="X143" s="30"/>
    </x:row>
    <x:row r="144" ht="22" customHeight="1">
      <x:c r="A144" s="30"/>
      <x:c r="B144" s="30"/>
      <x:c r="C144" s="30"/>
      <x:c r="D144" s="30"/>
      <x:c r="E144" s="30"/>
      <x:c r="F144" s="30"/>
      <x:c r="G144" s="30"/>
      <x:c r="H144" s="30"/>
      <x:c r="I144" s="30"/>
      <x:c r="J144" s="30"/>
      <x:c r="K144" s="30"/>
      <x:c r="L144" s="30"/>
      <x:c r="M144" s="30"/>
      <x:c r="N144" s="30"/>
      <x:c r="O144" s="30"/>
      <x:c r="P144" s="30"/>
      <x:c r="Q144" s="30"/>
      <x:c r="R144" s="30"/>
      <x:c r="S144" s="30"/>
      <x:c r="T144" s="30"/>
      <x:c r="U144" s="30"/>
      <x:c r="V144" s="30"/>
      <x:c r="W144" s="30"/>
      <x:c r="X144" s="30"/>
    </x:row>
    <x:row r="145" ht="22" customHeight="1">
      <x:c r="A145" s="30"/>
      <x:c r="B145" s="30"/>
      <x:c r="C145" s="30"/>
      <x:c r="D145" s="30"/>
      <x:c r="E145" s="30"/>
      <x:c r="F145" s="30"/>
      <x:c r="G145" s="30"/>
      <x:c r="H145" s="30"/>
      <x:c r="I145" s="30"/>
      <x:c r="J145" s="30"/>
      <x:c r="K145" s="30"/>
      <x:c r="L145" s="30"/>
      <x:c r="M145" s="30"/>
      <x:c r="N145" s="30"/>
      <x:c r="O145" s="30"/>
      <x:c r="P145" s="30"/>
      <x:c r="Q145" s="30"/>
      <x:c r="R145" s="30"/>
      <x:c r="S145" s="30"/>
      <x:c r="T145" s="30"/>
      <x:c r="U145" s="30"/>
      <x:c r="V145" s="30"/>
      <x:c r="W145" s="30"/>
      <x:c r="X145" s="30"/>
    </x:row>
    <x:row r="146" ht="22" customHeight="1">
      <x:c r="A146" s="30"/>
      <x:c r="B146" s="30"/>
      <x:c r="C146" s="30"/>
      <x:c r="D146" s="30"/>
      <x:c r="E146" s="30"/>
      <x:c r="F146" s="30"/>
      <x:c r="G146" s="30"/>
      <x:c r="H146" s="30"/>
      <x:c r="I146" s="30"/>
      <x:c r="J146" s="30"/>
      <x:c r="K146" s="30"/>
      <x:c r="L146" s="30"/>
      <x:c r="M146" s="30"/>
      <x:c r="N146" s="30"/>
      <x:c r="O146" s="30"/>
      <x:c r="P146" s="30"/>
      <x:c r="Q146" s="30"/>
      <x:c r="R146" s="30"/>
      <x:c r="S146" s="30"/>
      <x:c r="T146" s="30"/>
      <x:c r="U146" s="30"/>
      <x:c r="V146" s="30"/>
      <x:c r="W146" s="30"/>
      <x:c r="X146" s="30"/>
    </x:row>
    <x:row r="147" ht="22" customHeight="1">
      <x:c r="A147" s="30"/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30"/>
      <x:c r="L147" s="30"/>
      <x:c r="M147" s="30"/>
      <x:c r="N147" s="30"/>
      <x:c r="O147" s="30"/>
      <x:c r="P147" s="30"/>
      <x:c r="Q147" s="30"/>
      <x:c r="R147" s="30"/>
      <x:c r="S147" s="30"/>
      <x:c r="T147" s="30"/>
      <x:c r="U147" s="30"/>
      <x:c r="V147" s="30"/>
      <x:c r="W147" s="30"/>
      <x:c r="X147" s="30"/>
    </x:row>
    <x:row r="148" ht="22" customHeight="1">
      <x:c r="A148" s="30"/>
      <x:c r="B148" s="30"/>
      <x:c r="C148" s="30"/>
      <x:c r="D148" s="30"/>
      <x:c r="E148" s="30"/>
      <x:c r="F148" s="30"/>
      <x:c r="G148" s="30"/>
      <x:c r="H148" s="30"/>
      <x:c r="I148" s="30"/>
      <x:c r="J148" s="30"/>
      <x:c r="K148" s="30"/>
      <x:c r="L148" s="30"/>
      <x:c r="M148" s="30"/>
      <x:c r="N148" s="30"/>
      <x:c r="O148" s="30"/>
      <x:c r="P148" s="30"/>
      <x:c r="Q148" s="30"/>
      <x:c r="R148" s="30"/>
      <x:c r="S148" s="30"/>
      <x:c r="T148" s="30"/>
      <x:c r="U148" s="30"/>
      <x:c r="V148" s="30"/>
      <x:c r="W148" s="30"/>
      <x:c r="X148" s="30"/>
    </x:row>
    <x:row r="149" ht="22" customHeight="1">
      <x:c r="A149" s="30"/>
      <x:c r="B149" s="30"/>
      <x:c r="C149" s="30"/>
      <x:c r="D149" s="30"/>
      <x:c r="E149" s="30"/>
      <x:c r="F149" s="30"/>
      <x:c r="G149" s="30"/>
      <x:c r="H149" s="30"/>
      <x:c r="I149" s="30"/>
      <x:c r="J149" s="30"/>
      <x:c r="K149" s="30"/>
      <x:c r="L149" s="30"/>
      <x:c r="M149" s="30"/>
      <x:c r="N149" s="30"/>
      <x:c r="O149" s="30"/>
      <x:c r="P149" s="30"/>
      <x:c r="Q149" s="30"/>
      <x:c r="R149" s="30"/>
      <x:c r="S149" s="30"/>
      <x:c r="T149" s="30"/>
      <x:c r="U149" s="30"/>
      <x:c r="V149" s="30"/>
      <x:c r="W149" s="30"/>
      <x:c r="X149" s="30"/>
    </x:row>
    <x:row r="150" ht="22" customHeight="1">
      <x:c r="A150" s="30"/>
      <x:c r="B150" s="30"/>
      <x:c r="C150" s="30"/>
      <x:c r="D150" s="30"/>
      <x:c r="E150" s="30"/>
      <x:c r="F150" s="30"/>
      <x:c r="G150" s="30"/>
      <x:c r="H150" s="30"/>
      <x:c r="I150" s="30"/>
      <x:c r="J150" s="30"/>
      <x:c r="K150" s="30"/>
      <x:c r="L150" s="30"/>
      <x:c r="M150" s="30"/>
      <x:c r="N150" s="30"/>
      <x:c r="O150" s="30"/>
      <x:c r="P150" s="30"/>
      <x:c r="Q150" s="30"/>
      <x:c r="R150" s="30"/>
      <x:c r="S150" s="30"/>
      <x:c r="T150" s="30"/>
      <x:c r="U150" s="30"/>
      <x:c r="V150" s="30"/>
      <x:c r="W150" s="30"/>
      <x:c r="X150" s="30"/>
    </x:row>
    <x:row r="151" ht="22" customHeight="1">
      <x:c r="A151" s="30"/>
      <x:c r="B151" s="30"/>
      <x:c r="C151" s="30"/>
      <x:c r="D151" s="30"/>
      <x:c r="E151" s="30"/>
      <x:c r="F151" s="30"/>
      <x:c r="G151" s="30"/>
      <x:c r="H151" s="30"/>
      <x:c r="I151" s="30"/>
      <x:c r="J151" s="30"/>
      <x:c r="K151" s="30"/>
      <x:c r="L151" s="30"/>
      <x:c r="M151" s="30"/>
      <x:c r="N151" s="30"/>
      <x:c r="O151" s="30"/>
      <x:c r="P151" s="30"/>
      <x:c r="Q151" s="30"/>
      <x:c r="R151" s="30"/>
      <x:c r="S151" s="30"/>
      <x:c r="T151" s="30"/>
      <x:c r="U151" s="30"/>
      <x:c r="V151" s="30"/>
      <x:c r="W151" s="30"/>
      <x:c r="X151" s="30"/>
    </x:row>
    <x:row r="152" ht="22" customHeight="1">
      <x:c r="A152" s="30"/>
      <x:c r="B152" s="30"/>
      <x:c r="C152" s="30"/>
      <x:c r="D152" s="30"/>
      <x:c r="E152" s="30"/>
      <x:c r="F152" s="30"/>
      <x:c r="G152" s="30"/>
      <x:c r="H152" s="30"/>
      <x:c r="I152" s="30"/>
      <x:c r="J152" s="30"/>
      <x:c r="K152" s="30"/>
      <x:c r="L152" s="30"/>
      <x:c r="M152" s="30"/>
      <x:c r="N152" s="30"/>
      <x:c r="O152" s="30"/>
      <x:c r="P152" s="30"/>
      <x:c r="Q152" s="30"/>
      <x:c r="R152" s="30"/>
      <x:c r="S152" s="30"/>
      <x:c r="T152" s="30"/>
      <x:c r="U152" s="30"/>
      <x:c r="V152" s="30"/>
      <x:c r="W152" s="30"/>
      <x:c r="X152" s="30"/>
    </x:row>
    <x:row r="153" ht="22" customHeight="1">
      <x:c r="A153" s="30"/>
      <x:c r="B153" s="30"/>
      <x:c r="C153" s="30"/>
      <x:c r="D153" s="30"/>
      <x:c r="E153" s="30"/>
      <x:c r="F153" s="30"/>
      <x:c r="G153" s="30"/>
      <x:c r="H153" s="30"/>
      <x:c r="I153" s="30"/>
      <x:c r="J153" s="30"/>
      <x:c r="K153" s="30"/>
      <x:c r="L153" s="30"/>
      <x:c r="M153" s="30"/>
      <x:c r="N153" s="30"/>
      <x:c r="O153" s="30"/>
      <x:c r="P153" s="30"/>
      <x:c r="Q153" s="30"/>
      <x:c r="R153" s="30"/>
      <x:c r="S153" s="30"/>
      <x:c r="T153" s="30"/>
      <x:c r="U153" s="30"/>
      <x:c r="V153" s="30"/>
      <x:c r="W153" s="30"/>
      <x:c r="X153" s="30"/>
    </x:row>
    <x:row r="154" ht="22" customHeight="1">
      <x:c r="A154" s="30"/>
      <x:c r="B154" s="30"/>
      <x:c r="C154" s="30"/>
      <x:c r="D154" s="30"/>
      <x:c r="E154" s="30"/>
      <x:c r="F154" s="30"/>
      <x:c r="G154" s="30"/>
      <x:c r="H154" s="30"/>
      <x:c r="I154" s="30"/>
      <x:c r="J154" s="30"/>
      <x:c r="K154" s="30"/>
      <x:c r="L154" s="30"/>
      <x:c r="M154" s="30"/>
      <x:c r="N154" s="30"/>
      <x:c r="O154" s="30"/>
      <x:c r="P154" s="30"/>
      <x:c r="Q154" s="30"/>
      <x:c r="R154" s="30"/>
      <x:c r="S154" s="30"/>
      <x:c r="T154" s="30"/>
      <x:c r="U154" s="30"/>
      <x:c r="V154" s="30"/>
      <x:c r="W154" s="30"/>
      <x:c r="X154" s="30"/>
    </x:row>
    <x:row r="155" ht="22" customHeight="1">
      <x:c r="A155" s="30"/>
      <x:c r="B155" s="30"/>
      <x:c r="C155" s="30"/>
      <x:c r="D155" s="30"/>
      <x:c r="E155" s="30"/>
      <x:c r="F155" s="30"/>
      <x:c r="G155" s="30"/>
      <x:c r="H155" s="30"/>
      <x:c r="I155" s="30"/>
      <x:c r="J155" s="30"/>
      <x:c r="K155" s="30"/>
      <x:c r="L155" s="30"/>
      <x:c r="M155" s="30"/>
      <x:c r="N155" s="30"/>
      <x:c r="O155" s="30"/>
      <x:c r="P155" s="30"/>
      <x:c r="Q155" s="30"/>
      <x:c r="R155" s="30"/>
      <x:c r="S155" s="30"/>
      <x:c r="T155" s="30"/>
      <x:c r="U155" s="30"/>
      <x:c r="V155" s="30"/>
      <x:c r="W155" s="30"/>
      <x:c r="X155" s="30"/>
    </x:row>
    <x:row r="156" ht="22" customHeight="1">
      <x:c r="A156" s="30"/>
      <x:c r="B156" s="30"/>
      <x:c r="C156" s="30"/>
      <x:c r="D156" s="30"/>
      <x:c r="E156" s="30"/>
      <x:c r="F156" s="30"/>
      <x:c r="G156" s="30"/>
      <x:c r="H156" s="30"/>
      <x:c r="I156" s="30"/>
      <x:c r="J156" s="30"/>
      <x:c r="K156" s="30"/>
      <x:c r="L156" s="30"/>
      <x:c r="M156" s="30"/>
      <x:c r="N156" s="30"/>
      <x:c r="O156" s="30"/>
      <x:c r="P156" s="30"/>
      <x:c r="Q156" s="30"/>
      <x:c r="R156" s="30"/>
      <x:c r="S156" s="30"/>
      <x:c r="T156" s="30"/>
      <x:c r="U156" s="30"/>
      <x:c r="V156" s="30"/>
      <x:c r="W156" s="30"/>
      <x:c r="X156" s="30"/>
    </x:row>
    <x:row r="157" ht="22" customHeight="1">
      <x:c r="A157" s="30"/>
      <x:c r="B157" s="30"/>
      <x:c r="C157" s="30"/>
      <x:c r="D157" s="30"/>
      <x:c r="E157" s="30"/>
      <x:c r="F157" s="30"/>
      <x:c r="G157" s="30"/>
      <x:c r="H157" s="30"/>
      <x:c r="I157" s="30"/>
      <x:c r="J157" s="30"/>
      <x:c r="K157" s="30"/>
      <x:c r="L157" s="30"/>
      <x:c r="M157" s="30"/>
      <x:c r="N157" s="30"/>
      <x:c r="O157" s="30"/>
      <x:c r="P157" s="30"/>
      <x:c r="Q157" s="30"/>
      <x:c r="R157" s="30"/>
      <x:c r="S157" s="30"/>
      <x:c r="T157" s="30"/>
      <x:c r="U157" s="30"/>
      <x:c r="V157" s="30"/>
      <x:c r="W157" s="30"/>
      <x:c r="X157" s="30"/>
    </x:row>
    <x:row r="158" ht="22" customHeight="1">
      <x:c r="A158" s="30"/>
      <x:c r="B158" s="30"/>
      <x:c r="C158" s="30"/>
      <x:c r="D158" s="30"/>
      <x:c r="E158" s="30"/>
      <x:c r="F158" s="30"/>
      <x:c r="G158" s="30"/>
      <x:c r="H158" s="30"/>
      <x:c r="I158" s="30"/>
      <x:c r="J158" s="30"/>
      <x:c r="K158" s="30"/>
      <x:c r="L158" s="30"/>
      <x:c r="M158" s="30"/>
      <x:c r="N158" s="30"/>
      <x:c r="O158" s="30"/>
      <x:c r="P158" s="30"/>
      <x:c r="Q158" s="30"/>
      <x:c r="R158" s="30"/>
      <x:c r="S158" s="30"/>
      <x:c r="T158" s="30"/>
      <x:c r="U158" s="30"/>
      <x:c r="V158" s="30"/>
      <x:c r="W158" s="30"/>
      <x:c r="X158" s="30"/>
    </x:row>
    <x:row r="159" ht="22" customHeight="1">
      <x:c r="A159" s="30"/>
      <x:c r="B159" s="30"/>
      <x:c r="C159" s="30"/>
      <x:c r="D159" s="30"/>
      <x:c r="E159" s="30"/>
      <x:c r="F159" s="30"/>
      <x:c r="G159" s="30"/>
      <x:c r="H159" s="30"/>
      <x:c r="I159" s="30"/>
      <x:c r="J159" s="30"/>
      <x:c r="K159" s="30"/>
      <x:c r="L159" s="30"/>
      <x:c r="M159" s="30"/>
      <x:c r="N159" s="30"/>
      <x:c r="O159" s="30"/>
      <x:c r="P159" s="30"/>
      <x:c r="Q159" s="30"/>
      <x:c r="R159" s="30"/>
      <x:c r="S159" s="30"/>
      <x:c r="T159" s="30"/>
      <x:c r="U159" s="30"/>
      <x:c r="V159" s="30"/>
      <x:c r="W159" s="30"/>
      <x:c r="X159" s="30"/>
    </x:row>
    <x:row r="160" ht="22" customHeight="1">
      <x:c r="A160" s="30"/>
      <x:c r="B160" s="30"/>
      <x:c r="C160" s="30"/>
      <x:c r="D160" s="30"/>
      <x:c r="E160" s="30"/>
      <x:c r="F160" s="30"/>
      <x:c r="G160" s="30"/>
      <x:c r="H160" s="30"/>
      <x:c r="I160" s="30"/>
      <x:c r="J160" s="30"/>
      <x:c r="K160" s="30"/>
      <x:c r="L160" s="30"/>
      <x:c r="M160" s="30"/>
      <x:c r="N160" s="30"/>
      <x:c r="O160" s="30"/>
      <x:c r="P160" s="30"/>
      <x:c r="Q160" s="30"/>
      <x:c r="R160" s="30"/>
      <x:c r="S160" s="30"/>
      <x:c r="T160" s="30"/>
      <x:c r="U160" s="30"/>
      <x:c r="V160" s="30"/>
      <x:c r="W160" s="30"/>
      <x:c r="X160" s="30"/>
    </x:row>
    <x:row r="161" ht="22" customHeight="1">
      <x:c r="A161" s="30"/>
      <x:c r="B161" s="30"/>
      <x:c r="C161" s="30"/>
      <x:c r="D161" s="30"/>
      <x:c r="E161" s="30"/>
      <x:c r="F161" s="30"/>
      <x:c r="G161" s="30"/>
      <x:c r="H161" s="30"/>
      <x:c r="I161" s="30"/>
      <x:c r="J161" s="30"/>
      <x:c r="K161" s="30"/>
      <x:c r="L161" s="30"/>
      <x:c r="M161" s="30"/>
      <x:c r="N161" s="30"/>
      <x:c r="O161" s="30"/>
      <x:c r="P161" s="30"/>
      <x:c r="Q161" s="30"/>
      <x:c r="R161" s="30"/>
      <x:c r="S161" s="30"/>
      <x:c r="T161" s="30"/>
      <x:c r="U161" s="30"/>
      <x:c r="V161" s="30"/>
      <x:c r="W161" s="30"/>
      <x:c r="X161" s="30"/>
    </x:row>
    <x:row r="162" ht="22" customHeight="1">
      <x:c r="A162" s="30"/>
      <x:c r="B162" s="30"/>
      <x:c r="C162" s="30"/>
      <x:c r="D162" s="30"/>
      <x:c r="E162" s="30"/>
      <x:c r="F162" s="30"/>
      <x:c r="G162" s="30"/>
      <x:c r="H162" s="30"/>
      <x:c r="I162" s="30"/>
      <x:c r="J162" s="30"/>
      <x:c r="K162" s="30"/>
      <x:c r="L162" s="30"/>
      <x:c r="M162" s="30"/>
      <x:c r="N162" s="30"/>
      <x:c r="O162" s="30"/>
      <x:c r="P162" s="30"/>
      <x:c r="Q162" s="30"/>
      <x:c r="R162" s="30"/>
      <x:c r="S162" s="30"/>
      <x:c r="T162" s="30"/>
      <x:c r="U162" s="30"/>
      <x:c r="V162" s="30"/>
      <x:c r="W162" s="30"/>
      <x:c r="X162" s="30"/>
    </x:row>
    <x:row r="163" ht="22" customHeight="1">
      <x:c r="A163" s="30"/>
      <x:c r="B163" s="30"/>
      <x:c r="C163" s="30"/>
      <x:c r="D163" s="30"/>
      <x:c r="E163" s="30"/>
      <x:c r="F163" s="30"/>
      <x:c r="G163" s="30"/>
      <x:c r="H163" s="30"/>
      <x:c r="I163" s="30"/>
      <x:c r="J163" s="30"/>
      <x:c r="K163" s="30"/>
      <x:c r="L163" s="30"/>
      <x:c r="M163" s="30"/>
      <x:c r="N163" s="30"/>
      <x:c r="O163" s="30"/>
      <x:c r="P163" s="30"/>
      <x:c r="Q163" s="30"/>
      <x:c r="R163" s="30"/>
      <x:c r="S163" s="30"/>
      <x:c r="T163" s="30"/>
      <x:c r="U163" s="30"/>
      <x:c r="V163" s="30"/>
      <x:c r="W163" s="30"/>
      <x:c r="X163" s="30"/>
    </x:row>
    <x:row r="164" ht="22" customHeight="1">
      <x:c r="A164" s="30"/>
      <x:c r="B164" s="30"/>
      <x:c r="C164" s="30"/>
      <x:c r="D164" s="30"/>
      <x:c r="E164" s="30"/>
      <x:c r="F164" s="30"/>
      <x:c r="G164" s="30"/>
      <x:c r="H164" s="30"/>
      <x:c r="I164" s="30"/>
      <x:c r="J164" s="30"/>
      <x:c r="K164" s="30"/>
      <x:c r="L164" s="30"/>
      <x:c r="M164" s="30"/>
      <x:c r="N164" s="30"/>
      <x:c r="O164" s="30"/>
      <x:c r="P164" s="30"/>
      <x:c r="Q164" s="30"/>
      <x:c r="R164" s="30"/>
      <x:c r="S164" s="30"/>
      <x:c r="T164" s="30"/>
      <x:c r="U164" s="30"/>
      <x:c r="V164" s="30"/>
      <x:c r="W164" s="30"/>
      <x:c r="X164" s="30"/>
    </x:row>
    <x:row r="165" ht="22" customHeight="1">
      <x:c r="A165" s="30"/>
      <x:c r="B165" s="30"/>
      <x:c r="C165" s="30"/>
      <x:c r="D165" s="30"/>
      <x:c r="E165" s="30"/>
      <x:c r="F165" s="30"/>
      <x:c r="G165" s="30"/>
      <x:c r="H165" s="30"/>
      <x:c r="I165" s="30"/>
      <x:c r="J165" s="30"/>
      <x:c r="K165" s="30"/>
      <x:c r="L165" s="30"/>
      <x:c r="M165" s="30"/>
      <x:c r="N165" s="30"/>
      <x:c r="O165" s="30"/>
      <x:c r="P165" s="30"/>
      <x:c r="Q165" s="30"/>
      <x:c r="R165" s="30"/>
      <x:c r="S165" s="30"/>
      <x:c r="T165" s="30"/>
      <x:c r="U165" s="30"/>
      <x:c r="V165" s="30"/>
      <x:c r="W165" s="30"/>
      <x:c r="X165" s="30"/>
    </x:row>
    <x:row r="166" ht="22" customHeight="1">
      <x:c r="A166" s="30"/>
      <x:c r="B166" s="30"/>
      <x:c r="C166" s="30"/>
      <x:c r="D166" s="30"/>
      <x:c r="E166" s="30"/>
      <x:c r="F166" s="30"/>
      <x:c r="G166" s="30"/>
      <x:c r="H166" s="30"/>
      <x:c r="I166" s="30"/>
      <x:c r="J166" s="30"/>
      <x:c r="K166" s="30"/>
      <x:c r="L166" s="30"/>
      <x:c r="M166" s="30"/>
      <x:c r="N166" s="30"/>
      <x:c r="O166" s="30"/>
      <x:c r="P166" s="30"/>
      <x:c r="Q166" s="30"/>
      <x:c r="R166" s="30"/>
      <x:c r="S166" s="30"/>
      <x:c r="T166" s="30"/>
      <x:c r="U166" s="30"/>
      <x:c r="V166" s="30"/>
      <x:c r="W166" s="30"/>
      <x:c r="X166" s="30"/>
    </x:row>
    <x:row r="167" ht="22" customHeight="1">
      <x:c r="A167" s="30"/>
      <x:c r="B167" s="30"/>
      <x:c r="C167" s="30"/>
      <x:c r="D167" s="30"/>
      <x:c r="E167" s="30"/>
      <x:c r="F167" s="30"/>
      <x:c r="G167" s="30"/>
      <x:c r="H167" s="30"/>
      <x:c r="I167" s="30"/>
      <x:c r="J167" s="30"/>
      <x:c r="K167" s="30"/>
      <x:c r="L167" s="30"/>
      <x:c r="M167" s="30"/>
      <x:c r="N167" s="30"/>
      <x:c r="O167" s="30"/>
      <x:c r="P167" s="30"/>
      <x:c r="Q167" s="30"/>
      <x:c r="R167" s="30"/>
      <x:c r="S167" s="30"/>
      <x:c r="T167" s="30"/>
      <x:c r="U167" s="30"/>
      <x:c r="V167" s="30"/>
      <x:c r="W167" s="30"/>
      <x:c r="X167" s="30"/>
    </x:row>
    <x:row r="168" ht="22" customHeight="1">
      <x:c r="A168" s="30"/>
      <x:c r="B168" s="30"/>
      <x:c r="C168" s="30"/>
      <x:c r="D168" s="30"/>
      <x:c r="E168" s="30"/>
      <x:c r="F168" s="30"/>
      <x:c r="G168" s="30"/>
      <x:c r="H168" s="30"/>
      <x:c r="I168" s="30"/>
      <x:c r="J168" s="30"/>
      <x:c r="K168" s="30"/>
      <x:c r="L168" s="30"/>
      <x:c r="M168" s="30"/>
      <x:c r="N168" s="30"/>
      <x:c r="O168" s="30"/>
      <x:c r="P168" s="30"/>
      <x:c r="Q168" s="30"/>
      <x:c r="R168" s="30"/>
      <x:c r="S168" s="30"/>
      <x:c r="T168" s="30"/>
      <x:c r="U168" s="30"/>
      <x:c r="V168" s="30"/>
      <x:c r="W168" s="30"/>
      <x:c r="X168" s="30"/>
    </x:row>
    <x:row r="169" ht="22" customHeight="1">
      <x:c r="A169" s="30"/>
      <x:c r="B169" s="30"/>
      <x:c r="C169" s="30"/>
      <x:c r="D169" s="30"/>
      <x:c r="E169" s="30"/>
      <x:c r="F169" s="30"/>
      <x:c r="G169" s="30"/>
      <x:c r="H169" s="30"/>
      <x:c r="I169" s="30"/>
      <x:c r="J169" s="30"/>
      <x:c r="K169" s="30"/>
      <x:c r="L169" s="30"/>
      <x:c r="M169" s="30"/>
      <x:c r="N169" s="30"/>
      <x:c r="O169" s="30"/>
      <x:c r="P169" s="30"/>
      <x:c r="Q169" s="30"/>
      <x:c r="R169" s="30"/>
      <x:c r="S169" s="30"/>
      <x:c r="T169" s="30"/>
      <x:c r="U169" s="30"/>
      <x:c r="V169" s="30"/>
      <x:c r="W169" s="30"/>
      <x:c r="X169" s="30"/>
    </x:row>
    <x:row r="170" ht="22" customHeight="1">
      <x:c r="A170" s="30"/>
      <x:c r="B170" s="30"/>
      <x:c r="C170" s="30"/>
      <x:c r="D170" s="30"/>
      <x:c r="E170" s="30"/>
      <x:c r="F170" s="30"/>
      <x:c r="G170" s="30"/>
      <x:c r="H170" s="30"/>
      <x:c r="I170" s="30"/>
      <x:c r="J170" s="30"/>
      <x:c r="K170" s="30"/>
      <x:c r="L170" s="30"/>
      <x:c r="M170" s="30"/>
      <x:c r="N170" s="30"/>
      <x:c r="O170" s="30"/>
      <x:c r="P170" s="30"/>
      <x:c r="Q170" s="30"/>
      <x:c r="R170" s="30"/>
      <x:c r="S170" s="30"/>
      <x:c r="T170" s="30"/>
      <x:c r="U170" s="30"/>
      <x:c r="V170" s="30"/>
      <x:c r="W170" s="30"/>
      <x:c r="X170" s="30"/>
    </x:row>
    <x:row r="171" ht="22" customHeight="1">
      <x:c r="A171" s="30"/>
      <x:c r="B171" s="30"/>
      <x:c r="C171" s="30"/>
      <x:c r="D171" s="30"/>
      <x:c r="E171" s="30"/>
      <x:c r="F171" s="30"/>
      <x:c r="G171" s="30"/>
      <x:c r="H171" s="30"/>
      <x:c r="I171" s="30"/>
      <x:c r="J171" s="30"/>
      <x:c r="K171" s="30"/>
      <x:c r="L171" s="30"/>
      <x:c r="M171" s="30"/>
      <x:c r="N171" s="30"/>
      <x:c r="O171" s="30"/>
      <x:c r="P171" s="30"/>
      <x:c r="Q171" s="30"/>
      <x:c r="R171" s="30"/>
      <x:c r="S171" s="30"/>
      <x:c r="T171" s="30"/>
      <x:c r="U171" s="30"/>
      <x:c r="V171" s="30"/>
      <x:c r="W171" s="30"/>
      <x:c r="X171" s="30"/>
    </x:row>
    <x:row r="172" ht="22" customHeight="1">
      <x:c r="A172" s="30"/>
      <x:c r="B172" s="30"/>
      <x:c r="C172" s="30"/>
      <x:c r="D172" s="30"/>
      <x:c r="E172" s="30"/>
      <x:c r="F172" s="30"/>
      <x:c r="G172" s="30"/>
      <x:c r="H172" s="30"/>
      <x:c r="I172" s="30"/>
      <x:c r="J172" s="30"/>
      <x:c r="K172" s="30"/>
      <x:c r="L172" s="30"/>
      <x:c r="M172" s="30"/>
      <x:c r="N172" s="30"/>
      <x:c r="O172" s="30"/>
      <x:c r="P172" s="30"/>
      <x:c r="Q172" s="30"/>
      <x:c r="R172" s="30"/>
      <x:c r="S172" s="30"/>
      <x:c r="T172" s="30"/>
      <x:c r="U172" s="30"/>
      <x:c r="V172" s="30"/>
      <x:c r="W172" s="30"/>
      <x:c r="X172" s="30"/>
    </x:row>
    <x:row r="173" ht="22" customHeight="1">
      <x:c r="A173" s="30"/>
      <x:c r="B173" s="30"/>
      <x:c r="C173" s="30"/>
      <x:c r="D173" s="30"/>
      <x:c r="E173" s="30"/>
      <x:c r="F173" s="30"/>
      <x:c r="G173" s="30"/>
      <x:c r="H173" s="30"/>
      <x:c r="I173" s="30"/>
      <x:c r="J173" s="30"/>
      <x:c r="K173" s="30"/>
      <x:c r="L173" s="30"/>
      <x:c r="M173" s="30"/>
      <x:c r="N173" s="30"/>
      <x:c r="O173" s="30"/>
      <x:c r="P173" s="30"/>
      <x:c r="Q173" s="30"/>
      <x:c r="R173" s="30"/>
      <x:c r="S173" s="30"/>
      <x:c r="T173" s="30"/>
      <x:c r="U173" s="30"/>
      <x:c r="V173" s="30"/>
      <x:c r="W173" s="30"/>
      <x:c r="X173" s="30"/>
    </x:row>
    <x:row r="174" ht="22" customHeight="1">
      <x:c r="A174" s="30"/>
      <x:c r="B174" s="30"/>
      <x:c r="C174" s="30"/>
      <x:c r="D174" s="30"/>
      <x:c r="E174" s="30"/>
      <x:c r="F174" s="30"/>
      <x:c r="G174" s="30"/>
      <x:c r="H174" s="30"/>
      <x:c r="I174" s="30"/>
      <x:c r="J174" s="30"/>
      <x:c r="K174" s="30"/>
      <x:c r="L174" s="30"/>
      <x:c r="M174" s="30"/>
      <x:c r="N174" s="30"/>
      <x:c r="O174" s="30"/>
      <x:c r="P174" s="30"/>
      <x:c r="Q174" s="30"/>
      <x:c r="R174" s="30"/>
      <x:c r="S174" s="30"/>
      <x:c r="T174" s="30"/>
      <x:c r="U174" s="30"/>
      <x:c r="V174" s="30"/>
      <x:c r="W174" s="30"/>
      <x:c r="X174" s="30"/>
    </x:row>
    <x:row r="175" ht="22" customHeight="1">
      <x:c r="A175" s="30"/>
      <x:c r="B175" s="30"/>
      <x:c r="C175" s="30"/>
      <x:c r="D175" s="30"/>
      <x:c r="E175" s="30"/>
      <x:c r="F175" s="30"/>
      <x:c r="G175" s="30"/>
      <x:c r="H175" s="30"/>
      <x:c r="I175" s="30"/>
      <x:c r="J175" s="30"/>
      <x:c r="K175" s="30"/>
      <x:c r="L175" s="30"/>
      <x:c r="M175" s="30"/>
      <x:c r="N175" s="30"/>
      <x:c r="O175" s="30"/>
      <x:c r="P175" s="30"/>
      <x:c r="Q175" s="30"/>
      <x:c r="R175" s="30"/>
      <x:c r="S175" s="30"/>
      <x:c r="T175" s="30"/>
      <x:c r="U175" s="30"/>
      <x:c r="V175" s="30"/>
      <x:c r="W175" s="30"/>
      <x:c r="X175" s="30"/>
    </x:row>
    <x:row r="176" ht="22" customHeight="1">
      <x:c r="A176" s="30"/>
      <x:c r="B176" s="30"/>
      <x:c r="C176" s="30"/>
      <x:c r="D176" s="30"/>
      <x:c r="E176" s="30"/>
      <x:c r="F176" s="30"/>
      <x:c r="G176" s="30"/>
      <x:c r="H176" s="30"/>
      <x:c r="I176" s="30"/>
      <x:c r="J176" s="30"/>
      <x:c r="K176" s="30"/>
      <x:c r="L176" s="30"/>
      <x:c r="M176" s="30"/>
      <x:c r="N176" s="30"/>
      <x:c r="O176" s="30"/>
      <x:c r="P176" s="30"/>
      <x:c r="Q176" s="30"/>
      <x:c r="R176" s="30"/>
      <x:c r="S176" s="30"/>
      <x:c r="T176" s="30"/>
      <x:c r="U176" s="30"/>
      <x:c r="V176" s="30"/>
      <x:c r="W176" s="30"/>
      <x:c r="X176" s="30"/>
    </x:row>
    <x:row r="177" ht="22" customHeight="1">
      <x:c r="A177" s="30"/>
      <x:c r="B177" s="30"/>
      <x:c r="C177" s="30"/>
      <x:c r="D177" s="30"/>
      <x:c r="E177" s="30"/>
      <x:c r="F177" s="30"/>
      <x:c r="G177" s="30"/>
      <x:c r="H177" s="30"/>
      <x:c r="I177" s="30"/>
      <x:c r="J177" s="30"/>
      <x:c r="K177" s="30"/>
      <x:c r="L177" s="30"/>
      <x:c r="M177" s="30"/>
      <x:c r="N177" s="30"/>
      <x:c r="O177" s="30"/>
      <x:c r="P177" s="30"/>
      <x:c r="Q177" s="30"/>
      <x:c r="R177" s="30"/>
      <x:c r="S177" s="30"/>
      <x:c r="T177" s="30"/>
      <x:c r="U177" s="30"/>
      <x:c r="V177" s="30"/>
      <x:c r="W177" s="30"/>
      <x:c r="X177" s="30"/>
    </x:row>
    <x:row r="178" ht="22" customHeight="1">
      <x:c r="A178" s="30"/>
      <x:c r="B178" s="30"/>
      <x:c r="C178" s="30"/>
      <x:c r="D178" s="30"/>
      <x:c r="E178" s="30"/>
      <x:c r="F178" s="30"/>
      <x:c r="G178" s="30"/>
      <x:c r="H178" s="30"/>
      <x:c r="I178" s="30"/>
      <x:c r="J178" s="30"/>
      <x:c r="K178" s="30"/>
      <x:c r="L178" s="30"/>
      <x:c r="M178" s="30"/>
      <x:c r="N178" s="30"/>
      <x:c r="O178" s="30"/>
      <x:c r="P178" s="30"/>
      <x:c r="Q178" s="30"/>
      <x:c r="R178" s="30"/>
      <x:c r="S178" s="30"/>
      <x:c r="T178" s="30"/>
      <x:c r="U178" s="30"/>
      <x:c r="V178" s="30"/>
      <x:c r="W178" s="30"/>
      <x:c r="X178" s="30"/>
    </x:row>
    <x:row r="179" ht="22" customHeight="1">
      <x:c r="A179" s="30"/>
      <x:c r="B179" s="30"/>
      <x:c r="C179" s="30"/>
      <x:c r="D179" s="30"/>
      <x:c r="E179" s="30"/>
      <x:c r="F179" s="30"/>
      <x:c r="G179" s="30"/>
      <x:c r="H179" s="30"/>
      <x:c r="I179" s="30"/>
      <x:c r="J179" s="30"/>
      <x:c r="K179" s="30"/>
      <x:c r="L179" s="30"/>
      <x:c r="M179" s="30"/>
      <x:c r="N179" s="30"/>
      <x:c r="O179" s="30"/>
      <x:c r="P179" s="30"/>
      <x:c r="Q179" s="30"/>
      <x:c r="R179" s="30"/>
      <x:c r="S179" s="30"/>
      <x:c r="T179" s="30"/>
      <x:c r="U179" s="30"/>
      <x:c r="V179" s="30"/>
      <x:c r="W179" s="30"/>
      <x:c r="X179" s="30"/>
    </x:row>
    <x:row r="180" ht="22" customHeight="1">
      <x:c r="A180" s="30"/>
      <x:c r="B180" s="30"/>
      <x:c r="C180" s="30"/>
      <x:c r="D180" s="30"/>
      <x:c r="E180" s="30"/>
      <x:c r="F180" s="30"/>
      <x:c r="G180" s="30"/>
      <x:c r="H180" s="30"/>
      <x:c r="I180" s="30"/>
      <x:c r="J180" s="30"/>
      <x:c r="K180" s="30"/>
      <x:c r="L180" s="30"/>
      <x:c r="M180" s="30"/>
      <x:c r="N180" s="30"/>
      <x:c r="O180" s="30"/>
      <x:c r="P180" s="30"/>
      <x:c r="Q180" s="30"/>
      <x:c r="R180" s="30"/>
      <x:c r="S180" s="30"/>
      <x:c r="T180" s="30"/>
      <x:c r="U180" s="30"/>
      <x:c r="V180" s="30"/>
      <x:c r="W180" s="30"/>
      <x:c r="X180" s="30"/>
    </x:row>
    <x:row r="181" ht="22" customHeight="1">
      <x:c r="A181" s="30"/>
      <x:c r="B181" s="30"/>
      <x:c r="C181" s="30"/>
      <x:c r="D181" s="30"/>
      <x:c r="E181" s="30"/>
      <x:c r="F181" s="30"/>
      <x:c r="G181" s="30"/>
      <x:c r="H181" s="30"/>
      <x:c r="I181" s="30"/>
      <x:c r="J181" s="30"/>
      <x:c r="K181" s="30"/>
      <x:c r="L181" s="30"/>
      <x:c r="M181" s="30"/>
      <x:c r="N181" s="30"/>
      <x:c r="O181" s="30"/>
      <x:c r="P181" s="30"/>
      <x:c r="Q181" s="30"/>
      <x:c r="R181" s="30"/>
      <x:c r="S181" s="30"/>
      <x:c r="T181" s="30"/>
      <x:c r="U181" s="30"/>
      <x:c r="V181" s="30"/>
      <x:c r="W181" s="30"/>
      <x:c r="X181" s="30"/>
    </x:row>
    <x:row r="182" ht="22" customHeight="1">
      <x:c r="A182" s="30"/>
      <x:c r="B182" s="30"/>
      <x:c r="C182" s="30"/>
      <x:c r="D182" s="30"/>
      <x:c r="E182" s="30"/>
      <x:c r="F182" s="30"/>
      <x:c r="G182" s="30"/>
      <x:c r="H182" s="30"/>
      <x:c r="I182" s="30"/>
      <x:c r="J182" s="30"/>
      <x:c r="K182" s="30"/>
      <x:c r="L182" s="30"/>
      <x:c r="M182" s="30"/>
      <x:c r="N182" s="30"/>
      <x:c r="O182" s="30"/>
      <x:c r="P182" s="30"/>
      <x:c r="Q182" s="30"/>
      <x:c r="R182" s="30"/>
      <x:c r="S182" s="30"/>
      <x:c r="T182" s="30"/>
      <x:c r="U182" s="30"/>
      <x:c r="V182" s="30"/>
      <x:c r="W182" s="30"/>
      <x:c r="X182" s="30"/>
    </x:row>
    <x:row r="183" ht="22" customHeight="1">
      <x:c r="A183" s="30"/>
      <x:c r="B183" s="30"/>
      <x:c r="C183" s="30"/>
      <x:c r="D183" s="30"/>
      <x:c r="E183" s="30"/>
      <x:c r="F183" s="30"/>
      <x:c r="G183" s="30"/>
      <x:c r="H183" s="30"/>
      <x:c r="I183" s="30"/>
      <x:c r="J183" s="30"/>
      <x:c r="K183" s="30"/>
      <x:c r="L183" s="30"/>
      <x:c r="M183" s="30"/>
      <x:c r="N183" s="30"/>
      <x:c r="O183" s="30"/>
      <x:c r="P183" s="30"/>
      <x:c r="Q183" s="30"/>
      <x:c r="R183" s="30"/>
      <x:c r="S183" s="30"/>
      <x:c r="T183" s="30"/>
      <x:c r="U183" s="30"/>
      <x:c r="V183" s="30"/>
      <x:c r="W183" s="30"/>
      <x:c r="X183" s="30"/>
    </x:row>
    <x:row r="184" ht="22" customHeight="1">
      <x:c r="A184" s="30"/>
      <x:c r="B184" s="30"/>
      <x:c r="C184" s="30"/>
      <x:c r="D184" s="30"/>
      <x:c r="E184" s="30"/>
      <x:c r="F184" s="30"/>
      <x:c r="G184" s="30"/>
      <x:c r="H184" s="30"/>
      <x:c r="I184" s="30"/>
      <x:c r="J184" s="30"/>
      <x:c r="K184" s="30"/>
      <x:c r="L184" s="30"/>
      <x:c r="M184" s="30"/>
      <x:c r="N184" s="30"/>
      <x:c r="O184" s="30"/>
      <x:c r="P184" s="30"/>
      <x:c r="Q184" s="30"/>
      <x:c r="R184" s="30"/>
      <x:c r="S184" s="30"/>
      <x:c r="T184" s="30"/>
      <x:c r="U184" s="30"/>
      <x:c r="V184" s="30"/>
      <x:c r="W184" s="30"/>
      <x:c r="X184" s="30"/>
    </x:row>
    <x:row r="185" ht="22" customHeight="1">
      <x:c r="A185" s="30"/>
      <x:c r="B185" s="30"/>
      <x:c r="C185" s="30"/>
      <x:c r="D185" s="30"/>
      <x:c r="E185" s="30"/>
      <x:c r="F185" s="30"/>
      <x:c r="G185" s="30"/>
      <x:c r="H185" s="30"/>
      <x:c r="I185" s="30"/>
      <x:c r="J185" s="30"/>
      <x:c r="K185" s="30"/>
      <x:c r="L185" s="30"/>
      <x:c r="M185" s="30"/>
      <x:c r="N185" s="30"/>
      <x:c r="O185" s="30"/>
      <x:c r="P185" s="30"/>
      <x:c r="Q185" s="30"/>
      <x:c r="R185" s="30"/>
      <x:c r="S185" s="30"/>
      <x:c r="T185" s="30"/>
      <x:c r="U185" s="30"/>
      <x:c r="V185" s="30"/>
      <x:c r="W185" s="30"/>
      <x:c r="X185" s="30"/>
    </x:row>
    <x:row r="186" ht="22" customHeight="1">
      <x:c r="A186" s="30"/>
      <x:c r="B186" s="30"/>
      <x:c r="C186" s="30"/>
      <x:c r="D186" s="30"/>
      <x:c r="E186" s="30"/>
      <x:c r="F186" s="30"/>
      <x:c r="G186" s="30"/>
      <x:c r="H186" s="30"/>
      <x:c r="I186" s="30"/>
      <x:c r="J186" s="30"/>
      <x:c r="K186" s="30"/>
      <x:c r="L186" s="30"/>
      <x:c r="M186" s="30"/>
      <x:c r="N186" s="30"/>
      <x:c r="O186" s="30"/>
      <x:c r="P186" s="30"/>
      <x:c r="Q186" s="30"/>
      <x:c r="R186" s="30"/>
      <x:c r="S186" s="30"/>
      <x:c r="T186" s="30"/>
      <x:c r="U186" s="30"/>
      <x:c r="V186" s="30"/>
      <x:c r="W186" s="30"/>
      <x:c r="X186" s="30"/>
    </x:row>
    <x:row r="187" ht="22" customHeight="1">
      <x:c r="A187" s="30"/>
      <x:c r="B187" s="30"/>
      <x:c r="C187" s="30"/>
      <x:c r="D187" s="30"/>
      <x:c r="E187" s="30"/>
      <x:c r="F187" s="30"/>
      <x:c r="G187" s="30"/>
      <x:c r="H187" s="30"/>
      <x:c r="I187" s="30"/>
      <x:c r="J187" s="30"/>
      <x:c r="K187" s="30"/>
      <x:c r="L187" s="30"/>
      <x:c r="M187" s="30"/>
      <x:c r="N187" s="30"/>
      <x:c r="O187" s="30"/>
      <x:c r="P187" s="30"/>
      <x:c r="Q187" s="30"/>
      <x:c r="R187" s="30"/>
      <x:c r="S187" s="30"/>
      <x:c r="T187" s="30"/>
      <x:c r="U187" s="30"/>
      <x:c r="V187" s="30"/>
      <x:c r="W187" s="30"/>
      <x:c r="X187" s="30"/>
    </x:row>
    <x:row r="188" ht="22" customHeight="1">
      <x:c r="A188" s="30"/>
      <x:c r="B188" s="30"/>
      <x:c r="C188" s="30"/>
      <x:c r="D188" s="30"/>
      <x:c r="E188" s="30"/>
      <x:c r="F188" s="30"/>
      <x:c r="G188" s="30"/>
      <x:c r="H188" s="30"/>
      <x:c r="I188" s="30"/>
      <x:c r="J188" s="30"/>
      <x:c r="K188" s="30"/>
      <x:c r="L188" s="30"/>
      <x:c r="M188" s="30"/>
      <x:c r="N188" s="30"/>
      <x:c r="O188" s="30"/>
      <x:c r="P188" s="30"/>
      <x:c r="Q188" s="30"/>
      <x:c r="R188" s="30"/>
      <x:c r="S188" s="30"/>
      <x:c r="T188" s="30"/>
      <x:c r="U188" s="30"/>
      <x:c r="V188" s="30"/>
      <x:c r="W188" s="30"/>
      <x:c r="X188" s="30"/>
    </x:row>
    <x:row r="189" ht="22" customHeight="1">
      <x:c r="A189" s="30"/>
      <x:c r="B189" s="30"/>
      <x:c r="C189" s="30"/>
      <x:c r="D189" s="30"/>
      <x:c r="E189" s="30"/>
      <x:c r="F189" s="30"/>
      <x:c r="G189" s="30"/>
      <x:c r="H189" s="30"/>
      <x:c r="I189" s="30"/>
      <x:c r="J189" s="30"/>
      <x:c r="K189" s="30"/>
      <x:c r="L189" s="30"/>
      <x:c r="M189" s="30"/>
      <x:c r="N189" s="30"/>
      <x:c r="O189" s="30"/>
      <x:c r="P189" s="30"/>
      <x:c r="Q189" s="30"/>
      <x:c r="R189" s="30"/>
      <x:c r="S189" s="30"/>
      <x:c r="T189" s="30"/>
      <x:c r="U189" s="30"/>
      <x:c r="V189" s="30"/>
      <x:c r="W189" s="30"/>
      <x:c r="X189" s="30"/>
    </x:row>
    <x:row r="190" ht="22" customHeight="1">
      <x:c r="A190" s="30"/>
      <x:c r="B190" s="30"/>
      <x:c r="C190" s="30"/>
      <x:c r="D190" s="30"/>
      <x:c r="E190" s="30"/>
      <x:c r="F190" s="30"/>
      <x:c r="G190" s="30"/>
      <x:c r="H190" s="30"/>
      <x:c r="I190" s="30"/>
      <x:c r="J190" s="30"/>
      <x:c r="K190" s="30"/>
      <x:c r="L190" s="30"/>
      <x:c r="M190" s="30"/>
      <x:c r="N190" s="30"/>
      <x:c r="O190" s="30"/>
      <x:c r="P190" s="30"/>
      <x:c r="Q190" s="30"/>
      <x:c r="R190" s="30"/>
      <x:c r="S190" s="30"/>
      <x:c r="T190" s="30"/>
      <x:c r="U190" s="30"/>
      <x:c r="V190" s="30"/>
      <x:c r="W190" s="30"/>
      <x:c r="X190" s="30"/>
    </x:row>
    <x:row r="191" ht="22" customHeight="1">
      <x:c r="A191" s="30"/>
      <x:c r="B191" s="30"/>
      <x:c r="C191" s="30"/>
      <x:c r="D191" s="30"/>
      <x:c r="E191" s="30"/>
      <x:c r="F191" s="30"/>
      <x:c r="G191" s="30"/>
      <x:c r="H191" s="30"/>
      <x:c r="I191" s="30"/>
      <x:c r="J191" s="30"/>
      <x:c r="K191" s="30"/>
      <x:c r="L191" s="30"/>
      <x:c r="M191" s="30"/>
      <x:c r="N191" s="30"/>
      <x:c r="O191" s="30"/>
      <x:c r="P191" s="30"/>
      <x:c r="Q191" s="30"/>
      <x:c r="R191" s="30"/>
      <x:c r="S191" s="30"/>
      <x:c r="T191" s="30"/>
      <x:c r="U191" s="30"/>
      <x:c r="V191" s="30"/>
      <x:c r="W191" s="30"/>
      <x:c r="X191" s="30"/>
    </x:row>
    <x:row r="192" ht="22" customHeight="1">
      <x:c r="A192" s="30"/>
      <x:c r="B192" s="30"/>
      <x:c r="C192" s="30"/>
      <x:c r="D192" s="30"/>
      <x:c r="E192" s="30"/>
      <x:c r="F192" s="30"/>
      <x:c r="G192" s="30"/>
      <x:c r="H192" s="30"/>
      <x:c r="I192" s="30"/>
      <x:c r="J192" s="30"/>
      <x:c r="K192" s="30"/>
      <x:c r="L192" s="30"/>
      <x:c r="M192" s="30"/>
      <x:c r="N192" s="30"/>
      <x:c r="O192" s="30"/>
      <x:c r="P192" s="30"/>
      <x:c r="Q192" s="30"/>
      <x:c r="R192" s="30"/>
      <x:c r="S192" s="30"/>
      <x:c r="T192" s="30"/>
      <x:c r="U192" s="30"/>
      <x:c r="V192" s="30"/>
      <x:c r="W192" s="30"/>
      <x:c r="X192" s="30"/>
    </x:row>
    <x:row r="193" ht="22" customHeight="1">
      <x:c r="A193" s="30"/>
      <x:c r="B193" s="30"/>
      <x:c r="C193" s="30"/>
      <x:c r="D193" s="30"/>
      <x:c r="E193" s="30"/>
      <x:c r="F193" s="30"/>
      <x:c r="G193" s="30"/>
      <x:c r="H193" s="30"/>
      <x:c r="I193" s="30"/>
      <x:c r="J193" s="30"/>
      <x:c r="K193" s="30"/>
      <x:c r="L193" s="30"/>
      <x:c r="M193" s="30"/>
      <x:c r="N193" s="30"/>
      <x:c r="O193" s="30"/>
      <x:c r="P193" s="30"/>
      <x:c r="Q193" s="30"/>
      <x:c r="R193" s="30"/>
      <x:c r="S193" s="30"/>
      <x:c r="T193" s="30"/>
      <x:c r="U193" s="30"/>
      <x:c r="V193" s="30"/>
      <x:c r="W193" s="30"/>
      <x:c r="X193" s="30"/>
    </x:row>
    <x:row r="194" ht="22" customHeight="1">
      <x:c r="A194" s="30"/>
      <x:c r="B194" s="30"/>
      <x:c r="C194" s="30"/>
      <x:c r="D194" s="30"/>
      <x:c r="E194" s="30"/>
      <x:c r="F194" s="30"/>
      <x:c r="G194" s="30"/>
      <x:c r="H194" s="30"/>
      <x:c r="I194" s="30"/>
      <x:c r="J194" s="30"/>
      <x:c r="K194" s="30"/>
      <x:c r="L194" s="30"/>
      <x:c r="M194" s="30"/>
      <x:c r="N194" s="30"/>
      <x:c r="O194" s="30"/>
      <x:c r="P194" s="30"/>
      <x:c r="Q194" s="30"/>
      <x:c r="R194" s="30"/>
      <x:c r="S194" s="30"/>
      <x:c r="T194" s="30"/>
      <x:c r="U194" s="30"/>
      <x:c r="V194" s="30"/>
      <x:c r="W194" s="30"/>
      <x:c r="X194" s="30"/>
    </x:row>
    <x:row r="195" ht="22" customHeight="1">
      <x:c r="A195" s="30"/>
      <x:c r="B195" s="30"/>
      <x:c r="C195" s="30"/>
      <x:c r="D195" s="30"/>
      <x:c r="E195" s="30"/>
      <x:c r="F195" s="30"/>
      <x:c r="G195" s="30"/>
      <x:c r="H195" s="30"/>
      <x:c r="I195" s="30"/>
      <x:c r="J195" s="30"/>
      <x:c r="K195" s="30"/>
      <x:c r="L195" s="30"/>
      <x:c r="M195" s="30"/>
      <x:c r="N195" s="30"/>
      <x:c r="O195" s="30"/>
      <x:c r="P195" s="30"/>
      <x:c r="Q195" s="30"/>
      <x:c r="R195" s="30"/>
      <x:c r="S195" s="30"/>
      <x:c r="T195" s="30"/>
      <x:c r="U195" s="30"/>
      <x:c r="V195" s="30"/>
      <x:c r="W195" s="30"/>
      <x:c r="X195" s="30"/>
    </x:row>
    <x:row r="196" ht="22" customHeight="1">
      <x:c r="A196" s="30"/>
      <x:c r="B196" s="30"/>
      <x:c r="C196" s="30"/>
      <x:c r="D196" s="30"/>
      <x:c r="E196" s="30"/>
      <x:c r="F196" s="30"/>
      <x:c r="G196" s="30"/>
      <x:c r="H196" s="30"/>
      <x:c r="I196" s="30"/>
      <x:c r="J196" s="30"/>
      <x:c r="K196" s="30"/>
      <x:c r="L196" s="30"/>
      <x:c r="M196" s="30"/>
      <x:c r="N196" s="30"/>
      <x:c r="O196" s="30"/>
      <x:c r="P196" s="30"/>
      <x:c r="Q196" s="30"/>
      <x:c r="R196" s="30"/>
      <x:c r="S196" s="30"/>
      <x:c r="T196" s="30"/>
      <x:c r="U196" s="30"/>
      <x:c r="V196" s="30"/>
      <x:c r="W196" s="30"/>
      <x:c r="X196" s="30"/>
    </x:row>
    <x:row r="197" ht="22" customHeight="1">
      <x:c r="A197" s="30"/>
      <x:c r="B197" s="30"/>
      <x:c r="C197" s="30"/>
      <x:c r="D197" s="30"/>
      <x:c r="E197" s="30"/>
      <x:c r="F197" s="30"/>
      <x:c r="G197" s="30"/>
      <x:c r="H197" s="30"/>
      <x:c r="I197" s="30"/>
      <x:c r="J197" s="30"/>
      <x:c r="K197" s="30"/>
      <x:c r="L197" s="30"/>
      <x:c r="M197" s="30"/>
      <x:c r="N197" s="30"/>
      <x:c r="O197" s="30"/>
      <x:c r="P197" s="30"/>
      <x:c r="Q197" s="30"/>
      <x:c r="R197" s="30"/>
      <x:c r="S197" s="30"/>
      <x:c r="T197" s="30"/>
      <x:c r="U197" s="30"/>
      <x:c r="V197" s="30"/>
      <x:c r="W197" s="30"/>
      <x:c r="X197" s="30"/>
    </x:row>
    <x:row r="198" ht="22" customHeight="1">
      <x:c r="A198" s="30"/>
      <x:c r="B198" s="30"/>
      <x:c r="C198" s="30"/>
      <x:c r="D198" s="30"/>
      <x:c r="E198" s="30"/>
      <x:c r="F198" s="30"/>
      <x:c r="G198" s="30"/>
      <x:c r="H198" s="30"/>
      <x:c r="I198" s="30"/>
      <x:c r="J198" s="30"/>
      <x:c r="K198" s="30"/>
      <x:c r="L198" s="30"/>
      <x:c r="M198" s="30"/>
      <x:c r="N198" s="30"/>
      <x:c r="O198" s="30"/>
      <x:c r="P198" s="30"/>
      <x:c r="Q198" s="30"/>
      <x:c r="R198" s="30"/>
      <x:c r="S198" s="30"/>
      <x:c r="T198" s="30"/>
      <x:c r="U198" s="30"/>
      <x:c r="V198" s="30"/>
      <x:c r="W198" s="30"/>
      <x:c r="X198" s="30"/>
    </x:row>
    <x:row r="199" ht="22" customHeight="1">
      <x:c r="A199" s="30"/>
      <x:c r="B199" s="30"/>
      <x:c r="C199" s="30"/>
      <x:c r="D199" s="30"/>
      <x:c r="E199" s="30"/>
      <x:c r="F199" s="30"/>
      <x:c r="G199" s="30"/>
      <x:c r="H199" s="30"/>
      <x:c r="I199" s="30"/>
      <x:c r="J199" s="30"/>
      <x:c r="K199" s="30"/>
      <x:c r="L199" s="30"/>
      <x:c r="M199" s="30"/>
      <x:c r="N199" s="30"/>
      <x:c r="O199" s="30"/>
      <x:c r="P199" s="30"/>
      <x:c r="Q199" s="30"/>
      <x:c r="R199" s="30"/>
      <x:c r="S199" s="30"/>
      <x:c r="T199" s="30"/>
      <x:c r="U199" s="30"/>
      <x:c r="V199" s="30"/>
      <x:c r="W199" s="30"/>
      <x:c r="X199" s="30"/>
    </x:row>
    <x:row r="200" ht="22" customHeight="1">
      <x:c r="A200" s="30"/>
      <x:c r="B200" s="30"/>
      <x:c r="C200" s="30"/>
      <x:c r="D200" s="30"/>
      <x:c r="E200" s="30"/>
      <x:c r="F200" s="30"/>
      <x:c r="G200" s="30"/>
      <x:c r="H200" s="30"/>
      <x:c r="I200" s="30"/>
      <x:c r="J200" s="30"/>
      <x:c r="K200" s="30"/>
      <x:c r="L200" s="30"/>
      <x:c r="M200" s="30"/>
      <x:c r="N200" s="30"/>
      <x:c r="O200" s="30"/>
      <x:c r="P200" s="30"/>
      <x:c r="Q200" s="30"/>
      <x:c r="R200" s="30"/>
      <x:c r="S200" s="30"/>
      <x:c r="T200" s="30"/>
      <x:c r="U200" s="30"/>
      <x:c r="V200" s="30"/>
      <x:c r="W200" s="30"/>
      <x:c r="X200" s="30"/>
    </x:row>
    <x:row r="201" ht="22" customHeight="1">
      <x:c r="A201" s="30"/>
      <x:c r="B201" s="30"/>
      <x:c r="C201" s="30"/>
      <x:c r="D201" s="30"/>
      <x:c r="E201" s="30"/>
      <x:c r="F201" s="30"/>
      <x:c r="G201" s="30"/>
      <x:c r="H201" s="30"/>
      <x:c r="I201" s="30"/>
      <x:c r="J201" s="30"/>
      <x:c r="K201" s="30"/>
      <x:c r="L201" s="30"/>
      <x:c r="M201" s="30"/>
      <x:c r="N201" s="30"/>
      <x:c r="O201" s="30"/>
      <x:c r="P201" s="30"/>
      <x:c r="Q201" s="30"/>
      <x:c r="R201" s="30"/>
      <x:c r="S201" s="30"/>
      <x:c r="T201" s="30"/>
      <x:c r="U201" s="30"/>
      <x:c r="V201" s="30"/>
      <x:c r="W201" s="30"/>
      <x:c r="X201" s="30"/>
    </x:row>
    <x:row r="202" ht="22" customHeight="1">
      <x:c r="A202" s="30"/>
      <x:c r="B202" s="30"/>
      <x:c r="C202" s="30"/>
      <x:c r="D202" s="30"/>
      <x:c r="E202" s="30"/>
      <x:c r="F202" s="30"/>
      <x:c r="G202" s="30"/>
      <x:c r="H202" s="30"/>
      <x:c r="I202" s="30"/>
      <x:c r="J202" s="30"/>
      <x:c r="K202" s="30"/>
      <x:c r="L202" s="30"/>
      <x:c r="M202" s="30"/>
      <x:c r="N202" s="30"/>
      <x:c r="O202" s="30"/>
      <x:c r="P202" s="30"/>
      <x:c r="Q202" s="30"/>
      <x:c r="R202" s="30"/>
      <x:c r="S202" s="30"/>
      <x:c r="T202" s="30"/>
      <x:c r="U202" s="30"/>
      <x:c r="V202" s="30"/>
      <x:c r="W202" s="30"/>
      <x:c r="X202" s="30"/>
    </x:row>
    <x:row r="203" ht="22" customHeight="1">
      <x:c r="A203" s="30"/>
      <x:c r="B203" s="30"/>
      <x:c r="C203" s="30"/>
      <x:c r="D203" s="30"/>
      <x:c r="E203" s="30"/>
      <x:c r="F203" s="30"/>
      <x:c r="G203" s="30"/>
      <x:c r="H203" s="30"/>
      <x:c r="I203" s="30"/>
      <x:c r="J203" s="30"/>
      <x:c r="K203" s="30"/>
      <x:c r="L203" s="30"/>
      <x:c r="M203" s="30"/>
      <x:c r="N203" s="30"/>
      <x:c r="O203" s="30"/>
      <x:c r="P203" s="30"/>
      <x:c r="Q203" s="30"/>
      <x:c r="R203" s="30"/>
      <x:c r="S203" s="30"/>
      <x:c r="T203" s="30"/>
      <x:c r="U203" s="30"/>
      <x:c r="V203" s="30"/>
      <x:c r="W203" s="30"/>
      <x:c r="X203" s="30"/>
    </x:row>
    <x:row r="204" ht="22" customHeight="1">
      <x:c r="A204" s="30"/>
      <x:c r="B204" s="30"/>
      <x:c r="C204" s="30"/>
      <x:c r="D204" s="30"/>
      <x:c r="E204" s="30"/>
      <x:c r="F204" s="30"/>
      <x:c r="G204" s="30"/>
      <x:c r="H204" s="30"/>
      <x:c r="I204" s="30"/>
      <x:c r="J204" s="30"/>
      <x:c r="K204" s="30"/>
      <x:c r="L204" s="30"/>
      <x:c r="M204" s="30"/>
      <x:c r="N204" s="30"/>
      <x:c r="O204" s="30"/>
      <x:c r="P204" s="30"/>
      <x:c r="Q204" s="30"/>
      <x:c r="R204" s="30"/>
      <x:c r="S204" s="30"/>
      <x:c r="T204" s="30"/>
      <x:c r="U204" s="30"/>
      <x:c r="V204" s="30"/>
      <x:c r="W204" s="30"/>
      <x:c r="X204" s="30"/>
    </x:row>
    <x:row r="205" ht="22" customHeight="1">
      <x:c r="A205" s="30"/>
      <x:c r="B205" s="30"/>
      <x:c r="C205" s="30"/>
      <x:c r="D205" s="30"/>
      <x:c r="E205" s="30"/>
      <x:c r="F205" s="30"/>
      <x:c r="G205" s="30"/>
      <x:c r="H205" s="30"/>
      <x:c r="I205" s="30"/>
      <x:c r="J205" s="30"/>
      <x:c r="K205" s="30"/>
      <x:c r="L205" s="30"/>
      <x:c r="M205" s="30"/>
      <x:c r="N205" s="30"/>
      <x:c r="O205" s="30"/>
      <x:c r="P205" s="30"/>
      <x:c r="Q205" s="30"/>
      <x:c r="R205" s="30"/>
      <x:c r="S205" s="30"/>
      <x:c r="T205" s="30"/>
      <x:c r="U205" s="30"/>
      <x:c r="V205" s="30"/>
      <x:c r="W205" s="30"/>
      <x:c r="X205" s="30"/>
    </x:row>
    <x:row r="206" ht="22" customHeight="1">
      <x:c r="A206" s="30"/>
      <x:c r="B206" s="30"/>
      <x:c r="C206" s="30"/>
      <x:c r="D206" s="30"/>
      <x:c r="E206" s="30"/>
      <x:c r="F206" s="30"/>
      <x:c r="G206" s="30"/>
      <x:c r="H206" s="30"/>
      <x:c r="I206" s="30"/>
      <x:c r="J206" s="30"/>
      <x:c r="K206" s="30"/>
      <x:c r="L206" s="30"/>
      <x:c r="M206" s="30"/>
      <x:c r="N206" s="30"/>
      <x:c r="O206" s="30"/>
      <x:c r="P206" s="30"/>
      <x:c r="Q206" s="30"/>
      <x:c r="R206" s="30"/>
      <x:c r="S206" s="30"/>
      <x:c r="T206" s="30"/>
      <x:c r="U206" s="30"/>
      <x:c r="V206" s="30"/>
      <x:c r="W206" s="30"/>
      <x:c r="X206" s="30"/>
    </x:row>
    <x:row r="207" ht="22" customHeight="1">
      <x:c r="A207" s="30"/>
      <x:c r="B207" s="30"/>
      <x:c r="C207" s="30"/>
      <x:c r="D207" s="30"/>
      <x:c r="E207" s="30"/>
      <x:c r="F207" s="30"/>
      <x:c r="G207" s="30"/>
      <x:c r="H207" s="30"/>
      <x:c r="I207" s="30"/>
      <x:c r="J207" s="30"/>
      <x:c r="K207" s="30"/>
      <x:c r="L207" s="30"/>
      <x:c r="M207" s="30"/>
      <x:c r="N207" s="30"/>
      <x:c r="O207" s="30"/>
      <x:c r="P207" s="30"/>
      <x:c r="Q207" s="30"/>
      <x:c r="R207" s="30"/>
      <x:c r="S207" s="30"/>
      <x:c r="T207" s="30"/>
      <x:c r="U207" s="30"/>
      <x:c r="V207" s="30"/>
      <x:c r="W207" s="30"/>
      <x:c r="X207" s="30"/>
    </x:row>
    <x:row r="208" ht="22" customHeight="1">
      <x:c r="A208" s="30"/>
      <x:c r="B208" s="30"/>
      <x:c r="C208" s="30"/>
      <x:c r="D208" s="30"/>
      <x:c r="E208" s="30"/>
      <x:c r="F208" s="30"/>
      <x:c r="G208" s="30"/>
      <x:c r="H208" s="30"/>
      <x:c r="I208" s="30"/>
      <x:c r="J208" s="30"/>
      <x:c r="K208" s="30"/>
      <x:c r="L208" s="30"/>
      <x:c r="M208" s="30"/>
      <x:c r="N208" s="30"/>
      <x:c r="O208" s="30"/>
      <x:c r="P208" s="30"/>
      <x:c r="Q208" s="30"/>
      <x:c r="R208" s="30"/>
      <x:c r="S208" s="30"/>
      <x:c r="T208" s="30"/>
      <x:c r="U208" s="30"/>
      <x:c r="V208" s="30"/>
      <x:c r="W208" s="30"/>
      <x:c r="X208" s="30"/>
    </x:row>
    <x:row r="209" ht="22" customHeight="1">
      <x:c r="A209" s="30"/>
      <x:c r="B209" s="30"/>
      <x:c r="C209" s="30"/>
      <x:c r="D209" s="30"/>
      <x:c r="E209" s="30"/>
      <x:c r="F209" s="30"/>
      <x:c r="G209" s="30"/>
      <x:c r="H209" s="30"/>
      <x:c r="I209" s="30"/>
      <x:c r="J209" s="30"/>
      <x:c r="K209" s="30"/>
      <x:c r="L209" s="30"/>
      <x:c r="M209" s="30"/>
      <x:c r="N209" s="30"/>
      <x:c r="O209" s="30"/>
      <x:c r="P209" s="30"/>
      <x:c r="Q209" s="30"/>
      <x:c r="R209" s="30"/>
      <x:c r="S209" s="30"/>
      <x:c r="T209" s="30"/>
      <x:c r="U209" s="30"/>
      <x:c r="V209" s="30"/>
      <x:c r="W209" s="30"/>
      <x:c r="X209" s="30"/>
    </x:row>
    <x:row r="210" ht="22" customHeight="1">
      <x:c r="A210" s="30"/>
      <x:c r="B210" s="30"/>
      <x:c r="C210" s="30"/>
      <x:c r="D210" s="30"/>
      <x:c r="E210" s="30"/>
      <x:c r="F210" s="30"/>
      <x:c r="G210" s="30"/>
      <x:c r="H210" s="30"/>
      <x:c r="I210" s="30"/>
      <x:c r="J210" s="30"/>
      <x:c r="K210" s="30"/>
      <x:c r="L210" s="30"/>
      <x:c r="M210" s="30"/>
      <x:c r="N210" s="30"/>
      <x:c r="O210" s="30"/>
      <x:c r="P210" s="30"/>
      <x:c r="Q210" s="30"/>
      <x:c r="R210" s="30"/>
      <x:c r="S210" s="30"/>
      <x:c r="T210" s="30"/>
      <x:c r="U210" s="30"/>
      <x:c r="V210" s="30"/>
      <x:c r="W210" s="30"/>
      <x:c r="X210" s="30"/>
    </x:row>
    <x:row r="211" ht="22" customHeight="1">
      <x:c r="A211" s="30"/>
      <x:c r="B211" s="30"/>
      <x:c r="C211" s="30"/>
      <x:c r="D211" s="30"/>
      <x:c r="E211" s="30"/>
      <x:c r="F211" s="30"/>
      <x:c r="G211" s="30"/>
      <x:c r="H211" s="30"/>
      <x:c r="I211" s="30"/>
      <x:c r="J211" s="30"/>
      <x:c r="K211" s="30"/>
      <x:c r="L211" s="30"/>
      <x:c r="M211" s="30"/>
      <x:c r="N211" s="30"/>
      <x:c r="O211" s="30"/>
      <x:c r="P211" s="30"/>
      <x:c r="Q211" s="30"/>
      <x:c r="R211" s="30"/>
      <x:c r="S211" s="30"/>
      <x:c r="T211" s="30"/>
      <x:c r="U211" s="30"/>
      <x:c r="V211" s="30"/>
      <x:c r="W211" s="30"/>
      <x:c r="X211" s="30"/>
    </x:row>
    <x:row r="212" ht="22" customHeight="1">
      <x:c r="A212" s="30"/>
      <x:c r="B212" s="30"/>
      <x:c r="C212" s="30"/>
      <x:c r="D212" s="30"/>
      <x:c r="E212" s="30"/>
      <x:c r="F212" s="30"/>
      <x:c r="G212" s="30"/>
      <x:c r="H212" s="30"/>
      <x:c r="I212" s="30"/>
      <x:c r="J212" s="30"/>
      <x:c r="K212" s="30"/>
      <x:c r="L212" s="30"/>
      <x:c r="M212" s="30"/>
      <x:c r="N212" s="30"/>
      <x:c r="O212" s="30"/>
      <x:c r="P212" s="30"/>
      <x:c r="Q212" s="30"/>
      <x:c r="R212" s="30"/>
      <x:c r="S212" s="30"/>
      <x:c r="T212" s="30"/>
      <x:c r="U212" s="30"/>
      <x:c r="V212" s="30"/>
      <x:c r="W212" s="30"/>
      <x:c r="X212" s="30"/>
    </x:row>
    <x:row r="213" ht="22" customHeight="1">
      <x:c r="A213" s="30"/>
      <x:c r="B213" s="30"/>
      <x:c r="C213" s="30"/>
      <x:c r="D213" s="30"/>
      <x:c r="E213" s="30"/>
      <x:c r="F213" s="30"/>
      <x:c r="G213" s="30"/>
      <x:c r="H213" s="30"/>
      <x:c r="I213" s="30"/>
      <x:c r="J213" s="30"/>
      <x:c r="K213" s="30"/>
      <x:c r="L213" s="30"/>
      <x:c r="M213" s="30"/>
      <x:c r="N213" s="30"/>
      <x:c r="O213" s="30"/>
      <x:c r="P213" s="30"/>
      <x:c r="Q213" s="30"/>
      <x:c r="R213" s="30"/>
      <x:c r="S213" s="30"/>
      <x:c r="T213" s="30"/>
      <x:c r="U213" s="30"/>
      <x:c r="V213" s="30"/>
      <x:c r="W213" s="30"/>
      <x:c r="X213" s="30"/>
    </x:row>
    <x:row r="214" ht="22" customHeight="1">
      <x:c r="A214" s="30"/>
      <x:c r="B214" s="30"/>
      <x:c r="C214" s="30"/>
      <x:c r="D214" s="30"/>
      <x:c r="E214" s="30"/>
      <x:c r="F214" s="30"/>
      <x:c r="G214" s="30"/>
      <x:c r="H214" s="30"/>
      <x:c r="I214" s="30"/>
      <x:c r="J214" s="30"/>
      <x:c r="K214" s="30"/>
      <x:c r="L214" s="30"/>
      <x:c r="M214" s="30"/>
      <x:c r="N214" s="30"/>
      <x:c r="O214" s="30"/>
      <x:c r="P214" s="30"/>
      <x:c r="Q214" s="30"/>
      <x:c r="R214" s="30"/>
      <x:c r="S214" s="30"/>
      <x:c r="T214" s="30"/>
      <x:c r="U214" s="30"/>
      <x:c r="V214" s="30"/>
      <x:c r="W214" s="30"/>
      <x:c r="X214" s="30"/>
    </x:row>
    <x:row r="215" ht="22" customHeight="1">
      <x:c r="A215" s="30"/>
      <x:c r="B215" s="30"/>
      <x:c r="C215" s="30"/>
      <x:c r="D215" s="30"/>
      <x:c r="E215" s="30"/>
      <x:c r="F215" s="30"/>
      <x:c r="G215" s="30"/>
      <x:c r="H215" s="30"/>
      <x:c r="I215" s="30"/>
      <x:c r="J215" s="30"/>
      <x:c r="K215" s="30"/>
      <x:c r="L215" s="30"/>
      <x:c r="M215" s="30"/>
      <x:c r="N215" s="30"/>
      <x:c r="O215" s="30"/>
      <x:c r="P215" s="30"/>
      <x:c r="Q215" s="30"/>
      <x:c r="R215" s="30"/>
      <x:c r="S215" s="30"/>
      <x:c r="T215" s="30"/>
      <x:c r="U215" s="30"/>
      <x:c r="V215" s="30"/>
      <x:c r="W215" s="30"/>
      <x:c r="X215" s="30"/>
    </x:row>
    <x:row r="216" ht="22" customHeight="1">
      <x:c r="A216" s="30"/>
      <x:c r="B216" s="30"/>
      <x:c r="C216" s="30"/>
      <x:c r="D216" s="30"/>
      <x:c r="E216" s="30"/>
      <x:c r="F216" s="30"/>
      <x:c r="G216" s="30"/>
      <x:c r="H216" s="30"/>
      <x:c r="I216" s="30"/>
      <x:c r="J216" s="30"/>
      <x:c r="K216" s="30"/>
      <x:c r="L216" s="30"/>
      <x:c r="M216" s="30"/>
      <x:c r="N216" s="30"/>
      <x:c r="O216" s="30"/>
      <x:c r="P216" s="30"/>
      <x:c r="Q216" s="30"/>
      <x:c r="R216" s="30"/>
      <x:c r="S216" s="30"/>
      <x:c r="T216" s="30"/>
      <x:c r="U216" s="30"/>
      <x:c r="V216" s="30"/>
      <x:c r="W216" s="30"/>
      <x:c r="X216" s="30"/>
    </x:row>
    <x:row r="217" ht="22" customHeight="1">
      <x:c r="A217" s="30"/>
      <x:c r="B217" s="30"/>
      <x:c r="C217" s="30"/>
      <x:c r="D217" s="30"/>
      <x:c r="E217" s="30"/>
      <x:c r="F217" s="30"/>
      <x:c r="G217" s="30"/>
      <x:c r="H217" s="30"/>
      <x:c r="I217" s="30"/>
      <x:c r="J217" s="30"/>
      <x:c r="K217" s="30"/>
      <x:c r="L217" s="30"/>
      <x:c r="M217" s="30"/>
      <x:c r="N217" s="30"/>
      <x:c r="O217" s="30"/>
      <x:c r="P217" s="30"/>
      <x:c r="Q217" s="30"/>
      <x:c r="R217" s="30"/>
      <x:c r="S217" s="30"/>
      <x:c r="T217" s="30"/>
      <x:c r="U217" s="30"/>
      <x:c r="V217" s="30"/>
      <x:c r="W217" s="30"/>
      <x:c r="X217" s="30"/>
    </x:row>
    <x:row r="218" ht="22" customHeight="1">
      <x:c r="A218" s="30"/>
      <x:c r="B218" s="30"/>
      <x:c r="C218" s="30"/>
      <x:c r="D218" s="30"/>
      <x:c r="E218" s="30"/>
      <x:c r="F218" s="30"/>
      <x:c r="G218" s="30"/>
      <x:c r="H218" s="30"/>
      <x:c r="I218" s="30"/>
      <x:c r="J218" s="30"/>
      <x:c r="K218" s="30"/>
      <x:c r="L218" s="30"/>
      <x:c r="M218" s="30"/>
      <x:c r="N218" s="30"/>
      <x:c r="O218" s="30"/>
      <x:c r="P218" s="30"/>
      <x:c r="Q218" s="30"/>
      <x:c r="R218" s="30"/>
      <x:c r="S218" s="30"/>
      <x:c r="T218" s="30"/>
      <x:c r="U218" s="30"/>
      <x:c r="V218" s="30"/>
      <x:c r="W218" s="30"/>
      <x:c r="X218" s="30"/>
    </x:row>
    <x:row r="219" ht="22" customHeight="1">
      <x:c r="A219" s="30"/>
      <x:c r="B219" s="30"/>
      <x:c r="C219" s="30"/>
      <x:c r="D219" s="30"/>
      <x:c r="E219" s="30"/>
      <x:c r="F219" s="30"/>
      <x:c r="G219" s="30"/>
      <x:c r="H219" s="30"/>
      <x:c r="I219" s="30"/>
      <x:c r="J219" s="30"/>
      <x:c r="K219" s="30"/>
      <x:c r="L219" s="30"/>
      <x:c r="M219" s="30"/>
      <x:c r="N219" s="30"/>
      <x:c r="O219" s="30"/>
      <x:c r="P219" s="30"/>
      <x:c r="Q219" s="30"/>
      <x:c r="R219" s="30"/>
      <x:c r="S219" s="30"/>
      <x:c r="T219" s="30"/>
      <x:c r="U219" s="30"/>
      <x:c r="V219" s="30"/>
      <x:c r="W219" s="30"/>
      <x:c r="X219" s="30"/>
    </x:row>
    <x:row r="220" ht="22" customHeight="1">
      <x:c r="A220" s="30"/>
      <x:c r="B220" s="30"/>
      <x:c r="C220" s="30"/>
      <x:c r="D220" s="30"/>
      <x:c r="E220" s="30"/>
      <x:c r="F220" s="30"/>
      <x:c r="G220" s="30"/>
      <x:c r="H220" s="30"/>
      <x:c r="I220" s="30"/>
      <x:c r="J220" s="30"/>
      <x:c r="K220" s="30"/>
      <x:c r="L220" s="30"/>
      <x:c r="M220" s="30"/>
      <x:c r="N220" s="30"/>
      <x:c r="O220" s="30"/>
      <x:c r="P220" s="30"/>
      <x:c r="Q220" s="30"/>
      <x:c r="R220" s="30"/>
      <x:c r="S220" s="30"/>
      <x:c r="T220" s="30"/>
      <x:c r="U220" s="30"/>
      <x:c r="V220" s="30"/>
      <x:c r="W220" s="30"/>
      <x:c r="X220" s="30"/>
    </x:row>
    <x:row r="221" ht="22" customHeight="1">
      <x:c r="A221" s="30"/>
      <x:c r="B221" s="30"/>
      <x:c r="C221" s="30"/>
      <x:c r="D221" s="30"/>
      <x:c r="E221" s="30"/>
      <x:c r="F221" s="30"/>
      <x:c r="G221" s="30"/>
      <x:c r="H221" s="30"/>
      <x:c r="I221" s="30"/>
      <x:c r="J221" s="30"/>
      <x:c r="K221" s="30"/>
      <x:c r="L221" s="30"/>
      <x:c r="M221" s="30"/>
      <x:c r="N221" s="30"/>
      <x:c r="O221" s="30"/>
      <x:c r="P221" s="30"/>
      <x:c r="Q221" s="30"/>
      <x:c r="R221" s="30"/>
      <x:c r="S221" s="30"/>
      <x:c r="T221" s="30"/>
      <x:c r="U221" s="30"/>
      <x:c r="V221" s="30"/>
      <x:c r="W221" s="30"/>
      <x:c r="X221" s="30"/>
    </x:row>
    <x:row r="222" ht="22" customHeight="1">
      <x:c r="A222" s="30"/>
      <x:c r="B222" s="30"/>
      <x:c r="C222" s="30"/>
      <x:c r="D222" s="30"/>
      <x:c r="E222" s="30"/>
      <x:c r="F222" s="30"/>
      <x:c r="G222" s="30"/>
      <x:c r="H222" s="30"/>
      <x:c r="I222" s="30"/>
      <x:c r="J222" s="30"/>
      <x:c r="K222" s="30"/>
      <x:c r="L222" s="30"/>
      <x:c r="M222" s="30"/>
      <x:c r="N222" s="30"/>
      <x:c r="O222" s="30"/>
      <x:c r="P222" s="30"/>
      <x:c r="Q222" s="30"/>
      <x:c r="R222" s="30"/>
      <x:c r="S222" s="30"/>
      <x:c r="T222" s="30"/>
      <x:c r="U222" s="30"/>
      <x:c r="V222" s="30"/>
      <x:c r="W222" s="30"/>
      <x:c r="X222" s="30"/>
    </x:row>
    <x:row r="223" ht="22" customHeight="1">
      <x:c r="A223" s="30"/>
      <x:c r="B223" s="30"/>
      <x:c r="C223" s="30"/>
      <x:c r="D223" s="30"/>
      <x:c r="E223" s="30"/>
      <x:c r="F223" s="30"/>
      <x:c r="G223" s="30"/>
      <x:c r="H223" s="30"/>
      <x:c r="I223" s="30"/>
      <x:c r="J223" s="30"/>
      <x:c r="K223" s="30"/>
      <x:c r="L223" s="30"/>
      <x:c r="M223" s="30"/>
      <x:c r="N223" s="30"/>
      <x:c r="O223" s="30"/>
      <x:c r="P223" s="30"/>
      <x:c r="Q223" s="30"/>
      <x:c r="R223" s="30"/>
      <x:c r="S223" s="30"/>
      <x:c r="T223" s="30"/>
      <x:c r="U223" s="30"/>
      <x:c r="V223" s="30"/>
      <x:c r="W223" s="30"/>
      <x:c r="X223" s="30"/>
    </x:row>
    <x:row r="224" ht="22" customHeight="1">
      <x:c r="A224" s="30"/>
      <x:c r="B224" s="30"/>
      <x:c r="C224" s="30"/>
      <x:c r="D224" s="30"/>
      <x:c r="E224" s="30"/>
      <x:c r="F224" s="30"/>
      <x:c r="G224" s="30"/>
      <x:c r="H224" s="30"/>
      <x:c r="I224" s="30"/>
      <x:c r="J224" s="30"/>
      <x:c r="K224" s="30"/>
      <x:c r="L224" s="30"/>
      <x:c r="M224" s="30"/>
      <x:c r="N224" s="30"/>
      <x:c r="O224" s="30"/>
      <x:c r="P224" s="30"/>
      <x:c r="Q224" s="30"/>
      <x:c r="R224" s="30"/>
      <x:c r="S224" s="30"/>
      <x:c r="T224" s="30"/>
      <x:c r="U224" s="30"/>
      <x:c r="V224" s="30"/>
      <x:c r="W224" s="30"/>
      <x:c r="X224" s="30"/>
    </x:row>
    <x:row r="225" ht="22" customHeight="1">
      <x:c r="A225" s="30"/>
      <x:c r="B225" s="30"/>
      <x:c r="C225" s="30"/>
      <x:c r="D225" s="30"/>
      <x:c r="E225" s="30"/>
      <x:c r="F225" s="30"/>
      <x:c r="G225" s="30"/>
      <x:c r="H225" s="30"/>
      <x:c r="I225" s="30"/>
      <x:c r="J225" s="30"/>
      <x:c r="K225" s="30"/>
      <x:c r="L225" s="30"/>
      <x:c r="M225" s="30"/>
      <x:c r="N225" s="30"/>
      <x:c r="O225" s="30"/>
      <x:c r="P225" s="30"/>
      <x:c r="Q225" s="30"/>
      <x:c r="R225" s="30"/>
      <x:c r="S225" s="30"/>
      <x:c r="T225" s="30"/>
      <x:c r="U225" s="30"/>
      <x:c r="V225" s="30"/>
      <x:c r="W225" s="30"/>
      <x:c r="X225" s="30"/>
    </x:row>
    <x:row r="226" ht="22" customHeight="1">
      <x:c r="A226" s="30"/>
      <x:c r="B226" s="30"/>
      <x:c r="C226" s="30"/>
      <x:c r="D226" s="30"/>
      <x:c r="E226" s="30"/>
      <x:c r="F226" s="30"/>
      <x:c r="G226" s="30"/>
      <x:c r="H226" s="30"/>
      <x:c r="I226" s="30"/>
      <x:c r="J226" s="30"/>
      <x:c r="K226" s="30"/>
      <x:c r="L226" s="30"/>
      <x:c r="M226" s="30"/>
      <x:c r="N226" s="30"/>
      <x:c r="O226" s="30"/>
      <x:c r="P226" s="30"/>
      <x:c r="Q226" s="30"/>
      <x:c r="R226" s="30"/>
      <x:c r="S226" s="30"/>
      <x:c r="T226" s="30"/>
      <x:c r="U226" s="30"/>
      <x:c r="V226" s="30"/>
      <x:c r="W226" s="30"/>
      <x:c r="X226" s="30"/>
    </x:row>
    <x:row r="227" ht="22" customHeight="1">
      <x:c r="A227" s="30"/>
      <x:c r="B227" s="30"/>
      <x:c r="C227" s="30"/>
      <x:c r="D227" s="30"/>
      <x:c r="E227" s="30"/>
      <x:c r="F227" s="30"/>
      <x:c r="G227" s="30"/>
      <x:c r="H227" s="30"/>
      <x:c r="I227" s="30"/>
      <x:c r="J227" s="30"/>
      <x:c r="K227" s="30"/>
      <x:c r="L227" s="30"/>
      <x:c r="M227" s="30"/>
      <x:c r="N227" s="30"/>
      <x:c r="O227" s="30"/>
      <x:c r="P227" s="30"/>
      <x:c r="Q227" s="30"/>
      <x:c r="R227" s="30"/>
      <x:c r="S227" s="30"/>
      <x:c r="T227" s="30"/>
      <x:c r="U227" s="30"/>
      <x:c r="V227" s="30"/>
      <x:c r="W227" s="30"/>
      <x:c r="X227" s="30"/>
    </x:row>
    <x:row r="228" ht="22" customHeight="1">
      <x:c r="A228" s="30"/>
      <x:c r="B228" s="30"/>
      <x:c r="C228" s="30"/>
      <x:c r="D228" s="30"/>
      <x:c r="E228" s="30"/>
      <x:c r="F228" s="30"/>
      <x:c r="G228" s="30"/>
      <x:c r="H228" s="30"/>
      <x:c r="I228" s="30"/>
      <x:c r="J228" s="30"/>
      <x:c r="K228" s="30"/>
      <x:c r="L228" s="30"/>
      <x:c r="M228" s="30"/>
      <x:c r="N228" s="30"/>
      <x:c r="O228" s="30"/>
      <x:c r="P228" s="30"/>
      <x:c r="Q228" s="30"/>
      <x:c r="R228" s="30"/>
      <x:c r="S228" s="30"/>
      <x:c r="T228" s="30"/>
      <x:c r="U228" s="30"/>
      <x:c r="V228" s="30"/>
      <x:c r="W228" s="30"/>
      <x:c r="X228" s="30"/>
    </x:row>
    <x:row r="229" ht="22" customHeight="1">
      <x:c r="A229" s="30"/>
      <x:c r="B229" s="30"/>
      <x:c r="C229" s="30"/>
      <x:c r="D229" s="30"/>
      <x:c r="E229" s="30"/>
      <x:c r="F229" s="30"/>
      <x:c r="G229" s="30"/>
      <x:c r="H229" s="30"/>
      <x:c r="I229" s="30"/>
      <x:c r="J229" s="30"/>
      <x:c r="K229" s="30"/>
      <x:c r="L229" s="30"/>
      <x:c r="M229" s="30"/>
      <x:c r="N229" s="30"/>
      <x:c r="O229" s="30"/>
      <x:c r="P229" s="30"/>
      <x:c r="Q229" s="30"/>
      <x:c r="R229" s="30"/>
      <x:c r="S229" s="30"/>
      <x:c r="T229" s="30"/>
      <x:c r="U229" s="30"/>
      <x:c r="V229" s="30"/>
      <x:c r="W229" s="30"/>
      <x:c r="X229" s="30"/>
    </x:row>
    <x:row r="230" ht="22" customHeight="1">
      <x:c r="A230" s="30"/>
      <x:c r="B230" s="30"/>
      <x:c r="C230" s="30"/>
      <x:c r="D230" s="30"/>
      <x:c r="E230" s="30"/>
      <x:c r="F230" s="30"/>
      <x:c r="G230" s="30"/>
      <x:c r="H230" s="30"/>
      <x:c r="I230" s="30"/>
      <x:c r="J230" s="30"/>
      <x:c r="K230" s="30"/>
      <x:c r="L230" s="30"/>
      <x:c r="M230" s="30"/>
      <x:c r="N230" s="30"/>
      <x:c r="O230" s="30"/>
      <x:c r="P230" s="30"/>
      <x:c r="Q230" s="30"/>
      <x:c r="R230" s="30"/>
      <x:c r="S230" s="30"/>
      <x:c r="T230" s="30"/>
      <x:c r="U230" s="30"/>
      <x:c r="V230" s="30"/>
      <x:c r="W230" s="30"/>
      <x:c r="X230" s="30"/>
    </x:row>
    <x:row r="231" ht="22" customHeight="1">
      <x:c r="A231" s="30"/>
      <x:c r="B231" s="30"/>
      <x:c r="C231" s="30"/>
      <x:c r="D231" s="30"/>
      <x:c r="E231" s="30"/>
      <x:c r="F231" s="30"/>
      <x:c r="G231" s="30"/>
      <x:c r="H231" s="30"/>
      <x:c r="I231" s="30"/>
      <x:c r="J231" s="30"/>
      <x:c r="K231" s="30"/>
      <x:c r="L231" s="30"/>
      <x:c r="M231" s="30"/>
      <x:c r="N231" s="30"/>
      <x:c r="O231" s="30"/>
      <x:c r="P231" s="30"/>
      <x:c r="Q231" s="30"/>
      <x:c r="R231" s="30"/>
      <x:c r="S231" s="30"/>
      <x:c r="T231" s="30"/>
      <x:c r="U231" s="30"/>
      <x:c r="V231" s="30"/>
      <x:c r="W231" s="30"/>
      <x:c r="X231" s="30"/>
    </x:row>
    <x:row r="232" ht="22" customHeight="1">
      <x:c r="A232" s="30"/>
      <x:c r="B232" s="30"/>
      <x:c r="C232" s="30"/>
      <x:c r="D232" s="30"/>
      <x:c r="E232" s="30"/>
      <x:c r="F232" s="30"/>
      <x:c r="G232" s="30"/>
      <x:c r="H232" s="30"/>
      <x:c r="I232" s="30"/>
      <x:c r="J232" s="30"/>
      <x:c r="K232" s="30"/>
      <x:c r="L232" s="30"/>
      <x:c r="M232" s="30"/>
      <x:c r="N232" s="30"/>
      <x:c r="O232" s="30"/>
      <x:c r="P232" s="30"/>
      <x:c r="Q232" s="30"/>
      <x:c r="R232" s="30"/>
      <x:c r="S232" s="30"/>
      <x:c r="T232" s="30"/>
      <x:c r="U232" s="30"/>
      <x:c r="V232" s="30"/>
      <x:c r="W232" s="30"/>
      <x:c r="X232" s="30"/>
    </x:row>
    <x:row r="233" ht="22" customHeight="1">
      <x:c r="A233" s="30"/>
      <x:c r="B233" s="30"/>
      <x:c r="C233" s="30"/>
      <x:c r="D233" s="30"/>
      <x:c r="E233" s="30"/>
      <x:c r="F233" s="30"/>
      <x:c r="G233" s="30"/>
      <x:c r="H233" s="30"/>
      <x:c r="I233" s="30"/>
      <x:c r="J233" s="30"/>
      <x:c r="K233" s="30"/>
      <x:c r="L233" s="30"/>
      <x:c r="M233" s="30"/>
      <x:c r="N233" s="30"/>
      <x:c r="O233" s="30"/>
      <x:c r="P233" s="30"/>
      <x:c r="Q233" s="30"/>
      <x:c r="R233" s="30"/>
      <x:c r="S233" s="30"/>
      <x:c r="T233" s="30"/>
      <x:c r="U233" s="30"/>
      <x:c r="V233" s="30"/>
      <x:c r="W233" s="30"/>
      <x:c r="X233" s="30"/>
    </x:row>
    <x:row r="234" ht="22" customHeight="1">
      <x:c r="A234" s="30"/>
      <x:c r="B234" s="30"/>
      <x:c r="C234" s="30"/>
      <x:c r="D234" s="30"/>
      <x:c r="E234" s="30"/>
      <x:c r="F234" s="30"/>
      <x:c r="G234" s="30"/>
      <x:c r="H234" s="30"/>
      <x:c r="I234" s="30"/>
      <x:c r="J234" s="30"/>
      <x:c r="K234" s="30"/>
      <x:c r="L234" s="30"/>
      <x:c r="M234" s="30"/>
      <x:c r="N234" s="30"/>
      <x:c r="O234" s="30"/>
      <x:c r="P234" s="30"/>
      <x:c r="Q234" s="30"/>
      <x:c r="R234" s="30"/>
      <x:c r="S234" s="30"/>
      <x:c r="T234" s="30"/>
      <x:c r="U234" s="30"/>
      <x:c r="V234" s="30"/>
      <x:c r="W234" s="30"/>
      <x:c r="X234" s="30"/>
    </x:row>
    <x:row r="235" ht="22" customHeight="1">
      <x:c r="A235" s="30"/>
      <x:c r="B235" s="30"/>
      <x:c r="C235" s="30"/>
      <x:c r="D235" s="30"/>
      <x:c r="E235" s="30"/>
      <x:c r="F235" s="30"/>
      <x:c r="G235" s="30"/>
      <x:c r="H235" s="30"/>
      <x:c r="I235" s="30"/>
      <x:c r="J235" s="30"/>
      <x:c r="K235" s="30"/>
      <x:c r="L235" s="30"/>
      <x:c r="M235" s="30"/>
      <x:c r="N235" s="30"/>
      <x:c r="O235" s="30"/>
      <x:c r="P235" s="30"/>
      <x:c r="Q235" s="30"/>
      <x:c r="R235" s="30"/>
      <x:c r="S235" s="30"/>
      <x:c r="T235" s="30"/>
      <x:c r="U235" s="30"/>
      <x:c r="V235" s="30"/>
      <x:c r="W235" s="30"/>
      <x:c r="X235" s="30"/>
    </x:row>
    <x:row r="236" ht="22" customHeight="1">
      <x:c r="A236" s="30"/>
      <x:c r="B236" s="30"/>
      <x:c r="C236" s="30"/>
      <x:c r="D236" s="30"/>
      <x:c r="E236" s="30"/>
      <x:c r="F236" s="30"/>
      <x:c r="G236" s="30"/>
      <x:c r="H236" s="30"/>
      <x:c r="I236" s="30"/>
      <x:c r="J236" s="30"/>
      <x:c r="K236" s="30"/>
      <x:c r="L236" s="30"/>
      <x:c r="M236" s="30"/>
      <x:c r="N236" s="30"/>
      <x:c r="O236" s="30"/>
      <x:c r="P236" s="30"/>
      <x:c r="Q236" s="30"/>
      <x:c r="R236" s="30"/>
      <x:c r="S236" s="30"/>
      <x:c r="T236" s="30"/>
      <x:c r="U236" s="30"/>
      <x:c r="V236" s="30"/>
      <x:c r="W236" s="30"/>
      <x:c r="X236" s="30"/>
    </x:row>
    <x:row r="237" ht="22" customHeight="1">
      <x:c r="A237" s="30"/>
      <x:c r="B237" s="30"/>
      <x:c r="C237" s="30"/>
      <x:c r="D237" s="30"/>
      <x:c r="E237" s="30"/>
      <x:c r="F237" s="30"/>
      <x:c r="G237" s="30"/>
      <x:c r="H237" s="30"/>
      <x:c r="I237" s="30"/>
      <x:c r="J237" s="30"/>
      <x:c r="K237" s="30"/>
      <x:c r="L237" s="30"/>
      <x:c r="M237" s="30"/>
      <x:c r="N237" s="30"/>
      <x:c r="O237" s="30"/>
      <x:c r="P237" s="30"/>
      <x:c r="Q237" s="30"/>
      <x:c r="R237" s="30"/>
      <x:c r="S237" s="30"/>
      <x:c r="T237" s="30"/>
      <x:c r="U237" s="30"/>
      <x:c r="V237" s="30"/>
      <x:c r="W237" s="30"/>
      <x:c r="X237" s="30"/>
    </x:row>
    <x:row r="238" ht="22" customHeight="1">
      <x:c r="A238" s="30"/>
      <x:c r="B238" s="30"/>
      <x:c r="C238" s="30"/>
      <x:c r="D238" s="30"/>
      <x:c r="E238" s="30"/>
      <x:c r="F238" s="30"/>
      <x:c r="G238" s="30"/>
      <x:c r="H238" s="30"/>
      <x:c r="I238" s="30"/>
      <x:c r="J238" s="30"/>
      <x:c r="K238" s="30"/>
      <x:c r="L238" s="30"/>
      <x:c r="M238" s="30"/>
      <x:c r="N238" s="30"/>
      <x:c r="O238" s="30"/>
      <x:c r="P238" s="30"/>
      <x:c r="Q238" s="30"/>
      <x:c r="R238" s="30"/>
      <x:c r="S238" s="30"/>
      <x:c r="T238" s="30"/>
      <x:c r="U238" s="30"/>
      <x:c r="V238" s="30"/>
      <x:c r="W238" s="30"/>
      <x:c r="X238" s="30"/>
    </x:row>
    <x:row r="239" ht="22" customHeight="1">
      <x:c r="A239" s="30"/>
      <x:c r="B239" s="30"/>
      <x:c r="C239" s="30"/>
      <x:c r="D239" s="30"/>
      <x:c r="E239" s="30"/>
      <x:c r="F239" s="30"/>
      <x:c r="G239" s="30"/>
      <x:c r="H239" s="30"/>
      <x:c r="I239" s="30"/>
      <x:c r="J239" s="30"/>
      <x:c r="K239" s="30"/>
      <x:c r="L239" s="30"/>
      <x:c r="M239" s="30"/>
      <x:c r="N239" s="30"/>
      <x:c r="O239" s="30"/>
      <x:c r="P239" s="30"/>
      <x:c r="Q239" s="30"/>
      <x:c r="R239" s="30"/>
      <x:c r="S239" s="30"/>
      <x:c r="T239" s="30"/>
      <x:c r="U239" s="30"/>
      <x:c r="V239" s="30"/>
      <x:c r="W239" s="30"/>
      <x:c r="X239" s="30"/>
    </x:row>
    <x:row r="240" ht="22" customHeight="1">
      <x:c r="A240" s="30"/>
      <x:c r="B240" s="30"/>
      <x:c r="C240" s="30"/>
      <x:c r="D240" s="30"/>
      <x:c r="E240" s="30"/>
      <x:c r="F240" s="30"/>
      <x:c r="G240" s="30"/>
      <x:c r="H240" s="30"/>
      <x:c r="I240" s="30"/>
      <x:c r="J240" s="30"/>
      <x:c r="K240" s="30"/>
      <x:c r="L240" s="30"/>
      <x:c r="M240" s="30"/>
      <x:c r="N240" s="30"/>
      <x:c r="O240" s="30"/>
      <x:c r="P240" s="30"/>
      <x:c r="Q240" s="30"/>
      <x:c r="R240" s="30"/>
      <x:c r="S240" s="30"/>
      <x:c r="T240" s="30"/>
      <x:c r="U240" s="30"/>
      <x:c r="V240" s="30"/>
      <x:c r="W240" s="30"/>
      <x:c r="X240" s="30"/>
    </x:row>
    <x:row r="241" ht="22" customHeight="1">
      <x:c r="A241" s="30"/>
      <x:c r="B241" s="30"/>
      <x:c r="C241" s="30"/>
      <x:c r="D241" s="30"/>
      <x:c r="E241" s="30"/>
      <x:c r="F241" s="30"/>
      <x:c r="G241" s="30"/>
      <x:c r="H241" s="30"/>
      <x:c r="I241" s="30"/>
      <x:c r="J241" s="30"/>
      <x:c r="K241" s="30"/>
      <x:c r="L241" s="30"/>
      <x:c r="M241" s="30"/>
      <x:c r="N241" s="30"/>
      <x:c r="O241" s="30"/>
      <x:c r="P241" s="30"/>
      <x:c r="Q241" s="30"/>
      <x:c r="R241" s="30"/>
      <x:c r="S241" s="30"/>
      <x:c r="T241" s="30"/>
      <x:c r="U241" s="30"/>
      <x:c r="V241" s="30"/>
      <x:c r="W241" s="30"/>
      <x:c r="X241" s="30"/>
    </x:row>
    <x:row r="242" ht="22" customHeight="1">
      <x:c r="A242" s="30"/>
      <x:c r="B242" s="30"/>
      <x:c r="C242" s="30"/>
      <x:c r="D242" s="30"/>
      <x:c r="E242" s="30"/>
      <x:c r="F242" s="30"/>
      <x:c r="G242" s="30"/>
      <x:c r="H242" s="30"/>
      <x:c r="I242" s="30"/>
      <x:c r="J242" s="30"/>
      <x:c r="K242" s="30"/>
      <x:c r="L242" s="30"/>
      <x:c r="M242" s="30"/>
      <x:c r="N242" s="30"/>
      <x:c r="O242" s="30"/>
      <x:c r="P242" s="30"/>
      <x:c r="Q242" s="30"/>
      <x:c r="R242" s="30"/>
      <x:c r="S242" s="30"/>
      <x:c r="T242" s="30"/>
      <x:c r="U242" s="30"/>
      <x:c r="V242" s="30"/>
      <x:c r="W242" s="30"/>
      <x:c r="X242" s="30"/>
    </x:row>
    <x:row r="243" ht="22" customHeight="1">
      <x:c r="A243" s="30"/>
      <x:c r="B243" s="30"/>
      <x:c r="C243" s="30"/>
      <x:c r="D243" s="30"/>
      <x:c r="E243" s="30"/>
      <x:c r="F243" s="30"/>
      <x:c r="G243" s="30"/>
      <x:c r="H243" s="30"/>
      <x:c r="I243" s="30"/>
      <x:c r="J243" s="30"/>
      <x:c r="K243" s="30"/>
      <x:c r="L243" s="30"/>
      <x:c r="M243" s="30"/>
      <x:c r="N243" s="30"/>
      <x:c r="O243" s="30"/>
      <x:c r="P243" s="30"/>
      <x:c r="Q243" s="30"/>
      <x:c r="R243" s="30"/>
      <x:c r="S243" s="30"/>
      <x:c r="T243" s="30"/>
      <x:c r="U243" s="30"/>
      <x:c r="V243" s="30"/>
      <x:c r="W243" s="30"/>
      <x:c r="X243" s="30"/>
    </x:row>
    <x:row r="244" ht="22" customHeight="1">
      <x:c r="A244" s="30"/>
      <x:c r="B244" s="30"/>
      <x:c r="C244" s="30"/>
      <x:c r="D244" s="30"/>
      <x:c r="E244" s="30"/>
      <x:c r="F244" s="30"/>
      <x:c r="G244" s="30"/>
      <x:c r="H244" s="30"/>
      <x:c r="I244" s="30"/>
      <x:c r="J244" s="30"/>
      <x:c r="K244" s="30"/>
      <x:c r="L244" s="30"/>
      <x:c r="M244" s="30"/>
      <x:c r="N244" s="30"/>
      <x:c r="O244" s="30"/>
      <x:c r="P244" s="30"/>
      <x:c r="Q244" s="30"/>
      <x:c r="R244" s="30"/>
      <x:c r="S244" s="30"/>
      <x:c r="T244" s="30"/>
      <x:c r="U244" s="30"/>
      <x:c r="V244" s="30"/>
      <x:c r="W244" s="30"/>
      <x:c r="X244" s="30"/>
    </x:row>
    <x:row r="245" ht="22" customHeight="1">
      <x:c r="A245" s="30"/>
      <x:c r="B245" s="30"/>
      <x:c r="C245" s="30"/>
      <x:c r="D245" s="30"/>
      <x:c r="E245" s="30"/>
      <x:c r="F245" s="30"/>
      <x:c r="G245" s="30"/>
      <x:c r="H245" s="30"/>
      <x:c r="I245" s="30"/>
      <x:c r="J245" s="30"/>
      <x:c r="K245" s="30"/>
      <x:c r="L245" s="30"/>
      <x:c r="M245" s="30"/>
      <x:c r="N245" s="30"/>
      <x:c r="O245" s="30"/>
      <x:c r="P245" s="30"/>
      <x:c r="Q245" s="30"/>
      <x:c r="R245" s="30"/>
      <x:c r="S245" s="30"/>
      <x:c r="T245" s="30"/>
      <x:c r="U245" s="30"/>
      <x:c r="V245" s="30"/>
      <x:c r="W245" s="30"/>
      <x:c r="X245" s="30"/>
    </x:row>
    <x:row r="246" ht="22" customHeight="1">
      <x:c r="A246" s="30"/>
      <x:c r="B246" s="30"/>
      <x:c r="C246" s="30"/>
      <x:c r="D246" s="30"/>
      <x:c r="E246" s="30"/>
      <x:c r="F246" s="30"/>
      <x:c r="G246" s="30"/>
      <x:c r="H246" s="30"/>
      <x:c r="I246" s="30"/>
      <x:c r="J246" s="30"/>
      <x:c r="K246" s="30"/>
      <x:c r="L246" s="30"/>
      <x:c r="M246" s="30"/>
      <x:c r="N246" s="30"/>
      <x:c r="O246" s="30"/>
      <x:c r="P246" s="30"/>
      <x:c r="Q246" s="30"/>
      <x:c r="R246" s="30"/>
      <x:c r="S246" s="30"/>
      <x:c r="T246" s="30"/>
      <x:c r="U246" s="30"/>
      <x:c r="V246" s="30"/>
      <x:c r="W246" s="30"/>
      <x:c r="X246" s="30"/>
    </x:row>
    <x:row r="247" ht="22" customHeight="1">
      <x:c r="A247" s="30"/>
      <x:c r="B247" s="30"/>
      <x:c r="C247" s="30"/>
      <x:c r="D247" s="30"/>
      <x:c r="E247" s="30"/>
      <x:c r="F247" s="30"/>
      <x:c r="G247" s="30"/>
      <x:c r="H247" s="30"/>
      <x:c r="I247" s="30"/>
      <x:c r="J247" s="30"/>
      <x:c r="K247" s="30"/>
      <x:c r="L247" s="30"/>
      <x:c r="M247" s="30"/>
      <x:c r="N247" s="30"/>
      <x:c r="O247" s="30"/>
      <x:c r="P247" s="30"/>
      <x:c r="Q247" s="30"/>
      <x:c r="R247" s="30"/>
      <x:c r="S247" s="30"/>
      <x:c r="T247" s="30"/>
      <x:c r="U247" s="30"/>
      <x:c r="V247" s="30"/>
      <x:c r="W247" s="30"/>
      <x:c r="X247" s="30"/>
    </x:row>
    <x:row r="248" ht="22" customHeight="1">
      <x:c r="A248" s="30"/>
      <x:c r="B248" s="30"/>
      <x:c r="C248" s="30"/>
      <x:c r="D248" s="30"/>
      <x:c r="E248" s="30"/>
      <x:c r="F248" s="30"/>
      <x:c r="G248" s="30"/>
      <x:c r="H248" s="30"/>
      <x:c r="I248" s="30"/>
      <x:c r="J248" s="30"/>
      <x:c r="K248" s="30"/>
      <x:c r="L248" s="30"/>
      <x:c r="M248" s="30"/>
      <x:c r="N248" s="30"/>
      <x:c r="O248" s="30"/>
      <x:c r="P248" s="30"/>
      <x:c r="Q248" s="30"/>
      <x:c r="R248" s="30"/>
      <x:c r="S248" s="30"/>
      <x:c r="T248" s="30"/>
      <x:c r="U248" s="30"/>
      <x:c r="V248" s="30"/>
      <x:c r="W248" s="30"/>
      <x:c r="X248" s="30"/>
    </x:row>
    <x:row r="249" ht="22" customHeight="1">
      <x:c r="A249" s="30"/>
      <x:c r="B249" s="30"/>
      <x:c r="C249" s="30"/>
      <x:c r="D249" s="30"/>
      <x:c r="E249" s="30"/>
      <x:c r="F249" s="30"/>
      <x:c r="G249" s="30"/>
      <x:c r="H249" s="30"/>
      <x:c r="I249" s="30"/>
      <x:c r="J249" s="30"/>
      <x:c r="K249" s="30"/>
      <x:c r="L249" s="30"/>
      <x:c r="M249" s="30"/>
      <x:c r="N249" s="30"/>
      <x:c r="O249" s="30"/>
      <x:c r="P249" s="30"/>
      <x:c r="Q249" s="30"/>
      <x:c r="R249" s="30"/>
      <x:c r="S249" s="30"/>
      <x:c r="T249" s="30"/>
      <x:c r="U249" s="30"/>
      <x:c r="V249" s="30"/>
      <x:c r="W249" s="30"/>
      <x:c r="X249" s="30"/>
    </x:row>
    <x:row r="250" ht="22" customHeight="1">
      <x:c r="A250" s="30"/>
      <x:c r="B250" s="30"/>
      <x:c r="C250" s="30"/>
      <x:c r="D250" s="30"/>
      <x:c r="E250" s="30"/>
      <x:c r="F250" s="30"/>
      <x:c r="G250" s="30"/>
      <x:c r="H250" s="30"/>
      <x:c r="I250" s="30"/>
      <x:c r="J250" s="30"/>
      <x:c r="K250" s="30"/>
      <x:c r="L250" s="30"/>
      <x:c r="M250" s="30"/>
      <x:c r="N250" s="30"/>
      <x:c r="O250" s="30"/>
      <x:c r="P250" s="30"/>
      <x:c r="Q250" s="30"/>
      <x:c r="R250" s="30"/>
      <x:c r="S250" s="30"/>
      <x:c r="T250" s="30"/>
      <x:c r="U250" s="30"/>
      <x:c r="V250" s="30"/>
      <x:c r="W250" s="30"/>
      <x:c r="X250" s="30"/>
    </x:row>
    <x:row r="251" ht="22" customHeight="1">
      <x:c r="A251" s="30"/>
      <x:c r="B251" s="30"/>
      <x:c r="C251" s="30"/>
      <x:c r="D251" s="30"/>
      <x:c r="E251" s="30"/>
      <x:c r="F251" s="30"/>
      <x:c r="G251" s="30"/>
      <x:c r="H251" s="30"/>
      <x:c r="I251" s="30"/>
      <x:c r="J251" s="30"/>
      <x:c r="K251" s="30"/>
      <x:c r="L251" s="30"/>
      <x:c r="M251" s="30"/>
      <x:c r="N251" s="30"/>
      <x:c r="O251" s="30"/>
      <x:c r="P251" s="30"/>
      <x:c r="Q251" s="30"/>
      <x:c r="R251" s="30"/>
      <x:c r="S251" s="30"/>
      <x:c r="T251" s="30"/>
      <x:c r="U251" s="30"/>
      <x:c r="V251" s="30"/>
      <x:c r="W251" s="30"/>
      <x:c r="X251" s="30"/>
    </x:row>
    <x:row r="252" ht="22" customHeight="1">
      <x:c r="A252" s="30"/>
      <x:c r="B252" s="30"/>
      <x:c r="C252" s="30"/>
      <x:c r="D252" s="30"/>
      <x:c r="E252" s="30"/>
      <x:c r="F252" s="30"/>
      <x:c r="G252" s="30"/>
      <x:c r="H252" s="30"/>
      <x:c r="I252" s="30"/>
      <x:c r="J252" s="30"/>
      <x:c r="K252" s="30"/>
      <x:c r="L252" s="30"/>
      <x:c r="M252" s="30"/>
      <x:c r="N252" s="30"/>
      <x:c r="O252" s="30"/>
      <x:c r="P252" s="30"/>
      <x:c r="Q252" s="30"/>
      <x:c r="R252" s="30"/>
      <x:c r="S252" s="30"/>
      <x:c r="T252" s="30"/>
      <x:c r="U252" s="30"/>
      <x:c r="V252" s="30"/>
      <x:c r="W252" s="30"/>
      <x:c r="X252" s="30"/>
    </x:row>
    <x:row r="253" ht="22" customHeight="1">
      <x:c r="A253" s="30"/>
      <x:c r="B253" s="30"/>
      <x:c r="C253" s="30"/>
      <x:c r="D253" s="30"/>
      <x:c r="E253" s="30"/>
      <x:c r="F253" s="30"/>
      <x:c r="G253" s="30"/>
      <x:c r="H253" s="30"/>
      <x:c r="I253" s="30"/>
      <x:c r="J253" s="30"/>
      <x:c r="K253" s="30"/>
      <x:c r="L253" s="30"/>
      <x:c r="M253" s="30"/>
      <x:c r="N253" s="30"/>
      <x:c r="O253" s="30"/>
      <x:c r="P253" s="30"/>
      <x:c r="Q253" s="30"/>
      <x:c r="R253" s="30"/>
      <x:c r="S253" s="30"/>
      <x:c r="T253" s="30"/>
      <x:c r="U253" s="30"/>
      <x:c r="V253" s="30"/>
      <x:c r="W253" s="30"/>
      <x:c r="X253" s="30"/>
    </x:row>
    <x:row r="254" ht="22" customHeight="1">
      <x:c r="A254" s="30"/>
      <x:c r="B254" s="30"/>
      <x:c r="C254" s="30"/>
      <x:c r="D254" s="30"/>
      <x:c r="E254" s="30"/>
      <x:c r="F254" s="30"/>
      <x:c r="G254" s="30"/>
      <x:c r="H254" s="30"/>
      <x:c r="I254" s="30"/>
      <x:c r="J254" s="30"/>
      <x:c r="K254" s="30"/>
      <x:c r="L254" s="30"/>
      <x:c r="M254" s="30"/>
      <x:c r="N254" s="30"/>
      <x:c r="O254" s="30"/>
      <x:c r="P254" s="30"/>
      <x:c r="Q254" s="30"/>
      <x:c r="R254" s="30"/>
      <x:c r="S254" s="30"/>
      <x:c r="T254" s="30"/>
      <x:c r="U254" s="30"/>
      <x:c r="V254" s="30"/>
      <x:c r="W254" s="30"/>
      <x:c r="X254" s="30"/>
    </x:row>
    <x:row r="255" ht="22" customHeight="1">
      <x:c r="A255" s="30"/>
      <x:c r="B255" s="30"/>
      <x:c r="C255" s="30"/>
      <x:c r="D255" s="30"/>
      <x:c r="E255" s="30"/>
      <x:c r="F255" s="30"/>
      <x:c r="G255" s="30"/>
      <x:c r="H255" s="30"/>
      <x:c r="I255" s="30"/>
      <x:c r="J255" s="30"/>
      <x:c r="K255" s="30"/>
      <x:c r="L255" s="30"/>
      <x:c r="M255" s="30"/>
      <x:c r="N255" s="30"/>
      <x:c r="O255" s="30"/>
      <x:c r="P255" s="30"/>
      <x:c r="Q255" s="30"/>
      <x:c r="R255" s="30"/>
      <x:c r="S255" s="30"/>
      <x:c r="T255" s="30"/>
      <x:c r="U255" s="30"/>
      <x:c r="V255" s="30"/>
      <x:c r="W255" s="30"/>
      <x:c r="X255" s="30"/>
    </x:row>
    <x:row r="256" ht="22" customHeight="1">
      <x:c r="A256" s="30"/>
      <x:c r="B256" s="30"/>
      <x:c r="C256" s="30"/>
      <x:c r="D256" s="30"/>
      <x:c r="E256" s="30"/>
      <x:c r="F256" s="30"/>
      <x:c r="G256" s="30"/>
      <x:c r="H256" s="30"/>
      <x:c r="I256" s="30"/>
      <x:c r="J256" s="30"/>
      <x:c r="K256" s="30"/>
      <x:c r="L256" s="30"/>
      <x:c r="M256" s="30"/>
      <x:c r="N256" s="30"/>
      <x:c r="O256" s="30"/>
      <x:c r="P256" s="30"/>
      <x:c r="Q256" s="30"/>
      <x:c r="R256" s="30"/>
      <x:c r="S256" s="30"/>
      <x:c r="T256" s="30"/>
      <x:c r="U256" s="30"/>
      <x:c r="V256" s="30"/>
      <x:c r="W256" s="30"/>
      <x:c r="X256" s="30"/>
    </x:row>
    <x:row r="257" ht="22" customHeight="1">
      <x:c r="A257" s="30"/>
      <x:c r="B257" s="30"/>
      <x:c r="C257" s="30"/>
      <x:c r="D257" s="30"/>
      <x:c r="E257" s="30"/>
      <x:c r="F257" s="30"/>
      <x:c r="G257" s="30"/>
      <x:c r="H257" s="30"/>
      <x:c r="I257" s="30"/>
      <x:c r="J257" s="30"/>
      <x:c r="K257" s="30"/>
      <x:c r="L257" s="30"/>
      <x:c r="M257" s="30"/>
      <x:c r="N257" s="30"/>
      <x:c r="O257" s="30"/>
      <x:c r="P257" s="30"/>
      <x:c r="Q257" s="30"/>
      <x:c r="R257" s="30"/>
      <x:c r="S257" s="30"/>
      <x:c r="T257" s="30"/>
      <x:c r="U257" s="30"/>
      <x:c r="V257" s="30"/>
      <x:c r="W257" s="30"/>
      <x:c r="X257" s="30"/>
    </x:row>
    <x:row r="258" ht="22" customHeight="1">
      <x:c r="A258" s="30"/>
      <x:c r="B258" s="30"/>
      <x:c r="C258" s="30"/>
      <x:c r="D258" s="30"/>
      <x:c r="E258" s="30"/>
      <x:c r="F258" s="30"/>
      <x:c r="G258" s="30"/>
      <x:c r="H258" s="30"/>
      <x:c r="I258" s="30"/>
      <x:c r="J258" s="30"/>
      <x:c r="K258" s="30"/>
      <x:c r="L258" s="30"/>
      <x:c r="M258" s="30"/>
      <x:c r="N258" s="30"/>
      <x:c r="O258" s="30"/>
      <x:c r="P258" s="30"/>
      <x:c r="Q258" s="30"/>
      <x:c r="R258" s="30"/>
      <x:c r="S258" s="30"/>
      <x:c r="T258" s="30"/>
      <x:c r="U258" s="30"/>
      <x:c r="V258" s="30"/>
      <x:c r="W258" s="30"/>
      <x:c r="X258" s="30"/>
    </x:row>
    <x:row r="259" ht="22" customHeight="1">
      <x:c r="A259" s="30"/>
      <x:c r="B259" s="30"/>
      <x:c r="C259" s="30"/>
      <x:c r="D259" s="30"/>
      <x:c r="E259" s="30"/>
      <x:c r="F259" s="30"/>
      <x:c r="G259" s="30"/>
      <x:c r="H259" s="30"/>
      <x:c r="I259" s="30"/>
      <x:c r="J259" s="30"/>
      <x:c r="K259" s="30"/>
      <x:c r="L259" s="30"/>
      <x:c r="M259" s="30"/>
      <x:c r="N259" s="30"/>
      <x:c r="O259" s="30"/>
      <x:c r="P259" s="30"/>
      <x:c r="Q259" s="30"/>
      <x:c r="R259" s="30"/>
      <x:c r="S259" s="30"/>
      <x:c r="T259" s="30"/>
      <x:c r="U259" s="30"/>
      <x:c r="V259" s="30"/>
      <x:c r="W259" s="30"/>
      <x:c r="X259" s="30"/>
    </x:row>
    <x:row r="260" ht="22" customHeight="1">
      <x:c r="A260" s="30"/>
      <x:c r="B260" s="30"/>
      <x:c r="C260" s="30"/>
      <x:c r="D260" s="30"/>
      <x:c r="E260" s="30"/>
      <x:c r="F260" s="30"/>
      <x:c r="G260" s="30"/>
      <x:c r="H260" s="30"/>
      <x:c r="I260" s="30"/>
      <x:c r="J260" s="30"/>
      <x:c r="K260" s="30"/>
      <x:c r="L260" s="30"/>
      <x:c r="M260" s="30"/>
      <x:c r="N260" s="30"/>
      <x:c r="O260" s="30"/>
      <x:c r="P260" s="30"/>
      <x:c r="Q260" s="30"/>
      <x:c r="R260" s="30"/>
      <x:c r="S260" s="30"/>
      <x:c r="T260" s="30"/>
      <x:c r="U260" s="30"/>
      <x:c r="V260" s="30"/>
      <x:c r="W260" s="30"/>
      <x:c r="X260" s="30"/>
    </x:row>
    <x:row r="261" ht="22" customHeight="1">
      <x:c r="A261" s="30"/>
      <x:c r="B261" s="30"/>
      <x:c r="C261" s="30"/>
      <x:c r="D261" s="30"/>
      <x:c r="E261" s="30"/>
      <x:c r="F261" s="30"/>
      <x:c r="G261" s="30"/>
      <x:c r="H261" s="30"/>
      <x:c r="I261" s="30"/>
      <x:c r="J261" s="30"/>
      <x:c r="K261" s="30"/>
      <x:c r="L261" s="30"/>
      <x:c r="M261" s="30"/>
      <x:c r="N261" s="30"/>
      <x:c r="O261" s="30"/>
      <x:c r="P261" s="30"/>
      <x:c r="Q261" s="30"/>
      <x:c r="R261" s="30"/>
      <x:c r="S261" s="30"/>
      <x:c r="T261" s="30"/>
      <x:c r="U261" s="30"/>
      <x:c r="V261" s="30"/>
      <x:c r="W261" s="30"/>
      <x:c r="X261" s="30"/>
    </x:row>
    <x:row r="262" ht="22" customHeight="1">
      <x:c r="A262" s="30"/>
      <x:c r="B262" s="30"/>
      <x:c r="C262" s="30"/>
      <x:c r="D262" s="30"/>
      <x:c r="E262" s="30"/>
      <x:c r="F262" s="30"/>
      <x:c r="G262" s="30"/>
      <x:c r="H262" s="30"/>
      <x:c r="I262" s="30"/>
      <x:c r="J262" s="30"/>
      <x:c r="K262" s="30"/>
      <x:c r="L262" s="30"/>
      <x:c r="M262" s="30"/>
      <x:c r="N262" s="30"/>
      <x:c r="O262" s="30"/>
      <x:c r="P262" s="30"/>
      <x:c r="Q262" s="30"/>
      <x:c r="R262" s="30"/>
      <x:c r="S262" s="30"/>
      <x:c r="T262" s="30"/>
      <x:c r="U262" s="30"/>
      <x:c r="V262" s="30"/>
      <x:c r="W262" s="30"/>
      <x:c r="X262" s="30"/>
    </x:row>
    <x:row r="263" ht="22" customHeight="1">
      <x:c r="A263" s="30"/>
      <x:c r="B263" s="30"/>
      <x:c r="C263" s="30"/>
      <x:c r="D263" s="30"/>
      <x:c r="E263" s="30"/>
      <x:c r="F263" s="30"/>
      <x:c r="G263" s="30"/>
      <x:c r="H263" s="30"/>
      <x:c r="I263" s="30"/>
      <x:c r="J263" s="30"/>
      <x:c r="K263" s="30"/>
      <x:c r="L263" s="30"/>
      <x:c r="M263" s="30"/>
      <x:c r="N263" s="30"/>
      <x:c r="O263" s="30"/>
      <x:c r="P263" s="30"/>
      <x:c r="Q263" s="30"/>
      <x:c r="R263" s="30"/>
      <x:c r="S263" s="30"/>
      <x:c r="T263" s="30"/>
      <x:c r="U263" s="30"/>
      <x:c r="V263" s="30"/>
      <x:c r="W263" s="30"/>
      <x:c r="X263" s="30"/>
    </x:row>
    <x:row r="264" ht="22" customHeight="1">
      <x:c r="A264" s="30"/>
      <x:c r="B264" s="30"/>
      <x:c r="C264" s="30"/>
      <x:c r="D264" s="30"/>
      <x:c r="E264" s="30"/>
      <x:c r="F264" s="30"/>
      <x:c r="G264" s="30"/>
      <x:c r="H264" s="30"/>
      <x:c r="I264" s="30"/>
      <x:c r="J264" s="30"/>
      <x:c r="K264" s="30"/>
      <x:c r="L264" s="30"/>
      <x:c r="M264" s="30"/>
      <x:c r="N264" s="30"/>
      <x:c r="O264" s="30"/>
      <x:c r="P264" s="30"/>
      <x:c r="Q264" s="30"/>
      <x:c r="R264" s="30"/>
      <x:c r="S264" s="30"/>
      <x:c r="T264" s="30"/>
      <x:c r="U264" s="30"/>
      <x:c r="V264" s="30"/>
      <x:c r="W264" s="30"/>
      <x:c r="X264" s="30"/>
    </x:row>
    <x:row r="265" ht="22" customHeight="1">
      <x:c r="A265" s="30"/>
      <x:c r="B265" s="30"/>
      <x:c r="C265" s="30"/>
      <x:c r="D265" s="30"/>
      <x:c r="E265" s="30"/>
      <x:c r="F265" s="30"/>
      <x:c r="G265" s="30"/>
      <x:c r="H265" s="30"/>
      <x:c r="I265" s="30"/>
      <x:c r="J265" s="30"/>
      <x:c r="K265" s="30"/>
      <x:c r="L265" s="30"/>
      <x:c r="M265" s="30"/>
      <x:c r="N265" s="30"/>
      <x:c r="O265" s="30"/>
      <x:c r="P265" s="30"/>
      <x:c r="Q265" s="30"/>
      <x:c r="R265" s="30"/>
      <x:c r="S265" s="30"/>
      <x:c r="T265" s="30"/>
      <x:c r="U265" s="30"/>
      <x:c r="V265" s="30"/>
      <x:c r="W265" s="30"/>
      <x:c r="X265" s="30"/>
    </x:row>
    <x:row r="266" ht="22" customHeight="1">
      <x:c r="A266" s="30"/>
      <x:c r="B266" s="30"/>
      <x:c r="C266" s="30"/>
      <x:c r="D266" s="30"/>
      <x:c r="E266" s="30"/>
      <x:c r="F266" s="30"/>
      <x:c r="G266" s="30"/>
      <x:c r="H266" s="30"/>
      <x:c r="I266" s="30"/>
      <x:c r="J266" s="30"/>
      <x:c r="K266" s="30"/>
      <x:c r="L266" s="30"/>
      <x:c r="M266" s="30"/>
      <x:c r="N266" s="30"/>
      <x:c r="O266" s="30"/>
      <x:c r="P266" s="30"/>
      <x:c r="Q266" s="30"/>
      <x:c r="R266" s="30"/>
      <x:c r="S266" s="30"/>
      <x:c r="T266" s="30"/>
      <x:c r="U266" s="30"/>
      <x:c r="V266" s="30"/>
      <x:c r="W266" s="30"/>
      <x:c r="X266" s="30"/>
    </x:row>
    <x:row r="267" ht="22" customHeight="1">
      <x:c r="A267" s="30"/>
      <x:c r="B267" s="30"/>
      <x:c r="C267" s="30"/>
      <x:c r="D267" s="30"/>
      <x:c r="E267" s="30"/>
      <x:c r="F267" s="30"/>
      <x:c r="G267" s="30"/>
      <x:c r="H267" s="30"/>
      <x:c r="I267" s="30"/>
      <x:c r="J267" s="30"/>
      <x:c r="K267" s="30"/>
      <x:c r="L267" s="30"/>
      <x:c r="M267" s="30"/>
      <x:c r="N267" s="30"/>
      <x:c r="O267" s="30"/>
      <x:c r="P267" s="30"/>
      <x:c r="Q267" s="30"/>
      <x:c r="R267" s="30"/>
      <x:c r="S267" s="30"/>
      <x:c r="T267" s="30"/>
      <x:c r="U267" s="30"/>
      <x:c r="V267" s="30"/>
      <x:c r="W267" s="30"/>
      <x:c r="X267" s="30"/>
    </x:row>
    <x:row r="268" ht="22" customHeight="1">
      <x:c r="A268" s="30"/>
      <x:c r="B268" s="30"/>
      <x:c r="C268" s="30"/>
      <x:c r="D268" s="30"/>
      <x:c r="E268" s="30"/>
      <x:c r="F268" s="30"/>
      <x:c r="G268" s="30"/>
      <x:c r="H268" s="30"/>
      <x:c r="I268" s="30"/>
      <x:c r="J268" s="30"/>
      <x:c r="K268" s="30"/>
      <x:c r="L268" s="30"/>
      <x:c r="M268" s="30"/>
      <x:c r="N268" s="30"/>
      <x:c r="O268" s="30"/>
      <x:c r="P268" s="30"/>
      <x:c r="Q268" s="30"/>
      <x:c r="R268" s="30"/>
      <x:c r="S268" s="30"/>
      <x:c r="T268" s="30"/>
      <x:c r="U268" s="30"/>
      <x:c r="V268" s="30"/>
      <x:c r="W268" s="30"/>
      <x:c r="X268" s="30"/>
    </x:row>
    <x:row r="269" ht="22" customHeight="1">
      <x:c r="A269" s="30"/>
      <x:c r="B269" s="30"/>
      <x:c r="C269" s="30"/>
      <x:c r="D269" s="30"/>
      <x:c r="E269" s="30"/>
      <x:c r="F269" s="30"/>
      <x:c r="G269" s="30"/>
      <x:c r="H269" s="30"/>
      <x:c r="I269" s="30"/>
      <x:c r="J269" s="30"/>
      <x:c r="K269" s="30"/>
      <x:c r="L269" s="30"/>
      <x:c r="M269" s="30"/>
      <x:c r="N269" s="30"/>
      <x:c r="O269" s="30"/>
      <x:c r="P269" s="30"/>
      <x:c r="Q269" s="30"/>
      <x:c r="R269" s="30"/>
      <x:c r="S269" s="30"/>
      <x:c r="T269" s="30"/>
      <x:c r="U269" s="30"/>
      <x:c r="V269" s="30"/>
      <x:c r="W269" s="30"/>
      <x:c r="X269" s="30"/>
    </x:row>
    <x:row r="270" ht="22" customHeight="1">
      <x:c r="A270" s="30"/>
      <x:c r="B270" s="30"/>
      <x:c r="C270" s="30"/>
      <x:c r="D270" s="30"/>
      <x:c r="E270" s="30"/>
      <x:c r="F270" s="30"/>
      <x:c r="G270" s="30"/>
      <x:c r="H270" s="30"/>
      <x:c r="I270" s="30"/>
      <x:c r="J270" s="30"/>
      <x:c r="K270" s="30"/>
      <x:c r="L270" s="30"/>
      <x:c r="M270" s="30"/>
      <x:c r="N270" s="30"/>
      <x:c r="O270" s="30"/>
      <x:c r="P270" s="30"/>
      <x:c r="Q270" s="30"/>
      <x:c r="R270" s="30"/>
      <x:c r="S270" s="30"/>
      <x:c r="T270" s="30"/>
      <x:c r="U270" s="30"/>
      <x:c r="V270" s="30"/>
      <x:c r="W270" s="30"/>
      <x:c r="X270" s="30"/>
    </x:row>
    <x:row r="271" ht="22" customHeight="1">
      <x:c r="A271" s="30"/>
      <x:c r="B271" s="30"/>
      <x:c r="C271" s="30"/>
      <x:c r="D271" s="30"/>
      <x:c r="E271" s="30"/>
      <x:c r="F271" s="30"/>
      <x:c r="G271" s="30"/>
      <x:c r="H271" s="30"/>
      <x:c r="I271" s="30"/>
      <x:c r="J271" s="30"/>
      <x:c r="K271" s="30"/>
      <x:c r="L271" s="30"/>
      <x:c r="M271" s="30"/>
      <x:c r="N271" s="30"/>
      <x:c r="O271" s="30"/>
      <x:c r="P271" s="30"/>
      <x:c r="Q271" s="30"/>
      <x:c r="R271" s="30"/>
      <x:c r="S271" s="30"/>
      <x:c r="T271" s="30"/>
      <x:c r="U271" s="30"/>
      <x:c r="V271" s="30"/>
      <x:c r="W271" s="30"/>
      <x:c r="X271" s="30"/>
    </x:row>
    <x:row r="272" ht="22" customHeight="1">
      <x:c r="A272" s="30"/>
      <x:c r="B272" s="30"/>
      <x:c r="C272" s="30"/>
      <x:c r="D272" s="30"/>
      <x:c r="E272" s="30"/>
      <x:c r="F272" s="30"/>
      <x:c r="G272" s="30"/>
      <x:c r="H272" s="30"/>
      <x:c r="I272" s="30"/>
      <x:c r="J272" s="30"/>
      <x:c r="K272" s="30"/>
      <x:c r="L272" s="30"/>
      <x:c r="M272" s="30"/>
      <x:c r="N272" s="30"/>
      <x:c r="O272" s="30"/>
      <x:c r="P272" s="30"/>
      <x:c r="Q272" s="30"/>
      <x:c r="R272" s="30"/>
      <x:c r="S272" s="30"/>
      <x:c r="T272" s="30"/>
      <x:c r="U272" s="30"/>
      <x:c r="V272" s="30"/>
      <x:c r="W272" s="30"/>
      <x:c r="X272" s="30"/>
    </x:row>
    <x:row r="273" ht="22" customHeight="1">
      <x:c r="A273" s="30"/>
      <x:c r="B273" s="30"/>
      <x:c r="C273" s="30"/>
      <x:c r="D273" s="30"/>
      <x:c r="E273" s="30"/>
      <x:c r="F273" s="30"/>
      <x:c r="G273" s="30"/>
      <x:c r="H273" s="30"/>
      <x:c r="I273" s="30"/>
      <x:c r="J273" s="30"/>
      <x:c r="K273" s="30"/>
      <x:c r="L273" s="30"/>
      <x:c r="M273" s="30"/>
      <x:c r="N273" s="30"/>
      <x:c r="O273" s="30"/>
      <x:c r="P273" s="30"/>
      <x:c r="Q273" s="30"/>
      <x:c r="R273" s="30"/>
      <x:c r="S273" s="30"/>
      <x:c r="T273" s="30"/>
      <x:c r="U273" s="30"/>
      <x:c r="V273" s="30"/>
      <x:c r="W273" s="30"/>
      <x:c r="X273" s="30"/>
    </x:row>
    <x:row r="274" ht="22" customHeight="1">
      <x:c r="A274" s="30"/>
      <x:c r="B274" s="30"/>
      <x:c r="C274" s="30"/>
      <x:c r="D274" s="30"/>
      <x:c r="E274" s="30"/>
      <x:c r="F274" s="30"/>
      <x:c r="G274" s="30"/>
      <x:c r="H274" s="30"/>
      <x:c r="I274" s="30"/>
      <x:c r="J274" s="30"/>
      <x:c r="K274" s="30"/>
      <x:c r="L274" s="30"/>
      <x:c r="M274" s="30"/>
      <x:c r="N274" s="30"/>
      <x:c r="O274" s="30"/>
      <x:c r="P274" s="30"/>
      <x:c r="Q274" s="30"/>
      <x:c r="R274" s="30"/>
      <x:c r="S274" s="30"/>
      <x:c r="T274" s="30"/>
      <x:c r="U274" s="30"/>
      <x:c r="V274" s="30"/>
      <x:c r="W274" s="30"/>
      <x:c r="X274" s="30"/>
    </x:row>
    <x:row r="275" ht="22" customHeight="1">
      <x:c r="A275" s="30"/>
      <x:c r="B275" s="30"/>
      <x:c r="C275" s="30"/>
      <x:c r="D275" s="30"/>
      <x:c r="E275" s="30"/>
      <x:c r="F275" s="30"/>
      <x:c r="G275" s="30"/>
      <x:c r="H275" s="30"/>
      <x:c r="I275" s="30"/>
      <x:c r="J275" s="30"/>
      <x:c r="K275" s="30"/>
      <x:c r="L275" s="30"/>
      <x:c r="M275" s="30"/>
      <x:c r="N275" s="30"/>
      <x:c r="O275" s="30"/>
      <x:c r="P275" s="30"/>
      <x:c r="Q275" s="30"/>
      <x:c r="R275" s="30"/>
      <x:c r="S275" s="30"/>
      <x:c r="T275" s="30"/>
      <x:c r="U275" s="30"/>
      <x:c r="V275" s="30"/>
      <x:c r="W275" s="30"/>
      <x:c r="X275" s="30"/>
    </x:row>
    <x:row r="276" ht="22" customHeight="1">
      <x:c r="A276" s="30"/>
      <x:c r="B276" s="30"/>
      <x:c r="C276" s="30"/>
      <x:c r="D276" s="30"/>
      <x:c r="E276" s="30"/>
      <x:c r="F276" s="30"/>
      <x:c r="G276" s="30"/>
      <x:c r="H276" s="30"/>
      <x:c r="I276" s="30"/>
      <x:c r="J276" s="30"/>
      <x:c r="K276" s="30"/>
      <x:c r="L276" s="30"/>
      <x:c r="M276" s="30"/>
      <x:c r="N276" s="30"/>
      <x:c r="O276" s="30"/>
      <x:c r="P276" s="30"/>
      <x:c r="Q276" s="30"/>
      <x:c r="R276" s="30"/>
      <x:c r="S276" s="30"/>
      <x:c r="T276" s="30"/>
      <x:c r="U276" s="30"/>
      <x:c r="V276" s="30"/>
      <x:c r="W276" s="30"/>
      <x:c r="X276" s="30"/>
    </x:row>
    <x:row r="277" ht="22" customHeight="1">
      <x:c r="A277" s="30"/>
      <x:c r="B277" s="30"/>
      <x:c r="C277" s="30"/>
      <x:c r="D277" s="30"/>
      <x:c r="E277" s="30"/>
      <x:c r="F277" s="30"/>
      <x:c r="G277" s="30"/>
      <x:c r="H277" s="30"/>
      <x:c r="I277" s="30"/>
      <x:c r="J277" s="30"/>
      <x:c r="K277" s="30"/>
      <x:c r="L277" s="30"/>
      <x:c r="M277" s="30"/>
      <x:c r="N277" s="30"/>
      <x:c r="O277" s="30"/>
      <x:c r="P277" s="30"/>
      <x:c r="Q277" s="30"/>
      <x:c r="R277" s="30"/>
      <x:c r="S277" s="30"/>
      <x:c r="T277" s="30"/>
      <x:c r="U277" s="30"/>
      <x:c r="V277" s="30"/>
      <x:c r="W277" s="30"/>
      <x:c r="X277" s="30"/>
    </x:row>
    <x:row r="278" ht="22" customHeight="1">
      <x:c r="A278" s="30"/>
      <x:c r="B278" s="30"/>
      <x:c r="C278" s="30"/>
      <x:c r="D278" s="30"/>
      <x:c r="E278" s="30"/>
      <x:c r="F278" s="30"/>
      <x:c r="G278" s="30"/>
      <x:c r="H278" s="30"/>
      <x:c r="I278" s="30"/>
      <x:c r="J278" s="30"/>
      <x:c r="K278" s="30"/>
      <x:c r="L278" s="30"/>
      <x:c r="M278" s="30"/>
      <x:c r="N278" s="30"/>
      <x:c r="O278" s="30"/>
      <x:c r="P278" s="30"/>
      <x:c r="Q278" s="30"/>
      <x:c r="R278" s="30"/>
      <x:c r="S278" s="30"/>
      <x:c r="T278" s="30"/>
      <x:c r="U278" s="30"/>
      <x:c r="V278" s="30"/>
      <x:c r="W278" s="30"/>
      <x:c r="X278" s="30"/>
    </x:row>
    <x:row r="279" ht="22" customHeight="1">
      <x:c r="A279" s="30"/>
      <x:c r="B279" s="30"/>
      <x:c r="C279" s="30"/>
      <x:c r="D279" s="30"/>
      <x:c r="E279" s="30"/>
      <x:c r="F279" s="30"/>
      <x:c r="G279" s="30"/>
      <x:c r="H279" s="30"/>
      <x:c r="I279" s="30"/>
      <x:c r="J279" s="30"/>
      <x:c r="K279" s="30"/>
      <x:c r="L279" s="30"/>
      <x:c r="M279" s="30"/>
      <x:c r="N279" s="30"/>
      <x:c r="O279" s="30"/>
      <x:c r="P279" s="30"/>
      <x:c r="Q279" s="30"/>
      <x:c r="R279" s="30"/>
      <x:c r="S279" s="30"/>
      <x:c r="T279" s="30"/>
      <x:c r="U279" s="30"/>
      <x:c r="V279" s="30"/>
      <x:c r="W279" s="30"/>
      <x:c r="X279" s="30"/>
    </x:row>
    <x:row r="280" ht="22" customHeight="1">
      <x:c r="A280" s="30"/>
      <x:c r="B280" s="30"/>
      <x:c r="C280" s="30"/>
      <x:c r="D280" s="30"/>
      <x:c r="E280" s="30"/>
      <x:c r="F280" s="30"/>
      <x:c r="G280" s="30"/>
      <x:c r="H280" s="30"/>
      <x:c r="I280" s="30"/>
      <x:c r="J280" s="30"/>
      <x:c r="K280" s="30"/>
      <x:c r="L280" s="30"/>
      <x:c r="M280" s="30"/>
      <x:c r="N280" s="30"/>
      <x:c r="O280" s="30"/>
      <x:c r="P280" s="30"/>
      <x:c r="Q280" s="30"/>
      <x:c r="R280" s="30"/>
      <x:c r="S280" s="30"/>
      <x:c r="T280" s="30"/>
      <x:c r="U280" s="30"/>
      <x:c r="V280" s="30"/>
      <x:c r="W280" s="30"/>
      <x:c r="X280" s="30"/>
    </x:row>
    <x:row r="281" ht="22" customHeight="1">
      <x:c r="A281" s="30"/>
      <x:c r="B281" s="30"/>
      <x:c r="C281" s="30"/>
      <x:c r="D281" s="30"/>
      <x:c r="E281" s="30"/>
      <x:c r="F281" s="30"/>
      <x:c r="G281" s="30"/>
      <x:c r="H281" s="30"/>
      <x:c r="I281" s="30"/>
      <x:c r="J281" s="30"/>
      <x:c r="K281" s="30"/>
      <x:c r="L281" s="30"/>
      <x:c r="M281" s="30"/>
      <x:c r="N281" s="30"/>
      <x:c r="O281" s="30"/>
      <x:c r="P281" s="30"/>
      <x:c r="Q281" s="30"/>
      <x:c r="R281" s="30"/>
      <x:c r="S281" s="30"/>
      <x:c r="T281" s="30"/>
      <x:c r="U281" s="30"/>
      <x:c r="V281" s="30"/>
      <x:c r="W281" s="30"/>
      <x:c r="X281" s="30"/>
    </x:row>
    <x:row r="282" ht="22" customHeight="1">
      <x:c r="A282" s="30"/>
      <x:c r="B282" s="30"/>
      <x:c r="C282" s="30"/>
      <x:c r="D282" s="30"/>
      <x:c r="E282" s="30"/>
      <x:c r="F282" s="30"/>
      <x:c r="G282" s="30"/>
      <x:c r="H282" s="30"/>
      <x:c r="I282" s="30"/>
      <x:c r="J282" s="30"/>
      <x:c r="K282" s="30"/>
      <x:c r="L282" s="30"/>
      <x:c r="M282" s="30"/>
      <x:c r="N282" s="30"/>
      <x:c r="O282" s="30"/>
      <x:c r="P282" s="30"/>
      <x:c r="Q282" s="30"/>
      <x:c r="R282" s="30"/>
      <x:c r="S282" s="30"/>
      <x:c r="T282" s="30"/>
      <x:c r="U282" s="30"/>
      <x:c r="V282" s="30"/>
      <x:c r="W282" s="30"/>
      <x:c r="X282" s="30"/>
    </x:row>
    <x:row r="283" ht="22" customHeight="1">
      <x:c r="A283" s="30"/>
      <x:c r="B283" s="30"/>
      <x:c r="C283" s="30"/>
      <x:c r="D283" s="30"/>
      <x:c r="E283" s="30"/>
      <x:c r="F283" s="30"/>
      <x:c r="G283" s="30"/>
      <x:c r="H283" s="30"/>
      <x:c r="I283" s="30"/>
      <x:c r="J283" s="30"/>
      <x:c r="K283" s="30"/>
      <x:c r="L283" s="30"/>
      <x:c r="M283" s="30"/>
      <x:c r="N283" s="30"/>
      <x:c r="O283" s="30"/>
      <x:c r="P283" s="30"/>
      <x:c r="Q283" s="30"/>
      <x:c r="R283" s="30"/>
      <x:c r="S283" s="30"/>
      <x:c r="T283" s="30"/>
      <x:c r="U283" s="30"/>
      <x:c r="V283" s="30"/>
      <x:c r="W283" s="30"/>
      <x:c r="X283" s="30"/>
    </x:row>
    <x:row r="284" ht="22" customHeight="1">
      <x:c r="A284" s="30"/>
      <x:c r="B284" s="30"/>
      <x:c r="C284" s="30"/>
      <x:c r="D284" s="30"/>
      <x:c r="E284" s="30"/>
      <x:c r="F284" s="30"/>
      <x:c r="G284" s="30"/>
      <x:c r="H284" s="30"/>
      <x:c r="I284" s="30"/>
      <x:c r="J284" s="30"/>
      <x:c r="K284" s="30"/>
      <x:c r="L284" s="30"/>
      <x:c r="M284" s="30"/>
      <x:c r="N284" s="30"/>
      <x:c r="O284" s="30"/>
      <x:c r="P284" s="30"/>
      <x:c r="Q284" s="30"/>
      <x:c r="R284" s="30"/>
      <x:c r="S284" s="30"/>
      <x:c r="T284" s="30"/>
      <x:c r="U284" s="30"/>
      <x:c r="V284" s="30"/>
      <x:c r="W284" s="30"/>
      <x:c r="X284" s="30"/>
    </x:row>
    <x:row r="285" ht="22" customHeight="1">
      <x:c r="A285" s="30"/>
      <x:c r="B285" s="30"/>
      <x:c r="C285" s="30"/>
      <x:c r="D285" s="30"/>
      <x:c r="E285" s="30"/>
      <x:c r="F285" s="30"/>
      <x:c r="G285" s="30"/>
      <x:c r="H285" s="30"/>
      <x:c r="I285" s="30"/>
      <x:c r="J285" s="30"/>
      <x:c r="K285" s="30"/>
      <x:c r="L285" s="30"/>
      <x:c r="M285" s="30"/>
      <x:c r="N285" s="30"/>
      <x:c r="O285" s="30"/>
      <x:c r="P285" s="30"/>
      <x:c r="Q285" s="30"/>
      <x:c r="R285" s="30"/>
      <x:c r="S285" s="30"/>
      <x:c r="T285" s="30"/>
      <x:c r="U285" s="30"/>
      <x:c r="V285" s="30"/>
      <x:c r="W285" s="30"/>
      <x:c r="X285" s="30"/>
    </x:row>
    <x:row r="286" ht="22" customHeight="1">
      <x:c r="A286" s="30"/>
      <x:c r="B286" s="30"/>
      <x:c r="C286" s="30"/>
      <x:c r="D286" s="30"/>
      <x:c r="E286" s="30"/>
      <x:c r="F286" s="30"/>
      <x:c r="G286" s="30"/>
      <x:c r="H286" s="30"/>
      <x:c r="I286" s="30"/>
      <x:c r="J286" s="30"/>
      <x:c r="K286" s="30"/>
      <x:c r="L286" s="30"/>
      <x:c r="M286" s="30"/>
      <x:c r="N286" s="30"/>
      <x:c r="O286" s="30"/>
      <x:c r="P286" s="30"/>
      <x:c r="Q286" s="30"/>
      <x:c r="R286" s="30"/>
      <x:c r="S286" s="30"/>
      <x:c r="T286" s="30"/>
      <x:c r="U286" s="30"/>
      <x:c r="V286" s="30"/>
      <x:c r="W286" s="30"/>
      <x:c r="X286" s="30"/>
    </x:row>
    <x:row r="287" ht="22" customHeight="1">
      <x:c r="A287" s="30"/>
      <x:c r="B287" s="30"/>
      <x:c r="C287" s="30"/>
      <x:c r="D287" s="30"/>
      <x:c r="E287" s="30"/>
      <x:c r="F287" s="30"/>
      <x:c r="G287" s="30"/>
      <x:c r="H287" s="30"/>
      <x:c r="I287" s="30"/>
      <x:c r="J287" s="30"/>
      <x:c r="K287" s="30"/>
      <x:c r="L287" s="30"/>
      <x:c r="M287" s="30"/>
      <x:c r="N287" s="30"/>
      <x:c r="O287" s="30"/>
      <x:c r="P287" s="30"/>
      <x:c r="Q287" s="30"/>
      <x:c r="R287" s="30"/>
      <x:c r="S287" s="30"/>
      <x:c r="T287" s="30"/>
      <x:c r="U287" s="30"/>
      <x:c r="V287" s="30"/>
      <x:c r="W287" s="30"/>
      <x:c r="X287" s="30"/>
    </x:row>
    <x:row r="288" ht="22" customHeight="1">
      <x:c r="A288" s="30"/>
      <x:c r="B288" s="30"/>
      <x:c r="C288" s="30"/>
      <x:c r="D288" s="30"/>
      <x:c r="E288" s="30"/>
      <x:c r="F288" s="30"/>
      <x:c r="G288" s="30"/>
      <x:c r="H288" s="30"/>
      <x:c r="I288" s="30"/>
      <x:c r="J288" s="30"/>
      <x:c r="K288" s="30"/>
      <x:c r="L288" s="30"/>
      <x:c r="M288" s="30"/>
      <x:c r="N288" s="30"/>
      <x:c r="O288" s="30"/>
      <x:c r="P288" s="30"/>
      <x:c r="Q288" s="30"/>
      <x:c r="R288" s="30"/>
      <x:c r="S288" s="30"/>
      <x:c r="T288" s="30"/>
      <x:c r="U288" s="30"/>
      <x:c r="V288" s="30"/>
      <x:c r="W288" s="30"/>
      <x:c r="X288" s="30"/>
    </x:row>
    <x:row r="289" ht="22" customHeight="1">
      <x:c r="A289" s="30"/>
      <x:c r="B289" s="30"/>
      <x:c r="C289" s="30"/>
      <x:c r="D289" s="30"/>
      <x:c r="E289" s="30"/>
      <x:c r="F289" s="30"/>
      <x:c r="G289" s="30"/>
      <x:c r="H289" s="30"/>
      <x:c r="I289" s="30"/>
      <x:c r="J289" s="30"/>
      <x:c r="K289" s="30"/>
      <x:c r="L289" s="30"/>
      <x:c r="M289" s="30"/>
      <x:c r="N289" s="30"/>
      <x:c r="O289" s="30"/>
      <x:c r="P289" s="30"/>
      <x:c r="Q289" s="30"/>
      <x:c r="R289" s="30"/>
      <x:c r="S289" s="30"/>
      <x:c r="T289" s="30"/>
      <x:c r="U289" s="30"/>
      <x:c r="V289" s="30"/>
      <x:c r="W289" s="30"/>
      <x:c r="X289" s="30"/>
    </x:row>
    <x:row r="290" ht="22" customHeight="1">
      <x:c r="A290" s="30"/>
      <x:c r="B290" s="30"/>
      <x:c r="C290" s="30"/>
      <x:c r="D290" s="30"/>
      <x:c r="E290" s="30"/>
      <x:c r="F290" s="30"/>
      <x:c r="G290" s="30"/>
      <x:c r="H290" s="30"/>
      <x:c r="I290" s="30"/>
      <x:c r="J290" s="30"/>
      <x:c r="K290" s="30"/>
      <x:c r="L290" s="30"/>
      <x:c r="M290" s="30"/>
      <x:c r="N290" s="30"/>
      <x:c r="O290" s="30"/>
      <x:c r="P290" s="30"/>
      <x:c r="Q290" s="30"/>
      <x:c r="R290" s="30"/>
      <x:c r="S290" s="30"/>
      <x:c r="T290" s="30"/>
      <x:c r="U290" s="30"/>
      <x:c r="V290" s="30"/>
      <x:c r="W290" s="30"/>
      <x:c r="X290" s="30"/>
    </x:row>
    <x:row r="291" ht="22" customHeight="1">
      <x:c r="A291" s="30"/>
      <x:c r="B291" s="30"/>
      <x:c r="C291" s="30"/>
      <x:c r="D291" s="30"/>
      <x:c r="E291" s="30"/>
      <x:c r="F291" s="30"/>
      <x:c r="G291" s="30"/>
      <x:c r="H291" s="30"/>
      <x:c r="I291" s="30"/>
      <x:c r="J291" s="30"/>
      <x:c r="K291" s="30"/>
      <x:c r="L291" s="30"/>
      <x:c r="M291" s="30"/>
      <x:c r="N291" s="30"/>
      <x:c r="O291" s="30"/>
      <x:c r="P291" s="30"/>
      <x:c r="Q291" s="30"/>
      <x:c r="R291" s="30"/>
      <x:c r="S291" s="30"/>
      <x:c r="T291" s="30"/>
      <x:c r="U291" s="30"/>
      <x:c r="V291" s="30"/>
      <x:c r="W291" s="30"/>
      <x:c r="X291" s="30"/>
    </x:row>
    <x:row r="292" ht="22" customHeight="1">
      <x:c r="A292" s="30"/>
      <x:c r="B292" s="30"/>
      <x:c r="C292" s="30"/>
      <x:c r="D292" s="30"/>
      <x:c r="E292" s="30"/>
      <x:c r="F292" s="30"/>
      <x:c r="G292" s="30"/>
      <x:c r="H292" s="30"/>
      <x:c r="I292" s="30"/>
      <x:c r="J292" s="30"/>
      <x:c r="K292" s="30"/>
      <x:c r="L292" s="30"/>
      <x:c r="M292" s="30"/>
      <x:c r="N292" s="30"/>
      <x:c r="O292" s="30"/>
      <x:c r="P292" s="30"/>
      <x:c r="Q292" s="30"/>
      <x:c r="R292" s="30"/>
      <x:c r="S292" s="30"/>
      <x:c r="T292" s="30"/>
      <x:c r="U292" s="30"/>
      <x:c r="V292" s="30"/>
      <x:c r="W292" s="30"/>
      <x:c r="X292" s="30"/>
    </x:row>
    <x:row r="293" ht="22" customHeight="1">
      <x:c r="A293" s="30"/>
      <x:c r="B293" s="30"/>
      <x:c r="C293" s="30"/>
      <x:c r="D293" s="30"/>
      <x:c r="E293" s="30"/>
      <x:c r="F293" s="30"/>
      <x:c r="G293" s="30"/>
      <x:c r="H293" s="30"/>
      <x:c r="I293" s="30"/>
      <x:c r="J293" s="30"/>
      <x:c r="K293" s="30"/>
      <x:c r="L293" s="30"/>
      <x:c r="M293" s="30"/>
      <x:c r="N293" s="30"/>
      <x:c r="O293" s="30"/>
      <x:c r="P293" s="30"/>
      <x:c r="Q293" s="30"/>
      <x:c r="R293" s="30"/>
      <x:c r="S293" s="30"/>
      <x:c r="T293" s="30"/>
      <x:c r="U293" s="30"/>
      <x:c r="V293" s="30"/>
      <x:c r="W293" s="30"/>
      <x:c r="X293" s="30"/>
    </x:row>
    <x:row r="294" ht="22" customHeight="1">
      <x:c r="A294" s="30"/>
      <x:c r="B294" s="30"/>
      <x:c r="C294" s="30"/>
      <x:c r="D294" s="30"/>
      <x:c r="E294" s="30"/>
      <x:c r="F294" s="30"/>
      <x:c r="G294" s="30"/>
      <x:c r="H294" s="30"/>
      <x:c r="I294" s="30"/>
      <x:c r="J294" s="30"/>
      <x:c r="K294" s="30"/>
      <x:c r="L294" s="30"/>
      <x:c r="M294" s="30"/>
      <x:c r="N294" s="30"/>
      <x:c r="O294" s="30"/>
      <x:c r="P294" s="30"/>
      <x:c r="Q294" s="30"/>
      <x:c r="R294" s="30"/>
      <x:c r="S294" s="30"/>
      <x:c r="T294" s="30"/>
      <x:c r="U294" s="30"/>
      <x:c r="V294" s="30"/>
      <x:c r="W294" s="30"/>
      <x:c r="X294" s="30"/>
    </x:row>
    <x:row r="295" ht="22" customHeight="1">
      <x:c r="A295" s="30"/>
      <x:c r="B295" s="30"/>
      <x:c r="C295" s="30"/>
      <x:c r="D295" s="30"/>
      <x:c r="E295" s="30"/>
      <x:c r="F295" s="30"/>
      <x:c r="G295" s="30"/>
      <x:c r="H295" s="30"/>
      <x:c r="I295" s="30"/>
      <x:c r="J295" s="30"/>
      <x:c r="K295" s="30"/>
      <x:c r="L295" s="30"/>
      <x:c r="M295" s="30"/>
      <x:c r="N295" s="30"/>
      <x:c r="O295" s="30"/>
      <x:c r="P295" s="30"/>
      <x:c r="Q295" s="30"/>
      <x:c r="R295" s="30"/>
      <x:c r="S295" s="30"/>
      <x:c r="T295" s="30"/>
      <x:c r="U295" s="30"/>
      <x:c r="V295" s="30"/>
      <x:c r="W295" s="30"/>
      <x:c r="X295" s="30"/>
    </x:row>
    <x:row r="296" ht="22" customHeight="1">
      <x:c r="A296" s="30"/>
      <x:c r="B296" s="30"/>
      <x:c r="C296" s="30"/>
      <x:c r="D296" s="30"/>
      <x:c r="E296" s="30"/>
      <x:c r="F296" s="30"/>
      <x:c r="G296" s="30"/>
      <x:c r="H296" s="30"/>
      <x:c r="I296" s="30"/>
      <x:c r="J296" s="30"/>
      <x:c r="K296" s="30"/>
      <x:c r="L296" s="30"/>
      <x:c r="M296" s="30"/>
      <x:c r="N296" s="30"/>
      <x:c r="O296" s="30"/>
      <x:c r="P296" s="30"/>
      <x:c r="Q296" s="30"/>
      <x:c r="R296" s="30"/>
      <x:c r="S296" s="30"/>
      <x:c r="T296" s="30"/>
      <x:c r="U296" s="30"/>
      <x:c r="V296" s="30"/>
      <x:c r="W296" s="30"/>
      <x:c r="X296" s="30"/>
    </x:row>
    <x:row r="297" ht="22" customHeight="1">
      <x:c r="A297" s="30"/>
      <x:c r="B297" s="30"/>
      <x:c r="C297" s="30"/>
      <x:c r="D297" s="30"/>
      <x:c r="E297" s="30"/>
      <x:c r="F297" s="30"/>
      <x:c r="G297" s="30"/>
      <x:c r="H297" s="30"/>
      <x:c r="I297" s="30"/>
      <x:c r="J297" s="30"/>
      <x:c r="K297" s="30"/>
      <x:c r="L297" s="30"/>
      <x:c r="M297" s="30"/>
      <x:c r="N297" s="30"/>
      <x:c r="O297" s="30"/>
      <x:c r="P297" s="30"/>
      <x:c r="Q297" s="30"/>
      <x:c r="R297" s="30"/>
      <x:c r="S297" s="30"/>
      <x:c r="T297" s="30"/>
      <x:c r="U297" s="30"/>
      <x:c r="V297" s="30"/>
      <x:c r="W297" s="30"/>
      <x:c r="X297" s="30"/>
    </x:row>
    <x:row r="298" ht="22" customHeight="1">
      <x:c r="A298" s="30"/>
      <x:c r="B298" s="30"/>
      <x:c r="C298" s="30"/>
      <x:c r="D298" s="30"/>
      <x:c r="E298" s="30"/>
      <x:c r="F298" s="30"/>
      <x:c r="G298" s="30"/>
      <x:c r="H298" s="30"/>
      <x:c r="I298" s="30"/>
      <x:c r="J298" s="30"/>
      <x:c r="K298" s="30"/>
      <x:c r="L298" s="30"/>
      <x:c r="M298" s="30"/>
      <x:c r="N298" s="30"/>
      <x:c r="O298" s="30"/>
      <x:c r="P298" s="30"/>
      <x:c r="Q298" s="30"/>
      <x:c r="R298" s="30"/>
      <x:c r="S298" s="30"/>
      <x:c r="T298" s="30"/>
      <x:c r="U298" s="30"/>
      <x:c r="V298" s="30"/>
      <x:c r="W298" s="30"/>
      <x:c r="X298" s="30"/>
    </x:row>
    <x:row r="299" ht="22" customHeight="1">
      <x:c r="A299" s="30"/>
      <x:c r="B299" s="30"/>
      <x:c r="C299" s="30"/>
      <x:c r="D299" s="30"/>
      <x:c r="E299" s="30"/>
      <x:c r="F299" s="30"/>
      <x:c r="G299" s="30"/>
      <x:c r="H299" s="30"/>
      <x:c r="I299" s="30"/>
      <x:c r="J299" s="30"/>
      <x:c r="K299" s="30"/>
      <x:c r="L299" s="30"/>
      <x:c r="M299" s="30"/>
      <x:c r="N299" s="30"/>
      <x:c r="O299" s="30"/>
      <x:c r="P299" s="30"/>
      <x:c r="Q299" s="30"/>
      <x:c r="R299" s="30"/>
      <x:c r="S299" s="30"/>
      <x:c r="T299" s="30"/>
      <x:c r="U299" s="30"/>
      <x:c r="V299" s="30"/>
      <x:c r="W299" s="30"/>
      <x:c r="X299" s="30"/>
    </x:row>
    <x:row r="300" ht="22" customHeight="1">
      <x:c r="A300" s="30"/>
      <x:c r="B300" s="30"/>
      <x:c r="C300" s="30"/>
      <x:c r="D300" s="30"/>
      <x:c r="E300" s="30"/>
      <x:c r="F300" s="30"/>
      <x:c r="G300" s="30"/>
      <x:c r="H300" s="30"/>
      <x:c r="I300" s="30"/>
      <x:c r="J300" s="30"/>
      <x:c r="K300" s="30"/>
      <x:c r="L300" s="30"/>
      <x:c r="M300" s="30"/>
      <x:c r="N300" s="30"/>
      <x:c r="O300" s="30"/>
      <x:c r="P300" s="30"/>
      <x:c r="Q300" s="30"/>
      <x:c r="R300" s="30"/>
      <x:c r="S300" s="30"/>
      <x:c r="T300" s="30"/>
      <x:c r="U300" s="30"/>
      <x:c r="V300" s="30"/>
      <x:c r="W300" s="30"/>
      <x:c r="X300" s="30"/>
    </x:row>
    <x:row r="301" ht="22" customHeight="1">
      <x:c r="A301" s="30"/>
      <x:c r="B301" s="30"/>
      <x:c r="C301" s="30"/>
      <x:c r="D301" s="30"/>
      <x:c r="E301" s="30"/>
      <x:c r="F301" s="30"/>
      <x:c r="G301" s="30"/>
      <x:c r="H301" s="30"/>
      <x:c r="I301" s="30"/>
      <x:c r="J301" s="30"/>
      <x:c r="K301" s="30"/>
      <x:c r="L301" s="30"/>
      <x:c r="M301" s="30"/>
      <x:c r="N301" s="30"/>
      <x:c r="O301" s="30"/>
      <x:c r="P301" s="30"/>
      <x:c r="Q301" s="30"/>
      <x:c r="R301" s="30"/>
      <x:c r="S301" s="30"/>
      <x:c r="T301" s="30"/>
      <x:c r="U301" s="30"/>
      <x:c r="V301" s="30"/>
      <x:c r="W301" s="30"/>
      <x:c r="X301" s="30"/>
    </x:row>
    <x:row r="302" ht="22" customHeight="1">
      <x:c r="A302" s="30"/>
      <x:c r="B302" s="30"/>
      <x:c r="C302" s="30"/>
      <x:c r="D302" s="30"/>
      <x:c r="E302" s="30"/>
      <x:c r="F302" s="30"/>
      <x:c r="G302" s="30"/>
      <x:c r="H302" s="30"/>
      <x:c r="I302" s="30"/>
      <x:c r="J302" s="30"/>
      <x:c r="K302" s="30"/>
      <x:c r="L302" s="30"/>
      <x:c r="M302" s="30"/>
      <x:c r="N302" s="30"/>
      <x:c r="O302" s="30"/>
      <x:c r="P302" s="30"/>
      <x:c r="Q302" s="30"/>
      <x:c r="R302" s="30"/>
      <x:c r="S302" s="30"/>
      <x:c r="T302" s="30"/>
      <x:c r="U302" s="30"/>
      <x:c r="V302" s="30"/>
      <x:c r="W302" s="30"/>
      <x:c r="X302" s="30"/>
    </x:row>
    <x:row r="303" ht="22" customHeight="1">
      <x:c r="A303" s="30"/>
      <x:c r="B303" s="30"/>
      <x:c r="C303" s="30"/>
      <x:c r="D303" s="30"/>
      <x:c r="E303" s="30"/>
      <x:c r="F303" s="30"/>
      <x:c r="G303" s="30"/>
      <x:c r="H303" s="30"/>
      <x:c r="I303" s="30"/>
      <x:c r="J303" s="30"/>
      <x:c r="K303" s="30"/>
      <x:c r="L303" s="30"/>
      <x:c r="M303" s="30"/>
      <x:c r="N303" s="30"/>
      <x:c r="O303" s="30"/>
      <x:c r="P303" s="30"/>
      <x:c r="Q303" s="30"/>
      <x:c r="R303" s="30"/>
      <x:c r="S303" s="30"/>
      <x:c r="T303" s="30"/>
      <x:c r="U303" s="30"/>
      <x:c r="V303" s="30"/>
      <x:c r="W303" s="30"/>
      <x:c r="X303" s="30"/>
    </x:row>
    <x:row r="304" ht="22" customHeight="1">
      <x:c r="A304" s="30"/>
      <x:c r="B304" s="30"/>
      <x:c r="C304" s="30"/>
      <x:c r="D304" s="30"/>
      <x:c r="E304" s="30"/>
      <x:c r="F304" s="30"/>
      <x:c r="G304" s="30"/>
      <x:c r="H304" s="30"/>
      <x:c r="I304" s="30"/>
      <x:c r="J304" s="30"/>
      <x:c r="K304" s="30"/>
      <x:c r="L304" s="30"/>
      <x:c r="M304" s="30"/>
      <x:c r="N304" s="30"/>
      <x:c r="O304" s="30"/>
      <x:c r="P304" s="30"/>
      <x:c r="Q304" s="30"/>
      <x:c r="R304" s="30"/>
      <x:c r="S304" s="30"/>
      <x:c r="T304" s="30"/>
      <x:c r="U304" s="30"/>
      <x:c r="V304" s="30"/>
      <x:c r="W304" s="30"/>
      <x:c r="X304" s="30"/>
    </x:row>
    <x:row r="305" ht="22" customHeight="1">
      <x:c r="A305" s="30"/>
      <x:c r="B305" s="30"/>
      <x:c r="C305" s="30"/>
      <x:c r="D305" s="30"/>
      <x:c r="E305" s="30"/>
      <x:c r="F305" s="30"/>
      <x:c r="G305" s="30"/>
      <x:c r="H305" s="30"/>
      <x:c r="I305" s="30"/>
      <x:c r="J305" s="30"/>
      <x:c r="K305" s="30"/>
      <x:c r="L305" s="30"/>
      <x:c r="M305" s="30"/>
      <x:c r="N305" s="30"/>
      <x:c r="O305" s="30"/>
      <x:c r="P305" s="30"/>
      <x:c r="Q305" s="30"/>
      <x:c r="R305" s="30"/>
      <x:c r="S305" s="30"/>
      <x:c r="T305" s="30"/>
      <x:c r="U305" s="30"/>
      <x:c r="V305" s="30"/>
      <x:c r="W305" s="30"/>
      <x:c r="X305" s="30"/>
    </x:row>
    <x:row r="306" ht="22" customHeight="1">
      <x:c r="A306" s="30"/>
      <x:c r="B306" s="30"/>
      <x:c r="C306" s="30"/>
      <x:c r="D306" s="30"/>
      <x:c r="E306" s="30"/>
      <x:c r="F306" s="30"/>
      <x:c r="G306" s="30"/>
      <x:c r="H306" s="30"/>
      <x:c r="I306" s="30"/>
      <x:c r="J306" s="30"/>
      <x:c r="K306" s="30"/>
      <x:c r="L306" s="30"/>
      <x:c r="M306" s="30"/>
      <x:c r="N306" s="30"/>
      <x:c r="O306" s="30"/>
      <x:c r="P306" s="30"/>
      <x:c r="Q306" s="30"/>
      <x:c r="R306" s="30"/>
      <x:c r="S306" s="30"/>
      <x:c r="T306" s="30"/>
      <x:c r="U306" s="30"/>
      <x:c r="V306" s="30"/>
      <x:c r="W306" s="30"/>
      <x:c r="X306" s="30"/>
    </x:row>
    <x:row r="307" ht="22" customHeight="1">
      <x:c r="A307" s="30"/>
      <x:c r="B307" s="30"/>
      <x:c r="C307" s="30"/>
      <x:c r="D307" s="30"/>
      <x:c r="E307" s="30"/>
      <x:c r="F307" s="30"/>
      <x:c r="G307" s="30"/>
      <x:c r="H307" s="30"/>
      <x:c r="I307" s="30"/>
      <x:c r="J307" s="30"/>
      <x:c r="K307" s="30"/>
      <x:c r="L307" s="30"/>
      <x:c r="M307" s="30"/>
      <x:c r="N307" s="30"/>
      <x:c r="O307" s="30"/>
      <x:c r="P307" s="30"/>
      <x:c r="Q307" s="30"/>
      <x:c r="R307" s="30"/>
      <x:c r="S307" s="30"/>
      <x:c r="T307" s="30"/>
      <x:c r="U307" s="30"/>
      <x:c r="V307" s="30"/>
      <x:c r="W307" s="30"/>
      <x:c r="X307" s="30"/>
    </x:row>
    <x:row r="308" ht="22" customHeight="1">
      <x:c r="A308" s="30"/>
      <x:c r="B308" s="30"/>
      <x:c r="C308" s="30"/>
      <x:c r="D308" s="30"/>
      <x:c r="E308" s="30"/>
      <x:c r="F308" s="30"/>
      <x:c r="G308" s="30"/>
      <x:c r="H308" s="30"/>
      <x:c r="I308" s="30"/>
      <x:c r="J308" s="30"/>
      <x:c r="K308" s="30"/>
      <x:c r="L308" s="30"/>
      <x:c r="M308" s="30"/>
      <x:c r="N308" s="30"/>
      <x:c r="O308" s="30"/>
      <x:c r="P308" s="30"/>
      <x:c r="Q308" s="30"/>
      <x:c r="R308" s="30"/>
      <x:c r="S308" s="30"/>
      <x:c r="T308" s="30"/>
      <x:c r="U308" s="30"/>
      <x:c r="V308" s="30"/>
      <x:c r="W308" s="30"/>
      <x:c r="X308" s="30"/>
    </x:row>
    <x:row r="309" ht="22" customHeight="1">
      <x:c r="A309" s="30"/>
      <x:c r="B309" s="30"/>
      <x:c r="C309" s="30"/>
      <x:c r="D309" s="30"/>
      <x:c r="E309" s="30"/>
      <x:c r="F309" s="30"/>
      <x:c r="G309" s="30"/>
      <x:c r="H309" s="30"/>
      <x:c r="I309" s="30"/>
      <x:c r="J309" s="30"/>
      <x:c r="K309" s="30"/>
      <x:c r="L309" s="30"/>
      <x:c r="M309" s="30"/>
      <x:c r="N309" s="30"/>
      <x:c r="O309" s="30"/>
      <x:c r="P309" s="30"/>
      <x:c r="Q309" s="30"/>
      <x:c r="R309" s="30"/>
      <x:c r="S309" s="30"/>
      <x:c r="T309" s="30"/>
      <x:c r="U309" s="30"/>
      <x:c r="V309" s="30"/>
      <x:c r="W309" s="30"/>
      <x:c r="X309" s="30"/>
    </x:row>
    <x:row r="310" ht="22" customHeight="1">
      <x:c r="A310" s="30"/>
      <x:c r="B310" s="30"/>
      <x:c r="C310" s="30"/>
      <x:c r="D310" s="30"/>
      <x:c r="E310" s="30"/>
      <x:c r="F310" s="30"/>
      <x:c r="G310" s="30"/>
      <x:c r="H310" s="30"/>
      <x:c r="I310" s="30"/>
      <x:c r="J310" s="30"/>
      <x:c r="K310" s="30"/>
      <x:c r="L310" s="30"/>
      <x:c r="M310" s="30"/>
      <x:c r="N310" s="30"/>
      <x:c r="O310" s="30"/>
      <x:c r="P310" s="30"/>
      <x:c r="Q310" s="30"/>
      <x:c r="R310" s="30"/>
      <x:c r="S310" s="30"/>
      <x:c r="T310" s="30"/>
      <x:c r="U310" s="30"/>
      <x:c r="V310" s="30"/>
      <x:c r="W310" s="30"/>
      <x:c r="X310" s="30"/>
    </x:row>
    <x:row r="311" ht="22" customHeight="1">
      <x:c r="A311" s="30"/>
      <x:c r="B311" s="30"/>
      <x:c r="C311" s="30"/>
      <x:c r="D311" s="30"/>
      <x:c r="E311" s="30"/>
      <x:c r="F311" s="30"/>
      <x:c r="G311" s="30"/>
      <x:c r="H311" s="30"/>
      <x:c r="I311" s="30"/>
      <x:c r="J311" s="30"/>
      <x:c r="K311" s="30"/>
      <x:c r="L311" s="30"/>
      <x:c r="M311" s="30"/>
      <x:c r="N311" s="30"/>
      <x:c r="O311" s="30"/>
      <x:c r="P311" s="30"/>
      <x:c r="Q311" s="30"/>
      <x:c r="R311" s="30"/>
      <x:c r="S311" s="30"/>
      <x:c r="T311" s="30"/>
      <x:c r="U311" s="30"/>
      <x:c r="V311" s="30"/>
      <x:c r="W311" s="30"/>
      <x:c r="X311" s="30"/>
    </x:row>
    <x:row r="312" ht="22" customHeight="1">
      <x:c r="A312" s="30"/>
      <x:c r="B312" s="30"/>
      <x:c r="C312" s="30"/>
      <x:c r="D312" s="30"/>
      <x:c r="E312" s="30"/>
      <x:c r="F312" s="30"/>
      <x:c r="G312" s="30"/>
      <x:c r="H312" s="30"/>
      <x:c r="I312" s="30"/>
      <x:c r="J312" s="30"/>
      <x:c r="K312" s="30"/>
      <x:c r="L312" s="30"/>
      <x:c r="M312" s="30"/>
      <x:c r="N312" s="30"/>
      <x:c r="O312" s="30"/>
      <x:c r="P312" s="30"/>
      <x:c r="Q312" s="30"/>
      <x:c r="R312" s="30"/>
      <x:c r="S312" s="30"/>
      <x:c r="T312" s="30"/>
      <x:c r="U312" s="30"/>
      <x:c r="V312" s="30"/>
      <x:c r="W312" s="30"/>
      <x:c r="X312" s="30"/>
    </x:row>
    <x:row r="313" ht="22" customHeight="1">
      <x:c r="A313" s="30"/>
      <x:c r="B313" s="30"/>
      <x:c r="C313" s="30"/>
      <x:c r="D313" s="30"/>
      <x:c r="E313" s="30"/>
      <x:c r="F313" s="30"/>
      <x:c r="G313" s="30"/>
      <x:c r="H313" s="30"/>
      <x:c r="I313" s="30"/>
      <x:c r="J313" s="30"/>
      <x:c r="K313" s="30"/>
      <x:c r="L313" s="30"/>
      <x:c r="M313" s="30"/>
      <x:c r="N313" s="30"/>
      <x:c r="O313" s="30"/>
      <x:c r="P313" s="30"/>
      <x:c r="Q313" s="30"/>
      <x:c r="R313" s="30"/>
      <x:c r="S313" s="30"/>
      <x:c r="T313" s="30"/>
      <x:c r="U313" s="30"/>
      <x:c r="V313" s="30"/>
      <x:c r="W313" s="30"/>
      <x:c r="X313" s="30"/>
    </x:row>
    <x:row r="314" ht="22" customHeight="1">
      <x:c r="A314" s="30"/>
      <x:c r="B314" s="30"/>
      <x:c r="C314" s="30"/>
      <x:c r="D314" s="30"/>
      <x:c r="E314" s="30"/>
      <x:c r="F314" s="30"/>
      <x:c r="G314" s="30"/>
      <x:c r="H314" s="30"/>
      <x:c r="I314" s="30"/>
      <x:c r="J314" s="30"/>
      <x:c r="K314" s="30"/>
      <x:c r="L314" s="30"/>
      <x:c r="M314" s="30"/>
      <x:c r="N314" s="30"/>
      <x:c r="O314" s="30"/>
      <x:c r="P314" s="30"/>
      <x:c r="Q314" s="30"/>
      <x:c r="R314" s="30"/>
      <x:c r="S314" s="30"/>
      <x:c r="T314" s="30"/>
      <x:c r="U314" s="30"/>
      <x:c r="V314" s="30"/>
      <x:c r="W314" s="30"/>
      <x:c r="X314" s="30"/>
    </x:row>
    <x:row r="315" ht="22" customHeight="1">
      <x:c r="A315" s="30"/>
      <x:c r="B315" s="30"/>
      <x:c r="C315" s="30"/>
      <x:c r="D315" s="30"/>
      <x:c r="E315" s="30"/>
      <x:c r="F315" s="30"/>
      <x:c r="G315" s="30"/>
      <x:c r="H315" s="30"/>
      <x:c r="I315" s="30"/>
      <x:c r="J315" s="30"/>
      <x:c r="K315" s="30"/>
      <x:c r="L315" s="30"/>
      <x:c r="M315" s="30"/>
      <x:c r="N315" s="30"/>
      <x:c r="O315" s="30"/>
      <x:c r="P315" s="30"/>
      <x:c r="Q315" s="30"/>
      <x:c r="R315" s="30"/>
      <x:c r="S315" s="30"/>
      <x:c r="T315" s="30"/>
      <x:c r="U315" s="30"/>
      <x:c r="V315" s="30"/>
      <x:c r="W315" s="30"/>
      <x:c r="X315" s="30"/>
    </x:row>
    <x:row r="316" ht="22" customHeight="1">
      <x:c r="A316" s="30"/>
      <x:c r="B316" s="30"/>
      <x:c r="C316" s="30"/>
      <x:c r="D316" s="30"/>
      <x:c r="E316" s="30"/>
      <x:c r="F316" s="30"/>
      <x:c r="G316" s="30"/>
      <x:c r="H316" s="30"/>
      <x:c r="I316" s="30"/>
      <x:c r="J316" s="30"/>
      <x:c r="K316" s="30"/>
      <x:c r="L316" s="30"/>
      <x:c r="M316" s="30"/>
      <x:c r="N316" s="30"/>
      <x:c r="O316" s="30"/>
      <x:c r="P316" s="30"/>
      <x:c r="Q316" s="30"/>
      <x:c r="R316" s="30"/>
      <x:c r="S316" s="30"/>
      <x:c r="T316" s="30"/>
      <x:c r="U316" s="30"/>
      <x:c r="V316" s="30"/>
      <x:c r="W316" s="30"/>
      <x:c r="X316" s="30"/>
    </x:row>
    <x:row r="317" ht="22" customHeight="1">
      <x:c r="A317" s="30"/>
      <x:c r="B317" s="30"/>
      <x:c r="C317" s="30"/>
      <x:c r="D317" s="30"/>
      <x:c r="E317" s="30"/>
      <x:c r="F317" s="30"/>
      <x:c r="G317" s="30"/>
      <x:c r="H317" s="30"/>
      <x:c r="I317" s="30"/>
      <x:c r="J317" s="30"/>
      <x:c r="K317" s="30"/>
      <x:c r="L317" s="30"/>
      <x:c r="M317" s="30"/>
      <x:c r="N317" s="30"/>
      <x:c r="O317" s="30"/>
      <x:c r="P317" s="30"/>
      <x:c r="Q317" s="30"/>
      <x:c r="R317" s="30"/>
      <x:c r="S317" s="30"/>
      <x:c r="T317" s="30"/>
      <x:c r="U317" s="30"/>
      <x:c r="V317" s="30"/>
      <x:c r="W317" s="30"/>
      <x:c r="X317" s="30"/>
    </x:row>
    <x:row r="318" ht="22" customHeight="1">
      <x:c r="A318" s="30"/>
      <x:c r="B318" s="30"/>
      <x:c r="C318" s="30"/>
      <x:c r="D318" s="30"/>
      <x:c r="E318" s="30"/>
      <x:c r="F318" s="30"/>
      <x:c r="G318" s="30"/>
      <x:c r="H318" s="30"/>
      <x:c r="I318" s="30"/>
      <x:c r="J318" s="30"/>
      <x:c r="K318" s="30"/>
      <x:c r="L318" s="30"/>
      <x:c r="M318" s="30"/>
      <x:c r="N318" s="30"/>
      <x:c r="O318" s="30"/>
      <x:c r="P318" s="30"/>
      <x:c r="Q318" s="30"/>
      <x:c r="R318" s="30"/>
      <x:c r="S318" s="30"/>
      <x:c r="T318" s="30"/>
      <x:c r="U318" s="30"/>
      <x:c r="V318" s="30"/>
      <x:c r="W318" s="30"/>
      <x:c r="X318" s="30"/>
    </x:row>
    <x:row r="319" ht="22" customHeight="1">
      <x:c r="A319" s="30"/>
      <x:c r="B319" s="30"/>
      <x:c r="C319" s="30"/>
      <x:c r="D319" s="30"/>
      <x:c r="E319" s="30"/>
      <x:c r="F319" s="30"/>
      <x:c r="G319" s="30"/>
      <x:c r="H319" s="30"/>
      <x:c r="I319" s="30"/>
      <x:c r="J319" s="30"/>
      <x:c r="K319" s="30"/>
      <x:c r="L319" s="30"/>
      <x:c r="M319" s="30"/>
      <x:c r="N319" s="30"/>
      <x:c r="O319" s="30"/>
      <x:c r="P319" s="30"/>
      <x:c r="Q319" s="30"/>
      <x:c r="R319" s="30"/>
      <x:c r="S319" s="30"/>
      <x:c r="T319" s="30"/>
      <x:c r="U319" s="30"/>
      <x:c r="V319" s="30"/>
      <x:c r="W319" s="30"/>
      <x:c r="X319" s="30"/>
    </x:row>
    <x:row r="320" ht="22" customHeight="1">
      <x:c r="A320" s="30"/>
      <x:c r="B320" s="30"/>
      <x:c r="C320" s="30"/>
      <x:c r="D320" s="30"/>
      <x:c r="E320" s="30"/>
      <x:c r="F320" s="30"/>
      <x:c r="G320" s="30"/>
      <x:c r="H320" s="30"/>
      <x:c r="I320" s="30"/>
      <x:c r="J320" s="30"/>
      <x:c r="K320" s="30"/>
      <x:c r="L320" s="30"/>
      <x:c r="M320" s="30"/>
      <x:c r="N320" s="30"/>
      <x:c r="O320" s="30"/>
      <x:c r="P320" s="30"/>
      <x:c r="Q320" s="30"/>
      <x:c r="R320" s="30"/>
      <x:c r="S320" s="30"/>
      <x:c r="T320" s="30"/>
      <x:c r="U320" s="30"/>
      <x:c r="V320" s="30"/>
      <x:c r="W320" s="30"/>
      <x:c r="X320" s="30"/>
    </x:row>
    <x:row r="321" ht="22" customHeight="1">
      <x:c r="A321" s="30"/>
      <x:c r="B321" s="30"/>
      <x:c r="C321" s="30"/>
      <x:c r="D321" s="30"/>
      <x:c r="E321" s="30"/>
      <x:c r="F321" s="30"/>
      <x:c r="G321" s="30"/>
      <x:c r="H321" s="30"/>
      <x:c r="I321" s="30"/>
      <x:c r="J321" s="30"/>
      <x:c r="K321" s="30"/>
      <x:c r="L321" s="30"/>
      <x:c r="M321" s="30"/>
      <x:c r="N321" s="30"/>
      <x:c r="O321" s="30"/>
      <x:c r="P321" s="30"/>
      <x:c r="Q321" s="30"/>
      <x:c r="R321" s="30"/>
      <x:c r="S321" s="30"/>
      <x:c r="T321" s="30"/>
      <x:c r="U321" s="30"/>
      <x:c r="V321" s="30"/>
      <x:c r="W321" s="30"/>
      <x:c r="X321" s="30"/>
    </x:row>
    <x:row r="322" ht="22" customHeight="1">
      <x:c r="A322" s="30"/>
      <x:c r="B322" s="30"/>
      <x:c r="C322" s="30"/>
      <x:c r="D322" s="30"/>
      <x:c r="E322" s="30"/>
      <x:c r="F322" s="30"/>
      <x:c r="G322" s="30"/>
      <x:c r="H322" s="30"/>
      <x:c r="I322" s="30"/>
      <x:c r="J322" s="30"/>
      <x:c r="K322" s="30"/>
      <x:c r="L322" s="30"/>
      <x:c r="M322" s="30"/>
      <x:c r="N322" s="30"/>
      <x:c r="O322" s="30"/>
      <x:c r="P322" s="30"/>
      <x:c r="Q322" s="30"/>
      <x:c r="R322" s="30"/>
      <x:c r="S322" s="30"/>
      <x:c r="T322" s="30"/>
      <x:c r="U322" s="30"/>
      <x:c r="V322" s="30"/>
      <x:c r="W322" s="30"/>
      <x:c r="X322" s="30"/>
    </x:row>
    <x:row r="323" ht="22" customHeight="1">
      <x:c r="A323" s="30"/>
      <x:c r="B323" s="30"/>
      <x:c r="C323" s="30"/>
      <x:c r="D323" s="30"/>
      <x:c r="E323" s="30"/>
      <x:c r="F323" s="30"/>
      <x:c r="G323" s="30"/>
      <x:c r="H323" s="30"/>
      <x:c r="I323" s="30"/>
      <x:c r="J323" s="30"/>
      <x:c r="K323" s="30"/>
      <x:c r="L323" s="30"/>
      <x:c r="M323" s="30"/>
      <x:c r="N323" s="30"/>
      <x:c r="O323" s="30"/>
      <x:c r="P323" s="30"/>
      <x:c r="Q323" s="30"/>
      <x:c r="R323" s="30"/>
      <x:c r="S323" s="30"/>
      <x:c r="T323" s="30"/>
      <x:c r="U323" s="30"/>
      <x:c r="V323" s="30"/>
      <x:c r="W323" s="30"/>
      <x:c r="X323" s="30"/>
    </x:row>
    <x:row r="324" ht="22" customHeight="1">
      <x:c r="A324" s="30"/>
      <x:c r="B324" s="30"/>
      <x:c r="C324" s="30"/>
      <x:c r="D324" s="30"/>
      <x:c r="E324" s="30"/>
      <x:c r="F324" s="30"/>
      <x:c r="G324" s="30"/>
      <x:c r="H324" s="30"/>
      <x:c r="I324" s="30"/>
      <x:c r="J324" s="30"/>
      <x:c r="K324" s="30"/>
      <x:c r="L324" s="30"/>
      <x:c r="M324" s="30"/>
      <x:c r="N324" s="30"/>
      <x:c r="O324" s="30"/>
      <x:c r="P324" s="30"/>
      <x:c r="Q324" s="30"/>
      <x:c r="R324" s="30"/>
      <x:c r="S324" s="30"/>
      <x:c r="T324" s="30"/>
      <x:c r="U324" s="30"/>
      <x:c r="V324" s="30"/>
      <x:c r="W324" s="30"/>
      <x:c r="X324" s="30"/>
    </x:row>
    <x:row r="325" ht="22" customHeight="1">
      <x:c r="A325" s="30"/>
      <x:c r="B325" s="30"/>
      <x:c r="C325" s="30"/>
      <x:c r="D325" s="30"/>
      <x:c r="E325" s="30"/>
      <x:c r="F325" s="30"/>
      <x:c r="G325" s="30"/>
      <x:c r="H325" s="30"/>
      <x:c r="I325" s="30"/>
      <x:c r="J325" s="30"/>
      <x:c r="K325" s="30"/>
      <x:c r="L325" s="30"/>
      <x:c r="M325" s="30"/>
      <x:c r="N325" s="30"/>
      <x:c r="O325" s="30"/>
      <x:c r="P325" s="30"/>
      <x:c r="Q325" s="30"/>
      <x:c r="R325" s="30"/>
      <x:c r="S325" s="30"/>
      <x:c r="T325" s="30"/>
      <x:c r="U325" s="30"/>
      <x:c r="V325" s="30"/>
      <x:c r="W325" s="30"/>
      <x:c r="X325" s="30"/>
    </x:row>
    <x:row r="326" ht="22" customHeight="1">
      <x:c r="A326" s="30"/>
      <x:c r="B326" s="30"/>
      <x:c r="C326" s="30"/>
      <x:c r="D326" s="30"/>
      <x:c r="E326" s="30"/>
      <x:c r="F326" s="30"/>
      <x:c r="G326" s="30"/>
      <x:c r="H326" s="30"/>
      <x:c r="I326" s="30"/>
      <x:c r="J326" s="30"/>
      <x:c r="K326" s="30"/>
      <x:c r="L326" s="30"/>
      <x:c r="M326" s="30"/>
      <x:c r="N326" s="30"/>
      <x:c r="O326" s="30"/>
      <x:c r="P326" s="30"/>
      <x:c r="Q326" s="30"/>
      <x:c r="R326" s="30"/>
      <x:c r="S326" s="30"/>
      <x:c r="T326" s="30"/>
      <x:c r="U326" s="30"/>
      <x:c r="V326" s="30"/>
      <x:c r="W326" s="30"/>
      <x:c r="X326" s="30"/>
    </x:row>
    <x:row r="327" ht="22" customHeight="1">
      <x:c r="A327" s="30"/>
      <x:c r="B327" s="30"/>
      <x:c r="C327" s="30"/>
      <x:c r="D327" s="30"/>
      <x:c r="E327" s="30"/>
      <x:c r="F327" s="30"/>
      <x:c r="G327" s="30"/>
      <x:c r="H327" s="30"/>
      <x:c r="I327" s="30"/>
      <x:c r="J327" s="30"/>
      <x:c r="K327" s="30"/>
      <x:c r="L327" s="30"/>
      <x:c r="M327" s="30"/>
      <x:c r="N327" s="30"/>
      <x:c r="O327" s="30"/>
      <x:c r="P327" s="30"/>
      <x:c r="Q327" s="30"/>
      <x:c r="R327" s="30"/>
      <x:c r="S327" s="30"/>
      <x:c r="T327" s="30"/>
      <x:c r="U327" s="30"/>
      <x:c r="V327" s="30"/>
      <x:c r="W327" s="30"/>
      <x:c r="X327" s="30"/>
    </x:row>
    <x:row r="328" ht="22" customHeight="1">
      <x:c r="A328" s="30"/>
      <x:c r="B328" s="30"/>
      <x:c r="C328" s="30"/>
      <x:c r="D328" s="30"/>
      <x:c r="E328" s="30"/>
      <x:c r="F328" s="30"/>
      <x:c r="G328" s="30"/>
      <x:c r="H328" s="30"/>
      <x:c r="I328" s="30"/>
      <x:c r="J328" s="30"/>
      <x:c r="K328" s="30"/>
      <x:c r="L328" s="30"/>
      <x:c r="M328" s="30"/>
      <x:c r="N328" s="30"/>
      <x:c r="O328" s="30"/>
      <x:c r="P328" s="30"/>
      <x:c r="Q328" s="30"/>
      <x:c r="R328" s="30"/>
      <x:c r="S328" s="30"/>
      <x:c r="T328" s="30"/>
      <x:c r="U328" s="30"/>
      <x:c r="V328" s="30"/>
      <x:c r="W328" s="30"/>
      <x:c r="X328" s="30"/>
    </x:row>
    <x:row r="329" ht="22" customHeight="1">
      <x:c r="A329" s="30"/>
      <x:c r="B329" s="30"/>
      <x:c r="C329" s="30"/>
      <x:c r="D329" s="30"/>
      <x:c r="E329" s="30"/>
      <x:c r="F329" s="30"/>
      <x:c r="G329" s="30"/>
      <x:c r="H329" s="30"/>
      <x:c r="I329" s="30"/>
      <x:c r="J329" s="30"/>
      <x:c r="K329" s="30"/>
      <x:c r="L329" s="30"/>
      <x:c r="M329" s="30"/>
      <x:c r="N329" s="30"/>
      <x:c r="O329" s="30"/>
      <x:c r="P329" s="30"/>
      <x:c r="Q329" s="30"/>
      <x:c r="R329" s="30"/>
      <x:c r="S329" s="30"/>
      <x:c r="T329" s="30"/>
      <x:c r="U329" s="30"/>
      <x:c r="V329" s="30"/>
      <x:c r="W329" s="30"/>
      <x:c r="X329" s="30"/>
    </x:row>
  </x:sheetData>
  <x:conditionalFormatting sqref="O30:O53">
    <x:cfRule type="containsText" dxfId="2" priority="1" operator="containsText" text="输入无效"/>
    <x:cfRule type="containsText" dxfId="3" priority="2" operator="containsText" text="KV 超载"/>
    <x:cfRule type="containsText" dxfId="4" priority="3" operator="containsText" text="TPOT 不自洽"/>
    <x:cfRule type="containsText" dxfId="5" priority="4" operator="containsText" text="需时序仿真"/>
  </x:conditionalFormatting>
  <x:dataValidations count="1">
    <x:dataValidation type="list" sqref="N9">
      <x:formula1>"32,64,128"</x:formula1>
    </x:dataValidation>
  </x:dataValidations>
  <x:pageMargins left="0.7" right="0.7" top="0.75" bottom="0.75" header="0.3" footer="0.3"/>
</x:worksheet>
</file>