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3507cc160740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c2ae3408402040da"/>
    <x:sheet xmlns:r="http://schemas.openxmlformats.org/officeDocument/2006/relationships" name="Decode" sheetId="2" r:id="R07e3fea0333b41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88f0c5785e4f76" /><Relationship Type="http://schemas.openxmlformats.org/officeDocument/2006/relationships/theme" Target="/xl/theme/theme1.xml" Id="Rbc16b86a0a7b4d12" /><Relationship Type="http://schemas.openxmlformats.org/officeDocument/2006/relationships/sharedStrings" Target="/xl/sharedStrings.xml" Id="R5e083f4dcb4649e4" /><Relationship Type="http://schemas.openxmlformats.org/officeDocument/2006/relationships/worksheet" Target="/xl/worksheets/sheet1.xml" Id="Rc2ae3408402040da" /><Relationship Type="http://schemas.openxmlformats.org/officeDocument/2006/relationships/worksheet" Target="/xl/worksheets/sheet2.xml" Id="R07e3fea0333b41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IF('Prefill'!$P$25&lt;&gt;0,1,'Prefill'!$P$12)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IF('Prefill'!$P$25&lt;&gt;0,1,'Prefill'!$P$12)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IF('Prefill'!$P$25&lt;&gt;0,1,'Prefill'!$P$12)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IF('Prefill'!$P$19&gt;0,'Prefill'!$P$19,'Prefill'!$P$12)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IF('Prefill'!$P$19&gt;0,'Prefill'!$P$19,'Prefill'!$P$12)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IF('Prefill'!$P$19&gt;0,'Prefill'!$P$19,'Prefill'!$P$12)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'Prefill'!$P$14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'Prefill'!$P$14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'Prefill'!$P$14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'Prefill'!$P$14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'Prefill'!$P$14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IF('Prefill'!$P$17="TP",'Prefill'!$P$18,1)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IF('Prefill'!$P$17="TP",'Prefill'!$P$18,1)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IF('Prefill'!$P$17="TP",'Prefill'!$P$18,1)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IF('Prefill'!$P$25&lt;&gt;0,1,'Prefill'!$P$12)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IF('Prefill'!$P$25&lt;&gt;0,1,'Prefill'!$P$12)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IF('Prefill'!$P$25&lt;&gt;0,1,'Prefill'!$P$12)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IF('Prefill'!$P$19&gt;0,'Prefill'!$P$19,'Prefill'!$P$12)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IF('Prefill'!$P$19&gt;0,'Prefill'!$P$19,'Prefill'!$P$12)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IF('Prefill'!$P$19&gt;0,'Prefill'!$P$19,'Prefill'!$P$12)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IF('Prefill'!$P$19&gt;0,'Prefill'!$P$19,'Prefill'!$P$12)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'Prefill'!$P$14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'Prefill'!$P$14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'Prefill'!$P$14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'Prefill'!$P$14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'Prefill'!$P$14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'Prefill'!$P$14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IF('Prefill'!$P$17="TP",'Prefill'!$P$18,1)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IF('Prefill'!$P$17="TP",'Prefill'!$P$18,1)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IF('Prefill'!$P$17="TP",'Prefill'!$P$18,1)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IF('Prefill'!$P$17="TP",'Prefill'!$P$18,1)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IF('Prefill'!$P$17="TP",'Prefill'!$P$18,1)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IF('Prefill'!$P$17="TP",'Prefill'!$P$18,1)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IF('Prefill'!$P$21&gt;0,'Prefill'!$P$21,'Prefill'!$P$12)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IF('Prefill'!$P$20&gt;0,'Prefill'!$P$20,'Prefill'!$P$12)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'Prefill'!$P$7*7168</x:f>
        <x:v>58720256</x:v>
      </x:c>
      <x:c r="F107" s="33" t="n">
        <x:f>'Prefill'!$P$28</x:f>
        <x:v>2</x:v>
      </x:c>
      <x:c r="G107" s="33" t="n">
        <x:f>IF('Prefill'!$P$21&gt;0,'Prefill'!$P$21,'Prefill'!$P$12)</x:f>
        <x:v>8</x:v>
      </x:c>
      <x:c r="H107" s="33" t="n">
        <x:f>IF(AND(IF('Prefill'!$P$21&gt;0,'Prefill'!$P$21,'Prefill'!$P$12)&gt;1,'Prefill'!$P$24=0),1,0)</x:f>
        <x:v>1</x:v>
      </x:c>
      <x:c r="I107" s="34" t="n">
        <x:f>E107*F107/1048576</x:f>
        <x:v>112</x:v>
      </x:c>
      <x:c r="J107" s="34" t="n">
        <x:f>I107*(IF(G107&gt;1,2*(G107-1)/G107,0))</x:f>
        <x:v>196</x:v>
      </x:c>
      <x:c r="K107" s="34" t="n">
        <x:f>J107*H107</x:f>
        <x:v>196</x:v>
      </x:c>
      <x:c r="L107" s="34" t="n">
        <x:f>K107*G107</x:f>
        <x:v>1568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'Prefill'!$P$7</x:f>
        <x:v>8192</x:v>
      </x:c>
      <x:c r="F108" s="33" t="n">
        <x:f>'Prefill'!$P$30</x:f>
        <x:v>8</x:v>
      </x:c>
      <x:c r="G108" s="33" t="n">
        <x:f>IF('Prefill'!$P$21&gt;0,'Prefill'!$P$21,'Prefill'!$P$12)</x:f>
        <x:v>8</x:v>
      </x:c>
      <x:c r="H108" s="33" t="n">
        <x:f>IF(AND(IF('Prefill'!$P$21&gt;0,'Prefill'!$P$21,'Prefill'!$P$12)&gt;1,'Prefill'!$P$24&lt;&gt;0),1,0)</x:f>
        <x:v>0</x:v>
      </x:c>
      <x:c r="I108" s="34" t="n">
        <x:f>E108*F108/1048576</x:f>
        <x:v>0.0625</x:v>
      </x:c>
      <x:c r="J108" s="34" t="n">
        <x:f>I108*(IF(G108&gt;1,G108-1,0))</x:f>
        <x:v>0.4375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'Prefill'!$P$7*IF('Prefill'!$P$21&gt;0,'Prefill'!$P$21,'Prefill'!$P$12)*7168</x:f>
        <x:v>469762048</x:v>
      </x:c>
      <x:c r="F109" s="33" t="n">
        <x:f>'Prefill'!$P$28</x:f>
        <x:v>2</x:v>
      </x:c>
      <x:c r="G109" s="33" t="n">
        <x:f>IF('Prefill'!$P$21&gt;0,'Prefill'!$P$21,'Prefill'!$P$12)</x:f>
        <x:v>8</x:v>
      </x:c>
      <x:c r="H109" s="33" t="n">
        <x:f>IF(AND(IF('Prefill'!$P$21&gt;0,'Prefill'!$P$21,'Prefill'!$P$12)&gt;1,'Prefill'!$P$24&lt;&gt;0),1,0)</x:f>
        <x:v>0</x:v>
      </x:c>
      <x:c r="I109" s="34" t="n">
        <x:f>E109*F109/1048576</x:f>
        <x:v>896</x:v>
      </x:c>
      <x:c r="J109" s="34" t="n">
        <x:f>I109*(IF(G109&gt;1,(G109-1)/G109,0))</x:f>
        <x:v>784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((ROUNDUP('Prefill'!$P$7/'Prefill'!$P$12,0)*'Prefill'!$P$12)/'Prefill'!$P$12)*7168</x:f>
        <x:v>7340032</x:v>
      </x:c>
      <x:c r="F110" s="33" t="n">
        <x:f>'Prefill'!$P$28</x:f>
        <x:v>2</x:v>
      </x:c>
      <x:c r="G110" s="33" t="n">
        <x:f>'Prefill'!$P$12</x:f>
        <x:v>8</x:v>
      </x:c>
      <x:c r="H110" s="33" t="n">
        <x:f>61*IF(AND('Prefill'!$P$25&lt;&gt;0,'Prefill'!$P$12&gt;1),1,0)</x:f>
        <x:v>61</x:v>
      </x:c>
      <x:c r="I110" s="34" t="n">
        <x:f>E110*F110/1048576</x:f>
        <x:v>14</x:v>
      </x:c>
      <x:c r="J110" s="34" t="n">
        <x:f>I110*(IF(G110&gt;1,G110-1,0))</x:f>
        <x:v>98</x:v>
      </x:c>
      <x:c r="K110" s="34" t="n">
        <x:f>J110*H110</x:f>
        <x:v>5978</x:v>
      </x:c>
      <x:c r="L110" s="34" t="n">
        <x:f>K110*G110</x:f>
        <x:v>47824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((ROUNDUP('Prefill'!$P$7/'Prefill'!$P$12,0)*'Prefill'!$P$12)/'Prefill'!$P$12)*128*512</x:f>
        <x:v>67108864</x:v>
      </x:c>
      <x:c r="F111" s="33" t="n">
        <x:f>'Prefill'!$P$28</x:f>
        <x:v>2</x:v>
      </x:c>
      <x:c r="G111" s="33" t="n">
        <x:f>'Prefill'!$P$12</x:f>
        <x:v>8</x:v>
      </x:c>
      <x:c r="H111" s="33" t="n">
        <x:f>61*IF(AND('Prefill'!$P$25&lt;&gt;0,'Prefill'!$P$12&gt;1),1,0)</x:f>
        <x:v>61</x:v>
      </x:c>
      <x:c r="I111" s="34" t="n">
        <x:f>E111*F111/1048576</x:f>
        <x:v>128</x:v>
      </x:c>
      <x:c r="J111" s="34" t="n">
        <x:f>I111*(IF(G111&gt;1,(G111-1)/G111,0))</x:f>
        <x:v>112</x:v>
      </x:c>
      <x:c r="K111" s="34" t="n">
        <x:f>J111*H111</x:f>
        <x:v>6832</x:v>
      </x:c>
      <x:c r="L111" s="34" t="n">
        <x:f>K111*G111</x:f>
        <x:v>54656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((ROUNDUP('Prefill'!$P$7/'Prefill'!$P$12,0)*'Prefill'!$P$12)/'Prefill'!$P$12)*1024</x:f>
        <x:v>1048576</x:v>
      </x:c>
      <x:c r="F112" s="33" t="n">
        <x:f>'Prefill'!$P$31</x:f>
        <x:v>4</x:v>
      </x:c>
      <x:c r="G112" s="33" t="n">
        <x:f>'Prefill'!$P$12</x:f>
        <x:v>8</x:v>
      </x:c>
      <x:c r="H112" s="33" t="n">
        <x:f>30*IF(AND('Prefill'!$P$25&lt;&gt;0,'Prefill'!$P$12&gt;1),1,0)</x:f>
        <x:v>30</x:v>
      </x:c>
      <x:c r="I112" s="34" t="n">
        <x:f>E112*F112/1048576</x:f>
        <x:v>4</x:v>
      </x:c>
      <x:c r="J112" s="34" t="n">
        <x:f>I112*(IF(G112&gt;1,G112-1,0))</x:f>
        <x:v>28</x:v>
      </x:c>
      <x:c r="K112" s="34" t="n">
        <x:f>J112*H112</x:f>
        <x:v>840</x:v>
      </x:c>
      <x:c r="L112" s="34" t="n">
        <x:f>K112*G112</x:f>
        <x:v>6720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'Prefill'!$P$7*7168</x:f>
        <x:v>58720256</x:v>
      </x:c>
      <x:c r="F113" s="33" t="n">
        <x:f>'Prefill'!$P$28</x:f>
        <x:v>2</x:v>
      </x:c>
      <x:c r="G113" s="33" t="n">
        <x:f>IF('Prefill'!$P$19&gt;0,'Prefill'!$P$19,'Prefill'!$P$12)</x:f>
        <x:v>8</x:v>
      </x:c>
      <x:c r="H113" s="33" t="n">
        <x:f>61*IF(AND('Prefill'!$P$25=0,IF('Prefill'!$P$19&gt;0,'Prefill'!$P$19,'Prefill'!$P$12)&gt;1),1,0)</x:f>
        <x:v>0</x:v>
      </x:c>
      <x:c r="I113" s="34" t="n">
        <x:f>E113*F113/1048576</x:f>
        <x:v>112</x:v>
      </x:c>
      <x:c r="J113" s="34" t="n">
        <x:f>I113*(IF(G113&gt;1,2*(G113-1)/G113,0))</x:f>
        <x:v>196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IF('Prefill'!$P$13&lt;&gt;0,((ROUNDUP('Prefill'!$P$7/'Prefill'!$P$12,0)*'Prefill'!$P$12)/'Prefill'!$P$12),'Prefill'!$P$7)*6*'Prefill'!$P$32*7168</x:f>
        <x:v>38535168</x:v>
      </x:c>
      <x:c r="F114" s="33" t="n">
        <x:f>'Prefill'!$P$28</x:f>
        <x:v>2</x:v>
      </x:c>
      <x:c r="G114" s="33" t="n">
        <x:f>'Prefill'!$P$14</x:f>
        <x:v>8</x:v>
      </x:c>
      <x:c r="H114" s="33" t="n">
        <x:f>61*IF('Prefill'!$P$14&gt;1,1,0)</x:f>
        <x:v>61</x:v>
      </x:c>
      <x:c r="I114" s="34" t="n">
        <x:f>E114*F114/1048576</x:f>
        <x:v>73.5</x:v>
      </x:c>
      <x:c r="J114" s="34" t="n">
        <x:f>I114*(1)</x:f>
        <x:v>73.5</x:v>
      </x:c>
      <x:c r="K114" s="34" t="n">
        <x:f>J114*H114</x:f>
        <x:v>4483.5</x:v>
      </x:c>
      <x:c r="L114" s="34" t="n">
        <x:f>K114*G114</x:f>
        <x:v>35868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IF('Prefill'!$P$13&lt;&gt;0,((ROUNDUP('Prefill'!$P$7/'Prefill'!$P$12,0)*'Prefill'!$P$12)/'Prefill'!$P$12),'Prefill'!$P$7)*6*'Prefill'!$P$32*7168</x:f>
        <x:v>38535168</x:v>
      </x:c>
      <x:c r="F115" s="33" t="n">
        <x:f>'Prefill'!$P$28</x:f>
        <x:v>2</x:v>
      </x:c>
      <x:c r="G115" s="33" t="n">
        <x:f>'Prefill'!$P$14</x:f>
        <x:v>8</x:v>
      </x:c>
      <x:c r="H115" s="33" t="n">
        <x:f>61*IF('Prefill'!$P$14&gt;1,1,0)</x:f>
        <x:v>61</x:v>
      </x:c>
      <x:c r="I115" s="34" t="n">
        <x:f>E115*F115/1048576</x:f>
        <x:v>73.5</x:v>
      </x:c>
      <x:c r="J115" s="34" t="n">
        <x:f>I115*(1)</x:f>
        <x:v>73.5</x:v>
      </x:c>
      <x:c r="K115" s="34" t="n">
        <x:f>J115*H115</x:f>
        <x:v>4483.5</x:v>
      </x:c>
      <x:c r="L115" s="34" t="n">
        <x:f>K115*G115</x:f>
        <x:v>35868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'Prefill'!$P$7*7168</x:f>
        <x:v>58720256</x:v>
      </x:c>
      <x:c r="F116" s="33" t="n">
        <x:f>'Prefill'!$P$28</x:f>
        <x:v>2</x:v>
      </x:c>
      <x:c r="G116" s="33" t="n">
        <x:f>'Prefill'!$P$11</x:f>
        <x:v>1</x:v>
      </x:c>
      <x:c r="H116" s="33" t="n">
        <x:f>61*IF(AND('Prefill'!$P$11&gt;1,'Prefill'!$P$14=1),1,0)</x:f>
        <x:v>0</x:v>
      </x:c>
      <x:c r="I116" s="34" t="n">
        <x:f>E116*F116/1048576</x:f>
        <x:v>112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'Prefill'!$P$7*384</x:f>
        <x:v>3145728</x:v>
      </x:c>
      <x:c r="F117" s="33" t="n">
        <x:f>'Prefill'!$P$28</x:f>
        <x:v>2</x:v>
      </x:c>
      <x:c r="G117" s="33" t="n">
        <x:f>'Prefill'!$P$11</x:f>
        <x:v>1</x:v>
      </x:c>
      <x:c r="H117" s="33" t="n">
        <x:f>61*IF(AND('Prefill'!$P$11&gt;1,'Prefill'!$P$14=1),1,0)</x:f>
        <x:v>0</x:v>
      </x:c>
      <x:c r="I117" s="34" t="n">
        <x:f>E117*F117/1048576</x:f>
        <x:v>6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'Prefill'!$P$7*'Prefill'!$P$11*7168</x:f>
        <x:v>58720256</x:v>
      </x:c>
      <x:c r="F118" s="33" t="n">
        <x:f>'Prefill'!$P$28</x:f>
        <x:v>2</x:v>
      </x:c>
      <x:c r="G118" s="33" t="n">
        <x:f>'Prefill'!$P$11</x:f>
        <x:v>1</x:v>
      </x:c>
      <x:c r="H118" s="33" t="n">
        <x:f>61*IF(AND('Prefill'!$P$11&gt;1,'Prefill'!$P$14=1),1,0)</x:f>
        <x:v>0</x:v>
      </x:c>
      <x:c r="I118" s="34" t="n">
        <x:f>E118*F118/1048576</x:f>
        <x:v>112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((ROUNDUP('Prefill'!$P$7/'Prefill'!$P$12,0)*'Prefill'!$P$12)/'Prefill'!$P$12)*7168</x:f>
        <x:v>7340032</x:v>
      </x:c>
      <x:c r="F119" s="33" t="n">
        <x:f>'Prefill'!$P$28</x:f>
        <x:v>2</x:v>
      </x:c>
      <x:c r="G119" s="33" t="n">
        <x:f>IF('Prefill'!$P$17="TP",'Prefill'!$P$18,1)</x:f>
        <x:v>8</x:v>
      </x:c>
      <x:c r="H119" s="33" t="n">
        <x:f>61*IF(AND('Prefill'!$P$17="TP",IF('Prefill'!$P$17="TP",'Prefill'!$P$18,1)&gt;1,'Prefill'!$P$13&lt;&gt;0),1,0)</x:f>
        <x:v>61</x:v>
      </x:c>
      <x:c r="I119" s="34" t="n">
        <x:f>E119*F119/1048576</x:f>
        <x:v>14</x:v>
      </x:c>
      <x:c r="J119" s="34" t="n">
        <x:f>I119*(IF(G119&gt;1,G119-1,0))</x:f>
        <x:v>98</x:v>
      </x:c>
      <x:c r="K119" s="34" t="n">
        <x:f>J119*H119</x:f>
        <x:v>5978</x:v>
      </x:c>
      <x:c r="L119" s="34" t="n">
        <x:f>K119*G119</x:f>
        <x:v>47824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(ROUNDUP('Prefill'!$P$7/'Prefill'!$P$12,0)*'Prefill'!$P$12)*7168</x:f>
        <x:v>58720256</x:v>
      </x:c>
      <x:c r="F120" s="33" t="n">
        <x:f>'Prefill'!$P$28</x:f>
        <x:v>2</x:v>
      </x:c>
      <x:c r="G120" s="33" t="n">
        <x:f>IF('Prefill'!$P$17="TP",'Prefill'!$P$18,1)</x:f>
        <x:v>8</x:v>
      </x:c>
      <x:c r="H120" s="33" t="n">
        <x:f>61*IF(AND('Prefill'!$P$17="TP",IF('Prefill'!$P$17="TP",'Prefill'!$P$18,1)&gt;1,'Prefill'!$P$13&lt;&gt;0),1,0)</x:f>
        <x:v>61</x:v>
      </x:c>
      <x:c r="I120" s="34" t="n">
        <x:f>E120*F120/1048576</x:f>
        <x:v>112</x:v>
      </x:c>
      <x:c r="J120" s="34" t="n">
        <x:f>I120*(IF(G120&gt;1,(G120-1)/G120,0))</x:f>
        <x:v>98</x:v>
      </x:c>
      <x:c r="K120" s="34" t="n">
        <x:f>J120*H120</x:f>
        <x:v>5978</x:v>
      </x:c>
      <x:c r="L120" s="34" t="n">
        <x:f>K120*G120</x:f>
        <x:v>47824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'Prefill'!$P$7*7168</x:f>
        <x:v>58720256</x:v>
      </x:c>
      <x:c r="F121" s="33" t="n">
        <x:f>'Prefill'!$P$28</x:f>
        <x:v>2</x:v>
      </x:c>
      <x:c r="G121" s="33" t="n">
        <x:f>IF('Prefill'!$P$17="TP",'Prefill'!$P$18,1)</x:f>
        <x:v>8</x:v>
      </x:c>
      <x:c r="H121" s="33" t="n">
        <x:f>61*IF(AND('Prefill'!$P$17="TP",IF('Prefill'!$P$17="TP",'Prefill'!$P$18,1)&gt;1,'Prefill'!$P$13=0),1,0)</x:f>
        <x:v>0</x:v>
      </x:c>
      <x:c r="I121" s="34" t="n">
        <x:f>E121*F121/1048576</x:f>
        <x:v>112</x:v>
      </x:c>
      <x:c r="J121" s="34" t="n">
        <x:f>I121*(IF(G121&gt;1,2*(G121-1)/G121,0))</x:f>
        <x:v>196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PCP</x:v>
      </x:c>
      <x:c r="B122" s="30" t="str">
        <x:v>MoE</x:v>
      </x:c>
      <x:c r="C122" s="30" t="str">
        <x:v>Hidden 输入</x:v>
      </x:c>
      <x:c r="D122" s="30" t="str">
        <x:v>Ring AllGather</x:v>
      </x:c>
      <x:c r="E122" s="33" t="n">
        <x:f>((ROUNDUP('Prefill'!$P$7/'Prefill'!$P$15,0)*'Prefill'!$P$15)/'Prefill'!$P$15)*7168</x:f>
        <x:v>58720256</x:v>
      </x:c>
      <x:c r="F122" s="33" t="n">
        <x:f>'Prefill'!$P$28</x:f>
        <x:v>2</x:v>
      </x:c>
      <x:c r="G122" s="33" t="n">
        <x:f>'Prefill'!$P$15</x:f>
        <x:v>1</x:v>
      </x:c>
      <x:c r="H122" s="33" t="n">
        <x:f>61*IF('Prefill'!$P$15&gt;1,1,0)</x:f>
        <x:v>0</x:v>
      </x:c>
      <x:c r="I122" s="34" t="n">
        <x:f>E122*F122/1048576</x:f>
        <x:v>112</x:v>
      </x:c>
      <x:c r="J122" s="34" t="n">
        <x:f>I122*(IF(G122&gt;1,G122-1,0))</x:f>
        <x:v>0</x:v>
      </x:c>
      <x:c r="K122" s="34" t="n">
        <x:f>J122*H122</x:f>
        <x:v>0</x:v>
      </x:c>
      <x:c r="L122" s="34" t="n">
        <x:f>K122*G122</x:f>
        <x:v>0</x:v>
      </x:c>
      <x:c r="M122" s="30"/>
      <x:c r="N122" s="30"/>
      <x:c r="O122" s="30"/>
      <x:c r="P122" s="30"/>
    </x:row>
    <x:row r="123">
      <x:c r="A123" s="30" t="str">
        <x:v>PCP</x:v>
      </x:c>
      <x:c r="B123" s="30" t="str">
        <x:v>MoE Router</x:v>
      </x:c>
      <x:c r="C123" s="30" t="str">
        <x:v>Router Logits</x:v>
      </x:c>
      <x:c r="D123" s="30" t="str">
        <x:v>Ring AllGather</x:v>
      </x:c>
      <x:c r="E123" s="33" t="n">
        <x:f>((ROUNDUP('Prefill'!$P$7/'Prefill'!$P$15,0)*'Prefill'!$P$15)/'Prefill'!$P$15)*384</x:f>
        <x:v>3145728</x:v>
      </x:c>
      <x:c r="F123" s="33" t="n">
        <x:f>'Prefill'!$P$28</x:f>
        <x:v>2</x:v>
      </x:c>
      <x:c r="G123" s="33" t="n">
        <x:f>'Prefill'!$P$15</x:f>
        <x:v>1</x:v>
      </x:c>
      <x:c r="H123" s="33" t="n">
        <x:f>61*IF('Prefill'!$P$15&gt;1,1,0)</x:f>
        <x:v>0</x:v>
      </x:c>
      <x:c r="I123" s="34" t="n">
        <x:f>E123*F123/1048576</x:f>
        <x:v>6</x:v>
      </x:c>
      <x:c r="J123" s="34" t="n">
        <x:f>I123*(IF(G123&gt;1,G123-1,0))</x:f>
        <x:v>0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PCP</x:v>
      </x:c>
      <x:c r="B124" s="30" t="str">
        <x:v>MoE</x:v>
      </x:c>
      <x:c r="C124" s="30" t="str">
        <x:v>Routed Expert 输出</x:v>
      </x:c>
      <x:c r="D124" s="30" t="str">
        <x:v>Ring ReduceScatter</x:v>
      </x:c>
      <x:c r="E124" s="33" t="n">
        <x:f>(ROUNDUP('Prefill'!$P$7/'Prefill'!$P$15,0)*'Prefill'!$P$15)*7168</x:f>
        <x:v>58720256</x:v>
      </x:c>
      <x:c r="F124" s="33" t="n">
        <x:f>'Prefill'!$P$28</x:f>
        <x:v>2</x:v>
      </x:c>
      <x:c r="G124" s="33" t="n">
        <x:f>'Prefill'!$P$15</x:f>
        <x:v>1</x:v>
      </x:c>
      <x:c r="H124" s="33" t="n">
        <x:f>61*IF('Prefill'!$P$15&gt;1,1,0)</x:f>
        <x:v>0</x:v>
      </x:c>
      <x:c r="I124" s="34" t="n">
        <x:f>E124*F124/1048576</x:f>
        <x:v>112</x:v>
      </x:c>
      <x:c r="J124" s="34" t="n">
        <x:f>I124*(IF(G124&gt;1,(G124-1)/G124,0))</x:f>
        <x:v>0</x:v>
      </x:c>
      <x:c r="K124" s="34" t="n">
        <x:f>J124*H124</x:f>
        <x:v>0</x:v>
      </x:c>
      <x:c r="L124" s="34" t="n">
        <x:f>K124*G124</x:f>
        <x:v>0</x:v>
      </x:c>
      <x:c r="M124" s="30"/>
      <x:c r="N124" s="30"/>
      <x:c r="O124" s="30"/>
      <x:c r="P124" s="30"/>
    </x:row>
    <x:row r="125">
      <x:c r="A125" s="30" t="str">
        <x:v>PCP</x:v>
      </x:c>
      <x:c r="B125" s="30" t="str">
        <x:v>Attention KV</x:v>
      </x:c>
      <x:c r="C125" s="30" t="str">
        <x:v>KV Cache 写入前</x:v>
      </x:c>
      <x:c r="D125" s="30" t="str">
        <x:v>Ring AllGather</x:v>
      </x:c>
      <x:c r="E125" s="33" t="n">
        <x:f>((ROUNDUP('Prefill'!$P$7/'Prefill'!$P$15,0)*'Prefill'!$P$15)/'Prefill'!$P$15)*576</x:f>
        <x:v>4718592</x:v>
      </x:c>
      <x:c r="F125" s="33" t="n">
        <x:f>'Prefill'!$P$28</x:f>
        <x:v>2</x:v>
      </x:c>
      <x:c r="G125" s="33" t="n">
        <x:f>'Prefill'!$P$15</x:f>
        <x:v>1</x:v>
      </x:c>
      <x:c r="H125" s="33" t="n">
        <x:f>61*IF('Prefill'!$P$15&gt;1,1,0)</x:f>
        <x:v>0</x:v>
      </x:c>
      <x:c r="I125" s="34" t="n">
        <x:f>E125*F125/1048576</x:f>
        <x:v>9</x:v>
      </x:c>
      <x:c r="J125" s="34" t="n">
        <x:f>I125*(IF(G125&gt;1,G125-1,0))</x:f>
        <x:v>0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SP</x:v>
      </x:c>
      <x:c r="B126" s="30" t="str">
        <x:v>Model Output</x:v>
      </x:c>
      <x:c r="C126" s="30" t="str">
        <x:v>Final Norm 后</x:v>
      </x:c>
      <x:c r="D126" s="30" t="str">
        <x:v>Ring AllGather</x:v>
      </x:c>
      <x:c r="E126" s="33" t="n">
        <x:f>((ROUNDUP('Prefill'!$P$7/'Prefill'!$P$12,0)*'Prefill'!$P$12)/'Prefill'!$P$12)*7168</x:f>
        <x:v>7340032</x:v>
      </x:c>
      <x:c r="F126" s="33" t="n">
        <x:f>'Prefill'!$P$28</x:f>
        <x:v>2</x:v>
      </x:c>
      <x:c r="G126" s="33" t="n">
        <x:f>'Prefill'!$P$12</x:f>
        <x:v>8</x:v>
      </x:c>
      <x:c r="H126" s="33" t="n">
        <x:f>IF(AND('Prefill'!$P$13&lt;&gt;0,'Prefill'!$P$12&gt;1),1,0)</x:f>
        <x:v>1</x:v>
      </x:c>
      <x:c r="I126" s="34" t="n">
        <x:f>E126*F126/1048576</x:f>
        <x:v>14</x:v>
      </x:c>
      <x:c r="J126" s="34" t="n">
        <x:f>I126*(IF(G126&gt;1,G126-1,0))</x:f>
        <x:v>98</x:v>
      </x:c>
      <x:c r="K126" s="34" t="n">
        <x:f>J126*H126</x:f>
        <x:v>98</x:v>
      </x:c>
      <x:c r="L126" s="34" t="n">
        <x:f>K126*G126</x:f>
        <x:v>784</x:v>
      </x:c>
      <x:c r="M126" s="30"/>
      <x:c r="N126" s="30"/>
      <x:c r="O126" s="30"/>
      <x:c r="P126" s="30"/>
    </x:row>
    <x:row r="127">
      <x:c r="A127" s="30" t="str">
        <x:v>LM Head TP</x:v>
      </x:c>
      <x:c r="B127" s="30" t="str">
        <x:v>LM Head</x:v>
      </x:c>
      <x:c r="C127" s="30" t="str">
        <x:v>完整 Logits</x:v>
      </x:c>
      <x:c r="D127" s="30" t="str">
        <x:v>Ring AllGather</x:v>
      </x:c>
      <x:c r="E127" s="33" t="n">
        <x:f>'Prefill'!$P$8*129280/IF('Prefill'!$P$20&gt;0,'Prefill'!$P$20,'Prefill'!$P$12)</x:f>
        <x:v>2068480</x:v>
      </x:c>
      <x:c r="F127" s="33" t="n">
        <x:f>'Prefill'!$P$28</x:f>
        <x:v>2</x:v>
      </x:c>
      <x:c r="G127" s="33" t="n">
        <x:f>IF('Prefill'!$P$20&gt;0,'Prefill'!$P$20,'Prefill'!$P$12)</x:f>
        <x:v>8</x:v>
      </x:c>
      <x:c r="H127" s="33" t="n">
        <x:f>IF(AND(IF('Prefill'!$P$20&gt;0,'Prefill'!$P$20,'Prefill'!$P$12)&gt;1,'Prefill'!$P$23=0,'Prefill'!$P$33=0),1,0)</x:f>
        <x:v>0</x:v>
      </x:c>
      <x:c r="I127" s="34" t="n">
        <x:f>E127*F127/1048576</x:f>
        <x:v>3.9453125</x:v>
      </x:c>
      <x:c r="J127" s="34" t="n">
        <x:f>I127*(IF(G127&gt;1,G127-1,0))</x:f>
        <x:v>27.6171875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30" t="str">
        <x:v>LM Head TP</x:v>
      </x:c>
      <x:c r="B128" s="30" t="str">
        <x:v>LM Head</x:v>
      </x:c>
      <x:c r="C128" s="30" t="str">
        <x:v>Reduce Sample</x:v>
      </x:c>
      <x:c r="D128" s="30" t="str">
        <x:v>Ring AllGather</x:v>
      </x:c>
      <x:c r="E128" s="33" t="n">
        <x:f>'Prefill'!$P$8*'Prefill'!$P$34</x:f>
        <x:v>32768</x:v>
      </x:c>
      <x:c r="F128" s="33" t="n">
        <x:f>('Prefill'!$P$28+'Prefill'!$P$31)</x:f>
        <x:v>6</x:v>
      </x:c>
      <x:c r="G128" s="33" t="n">
        <x:f>IF('Prefill'!$P$20&gt;0,'Prefill'!$P$20,'Prefill'!$P$12)</x:f>
        <x:v>8</x:v>
      </x:c>
      <x:c r="H128" s="33" t="n">
        <x:f>IF(AND(IF('Prefill'!$P$20&gt;0,'Prefill'!$P$20,'Prefill'!$P$12)&gt;1,'Prefill'!$P$23=0,'Prefill'!$P$33&lt;&gt;0),1,0)</x:f>
        <x:v>1</x:v>
      </x:c>
      <x:c r="I128" s="34" t="n">
        <x:f>E128*F128/1048576</x:f>
        <x:v>0.1875</x:v>
      </x:c>
      <x:c r="J128" s="34" t="n">
        <x:f>I128*(IF(G128&gt;1,G128-1,0))</x:f>
        <x:v>1.3125</x:v>
      </x:c>
      <x:c r="K128" s="34" t="n">
        <x:f>J128*H128</x:f>
        <x:v>1.3125</x:v>
      </x:c>
      <x:c r="L128" s="34" t="n">
        <x:f>K128*G128</x:f>
        <x:v>10.5</x:v>
      </x:c>
      <x:c r="M128" s="30"/>
      <x:c r="N128" s="30"/>
      <x:c r="O128" s="30"/>
      <x:c r="P128" s="30"/>
    </x:row>
    <x:row r="129">
      <x:c r="A129" s="30" t="str">
        <x:v>Fine LM Head TP</x:v>
      </x:c>
      <x:c r="B129" s="30" t="str">
        <x:v>LM Head</x:v>
      </x:c>
      <x:c r="C129" s="30" t="str">
        <x:v>Hidden 输入</x:v>
      </x:c>
      <x:c r="D129" s="30" t="str">
        <x:v>Ring AllGather</x:v>
      </x:c>
      <x:c r="E129" s="33" t="n">
        <x:f>'Prefill'!$P$8*7168</x:f>
        <x:v>917504</x:v>
      </x:c>
      <x:c r="F129" s="33" t="n">
        <x:f>'Prefill'!$P$28</x:f>
        <x:v>2</x:v>
      </x:c>
      <x:c r="G129" s="33" t="n">
        <x:f>IF('Prefill'!$P$20&gt;0,'Prefill'!$P$20,'Prefill'!$P$12)</x:f>
        <x:v>8</x:v>
      </x:c>
      <x:c r="H129" s="33" t="n">
        <x:f>IF(AND(IF('Prefill'!$P$20&gt;0,'Prefill'!$P$20,'Prefill'!$P$12)&gt;1,'Prefill'!$P$23&lt;&gt;0),1,0)</x:f>
        <x:v>0</x:v>
      </x:c>
      <x:c r="I129" s="34" t="n">
        <x:f>E129*F129/1048576</x:f>
        <x:v>1.75</x:v>
      </x:c>
      <x:c r="J129" s="34" t="n">
        <x:f>I129*(IF(G129&gt;1,G129-1,0))</x:f>
        <x:v>12.25</x:v>
      </x:c>
      <x:c r="K129" s="34" t="n">
        <x:f>J129*H129</x:f>
        <x:v>0</x:v>
      </x:c>
      <x:c r="L129" s="34" t="n">
        <x:f>K129*G129</x:f>
        <x:v>0</x:v>
      </x:c>
      <x:c r="M129" s="30"/>
      <x:c r="N129" s="30"/>
      <x:c r="O129" s="30"/>
      <x:c r="P129" s="30"/>
    </x:row>
    <x:row r="130">
      <x:c r="A130" s="30" t="str">
        <x:v>Fine LM Head TP</x:v>
      </x:c>
      <x:c r="B130" s="30" t="str">
        <x:v>LM Head</x:v>
      </x:c>
      <x:c r="C130" s="30" t="str">
        <x:v>完整 Logits</x:v>
      </x:c>
      <x:c r="D130" s="30" t="str">
        <x:v>Equal-split AllToAll</x:v>
      </x:c>
      <x:c r="E130" s="33" t="n">
        <x:f>'Prefill'!$P$8*129280</x:f>
        <x:v>16547840</x:v>
      </x:c>
      <x:c r="F130" s="33" t="n">
        <x:f>'Prefill'!$P$28</x:f>
        <x:v>2</x:v>
      </x:c>
      <x:c r="G130" s="33" t="n">
        <x:f>IF('Prefill'!$P$20&gt;0,'Prefill'!$P$20,'Prefill'!$P$12)</x:f>
        <x:v>8</x:v>
      </x:c>
      <x:c r="H130" s="33" t="n">
        <x:f>IF(AND(IF('Prefill'!$P$20&gt;0,'Prefill'!$P$20,'Prefill'!$P$12)&gt;1,'Prefill'!$P$23&lt;&gt;0,'Prefill'!$P$33=0),1,0)</x:f>
        <x:v>0</x:v>
      </x:c>
      <x:c r="I130" s="34" t="n">
        <x:f>E130*F130/1048576</x:f>
        <x:v>31.5625</x:v>
      </x:c>
      <x:c r="J130" s="34" t="n">
        <x:f>I130*(IF(G130&gt;1,(G130-1)/G130,0))</x:f>
        <x:v>27.6171875</x:v>
      </x:c>
      <x:c r="K130" s="34" t="n">
        <x:f>J130*H130</x:f>
        <x:v>0</x:v>
      </x:c>
      <x:c r="L130" s="34" t="n">
        <x:f>K130*G130</x:f>
        <x:v>0</x:v>
      </x:c>
      <x:c r="M130" s="30"/>
      <x:c r="N130" s="30"/>
      <x:c r="O130" s="30"/>
      <x:c r="P130" s="30"/>
    </x:row>
    <x:row r="131">
      <x:c r="A131" s="30" t="str">
        <x:v>Fine LM Head TP</x:v>
      </x:c>
      <x:c r="B131" s="30" t="str">
        <x:v>LM Head</x:v>
      </x:c>
      <x:c r="C131" s="30" t="str">
        <x:v>Reduce Sample</x:v>
      </x:c>
      <x:c r="D131" s="30" t="str">
        <x:v>Ring AllGather</x:v>
      </x:c>
      <x:c r="E131" s="33" t="n">
        <x:f>'Prefill'!$P$8*'Prefill'!$P$34</x:f>
        <x:v>32768</x:v>
      </x:c>
      <x:c r="F131" s="33" t="n">
        <x:f>('Prefill'!$P$28+'Prefill'!$P$31)</x:f>
        <x:v>6</x:v>
      </x:c>
      <x:c r="G131" s="33" t="n">
        <x:f>IF('Prefill'!$P$20&gt;0,'Prefill'!$P$20,'Prefill'!$P$12)</x:f>
        <x:v>8</x:v>
      </x:c>
      <x:c r="H131" s="33" t="n">
        <x:f>IF(AND(IF('Prefill'!$P$20&gt;0,'Prefill'!$P$20,'Prefill'!$P$12)&gt;1,'Prefill'!$P$23&lt;&gt;0,'Prefill'!$P$33&lt;&gt;0),1,0)</x:f>
        <x:v>0</x:v>
      </x:c>
      <x:c r="I131" s="34" t="n">
        <x:f>E131*F131/1048576</x:f>
        <x:v>0.1875</x:v>
      </x:c>
      <x:c r="J131" s="34" t="n">
        <x:f>I131*(IF(G131&gt;1,G131-1,0))</x:f>
        <x:v>1.3125</x:v>
      </x:c>
      <x:c r="K131" s="34" t="n">
        <x:f>J131*H131</x:f>
        <x:v>0</x:v>
      </x:c>
      <x:c r="L131" s="34" t="n">
        <x:f>K131*G131</x:f>
        <x:v>0</x:v>
      </x:c>
      <x:c r="M131" s="30"/>
      <x:c r="N131" s="30"/>
      <x:c r="O131" s="30"/>
      <x:c r="P131" s="30"/>
    </x:row>
    <x:row r="132">
      <x:c r="A132" s="40" t="str">
        <x:v>合计</x:v>
      </x:c>
      <x:c r="B132" s="40"/>
      <x:c r="C132" s="40"/>
      <x:c r="D132" s="40"/>
      <x:c r="E132" s="40"/>
      <x:c r="F132" s="40"/>
      <x:c r="G132" s="40"/>
      <x:c r="H132" s="40"/>
      <x:c r="I132" s="41"/>
      <x:c r="J132" s="41"/>
      <x:c r="K132" s="41" t="n">
        <x:f>SUM(K107:K131)</x:f>
        <x:v>34868.3125</x:v>
      </x:c>
      <x:c r="L132" s="41" t="n">
        <x:f>SUM(L107:L131)</x:f>
        <x:v>278946.5</x:v>
      </x:c>
      <x:c r="M132" s="30"/>
      <x:c r="N132" s="30"/>
      <x:c r="O132" s="30"/>
      <x:c r="P132" s="30"/>
    </x:row>
    <x:row r="135" ht="23" customHeight="1">
      <x:c r="A135" s="42" t="str">
        <x:v>PD 带宽争用耗时评估</x:v>
      </x:c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</x:row>
    <x:row r="136" ht="23" customHeight="1">
      <x:c r="A136" s="30" t="str">
        <x:v>Prefill 当前表参数；100 GB/s 为归一化示例。所列事件的带宽项，不等于完整 forward 耗时。</x:v>
      </x:c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</x:row>
    <x:row r="137" ht="38" customHeight="1">
      <x:c r="A137" s="45" t="str">
        <x:v>带宽降幅</x:v>
      </x:c>
      <x:c r="B137" s="45" t="str">
        <x:v>输入</x:v>
      </x:c>
      <x:c r="C137" s="45" t="str">
        <x:v>争用覆盖率</x:v>
      </x:c>
      <x:c r="D137" s="45" t="str">
        <x:v>输入</x:v>
      </x:c>
      <x:c r="E137" s="45" t="str">
        <x:v>基线 forward ms</x:v>
      </x:c>
      <x:c r="F137" s="45" t="str">
        <x:v>实测输入</x:v>
      </x:c>
      <x:c r="G137" s="45" t="str">
        <x:v>默认带宽 GB/s</x:v>
      </x:c>
      <x:c r="H137" s="45" t="str">
        <x:v>输入</x:v>
      </x:c>
      <x:c r="I137" s="30"/>
      <x:c r="J137" s="30"/>
      <x:c r="K137" s="30"/>
      <x:c r="L137" s="30"/>
    </x:row>
    <x:row r="138" ht="23" customHeight="1">
      <x:c r="A138" s="30"/>
      <x:c r="B138" s="47" t="n">
        <x:v>0.1</x:v>
      </x:c>
      <x:c r="C138" s="30"/>
      <x:c r="D138" s="47" t="n">
        <x:v>1</x:v>
      </x:c>
      <x:c r="E138" s="30"/>
      <x:c r="F138" s="48"/>
      <x:c r="G138" s="30"/>
      <x:c r="H138" s="48" t="n">
        <x:v>100</x:v>
      </x:c>
      <x:c r="I138" s="30"/>
      <x:c r="J138" s="30"/>
      <x:c r="K138" s="30"/>
      <x:c r="L138" s="30"/>
    </x:row>
    <x:row r="139" ht="38" customHeight="1">
      <x:c r="A139" s="45" t="str">
        <x:v>通信基线 ms</x:v>
      </x:c>
      <x:c r="B139" s="45" t="str">
        <x:v>结果</x:v>
      </x:c>
      <x:c r="C139" s="45" t="str">
        <x:v>通信争用后 ms</x:v>
      </x:c>
      <x:c r="D139" s="45" t="str">
        <x:v>结果</x:v>
      </x:c>
      <x:c r="E139" s="45" t="str">
        <x:v>forward 增量 ms</x:v>
      </x:c>
      <x:c r="F139" s="45" t="str">
        <x:v>结果</x:v>
      </x:c>
      <x:c r="G139" s="45" t="str">
        <x:v>forward 新耗时 ms</x:v>
      </x:c>
      <x:c r="H139" s="45" t="str">
        <x:v>结果</x:v>
      </x:c>
      <x:c r="I139" s="45" t="str">
        <x:v>forward 增幅</x:v>
      </x:c>
      <x:c r="J139" s="45" t="str">
        <x:v>结果</x:v>
      </x:c>
      <x:c r="K139" s="45" t="str">
        <x:v>输入状态</x:v>
      </x:c>
      <x:c r="L139" s="45" t="str">
        <x:v>状态</x:v>
      </x:c>
    </x:row>
    <x:row r="140" ht="23" customHeight="1">
      <x:c r="A140" s="49"/>
      <x:c r="B140" s="49" t="n">
        <x:f>SUM(G144:G169)</x:f>
        <x:v>365.62731519999994</x:v>
      </x:c>
      <x:c r="C140" s="49"/>
      <x:c r="D140" s="49" t="n">
        <x:f>SUM(H144:H169)</x:f>
        <x:v>406.2525724444444</x:v>
      </x:c>
      <x:c r="E140" s="49"/>
      <x:c r="F140" s="49" t="n">
        <x:f>SUM(K144:K169)</x:f>
        <x:v>40.62525724444444</x:v>
      </x:c>
      <x:c r="G140" s="49"/>
      <x:c r="H140" s="49" t="str">
        <x:f>IF(AND(ISNUMBER($F$138),$F$138&gt;0,$F$138&gt;=SUMPRODUCT(G144:G169,J144:J169)),$F$138+F140,"")</x:f>
      </x:c>
      <x:c r="I140" s="49"/>
      <x:c r="J140" s="50" t="str">
        <x:f>IF(AND(ISNUMBER($F$138),$F$138&gt;0,$F$138&gt;=SUMPRODUCT(G144:G169,J144:J169)),F140/$F$138,"")</x:f>
      </x:c>
      <x:c r="K140" s="49"/>
      <x:c r="L140" s="49" t="str">
        <x:f>IF($F$138="","待填基线",IF(AND(ISNUMBER($F$138),$F$138&gt;0,$F$138&gt;=SUMPRODUCT(G144:G169,J144:J169)),"已填基线","基线/暴露不一致"))</x:f>
        <x:v>待填基线</x:v>
      </x:c>
    </x:row>
    <x:row r="141" ht="23" customHeight="1">
      <x:c r="A141" s="30" t="str">
        <x:v>共享比例=0 表示独立链路；暴露系数=0 表示增量完全隐藏。默认均为 1，降幅只作用于带宽项。</x:v>
      </x:c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</x:row>
    <x:row r="142" ht="23" customHeight="1">
      <x:c r="A142" s="30" t="str">
        <x:v>P: AllToAllV + 4 B 计数 Ring；D: A3 BF16 MC2 FullMesh。每事件带宽按端点发送量定义。</x:v>
      </x:c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</x:row>
    <x:row r="143" ht="38" customHeight="1">
      <x:c r="A143" s="45" t="str">
        <x:v>并行域</x:v>
      </x:c>
      <x:c r="B143" s="45" t="str">
        <x:v>模块</x:v>
      </x:c>
      <x:c r="C143" s="45" t="str">
        <x:v>通信事件</x:v>
      </x:c>
      <x:c r="D143" s="45" t="str">
        <x:v>GB/Rank/Step</x:v>
      </x:c>
      <x:c r="E143" s="45" t="str">
        <x:v>有效带宽 GB/s</x:v>
      </x:c>
      <x:c r="F143" s="45" t="str">
        <x:v>共享比例</x:v>
      </x:c>
      <x:c r="G143" s="45" t="str">
        <x:v>基线带宽项 ms</x:v>
      </x:c>
      <x:c r="H143" s="45" t="str">
        <x:v>争用后带宽项 ms</x:v>
      </x:c>
      <x:c r="I143" s="45" t="str">
        <x:v>通信增量 ms</x:v>
      </x:c>
      <x:c r="J143" s="45" t="str">
        <x:v>暴露系数</x:v>
      </x:c>
      <x:c r="K143" s="45" t="str">
        <x:v>forward 增量 ms</x:v>
      </x:c>
      <x:c r="L143" s="45" t="str">
        <x:v>公式口径</x:v>
      </x:c>
    </x:row>
    <x:row r="144" ht="23" customHeight="1">
      <x:c r="A144" s="30" t="str">
        <x:v>Embedding TP</x:v>
      </x:c>
      <x:c r="B144" s="30" t="str">
        <x:v>Embedding</x:v>
      </x:c>
      <x:c r="C144" s="30" t="str">
        <x:v>标准 TP 输出</x:v>
      </x:c>
      <x:c r="D144" s="34" t="n">
        <x:f>(K107*2^20)/1e9</x:f>
        <x:v>0.205520896</x:v>
      </x:c>
      <x:c r="E144" s="51" t="n">
        <x:f>$H$138</x:f>
        <x:v>100</x:v>
      </x:c>
      <x:c r="F144" s="52" t="n">
        <x:v>1</x:v>
      </x:c>
      <x:c r="G144" s="34" t="n">
        <x:f>IF(AND(ISNUMBER(E144),E144&gt;0,ISNUMBER($B$138),$B$138&gt;=0,$B$138&lt;1,ISNUMBER($D$138),$D$138&gt;=0,$D$138&lt;=1,ISNUMBER(F144),F144&gt;=0,F144&lt;=1,ISNUMBER(J144),J144&gt;=0,J144&lt;=1),D144/E144*1000,NA())</x:f>
        <x:v>2.0552089600000003</x:v>
      </x:c>
      <x:c r="H144" s="34" t="n">
        <x:f>G144+I144</x:f>
        <x:v>2.2835655111111115</x:v>
      </x:c>
      <x:c r="I144" s="34" t="n">
        <x:f>G144*F144*$D$138*$B$138/(1-$B$138)</x:f>
        <x:v>0.22835655111111114</x:v>
      </x:c>
      <x:c r="J144" s="52" t="n">
        <x:v>1</x:v>
      </x:c>
      <x:c r="K144" s="34" t="n">
        <x:f>I144*J144</x:f>
        <x:v>0.22835655111111114</x:v>
      </x:c>
      <x:c r="L144" s="30" t="str">
        <x:v>原通信行 107</x:v>
      </x:c>
    </x:row>
    <x:row r="145" ht="23" customHeight="1">
      <x:c r="A145" s="30" t="str">
        <x:v>Embedding TP</x:v>
      </x:c>
      <x:c r="B145" s="30" t="str">
        <x:v>Embedding</x:v>
      </x:c>
      <x:c r="C145" s="30" t="str">
        <x:v>Fine TP Token ID</x:v>
      </x:c>
      <x:c r="D145" s="34" t="n">
        <x:f>(K108*2^20)/1e9</x:f>
        <x:v>0</x:v>
      </x:c>
      <x:c r="E145" s="51" t="n">
        <x:f>$H$138</x:f>
        <x:v>100</x:v>
      </x:c>
      <x:c r="F145" s="52" t="n">
        <x:v>1</x:v>
      </x:c>
      <x:c r="G145" s="34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4" t="n">
        <x:f>G145+I145</x:f>
        <x:v>0</x:v>
      </x:c>
      <x:c r="I145" s="34" t="n">
        <x:f>G145*F145*$D$138*$B$138/(1-$B$138)</x:f>
        <x:v>0</x:v>
      </x:c>
      <x:c r="J145" s="52" t="n">
        <x:v>1</x:v>
      </x:c>
      <x:c r="K145" s="34" t="n">
        <x:f>I145*J145</x:f>
        <x:v>0</x:v>
      </x:c>
      <x:c r="L145" s="30" t="str">
        <x:v>原通信行 108</x:v>
      </x:c>
    </x:row>
    <x:row r="146" ht="23" customHeight="1">
      <x:c r="A146" s="30" t="str">
        <x:v>Embedding TP</x:v>
      </x:c>
      <x:c r="B146" s="30" t="str">
        <x:v>Embedding</x:v>
      </x:c>
      <x:c r="C146" s="30" t="str">
        <x:v>Fine TP Hidden</x:v>
      </x:c>
      <x:c r="D146" s="34" t="n">
        <x:f>(K109*2^20)/1e9</x:f>
        <x:v>0</x:v>
      </x:c>
      <x:c r="E146" s="51" t="n">
        <x:f>$H$138</x:f>
        <x:v>100</x:v>
      </x:c>
      <x:c r="F146" s="52" t="n">
        <x:v>1</x:v>
      </x:c>
      <x:c r="G146" s="34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G146*F146*$D$138*$B$138/(1-$B$138)</x:f>
        <x:v>0</x:v>
      </x:c>
      <x:c r="J146" s="52" t="n">
        <x:v>1</x:v>
      </x:c>
      <x:c r="K146" s="34" t="n">
        <x:f>I146*J146</x:f>
        <x:v>0</x:v>
      </x:c>
      <x:c r="L146" s="30" t="str">
        <x:v>原通信行 109</x:v>
      </x:c>
    </x:row>
    <x:row r="147" ht="23" customHeight="1">
      <x:c r="A147" s="30" t="str">
        <x:v>DSA CP</x:v>
      </x:c>
      <x:c r="B147" s="30" t="str">
        <x:v>Sparse Attention</x:v>
      </x:c>
      <x:c r="C147" s="30" t="str">
        <x:v>Q/KV 投影输入</x:v>
      </x:c>
      <x:c r="D147" s="34" t="n">
        <x:f>(K110*2^20)/1e9</x:f>
        <x:v>6.268387328</x:v>
      </x:c>
      <x:c r="E147" s="51" t="n">
        <x:f>$H$138</x:f>
        <x:v>100</x:v>
      </x:c>
      <x:c r="F147" s="52" t="n">
        <x:v>1</x:v>
      </x:c>
      <x:c r="G147" s="34" t="n">
        <x:f>IF(AND(ISNUMBER(E147),E147&gt;0,ISNUMBER($B$138),$B$138&gt;=0,$B$138&lt;1,ISNUMBER($D$138),$D$138&gt;=0,$D$138&lt;=1,ISNUMBER(F147),F147&gt;=0,F147&lt;=1,ISNUMBER(J147),J147&gt;=0,J147&lt;=1),D147/E147*1000,NA())</x:f>
        <x:v>62.68387327999999</x:v>
      </x:c>
      <x:c r="H147" s="34" t="n">
        <x:f>G147+I147</x:f>
        <x:v>69.64874808888888</x:v>
      </x:c>
      <x:c r="I147" s="34" t="n">
        <x:f>G147*F147*$D$138*$B$138/(1-$B$138)</x:f>
        <x:v>6.964874808888888</x:v>
      </x:c>
      <x:c r="J147" s="52" t="n">
        <x:v>1</x:v>
      </x:c>
      <x:c r="K147" s="34" t="n">
        <x:f>I147*J147</x:f>
        <x:v>6.964874808888888</x:v>
      </x:c>
      <x:c r="L147" s="30" t="str">
        <x:v>原通信行 110</x:v>
      </x:c>
    </x:row>
    <x:row r="148" ht="23" customHeight="1">
      <x:c r="A148" s="30" t="str">
        <x:v>DSA CP</x:v>
      </x:c>
      <x:c r="B148" s="30" t="str">
        <x:v>Sparse Attention</x:v>
      </x:c>
      <x:c r="C148" s="30" t="str">
        <x:v>恢复 TP Head Layout</x:v>
      </x:c>
      <x:c r="D148" s="34" t="n">
        <x:f>(K111*2^20)/1e9</x:f>
        <x:v>7.163871232</x:v>
      </x:c>
      <x:c r="E148" s="51" t="n">
        <x:f>$H$138</x:f>
        <x:v>100</x:v>
      </x:c>
      <x:c r="F148" s="52" t="n">
        <x:v>1</x:v>
      </x:c>
      <x:c r="G148" s="34" t="n">
        <x:f>IF(AND(ISNUMBER(E148),E148&gt;0,ISNUMBER($B$138),$B$138&gt;=0,$B$138&lt;1,ISNUMBER($D$138),$D$138&gt;=0,$D$138&lt;=1,ISNUMBER(F148),F148&gt;=0,F148&lt;=1,ISNUMBER(J148),J148&gt;=0,J148&lt;=1),D148/E148*1000,NA())</x:f>
        <x:v>71.63871232000001</x:v>
      </x:c>
      <x:c r="H148" s="34" t="n">
        <x:f>G148+I148</x:f>
        <x:v>79.59856924444446</x:v>
      </x:c>
      <x:c r="I148" s="34" t="n">
        <x:f>G148*F148*$D$138*$B$138/(1-$B$138)</x:f>
        <x:v>7.959856924444447</x:v>
      </x:c>
      <x:c r="J148" s="52" t="n">
        <x:v>1</x:v>
      </x:c>
      <x:c r="K148" s="34" t="n">
        <x:f>I148*J148</x:f>
        <x:v>7.959856924444447</x:v>
      </x:c>
      <x:c r="L148" s="30" t="str">
        <x:v>原通信行 111</x:v>
      </x:c>
    </x:row>
    <x:row r="149" ht="23" customHeight="1">
      <x:c r="A149" s="30" t="str">
        <x:v>DSA CP</x:v>
      </x:c>
      <x:c r="B149" s="30" t="str">
        <x:v>Indexer</x:v>
      </x:c>
      <x:c r="C149" s="30" t="str">
        <x:v>Top-k Index</x:v>
      </x:c>
      <x:c r="D149" s="34" t="n">
        <x:f>(K112*2^20)/1e9</x:f>
        <x:v>0.88080384</x:v>
      </x:c>
      <x:c r="E149" s="51" t="n">
        <x:f>$H$138</x:f>
        <x:v>100</x:v>
      </x:c>
      <x:c r="F149" s="52" t="n">
        <x:v>1</x:v>
      </x:c>
      <x:c r="G149" s="34" t="n">
        <x:f>IF(AND(ISNUMBER(E149),E149&gt;0,ISNUMBER($B$138),$B$138&gt;=0,$B$138&lt;1,ISNUMBER($D$138),$D$138&gt;=0,$D$138&lt;=1,ISNUMBER(F149),F149&gt;=0,F149&lt;=1,ISNUMBER(J149),J149&gt;=0,J149&lt;=1),D149/E149*1000,NA())</x:f>
        <x:v>8.808038400000001</x:v>
      </x:c>
      <x:c r="H149" s="34" t="n">
        <x:f>G149+I149</x:f>
        <x:v>9.786709333333334</x:v>
      </x:c>
      <x:c r="I149" s="34" t="n">
        <x:f>G149*F149*$D$138*$B$138/(1-$B$138)</x:f>
        <x:v>0.9786709333333334</x:v>
      </x:c>
      <x:c r="J149" s="52" t="n">
        <x:v>1</x:v>
      </x:c>
      <x:c r="K149" s="34" t="n">
        <x:f>I149*J149</x:f>
        <x:v>0.9786709333333334</x:v>
      </x:c>
      <x:c r="L149" s="30" t="str">
        <x:v>原通信行 112</x:v>
      </x:c>
    </x:row>
    <x:row r="150" ht="23" customHeight="1">
      <x:c r="A150" s="30" t="str">
        <x:v>O Proj TP</x:v>
      </x:c>
      <x:c r="B150" s="30" t="str">
        <x:v>Sparse Attention</x:v>
      </x:c>
      <x:c r="C150" s="30" t="str">
        <x:v>DSA CP 关闭</x:v>
      </x:c>
      <x:c r="D150" s="34" t="n">
        <x:f>(K113*2^20)/1e9</x:f>
        <x:v>0</x:v>
      </x:c>
      <x:c r="E150" s="51" t="n">
        <x:f>$H$138</x:f>
        <x:v>100</x:v>
      </x:c>
      <x:c r="F150" s="52" t="n">
        <x:v>1</x:v>
      </x:c>
      <x:c r="G150" s="34" t="n">
        <x:f>IF(AND(ISNUMBER(E150),E150&gt;0,ISNUMBER($B$138),$B$138&gt;=0,$B$138&lt;1,ISNUMBER($D$138),$D$138&gt;=0,$D$138&lt;=1,ISNUMBER(F150),F150&gt;=0,F150&lt;=1,ISNUMBER(J150),J150&gt;=0,J150&lt;=1),D150/E150*1000,NA())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G150*F150*$D$138*$B$138/(1-$B$138)</x:f>
        <x:v>0</x:v>
      </x:c>
      <x:c r="J150" s="52" t="n">
        <x:v>1</x:v>
      </x:c>
      <x:c r="K150" s="34" t="n">
        <x:f>I150*J150</x:f>
        <x:v>0</x:v>
      </x:c>
      <x:c r="L150" s="30" t="str">
        <x:v>原通信行 113</x:v>
      </x:c>
    </x:row>
    <x:row r="151" ht="23" customHeight="1">
      <x:c r="A151" s="30" t="str">
        <x:v>EP</x:v>
      </x:c>
      <x:c r="B151" s="30" t="str">
        <x:v>Routed Experts</x:v>
      </x:c>
      <x:c r="C151" s="30" t="str">
        <x:v>Dispatch Hidden</x:v>
      </x:c>
      <x:c r="D151" s="34" t="n">
        <x:f>(K114*2^20)/1e9</x:f>
        <x:v>4.701290496</x:v>
      </x:c>
      <x:c r="E151" s="51" t="n">
        <x:f>$H$138</x:f>
        <x:v>100</x:v>
      </x:c>
      <x:c r="F151" s="52" t="n">
        <x:v>1</x:v>
      </x:c>
      <x:c r="G151" s="34" t="n">
        <x:f>IF(AND(ISNUMBER(E151),E151&gt;0,ISNUMBER($B$138),$B$138&gt;=0,$B$138&lt;1,ISNUMBER($D$138),$D$138&gt;=0,$D$138&lt;=1,ISNUMBER(F151),F151&gt;=0,F151&lt;=1,ISNUMBER(J151),J151&gt;=0,J151&lt;=1),D151/E151*1000,NA())</x:f>
        <x:v>47.01290496000001</x:v>
      </x:c>
      <x:c r="H151" s="34" t="n">
        <x:f>G151+I151</x:f>
        <x:v>52.236561066666674</x:v>
      </x:c>
      <x:c r="I151" s="34" t="n">
        <x:f>G151*F151*$D$138*$B$138/(1-$B$138)</x:f>
        <x:v>5.223656106666668</x:v>
      </x:c>
      <x:c r="J151" s="52" t="n">
        <x:v>1</x:v>
      </x:c>
      <x:c r="K151" s="34" t="n">
        <x:f>I151*J151</x:f>
        <x:v>5.223656106666668</x:v>
      </x:c>
      <x:c r="L151" s="30" t="str">
        <x:v>原通信行 114</x:v>
      </x:c>
    </x:row>
    <x:row r="152" ht="23" customHeight="1">
      <x:c r="A152" s="30" t="str">
        <x:v>EP</x:v>
      </x:c>
      <x:c r="B152" s="30" t="str">
        <x:v>Routed Experts</x:v>
      </x:c>
      <x:c r="C152" s="30" t="str">
        <x:v>Combine Hidden</x:v>
      </x:c>
      <x:c r="D152" s="34" t="n">
        <x:f>(K115*2^20)/1e9</x:f>
        <x:v>4.701290496</x:v>
      </x:c>
      <x:c r="E152" s="51" t="n">
        <x:f>$H$138</x:f>
        <x:v>100</x:v>
      </x:c>
      <x:c r="F152" s="52" t="n">
        <x:v>1</x:v>
      </x:c>
      <x:c r="G152" s="34" t="n">
        <x:f>IF(AND(ISNUMBER(E152),E152&gt;0,ISNUMBER($B$138),$B$138&gt;=0,$B$138&lt;1,ISNUMBER($D$138),$D$138&gt;=0,$D$138&lt;=1,ISNUMBER(F152),F152&gt;=0,F152&lt;=1,ISNUMBER(J152),J152&gt;=0,J152&lt;=1),D152/E152*1000,NA())</x:f>
        <x:v>47.01290496000001</x:v>
      </x:c>
      <x:c r="H152" s="34" t="n">
        <x:f>G152+I152</x:f>
        <x:v>52.236561066666674</x:v>
      </x:c>
      <x:c r="I152" s="34" t="n">
        <x:f>G152*F152*$D$138*$B$138/(1-$B$138)</x:f>
        <x:v>5.223656106666668</x:v>
      </x:c>
      <x:c r="J152" s="52" t="n">
        <x:v>1</x:v>
      </x:c>
      <x:c r="K152" s="34" t="n">
        <x:f>I152*J152</x:f>
        <x:v>5.223656106666668</x:v>
      </x:c>
      <x:c r="L152" s="30" t="str">
        <x:v>原通信行 115</x:v>
      </x:c>
    </x:row>
    <x:row r="153" ht="23" customHeight="1">
      <x:c r="A153" s="30" t="str">
        <x:v>DP</x:v>
      </x:c>
      <x:c r="B153" s="30" t="str">
        <x:v>MoE</x:v>
      </x:c>
      <x:c r="C153" s="30" t="str">
        <x:v>Hidden 输入</x:v>
      </x:c>
      <x:c r="D153" s="34" t="n">
        <x:f>(K116*2^20)/1e9</x:f>
        <x:v>0</x:v>
      </x:c>
      <x:c r="E153" s="51" t="n">
        <x:f>$H$138</x:f>
        <x:v>100</x:v>
      </x:c>
      <x:c r="F153" s="52" t="n">
        <x:v>1</x:v>
      </x:c>
      <x:c r="G153" s="34" t="n">
        <x:f>IF(AND(ISNUMBER(E153),E153&gt;0,ISNUMBER($B$138),$B$138&gt;=0,$B$138&lt;1,ISNUMBER($D$138),$D$138&gt;=0,$D$138&lt;=1,ISNUMBER(F153),F153&gt;=0,F153&lt;=1,ISNUMBER(J153),J153&gt;=0,J153&lt;=1),D153/E153*1000,NA())</x:f>
        <x:v>0</x:v>
      </x:c>
      <x:c r="H153" s="34" t="n">
        <x:f>G153+I153</x:f>
        <x:v>0</x:v>
      </x:c>
      <x:c r="I153" s="34" t="n">
        <x:f>G153*F153*$D$138*$B$138/(1-$B$138)</x:f>
        <x:v>0</x:v>
      </x:c>
      <x:c r="J153" s="52" t="n">
        <x:v>1</x:v>
      </x:c>
      <x:c r="K153" s="34" t="n">
        <x:f>I153*J153</x:f>
        <x:v>0</x:v>
      </x:c>
      <x:c r="L153" s="30" t="str">
        <x:v>原通信行 116</x:v>
      </x:c>
    </x:row>
    <x:row r="154" ht="23" customHeight="1">
      <x:c r="A154" s="30" t="str">
        <x:v>DP</x:v>
      </x:c>
      <x:c r="B154" s="30" t="str">
        <x:v>MoE Router</x:v>
      </x:c>
      <x:c r="C154" s="30" t="str">
        <x:v>Router Logits</x:v>
      </x:c>
      <x:c r="D154" s="34" t="n">
        <x:f>(K117*2^20)/1e9</x:f>
        <x:v>0</x:v>
      </x:c>
      <x:c r="E154" s="51" t="n">
        <x:f>$H$138</x:f>
        <x:v>100</x:v>
      </x:c>
      <x:c r="F154" s="52" t="n">
        <x:v>1</x:v>
      </x:c>
      <x:c r="G154" s="34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G154*F154*$D$138*$B$138/(1-$B$138)</x:f>
        <x:v>0</x:v>
      </x:c>
      <x:c r="J154" s="52" t="n">
        <x:v>1</x:v>
      </x:c>
      <x:c r="K154" s="34" t="n">
        <x:f>I154*J154</x:f>
        <x:v>0</x:v>
      </x:c>
      <x:c r="L154" s="30" t="str">
        <x:v>原通信行 117</x:v>
      </x:c>
    </x:row>
    <x:row r="155" ht="23" customHeight="1">
      <x:c r="A155" s="30" t="str">
        <x:v>DP</x:v>
      </x:c>
      <x:c r="B155" s="30" t="str">
        <x:v>MoE</x:v>
      </x:c>
      <x:c r="C155" s="30" t="str">
        <x:v>Routed Expert 输出</x:v>
      </x:c>
      <x:c r="D155" s="34" t="n">
        <x:f>(K118*2^20)/1e9</x:f>
        <x:v>0</x:v>
      </x:c>
      <x:c r="E155" s="51" t="n">
        <x:f>$H$138</x:f>
        <x:v>100</x:v>
      </x:c>
      <x:c r="F155" s="52" t="n">
        <x:v>1</x:v>
      </x:c>
      <x:c r="G155" s="34" t="n">
        <x:f>IF(AND(ISNUMBER(E155),E155&gt;0,ISNUMBER($B$138),$B$138&gt;=0,$B$138&lt;1,ISNUMBER($D$138),$D$138&gt;=0,$D$138&lt;=1,ISNUMBER(F155),F155&gt;=0,F155&lt;=1,ISNUMBER(J155),J155&gt;=0,J155&lt;=1),D155/E155*1000,NA())</x:f>
        <x:v>0</x:v>
      </x:c>
      <x:c r="H155" s="34" t="n">
        <x:f>G155+I155</x:f>
        <x:v>0</x:v>
      </x:c>
      <x:c r="I155" s="34" t="n">
        <x:f>G155*F155*$D$138*$B$138/(1-$B$138)</x:f>
        <x:v>0</x:v>
      </x:c>
      <x:c r="J155" s="52" t="n">
        <x:v>1</x:v>
      </x:c>
      <x:c r="K155" s="34" t="n">
        <x:f>I155*J155</x:f>
        <x:v>0</x:v>
      </x:c>
      <x:c r="L155" s="30" t="str">
        <x:v>原通信行 118</x:v>
      </x:c>
    </x:row>
    <x:row r="156" ht="23" customHeight="1">
      <x:c r="A156" s="30" t="str">
        <x:v>共享专家 TP</x:v>
      </x:c>
      <x:c r="B156" s="30" t="str">
        <x:v>Shared Experts</x:v>
      </x:c>
      <x:c r="C156" s="30" t="str">
        <x:v>SP 输入</x:v>
      </x:c>
      <x:c r="D156" s="34" t="n">
        <x:f>(K119*2^20)/1e9</x:f>
        <x:v>6.268387328</x:v>
      </x:c>
      <x:c r="E156" s="51" t="n">
        <x:f>$H$138</x:f>
        <x:v>100</x:v>
      </x:c>
      <x:c r="F156" s="52" t="n">
        <x:v>1</x:v>
      </x:c>
      <x:c r="G156" s="34" t="n">
        <x:f>IF(AND(ISNUMBER(E156),E156&gt;0,ISNUMBER($B$138),$B$138&gt;=0,$B$138&lt;1,ISNUMBER($D$138),$D$138&gt;=0,$D$138&lt;=1,ISNUMBER(F156),F156&gt;=0,F156&lt;=1,ISNUMBER(J156),J156&gt;=0,J156&lt;=1),D156/E156*1000,NA())</x:f>
        <x:v>62.68387327999999</x:v>
      </x:c>
      <x:c r="H156" s="34" t="n">
        <x:f>G156+I156</x:f>
        <x:v>69.64874808888888</x:v>
      </x:c>
      <x:c r="I156" s="34" t="n">
        <x:f>G156*F156*$D$138*$B$138/(1-$B$138)</x:f>
        <x:v>6.964874808888888</x:v>
      </x:c>
      <x:c r="J156" s="52" t="n">
        <x:v>1</x:v>
      </x:c>
      <x:c r="K156" s="34" t="n">
        <x:f>I156*J156</x:f>
        <x:v>6.964874808888888</x:v>
      </x:c>
      <x:c r="L156" s="30" t="str">
        <x:v>原通信行 119</x:v>
      </x:c>
    </x:row>
    <x:row r="157" ht="23" customHeight="1">
      <x:c r="A157" s="30" t="str">
        <x:v>共享专家 TP</x:v>
      </x:c>
      <x:c r="B157" s="30" t="str">
        <x:v>Shared Experts</x:v>
      </x:c>
      <x:c r="C157" s="30" t="str">
        <x:v>SP 输出</x:v>
      </x:c>
      <x:c r="D157" s="34" t="n">
        <x:f>(K120*2^20)/1e9</x:f>
        <x:v>6.268387328</x:v>
      </x:c>
      <x:c r="E157" s="51" t="n">
        <x:f>$H$138</x:f>
        <x:v>100</x:v>
      </x:c>
      <x:c r="F157" s="52" t="n">
        <x:v>1</x:v>
      </x:c>
      <x:c r="G157" s="34" t="n">
        <x:f>IF(AND(ISNUMBER(E157),E157&gt;0,ISNUMBER($B$138),$B$138&gt;=0,$B$138&lt;1,ISNUMBER($D$138),$D$138&gt;=0,$D$138&lt;=1,ISNUMBER(F157),F157&gt;=0,F157&lt;=1,ISNUMBER(J157),J157&gt;=0,J157&lt;=1),D157/E157*1000,NA())</x:f>
        <x:v>62.68387327999999</x:v>
      </x:c>
      <x:c r="H157" s="34" t="n">
        <x:f>G157+I157</x:f>
        <x:v>69.64874808888888</x:v>
      </x:c>
      <x:c r="I157" s="34" t="n">
        <x:f>G157*F157*$D$138*$B$138/(1-$B$138)</x:f>
        <x:v>6.964874808888888</x:v>
      </x:c>
      <x:c r="J157" s="52" t="n">
        <x:v>1</x:v>
      </x:c>
      <x:c r="K157" s="34" t="n">
        <x:f>I157*J157</x:f>
        <x:v>6.964874808888888</x:v>
      </x:c>
      <x:c r="L157" s="30" t="str">
        <x:v>原通信行 120</x:v>
      </x:c>
    </x:row>
    <x:row r="158" ht="23" customHeight="1">
      <x:c r="A158" s="30" t="str">
        <x:v>共享专家 TP</x:v>
      </x:c>
      <x:c r="B158" s="30" t="str">
        <x:v>Shared Experts</x:v>
      </x:c>
      <x:c r="C158" s="30" t="str">
        <x:v>非 SP 输出</x:v>
      </x:c>
      <x:c r="D158" s="34" t="n">
        <x:f>(K121*2^20)/1e9</x:f>
        <x:v>0</x:v>
      </x:c>
      <x:c r="E158" s="51" t="n">
        <x:f>$H$138</x:f>
        <x:v>100</x:v>
      </x:c>
      <x:c r="F158" s="52" t="n">
        <x:v>1</x:v>
      </x:c>
      <x:c r="G158" s="34" t="n">
        <x:f>IF(AND(ISNUMBER(E158),E158&gt;0,ISNUMBER($B$138),$B$138&gt;=0,$B$138&lt;1,ISNUMBER($D$138),$D$138&gt;=0,$D$138&lt;=1,ISNUMBER(F158),F158&gt;=0,F158&lt;=1,ISNUMBER(J158),J158&gt;=0,J158&lt;=1),D158/E158*1000,NA())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G158*F158*$D$138*$B$138/(1-$B$138)</x:f>
        <x:v>0</x:v>
      </x:c>
      <x:c r="J158" s="52" t="n">
        <x:v>1</x:v>
      </x:c>
      <x:c r="K158" s="34" t="n">
        <x:f>I158*J158</x:f>
        <x:v>0</x:v>
      </x:c>
      <x:c r="L158" s="30" t="str">
        <x:v>原通信行 121</x:v>
      </x:c>
    </x:row>
    <x:row r="159" ht="23" customHeight="1">
      <x:c r="A159" s="30" t="str">
        <x:v>PCP</x:v>
      </x:c>
      <x:c r="B159" s="30" t="str">
        <x:v>MoE</x:v>
      </x:c>
      <x:c r="C159" s="30" t="str">
        <x:v>Hidden 输入</x:v>
      </x:c>
      <x:c r="D159" s="34" t="n">
        <x:f>(K122*2^20)/1e9</x:f>
        <x:v>0</x:v>
      </x:c>
      <x:c r="E159" s="51" t="n">
        <x:f>$H$138</x:f>
        <x:v>100</x:v>
      </x:c>
      <x:c r="F159" s="52" t="n">
        <x:v>1</x:v>
      </x:c>
      <x:c r="G159" s="34" t="n">
        <x:f>IF(AND(ISNUMBER(E159),E159&gt;0,ISNUMBER($B$138),$B$138&gt;=0,$B$138&lt;1,ISNUMBER($D$138),$D$138&gt;=0,$D$138&lt;=1,ISNUMBER(F159),F159&gt;=0,F159&lt;=1,ISNUMBER(J159),J159&gt;=0,J159&lt;=1),D159/E159*1000,NA())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G159*F159*$D$138*$B$138/(1-$B$138)</x:f>
        <x:v>0</x:v>
      </x:c>
      <x:c r="J159" s="52" t="n">
        <x:v>1</x:v>
      </x:c>
      <x:c r="K159" s="34" t="n">
        <x:f>I159*J159</x:f>
        <x:v>0</x:v>
      </x:c>
      <x:c r="L159" s="30" t="str">
        <x:v>原通信行 122</x:v>
      </x:c>
    </x:row>
    <x:row r="160" ht="23" customHeight="1">
      <x:c r="A160" s="30" t="str">
        <x:v>PCP</x:v>
      </x:c>
      <x:c r="B160" s="30" t="str">
        <x:v>MoE Router</x:v>
      </x:c>
      <x:c r="C160" s="30" t="str">
        <x:v>Router Logits</x:v>
      </x:c>
      <x:c r="D160" s="34" t="n">
        <x:f>(K123*2^20)/1e9</x:f>
        <x:v>0</x:v>
      </x:c>
      <x:c r="E160" s="51" t="n">
        <x:f>$H$138</x:f>
        <x:v>100</x:v>
      </x:c>
      <x:c r="F160" s="52" t="n">
        <x:v>1</x:v>
      </x:c>
      <x:c r="G160" s="34" t="n">
        <x:f>IF(AND(ISNUMBER(E160),E160&gt;0,ISNUMBER($B$138),$B$138&gt;=0,$B$138&lt;1,ISNUMBER($D$138),$D$138&gt;=0,$D$138&lt;=1,ISNUMBER(F160),F160&gt;=0,F160&lt;=1,ISNUMBER(J160),J160&gt;=0,J160&lt;=1),D160/E160*1000,NA())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G160*F160*$D$138*$B$138/(1-$B$138)</x:f>
        <x:v>0</x:v>
      </x:c>
      <x:c r="J160" s="52" t="n">
        <x:v>1</x:v>
      </x:c>
      <x:c r="K160" s="34" t="n">
        <x:f>I160*J160</x:f>
        <x:v>0</x:v>
      </x:c>
      <x:c r="L160" s="30" t="str">
        <x:v>原通信行 123</x:v>
      </x:c>
    </x:row>
    <x:row r="161" ht="23" customHeight="1">
      <x:c r="A161" s="30" t="str">
        <x:v>PCP</x:v>
      </x:c>
      <x:c r="B161" s="30" t="str">
        <x:v>MoE</x:v>
      </x:c>
      <x:c r="C161" s="30" t="str">
        <x:v>Routed Expert 输出</x:v>
      </x:c>
      <x:c r="D161" s="34" t="n">
        <x:f>(K124*2^20)/1e9</x:f>
        <x:v>0</x:v>
      </x:c>
      <x:c r="E161" s="51" t="n">
        <x:f>$H$138</x:f>
        <x:v>100</x:v>
      </x:c>
      <x:c r="F161" s="52" t="n">
        <x:v>1</x:v>
      </x:c>
      <x:c r="G161" s="34" t="n">
        <x:f>IF(AND(ISNUMBER(E161),E161&gt;0,ISNUMBER($B$138),$B$138&gt;=0,$B$138&lt;1,ISNUMBER($D$138),$D$138&gt;=0,$D$138&lt;=1,ISNUMBER(F161),F161&gt;=0,F161&lt;=1,ISNUMBER(J161),J161&gt;=0,J161&lt;=1),D161/E161*1000,NA())</x:f>
        <x:v>0</x:v>
      </x:c>
      <x:c r="H161" s="34" t="n">
        <x:f>G161+I161</x:f>
        <x:v>0</x:v>
      </x:c>
      <x:c r="I161" s="34" t="n">
        <x:f>G161*F161*$D$138*$B$138/(1-$B$138)</x:f>
        <x:v>0</x:v>
      </x:c>
      <x:c r="J161" s="52" t="n">
        <x:v>1</x:v>
      </x:c>
      <x:c r="K161" s="34" t="n">
        <x:f>I161*J161</x:f>
        <x:v>0</x:v>
      </x:c>
      <x:c r="L161" s="30" t="str">
        <x:v>原通信行 124</x:v>
      </x:c>
    </x:row>
    <x:row r="162" ht="23" customHeight="1">
      <x:c r="A162" s="30" t="str">
        <x:v>PCP</x:v>
      </x:c>
      <x:c r="B162" s="30" t="str">
        <x:v>Attention KV</x:v>
      </x:c>
      <x:c r="C162" s="30" t="str">
        <x:v>KV Cache 写入前</x:v>
      </x:c>
      <x:c r="D162" s="34" t="n">
        <x:f>(K125*2^20)/1e9</x:f>
        <x:v>0</x:v>
      </x:c>
      <x:c r="E162" s="51" t="n">
        <x:f>$H$138</x:f>
        <x:v>100</x:v>
      </x:c>
      <x:c r="F162" s="52" t="n">
        <x:v>1</x:v>
      </x:c>
      <x:c r="G162" s="34" t="n">
        <x:f>IF(AND(ISNUMBER(E162),E162&gt;0,ISNUMBER($B$138),$B$138&gt;=0,$B$138&lt;1,ISNUMBER($D$138),$D$138&gt;=0,$D$138&lt;=1,ISNUMBER(F162),F162&gt;=0,F162&lt;=1,ISNUMBER(J162),J162&gt;=0,J162&lt;=1),D162/E162*1000,NA())</x:f>
        <x:v>0</x:v>
      </x:c>
      <x:c r="H162" s="34" t="n">
        <x:f>G162+I162</x:f>
        <x:v>0</x:v>
      </x:c>
      <x:c r="I162" s="34" t="n">
        <x:f>G162*F162*$D$138*$B$138/(1-$B$138)</x:f>
        <x:v>0</x:v>
      </x:c>
      <x:c r="J162" s="52" t="n">
        <x:v>1</x:v>
      </x:c>
      <x:c r="K162" s="34" t="n">
        <x:f>I162*J162</x:f>
        <x:v>0</x:v>
      </x:c>
      <x:c r="L162" s="30" t="str">
        <x:v>原通信行 125</x:v>
      </x:c>
    </x:row>
    <x:row r="163" ht="23" customHeight="1">
      <x:c r="A163" s="30" t="str">
        <x:v>SP</x:v>
      </x:c>
      <x:c r="B163" s="30" t="str">
        <x:v>Model Output</x:v>
      </x:c>
      <x:c r="C163" s="30" t="str">
        <x:v>Final Norm 后</x:v>
      </x:c>
      <x:c r="D163" s="34" t="n">
        <x:f>(K126*2^20)/1e9</x:f>
        <x:v>0.102760448</x:v>
      </x:c>
      <x:c r="E163" s="51" t="n">
        <x:f>$H$138</x:f>
        <x:v>100</x:v>
      </x:c>
      <x:c r="F163" s="52" t="n">
        <x:v>1</x:v>
      </x:c>
      <x:c r="G163" s="34" t="n">
        <x:f>IF(AND(ISNUMBER(E163),E163&gt;0,ISNUMBER($B$138),$B$138&gt;=0,$B$138&lt;1,ISNUMBER($D$138),$D$138&gt;=0,$D$138&lt;=1,ISNUMBER(F163),F163&gt;=0,F163&lt;=1,ISNUMBER(J163),J163&gt;=0,J163&lt;=1),D163/E163*1000,NA())</x:f>
        <x:v>1.0276044800000002</x:v>
      </x:c>
      <x:c r="H163" s="34" t="n">
        <x:f>G163+I163</x:f>
        <x:v>1.1417827555555558</x:v>
      </x:c>
      <x:c r="I163" s="34" t="n">
        <x:f>G163*F163*$D$138*$B$138/(1-$B$138)</x:f>
        <x:v>0.11417827555555557</x:v>
      </x:c>
      <x:c r="J163" s="52" t="n">
        <x:v>1</x:v>
      </x:c>
      <x:c r="K163" s="34" t="n">
        <x:f>I163*J163</x:f>
        <x:v>0.11417827555555557</x:v>
      </x:c>
      <x:c r="L163" s="30" t="str">
        <x:v>原通信行 126</x:v>
      </x:c>
    </x:row>
    <x:row r="164" ht="23" customHeight="1">
      <x:c r="A164" s="30" t="str">
        <x:v>LM Head TP</x:v>
      </x:c>
      <x:c r="B164" s="30" t="str">
        <x:v>LM Head</x:v>
      </x:c>
      <x:c r="C164" s="30" t="str">
        <x:v>完整 Logits</x:v>
      </x:c>
      <x:c r="D164" s="34" t="n">
        <x:f>(K127*2^20)/1e9</x:f>
        <x:v>0</x:v>
      </x:c>
      <x:c r="E164" s="51" t="n">
        <x:f>$H$138</x:f>
        <x:v>100</x:v>
      </x:c>
      <x:c r="F164" s="52" t="n">
        <x:v>1</x:v>
      </x:c>
      <x:c r="G164" s="34" t="n">
        <x:f>IF(AND(ISNUMBER(E164),E164&gt;0,ISNUMBER($B$138),$B$138&gt;=0,$B$138&lt;1,ISNUMBER($D$138),$D$138&gt;=0,$D$138&lt;=1,ISNUMBER(F164),F164&gt;=0,F164&lt;=1,ISNUMBER(J164),J164&gt;=0,J164&lt;=1),D164/E164*1000,NA())</x:f>
        <x:v>0</x:v>
      </x:c>
      <x:c r="H164" s="34" t="n">
        <x:f>G164+I164</x:f>
        <x:v>0</x:v>
      </x:c>
      <x:c r="I164" s="34" t="n">
        <x:f>G164*F164*$D$138*$B$138/(1-$B$138)</x:f>
        <x:v>0</x:v>
      </x:c>
      <x:c r="J164" s="52" t="n">
        <x:v>1</x:v>
      </x:c>
      <x:c r="K164" s="34" t="n">
        <x:f>I164*J164</x:f>
        <x:v>0</x:v>
      </x:c>
      <x:c r="L164" s="30" t="str">
        <x:v>原通信行 127</x:v>
      </x:c>
    </x:row>
    <x:row r="165" ht="23" customHeight="1">
      <x:c r="A165" s="30" t="str">
        <x:v>LM Head TP</x:v>
      </x:c>
      <x:c r="B165" s="30" t="str">
        <x:v>LM Head</x:v>
      </x:c>
      <x:c r="C165" s="30" t="str">
        <x:v>Reduce Sample</x:v>
      </x:c>
      <x:c r="D165" s="34" t="n">
        <x:f>(K128*2^20)/1e9</x:f>
        <x:v>0.001376256</x:v>
      </x:c>
      <x:c r="E165" s="51" t="n">
        <x:f>$H$138</x:f>
        <x:v>100</x:v>
      </x:c>
      <x:c r="F165" s="52" t="n">
        <x:v>1</x:v>
      </x:c>
      <x:c r="G165" s="34" t="n">
        <x:f>IF(AND(ISNUMBER(E165),E165&gt;0,ISNUMBER($B$138),$B$138&gt;=0,$B$138&lt;1,ISNUMBER($D$138),$D$138&gt;=0,$D$138&lt;=1,ISNUMBER(F165),F165&gt;=0,F165&lt;=1,ISNUMBER(J165),J165&gt;=0,J165&lt;=1),D165/E165*1000,NA())</x:f>
        <x:v>0.01376256</x:v>
      </x:c>
      <x:c r="H165" s="34" t="n">
        <x:f>G165+I165</x:f>
        <x:v>0.015291733333333333</x:v>
      </x:c>
      <x:c r="I165" s="34" t="n">
        <x:f>G165*F165*$D$138*$B$138/(1-$B$138)</x:f>
        <x:v>0.0015291733333333336</x:v>
      </x:c>
      <x:c r="J165" s="52" t="n">
        <x:v>1</x:v>
      </x:c>
      <x:c r="K165" s="34" t="n">
        <x:f>I165*J165</x:f>
        <x:v>0.0015291733333333336</x:v>
      </x:c>
      <x:c r="L165" s="30" t="str">
        <x:v>原通信行 128</x:v>
      </x:c>
    </x:row>
    <x:row r="166" ht="23" customHeight="1">
      <x:c r="A166" s="30" t="str">
        <x:v>Fine LM Head TP</x:v>
      </x:c>
      <x:c r="B166" s="30" t="str">
        <x:v>LM Head</x:v>
      </x:c>
      <x:c r="C166" s="30" t="str">
        <x:v>Hidden 输入</x:v>
      </x:c>
      <x:c r="D166" s="34" t="n">
        <x:f>(K129*2^20)/1e9</x:f>
        <x:v>0</x:v>
      </x:c>
      <x:c r="E166" s="51" t="n">
        <x:f>$H$138</x:f>
        <x:v>100</x:v>
      </x:c>
      <x:c r="F166" s="52" t="n">
        <x:v>1</x:v>
      </x:c>
      <x:c r="G166" s="34" t="n">
        <x:f>IF(AND(ISNUMBER(E166),E166&gt;0,ISNUMBER($B$138),$B$138&gt;=0,$B$138&lt;1,ISNUMBER($D$138),$D$138&gt;=0,$D$138&lt;=1,ISNUMBER(F166),F166&gt;=0,F166&lt;=1,ISNUMBER(J166),J166&gt;=0,J166&lt;=1),D166/E166*1000,NA())</x:f>
        <x:v>0</x:v>
      </x:c>
      <x:c r="H166" s="34" t="n">
        <x:f>G166+I166</x:f>
        <x:v>0</x:v>
      </x:c>
      <x:c r="I166" s="34" t="n">
        <x:f>G166*F166*$D$138*$B$138/(1-$B$138)</x:f>
        <x:v>0</x:v>
      </x:c>
      <x:c r="J166" s="52" t="n">
        <x:v>1</x:v>
      </x:c>
      <x:c r="K166" s="34" t="n">
        <x:f>I166*J166</x:f>
        <x:v>0</x:v>
      </x:c>
      <x:c r="L166" s="30" t="str">
        <x:v>原通信行 129</x:v>
      </x:c>
    </x:row>
    <x:row r="167" ht="23" customHeight="1">
      <x:c r="A167" s="30" t="str">
        <x:v>Fine LM Head TP</x:v>
      </x:c>
      <x:c r="B167" s="30" t="str">
        <x:v>LM Head</x:v>
      </x:c>
      <x:c r="C167" s="30" t="str">
        <x:v>完整 Logits</x:v>
      </x:c>
      <x:c r="D167" s="34" t="n">
        <x:f>(K130*2^20)/1e9</x:f>
        <x:v>0</x:v>
      </x:c>
      <x:c r="E167" s="51" t="n">
        <x:f>$H$138</x:f>
        <x:v>100</x:v>
      </x:c>
      <x:c r="F167" s="52" t="n">
        <x:v>1</x:v>
      </x:c>
      <x:c r="G167" s="34" t="n">
        <x:f>IF(AND(ISNUMBER(E167),E167&gt;0,ISNUMBER($B$138),$B$138&gt;=0,$B$138&lt;1,ISNUMBER($D$138),$D$138&gt;=0,$D$138&lt;=1,ISNUMBER(F167),F167&gt;=0,F167&lt;=1,ISNUMBER(J167),J167&gt;=0,J167&lt;=1),D167/E167*1000,NA())</x:f>
        <x:v>0</x:v>
      </x:c>
      <x:c r="H167" s="34" t="n">
        <x:f>G167+I167</x:f>
        <x:v>0</x:v>
      </x:c>
      <x:c r="I167" s="34" t="n">
        <x:f>G167*F167*$D$138*$B$138/(1-$B$138)</x:f>
        <x:v>0</x:v>
      </x:c>
      <x:c r="J167" s="52" t="n">
        <x:v>1</x:v>
      </x:c>
      <x:c r="K167" s="34" t="n">
        <x:f>I167*J167</x:f>
        <x:v>0</x:v>
      </x:c>
      <x:c r="L167" s="30" t="str">
        <x:v>原通信行 130</x:v>
      </x:c>
    </x:row>
    <x:row r="168" ht="23" customHeight="1">
      <x:c r="A168" s="30" t="str">
        <x:v>Fine LM Head TP</x:v>
      </x:c>
      <x:c r="B168" s="30" t="str">
        <x:v>LM Head</x:v>
      </x:c>
      <x:c r="C168" s="30" t="str">
        <x:v>Reduce Sample</x:v>
      </x:c>
      <x:c r="D168" s="34" t="n">
        <x:f>(K131*2^20)/1e9</x:f>
        <x:v>0</x:v>
      </x:c>
      <x:c r="E168" s="51" t="n">
        <x:f>$H$138</x:f>
        <x:v>100</x:v>
      </x:c>
      <x:c r="F168" s="52" t="n">
        <x:v>1</x:v>
      </x:c>
      <x:c r="G168" s="34" t="n">
        <x:f>IF(AND(ISNUMBER(E168),E168&gt;0,ISNUMBER($B$138),$B$138&gt;=0,$B$138&lt;1,ISNUMBER($D$138),$D$138&gt;=0,$D$138&lt;=1,ISNUMBER(F168),F168&gt;=0,F168&lt;=1,ISNUMBER(J168),J168&gt;=0,J168&lt;=1),D168/E168*1000,NA())</x:f>
        <x:v>0</x:v>
      </x:c>
      <x:c r="H168" s="34" t="n">
        <x:f>G168+I168</x:f>
        <x:v>0</x:v>
      </x:c>
      <x:c r="I168" s="34" t="n">
        <x:f>G168*F168*$D$138*$B$138/(1-$B$138)</x:f>
        <x:v>0</x:v>
      </x:c>
      <x:c r="J168" s="52" t="n">
        <x:v>1</x:v>
      </x:c>
      <x:c r="K168" s="34" t="n">
        <x:f>I168*J168</x:f>
        <x:v>0</x:v>
      </x:c>
      <x:c r="L168" s="30" t="str">
        <x:v>原通信行 131</x:v>
      </x:c>
    </x:row>
    <x:row r="169" ht="23" customHeight="1">
      <x:c r="A169" s="30" t="str">
        <x:v>EP</x:v>
      </x:c>
      <x:c r="B169" s="30" t="str">
        <x:v>MoE 计数</x:v>
      </x:c>
      <x:c r="C169" s="30" t="str">
        <x:v>直方图 Ring AG</x:v>
      </x:c>
      <x:c r="D169" s="34" t="n">
        <x:f>(IF(E114=0,0,H114*ROUNDUP(384/G114,0)*G114*4*(G114-1)))/1e9</x:f>
        <x:v>0.000655872</x:v>
      </x:c>
      <x:c r="E169" s="51" t="n">
        <x:f>$H$138</x:f>
        <x:v>100</x:v>
      </x:c>
      <x:c r="F169" s="52" t="n">
        <x:v>1</x:v>
      </x:c>
      <x:c r="G169" s="34" t="n">
        <x:f>IF(AND(ISNUMBER(E169),E169&gt;0,ISNUMBER($B$138),$B$138&gt;=0,$B$138&lt;1,ISNUMBER($D$138),$D$138&gt;=0,$D$138&lt;=1,ISNUMBER(F169),F169&gt;=0,F169&lt;=1,ISNUMBER(J169),J169&gt;=0,J169&lt;=1),D169/E169*1000,NA())</x:f>
        <x:v>0.0065587200000000005</x:v>
      </x:c>
      <x:c r="H169" s="34" t="n">
        <x:f>G169+I169</x:f>
        <x:v>0.0072874666666666674</x:v>
      </x:c>
      <x:c r="I169" s="34" t="n">
        <x:f>G169*F169*$D$138*$B$138/(1-$B$138)</x:f>
        <x:v>0.0007287466666666667</x:v>
      </x:c>
      <x:c r="J169" s="52" t="n">
        <x:v>1</x:v>
      </x:c>
      <x:c r="K169" s="34" t="n">
        <x:f>I169*J169</x:f>
        <x:v>0.0007287466666666667</x:v>
      </x:c>
      <x:c r="L169" s="30" t="str">
        <x:v>额外控制量</x:v>
      </x:c>
    </x:row>
    <x:row r="170" ht="23" customHeight="1">
      <x:c r="A170" s="53" t="str">
        <x:v>所列事件串行相加</x:v>
      </x:c>
      <x:c r="B170" s="53"/>
      <x:c r="C170" s="53"/>
      <x:c r="D170" s="54" t="n">
        <x:f>SUM(D144:D169)</x:f>
        <x:v>36.56273152</x:v>
      </x:c>
      <x:c r="E170" s="54"/>
      <x:c r="F170" s="53"/>
      <x:c r="G170" s="54" t="n">
        <x:f>SUM(G144:G169)</x:f>
        <x:v>365.62731519999994</x:v>
      </x:c>
      <x:c r="H170" s="54" t="n">
        <x:f>SUM(H144:H169)</x:f>
        <x:v>406.2525724444444</x:v>
      </x:c>
      <x:c r="I170" s="54" t="n">
        <x:f>SUM(I144:I169)</x:f>
        <x:v>40.62525724444444</x:v>
      </x:c>
      <x:c r="J170" s="53"/>
      <x:c r="K170" s="54" t="n">
        <x:f>SUM(K144:K169)</x:f>
        <x:v>40.62525724444444</x:v>
      </x:c>
      <x:c r="L170" s="53"/>
    </x:row>
  </x:sheetData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IF('Decode'!$P$25&lt;&gt;0,1,'Decode'!$P$12)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IF('Decode'!$P$25&lt;&gt;0,1,'Decode'!$P$12)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IF('Decode'!$P$25&lt;&gt;0,1,'Decode'!$P$12)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/>
      <x:c r="P15" s="35"/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IF('Decode'!$P$19&gt;0,'Decode'!$P$19,'Decode'!$P$12)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IF('Decode'!$P$19&gt;0,'Decode'!$P$19,'Decode'!$P$12)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IF('Decode'!$P$19&gt;0,'Decode'!$P$19,'Decode'!$P$12)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'Decode'!$P$14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'Decode'!$P$14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'Decode'!$P$14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'Decode'!$P$14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'Decode'!$P$14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'Decode'!$P$14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IF('Decode'!$P$17="TP",'Decode'!$P$18,1)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IF('Decode'!$P$17="TP",'Decode'!$P$18,1)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IF('Decode'!$P$17="TP",'Decode'!$P$18,1)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IF('Decode'!$P$25&lt;&gt;0,1,'Decode'!$P$12)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IF('Decode'!$P$25&lt;&gt;0,1,'Decode'!$P$12)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IF('Decode'!$P$25&lt;&gt;0,1,'Decode'!$P$12)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IF('Decode'!$P$19&gt;0,'Decode'!$P$19,'Decode'!$P$12)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IF('Decode'!$P$19&gt;0,'Decode'!$P$19,'Decode'!$P$12)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IF('Decode'!$P$19&gt;0,'Decode'!$P$19,'Decode'!$P$12)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IF('Decode'!$P$19&gt;0,'Decode'!$P$19,'Decode'!$P$12)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'Decode'!$P$14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'Decode'!$P$14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'Decode'!$P$14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'Decode'!$P$14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'Decode'!$P$14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'Decode'!$P$14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IF('Decode'!$P$17="TP",'Decode'!$P$18,1)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IF('Decode'!$P$17="TP",'Decode'!$P$18,1)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IF('Decode'!$P$17="TP",'Decode'!$P$18,1)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IF('Decode'!$P$17="TP",'Decode'!$P$18,1)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IF('Decode'!$P$17="TP",'Decode'!$P$18,1)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IF('Decode'!$P$17="TP",'Decode'!$P$18,1)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IF('Decode'!$P$21&gt;0,'Decode'!$P$21,'Decode'!$P$12)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IF('Decode'!$P$20&gt;0,'Decode'!$P$20,'Decode'!$P$12)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'Decode'!$P$7*7168</x:f>
        <x:v>7340032</x:v>
      </x:c>
      <x:c r="F107" s="33" t="n">
        <x:f>'Decode'!$P$28</x:f>
        <x:v>2</x:v>
      </x:c>
      <x:c r="G107" s="33" t="n">
        <x:f>IF('Decode'!$P$21&gt;0,'Decode'!$P$21,'Decode'!$P$12)</x:f>
        <x:v>8</x:v>
      </x:c>
      <x:c r="H107" s="33" t="n">
        <x:f>IF(AND(IF('Decode'!$P$21&gt;0,'Decode'!$P$21,'Decode'!$P$12)&gt;1,'Decode'!$P$24=0),1,0)</x:f>
        <x:v>1</x:v>
      </x:c>
      <x:c r="I107" s="34" t="n">
        <x:f>E107*F107/1048576</x:f>
        <x:v>14</x:v>
      </x:c>
      <x:c r="J107" s="34" t="n">
        <x:f>I107*(IF(G107&gt;1,2*(G107-1)/G107,0))</x:f>
        <x:v>24.5</x:v>
      </x:c>
      <x:c r="K107" s="34" t="n">
        <x:f>J107*H107</x:f>
        <x:v>24.5</x:v>
      </x:c>
      <x:c r="L107" s="34" t="n">
        <x:f>K107*G107</x:f>
        <x:v>196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'Decode'!$P$7</x:f>
        <x:v>1024</x:v>
      </x:c>
      <x:c r="F108" s="33" t="n">
        <x:f>'Decode'!$P$30</x:f>
        <x:v>8</x:v>
      </x:c>
      <x:c r="G108" s="33" t="n">
        <x:f>IF('Decode'!$P$21&gt;0,'Decode'!$P$21,'Decode'!$P$12)</x:f>
        <x:v>8</x:v>
      </x:c>
      <x:c r="H108" s="33" t="n">
        <x:f>IF(AND(IF('Decode'!$P$21&gt;0,'Decode'!$P$21,'Decode'!$P$12)&gt;1,'Decode'!$P$24&lt;&gt;0),1,0)</x:f>
        <x:v>0</x:v>
      </x:c>
      <x:c r="I108" s="34" t="n">
        <x:f>E108*F108/1048576</x:f>
        <x:v>0.0078125</x:v>
      </x:c>
      <x:c r="J108" s="34" t="n">
        <x:f>I108*(IF(G108&gt;1,G108-1,0))</x:f>
        <x:v>0.0546875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'Decode'!$P$7*IF('Decode'!$P$21&gt;0,'Decode'!$P$21,'Decode'!$P$12)*7168</x:f>
        <x:v>58720256</x:v>
      </x:c>
      <x:c r="F109" s="33" t="n">
        <x:f>'Decode'!$P$28</x:f>
        <x:v>2</x:v>
      </x:c>
      <x:c r="G109" s="33" t="n">
        <x:f>IF('Decode'!$P$21&gt;0,'Decode'!$P$21,'Decode'!$P$12)</x:f>
        <x:v>8</x:v>
      </x:c>
      <x:c r="H109" s="33" t="n">
        <x:f>IF(AND(IF('Decode'!$P$21&gt;0,'Decode'!$P$21,'Decode'!$P$12)&gt;1,'Decode'!$P$24&lt;&gt;0),1,0)</x:f>
        <x:v>0</x:v>
      </x:c>
      <x:c r="I109" s="34" t="n">
        <x:f>E109*F109/1048576</x:f>
        <x:v>112</x:v>
      </x:c>
      <x:c r="J109" s="34" t="n">
        <x:f>I109*(IF(G109&gt;1,(G109-1)/G109,0))</x:f>
        <x:v>98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((ROUNDUP('Decode'!$P$7/'Decode'!$P$12,0)*'Decode'!$P$12)/'Decode'!$P$12)*7168</x:f>
        <x:v>917504</x:v>
      </x:c>
      <x:c r="F110" s="33" t="n">
        <x:f>'Decode'!$P$28</x:f>
        <x:v>2</x:v>
      </x:c>
      <x:c r="G110" s="33" t="n">
        <x:f>'Decode'!$P$12</x:f>
        <x:v>8</x:v>
      </x:c>
      <x:c r="H110" s="33" t="n">
        <x:f>61*IF(AND('Decode'!$P$25&lt;&gt;0,'Decode'!$P$12&gt;1),1,0)</x:f>
        <x:v>61</x:v>
      </x:c>
      <x:c r="I110" s="34" t="n">
        <x:f>E110*F110/1048576</x:f>
        <x:v>1.75</x:v>
      </x:c>
      <x:c r="J110" s="34" t="n">
        <x:f>I110*(IF(G110&gt;1,G110-1,0))</x:f>
        <x:v>12.25</x:v>
      </x:c>
      <x:c r="K110" s="34" t="n">
        <x:f>J110*H110</x:f>
        <x:v>747.25</x:v>
      </x:c>
      <x:c r="L110" s="34" t="n">
        <x:f>K110*G110</x:f>
        <x:v>5978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((ROUNDUP('Decode'!$P$7/'Decode'!$P$12,0)*'Decode'!$P$12)/'Decode'!$P$12)*128*512</x:f>
        <x:v>8388608</x:v>
      </x:c>
      <x:c r="F111" s="33" t="n">
        <x:f>'Decode'!$P$28</x:f>
        <x:v>2</x:v>
      </x:c>
      <x:c r="G111" s="33" t="n">
        <x:f>'Decode'!$P$12</x:f>
        <x:v>8</x:v>
      </x:c>
      <x:c r="H111" s="33" t="n">
        <x:f>61*IF(AND('Decode'!$P$25&lt;&gt;0,'Decode'!$P$12&gt;1),1,0)</x:f>
        <x:v>61</x:v>
      </x:c>
      <x:c r="I111" s="34" t="n">
        <x:f>E111*F111/1048576</x:f>
        <x:v>16</x:v>
      </x:c>
      <x:c r="J111" s="34" t="n">
        <x:f>I111*(IF(G111&gt;1,(G111-1)/G111,0))</x:f>
        <x:v>14</x:v>
      </x:c>
      <x:c r="K111" s="34" t="n">
        <x:f>J111*H111</x:f>
        <x:v>854</x:v>
      </x:c>
      <x:c r="L111" s="34" t="n">
        <x:f>K111*G111</x:f>
        <x:v>6832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((ROUNDUP('Decode'!$P$7/'Decode'!$P$12,0)*'Decode'!$P$12)/'Decode'!$P$12)*1024</x:f>
        <x:v>131072</x:v>
      </x:c>
      <x:c r="F112" s="33" t="n">
        <x:f>'Decode'!$P$31</x:f>
        <x:v>4</x:v>
      </x:c>
      <x:c r="G112" s="33" t="n">
        <x:f>'Decode'!$P$12</x:f>
        <x:v>8</x:v>
      </x:c>
      <x:c r="H112" s="33" t="n">
        <x:f>30*IF(AND('Decode'!$P$25&lt;&gt;0,'Decode'!$P$12&gt;1),1,0)</x:f>
        <x:v>30</x:v>
      </x:c>
      <x:c r="I112" s="34" t="n">
        <x:f>E112*F112/1048576</x:f>
        <x:v>0.5</x:v>
      </x:c>
      <x:c r="J112" s="34" t="n">
        <x:f>I112*(IF(G112&gt;1,G112-1,0))</x:f>
        <x:v>3.5</x:v>
      </x:c>
      <x:c r="K112" s="34" t="n">
        <x:f>J112*H112</x:f>
        <x:v>105</x:v>
      </x:c>
      <x:c r="L112" s="34" t="n">
        <x:f>K112*G112</x:f>
        <x:v>840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'Decode'!$P$7*7168</x:f>
        <x:v>7340032</x:v>
      </x:c>
      <x:c r="F113" s="33" t="n">
        <x:f>'Decode'!$P$28</x:f>
        <x:v>2</x:v>
      </x:c>
      <x:c r="G113" s="33" t="n">
        <x:f>IF('Decode'!$P$19&gt;0,'Decode'!$P$19,'Decode'!$P$12)</x:f>
        <x:v>8</x:v>
      </x:c>
      <x:c r="H113" s="33" t="n">
        <x:f>61*IF(AND('Decode'!$P$25=0,IF('Decode'!$P$19&gt;0,'Decode'!$P$19,'Decode'!$P$12)&gt;1),1,0)</x:f>
        <x:v>0</x:v>
      </x:c>
      <x:c r="I113" s="34" t="n">
        <x:f>E113*F113/1048576</x:f>
        <x:v>14</x:v>
      </x:c>
      <x:c r="J113" s="34" t="n">
        <x:f>I113*(IF(G113&gt;1,2*(G113-1)/G113,0))</x:f>
        <x:v>24.5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IF('Decode'!$P$13&lt;&gt;0,((ROUNDUP('Decode'!$P$7/'Decode'!$P$12,0)*'Decode'!$P$12)/'Decode'!$P$12),'Decode'!$P$7)*6*'Decode'!$P$32*7168</x:f>
        <x:v>4816896</x:v>
      </x:c>
      <x:c r="F114" s="33" t="n">
        <x:f>'Decode'!$P$28</x:f>
        <x:v>2</x:v>
      </x:c>
      <x:c r="G114" s="33" t="n">
        <x:f>'Decode'!$P$14</x:f>
        <x:v>8</x:v>
      </x:c>
      <x:c r="H114" s="33" t="n">
        <x:f>61*IF('Decode'!$P$14&gt;1,1,0)</x:f>
        <x:v>61</x:v>
      </x:c>
      <x:c r="I114" s="34" t="n">
        <x:f>E114*F114/1048576</x:f>
        <x:v>9.1875</x:v>
      </x:c>
      <x:c r="J114" s="34" t="n">
        <x:f>I114*(1)</x:f>
        <x:v>9.1875</x:v>
      </x:c>
      <x:c r="K114" s="34" t="n">
        <x:f>J114*H114</x:f>
        <x:v>560.4375</x:v>
      </x:c>
      <x:c r="L114" s="34" t="n">
        <x:f>K114*G114</x:f>
        <x:v>4483.5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IF('Decode'!$P$13&lt;&gt;0,((ROUNDUP('Decode'!$P$7/'Decode'!$P$12,0)*'Decode'!$P$12)/'Decode'!$P$12),'Decode'!$P$7)*6*'Decode'!$P$32*7168</x:f>
        <x:v>4816896</x:v>
      </x:c>
      <x:c r="F115" s="33" t="n">
        <x:f>'Decode'!$P$28</x:f>
        <x:v>2</x:v>
      </x:c>
      <x:c r="G115" s="33" t="n">
        <x:f>'Decode'!$P$14</x:f>
        <x:v>8</x:v>
      </x:c>
      <x:c r="H115" s="33" t="n">
        <x:f>61*IF('Decode'!$P$14&gt;1,1,0)</x:f>
        <x:v>61</x:v>
      </x:c>
      <x:c r="I115" s="34" t="n">
        <x:f>E115*F115/1048576</x:f>
        <x:v>9.1875</x:v>
      </x:c>
      <x:c r="J115" s="34" t="n">
        <x:f>I115*(1)</x:f>
        <x:v>9.1875</x:v>
      </x:c>
      <x:c r="K115" s="34" t="n">
        <x:f>J115*H115</x:f>
        <x:v>560.4375</x:v>
      </x:c>
      <x:c r="L115" s="34" t="n">
        <x:f>K115*G115</x:f>
        <x:v>4483.5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'Decode'!$P$7*7168</x:f>
        <x:v>7340032</x:v>
      </x:c>
      <x:c r="F116" s="33" t="n">
        <x:f>'Decode'!$P$28</x:f>
        <x:v>2</x:v>
      </x:c>
      <x:c r="G116" s="33" t="n">
        <x:f>'Decode'!$P$11</x:f>
        <x:v>1</x:v>
      </x:c>
      <x:c r="H116" s="33" t="n">
        <x:f>61*IF(AND('Decode'!$P$11&gt;1,'Decode'!$P$14=1),1,0)</x:f>
        <x:v>0</x:v>
      </x:c>
      <x:c r="I116" s="34" t="n">
        <x:f>E116*F116/1048576</x:f>
        <x:v>14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'Decode'!$P$7*384</x:f>
        <x:v>393216</x:v>
      </x:c>
      <x:c r="F117" s="33" t="n">
        <x:f>'Decode'!$P$28</x:f>
        <x:v>2</x:v>
      </x:c>
      <x:c r="G117" s="33" t="n">
        <x:f>'Decode'!$P$11</x:f>
        <x:v>1</x:v>
      </x:c>
      <x:c r="H117" s="33" t="n">
        <x:f>61*IF(AND('Decode'!$P$11&gt;1,'Decode'!$P$14=1),1,0)</x:f>
        <x:v>0</x:v>
      </x:c>
      <x:c r="I117" s="34" t="n">
        <x:f>E117*F117/1048576</x:f>
        <x:v>0.75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'Decode'!$P$7*'Decode'!$P$11*7168</x:f>
        <x:v>7340032</x:v>
      </x:c>
      <x:c r="F118" s="33" t="n">
        <x:f>'Decode'!$P$28</x:f>
        <x:v>2</x:v>
      </x:c>
      <x:c r="G118" s="33" t="n">
        <x:f>'Decode'!$P$11</x:f>
        <x:v>1</x:v>
      </x:c>
      <x:c r="H118" s="33" t="n">
        <x:f>61*IF(AND('Decode'!$P$11&gt;1,'Decode'!$P$14=1),1,0)</x:f>
        <x:v>0</x:v>
      </x:c>
      <x:c r="I118" s="34" t="n">
        <x:f>E118*F118/1048576</x:f>
        <x:v>14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((ROUNDUP('Decode'!$P$7/'Decode'!$P$12,0)*'Decode'!$P$12)/'Decode'!$P$12)*7168</x:f>
        <x:v>917504</x:v>
      </x:c>
      <x:c r="F119" s="33" t="n">
        <x:f>'Decode'!$P$28</x:f>
        <x:v>2</x:v>
      </x:c>
      <x:c r="G119" s="33" t="n">
        <x:f>IF('Decode'!$P$17="TP",'Decode'!$P$18,1)</x:f>
        <x:v>8</x:v>
      </x:c>
      <x:c r="H119" s="33" t="n">
        <x:f>61*IF(AND('Decode'!$P$17="TP",IF('Decode'!$P$17="TP",'Decode'!$P$18,1)&gt;1,'Decode'!$P$13&lt;&gt;0),1,0)</x:f>
        <x:v>61</x:v>
      </x:c>
      <x:c r="I119" s="34" t="n">
        <x:f>E119*F119/1048576</x:f>
        <x:v>1.75</x:v>
      </x:c>
      <x:c r="J119" s="34" t="n">
        <x:f>I119*(IF(G119&gt;1,G119-1,0))</x:f>
        <x:v>12.25</x:v>
      </x:c>
      <x:c r="K119" s="34" t="n">
        <x:f>J119*H119</x:f>
        <x:v>747.25</x:v>
      </x:c>
      <x:c r="L119" s="34" t="n">
        <x:f>K119*G119</x:f>
        <x:v>5978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(ROUNDUP('Decode'!$P$7/'Decode'!$P$12,0)*'Decode'!$P$12)*7168</x:f>
        <x:v>7340032</x:v>
      </x:c>
      <x:c r="F120" s="33" t="n">
        <x:f>'Decode'!$P$28</x:f>
        <x:v>2</x:v>
      </x:c>
      <x:c r="G120" s="33" t="n">
        <x:f>IF('Decode'!$P$17="TP",'Decode'!$P$18,1)</x:f>
        <x:v>8</x:v>
      </x:c>
      <x:c r="H120" s="33" t="n">
        <x:f>61*IF(AND('Decode'!$P$17="TP",IF('Decode'!$P$17="TP",'Decode'!$P$18,1)&gt;1,'Decode'!$P$13&lt;&gt;0),1,0)</x:f>
        <x:v>61</x:v>
      </x:c>
      <x:c r="I120" s="34" t="n">
        <x:f>E120*F120/1048576</x:f>
        <x:v>14</x:v>
      </x:c>
      <x:c r="J120" s="34" t="n">
        <x:f>I120*(IF(G120&gt;1,(G120-1)/G120,0))</x:f>
        <x:v>12.25</x:v>
      </x:c>
      <x:c r="K120" s="34" t="n">
        <x:f>J120*H120</x:f>
        <x:v>747.25</x:v>
      </x:c>
      <x:c r="L120" s="34" t="n">
        <x:f>K120*G120</x:f>
        <x:v>5978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'Decode'!$P$7*7168</x:f>
        <x:v>7340032</x:v>
      </x:c>
      <x:c r="F121" s="33" t="n">
        <x:f>'Decode'!$P$28</x:f>
        <x:v>2</x:v>
      </x:c>
      <x:c r="G121" s="33" t="n">
        <x:f>IF('Decode'!$P$17="TP",'Decode'!$P$18,1)</x:f>
        <x:v>8</x:v>
      </x:c>
      <x:c r="H121" s="33" t="n">
        <x:f>61*IF(AND('Decode'!$P$17="TP",IF('Decode'!$P$17="TP",'Decode'!$P$18,1)&gt;1,'Decode'!$P$13=0),1,0)</x:f>
        <x:v>0</x:v>
      </x:c>
      <x:c r="I121" s="34" t="n">
        <x:f>E121*F121/1048576</x:f>
        <x:v>14</x:v>
      </x:c>
      <x:c r="J121" s="34" t="n">
        <x:f>I121*(IF(G121&gt;1,2*(G121-1)/G121,0))</x:f>
        <x:v>24.5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SP</x:v>
      </x:c>
      <x:c r="B122" s="30" t="str">
        <x:v>Model Output</x:v>
      </x:c>
      <x:c r="C122" s="30" t="str">
        <x:v>Final Norm 后</x:v>
      </x:c>
      <x:c r="D122" s="30" t="str">
        <x:v>Ring AllGather</x:v>
      </x:c>
      <x:c r="E122" s="33" t="n">
        <x:f>((ROUNDUP('Decode'!$P$7/'Decode'!$P$12,0)*'Decode'!$P$12)/'Decode'!$P$12)*7168</x:f>
        <x:v>917504</x:v>
      </x:c>
      <x:c r="F122" s="33" t="n">
        <x:f>'Decode'!$P$28</x:f>
        <x:v>2</x:v>
      </x:c>
      <x:c r="G122" s="33" t="n">
        <x:f>'Decode'!$P$12</x:f>
        <x:v>8</x:v>
      </x:c>
      <x:c r="H122" s="33" t="n">
        <x:f>IF(AND('Decode'!$P$13&lt;&gt;0,'Decode'!$P$12&gt;1),1,0)</x:f>
        <x:v>1</x:v>
      </x:c>
      <x:c r="I122" s="34" t="n">
        <x:f>E122*F122/1048576</x:f>
        <x:v>1.75</x:v>
      </x:c>
      <x:c r="J122" s="34" t="n">
        <x:f>I122*(IF(G122&gt;1,G122-1,0))</x:f>
        <x:v>12.25</x:v>
      </x:c>
      <x:c r="K122" s="34" t="n">
        <x:f>J122*H122</x:f>
        <x:v>12.25</x:v>
      </x:c>
      <x:c r="L122" s="34" t="n">
        <x:f>K122*G122</x:f>
        <x:v>98</x:v>
      </x:c>
      <x:c r="M122" s="30"/>
      <x:c r="N122" s="30"/>
      <x:c r="O122" s="30"/>
      <x:c r="P122" s="30"/>
    </x:row>
    <x:row r="123">
      <x:c r="A123" s="30" t="str">
        <x:v>LM Head TP</x:v>
      </x:c>
      <x:c r="B123" s="30" t="str">
        <x:v>LM Head</x:v>
      </x:c>
      <x:c r="C123" s="30" t="str">
        <x:v>完整 Logits</x:v>
      </x:c>
      <x:c r="D123" s="30" t="str">
        <x:v>Ring AllGather</x:v>
      </x:c>
      <x:c r="E123" s="33" t="n">
        <x:f>'Decode'!$P$8*129280/IF('Decode'!$P$20&gt;0,'Decode'!$P$20,'Decode'!$P$12)</x:f>
        <x:v>16547840</x:v>
      </x:c>
      <x:c r="F123" s="33" t="n">
        <x:f>'Decode'!$P$28</x:f>
        <x:v>2</x:v>
      </x:c>
      <x:c r="G123" s="33" t="n">
        <x:f>IF('Decode'!$P$20&gt;0,'Decode'!$P$20,'Decode'!$P$12)</x:f>
        <x:v>8</x:v>
      </x:c>
      <x:c r="H123" s="33" t="n">
        <x:f>IF(AND(IF('Decode'!$P$20&gt;0,'Decode'!$P$20,'Decode'!$P$12)&gt;1,'Decode'!$P$23=0,'Decode'!$P$33=0),1,0)</x:f>
        <x:v>0</x:v>
      </x:c>
      <x:c r="I123" s="34" t="n">
        <x:f>E123*F123/1048576</x:f>
        <x:v>31.5625</x:v>
      </x:c>
      <x:c r="J123" s="34" t="n">
        <x:f>I123*(IF(G123&gt;1,G123-1,0))</x:f>
        <x:v>220.9375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LM Head TP</x:v>
      </x:c>
      <x:c r="B124" s="30" t="str">
        <x:v>LM Head</x:v>
      </x:c>
      <x:c r="C124" s="30" t="str">
        <x:v>Reduce Sample</x:v>
      </x:c>
      <x:c r="D124" s="30" t="str">
        <x:v>Ring AllGather</x:v>
      </x:c>
      <x:c r="E124" s="33" t="n">
        <x:f>'Decode'!$P$8*'Decode'!$P$34</x:f>
        <x:v>262144</x:v>
      </x:c>
      <x:c r="F124" s="33" t="n">
        <x:f>('Decode'!$P$28+'Decode'!$P$31)</x:f>
        <x:v>6</x:v>
      </x:c>
      <x:c r="G124" s="33" t="n">
        <x:f>IF('Decode'!$P$20&gt;0,'Decode'!$P$20,'Decode'!$P$12)</x:f>
        <x:v>8</x:v>
      </x:c>
      <x:c r="H124" s="33" t="n">
        <x:f>IF(AND(IF('Decode'!$P$20&gt;0,'Decode'!$P$20,'Decode'!$P$12)&gt;1,'Decode'!$P$23=0,'Decode'!$P$33&lt;&gt;0),1,0)</x:f>
        <x:v>1</x:v>
      </x:c>
      <x:c r="I124" s="34" t="n">
        <x:f>E124*F124/1048576</x:f>
        <x:v>1.5</x:v>
      </x:c>
      <x:c r="J124" s="34" t="n">
        <x:f>I124*(IF(G124&gt;1,G124-1,0))</x:f>
        <x:v>10.5</x:v>
      </x:c>
      <x:c r="K124" s="34" t="n">
        <x:f>J124*H124</x:f>
        <x:v>10.5</x:v>
      </x:c>
      <x:c r="L124" s="34" t="n">
        <x:f>K124*G124</x:f>
        <x:v>84</x:v>
      </x:c>
      <x:c r="M124" s="30"/>
      <x:c r="N124" s="30"/>
      <x:c r="O124" s="30"/>
      <x:c r="P124" s="30"/>
    </x:row>
    <x:row r="125">
      <x:c r="A125" s="30" t="str">
        <x:v>Fine LM Head TP</x:v>
      </x:c>
      <x:c r="B125" s="30" t="str">
        <x:v>LM Head</x:v>
      </x:c>
      <x:c r="C125" s="30" t="str">
        <x:v>Hidden 输入</x:v>
      </x:c>
      <x:c r="D125" s="30" t="str">
        <x:v>Ring AllGather</x:v>
      </x:c>
      <x:c r="E125" s="33" t="n">
        <x:f>'Decode'!$P$8*7168</x:f>
        <x:v>7340032</x:v>
      </x:c>
      <x:c r="F125" s="33" t="n">
        <x:f>'Decode'!$P$28</x:f>
        <x:v>2</x:v>
      </x:c>
      <x:c r="G125" s="33" t="n">
        <x:f>IF('Decode'!$P$20&gt;0,'Decode'!$P$20,'Decode'!$P$12)</x:f>
        <x:v>8</x:v>
      </x:c>
      <x:c r="H125" s="33" t="n">
        <x:f>IF(AND(IF('Decode'!$P$20&gt;0,'Decode'!$P$20,'Decode'!$P$12)&gt;1,'Decode'!$P$23&lt;&gt;0),1,0)</x:f>
        <x:v>0</x:v>
      </x:c>
      <x:c r="I125" s="34" t="n">
        <x:f>E125*F125/1048576</x:f>
        <x:v>14</x:v>
      </x:c>
      <x:c r="J125" s="34" t="n">
        <x:f>I125*(IF(G125&gt;1,G125-1,0))</x:f>
        <x:v>98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Fine LM Head TP</x:v>
      </x:c>
      <x:c r="B126" s="30" t="str">
        <x:v>LM Head</x:v>
      </x:c>
      <x:c r="C126" s="30" t="str">
        <x:v>完整 Logits</x:v>
      </x:c>
      <x:c r="D126" s="30" t="str">
        <x:v>Equal-split AllToAll</x:v>
      </x:c>
      <x:c r="E126" s="33" t="n">
        <x:f>'Decode'!$P$8*129280</x:f>
        <x:v>132382720</x:v>
      </x:c>
      <x:c r="F126" s="33" t="n">
        <x:f>'Decode'!$P$28</x:f>
        <x:v>2</x:v>
      </x:c>
      <x:c r="G126" s="33" t="n">
        <x:f>IF('Decode'!$P$20&gt;0,'Decode'!$P$20,'Decode'!$P$12)</x:f>
        <x:v>8</x:v>
      </x:c>
      <x:c r="H126" s="33" t="n">
        <x:f>IF(AND(IF('Decode'!$P$20&gt;0,'Decode'!$P$20,'Decode'!$P$12)&gt;1,'Decode'!$P$23&lt;&gt;0,'Decode'!$P$33=0),1,0)</x:f>
        <x:v>0</x:v>
      </x:c>
      <x:c r="I126" s="34" t="n">
        <x:f>E126*F126/1048576</x:f>
        <x:v>252.5</x:v>
      </x:c>
      <x:c r="J126" s="34" t="n">
        <x:f>I126*(IF(G126&gt;1,(G126-1)/G126,0))</x:f>
        <x:v>220.9375</x:v>
      </x:c>
      <x:c r="K126" s="34" t="n">
        <x:f>J126*H126</x:f>
        <x:v>0</x:v>
      </x:c>
      <x:c r="L126" s="34" t="n">
        <x:f>K126*G126</x:f>
        <x:v>0</x:v>
      </x:c>
      <x:c r="M126" s="30"/>
      <x:c r="N126" s="30"/>
      <x:c r="O126" s="30"/>
      <x:c r="P126" s="30"/>
    </x:row>
    <x:row r="127">
      <x:c r="A127" s="30" t="str">
        <x:v>Fine LM Head TP</x:v>
      </x:c>
      <x:c r="B127" s="30" t="str">
        <x:v>LM Head</x:v>
      </x:c>
      <x:c r="C127" s="30" t="str">
        <x:v>Reduce Sample</x:v>
      </x:c>
      <x:c r="D127" s="30" t="str">
        <x:v>Ring AllGather</x:v>
      </x:c>
      <x:c r="E127" s="33" t="n">
        <x:f>'Decode'!$P$8*'Decode'!$P$34</x:f>
        <x:v>262144</x:v>
      </x:c>
      <x:c r="F127" s="33" t="n">
        <x:f>('Decode'!$P$28+'Decode'!$P$31)</x:f>
        <x:v>6</x:v>
      </x:c>
      <x:c r="G127" s="33" t="n">
        <x:f>IF('Decode'!$P$20&gt;0,'Decode'!$P$20,'Decode'!$P$12)</x:f>
        <x:v>8</x:v>
      </x:c>
      <x:c r="H127" s="33" t="n">
        <x:f>IF(AND(IF('Decode'!$P$20&gt;0,'Decode'!$P$20,'Decode'!$P$12)&gt;1,'Decode'!$P$23&lt;&gt;0,'Decode'!$P$33&lt;&gt;0),1,0)</x:f>
        <x:v>0</x:v>
      </x:c>
      <x:c r="I127" s="34" t="n">
        <x:f>E127*F127/1048576</x:f>
        <x:v>1.5</x:v>
      </x:c>
      <x:c r="J127" s="34" t="n">
        <x:f>I127*(IF(G127&gt;1,G127-1,0))</x:f>
        <x:v>10.5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40" t="str">
        <x:v>合计</x:v>
      </x:c>
      <x:c r="B128" s="40"/>
      <x:c r="C128" s="40"/>
      <x:c r="D128" s="40"/>
      <x:c r="E128" s="40"/>
      <x:c r="F128" s="40"/>
      <x:c r="G128" s="40"/>
      <x:c r="H128" s="40"/>
      <x:c r="I128" s="41"/>
      <x:c r="J128" s="41"/>
      <x:c r="K128" s="41" t="n">
        <x:f>SUM(K107:K127)</x:f>
        <x:v>4368.875</x:v>
      </x:c>
      <x:c r="L128" s="41" t="n">
        <x:f>SUM(L107:L127)</x:f>
        <x:v>34951</x:v>
      </x:c>
      <x:c r="M128" s="30"/>
      <x:c r="N128" s="30"/>
      <x:c r="O128" s="30"/>
      <x:c r="P128" s="30"/>
    </x:row>
    <x:row r="131" ht="23" customHeight="1">
      <x:c r="A131" s="42" t="str">
        <x:v>PD 带宽争用耗时评估</x:v>
      </x:c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</x:row>
    <x:row r="132" ht="23" customHeight="1">
      <x:c r="A132" s="30" t="str">
        <x:v>Decode 当前表参数；100 GB/s 为归一化示例。所列事件的带宽项，不等于完整 forward 耗时。</x:v>
      </x:c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</x:row>
    <x:row r="133" ht="38" customHeight="1">
      <x:c r="A133" s="45" t="str">
        <x:v>带宽降幅</x:v>
      </x:c>
      <x:c r="B133" s="45" t="str">
        <x:v>输入</x:v>
      </x:c>
      <x:c r="C133" s="45" t="str">
        <x:v>争用覆盖率</x:v>
      </x:c>
      <x:c r="D133" s="45" t="str">
        <x:v>输入</x:v>
      </x:c>
      <x:c r="E133" s="45" t="str">
        <x:v>基线 forward ms</x:v>
      </x:c>
      <x:c r="F133" s="45" t="str">
        <x:v>实测输入</x:v>
      </x:c>
      <x:c r="G133" s="45" t="str">
        <x:v>默认带宽 GB/s</x:v>
      </x:c>
      <x:c r="H133" s="45" t="str">
        <x:v>输入</x:v>
      </x:c>
      <x:c r="I133" s="30"/>
      <x:c r="J133" s="30"/>
      <x:c r="K133" s="30"/>
      <x:c r="L133" s="30"/>
    </x:row>
    <x:row r="134" ht="23" customHeight="1">
      <x:c r="A134" s="30"/>
      <x:c r="B134" s="47" t="n">
        <x:v>0.1</x:v>
      </x:c>
      <x:c r="C134" s="30"/>
      <x:c r="D134" s="47" t="n">
        <x:v>1</x:v>
      </x:c>
      <x:c r="E134" s="30"/>
      <x:c r="F134" s="48"/>
      <x:c r="G134" s="30"/>
      <x:c r="H134" s="48" t="n">
        <x:v>100</x:v>
      </x:c>
      <x:c r="I134" s="30"/>
      <x:c r="J134" s="30"/>
      <x:c r="K134" s="30"/>
      <x:c r="L134" s="30"/>
    </x:row>
    <x:row r="135" ht="38" customHeight="1">
      <x:c r="A135" s="45" t="str">
        <x:v>通信基线 ms</x:v>
      </x:c>
      <x:c r="B135" s="45" t="str">
        <x:v>结果</x:v>
      </x:c>
      <x:c r="C135" s="45" t="str">
        <x:v>通信争用后 ms</x:v>
      </x:c>
      <x:c r="D135" s="45" t="str">
        <x:v>结果</x:v>
      </x:c>
      <x:c r="E135" s="45" t="str">
        <x:v>forward 增量 ms</x:v>
      </x:c>
      <x:c r="F135" s="45" t="str">
        <x:v>结果</x:v>
      </x:c>
      <x:c r="G135" s="45" t="str">
        <x:v>forward 新耗时 ms</x:v>
      </x:c>
      <x:c r="H135" s="45" t="str">
        <x:v>结果</x:v>
      </x:c>
      <x:c r="I135" s="45" t="str">
        <x:v>forward 增幅</x:v>
      </x:c>
      <x:c r="J135" s="45" t="str">
        <x:v>结果</x:v>
      </x:c>
      <x:c r="K135" s="45" t="str">
        <x:v>输入状态</x:v>
      </x:c>
      <x:c r="L135" s="45" t="str">
        <x:v>状态</x:v>
      </x:c>
    </x:row>
    <x:row r="136" ht="23" customHeight="1">
      <x:c r="A136" s="49"/>
      <x:c r="B136" s="49" t="n">
        <x:f>SUM(G140:G161)</x:f>
        <x:v>46.250408959999994</x:v>
      </x:c>
      <x:c r="C136" s="49"/>
      <x:c r="D136" s="49" t="n">
        <x:f>SUM(H140:H161)</x:f>
        <x:v>51.38934328888889</x:v>
      </x:c>
      <x:c r="E136" s="49"/>
      <x:c r="F136" s="49" t="n">
        <x:f>SUM(K140:K161)</x:f>
        <x:v>5.1389343288888885</x:v>
      </x:c>
      <x:c r="G136" s="49"/>
      <x:c r="H136" s="49" t="str">
        <x:f>IF(AND(ISNUMBER($F$134),$F$134&gt;0,$F$134&gt;=SUMPRODUCT(G140:G161,J140:J161)),$F$134+F136,"")</x:f>
      </x:c>
      <x:c r="I136" s="49"/>
      <x:c r="J136" s="50" t="str">
        <x:f>IF(AND(ISNUMBER($F$134),$F$134&gt;0,$F$134&gt;=SUMPRODUCT(G140:G161,J140:J161)),F136/$F$134,"")</x:f>
      </x:c>
      <x:c r="K136" s="49"/>
      <x:c r="L136" s="49" t="str">
        <x:f>IF($F$134="","待填基线",IF(AND(ISNUMBER($F$134),$F$134&gt;0,$F$134&gt;=SUMPRODUCT(G140:G161,J140:J161)),"已填基线","基线/暴露不一致"))</x:f>
        <x:v>待填基线</x:v>
      </x:c>
    </x:row>
    <x:row r="137" ht="23" customHeight="1">
      <x:c r="A137" s="30" t="str">
        <x:v>共享比例=0 表示独立链路；暴露系数=0 表示增量完全隐藏。默认均为 1，降幅只作用于带宽项。</x:v>
      </x:c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</x:row>
    <x:row r="138" ht="23" customHeight="1">
      <x:c r="A138" s="30" t="str">
        <x:v>P: AllToAllV + 4 B 计数 Ring；D: A3 BF16 MC2 FullMesh。每事件带宽按端点发送量定义。</x:v>
      </x:c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</x:row>
    <x:row r="139" ht="38" customHeight="1">
      <x:c r="A139" s="45" t="str">
        <x:v>并行域</x:v>
      </x:c>
      <x:c r="B139" s="45" t="str">
        <x:v>模块</x:v>
      </x:c>
      <x:c r="C139" s="45" t="str">
        <x:v>通信事件</x:v>
      </x:c>
      <x:c r="D139" s="45" t="str">
        <x:v>GB/Rank/Step</x:v>
      </x:c>
      <x:c r="E139" s="45" t="str">
        <x:v>有效带宽 GB/s</x:v>
      </x:c>
      <x:c r="F139" s="45" t="str">
        <x:v>共享比例</x:v>
      </x:c>
      <x:c r="G139" s="45" t="str">
        <x:v>基线带宽项 ms</x:v>
      </x:c>
      <x:c r="H139" s="45" t="str">
        <x:v>争用后带宽项 ms</x:v>
      </x:c>
      <x:c r="I139" s="45" t="str">
        <x:v>通信增量 ms</x:v>
      </x:c>
      <x:c r="J139" s="45" t="str">
        <x:v>暴露系数</x:v>
      </x:c>
      <x:c r="K139" s="45" t="str">
        <x:v>forward 增量 ms</x:v>
      </x:c>
      <x:c r="L139" s="45" t="str">
        <x:v>公式口径</x:v>
      </x:c>
    </x:row>
    <x:row r="140" ht="23" customHeight="1">
      <x:c r="A140" s="30" t="str">
        <x:v>Embedding TP</x:v>
      </x:c>
      <x:c r="B140" s="30" t="str">
        <x:v>Embedding</x:v>
      </x:c>
      <x:c r="C140" s="30" t="str">
        <x:v>标准 TP 输出</x:v>
      </x:c>
      <x:c r="D140" s="34" t="n">
        <x:f>(K107*2^20)/1e9</x:f>
        <x:v>0.025690112</x:v>
      </x:c>
      <x:c r="E140" s="51" t="n">
        <x:f>$H$134</x:f>
        <x:v>100</x:v>
      </x:c>
      <x:c r="F140" s="52" t="n">
        <x:v>1</x:v>
      </x:c>
      <x:c r="G140" s="34" t="n">
        <x:f>IF(AND(ISNUMBER(E140),E140&gt;0,ISNUMBER($B$134),$B$134&gt;=0,$B$134&lt;1,ISNUMBER($D$134),$D$134&gt;=0,$D$134&lt;=1,ISNUMBER(F140),F140&gt;=0,F140&lt;=1,ISNUMBER(J140),J140&gt;=0,J140&lt;=1),D140/E140*1000,NA())</x:f>
        <x:v>0.25690112000000004</x:v>
      </x:c>
      <x:c r="H140" s="34" t="n">
        <x:f>G140+I140</x:f>
        <x:v>0.28544568888888894</x:v>
      </x:c>
      <x:c r="I140" s="34" t="n">
        <x:f>G140*F140*$D$134*$B$134/(1-$B$134)</x:f>
        <x:v>0.028544568888888892</x:v>
      </x:c>
      <x:c r="J140" s="52" t="n">
        <x:v>1</x:v>
      </x:c>
      <x:c r="K140" s="34" t="n">
        <x:f>I140*J140</x:f>
        <x:v>0.028544568888888892</x:v>
      </x:c>
      <x:c r="L140" s="30" t="str">
        <x:v>原通信行 107</x:v>
      </x:c>
    </x:row>
    <x:row r="141" ht="23" customHeight="1">
      <x:c r="A141" s="30" t="str">
        <x:v>Embedding TP</x:v>
      </x:c>
      <x:c r="B141" s="30" t="str">
        <x:v>Embedding</x:v>
      </x:c>
      <x:c r="C141" s="30" t="str">
        <x:v>Fine TP Token ID</x:v>
      </x:c>
      <x:c r="D141" s="34" t="n">
        <x:f>(K108*2^20)/1e9</x:f>
        <x:v>0</x:v>
      </x:c>
      <x:c r="E141" s="51" t="n">
        <x:f>$H$134</x:f>
        <x:v>100</x:v>
      </x:c>
      <x:c r="F141" s="52" t="n">
        <x:v>1</x:v>
      </x:c>
      <x:c r="G141" s="34" t="n">
        <x:f>IF(AND(ISNUMBER(E141),E141&gt;0,ISNUMBER($B$134),$B$134&gt;=0,$B$134&lt;1,ISNUMBER($D$134),$D$134&gt;=0,$D$134&lt;=1,ISNUMBER(F141),F141&gt;=0,F141&lt;=1,ISNUMBER(J141),J141&gt;=0,J141&lt;=1),D141/E141*1000,NA())</x:f>
        <x:v>0</x:v>
      </x:c>
      <x:c r="H141" s="34" t="n">
        <x:f>G141+I141</x:f>
        <x:v>0</x:v>
      </x:c>
      <x:c r="I141" s="34" t="n">
        <x:f>G141*F141*$D$134*$B$134/(1-$B$134)</x:f>
        <x:v>0</x:v>
      </x:c>
      <x:c r="J141" s="52" t="n">
        <x:v>1</x:v>
      </x:c>
      <x:c r="K141" s="34" t="n">
        <x:f>I141*J141</x:f>
        <x:v>0</x:v>
      </x:c>
      <x:c r="L141" s="30" t="str">
        <x:v>原通信行 108</x:v>
      </x:c>
    </x:row>
    <x:row r="142" ht="23" customHeight="1">
      <x:c r="A142" s="30" t="str">
        <x:v>Embedding TP</x:v>
      </x:c>
      <x:c r="B142" s="30" t="str">
        <x:v>Embedding</x:v>
      </x:c>
      <x:c r="C142" s="30" t="str">
        <x:v>Fine TP Hidden</x:v>
      </x:c>
      <x:c r="D142" s="34" t="n">
        <x:f>(K109*2^20)/1e9</x:f>
        <x:v>0</x:v>
      </x:c>
      <x:c r="E142" s="51" t="n">
        <x:f>$H$134</x:f>
        <x:v>100</x:v>
      </x:c>
      <x:c r="F142" s="52" t="n">
        <x:v>1</x:v>
      </x:c>
      <x:c r="G142" s="34" t="n">
        <x:f>IF(AND(ISNUMBER(E142),E142&gt;0,ISNUMBER($B$134),$B$134&gt;=0,$B$134&lt;1,ISNUMBER($D$134),$D$134&gt;=0,$D$134&lt;=1,ISNUMBER(F142),F142&gt;=0,F142&lt;=1,ISNUMBER(J142),J142&gt;=0,J142&lt;=1),D142/E142*1000,NA())</x:f>
        <x:v>0</x:v>
      </x:c>
      <x:c r="H142" s="34" t="n">
        <x:f>G142+I142</x:f>
        <x:v>0</x:v>
      </x:c>
      <x:c r="I142" s="34" t="n">
        <x:f>G142*F142*$D$134*$B$134/(1-$B$134)</x:f>
        <x:v>0</x:v>
      </x:c>
      <x:c r="J142" s="52" t="n">
        <x:v>1</x:v>
      </x:c>
      <x:c r="K142" s="34" t="n">
        <x:f>I142*J142</x:f>
        <x:v>0</x:v>
      </x:c>
      <x:c r="L142" s="30" t="str">
        <x:v>原通信行 109</x:v>
      </x:c>
    </x:row>
    <x:row r="143" ht="23" customHeight="1">
      <x:c r="A143" s="30" t="str">
        <x:v>DSA CP</x:v>
      </x:c>
      <x:c r="B143" s="30" t="str">
        <x:v>Sparse Attention</x:v>
      </x:c>
      <x:c r="C143" s="30" t="str">
        <x:v>Q/KV 投影输入</x:v>
      </x:c>
      <x:c r="D143" s="34" t="n">
        <x:f>(K110*2^20)/1e9</x:f>
        <x:v>0.783548416</x:v>
      </x:c>
      <x:c r="E143" s="51" t="n">
        <x:f>$H$134</x:f>
        <x:v>100</x:v>
      </x:c>
      <x:c r="F143" s="52" t="n">
        <x:v>1</x:v>
      </x:c>
      <x:c r="G143" s="34" t="n">
        <x:f>IF(AND(ISNUMBER(E143),E143&gt;0,ISNUMBER($B$134),$B$134&gt;=0,$B$134&lt;1,ISNUMBER($D$134),$D$134&gt;=0,$D$134&lt;=1,ISNUMBER(F143),F143&gt;=0,F143&lt;=1,ISNUMBER(J143),J143&gt;=0,J143&lt;=1),D143/E143*1000,NA())</x:f>
        <x:v>7.835484159999999</x:v>
      </x:c>
      <x:c r="H143" s="34" t="n">
        <x:f>G143+I143</x:f>
        <x:v>8.70609351111111</x:v>
      </x:c>
      <x:c r="I143" s="34" t="n">
        <x:f>G143*F143*$D$134*$B$134/(1-$B$134)</x:f>
        <x:v>0.870609351111111</x:v>
      </x:c>
      <x:c r="J143" s="52" t="n">
        <x:v>1</x:v>
      </x:c>
      <x:c r="K143" s="34" t="n">
        <x:f>I143*J143</x:f>
        <x:v>0.870609351111111</x:v>
      </x:c>
      <x:c r="L143" s="30" t="str">
        <x:v>原通信行 110</x:v>
      </x:c>
    </x:row>
    <x:row r="144" ht="23" customHeight="1">
      <x:c r="A144" s="30" t="str">
        <x:v>DSA CP</x:v>
      </x:c>
      <x:c r="B144" s="30" t="str">
        <x:v>Sparse Attention</x:v>
      </x:c>
      <x:c r="C144" s="30" t="str">
        <x:v>恢复 TP Head Layout</x:v>
      </x:c>
      <x:c r="D144" s="34" t="n">
        <x:f>(K111*2^20)/1e9</x:f>
        <x:v>0.895483904</x:v>
      </x:c>
      <x:c r="E144" s="51" t="n">
        <x:f>$H$134</x:f>
        <x:v>100</x:v>
      </x:c>
      <x:c r="F144" s="52" t="n">
        <x:v>1</x:v>
      </x:c>
      <x:c r="G144" s="34" t="n">
        <x:f>IF(AND(ISNUMBER(E144),E144&gt;0,ISNUMBER($B$134),$B$134&gt;=0,$B$134&lt;1,ISNUMBER($D$134),$D$134&gt;=0,$D$134&lt;=1,ISNUMBER(F144),F144&gt;=0,F144&lt;=1,ISNUMBER(J144),J144&gt;=0,J144&lt;=1),D144/E144*1000,NA())</x:f>
        <x:v>8.954839040000001</x:v>
      </x:c>
      <x:c r="H144" s="34" t="n">
        <x:f>G144+I144</x:f>
        <x:v>9.949821155555558</x:v>
      </x:c>
      <x:c r="I144" s="34" t="n">
        <x:f>G144*F144*$D$134*$B$134/(1-$B$134)</x:f>
        <x:v>0.9949821155555558</x:v>
      </x:c>
      <x:c r="J144" s="52" t="n">
        <x:v>1</x:v>
      </x:c>
      <x:c r="K144" s="34" t="n">
        <x:f>I144*J144</x:f>
        <x:v>0.9949821155555558</x:v>
      </x:c>
      <x:c r="L144" s="30" t="str">
        <x:v>原通信行 111</x:v>
      </x:c>
    </x:row>
    <x:row r="145" ht="23" customHeight="1">
      <x:c r="A145" s="30" t="str">
        <x:v>DSA CP</x:v>
      </x:c>
      <x:c r="B145" s="30" t="str">
        <x:v>Indexer</x:v>
      </x:c>
      <x:c r="C145" s="30" t="str">
        <x:v>Top-k Index</x:v>
      </x:c>
      <x:c r="D145" s="34" t="n">
        <x:f>(K112*2^20)/1e9</x:f>
        <x:v>0.11010048</x:v>
      </x:c>
      <x:c r="E145" s="51" t="n">
        <x:f>$H$134</x:f>
        <x:v>100</x:v>
      </x:c>
      <x:c r="F145" s="52" t="n">
        <x:v>1</x:v>
      </x:c>
      <x:c r="G145" s="34" t="n">
        <x:f>IF(AND(ISNUMBER(E145),E145&gt;0,ISNUMBER($B$134),$B$134&gt;=0,$B$134&lt;1,ISNUMBER($D$134),$D$134&gt;=0,$D$134&lt;=1,ISNUMBER(F145),F145&gt;=0,F145&lt;=1,ISNUMBER(J145),J145&gt;=0,J145&lt;=1),D145/E145*1000,NA())</x:f>
        <x:v>1.1010048000000001</x:v>
      </x:c>
      <x:c r="H145" s="34" t="n">
        <x:f>G145+I145</x:f>
        <x:v>1.2233386666666668</x:v>
      </x:c>
      <x:c r="I145" s="34" t="n">
        <x:f>G145*F145*$D$134*$B$134/(1-$B$134)</x:f>
        <x:v>0.12233386666666668</x:v>
      </x:c>
      <x:c r="J145" s="52" t="n">
        <x:v>1</x:v>
      </x:c>
      <x:c r="K145" s="34" t="n">
        <x:f>I145*J145</x:f>
        <x:v>0.12233386666666668</x:v>
      </x:c>
      <x:c r="L145" s="30" t="str">
        <x:v>原通信行 112</x:v>
      </x:c>
    </x:row>
    <x:row r="146" ht="23" customHeight="1">
      <x:c r="A146" s="30" t="str">
        <x:v>O Proj TP</x:v>
      </x:c>
      <x:c r="B146" s="30" t="str">
        <x:v>Sparse Attention</x:v>
      </x:c>
      <x:c r="C146" s="30" t="str">
        <x:v>DSA CP 关闭</x:v>
      </x:c>
      <x:c r="D146" s="34" t="n">
        <x:f>(K113*2^20)/1e9</x:f>
        <x:v>0</x:v>
      </x:c>
      <x:c r="E146" s="51" t="n">
        <x:f>$H$134</x:f>
        <x:v>100</x:v>
      </x:c>
      <x:c r="F146" s="52" t="n">
        <x:v>1</x:v>
      </x:c>
      <x:c r="G146" s="34" t="n">
        <x:f>IF(AND(ISNUMBER(E146),E146&gt;0,ISNUMBER($B$134),$B$134&gt;=0,$B$134&lt;1,ISNUMBER($D$134),$D$134&gt;=0,$D$134&lt;=1,ISNUMBER(F146),F146&gt;=0,F146&lt;=1,ISNUMBER(J146),J146&gt;=0,J146&lt;=1),D146/E146*1000,NA())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G146*F146*$D$134*$B$134/(1-$B$134)</x:f>
        <x:v>0</x:v>
      </x:c>
      <x:c r="J146" s="52" t="n">
        <x:v>1</x:v>
      </x:c>
      <x:c r="K146" s="34" t="n">
        <x:f>I146*J146</x:f>
        <x:v>0</x:v>
      </x:c>
      <x:c r="L146" s="30" t="str">
        <x:v>原通信行 113</x:v>
      </x:c>
    </x:row>
    <x:row r="147" ht="23" customHeight="1">
      <x:c r="A147" s="30" t="str">
        <x:v>EP</x:v>
      </x:c>
      <x:c r="B147" s="30" t="str">
        <x:v>Routed Experts</x:v>
      </x:c>
      <x:c r="C147" s="30" t="str">
        <x:v>MC2 FullMesh Dispatch</x:v>
      </x:c>
      <x:c r="D147" s="34" t="n">
        <x:f>(IF(F114=2,E114/7168*H114*(ROUNDUP((ROUNDUP(7168*F114/32,0)*32+32)/480,0)*512),NA()))/1e9</x:f>
        <x:v>0.62963712</x:v>
      </x:c>
      <x:c r="E147" s="51" t="n">
        <x:f>$H$134</x:f>
        <x:v>100</x:v>
      </x:c>
      <x:c r="F147" s="52" t="n">
        <x:v>1</x:v>
      </x:c>
      <x:c r="G147" s="34" t="n">
        <x:f>IF(AND(ISNUMBER(E147),E147&gt;0,ISNUMBER($B$134),$B$134&gt;=0,$B$134&lt;1,ISNUMBER($D$134),$D$134&gt;=0,$D$134&lt;=1,ISNUMBER(F147),F147&gt;=0,F147&lt;=1,ISNUMBER(J147),J147&gt;=0,J147&lt;=1),D147/E147*1000,NA())</x:f>
        <x:v>6.2963712</x:v>
      </x:c>
      <x:c r="H147" s="34" t="n">
        <x:f>G147+I147</x:f>
        <x:v>6.995968</x:v>
      </x:c>
      <x:c r="I147" s="34" t="n">
        <x:f>G147*F147*$D$134*$B$134/(1-$B$134)</x:f>
        <x:v>0.6995968</x:v>
      </x:c>
      <x:c r="J147" s="52" t="n">
        <x:v>1</x:v>
      </x:c>
      <x:c r="K147" s="34" t="n">
        <x:f>I147*J147</x:f>
        <x:v>0.6995968</x:v>
      </x:c>
      <x:c r="L147" s="30" t="str">
        <x:v>原通信行 114</x:v>
      </x:c>
    </x:row>
    <x:row r="148" ht="23" customHeight="1">
      <x:c r="A148" s="30" t="str">
        <x:v>EP</x:v>
      </x:c>
      <x:c r="B148" s="30" t="str">
        <x:v>Routed Experts</x:v>
      </x:c>
      <x:c r="C148" s="30" t="str">
        <x:v>MC2 Combine + flags</x:v>
      </x:c>
      <x:c r="D148" s="34" t="n">
        <x:f>(IF(F115=2,K115*2^20+E115/7168*H115*32,NA()))/1e9</x:f>
        <x:v>0.588973056</x:v>
      </x:c>
      <x:c r="E148" s="51" t="n">
        <x:f>$H$134</x:f>
        <x:v>100</x:v>
      </x:c>
      <x:c r="F148" s="52" t="n">
        <x:v>1</x:v>
      </x:c>
      <x:c r="G148" s="34" t="n">
        <x:f>IF(AND(ISNUMBER(E148),E148&gt;0,ISNUMBER($B$134),$B$134&gt;=0,$B$134&lt;1,ISNUMBER($D$134),$D$134&gt;=0,$D$134&lt;=1,ISNUMBER(F148),F148&gt;=0,F148&lt;=1,ISNUMBER(J148),J148&gt;=0,J148&lt;=1),D148/E148*1000,NA())</x:f>
        <x:v>5.88973056</x:v>
      </x:c>
      <x:c r="H148" s="34" t="n">
        <x:f>G148+I148</x:f>
        <x:v>6.544145066666667</x:v>
      </x:c>
      <x:c r="I148" s="34" t="n">
        <x:f>G148*F148*$D$134*$B$134/(1-$B$134)</x:f>
        <x:v>0.6544145066666667</x:v>
      </x:c>
      <x:c r="J148" s="52" t="n">
        <x:v>1</x:v>
      </x:c>
      <x:c r="K148" s="34" t="n">
        <x:f>I148*J148</x:f>
        <x:v>0.6544145066666667</x:v>
      </x:c>
      <x:c r="L148" s="30" t="str">
        <x:v>原通信行 115</x:v>
      </x:c>
    </x:row>
    <x:row r="149" ht="23" customHeight="1">
      <x:c r="A149" s="30" t="str">
        <x:v>DP</x:v>
      </x:c>
      <x:c r="B149" s="30" t="str">
        <x:v>MoE</x:v>
      </x:c>
      <x:c r="C149" s="30" t="str">
        <x:v>Hidden 输入</x:v>
      </x:c>
      <x:c r="D149" s="34" t="n">
        <x:f>(K116*2^20)/1e9</x:f>
        <x:v>0</x:v>
      </x:c>
      <x:c r="E149" s="51" t="n">
        <x:f>$H$134</x:f>
        <x:v>100</x:v>
      </x:c>
      <x:c r="F149" s="52" t="n">
        <x:v>1</x:v>
      </x:c>
      <x:c r="G149" s="34" t="n">
        <x:f>IF(AND(ISNUMBER(E149),E149&gt;0,ISNUMBER($B$134),$B$134&gt;=0,$B$134&lt;1,ISNUMBER($D$134),$D$134&gt;=0,$D$134&lt;=1,ISNUMBER(F149),F149&gt;=0,F149&lt;=1,ISNUMBER(J149),J149&gt;=0,J149&lt;=1),D149/E149*1000,NA())</x:f>
        <x:v>0</x:v>
      </x:c>
      <x:c r="H149" s="34" t="n">
        <x:f>G149+I149</x:f>
        <x:v>0</x:v>
      </x:c>
      <x:c r="I149" s="34" t="n">
        <x:f>G149*F149*$D$134*$B$134/(1-$B$134)</x:f>
        <x:v>0</x:v>
      </x:c>
      <x:c r="J149" s="52" t="n">
        <x:v>1</x:v>
      </x:c>
      <x:c r="K149" s="34" t="n">
        <x:f>I149*J149</x:f>
        <x:v>0</x:v>
      </x:c>
      <x:c r="L149" s="30" t="str">
        <x:v>原通信行 116</x:v>
      </x:c>
    </x:row>
    <x:row r="150" ht="23" customHeight="1">
      <x:c r="A150" s="30" t="str">
        <x:v>DP</x:v>
      </x:c>
      <x:c r="B150" s="30" t="str">
        <x:v>MoE Router</x:v>
      </x:c>
      <x:c r="C150" s="30" t="str">
        <x:v>Router Logits</x:v>
      </x:c>
      <x:c r="D150" s="34" t="n">
        <x:f>(K117*2^20)/1e9</x:f>
        <x:v>0</x:v>
      </x:c>
      <x:c r="E150" s="51" t="n">
        <x:f>$H$134</x:f>
        <x:v>100</x:v>
      </x:c>
      <x:c r="F150" s="52" t="n">
        <x:v>1</x:v>
      </x:c>
      <x:c r="G150" s="34" t="n">
        <x:f>IF(AND(ISNUMBER(E150),E150&gt;0,ISNUMBER($B$134),$B$134&gt;=0,$B$134&lt;1,ISNUMBER($D$134),$D$134&gt;=0,$D$134&lt;=1,ISNUMBER(F150),F150&gt;=0,F150&lt;=1,ISNUMBER(J150),J150&gt;=0,J150&lt;=1),D150/E150*1000,NA())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G150*F150*$D$134*$B$134/(1-$B$134)</x:f>
        <x:v>0</x:v>
      </x:c>
      <x:c r="J150" s="52" t="n">
        <x:v>1</x:v>
      </x:c>
      <x:c r="K150" s="34" t="n">
        <x:f>I150*J150</x:f>
        <x:v>0</x:v>
      </x:c>
      <x:c r="L150" s="30" t="str">
        <x:v>原通信行 117</x:v>
      </x:c>
    </x:row>
    <x:row r="151" ht="23" customHeight="1">
      <x:c r="A151" s="30" t="str">
        <x:v>DP</x:v>
      </x:c>
      <x:c r="B151" s="30" t="str">
        <x:v>MoE</x:v>
      </x:c>
      <x:c r="C151" s="30" t="str">
        <x:v>Routed Expert 输出</x:v>
      </x:c>
      <x:c r="D151" s="34" t="n">
        <x:f>(K118*2^20)/1e9</x:f>
        <x:v>0</x:v>
      </x:c>
      <x:c r="E151" s="51" t="n">
        <x:f>$H$134</x:f>
        <x:v>100</x:v>
      </x:c>
      <x:c r="F151" s="52" t="n">
        <x:v>1</x:v>
      </x:c>
      <x:c r="G151" s="34" t="n">
        <x:f>IF(AND(ISNUMBER(E151),E151&gt;0,ISNUMBER($B$134),$B$134&gt;=0,$B$134&lt;1,ISNUMBER($D$134),$D$134&gt;=0,$D$134&lt;=1,ISNUMBER(F151),F151&gt;=0,F151&lt;=1,ISNUMBER(J151),J151&gt;=0,J151&lt;=1),D151/E151*1000,NA())</x:f>
        <x:v>0</x:v>
      </x:c>
      <x:c r="H151" s="34" t="n">
        <x:f>G151+I151</x:f>
        <x:v>0</x:v>
      </x:c>
      <x:c r="I151" s="34" t="n">
        <x:f>G151*F151*$D$134*$B$134/(1-$B$134)</x:f>
        <x:v>0</x:v>
      </x:c>
      <x:c r="J151" s="52" t="n">
        <x:v>1</x:v>
      </x:c>
      <x:c r="K151" s="34" t="n">
        <x:f>I151*J151</x:f>
        <x:v>0</x:v>
      </x:c>
      <x:c r="L151" s="30" t="str">
        <x:v>原通信行 118</x:v>
      </x:c>
    </x:row>
    <x:row r="152" ht="23" customHeight="1">
      <x:c r="A152" s="30" t="str">
        <x:v>共享专家 TP</x:v>
      </x:c>
      <x:c r="B152" s="30" t="str">
        <x:v>Shared Experts</x:v>
      </x:c>
      <x:c r="C152" s="30" t="str">
        <x:v>SP 输入</x:v>
      </x:c>
      <x:c r="D152" s="34" t="n">
        <x:f>(K119*2^20)/1e9</x:f>
        <x:v>0.783548416</x:v>
      </x:c>
      <x:c r="E152" s="51" t="n">
        <x:f>$H$134</x:f>
        <x:v>100</x:v>
      </x:c>
      <x:c r="F152" s="52" t="n">
        <x:v>1</x:v>
      </x:c>
      <x:c r="G152" s="34" t="n">
        <x:f>IF(AND(ISNUMBER(E152),E152&gt;0,ISNUMBER($B$134),$B$134&gt;=0,$B$134&lt;1,ISNUMBER($D$134),$D$134&gt;=0,$D$134&lt;=1,ISNUMBER(F152),F152&gt;=0,F152&lt;=1,ISNUMBER(J152),J152&gt;=0,J152&lt;=1),D152/E152*1000,NA())</x:f>
        <x:v>7.835484159999999</x:v>
      </x:c>
      <x:c r="H152" s="34" t="n">
        <x:f>G152+I152</x:f>
        <x:v>8.70609351111111</x:v>
      </x:c>
      <x:c r="I152" s="34" t="n">
        <x:f>G152*F152*$D$134*$B$134/(1-$B$134)</x:f>
        <x:v>0.870609351111111</x:v>
      </x:c>
      <x:c r="J152" s="52" t="n">
        <x:v>1</x:v>
      </x:c>
      <x:c r="K152" s="34" t="n">
        <x:f>I152*J152</x:f>
        <x:v>0.870609351111111</x:v>
      </x:c>
      <x:c r="L152" s="30" t="str">
        <x:v>原通信行 119</x:v>
      </x:c>
    </x:row>
    <x:row r="153" ht="23" customHeight="1">
      <x:c r="A153" s="30" t="str">
        <x:v>共享专家 TP</x:v>
      </x:c>
      <x:c r="B153" s="30" t="str">
        <x:v>Shared Experts</x:v>
      </x:c>
      <x:c r="C153" s="30" t="str">
        <x:v>SP 输出</x:v>
      </x:c>
      <x:c r="D153" s="34" t="n">
        <x:f>(K120*2^20)/1e9</x:f>
        <x:v>0.783548416</x:v>
      </x:c>
      <x:c r="E153" s="51" t="n">
        <x:f>$H$134</x:f>
        <x:v>100</x:v>
      </x:c>
      <x:c r="F153" s="52" t="n">
        <x:v>1</x:v>
      </x:c>
      <x:c r="G153" s="34" t="n">
        <x:f>IF(AND(ISNUMBER(E153),E153&gt;0,ISNUMBER($B$134),$B$134&gt;=0,$B$134&lt;1,ISNUMBER($D$134),$D$134&gt;=0,$D$134&lt;=1,ISNUMBER(F153),F153&gt;=0,F153&lt;=1,ISNUMBER(J153),J153&gt;=0,J153&lt;=1),D153/E153*1000,NA())</x:f>
        <x:v>7.835484159999999</x:v>
      </x:c>
      <x:c r="H153" s="34" t="n">
        <x:f>G153+I153</x:f>
        <x:v>8.70609351111111</x:v>
      </x:c>
      <x:c r="I153" s="34" t="n">
        <x:f>G153*F153*$D$134*$B$134/(1-$B$134)</x:f>
        <x:v>0.870609351111111</x:v>
      </x:c>
      <x:c r="J153" s="52" t="n">
        <x:v>1</x:v>
      </x:c>
      <x:c r="K153" s="34" t="n">
        <x:f>I153*J153</x:f>
        <x:v>0.870609351111111</x:v>
      </x:c>
      <x:c r="L153" s="30" t="str">
        <x:v>原通信行 120</x:v>
      </x:c>
    </x:row>
    <x:row r="154" ht="23" customHeight="1">
      <x:c r="A154" s="30" t="str">
        <x:v>共享专家 TP</x:v>
      </x:c>
      <x:c r="B154" s="30" t="str">
        <x:v>Shared Experts</x:v>
      </x:c>
      <x:c r="C154" s="30" t="str">
        <x:v>非 SP 输出</x:v>
      </x:c>
      <x:c r="D154" s="34" t="n">
        <x:f>(K121*2^20)/1e9</x:f>
        <x:v>0</x:v>
      </x:c>
      <x:c r="E154" s="51" t="n">
        <x:f>$H$134</x:f>
        <x:v>100</x:v>
      </x:c>
      <x:c r="F154" s="52" t="n">
        <x:v>1</x:v>
      </x:c>
      <x:c r="G154" s="34" t="n">
        <x:f>IF(AND(ISNUMBER(E154),E154&gt;0,ISNUMBER($B$134),$B$134&gt;=0,$B$134&lt;1,ISNUMBER($D$134),$D$134&gt;=0,$D$134&lt;=1,ISNUMBER(F154),F154&gt;=0,F154&lt;=1,ISNUMBER(J154),J154&gt;=0,J154&lt;=1),D154/E154*1000,NA())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G154*F154*$D$134*$B$134/(1-$B$134)</x:f>
        <x:v>0</x:v>
      </x:c>
      <x:c r="J154" s="52" t="n">
        <x:v>1</x:v>
      </x:c>
      <x:c r="K154" s="34" t="n">
        <x:f>I154*J154</x:f>
        <x:v>0</x:v>
      </x:c>
      <x:c r="L154" s="30" t="str">
        <x:v>原通信行 121</x:v>
      </x:c>
    </x:row>
    <x:row r="155" ht="23" customHeight="1">
      <x:c r="A155" s="30" t="str">
        <x:v>SP</x:v>
      </x:c>
      <x:c r="B155" s="30" t="str">
        <x:v>Model Output</x:v>
      </x:c>
      <x:c r="C155" s="30" t="str">
        <x:v>Final Norm 后</x:v>
      </x:c>
      <x:c r="D155" s="34" t="n">
        <x:f>(K122*2^20)/1e9</x:f>
        <x:v>0.012845056</x:v>
      </x:c>
      <x:c r="E155" s="51" t="n">
        <x:f>$H$134</x:f>
        <x:v>100</x:v>
      </x:c>
      <x:c r="F155" s="52" t="n">
        <x:v>1</x:v>
      </x:c>
      <x:c r="G155" s="34" t="n">
        <x:f>IF(AND(ISNUMBER(E155),E155&gt;0,ISNUMBER($B$134),$B$134&gt;=0,$B$134&lt;1,ISNUMBER($D$134),$D$134&gt;=0,$D$134&lt;=1,ISNUMBER(F155),F155&gt;=0,F155&lt;=1,ISNUMBER(J155),J155&gt;=0,J155&lt;=1),D155/E155*1000,NA())</x:f>
        <x:v>0.12845056000000002</x:v>
      </x:c>
      <x:c r="H155" s="34" t="n">
        <x:f>G155+I155</x:f>
        <x:v>0.14272284444444447</x:v>
      </x:c>
      <x:c r="I155" s="34" t="n">
        <x:f>G155*F155*$D$134*$B$134/(1-$B$134)</x:f>
        <x:v>0.014272284444444446</x:v>
      </x:c>
      <x:c r="J155" s="52" t="n">
        <x:v>1</x:v>
      </x:c>
      <x:c r="K155" s="34" t="n">
        <x:f>I155*J155</x:f>
        <x:v>0.014272284444444446</x:v>
      </x:c>
      <x:c r="L155" s="30" t="str">
        <x:v>原通信行 122</x:v>
      </x:c>
    </x:row>
    <x:row r="156" ht="23" customHeight="1">
      <x:c r="A156" s="30" t="str">
        <x:v>LM Head TP</x:v>
      </x:c>
      <x:c r="B156" s="30" t="str">
        <x:v>LM Head</x:v>
      </x:c>
      <x:c r="C156" s="30" t="str">
        <x:v>完整 Logits</x:v>
      </x:c>
      <x:c r="D156" s="34" t="n">
        <x:f>(K123*2^20)/1e9</x:f>
        <x:v>0</x:v>
      </x:c>
      <x:c r="E156" s="51" t="n">
        <x:f>$H$134</x:f>
        <x:v>100</x:v>
      </x:c>
      <x:c r="F156" s="52" t="n">
        <x:v>1</x:v>
      </x:c>
      <x:c r="G156" s="34" t="n">
        <x:f>IF(AND(ISNUMBER(E156),E156&gt;0,ISNUMBER($B$134),$B$134&gt;=0,$B$134&lt;1,ISNUMBER($D$134),$D$134&gt;=0,$D$134&lt;=1,ISNUMBER(F156),F156&gt;=0,F156&lt;=1,ISNUMBER(J156),J156&gt;=0,J156&lt;=1),D156/E156*1000,NA())</x:f>
        <x:v>0</x:v>
      </x:c>
      <x:c r="H156" s="34" t="n">
        <x:f>G156+I156</x:f>
        <x:v>0</x:v>
      </x:c>
      <x:c r="I156" s="34" t="n">
        <x:f>G156*F156*$D$134*$B$134/(1-$B$134)</x:f>
        <x:v>0</x:v>
      </x:c>
      <x:c r="J156" s="52" t="n">
        <x:v>1</x:v>
      </x:c>
      <x:c r="K156" s="34" t="n">
        <x:f>I156*J156</x:f>
        <x:v>0</x:v>
      </x:c>
      <x:c r="L156" s="30" t="str">
        <x:v>原通信行 123</x:v>
      </x:c>
    </x:row>
    <x:row r="157" ht="23" customHeight="1">
      <x:c r="A157" s="30" t="str">
        <x:v>LM Head TP</x:v>
      </x:c>
      <x:c r="B157" s="30" t="str">
        <x:v>LM Head</x:v>
      </x:c>
      <x:c r="C157" s="30" t="str">
        <x:v>Reduce Sample</x:v>
      </x:c>
      <x:c r="D157" s="34" t="n">
        <x:f>(K124*2^20)/1e9</x:f>
        <x:v>0.011010048</x:v>
      </x:c>
      <x:c r="E157" s="51" t="n">
        <x:f>$H$134</x:f>
        <x:v>100</x:v>
      </x:c>
      <x:c r="F157" s="52" t="n">
        <x:v>1</x:v>
      </x:c>
      <x:c r="G157" s="34" t="n">
        <x:f>IF(AND(ISNUMBER(E157),E157&gt;0,ISNUMBER($B$134),$B$134&gt;=0,$B$134&lt;1,ISNUMBER($D$134),$D$134&gt;=0,$D$134&lt;=1,ISNUMBER(F157),F157&gt;=0,F157&lt;=1,ISNUMBER(J157),J157&gt;=0,J157&lt;=1),D157/E157*1000,NA())</x:f>
        <x:v>0.11010048</x:v>
      </x:c>
      <x:c r="H157" s="34" t="n">
        <x:f>G157+I157</x:f>
        <x:v>0.12233386666666667</x:v>
      </x:c>
      <x:c r="I157" s="34" t="n">
        <x:f>G157*F157*$D$134*$B$134/(1-$B$134)</x:f>
        <x:v>0.012233386666666669</x:v>
      </x:c>
      <x:c r="J157" s="52" t="n">
        <x:v>1</x:v>
      </x:c>
      <x:c r="K157" s="34" t="n">
        <x:f>I157*J157</x:f>
        <x:v>0.012233386666666669</x:v>
      </x:c>
      <x:c r="L157" s="30" t="str">
        <x:v>原通信行 124</x:v>
      </x:c>
    </x:row>
    <x:row r="158" ht="23" customHeight="1">
      <x:c r="A158" s="30" t="str">
        <x:v>Fine LM Head TP</x:v>
      </x:c>
      <x:c r="B158" s="30" t="str">
        <x:v>LM Head</x:v>
      </x:c>
      <x:c r="C158" s="30" t="str">
        <x:v>Hidden 输入</x:v>
      </x:c>
      <x:c r="D158" s="34" t="n">
        <x:f>(K125*2^20)/1e9</x:f>
        <x:v>0</x:v>
      </x:c>
      <x:c r="E158" s="51" t="n">
        <x:f>$H$134</x:f>
        <x:v>100</x:v>
      </x:c>
      <x:c r="F158" s="52" t="n">
        <x:v>1</x:v>
      </x:c>
      <x:c r="G158" s="34" t="n">
        <x:f>IF(AND(ISNUMBER(E158),E158&gt;0,ISNUMBER($B$134),$B$134&gt;=0,$B$134&lt;1,ISNUMBER($D$134),$D$134&gt;=0,$D$134&lt;=1,ISNUMBER(F158),F158&gt;=0,F158&lt;=1,ISNUMBER(J158),J158&gt;=0,J158&lt;=1),D158/E158*1000,NA())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G158*F158*$D$134*$B$134/(1-$B$134)</x:f>
        <x:v>0</x:v>
      </x:c>
      <x:c r="J158" s="52" t="n">
        <x:v>1</x:v>
      </x:c>
      <x:c r="K158" s="34" t="n">
        <x:f>I158*J158</x:f>
        <x:v>0</x:v>
      </x:c>
      <x:c r="L158" s="30" t="str">
        <x:v>原通信行 125</x:v>
      </x:c>
    </x:row>
    <x:row r="159" ht="23" customHeight="1">
      <x:c r="A159" s="30" t="str">
        <x:v>Fine LM Head TP</x:v>
      </x:c>
      <x:c r="B159" s="30" t="str">
        <x:v>LM Head</x:v>
      </x:c>
      <x:c r="C159" s="30" t="str">
        <x:v>完整 Logits</x:v>
      </x:c>
      <x:c r="D159" s="34" t="n">
        <x:f>(K126*2^20)/1e9</x:f>
        <x:v>0</x:v>
      </x:c>
      <x:c r="E159" s="51" t="n">
        <x:f>$H$134</x:f>
        <x:v>100</x:v>
      </x:c>
      <x:c r="F159" s="52" t="n">
        <x:v>1</x:v>
      </x:c>
      <x:c r="G159" s="34" t="n">
        <x:f>IF(AND(ISNUMBER(E159),E159&gt;0,ISNUMBER($B$134),$B$134&gt;=0,$B$134&lt;1,ISNUMBER($D$134),$D$134&gt;=0,$D$134&lt;=1,ISNUMBER(F159),F159&gt;=0,F159&lt;=1,ISNUMBER(J159),J159&gt;=0,J159&lt;=1),D159/E159*1000,NA())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G159*F159*$D$134*$B$134/(1-$B$134)</x:f>
        <x:v>0</x:v>
      </x:c>
      <x:c r="J159" s="52" t="n">
        <x:v>1</x:v>
      </x:c>
      <x:c r="K159" s="34" t="n">
        <x:f>I159*J159</x:f>
        <x:v>0</x:v>
      </x:c>
      <x:c r="L159" s="30" t="str">
        <x:v>原通信行 126</x:v>
      </x:c>
    </x:row>
    <x:row r="160" ht="23" customHeight="1">
      <x:c r="A160" s="30" t="str">
        <x:v>Fine LM Head TP</x:v>
      </x:c>
      <x:c r="B160" s="30" t="str">
        <x:v>LM Head</x:v>
      </x:c>
      <x:c r="C160" s="30" t="str">
        <x:v>Reduce Sample</x:v>
      </x:c>
      <x:c r="D160" s="34" t="n">
        <x:f>(K127*2^20)/1e9</x:f>
        <x:v>0</x:v>
      </x:c>
      <x:c r="E160" s="51" t="n">
        <x:f>$H$134</x:f>
        <x:v>100</x:v>
      </x:c>
      <x:c r="F160" s="52" t="n">
        <x:v>1</x:v>
      </x:c>
      <x:c r="G160" s="34" t="n">
        <x:f>IF(AND(ISNUMBER(E160),E160&gt;0,ISNUMBER($B$134),$B$134&gt;=0,$B$134&lt;1,ISNUMBER($D$134),$D$134&gt;=0,$D$134&lt;=1,ISNUMBER(F160),F160&gt;=0,F160&lt;=1,ISNUMBER(J160),J160&gt;=0,J160&lt;=1),D160/E160*1000,NA())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G160*F160*$D$134*$B$134/(1-$B$134)</x:f>
        <x:v>0</x:v>
      </x:c>
      <x:c r="J160" s="52" t="n">
        <x:v>1</x:v>
      </x:c>
      <x:c r="K160" s="34" t="n">
        <x:f>I160*J160</x:f>
        <x:v>0</x:v>
      </x:c>
      <x:c r="L160" s="30" t="str">
        <x:v>原通信行 127</x:v>
      </x:c>
    </x:row>
    <x:row r="161" ht="23" customHeight="1">
      <x:c r="A161" s="30" t="str">
        <x:v>EP</x:v>
      </x:c>
      <x:c r="B161" s="30" t="str">
        <x:v>MoE 计数</x:v>
      </x:c>
      <x:c r="C161" s="30" t="str">
        <x:v>MC2 count 写入</x:v>
      </x:c>
      <x:c r="D161" s="34" t="n">
        <x:f>(IF(E114=0,0,H114*ROUNDUP(384/G114,0)*(G114-1)*32))/1e9</x:f>
        <x:v>0.000655872</x:v>
      </x:c>
      <x:c r="E161" s="51" t="n">
        <x:f>$H$134</x:f>
        <x:v>100</x:v>
      </x:c>
      <x:c r="F161" s="52" t="n">
        <x:v>1</x:v>
      </x:c>
      <x:c r="G161" s="34" t="n">
        <x:f>IF(AND(ISNUMBER(E161),E161&gt;0,ISNUMBER($B$134),$B$134&gt;=0,$B$134&lt;1,ISNUMBER($D$134),$D$134&gt;=0,$D$134&lt;=1,ISNUMBER(F161),F161&gt;=0,F161&lt;=1,ISNUMBER(J161),J161&gt;=0,J161&lt;=1),D161/E161*1000,NA())</x:f>
        <x:v>0.0065587200000000005</x:v>
      </x:c>
      <x:c r="H161" s="34" t="n">
        <x:f>G161+I161</x:f>
        <x:v>0.0072874666666666674</x:v>
      </x:c>
      <x:c r="I161" s="34" t="n">
        <x:f>G161*F161*$D$134*$B$134/(1-$B$134)</x:f>
        <x:v>0.0007287466666666667</x:v>
      </x:c>
      <x:c r="J161" s="52" t="n">
        <x:v>1</x:v>
      </x:c>
      <x:c r="K161" s="34" t="n">
        <x:f>I161*J161</x:f>
        <x:v>0.0007287466666666667</x:v>
      </x:c>
      <x:c r="L161" s="30" t="str">
        <x:v>额外控制量</x:v>
      </x:c>
    </x:row>
    <x:row r="162" ht="23" customHeight="1">
      <x:c r="A162" s="53" t="str">
        <x:v>所列事件串行相加</x:v>
      </x:c>
      <x:c r="B162" s="53"/>
      <x:c r="C162" s="53"/>
      <x:c r="D162" s="54" t="n">
        <x:f>SUM(D140:D161)</x:f>
        <x:v>4.625040896000001</x:v>
      </x:c>
      <x:c r="E162" s="54"/>
      <x:c r="F162" s="53"/>
      <x:c r="G162" s="54" t="n">
        <x:f>SUM(G140:G161)</x:f>
        <x:v>46.250408959999994</x:v>
      </x:c>
      <x:c r="H162" s="54" t="n">
        <x:f>SUM(H140:H161)</x:f>
        <x:v>51.38934328888889</x:v>
      </x:c>
      <x:c r="I162" s="54" t="n">
        <x:f>SUM(I140:I161)</x:f>
        <x:v>5.1389343288888885</x:v>
      </x:c>
      <x:c r="J162" s="53"/>
      <x:c r="K162" s="54" t="n">
        <x:f>SUM(K140:K161)</x:f>
        <x:v>5.1389343288888885</x:v>
      </x:c>
      <x:c r="L162" s="53"/>
    </x:row>
  </x:sheetData>
  <x:conditionalFormatting sqref="L136:L136">
    <x:cfRule type="containsText" dxfId="1" priority="1" operator="containsText" text="不一致"/>
  </x:conditionalFormatting>
  <x:pageMargins left="0.7" right="0.7" top="0.75" bottom="0.75" header="0.3" footer="0.3"/>
</x:worksheet>
</file>