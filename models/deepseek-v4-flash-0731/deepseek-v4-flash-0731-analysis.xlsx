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748959c39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3dbed70fc0724966"/>
    <x:sheet xmlns:r="http://schemas.openxmlformats.org/officeDocument/2006/relationships" name="Decode" sheetId="2" r:id="R32e057ef0a25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</x:numFmts>
  <x:fonts count="5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4" fontId="3" fillId="3" borderId="2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5eb224a0643b6" /><Relationship Type="http://schemas.openxmlformats.org/officeDocument/2006/relationships/theme" Target="/xl/theme/theme1.xml" Id="Rf2414058c9994c79" /><Relationship Type="http://schemas.openxmlformats.org/officeDocument/2006/relationships/sharedStrings" Target="/xl/sharedStrings.xml" Id="Rd4acfab3c3574b4c" /><Relationship Type="http://schemas.openxmlformats.org/officeDocument/2006/relationships/worksheet" Target="/xl/worksheets/sheet1.xml" Id="R3dbed70fc0724966" /><Relationship Type="http://schemas.openxmlformats.org/officeDocument/2006/relationships/worksheet" Target="/xl/worksheets/sheet2.xml" Id="R32e057ef0a25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4096]</x:v>
      </x:c>
      <x:c r="D2" s="30" t="str">
        <x:v>BF16</x:v>
      </x:c>
      <x:c r="E2" s="32" t="n">
        <x:v>2</x:v>
      </x:c>
      <x:c r="F2" s="33" t="n">
        <x:v>1</x:v>
      </x:c>
      <x:c r="G2" s="33" t="n">
        <x:v>529530880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0.986328125</x:v>
      </x:c>
      <x:c r="K2" s="34" t="n">
        <x:f>J2/I2</x:f>
        <x:v>0.123291015625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4096]</x:v>
      </x:c>
      <x:c r="D3" s="30" t="str">
        <x:v>BF16</x:v>
      </x:c>
      <x:c r="E3" s="32" t="n">
        <x:v>2</x:v>
      </x:c>
      <x:c r="F3" s="33" t="n">
        <x:v>1</x:v>
      </x:c>
      <x:c r="G3" s="33" t="n">
        <x:v>529530880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0.986328125</x:v>
      </x:c>
      <x:c r="K3" s="34" t="n">
        <x:f>J3/I3</x:f>
        <x:v>0.123291015625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[4096]</x:v>
      </x:c>
      <x:c r="D4" s="30" t="str">
        <x:v>BF16</x:v>
      </x:c>
      <x:c r="E4" s="32" t="n">
        <x:v>2</x:v>
      </x:c>
      <x:c r="F4" s="33" t="n">
        <x:v>1</x:v>
      </x:c>
      <x:c r="G4" s="33" t="n">
        <x:v>4096</x:v>
      </x:c>
      <x:c r="H4" s="33" t="str">
        <x:v>Replicated</x:v>
      </x:c>
      <x:c r="I4" s="33" t="n">
        <x:f>1</x:f>
        <x:v>1</x:v>
      </x:c>
      <x:c r="J4" s="34" t="n">
        <x:f>E4*F4*G4/1073741824</x:f>
        <x:v>0.00000762939453125</x:v>
      </x:c>
      <x:c r="K4" s="34" t="n">
        <x:f>J4/I4</x:f>
        <x:v>0.00000762939453125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[4096]</x:v>
      </x:c>
      <x:c r="D5" s="30" t="str">
        <x:v>BF16</x:v>
      </x:c>
      <x:c r="E5" s="32" t="n">
        <x:v>2</x:v>
      </x:c>
      <x:c r="F5" s="33" t="n">
        <x:v>43</x:v>
      </x:c>
      <x:c r="G5" s="33" t="n">
        <x:v>4096</x:v>
      </x:c>
      <x:c r="H5" s="33" t="str">
        <x:v>Replicated</x:v>
      </x:c>
      <x:c r="I5" s="33" t="n">
        <x:f>1</x:f>
        <x:v>1</x:v>
      </x:c>
      <x:c r="J5" s="34" t="n">
        <x:f>E5*F5*G5/1073741824</x:f>
        <x:v>0.00032806396484375</x:v>
      </x:c>
      <x:c r="K5" s="34" t="n">
        <x:f>J5/I5</x:f>
        <x:v>0.00032806396484375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[4096]</x:v>
      </x:c>
      <x:c r="D6" s="30" t="str">
        <x:v>BF16</x:v>
      </x:c>
      <x:c r="E6" s="32" t="n">
        <x:v>2</x:v>
      </x:c>
      <x:c r="F6" s="33" t="n">
        <x:v>43</x:v>
      </x:c>
      <x:c r="G6" s="33" t="n">
        <x:v>4096</x:v>
      </x:c>
      <x:c r="H6" s="33" t="str">
        <x:v>Replicated</x:v>
      </x:c>
      <x:c r="I6" s="33" t="n">
        <x:f>1</x:f>
        <x:v>1</x:v>
      </x:c>
      <x:c r="J6" s="34" t="n">
        <x:f>E6*F6*G6/1073741824</x:f>
        <x:v>0.00032806396484375</x:v>
      </x:c>
      <x:c r="K6" s="34" t="n">
        <x:f>J6/I6</x:f>
        <x:v>0.00032806396484375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DSA</x:v>
      </x:c>
      <x:c r="B7" s="30" t="str">
        <x:v>attn_sink</x:v>
      </x:c>
      <x:c r="C7" s="30" t="str">
        <x:v>[64]</x:v>
      </x:c>
      <x:c r="D7" s="30" t="str">
        <x:v>F32</x:v>
      </x:c>
      <x:c r="E7" s="32" t="n">
        <x:v>4</x:v>
      </x:c>
      <x:c r="F7" s="33" t="n">
        <x:v>43</x:v>
      </x:c>
      <x:c r="G7" s="33" t="n">
        <x:v>64</x:v>
      </x:c>
      <x:c r="H7" s="33" t="str">
        <x:v>DSA CP / TP</x:v>
      </x:c>
      <x:c r="I7" s="33" t="n">
        <x:f>IF('Prefill'!$P$25&lt;&gt;0,1,'Prefill'!$P$12)</x:f>
        <x:v>1</x:v>
      </x:c>
      <x:c r="J7" s="34" t="n">
        <x:f>E7*F7*G7/1073741824</x:f>
        <x:v>0.000010251998901367188</x:v>
      </x:c>
      <x:c r="K7" s="34" t="n">
        <x:f>J7/I7</x:f>
        <x:v>0.000010251998901367188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DSA</x:v>
      </x:c>
      <x:c r="B8" s="30" t="str">
        <x:v>wq_a.weight</x:v>
      </x:c>
      <x:c r="C8" s="30" t="str">
        <x:v>[1024, 4096]</x:v>
      </x:c>
      <x:c r="D8" s="30" t="str">
        <x:v>FP8 E4M3</x:v>
      </x:c>
      <x:c r="E8" s="32" t="n">
        <x:v>1</x:v>
      </x:c>
      <x:c r="F8" s="33" t="n">
        <x:v>43</x:v>
      </x:c>
      <x:c r="G8" s="33" t="n">
        <x:v>4194304</x:v>
      </x:c>
      <x:c r="H8" s="33" t="str">
        <x:v>Replicated</x:v>
      </x:c>
      <x:c r="I8" s="33" t="n">
        <x:f>1</x:f>
        <x:v>1</x:v>
      </x:c>
      <x:c r="J8" s="34" t="n">
        <x:f>E8*F8*G8/1073741824</x:f>
        <x:v>0.16796875</x:v>
      </x:c>
      <x:c r="K8" s="34" t="n">
        <x:f>J8/I8</x:f>
        <x:v>0.16796875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DSA</x:v>
      </x:c>
      <x:c r="B9" s="30" t="str">
        <x:v>wq_a.weight_scale</x:v>
      </x:c>
      <x:c r="C9" s="30" t="str">
        <x:v>[8, 32]</x:v>
      </x:c>
      <x:c r="D9" s="30" t="str">
        <x:v>F8_E8M0</x:v>
      </x:c>
      <x:c r="E9" s="32" t="n">
        <x:v>1</x:v>
      </x:c>
      <x:c r="F9" s="33" t="n">
        <x:v>43</x:v>
      </x:c>
      <x:c r="G9" s="33" t="n">
        <x:v>256</x:v>
      </x:c>
      <x:c r="H9" s="33" t="str">
        <x:v>Replicated</x:v>
      </x:c>
      <x:c r="I9" s="33" t="n">
        <x:f>1</x:f>
        <x:v>1</x:v>
      </x:c>
      <x:c r="J9" s="34" t="n">
        <x:f>E9*F9*G9/1073741824</x:f>
        <x:v>0.000010251998901367188</x:v>
      </x:c>
      <x:c r="K9" s="34" t="n">
        <x:f>J9/I9</x:f>
        <x:v>0.000010251998901367188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[1024]</x:v>
      </x:c>
      <x:c r="D10" s="30" t="str">
        <x:v>BF16</x:v>
      </x:c>
      <x:c r="E10" s="32" t="n">
        <x:v>2</x:v>
      </x:c>
      <x:c r="F10" s="33" t="n">
        <x:v>43</x:v>
      </x:c>
      <x:c r="G10" s="33" t="n">
        <x:v>1024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0.0000820159912109375</x:v>
      </x:c>
      <x:c r="K10" s="34" t="n">
        <x:f>J10/I10</x:f>
        <x:v>0.0000820159912109375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[32768, 1024]</x:v>
      </x:c>
      <x:c r="D11" s="30" t="str">
        <x:v>FP8 E4M3</x:v>
      </x:c>
      <x:c r="E11" s="32" t="n">
        <x:v>1</x:v>
      </x:c>
      <x:c r="F11" s="33" t="n">
        <x:v>43</x:v>
      </x:c>
      <x:c r="G11" s="33" t="n">
        <x:v>33554432</x:v>
      </x:c>
      <x:c r="H11" s="33" t="str">
        <x:v>DSA CP / TP</x:v>
      </x:c>
      <x:c r="I11" s="33" t="n">
        <x:f>IF('Prefill'!$P$25&lt;&gt;0,1,'Prefill'!$P$12)</x:f>
        <x:v>1</x:v>
      </x:c>
      <x:c r="J11" s="34" t="n">
        <x:f>E11*F11*G11/1073741824</x:f>
        <x:v>1.34375</x:v>
      </x:c>
      <x:c r="K11" s="34" t="n">
        <x:f>J11/I11</x:f>
        <x:v>1.34375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[256, 8]</x:v>
      </x:c>
      <x:c r="D12" s="30" t="str">
        <x:v>F8_E8M0</x:v>
      </x:c>
      <x:c r="E12" s="32" t="n">
        <x:v>1</x:v>
      </x:c>
      <x:c r="F12" s="33" t="n">
        <x:v>43</x:v>
      </x:c>
      <x:c r="G12" s="33" t="n">
        <x:v>2048</x:v>
      </x:c>
      <x:c r="H12" s="33" t="str">
        <x:v>DSA CP / TP</x:v>
      </x:c>
      <x:c r="I12" s="33" t="n">
        <x:f>IF('Prefill'!$P$25&lt;&gt;0,1,'Prefill'!$P$12)</x:f>
        <x:v>1</x:v>
      </x:c>
      <x:c r="J12" s="34" t="n">
        <x:f>E12*F12*G12/1073741824</x:f>
        <x:v>0.0000820159912109375</x:v>
      </x:c>
      <x:c r="K12" s="34" t="n">
        <x:f>J12/I12</x:f>
        <x:v>0.0000820159912109375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4096]</x:v>
      </x:c>
      <x:c r="D13" s="30" t="str">
        <x:v>FP8 E4M3</x:v>
      </x:c>
      <x:c r="E13" s="32" t="n">
        <x:v>1</x:v>
      </x:c>
      <x:c r="F13" s="33" t="n">
        <x:v>43</x:v>
      </x:c>
      <x:c r="G13" s="33" t="n">
        <x:v>2097152</x:v>
      </x:c>
      <x:c r="H13" s="33" t="str">
        <x:v>Replicated</x:v>
      </x:c>
      <x:c r="I13" s="33" t="n">
        <x:f>1</x:f>
        <x:v>1</x:v>
      </x:c>
      <x:c r="J13" s="34" t="n">
        <x:f>E13*F13*G13/1073741824</x:f>
        <x:v>0.083984375</x:v>
      </x:c>
      <x:c r="K13" s="34" t="n">
        <x:f>J13/I13</x:f>
        <x:v>0.083984375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32]</x:v>
      </x:c>
      <x:c r="D14" s="30" t="str">
        <x:v>F8_E8M0</x:v>
      </x:c>
      <x:c r="E14" s="32" t="n">
        <x:v>1</x:v>
      </x:c>
      <x:c r="F14" s="33" t="n">
        <x:v>43</x:v>
      </x:c>
      <x:c r="G14" s="33" t="n">
        <x:v>128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0.000005125999450683594</x:v>
      </x:c>
      <x:c r="K14" s="34" t="n">
        <x:f>J14/I14</x:f>
        <x:v>0.000005125999450683594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43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0.00004100799560546875</x:v>
      </x:c>
      <x:c r="K15" s="34" t="n">
        <x:f>J15/I15</x:f>
        <x:v>0.00004100799560546875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DSA</x:v>
      </x:c>
      <x:c r="B16" s="30" t="str">
        <x:v>wo_a.weight</x:v>
      </x:c>
      <x:c r="C16" s="30" t="str">
        <x:v>[8192, 4096]</x:v>
      </x:c>
      <x:c r="D16" s="30" t="str">
        <x:v>FP8 E4M3</x:v>
      </x:c>
      <x:c r="E16" s="32" t="n">
        <x:v>1</x:v>
      </x:c>
      <x:c r="F16" s="33" t="n">
        <x:v>43</x:v>
      </x:c>
      <x:c r="G16" s="33" t="n">
        <x:v>33554432</x:v>
      </x:c>
      <x:c r="H16" s="33" t="str">
        <x:v>O Proj TP</x:v>
      </x:c>
      <x:c r="I16" s="33" t="n">
        <x:f>IF('Prefill'!$P$19&gt;0,'Prefill'!$P$19,'Prefill'!$P$12)</x:f>
        <x:v>8</x:v>
      </x:c>
      <x:c r="J16" s="34" t="n">
        <x:f>E16*F16*G16/1073741824</x:f>
        <x:v>1.34375</x:v>
      </x:c>
      <x:c r="K16" s="34" t="n">
        <x:f>J16/I16</x:f>
        <x:v>0.16796875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[64, 32]</x:v>
      </x:c>
      <x:c r="D17" s="30" t="str">
        <x:v>F8_E8M0</x:v>
      </x:c>
      <x:c r="E17" s="32" t="n">
        <x:v>1</x:v>
      </x:c>
      <x:c r="F17" s="33" t="n">
        <x:v>43</x:v>
      </x:c>
      <x:c r="G17" s="33" t="n">
        <x:v>2048</x:v>
      </x:c>
      <x:c r="H17" s="33" t="str">
        <x:v>O Proj TP</x:v>
      </x:c>
      <x:c r="I17" s="33" t="n">
        <x:f>IF('Prefill'!$P$19&gt;0,'Prefill'!$P$19,'Prefill'!$P$12)</x:f>
        <x:v>8</x:v>
      </x:c>
      <x:c r="J17" s="34" t="n">
        <x:f>E17*F17*G17/1073741824</x:f>
        <x:v>0.0000820159912109375</x:v>
      </x:c>
      <x:c r="K17" s="34" t="n">
        <x:f>J17/I17</x:f>
        <x:v>0.000010251998901367188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[4096, 8192]</x:v>
      </x:c>
      <x:c r="D18" s="30" t="str">
        <x:v>FP8 E4M3</x:v>
      </x:c>
      <x:c r="E18" s="32" t="n">
        <x:v>1</x:v>
      </x:c>
      <x:c r="F18" s="33" t="n">
        <x:v>43</x:v>
      </x:c>
      <x:c r="G18" s="33" t="n">
        <x:v>33554432</x:v>
      </x:c>
      <x:c r="H18" s="33" t="str">
        <x:v>O Proj TP</x:v>
      </x:c>
      <x:c r="I18" s="33" t="n">
        <x:f>IF('Prefill'!$P$19&gt;0,'Prefill'!$P$19,'Prefill'!$P$12)</x:f>
        <x:v>8</x:v>
      </x:c>
      <x:c r="J18" s="34" t="n">
        <x:f>E18*F18*G18/1073741824</x:f>
        <x:v>1.34375</x:v>
      </x:c>
      <x:c r="K18" s="34" t="n">
        <x:f>J18/I18</x:f>
        <x:v>0.16796875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[32, 64]</x:v>
      </x:c>
      <x:c r="D19" s="30" t="str">
        <x:v>F8_E8M0</x:v>
      </x:c>
      <x:c r="E19" s="32" t="n">
        <x:v>1</x:v>
      </x:c>
      <x:c r="F19" s="33" t="n">
        <x:v>43</x:v>
      </x:c>
      <x:c r="G19" s="33" t="n">
        <x:v>2048</x:v>
      </x:c>
      <x:c r="H19" s="33" t="str">
        <x:v>O Proj TP</x:v>
      </x:c>
      <x:c r="I19" s="33" t="n">
        <x:f>IF('Prefill'!$P$19&gt;0,'Prefill'!$P$19,'Prefill'!$P$12)</x:f>
        <x:v>8</x:v>
      </x:c>
      <x:c r="J19" s="34" t="n">
        <x:f>E19*F19*G19/1073741824</x:f>
        <x:v>0.0000820159912109375</x:v>
      </x:c>
      <x:c r="K19" s="34" t="n">
        <x:f>J19/I19</x:f>
        <x:v>0.000010251998901367188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21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0.0003204345703125</x:v>
      </x:c>
      <x:c r="K20" s="34" t="n">
        <x:f>J20/I20</x:f>
        <x:v>0.0003204345703125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21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0.00002002716064453125</x:v>
      </x:c>
      <x:c r="K21" s="34" t="n">
        <x:f>J21/I21</x:f>
        <x:v>0.00002002716064453125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4096]</x:v>
      </x:c>
      <x:c r="D22" s="30" t="str">
        <x:v>BF16</x:v>
      </x:c>
      <x:c r="E22" s="32" t="n">
        <x:v>2</x:v>
      </x:c>
      <x:c r="F22" s="33" t="n">
        <x:v>21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0.1640625</x:v>
      </x:c>
      <x:c r="K22" s="34" t="n">
        <x:f>J22/I22</x:f>
        <x:v>0.1640625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4096]</x:v>
      </x:c>
      <x:c r="D23" s="30" t="str">
        <x:v>BF16</x:v>
      </x:c>
      <x:c r="E23" s="32" t="n">
        <x:v>2</x:v>
      </x:c>
      <x:c r="F23" s="33" t="n">
        <x:v>21</x:v>
      </x:c>
      <x:c r="G23" s="33" t="n">
        <x:v>4194304</x:v>
      </x:c>
      <x:c r="H23" s="33" t="str">
        <x:v>Replicated</x:v>
      </x:c>
      <x:c r="I23" s="33" t="n">
        <x:f>1</x:f>
        <x:v>1</x:v>
      </x:c>
      <x:c r="J23" s="34" t="n">
        <x:f>E23*F23*G23/1073741824</x:f>
        <x:v>0.1640625</x:v>
      </x:c>
      <x:c r="K23" s="34" t="n">
        <x:f>J23/I23</x:f>
        <x:v>0.1640625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20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0.0048828125</x:v>
      </x:c>
      <x:c r="K24" s="34" t="n">
        <x:f>J24/I24</x:f>
        <x:v>0.0048828125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20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0.000019073486328125</x:v>
      </x:c>
      <x:c r="K25" s="34" t="n">
        <x:f>J25/I25</x:f>
        <x:v>0.000019073486328125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4096]</x:v>
      </x:c>
      <x:c r="D26" s="30" t="str">
        <x:v>BF16</x:v>
      </x:c>
      <x:c r="E26" s="32" t="n">
        <x:v>2</x:v>
      </x:c>
      <x:c r="F26" s="33" t="n">
        <x:v>20</x:v>
      </x:c>
      <x:c r="G26" s="33" t="n">
        <x:v>2097152</x:v>
      </x:c>
      <x:c r="H26" s="33" t="str">
        <x:v>Replicated</x:v>
      </x:c>
      <x:c r="I26" s="33" t="n">
        <x:f>1</x:f>
        <x:v>1</x:v>
      </x:c>
      <x:c r="J26" s="34" t="n">
        <x:f>E26*F26*G26/1073741824</x:f>
        <x:v>0.078125</x:v>
      </x:c>
      <x:c r="K26" s="34" t="n">
        <x:f>J26/I26</x:f>
        <x:v>0.078125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4096]</x:v>
      </x:c>
      <x:c r="D27" s="30" t="str">
        <x:v>BF16</x:v>
      </x:c>
      <x:c r="E27" s="32" t="n">
        <x:v>2</x:v>
      </x:c>
      <x:c r="F27" s="33" t="n">
        <x:v>20</x:v>
      </x:c>
      <x:c r="G27" s="33" t="n">
        <x:v>2097152</x:v>
      </x:c>
      <x:c r="H27" s="33" t="str">
        <x:v>Replicated</x:v>
      </x:c>
      <x:c r="I27" s="33" t="n">
        <x:f>1</x:f>
        <x:v>1</x:v>
      </x:c>
      <x:c r="J27" s="34" t="n">
        <x:f>E27*F27*G27/1073741824</x:f>
        <x:v>0.078125</x:v>
      </x:c>
      <x:c r="K27" s="34" t="n">
        <x:f>J27/I27</x:f>
        <x:v>0.078125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1024]</x:v>
      </x:c>
      <x:c r="D28" s="30" t="str">
        <x:v>FP8 E4M3</x:v>
      </x:c>
      <x:c r="E28" s="32" t="n">
        <x:v>1</x:v>
      </x:c>
      <x:c r="F28" s="33" t="n">
        <x:v>21</x:v>
      </x:c>
      <x:c r="G28" s="33" t="n">
        <x:v>8388608</x:v>
      </x:c>
      <x:c r="H28" s="33" t="str">
        <x:v>Replicated</x:v>
      </x:c>
      <x:c r="I28" s="33" t="n">
        <x:f>1</x:f>
        <x:v>1</x:v>
      </x:c>
      <x:c r="J28" s="34" t="n">
        <x:f>E28*F28*G28/1073741824</x:f>
        <x:v>0.1640625</x:v>
      </x:c>
      <x:c r="K28" s="34" t="n">
        <x:f>J28/I28</x:f>
        <x:v>0.1640625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8]</x:v>
      </x:c>
      <x:c r="D29" s="30" t="str">
        <x:v>F8_E8M0</x:v>
      </x:c>
      <x:c r="E29" s="32" t="n">
        <x:v>1</x:v>
      </x:c>
      <x:c r="F29" s="33" t="n">
        <x:v>21</x:v>
      </x:c>
      <x:c r="G29" s="33" t="n">
        <x:v>512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0.000010013580322265625</x:v>
      </x:c>
      <x:c r="K29" s="34" t="n">
        <x:f>J29/I29</x:f>
        <x:v>0.000010013580322265625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4096]</x:v>
      </x:c>
      <x:c r="D30" s="30" t="str">
        <x:v>BF16</x:v>
      </x:c>
      <x:c r="E30" s="32" t="n">
        <x:v>2</x:v>
      </x:c>
      <x:c r="F30" s="33" t="n">
        <x:v>21</x:v>
      </x:c>
      <x:c r="G30" s="33" t="n">
        <x:v>262144</x:v>
      </x:c>
      <x:c r="H30" s="33" t="str">
        <x:v>Replicated</x:v>
      </x:c>
      <x:c r="I30" s="33" t="n">
        <x:f>1</x:f>
        <x:v>1</x:v>
      </x:c>
      <x:c r="J30" s="34" t="n">
        <x:f>E30*F30*G30/1073741824</x:f>
        <x:v>0.01025390625</x:v>
      </x:c>
      <x:c r="K30" s="34" t="n">
        <x:f>J30/I30</x:f>
        <x:v>0.01025390625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21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0.000080108642578125</x:v>
      </x:c>
      <x:c r="K31" s="34" t="n">
        <x:f>J31/I31</x:f>
        <x:v>0.000080108642578125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21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0.0000050067901611328125</x:v>
      </x:c>
      <x:c r="K32" s="34" t="n">
        <x:f>J32/I32</x:f>
        <x:v>0.0000050067901611328125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4096]</x:v>
      </x:c>
      <x:c r="D33" s="30" t="str">
        <x:v>BF16</x:v>
      </x:c>
      <x:c r="E33" s="32" t="n">
        <x:v>2</x:v>
      </x:c>
      <x:c r="F33" s="33" t="n">
        <x:v>21</x:v>
      </x:c>
      <x:c r="G33" s="33" t="n">
        <x:v>1048576</x:v>
      </x:c>
      <x:c r="H33" s="33" t="str">
        <x:v>Replicated</x:v>
      </x:c>
      <x:c r="I33" s="33" t="n">
        <x:f>1</x:f>
        <x:v>1</x:v>
      </x:c>
      <x:c r="J33" s="34" t="n">
        <x:f>E33*F33*G33/1073741824</x:f>
        <x:v>0.041015625</x:v>
      </x:c>
      <x:c r="K33" s="34" t="n">
        <x:f>J33/I33</x:f>
        <x:v>0.041015625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4096]</x:v>
      </x:c>
      <x:c r="D34" s="30" t="str">
        <x:v>BF16</x:v>
      </x:c>
      <x:c r="E34" s="32" t="n">
        <x:v>2</x:v>
      </x:c>
      <x:c r="F34" s="33" t="n">
        <x:v>21</x:v>
      </x:c>
      <x:c r="G34" s="33" t="n">
        <x:v>1048576</x:v>
      </x:c>
      <x:c r="H34" s="33" t="str">
        <x:v>Replicated</x:v>
      </x:c>
      <x:c r="I34" s="33" t="n">
        <x:f>1</x:f>
        <x:v>1</x:v>
      </x:c>
      <x:c r="J34" s="34" t="n">
        <x:f>E34*F34*G34/1073741824</x:f>
        <x:v>0.041015625</x:v>
      </x:c>
      <x:c r="K34" s="34" t="n">
        <x:f>J34/I34</x:f>
        <x:v>0.041015625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[256, 4096]</x:v>
      </x:c>
      <x:c r="D35" s="30" t="str">
        <x:v>BF16</x:v>
      </x:c>
      <x:c r="E35" s="32" t="n">
        <x:v>2</x:v>
      </x:c>
      <x:c r="F35" s="33" t="n">
        <x:v>43</x:v>
      </x:c>
      <x:c r="G35" s="33" t="n">
        <x:v>1048576</x:v>
      </x:c>
      <x:c r="H35" s="33" t="str">
        <x:v>Replicated</x:v>
      </x:c>
      <x:c r="I35" s="33" t="n">
        <x:f>1</x:f>
        <x:v>1</x:v>
      </x:c>
      <x:c r="J35" s="34" t="n">
        <x:f>E35*F35*G35/1073741824</x:f>
        <x:v>0.083984375</x:v>
      </x:c>
      <x:c r="K35" s="34" t="n">
        <x:f>J35/I35</x:f>
        <x:v>0.083984375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[256]</x:v>
      </x:c>
      <x:c r="D36" s="30" t="str">
        <x:v>F32</x:v>
      </x:c>
      <x:c r="E36" s="32" t="n">
        <x:v>4</x:v>
      </x:c>
      <x:c r="F36" s="33" t="n">
        <x:v>40</x:v>
      </x:c>
      <x:c r="G36" s="33" t="n">
        <x:v>256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0.00003814697265625</x:v>
      </x:c>
      <x:c r="K36" s="34" t="n">
        <x:f>J36/I36</x:f>
        <x:v>0.00003814697265625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[2048, 4096]</x:v>
      </x:c>
      <x:c r="D38" s="30" t="str">
        <x:v>FP4</x:v>
      </x:c>
      <x:c r="E38" s="32" t="n">
        <x:v>0.5</x:v>
      </x:c>
      <x:c r="F38" s="33" t="n">
        <x:v>11008</x:v>
      </x:c>
      <x:c r="G38" s="33" t="n">
        <x:v>8388608</x:v>
      </x:c>
      <x:c r="H38" s="33" t="str">
        <x:v>EP</x:v>
      </x:c>
      <x:c r="I38" s="33" t="n">
        <x:f>'Prefill'!$P$14</x:f>
        <x:v>8</x:v>
      </x:c>
      <x:c r="J38" s="34" t="n">
        <x:f>E38*F38*G38/1073741824</x:f>
        <x:v>43</x:v>
      </x:c>
      <x:c r="K38" s="34" t="n">
        <x:f>J38/I38</x:f>
        <x:v>5.375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[2048, 128]</x:v>
      </x:c>
      <x:c r="D39" s="30" t="str">
        <x:v>E8M0</x:v>
      </x:c>
      <x:c r="E39" s="32" t="n">
        <x:v>1</x:v>
      </x:c>
      <x:c r="F39" s="33" t="n">
        <x:v>11008</x:v>
      </x:c>
      <x:c r="G39" s="33" t="n">
        <x:v>262144</x:v>
      </x:c>
      <x:c r="H39" s="33" t="str">
        <x:v>EP</x:v>
      </x:c>
      <x:c r="I39" s="33" t="n">
        <x:f>'Prefill'!$P$14</x:f>
        <x:v>8</x:v>
      </x:c>
      <x:c r="J39" s="34" t="n">
        <x:f>E39*F39*G39/1073741824</x:f>
        <x:v>2.6875</x:v>
      </x:c>
      <x:c r="K39" s="34" t="n">
        <x:f>J39/I39</x:f>
        <x:v>0.3359375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[2048, 4096]</x:v>
      </x:c>
      <x:c r="D40" s="30" t="str">
        <x:v>FP4</x:v>
      </x:c>
      <x:c r="E40" s="32" t="n">
        <x:v>0.5</x:v>
      </x:c>
      <x:c r="F40" s="33" t="n">
        <x:v>11008</x:v>
      </x:c>
      <x:c r="G40" s="33" t="n">
        <x:v>8388608</x:v>
      </x:c>
      <x:c r="H40" s="33" t="str">
        <x:v>EP</x:v>
      </x:c>
      <x:c r="I40" s="33" t="n">
        <x:f>'Prefill'!$P$14</x:f>
        <x:v>8</x:v>
      </x:c>
      <x:c r="J40" s="34" t="n">
        <x:f>E40*F40*G40/1073741824</x:f>
        <x:v>43</x:v>
      </x:c>
      <x:c r="K40" s="34" t="n">
        <x:f>J40/I40</x:f>
        <x:v>5.375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[2048, 128]</x:v>
      </x:c>
      <x:c r="D41" s="30" t="str">
        <x:v>E8M0</x:v>
      </x:c>
      <x:c r="E41" s="32" t="n">
        <x:v>1</x:v>
      </x:c>
      <x:c r="F41" s="33" t="n">
        <x:v>11008</x:v>
      </x:c>
      <x:c r="G41" s="33" t="n">
        <x:v>262144</x:v>
      </x:c>
      <x:c r="H41" s="33" t="str">
        <x:v>EP</x:v>
      </x:c>
      <x:c r="I41" s="33" t="n">
        <x:f>'Prefill'!$P$14</x:f>
        <x:v>8</x:v>
      </x:c>
      <x:c r="J41" s="34" t="n">
        <x:f>E41*F41*G41/1073741824</x:f>
        <x:v>2.6875</x:v>
      </x:c>
      <x:c r="K41" s="34" t="n">
        <x:f>J41/I41</x:f>
        <x:v>0.3359375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[4096, 2048]</x:v>
      </x:c>
      <x:c r="D42" s="30" t="str">
        <x:v>FP4</x:v>
      </x:c>
      <x:c r="E42" s="32" t="n">
        <x:v>0.5</x:v>
      </x:c>
      <x:c r="F42" s="33" t="n">
        <x:v>11008</x:v>
      </x:c>
      <x:c r="G42" s="33" t="n">
        <x:v>8388608</x:v>
      </x:c>
      <x:c r="H42" s="33" t="str">
        <x:v>EP</x:v>
      </x:c>
      <x:c r="I42" s="33" t="n">
        <x:f>'Prefill'!$P$14</x:f>
        <x:v>8</x:v>
      </x:c>
      <x:c r="J42" s="34" t="n">
        <x:f>E42*F42*G42/1073741824</x:f>
        <x:v>43</x:v>
      </x:c>
      <x:c r="K42" s="34" t="n">
        <x:f>J42/I42</x:f>
        <x:v>5.375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[4096, 64]</x:v>
      </x:c>
      <x:c r="D43" s="30" t="str">
        <x:v>E8M0</x:v>
      </x:c>
      <x:c r="E43" s="32" t="n">
        <x:v>1</x:v>
      </x:c>
      <x:c r="F43" s="33" t="n">
        <x:v>11008</x:v>
      </x:c>
      <x:c r="G43" s="33" t="n">
        <x:v>262144</x:v>
      </x:c>
      <x:c r="H43" s="33" t="str">
        <x:v>EP</x:v>
      </x:c>
      <x:c r="I43" s="33" t="n">
        <x:f>'Prefill'!$P$14</x:f>
        <x:v>8</x:v>
      </x:c>
      <x:c r="J43" s="34" t="n">
        <x:f>E43*F43*G43/1073741824</x:f>
        <x:v>2.6875</x:v>
      </x:c>
      <x:c r="K43" s="34" t="n">
        <x:f>J43/I43</x:f>
        <x:v>0.3359375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[2048, 4096]</x:v>
      </x:c>
      <x:c r="D44" s="30" t="str">
        <x:v>FP8 E4M3</x:v>
      </x:c>
      <x:c r="E44" s="32" t="n">
        <x:v>1</x:v>
      </x:c>
      <x:c r="F44" s="33" t="n">
        <x:v>43</x:v>
      </x:c>
      <x:c r="G44" s="33" t="n">
        <x:v>8388608</x:v>
      </x:c>
      <x:c r="H44" s="33" t="str">
        <x:v>共享专家 TP/DP</x:v>
      </x:c>
      <x:c r="I44" s="33" t="n">
        <x:f>IF('Prefill'!$P$17="TP",'Prefill'!$P$18,1)</x:f>
        <x:v>8</x:v>
      </x:c>
      <x:c r="J44" s="34" t="n">
        <x:f>E44*F44*G44/1073741824</x:f>
        <x:v>0.3359375</x:v>
      </x:c>
      <x:c r="K44" s="34" t="n">
        <x:f>J44/I44</x:f>
        <x:v>0.0419921875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[16, 32]</x:v>
      </x:c>
      <x:c r="D45" s="30" t="str">
        <x:v>F8_E8M0</x:v>
      </x:c>
      <x:c r="E45" s="32" t="n">
        <x:v>1</x:v>
      </x:c>
      <x:c r="F45" s="33" t="n">
        <x:v>43</x:v>
      </x:c>
      <x:c r="G45" s="33" t="n">
        <x:v>512</x:v>
      </x:c>
      <x:c r="H45" s="33" t="str">
        <x:v>共享专家 TP/DP</x:v>
      </x:c>
      <x:c r="I45" s="33" t="n">
        <x:f>IF('Prefill'!$P$17="TP",'Prefill'!$P$18,1)</x:f>
        <x:v>8</x:v>
      </x:c>
      <x:c r="J45" s="34" t="n">
        <x:f>E45*F45*G45/1073741824</x:f>
        <x:v>0.000020503997802734375</x:v>
      </x:c>
      <x:c r="K45" s="34" t="n">
        <x:f>J45/I45</x:f>
        <x:v>0.000002562999725341797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[2048, 4096]</x:v>
      </x:c>
      <x:c r="D46" s="30" t="str">
        <x:v>FP8 E4M3</x:v>
      </x:c>
      <x:c r="E46" s="32" t="n">
        <x:v>1</x:v>
      </x:c>
      <x:c r="F46" s="33" t="n">
        <x:v>43</x:v>
      </x:c>
      <x:c r="G46" s="33" t="n">
        <x:v>8388608</x:v>
      </x:c>
      <x:c r="H46" s="33" t="str">
        <x:v>共享专家 TP/DP</x:v>
      </x:c>
      <x:c r="I46" s="33" t="n">
        <x:f>IF('Prefill'!$P$17="TP",'Prefill'!$P$18,1)</x:f>
        <x:v>8</x:v>
      </x:c>
      <x:c r="J46" s="34" t="n">
        <x:f>E46*F46*G46/1073741824</x:f>
        <x:v>0.3359375</x:v>
      </x:c>
      <x:c r="K46" s="34" t="n">
        <x:f>J46/I46</x:f>
        <x:v>0.0419921875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[16, 32]</x:v>
      </x:c>
      <x:c r="D47" s="30" t="str">
        <x:v>F8_E8M0</x:v>
      </x:c>
      <x:c r="E47" s="32" t="n">
        <x:v>1</x:v>
      </x:c>
      <x:c r="F47" s="33" t="n">
        <x:v>43</x:v>
      </x:c>
      <x:c r="G47" s="33" t="n">
        <x:v>512</x:v>
      </x:c>
      <x:c r="H47" s="33" t="str">
        <x:v>共享专家 TP/DP</x:v>
      </x:c>
      <x:c r="I47" s="33" t="n">
        <x:f>IF('Prefill'!$P$17="TP",'Prefill'!$P$18,1)</x:f>
        <x:v>8</x:v>
      </x:c>
      <x:c r="J47" s="34" t="n">
        <x:f>E47*F47*G47/1073741824</x:f>
        <x:v>0.000020503997802734375</x:v>
      </x:c>
      <x:c r="K47" s="34" t="n">
        <x:f>J47/I47</x:f>
        <x:v>0.000002562999725341797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[4096, 2048]</x:v>
      </x:c>
      <x:c r="D48" s="30" t="str">
        <x:v>FP8 E4M3</x:v>
      </x:c>
      <x:c r="E48" s="32" t="n">
        <x:v>1</x:v>
      </x:c>
      <x:c r="F48" s="33" t="n">
        <x:v>43</x:v>
      </x:c>
      <x:c r="G48" s="33" t="n">
        <x:v>8388608</x:v>
      </x:c>
      <x:c r="H48" s="33" t="str">
        <x:v>共享专家 TP/DP</x:v>
      </x:c>
      <x:c r="I48" s="33" t="n">
        <x:f>IF('Prefill'!$P$17="TP",'Prefill'!$P$18,1)</x:f>
        <x:v>8</x:v>
      </x:c>
      <x:c r="J48" s="34" t="n">
        <x:f>E48*F48*G48/1073741824</x:f>
        <x:v>0.3359375</x:v>
      </x:c>
      <x:c r="K48" s="34" t="n">
        <x:f>J48/I48</x:f>
        <x:v>0.0419921875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[32, 16]</x:v>
      </x:c>
      <x:c r="D49" s="30" t="str">
        <x:v>F8_E8M0</x:v>
      </x:c>
      <x:c r="E49" s="32" t="n">
        <x:v>1</x:v>
      </x:c>
      <x:c r="F49" s="33" t="n">
        <x:v>43</x:v>
      </x:c>
      <x:c r="G49" s="33" t="n">
        <x:v>512</x:v>
      </x:c>
      <x:c r="H49" s="33" t="str">
        <x:v>共享专家 TP/DP</x:v>
      </x:c>
      <x:c r="I49" s="33" t="n">
        <x:f>IF('Prefill'!$P$17="TP",'Prefill'!$P$18,1)</x:f>
        <x:v>8</x:v>
      </x:c>
      <x:c r="J49" s="34" t="n">
        <x:f>E49*F49*G49/1073741824</x:f>
        <x:v>0.000020503997802734375</x:v>
      </x:c>
      <x:c r="K49" s="34" t="n">
        <x:f>J49/I49</x:f>
        <x:v>0.000002562999725341797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16384]</x:v>
      </x:c>
      <x:c r="D50" s="30" t="str">
        <x:v>F32</x:v>
      </x:c>
      <x:c r="E50" s="32" t="n">
        <x:v>4</x:v>
      </x:c>
      <x:c r="F50" s="33" t="n">
        <x:v>43</x:v>
      </x:c>
      <x:c r="G50" s="33" t="n">
        <x:v>393216</x:v>
      </x:c>
      <x:c r="H50" s="33" t="str">
        <x:v>Replicated</x:v>
      </x:c>
      <x:c r="I50" s="33" t="n">
        <x:f>1</x:f>
        <x:v>1</x:v>
      </x:c>
      <x:c r="J50" s="34" t="n">
        <x:f>E50*F50*G50/1073741824</x:f>
        <x:v>0.06298828125</x:v>
      </x:c>
      <x:c r="K50" s="34" t="n">
        <x:f>J50/I50</x:f>
        <x:v>0.06298828125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16384]</x:v>
      </x:c>
      <x:c r="D51" s="30" t="str">
        <x:v>F32</x:v>
      </x:c>
      <x:c r="E51" s="32" t="n">
        <x:v>4</x:v>
      </x:c>
      <x:c r="F51" s="33" t="n">
        <x:v>43</x:v>
      </x:c>
      <x:c r="G51" s="33" t="n">
        <x:v>393216</x:v>
      </x:c>
      <x:c r="H51" s="33" t="str">
        <x:v>Replicated</x:v>
      </x:c>
      <x:c r="I51" s="33" t="n">
        <x:f>1</x:f>
        <x:v>1</x:v>
      </x:c>
      <x:c r="J51" s="34" t="n">
        <x:f>E51*F51*G51/1073741824</x:f>
        <x:v>0.06298828125</x:v>
      </x:c>
      <x:c r="K51" s="34" t="n">
        <x:f>J51/I51</x:f>
        <x:v>0.06298828125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43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0.000003844499588012695</x:v>
      </x:c>
      <x:c r="K52" s="34" t="n">
        <x:f>J52/I52</x:f>
        <x:v>0.000003844499588012695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43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0.000003844499588012695</x:v>
      </x:c>
      <x:c r="K53" s="34" t="n">
        <x:f>J53/I53</x:f>
        <x:v>0.000003844499588012695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43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4.805624485015869e-7</x:v>
      </x:c>
      <x:c r="K54" s="34" t="n">
        <x:f>J54/I54</x:f>
        <x:v>4.805624485015869e-7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43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4.805624485015869e-7</x:v>
      </x:c>
      <x:c r="K55" s="34" t="n">
        <x:f>J55/I55</x:f>
        <x:v>4.805624485015869e-7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[4096]</x:v>
      </x:c>
      <x:c r="D56" s="30" t="str">
        <x:v>BF16</x:v>
      </x:c>
      <x:c r="E56" s="32" t="n">
        <x:v>2</x:v>
      </x:c>
      <x:c r="F56" s="33" t="n">
        <x:v>3</x:v>
      </x:c>
      <x:c r="G56" s="33" t="n">
        <x:v>4096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0.00002288818359375</x:v>
      </x:c>
      <x:c r="K56" s="34" t="n">
        <x:f>J56/I56</x:f>
        <x:v>0.00002288818359375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[4096]</x:v>
      </x:c>
      <x:c r="D57" s="30" t="str">
        <x:v>BF16</x:v>
      </x:c>
      <x:c r="E57" s="32" t="n">
        <x:v>2</x:v>
      </x:c>
      <x:c r="F57" s="33" t="n">
        <x:v>3</x:v>
      </x:c>
      <x:c r="G57" s="33" t="n">
        <x:v>4096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0.00002288818359375</x:v>
      </x:c>
      <x:c r="K57" s="34" t="n">
        <x:f>J57/I57</x:f>
        <x:v>0.00002288818359375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[64]</x:v>
      </x:c>
      <x:c r="D58" s="30" t="str">
        <x:v>F32</x:v>
      </x:c>
      <x:c r="E58" s="32" t="n">
        <x:v>4</x:v>
      </x:c>
      <x:c r="F58" s="33" t="n">
        <x:v>3</x:v>
      </x:c>
      <x:c r="G58" s="33" t="n">
        <x:v>64</x:v>
      </x:c>
      <x:c r="H58" s="33" t="str">
        <x:v>DSA CP / TP</x:v>
      </x:c>
      <x:c r="I58" s="33" t="n">
        <x:f>IF('Prefill'!$P$25&lt;&gt;0,1,'Prefill'!$P$12)</x:f>
        <x:v>1</x:v>
      </x:c>
      <x:c r="J58" s="34" t="n">
        <x:f>E58*F58*G58/1073741824</x:f>
        <x:v>7.152557373046875e-7</x:v>
      </x:c>
      <x:c r="K58" s="34" t="n">
        <x:f>J58/I58</x:f>
        <x:v>7.152557373046875e-7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[1024, 4096]</x:v>
      </x:c>
      <x:c r="D59" s="30" t="str">
        <x:v>FP8 E4M3</x:v>
      </x:c>
      <x:c r="E59" s="32" t="n">
        <x:v>1</x:v>
      </x:c>
      <x:c r="F59" s="33" t="n">
        <x:v>3</x:v>
      </x:c>
      <x:c r="G59" s="33" t="n">
        <x:v>4194304</x:v>
      </x:c>
      <x:c r="H59" s="33" t="str">
        <x:v>Replicated</x:v>
      </x:c>
      <x:c r="I59" s="33" t="n">
        <x:f>1</x:f>
        <x:v>1</x:v>
      </x:c>
      <x:c r="J59" s="34" t="n">
        <x:f>E59*F59*G59/1073741824</x:f>
        <x:v>0.01171875</x:v>
      </x:c>
      <x:c r="K59" s="34" t="n">
        <x:f>J59/I59</x:f>
        <x:v>0.01171875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[8, 32]</x:v>
      </x:c>
      <x:c r="D60" s="30" t="str">
        <x:v>F8_E8M0</x:v>
      </x:c>
      <x:c r="E60" s="32" t="n">
        <x:v>1</x:v>
      </x:c>
      <x:c r="F60" s="33" t="n">
        <x:v>3</x:v>
      </x:c>
      <x:c r="G60" s="33" t="n">
        <x:v>256</x:v>
      </x:c>
      <x:c r="H60" s="33" t="str">
        <x:v>Replicated</x:v>
      </x:c>
      <x:c r="I60" s="33" t="n">
        <x:f>1</x:f>
        <x:v>1</x:v>
      </x:c>
      <x:c r="J60" s="34" t="n">
        <x:f>E60*F60*G60/1073741824</x:f>
        <x:v>7.152557373046875e-7</x:v>
      </x:c>
      <x:c r="K60" s="34" t="n">
        <x:f>J60/I60</x:f>
        <x:v>7.152557373046875e-7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[1024]</x:v>
      </x:c>
      <x:c r="D61" s="30" t="str">
        <x:v>BF16</x:v>
      </x:c>
      <x:c r="E61" s="32" t="n">
        <x:v>2</x:v>
      </x:c>
      <x:c r="F61" s="33" t="n">
        <x:v>3</x:v>
      </x:c>
      <x:c r="G61" s="33" t="n">
        <x:v>1024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0.0000057220458984375</x:v>
      </x:c>
      <x:c r="K61" s="34" t="n">
        <x:f>J61/I61</x:f>
        <x:v>0.0000057220458984375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[32768, 1024]</x:v>
      </x:c>
      <x:c r="D62" s="30" t="str">
        <x:v>FP8 E4M3</x:v>
      </x:c>
      <x:c r="E62" s="32" t="n">
        <x:v>1</x:v>
      </x:c>
      <x:c r="F62" s="33" t="n">
        <x:v>3</x:v>
      </x:c>
      <x:c r="G62" s="33" t="n">
        <x:v>33554432</x:v>
      </x:c>
      <x:c r="H62" s="33" t="str">
        <x:v>DSA CP / TP</x:v>
      </x:c>
      <x:c r="I62" s="33" t="n">
        <x:f>IF('Prefill'!$P$25&lt;&gt;0,1,'Prefill'!$P$12)</x:f>
        <x:v>1</x:v>
      </x:c>
      <x:c r="J62" s="34" t="n">
        <x:f>E62*F62*G62/1073741824</x:f>
        <x:v>0.09375</x:v>
      </x:c>
      <x:c r="K62" s="34" t="n">
        <x:f>J62/I62</x:f>
        <x:v>0.09375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[256, 8]</x:v>
      </x:c>
      <x:c r="D63" s="30" t="str">
        <x:v>F8_E8M0</x:v>
      </x:c>
      <x:c r="E63" s="32" t="n">
        <x:v>1</x:v>
      </x:c>
      <x:c r="F63" s="33" t="n">
        <x:v>3</x:v>
      </x:c>
      <x:c r="G63" s="33" t="n">
        <x:v>2048</x:v>
      </x:c>
      <x:c r="H63" s="33" t="str">
        <x:v>DSA CP / TP</x:v>
      </x:c>
      <x:c r="I63" s="33" t="n">
        <x:f>IF('Prefill'!$P$25&lt;&gt;0,1,'Prefill'!$P$12)</x:f>
        <x:v>1</x:v>
      </x:c>
      <x:c r="J63" s="34" t="n">
        <x:f>E63*F63*G63/1073741824</x:f>
        <x:v>0.0000057220458984375</x:v>
      </x:c>
      <x:c r="K63" s="34" t="n">
        <x:f>J63/I63</x:f>
        <x:v>0.0000057220458984375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4096]</x:v>
      </x:c>
      <x:c r="D64" s="30" t="str">
        <x:v>FP8 E4M3</x:v>
      </x:c>
      <x:c r="E64" s="32" t="n">
        <x:v>1</x:v>
      </x:c>
      <x:c r="F64" s="33" t="n">
        <x:v>3</x:v>
      </x:c>
      <x:c r="G64" s="33" t="n">
        <x:v>2097152</x:v>
      </x:c>
      <x:c r="H64" s="33" t="str">
        <x:v>Replicated</x:v>
      </x:c>
      <x:c r="I64" s="33" t="n">
        <x:f>1</x:f>
        <x:v>1</x:v>
      </x:c>
      <x:c r="J64" s="34" t="n">
        <x:f>E64*F64*G64/1073741824</x:f>
        <x:v>0.005859375</x:v>
      </x:c>
      <x:c r="K64" s="34" t="n">
        <x:f>J64/I64</x:f>
        <x:v>0.005859375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32]</x:v>
      </x:c>
      <x:c r="D65" s="30" t="str">
        <x:v>F8_E8M0</x:v>
      </x:c>
      <x:c r="E65" s="32" t="n">
        <x:v>1</x:v>
      </x:c>
      <x:c r="F65" s="33" t="n">
        <x:v>3</x:v>
      </x:c>
      <x:c r="G65" s="33" t="n">
        <x:v>128</x:v>
      </x:c>
      <x:c r="H65" s="33" t="str">
        <x:v>Replicated</x:v>
      </x:c>
      <x:c r="I65" s="33" t="n">
        <x:f>1</x:f>
        <x:v>1</x:v>
      </x:c>
      <x:c r="J65" s="34" t="n">
        <x:f>E65*F65*G65/1073741824</x:f>
        <x:v>3.5762786865234375e-7</x:v>
      </x:c>
      <x:c r="K65" s="34" t="n">
        <x:f>J65/I65</x:f>
        <x:v>3.5762786865234375e-7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[8192,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33554432</x:v>
      </x:c>
      <x:c r="H67" s="33" t="str">
        <x:v>O Proj TP</x:v>
      </x:c>
      <x:c r="I67" s="33" t="n">
        <x:f>IF('Prefill'!$P$19&gt;0,'Prefill'!$P$19,'Prefill'!$P$12)</x:f>
        <x:v>8</x:v>
      </x:c>
      <x:c r="J67" s="34" t="n">
        <x:f>E67*F67*G67/1073741824</x:f>
        <x:v>0.09375</x:v>
      </x:c>
      <x:c r="K67" s="34" t="n">
        <x:f>J67/I67</x:f>
        <x:v>0.01171875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[64,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2048</x:v>
      </x:c>
      <x:c r="H68" s="33" t="str">
        <x:v>O Proj TP</x:v>
      </x:c>
      <x:c r="I68" s="33" t="n">
        <x:f>IF('Prefill'!$P$19&gt;0,'Prefill'!$P$19,'Prefill'!$P$12)</x:f>
        <x:v>8</x:v>
      </x:c>
      <x:c r="J68" s="34" t="n">
        <x:f>E68*F68*G68/1073741824</x:f>
        <x:v>0.0000057220458984375</x:v>
      </x:c>
      <x:c r="K68" s="34" t="n">
        <x:f>J68/I68</x:f>
        <x:v>7.152557373046875e-7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[4096, 8192]</x:v>
      </x:c>
      <x:c r="D69" s="30" t="str">
        <x:v>FP8 E4M3</x:v>
      </x:c>
      <x:c r="E69" s="32" t="n">
        <x:v>1</x:v>
      </x:c>
      <x:c r="F69" s="33" t="n">
        <x:v>3</x:v>
      </x:c>
      <x:c r="G69" s="33" t="n">
        <x:v>33554432</x:v>
      </x:c>
      <x:c r="H69" s="33" t="str">
        <x:v>O Proj TP</x:v>
      </x:c>
      <x:c r="I69" s="33" t="n">
        <x:f>IF('Prefill'!$P$19&gt;0,'Prefill'!$P$19,'Prefill'!$P$12)</x:f>
        <x:v>8</x:v>
      </x:c>
      <x:c r="J69" s="34" t="n">
        <x:f>E69*F69*G69/1073741824</x:f>
        <x:v>0.09375</x:v>
      </x:c>
      <x:c r="K69" s="34" t="n">
        <x:f>J69/I69</x:f>
        <x:v>0.01171875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[32, 64]</x:v>
      </x:c>
      <x:c r="D70" s="30" t="str">
        <x:v>F8_E8M0</x:v>
      </x:c>
      <x:c r="E70" s="32" t="n">
        <x:v>1</x:v>
      </x:c>
      <x:c r="F70" s="33" t="n">
        <x:v>3</x:v>
      </x:c>
      <x:c r="G70" s="33" t="n">
        <x:v>2048</x:v>
      </x:c>
      <x:c r="H70" s="33" t="str">
        <x:v>O Proj TP</x:v>
      </x:c>
      <x:c r="I70" s="33" t="n">
        <x:f>IF('Prefill'!$P$19&gt;0,'Prefill'!$P$19,'Prefill'!$P$12)</x:f>
        <x:v>8</x:v>
      </x:c>
      <x:c r="J70" s="34" t="n">
        <x:f>E70*F70*G70/1073741824</x:f>
        <x:v>0.0000057220458984375</x:v>
      </x:c>
      <x:c r="K70" s="34" t="n">
        <x:f>J70/I70</x:f>
        <x:v>7.152557373046875e-7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[256, 4096]</x:v>
      </x:c>
      <x:c r="D71" s="30" t="str">
        <x:v>BF16</x:v>
      </x:c>
      <x:c r="E71" s="32" t="n">
        <x:v>2</x:v>
      </x:c>
      <x:c r="F71" s="33" t="n">
        <x:v>3</x:v>
      </x:c>
      <x:c r="G71" s="33" t="n">
        <x:v>1048576</x:v>
      </x:c>
      <x:c r="H71" s="33" t="str">
        <x:v>Replicated</x:v>
      </x:c>
      <x:c r="I71" s="33" t="n">
        <x:f>1</x:f>
        <x:v>1</x:v>
      </x:c>
      <x:c r="J71" s="34" t="n">
        <x:f>E71*F71*G71/1073741824</x:f>
        <x:v>0.005859375</x:v>
      </x:c>
      <x:c r="K71" s="34" t="n">
        <x:f>J71/I71</x:f>
        <x:v>0.005859375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[256]</x:v>
      </x:c>
      <x:c r="D72" s="30" t="str">
        <x:v>F32</x:v>
      </x:c>
      <x:c r="E72" s="32" t="n">
        <x:v>4</x:v>
      </x:c>
      <x:c r="F72" s="33" t="n">
        <x:v>3</x:v>
      </x:c>
      <x:c r="G72" s="33" t="n">
        <x:v>256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0.00000286102294921875</x:v>
      </x:c>
      <x:c r="K72" s="34" t="n">
        <x:f>J72/I72</x:f>
        <x:v>0.00000286102294921875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[2048, 4096]</x:v>
      </x:c>
      <x:c r="D73" s="30" t="str">
        <x:v>FP4</x:v>
      </x:c>
      <x:c r="E73" s="32" t="n">
        <x:v>0.5</x:v>
      </x:c>
      <x:c r="F73" s="33" t="n">
        <x:v>768</x:v>
      </x:c>
      <x:c r="G73" s="33" t="n">
        <x:v>8388608</x:v>
      </x:c>
      <x:c r="H73" s="33" t="str">
        <x:v>EP</x:v>
      </x:c>
      <x:c r="I73" s="33" t="n">
        <x:f>'Prefill'!$P$14</x:f>
        <x:v>8</x:v>
      </x:c>
      <x:c r="J73" s="34" t="n">
        <x:f>E73*F73*G73/1073741824</x:f>
        <x:v>3</x:v>
      </x:c>
      <x:c r="K73" s="34" t="n">
        <x:f>J73/I73</x:f>
        <x:v>0.375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[2048, 128]</x:v>
      </x:c>
      <x:c r="D74" s="30" t="str">
        <x:v>E8M0</x:v>
      </x:c>
      <x:c r="E74" s="32" t="n">
        <x:v>1</x:v>
      </x:c>
      <x:c r="F74" s="33" t="n">
        <x:v>768</x:v>
      </x:c>
      <x:c r="G74" s="33" t="n">
        <x:v>262144</x:v>
      </x:c>
      <x:c r="H74" s="33" t="str">
        <x:v>EP</x:v>
      </x:c>
      <x:c r="I74" s="33" t="n">
        <x:f>'Prefill'!$P$14</x:f>
        <x:v>8</x:v>
      </x:c>
      <x:c r="J74" s="34" t="n">
        <x:f>E74*F74*G74/1073741824</x:f>
        <x:v>0.1875</x:v>
      </x:c>
      <x:c r="K74" s="34" t="n">
        <x:f>J74/I74</x:f>
        <x:v>0.0234375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[2048, 4096]</x:v>
      </x:c>
      <x:c r="D75" s="30" t="str">
        <x:v>FP4</x:v>
      </x:c>
      <x:c r="E75" s="32" t="n">
        <x:v>0.5</x:v>
      </x:c>
      <x:c r="F75" s="33" t="n">
        <x:v>768</x:v>
      </x:c>
      <x:c r="G75" s="33" t="n">
        <x:v>8388608</x:v>
      </x:c>
      <x:c r="H75" s="33" t="str">
        <x:v>EP</x:v>
      </x:c>
      <x:c r="I75" s="33" t="n">
        <x:f>'Prefill'!$P$14</x:f>
        <x:v>8</x:v>
      </x:c>
      <x:c r="J75" s="34" t="n">
        <x:f>E75*F75*G75/1073741824</x:f>
        <x:v>3</x:v>
      </x:c>
      <x:c r="K75" s="34" t="n">
        <x:f>J75/I75</x:f>
        <x:v>0.375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[2048, 128]</x:v>
      </x:c>
      <x:c r="D76" s="30" t="str">
        <x:v>E8M0</x:v>
      </x:c>
      <x:c r="E76" s="32" t="n">
        <x:v>1</x:v>
      </x:c>
      <x:c r="F76" s="33" t="n">
        <x:v>768</x:v>
      </x:c>
      <x:c r="G76" s="33" t="n">
        <x:v>262144</x:v>
      </x:c>
      <x:c r="H76" s="33" t="str">
        <x:v>EP</x:v>
      </x:c>
      <x:c r="I76" s="33" t="n">
        <x:f>'Prefill'!$P$14</x:f>
        <x:v>8</x:v>
      </x:c>
      <x:c r="J76" s="34" t="n">
        <x:f>E76*F76*G76/1073741824</x:f>
        <x:v>0.1875</x:v>
      </x:c>
      <x:c r="K76" s="34" t="n">
        <x:f>J76/I76</x:f>
        <x:v>0.0234375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[4096, 2048]</x:v>
      </x:c>
      <x:c r="D77" s="30" t="str">
        <x:v>FP4</x:v>
      </x:c>
      <x:c r="E77" s="32" t="n">
        <x:v>0.5</x:v>
      </x:c>
      <x:c r="F77" s="33" t="n">
        <x:v>768</x:v>
      </x:c>
      <x:c r="G77" s="33" t="n">
        <x:v>8388608</x:v>
      </x:c>
      <x:c r="H77" s="33" t="str">
        <x:v>EP</x:v>
      </x:c>
      <x:c r="I77" s="33" t="n">
        <x:f>'Prefill'!$P$14</x:f>
        <x:v>8</x:v>
      </x:c>
      <x:c r="J77" s="34" t="n">
        <x:f>E77*F77*G77/1073741824</x:f>
        <x:v>3</x:v>
      </x:c>
      <x:c r="K77" s="34" t="n">
        <x:f>J77/I77</x:f>
        <x:v>0.375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[4096, 64]</x:v>
      </x:c>
      <x:c r="D78" s="30" t="str">
        <x:v>E8M0</x:v>
      </x:c>
      <x:c r="E78" s="32" t="n">
        <x:v>1</x:v>
      </x:c>
      <x:c r="F78" s="33" t="n">
        <x:v>768</x:v>
      </x:c>
      <x:c r="G78" s="33" t="n">
        <x:v>262144</x:v>
      </x:c>
      <x:c r="H78" s="33" t="str">
        <x:v>EP</x:v>
      </x:c>
      <x:c r="I78" s="33" t="n">
        <x:f>'Prefill'!$P$14</x:f>
        <x:v>8</x:v>
      </x:c>
      <x:c r="J78" s="34" t="n">
        <x:f>E78*F78*G78/1073741824</x:f>
        <x:v>0.1875</x:v>
      </x:c>
      <x:c r="K78" s="34" t="n">
        <x:f>J78/I78</x:f>
        <x:v>0.0234375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[2048, 4096]</x:v>
      </x:c>
      <x:c r="D79" s="30" t="str">
        <x:v>FP8 E4M3</x:v>
      </x:c>
      <x:c r="E79" s="32" t="n">
        <x:v>1</x:v>
      </x:c>
      <x:c r="F79" s="33" t="n">
        <x:v>3</x:v>
      </x:c>
      <x:c r="G79" s="33" t="n">
        <x:v>8388608</x:v>
      </x:c>
      <x:c r="H79" s="33" t="str">
        <x:v>共享专家 TP/DP</x:v>
      </x:c>
      <x:c r="I79" s="33" t="n">
        <x:f>IF('Prefill'!$P$17="TP",'Prefill'!$P$18,1)</x:f>
        <x:v>8</x:v>
      </x:c>
      <x:c r="J79" s="34" t="n">
        <x:f>E79*F79*G79/1073741824</x:f>
        <x:v>0.0234375</x:v>
      </x:c>
      <x:c r="K79" s="34" t="n">
        <x:f>J79/I79</x:f>
        <x:v>0.0029296875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[16, 32]</x:v>
      </x:c>
      <x:c r="D80" s="30" t="str">
        <x:v>F8_E8M0</x:v>
      </x:c>
      <x:c r="E80" s="32" t="n">
        <x:v>1</x:v>
      </x:c>
      <x:c r="F80" s="33" t="n">
        <x:v>3</x:v>
      </x:c>
      <x:c r="G80" s="33" t="n">
        <x:v>512</x:v>
      </x:c>
      <x:c r="H80" s="33" t="str">
        <x:v>共享专家 TP/DP</x:v>
      </x:c>
      <x:c r="I80" s="33" t="n">
        <x:f>IF('Prefill'!$P$17="TP",'Prefill'!$P$18,1)</x:f>
        <x:v>8</x:v>
      </x:c>
      <x:c r="J80" s="34" t="n">
        <x:f>E80*F80*G80/1073741824</x:f>
        <x:v>0.000001430511474609375</x:v>
      </x:c>
      <x:c r="K80" s="34" t="n">
        <x:f>J80/I80</x:f>
        <x:v>1.7881393432617188e-7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[2048, 4096]</x:v>
      </x:c>
      <x:c r="D81" s="30" t="str">
        <x:v>FP8 E4M3</x:v>
      </x:c>
      <x:c r="E81" s="32" t="n">
        <x:v>1</x:v>
      </x:c>
      <x:c r="F81" s="33" t="n">
        <x:v>3</x:v>
      </x:c>
      <x:c r="G81" s="33" t="n">
        <x:v>8388608</x:v>
      </x:c>
      <x:c r="H81" s="33" t="str">
        <x:v>共享专家 TP/DP</x:v>
      </x:c>
      <x:c r="I81" s="33" t="n">
        <x:f>IF('Prefill'!$P$17="TP",'Prefill'!$P$18,1)</x:f>
        <x:v>8</x:v>
      </x:c>
      <x:c r="J81" s="34" t="n">
        <x:f>E81*F81*G81/1073741824</x:f>
        <x:v>0.0234375</x:v>
      </x:c>
      <x:c r="K81" s="34" t="n">
        <x:f>J81/I81</x:f>
        <x:v>0.0029296875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[16, 32]</x:v>
      </x:c>
      <x:c r="D82" s="30" t="str">
        <x:v>F8_E8M0</x:v>
      </x:c>
      <x:c r="E82" s="32" t="n">
        <x:v>1</x:v>
      </x:c>
      <x:c r="F82" s="33" t="n">
        <x:v>3</x:v>
      </x:c>
      <x:c r="G82" s="33" t="n">
        <x:v>512</x:v>
      </x:c>
      <x:c r="H82" s="33" t="str">
        <x:v>共享专家 TP/DP</x:v>
      </x:c>
      <x:c r="I82" s="33" t="n">
        <x:f>IF('Prefill'!$P$17="TP",'Prefill'!$P$18,1)</x:f>
        <x:v>8</x:v>
      </x:c>
      <x:c r="J82" s="34" t="n">
        <x:f>E82*F82*G82/1073741824</x:f>
        <x:v>0.000001430511474609375</x:v>
      </x:c>
      <x:c r="K82" s="34" t="n">
        <x:f>J82/I82</x:f>
        <x:v>1.7881393432617188e-7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[4096, 2048]</x:v>
      </x:c>
      <x:c r="D83" s="30" t="str">
        <x:v>FP8 E4M3</x:v>
      </x:c>
      <x:c r="E83" s="32" t="n">
        <x:v>1</x:v>
      </x:c>
      <x:c r="F83" s="33" t="n">
        <x:v>3</x:v>
      </x:c>
      <x:c r="G83" s="33" t="n">
        <x:v>8388608</x:v>
      </x:c>
      <x:c r="H83" s="33" t="str">
        <x:v>共享专家 TP/DP</x:v>
      </x:c>
      <x:c r="I83" s="33" t="n">
        <x:f>IF('Prefill'!$P$17="TP",'Prefill'!$P$18,1)</x:f>
        <x:v>8</x:v>
      </x:c>
      <x:c r="J83" s="34" t="n">
        <x:f>E83*F83*G83/1073741824</x:f>
        <x:v>0.0234375</x:v>
      </x:c>
      <x:c r="K83" s="34" t="n">
        <x:f>J83/I83</x:f>
        <x:v>0.0029296875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[32, 16]</x:v>
      </x:c>
      <x:c r="D84" s="30" t="str">
        <x:v>F8_E8M0</x:v>
      </x:c>
      <x:c r="E84" s="32" t="n">
        <x:v>1</x:v>
      </x:c>
      <x:c r="F84" s="33" t="n">
        <x:v>3</x:v>
      </x:c>
      <x:c r="G84" s="33" t="n">
        <x:v>512</x:v>
      </x:c>
      <x:c r="H84" s="33" t="str">
        <x:v>共享专家 TP/DP</x:v>
      </x:c>
      <x:c r="I84" s="33" t="n">
        <x:f>IF('Prefill'!$P$17="TP",'Prefill'!$P$18,1)</x:f>
        <x:v>8</x:v>
      </x:c>
      <x:c r="J84" s="34" t="n">
        <x:f>E84*F84*G84/1073741824</x:f>
        <x:v>0.000001430511474609375</x:v>
      </x:c>
      <x:c r="K84" s="34" t="n">
        <x:f>J84/I84</x:f>
        <x:v>1.7881393432617188e-7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16384]</x:v>
      </x:c>
      <x:c r="D85" s="30" t="str">
        <x:v>F32</x:v>
      </x:c>
      <x:c r="E85" s="32" t="n">
        <x:v>4</x:v>
      </x:c>
      <x:c r="F85" s="33" t="n">
        <x:v>3</x:v>
      </x:c>
      <x:c r="G85" s="33" t="n">
        <x:v>393216</x:v>
      </x:c>
      <x:c r="H85" s="33" t="str">
        <x:v>Replicated</x:v>
      </x:c>
      <x:c r="I85" s="33" t="n">
        <x:f>1</x:f>
        <x:v>1</x:v>
      </x:c>
      <x:c r="J85" s="34" t="n">
        <x:f>E85*F85*G85/1073741824</x:f>
        <x:v>0.00439453125</x:v>
      </x:c>
      <x:c r="K85" s="34" t="n">
        <x:f>J85/I85</x:f>
        <x:v>0.00439453125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16384]</x:v>
      </x:c>
      <x:c r="D86" s="30" t="str">
        <x:v>F32</x:v>
      </x:c>
      <x:c r="E86" s="32" t="n">
        <x:v>4</x:v>
      </x:c>
      <x:c r="F86" s="33" t="n">
        <x:v>3</x:v>
      </x:c>
      <x:c r="G86" s="33" t="n">
        <x:v>393216</x:v>
      </x:c>
      <x:c r="H86" s="33" t="str">
        <x:v>Replicated</x:v>
      </x:c>
      <x:c r="I86" s="33" t="n">
        <x:f>1</x:f>
        <x:v>1</x:v>
      </x:c>
      <x:c r="J86" s="34" t="n">
        <x:f>E86*F86*G86/1073741824</x:f>
        <x:v>0.00439453125</x:v>
      </x:c>
      <x:c r="K86" s="34" t="n">
        <x:f>J86/I86</x:f>
        <x:v>0.00439453125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[4096]</x:v>
      </x:c>
      <x:c r="D91" s="30" t="str">
        <x:v>BF16</x:v>
      </x:c>
      <x:c r="E91" s="32" t="n">
        <x:v>2</x:v>
      </x:c>
      <x:c r="F91" s="33" t="n">
        <x:v>1</x:v>
      </x:c>
      <x:c r="G91" s="33" t="n">
        <x:v>4096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0.00000762939453125</x:v>
      </x:c>
      <x:c r="K91" s="34" t="n">
        <x:f>J91/I91</x:f>
        <x:v>0.00000762939453125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[4096, 12288]</x:v>
      </x:c>
      <x:c r="D92" s="30" t="str">
        <x:v>FP8 E4M3</x:v>
      </x:c>
      <x:c r="E92" s="32" t="n">
        <x:v>1</x:v>
      </x:c>
      <x:c r="F92" s="33" t="n">
        <x:v>1</x:v>
      </x:c>
      <x:c r="G92" s="33" t="n">
        <x:v>50331648</x:v>
      </x:c>
      <x:c r="H92" s="33" t="str">
        <x:v>Replicated</x:v>
      </x:c>
      <x:c r="I92" s="33" t="n">
        <x:f>1</x:f>
        <x:v>1</x:v>
      </x:c>
      <x:c r="J92" s="34" t="n">
        <x:f>E92*F92*G92/1073741824</x:f>
        <x:v>0.046875</x:v>
      </x:c>
      <x:c r="K92" s="34" t="n">
        <x:f>J92/I92</x:f>
        <x:v>0.046875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[32, 96]</x:v>
      </x:c>
      <x:c r="D93" s="30" t="str">
        <x:v>F8_E8M0</x:v>
      </x:c>
      <x:c r="E93" s="32" t="n">
        <x:v>1</x:v>
      </x:c>
      <x:c r="F93" s="33" t="n">
        <x:v>1</x:v>
      </x:c>
      <x:c r="G93" s="33" t="n">
        <x:v>3072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0.00000286102294921875</x:v>
      </x:c>
      <x:c r="K93" s="34" t="n">
        <x:f>J93/I93</x:f>
        <x:v>0.00000286102294921875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[4096]</x:v>
      </x:c>
      <x:c r="D94" s="30" t="str">
        <x:v>BF16</x:v>
      </x:c>
      <x:c r="E94" s="32" t="n">
        <x:v>2</x:v>
      </x:c>
      <x:c r="F94" s="33" t="n">
        <x:v>1</x:v>
      </x:c>
      <x:c r="G94" s="33" t="n">
        <x:v>4096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0.00000762939453125</x:v>
      </x:c>
      <x:c r="K94" s="34" t="n">
        <x:f>J94/I94</x:f>
        <x:v>0.00000762939453125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256]</x:v>
      </x:c>
      <x:c r="D95" s="30" t="str">
        <x:v>BF16</x:v>
      </x:c>
      <x:c r="E95" s="32" t="n">
        <x:v>2</x:v>
      </x:c>
      <x:c r="F95" s="33" t="n">
        <x:v>1</x:v>
      </x:c>
      <x:c r="G95" s="33" t="n">
        <x:v>33095680</x:v>
      </x:c>
      <x:c r="H95" s="33" t="str">
        <x:v>Embedding TP</x:v>
      </x:c>
      <x:c r="I95" s="33" t="n">
        <x:f>IF('Prefill'!$P$21&gt;0,'Prefill'!$P$21,'Prefill'!$P$12)</x:f>
        <x:v>8</x:v>
      </x:c>
      <x:c r="J95" s="34" t="n">
        <x:f>E95*F95*G95/1073741824</x:f>
        <x:v>0.0616455078125</x:v>
      </x:c>
      <x:c r="K95" s="34" t="n">
        <x:f>J95/I95</x:f>
        <x:v>0.0077056884765625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256]</x:v>
      </x:c>
      <x:c r="D96" s="30" t="str">
        <x:v>BF16</x:v>
      </x:c>
      <x:c r="E96" s="32" t="n">
        <x:v>2</x:v>
      </x:c>
      <x:c r="F96" s="33" t="n">
        <x:v>1</x:v>
      </x:c>
      <x:c r="G96" s="33" t="n">
        <x:v>33095680</x:v>
      </x:c>
      <x:c r="H96" s="33" t="str">
        <x:v>LM Head TP</x:v>
      </x:c>
      <x:c r="I96" s="33" t="n">
        <x:f>IF('Prefill'!$P$20&gt;0,'Prefill'!$P$20,'Prefill'!$P$12)</x:f>
        <x:v>8</x:v>
      </x:c>
      <x:c r="J96" s="34" t="n">
        <x:f>E96*F96*G96/1073741824</x:f>
        <x:v>0.0616455078125</x:v>
      </x:c>
      <x:c r="K96" s="34" t="n">
        <x:f>J96/I96</x:f>
        <x:v>0.0077056884765625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4352]</x:v>
      </x:c>
      <x:c r="D97" s="30" t="str">
        <x:v>BF16</x:v>
      </x:c>
      <x:c r="E97" s="32" t="n">
        <x:v>2</x:v>
      </x:c>
      <x:c r="F97" s="33" t="n">
        <x:v>1</x:v>
      </x:c>
      <x:c r="G97" s="33" t="n">
        <x:v>4352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0.000008106231689453125</x:v>
      </x:c>
      <x:c r="K97" s="34" t="n">
        <x:f>J97/I97</x:f>
        <x:v>0.000008106231689453125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16384]</x:v>
      </x:c>
      <x:c r="D98" s="30" t="str">
        <x:v>F32</x:v>
      </x:c>
      <x:c r="E98" s="32" t="n">
        <x:v>4</x:v>
      </x:c>
      <x:c r="F98" s="33" t="n">
        <x:v>1</x:v>
      </x:c>
      <x:c r="G98" s="33" t="n">
        <x:v>65536</x:v>
      </x:c>
      <x:c r="H98" s="33" t="str">
        <x:v>Replicated</x:v>
      </x:c>
      <x:c r="I98" s="33" t="n">
        <x:f>1</x:f>
        <x:v>1</x:v>
      </x:c>
      <x:c r="J98" s="34" t="n">
        <x:f>E98*F98*G98/1073741824</x:f>
        <x:v>0.000244140625</x:v>
      </x:c>
      <x:c r="K98" s="34" t="n">
        <x:f>J98/I98</x:f>
        <x:v>0.000244140625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16384]</x:v>
      </x:c>
      <x:c r="D101" s="30" t="str">
        <x:v>F32</x:v>
      </x:c>
      <x:c r="E101" s="32" t="n">
        <x:v>4</x:v>
      </x:c>
      <x:c r="F101" s="33" t="n">
        <x:v>1</x:v>
      </x:c>
      <x:c r="G101" s="33" t="n">
        <x:v>65536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0.000244140625</x:v>
      </x:c>
      <x:c r="K101" s="34" t="n">
        <x:f>J101/I101</x:f>
        <x:v>0.000244140625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155.41774820536375</x:v>
      </x:c>
      <x:c r="K104" s="41" t="n">
        <x:f>SUM(K2:K103)</x:f>
        <x:v>21.82772385329008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'Prefill'!$P$7*4096</x:f>
        <x:v>33554432</x:v>
      </x:c>
      <x:c r="F107" s="33" t="n">
        <x:f>'Prefill'!$P$28</x:f>
        <x:v>2</x:v>
      </x:c>
      <x:c r="G107" s="33" t="n">
        <x:f>IF('Prefill'!$P$21&gt;0,'Prefill'!$P$21,'Prefill'!$P$12)</x:f>
        <x:v>8</x:v>
      </x:c>
      <x:c r="H107" s="33" t="n">
        <x:f>IF(AND(IF('Prefill'!$P$21&gt;0,'Prefill'!$P$21,'Prefill'!$P$12)&gt;1,'Prefill'!$P$24=0),1,0)</x:f>
        <x:v>1</x:v>
      </x:c>
      <x:c r="I107" s="34" t="n">
        <x:f>E107*F107/1048576</x:f>
        <x:v>64</x:v>
      </x:c>
      <x:c r="J107" s="34" t="n">
        <x:f>I107*(IF(G107&gt;1,2*(G107-1)/G107,0))</x:f>
        <x:v>112</x:v>
      </x:c>
      <x:c r="K107" s="34" t="n">
        <x:f>J107*H107</x:f>
        <x:v>112</x:v>
      </x:c>
      <x:c r="L107" s="34" t="n">
        <x:f>K107*G107</x:f>
        <x:v>896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'Prefill'!$P$7</x:f>
        <x:v>8192</x:v>
      </x:c>
      <x:c r="F108" s="33" t="n">
        <x:f>'Prefill'!$P$30</x:f>
        <x:v>8</x:v>
      </x:c>
      <x:c r="G108" s="33" t="n">
        <x:f>IF('Prefill'!$P$21&gt;0,'Prefill'!$P$21,'Prefill'!$P$12)</x:f>
        <x:v>8</x:v>
      </x:c>
      <x:c r="H108" s="33" t="n">
        <x:f>IF(AND(IF('Prefill'!$P$21&gt;0,'Prefill'!$P$21,'Prefill'!$P$12)&gt;1,'Prefill'!$P$24&lt;&gt;0),1,0)</x:f>
        <x:v>0</x:v>
      </x:c>
      <x:c r="I108" s="34" t="n">
        <x:f>E108*F108/1048576</x:f>
        <x:v>0.0625</x:v>
      </x:c>
      <x:c r="J108" s="34" t="n">
        <x:f>I108*(IF(G108&gt;1,G108-1,0))</x:f>
        <x:v>0.4375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'Prefill'!$P$7*IF('Prefill'!$P$21&gt;0,'Prefill'!$P$21,'Prefill'!$P$12)*4096</x:f>
        <x:v>268435456</x:v>
      </x:c>
      <x:c r="F109" s="33" t="n">
        <x:f>'Prefill'!$P$28</x:f>
        <x:v>2</x:v>
      </x:c>
      <x:c r="G109" s="33" t="n">
        <x:f>IF('Prefill'!$P$21&gt;0,'Prefill'!$P$21,'Prefill'!$P$12)</x:f>
        <x:v>8</x:v>
      </x:c>
      <x:c r="H109" s="33" t="n">
        <x:f>IF(AND(IF('Prefill'!$P$21&gt;0,'Prefill'!$P$21,'Prefill'!$P$12)&gt;1,'Prefill'!$P$24&lt;&gt;0),1,0)</x:f>
        <x:v>0</x:v>
      </x:c>
      <x:c r="I109" s="34" t="n">
        <x:f>E109*F109/1048576</x:f>
        <x:v>512</x:v>
      </x:c>
      <x:c r="J109" s="34" t="n">
        <x:f>I109*(IF(G109&gt;1,(G109-1)/G109,0))</x:f>
        <x:v>448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((ROUNDUP('Prefill'!$P$7/'Prefill'!$P$12,0)*'Prefill'!$P$12)/'Prefill'!$P$12)*4096</x:f>
        <x:v>4194304</x:v>
      </x:c>
      <x:c r="F110" s="33" t="n">
        <x:f>'Prefill'!$P$28</x:f>
        <x:v>2</x:v>
      </x:c>
      <x:c r="G110" s="33" t="n">
        <x:f>'Prefill'!$P$12</x:f>
        <x:v>8</x:v>
      </x:c>
      <x:c r="H110" s="33" t="n">
        <x:f>43*IF(AND('Prefill'!$P$25&lt;&gt;0,'Prefill'!$P$12&gt;1),1,0)</x:f>
        <x:v>43</x:v>
      </x:c>
      <x:c r="I110" s="34" t="n">
        <x:f>E110*F110/1048576</x:f>
        <x:v>8</x:v>
      </x:c>
      <x:c r="J110" s="34" t="n">
        <x:f>I110*(IF(G110&gt;1,G110-1,0))</x:f>
        <x:v>56</x:v>
      </x:c>
      <x:c r="K110" s="34" t="n">
        <x:f>J110*H110</x:f>
        <x:v>2408</x:v>
      </x:c>
      <x:c r="L110" s="34" t="n">
        <x:f>K110*G110</x:f>
        <x:v>19264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((ROUNDUP('Prefill'!$P$7/'Prefill'!$P$12,0)*'Prefill'!$P$12)/'Prefill'!$P$12)*64*512</x:f>
        <x:v>33554432</x:v>
      </x:c>
      <x:c r="F111" s="33" t="n">
        <x:f>'Prefill'!$P$28</x:f>
        <x:v>2</x:v>
      </x:c>
      <x:c r="G111" s="33" t="n">
        <x:f>'Prefill'!$P$12</x:f>
        <x:v>8</x:v>
      </x:c>
      <x:c r="H111" s="33" t="n">
        <x:f>43*IF(AND('Prefill'!$P$25&lt;&gt;0,'Prefill'!$P$12&gt;1),1,0)</x:f>
        <x:v>43</x:v>
      </x:c>
      <x:c r="I111" s="34" t="n">
        <x:f>E111*F111/1048576</x:f>
        <x:v>64</x:v>
      </x:c>
      <x:c r="J111" s="34" t="n">
        <x:f>I111*(IF(G111&gt;1,(G111-1)/G111,0))</x:f>
        <x:v>56</x:v>
      </x:c>
      <x:c r="K111" s="34" t="n">
        <x:f>J111*H111</x:f>
        <x:v>2408</x:v>
      </x:c>
      <x:c r="L111" s="34" t="n">
        <x:f>K111*G111</x:f>
        <x:v>19264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((ROUNDUP('Prefill'!$P$7/'Prefill'!$P$12,0)*'Prefill'!$P$12)/'Prefill'!$P$12)*512</x:f>
        <x:v>524288</x:v>
      </x:c>
      <x:c r="F112" s="33" t="n">
        <x:f>'Prefill'!$P$31</x:f>
        <x:v>4</x:v>
      </x:c>
      <x:c r="G112" s="33" t="n">
        <x:f>'Prefill'!$P$12</x:f>
        <x:v>8</x:v>
      </x:c>
      <x:c r="H112" s="33" t="n">
        <x:f>21*IF(AND('Prefill'!$P$25&lt;&gt;0,'Prefill'!$P$12&gt;1),1,0)</x:f>
        <x:v>21</x:v>
      </x:c>
      <x:c r="I112" s="34" t="n">
        <x:f>E112*F112/1048576</x:f>
        <x:v>2</x:v>
      </x:c>
      <x:c r="J112" s="34" t="n">
        <x:f>I112*(IF(G112&gt;1,G112-1,0))</x:f>
        <x:v>14</x:v>
      </x:c>
      <x:c r="K112" s="34" t="n">
        <x:f>J112*H112</x:f>
        <x:v>294</x:v>
      </x:c>
      <x:c r="L112" s="34" t="n">
        <x:f>K112*G112</x:f>
        <x:v>2352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'Prefill'!$P$7*4096</x:f>
        <x:v>33554432</x:v>
      </x:c>
      <x:c r="F113" s="33" t="n">
        <x:f>'Prefill'!$P$28</x:f>
        <x:v>2</x:v>
      </x:c>
      <x:c r="G113" s="33" t="n">
        <x:f>IF('Prefill'!$P$19&gt;0,'Prefill'!$P$19,'Prefill'!$P$12)</x:f>
        <x:v>8</x:v>
      </x:c>
      <x:c r="H113" s="33" t="n">
        <x:f>43*IF(AND('Prefill'!$P$25=0,IF('Prefill'!$P$19&gt;0,'Prefill'!$P$19,'Prefill'!$P$12)&gt;1),1,0)</x:f>
        <x:v>0</x:v>
      </x:c>
      <x:c r="I113" s="34" t="n">
        <x:f>E113*F113/1048576</x:f>
        <x:v>64</x:v>
      </x:c>
      <x:c r="J113" s="34" t="n">
        <x:f>I113*(IF(G113&gt;1,2*(G113-1)/G113,0))</x:f>
        <x:v>112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IF('Prefill'!$P$13&lt;&gt;0,((ROUNDUP('Prefill'!$P$7/'Prefill'!$P$12,0)*'Prefill'!$P$12)/'Prefill'!$P$12),'Prefill'!$P$7)*6*'Prefill'!$P$32*4096</x:f>
        <x:v>22020096</x:v>
      </x:c>
      <x:c r="F114" s="33" t="n">
        <x:f>'Prefill'!$P$28</x:f>
        <x:v>2</x:v>
      </x:c>
      <x:c r="G114" s="33" t="n">
        <x:f>'Prefill'!$P$14</x:f>
        <x:v>8</x:v>
      </x:c>
      <x:c r="H114" s="33" t="n">
        <x:f>43*IF('Prefill'!$P$14&gt;1,1,0)</x:f>
        <x:v>43</x:v>
      </x:c>
      <x:c r="I114" s="34" t="n">
        <x:f>E114*F114/1048576</x:f>
        <x:v>42</x:v>
      </x:c>
      <x:c r="J114" s="34" t="n">
        <x:f>I114*(1)</x:f>
        <x:v>42</x:v>
      </x:c>
      <x:c r="K114" s="34" t="n">
        <x:f>J114*H114</x:f>
        <x:v>1806</x:v>
      </x:c>
      <x:c r="L114" s="34" t="n">
        <x:f>K114*G114</x:f>
        <x:v>14448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IF('Prefill'!$P$13&lt;&gt;0,((ROUNDUP('Prefill'!$P$7/'Prefill'!$P$12,0)*'Prefill'!$P$12)/'Prefill'!$P$12),'Prefill'!$P$7)*6*'Prefill'!$P$32*4096</x:f>
        <x:v>22020096</x:v>
      </x:c>
      <x:c r="F115" s="33" t="n">
        <x:f>'Prefill'!$P$28</x:f>
        <x:v>2</x:v>
      </x:c>
      <x:c r="G115" s="33" t="n">
        <x:f>'Prefill'!$P$14</x:f>
        <x:v>8</x:v>
      </x:c>
      <x:c r="H115" s="33" t="n">
        <x:f>43*IF('Prefill'!$P$14&gt;1,1,0)</x:f>
        <x:v>43</x:v>
      </x:c>
      <x:c r="I115" s="34" t="n">
        <x:f>E115*F115/1048576</x:f>
        <x:v>42</x:v>
      </x:c>
      <x:c r="J115" s="34" t="n">
        <x:f>I115*(1)</x:f>
        <x:v>42</x:v>
      </x:c>
      <x:c r="K115" s="34" t="n">
        <x:f>J115*H115</x:f>
        <x:v>1806</x:v>
      </x:c>
      <x:c r="L115" s="34" t="n">
        <x:f>K115*G115</x:f>
        <x:v>14448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'Prefill'!$P$7*4096</x:f>
        <x:v>33554432</x:v>
      </x:c>
      <x:c r="F116" s="33" t="n">
        <x:f>'Prefill'!$P$28</x:f>
        <x:v>2</x:v>
      </x:c>
      <x:c r="G116" s="33" t="n">
        <x:f>'Prefill'!$P$11</x:f>
        <x:v>1</x:v>
      </x:c>
      <x:c r="H116" s="33" t="n">
        <x:f>43*IF(AND('Prefill'!$P$11&gt;1,'Prefill'!$P$14=1),1,0)</x:f>
        <x:v>0</x:v>
      </x:c>
      <x:c r="I116" s="34" t="n">
        <x:f>E116*F116/1048576</x:f>
        <x:v>64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'Prefill'!$P$7*256</x:f>
        <x:v>2097152</x:v>
      </x:c>
      <x:c r="F117" s="33" t="n">
        <x:f>'Prefill'!$P$28</x:f>
        <x:v>2</x:v>
      </x:c>
      <x:c r="G117" s="33" t="n">
        <x:f>'Prefill'!$P$11</x:f>
        <x:v>1</x:v>
      </x:c>
      <x:c r="H117" s="33" t="n">
        <x:f>43*IF(AND('Prefill'!$P$11&gt;1,'Prefill'!$P$14=1),1,0)</x:f>
        <x:v>0</x:v>
      </x:c>
      <x:c r="I117" s="34" t="n">
        <x:f>E117*F117/1048576</x:f>
        <x:v>4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'Prefill'!$P$7*'Prefill'!$P$11*4096</x:f>
        <x:v>33554432</x:v>
      </x:c>
      <x:c r="F118" s="33" t="n">
        <x:f>'Prefill'!$P$28</x:f>
        <x:v>2</x:v>
      </x:c>
      <x:c r="G118" s="33" t="n">
        <x:f>'Prefill'!$P$11</x:f>
        <x:v>1</x:v>
      </x:c>
      <x:c r="H118" s="33" t="n">
        <x:f>43*IF(AND('Prefill'!$P$11&gt;1,'Prefill'!$P$14=1),1,0)</x:f>
        <x:v>0</x:v>
      </x:c>
      <x:c r="I118" s="34" t="n">
        <x:f>E118*F118/1048576</x:f>
        <x:v>64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((ROUNDUP('Prefill'!$P$7/'Prefill'!$P$12,0)*'Prefill'!$P$12)/'Prefill'!$P$12)*4096</x:f>
        <x:v>4194304</x:v>
      </x:c>
      <x:c r="F119" s="33" t="n">
        <x:f>'Prefill'!$P$28</x:f>
        <x:v>2</x:v>
      </x:c>
      <x:c r="G119" s="33" t="n">
        <x:f>IF('Prefill'!$P$17="TP",'Prefill'!$P$18,1)</x:f>
        <x:v>8</x:v>
      </x:c>
      <x:c r="H119" s="33" t="n">
        <x:f>43*IF(AND('Prefill'!$P$17="TP",IF('Prefill'!$P$17="TP",'Prefill'!$P$18,1)&gt;1,'Prefill'!$P$13&lt;&gt;0),1,0)</x:f>
        <x:v>43</x:v>
      </x:c>
      <x:c r="I119" s="34" t="n">
        <x:f>E119*F119/1048576</x:f>
        <x:v>8</x:v>
      </x:c>
      <x:c r="J119" s="34" t="n">
        <x:f>I119*(IF(G119&gt;1,G119-1,0))</x:f>
        <x:v>56</x:v>
      </x:c>
      <x:c r="K119" s="34" t="n">
        <x:f>J119*H119</x:f>
        <x:v>2408</x:v>
      </x:c>
      <x:c r="L119" s="34" t="n">
        <x:f>K119*G119</x:f>
        <x:v>19264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(ROUNDUP('Prefill'!$P$7/'Prefill'!$P$12,0)*'Prefill'!$P$12)*4096</x:f>
        <x:v>33554432</x:v>
      </x:c>
      <x:c r="F120" s="33" t="n">
        <x:f>'Prefill'!$P$28</x:f>
        <x:v>2</x:v>
      </x:c>
      <x:c r="G120" s="33" t="n">
        <x:f>IF('Prefill'!$P$17="TP",'Prefill'!$P$18,1)</x:f>
        <x:v>8</x:v>
      </x:c>
      <x:c r="H120" s="33" t="n">
        <x:f>43*IF(AND('Prefill'!$P$17="TP",IF('Prefill'!$P$17="TP",'Prefill'!$P$18,1)&gt;1,'Prefill'!$P$13&lt;&gt;0),1,0)</x:f>
        <x:v>43</x:v>
      </x:c>
      <x:c r="I120" s="34" t="n">
        <x:f>E120*F120/1048576</x:f>
        <x:v>64</x:v>
      </x:c>
      <x:c r="J120" s="34" t="n">
        <x:f>I120*(IF(G120&gt;1,(G120-1)/G120,0))</x:f>
        <x:v>56</x:v>
      </x:c>
      <x:c r="K120" s="34" t="n">
        <x:f>J120*H120</x:f>
        <x:v>2408</x:v>
      </x:c>
      <x:c r="L120" s="34" t="n">
        <x:f>K120*G120</x:f>
        <x:v>19264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'Prefill'!$P$7*4096</x:f>
        <x:v>33554432</x:v>
      </x:c>
      <x:c r="F121" s="33" t="n">
        <x:f>'Prefill'!$P$28</x:f>
        <x:v>2</x:v>
      </x:c>
      <x:c r="G121" s="33" t="n">
        <x:f>IF('Prefill'!$P$17="TP",'Prefill'!$P$18,1)</x:f>
        <x:v>8</x:v>
      </x:c>
      <x:c r="H121" s="33" t="n">
        <x:f>43*IF(AND('Prefill'!$P$17="TP",IF('Prefill'!$P$17="TP",'Prefill'!$P$18,1)&gt;1,'Prefill'!$P$13=0),1,0)</x:f>
        <x:v>0</x:v>
      </x:c>
      <x:c r="I121" s="34" t="n">
        <x:f>E121*F121/1048576</x:f>
        <x:v>64</x:v>
      </x:c>
      <x:c r="J121" s="34" t="n">
        <x:f>I121*(IF(G121&gt;1,2*(G121-1)/G121,0))</x:f>
        <x:v>112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PCP</x:v>
      </x:c>
      <x:c r="B122" s="30" t="str">
        <x:v>MoE</x:v>
      </x:c>
      <x:c r="C122" s="30" t="str">
        <x:v>Hidden 输入</x:v>
      </x:c>
      <x:c r="D122" s="30" t="str">
        <x:v>Ring AllGather</x:v>
      </x:c>
      <x:c r="E122" s="33" t="n">
        <x:f>((ROUNDUP('Prefill'!$P$7/'Prefill'!$P$15,0)*'Prefill'!$P$15)/'Prefill'!$P$15)*4096</x:f>
        <x:v>33554432</x:v>
      </x:c>
      <x:c r="F122" s="33" t="n">
        <x:f>'Prefill'!$P$28</x:f>
        <x:v>2</x:v>
      </x:c>
      <x:c r="G122" s="33" t="n">
        <x:f>'Prefill'!$P$15</x:f>
        <x:v>1</x:v>
      </x:c>
      <x:c r="H122" s="33" t="n">
        <x:f>43*IF('Prefill'!$P$15&gt;1,1,0)</x:f>
        <x:v>0</x:v>
      </x:c>
      <x:c r="I122" s="34" t="n">
        <x:f>E122*F122/1048576</x:f>
        <x:v>64</x:v>
      </x:c>
      <x:c r="J122" s="34" t="n">
        <x:f>I122*(IF(G122&gt;1,G122-1,0))</x:f>
        <x:v>0</x:v>
      </x:c>
      <x:c r="K122" s="34" t="n">
        <x:f>J122*H122</x:f>
        <x:v>0</x:v>
      </x:c>
      <x:c r="L122" s="34" t="n">
        <x:f>K122*G122</x:f>
        <x:v>0</x:v>
      </x:c>
      <x:c r="M122" s="30"/>
      <x:c r="N122" s="30"/>
      <x:c r="O122" s="30"/>
      <x:c r="P122" s="30"/>
    </x:row>
    <x:row r="123">
      <x:c r="A123" s="30" t="str">
        <x:v>PCP</x:v>
      </x:c>
      <x:c r="B123" s="30" t="str">
        <x:v>MoE Router</x:v>
      </x:c>
      <x:c r="C123" s="30" t="str">
        <x:v>Router Logits</x:v>
      </x:c>
      <x:c r="D123" s="30" t="str">
        <x:v>Ring AllGather</x:v>
      </x:c>
      <x:c r="E123" s="33" t="n">
        <x:f>((ROUNDUP('Prefill'!$P$7/'Prefill'!$P$15,0)*'Prefill'!$P$15)/'Prefill'!$P$15)*256</x:f>
        <x:v>2097152</x:v>
      </x:c>
      <x:c r="F123" s="33" t="n">
        <x:f>'Prefill'!$P$28</x:f>
        <x:v>2</x:v>
      </x:c>
      <x:c r="G123" s="33" t="n">
        <x:f>'Prefill'!$P$15</x:f>
        <x:v>1</x:v>
      </x:c>
      <x:c r="H123" s="33" t="n">
        <x:f>43*IF('Prefill'!$P$15&gt;1,1,0)</x:f>
        <x:v>0</x:v>
      </x:c>
      <x:c r="I123" s="34" t="n">
        <x:f>E123*F123/1048576</x:f>
        <x:v>4</x:v>
      </x:c>
      <x:c r="J123" s="34" t="n">
        <x:f>I123*(IF(G123&gt;1,G123-1,0))</x:f>
        <x:v>0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PCP</x:v>
      </x:c>
      <x:c r="B124" s="30" t="str">
        <x:v>MoE</x:v>
      </x:c>
      <x:c r="C124" s="30" t="str">
        <x:v>Routed Expert 输出</x:v>
      </x:c>
      <x:c r="D124" s="30" t="str">
        <x:v>Ring ReduceScatter</x:v>
      </x:c>
      <x:c r="E124" s="33" t="n">
        <x:f>(ROUNDUP('Prefill'!$P$7/'Prefill'!$P$15,0)*'Prefill'!$P$15)*4096</x:f>
        <x:v>33554432</x:v>
      </x:c>
      <x:c r="F124" s="33" t="n">
        <x:f>'Prefill'!$P$28</x:f>
        <x:v>2</x:v>
      </x:c>
      <x:c r="G124" s="33" t="n">
        <x:f>'Prefill'!$P$15</x:f>
        <x:v>1</x:v>
      </x:c>
      <x:c r="H124" s="33" t="n">
        <x:f>43*IF('Prefill'!$P$15&gt;1,1,0)</x:f>
        <x:v>0</x:v>
      </x:c>
      <x:c r="I124" s="34" t="n">
        <x:f>E124*F124/1048576</x:f>
        <x:v>64</x:v>
      </x:c>
      <x:c r="J124" s="34" t="n">
        <x:f>I124*(IF(G124&gt;1,(G124-1)/G124,0))</x:f>
        <x:v>0</x:v>
      </x:c>
      <x:c r="K124" s="34" t="n">
        <x:f>J124*H124</x:f>
        <x:v>0</x:v>
      </x:c>
      <x:c r="L124" s="34" t="n">
        <x:f>K124*G124</x:f>
        <x:v>0</x:v>
      </x:c>
      <x:c r="M124" s="30"/>
      <x:c r="N124" s="30"/>
      <x:c r="O124" s="30"/>
      <x:c r="P124" s="30"/>
    </x:row>
    <x:row r="125">
      <x:c r="A125" s="30" t="str">
        <x:v>PCP</x:v>
      </x:c>
      <x:c r="B125" s="30" t="str">
        <x:v>Attention KV</x:v>
      </x:c>
      <x:c r="C125" s="30" t="str">
        <x:v>KV Cache 写入前</x:v>
      </x:c>
      <x:c r="D125" s="30" t="str">
        <x:v>Ring AllGather</x:v>
      </x:c>
      <x:c r="E125" s="33" t="n">
        <x:f>((ROUNDUP('Prefill'!$P$7/'Prefill'!$P$15,0)*'Prefill'!$P$15)/'Prefill'!$P$15)*576</x:f>
        <x:v>4718592</x:v>
      </x:c>
      <x:c r="F125" s="33" t="n">
        <x:f>'Prefill'!$P$28</x:f>
        <x:v>2</x:v>
      </x:c>
      <x:c r="G125" s="33" t="n">
        <x:f>'Prefill'!$P$15</x:f>
        <x:v>1</x:v>
      </x:c>
      <x:c r="H125" s="33" t="n">
        <x:f>43*IF('Prefill'!$P$15&gt;1,1,0)</x:f>
        <x:v>0</x:v>
      </x:c>
      <x:c r="I125" s="34" t="n">
        <x:f>E125*F125/1048576</x:f>
        <x:v>9</x:v>
      </x:c>
      <x:c r="J125" s="34" t="n">
        <x:f>I125*(IF(G125&gt;1,G125-1,0))</x:f>
        <x:v>0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SP</x:v>
      </x:c>
      <x:c r="B126" s="30" t="str">
        <x:v>Model Output</x:v>
      </x:c>
      <x:c r="C126" s="30" t="str">
        <x:v>Final Norm 后</x:v>
      </x:c>
      <x:c r="D126" s="30" t="str">
        <x:v>Ring AllGather</x:v>
      </x:c>
      <x:c r="E126" s="33" t="n">
        <x:f>((ROUNDUP('Prefill'!$P$7/'Prefill'!$P$12,0)*'Prefill'!$P$12)/'Prefill'!$P$12)*4096</x:f>
        <x:v>4194304</x:v>
      </x:c>
      <x:c r="F126" s="33" t="n">
        <x:f>'Prefill'!$P$28</x:f>
        <x:v>2</x:v>
      </x:c>
      <x:c r="G126" s="33" t="n">
        <x:f>'Prefill'!$P$12</x:f>
        <x:v>8</x:v>
      </x:c>
      <x:c r="H126" s="33" t="n">
        <x:f>IF(AND('Prefill'!$P$13&lt;&gt;0,'Prefill'!$P$12&gt;1),1,0)</x:f>
        <x:v>1</x:v>
      </x:c>
      <x:c r="I126" s="34" t="n">
        <x:f>E126*F126/1048576</x:f>
        <x:v>8</x:v>
      </x:c>
      <x:c r="J126" s="34" t="n">
        <x:f>I126*(IF(G126&gt;1,G126-1,0))</x:f>
        <x:v>56</x:v>
      </x:c>
      <x:c r="K126" s="34" t="n">
        <x:f>J126*H126</x:f>
        <x:v>56</x:v>
      </x:c>
      <x:c r="L126" s="34" t="n">
        <x:f>K126*G126</x:f>
        <x:v>448</x:v>
      </x:c>
      <x:c r="M126" s="30"/>
      <x:c r="N126" s="30"/>
      <x:c r="O126" s="30"/>
      <x:c r="P126" s="30"/>
    </x:row>
    <x:row r="127">
      <x:c r="A127" s="30" t="str">
        <x:v>LM Head TP</x:v>
      </x:c>
      <x:c r="B127" s="30" t="str">
        <x:v>LM Head</x:v>
      </x:c>
      <x:c r="C127" s="30" t="str">
        <x:v>完整 Logits</x:v>
      </x:c>
      <x:c r="D127" s="30" t="str">
        <x:v>Ring AllGather</x:v>
      </x:c>
      <x:c r="E127" s="33" t="n">
        <x:f>'Prefill'!$P$8*129280/IF('Prefill'!$P$20&gt;0,'Prefill'!$P$20,'Prefill'!$P$12)</x:f>
        <x:v>2068480</x:v>
      </x:c>
      <x:c r="F127" s="33" t="n">
        <x:f>'Prefill'!$P$28</x:f>
        <x:v>2</x:v>
      </x:c>
      <x:c r="G127" s="33" t="n">
        <x:f>IF('Prefill'!$P$20&gt;0,'Prefill'!$P$20,'Prefill'!$P$12)</x:f>
        <x:v>8</x:v>
      </x:c>
      <x:c r="H127" s="33" t="n">
        <x:f>IF(AND(IF('Prefill'!$P$20&gt;0,'Prefill'!$P$20,'Prefill'!$P$12)&gt;1,'Prefill'!$P$23=0,'Prefill'!$P$33=0),1,0)</x:f>
        <x:v>0</x:v>
      </x:c>
      <x:c r="I127" s="34" t="n">
        <x:f>E127*F127/1048576</x:f>
        <x:v>3.9453125</x:v>
      </x:c>
      <x:c r="J127" s="34" t="n">
        <x:f>I127*(IF(G127&gt;1,G127-1,0))</x:f>
        <x:v>27.6171875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30" t="str">
        <x:v>LM Head TP</x:v>
      </x:c>
      <x:c r="B128" s="30" t="str">
        <x:v>LM Head</x:v>
      </x:c>
      <x:c r="C128" s="30" t="str">
        <x:v>Reduce Sample</x:v>
      </x:c>
      <x:c r="D128" s="30" t="str">
        <x:v>Ring AllGather</x:v>
      </x:c>
      <x:c r="E128" s="33" t="n">
        <x:f>'Prefill'!$P$8*'Prefill'!$P$34</x:f>
        <x:v>32768</x:v>
      </x:c>
      <x:c r="F128" s="33" t="n">
        <x:f>('Prefill'!$P$28+'Prefill'!$P$31)</x:f>
        <x:v>6</x:v>
      </x:c>
      <x:c r="G128" s="33" t="n">
        <x:f>IF('Prefill'!$P$20&gt;0,'Prefill'!$P$20,'Prefill'!$P$12)</x:f>
        <x:v>8</x:v>
      </x:c>
      <x:c r="H128" s="33" t="n">
        <x:f>IF(AND(IF('Prefill'!$P$20&gt;0,'Prefill'!$P$20,'Prefill'!$P$12)&gt;1,'Prefill'!$P$23=0,'Prefill'!$P$33&lt;&gt;0),1,0)</x:f>
        <x:v>1</x:v>
      </x:c>
      <x:c r="I128" s="34" t="n">
        <x:f>E128*F128/1048576</x:f>
        <x:v>0.1875</x:v>
      </x:c>
      <x:c r="J128" s="34" t="n">
        <x:f>I128*(IF(G128&gt;1,G128-1,0))</x:f>
        <x:v>1.3125</x:v>
      </x:c>
      <x:c r="K128" s="34" t="n">
        <x:f>J128*H128</x:f>
        <x:v>1.3125</x:v>
      </x:c>
      <x:c r="L128" s="34" t="n">
        <x:f>K128*G128</x:f>
        <x:v>10.5</x:v>
      </x:c>
      <x:c r="M128" s="30"/>
      <x:c r="N128" s="30"/>
      <x:c r="O128" s="30"/>
      <x:c r="P128" s="30"/>
    </x:row>
    <x:row r="129">
      <x:c r="A129" s="30" t="str">
        <x:v>Fine LM Head TP</x:v>
      </x:c>
      <x:c r="B129" s="30" t="str">
        <x:v>LM Head</x:v>
      </x:c>
      <x:c r="C129" s="30" t="str">
        <x:v>Hidden 输入</x:v>
      </x:c>
      <x:c r="D129" s="30" t="str">
        <x:v>Ring AllGather</x:v>
      </x:c>
      <x:c r="E129" s="33" t="n">
        <x:f>'Prefill'!$P$8*4096</x:f>
        <x:v>524288</x:v>
      </x:c>
      <x:c r="F129" s="33" t="n">
        <x:f>'Prefill'!$P$28</x:f>
        <x:v>2</x:v>
      </x:c>
      <x:c r="G129" s="33" t="n">
        <x:f>IF('Prefill'!$P$20&gt;0,'Prefill'!$P$20,'Prefill'!$P$12)</x:f>
        <x:v>8</x:v>
      </x:c>
      <x:c r="H129" s="33" t="n">
        <x:f>IF(AND(IF('Prefill'!$P$20&gt;0,'Prefill'!$P$20,'Prefill'!$P$12)&gt;1,'Prefill'!$P$23&lt;&gt;0),1,0)</x:f>
        <x:v>0</x:v>
      </x:c>
      <x:c r="I129" s="34" t="n">
        <x:f>E129*F129/1048576</x:f>
        <x:v>1</x:v>
      </x:c>
      <x:c r="J129" s="34" t="n">
        <x:f>I129*(IF(G129&gt;1,G129-1,0))</x:f>
        <x:v>7</x:v>
      </x:c>
      <x:c r="K129" s="34" t="n">
        <x:f>J129*H129</x:f>
        <x:v>0</x:v>
      </x:c>
      <x:c r="L129" s="34" t="n">
        <x:f>K129*G129</x:f>
        <x:v>0</x:v>
      </x:c>
      <x:c r="M129" s="30"/>
      <x:c r="N129" s="30"/>
      <x:c r="O129" s="30"/>
      <x:c r="P129" s="30"/>
    </x:row>
    <x:row r="130">
      <x:c r="A130" s="30" t="str">
        <x:v>Fine LM Head TP</x:v>
      </x:c>
      <x:c r="B130" s="30" t="str">
        <x:v>LM Head</x:v>
      </x:c>
      <x:c r="C130" s="30" t="str">
        <x:v>完整 Logits</x:v>
      </x:c>
      <x:c r="D130" s="30" t="str">
        <x:v>Equal-split AllToAll</x:v>
      </x:c>
      <x:c r="E130" s="33" t="n">
        <x:f>'Prefill'!$P$8*129280</x:f>
        <x:v>16547840</x:v>
      </x:c>
      <x:c r="F130" s="33" t="n">
        <x:f>'Prefill'!$P$28</x:f>
        <x:v>2</x:v>
      </x:c>
      <x:c r="G130" s="33" t="n">
        <x:f>IF('Prefill'!$P$20&gt;0,'Prefill'!$P$20,'Prefill'!$P$12)</x:f>
        <x:v>8</x:v>
      </x:c>
      <x:c r="H130" s="33" t="n">
        <x:f>IF(AND(IF('Prefill'!$P$20&gt;0,'Prefill'!$P$20,'Prefill'!$P$12)&gt;1,'Prefill'!$P$23&lt;&gt;0,'Prefill'!$P$33=0),1,0)</x:f>
        <x:v>0</x:v>
      </x:c>
      <x:c r="I130" s="34" t="n">
        <x:f>E130*F130/1048576</x:f>
        <x:v>31.5625</x:v>
      </x:c>
      <x:c r="J130" s="34" t="n">
        <x:f>I130*(IF(G130&gt;1,(G130-1)/G130,0))</x:f>
        <x:v>27.6171875</x:v>
      </x:c>
      <x:c r="K130" s="34" t="n">
        <x:f>J130*H130</x:f>
        <x:v>0</x:v>
      </x:c>
      <x:c r="L130" s="34" t="n">
        <x:f>K130*G130</x:f>
        <x:v>0</x:v>
      </x:c>
      <x:c r="M130" s="30"/>
      <x:c r="N130" s="30"/>
      <x:c r="O130" s="30"/>
      <x:c r="P130" s="30"/>
    </x:row>
    <x:row r="131">
      <x:c r="A131" s="30" t="str">
        <x:v>Fine LM Head TP</x:v>
      </x:c>
      <x:c r="B131" s="30" t="str">
        <x:v>LM Head</x:v>
      </x:c>
      <x:c r="C131" s="30" t="str">
        <x:v>Reduce Sample</x:v>
      </x:c>
      <x:c r="D131" s="30" t="str">
        <x:v>Ring AllGather</x:v>
      </x:c>
      <x:c r="E131" s="33" t="n">
        <x:f>'Prefill'!$P$8*'Prefill'!$P$34</x:f>
        <x:v>32768</x:v>
      </x:c>
      <x:c r="F131" s="33" t="n">
        <x:f>('Prefill'!$P$28+'Prefill'!$P$31)</x:f>
        <x:v>6</x:v>
      </x:c>
      <x:c r="G131" s="33" t="n">
        <x:f>IF('Prefill'!$P$20&gt;0,'Prefill'!$P$20,'Prefill'!$P$12)</x:f>
        <x:v>8</x:v>
      </x:c>
      <x:c r="H131" s="33" t="n">
        <x:f>IF(AND(IF('Prefill'!$P$20&gt;0,'Prefill'!$P$20,'Prefill'!$P$12)&gt;1,'Prefill'!$P$23&lt;&gt;0,'Prefill'!$P$33&lt;&gt;0),1,0)</x:f>
        <x:v>0</x:v>
      </x:c>
      <x:c r="I131" s="34" t="n">
        <x:f>E131*F131/1048576</x:f>
        <x:v>0.1875</x:v>
      </x:c>
      <x:c r="J131" s="34" t="n">
        <x:f>I131*(IF(G131&gt;1,G131-1,0))</x:f>
        <x:v>1.3125</x:v>
      </x:c>
      <x:c r="K131" s="34" t="n">
        <x:f>J131*H131</x:f>
        <x:v>0</x:v>
      </x:c>
      <x:c r="L131" s="34" t="n">
        <x:f>K131*G131</x:f>
        <x:v>0</x:v>
      </x:c>
      <x:c r="M131" s="30"/>
      <x:c r="N131" s="30"/>
      <x:c r="O131" s="30"/>
      <x:c r="P131" s="30"/>
    </x:row>
    <x:row r="132">
      <x:c r="A132" s="40" t="str">
        <x:v>合计</x:v>
      </x:c>
      <x:c r="B132" s="40"/>
      <x:c r="C132" s="40"/>
      <x:c r="D132" s="40"/>
      <x:c r="E132" s="40"/>
      <x:c r="F132" s="40"/>
      <x:c r="G132" s="40"/>
      <x:c r="H132" s="40"/>
      <x:c r="I132" s="41"/>
      <x:c r="J132" s="41"/>
      <x:c r="K132" s="41" t="n">
        <x:f>SUM(K107:K131)</x:f>
        <x:v>13707.3125</x:v>
      </x:c>
      <x:c r="L132" s="41" t="n">
        <x:f>SUM(L107:L131)</x:f>
        <x:v>109658.5</x:v>
      </x:c>
      <x:c r="M132" s="30"/>
      <x:c r="N132" s="30"/>
      <x:c r="O132" s="30"/>
      <x:c r="P132" s="30"/>
    </x:row>
    <x:row r="135" ht="15" customHeight="1">
      <x:c r="A135" s="40" t="str">
        <x:v>PD 带宽争用耗时评估</x:v>
      </x:c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</x:row>
    <x:row r="136" ht="15" customHeight="1">
      <x:c r="A136" s="30" t="str">
        <x:v>Prefill 当前表参数；100 GB/s 为归一化示例。所列事件的带宽项，不等于完整 forward 耗时。</x:v>
      </x:c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</x:row>
    <x:row r="137" ht="30" customHeight="1">
      <x:c r="A137" s="62" t="str">
        <x:v>带宽降幅</x:v>
      </x:c>
      <x:c r="B137" s="62" t="str">
        <x:v>输入</x:v>
      </x:c>
      <x:c r="C137" s="62" t="str">
        <x:v>争用覆盖率</x:v>
      </x:c>
      <x:c r="D137" s="62" t="str">
        <x:v>输入</x:v>
      </x:c>
      <x:c r="E137" s="62" t="str">
        <x:v>基线 forward ms</x:v>
      </x:c>
      <x:c r="F137" s="62" t="str">
        <x:v>实测输入</x:v>
      </x:c>
      <x:c r="G137" s="62" t="str">
        <x:v>默认带宽 GB/s</x:v>
      </x:c>
      <x:c r="H137" s="62" t="str">
        <x:v>输入</x:v>
      </x:c>
      <x:c r="I137" s="30"/>
      <x:c r="J137" s="30"/>
      <x:c r="K137" s="30"/>
      <x:c r="L137" s="30"/>
    </x:row>
    <x:row r="138" ht="15" customHeight="1">
      <x:c r="A138" s="30"/>
      <x:c r="B138" s="63" t="n">
        <x:v>0.1</x:v>
      </x:c>
      <x:c r="C138" s="30"/>
      <x:c r="D138" s="63" t="n">
        <x:v>1</x:v>
      </x:c>
      <x:c r="E138" s="30"/>
      <x:c r="F138" s="38"/>
      <x:c r="G138" s="30"/>
      <x:c r="H138" s="36" t="n">
        <x:v>100</x:v>
      </x:c>
      <x:c r="I138" s="30"/>
      <x:c r="J138" s="30"/>
      <x:c r="K138" s="30"/>
      <x:c r="L138" s="30"/>
    </x:row>
    <x:row r="139" ht="30" customHeight="1">
      <x:c r="A139" s="62" t="str">
        <x:v>通信基线 ms</x:v>
      </x:c>
      <x:c r="B139" s="62" t="str">
        <x:v>结果</x:v>
      </x:c>
      <x:c r="C139" s="62" t="str">
        <x:v>通信争用后 ms</x:v>
      </x:c>
      <x:c r="D139" s="62" t="str">
        <x:v>结果</x:v>
      </x:c>
      <x:c r="E139" s="62" t="str">
        <x:v>forward 增量 ms</x:v>
      </x:c>
      <x:c r="F139" s="62" t="str">
        <x:v>结果</x:v>
      </x:c>
      <x:c r="G139" s="62" t="str">
        <x:v>forward 新耗时 ms</x:v>
      </x:c>
      <x:c r="H139" s="62" t="str">
        <x:v>结果</x:v>
      </x:c>
      <x:c r="I139" s="62" t="str">
        <x:v>forward 增幅</x:v>
      </x:c>
      <x:c r="J139" s="62" t="str">
        <x:v>结果</x:v>
      </x:c>
      <x:c r="K139" s="62" t="str">
        <x:v>输入状态</x:v>
      </x:c>
      <x:c r="L139" s="62" t="str">
        <x:v>状态</x:v>
      </x:c>
    </x:row>
    <x:row r="140" ht="15" customHeight="1">
      <x:c r="A140" s="49"/>
      <x:c r="B140" s="49" t="n">
        <x:f>SUM(G144:G169)</x:f>
        <x:v>143.73467136000002</x:v>
      </x:c>
      <x:c r="C140" s="49"/>
      <x:c r="D140" s="49" t="n">
        <x:f>SUM(H144:H169)</x:f>
        <x:v>159.70519039999996</x:v>
      </x:c>
      <x:c r="E140" s="49"/>
      <x:c r="F140" s="49" t="n">
        <x:f>SUM(K144:K169)</x:f>
        <x:v>15.970519040000001</x:v>
      </x:c>
      <x:c r="G140" s="49"/>
      <x:c r="H140" s="49" t="str">
        <x:f>IF(AND(ISNUMBER($F$138),$F$138&gt;0,$F$138&gt;=SUMPRODUCT(G144:G169,J144:J169)),$F$138+F140,"")</x:f>
      </x:c>
      <x:c r="I140" s="49"/>
      <x:c r="J140" s="50" t="str">
        <x:f>IF(AND(ISNUMBER($F$138),$F$138&gt;0,$F$138&gt;=SUMPRODUCT(G144:G169,J144:J169)),F140/$F$138,"")</x:f>
      </x:c>
      <x:c r="K140" s="49"/>
      <x:c r="L140" s="49" t="str">
        <x:f>IF($F$138="","待填基线",IF(AND(ISNUMBER($F$138),$F$138&gt;0,$F$138&gt;=SUMPRODUCT(G144:G169,J144:J169)),"已填基线","基线/暴露不一致"))</x:f>
        <x:v>待填基线</x:v>
      </x:c>
    </x:row>
    <x:row r="141" ht="15" customHeight="1">
      <x:c r="A141" s="30" t="str">
        <x:v>共享比例=0 表示独立链路；暴露系数=0 表示增量完全隐藏。默认均为 1，降幅只作用于带宽项。</x:v>
      </x:c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</x:row>
    <x:row r="142" ht="15" customHeight="1">
      <x:c r="A142" s="30" t="str">
        <x:v>P: AllToAllV + 4 B 计数 Ring；D: A3 BF16 MC2 FullMesh。每事件带宽按端点发送量定义。</x:v>
      </x:c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</x:row>
    <x:row r="143" ht="30" customHeight="1">
      <x:c r="A143" s="62" t="str">
        <x:v>并行域</x:v>
      </x:c>
      <x:c r="B143" s="62" t="str">
        <x:v>模块</x:v>
      </x:c>
      <x:c r="C143" s="62" t="str">
        <x:v>通信事件</x:v>
      </x:c>
      <x:c r="D143" s="62" t="str">
        <x:v>GB/Rank/Step</x:v>
      </x:c>
      <x:c r="E143" s="62" t="str">
        <x:v>有效带宽 GB/s</x:v>
      </x:c>
      <x:c r="F143" s="62" t="str">
        <x:v>共享比例</x:v>
      </x:c>
      <x:c r="G143" s="62" t="str">
        <x:v>基线带宽项 ms</x:v>
      </x:c>
      <x:c r="H143" s="62" t="str">
        <x:v>争用后带宽项 ms</x:v>
      </x:c>
      <x:c r="I143" s="62" t="str">
        <x:v>通信增量 ms</x:v>
      </x:c>
      <x:c r="J143" s="62" t="str">
        <x:v>暴露系数</x:v>
      </x:c>
      <x:c r="K143" s="62" t="str">
        <x:v>forward 增量 ms</x:v>
      </x:c>
      <x:c r="L143" s="62" t="str">
        <x:v>公式口径</x:v>
      </x:c>
    </x:row>
    <x:row r="144" ht="15" customHeight="1">
      <x:c r="A144" s="30" t="str">
        <x:v>Embedding TP</x:v>
      </x:c>
      <x:c r="B144" s="30" t="str">
        <x:v>Embedding</x:v>
      </x:c>
      <x:c r="C144" s="30" t="str">
        <x:v>标准 TP 输出</x:v>
      </x:c>
      <x:c r="D144" s="34" t="n">
        <x:f>(K107*2^20)/1e9</x:f>
        <x:v>0.117440512</x:v>
      </x:c>
      <x:c r="E144" s="64" t="n">
        <x:f>$H$138</x:f>
        <x:v>100</x:v>
      </x:c>
      <x:c r="F144" s="59" t="n">
        <x:v>1</x:v>
      </x:c>
      <x:c r="G144" s="34" t="n">
        <x:f>IF(AND(ISNUMBER(E144),E144&gt;0,ISNUMBER($B$138),$B$138&gt;=0,$B$138&lt;1,ISNUMBER($D$138),$D$138&gt;=0,$D$138&lt;=1,ISNUMBER(F144),F144&gt;=0,F144&lt;=1,ISNUMBER(J144),J144&gt;=0,J144&lt;=1),D144/E144*1000,NA())</x:f>
        <x:v>1.17440512</x:v>
      </x:c>
      <x:c r="H144" s="34" t="n">
        <x:f>G144+I144</x:f>
        <x:v>1.3048945777777778</x:v>
      </x:c>
      <x:c r="I144" s="34" t="n">
        <x:f>G144*F144*$D$138*$B$138/(1-$B$138)</x:f>
        <x:v>0.1304894577777778</x:v>
      </x:c>
      <x:c r="J144" s="59" t="n">
        <x:v>1</x:v>
      </x:c>
      <x:c r="K144" s="34" t="n">
        <x:f>I144*J144</x:f>
        <x:v>0.1304894577777778</x:v>
      </x:c>
      <x:c r="L144" s="30" t="str">
        <x:v>原通信行 107</x:v>
      </x:c>
    </x:row>
    <x:row r="145" ht="15" customHeight="1">
      <x:c r="A145" s="30" t="str">
        <x:v>Embedding TP</x:v>
      </x:c>
      <x:c r="B145" s="30" t="str">
        <x:v>Embedding</x:v>
      </x:c>
      <x:c r="C145" s="30" t="str">
        <x:v>Fine TP Token ID</x:v>
      </x:c>
      <x:c r="D145" s="34" t="n">
        <x:f>(K108*2^20)/1e9</x:f>
        <x:v>0</x:v>
      </x:c>
      <x:c r="E145" s="64" t="n">
        <x:f>$H$138</x:f>
        <x:v>100</x:v>
      </x:c>
      <x:c r="F145" s="59" t="n">
        <x:v>1</x:v>
      </x:c>
      <x:c r="G145" s="34" t="n">
        <x:f>IF(AND(ISNUMBER(E145),E145&gt;0,ISNUMBER($B$138),$B$138&gt;=0,$B$138&lt;1,ISNUMBER($D$138),$D$138&gt;=0,$D$138&lt;=1,ISNUMBER(F145),F145&gt;=0,F145&lt;=1,ISNUMBER(J145),J145&gt;=0,J145&lt;=1),D145/E145*1000,NA())</x:f>
        <x:v>0</x:v>
      </x:c>
      <x:c r="H145" s="34" t="n">
        <x:f>G145+I145</x:f>
        <x:v>0</x:v>
      </x:c>
      <x:c r="I145" s="34" t="n">
        <x:f>G145*F145*$D$138*$B$138/(1-$B$138)</x:f>
        <x:v>0</x:v>
      </x:c>
      <x:c r="J145" s="59" t="n">
        <x:v>1</x:v>
      </x:c>
      <x:c r="K145" s="34" t="n">
        <x:f>I145*J145</x:f>
        <x:v>0</x:v>
      </x:c>
      <x:c r="L145" s="30" t="str">
        <x:v>原通信行 108</x:v>
      </x:c>
    </x:row>
    <x:row r="146" ht="15" customHeight="1">
      <x:c r="A146" s="30" t="str">
        <x:v>Embedding TP</x:v>
      </x:c>
      <x:c r="B146" s="30" t="str">
        <x:v>Embedding</x:v>
      </x:c>
      <x:c r="C146" s="30" t="str">
        <x:v>Fine TP Hidden</x:v>
      </x:c>
      <x:c r="D146" s="34" t="n">
        <x:f>(K109*2^20)/1e9</x:f>
        <x:v>0</x:v>
      </x:c>
      <x:c r="E146" s="64" t="n">
        <x:f>$H$138</x:f>
        <x:v>100</x:v>
      </x:c>
      <x:c r="F146" s="59" t="n">
        <x:v>1</x:v>
      </x:c>
      <x:c r="G146" s="34" t="n">
        <x:f>IF(AND(ISNUMBER(E146),E146&gt;0,ISNUMBER($B$138),$B$138&gt;=0,$B$138&lt;1,ISNUMBER($D$138),$D$138&gt;=0,$D$138&lt;=1,ISNUMBER(F146),F146&gt;=0,F146&lt;=1,ISNUMBER(J146),J146&gt;=0,J146&lt;=1),D146/E146*1000,NA())</x:f>
        <x:v>0</x:v>
      </x:c>
      <x:c r="H146" s="34" t="n">
        <x:f>G146+I146</x:f>
        <x:v>0</x:v>
      </x:c>
      <x:c r="I146" s="34" t="n">
        <x:f>G146*F146*$D$138*$B$138/(1-$B$138)</x:f>
        <x:v>0</x:v>
      </x:c>
      <x:c r="J146" s="59" t="n">
        <x:v>1</x:v>
      </x:c>
      <x:c r="K146" s="34" t="n">
        <x:f>I146*J146</x:f>
        <x:v>0</x:v>
      </x:c>
      <x:c r="L146" s="30" t="str">
        <x:v>原通信行 109</x:v>
      </x:c>
    </x:row>
    <x:row r="147" ht="15" customHeight="1">
      <x:c r="A147" s="30" t="str">
        <x:v>DSA CP</x:v>
      </x:c>
      <x:c r="B147" s="30" t="str">
        <x:v>Sparse Attention</x:v>
      </x:c>
      <x:c r="C147" s="30" t="str">
        <x:v>Q/KV 投影输入</x:v>
      </x:c>
      <x:c r="D147" s="34" t="n">
        <x:f>(K110*2^20)/1e9</x:f>
        <x:v>2.524971008</x:v>
      </x:c>
      <x:c r="E147" s="64" t="n">
        <x:f>$H$138</x:f>
        <x:v>100</x:v>
      </x:c>
      <x:c r="F147" s="59" t="n">
        <x:v>1</x:v>
      </x:c>
      <x:c r="G147" s="34" t="n">
        <x:f>IF(AND(ISNUMBER(E147),E147&gt;0,ISNUMBER($B$138),$B$138&gt;=0,$B$138&lt;1,ISNUMBER($D$138),$D$138&gt;=0,$D$138&lt;=1,ISNUMBER(F147),F147&gt;=0,F147&lt;=1,ISNUMBER(J147),J147&gt;=0,J147&lt;=1),D147/E147*1000,NA())</x:f>
        <x:v>25.24971008</x:v>
      </x:c>
      <x:c r="H147" s="34" t="n">
        <x:f>G147+I147</x:f>
        <x:v>28.055233422222223</x:v>
      </x:c>
      <x:c r="I147" s="34" t="n">
        <x:f>G147*F147*$D$138*$B$138/(1-$B$138)</x:f>
        <x:v>2.805523342222222</x:v>
      </x:c>
      <x:c r="J147" s="59" t="n">
        <x:v>1</x:v>
      </x:c>
      <x:c r="K147" s="34" t="n">
        <x:f>I147*J147</x:f>
        <x:v>2.805523342222222</x:v>
      </x:c>
      <x:c r="L147" s="30" t="str">
        <x:v>原通信行 110</x:v>
      </x:c>
    </x:row>
    <x:row r="148" ht="15" customHeight="1">
      <x:c r="A148" s="30" t="str">
        <x:v>DSA CP</x:v>
      </x:c>
      <x:c r="B148" s="30" t="str">
        <x:v>Sparse Attention</x:v>
      </x:c>
      <x:c r="C148" s="30" t="str">
        <x:v>恢复 TP Head Layout</x:v>
      </x:c>
      <x:c r="D148" s="34" t="n">
        <x:f>(K111*2^20)/1e9</x:f>
        <x:v>2.524971008</x:v>
      </x:c>
      <x:c r="E148" s="64" t="n">
        <x:f>$H$138</x:f>
        <x:v>100</x:v>
      </x:c>
      <x:c r="F148" s="59" t="n">
        <x:v>1</x:v>
      </x:c>
      <x:c r="G148" s="34" t="n">
        <x:f>IF(AND(ISNUMBER(E148),E148&gt;0,ISNUMBER($B$138),$B$138&gt;=0,$B$138&lt;1,ISNUMBER($D$138),$D$138&gt;=0,$D$138&lt;=1,ISNUMBER(F148),F148&gt;=0,F148&lt;=1,ISNUMBER(J148),J148&gt;=0,J148&lt;=1),D148/E148*1000,NA())</x:f>
        <x:v>25.24971008</x:v>
      </x:c>
      <x:c r="H148" s="34" t="n">
        <x:f>G148+I148</x:f>
        <x:v>28.055233422222223</x:v>
      </x:c>
      <x:c r="I148" s="34" t="n">
        <x:f>G148*F148*$D$138*$B$138/(1-$B$138)</x:f>
        <x:v>2.805523342222222</x:v>
      </x:c>
      <x:c r="J148" s="59" t="n">
        <x:v>1</x:v>
      </x:c>
      <x:c r="K148" s="34" t="n">
        <x:f>I148*J148</x:f>
        <x:v>2.805523342222222</x:v>
      </x:c>
      <x:c r="L148" s="30" t="str">
        <x:v>原通信行 111</x:v>
      </x:c>
    </x:row>
    <x:row r="149" ht="15" customHeight="1">
      <x:c r="A149" s="30" t="str">
        <x:v>DSA CP</x:v>
      </x:c>
      <x:c r="B149" s="30" t="str">
        <x:v>Indexer</x:v>
      </x:c>
      <x:c r="C149" s="30" t="str">
        <x:v>Top-k Index</x:v>
      </x:c>
      <x:c r="D149" s="34" t="n">
        <x:f>(K112*2^20)/1e9</x:f>
        <x:v>0.308281344</x:v>
      </x:c>
      <x:c r="E149" s="64" t="n">
        <x:f>$H$138</x:f>
        <x:v>100</x:v>
      </x:c>
      <x:c r="F149" s="59" t="n">
        <x:v>1</x:v>
      </x:c>
      <x:c r="G149" s="34" t="n">
        <x:f>IF(AND(ISNUMBER(E149),E149&gt;0,ISNUMBER($B$138),$B$138&gt;=0,$B$138&lt;1,ISNUMBER($D$138),$D$138&gt;=0,$D$138&lt;=1,ISNUMBER(F149),F149&gt;=0,F149&lt;=1,ISNUMBER(J149),J149&gt;=0,J149&lt;=1),D149/E149*1000,NA())</x:f>
        <x:v>3.0828134400000002</x:v>
      </x:c>
      <x:c r="H149" s="34" t="n">
        <x:f>G149+I149</x:f>
        <x:v>3.425348266666667</x:v>
      </x:c>
      <x:c r="I149" s="34" t="n">
        <x:f>G149*F149*$D$138*$B$138/(1-$B$138)</x:f>
        <x:v>0.34253482666666674</x:v>
      </x:c>
      <x:c r="J149" s="59" t="n">
        <x:v>1</x:v>
      </x:c>
      <x:c r="K149" s="34" t="n">
        <x:f>I149*J149</x:f>
        <x:v>0.34253482666666674</x:v>
      </x:c>
      <x:c r="L149" s="30" t="str">
        <x:v>原通信行 112</x:v>
      </x:c>
    </x:row>
    <x:row r="150" ht="15" customHeight="1">
      <x:c r="A150" s="30" t="str">
        <x:v>O Proj TP</x:v>
      </x:c>
      <x:c r="B150" s="30" t="str">
        <x:v>Sparse Attention</x:v>
      </x:c>
      <x:c r="C150" s="30" t="str">
        <x:v>DSA CP 关闭</x:v>
      </x:c>
      <x:c r="D150" s="34" t="n">
        <x:f>(K113*2^20)/1e9</x:f>
        <x:v>0</x:v>
      </x:c>
      <x:c r="E150" s="64" t="n">
        <x:f>$H$138</x:f>
        <x:v>100</x:v>
      </x:c>
      <x:c r="F150" s="59" t="n">
        <x:v>1</x:v>
      </x:c>
      <x:c r="G150" s="34" t="n">
        <x:f>IF(AND(ISNUMBER(E150),E150&gt;0,ISNUMBER($B$138),$B$138&gt;=0,$B$138&lt;1,ISNUMBER($D$138),$D$138&gt;=0,$D$138&lt;=1,ISNUMBER(F150),F150&gt;=0,F150&lt;=1,ISNUMBER(J150),J150&gt;=0,J150&lt;=1),D150/E150*1000,NA())</x:f>
        <x:v>0</x:v>
      </x:c>
      <x:c r="H150" s="34" t="n">
        <x:f>G150+I150</x:f>
        <x:v>0</x:v>
      </x:c>
      <x:c r="I150" s="34" t="n">
        <x:f>G150*F150*$D$138*$B$138/(1-$B$138)</x:f>
        <x:v>0</x:v>
      </x:c>
      <x:c r="J150" s="59" t="n">
        <x:v>1</x:v>
      </x:c>
      <x:c r="K150" s="34" t="n">
        <x:f>I150*J150</x:f>
        <x:v>0</x:v>
      </x:c>
      <x:c r="L150" s="30" t="str">
        <x:v>原通信行 113</x:v>
      </x:c>
    </x:row>
    <x:row r="151" ht="15" customHeight="1">
      <x:c r="A151" s="30" t="str">
        <x:v>EP</x:v>
      </x:c>
      <x:c r="B151" s="30" t="str">
        <x:v>Routed Experts</x:v>
      </x:c>
      <x:c r="C151" s="30" t="str">
        <x:v>Dispatch Hidden</x:v>
      </x:c>
      <x:c r="D151" s="34" t="n">
        <x:f>(K114*2^20)/1e9</x:f>
        <x:v>1.893728256</x:v>
      </x:c>
      <x:c r="E151" s="64" t="n">
        <x:f>$H$138</x:f>
        <x:v>100</x:v>
      </x:c>
      <x:c r="F151" s="59" t="n">
        <x:v>1</x:v>
      </x:c>
      <x:c r="G151" s="34" t="n">
        <x:f>IF(AND(ISNUMBER(E151),E151&gt;0,ISNUMBER($B$138),$B$138&gt;=0,$B$138&lt;1,ISNUMBER($D$138),$D$138&gt;=0,$D$138&lt;=1,ISNUMBER(F151),F151&gt;=0,F151&lt;=1,ISNUMBER(J151),J151&gt;=0,J151&lt;=1),D151/E151*1000,NA())</x:f>
        <x:v>18.93728256</x:v>
      </x:c>
      <x:c r="H151" s="34" t="n">
        <x:f>G151+I151</x:f>
        <x:v>21.041425066666665</x:v>
      </x:c>
      <x:c r="I151" s="34" t="n">
        <x:f>G151*F151*$D$138*$B$138/(1-$B$138)</x:f>
        <x:v>2.104142506666667</x:v>
      </x:c>
      <x:c r="J151" s="59" t="n">
        <x:v>1</x:v>
      </x:c>
      <x:c r="K151" s="34" t="n">
        <x:f>I151*J151</x:f>
        <x:v>2.104142506666667</x:v>
      </x:c>
      <x:c r="L151" s="30" t="str">
        <x:v>原通信行 114</x:v>
      </x:c>
    </x:row>
    <x:row r="152" ht="15" customHeight="1">
      <x:c r="A152" s="30" t="str">
        <x:v>EP</x:v>
      </x:c>
      <x:c r="B152" s="30" t="str">
        <x:v>Routed Experts</x:v>
      </x:c>
      <x:c r="C152" s="30" t="str">
        <x:v>Combine Hidden</x:v>
      </x:c>
      <x:c r="D152" s="34" t="n">
        <x:f>(K115*2^20)/1e9</x:f>
        <x:v>1.893728256</x:v>
      </x:c>
      <x:c r="E152" s="64" t="n">
        <x:f>$H$138</x:f>
        <x:v>100</x:v>
      </x:c>
      <x:c r="F152" s="59" t="n">
        <x:v>1</x:v>
      </x:c>
      <x:c r="G152" s="34" t="n">
        <x:f>IF(AND(ISNUMBER(E152),E152&gt;0,ISNUMBER($B$138),$B$138&gt;=0,$B$138&lt;1,ISNUMBER($D$138),$D$138&gt;=0,$D$138&lt;=1,ISNUMBER(F152),F152&gt;=0,F152&lt;=1,ISNUMBER(J152),J152&gt;=0,J152&lt;=1),D152/E152*1000,NA())</x:f>
        <x:v>18.93728256</x:v>
      </x:c>
      <x:c r="H152" s="34" t="n">
        <x:f>G152+I152</x:f>
        <x:v>21.041425066666665</x:v>
      </x:c>
      <x:c r="I152" s="34" t="n">
        <x:f>G152*F152*$D$138*$B$138/(1-$B$138)</x:f>
        <x:v>2.104142506666667</x:v>
      </x:c>
      <x:c r="J152" s="59" t="n">
        <x:v>1</x:v>
      </x:c>
      <x:c r="K152" s="34" t="n">
        <x:f>I152*J152</x:f>
        <x:v>2.104142506666667</x:v>
      </x:c>
      <x:c r="L152" s="30" t="str">
        <x:v>原通信行 115</x:v>
      </x:c>
    </x:row>
    <x:row r="153" ht="15" customHeight="1">
      <x:c r="A153" s="30" t="str">
        <x:v>DP</x:v>
      </x:c>
      <x:c r="B153" s="30" t="str">
        <x:v>MoE</x:v>
      </x:c>
      <x:c r="C153" s="30" t="str">
        <x:v>Hidden 输入</x:v>
      </x:c>
      <x:c r="D153" s="34" t="n">
        <x:f>(K116*2^20)/1e9</x:f>
        <x:v>0</x:v>
      </x:c>
      <x:c r="E153" s="64" t="n">
        <x:f>$H$138</x:f>
        <x:v>100</x:v>
      </x:c>
      <x:c r="F153" s="59" t="n">
        <x:v>1</x:v>
      </x:c>
      <x:c r="G153" s="34" t="n">
        <x:f>IF(AND(ISNUMBER(E153),E153&gt;0,ISNUMBER($B$138),$B$138&gt;=0,$B$138&lt;1,ISNUMBER($D$138),$D$138&gt;=0,$D$138&lt;=1,ISNUMBER(F153),F153&gt;=0,F153&lt;=1,ISNUMBER(J153),J153&gt;=0,J153&lt;=1),D153/E153*1000,NA())</x:f>
        <x:v>0</x:v>
      </x:c>
      <x:c r="H153" s="34" t="n">
        <x:f>G153+I153</x:f>
        <x:v>0</x:v>
      </x:c>
      <x:c r="I153" s="34" t="n">
        <x:f>G153*F153*$D$138*$B$138/(1-$B$138)</x:f>
        <x:v>0</x:v>
      </x:c>
      <x:c r="J153" s="59" t="n">
        <x:v>1</x:v>
      </x:c>
      <x:c r="K153" s="34" t="n">
        <x:f>I153*J153</x:f>
        <x:v>0</x:v>
      </x:c>
      <x:c r="L153" s="30" t="str">
        <x:v>原通信行 116</x:v>
      </x:c>
    </x:row>
    <x:row r="154" ht="15" customHeight="1">
      <x:c r="A154" s="30" t="str">
        <x:v>DP</x:v>
      </x:c>
      <x:c r="B154" s="30" t="str">
        <x:v>MoE Router</x:v>
      </x:c>
      <x:c r="C154" s="30" t="str">
        <x:v>Router Logits</x:v>
      </x:c>
      <x:c r="D154" s="34" t="n">
        <x:f>(K117*2^20)/1e9</x:f>
        <x:v>0</x:v>
      </x:c>
      <x:c r="E154" s="64" t="n">
        <x:f>$H$138</x:f>
        <x:v>100</x:v>
      </x:c>
      <x:c r="F154" s="59" t="n">
        <x:v>1</x:v>
      </x:c>
      <x:c r="G154" s="34" t="n">
        <x:f>IF(AND(ISNUMBER(E154),E154&gt;0,ISNUMBER($B$138),$B$138&gt;=0,$B$138&lt;1,ISNUMBER($D$138),$D$138&gt;=0,$D$138&lt;=1,ISNUMBER(F154),F154&gt;=0,F154&lt;=1,ISNUMBER(J154),J154&gt;=0,J154&lt;=1),D154/E154*1000,NA())</x:f>
        <x:v>0</x:v>
      </x:c>
      <x:c r="H154" s="34" t="n">
        <x:f>G154+I154</x:f>
        <x:v>0</x:v>
      </x:c>
      <x:c r="I154" s="34" t="n">
        <x:f>G154*F154*$D$138*$B$138/(1-$B$138)</x:f>
        <x:v>0</x:v>
      </x:c>
      <x:c r="J154" s="59" t="n">
        <x:v>1</x:v>
      </x:c>
      <x:c r="K154" s="34" t="n">
        <x:f>I154*J154</x:f>
        <x:v>0</x:v>
      </x:c>
      <x:c r="L154" s="30" t="str">
        <x:v>原通信行 117</x:v>
      </x:c>
    </x:row>
    <x:row r="155" ht="15" customHeight="1">
      <x:c r="A155" s="30" t="str">
        <x:v>DP</x:v>
      </x:c>
      <x:c r="B155" s="30" t="str">
        <x:v>MoE</x:v>
      </x:c>
      <x:c r="C155" s="30" t="str">
        <x:v>Routed Expert 输出</x:v>
      </x:c>
      <x:c r="D155" s="34" t="n">
        <x:f>(K118*2^20)/1e9</x:f>
        <x:v>0</x:v>
      </x:c>
      <x:c r="E155" s="64" t="n">
        <x:f>$H$138</x:f>
        <x:v>100</x:v>
      </x:c>
      <x:c r="F155" s="59" t="n">
        <x:v>1</x:v>
      </x:c>
      <x:c r="G155" s="34" t="n">
        <x:f>IF(AND(ISNUMBER(E155),E155&gt;0,ISNUMBER($B$138),$B$138&gt;=0,$B$138&lt;1,ISNUMBER($D$138),$D$138&gt;=0,$D$138&lt;=1,ISNUMBER(F155),F155&gt;=0,F155&lt;=1,ISNUMBER(J155),J155&gt;=0,J155&lt;=1),D155/E155*1000,NA())</x:f>
        <x:v>0</x:v>
      </x:c>
      <x:c r="H155" s="34" t="n">
        <x:f>G155+I155</x:f>
        <x:v>0</x:v>
      </x:c>
      <x:c r="I155" s="34" t="n">
        <x:f>G155*F155*$D$138*$B$138/(1-$B$138)</x:f>
        <x:v>0</x:v>
      </x:c>
      <x:c r="J155" s="59" t="n">
        <x:v>1</x:v>
      </x:c>
      <x:c r="K155" s="34" t="n">
        <x:f>I155*J155</x:f>
        <x:v>0</x:v>
      </x:c>
      <x:c r="L155" s="30" t="str">
        <x:v>原通信行 118</x:v>
      </x:c>
    </x:row>
    <x:row r="156" ht="15" customHeight="1">
      <x:c r="A156" s="30" t="str">
        <x:v>共享专家 TP</x:v>
      </x:c>
      <x:c r="B156" s="30" t="str">
        <x:v>Shared Experts</x:v>
      </x:c>
      <x:c r="C156" s="30" t="str">
        <x:v>SP 输入</x:v>
      </x:c>
      <x:c r="D156" s="34" t="n">
        <x:f>(K119*2^20)/1e9</x:f>
        <x:v>2.524971008</x:v>
      </x:c>
      <x:c r="E156" s="64" t="n">
        <x:f>$H$138</x:f>
        <x:v>100</x:v>
      </x:c>
      <x:c r="F156" s="59" t="n">
        <x:v>1</x:v>
      </x:c>
      <x:c r="G156" s="34" t="n">
        <x:f>IF(AND(ISNUMBER(E156),E156&gt;0,ISNUMBER($B$138),$B$138&gt;=0,$B$138&lt;1,ISNUMBER($D$138),$D$138&gt;=0,$D$138&lt;=1,ISNUMBER(F156),F156&gt;=0,F156&lt;=1,ISNUMBER(J156),J156&gt;=0,J156&lt;=1),D156/E156*1000,NA())</x:f>
        <x:v>25.24971008</x:v>
      </x:c>
      <x:c r="H156" s="34" t="n">
        <x:f>G156+I156</x:f>
        <x:v>28.055233422222223</x:v>
      </x:c>
      <x:c r="I156" s="34" t="n">
        <x:f>G156*F156*$D$138*$B$138/(1-$B$138)</x:f>
        <x:v>2.805523342222222</x:v>
      </x:c>
      <x:c r="J156" s="59" t="n">
        <x:v>1</x:v>
      </x:c>
      <x:c r="K156" s="34" t="n">
        <x:f>I156*J156</x:f>
        <x:v>2.805523342222222</x:v>
      </x:c>
      <x:c r="L156" s="30" t="str">
        <x:v>原通信行 119</x:v>
      </x:c>
    </x:row>
    <x:row r="157" ht="15" customHeight="1">
      <x:c r="A157" s="30" t="str">
        <x:v>共享专家 TP</x:v>
      </x:c>
      <x:c r="B157" s="30" t="str">
        <x:v>Shared Experts</x:v>
      </x:c>
      <x:c r="C157" s="30" t="str">
        <x:v>SP 输出</x:v>
      </x:c>
      <x:c r="D157" s="34" t="n">
        <x:f>(K120*2^20)/1e9</x:f>
        <x:v>2.524971008</x:v>
      </x:c>
      <x:c r="E157" s="64" t="n">
        <x:f>$H$138</x:f>
        <x:v>100</x:v>
      </x:c>
      <x:c r="F157" s="59" t="n">
        <x:v>1</x:v>
      </x:c>
      <x:c r="G157" s="34" t="n">
        <x:f>IF(AND(ISNUMBER(E157),E157&gt;0,ISNUMBER($B$138),$B$138&gt;=0,$B$138&lt;1,ISNUMBER($D$138),$D$138&gt;=0,$D$138&lt;=1,ISNUMBER(F157),F157&gt;=0,F157&lt;=1,ISNUMBER(J157),J157&gt;=0,J157&lt;=1),D157/E157*1000,NA())</x:f>
        <x:v>25.24971008</x:v>
      </x:c>
      <x:c r="H157" s="34" t="n">
        <x:f>G157+I157</x:f>
        <x:v>28.055233422222223</x:v>
      </x:c>
      <x:c r="I157" s="34" t="n">
        <x:f>G157*F157*$D$138*$B$138/(1-$B$138)</x:f>
        <x:v>2.805523342222222</x:v>
      </x:c>
      <x:c r="J157" s="59" t="n">
        <x:v>1</x:v>
      </x:c>
      <x:c r="K157" s="34" t="n">
        <x:f>I157*J157</x:f>
        <x:v>2.805523342222222</x:v>
      </x:c>
      <x:c r="L157" s="30" t="str">
        <x:v>原通信行 120</x:v>
      </x:c>
    </x:row>
    <x:row r="158" ht="15" customHeight="1">
      <x:c r="A158" s="30" t="str">
        <x:v>共享专家 TP</x:v>
      </x:c>
      <x:c r="B158" s="30" t="str">
        <x:v>Shared Experts</x:v>
      </x:c>
      <x:c r="C158" s="30" t="str">
        <x:v>非 SP 输出</x:v>
      </x:c>
      <x:c r="D158" s="34" t="n">
        <x:f>(K121*2^20)/1e9</x:f>
        <x:v>0</x:v>
      </x:c>
      <x:c r="E158" s="64" t="n">
        <x:f>$H$138</x:f>
        <x:v>100</x:v>
      </x:c>
      <x:c r="F158" s="59" t="n">
        <x:v>1</x:v>
      </x:c>
      <x:c r="G158" s="34" t="n">
        <x:f>IF(AND(ISNUMBER(E158),E158&gt;0,ISNUMBER($B$138),$B$138&gt;=0,$B$138&lt;1,ISNUMBER($D$138),$D$138&gt;=0,$D$138&lt;=1,ISNUMBER(F158),F158&gt;=0,F158&lt;=1,ISNUMBER(J158),J158&gt;=0,J158&lt;=1),D158/E158*1000,NA())</x:f>
        <x:v>0</x:v>
      </x:c>
      <x:c r="H158" s="34" t="n">
        <x:f>G158+I158</x:f>
        <x:v>0</x:v>
      </x:c>
      <x:c r="I158" s="34" t="n">
        <x:f>G158*F158*$D$138*$B$138/(1-$B$138)</x:f>
        <x:v>0</x:v>
      </x:c>
      <x:c r="J158" s="59" t="n">
        <x:v>1</x:v>
      </x:c>
      <x:c r="K158" s="34" t="n">
        <x:f>I158*J158</x:f>
        <x:v>0</x:v>
      </x:c>
      <x:c r="L158" s="30" t="str">
        <x:v>原通信行 121</x:v>
      </x:c>
    </x:row>
    <x:row r="159" ht="15" customHeight="1">
      <x:c r="A159" s="30" t="str">
        <x:v>PCP</x:v>
      </x:c>
      <x:c r="B159" s="30" t="str">
        <x:v>MoE</x:v>
      </x:c>
      <x:c r="C159" s="30" t="str">
        <x:v>Hidden 输入</x:v>
      </x:c>
      <x:c r="D159" s="34" t="n">
        <x:f>(K122*2^20)/1e9</x:f>
        <x:v>0</x:v>
      </x:c>
      <x:c r="E159" s="64" t="n">
        <x:f>$H$138</x:f>
        <x:v>100</x:v>
      </x:c>
      <x:c r="F159" s="59" t="n">
        <x:v>1</x:v>
      </x:c>
      <x:c r="G159" s="34" t="n">
        <x:f>IF(AND(ISNUMBER(E159),E159&gt;0,ISNUMBER($B$138),$B$138&gt;=0,$B$138&lt;1,ISNUMBER($D$138),$D$138&gt;=0,$D$138&lt;=1,ISNUMBER(F159),F159&gt;=0,F159&lt;=1,ISNUMBER(J159),J159&gt;=0,J159&lt;=1),D159/E159*1000,NA())</x:f>
        <x:v>0</x:v>
      </x:c>
      <x:c r="H159" s="34" t="n">
        <x:f>G159+I159</x:f>
        <x:v>0</x:v>
      </x:c>
      <x:c r="I159" s="34" t="n">
        <x:f>G159*F159*$D$138*$B$138/(1-$B$138)</x:f>
        <x:v>0</x:v>
      </x:c>
      <x:c r="J159" s="59" t="n">
        <x:v>1</x:v>
      </x:c>
      <x:c r="K159" s="34" t="n">
        <x:f>I159*J159</x:f>
        <x:v>0</x:v>
      </x:c>
      <x:c r="L159" s="30" t="str">
        <x:v>原通信行 122</x:v>
      </x:c>
    </x:row>
    <x:row r="160" ht="15" customHeight="1">
      <x:c r="A160" s="30" t="str">
        <x:v>PCP</x:v>
      </x:c>
      <x:c r="B160" s="30" t="str">
        <x:v>MoE Router</x:v>
      </x:c>
      <x:c r="C160" s="30" t="str">
        <x:v>Router Logits</x:v>
      </x:c>
      <x:c r="D160" s="34" t="n">
        <x:f>(K123*2^20)/1e9</x:f>
        <x:v>0</x:v>
      </x:c>
      <x:c r="E160" s="64" t="n">
        <x:f>$H$138</x:f>
        <x:v>100</x:v>
      </x:c>
      <x:c r="F160" s="59" t="n">
        <x:v>1</x:v>
      </x:c>
      <x:c r="G160" s="34" t="n">
        <x:f>IF(AND(ISNUMBER(E160),E160&gt;0,ISNUMBER($B$138),$B$138&gt;=0,$B$138&lt;1,ISNUMBER($D$138),$D$138&gt;=0,$D$138&lt;=1,ISNUMBER(F160),F160&gt;=0,F160&lt;=1,ISNUMBER(J160),J160&gt;=0,J160&lt;=1),D160/E160*1000,NA())</x:f>
        <x:v>0</x:v>
      </x:c>
      <x:c r="H160" s="34" t="n">
        <x:f>G160+I160</x:f>
        <x:v>0</x:v>
      </x:c>
      <x:c r="I160" s="34" t="n">
        <x:f>G160*F160*$D$138*$B$138/(1-$B$138)</x:f>
        <x:v>0</x:v>
      </x:c>
      <x:c r="J160" s="59" t="n">
        <x:v>1</x:v>
      </x:c>
      <x:c r="K160" s="34" t="n">
        <x:f>I160*J160</x:f>
        <x:v>0</x:v>
      </x:c>
      <x:c r="L160" s="30" t="str">
        <x:v>原通信行 123</x:v>
      </x:c>
    </x:row>
    <x:row r="161" ht="15" customHeight="1">
      <x:c r="A161" s="30" t="str">
        <x:v>PCP</x:v>
      </x:c>
      <x:c r="B161" s="30" t="str">
        <x:v>MoE</x:v>
      </x:c>
      <x:c r="C161" s="30" t="str">
        <x:v>Routed Expert 输出</x:v>
      </x:c>
      <x:c r="D161" s="34" t="n">
        <x:f>(K124*2^20)/1e9</x:f>
        <x:v>0</x:v>
      </x:c>
      <x:c r="E161" s="64" t="n">
        <x:f>$H$138</x:f>
        <x:v>100</x:v>
      </x:c>
      <x:c r="F161" s="59" t="n">
        <x:v>1</x:v>
      </x:c>
      <x:c r="G161" s="34" t="n">
        <x:f>IF(AND(ISNUMBER(E161),E161&gt;0,ISNUMBER($B$138),$B$138&gt;=0,$B$138&lt;1,ISNUMBER($D$138),$D$138&gt;=0,$D$138&lt;=1,ISNUMBER(F161),F161&gt;=0,F161&lt;=1,ISNUMBER(J161),J161&gt;=0,J161&lt;=1),D161/E161*1000,NA())</x:f>
        <x:v>0</x:v>
      </x:c>
      <x:c r="H161" s="34" t="n">
        <x:f>G161+I161</x:f>
        <x:v>0</x:v>
      </x:c>
      <x:c r="I161" s="34" t="n">
        <x:f>G161*F161*$D$138*$B$138/(1-$B$138)</x:f>
        <x:v>0</x:v>
      </x:c>
      <x:c r="J161" s="59" t="n">
        <x:v>1</x:v>
      </x:c>
      <x:c r="K161" s="34" t="n">
        <x:f>I161*J161</x:f>
        <x:v>0</x:v>
      </x:c>
      <x:c r="L161" s="30" t="str">
        <x:v>原通信行 124</x:v>
      </x:c>
    </x:row>
    <x:row r="162" ht="15" customHeight="1">
      <x:c r="A162" s="30" t="str">
        <x:v>PCP</x:v>
      </x:c>
      <x:c r="B162" s="30" t="str">
        <x:v>Attention KV</x:v>
      </x:c>
      <x:c r="C162" s="30" t="str">
        <x:v>KV Cache 写入前</x:v>
      </x:c>
      <x:c r="D162" s="34" t="n">
        <x:f>(K125*2^20)/1e9</x:f>
        <x:v>0</x:v>
      </x:c>
      <x:c r="E162" s="64" t="n">
        <x:f>$H$138</x:f>
        <x:v>100</x:v>
      </x:c>
      <x:c r="F162" s="59" t="n">
        <x:v>1</x:v>
      </x:c>
      <x:c r="G162" s="34" t="n">
        <x:f>IF(AND(ISNUMBER(E162),E162&gt;0,ISNUMBER($B$138),$B$138&gt;=0,$B$138&lt;1,ISNUMBER($D$138),$D$138&gt;=0,$D$138&lt;=1,ISNUMBER(F162),F162&gt;=0,F162&lt;=1,ISNUMBER(J162),J162&gt;=0,J162&lt;=1),D162/E162*1000,NA())</x:f>
        <x:v>0</x:v>
      </x:c>
      <x:c r="H162" s="34" t="n">
        <x:f>G162+I162</x:f>
        <x:v>0</x:v>
      </x:c>
      <x:c r="I162" s="34" t="n">
        <x:f>G162*F162*$D$138*$B$138/(1-$B$138)</x:f>
        <x:v>0</x:v>
      </x:c>
      <x:c r="J162" s="59" t="n">
        <x:v>1</x:v>
      </x:c>
      <x:c r="K162" s="34" t="n">
        <x:f>I162*J162</x:f>
        <x:v>0</x:v>
      </x:c>
      <x:c r="L162" s="30" t="str">
        <x:v>原通信行 125</x:v>
      </x:c>
    </x:row>
    <x:row r="163" ht="15" customHeight="1">
      <x:c r="A163" s="30" t="str">
        <x:v>SP</x:v>
      </x:c>
      <x:c r="B163" s="30" t="str">
        <x:v>Model Output</x:v>
      </x:c>
      <x:c r="C163" s="30" t="str">
        <x:v>Final Norm 后</x:v>
      </x:c>
      <x:c r="D163" s="34" t="n">
        <x:f>(K126*2^20)/1e9</x:f>
        <x:v>0.058720256</x:v>
      </x:c>
      <x:c r="E163" s="64" t="n">
        <x:f>$H$138</x:f>
        <x:v>100</x:v>
      </x:c>
      <x:c r="F163" s="59" t="n">
        <x:v>1</x:v>
      </x:c>
      <x:c r="G163" s="34" t="n">
        <x:f>IF(AND(ISNUMBER(E163),E163&gt;0,ISNUMBER($B$138),$B$138&gt;=0,$B$138&lt;1,ISNUMBER($D$138),$D$138&gt;=0,$D$138&lt;=1,ISNUMBER(F163),F163&gt;=0,F163&lt;=1,ISNUMBER(J163),J163&gt;=0,J163&lt;=1),D163/E163*1000,NA())</x:f>
        <x:v>0.58720256</x:v>
      </x:c>
      <x:c r="H163" s="34" t="n">
        <x:f>G163+I163</x:f>
        <x:v>0.6524472888888889</x:v>
      </x:c>
      <x:c r="I163" s="34" t="n">
        <x:f>G163*F163*$D$138*$B$138/(1-$B$138)</x:f>
        <x:v>0.0652447288888889</x:v>
      </x:c>
      <x:c r="J163" s="59" t="n">
        <x:v>1</x:v>
      </x:c>
      <x:c r="K163" s="34" t="n">
        <x:f>I163*J163</x:f>
        <x:v>0.0652447288888889</x:v>
      </x:c>
      <x:c r="L163" s="30" t="str">
        <x:v>原通信行 126</x:v>
      </x:c>
    </x:row>
    <x:row r="164" ht="15" customHeight="1">
      <x:c r="A164" s="30" t="str">
        <x:v>LM Head TP</x:v>
      </x:c>
      <x:c r="B164" s="30" t="str">
        <x:v>LM Head</x:v>
      </x:c>
      <x:c r="C164" s="30" t="str">
        <x:v>完整 Logits</x:v>
      </x:c>
      <x:c r="D164" s="34" t="n">
        <x:f>(K127*2^20)/1e9</x:f>
        <x:v>0</x:v>
      </x:c>
      <x:c r="E164" s="64" t="n">
        <x:f>$H$138</x:f>
        <x:v>100</x:v>
      </x:c>
      <x:c r="F164" s="59" t="n">
        <x:v>1</x:v>
      </x:c>
      <x:c r="G164" s="34" t="n">
        <x:f>IF(AND(ISNUMBER(E164),E164&gt;0,ISNUMBER($B$138),$B$138&gt;=0,$B$138&lt;1,ISNUMBER($D$138),$D$138&gt;=0,$D$138&lt;=1,ISNUMBER(F164),F164&gt;=0,F164&lt;=1,ISNUMBER(J164),J164&gt;=0,J164&lt;=1),D164/E164*1000,NA())</x:f>
        <x:v>0</x:v>
      </x:c>
      <x:c r="H164" s="34" t="n">
        <x:f>G164+I164</x:f>
        <x:v>0</x:v>
      </x:c>
      <x:c r="I164" s="34" t="n">
        <x:f>G164*F164*$D$138*$B$138/(1-$B$138)</x:f>
        <x:v>0</x:v>
      </x:c>
      <x:c r="J164" s="59" t="n">
        <x:v>1</x:v>
      </x:c>
      <x:c r="K164" s="34" t="n">
        <x:f>I164*J164</x:f>
        <x:v>0</x:v>
      </x:c>
      <x:c r="L164" s="30" t="str">
        <x:v>原通信行 127</x:v>
      </x:c>
    </x:row>
    <x:row r="165" ht="15" customHeight="1">
      <x:c r="A165" s="30" t="str">
        <x:v>LM Head TP</x:v>
      </x:c>
      <x:c r="B165" s="30" t="str">
        <x:v>LM Head</x:v>
      </x:c>
      <x:c r="C165" s="30" t="str">
        <x:v>Reduce Sample</x:v>
      </x:c>
      <x:c r="D165" s="34" t="n">
        <x:f>(K128*2^20)/1e9</x:f>
        <x:v>0.001376256</x:v>
      </x:c>
      <x:c r="E165" s="64" t="n">
        <x:f>$H$138</x:f>
        <x:v>100</x:v>
      </x:c>
      <x:c r="F165" s="59" t="n">
        <x:v>1</x:v>
      </x:c>
      <x:c r="G165" s="34" t="n">
        <x:f>IF(AND(ISNUMBER(E165),E165&gt;0,ISNUMBER($B$138),$B$138&gt;=0,$B$138&lt;1,ISNUMBER($D$138),$D$138&gt;=0,$D$138&lt;=1,ISNUMBER(F165),F165&gt;=0,F165&lt;=1,ISNUMBER(J165),J165&gt;=0,J165&lt;=1),D165/E165*1000,NA())</x:f>
        <x:v>0.01376256</x:v>
      </x:c>
      <x:c r="H165" s="34" t="n">
        <x:f>G165+I165</x:f>
        <x:v>0.015291733333333333</x:v>
      </x:c>
      <x:c r="I165" s="34" t="n">
        <x:f>G165*F165*$D$138*$B$138/(1-$B$138)</x:f>
        <x:v>0.0015291733333333336</x:v>
      </x:c>
      <x:c r="J165" s="59" t="n">
        <x:v>1</x:v>
      </x:c>
      <x:c r="K165" s="34" t="n">
        <x:f>I165*J165</x:f>
        <x:v>0.0015291733333333336</x:v>
      </x:c>
      <x:c r="L165" s="30" t="str">
        <x:v>原通信行 128</x:v>
      </x:c>
    </x:row>
    <x:row r="166" ht="15" customHeight="1">
      <x:c r="A166" s="30" t="str">
        <x:v>Fine LM Head TP</x:v>
      </x:c>
      <x:c r="B166" s="30" t="str">
        <x:v>LM Head</x:v>
      </x:c>
      <x:c r="C166" s="30" t="str">
        <x:v>Hidden 输入</x:v>
      </x:c>
      <x:c r="D166" s="34" t="n">
        <x:f>(K129*2^20)/1e9</x:f>
        <x:v>0</x:v>
      </x:c>
      <x:c r="E166" s="64" t="n">
        <x:f>$H$138</x:f>
        <x:v>100</x:v>
      </x:c>
      <x:c r="F166" s="59" t="n">
        <x:v>1</x:v>
      </x:c>
      <x:c r="G166" s="34" t="n">
        <x:f>IF(AND(ISNUMBER(E166),E166&gt;0,ISNUMBER($B$138),$B$138&gt;=0,$B$138&lt;1,ISNUMBER($D$138),$D$138&gt;=0,$D$138&lt;=1,ISNUMBER(F166),F166&gt;=0,F166&lt;=1,ISNUMBER(J166),J166&gt;=0,J166&lt;=1),D166/E166*1000,NA())</x:f>
        <x:v>0</x:v>
      </x:c>
      <x:c r="H166" s="34" t="n">
        <x:f>G166+I166</x:f>
        <x:v>0</x:v>
      </x:c>
      <x:c r="I166" s="34" t="n">
        <x:f>G166*F166*$D$138*$B$138/(1-$B$138)</x:f>
        <x:v>0</x:v>
      </x:c>
      <x:c r="J166" s="59" t="n">
        <x:v>1</x:v>
      </x:c>
      <x:c r="K166" s="34" t="n">
        <x:f>I166*J166</x:f>
        <x:v>0</x:v>
      </x:c>
      <x:c r="L166" s="30" t="str">
        <x:v>原通信行 129</x:v>
      </x:c>
    </x:row>
    <x:row r="167" ht="15" customHeight="1">
      <x:c r="A167" s="30" t="str">
        <x:v>Fine LM Head TP</x:v>
      </x:c>
      <x:c r="B167" s="30" t="str">
        <x:v>LM Head</x:v>
      </x:c>
      <x:c r="C167" s="30" t="str">
        <x:v>完整 Logits</x:v>
      </x:c>
      <x:c r="D167" s="34" t="n">
        <x:f>(K130*2^20)/1e9</x:f>
        <x:v>0</x:v>
      </x:c>
      <x:c r="E167" s="64" t="n">
        <x:f>$H$138</x:f>
        <x:v>100</x:v>
      </x:c>
      <x:c r="F167" s="59" t="n">
        <x:v>1</x:v>
      </x:c>
      <x:c r="G167" s="34" t="n">
        <x:f>IF(AND(ISNUMBER(E167),E167&gt;0,ISNUMBER($B$138),$B$138&gt;=0,$B$138&lt;1,ISNUMBER($D$138),$D$138&gt;=0,$D$138&lt;=1,ISNUMBER(F167),F167&gt;=0,F167&lt;=1,ISNUMBER(J167),J167&gt;=0,J167&lt;=1),D167/E167*1000,NA())</x:f>
        <x:v>0</x:v>
      </x:c>
      <x:c r="H167" s="34" t="n">
        <x:f>G167+I167</x:f>
        <x:v>0</x:v>
      </x:c>
      <x:c r="I167" s="34" t="n">
        <x:f>G167*F167*$D$138*$B$138/(1-$B$138)</x:f>
        <x:v>0</x:v>
      </x:c>
      <x:c r="J167" s="59" t="n">
        <x:v>1</x:v>
      </x:c>
      <x:c r="K167" s="34" t="n">
        <x:f>I167*J167</x:f>
        <x:v>0</x:v>
      </x:c>
      <x:c r="L167" s="30" t="str">
        <x:v>原通信行 130</x:v>
      </x:c>
    </x:row>
    <x:row r="168" ht="15" customHeight="1">
      <x:c r="A168" s="30" t="str">
        <x:v>Fine LM Head TP</x:v>
      </x:c>
      <x:c r="B168" s="30" t="str">
        <x:v>LM Head</x:v>
      </x:c>
      <x:c r="C168" s="30" t="str">
        <x:v>Reduce Sample</x:v>
      </x:c>
      <x:c r="D168" s="34" t="n">
        <x:f>(K131*2^20)/1e9</x:f>
        <x:v>0</x:v>
      </x:c>
      <x:c r="E168" s="64" t="n">
        <x:f>$H$138</x:f>
        <x:v>100</x:v>
      </x:c>
      <x:c r="F168" s="59" t="n">
        <x:v>1</x:v>
      </x:c>
      <x:c r="G168" s="34" t="n">
        <x:f>IF(AND(ISNUMBER(E168),E168&gt;0,ISNUMBER($B$138),$B$138&gt;=0,$B$138&lt;1,ISNUMBER($D$138),$D$138&gt;=0,$D$138&lt;=1,ISNUMBER(F168),F168&gt;=0,F168&lt;=1,ISNUMBER(J168),J168&gt;=0,J168&lt;=1),D168/E168*1000,NA())</x:f>
        <x:v>0</x:v>
      </x:c>
      <x:c r="H168" s="34" t="n">
        <x:f>G168+I168</x:f>
        <x:v>0</x:v>
      </x:c>
      <x:c r="I168" s="34" t="n">
        <x:f>G168*F168*$D$138*$B$138/(1-$B$138)</x:f>
        <x:v>0</x:v>
      </x:c>
      <x:c r="J168" s="59" t="n">
        <x:v>1</x:v>
      </x:c>
      <x:c r="K168" s="34" t="n">
        <x:f>I168*J168</x:f>
        <x:v>0</x:v>
      </x:c>
      <x:c r="L168" s="30" t="str">
        <x:v>原通信行 131</x:v>
      </x:c>
    </x:row>
    <x:row r="169" ht="15" customHeight="1">
      <x:c r="A169" s="30" t="str">
        <x:v>EP</x:v>
      </x:c>
      <x:c r="B169" s="30" t="str">
        <x:v>MoE 计数</x:v>
      </x:c>
      <x:c r="C169" s="30" t="str">
        <x:v>直方图 Ring AG</x:v>
      </x:c>
      <x:c r="D169" s="34" t="n">
        <x:f>(IF(E114=0,0,H114*ROUNDUP(256/G114,0)*G114*4*(G114-1)))/1e9</x:f>
        <x:v>0.000308224</x:v>
      </x:c>
      <x:c r="E169" s="64" t="n">
        <x:f>$H$138</x:f>
        <x:v>100</x:v>
      </x:c>
      <x:c r="F169" s="59" t="n">
        <x:v>1</x:v>
      </x:c>
      <x:c r="G169" s="34" t="n">
        <x:f>IF(AND(ISNUMBER(E169),E169&gt;0,ISNUMBER($B$138),$B$138&gt;=0,$B$138&lt;1,ISNUMBER($D$138),$D$138&gt;=0,$D$138&lt;=1,ISNUMBER(F169),F169&gt;=0,F169&lt;=1,ISNUMBER(J169),J169&gt;=0,J169&lt;=1),D169/E169*1000,NA())</x:f>
        <x:v>0.00308224</x:v>
      </x:c>
      <x:c r="H169" s="34" t="n">
        <x:f>G169+I169</x:f>
        <x:v>0.003424711111111111</x:v>
      </x:c>
      <x:c r="I169" s="34" t="n">
        <x:f>G169*F169*$D$138*$B$138/(1-$B$138)</x:f>
        <x:v>0.0003424711111111111</x:v>
      </x:c>
      <x:c r="J169" s="59" t="n">
        <x:v>1</x:v>
      </x:c>
      <x:c r="K169" s="34" t="n">
        <x:f>I169*J169</x:f>
        <x:v>0.0003424711111111111</x:v>
      </x:c>
      <x:c r="L169" s="30" t="str">
        <x:v>额外控制量</x:v>
      </x:c>
    </x:row>
    <x:row r="170" ht="15" customHeight="1">
      <x:c r="A170" s="40" t="str">
        <x:v>所列事件串行相加</x:v>
      </x:c>
      <x:c r="B170" s="40"/>
      <x:c r="C170" s="40"/>
      <x:c r="D170" s="41" t="n">
        <x:f>SUM(D144:D169)</x:f>
        <x:v>14.373467136</x:v>
      </x:c>
      <x:c r="E170" s="40"/>
      <x:c r="F170" s="40"/>
      <x:c r="G170" s="41" t="n">
        <x:f>SUM(G144:G169)</x:f>
        <x:v>143.73467136000002</x:v>
      </x:c>
      <x:c r="H170" s="41" t="n">
        <x:f>SUM(H144:H169)</x:f>
        <x:v>159.70519039999996</x:v>
      </x:c>
      <x:c r="I170" s="41" t="n">
        <x:f>SUM(I144:I169)</x:f>
        <x:v>15.970519040000001</x:v>
      </x:c>
      <x:c r="J170" s="40"/>
      <x:c r="K170" s="41" t="n">
        <x:f>SUM(K144:K169)</x:f>
        <x:v>15.970519040000001</x:v>
      </x:c>
      <x:c r="L170" s="40"/>
    </x:row>
  </x:sheetData>
  <x:conditionalFormatting sqref="L140:L140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4096]</x:v>
      </x:c>
      <x:c r="D2" s="30" t="str">
        <x:v>BF16</x:v>
      </x:c>
      <x:c r="E2" s="32" t="n">
        <x:v>2</x:v>
      </x:c>
      <x:c r="F2" s="33" t="n">
        <x:v>1</x:v>
      </x:c>
      <x:c r="G2" s="33" t="n">
        <x:v>529530880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0.986328125</x:v>
      </x:c>
      <x:c r="K2" s="34" t="n">
        <x:f>J2/I2</x:f>
        <x:v>0.123291015625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4096]</x:v>
      </x:c>
      <x:c r="D3" s="30" t="str">
        <x:v>BF16</x:v>
      </x:c>
      <x:c r="E3" s="32" t="n">
        <x:v>2</x:v>
      </x:c>
      <x:c r="F3" s="33" t="n">
        <x:v>1</x:v>
      </x:c>
      <x:c r="G3" s="33" t="n">
        <x:v>529530880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0.986328125</x:v>
      </x:c>
      <x:c r="K3" s="34" t="n">
        <x:f>J3/I3</x:f>
        <x:v>0.123291015625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[4096]</x:v>
      </x:c>
      <x:c r="D4" s="30" t="str">
        <x:v>BF16</x:v>
      </x:c>
      <x:c r="E4" s="32" t="n">
        <x:v>2</x:v>
      </x:c>
      <x:c r="F4" s="33" t="n">
        <x:v>1</x:v>
      </x:c>
      <x:c r="G4" s="33" t="n">
        <x:v>4096</x:v>
      </x:c>
      <x:c r="H4" s="33" t="str">
        <x:v>Replicated</x:v>
      </x:c>
      <x:c r="I4" s="33" t="n">
        <x:f>1</x:f>
        <x:v>1</x:v>
      </x:c>
      <x:c r="J4" s="34" t="n">
        <x:f>E4*F4*G4/1073741824</x:f>
        <x:v>0.00000762939453125</x:v>
      </x:c>
      <x:c r="K4" s="34" t="n">
        <x:f>J4/I4</x:f>
        <x:v>0.00000762939453125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[4096]</x:v>
      </x:c>
      <x:c r="D5" s="30" t="str">
        <x:v>BF16</x:v>
      </x:c>
      <x:c r="E5" s="32" t="n">
        <x:v>2</x:v>
      </x:c>
      <x:c r="F5" s="33" t="n">
        <x:v>43</x:v>
      </x:c>
      <x:c r="G5" s="33" t="n">
        <x:v>4096</x:v>
      </x:c>
      <x:c r="H5" s="33" t="str">
        <x:v>Replicated</x:v>
      </x:c>
      <x:c r="I5" s="33" t="n">
        <x:f>1</x:f>
        <x:v>1</x:v>
      </x:c>
      <x:c r="J5" s="34" t="n">
        <x:f>E5*F5*G5/1073741824</x:f>
        <x:v>0.00032806396484375</x:v>
      </x:c>
      <x:c r="K5" s="34" t="n">
        <x:f>J5/I5</x:f>
        <x:v>0.00032806396484375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[4096]</x:v>
      </x:c>
      <x:c r="D6" s="30" t="str">
        <x:v>BF16</x:v>
      </x:c>
      <x:c r="E6" s="32" t="n">
        <x:v>2</x:v>
      </x:c>
      <x:c r="F6" s="33" t="n">
        <x:v>43</x:v>
      </x:c>
      <x:c r="G6" s="33" t="n">
        <x:v>4096</x:v>
      </x:c>
      <x:c r="H6" s="33" t="str">
        <x:v>Replicated</x:v>
      </x:c>
      <x:c r="I6" s="33" t="n">
        <x:f>1</x:f>
        <x:v>1</x:v>
      </x:c>
      <x:c r="J6" s="34" t="n">
        <x:f>E6*F6*G6/1073741824</x:f>
        <x:v>0.00032806396484375</x:v>
      </x:c>
      <x:c r="K6" s="34" t="n">
        <x:f>J6/I6</x:f>
        <x:v>0.00032806396484375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DSA</x:v>
      </x:c>
      <x:c r="B7" s="30" t="str">
        <x:v>attn_sink</x:v>
      </x:c>
      <x:c r="C7" s="30" t="str">
        <x:v>[64]</x:v>
      </x:c>
      <x:c r="D7" s="30" t="str">
        <x:v>F32</x:v>
      </x:c>
      <x:c r="E7" s="32" t="n">
        <x:v>4</x:v>
      </x:c>
      <x:c r="F7" s="33" t="n">
        <x:v>43</x:v>
      </x:c>
      <x:c r="G7" s="33" t="n">
        <x:v>64</x:v>
      </x:c>
      <x:c r="H7" s="33" t="str">
        <x:v>DSA CP / TP</x:v>
      </x:c>
      <x:c r="I7" s="33" t="n">
        <x:f>IF('Decode'!$P$25&lt;&gt;0,1,'Decode'!$P$12)</x:f>
        <x:v>1</x:v>
      </x:c>
      <x:c r="J7" s="34" t="n">
        <x:f>E7*F7*G7/1073741824</x:f>
        <x:v>0.000010251998901367188</x:v>
      </x:c>
      <x:c r="K7" s="34" t="n">
        <x:f>J7/I7</x:f>
        <x:v>0.000010251998901367188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DSA</x:v>
      </x:c>
      <x:c r="B8" s="30" t="str">
        <x:v>wq_a.weight</x:v>
      </x:c>
      <x:c r="C8" s="30" t="str">
        <x:v>[1024, 4096]</x:v>
      </x:c>
      <x:c r="D8" s="30" t="str">
        <x:v>FP8 E4M3</x:v>
      </x:c>
      <x:c r="E8" s="32" t="n">
        <x:v>1</x:v>
      </x:c>
      <x:c r="F8" s="33" t="n">
        <x:v>43</x:v>
      </x:c>
      <x:c r="G8" s="33" t="n">
        <x:v>4194304</x:v>
      </x:c>
      <x:c r="H8" s="33" t="str">
        <x:v>Replicated</x:v>
      </x:c>
      <x:c r="I8" s="33" t="n">
        <x:f>1</x:f>
        <x:v>1</x:v>
      </x:c>
      <x:c r="J8" s="34" t="n">
        <x:f>E8*F8*G8/1073741824</x:f>
        <x:v>0.16796875</x:v>
      </x:c>
      <x:c r="K8" s="34" t="n">
        <x:f>J8/I8</x:f>
        <x:v>0.16796875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DSA</x:v>
      </x:c>
      <x:c r="B9" s="30" t="str">
        <x:v>wq_a.weight_scale</x:v>
      </x:c>
      <x:c r="C9" s="30" t="str">
        <x:v>[8, 32]</x:v>
      </x:c>
      <x:c r="D9" s="30" t="str">
        <x:v>F8_E8M0</x:v>
      </x:c>
      <x:c r="E9" s="32" t="n">
        <x:v>1</x:v>
      </x:c>
      <x:c r="F9" s="33" t="n">
        <x:v>43</x:v>
      </x:c>
      <x:c r="G9" s="33" t="n">
        <x:v>256</x:v>
      </x:c>
      <x:c r="H9" s="33" t="str">
        <x:v>Replicated</x:v>
      </x:c>
      <x:c r="I9" s="33" t="n">
        <x:f>1</x:f>
        <x:v>1</x:v>
      </x:c>
      <x:c r="J9" s="34" t="n">
        <x:f>E9*F9*G9/1073741824</x:f>
        <x:v>0.000010251998901367188</x:v>
      </x:c>
      <x:c r="K9" s="34" t="n">
        <x:f>J9/I9</x:f>
        <x:v>0.000010251998901367188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[1024]</x:v>
      </x:c>
      <x:c r="D10" s="30" t="str">
        <x:v>BF16</x:v>
      </x:c>
      <x:c r="E10" s="32" t="n">
        <x:v>2</x:v>
      </x:c>
      <x:c r="F10" s="33" t="n">
        <x:v>43</x:v>
      </x:c>
      <x:c r="G10" s="33" t="n">
        <x:v>1024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0.0000820159912109375</x:v>
      </x:c>
      <x:c r="K10" s="34" t="n">
        <x:f>J10/I10</x:f>
        <x:v>0.0000820159912109375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[32768, 1024]</x:v>
      </x:c>
      <x:c r="D11" s="30" t="str">
        <x:v>FP8 E4M3</x:v>
      </x:c>
      <x:c r="E11" s="32" t="n">
        <x:v>1</x:v>
      </x:c>
      <x:c r="F11" s="33" t="n">
        <x:v>43</x:v>
      </x:c>
      <x:c r="G11" s="33" t="n">
        <x:v>33554432</x:v>
      </x:c>
      <x:c r="H11" s="33" t="str">
        <x:v>DSA CP / TP</x:v>
      </x:c>
      <x:c r="I11" s="33" t="n">
        <x:f>IF('Decode'!$P$25&lt;&gt;0,1,'Decode'!$P$12)</x:f>
        <x:v>1</x:v>
      </x:c>
      <x:c r="J11" s="34" t="n">
        <x:f>E11*F11*G11/1073741824</x:f>
        <x:v>1.34375</x:v>
      </x:c>
      <x:c r="K11" s="34" t="n">
        <x:f>J11/I11</x:f>
        <x:v>1.34375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[256, 8]</x:v>
      </x:c>
      <x:c r="D12" s="30" t="str">
        <x:v>F8_E8M0</x:v>
      </x:c>
      <x:c r="E12" s="32" t="n">
        <x:v>1</x:v>
      </x:c>
      <x:c r="F12" s="33" t="n">
        <x:v>43</x:v>
      </x:c>
      <x:c r="G12" s="33" t="n">
        <x:v>2048</x:v>
      </x:c>
      <x:c r="H12" s="33" t="str">
        <x:v>DSA CP / TP</x:v>
      </x:c>
      <x:c r="I12" s="33" t="n">
        <x:f>IF('Decode'!$P$25&lt;&gt;0,1,'Decode'!$P$12)</x:f>
        <x:v>1</x:v>
      </x:c>
      <x:c r="J12" s="34" t="n">
        <x:f>E12*F12*G12/1073741824</x:f>
        <x:v>0.0000820159912109375</x:v>
      </x:c>
      <x:c r="K12" s="34" t="n">
        <x:f>J12/I12</x:f>
        <x:v>0.0000820159912109375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4096]</x:v>
      </x:c>
      <x:c r="D13" s="30" t="str">
        <x:v>FP8 E4M3</x:v>
      </x:c>
      <x:c r="E13" s="32" t="n">
        <x:v>1</x:v>
      </x:c>
      <x:c r="F13" s="33" t="n">
        <x:v>43</x:v>
      </x:c>
      <x:c r="G13" s="33" t="n">
        <x:v>2097152</x:v>
      </x:c>
      <x:c r="H13" s="33" t="str">
        <x:v>Replicated</x:v>
      </x:c>
      <x:c r="I13" s="33" t="n">
        <x:f>1</x:f>
        <x:v>1</x:v>
      </x:c>
      <x:c r="J13" s="34" t="n">
        <x:f>E13*F13*G13/1073741824</x:f>
        <x:v>0.083984375</x:v>
      </x:c>
      <x:c r="K13" s="34" t="n">
        <x:f>J13/I13</x:f>
        <x:v>0.083984375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32]</x:v>
      </x:c>
      <x:c r="D14" s="30" t="str">
        <x:v>F8_E8M0</x:v>
      </x:c>
      <x:c r="E14" s="32" t="n">
        <x:v>1</x:v>
      </x:c>
      <x:c r="F14" s="33" t="n">
        <x:v>43</x:v>
      </x:c>
      <x:c r="G14" s="33" t="n">
        <x:v>128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0.000005125999450683594</x:v>
      </x:c>
      <x:c r="K14" s="34" t="n">
        <x:f>J14/I14</x:f>
        <x:v>0.000005125999450683594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43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0.00004100799560546875</x:v>
      </x:c>
      <x:c r="K15" s="34" t="n">
        <x:f>J15/I15</x:f>
        <x:v>0.00004100799560546875</x:v>
      </x:c>
      <x:c r="L15" s="30"/>
      <x:c r="M15" s="30"/>
      <x:c r="N15" s="30"/>
      <x:c r="O15" s="35"/>
      <x:c r="P15" s="35"/>
    </x:row>
    <x:row r="16">
      <x:c r="A16" s="30" t="str">
        <x:v>DSA</x:v>
      </x:c>
      <x:c r="B16" s="30" t="str">
        <x:v>wo_a.weight</x:v>
      </x:c>
      <x:c r="C16" s="30" t="str">
        <x:v>[8192, 4096]</x:v>
      </x:c>
      <x:c r="D16" s="30" t="str">
        <x:v>FP8 E4M3</x:v>
      </x:c>
      <x:c r="E16" s="32" t="n">
        <x:v>1</x:v>
      </x:c>
      <x:c r="F16" s="33" t="n">
        <x:v>43</x:v>
      </x:c>
      <x:c r="G16" s="33" t="n">
        <x:v>33554432</x:v>
      </x:c>
      <x:c r="H16" s="33" t="str">
        <x:v>O Proj TP</x:v>
      </x:c>
      <x:c r="I16" s="33" t="n">
        <x:f>IF('Decode'!$P$19&gt;0,'Decode'!$P$19,'Decode'!$P$12)</x:f>
        <x:v>8</x:v>
      </x:c>
      <x:c r="J16" s="34" t="n">
        <x:f>E16*F16*G16/1073741824</x:f>
        <x:v>1.34375</x:v>
      </x:c>
      <x:c r="K16" s="34" t="n">
        <x:f>J16/I16</x:f>
        <x:v>0.16796875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[64, 32]</x:v>
      </x:c>
      <x:c r="D17" s="30" t="str">
        <x:v>F8_E8M0</x:v>
      </x:c>
      <x:c r="E17" s="32" t="n">
        <x:v>1</x:v>
      </x:c>
      <x:c r="F17" s="33" t="n">
        <x:v>43</x:v>
      </x:c>
      <x:c r="G17" s="33" t="n">
        <x:v>2048</x:v>
      </x:c>
      <x:c r="H17" s="33" t="str">
        <x:v>O Proj TP</x:v>
      </x:c>
      <x:c r="I17" s="33" t="n">
        <x:f>IF('Decode'!$P$19&gt;0,'Decode'!$P$19,'Decode'!$P$12)</x:f>
        <x:v>8</x:v>
      </x:c>
      <x:c r="J17" s="34" t="n">
        <x:f>E17*F17*G17/1073741824</x:f>
        <x:v>0.0000820159912109375</x:v>
      </x:c>
      <x:c r="K17" s="34" t="n">
        <x:f>J17/I17</x:f>
        <x:v>0.000010251998901367188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[4096, 8192]</x:v>
      </x:c>
      <x:c r="D18" s="30" t="str">
        <x:v>FP8 E4M3</x:v>
      </x:c>
      <x:c r="E18" s="32" t="n">
        <x:v>1</x:v>
      </x:c>
      <x:c r="F18" s="33" t="n">
        <x:v>43</x:v>
      </x:c>
      <x:c r="G18" s="33" t="n">
        <x:v>33554432</x:v>
      </x:c>
      <x:c r="H18" s="33" t="str">
        <x:v>O Proj TP</x:v>
      </x:c>
      <x:c r="I18" s="33" t="n">
        <x:f>IF('Decode'!$P$19&gt;0,'Decode'!$P$19,'Decode'!$P$12)</x:f>
        <x:v>8</x:v>
      </x:c>
      <x:c r="J18" s="34" t="n">
        <x:f>E18*F18*G18/1073741824</x:f>
        <x:v>1.34375</x:v>
      </x:c>
      <x:c r="K18" s="34" t="n">
        <x:f>J18/I18</x:f>
        <x:v>0.16796875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[32, 64]</x:v>
      </x:c>
      <x:c r="D19" s="30" t="str">
        <x:v>F8_E8M0</x:v>
      </x:c>
      <x:c r="E19" s="32" t="n">
        <x:v>1</x:v>
      </x:c>
      <x:c r="F19" s="33" t="n">
        <x:v>43</x:v>
      </x:c>
      <x:c r="G19" s="33" t="n">
        <x:v>2048</x:v>
      </x:c>
      <x:c r="H19" s="33" t="str">
        <x:v>O Proj TP</x:v>
      </x:c>
      <x:c r="I19" s="33" t="n">
        <x:f>IF('Decode'!$P$19&gt;0,'Decode'!$P$19,'Decode'!$P$12)</x:f>
        <x:v>8</x:v>
      </x:c>
      <x:c r="J19" s="34" t="n">
        <x:f>E19*F19*G19/1073741824</x:f>
        <x:v>0.0000820159912109375</x:v>
      </x:c>
      <x:c r="K19" s="34" t="n">
        <x:f>J19/I19</x:f>
        <x:v>0.000010251998901367188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21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0.0003204345703125</x:v>
      </x:c>
      <x:c r="K20" s="34" t="n">
        <x:f>J20/I20</x:f>
        <x:v>0.0003204345703125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21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0.00002002716064453125</x:v>
      </x:c>
      <x:c r="K21" s="34" t="n">
        <x:f>J21/I21</x:f>
        <x:v>0.00002002716064453125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4096]</x:v>
      </x:c>
      <x:c r="D22" s="30" t="str">
        <x:v>BF16</x:v>
      </x:c>
      <x:c r="E22" s="32" t="n">
        <x:v>2</x:v>
      </x:c>
      <x:c r="F22" s="33" t="n">
        <x:v>21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0.1640625</x:v>
      </x:c>
      <x:c r="K22" s="34" t="n">
        <x:f>J22/I22</x:f>
        <x:v>0.1640625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4096]</x:v>
      </x:c>
      <x:c r="D23" s="30" t="str">
        <x:v>BF16</x:v>
      </x:c>
      <x:c r="E23" s="32" t="n">
        <x:v>2</x:v>
      </x:c>
      <x:c r="F23" s="33" t="n">
        <x:v>21</x:v>
      </x:c>
      <x:c r="G23" s="33" t="n">
        <x:v>4194304</x:v>
      </x:c>
      <x:c r="H23" s="33" t="str">
        <x:v>Replicated</x:v>
      </x:c>
      <x:c r="I23" s="33" t="n">
        <x:f>1</x:f>
        <x:v>1</x:v>
      </x:c>
      <x:c r="J23" s="34" t="n">
        <x:f>E23*F23*G23/1073741824</x:f>
        <x:v>0.1640625</x:v>
      </x:c>
      <x:c r="K23" s="34" t="n">
        <x:f>J23/I23</x:f>
        <x:v>0.1640625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20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0.0048828125</x:v>
      </x:c>
      <x:c r="K24" s="34" t="n">
        <x:f>J24/I24</x:f>
        <x:v>0.0048828125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20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0.000019073486328125</x:v>
      </x:c>
      <x:c r="K25" s="34" t="n">
        <x:f>J25/I25</x:f>
        <x:v>0.000019073486328125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4096]</x:v>
      </x:c>
      <x:c r="D26" s="30" t="str">
        <x:v>BF16</x:v>
      </x:c>
      <x:c r="E26" s="32" t="n">
        <x:v>2</x:v>
      </x:c>
      <x:c r="F26" s="33" t="n">
        <x:v>20</x:v>
      </x:c>
      <x:c r="G26" s="33" t="n">
        <x:v>2097152</x:v>
      </x:c>
      <x:c r="H26" s="33" t="str">
        <x:v>Replicated</x:v>
      </x:c>
      <x:c r="I26" s="33" t="n">
        <x:f>1</x:f>
        <x:v>1</x:v>
      </x:c>
      <x:c r="J26" s="34" t="n">
        <x:f>E26*F26*G26/1073741824</x:f>
        <x:v>0.078125</x:v>
      </x:c>
      <x:c r="K26" s="34" t="n">
        <x:f>J26/I26</x:f>
        <x:v>0.078125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4096]</x:v>
      </x:c>
      <x:c r="D27" s="30" t="str">
        <x:v>BF16</x:v>
      </x:c>
      <x:c r="E27" s="32" t="n">
        <x:v>2</x:v>
      </x:c>
      <x:c r="F27" s="33" t="n">
        <x:v>20</x:v>
      </x:c>
      <x:c r="G27" s="33" t="n">
        <x:v>2097152</x:v>
      </x:c>
      <x:c r="H27" s="33" t="str">
        <x:v>Replicated</x:v>
      </x:c>
      <x:c r="I27" s="33" t="n">
        <x:f>1</x:f>
        <x:v>1</x:v>
      </x:c>
      <x:c r="J27" s="34" t="n">
        <x:f>E27*F27*G27/1073741824</x:f>
        <x:v>0.078125</x:v>
      </x:c>
      <x:c r="K27" s="34" t="n">
        <x:f>J27/I27</x:f>
        <x:v>0.078125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1024]</x:v>
      </x:c>
      <x:c r="D28" s="30" t="str">
        <x:v>FP8 E4M3</x:v>
      </x:c>
      <x:c r="E28" s="32" t="n">
        <x:v>1</x:v>
      </x:c>
      <x:c r="F28" s="33" t="n">
        <x:v>21</x:v>
      </x:c>
      <x:c r="G28" s="33" t="n">
        <x:v>8388608</x:v>
      </x:c>
      <x:c r="H28" s="33" t="str">
        <x:v>Replicated</x:v>
      </x:c>
      <x:c r="I28" s="33" t="n">
        <x:f>1</x:f>
        <x:v>1</x:v>
      </x:c>
      <x:c r="J28" s="34" t="n">
        <x:f>E28*F28*G28/1073741824</x:f>
        <x:v>0.1640625</x:v>
      </x:c>
      <x:c r="K28" s="34" t="n">
        <x:f>J28/I28</x:f>
        <x:v>0.1640625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8]</x:v>
      </x:c>
      <x:c r="D29" s="30" t="str">
        <x:v>F8_E8M0</x:v>
      </x:c>
      <x:c r="E29" s="32" t="n">
        <x:v>1</x:v>
      </x:c>
      <x:c r="F29" s="33" t="n">
        <x:v>21</x:v>
      </x:c>
      <x:c r="G29" s="33" t="n">
        <x:v>512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0.000010013580322265625</x:v>
      </x:c>
      <x:c r="K29" s="34" t="n">
        <x:f>J29/I29</x:f>
        <x:v>0.000010013580322265625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4096]</x:v>
      </x:c>
      <x:c r="D30" s="30" t="str">
        <x:v>BF16</x:v>
      </x:c>
      <x:c r="E30" s="32" t="n">
        <x:v>2</x:v>
      </x:c>
      <x:c r="F30" s="33" t="n">
        <x:v>21</x:v>
      </x:c>
      <x:c r="G30" s="33" t="n">
        <x:v>262144</x:v>
      </x:c>
      <x:c r="H30" s="33" t="str">
        <x:v>Replicated</x:v>
      </x:c>
      <x:c r="I30" s="33" t="n">
        <x:f>1</x:f>
        <x:v>1</x:v>
      </x:c>
      <x:c r="J30" s="34" t="n">
        <x:f>E30*F30*G30/1073741824</x:f>
        <x:v>0.01025390625</x:v>
      </x:c>
      <x:c r="K30" s="34" t="n">
        <x:f>J30/I30</x:f>
        <x:v>0.01025390625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21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0.000080108642578125</x:v>
      </x:c>
      <x:c r="K31" s="34" t="n">
        <x:f>J31/I31</x:f>
        <x:v>0.000080108642578125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21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0.0000050067901611328125</x:v>
      </x:c>
      <x:c r="K32" s="34" t="n">
        <x:f>J32/I32</x:f>
        <x:v>0.0000050067901611328125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4096]</x:v>
      </x:c>
      <x:c r="D33" s="30" t="str">
        <x:v>BF16</x:v>
      </x:c>
      <x:c r="E33" s="32" t="n">
        <x:v>2</x:v>
      </x:c>
      <x:c r="F33" s="33" t="n">
        <x:v>21</x:v>
      </x:c>
      <x:c r="G33" s="33" t="n">
        <x:v>1048576</x:v>
      </x:c>
      <x:c r="H33" s="33" t="str">
        <x:v>Replicated</x:v>
      </x:c>
      <x:c r="I33" s="33" t="n">
        <x:f>1</x:f>
        <x:v>1</x:v>
      </x:c>
      <x:c r="J33" s="34" t="n">
        <x:f>E33*F33*G33/1073741824</x:f>
        <x:v>0.041015625</x:v>
      </x:c>
      <x:c r="K33" s="34" t="n">
        <x:f>J33/I33</x:f>
        <x:v>0.041015625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4096]</x:v>
      </x:c>
      <x:c r="D34" s="30" t="str">
        <x:v>BF16</x:v>
      </x:c>
      <x:c r="E34" s="32" t="n">
        <x:v>2</x:v>
      </x:c>
      <x:c r="F34" s="33" t="n">
        <x:v>21</x:v>
      </x:c>
      <x:c r="G34" s="33" t="n">
        <x:v>1048576</x:v>
      </x:c>
      <x:c r="H34" s="33" t="str">
        <x:v>Replicated</x:v>
      </x:c>
      <x:c r="I34" s="33" t="n">
        <x:f>1</x:f>
        <x:v>1</x:v>
      </x:c>
      <x:c r="J34" s="34" t="n">
        <x:f>E34*F34*G34/1073741824</x:f>
        <x:v>0.041015625</x:v>
      </x:c>
      <x:c r="K34" s="34" t="n">
        <x:f>J34/I34</x:f>
        <x:v>0.041015625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[256, 4096]</x:v>
      </x:c>
      <x:c r="D35" s="30" t="str">
        <x:v>BF16</x:v>
      </x:c>
      <x:c r="E35" s="32" t="n">
        <x:v>2</x:v>
      </x:c>
      <x:c r="F35" s="33" t="n">
        <x:v>43</x:v>
      </x:c>
      <x:c r="G35" s="33" t="n">
        <x:v>1048576</x:v>
      </x:c>
      <x:c r="H35" s="33" t="str">
        <x:v>Replicated</x:v>
      </x:c>
      <x:c r="I35" s="33" t="n">
        <x:f>1</x:f>
        <x:v>1</x:v>
      </x:c>
      <x:c r="J35" s="34" t="n">
        <x:f>E35*F35*G35/1073741824</x:f>
        <x:v>0.083984375</x:v>
      </x:c>
      <x:c r="K35" s="34" t="n">
        <x:f>J35/I35</x:f>
        <x:v>0.083984375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[256]</x:v>
      </x:c>
      <x:c r="D36" s="30" t="str">
        <x:v>F32</x:v>
      </x:c>
      <x:c r="E36" s="32" t="n">
        <x:v>4</x:v>
      </x:c>
      <x:c r="F36" s="33" t="n">
        <x:v>40</x:v>
      </x:c>
      <x:c r="G36" s="33" t="n">
        <x:v>256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0.00003814697265625</x:v>
      </x:c>
      <x:c r="K36" s="34" t="n">
        <x:f>J36/I36</x:f>
        <x:v>0.00003814697265625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[2048, 4096]</x:v>
      </x:c>
      <x:c r="D38" s="30" t="str">
        <x:v>FP4</x:v>
      </x:c>
      <x:c r="E38" s="32" t="n">
        <x:v>0.5</x:v>
      </x:c>
      <x:c r="F38" s="33" t="n">
        <x:v>11008</x:v>
      </x:c>
      <x:c r="G38" s="33" t="n">
        <x:v>8388608</x:v>
      </x:c>
      <x:c r="H38" s="33" t="str">
        <x:v>EP</x:v>
      </x:c>
      <x:c r="I38" s="33" t="n">
        <x:f>'Decode'!$P$14</x:f>
        <x:v>8</x:v>
      </x:c>
      <x:c r="J38" s="34" t="n">
        <x:f>E38*F38*G38/1073741824</x:f>
        <x:v>43</x:v>
      </x:c>
      <x:c r="K38" s="34" t="n">
        <x:f>J38/I38</x:f>
        <x:v>5.375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[2048, 128]</x:v>
      </x:c>
      <x:c r="D39" s="30" t="str">
        <x:v>E8M0</x:v>
      </x:c>
      <x:c r="E39" s="32" t="n">
        <x:v>1</x:v>
      </x:c>
      <x:c r="F39" s="33" t="n">
        <x:v>11008</x:v>
      </x:c>
      <x:c r="G39" s="33" t="n">
        <x:v>262144</x:v>
      </x:c>
      <x:c r="H39" s="33" t="str">
        <x:v>EP</x:v>
      </x:c>
      <x:c r="I39" s="33" t="n">
        <x:f>'Decode'!$P$14</x:f>
        <x:v>8</x:v>
      </x:c>
      <x:c r="J39" s="34" t="n">
        <x:f>E39*F39*G39/1073741824</x:f>
        <x:v>2.6875</x:v>
      </x:c>
      <x:c r="K39" s="34" t="n">
        <x:f>J39/I39</x:f>
        <x:v>0.3359375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[2048, 4096]</x:v>
      </x:c>
      <x:c r="D40" s="30" t="str">
        <x:v>FP4</x:v>
      </x:c>
      <x:c r="E40" s="32" t="n">
        <x:v>0.5</x:v>
      </x:c>
      <x:c r="F40" s="33" t="n">
        <x:v>11008</x:v>
      </x:c>
      <x:c r="G40" s="33" t="n">
        <x:v>8388608</x:v>
      </x:c>
      <x:c r="H40" s="33" t="str">
        <x:v>EP</x:v>
      </x:c>
      <x:c r="I40" s="33" t="n">
        <x:f>'Decode'!$P$14</x:f>
        <x:v>8</x:v>
      </x:c>
      <x:c r="J40" s="34" t="n">
        <x:f>E40*F40*G40/1073741824</x:f>
        <x:v>43</x:v>
      </x:c>
      <x:c r="K40" s="34" t="n">
        <x:f>J40/I40</x:f>
        <x:v>5.375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[2048, 128]</x:v>
      </x:c>
      <x:c r="D41" s="30" t="str">
        <x:v>E8M0</x:v>
      </x:c>
      <x:c r="E41" s="32" t="n">
        <x:v>1</x:v>
      </x:c>
      <x:c r="F41" s="33" t="n">
        <x:v>11008</x:v>
      </x:c>
      <x:c r="G41" s="33" t="n">
        <x:v>262144</x:v>
      </x:c>
      <x:c r="H41" s="33" t="str">
        <x:v>EP</x:v>
      </x:c>
      <x:c r="I41" s="33" t="n">
        <x:f>'Decode'!$P$14</x:f>
        <x:v>8</x:v>
      </x:c>
      <x:c r="J41" s="34" t="n">
        <x:f>E41*F41*G41/1073741824</x:f>
        <x:v>2.6875</x:v>
      </x:c>
      <x:c r="K41" s="34" t="n">
        <x:f>J41/I41</x:f>
        <x:v>0.3359375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[4096, 2048]</x:v>
      </x:c>
      <x:c r="D42" s="30" t="str">
        <x:v>FP4</x:v>
      </x:c>
      <x:c r="E42" s="32" t="n">
        <x:v>0.5</x:v>
      </x:c>
      <x:c r="F42" s="33" t="n">
        <x:v>11008</x:v>
      </x:c>
      <x:c r="G42" s="33" t="n">
        <x:v>8388608</x:v>
      </x:c>
      <x:c r="H42" s="33" t="str">
        <x:v>EP</x:v>
      </x:c>
      <x:c r="I42" s="33" t="n">
        <x:f>'Decode'!$P$14</x:f>
        <x:v>8</x:v>
      </x:c>
      <x:c r="J42" s="34" t="n">
        <x:f>E42*F42*G42/1073741824</x:f>
        <x:v>43</x:v>
      </x:c>
      <x:c r="K42" s="34" t="n">
        <x:f>J42/I42</x:f>
        <x:v>5.375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[4096, 64]</x:v>
      </x:c>
      <x:c r="D43" s="30" t="str">
        <x:v>E8M0</x:v>
      </x:c>
      <x:c r="E43" s="32" t="n">
        <x:v>1</x:v>
      </x:c>
      <x:c r="F43" s="33" t="n">
        <x:v>11008</x:v>
      </x:c>
      <x:c r="G43" s="33" t="n">
        <x:v>262144</x:v>
      </x:c>
      <x:c r="H43" s="33" t="str">
        <x:v>EP</x:v>
      </x:c>
      <x:c r="I43" s="33" t="n">
        <x:f>'Decode'!$P$14</x:f>
        <x:v>8</x:v>
      </x:c>
      <x:c r="J43" s="34" t="n">
        <x:f>E43*F43*G43/1073741824</x:f>
        <x:v>2.6875</x:v>
      </x:c>
      <x:c r="K43" s="34" t="n">
        <x:f>J43/I43</x:f>
        <x:v>0.3359375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[2048, 4096]</x:v>
      </x:c>
      <x:c r="D44" s="30" t="str">
        <x:v>FP8 E4M3</x:v>
      </x:c>
      <x:c r="E44" s="32" t="n">
        <x:v>1</x:v>
      </x:c>
      <x:c r="F44" s="33" t="n">
        <x:v>43</x:v>
      </x:c>
      <x:c r="G44" s="33" t="n">
        <x:v>8388608</x:v>
      </x:c>
      <x:c r="H44" s="33" t="str">
        <x:v>共享专家 TP/DP</x:v>
      </x:c>
      <x:c r="I44" s="33" t="n">
        <x:f>IF('Decode'!$P$17="TP",'Decode'!$P$18,1)</x:f>
        <x:v>8</x:v>
      </x:c>
      <x:c r="J44" s="34" t="n">
        <x:f>E44*F44*G44/1073741824</x:f>
        <x:v>0.3359375</x:v>
      </x:c>
      <x:c r="K44" s="34" t="n">
        <x:f>J44/I44</x:f>
        <x:v>0.0419921875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[16, 32]</x:v>
      </x:c>
      <x:c r="D45" s="30" t="str">
        <x:v>F8_E8M0</x:v>
      </x:c>
      <x:c r="E45" s="32" t="n">
        <x:v>1</x:v>
      </x:c>
      <x:c r="F45" s="33" t="n">
        <x:v>43</x:v>
      </x:c>
      <x:c r="G45" s="33" t="n">
        <x:v>512</x:v>
      </x:c>
      <x:c r="H45" s="33" t="str">
        <x:v>共享专家 TP/DP</x:v>
      </x:c>
      <x:c r="I45" s="33" t="n">
        <x:f>IF('Decode'!$P$17="TP",'Decode'!$P$18,1)</x:f>
        <x:v>8</x:v>
      </x:c>
      <x:c r="J45" s="34" t="n">
        <x:f>E45*F45*G45/1073741824</x:f>
        <x:v>0.000020503997802734375</x:v>
      </x:c>
      <x:c r="K45" s="34" t="n">
        <x:f>J45/I45</x:f>
        <x:v>0.000002562999725341797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[2048, 4096]</x:v>
      </x:c>
      <x:c r="D46" s="30" t="str">
        <x:v>FP8 E4M3</x:v>
      </x:c>
      <x:c r="E46" s="32" t="n">
        <x:v>1</x:v>
      </x:c>
      <x:c r="F46" s="33" t="n">
        <x:v>43</x:v>
      </x:c>
      <x:c r="G46" s="33" t="n">
        <x:v>8388608</x:v>
      </x:c>
      <x:c r="H46" s="33" t="str">
        <x:v>共享专家 TP/DP</x:v>
      </x:c>
      <x:c r="I46" s="33" t="n">
        <x:f>IF('Decode'!$P$17="TP",'Decode'!$P$18,1)</x:f>
        <x:v>8</x:v>
      </x:c>
      <x:c r="J46" s="34" t="n">
        <x:f>E46*F46*G46/1073741824</x:f>
        <x:v>0.3359375</x:v>
      </x:c>
      <x:c r="K46" s="34" t="n">
        <x:f>J46/I46</x:f>
        <x:v>0.0419921875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[16, 32]</x:v>
      </x:c>
      <x:c r="D47" s="30" t="str">
        <x:v>F8_E8M0</x:v>
      </x:c>
      <x:c r="E47" s="32" t="n">
        <x:v>1</x:v>
      </x:c>
      <x:c r="F47" s="33" t="n">
        <x:v>43</x:v>
      </x:c>
      <x:c r="G47" s="33" t="n">
        <x:v>512</x:v>
      </x:c>
      <x:c r="H47" s="33" t="str">
        <x:v>共享专家 TP/DP</x:v>
      </x:c>
      <x:c r="I47" s="33" t="n">
        <x:f>IF('Decode'!$P$17="TP",'Decode'!$P$18,1)</x:f>
        <x:v>8</x:v>
      </x:c>
      <x:c r="J47" s="34" t="n">
        <x:f>E47*F47*G47/1073741824</x:f>
        <x:v>0.000020503997802734375</x:v>
      </x:c>
      <x:c r="K47" s="34" t="n">
        <x:f>J47/I47</x:f>
        <x:v>0.000002562999725341797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[4096, 2048]</x:v>
      </x:c>
      <x:c r="D48" s="30" t="str">
        <x:v>FP8 E4M3</x:v>
      </x:c>
      <x:c r="E48" s="32" t="n">
        <x:v>1</x:v>
      </x:c>
      <x:c r="F48" s="33" t="n">
        <x:v>43</x:v>
      </x:c>
      <x:c r="G48" s="33" t="n">
        <x:v>8388608</x:v>
      </x:c>
      <x:c r="H48" s="33" t="str">
        <x:v>共享专家 TP/DP</x:v>
      </x:c>
      <x:c r="I48" s="33" t="n">
        <x:f>IF('Decode'!$P$17="TP",'Decode'!$P$18,1)</x:f>
        <x:v>8</x:v>
      </x:c>
      <x:c r="J48" s="34" t="n">
        <x:f>E48*F48*G48/1073741824</x:f>
        <x:v>0.3359375</x:v>
      </x:c>
      <x:c r="K48" s="34" t="n">
        <x:f>J48/I48</x:f>
        <x:v>0.0419921875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[32, 16]</x:v>
      </x:c>
      <x:c r="D49" s="30" t="str">
        <x:v>F8_E8M0</x:v>
      </x:c>
      <x:c r="E49" s="32" t="n">
        <x:v>1</x:v>
      </x:c>
      <x:c r="F49" s="33" t="n">
        <x:v>43</x:v>
      </x:c>
      <x:c r="G49" s="33" t="n">
        <x:v>512</x:v>
      </x:c>
      <x:c r="H49" s="33" t="str">
        <x:v>共享专家 TP/DP</x:v>
      </x:c>
      <x:c r="I49" s="33" t="n">
        <x:f>IF('Decode'!$P$17="TP",'Decode'!$P$18,1)</x:f>
        <x:v>8</x:v>
      </x:c>
      <x:c r="J49" s="34" t="n">
        <x:f>E49*F49*G49/1073741824</x:f>
        <x:v>0.000020503997802734375</x:v>
      </x:c>
      <x:c r="K49" s="34" t="n">
        <x:f>J49/I49</x:f>
        <x:v>0.000002562999725341797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16384]</x:v>
      </x:c>
      <x:c r="D50" s="30" t="str">
        <x:v>F32</x:v>
      </x:c>
      <x:c r="E50" s="32" t="n">
        <x:v>4</x:v>
      </x:c>
      <x:c r="F50" s="33" t="n">
        <x:v>43</x:v>
      </x:c>
      <x:c r="G50" s="33" t="n">
        <x:v>393216</x:v>
      </x:c>
      <x:c r="H50" s="33" t="str">
        <x:v>Replicated</x:v>
      </x:c>
      <x:c r="I50" s="33" t="n">
        <x:f>1</x:f>
        <x:v>1</x:v>
      </x:c>
      <x:c r="J50" s="34" t="n">
        <x:f>E50*F50*G50/1073741824</x:f>
        <x:v>0.06298828125</x:v>
      </x:c>
      <x:c r="K50" s="34" t="n">
        <x:f>J50/I50</x:f>
        <x:v>0.06298828125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16384]</x:v>
      </x:c>
      <x:c r="D51" s="30" t="str">
        <x:v>F32</x:v>
      </x:c>
      <x:c r="E51" s="32" t="n">
        <x:v>4</x:v>
      </x:c>
      <x:c r="F51" s="33" t="n">
        <x:v>43</x:v>
      </x:c>
      <x:c r="G51" s="33" t="n">
        <x:v>393216</x:v>
      </x:c>
      <x:c r="H51" s="33" t="str">
        <x:v>Replicated</x:v>
      </x:c>
      <x:c r="I51" s="33" t="n">
        <x:f>1</x:f>
        <x:v>1</x:v>
      </x:c>
      <x:c r="J51" s="34" t="n">
        <x:f>E51*F51*G51/1073741824</x:f>
        <x:v>0.06298828125</x:v>
      </x:c>
      <x:c r="K51" s="34" t="n">
        <x:f>J51/I51</x:f>
        <x:v>0.06298828125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43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0.000003844499588012695</x:v>
      </x:c>
      <x:c r="K52" s="34" t="n">
        <x:f>J52/I52</x:f>
        <x:v>0.000003844499588012695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43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0.000003844499588012695</x:v>
      </x:c>
      <x:c r="K53" s="34" t="n">
        <x:f>J53/I53</x:f>
        <x:v>0.000003844499588012695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43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4.805624485015869e-7</x:v>
      </x:c>
      <x:c r="K54" s="34" t="n">
        <x:f>J54/I54</x:f>
        <x:v>4.805624485015869e-7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43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4.805624485015869e-7</x:v>
      </x:c>
      <x:c r="K55" s="34" t="n">
        <x:f>J55/I55</x:f>
        <x:v>4.805624485015869e-7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[4096]</x:v>
      </x:c>
      <x:c r="D56" s="30" t="str">
        <x:v>BF16</x:v>
      </x:c>
      <x:c r="E56" s="32" t="n">
        <x:v>2</x:v>
      </x:c>
      <x:c r="F56" s="33" t="n">
        <x:v>3</x:v>
      </x:c>
      <x:c r="G56" s="33" t="n">
        <x:v>4096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0.00002288818359375</x:v>
      </x:c>
      <x:c r="K56" s="34" t="n">
        <x:f>J56/I56</x:f>
        <x:v>0.00002288818359375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[4096]</x:v>
      </x:c>
      <x:c r="D57" s="30" t="str">
        <x:v>BF16</x:v>
      </x:c>
      <x:c r="E57" s="32" t="n">
        <x:v>2</x:v>
      </x:c>
      <x:c r="F57" s="33" t="n">
        <x:v>3</x:v>
      </x:c>
      <x:c r="G57" s="33" t="n">
        <x:v>4096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0.00002288818359375</x:v>
      </x:c>
      <x:c r="K57" s="34" t="n">
        <x:f>J57/I57</x:f>
        <x:v>0.00002288818359375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[64]</x:v>
      </x:c>
      <x:c r="D58" s="30" t="str">
        <x:v>F32</x:v>
      </x:c>
      <x:c r="E58" s="32" t="n">
        <x:v>4</x:v>
      </x:c>
      <x:c r="F58" s="33" t="n">
        <x:v>3</x:v>
      </x:c>
      <x:c r="G58" s="33" t="n">
        <x:v>64</x:v>
      </x:c>
      <x:c r="H58" s="33" t="str">
        <x:v>DSA CP / TP</x:v>
      </x:c>
      <x:c r="I58" s="33" t="n">
        <x:f>IF('Decode'!$P$25&lt;&gt;0,1,'Decode'!$P$12)</x:f>
        <x:v>1</x:v>
      </x:c>
      <x:c r="J58" s="34" t="n">
        <x:f>E58*F58*G58/1073741824</x:f>
        <x:v>7.152557373046875e-7</x:v>
      </x:c>
      <x:c r="K58" s="34" t="n">
        <x:f>J58/I58</x:f>
        <x:v>7.152557373046875e-7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[1024, 4096]</x:v>
      </x:c>
      <x:c r="D59" s="30" t="str">
        <x:v>FP8 E4M3</x:v>
      </x:c>
      <x:c r="E59" s="32" t="n">
        <x:v>1</x:v>
      </x:c>
      <x:c r="F59" s="33" t="n">
        <x:v>3</x:v>
      </x:c>
      <x:c r="G59" s="33" t="n">
        <x:v>4194304</x:v>
      </x:c>
      <x:c r="H59" s="33" t="str">
        <x:v>Replicated</x:v>
      </x:c>
      <x:c r="I59" s="33" t="n">
        <x:f>1</x:f>
        <x:v>1</x:v>
      </x:c>
      <x:c r="J59" s="34" t="n">
        <x:f>E59*F59*G59/1073741824</x:f>
        <x:v>0.01171875</x:v>
      </x:c>
      <x:c r="K59" s="34" t="n">
        <x:f>J59/I59</x:f>
        <x:v>0.01171875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[8, 32]</x:v>
      </x:c>
      <x:c r="D60" s="30" t="str">
        <x:v>F8_E8M0</x:v>
      </x:c>
      <x:c r="E60" s="32" t="n">
        <x:v>1</x:v>
      </x:c>
      <x:c r="F60" s="33" t="n">
        <x:v>3</x:v>
      </x:c>
      <x:c r="G60" s="33" t="n">
        <x:v>256</x:v>
      </x:c>
      <x:c r="H60" s="33" t="str">
        <x:v>Replicated</x:v>
      </x:c>
      <x:c r="I60" s="33" t="n">
        <x:f>1</x:f>
        <x:v>1</x:v>
      </x:c>
      <x:c r="J60" s="34" t="n">
        <x:f>E60*F60*G60/1073741824</x:f>
        <x:v>7.152557373046875e-7</x:v>
      </x:c>
      <x:c r="K60" s="34" t="n">
        <x:f>J60/I60</x:f>
        <x:v>7.152557373046875e-7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[1024]</x:v>
      </x:c>
      <x:c r="D61" s="30" t="str">
        <x:v>BF16</x:v>
      </x:c>
      <x:c r="E61" s="32" t="n">
        <x:v>2</x:v>
      </x:c>
      <x:c r="F61" s="33" t="n">
        <x:v>3</x:v>
      </x:c>
      <x:c r="G61" s="33" t="n">
        <x:v>1024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0.0000057220458984375</x:v>
      </x:c>
      <x:c r="K61" s="34" t="n">
        <x:f>J61/I61</x:f>
        <x:v>0.0000057220458984375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[32768, 1024]</x:v>
      </x:c>
      <x:c r="D62" s="30" t="str">
        <x:v>FP8 E4M3</x:v>
      </x:c>
      <x:c r="E62" s="32" t="n">
        <x:v>1</x:v>
      </x:c>
      <x:c r="F62" s="33" t="n">
        <x:v>3</x:v>
      </x:c>
      <x:c r="G62" s="33" t="n">
        <x:v>33554432</x:v>
      </x:c>
      <x:c r="H62" s="33" t="str">
        <x:v>DSA CP / TP</x:v>
      </x:c>
      <x:c r="I62" s="33" t="n">
        <x:f>IF('Decode'!$P$25&lt;&gt;0,1,'Decode'!$P$12)</x:f>
        <x:v>1</x:v>
      </x:c>
      <x:c r="J62" s="34" t="n">
        <x:f>E62*F62*G62/1073741824</x:f>
        <x:v>0.09375</x:v>
      </x:c>
      <x:c r="K62" s="34" t="n">
        <x:f>J62/I62</x:f>
        <x:v>0.09375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[256, 8]</x:v>
      </x:c>
      <x:c r="D63" s="30" t="str">
        <x:v>F8_E8M0</x:v>
      </x:c>
      <x:c r="E63" s="32" t="n">
        <x:v>1</x:v>
      </x:c>
      <x:c r="F63" s="33" t="n">
        <x:v>3</x:v>
      </x:c>
      <x:c r="G63" s="33" t="n">
        <x:v>2048</x:v>
      </x:c>
      <x:c r="H63" s="33" t="str">
        <x:v>DSA CP / TP</x:v>
      </x:c>
      <x:c r="I63" s="33" t="n">
        <x:f>IF('Decode'!$P$25&lt;&gt;0,1,'Decode'!$P$12)</x:f>
        <x:v>1</x:v>
      </x:c>
      <x:c r="J63" s="34" t="n">
        <x:f>E63*F63*G63/1073741824</x:f>
        <x:v>0.0000057220458984375</x:v>
      </x:c>
      <x:c r="K63" s="34" t="n">
        <x:f>J63/I63</x:f>
        <x:v>0.0000057220458984375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4096]</x:v>
      </x:c>
      <x:c r="D64" s="30" t="str">
        <x:v>FP8 E4M3</x:v>
      </x:c>
      <x:c r="E64" s="32" t="n">
        <x:v>1</x:v>
      </x:c>
      <x:c r="F64" s="33" t="n">
        <x:v>3</x:v>
      </x:c>
      <x:c r="G64" s="33" t="n">
        <x:v>2097152</x:v>
      </x:c>
      <x:c r="H64" s="33" t="str">
        <x:v>Replicated</x:v>
      </x:c>
      <x:c r="I64" s="33" t="n">
        <x:f>1</x:f>
        <x:v>1</x:v>
      </x:c>
      <x:c r="J64" s="34" t="n">
        <x:f>E64*F64*G64/1073741824</x:f>
        <x:v>0.005859375</x:v>
      </x:c>
      <x:c r="K64" s="34" t="n">
        <x:f>J64/I64</x:f>
        <x:v>0.005859375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32]</x:v>
      </x:c>
      <x:c r="D65" s="30" t="str">
        <x:v>F8_E8M0</x:v>
      </x:c>
      <x:c r="E65" s="32" t="n">
        <x:v>1</x:v>
      </x:c>
      <x:c r="F65" s="33" t="n">
        <x:v>3</x:v>
      </x:c>
      <x:c r="G65" s="33" t="n">
        <x:v>128</x:v>
      </x:c>
      <x:c r="H65" s="33" t="str">
        <x:v>Replicated</x:v>
      </x:c>
      <x:c r="I65" s="33" t="n">
        <x:f>1</x:f>
        <x:v>1</x:v>
      </x:c>
      <x:c r="J65" s="34" t="n">
        <x:f>E65*F65*G65/1073741824</x:f>
        <x:v>3.5762786865234375e-7</x:v>
      </x:c>
      <x:c r="K65" s="34" t="n">
        <x:f>J65/I65</x:f>
        <x:v>3.5762786865234375e-7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[8192,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33554432</x:v>
      </x:c>
      <x:c r="H67" s="33" t="str">
        <x:v>O Proj TP</x:v>
      </x:c>
      <x:c r="I67" s="33" t="n">
        <x:f>IF('Decode'!$P$19&gt;0,'Decode'!$P$19,'Decode'!$P$12)</x:f>
        <x:v>8</x:v>
      </x:c>
      <x:c r="J67" s="34" t="n">
        <x:f>E67*F67*G67/1073741824</x:f>
        <x:v>0.09375</x:v>
      </x:c>
      <x:c r="K67" s="34" t="n">
        <x:f>J67/I67</x:f>
        <x:v>0.01171875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[64,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2048</x:v>
      </x:c>
      <x:c r="H68" s="33" t="str">
        <x:v>O Proj TP</x:v>
      </x:c>
      <x:c r="I68" s="33" t="n">
        <x:f>IF('Decode'!$P$19&gt;0,'Decode'!$P$19,'Decode'!$P$12)</x:f>
        <x:v>8</x:v>
      </x:c>
      <x:c r="J68" s="34" t="n">
        <x:f>E68*F68*G68/1073741824</x:f>
        <x:v>0.0000057220458984375</x:v>
      </x:c>
      <x:c r="K68" s="34" t="n">
        <x:f>J68/I68</x:f>
        <x:v>7.152557373046875e-7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[4096, 8192]</x:v>
      </x:c>
      <x:c r="D69" s="30" t="str">
        <x:v>FP8 E4M3</x:v>
      </x:c>
      <x:c r="E69" s="32" t="n">
        <x:v>1</x:v>
      </x:c>
      <x:c r="F69" s="33" t="n">
        <x:v>3</x:v>
      </x:c>
      <x:c r="G69" s="33" t="n">
        <x:v>33554432</x:v>
      </x:c>
      <x:c r="H69" s="33" t="str">
        <x:v>O Proj TP</x:v>
      </x:c>
      <x:c r="I69" s="33" t="n">
        <x:f>IF('Decode'!$P$19&gt;0,'Decode'!$P$19,'Decode'!$P$12)</x:f>
        <x:v>8</x:v>
      </x:c>
      <x:c r="J69" s="34" t="n">
        <x:f>E69*F69*G69/1073741824</x:f>
        <x:v>0.09375</x:v>
      </x:c>
      <x:c r="K69" s="34" t="n">
        <x:f>J69/I69</x:f>
        <x:v>0.01171875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[32, 64]</x:v>
      </x:c>
      <x:c r="D70" s="30" t="str">
        <x:v>F8_E8M0</x:v>
      </x:c>
      <x:c r="E70" s="32" t="n">
        <x:v>1</x:v>
      </x:c>
      <x:c r="F70" s="33" t="n">
        <x:v>3</x:v>
      </x:c>
      <x:c r="G70" s="33" t="n">
        <x:v>2048</x:v>
      </x:c>
      <x:c r="H70" s="33" t="str">
        <x:v>O Proj TP</x:v>
      </x:c>
      <x:c r="I70" s="33" t="n">
        <x:f>IF('Decode'!$P$19&gt;0,'Decode'!$P$19,'Decode'!$P$12)</x:f>
        <x:v>8</x:v>
      </x:c>
      <x:c r="J70" s="34" t="n">
        <x:f>E70*F70*G70/1073741824</x:f>
        <x:v>0.0000057220458984375</x:v>
      </x:c>
      <x:c r="K70" s="34" t="n">
        <x:f>J70/I70</x:f>
        <x:v>7.152557373046875e-7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[256, 4096]</x:v>
      </x:c>
      <x:c r="D71" s="30" t="str">
        <x:v>BF16</x:v>
      </x:c>
      <x:c r="E71" s="32" t="n">
        <x:v>2</x:v>
      </x:c>
      <x:c r="F71" s="33" t="n">
        <x:v>3</x:v>
      </x:c>
      <x:c r="G71" s="33" t="n">
        <x:v>1048576</x:v>
      </x:c>
      <x:c r="H71" s="33" t="str">
        <x:v>Replicated</x:v>
      </x:c>
      <x:c r="I71" s="33" t="n">
        <x:f>1</x:f>
        <x:v>1</x:v>
      </x:c>
      <x:c r="J71" s="34" t="n">
        <x:f>E71*F71*G71/1073741824</x:f>
        <x:v>0.005859375</x:v>
      </x:c>
      <x:c r="K71" s="34" t="n">
        <x:f>J71/I71</x:f>
        <x:v>0.005859375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[256]</x:v>
      </x:c>
      <x:c r="D72" s="30" t="str">
        <x:v>F32</x:v>
      </x:c>
      <x:c r="E72" s="32" t="n">
        <x:v>4</x:v>
      </x:c>
      <x:c r="F72" s="33" t="n">
        <x:v>3</x:v>
      </x:c>
      <x:c r="G72" s="33" t="n">
        <x:v>256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0.00000286102294921875</x:v>
      </x:c>
      <x:c r="K72" s="34" t="n">
        <x:f>J72/I72</x:f>
        <x:v>0.00000286102294921875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[2048, 4096]</x:v>
      </x:c>
      <x:c r="D73" s="30" t="str">
        <x:v>FP4</x:v>
      </x:c>
      <x:c r="E73" s="32" t="n">
        <x:v>0.5</x:v>
      </x:c>
      <x:c r="F73" s="33" t="n">
        <x:v>768</x:v>
      </x:c>
      <x:c r="G73" s="33" t="n">
        <x:v>8388608</x:v>
      </x:c>
      <x:c r="H73" s="33" t="str">
        <x:v>EP</x:v>
      </x:c>
      <x:c r="I73" s="33" t="n">
        <x:f>'Decode'!$P$14</x:f>
        <x:v>8</x:v>
      </x:c>
      <x:c r="J73" s="34" t="n">
        <x:f>E73*F73*G73/1073741824</x:f>
        <x:v>3</x:v>
      </x:c>
      <x:c r="K73" s="34" t="n">
        <x:f>J73/I73</x:f>
        <x:v>0.375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[2048, 128]</x:v>
      </x:c>
      <x:c r="D74" s="30" t="str">
        <x:v>E8M0</x:v>
      </x:c>
      <x:c r="E74" s="32" t="n">
        <x:v>1</x:v>
      </x:c>
      <x:c r="F74" s="33" t="n">
        <x:v>768</x:v>
      </x:c>
      <x:c r="G74" s="33" t="n">
        <x:v>262144</x:v>
      </x:c>
      <x:c r="H74" s="33" t="str">
        <x:v>EP</x:v>
      </x:c>
      <x:c r="I74" s="33" t="n">
        <x:f>'Decode'!$P$14</x:f>
        <x:v>8</x:v>
      </x:c>
      <x:c r="J74" s="34" t="n">
        <x:f>E74*F74*G74/1073741824</x:f>
        <x:v>0.1875</x:v>
      </x:c>
      <x:c r="K74" s="34" t="n">
        <x:f>J74/I74</x:f>
        <x:v>0.0234375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[2048, 4096]</x:v>
      </x:c>
      <x:c r="D75" s="30" t="str">
        <x:v>FP4</x:v>
      </x:c>
      <x:c r="E75" s="32" t="n">
        <x:v>0.5</x:v>
      </x:c>
      <x:c r="F75" s="33" t="n">
        <x:v>768</x:v>
      </x:c>
      <x:c r="G75" s="33" t="n">
        <x:v>8388608</x:v>
      </x:c>
      <x:c r="H75" s="33" t="str">
        <x:v>EP</x:v>
      </x:c>
      <x:c r="I75" s="33" t="n">
        <x:f>'Decode'!$P$14</x:f>
        <x:v>8</x:v>
      </x:c>
      <x:c r="J75" s="34" t="n">
        <x:f>E75*F75*G75/1073741824</x:f>
        <x:v>3</x:v>
      </x:c>
      <x:c r="K75" s="34" t="n">
        <x:f>J75/I75</x:f>
        <x:v>0.375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[2048, 128]</x:v>
      </x:c>
      <x:c r="D76" s="30" t="str">
        <x:v>E8M0</x:v>
      </x:c>
      <x:c r="E76" s="32" t="n">
        <x:v>1</x:v>
      </x:c>
      <x:c r="F76" s="33" t="n">
        <x:v>768</x:v>
      </x:c>
      <x:c r="G76" s="33" t="n">
        <x:v>262144</x:v>
      </x:c>
      <x:c r="H76" s="33" t="str">
        <x:v>EP</x:v>
      </x:c>
      <x:c r="I76" s="33" t="n">
        <x:f>'Decode'!$P$14</x:f>
        <x:v>8</x:v>
      </x:c>
      <x:c r="J76" s="34" t="n">
        <x:f>E76*F76*G76/1073741824</x:f>
        <x:v>0.1875</x:v>
      </x:c>
      <x:c r="K76" s="34" t="n">
        <x:f>J76/I76</x:f>
        <x:v>0.0234375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[4096, 2048]</x:v>
      </x:c>
      <x:c r="D77" s="30" t="str">
        <x:v>FP4</x:v>
      </x:c>
      <x:c r="E77" s="32" t="n">
        <x:v>0.5</x:v>
      </x:c>
      <x:c r="F77" s="33" t="n">
        <x:v>768</x:v>
      </x:c>
      <x:c r="G77" s="33" t="n">
        <x:v>8388608</x:v>
      </x:c>
      <x:c r="H77" s="33" t="str">
        <x:v>EP</x:v>
      </x:c>
      <x:c r="I77" s="33" t="n">
        <x:f>'Decode'!$P$14</x:f>
        <x:v>8</x:v>
      </x:c>
      <x:c r="J77" s="34" t="n">
        <x:f>E77*F77*G77/1073741824</x:f>
        <x:v>3</x:v>
      </x:c>
      <x:c r="K77" s="34" t="n">
        <x:f>J77/I77</x:f>
        <x:v>0.375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[4096, 64]</x:v>
      </x:c>
      <x:c r="D78" s="30" t="str">
        <x:v>E8M0</x:v>
      </x:c>
      <x:c r="E78" s="32" t="n">
        <x:v>1</x:v>
      </x:c>
      <x:c r="F78" s="33" t="n">
        <x:v>768</x:v>
      </x:c>
      <x:c r="G78" s="33" t="n">
        <x:v>262144</x:v>
      </x:c>
      <x:c r="H78" s="33" t="str">
        <x:v>EP</x:v>
      </x:c>
      <x:c r="I78" s="33" t="n">
        <x:f>'Decode'!$P$14</x:f>
        <x:v>8</x:v>
      </x:c>
      <x:c r="J78" s="34" t="n">
        <x:f>E78*F78*G78/1073741824</x:f>
        <x:v>0.1875</x:v>
      </x:c>
      <x:c r="K78" s="34" t="n">
        <x:f>J78/I78</x:f>
        <x:v>0.0234375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[2048, 4096]</x:v>
      </x:c>
      <x:c r="D79" s="30" t="str">
        <x:v>FP8 E4M3</x:v>
      </x:c>
      <x:c r="E79" s="32" t="n">
        <x:v>1</x:v>
      </x:c>
      <x:c r="F79" s="33" t="n">
        <x:v>3</x:v>
      </x:c>
      <x:c r="G79" s="33" t="n">
        <x:v>8388608</x:v>
      </x:c>
      <x:c r="H79" s="33" t="str">
        <x:v>共享专家 TP/DP</x:v>
      </x:c>
      <x:c r="I79" s="33" t="n">
        <x:f>IF('Decode'!$P$17="TP",'Decode'!$P$18,1)</x:f>
        <x:v>8</x:v>
      </x:c>
      <x:c r="J79" s="34" t="n">
        <x:f>E79*F79*G79/1073741824</x:f>
        <x:v>0.0234375</x:v>
      </x:c>
      <x:c r="K79" s="34" t="n">
        <x:f>J79/I79</x:f>
        <x:v>0.0029296875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[16, 32]</x:v>
      </x:c>
      <x:c r="D80" s="30" t="str">
        <x:v>F8_E8M0</x:v>
      </x:c>
      <x:c r="E80" s="32" t="n">
        <x:v>1</x:v>
      </x:c>
      <x:c r="F80" s="33" t="n">
        <x:v>3</x:v>
      </x:c>
      <x:c r="G80" s="33" t="n">
        <x:v>512</x:v>
      </x:c>
      <x:c r="H80" s="33" t="str">
        <x:v>共享专家 TP/DP</x:v>
      </x:c>
      <x:c r="I80" s="33" t="n">
        <x:f>IF('Decode'!$P$17="TP",'Decode'!$P$18,1)</x:f>
        <x:v>8</x:v>
      </x:c>
      <x:c r="J80" s="34" t="n">
        <x:f>E80*F80*G80/1073741824</x:f>
        <x:v>0.000001430511474609375</x:v>
      </x:c>
      <x:c r="K80" s="34" t="n">
        <x:f>J80/I80</x:f>
        <x:v>1.7881393432617188e-7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[2048, 4096]</x:v>
      </x:c>
      <x:c r="D81" s="30" t="str">
        <x:v>FP8 E4M3</x:v>
      </x:c>
      <x:c r="E81" s="32" t="n">
        <x:v>1</x:v>
      </x:c>
      <x:c r="F81" s="33" t="n">
        <x:v>3</x:v>
      </x:c>
      <x:c r="G81" s="33" t="n">
        <x:v>8388608</x:v>
      </x:c>
      <x:c r="H81" s="33" t="str">
        <x:v>共享专家 TP/DP</x:v>
      </x:c>
      <x:c r="I81" s="33" t="n">
        <x:f>IF('Decode'!$P$17="TP",'Decode'!$P$18,1)</x:f>
        <x:v>8</x:v>
      </x:c>
      <x:c r="J81" s="34" t="n">
        <x:f>E81*F81*G81/1073741824</x:f>
        <x:v>0.0234375</x:v>
      </x:c>
      <x:c r="K81" s="34" t="n">
        <x:f>J81/I81</x:f>
        <x:v>0.0029296875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[16, 32]</x:v>
      </x:c>
      <x:c r="D82" s="30" t="str">
        <x:v>F8_E8M0</x:v>
      </x:c>
      <x:c r="E82" s="32" t="n">
        <x:v>1</x:v>
      </x:c>
      <x:c r="F82" s="33" t="n">
        <x:v>3</x:v>
      </x:c>
      <x:c r="G82" s="33" t="n">
        <x:v>512</x:v>
      </x:c>
      <x:c r="H82" s="33" t="str">
        <x:v>共享专家 TP/DP</x:v>
      </x:c>
      <x:c r="I82" s="33" t="n">
        <x:f>IF('Decode'!$P$17="TP",'Decode'!$P$18,1)</x:f>
        <x:v>8</x:v>
      </x:c>
      <x:c r="J82" s="34" t="n">
        <x:f>E82*F82*G82/1073741824</x:f>
        <x:v>0.000001430511474609375</x:v>
      </x:c>
      <x:c r="K82" s="34" t="n">
        <x:f>J82/I82</x:f>
        <x:v>1.7881393432617188e-7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[4096, 2048]</x:v>
      </x:c>
      <x:c r="D83" s="30" t="str">
        <x:v>FP8 E4M3</x:v>
      </x:c>
      <x:c r="E83" s="32" t="n">
        <x:v>1</x:v>
      </x:c>
      <x:c r="F83" s="33" t="n">
        <x:v>3</x:v>
      </x:c>
      <x:c r="G83" s="33" t="n">
        <x:v>8388608</x:v>
      </x:c>
      <x:c r="H83" s="33" t="str">
        <x:v>共享专家 TP/DP</x:v>
      </x:c>
      <x:c r="I83" s="33" t="n">
        <x:f>IF('Decode'!$P$17="TP",'Decode'!$P$18,1)</x:f>
        <x:v>8</x:v>
      </x:c>
      <x:c r="J83" s="34" t="n">
        <x:f>E83*F83*G83/1073741824</x:f>
        <x:v>0.0234375</x:v>
      </x:c>
      <x:c r="K83" s="34" t="n">
        <x:f>J83/I83</x:f>
        <x:v>0.0029296875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[32, 16]</x:v>
      </x:c>
      <x:c r="D84" s="30" t="str">
        <x:v>F8_E8M0</x:v>
      </x:c>
      <x:c r="E84" s="32" t="n">
        <x:v>1</x:v>
      </x:c>
      <x:c r="F84" s="33" t="n">
        <x:v>3</x:v>
      </x:c>
      <x:c r="G84" s="33" t="n">
        <x:v>512</x:v>
      </x:c>
      <x:c r="H84" s="33" t="str">
        <x:v>共享专家 TP/DP</x:v>
      </x:c>
      <x:c r="I84" s="33" t="n">
        <x:f>IF('Decode'!$P$17="TP",'Decode'!$P$18,1)</x:f>
        <x:v>8</x:v>
      </x:c>
      <x:c r="J84" s="34" t="n">
        <x:f>E84*F84*G84/1073741824</x:f>
        <x:v>0.000001430511474609375</x:v>
      </x:c>
      <x:c r="K84" s="34" t="n">
        <x:f>J84/I84</x:f>
        <x:v>1.7881393432617188e-7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16384]</x:v>
      </x:c>
      <x:c r="D85" s="30" t="str">
        <x:v>F32</x:v>
      </x:c>
      <x:c r="E85" s="32" t="n">
        <x:v>4</x:v>
      </x:c>
      <x:c r="F85" s="33" t="n">
        <x:v>3</x:v>
      </x:c>
      <x:c r="G85" s="33" t="n">
        <x:v>393216</x:v>
      </x:c>
      <x:c r="H85" s="33" t="str">
        <x:v>Replicated</x:v>
      </x:c>
      <x:c r="I85" s="33" t="n">
        <x:f>1</x:f>
        <x:v>1</x:v>
      </x:c>
      <x:c r="J85" s="34" t="n">
        <x:f>E85*F85*G85/1073741824</x:f>
        <x:v>0.00439453125</x:v>
      </x:c>
      <x:c r="K85" s="34" t="n">
        <x:f>J85/I85</x:f>
        <x:v>0.00439453125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16384]</x:v>
      </x:c>
      <x:c r="D86" s="30" t="str">
        <x:v>F32</x:v>
      </x:c>
      <x:c r="E86" s="32" t="n">
        <x:v>4</x:v>
      </x:c>
      <x:c r="F86" s="33" t="n">
        <x:v>3</x:v>
      </x:c>
      <x:c r="G86" s="33" t="n">
        <x:v>393216</x:v>
      </x:c>
      <x:c r="H86" s="33" t="str">
        <x:v>Replicated</x:v>
      </x:c>
      <x:c r="I86" s="33" t="n">
        <x:f>1</x:f>
        <x:v>1</x:v>
      </x:c>
      <x:c r="J86" s="34" t="n">
        <x:f>E86*F86*G86/1073741824</x:f>
        <x:v>0.00439453125</x:v>
      </x:c>
      <x:c r="K86" s="34" t="n">
        <x:f>J86/I86</x:f>
        <x:v>0.00439453125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[4096]</x:v>
      </x:c>
      <x:c r="D91" s="30" t="str">
        <x:v>BF16</x:v>
      </x:c>
      <x:c r="E91" s="32" t="n">
        <x:v>2</x:v>
      </x:c>
      <x:c r="F91" s="33" t="n">
        <x:v>1</x:v>
      </x:c>
      <x:c r="G91" s="33" t="n">
        <x:v>4096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0.00000762939453125</x:v>
      </x:c>
      <x:c r="K91" s="34" t="n">
        <x:f>J91/I91</x:f>
        <x:v>0.00000762939453125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[4096, 12288]</x:v>
      </x:c>
      <x:c r="D92" s="30" t="str">
        <x:v>FP8 E4M3</x:v>
      </x:c>
      <x:c r="E92" s="32" t="n">
        <x:v>1</x:v>
      </x:c>
      <x:c r="F92" s="33" t="n">
        <x:v>1</x:v>
      </x:c>
      <x:c r="G92" s="33" t="n">
        <x:v>50331648</x:v>
      </x:c>
      <x:c r="H92" s="33" t="str">
        <x:v>Replicated</x:v>
      </x:c>
      <x:c r="I92" s="33" t="n">
        <x:f>1</x:f>
        <x:v>1</x:v>
      </x:c>
      <x:c r="J92" s="34" t="n">
        <x:f>E92*F92*G92/1073741824</x:f>
        <x:v>0.046875</x:v>
      </x:c>
      <x:c r="K92" s="34" t="n">
        <x:f>J92/I92</x:f>
        <x:v>0.046875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[32, 96]</x:v>
      </x:c>
      <x:c r="D93" s="30" t="str">
        <x:v>F8_E8M0</x:v>
      </x:c>
      <x:c r="E93" s="32" t="n">
        <x:v>1</x:v>
      </x:c>
      <x:c r="F93" s="33" t="n">
        <x:v>1</x:v>
      </x:c>
      <x:c r="G93" s="33" t="n">
        <x:v>3072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0.00000286102294921875</x:v>
      </x:c>
      <x:c r="K93" s="34" t="n">
        <x:f>J93/I93</x:f>
        <x:v>0.00000286102294921875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[4096]</x:v>
      </x:c>
      <x:c r="D94" s="30" t="str">
        <x:v>BF16</x:v>
      </x:c>
      <x:c r="E94" s="32" t="n">
        <x:v>2</x:v>
      </x:c>
      <x:c r="F94" s="33" t="n">
        <x:v>1</x:v>
      </x:c>
      <x:c r="G94" s="33" t="n">
        <x:v>4096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0.00000762939453125</x:v>
      </x:c>
      <x:c r="K94" s="34" t="n">
        <x:f>J94/I94</x:f>
        <x:v>0.00000762939453125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256]</x:v>
      </x:c>
      <x:c r="D95" s="30" t="str">
        <x:v>BF16</x:v>
      </x:c>
      <x:c r="E95" s="32" t="n">
        <x:v>2</x:v>
      </x:c>
      <x:c r="F95" s="33" t="n">
        <x:v>1</x:v>
      </x:c>
      <x:c r="G95" s="33" t="n">
        <x:v>33095680</x:v>
      </x:c>
      <x:c r="H95" s="33" t="str">
        <x:v>Embedding TP</x:v>
      </x:c>
      <x:c r="I95" s="33" t="n">
        <x:f>IF('Decode'!$P$21&gt;0,'Decode'!$P$21,'Decode'!$P$12)</x:f>
        <x:v>8</x:v>
      </x:c>
      <x:c r="J95" s="34" t="n">
        <x:f>E95*F95*G95/1073741824</x:f>
        <x:v>0.0616455078125</x:v>
      </x:c>
      <x:c r="K95" s="34" t="n">
        <x:f>J95/I95</x:f>
        <x:v>0.0077056884765625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256]</x:v>
      </x:c>
      <x:c r="D96" s="30" t="str">
        <x:v>BF16</x:v>
      </x:c>
      <x:c r="E96" s="32" t="n">
        <x:v>2</x:v>
      </x:c>
      <x:c r="F96" s="33" t="n">
        <x:v>1</x:v>
      </x:c>
      <x:c r="G96" s="33" t="n">
        <x:v>33095680</x:v>
      </x:c>
      <x:c r="H96" s="33" t="str">
        <x:v>LM Head TP</x:v>
      </x:c>
      <x:c r="I96" s="33" t="n">
        <x:f>IF('Decode'!$P$20&gt;0,'Decode'!$P$20,'Decode'!$P$12)</x:f>
        <x:v>8</x:v>
      </x:c>
      <x:c r="J96" s="34" t="n">
        <x:f>E96*F96*G96/1073741824</x:f>
        <x:v>0.0616455078125</x:v>
      </x:c>
      <x:c r="K96" s="34" t="n">
        <x:f>J96/I96</x:f>
        <x:v>0.0077056884765625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4352]</x:v>
      </x:c>
      <x:c r="D97" s="30" t="str">
        <x:v>BF16</x:v>
      </x:c>
      <x:c r="E97" s="32" t="n">
        <x:v>2</x:v>
      </x:c>
      <x:c r="F97" s="33" t="n">
        <x:v>1</x:v>
      </x:c>
      <x:c r="G97" s="33" t="n">
        <x:v>4352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0.000008106231689453125</x:v>
      </x:c>
      <x:c r="K97" s="34" t="n">
        <x:f>J97/I97</x:f>
        <x:v>0.000008106231689453125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16384]</x:v>
      </x:c>
      <x:c r="D98" s="30" t="str">
        <x:v>F32</x:v>
      </x:c>
      <x:c r="E98" s="32" t="n">
        <x:v>4</x:v>
      </x:c>
      <x:c r="F98" s="33" t="n">
        <x:v>1</x:v>
      </x:c>
      <x:c r="G98" s="33" t="n">
        <x:v>65536</x:v>
      </x:c>
      <x:c r="H98" s="33" t="str">
        <x:v>Replicated</x:v>
      </x:c>
      <x:c r="I98" s="33" t="n">
        <x:f>1</x:f>
        <x:v>1</x:v>
      </x:c>
      <x:c r="J98" s="34" t="n">
        <x:f>E98*F98*G98/1073741824</x:f>
        <x:v>0.000244140625</x:v>
      </x:c>
      <x:c r="K98" s="34" t="n">
        <x:f>J98/I98</x:f>
        <x:v>0.000244140625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16384]</x:v>
      </x:c>
      <x:c r="D101" s="30" t="str">
        <x:v>F32</x:v>
      </x:c>
      <x:c r="E101" s="32" t="n">
        <x:v>4</x:v>
      </x:c>
      <x:c r="F101" s="33" t="n">
        <x:v>1</x:v>
      </x:c>
      <x:c r="G101" s="33" t="n">
        <x:v>65536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0.000244140625</x:v>
      </x:c>
      <x:c r="K101" s="34" t="n">
        <x:f>J101/I101</x:f>
        <x:v>0.000244140625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155.41774820536375</x:v>
      </x:c>
      <x:c r="K104" s="41" t="n">
        <x:f>SUM(K2:K103)</x:f>
        <x:v>21.82772385329008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'Decode'!$P$7*4096</x:f>
        <x:v>4194304</x:v>
      </x:c>
      <x:c r="F107" s="33" t="n">
        <x:f>'Decode'!$P$28</x:f>
        <x:v>2</x:v>
      </x:c>
      <x:c r="G107" s="33" t="n">
        <x:f>IF('Decode'!$P$21&gt;0,'Decode'!$P$21,'Decode'!$P$12)</x:f>
        <x:v>8</x:v>
      </x:c>
      <x:c r="H107" s="33" t="n">
        <x:f>IF(AND(IF('Decode'!$P$21&gt;0,'Decode'!$P$21,'Decode'!$P$12)&gt;1,'Decode'!$P$24=0),1,0)</x:f>
        <x:v>1</x:v>
      </x:c>
      <x:c r="I107" s="34" t="n">
        <x:f>E107*F107/1048576</x:f>
        <x:v>8</x:v>
      </x:c>
      <x:c r="J107" s="34" t="n">
        <x:f>I107*(IF(G107&gt;1,2*(G107-1)/G107,0))</x:f>
        <x:v>14</x:v>
      </x:c>
      <x:c r="K107" s="34" t="n">
        <x:f>J107*H107</x:f>
        <x:v>14</x:v>
      </x:c>
      <x:c r="L107" s="34" t="n">
        <x:f>K107*G107</x:f>
        <x:v>112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'Decode'!$P$7</x:f>
        <x:v>1024</x:v>
      </x:c>
      <x:c r="F108" s="33" t="n">
        <x:f>'Decode'!$P$30</x:f>
        <x:v>8</x:v>
      </x:c>
      <x:c r="G108" s="33" t="n">
        <x:f>IF('Decode'!$P$21&gt;0,'Decode'!$P$21,'Decode'!$P$12)</x:f>
        <x:v>8</x:v>
      </x:c>
      <x:c r="H108" s="33" t="n">
        <x:f>IF(AND(IF('Decode'!$P$21&gt;0,'Decode'!$P$21,'Decode'!$P$12)&gt;1,'Decode'!$P$24&lt;&gt;0),1,0)</x:f>
        <x:v>0</x:v>
      </x:c>
      <x:c r="I108" s="34" t="n">
        <x:f>E108*F108/1048576</x:f>
        <x:v>0.0078125</x:v>
      </x:c>
      <x:c r="J108" s="34" t="n">
        <x:f>I108*(IF(G108&gt;1,G108-1,0))</x:f>
        <x:v>0.0546875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'Decode'!$P$7*IF('Decode'!$P$21&gt;0,'Decode'!$P$21,'Decode'!$P$12)*4096</x:f>
        <x:v>33554432</x:v>
      </x:c>
      <x:c r="F109" s="33" t="n">
        <x:f>'Decode'!$P$28</x:f>
        <x:v>2</x:v>
      </x:c>
      <x:c r="G109" s="33" t="n">
        <x:f>IF('Decode'!$P$21&gt;0,'Decode'!$P$21,'Decode'!$P$12)</x:f>
        <x:v>8</x:v>
      </x:c>
      <x:c r="H109" s="33" t="n">
        <x:f>IF(AND(IF('Decode'!$P$21&gt;0,'Decode'!$P$21,'Decode'!$P$12)&gt;1,'Decode'!$P$24&lt;&gt;0),1,0)</x:f>
        <x:v>0</x:v>
      </x:c>
      <x:c r="I109" s="34" t="n">
        <x:f>E109*F109/1048576</x:f>
        <x:v>64</x:v>
      </x:c>
      <x:c r="J109" s="34" t="n">
        <x:f>I109*(IF(G109&gt;1,(G109-1)/G109,0))</x:f>
        <x:v>56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((ROUNDUP('Decode'!$P$7/'Decode'!$P$12,0)*'Decode'!$P$12)/'Decode'!$P$12)*4096</x:f>
        <x:v>524288</x:v>
      </x:c>
      <x:c r="F110" s="33" t="n">
        <x:f>'Decode'!$P$28</x:f>
        <x:v>2</x:v>
      </x:c>
      <x:c r="G110" s="33" t="n">
        <x:f>'Decode'!$P$12</x:f>
        <x:v>8</x:v>
      </x:c>
      <x:c r="H110" s="33" t="n">
        <x:f>43*IF(AND('Decode'!$P$25&lt;&gt;0,'Decode'!$P$12&gt;1),1,0)</x:f>
        <x:v>43</x:v>
      </x:c>
      <x:c r="I110" s="34" t="n">
        <x:f>E110*F110/1048576</x:f>
        <x:v>1</x:v>
      </x:c>
      <x:c r="J110" s="34" t="n">
        <x:f>I110*(IF(G110&gt;1,G110-1,0))</x:f>
        <x:v>7</x:v>
      </x:c>
      <x:c r="K110" s="34" t="n">
        <x:f>J110*H110</x:f>
        <x:v>301</x:v>
      </x:c>
      <x:c r="L110" s="34" t="n">
        <x:f>K110*G110</x:f>
        <x:v>2408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((ROUNDUP('Decode'!$P$7/'Decode'!$P$12,0)*'Decode'!$P$12)/'Decode'!$P$12)*64*512</x:f>
        <x:v>4194304</x:v>
      </x:c>
      <x:c r="F111" s="33" t="n">
        <x:f>'Decode'!$P$28</x:f>
        <x:v>2</x:v>
      </x:c>
      <x:c r="G111" s="33" t="n">
        <x:f>'Decode'!$P$12</x:f>
        <x:v>8</x:v>
      </x:c>
      <x:c r="H111" s="33" t="n">
        <x:f>43*IF(AND('Decode'!$P$25&lt;&gt;0,'Decode'!$P$12&gt;1),1,0)</x:f>
        <x:v>43</x:v>
      </x:c>
      <x:c r="I111" s="34" t="n">
        <x:f>E111*F111/1048576</x:f>
        <x:v>8</x:v>
      </x:c>
      <x:c r="J111" s="34" t="n">
        <x:f>I111*(IF(G111&gt;1,(G111-1)/G111,0))</x:f>
        <x:v>7</x:v>
      </x:c>
      <x:c r="K111" s="34" t="n">
        <x:f>J111*H111</x:f>
        <x:v>301</x:v>
      </x:c>
      <x:c r="L111" s="34" t="n">
        <x:f>K111*G111</x:f>
        <x:v>2408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((ROUNDUP('Decode'!$P$7/'Decode'!$P$12,0)*'Decode'!$P$12)/'Decode'!$P$12)*512</x:f>
        <x:v>65536</x:v>
      </x:c>
      <x:c r="F112" s="33" t="n">
        <x:f>'Decode'!$P$31</x:f>
        <x:v>4</x:v>
      </x:c>
      <x:c r="G112" s="33" t="n">
        <x:f>'Decode'!$P$12</x:f>
        <x:v>8</x:v>
      </x:c>
      <x:c r="H112" s="33" t="n">
        <x:f>21*IF(AND('Decode'!$P$25&lt;&gt;0,'Decode'!$P$12&gt;1),1,0)</x:f>
        <x:v>21</x:v>
      </x:c>
      <x:c r="I112" s="34" t="n">
        <x:f>E112*F112/1048576</x:f>
        <x:v>0.25</x:v>
      </x:c>
      <x:c r="J112" s="34" t="n">
        <x:f>I112*(IF(G112&gt;1,G112-1,0))</x:f>
        <x:v>1.75</x:v>
      </x:c>
      <x:c r="K112" s="34" t="n">
        <x:f>J112*H112</x:f>
        <x:v>36.75</x:v>
      </x:c>
      <x:c r="L112" s="34" t="n">
        <x:f>K112*G112</x:f>
        <x:v>294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'Decode'!$P$7*4096</x:f>
        <x:v>4194304</x:v>
      </x:c>
      <x:c r="F113" s="33" t="n">
        <x:f>'Decode'!$P$28</x:f>
        <x:v>2</x:v>
      </x:c>
      <x:c r="G113" s="33" t="n">
        <x:f>IF('Decode'!$P$19&gt;0,'Decode'!$P$19,'Decode'!$P$12)</x:f>
        <x:v>8</x:v>
      </x:c>
      <x:c r="H113" s="33" t="n">
        <x:f>43*IF(AND('Decode'!$P$25=0,IF('Decode'!$P$19&gt;0,'Decode'!$P$19,'Decode'!$P$12)&gt;1),1,0)</x:f>
        <x:v>0</x:v>
      </x:c>
      <x:c r="I113" s="34" t="n">
        <x:f>E113*F113/1048576</x:f>
        <x:v>8</x:v>
      </x:c>
      <x:c r="J113" s="34" t="n">
        <x:f>I113*(IF(G113&gt;1,2*(G113-1)/G113,0))</x:f>
        <x:v>14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IF('Decode'!$P$13&lt;&gt;0,((ROUNDUP('Decode'!$P$7/'Decode'!$P$12,0)*'Decode'!$P$12)/'Decode'!$P$12),'Decode'!$P$7)*6*'Decode'!$P$32*4096</x:f>
        <x:v>2752512</x:v>
      </x:c>
      <x:c r="F114" s="33" t="n">
        <x:f>'Decode'!$P$28</x:f>
        <x:v>2</x:v>
      </x:c>
      <x:c r="G114" s="33" t="n">
        <x:f>'Decode'!$P$14</x:f>
        <x:v>8</x:v>
      </x:c>
      <x:c r="H114" s="33" t="n">
        <x:f>43*IF('Decode'!$P$14&gt;1,1,0)</x:f>
        <x:v>43</x:v>
      </x:c>
      <x:c r="I114" s="34" t="n">
        <x:f>E114*F114/1048576</x:f>
        <x:v>5.25</x:v>
      </x:c>
      <x:c r="J114" s="34" t="n">
        <x:f>I114*(1)</x:f>
        <x:v>5.25</x:v>
      </x:c>
      <x:c r="K114" s="34" t="n">
        <x:f>J114*H114</x:f>
        <x:v>225.75</x:v>
      </x:c>
      <x:c r="L114" s="34" t="n">
        <x:f>K114*G114</x:f>
        <x:v>1806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IF('Decode'!$P$13&lt;&gt;0,((ROUNDUP('Decode'!$P$7/'Decode'!$P$12,0)*'Decode'!$P$12)/'Decode'!$P$12),'Decode'!$P$7)*6*'Decode'!$P$32*4096</x:f>
        <x:v>2752512</x:v>
      </x:c>
      <x:c r="F115" s="33" t="n">
        <x:f>'Decode'!$P$28</x:f>
        <x:v>2</x:v>
      </x:c>
      <x:c r="G115" s="33" t="n">
        <x:f>'Decode'!$P$14</x:f>
        <x:v>8</x:v>
      </x:c>
      <x:c r="H115" s="33" t="n">
        <x:f>43*IF('Decode'!$P$14&gt;1,1,0)</x:f>
        <x:v>43</x:v>
      </x:c>
      <x:c r="I115" s="34" t="n">
        <x:f>E115*F115/1048576</x:f>
        <x:v>5.25</x:v>
      </x:c>
      <x:c r="J115" s="34" t="n">
        <x:f>I115*(1)</x:f>
        <x:v>5.25</x:v>
      </x:c>
      <x:c r="K115" s="34" t="n">
        <x:f>J115*H115</x:f>
        <x:v>225.75</x:v>
      </x:c>
      <x:c r="L115" s="34" t="n">
        <x:f>K115*G115</x:f>
        <x:v>1806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'Decode'!$P$7*4096</x:f>
        <x:v>4194304</x:v>
      </x:c>
      <x:c r="F116" s="33" t="n">
        <x:f>'Decode'!$P$28</x:f>
        <x:v>2</x:v>
      </x:c>
      <x:c r="G116" s="33" t="n">
        <x:f>'Decode'!$P$11</x:f>
        <x:v>1</x:v>
      </x:c>
      <x:c r="H116" s="33" t="n">
        <x:f>43*IF(AND('Decode'!$P$11&gt;1,'Decode'!$P$14=1),1,0)</x:f>
        <x:v>0</x:v>
      </x:c>
      <x:c r="I116" s="34" t="n">
        <x:f>E116*F116/1048576</x:f>
        <x:v>8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'Decode'!$P$7*256</x:f>
        <x:v>262144</x:v>
      </x:c>
      <x:c r="F117" s="33" t="n">
        <x:f>'Decode'!$P$28</x:f>
        <x:v>2</x:v>
      </x:c>
      <x:c r="G117" s="33" t="n">
        <x:f>'Decode'!$P$11</x:f>
        <x:v>1</x:v>
      </x:c>
      <x:c r="H117" s="33" t="n">
        <x:f>43*IF(AND('Decode'!$P$11&gt;1,'Decode'!$P$14=1),1,0)</x:f>
        <x:v>0</x:v>
      </x:c>
      <x:c r="I117" s="34" t="n">
        <x:f>E117*F117/1048576</x:f>
        <x:v>0.5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'Decode'!$P$7*'Decode'!$P$11*4096</x:f>
        <x:v>4194304</x:v>
      </x:c>
      <x:c r="F118" s="33" t="n">
        <x:f>'Decode'!$P$28</x:f>
        <x:v>2</x:v>
      </x:c>
      <x:c r="G118" s="33" t="n">
        <x:f>'Decode'!$P$11</x:f>
        <x:v>1</x:v>
      </x:c>
      <x:c r="H118" s="33" t="n">
        <x:f>43*IF(AND('Decode'!$P$11&gt;1,'Decode'!$P$14=1),1,0)</x:f>
        <x:v>0</x:v>
      </x:c>
      <x:c r="I118" s="34" t="n">
        <x:f>E118*F118/1048576</x:f>
        <x:v>8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((ROUNDUP('Decode'!$P$7/'Decode'!$P$12,0)*'Decode'!$P$12)/'Decode'!$P$12)*4096</x:f>
        <x:v>524288</x:v>
      </x:c>
      <x:c r="F119" s="33" t="n">
        <x:f>'Decode'!$P$28</x:f>
        <x:v>2</x:v>
      </x:c>
      <x:c r="G119" s="33" t="n">
        <x:f>IF('Decode'!$P$17="TP",'Decode'!$P$18,1)</x:f>
        <x:v>8</x:v>
      </x:c>
      <x:c r="H119" s="33" t="n">
        <x:f>43*IF(AND('Decode'!$P$17="TP",IF('Decode'!$P$17="TP",'Decode'!$P$18,1)&gt;1,'Decode'!$P$13&lt;&gt;0),1,0)</x:f>
        <x:v>43</x:v>
      </x:c>
      <x:c r="I119" s="34" t="n">
        <x:f>E119*F119/1048576</x:f>
        <x:v>1</x:v>
      </x:c>
      <x:c r="J119" s="34" t="n">
        <x:f>I119*(IF(G119&gt;1,G119-1,0))</x:f>
        <x:v>7</x:v>
      </x:c>
      <x:c r="K119" s="34" t="n">
        <x:f>J119*H119</x:f>
        <x:v>301</x:v>
      </x:c>
      <x:c r="L119" s="34" t="n">
        <x:f>K119*G119</x:f>
        <x:v>2408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(ROUNDUP('Decode'!$P$7/'Decode'!$P$12,0)*'Decode'!$P$12)*4096</x:f>
        <x:v>4194304</x:v>
      </x:c>
      <x:c r="F120" s="33" t="n">
        <x:f>'Decode'!$P$28</x:f>
        <x:v>2</x:v>
      </x:c>
      <x:c r="G120" s="33" t="n">
        <x:f>IF('Decode'!$P$17="TP",'Decode'!$P$18,1)</x:f>
        <x:v>8</x:v>
      </x:c>
      <x:c r="H120" s="33" t="n">
        <x:f>43*IF(AND('Decode'!$P$17="TP",IF('Decode'!$P$17="TP",'Decode'!$P$18,1)&gt;1,'Decode'!$P$13&lt;&gt;0),1,0)</x:f>
        <x:v>43</x:v>
      </x:c>
      <x:c r="I120" s="34" t="n">
        <x:f>E120*F120/1048576</x:f>
        <x:v>8</x:v>
      </x:c>
      <x:c r="J120" s="34" t="n">
        <x:f>I120*(IF(G120&gt;1,(G120-1)/G120,0))</x:f>
        <x:v>7</x:v>
      </x:c>
      <x:c r="K120" s="34" t="n">
        <x:f>J120*H120</x:f>
        <x:v>301</x:v>
      </x:c>
      <x:c r="L120" s="34" t="n">
        <x:f>K120*G120</x:f>
        <x:v>2408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'Decode'!$P$7*4096</x:f>
        <x:v>4194304</x:v>
      </x:c>
      <x:c r="F121" s="33" t="n">
        <x:f>'Decode'!$P$28</x:f>
        <x:v>2</x:v>
      </x:c>
      <x:c r="G121" s="33" t="n">
        <x:f>IF('Decode'!$P$17="TP",'Decode'!$P$18,1)</x:f>
        <x:v>8</x:v>
      </x:c>
      <x:c r="H121" s="33" t="n">
        <x:f>43*IF(AND('Decode'!$P$17="TP",IF('Decode'!$P$17="TP",'Decode'!$P$18,1)&gt;1,'Decode'!$P$13=0),1,0)</x:f>
        <x:v>0</x:v>
      </x:c>
      <x:c r="I121" s="34" t="n">
        <x:f>E121*F121/1048576</x:f>
        <x:v>8</x:v>
      </x:c>
      <x:c r="J121" s="34" t="n">
        <x:f>I121*(IF(G121&gt;1,2*(G121-1)/G121,0))</x:f>
        <x:v>14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SP</x:v>
      </x:c>
      <x:c r="B122" s="30" t="str">
        <x:v>Model Output</x:v>
      </x:c>
      <x:c r="C122" s="30" t="str">
        <x:v>Final Norm 后</x:v>
      </x:c>
      <x:c r="D122" s="30" t="str">
        <x:v>Ring AllGather</x:v>
      </x:c>
      <x:c r="E122" s="33" t="n">
        <x:f>((ROUNDUP('Decode'!$P$7/'Decode'!$P$12,0)*'Decode'!$P$12)/'Decode'!$P$12)*4096</x:f>
        <x:v>524288</x:v>
      </x:c>
      <x:c r="F122" s="33" t="n">
        <x:f>'Decode'!$P$28</x:f>
        <x:v>2</x:v>
      </x:c>
      <x:c r="G122" s="33" t="n">
        <x:f>'Decode'!$P$12</x:f>
        <x:v>8</x:v>
      </x:c>
      <x:c r="H122" s="33" t="n">
        <x:f>IF(AND('Decode'!$P$13&lt;&gt;0,'Decode'!$P$12&gt;1),1,0)</x:f>
        <x:v>1</x:v>
      </x:c>
      <x:c r="I122" s="34" t="n">
        <x:f>E122*F122/1048576</x:f>
        <x:v>1</x:v>
      </x:c>
      <x:c r="J122" s="34" t="n">
        <x:f>I122*(IF(G122&gt;1,G122-1,0))</x:f>
        <x:v>7</x:v>
      </x:c>
      <x:c r="K122" s="34" t="n">
        <x:f>J122*H122</x:f>
        <x:v>7</x:v>
      </x:c>
      <x:c r="L122" s="34" t="n">
        <x:f>K122*G122</x:f>
        <x:v>56</x:v>
      </x:c>
      <x:c r="M122" s="30"/>
      <x:c r="N122" s="30"/>
      <x:c r="O122" s="30"/>
      <x:c r="P122" s="30"/>
    </x:row>
    <x:row r="123">
      <x:c r="A123" s="30" t="str">
        <x:v>LM Head TP</x:v>
      </x:c>
      <x:c r="B123" s="30" t="str">
        <x:v>LM Head</x:v>
      </x:c>
      <x:c r="C123" s="30" t="str">
        <x:v>完整 Logits</x:v>
      </x:c>
      <x:c r="D123" s="30" t="str">
        <x:v>Ring AllGather</x:v>
      </x:c>
      <x:c r="E123" s="33" t="n">
        <x:f>'Decode'!$P$8*129280/IF('Decode'!$P$20&gt;0,'Decode'!$P$20,'Decode'!$P$12)</x:f>
        <x:v>16547840</x:v>
      </x:c>
      <x:c r="F123" s="33" t="n">
        <x:f>'Decode'!$P$28</x:f>
        <x:v>2</x:v>
      </x:c>
      <x:c r="G123" s="33" t="n">
        <x:f>IF('Decode'!$P$20&gt;0,'Decode'!$P$20,'Decode'!$P$12)</x:f>
        <x:v>8</x:v>
      </x:c>
      <x:c r="H123" s="33" t="n">
        <x:f>IF(AND(IF('Decode'!$P$20&gt;0,'Decode'!$P$20,'Decode'!$P$12)&gt;1,'Decode'!$P$23=0,'Decode'!$P$33=0),1,0)</x:f>
        <x:v>0</x:v>
      </x:c>
      <x:c r="I123" s="34" t="n">
        <x:f>E123*F123/1048576</x:f>
        <x:v>31.5625</x:v>
      </x:c>
      <x:c r="J123" s="34" t="n">
        <x:f>I123*(IF(G123&gt;1,G123-1,0))</x:f>
        <x:v>220.9375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LM Head TP</x:v>
      </x:c>
      <x:c r="B124" s="30" t="str">
        <x:v>LM Head</x:v>
      </x:c>
      <x:c r="C124" s="30" t="str">
        <x:v>Reduce Sample</x:v>
      </x:c>
      <x:c r="D124" s="30" t="str">
        <x:v>Ring AllGather</x:v>
      </x:c>
      <x:c r="E124" s="33" t="n">
        <x:f>'Decode'!$P$8*'Decode'!$P$34</x:f>
        <x:v>262144</x:v>
      </x:c>
      <x:c r="F124" s="33" t="n">
        <x:f>('Decode'!$P$28+'Decode'!$P$31)</x:f>
        <x:v>6</x:v>
      </x:c>
      <x:c r="G124" s="33" t="n">
        <x:f>IF('Decode'!$P$20&gt;0,'Decode'!$P$20,'Decode'!$P$12)</x:f>
        <x:v>8</x:v>
      </x:c>
      <x:c r="H124" s="33" t="n">
        <x:f>IF(AND(IF('Decode'!$P$20&gt;0,'Decode'!$P$20,'Decode'!$P$12)&gt;1,'Decode'!$P$23=0,'Decode'!$P$33&lt;&gt;0),1,0)</x:f>
        <x:v>1</x:v>
      </x:c>
      <x:c r="I124" s="34" t="n">
        <x:f>E124*F124/1048576</x:f>
        <x:v>1.5</x:v>
      </x:c>
      <x:c r="J124" s="34" t="n">
        <x:f>I124*(IF(G124&gt;1,G124-1,0))</x:f>
        <x:v>10.5</x:v>
      </x:c>
      <x:c r="K124" s="34" t="n">
        <x:f>J124*H124</x:f>
        <x:v>10.5</x:v>
      </x:c>
      <x:c r="L124" s="34" t="n">
        <x:f>K124*G124</x:f>
        <x:v>84</x:v>
      </x:c>
      <x:c r="M124" s="30"/>
      <x:c r="N124" s="30"/>
      <x:c r="O124" s="30"/>
      <x:c r="P124" s="30"/>
    </x:row>
    <x:row r="125">
      <x:c r="A125" s="30" t="str">
        <x:v>Fine LM Head TP</x:v>
      </x:c>
      <x:c r="B125" s="30" t="str">
        <x:v>LM Head</x:v>
      </x:c>
      <x:c r="C125" s="30" t="str">
        <x:v>Hidden 输入</x:v>
      </x:c>
      <x:c r="D125" s="30" t="str">
        <x:v>Ring AllGather</x:v>
      </x:c>
      <x:c r="E125" s="33" t="n">
        <x:f>'Decode'!$P$8*4096</x:f>
        <x:v>4194304</x:v>
      </x:c>
      <x:c r="F125" s="33" t="n">
        <x:f>'Decode'!$P$28</x:f>
        <x:v>2</x:v>
      </x:c>
      <x:c r="G125" s="33" t="n">
        <x:f>IF('Decode'!$P$20&gt;0,'Decode'!$P$20,'Decode'!$P$12)</x:f>
        <x:v>8</x:v>
      </x:c>
      <x:c r="H125" s="33" t="n">
        <x:f>IF(AND(IF('Decode'!$P$20&gt;0,'Decode'!$P$20,'Decode'!$P$12)&gt;1,'Decode'!$P$23&lt;&gt;0),1,0)</x:f>
        <x:v>0</x:v>
      </x:c>
      <x:c r="I125" s="34" t="n">
        <x:f>E125*F125/1048576</x:f>
        <x:v>8</x:v>
      </x:c>
      <x:c r="J125" s="34" t="n">
        <x:f>I125*(IF(G125&gt;1,G125-1,0))</x:f>
        <x:v>56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Fine LM Head TP</x:v>
      </x:c>
      <x:c r="B126" s="30" t="str">
        <x:v>LM Head</x:v>
      </x:c>
      <x:c r="C126" s="30" t="str">
        <x:v>完整 Logits</x:v>
      </x:c>
      <x:c r="D126" s="30" t="str">
        <x:v>Equal-split AllToAll</x:v>
      </x:c>
      <x:c r="E126" s="33" t="n">
        <x:f>'Decode'!$P$8*129280</x:f>
        <x:v>132382720</x:v>
      </x:c>
      <x:c r="F126" s="33" t="n">
        <x:f>'Decode'!$P$28</x:f>
        <x:v>2</x:v>
      </x:c>
      <x:c r="G126" s="33" t="n">
        <x:f>IF('Decode'!$P$20&gt;0,'Decode'!$P$20,'Decode'!$P$12)</x:f>
        <x:v>8</x:v>
      </x:c>
      <x:c r="H126" s="33" t="n">
        <x:f>IF(AND(IF('Decode'!$P$20&gt;0,'Decode'!$P$20,'Decode'!$P$12)&gt;1,'Decode'!$P$23&lt;&gt;0,'Decode'!$P$33=0),1,0)</x:f>
        <x:v>0</x:v>
      </x:c>
      <x:c r="I126" s="34" t="n">
        <x:f>E126*F126/1048576</x:f>
        <x:v>252.5</x:v>
      </x:c>
      <x:c r="J126" s="34" t="n">
        <x:f>I126*(IF(G126&gt;1,(G126-1)/G126,0))</x:f>
        <x:v>220.9375</x:v>
      </x:c>
      <x:c r="K126" s="34" t="n">
        <x:f>J126*H126</x:f>
        <x:v>0</x:v>
      </x:c>
      <x:c r="L126" s="34" t="n">
        <x:f>K126*G126</x:f>
        <x:v>0</x:v>
      </x:c>
      <x:c r="M126" s="30"/>
      <x:c r="N126" s="30"/>
      <x:c r="O126" s="30"/>
      <x:c r="P126" s="30"/>
    </x:row>
    <x:row r="127">
      <x:c r="A127" s="30" t="str">
        <x:v>Fine LM Head TP</x:v>
      </x:c>
      <x:c r="B127" s="30" t="str">
        <x:v>LM Head</x:v>
      </x:c>
      <x:c r="C127" s="30" t="str">
        <x:v>Reduce Sample</x:v>
      </x:c>
      <x:c r="D127" s="30" t="str">
        <x:v>Ring AllGather</x:v>
      </x:c>
      <x:c r="E127" s="33" t="n">
        <x:f>'Decode'!$P$8*'Decode'!$P$34</x:f>
        <x:v>262144</x:v>
      </x:c>
      <x:c r="F127" s="33" t="n">
        <x:f>('Decode'!$P$28+'Decode'!$P$31)</x:f>
        <x:v>6</x:v>
      </x:c>
      <x:c r="G127" s="33" t="n">
        <x:f>IF('Decode'!$P$20&gt;0,'Decode'!$P$20,'Decode'!$P$12)</x:f>
        <x:v>8</x:v>
      </x:c>
      <x:c r="H127" s="33" t="n">
        <x:f>IF(AND(IF('Decode'!$P$20&gt;0,'Decode'!$P$20,'Decode'!$P$12)&gt;1,'Decode'!$P$23&lt;&gt;0,'Decode'!$P$33&lt;&gt;0),1,0)</x:f>
        <x:v>0</x:v>
      </x:c>
      <x:c r="I127" s="34" t="n">
        <x:f>E127*F127/1048576</x:f>
        <x:v>1.5</x:v>
      </x:c>
      <x:c r="J127" s="34" t="n">
        <x:f>I127*(IF(G127&gt;1,G127-1,0))</x:f>
        <x:v>10.5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40" t="str">
        <x:v>合计</x:v>
      </x:c>
      <x:c r="B128" s="40"/>
      <x:c r="C128" s="40"/>
      <x:c r="D128" s="40"/>
      <x:c r="E128" s="40"/>
      <x:c r="F128" s="40"/>
      <x:c r="G128" s="40"/>
      <x:c r="H128" s="40"/>
      <x:c r="I128" s="41"/>
      <x:c r="J128" s="41"/>
      <x:c r="K128" s="41" t="n">
        <x:f>SUM(K107:K127)</x:f>
        <x:v>1723.75</x:v>
      </x:c>
      <x:c r="L128" s="41" t="n">
        <x:f>SUM(L107:L127)</x:f>
        <x:v>13790</x:v>
      </x:c>
      <x:c r="M128" s="30"/>
      <x:c r="N128" s="30"/>
      <x:c r="O128" s="30"/>
      <x:c r="P128" s="30"/>
    </x:row>
    <x:row r="131" ht="15" customHeight="1">
      <x:c r="A131" s="40" t="str">
        <x:v>PD 带宽争用耗时评估</x:v>
      </x:c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</x:row>
    <x:row r="132" ht="15" customHeight="1">
      <x:c r="A132" s="30" t="str">
        <x:v>Decode 当前表参数；100 GB/s 为归一化示例。所列事件的带宽项，不等于完整 forward 耗时。</x:v>
      </x:c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</x:row>
    <x:row r="133" ht="30" customHeight="1">
      <x:c r="A133" s="62" t="str">
        <x:v>带宽降幅</x:v>
      </x:c>
      <x:c r="B133" s="62" t="str">
        <x:v>输入</x:v>
      </x:c>
      <x:c r="C133" s="62" t="str">
        <x:v>争用覆盖率</x:v>
      </x:c>
      <x:c r="D133" s="62" t="str">
        <x:v>输入</x:v>
      </x:c>
      <x:c r="E133" s="62" t="str">
        <x:v>基线 forward ms</x:v>
      </x:c>
      <x:c r="F133" s="62" t="str">
        <x:v>实测输入</x:v>
      </x:c>
      <x:c r="G133" s="62" t="str">
        <x:v>默认带宽 GB/s</x:v>
      </x:c>
      <x:c r="H133" s="62" t="str">
        <x:v>输入</x:v>
      </x:c>
      <x:c r="I133" s="30"/>
      <x:c r="J133" s="30"/>
      <x:c r="K133" s="30"/>
      <x:c r="L133" s="30"/>
    </x:row>
    <x:row r="134" ht="15" customHeight="1">
      <x:c r="A134" s="30"/>
      <x:c r="B134" s="63" t="n">
        <x:v>0.1</x:v>
      </x:c>
      <x:c r="C134" s="30"/>
      <x:c r="D134" s="63" t="n">
        <x:v>1</x:v>
      </x:c>
      <x:c r="E134" s="30"/>
      <x:c r="F134" s="38"/>
      <x:c r="G134" s="30"/>
      <x:c r="H134" s="36" t="n">
        <x:v>100</x:v>
      </x:c>
      <x:c r="I134" s="30"/>
      <x:c r="J134" s="30"/>
      <x:c r="K134" s="30"/>
      <x:c r="L134" s="30"/>
    </x:row>
    <x:row r="135" ht="30" customHeight="1">
      <x:c r="A135" s="62" t="str">
        <x:v>通信基线 ms</x:v>
      </x:c>
      <x:c r="B135" s="62" t="str">
        <x:v>结果</x:v>
      </x:c>
      <x:c r="C135" s="62" t="str">
        <x:v>通信争用后 ms</x:v>
      </x:c>
      <x:c r="D135" s="62" t="str">
        <x:v>结果</x:v>
      </x:c>
      <x:c r="E135" s="62" t="str">
        <x:v>forward 增量 ms</x:v>
      </x:c>
      <x:c r="F135" s="62" t="str">
        <x:v>结果</x:v>
      </x:c>
      <x:c r="G135" s="62" t="str">
        <x:v>forward 新耗时 ms</x:v>
      </x:c>
      <x:c r="H135" s="62" t="str">
        <x:v>结果</x:v>
      </x:c>
      <x:c r="I135" s="62" t="str">
        <x:v>forward 增幅</x:v>
      </x:c>
      <x:c r="J135" s="62" t="str">
        <x:v>结果</x:v>
      </x:c>
      <x:c r="K135" s="62" t="str">
        <x:v>输入状态</x:v>
      </x:c>
      <x:c r="L135" s="62" t="str">
        <x:v>状态</x:v>
      </x:c>
    </x:row>
    <x:row r="136" ht="15" customHeight="1">
      <x:c r="A136" s="49"/>
      <x:c r="B136" s="49" t="n">
        <x:f>SUM(G140:G161)</x:f>
        <x:v>18.3830528</x:v>
      </x:c>
      <x:c r="C136" s="49"/>
      <x:c r="D136" s="49" t="n">
        <x:f>SUM(H140:H161)</x:f>
        <x:v>20.42561422222222</x:v>
      </x:c>
      <x:c r="E136" s="49"/>
      <x:c r="F136" s="49" t="n">
        <x:f>SUM(K140:K161)</x:f>
        <x:v>2.0425614222222226</x:v>
      </x:c>
      <x:c r="G136" s="49"/>
      <x:c r="H136" s="49" t="str">
        <x:f>IF(AND(ISNUMBER($F$134),$F$134&gt;0,$F$134&gt;=SUMPRODUCT(G140:G161,J140:J161)),$F$134+F136,"")</x:f>
      </x:c>
      <x:c r="I136" s="49"/>
      <x:c r="J136" s="50" t="str">
        <x:f>IF(AND(ISNUMBER($F$134),$F$134&gt;0,$F$134&gt;=SUMPRODUCT(G140:G161,J140:J161)),F136/$F$134,"")</x:f>
      </x:c>
      <x:c r="K136" s="49"/>
      <x:c r="L136" s="49" t="str">
        <x:f>IF($F$134="","待填基线",IF(AND(ISNUMBER($F$134),$F$134&gt;0,$F$134&gt;=SUMPRODUCT(G140:G161,J140:J161)),"已填基线","基线/暴露不一致"))</x:f>
        <x:v>待填基线</x:v>
      </x:c>
    </x:row>
    <x:row r="137" ht="15" customHeight="1">
      <x:c r="A137" s="30" t="str">
        <x:v>共享比例=0 表示独立链路；暴露系数=0 表示增量完全隐藏。默认均为 1，降幅只作用于带宽项。</x:v>
      </x:c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</x:row>
    <x:row r="138" ht="15" customHeight="1">
      <x:c r="A138" s="30" t="str">
        <x:v>P: AllToAllV + 4 B 计数 Ring；D: A3 BF16 MC2 FullMesh。每事件带宽按端点发送量定义。</x:v>
      </x:c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</x:row>
    <x:row r="139" ht="30" customHeight="1">
      <x:c r="A139" s="62" t="str">
        <x:v>并行域</x:v>
      </x:c>
      <x:c r="B139" s="62" t="str">
        <x:v>模块</x:v>
      </x:c>
      <x:c r="C139" s="62" t="str">
        <x:v>通信事件</x:v>
      </x:c>
      <x:c r="D139" s="62" t="str">
        <x:v>GB/Rank/Step</x:v>
      </x:c>
      <x:c r="E139" s="62" t="str">
        <x:v>有效带宽 GB/s</x:v>
      </x:c>
      <x:c r="F139" s="62" t="str">
        <x:v>共享比例</x:v>
      </x:c>
      <x:c r="G139" s="62" t="str">
        <x:v>基线带宽项 ms</x:v>
      </x:c>
      <x:c r="H139" s="62" t="str">
        <x:v>争用后带宽项 ms</x:v>
      </x:c>
      <x:c r="I139" s="62" t="str">
        <x:v>通信增量 ms</x:v>
      </x:c>
      <x:c r="J139" s="62" t="str">
        <x:v>暴露系数</x:v>
      </x:c>
      <x:c r="K139" s="62" t="str">
        <x:v>forward 增量 ms</x:v>
      </x:c>
      <x:c r="L139" s="62" t="str">
        <x:v>公式口径</x:v>
      </x:c>
    </x:row>
    <x:row r="140" ht="15" customHeight="1">
      <x:c r="A140" s="30" t="str">
        <x:v>Embedding TP</x:v>
      </x:c>
      <x:c r="B140" s="30" t="str">
        <x:v>Embedding</x:v>
      </x:c>
      <x:c r="C140" s="30" t="str">
        <x:v>标准 TP 输出</x:v>
      </x:c>
      <x:c r="D140" s="34" t="n">
        <x:f>(K107*2^20)/1e9</x:f>
        <x:v>0.014680064</x:v>
      </x:c>
      <x:c r="E140" s="64" t="n">
        <x:f>$H$134</x:f>
        <x:v>100</x:v>
      </x:c>
      <x:c r="F140" s="59" t="n">
        <x:v>1</x:v>
      </x:c>
      <x:c r="G140" s="34" t="n">
        <x:f>IF(AND(ISNUMBER(E140),E140&gt;0,ISNUMBER($B$134),$B$134&gt;=0,$B$134&lt;1,ISNUMBER($D$134),$D$134&gt;=0,$D$134&lt;=1,ISNUMBER(F140),F140&gt;=0,F140&lt;=1,ISNUMBER(J140),J140&gt;=0,J140&lt;=1),D140/E140*1000,NA())</x:f>
        <x:v>0.14680064</x:v>
      </x:c>
      <x:c r="H140" s="34" t="n">
        <x:f>G140+I140</x:f>
        <x:v>0.16311182222222223</x:v>
      </x:c>
      <x:c r="I140" s="34" t="n">
        <x:f>G140*F140*$D$134*$B$134/(1-$B$134)</x:f>
        <x:v>0.016311182222222224</x:v>
      </x:c>
      <x:c r="J140" s="59" t="n">
        <x:v>1</x:v>
      </x:c>
      <x:c r="K140" s="34" t="n">
        <x:f>I140*J140</x:f>
        <x:v>0.016311182222222224</x:v>
      </x:c>
      <x:c r="L140" s="30" t="str">
        <x:v>原通信行 107</x:v>
      </x:c>
    </x:row>
    <x:row r="141" ht="15" customHeight="1">
      <x:c r="A141" s="30" t="str">
        <x:v>Embedding TP</x:v>
      </x:c>
      <x:c r="B141" s="30" t="str">
        <x:v>Embedding</x:v>
      </x:c>
      <x:c r="C141" s="30" t="str">
        <x:v>Fine TP Token ID</x:v>
      </x:c>
      <x:c r="D141" s="34" t="n">
        <x:f>(K108*2^20)/1e9</x:f>
        <x:v>0</x:v>
      </x:c>
      <x:c r="E141" s="64" t="n">
        <x:f>$H$134</x:f>
        <x:v>100</x:v>
      </x:c>
      <x:c r="F141" s="59" t="n">
        <x:v>1</x:v>
      </x:c>
      <x:c r="G141" s="34" t="n">
        <x:f>IF(AND(ISNUMBER(E141),E141&gt;0,ISNUMBER($B$134),$B$134&gt;=0,$B$134&lt;1,ISNUMBER($D$134),$D$134&gt;=0,$D$134&lt;=1,ISNUMBER(F141),F141&gt;=0,F141&lt;=1,ISNUMBER(J141),J141&gt;=0,J141&lt;=1),D141/E141*1000,NA())</x:f>
        <x:v>0</x:v>
      </x:c>
      <x:c r="H141" s="34" t="n">
        <x:f>G141+I141</x:f>
        <x:v>0</x:v>
      </x:c>
      <x:c r="I141" s="34" t="n">
        <x:f>G141*F141*$D$134*$B$134/(1-$B$134)</x:f>
        <x:v>0</x:v>
      </x:c>
      <x:c r="J141" s="59" t="n">
        <x:v>1</x:v>
      </x:c>
      <x:c r="K141" s="34" t="n">
        <x:f>I141*J141</x:f>
        <x:v>0</x:v>
      </x:c>
      <x:c r="L141" s="30" t="str">
        <x:v>原通信行 108</x:v>
      </x:c>
    </x:row>
    <x:row r="142" ht="15" customHeight="1">
      <x:c r="A142" s="30" t="str">
        <x:v>Embedding TP</x:v>
      </x:c>
      <x:c r="B142" s="30" t="str">
        <x:v>Embedding</x:v>
      </x:c>
      <x:c r="C142" s="30" t="str">
        <x:v>Fine TP Hidden</x:v>
      </x:c>
      <x:c r="D142" s="34" t="n">
        <x:f>(K109*2^20)/1e9</x:f>
        <x:v>0</x:v>
      </x:c>
      <x:c r="E142" s="64" t="n">
        <x:f>$H$134</x:f>
        <x:v>100</x:v>
      </x:c>
      <x:c r="F142" s="59" t="n">
        <x:v>1</x:v>
      </x:c>
      <x:c r="G142" s="34" t="n">
        <x:f>IF(AND(ISNUMBER(E142),E142&gt;0,ISNUMBER($B$134),$B$134&gt;=0,$B$134&lt;1,ISNUMBER($D$134),$D$134&gt;=0,$D$134&lt;=1,ISNUMBER(F142),F142&gt;=0,F142&lt;=1,ISNUMBER(J142),J142&gt;=0,J142&lt;=1),D142/E142*1000,NA())</x:f>
        <x:v>0</x:v>
      </x:c>
      <x:c r="H142" s="34" t="n">
        <x:f>G142+I142</x:f>
        <x:v>0</x:v>
      </x:c>
      <x:c r="I142" s="34" t="n">
        <x:f>G142*F142*$D$134*$B$134/(1-$B$134)</x:f>
        <x:v>0</x:v>
      </x:c>
      <x:c r="J142" s="59" t="n">
        <x:v>1</x:v>
      </x:c>
      <x:c r="K142" s="34" t="n">
        <x:f>I142*J142</x:f>
        <x:v>0</x:v>
      </x:c>
      <x:c r="L142" s="30" t="str">
        <x:v>原通信行 109</x:v>
      </x:c>
    </x:row>
    <x:row r="143" ht="15" customHeight="1">
      <x:c r="A143" s="30" t="str">
        <x:v>DSA CP</x:v>
      </x:c>
      <x:c r="B143" s="30" t="str">
        <x:v>Sparse Attention</x:v>
      </x:c>
      <x:c r="C143" s="30" t="str">
        <x:v>Q/KV 投影输入</x:v>
      </x:c>
      <x:c r="D143" s="34" t="n">
        <x:f>(K110*2^20)/1e9</x:f>
        <x:v>0.315621376</x:v>
      </x:c>
      <x:c r="E143" s="64" t="n">
        <x:f>$H$134</x:f>
        <x:v>100</x:v>
      </x:c>
      <x:c r="F143" s="59" t="n">
        <x:v>1</x:v>
      </x:c>
      <x:c r="G143" s="34" t="n">
        <x:f>IF(AND(ISNUMBER(E143),E143&gt;0,ISNUMBER($B$134),$B$134&gt;=0,$B$134&lt;1,ISNUMBER($D$134),$D$134&gt;=0,$D$134&lt;=1,ISNUMBER(F143),F143&gt;=0,F143&lt;=1,ISNUMBER(J143),J143&gt;=0,J143&lt;=1),D143/E143*1000,NA())</x:f>
        <x:v>3.15621376</x:v>
      </x:c>
      <x:c r="H143" s="34" t="n">
        <x:f>G143+I143</x:f>
        <x:v>3.506904177777778</x:v>
      </x:c>
      <x:c r="I143" s="34" t="n">
        <x:f>G143*F143*$D$134*$B$134/(1-$B$134)</x:f>
        <x:v>0.35069041777777776</x:v>
      </x:c>
      <x:c r="J143" s="59" t="n">
        <x:v>1</x:v>
      </x:c>
      <x:c r="K143" s="34" t="n">
        <x:f>I143*J143</x:f>
        <x:v>0.35069041777777776</x:v>
      </x:c>
      <x:c r="L143" s="30" t="str">
        <x:v>原通信行 110</x:v>
      </x:c>
    </x:row>
    <x:row r="144" ht="15" customHeight="1">
      <x:c r="A144" s="30" t="str">
        <x:v>DSA CP</x:v>
      </x:c>
      <x:c r="B144" s="30" t="str">
        <x:v>Sparse Attention</x:v>
      </x:c>
      <x:c r="C144" s="30" t="str">
        <x:v>恢复 TP Head Layout</x:v>
      </x:c>
      <x:c r="D144" s="34" t="n">
        <x:f>(K111*2^20)/1e9</x:f>
        <x:v>0.315621376</x:v>
      </x:c>
      <x:c r="E144" s="64" t="n">
        <x:f>$H$134</x:f>
        <x:v>100</x:v>
      </x:c>
      <x:c r="F144" s="59" t="n">
        <x:v>1</x:v>
      </x:c>
      <x:c r="G144" s="34" t="n">
        <x:f>IF(AND(ISNUMBER(E144),E144&gt;0,ISNUMBER($B$134),$B$134&gt;=0,$B$134&lt;1,ISNUMBER($D$134),$D$134&gt;=0,$D$134&lt;=1,ISNUMBER(F144),F144&gt;=0,F144&lt;=1,ISNUMBER(J144),J144&gt;=0,J144&lt;=1),D144/E144*1000,NA())</x:f>
        <x:v>3.15621376</x:v>
      </x:c>
      <x:c r="H144" s="34" t="n">
        <x:f>G144+I144</x:f>
        <x:v>3.506904177777778</x:v>
      </x:c>
      <x:c r="I144" s="34" t="n">
        <x:f>G144*F144*$D$134*$B$134/(1-$B$134)</x:f>
        <x:v>0.35069041777777776</x:v>
      </x:c>
      <x:c r="J144" s="59" t="n">
        <x:v>1</x:v>
      </x:c>
      <x:c r="K144" s="34" t="n">
        <x:f>I144*J144</x:f>
        <x:v>0.35069041777777776</x:v>
      </x:c>
      <x:c r="L144" s="30" t="str">
        <x:v>原通信行 111</x:v>
      </x:c>
    </x:row>
    <x:row r="145" ht="15" customHeight="1">
      <x:c r="A145" s="30" t="str">
        <x:v>DSA CP</x:v>
      </x:c>
      <x:c r="B145" s="30" t="str">
        <x:v>Indexer</x:v>
      </x:c>
      <x:c r="C145" s="30" t="str">
        <x:v>Top-k Index</x:v>
      </x:c>
      <x:c r="D145" s="34" t="n">
        <x:f>(K112*2^20)/1e9</x:f>
        <x:v>0.038535168</x:v>
      </x:c>
      <x:c r="E145" s="64" t="n">
        <x:f>$H$134</x:f>
        <x:v>100</x:v>
      </x:c>
      <x:c r="F145" s="59" t="n">
        <x:v>1</x:v>
      </x:c>
      <x:c r="G145" s="34" t="n">
        <x:f>IF(AND(ISNUMBER(E145),E145&gt;0,ISNUMBER($B$134),$B$134&gt;=0,$B$134&lt;1,ISNUMBER($D$134),$D$134&gt;=0,$D$134&lt;=1,ISNUMBER(F145),F145&gt;=0,F145&lt;=1,ISNUMBER(J145),J145&gt;=0,J145&lt;=1),D145/E145*1000,NA())</x:f>
        <x:v>0.38535168000000003</x:v>
      </x:c>
      <x:c r="H145" s="34" t="n">
        <x:f>G145+I145</x:f>
        <x:v>0.4281685333333334</x:v>
      </x:c>
      <x:c r="I145" s="34" t="n">
        <x:f>G145*F145*$D$134*$B$134/(1-$B$134)</x:f>
        <x:v>0.04281685333333334</x:v>
      </x:c>
      <x:c r="J145" s="59" t="n">
        <x:v>1</x:v>
      </x:c>
      <x:c r="K145" s="34" t="n">
        <x:f>I145*J145</x:f>
        <x:v>0.04281685333333334</x:v>
      </x:c>
      <x:c r="L145" s="30" t="str">
        <x:v>原通信行 112</x:v>
      </x:c>
    </x:row>
    <x:row r="146" ht="15" customHeight="1">
      <x:c r="A146" s="30" t="str">
        <x:v>O Proj TP</x:v>
      </x:c>
      <x:c r="B146" s="30" t="str">
        <x:v>Sparse Attention</x:v>
      </x:c>
      <x:c r="C146" s="30" t="str">
        <x:v>DSA CP 关闭</x:v>
      </x:c>
      <x:c r="D146" s="34" t="n">
        <x:f>(K113*2^20)/1e9</x:f>
        <x:v>0</x:v>
      </x:c>
      <x:c r="E146" s="64" t="n">
        <x:f>$H$134</x:f>
        <x:v>100</x:v>
      </x:c>
      <x:c r="F146" s="59" t="n">
        <x:v>1</x:v>
      </x:c>
      <x:c r="G146" s="34" t="n">
        <x:f>IF(AND(ISNUMBER(E146),E146&gt;0,ISNUMBER($B$134),$B$134&gt;=0,$B$134&lt;1,ISNUMBER($D$134),$D$134&gt;=0,$D$134&lt;=1,ISNUMBER(F146),F146&gt;=0,F146&lt;=1,ISNUMBER(J146),J146&gt;=0,J146&lt;=1),D146/E146*1000,NA())</x:f>
        <x:v>0</x:v>
      </x:c>
      <x:c r="H146" s="34" t="n">
        <x:f>G146+I146</x:f>
        <x:v>0</x:v>
      </x:c>
      <x:c r="I146" s="34" t="n">
        <x:f>G146*F146*$D$134*$B$134/(1-$B$134)</x:f>
        <x:v>0</x:v>
      </x:c>
      <x:c r="J146" s="59" t="n">
        <x:v>1</x:v>
      </x:c>
      <x:c r="K146" s="34" t="n">
        <x:f>I146*J146</x:f>
        <x:v>0</x:v>
      </x:c>
      <x:c r="L146" s="30" t="str">
        <x:v>原通信行 113</x:v>
      </x:c>
    </x:row>
    <x:row r="147" ht="15" customHeight="1">
      <x:c r="A147" s="30" t="str">
        <x:v>EP</x:v>
      </x:c>
      <x:c r="B147" s="30" t="str">
        <x:v>Routed Experts</x:v>
      </x:c>
      <x:c r="C147" s="30" t="str">
        <x:v>MC2 FullMesh Dispatch</x:v>
      </x:c>
      <x:c r="D147" s="34" t="n">
        <x:f>(IF(F114=2,E114/4096*H114*(ROUNDUP((ROUNDUP(4096*F114/32,0)*32+32)/480,0)*512),NA()))/1e9</x:f>
        <x:v>0.266305536</x:v>
      </x:c>
      <x:c r="E147" s="64" t="n">
        <x:f>$H$134</x:f>
        <x:v>100</x:v>
      </x:c>
      <x:c r="F147" s="59" t="n">
        <x:v>1</x:v>
      </x:c>
      <x:c r="G147" s="34" t="n">
        <x:f>IF(AND(ISNUMBER(E147),E147&gt;0,ISNUMBER($B$134),$B$134&gt;=0,$B$134&lt;1,ISNUMBER($D$134),$D$134&gt;=0,$D$134&lt;=1,ISNUMBER(F147),F147&gt;=0,F147&lt;=1,ISNUMBER(J147),J147&gt;=0,J147&lt;=1),D147/E147*1000,NA())</x:f>
        <x:v>2.66305536</x:v>
      </x:c>
      <x:c r="H147" s="34" t="n">
        <x:f>G147+I147</x:f>
        <x:v>2.9589504</x:v>
      </x:c>
      <x:c r="I147" s="34" t="n">
        <x:f>G147*F147*$D$134*$B$134/(1-$B$134)</x:f>
        <x:v>0.29589504</x:v>
      </x:c>
      <x:c r="J147" s="59" t="n">
        <x:v>1</x:v>
      </x:c>
      <x:c r="K147" s="34" t="n">
        <x:f>I147*J147</x:f>
        <x:v>0.29589504</x:v>
      </x:c>
      <x:c r="L147" s="30" t="str">
        <x:v>原通信行 114</x:v>
      </x:c>
    </x:row>
    <x:row r="148" ht="15" customHeight="1">
      <x:c r="A148" s="30" t="str">
        <x:v>EP</x:v>
      </x:c>
      <x:c r="B148" s="30" t="str">
        <x:v>Routed Experts</x:v>
      </x:c>
      <x:c r="C148" s="30" t="str">
        <x:v>MC2 Combine + flags</x:v>
      </x:c>
      <x:c r="D148" s="34" t="n">
        <x:f>(IF(F115=2,K115*2^20+E115/4096*H115*32,NA()))/1e9</x:f>
        <x:v>0.237640704</x:v>
      </x:c>
      <x:c r="E148" s="64" t="n">
        <x:f>$H$134</x:f>
        <x:v>100</x:v>
      </x:c>
      <x:c r="F148" s="59" t="n">
        <x:v>1</x:v>
      </x:c>
      <x:c r="G148" s="34" t="n">
        <x:f>IF(AND(ISNUMBER(E148),E148&gt;0,ISNUMBER($B$134),$B$134&gt;=0,$B$134&lt;1,ISNUMBER($D$134),$D$134&gt;=0,$D$134&lt;=1,ISNUMBER(F148),F148&gt;=0,F148&lt;=1,ISNUMBER(J148),J148&gt;=0,J148&lt;=1),D148/E148*1000,NA())</x:f>
        <x:v>2.37640704</x:v>
      </x:c>
      <x:c r="H148" s="34" t="n">
        <x:f>G148+I148</x:f>
        <x:v>2.6404522666666668</x:v>
      </x:c>
      <x:c r="I148" s="34" t="n">
        <x:f>G148*F148*$D$134*$B$134/(1-$B$134)</x:f>
        <x:v>0.2640452266666667</x:v>
      </x:c>
      <x:c r="J148" s="59" t="n">
        <x:v>1</x:v>
      </x:c>
      <x:c r="K148" s="34" t="n">
        <x:f>I148*J148</x:f>
        <x:v>0.2640452266666667</x:v>
      </x:c>
      <x:c r="L148" s="30" t="str">
        <x:v>原通信行 115</x:v>
      </x:c>
    </x:row>
    <x:row r="149" ht="15" customHeight="1">
      <x:c r="A149" s="30" t="str">
        <x:v>DP</x:v>
      </x:c>
      <x:c r="B149" s="30" t="str">
        <x:v>MoE</x:v>
      </x:c>
      <x:c r="C149" s="30" t="str">
        <x:v>Hidden 输入</x:v>
      </x:c>
      <x:c r="D149" s="34" t="n">
        <x:f>(K116*2^20)/1e9</x:f>
        <x:v>0</x:v>
      </x:c>
      <x:c r="E149" s="64" t="n">
        <x:f>$H$134</x:f>
        <x:v>100</x:v>
      </x:c>
      <x:c r="F149" s="59" t="n">
        <x:v>1</x:v>
      </x:c>
      <x:c r="G149" s="34" t="n">
        <x:f>IF(AND(ISNUMBER(E149),E149&gt;0,ISNUMBER($B$134),$B$134&gt;=0,$B$134&lt;1,ISNUMBER($D$134),$D$134&gt;=0,$D$134&lt;=1,ISNUMBER(F149),F149&gt;=0,F149&lt;=1,ISNUMBER(J149),J149&gt;=0,J149&lt;=1),D149/E149*1000,NA())</x:f>
        <x:v>0</x:v>
      </x:c>
      <x:c r="H149" s="34" t="n">
        <x:f>G149+I149</x:f>
        <x:v>0</x:v>
      </x:c>
      <x:c r="I149" s="34" t="n">
        <x:f>G149*F149*$D$134*$B$134/(1-$B$134)</x:f>
        <x:v>0</x:v>
      </x:c>
      <x:c r="J149" s="59" t="n">
        <x:v>1</x:v>
      </x:c>
      <x:c r="K149" s="34" t="n">
        <x:f>I149*J149</x:f>
        <x:v>0</x:v>
      </x:c>
      <x:c r="L149" s="30" t="str">
        <x:v>原通信行 116</x:v>
      </x:c>
    </x:row>
    <x:row r="150" ht="15" customHeight="1">
      <x:c r="A150" s="30" t="str">
        <x:v>DP</x:v>
      </x:c>
      <x:c r="B150" s="30" t="str">
        <x:v>MoE Router</x:v>
      </x:c>
      <x:c r="C150" s="30" t="str">
        <x:v>Router Logits</x:v>
      </x:c>
      <x:c r="D150" s="34" t="n">
        <x:f>(K117*2^20)/1e9</x:f>
        <x:v>0</x:v>
      </x:c>
      <x:c r="E150" s="64" t="n">
        <x:f>$H$134</x:f>
        <x:v>100</x:v>
      </x:c>
      <x:c r="F150" s="59" t="n">
        <x:v>1</x:v>
      </x:c>
      <x:c r="G150" s="34" t="n">
        <x:f>IF(AND(ISNUMBER(E150),E150&gt;0,ISNUMBER($B$134),$B$134&gt;=0,$B$134&lt;1,ISNUMBER($D$134),$D$134&gt;=0,$D$134&lt;=1,ISNUMBER(F150),F150&gt;=0,F150&lt;=1,ISNUMBER(J150),J150&gt;=0,J150&lt;=1),D150/E150*1000,NA())</x:f>
        <x:v>0</x:v>
      </x:c>
      <x:c r="H150" s="34" t="n">
        <x:f>G150+I150</x:f>
        <x:v>0</x:v>
      </x:c>
      <x:c r="I150" s="34" t="n">
        <x:f>G150*F150*$D$134*$B$134/(1-$B$134)</x:f>
        <x:v>0</x:v>
      </x:c>
      <x:c r="J150" s="59" t="n">
        <x:v>1</x:v>
      </x:c>
      <x:c r="K150" s="34" t="n">
        <x:f>I150*J150</x:f>
        <x:v>0</x:v>
      </x:c>
      <x:c r="L150" s="30" t="str">
        <x:v>原通信行 117</x:v>
      </x:c>
    </x:row>
    <x:row r="151" ht="15" customHeight="1">
      <x:c r="A151" s="30" t="str">
        <x:v>DP</x:v>
      </x:c>
      <x:c r="B151" s="30" t="str">
        <x:v>MoE</x:v>
      </x:c>
      <x:c r="C151" s="30" t="str">
        <x:v>Routed Expert 输出</x:v>
      </x:c>
      <x:c r="D151" s="34" t="n">
        <x:f>(K118*2^20)/1e9</x:f>
        <x:v>0</x:v>
      </x:c>
      <x:c r="E151" s="64" t="n">
        <x:f>$H$134</x:f>
        <x:v>100</x:v>
      </x:c>
      <x:c r="F151" s="59" t="n">
        <x:v>1</x:v>
      </x:c>
      <x:c r="G151" s="34" t="n">
        <x:f>IF(AND(ISNUMBER(E151),E151&gt;0,ISNUMBER($B$134),$B$134&gt;=0,$B$134&lt;1,ISNUMBER($D$134),$D$134&gt;=0,$D$134&lt;=1,ISNUMBER(F151),F151&gt;=0,F151&lt;=1,ISNUMBER(J151),J151&gt;=0,J151&lt;=1),D151/E151*1000,NA())</x:f>
        <x:v>0</x:v>
      </x:c>
      <x:c r="H151" s="34" t="n">
        <x:f>G151+I151</x:f>
        <x:v>0</x:v>
      </x:c>
      <x:c r="I151" s="34" t="n">
        <x:f>G151*F151*$D$134*$B$134/(1-$B$134)</x:f>
        <x:v>0</x:v>
      </x:c>
      <x:c r="J151" s="59" t="n">
        <x:v>1</x:v>
      </x:c>
      <x:c r="K151" s="34" t="n">
        <x:f>I151*J151</x:f>
        <x:v>0</x:v>
      </x:c>
      <x:c r="L151" s="30" t="str">
        <x:v>原通信行 118</x:v>
      </x:c>
    </x:row>
    <x:row r="152" ht="15" customHeight="1">
      <x:c r="A152" s="30" t="str">
        <x:v>共享专家 TP</x:v>
      </x:c>
      <x:c r="B152" s="30" t="str">
        <x:v>Shared Experts</x:v>
      </x:c>
      <x:c r="C152" s="30" t="str">
        <x:v>SP 输入</x:v>
      </x:c>
      <x:c r="D152" s="34" t="n">
        <x:f>(K119*2^20)/1e9</x:f>
        <x:v>0.315621376</x:v>
      </x:c>
      <x:c r="E152" s="64" t="n">
        <x:f>$H$134</x:f>
        <x:v>100</x:v>
      </x:c>
      <x:c r="F152" s="59" t="n">
        <x:v>1</x:v>
      </x:c>
      <x:c r="G152" s="34" t="n">
        <x:f>IF(AND(ISNUMBER(E152),E152&gt;0,ISNUMBER($B$134),$B$134&gt;=0,$B$134&lt;1,ISNUMBER($D$134),$D$134&gt;=0,$D$134&lt;=1,ISNUMBER(F152),F152&gt;=0,F152&lt;=1,ISNUMBER(J152),J152&gt;=0,J152&lt;=1),D152/E152*1000,NA())</x:f>
        <x:v>3.15621376</x:v>
      </x:c>
      <x:c r="H152" s="34" t="n">
        <x:f>G152+I152</x:f>
        <x:v>3.506904177777778</x:v>
      </x:c>
      <x:c r="I152" s="34" t="n">
        <x:f>G152*F152*$D$134*$B$134/(1-$B$134)</x:f>
        <x:v>0.35069041777777776</x:v>
      </x:c>
      <x:c r="J152" s="59" t="n">
        <x:v>1</x:v>
      </x:c>
      <x:c r="K152" s="34" t="n">
        <x:f>I152*J152</x:f>
        <x:v>0.35069041777777776</x:v>
      </x:c>
      <x:c r="L152" s="30" t="str">
        <x:v>原通信行 119</x:v>
      </x:c>
    </x:row>
    <x:row r="153" ht="15" customHeight="1">
      <x:c r="A153" s="30" t="str">
        <x:v>共享专家 TP</x:v>
      </x:c>
      <x:c r="B153" s="30" t="str">
        <x:v>Shared Experts</x:v>
      </x:c>
      <x:c r="C153" s="30" t="str">
        <x:v>SP 输出</x:v>
      </x:c>
      <x:c r="D153" s="34" t="n">
        <x:f>(K120*2^20)/1e9</x:f>
        <x:v>0.315621376</x:v>
      </x:c>
      <x:c r="E153" s="64" t="n">
        <x:f>$H$134</x:f>
        <x:v>100</x:v>
      </x:c>
      <x:c r="F153" s="59" t="n">
        <x:v>1</x:v>
      </x:c>
      <x:c r="G153" s="34" t="n">
        <x:f>IF(AND(ISNUMBER(E153),E153&gt;0,ISNUMBER($B$134),$B$134&gt;=0,$B$134&lt;1,ISNUMBER($D$134),$D$134&gt;=0,$D$134&lt;=1,ISNUMBER(F153),F153&gt;=0,F153&lt;=1,ISNUMBER(J153),J153&gt;=0,J153&lt;=1),D153/E153*1000,NA())</x:f>
        <x:v>3.15621376</x:v>
      </x:c>
      <x:c r="H153" s="34" t="n">
        <x:f>G153+I153</x:f>
        <x:v>3.506904177777778</x:v>
      </x:c>
      <x:c r="I153" s="34" t="n">
        <x:f>G153*F153*$D$134*$B$134/(1-$B$134)</x:f>
        <x:v>0.35069041777777776</x:v>
      </x:c>
      <x:c r="J153" s="59" t="n">
        <x:v>1</x:v>
      </x:c>
      <x:c r="K153" s="34" t="n">
        <x:f>I153*J153</x:f>
        <x:v>0.35069041777777776</x:v>
      </x:c>
      <x:c r="L153" s="30" t="str">
        <x:v>原通信行 120</x:v>
      </x:c>
    </x:row>
    <x:row r="154" ht="15" customHeight="1">
      <x:c r="A154" s="30" t="str">
        <x:v>共享专家 TP</x:v>
      </x:c>
      <x:c r="B154" s="30" t="str">
        <x:v>Shared Experts</x:v>
      </x:c>
      <x:c r="C154" s="30" t="str">
        <x:v>非 SP 输出</x:v>
      </x:c>
      <x:c r="D154" s="34" t="n">
        <x:f>(K121*2^20)/1e9</x:f>
        <x:v>0</x:v>
      </x:c>
      <x:c r="E154" s="64" t="n">
        <x:f>$H$134</x:f>
        <x:v>100</x:v>
      </x:c>
      <x:c r="F154" s="59" t="n">
        <x:v>1</x:v>
      </x:c>
      <x:c r="G154" s="34" t="n">
        <x:f>IF(AND(ISNUMBER(E154),E154&gt;0,ISNUMBER($B$134),$B$134&gt;=0,$B$134&lt;1,ISNUMBER($D$134),$D$134&gt;=0,$D$134&lt;=1,ISNUMBER(F154),F154&gt;=0,F154&lt;=1,ISNUMBER(J154),J154&gt;=0,J154&lt;=1),D154/E154*1000,NA())</x:f>
        <x:v>0</x:v>
      </x:c>
      <x:c r="H154" s="34" t="n">
        <x:f>G154+I154</x:f>
        <x:v>0</x:v>
      </x:c>
      <x:c r="I154" s="34" t="n">
        <x:f>G154*F154*$D$134*$B$134/(1-$B$134)</x:f>
        <x:v>0</x:v>
      </x:c>
      <x:c r="J154" s="59" t="n">
        <x:v>1</x:v>
      </x:c>
      <x:c r="K154" s="34" t="n">
        <x:f>I154*J154</x:f>
        <x:v>0</x:v>
      </x:c>
      <x:c r="L154" s="30" t="str">
        <x:v>原通信行 121</x:v>
      </x:c>
    </x:row>
    <x:row r="155" ht="15" customHeight="1">
      <x:c r="A155" s="30" t="str">
        <x:v>SP</x:v>
      </x:c>
      <x:c r="B155" s="30" t="str">
        <x:v>Model Output</x:v>
      </x:c>
      <x:c r="C155" s="30" t="str">
        <x:v>Final Norm 后</x:v>
      </x:c>
      <x:c r="D155" s="34" t="n">
        <x:f>(K122*2^20)/1e9</x:f>
        <x:v>0.007340032</x:v>
      </x:c>
      <x:c r="E155" s="64" t="n">
        <x:f>$H$134</x:f>
        <x:v>100</x:v>
      </x:c>
      <x:c r="F155" s="59" t="n">
        <x:v>1</x:v>
      </x:c>
      <x:c r="G155" s="34" t="n">
        <x:f>IF(AND(ISNUMBER(E155),E155&gt;0,ISNUMBER($B$134),$B$134&gt;=0,$B$134&lt;1,ISNUMBER($D$134),$D$134&gt;=0,$D$134&lt;=1,ISNUMBER(F155),F155&gt;=0,F155&lt;=1,ISNUMBER(J155),J155&gt;=0,J155&lt;=1),D155/E155*1000,NA())</x:f>
        <x:v>0.07340032</x:v>
      </x:c>
      <x:c r="H155" s="34" t="n">
        <x:f>G155+I155</x:f>
        <x:v>0.08155591111111112</x:v>
      </x:c>
      <x:c r="I155" s="34" t="n">
        <x:f>G155*F155*$D$134*$B$134/(1-$B$134)</x:f>
        <x:v>0.008155591111111112</x:v>
      </x:c>
      <x:c r="J155" s="59" t="n">
        <x:v>1</x:v>
      </x:c>
      <x:c r="K155" s="34" t="n">
        <x:f>I155*J155</x:f>
        <x:v>0.008155591111111112</x:v>
      </x:c>
      <x:c r="L155" s="30" t="str">
        <x:v>原通信行 122</x:v>
      </x:c>
    </x:row>
    <x:row r="156" ht="15" customHeight="1">
      <x:c r="A156" s="30" t="str">
        <x:v>LM Head TP</x:v>
      </x:c>
      <x:c r="B156" s="30" t="str">
        <x:v>LM Head</x:v>
      </x:c>
      <x:c r="C156" s="30" t="str">
        <x:v>完整 Logits</x:v>
      </x:c>
      <x:c r="D156" s="34" t="n">
        <x:f>(K123*2^20)/1e9</x:f>
        <x:v>0</x:v>
      </x:c>
      <x:c r="E156" s="64" t="n">
        <x:f>$H$134</x:f>
        <x:v>100</x:v>
      </x:c>
      <x:c r="F156" s="59" t="n">
        <x:v>1</x:v>
      </x:c>
      <x:c r="G156" s="34" t="n">
        <x:f>IF(AND(ISNUMBER(E156),E156&gt;0,ISNUMBER($B$134),$B$134&gt;=0,$B$134&lt;1,ISNUMBER($D$134),$D$134&gt;=0,$D$134&lt;=1,ISNUMBER(F156),F156&gt;=0,F156&lt;=1,ISNUMBER(J156),J156&gt;=0,J156&lt;=1),D156/E156*1000,NA())</x:f>
        <x:v>0</x:v>
      </x:c>
      <x:c r="H156" s="34" t="n">
        <x:f>G156+I156</x:f>
        <x:v>0</x:v>
      </x:c>
      <x:c r="I156" s="34" t="n">
        <x:f>G156*F156*$D$134*$B$134/(1-$B$134)</x:f>
        <x:v>0</x:v>
      </x:c>
      <x:c r="J156" s="59" t="n">
        <x:v>1</x:v>
      </x:c>
      <x:c r="K156" s="34" t="n">
        <x:f>I156*J156</x:f>
        <x:v>0</x:v>
      </x:c>
      <x:c r="L156" s="30" t="str">
        <x:v>原通信行 123</x:v>
      </x:c>
    </x:row>
    <x:row r="157" ht="15" customHeight="1">
      <x:c r="A157" s="30" t="str">
        <x:v>LM Head TP</x:v>
      </x:c>
      <x:c r="B157" s="30" t="str">
        <x:v>LM Head</x:v>
      </x:c>
      <x:c r="C157" s="30" t="str">
        <x:v>Reduce Sample</x:v>
      </x:c>
      <x:c r="D157" s="34" t="n">
        <x:f>(K124*2^20)/1e9</x:f>
        <x:v>0.011010048</x:v>
      </x:c>
      <x:c r="E157" s="64" t="n">
        <x:f>$H$134</x:f>
        <x:v>100</x:v>
      </x:c>
      <x:c r="F157" s="59" t="n">
        <x:v>1</x:v>
      </x:c>
      <x:c r="G157" s="34" t="n">
        <x:f>IF(AND(ISNUMBER(E157),E157&gt;0,ISNUMBER($B$134),$B$134&gt;=0,$B$134&lt;1,ISNUMBER($D$134),$D$134&gt;=0,$D$134&lt;=1,ISNUMBER(F157),F157&gt;=0,F157&lt;=1,ISNUMBER(J157),J157&gt;=0,J157&lt;=1),D157/E157*1000,NA())</x:f>
        <x:v>0.11010048</x:v>
      </x:c>
      <x:c r="H157" s="34" t="n">
        <x:f>G157+I157</x:f>
        <x:v>0.12233386666666667</x:v>
      </x:c>
      <x:c r="I157" s="34" t="n">
        <x:f>G157*F157*$D$134*$B$134/(1-$B$134)</x:f>
        <x:v>0.012233386666666669</x:v>
      </x:c>
      <x:c r="J157" s="59" t="n">
        <x:v>1</x:v>
      </x:c>
      <x:c r="K157" s="34" t="n">
        <x:f>I157*J157</x:f>
        <x:v>0.012233386666666669</x:v>
      </x:c>
      <x:c r="L157" s="30" t="str">
        <x:v>原通信行 124</x:v>
      </x:c>
    </x:row>
    <x:row r="158" ht="15" customHeight="1">
      <x:c r="A158" s="30" t="str">
        <x:v>Fine LM Head TP</x:v>
      </x:c>
      <x:c r="B158" s="30" t="str">
        <x:v>LM Head</x:v>
      </x:c>
      <x:c r="C158" s="30" t="str">
        <x:v>Hidden 输入</x:v>
      </x:c>
      <x:c r="D158" s="34" t="n">
        <x:f>(K125*2^20)/1e9</x:f>
        <x:v>0</x:v>
      </x:c>
      <x:c r="E158" s="64" t="n">
        <x:f>$H$134</x:f>
        <x:v>100</x:v>
      </x:c>
      <x:c r="F158" s="59" t="n">
        <x:v>1</x:v>
      </x:c>
      <x:c r="G158" s="34" t="n">
        <x:f>IF(AND(ISNUMBER(E158),E158&gt;0,ISNUMBER($B$134),$B$134&gt;=0,$B$134&lt;1,ISNUMBER($D$134),$D$134&gt;=0,$D$134&lt;=1,ISNUMBER(F158),F158&gt;=0,F158&lt;=1,ISNUMBER(J158),J158&gt;=0,J158&lt;=1),D158/E158*1000,NA())</x:f>
        <x:v>0</x:v>
      </x:c>
      <x:c r="H158" s="34" t="n">
        <x:f>G158+I158</x:f>
        <x:v>0</x:v>
      </x:c>
      <x:c r="I158" s="34" t="n">
        <x:f>G158*F158*$D$134*$B$134/(1-$B$134)</x:f>
        <x:v>0</x:v>
      </x:c>
      <x:c r="J158" s="59" t="n">
        <x:v>1</x:v>
      </x:c>
      <x:c r="K158" s="34" t="n">
        <x:f>I158*J158</x:f>
        <x:v>0</x:v>
      </x:c>
      <x:c r="L158" s="30" t="str">
        <x:v>原通信行 125</x:v>
      </x:c>
    </x:row>
    <x:row r="159" ht="15" customHeight="1">
      <x:c r="A159" s="30" t="str">
        <x:v>Fine LM Head TP</x:v>
      </x:c>
      <x:c r="B159" s="30" t="str">
        <x:v>LM Head</x:v>
      </x:c>
      <x:c r="C159" s="30" t="str">
        <x:v>完整 Logits</x:v>
      </x:c>
      <x:c r="D159" s="34" t="n">
        <x:f>(K126*2^20)/1e9</x:f>
        <x:v>0</x:v>
      </x:c>
      <x:c r="E159" s="64" t="n">
        <x:f>$H$134</x:f>
        <x:v>100</x:v>
      </x:c>
      <x:c r="F159" s="59" t="n">
        <x:v>1</x:v>
      </x:c>
      <x:c r="G159" s="34" t="n">
        <x:f>IF(AND(ISNUMBER(E159),E159&gt;0,ISNUMBER($B$134),$B$134&gt;=0,$B$134&lt;1,ISNUMBER($D$134),$D$134&gt;=0,$D$134&lt;=1,ISNUMBER(F159),F159&gt;=0,F159&lt;=1,ISNUMBER(J159),J159&gt;=0,J159&lt;=1),D159/E159*1000,NA())</x:f>
        <x:v>0</x:v>
      </x:c>
      <x:c r="H159" s="34" t="n">
        <x:f>G159+I159</x:f>
        <x:v>0</x:v>
      </x:c>
      <x:c r="I159" s="34" t="n">
        <x:f>G159*F159*$D$134*$B$134/(1-$B$134)</x:f>
        <x:v>0</x:v>
      </x:c>
      <x:c r="J159" s="59" t="n">
        <x:v>1</x:v>
      </x:c>
      <x:c r="K159" s="34" t="n">
        <x:f>I159*J159</x:f>
        <x:v>0</x:v>
      </x:c>
      <x:c r="L159" s="30" t="str">
        <x:v>原通信行 126</x:v>
      </x:c>
    </x:row>
    <x:row r="160" ht="15" customHeight="1">
      <x:c r="A160" s="30" t="str">
        <x:v>Fine LM Head TP</x:v>
      </x:c>
      <x:c r="B160" s="30" t="str">
        <x:v>LM Head</x:v>
      </x:c>
      <x:c r="C160" s="30" t="str">
        <x:v>Reduce Sample</x:v>
      </x:c>
      <x:c r="D160" s="34" t="n">
        <x:f>(K127*2^20)/1e9</x:f>
        <x:v>0</x:v>
      </x:c>
      <x:c r="E160" s="64" t="n">
        <x:f>$H$134</x:f>
        <x:v>100</x:v>
      </x:c>
      <x:c r="F160" s="59" t="n">
        <x:v>1</x:v>
      </x:c>
      <x:c r="G160" s="34" t="n">
        <x:f>IF(AND(ISNUMBER(E160),E160&gt;0,ISNUMBER($B$134),$B$134&gt;=0,$B$134&lt;1,ISNUMBER($D$134),$D$134&gt;=0,$D$134&lt;=1,ISNUMBER(F160),F160&gt;=0,F160&lt;=1,ISNUMBER(J160),J160&gt;=0,J160&lt;=1),D160/E160*1000,NA())</x:f>
        <x:v>0</x:v>
      </x:c>
      <x:c r="H160" s="34" t="n">
        <x:f>G160+I160</x:f>
        <x:v>0</x:v>
      </x:c>
      <x:c r="I160" s="34" t="n">
        <x:f>G160*F160*$D$134*$B$134/(1-$B$134)</x:f>
        <x:v>0</x:v>
      </x:c>
      <x:c r="J160" s="59" t="n">
        <x:v>1</x:v>
      </x:c>
      <x:c r="K160" s="34" t="n">
        <x:f>I160*J160</x:f>
        <x:v>0</x:v>
      </x:c>
      <x:c r="L160" s="30" t="str">
        <x:v>原通信行 127</x:v>
      </x:c>
    </x:row>
    <x:row r="161" ht="15" customHeight="1">
      <x:c r="A161" s="30" t="str">
        <x:v>EP</x:v>
      </x:c>
      <x:c r="B161" s="30" t="str">
        <x:v>MoE 计数</x:v>
      </x:c>
      <x:c r="C161" s="30" t="str">
        <x:v>MC2 count 写入</x:v>
      </x:c>
      <x:c r="D161" s="34" t="n">
        <x:f>(IF(E114=0,0,H114*ROUNDUP(256/G114,0)*(G114-1)*32))/1e9</x:f>
        <x:v>0.000308224</x:v>
      </x:c>
      <x:c r="E161" s="64" t="n">
        <x:f>$H$134</x:f>
        <x:v>100</x:v>
      </x:c>
      <x:c r="F161" s="59" t="n">
        <x:v>1</x:v>
      </x:c>
      <x:c r="G161" s="34" t="n">
        <x:f>IF(AND(ISNUMBER(E161),E161&gt;0,ISNUMBER($B$134),$B$134&gt;=0,$B$134&lt;1,ISNUMBER($D$134),$D$134&gt;=0,$D$134&lt;=1,ISNUMBER(F161),F161&gt;=0,F161&lt;=1,ISNUMBER(J161),J161&gt;=0,J161&lt;=1),D161/E161*1000,NA())</x:f>
        <x:v>0.00308224</x:v>
      </x:c>
      <x:c r="H161" s="34" t="n">
        <x:f>G161+I161</x:f>
        <x:v>0.003424711111111111</x:v>
      </x:c>
      <x:c r="I161" s="34" t="n">
        <x:f>G161*F161*$D$134*$B$134/(1-$B$134)</x:f>
        <x:v>0.0003424711111111111</x:v>
      </x:c>
      <x:c r="J161" s="59" t="n">
        <x:v>1</x:v>
      </x:c>
      <x:c r="K161" s="34" t="n">
        <x:f>I161*J161</x:f>
        <x:v>0.0003424711111111111</x:v>
      </x:c>
      <x:c r="L161" s="30" t="str">
        <x:v>额外控制量</x:v>
      </x:c>
    </x:row>
    <x:row r="162" ht="15" customHeight="1">
      <x:c r="A162" s="40" t="str">
        <x:v>所列事件串行相加</x:v>
      </x:c>
      <x:c r="B162" s="40"/>
      <x:c r="C162" s="40"/>
      <x:c r="D162" s="41" t="n">
        <x:f>SUM(D140:D161)</x:f>
        <x:v>1.83830528</x:v>
      </x:c>
      <x:c r="E162" s="40"/>
      <x:c r="F162" s="40"/>
      <x:c r="G162" s="41" t="n">
        <x:f>SUM(G140:G161)</x:f>
        <x:v>18.3830528</x:v>
      </x:c>
      <x:c r="H162" s="41" t="n">
        <x:f>SUM(H140:H161)</x:f>
        <x:v>20.42561422222222</x:v>
      </x:c>
      <x:c r="I162" s="41" t="n">
        <x:f>SUM(I140:I161)</x:f>
        <x:v>2.0425614222222226</x:v>
      </x:c>
      <x:c r="J162" s="40"/>
      <x:c r="K162" s="41" t="n">
        <x:f>SUM(K140:K161)</x:f>
        <x:v>2.0425614222222226</x:v>
      </x:c>
      <x:c r="L162" s="40"/>
    </x:row>
  </x:sheetData>
  <x:conditionalFormatting sqref="L136:L136">
    <x:cfRule type="containsText" dxfId="1" priority="1" operator="containsText" text="不一致"/>
  </x:conditionalFormatting>
  <x:pageMargins left="0.7" right="0.7" top="0.75" bottom="0.75" header="0.3" footer="0.3"/>
</x:worksheet>
</file>