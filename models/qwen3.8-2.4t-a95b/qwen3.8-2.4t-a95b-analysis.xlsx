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b2862e735c48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be9f251289ff46c3"/>
    <x:sheet xmlns:r="http://schemas.openxmlformats.org/officeDocument/2006/relationships" name="Decode" sheetId="2" r:id="R5d0433c16f91479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8cee0d5613495d" /><Relationship Type="http://schemas.openxmlformats.org/officeDocument/2006/relationships/theme" Target="/xl/theme/theme1.xml" Id="R8bbdde70f5f94407" /><Relationship Type="http://schemas.openxmlformats.org/officeDocument/2006/relationships/sharedStrings" Target="/xl/sharedStrings.xml" Id="Ra27e0b6d7e894327" /><Relationship Type="http://schemas.openxmlformats.org/officeDocument/2006/relationships/worksheet" Target="/xl/worksheets/sheet1.xml" Id="Rbe9f251289ff46c3" /><Relationship Type="http://schemas.openxmlformats.org/officeDocument/2006/relationships/worksheet" Target="/xl/worksheets/sheet2.xml" Id="R5d0433c16f91479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'Prefill'!$P$12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'Prefill'!$P$12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'Prefill'!$P$12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IF('Prefill'!$P$19&gt;0,'Prefill'!$P$19,'Prefill'!$P$12)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'Prefill'!$P$12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/>
      <x:c r="P16" s="35"/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'Prefill'!$P$12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'Prefill'!$P$12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'Prefill'!$P$12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'Prefill'!$P$12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'Prefill'!$P$12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'Prefill'!$P$14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'Prefill'!$P$7*8192</x:f>
        <x:v>67108864</x:v>
      </x:c>
      <x:c r="F51" s="33" t="n">
        <x:f>'Prefill'!$P$28</x:f>
        <x:v>2</x:v>
      </x:c>
      <x:c r="G51" s="33" t="n">
        <x:f>IF('Prefill'!$P$21&gt;0,'Prefill'!$P$21,'Prefill'!$P$12)</x:f>
        <x:v>8</x:v>
      </x:c>
      <x:c r="H51" s="33" t="n">
        <x:f>IF(AND(IF('Prefill'!$P$21&gt;0,'Prefill'!$P$21,'Prefill'!$P$12)&gt;1,'Prefill'!$P$24=0),1,0)</x:f>
        <x:v>1</x:v>
      </x:c>
      <x:c r="I51" s="34" t="n">
        <x:f>E51*F51/1048576</x:f>
        <x:v>128</x:v>
      </x:c>
      <x:c r="J51" s="34" t="n">
        <x:f>I51*(IF(G51&gt;1,2*(G51-1)/G51,0))</x:f>
        <x:v>224</x:v>
      </x:c>
      <x:c r="K51" s="34" t="n">
        <x:f>J51*H51</x:f>
        <x:v>224</x:v>
      </x:c>
      <x:c r="L51" s="34" t="n">
        <x:f>K51*G51</x:f>
        <x:v>1792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'Prefill'!$P$7</x:f>
        <x:v>8192</x:v>
      </x:c>
      <x:c r="F52" s="33" t="n">
        <x:f>'Prefill'!$P$30</x:f>
        <x:v>8</x:v>
      </x:c>
      <x:c r="G52" s="33" t="n">
        <x:f>IF('Prefill'!$P$21&gt;0,'Prefill'!$P$21,'Prefill'!$P$12)</x:f>
        <x:v>8</x:v>
      </x:c>
      <x:c r="H52" s="33" t="n">
        <x:f>IF(AND(IF('Prefill'!$P$21&gt;0,'Prefill'!$P$21,'Prefill'!$P$12)&gt;1,'Prefill'!$P$24&lt;&gt;0),1,0)</x:f>
        <x:v>0</x:v>
      </x:c>
      <x:c r="I52" s="34" t="n">
        <x:f>E52*F52/1048576</x:f>
        <x:v>0.0625</x:v>
      </x:c>
      <x:c r="J52" s="34" t="n">
        <x:f>I52*(IF(G52&gt;1,G52-1,0))</x:f>
        <x:v>0.4375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'Prefill'!$P$7*IF('Prefill'!$P$21&gt;0,'Prefill'!$P$21,'Prefill'!$P$12)*8192</x:f>
        <x:v>536870912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IF(AND(IF('Prefill'!$P$21&gt;0,'Prefill'!$P$21,'Prefill'!$P$12)&gt;1,'Prefill'!$P$24&lt;&gt;0),1,0)</x:f>
        <x:v>0</x:v>
      </x:c>
      <x:c r="I53" s="34" t="n">
        <x:f>E53*F53/1048576</x:f>
        <x:v>1024</x:v>
      </x:c>
      <x:c r="J53" s="34" t="n">
        <x:f>I53*(IF(G53&gt;1,(G53-1)/G53,0))</x:f>
        <x:v>896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((ROUNDUP('Prefill'!$P$7/'Prefill'!$P$12,0)*'Prefill'!$P$12)/'Prefill'!$P$12)*8192</x:f>
        <x:v>8388608</x:v>
      </x:c>
      <x:c r="F54" s="33" t="n">
        <x:f>'Prefill'!$P$28</x:f>
        <x:v>2</x:v>
      </x:c>
      <x:c r="G54" s="33" t="n">
        <x:f>'Prefill'!$P$12</x:f>
        <x:v>8</x:v>
      </x:c>
      <x:c r="H54" s="33" t="n">
        <x:f>92*IF(AND('Prefill'!$P$13&lt;&gt;0,'Prefill'!$P$12&gt;1,'Prefill'!$P$22=0),1,0)</x:f>
        <x:v>92</x:v>
      </x:c>
      <x:c r="I54" s="34" t="n">
        <x:f>E54*F54/1048576</x:f>
        <x:v>16</x:v>
      </x:c>
      <x:c r="J54" s="34" t="n">
        <x:f>I54*(IF(G54&gt;1,G54-1,0))</x:f>
        <x:v>112</x:v>
      </x:c>
      <x:c r="K54" s="34" t="n">
        <x:f>J54*H54</x:f>
        <x:v>10304</x:v>
      </x:c>
      <x:c r="L54" s="34" t="n">
        <x:f>K54*G54</x:f>
        <x:v>82432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(ROUNDUP('Prefill'!$P$7/'Prefill'!$P$12,0)*'Prefill'!$P$12)*8192</x:f>
        <x:v>67108864</x:v>
      </x:c>
      <x:c r="F55" s="33" t="n">
        <x:f>'Prefill'!$P$28</x:f>
        <x:v>2</x:v>
      </x:c>
      <x:c r="G55" s="33" t="n">
        <x:f>'Prefill'!$P$12</x:f>
        <x:v>8</x:v>
      </x:c>
      <x:c r="H55" s="33" t="n">
        <x:f>92*IF(AND('Prefill'!$P$13&lt;&gt;0,'Prefill'!$P$12&gt;1,'Prefill'!$P$22=0),1,0)</x:f>
        <x:v>92</x:v>
      </x:c>
      <x:c r="I55" s="34" t="n">
        <x:f>E55*F55/1048576</x:f>
        <x:v>128</x:v>
      </x:c>
      <x:c r="J55" s="34" t="n">
        <x:f>I55*(IF(G55&gt;1,(G55-1)/G55,0))</x:f>
        <x:v>112</x:v>
      </x:c>
      <x:c r="K55" s="34" t="n">
        <x:f>J55*H55</x:f>
        <x:v>10304</x:v>
      </x:c>
      <x:c r="L55" s="34" t="n">
        <x:f>K55*G55</x:f>
        <x:v>82432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'Prefill'!$P$7*8192</x:f>
        <x:v>67108864</x:v>
      </x:c>
      <x:c r="F56" s="33" t="n">
        <x:f>'Prefill'!$P$28</x:f>
        <x:v>2</x:v>
      </x:c>
      <x:c r="G56" s="33" t="n">
        <x:f>IF('Prefill'!$P$19&gt;0,'Prefill'!$P$19,'Prefill'!$P$12)</x:f>
        <x:v>8</x:v>
      </x:c>
      <x:c r="H56" s="33" t="n">
        <x:f>92*IF(AND('Prefill'!$P$13=0,IF('Prefill'!$P$19&gt;0,'Prefill'!$P$19,'Prefill'!$P$12)&gt;1,'Prefill'!$P$22=0),1,0)</x:f>
        <x:v>0</x:v>
      </x:c>
      <x:c r="I56" s="34" t="n">
        <x:f>E56*F56/1048576</x:f>
        <x:v>128</x:v>
      </x:c>
      <x:c r="J56" s="34" t="n">
        <x:f>I56*(IF(G56&gt;1,2*(G56-1)/G56,0))</x:f>
        <x:v>224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'Prefill'!$P$7*16384</x:f>
        <x:v>134217728</x:v>
      </x:c>
      <x:c r="F57" s="33" t="n">
        <x:f>'Prefill'!$P$28</x:f>
        <x:v>2</x:v>
      </x:c>
      <x:c r="G57" s="33" t="n">
        <x:f>IF('Prefill'!$P$19&gt;0,'Prefill'!$P$19,'Prefill'!$P$12)</x:f>
        <x:v>8</x:v>
      </x:c>
      <x:c r="H57" s="33" t="n">
        <x:f>92*IF(AND(IF('Prefill'!$P$19&gt;0,'Prefill'!$P$19,'Prefill'!$P$12)&gt;1,'Prefill'!$P$22&lt;&gt;0),1,0)</x:f>
        <x:v>0</x:v>
      </x:c>
      <x:c r="I57" s="34" t="n">
        <x:f>E57*F57/1048576</x:f>
        <x:v>256</x:v>
      </x:c>
      <x:c r="J57" s="34" t="n">
        <x:f>I57*(IF(G57&gt;1,(G57-1)/G57,0))</x:f>
        <x:v>224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'Prefill'!$P$7*IF('Prefill'!$P$19&gt;0,'Prefill'!$P$19,'Prefill'!$P$12)*8192</x:f>
        <x:v>536870912</x:v>
      </x:c>
      <x:c r="F58" s="33" t="n">
        <x:f>'Prefill'!$P$28</x:f>
        <x:v>2</x:v>
      </x:c>
      <x:c r="G58" s="33" t="n">
        <x:f>IF('Prefill'!$P$19&gt;0,'Prefill'!$P$19,'Prefill'!$P$12)</x:f>
        <x:v>8</x:v>
      </x:c>
      <x:c r="H58" s="33" t="n">
        <x:f>92*IF(AND(IF('Prefill'!$P$19&gt;0,'Prefill'!$P$19,'Prefill'!$P$12)&gt;1,'Prefill'!$P$22&lt;&gt;0),1,0)</x:f>
        <x:v>0</x:v>
      </x:c>
      <x:c r="I58" s="34" t="n">
        <x:f>E58*F58/1048576</x:f>
        <x:v>1024</x:v>
      </x:c>
      <x:c r="J58" s="34" t="n">
        <x:f>I58*(IF(G58&gt;1,(G58-1)/G58,0))</x:f>
        <x:v>896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IF('Prefill'!$P$13&lt;&gt;0,((ROUNDUP('Prefill'!$P$7/'Prefill'!$P$12,0)*'Prefill'!$P$12)/'Prefill'!$P$12),'Prefill'!$P$7)*10*'Prefill'!$P$32*8192</x:f>
        <x:v>73400320</x:v>
      </x:c>
      <x:c r="F59" s="33" t="n">
        <x:f>'Prefill'!$P$28</x:f>
        <x:v>2</x:v>
      </x:c>
      <x:c r="G59" s="33" t="n">
        <x:f>'Prefill'!$P$14</x:f>
        <x:v>8</x:v>
      </x:c>
      <x:c r="H59" s="33" t="n">
        <x:f>92*IF('Prefill'!$P$14&gt;1,1,0)</x:f>
        <x:v>92</x:v>
      </x:c>
      <x:c r="I59" s="34" t="n">
        <x:f>E59*F59/1048576</x:f>
        <x:v>140</x:v>
      </x:c>
      <x:c r="J59" s="34" t="n">
        <x:f>I59*(1)</x:f>
        <x:v>140</x:v>
      </x:c>
      <x:c r="K59" s="34" t="n">
        <x:f>J59*H59</x:f>
        <x:v>12880</x:v>
      </x:c>
      <x:c r="L59" s="34" t="n">
        <x:f>K59*G59</x:f>
        <x:v>103040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IF('Prefill'!$P$13&lt;&gt;0,((ROUNDUP('Prefill'!$P$7/'Prefill'!$P$12,0)*'Prefill'!$P$12)/'Prefill'!$P$12),'Prefill'!$P$7)*10*'Prefill'!$P$32*8192</x:f>
        <x:v>73400320</x:v>
      </x:c>
      <x:c r="F60" s="33" t="n">
        <x:f>'Prefill'!$P$28</x:f>
        <x:v>2</x:v>
      </x:c>
      <x:c r="G60" s="33" t="n">
        <x:f>'Prefill'!$P$14</x:f>
        <x:v>8</x:v>
      </x:c>
      <x:c r="H60" s="33" t="n">
        <x:f>92*IF('Prefill'!$P$14&gt;1,1,0)</x:f>
        <x:v>92</x:v>
      </x:c>
      <x:c r="I60" s="34" t="n">
        <x:f>E60*F60/1048576</x:f>
        <x:v>140</x:v>
      </x:c>
      <x:c r="J60" s="34" t="n">
        <x:f>I60*(1)</x:f>
        <x:v>140</x:v>
      </x:c>
      <x:c r="K60" s="34" t="n">
        <x:f>J60*H60</x:f>
        <x:v>12880</x:v>
      </x:c>
      <x:c r="L60" s="34" t="n">
        <x:f>K60*G60</x:f>
        <x:v>103040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'Prefill'!$P$7*8192</x:f>
        <x:v>67108864</x:v>
      </x:c>
      <x:c r="F61" s="33" t="n">
        <x:f>'Prefill'!$P$28</x:f>
        <x:v>2</x:v>
      </x:c>
      <x:c r="G61" s="33" t="n">
        <x:f>'Prefill'!$P$11</x:f>
        <x:v>1</x:v>
      </x:c>
      <x:c r="H61" s="33" t="n">
        <x:f>92*IF(AND('Prefill'!$P$11&gt;1,'Prefill'!$P$14=1),1,0)</x:f>
        <x:v>0</x:v>
      </x:c>
      <x:c r="I61" s="34" t="n">
        <x:f>E61*F61/1048576</x:f>
        <x:v>128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'Prefill'!$P$7*512</x:f>
        <x:v>4194304</x:v>
      </x:c>
      <x:c r="F62" s="33" t="n">
        <x:f>'Prefill'!$P$28</x:f>
        <x:v>2</x:v>
      </x:c>
      <x:c r="G62" s="33" t="n">
        <x:f>'Prefill'!$P$11</x:f>
        <x:v>1</x:v>
      </x:c>
      <x:c r="H62" s="33" t="n">
        <x:f>92*IF(AND('Prefill'!$P$11&gt;1,'Prefill'!$P$14=1),1,0)</x:f>
        <x:v>0</x:v>
      </x:c>
      <x:c r="I62" s="34" t="n">
        <x:f>E62*F62/1048576</x:f>
        <x:v>8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'Prefill'!$P$7*'Prefill'!$P$11*8192</x:f>
        <x:v>67108864</x:v>
      </x:c>
      <x:c r="F63" s="33" t="n">
        <x:f>'Prefill'!$P$28</x:f>
        <x:v>2</x:v>
      </x:c>
      <x:c r="G63" s="33" t="n">
        <x:f>'Prefill'!$P$11</x:f>
        <x:v>1</x:v>
      </x:c>
      <x:c r="H63" s="33" t="n">
        <x:f>92*IF(AND('Prefill'!$P$11&gt;1,'Prefill'!$P$14=1),1,0)</x:f>
        <x:v>0</x:v>
      </x:c>
      <x:c r="I63" s="34" t="n">
        <x:f>E63*F63/1048576</x:f>
        <x:v>128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((ROUNDUP('Prefill'!$P$7/'Prefill'!$P$12,0)*'Prefill'!$P$12)/'Prefill'!$P$12)*8192</x:f>
        <x:v>8388608</x:v>
      </x:c>
      <x:c r="F64" s="33" t="n">
        <x:f>'Prefill'!$P$28</x:f>
        <x:v>2</x:v>
      </x:c>
      <x:c r="G64" s="33" t="n">
        <x:f>IF('Prefill'!$P$17="TP",'Prefill'!$P$18,1)</x:f>
        <x:v>8</x:v>
      </x:c>
      <x:c r="H64" s="33" t="n">
        <x:f>92*IF(AND('Prefill'!$P$17="TP",IF('Prefill'!$P$17="TP",'Prefill'!$P$18,1)&gt;1,'Prefill'!$P$13&lt;&gt;0),1,0)</x:f>
        <x:v>92</x:v>
      </x:c>
      <x:c r="I64" s="34" t="n">
        <x:f>E64*F64/1048576</x:f>
        <x:v>16</x:v>
      </x:c>
      <x:c r="J64" s="34" t="n">
        <x:f>I64*(IF(G64&gt;1,G64-1,0))</x:f>
        <x:v>112</x:v>
      </x:c>
      <x:c r="K64" s="34" t="n">
        <x:f>J64*H64</x:f>
        <x:v>10304</x:v>
      </x:c>
      <x:c r="L64" s="34" t="n">
        <x:f>K64*G64</x:f>
        <x:v>82432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(ROUNDUP('Prefill'!$P$7/'Prefill'!$P$12,0)*'Prefill'!$P$12)*8192</x:f>
        <x:v>67108864</x:v>
      </x:c>
      <x:c r="F65" s="33" t="n">
        <x:f>'Prefill'!$P$28</x:f>
        <x:v>2</x:v>
      </x:c>
      <x:c r="G65" s="33" t="n">
        <x:f>IF('Prefill'!$P$17="TP",'Prefill'!$P$18,1)</x:f>
        <x:v>8</x:v>
      </x:c>
      <x:c r="H65" s="33" t="n">
        <x:f>92*IF(AND('Prefill'!$P$17="TP",IF('Prefill'!$P$17="TP",'Prefill'!$P$18,1)&gt;1,'Prefill'!$P$13&lt;&gt;0),1,0)</x:f>
        <x:v>92</x:v>
      </x:c>
      <x:c r="I65" s="34" t="n">
        <x:f>E65*F65/1048576</x:f>
        <x:v>128</x:v>
      </x:c>
      <x:c r="J65" s="34" t="n">
        <x:f>I65*(IF(G65&gt;1,(G65-1)/G65,0))</x:f>
        <x:v>112</x:v>
      </x:c>
      <x:c r="K65" s="34" t="n">
        <x:f>J65*H65</x:f>
        <x:v>10304</x:v>
      </x:c>
      <x:c r="L65" s="34" t="n">
        <x:f>K65*G65</x:f>
        <x:v>82432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'Prefill'!$P$7*8192</x:f>
        <x:v>67108864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92*IF(AND('Prefill'!$P$17="TP",IF('Prefill'!$P$17="TP",'Prefill'!$P$18,1)&gt;1,'Prefill'!$P$13=0),1,0)</x:f>
        <x:v>0</x:v>
      </x:c>
      <x:c r="I66" s="34" t="n">
        <x:f>E66*F66/1048576</x:f>
        <x:v>128</x:v>
      </x:c>
      <x:c r="J66" s="34" t="n">
        <x:f>I66*(IF(G66&gt;1,2*(G66-1)/G66,0))</x:f>
        <x:v>224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PCP</x:v>
      </x:c>
      <x:c r="B67" s="30" t="str">
        <x:v>MoE</x:v>
      </x:c>
      <x:c r="C67" s="30" t="str">
        <x:v>Hidden 输入</x:v>
      </x:c>
      <x:c r="D67" s="30" t="str">
        <x:v>Ring AllGather</x:v>
      </x:c>
      <x:c r="E67" s="33" t="n">
        <x:f>((ROUNDUP('Prefill'!$P$7/'Prefill'!$P$15,0)*'Prefill'!$P$15)/'Prefill'!$P$15)*8192</x:f>
        <x:v>67108864</x:v>
      </x:c>
      <x:c r="F67" s="33" t="n">
        <x:f>'Prefill'!$P$28</x:f>
        <x:v>2</x:v>
      </x:c>
      <x:c r="G67" s="33" t="n">
        <x:f>'Prefill'!$P$15</x:f>
        <x:v>1</x:v>
      </x:c>
      <x:c r="H67" s="33" t="n">
        <x:f>92*IF('Prefill'!$P$15&gt;1,1,0)</x:f>
        <x:v>0</x:v>
      </x:c>
      <x:c r="I67" s="34" t="n">
        <x:f>E67*F67/1048576</x:f>
        <x:v>128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PCP</x:v>
      </x:c>
      <x:c r="B68" s="30" t="str">
        <x:v>MoE Router</x:v>
      </x:c>
      <x:c r="C68" s="30" t="str">
        <x:v>Router Logits</x:v>
      </x:c>
      <x:c r="D68" s="30" t="str">
        <x:v>Ring AllGather</x:v>
      </x:c>
      <x:c r="E68" s="33" t="n">
        <x:f>((ROUNDUP('Prefill'!$P$7/'Prefill'!$P$15,0)*'Prefill'!$P$15)/'Prefill'!$P$15)*512</x:f>
        <x:v>4194304</x:v>
      </x:c>
      <x:c r="F68" s="33" t="n">
        <x:f>'Prefill'!$P$28</x:f>
        <x:v>2</x:v>
      </x:c>
      <x:c r="G68" s="33" t="n">
        <x:f>'Prefill'!$P$15</x:f>
        <x:v>1</x:v>
      </x:c>
      <x:c r="H68" s="33" t="n">
        <x:f>92*IF('Prefill'!$P$15&gt;1,1,0)</x:f>
        <x:v>0</x:v>
      </x:c>
      <x:c r="I68" s="34" t="n">
        <x:f>E68*F68/1048576</x:f>
        <x:v>8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Routed Expert 输出</x:v>
      </x:c>
      <x:c r="D69" s="30" t="str">
        <x:v>Ring ReduceScatter</x:v>
      </x:c>
      <x:c r="E69" s="33" t="n">
        <x:f>(ROUNDUP('Prefill'!$P$7/'Prefill'!$P$15,0)*'Prefill'!$P$15)*8192</x:f>
        <x:v>67108864</x:v>
      </x:c>
      <x:c r="F69" s="33" t="n">
        <x:f>'Prefill'!$P$28</x:f>
        <x:v>2</x:v>
      </x:c>
      <x:c r="G69" s="33" t="n">
        <x:f>'Prefill'!$P$15</x:f>
        <x:v>1</x:v>
      </x:c>
      <x:c r="H69" s="33" t="n">
        <x:f>92*IF('Prefill'!$P$15&gt;1,1,0)</x:f>
        <x:v>0</x:v>
      </x:c>
      <x:c r="I69" s="34" t="n">
        <x:f>E69*F69/1048576</x:f>
        <x:v>128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Attention KV</x:v>
      </x:c>
      <x:c r="C70" s="30" t="str">
        <x:v>KV Cache 写入前</x:v>
      </x:c>
      <x:c r="D70" s="30" t="str">
        <x:v>Ring AllGather</x:v>
      </x:c>
      <x:c r="E70" s="33" t="n">
        <x:f>((ROUNDUP('Prefill'!$P$7/'Prefill'!$P$15,0)*'Prefill'!$P$15)/'Prefill'!$P$15)*2*MAX(1,4/'Prefill'!$P$12)*256</x:f>
        <x:v>4194304</x:v>
      </x:c>
      <x:c r="F70" s="33" t="n">
        <x:f>'Prefill'!$P$28</x:f>
        <x:v>2</x:v>
      </x:c>
      <x:c r="G70" s="33" t="n">
        <x:f>'Prefill'!$P$15</x:f>
        <x:v>1</x:v>
      </x:c>
      <x:c r="H70" s="33" t="n">
        <x:f>23*IF('Prefill'!$P$15&gt;1,1,0)</x:f>
        <x:v>0</x:v>
      </x:c>
      <x:c r="I70" s="34" t="n">
        <x:f>E70*F70/1048576</x:f>
        <x:v>8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SP</x:v>
      </x:c>
      <x:c r="B71" s="30" t="str">
        <x:v>Model Output</x:v>
      </x:c>
      <x:c r="C71" s="30" t="str">
        <x:v>Final Norm 后</x:v>
      </x:c>
      <x:c r="D71" s="30" t="str">
        <x:v>Ring AllGather</x:v>
      </x:c>
      <x:c r="E71" s="33" t="n">
        <x:f>((ROUNDUP('Prefill'!$P$7/'Prefill'!$P$12,0)*'Prefill'!$P$12)/'Prefill'!$P$12)*8192</x:f>
        <x:v>8388608</x:v>
      </x:c>
      <x:c r="F71" s="33" t="n">
        <x:f>'Prefill'!$P$28</x:f>
        <x:v>2</x:v>
      </x:c>
      <x:c r="G71" s="33" t="n">
        <x:f>'Prefill'!$P$12</x:f>
        <x:v>8</x:v>
      </x:c>
      <x:c r="H71" s="33" t="n">
        <x:f>IF(AND('Prefill'!$P$13&lt;&gt;0,'Prefill'!$P$12&gt;1),1,0)</x:f>
        <x:v>1</x:v>
      </x:c>
      <x:c r="I71" s="34" t="n">
        <x:f>E71*F71/1048576</x:f>
        <x:v>16</x:v>
      </x:c>
      <x:c r="J71" s="34" t="n">
        <x:f>I71*(IF(G71&gt;1,G71-1,0))</x:f>
        <x:v>112</x:v>
      </x:c>
      <x:c r="K71" s="34" t="n">
        <x:f>J71*H71</x:f>
        <x:v>112</x:v>
      </x:c>
      <x:c r="L71" s="34" t="n">
        <x:f>K71*G71</x:f>
        <x:v>896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完整 Logits</x:v>
      </x:c>
      <x:c r="D72" s="30" t="str">
        <x:v>Ring AllGather</x:v>
      </x:c>
      <x:c r="E72" s="33" t="n">
        <x:f>'Prefill'!$P$8*248320/IF('Prefill'!$P$20&gt;0,'Prefill'!$P$20,'Prefill'!$P$12)</x:f>
        <x:v>3973120</x:v>
      </x:c>
      <x:c r="F72" s="33" t="n">
        <x:f>'Prefill'!$P$28</x:f>
        <x:v>2</x:v>
      </x:c>
      <x:c r="G72" s="33" t="n">
        <x:f>IF('Prefill'!$P$20&gt;0,'Prefill'!$P$20,'Prefill'!$P$12)</x:f>
        <x:v>8</x:v>
      </x:c>
      <x:c r="H72" s="33" t="n">
        <x:f>IF(AND(IF('Prefill'!$P$20&gt;0,'Prefill'!$P$20,'Prefill'!$P$12)&gt;1,'Prefill'!$P$23=0,'Prefill'!$P$33=0),1,0)</x:f>
        <x:v>0</x:v>
      </x:c>
      <x:c r="I72" s="34" t="n">
        <x:f>E72*F72/1048576</x:f>
        <x:v>7.578125</x:v>
      </x:c>
      <x:c r="J72" s="34" t="n">
        <x:f>I72*(IF(G72&gt;1,G72-1,0))</x:f>
        <x:v>53.046875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LM Head TP</x:v>
      </x:c>
      <x:c r="B73" s="30" t="str">
        <x:v>LM Head</x:v>
      </x:c>
      <x:c r="C73" s="30" t="str">
        <x:v>Reduce Sample</x:v>
      </x:c>
      <x:c r="D73" s="30" t="str">
        <x:v>Ring AllGather</x:v>
      </x:c>
      <x:c r="E73" s="33" t="n">
        <x:f>'Prefill'!$P$8*'Prefill'!$P$34</x:f>
        <x:v>32768</x:v>
      </x:c>
      <x:c r="F73" s="33" t="n">
        <x:f>('Prefill'!$P$28+'Prefill'!$P$31)</x:f>
        <x:v>6</x:v>
      </x:c>
      <x:c r="G73" s="33" t="n">
        <x:f>IF('Prefill'!$P$20&gt;0,'Prefill'!$P$20,'Prefill'!$P$12)</x:f>
        <x:v>8</x:v>
      </x:c>
      <x:c r="H73" s="33" t="n">
        <x:f>IF(AND(IF('Prefill'!$P$20&gt;0,'Prefill'!$P$20,'Prefill'!$P$12)&gt;1,'Prefill'!$P$23=0,'Prefill'!$P$33&lt;&gt;0),1,0)</x:f>
        <x:v>1</x:v>
      </x:c>
      <x:c r="I73" s="34" t="n">
        <x:f>E73*F73/1048576</x:f>
        <x:v>0.1875</x:v>
      </x:c>
      <x:c r="J73" s="34" t="n">
        <x:f>I73*(IF(G73&gt;1,G73-1,0))</x:f>
        <x:v>1.3125</x:v>
      </x:c>
      <x:c r="K73" s="34" t="n">
        <x:f>J73*H73</x:f>
        <x:v>1.3125</x:v>
      </x:c>
      <x:c r="L73" s="34" t="n">
        <x:f>K73*G73</x:f>
        <x:v>10.5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Hidden 输入</x:v>
      </x:c>
      <x:c r="D74" s="30" t="str">
        <x:v>Ring AllGather</x:v>
      </x:c>
      <x:c r="E74" s="33" t="n">
        <x:f>'Prefill'!$P$8*8192</x:f>
        <x:v>1048576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IF(AND(IF('Prefill'!$P$20&gt;0,'Prefill'!$P$20,'Prefill'!$P$12)&gt;1,'Prefill'!$P$23&lt;&gt;0),1,0)</x:f>
        <x:v>0</x:v>
      </x:c>
      <x:c r="I74" s="34" t="n">
        <x:f>E74*F74/1048576</x:f>
        <x:v>2</x:v>
      </x:c>
      <x:c r="J74" s="34" t="n">
        <x:f>I74*(IF(G74&gt;1,G74-1,0))</x:f>
        <x:v>14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完整 Logits</x:v>
      </x:c>
      <x:c r="D75" s="30" t="str">
        <x:v>Equal-split AllToAll</x:v>
      </x:c>
      <x:c r="E75" s="33" t="n">
        <x:f>'Prefill'!$P$8*248320</x:f>
        <x:v>31784960</x:v>
      </x:c>
      <x:c r="F75" s="33" t="n">
        <x:f>'Prefill'!$P$28</x:f>
        <x:v>2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IF(AND(IF('Prefill'!$P$20&gt;0,'Prefill'!$P$20,'Prefill'!$P$12)&gt;1,'Prefill'!$P$23&lt;&gt;0,'Prefill'!$P$33=0),1,0)</x:f>
        <x:v>0</x:v>
      </x:c>
      <x:c r="I75" s="34" t="n">
        <x:f>E75*F75/1048576</x:f>
        <x:v>60.625</x:v>
      </x:c>
      <x:c r="J75" s="34" t="n">
        <x:f>I75*(IF(G75&gt;1,(G75-1)/G75,0))</x:f>
        <x:v>53.046875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Reduce Sample</x:v>
      </x:c>
      <x:c r="D76" s="30" t="str">
        <x:v>Ring AllGather</x:v>
      </x:c>
      <x:c r="E76" s="33" t="n">
        <x:f>'Prefill'!$P$8*'Prefill'!$P$34</x:f>
        <x:v>32768</x:v>
      </x:c>
      <x:c r="F76" s="33" t="n">
        <x:f>('Prefill'!$P$28+'Prefill'!$P$31)</x:f>
        <x:v>6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IF(AND(IF('Prefill'!$P$20&gt;0,'Prefill'!$P$20,'Prefill'!$P$12)&gt;1,'Prefill'!$P$23&lt;&gt;0,'Prefill'!$P$33&lt;&gt;0),1,0)</x:f>
        <x:v>0</x:v>
      </x:c>
      <x:c r="I76" s="34" t="n">
        <x:f>E76*F76/1048576</x:f>
        <x:v>0.1875</x:v>
      </x:c>
      <x:c r="J76" s="34" t="n">
        <x:f>I76*(IF(G76&gt;1,G76-1,0))</x:f>
        <x:v>1.3125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40" t="str">
        <x:v>合计</x:v>
      </x:c>
      <x:c r="B77" s="40"/>
      <x:c r="C77" s="40"/>
      <x:c r="D77" s="40"/>
      <x:c r="E77" s="40"/>
      <x:c r="F77" s="40"/>
      <x:c r="G77" s="40"/>
      <x:c r="H77" s="40"/>
      <x:c r="I77" s="41"/>
      <x:c r="J77" s="41"/>
      <x:c r="K77" s="41" t="n">
        <x:f>SUM(K51:K76)</x:f>
        <x:v>67313.3125</x:v>
      </x:c>
      <x:c r="L77" s="41" t="n">
        <x:f>SUM(L51:L76)</x:f>
        <x:v>538506.5</x:v>
      </x:c>
      <x:c r="M77" s="30"/>
      <x:c r="N77" s="30"/>
      <x:c r="O77" s="30"/>
      <x:c r="P77" s="30"/>
    </x:row>
    <x:row r="80" ht="15" customHeight="1">
      <x:c r="A80" s="40" t="str">
        <x:v>PD 带宽争用耗时评估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15" customHeight="1">
      <x:c r="A81" s="30" t="str">
        <x:v>Prefill 当前表参数；100 GB/s 为归一化示例。所列事件的带宽项，不等于完整 forward 耗时。</x:v>
      </x:c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</x:row>
    <x:row r="82" ht="30" customHeight="1">
      <x:c r="A82" s="62" t="str">
        <x:v>带宽降幅</x:v>
      </x:c>
      <x:c r="B82" s="62" t="str">
        <x:v>输入</x:v>
      </x:c>
      <x:c r="C82" s="62" t="str">
        <x:v>争用覆盖率</x:v>
      </x:c>
      <x:c r="D82" s="62" t="str">
        <x:v>输入</x:v>
      </x:c>
      <x:c r="E82" s="62" t="str">
        <x:v>基线 forward ms</x:v>
      </x:c>
      <x:c r="F82" s="62" t="str">
        <x:v>实测输入</x:v>
      </x:c>
      <x:c r="G82" s="62" t="str">
        <x:v>默认带宽 GB/s</x:v>
      </x:c>
      <x:c r="H82" s="62" t="str">
        <x:v>输入</x:v>
      </x:c>
      <x:c r="I82" s="30"/>
      <x:c r="J82" s="30"/>
      <x:c r="K82" s="30"/>
      <x:c r="L82" s="30"/>
    </x:row>
    <x:row r="83" ht="15" customHeight="1">
      <x:c r="A83" s="30"/>
      <x:c r="B83" s="63" t="n">
        <x:v>0.1</x:v>
      </x:c>
      <x:c r="C83" s="30"/>
      <x:c r="D83" s="63" t="n">
        <x:v>1</x:v>
      </x:c>
      <x:c r="E83" s="30"/>
      <x:c r="F83" s="38"/>
      <x:c r="G83" s="30"/>
      <x:c r="H83" s="36" t="n">
        <x:v>100</x:v>
      </x:c>
      <x:c r="I83" s="30"/>
      <x:c r="J83" s="30"/>
      <x:c r="K83" s="30"/>
      <x:c r="L83" s="30"/>
    </x:row>
    <x:row r="84" ht="30" customHeight="1">
      <x:c r="A84" s="62" t="str">
        <x:v>通信基线 ms</x:v>
      </x:c>
      <x:c r="B84" s="62" t="str">
        <x:v>结果</x:v>
      </x:c>
      <x:c r="C84" s="62" t="str">
        <x:v>通信争用后 ms</x:v>
      </x:c>
      <x:c r="D84" s="62" t="str">
        <x:v>结果</x:v>
      </x:c>
      <x:c r="E84" s="62" t="str">
        <x:v>forward 增量 ms</x:v>
      </x:c>
      <x:c r="F84" s="62" t="str">
        <x:v>结果</x:v>
      </x:c>
      <x:c r="G84" s="62" t="str">
        <x:v>forward 新耗时 ms</x:v>
      </x:c>
      <x:c r="H84" s="62" t="str">
        <x:v>结果</x:v>
      </x:c>
      <x:c r="I84" s="62" t="str">
        <x:v>forward 增幅</x:v>
      </x:c>
      <x:c r="J84" s="62" t="str">
        <x:v>结果</x:v>
      </x:c>
      <x:c r="K84" s="62" t="str">
        <x:v>输入状态</x:v>
      </x:c>
      <x:c r="L84" s="62" t="str">
        <x:v>状态</x:v>
      </x:c>
    </x:row>
    <x:row r="85" ht="15" customHeight="1">
      <x:c r="A85" s="49"/>
      <x:c r="B85" s="49" t="n">
        <x:f>SUM(G89:G115)</x:f>
        <x:v>705.8444288</x:v>
      </x:c>
      <x:c r="C85" s="49"/>
      <x:c r="D85" s="49" t="n">
        <x:f>SUM(H89:H115)</x:f>
        <x:v>784.2715875555556</x:v>
      </x:c>
      <x:c r="E85" s="49"/>
      <x:c r="F85" s="49" t="n">
        <x:f>SUM(K89:K115)</x:f>
        <x:v>78.4271587555556</x:v>
      </x:c>
      <x:c r="G85" s="49"/>
      <x:c r="H85" s="49" t="str">
        <x:f>IF(AND(ISNUMBER($F$83),$F$83&gt;0,$F$83&gt;=SUMPRODUCT(G89:G115,J89:J115)),$F$83+F85,"")</x:f>
      </x:c>
      <x:c r="I85" s="49"/>
      <x:c r="J85" s="50" t="str">
        <x:f>IF(AND(ISNUMBER($F$83),$F$83&gt;0,$F$83&gt;=SUMPRODUCT(G89:G115,J89:J115)),F85/$F$83,"")</x:f>
      </x:c>
      <x:c r="K85" s="49"/>
      <x:c r="L85" s="49" t="str">
        <x:f>IF($F$83="","待填基线",IF(AND(ISNUMBER($F$83),$F$83&gt;0,$F$83&gt;=SUMPRODUCT(G89:G115,J89:J115)),"已填基线","基线/暴露不一致"))</x:f>
        <x:v>待填基线</x:v>
      </x:c>
    </x:row>
    <x:row r="86" ht="15" customHeight="1">
      <x:c r="A86" s="30" t="str">
        <x:v>共享比例=0 表示独立链路；暴露系数=0 表示增量完全隐藏。默认均为 1，降幅只作用于带宽项。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15" customHeight="1">
      <x:c r="A87" s="30" t="str">
        <x:v>P: AllToAllV + 4 B 计数 Ring；D: A3 BF16 MC2 FullMesh。每事件带宽按端点发送量定义。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</x:row>
    <x:row r="88" ht="30" customHeight="1">
      <x:c r="A88" s="62" t="str">
        <x:v>并行域</x:v>
      </x:c>
      <x:c r="B88" s="62" t="str">
        <x:v>模块</x:v>
      </x:c>
      <x:c r="C88" s="62" t="str">
        <x:v>通信事件</x:v>
      </x:c>
      <x:c r="D88" s="62" t="str">
        <x:v>GB/Rank/Step</x:v>
      </x:c>
      <x:c r="E88" s="62" t="str">
        <x:v>有效带宽 GB/s</x:v>
      </x:c>
      <x:c r="F88" s="62" t="str">
        <x:v>共享比例</x:v>
      </x:c>
      <x:c r="G88" s="62" t="str">
        <x:v>基线带宽项 ms</x:v>
      </x:c>
      <x:c r="H88" s="62" t="str">
        <x:v>争用后带宽项 ms</x:v>
      </x:c>
      <x:c r="I88" s="62" t="str">
        <x:v>通信增量 ms</x:v>
      </x:c>
      <x:c r="J88" s="62" t="str">
        <x:v>暴露系数</x:v>
      </x:c>
      <x:c r="K88" s="62" t="str">
        <x:v>forward 增量 ms</x:v>
      </x:c>
      <x:c r="L88" s="62" t="str">
        <x:v>公式口径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标准 TP 输出</x:v>
      </x:c>
      <x:c r="D89" s="34" t="n">
        <x:f>(K51*2^20)/1e9</x:f>
        <x:v>0.234881024</x:v>
      </x:c>
      <x:c r="E89" s="64" t="n">
        <x:f>$H$83</x:f>
        <x:v>100</x:v>
      </x:c>
      <x:c r="F89" s="59" t="n">
        <x:v>1</x:v>
      </x:c>
      <x:c r="G89" s="34" t="n">
        <x:f>IF(AND(ISNUMBER(E89),E89&gt;0,ISNUMBER($B$83),$B$83&gt;=0,$B$83&lt;1,ISNUMBER($D$83),$D$83&gt;=0,$D$83&lt;=1,ISNUMBER(F89),F89&gt;=0,F89&lt;=1,ISNUMBER(J89),J89&gt;=0,J89&lt;=1),D89/E89*1000,NA())</x:f>
        <x:v>2.34881024</x:v>
      </x:c>
      <x:c r="H89" s="34" t="n">
        <x:f>G89+I89</x:f>
        <x:v>2.6097891555555557</x:v>
      </x:c>
      <x:c r="I89" s="34" t="n">
        <x:f>G89*F89*$D$83*$B$83/(1-$B$83)</x:f>
        <x:v>0.2609789155555556</x:v>
      </x:c>
      <x:c r="J89" s="59" t="n">
        <x:v>1</x:v>
      </x:c>
      <x:c r="K89" s="34" t="n">
        <x:f>I89*J89</x:f>
        <x:v>0.2609789155555556</x:v>
      </x:c>
      <x:c r="L89" s="30" t="str">
        <x:v>原通信行 51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Token ID</x:v>
      </x:c>
      <x:c r="D90" s="34" t="n">
        <x:f>(K52*2^20)/1e9</x:f>
        <x:v>0</x:v>
      </x:c>
      <x:c r="E90" s="64" t="n">
        <x:f>$H$83</x:f>
        <x:v>100</x:v>
      </x:c>
      <x:c r="F90" s="59" t="n">
        <x:v>1</x:v>
      </x:c>
      <x:c r="G90" s="34" t="n">
        <x:f>IF(AND(ISNUMBER(E90),E90&gt;0,ISNUMBER($B$83),$B$83&gt;=0,$B$83&lt;1,ISNUMBER($D$83),$D$83&gt;=0,$D$83&lt;=1,ISNUMBER(F90),F90&gt;=0,F90&lt;=1,ISNUMBER(J90),J90&gt;=0,J90&lt;=1),D90/E90*1000,NA())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G90*F90*$D$83*$B$83/(1-$B$83)</x:f>
        <x:v>0</x:v>
      </x:c>
      <x:c r="J90" s="59" t="n">
        <x:v>1</x:v>
      </x:c>
      <x:c r="K90" s="34" t="n">
        <x:f>I90*J90</x:f>
        <x:v>0</x:v>
      </x:c>
      <x:c r="L90" s="30" t="str">
        <x:v>原通信行 52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Fine TP Hidden</x:v>
      </x:c>
      <x:c r="D91" s="34" t="n">
        <x:f>(K53*2^20)/1e9</x:f>
        <x:v>0</x:v>
      </x:c>
      <x:c r="E91" s="64" t="n">
        <x:f>$H$83</x:f>
        <x:v>100</x:v>
      </x:c>
      <x:c r="F91" s="59" t="n">
        <x:v>1</x:v>
      </x:c>
      <x:c r="G91" s="34" t="n">
        <x:f>IF(AND(ISNUMBER(E91),E91&gt;0,ISNUMBER($B$83),$B$83&gt;=0,$B$83&lt;1,ISNUMBER($D$83),$D$83&gt;=0,$D$83&lt;=1,ISNUMBER(F91),F91&gt;=0,F91&lt;=1,ISNUMBER(J91),J91&gt;=0,J91&lt;=1),D91/E91*1000,NA())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G91*F91*$D$83*$B$83/(1-$B$83)</x:f>
        <x:v>0</x:v>
      </x:c>
      <x:c r="J91" s="59" t="n">
        <x:v>1</x:v>
      </x:c>
      <x:c r="K91" s="34" t="n">
        <x:f>I91*J91</x:f>
        <x:v>0</x:v>
      </x:c>
      <x:c r="L91" s="30" t="str">
        <x:v>原通信行 53</x:v>
      </x:c>
    </x:row>
    <x:row r="92" ht="15" customHeight="1">
      <x:c r="A92" s="30" t="str">
        <x:v>SP</x:v>
      </x:c>
      <x:c r="B92" s="30" t="str">
        <x:v>Attention</x:v>
      </x:c>
      <x:c r="C92" s="30" t="str">
        <x:v>Attention 前</x:v>
      </x:c>
      <x:c r="D92" s="34" t="n">
        <x:f>(K54*2^20)/1e9</x:f>
        <x:v>10.804527104</x:v>
      </x:c>
      <x:c r="E92" s="64" t="n">
        <x:f>$H$83</x:f>
        <x:v>100</x:v>
      </x:c>
      <x:c r="F92" s="59" t="n">
        <x:v>1</x:v>
      </x:c>
      <x:c r="G92" s="34" t="n">
        <x:f>IF(AND(ISNUMBER(E92),E92&gt;0,ISNUMBER($B$83),$B$83&gt;=0,$B$83&lt;1,ISNUMBER($D$83),$D$83&gt;=0,$D$83&lt;=1,ISNUMBER(F92),F92&gt;=0,F92&lt;=1,ISNUMBER(J92),J92&gt;=0,J92&lt;=1),D92/E92*1000,NA())</x:f>
        <x:v>108.04527104</x:v>
      </x:c>
      <x:c r="H92" s="34" t="n">
        <x:f>G92+I92</x:f>
        <x:v>120.05030115555556</x:v>
      </x:c>
      <x:c r="I92" s="34" t="n">
        <x:f>G92*F92*$D$83*$B$83/(1-$B$83)</x:f>
        <x:v>12.005030115555558</x:v>
      </x:c>
      <x:c r="J92" s="59" t="n">
        <x:v>1</x:v>
      </x:c>
      <x:c r="K92" s="34" t="n">
        <x:f>I92*J92</x:f>
        <x:v>12.005030115555558</x:v>
      </x:c>
      <x:c r="L92" s="30" t="str">
        <x:v>原通信行 54</x:v>
      </x:c>
    </x:row>
    <x:row r="93" ht="15" customHeight="1">
      <x:c r="A93" s="30" t="str">
        <x:v>SP</x:v>
      </x:c>
      <x:c r="B93" s="30" t="str">
        <x:v>Attention</x:v>
      </x:c>
      <x:c r="C93" s="30" t="str">
        <x:v>O Proj 后</x:v>
      </x:c>
      <x:c r="D93" s="34" t="n">
        <x:f>(K55*2^20)/1e9</x:f>
        <x:v>10.804527104</x:v>
      </x:c>
      <x:c r="E93" s="64" t="n">
        <x:f>$H$83</x:f>
        <x:v>100</x:v>
      </x:c>
      <x:c r="F93" s="59" t="n">
        <x:v>1</x:v>
      </x:c>
      <x:c r="G93" s="34" t="n">
        <x:f>IF(AND(ISNUMBER(E93),E93&gt;0,ISNUMBER($B$83),$B$83&gt;=0,$B$83&lt;1,ISNUMBER($D$83),$D$83&gt;=0,$D$83&lt;=1,ISNUMBER(F93),F93&gt;=0,F93&lt;=1,ISNUMBER(J93),J93&gt;=0,J93&lt;=1),D93/E93*1000,NA())</x:f>
        <x:v>108.04527104</x:v>
      </x:c>
      <x:c r="H93" s="34" t="n">
        <x:f>G93+I93</x:f>
        <x:v>120.05030115555556</x:v>
      </x:c>
      <x:c r="I93" s="34" t="n">
        <x:f>G93*F93*$D$83*$B$83/(1-$B$83)</x:f>
        <x:v>12.005030115555558</x:v>
      </x:c>
      <x:c r="J93" s="59" t="n">
        <x:v>1</x:v>
      </x:c>
      <x:c r="K93" s="34" t="n">
        <x:f>I93*J93</x:f>
        <x:v>12.005030115555558</x:v>
      </x:c>
      <x:c r="L93" s="30" t="str">
        <x:v>原通信行 55</x:v>
      </x:c>
    </x:row>
    <x:row r="94" ht="15" customHeight="1">
      <x:c r="A94" s="30" t="str">
        <x:v>O Proj TP</x:v>
      </x:c>
      <x:c r="B94" s="30" t="str">
        <x:v>Attention</x:v>
      </x:c>
      <x:c r="C94" s="30" t="str">
        <x:v>非 SP 标准 TP</x:v>
      </x:c>
      <x:c r="D94" s="34" t="n">
        <x:f>(K56*2^20)/1e9</x:f>
        <x:v>0</x:v>
      </x:c>
      <x:c r="E94" s="64" t="n">
        <x:f>$H$83</x:f>
        <x:v>100</x:v>
      </x:c>
      <x:c r="F94" s="59" t="n">
        <x:v>1</x:v>
      </x:c>
      <x:c r="G94" s="34" t="n">
        <x:f>IF(AND(ISNUMBER(E94),E94&gt;0,ISNUMBER($B$83),$B$83&gt;=0,$B$83&lt;1,ISNUMBER($D$83),$D$83&gt;=0,$D$83&lt;=1,ISNUMBER(F94),F94&gt;=0,F94&lt;=1,ISNUMBER(J94),J94&gt;=0,J94&lt;=1),D94/E94*1000,NA())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G94*F94*$D$83*$B$83/(1-$B$83)</x:f>
        <x:v>0</x:v>
      </x:c>
      <x:c r="J94" s="59" t="n">
        <x:v>1</x:v>
      </x:c>
      <x:c r="K94" s="34" t="n">
        <x:f>I94*J94</x:f>
        <x:v>0</x:v>
      </x:c>
      <x:c r="L94" s="30" t="str">
        <x:v>原通信行 56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输入</x:v>
      </x:c>
      <x:c r="D95" s="34" t="n">
        <x:f>(K57*2^20)/1e9</x:f>
        <x:v>0</x:v>
      </x:c>
      <x:c r="E95" s="64" t="n">
        <x:f>$H$83</x:f>
        <x:v>100</x:v>
      </x:c>
      <x:c r="F95" s="59" t="n">
        <x:v>1</x:v>
      </x:c>
      <x:c r="G95" s="34" t="n">
        <x:f>IF(AND(ISNUMBER(E95),E95&gt;0,ISNUMBER($B$83),$B$83&gt;=0,$B$83&lt;1,ISNUMBER($D$83),$D$83&gt;=0,$D$83&lt;=1,ISNUMBER(F95),F95&gt;=0,F95&lt;=1,ISNUMBER(J95),J95&gt;=0,J95&lt;=1),D95/E95*1000,NA())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G95*F95*$D$83*$B$83/(1-$B$83)</x:f>
        <x:v>0</x:v>
      </x:c>
      <x:c r="J95" s="59" t="n">
        <x:v>1</x:v>
      </x:c>
      <x:c r="K95" s="34" t="n">
        <x:f>I95*J95</x:f>
        <x:v>0</x:v>
      </x:c>
      <x:c r="L95" s="30" t="str">
        <x:v>原通信行 57</x:v>
      </x:c>
    </x:row>
    <x:row r="96" ht="15" customHeight="1">
      <x:c r="A96" s="30" t="str">
        <x:v>Fine O TP</x:v>
      </x:c>
      <x:c r="B96" s="30" t="str">
        <x:v>Attention</x:v>
      </x:c>
      <x:c r="C96" s="30" t="str">
        <x:v>O Proj 输出</x:v>
      </x:c>
      <x:c r="D96" s="34" t="n">
        <x:f>(K58*2^20)/1e9</x:f>
        <x:v>0</x:v>
      </x:c>
      <x:c r="E96" s="64" t="n">
        <x:f>$H$83</x:f>
        <x:v>100</x:v>
      </x:c>
      <x:c r="F96" s="59" t="n">
        <x:v>1</x:v>
      </x:c>
      <x:c r="G96" s="34" t="n">
        <x:f>IF(AND(ISNUMBER(E96),E96&gt;0,ISNUMBER($B$83),$B$83&gt;=0,$B$83&lt;1,ISNUMBER($D$83),$D$83&gt;=0,$D$83&lt;=1,ISNUMBER(F96),F96&gt;=0,F96&lt;=1,ISNUMBER(J96),J96&gt;=0,J96&lt;=1),D96/E96*1000,NA())</x:f>
        <x:v>0</x:v>
      </x:c>
      <x:c r="H96" s="34" t="n">
        <x:f>G96+I96</x:f>
        <x:v>0</x:v>
      </x:c>
      <x:c r="I96" s="34" t="n">
        <x:f>G96*F96*$D$83*$B$83/(1-$B$83)</x:f>
        <x:v>0</x:v>
      </x:c>
      <x:c r="J96" s="59" t="n">
        <x:v>1</x:v>
      </x:c>
      <x:c r="K96" s="34" t="n">
        <x:f>I96*J96</x:f>
        <x:v>0</x:v>
      </x:c>
      <x:c r="L96" s="30" t="str">
        <x:v>原通信行 58</x:v>
      </x:c>
    </x:row>
    <x:row r="97" ht="15" customHeight="1">
      <x:c r="A97" s="30" t="str">
        <x:v>EP</x:v>
      </x:c>
      <x:c r="B97" s="30" t="str">
        <x:v>Routed Experts</x:v>
      </x:c>
      <x:c r="C97" s="30" t="str">
        <x:v>Dispatch Hidden</x:v>
      </x:c>
      <x:c r="D97" s="34" t="n">
        <x:f>(K59*2^20)/1e9</x:f>
        <x:v>13.50565888</x:v>
      </x:c>
      <x:c r="E97" s="64" t="n">
        <x:f>$H$83</x:f>
        <x:v>100</x:v>
      </x:c>
      <x:c r="F97" s="59" t="n">
        <x:v>1</x:v>
      </x:c>
      <x:c r="G97" s="34" t="n">
        <x:f>IF(AND(ISNUMBER(E97),E97&gt;0,ISNUMBER($B$83),$B$83&gt;=0,$B$83&lt;1,ISNUMBER($D$83),$D$83&gt;=0,$D$83&lt;=1,ISNUMBER(F97),F97&gt;=0,F97&lt;=1,ISNUMBER(J97),J97&gt;=0,J97&lt;=1),D97/E97*1000,NA())</x:f>
        <x:v>135.05658880000001</x:v>
      </x:c>
      <x:c r="H97" s="34" t="n">
        <x:f>G97+I97</x:f>
        <x:v>150.06287644444447</x:v>
      </x:c>
      <x:c r="I97" s="34" t="n">
        <x:f>G97*F97*$D$83*$B$83/(1-$B$83)</x:f>
        <x:v>15.006287644444447</x:v>
      </x:c>
      <x:c r="J97" s="59" t="n">
        <x:v>1</x:v>
      </x:c>
      <x:c r="K97" s="34" t="n">
        <x:f>I97*J97</x:f>
        <x:v>15.006287644444447</x:v>
      </x:c>
      <x:c r="L97" s="30" t="str">
        <x:v>原通信行 59</x:v>
      </x:c>
    </x:row>
    <x:row r="98" ht="15" customHeight="1">
      <x:c r="A98" s="30" t="str">
        <x:v>EP</x:v>
      </x:c>
      <x:c r="B98" s="30" t="str">
        <x:v>Routed Experts</x:v>
      </x:c>
      <x:c r="C98" s="30" t="str">
        <x:v>Combine Hidden</x:v>
      </x:c>
      <x:c r="D98" s="34" t="n">
        <x:f>(K60*2^20)/1e9</x:f>
        <x:v>13.50565888</x:v>
      </x:c>
      <x:c r="E98" s="64" t="n">
        <x:f>$H$83</x:f>
        <x:v>100</x:v>
      </x:c>
      <x:c r="F98" s="59" t="n">
        <x:v>1</x:v>
      </x:c>
      <x:c r="G98" s="34" t="n">
        <x:f>IF(AND(ISNUMBER(E98),E98&gt;0,ISNUMBER($B$83),$B$83&gt;=0,$B$83&lt;1,ISNUMBER($D$83),$D$83&gt;=0,$D$83&lt;=1,ISNUMBER(F98),F98&gt;=0,F98&lt;=1,ISNUMBER(J98),J98&gt;=0,J98&lt;=1),D98/E98*1000,NA())</x:f>
        <x:v>135.05658880000001</x:v>
      </x:c>
      <x:c r="H98" s="34" t="n">
        <x:f>G98+I98</x:f>
        <x:v>150.06287644444447</x:v>
      </x:c>
      <x:c r="I98" s="34" t="n">
        <x:f>G98*F98*$D$83*$B$83/(1-$B$83)</x:f>
        <x:v>15.006287644444447</x:v>
      </x:c>
      <x:c r="J98" s="59" t="n">
        <x:v>1</x:v>
      </x:c>
      <x:c r="K98" s="34" t="n">
        <x:f>I98*J98</x:f>
        <x:v>15.006287644444447</x:v>
      </x:c>
      <x:c r="L98" s="30" t="str">
        <x:v>原通信行 60</x:v>
      </x:c>
    </x:row>
    <x:row r="99" ht="15" customHeight="1">
      <x:c r="A99" s="30" t="str">
        <x:v>DP</x:v>
      </x:c>
      <x:c r="B99" s="30" t="str">
        <x:v>MoE</x:v>
      </x:c>
      <x:c r="C99" s="30" t="str">
        <x:v>Hidden 输入</x:v>
      </x:c>
      <x:c r="D99" s="34" t="n">
        <x:f>(K61*2^20)/1e9</x:f>
        <x:v>0</x:v>
      </x:c>
      <x:c r="E99" s="64" t="n">
        <x:f>$H$83</x:f>
        <x:v>100</x:v>
      </x:c>
      <x:c r="F99" s="59" t="n">
        <x:v>1</x:v>
      </x:c>
      <x:c r="G99" s="34" t="n">
        <x:f>IF(AND(ISNUMBER(E99),E99&gt;0,ISNUMBER($B$83),$B$83&gt;=0,$B$83&lt;1,ISNUMBER($D$83),$D$83&gt;=0,$D$83&lt;=1,ISNUMBER(F99),F99&gt;=0,F99&lt;=1,ISNUMBER(J99),J99&gt;=0,J99&lt;=1),D99/E99*1000,NA())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G99*F99*$D$83*$B$83/(1-$B$83)</x:f>
        <x:v>0</x:v>
      </x:c>
      <x:c r="J99" s="59" t="n">
        <x:v>1</x:v>
      </x:c>
      <x:c r="K99" s="34" t="n">
        <x:f>I99*J99</x:f>
        <x:v>0</x:v>
      </x:c>
      <x:c r="L99" s="30" t="str">
        <x:v>原通信行 61</x:v>
      </x:c>
    </x:row>
    <x:row r="100" ht="15" customHeight="1">
      <x:c r="A100" s="30" t="str">
        <x:v>DP</x:v>
      </x:c>
      <x:c r="B100" s="30" t="str">
        <x:v>MoE Router</x:v>
      </x:c>
      <x:c r="C100" s="30" t="str">
        <x:v>Router Logits</x:v>
      </x:c>
      <x:c r="D100" s="34" t="n">
        <x:f>(K62*2^20)/1e9</x:f>
        <x:v>0</x:v>
      </x:c>
      <x:c r="E100" s="64" t="n">
        <x:f>$H$83</x:f>
        <x:v>100</x:v>
      </x:c>
      <x:c r="F100" s="59" t="n">
        <x:v>1</x:v>
      </x:c>
      <x:c r="G100" s="34" t="n">
        <x:f>IF(AND(ISNUMBER(E100),E100&gt;0,ISNUMBER($B$83),$B$83&gt;=0,$B$83&lt;1,ISNUMBER($D$83),$D$83&gt;=0,$D$83&lt;=1,ISNUMBER(F100),F100&gt;=0,F100&lt;=1,ISNUMBER(J100),J100&gt;=0,J100&lt;=1),D100/E100*1000,NA())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G100*F100*$D$83*$B$83/(1-$B$83)</x:f>
        <x:v>0</x:v>
      </x:c>
      <x:c r="J100" s="59" t="n">
        <x:v>1</x:v>
      </x:c>
      <x:c r="K100" s="34" t="n">
        <x:f>I100*J100</x:f>
        <x:v>0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Routed Expert 输出</x:v>
      </x:c>
      <x:c r="D101" s="34" t="n">
        <x:f>(K63*2^20)/1e9</x:f>
        <x:v>0</x:v>
      </x:c>
      <x:c r="E101" s="64" t="n">
        <x:f>$H$83</x:f>
        <x:v>100</x:v>
      </x:c>
      <x:c r="F101" s="59" t="n">
        <x:v>1</x:v>
      </x:c>
      <x:c r="G101" s="34" t="n">
        <x:f>IF(AND(ISNUMBER(E101),E101&gt;0,ISNUMBER($B$83),$B$83&gt;=0,$B$83&lt;1,ISNUMBER($D$83),$D$83&gt;=0,$D$83&lt;=1,ISNUMBER(F101),F101&gt;=0,F101&lt;=1,ISNUMBER(J101),J101&gt;=0,J101&lt;=1),D101/E101*1000,NA())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G101*F101*$D$83*$B$83/(1-$B$83)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输入</x:v>
      </x:c>
      <x:c r="D102" s="34" t="n">
        <x:f>(K64*2^20)/1e9</x:f>
        <x:v>10.804527104</x:v>
      </x:c>
      <x:c r="E102" s="64" t="n">
        <x:f>$H$83</x:f>
        <x:v>100</x:v>
      </x:c>
      <x:c r="F102" s="59" t="n">
        <x:v>1</x:v>
      </x:c>
      <x:c r="G102" s="34" t="n">
        <x:f>IF(AND(ISNUMBER(E102),E102&gt;0,ISNUMBER($B$83),$B$83&gt;=0,$B$83&lt;1,ISNUMBER($D$83),$D$83&gt;=0,$D$83&lt;=1,ISNUMBER(F102),F102&gt;=0,F102&lt;=1,ISNUMBER(J102),J102&gt;=0,J102&lt;=1),D102/E102*1000,NA())</x:f>
        <x:v>108.04527104</x:v>
      </x:c>
      <x:c r="H102" s="34" t="n">
        <x:f>G102+I102</x:f>
        <x:v>120.05030115555556</x:v>
      </x:c>
      <x:c r="I102" s="34" t="n">
        <x:f>G102*F102*$D$83*$B$83/(1-$B$83)</x:f>
        <x:v>12.005030115555558</x:v>
      </x:c>
      <x:c r="J102" s="59" t="n">
        <x:v>1</x:v>
      </x:c>
      <x:c r="K102" s="34" t="n">
        <x:f>I102*J102</x:f>
        <x:v>12.005030115555558</x:v>
      </x:c>
      <x:c r="L102" s="30" t="str">
        <x:v>原通信行 64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SP 输出</x:v>
      </x:c>
      <x:c r="D103" s="34" t="n">
        <x:f>(K65*2^20)/1e9</x:f>
        <x:v>10.804527104</x:v>
      </x:c>
      <x:c r="E103" s="64" t="n">
        <x:f>$H$83</x:f>
        <x:v>100</x:v>
      </x:c>
      <x:c r="F103" s="59" t="n">
        <x:v>1</x:v>
      </x:c>
      <x:c r="G103" s="34" t="n">
        <x:f>IF(AND(ISNUMBER(E103),E103&gt;0,ISNUMBER($B$83),$B$83&gt;=0,$B$83&lt;1,ISNUMBER($D$83),$D$83&gt;=0,$D$83&lt;=1,ISNUMBER(F103),F103&gt;=0,F103&lt;=1,ISNUMBER(J103),J103&gt;=0,J103&lt;=1),D103/E103*1000,NA())</x:f>
        <x:v>108.04527104</x:v>
      </x:c>
      <x:c r="H103" s="34" t="n">
        <x:f>G103+I103</x:f>
        <x:v>120.05030115555556</x:v>
      </x:c>
      <x:c r="I103" s="34" t="n">
        <x:f>G103*F103*$D$83*$B$83/(1-$B$83)</x:f>
        <x:v>12.005030115555558</x:v>
      </x:c>
      <x:c r="J103" s="59" t="n">
        <x:v>1</x:v>
      </x:c>
      <x:c r="K103" s="34" t="n">
        <x:f>I103*J103</x:f>
        <x:v>12.005030115555558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非 SP 输出</x:v>
      </x:c>
      <x:c r="D104" s="34" t="n">
        <x:f>(K66*2^20)/1e9</x:f>
        <x:v>0</x:v>
      </x:c>
      <x:c r="E104" s="64" t="n">
        <x:f>$H$83</x:f>
        <x:v>100</x:v>
      </x:c>
      <x:c r="F104" s="59" t="n">
        <x:v>1</x:v>
      </x:c>
      <x:c r="G104" s="34" t="n">
        <x:f>IF(AND(ISNUMBER(E104),E104&gt;0,ISNUMBER($B$83),$B$83&gt;=0,$B$83&lt;1,ISNUMBER($D$83),$D$83&gt;=0,$D$83&lt;=1,ISNUMBER(F104),F104&gt;=0,F104&lt;=1,ISNUMBER(J104),J104&gt;=0,J104&lt;=1),D104/E104*1000,NA())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G104*F104*$D$83*$B$83/(1-$B$83)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PCP</x:v>
      </x:c>
      <x:c r="B105" s="30" t="str">
        <x:v>MoE</x:v>
      </x:c>
      <x:c r="C105" s="30" t="str">
        <x:v>Hidden 输入</x:v>
      </x:c>
      <x:c r="D105" s="34" t="n">
        <x:f>(K67*2^20)/1e9</x:f>
        <x:v>0</x:v>
      </x:c>
      <x:c r="E105" s="64" t="n">
        <x:f>$H$83</x:f>
        <x:v>100</x:v>
      </x:c>
      <x:c r="F105" s="59" t="n">
        <x:v>1</x:v>
      </x:c>
      <x:c r="G105" s="34" t="n">
        <x:f>IF(AND(ISNUMBER(E105),E105&gt;0,ISNUMBER($B$83),$B$83&gt;=0,$B$83&lt;1,ISNUMBER($D$83),$D$83&gt;=0,$D$83&lt;=1,ISNUMBER(F105),F105&gt;=0,F105&lt;=1,ISNUMBER(J105),J105&gt;=0,J105&lt;=1),D105/E105*1000,NA())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G105*F105*$D$83*$B$83/(1-$B$83)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PCP</x:v>
      </x:c>
      <x:c r="B106" s="30" t="str">
        <x:v>MoE Router</x:v>
      </x:c>
      <x:c r="C106" s="30" t="str">
        <x:v>Router Logits</x:v>
      </x:c>
      <x:c r="D106" s="34" t="n">
        <x:f>(K68*2^20)/1e9</x:f>
        <x:v>0</x:v>
      </x:c>
      <x:c r="E106" s="64" t="n">
        <x:f>$H$83</x:f>
        <x:v>100</x:v>
      </x:c>
      <x:c r="F106" s="59" t="n">
        <x:v>1</x:v>
      </x:c>
      <x:c r="G106" s="34" t="n">
        <x:f>IF(AND(ISNUMBER(E106),E106&gt;0,ISNUMBER($B$83),$B$83&gt;=0,$B$83&lt;1,ISNUMBER($D$83),$D$83&gt;=0,$D$83&lt;=1,ISNUMBER(F106),F106&gt;=0,F106&lt;=1,ISNUMBER(J106),J106&gt;=0,J106&lt;=1),D106/E106*1000,NA())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G106*F106*$D$83*$B$83/(1-$B$83)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Routed Expert 输出</x:v>
      </x:c>
      <x:c r="D107" s="34" t="n">
        <x:f>(K69*2^20)/1e9</x:f>
        <x:v>0</x:v>
      </x:c>
      <x:c r="E107" s="64" t="n">
        <x:f>$H$83</x:f>
        <x:v>100</x:v>
      </x:c>
      <x:c r="F107" s="59" t="n">
        <x:v>1</x:v>
      </x:c>
      <x:c r="G107" s="34" t="n">
        <x:f>IF(AND(ISNUMBER(E107),E107&gt;0,ISNUMBER($B$83),$B$83&gt;=0,$B$83&lt;1,ISNUMBER($D$83),$D$83&gt;=0,$D$83&lt;=1,ISNUMBER(F107),F107&gt;=0,F107&lt;=1,ISNUMBER(J107),J107&gt;=0,J107&lt;=1),D107/E107*1000,NA())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G107*F107*$D$83*$B$83/(1-$B$83)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Attention KV</x:v>
      </x:c>
      <x:c r="C108" s="30" t="str">
        <x:v>KV Cache 写入前</x:v>
      </x:c>
      <x:c r="D108" s="34" t="n">
        <x:f>(K70*2^20)/1e9</x:f>
        <x:v>0</x:v>
      </x:c>
      <x:c r="E108" s="64" t="n">
        <x:f>$H$83</x:f>
        <x:v>100</x:v>
      </x:c>
      <x:c r="F108" s="59" t="n">
        <x:v>1</x:v>
      </x:c>
      <x:c r="G108" s="34" t="n">
        <x:f>IF(AND(ISNUMBER(E108),E108&gt;0,ISNUMBER($B$83),$B$83&gt;=0,$B$83&lt;1,ISNUMBER($D$83),$D$83&gt;=0,$D$83&lt;=1,ISNUMBER(F108),F108&gt;=0,F108&lt;=1,ISNUMBER(J108),J108&gt;=0,J108&lt;=1),D108/E108*1000,NA())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G108*F108*$D$83*$B$83/(1-$B$83)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SP</x:v>
      </x:c>
      <x:c r="B109" s="30" t="str">
        <x:v>Model Output</x:v>
      </x:c>
      <x:c r="C109" s="30" t="str">
        <x:v>Final Norm 后</x:v>
      </x:c>
      <x:c r="D109" s="34" t="n">
        <x:f>(K71*2^20)/1e9</x:f>
        <x:v>0.117440512</x:v>
      </x:c>
      <x:c r="E109" s="64" t="n">
        <x:f>$H$83</x:f>
        <x:v>100</x:v>
      </x:c>
      <x:c r="F109" s="59" t="n">
        <x:v>1</x:v>
      </x:c>
      <x:c r="G109" s="34" t="n">
        <x:f>IF(AND(ISNUMBER(E109),E109&gt;0,ISNUMBER($B$83),$B$83&gt;=0,$B$83&lt;1,ISNUMBER($D$83),$D$83&gt;=0,$D$83&lt;=1,ISNUMBER(F109),F109&gt;=0,F109&lt;=1,ISNUMBER(J109),J109&gt;=0,J109&lt;=1),D109/E109*1000,NA())</x:f>
        <x:v>1.17440512</x:v>
      </x:c>
      <x:c r="H109" s="34" t="n">
        <x:f>G109+I109</x:f>
        <x:v>1.3048945777777778</x:v>
      </x:c>
      <x:c r="I109" s="34" t="n">
        <x:f>G109*F109*$D$83*$B$83/(1-$B$83)</x:f>
        <x:v>0.1304894577777778</x:v>
      </x:c>
      <x:c r="J109" s="59" t="n">
        <x:v>1</x:v>
      </x:c>
      <x:c r="K109" s="34" t="n">
        <x:f>I109*J109</x:f>
        <x:v>0.1304894577777778</x:v>
      </x:c>
      <x:c r="L109" s="30" t="str">
        <x:v>原通信行 71</x:v>
      </x:c>
    </x:row>
    <x:row r="110" ht="15" customHeight="1">
      <x:c r="A110" s="30" t="str">
        <x:v>LM Head TP</x:v>
      </x:c>
      <x:c r="B110" s="30" t="str">
        <x:v>LM Head</x:v>
      </x:c>
      <x:c r="C110" s="30" t="str">
        <x:v>完整 Logits</x:v>
      </x:c>
      <x:c r="D110" s="34" t="n">
        <x:f>(K72*2^20)/1e9</x:f>
        <x:v>0</x:v>
      </x:c>
      <x:c r="E110" s="64" t="n">
        <x:f>$H$83</x:f>
        <x:v>100</x:v>
      </x:c>
      <x:c r="F110" s="59" t="n">
        <x:v>1</x:v>
      </x:c>
      <x:c r="G110" s="34" t="n">
        <x:f>IF(AND(ISNUMBER(E110),E110&gt;0,ISNUMBER($B$83),$B$83&gt;=0,$B$83&lt;1,ISNUMBER($D$83),$D$83&gt;=0,$D$83&lt;=1,ISNUMBER(F110),F110&gt;=0,F110&lt;=1,ISNUMBER(J110),J110&gt;=0,J110&lt;=1),D110/E110*1000,NA())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G110*F110*$D$83*$B$83/(1-$B$83)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LM Head TP</x:v>
      </x:c>
      <x:c r="B111" s="30" t="str">
        <x:v>LM Head</x:v>
      </x:c>
      <x:c r="C111" s="30" t="str">
        <x:v>Reduce Sample</x:v>
      </x:c>
      <x:c r="D111" s="34" t="n">
        <x:f>(K73*2^20)/1e9</x:f>
        <x:v>0.001376256</x:v>
      </x:c>
      <x:c r="E111" s="64" t="n">
        <x:f>$H$83</x:f>
        <x:v>100</x:v>
      </x:c>
      <x:c r="F111" s="59" t="n">
        <x:v>1</x:v>
      </x:c>
      <x:c r="G111" s="34" t="n">
        <x:f>IF(AND(ISNUMBER(E111),E111&gt;0,ISNUMBER($B$83),$B$83&gt;=0,$B$83&lt;1,ISNUMBER($D$83),$D$83&gt;=0,$D$83&lt;=1,ISNUMBER(F111),F111&gt;=0,F111&lt;=1,ISNUMBER(J111),J111&gt;=0,J111&lt;=1),D111/E111*1000,NA())</x:f>
        <x:v>0.01376256</x:v>
      </x:c>
      <x:c r="H111" s="34" t="n">
        <x:f>G111+I111</x:f>
        <x:v>0.015291733333333333</x:v>
      </x:c>
      <x:c r="I111" s="34" t="n">
        <x:f>G111*F111*$D$83*$B$83/(1-$B$83)</x:f>
        <x:v>0.0015291733333333336</x:v>
      </x:c>
      <x:c r="J111" s="59" t="n">
        <x:v>1</x:v>
      </x:c>
      <x:c r="K111" s="34" t="n">
        <x:f>I111*J111</x:f>
        <x:v>0.0015291733333333336</x:v>
      </x:c>
      <x:c r="L111" s="30" t="str">
        <x:v>原通信行 73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Hidden 输入</x:v>
      </x:c>
      <x:c r="D112" s="34" t="n">
        <x:f>(K74*2^20)/1e9</x:f>
        <x:v>0</x:v>
      </x:c>
      <x:c r="E112" s="64" t="n">
        <x:f>$H$83</x:f>
        <x:v>100</x:v>
      </x:c>
      <x:c r="F112" s="59" t="n">
        <x:v>1</x:v>
      </x:c>
      <x:c r="G112" s="34" t="n">
        <x:f>IF(AND(ISNUMBER(E112),E112&gt;0,ISNUMBER($B$83),$B$83&gt;=0,$B$83&lt;1,ISNUMBER($D$83),$D$83&gt;=0,$D$83&lt;=1,ISNUMBER(F112),F112&gt;=0,F112&lt;=1,ISNUMBER(J112),J112&gt;=0,J112&lt;=1),D112/E112*1000,NA())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G112*F112*$D$83*$B$83/(1-$B$83)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Fine LM Head TP</x:v>
      </x:c>
      <x:c r="B113" s="30" t="str">
        <x:v>LM Head</x:v>
      </x:c>
      <x:c r="C113" s="30" t="str">
        <x:v>完整 Logits</x:v>
      </x:c>
      <x:c r="D113" s="34" t="n">
        <x:f>(K75*2^20)/1e9</x:f>
        <x:v>0</x:v>
      </x:c>
      <x:c r="E113" s="64" t="n">
        <x:f>$H$83</x:f>
        <x:v>100</x:v>
      </x:c>
      <x:c r="F113" s="59" t="n">
        <x:v>1</x:v>
      </x:c>
      <x:c r="G113" s="34" t="n">
        <x:f>IF(AND(ISNUMBER(E113),E113&gt;0,ISNUMBER($B$83),$B$83&gt;=0,$B$83&lt;1,ISNUMBER($D$83),$D$83&gt;=0,$D$83&lt;=1,ISNUMBER(F113),F113&gt;=0,F113&lt;=1,ISNUMBER(J113),J113&gt;=0,J113&lt;=1),D113/E113*1000,NA())</x:f>
        <x:v>0</x:v>
      </x:c>
      <x:c r="H113" s="34" t="n">
        <x:f>G113+I113</x:f>
        <x:v>0</x:v>
      </x:c>
      <x:c r="I113" s="34" t="n">
        <x:f>G113*F113*$D$83*$B$83/(1-$B$83)</x:f>
        <x:v>0</x:v>
      </x:c>
      <x:c r="J113" s="59" t="n">
        <x:v>1</x:v>
      </x:c>
      <x:c r="K113" s="34" t="n">
        <x:f>I113*J113</x:f>
        <x:v>0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Reduce Sample</x:v>
      </x:c>
      <x:c r="D114" s="34" t="n">
        <x:f>(K76*2^20)/1e9</x:f>
        <x:v>0</x:v>
      </x:c>
      <x:c r="E114" s="64" t="n">
        <x:f>$H$83</x:f>
        <x:v>100</x:v>
      </x:c>
      <x:c r="F114" s="59" t="n">
        <x:v>1</x:v>
      </x:c>
      <x:c r="G114" s="34" t="n">
        <x:f>IF(AND(ISNUMBER(E114),E114&gt;0,ISNUMBER($B$83),$B$83&gt;=0,$B$83&lt;1,ISNUMBER($D$83),$D$83&gt;=0,$D$83&lt;=1,ISNUMBER(F114),F114&gt;=0,F114&lt;=1,ISNUMBER(J114),J114&gt;=0,J114&lt;=1),D114/E114*1000,NA())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G114*F114*$D$83*$B$83/(1-$B$83)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EP</x:v>
      </x:c>
      <x:c r="B115" s="30" t="str">
        <x:v>MoE 计数</x:v>
      </x:c>
      <x:c r="C115" s="30" t="str">
        <x:v>直方图 Ring AG</x:v>
      </x:c>
      <x:c r="D115" s="34" t="n">
        <x:f>(IF(E59=0,0,H59*ROUNDUP(512/G59,0)*G59*4*(G59-1)))/1e9</x:f>
        <x:v>0.001318912</x:v>
      </x:c>
      <x:c r="E115" s="64" t="n">
        <x:f>$H$83</x:f>
        <x:v>100</x:v>
      </x:c>
      <x:c r="F115" s="59" t="n">
        <x:v>1</x:v>
      </x:c>
      <x:c r="G115" s="34" t="n">
        <x:f>IF(AND(ISNUMBER(E115),E115&gt;0,ISNUMBER($B$83),$B$83&gt;=0,$B$83&lt;1,ISNUMBER($D$83),$D$83&gt;=0,$D$83&lt;=1,ISNUMBER(F115),F115&gt;=0,F115&lt;=1,ISNUMBER(J115),J115&gt;=0,J115&lt;=1),D115/E115*1000,NA())</x:f>
        <x:v>0.01318912</x:v>
      </x:c>
      <x:c r="H115" s="34" t="n">
        <x:f>G115+I115</x:f>
        <x:v>0.014654577777777778</x:v>
      </x:c>
      <x:c r="I115" s="34" t="n">
        <x:f>G115*F115*$D$83*$B$83/(1-$B$83)</x:f>
        <x:v>0.001465457777777778</x:v>
      </x:c>
      <x:c r="J115" s="59" t="n">
        <x:v>1</x:v>
      </x:c>
      <x:c r="K115" s="34" t="n">
        <x:f>I115*J115</x:f>
        <x:v>0.001465457777777778</x:v>
      </x:c>
      <x:c r="L115" s="30" t="str">
        <x:v>额外控制量</x:v>
      </x:c>
    </x:row>
    <x:row r="116" ht="15" customHeight="1">
      <x:c r="A116" s="40" t="str">
        <x:v>所列事件串行相加</x:v>
      </x:c>
      <x:c r="B116" s="40"/>
      <x:c r="C116" s="40"/>
      <x:c r="D116" s="41" t="n">
        <x:f>SUM(D89:D115)</x:f>
        <x:v>70.58444288</x:v>
      </x:c>
      <x:c r="E116" s="40"/>
      <x:c r="F116" s="40"/>
      <x:c r="G116" s="41" t="n">
        <x:f>SUM(G89:G115)</x:f>
        <x:v>705.8444288</x:v>
      </x:c>
      <x:c r="H116" s="41" t="n">
        <x:f>SUM(H89:H115)</x:f>
        <x:v>784.2715875555556</x:v>
      </x:c>
      <x:c r="I116" s="41" t="n">
        <x:f>SUM(I89:I115)</x:f>
        <x:v>78.4271587555556</x:v>
      </x:c>
      <x:c r="J116" s="40"/>
      <x:c r="K116" s="41" t="n">
        <x:f>SUM(K89:K115)</x:f>
        <x:v>78.4271587555556</x:v>
      </x:c>
      <x:c r="L116" s="40"/>
    </x:row>
  </x:sheetData>
  <x:conditionalFormatting sqref="L85:L8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'Decode'!$P$12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'Decode'!$P$12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'Decode'!$P$12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IF('Decode'!$P$19&gt;0,'Decode'!$P$19,'Decode'!$P$12)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'Decode'!$P$12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'Decode'!$P$12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/>
      <x:c r="P15" s="35"/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'Decode'!$P$12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'Decode'!$P$12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'Decode'!$P$12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'Decode'!$P$12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'Decode'!$P$14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'Decode'!$P$12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'Decode'!$P$12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'Decode'!$P$14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'Decode'!$P$7*8192</x:f>
        <x:v>2097152</x:v>
      </x:c>
      <x:c r="F51" s="33" t="n">
        <x:f>'Decode'!$P$28</x:f>
        <x:v>2</x:v>
      </x:c>
      <x:c r="G51" s="33" t="n">
        <x:f>IF('Decode'!$P$21&gt;0,'Decode'!$P$21,'Decode'!$P$12)</x:f>
        <x:v>8</x:v>
      </x:c>
      <x:c r="H51" s="33" t="n">
        <x:f>IF(AND(IF('Decode'!$P$21&gt;0,'Decode'!$P$21,'Decode'!$P$12)&gt;1,'Decode'!$P$24=0),1,0)</x:f>
        <x:v>1</x:v>
      </x:c>
      <x:c r="I51" s="34" t="n">
        <x:f>E51*F51/1048576</x:f>
        <x:v>4</x:v>
      </x:c>
      <x:c r="J51" s="34" t="n">
        <x:f>I51*(IF(G51&gt;1,2*(G51-1)/G51,0))</x:f>
        <x:v>7</x:v>
      </x:c>
      <x:c r="K51" s="34" t="n">
        <x:f>J51*H51</x:f>
        <x:v>7</x:v>
      </x:c>
      <x:c r="L51" s="34" t="n">
        <x:f>K51*G51</x:f>
        <x:v>56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'Decode'!$P$7</x:f>
        <x:v>256</x:v>
      </x:c>
      <x:c r="F52" s="33" t="n">
        <x:f>'Decode'!$P$30</x:f>
        <x:v>8</x:v>
      </x:c>
      <x:c r="G52" s="33" t="n">
        <x:f>IF('Decode'!$P$21&gt;0,'Decode'!$P$21,'Decode'!$P$12)</x:f>
        <x:v>8</x:v>
      </x:c>
      <x:c r="H52" s="33" t="n">
        <x:f>IF(AND(IF('Decode'!$P$21&gt;0,'Decode'!$P$21,'Decode'!$P$12)&gt;1,'Decode'!$P$24&lt;&gt;0),1,0)</x:f>
        <x:v>0</x:v>
      </x:c>
      <x:c r="I52" s="34" t="n">
        <x:f>E52*F52/1048576</x:f>
        <x:v>0.001953125</x:v>
      </x:c>
      <x:c r="J52" s="34" t="n">
        <x:f>I52*(IF(G52&gt;1,G52-1,0))</x:f>
        <x:v>0.013671875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'Decode'!$P$7*IF('Decode'!$P$21&gt;0,'Decode'!$P$21,'Decode'!$P$12)*8192</x:f>
        <x:v>16777216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IF(AND(IF('Decode'!$P$21&gt;0,'Decode'!$P$21,'Decode'!$P$12)&gt;1,'Decode'!$P$24&lt;&gt;0),1,0)</x:f>
        <x:v>0</x:v>
      </x:c>
      <x:c r="I53" s="34" t="n">
        <x:f>E53*F53/1048576</x:f>
        <x:v>32</x:v>
      </x:c>
      <x:c r="J53" s="34" t="n">
        <x:f>I53*(IF(G53&gt;1,(G53-1)/G53,0))</x:f>
        <x:v>28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((ROUNDUP('Decode'!$P$7/'Decode'!$P$12,0)*'Decode'!$P$12)/'Decode'!$P$12)*8192</x:f>
        <x:v>262144</x:v>
      </x:c>
      <x:c r="F54" s="33" t="n">
        <x:f>'Decode'!$P$28</x:f>
        <x:v>2</x:v>
      </x:c>
      <x:c r="G54" s="33" t="n">
        <x:f>'Decode'!$P$12</x:f>
        <x:v>8</x:v>
      </x:c>
      <x:c r="H54" s="33" t="n">
        <x:f>92*IF(AND('Decode'!$P$13&lt;&gt;0,'Decode'!$P$12&gt;1,'Decode'!$P$22=0),1,0)</x:f>
        <x:v>92</x:v>
      </x:c>
      <x:c r="I54" s="34" t="n">
        <x:f>E54*F54/1048576</x:f>
        <x:v>0.5</x:v>
      </x:c>
      <x:c r="J54" s="34" t="n">
        <x:f>I54*(IF(G54&gt;1,G54-1,0))</x:f>
        <x:v>3.5</x:v>
      </x:c>
      <x:c r="K54" s="34" t="n">
        <x:f>J54*H54</x:f>
        <x:v>322</x:v>
      </x:c>
      <x:c r="L54" s="34" t="n">
        <x:f>K54*G54</x:f>
        <x:v>2576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(ROUNDUP('Decode'!$P$7/'Decode'!$P$12,0)*'Decode'!$P$12)*8192</x:f>
        <x:v>2097152</x:v>
      </x:c>
      <x:c r="F55" s="33" t="n">
        <x:f>'Decode'!$P$28</x:f>
        <x:v>2</x:v>
      </x:c>
      <x:c r="G55" s="33" t="n">
        <x:f>'Decode'!$P$12</x:f>
        <x:v>8</x:v>
      </x:c>
      <x:c r="H55" s="33" t="n">
        <x:f>92*IF(AND('Decode'!$P$13&lt;&gt;0,'Decode'!$P$12&gt;1,'Decode'!$P$22=0),1,0)</x:f>
        <x:v>92</x:v>
      </x:c>
      <x:c r="I55" s="34" t="n">
        <x:f>E55*F55/1048576</x:f>
        <x:v>4</x:v>
      </x:c>
      <x:c r="J55" s="34" t="n">
        <x:f>I55*(IF(G55&gt;1,(G55-1)/G55,0))</x:f>
        <x:v>3.5</x:v>
      </x:c>
      <x:c r="K55" s="34" t="n">
        <x:f>J55*H55</x:f>
        <x:v>322</x:v>
      </x:c>
      <x:c r="L55" s="34" t="n">
        <x:f>K55*G55</x:f>
        <x:v>2576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'Decode'!$P$7*8192</x:f>
        <x:v>2097152</x:v>
      </x:c>
      <x:c r="F56" s="33" t="n">
        <x:f>'Decode'!$P$28</x:f>
        <x:v>2</x:v>
      </x:c>
      <x:c r="G56" s="33" t="n">
        <x:f>IF('Decode'!$P$19&gt;0,'Decode'!$P$19,'Decode'!$P$12)</x:f>
        <x:v>8</x:v>
      </x:c>
      <x:c r="H56" s="33" t="n">
        <x:f>92*IF(AND('Decode'!$P$13=0,IF('Decode'!$P$19&gt;0,'Decode'!$P$19,'Decode'!$P$12)&gt;1,'Decode'!$P$22=0),1,0)</x:f>
        <x:v>0</x:v>
      </x:c>
      <x:c r="I56" s="34" t="n">
        <x:f>E56*F56/1048576</x:f>
        <x:v>4</x:v>
      </x:c>
      <x:c r="J56" s="34" t="n">
        <x:f>I56*(IF(G56&gt;1,2*(G56-1)/G56,0))</x:f>
        <x:v>7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'Decode'!$P$7*16384</x:f>
        <x:v>4194304</x:v>
      </x:c>
      <x:c r="F57" s="33" t="n">
        <x:f>'Decode'!$P$28</x:f>
        <x:v>2</x:v>
      </x:c>
      <x:c r="G57" s="33" t="n">
        <x:f>IF('Decode'!$P$19&gt;0,'Decode'!$P$19,'Decode'!$P$12)</x:f>
        <x:v>8</x:v>
      </x:c>
      <x:c r="H57" s="33" t="n">
        <x:f>92*IF(AND(IF('Decode'!$P$19&gt;0,'Decode'!$P$19,'Decode'!$P$12)&gt;1,'Decode'!$P$22&lt;&gt;0),1,0)</x:f>
        <x:v>0</x:v>
      </x:c>
      <x:c r="I57" s="34" t="n">
        <x:f>E57*F57/1048576</x:f>
        <x:v>8</x:v>
      </x:c>
      <x:c r="J57" s="34" t="n">
        <x:f>I57*(IF(G57&gt;1,(G57-1)/G57,0))</x:f>
        <x:v>7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'Decode'!$P$7*IF('Decode'!$P$19&gt;0,'Decode'!$P$19,'Decode'!$P$12)*8192</x:f>
        <x:v>16777216</x:v>
      </x:c>
      <x:c r="F58" s="33" t="n">
        <x:f>'Decode'!$P$28</x:f>
        <x:v>2</x:v>
      </x:c>
      <x:c r="G58" s="33" t="n">
        <x:f>IF('Decode'!$P$19&gt;0,'Decode'!$P$19,'Decode'!$P$12)</x:f>
        <x:v>8</x:v>
      </x:c>
      <x:c r="H58" s="33" t="n">
        <x:f>92*IF(AND(IF('Decode'!$P$19&gt;0,'Decode'!$P$19,'Decode'!$P$12)&gt;1,'Decode'!$P$22&lt;&gt;0),1,0)</x:f>
        <x:v>0</x:v>
      </x:c>
      <x:c r="I58" s="34" t="n">
        <x:f>E58*F58/1048576</x:f>
        <x:v>32</x:v>
      </x:c>
      <x:c r="J58" s="34" t="n">
        <x:f>I58*(IF(G58&gt;1,(G58-1)/G58,0))</x:f>
        <x:v>28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IF('Decode'!$P$13&lt;&gt;0,((ROUNDUP('Decode'!$P$7/'Decode'!$P$12,0)*'Decode'!$P$12)/'Decode'!$P$12),'Decode'!$P$7)*10*'Decode'!$P$32*8192</x:f>
        <x:v>2293760</x:v>
      </x:c>
      <x:c r="F59" s="33" t="n">
        <x:f>'Decode'!$P$28</x:f>
        <x:v>2</x:v>
      </x:c>
      <x:c r="G59" s="33" t="n">
        <x:f>'Decode'!$P$14</x:f>
        <x:v>8</x:v>
      </x:c>
      <x:c r="H59" s="33" t="n">
        <x:f>92*IF('Decode'!$P$14&gt;1,1,0)</x:f>
        <x:v>92</x:v>
      </x:c>
      <x:c r="I59" s="34" t="n">
        <x:f>E59*F59/1048576</x:f>
        <x:v>4.375</x:v>
      </x:c>
      <x:c r="J59" s="34" t="n">
        <x:f>I59*(1)</x:f>
        <x:v>4.375</x:v>
      </x:c>
      <x:c r="K59" s="34" t="n">
        <x:f>J59*H59</x:f>
        <x:v>402.5</x:v>
      </x:c>
      <x:c r="L59" s="34" t="n">
        <x:f>K59*G59</x:f>
        <x:v>3220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IF('Decode'!$P$13&lt;&gt;0,((ROUNDUP('Decode'!$P$7/'Decode'!$P$12,0)*'Decode'!$P$12)/'Decode'!$P$12),'Decode'!$P$7)*10*'Decode'!$P$32*8192</x:f>
        <x:v>2293760</x:v>
      </x:c>
      <x:c r="F60" s="33" t="n">
        <x:f>'Decode'!$P$28</x:f>
        <x:v>2</x:v>
      </x:c>
      <x:c r="G60" s="33" t="n">
        <x:f>'Decode'!$P$14</x:f>
        <x:v>8</x:v>
      </x:c>
      <x:c r="H60" s="33" t="n">
        <x:f>92*IF('Decode'!$P$14&gt;1,1,0)</x:f>
        <x:v>92</x:v>
      </x:c>
      <x:c r="I60" s="34" t="n">
        <x:f>E60*F60/1048576</x:f>
        <x:v>4.375</x:v>
      </x:c>
      <x:c r="J60" s="34" t="n">
        <x:f>I60*(1)</x:f>
        <x:v>4.375</x:v>
      </x:c>
      <x:c r="K60" s="34" t="n">
        <x:f>J60*H60</x:f>
        <x:v>402.5</x:v>
      </x:c>
      <x:c r="L60" s="34" t="n">
        <x:f>K60*G60</x:f>
        <x:v>3220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'Decode'!$P$7*8192</x:f>
        <x:v>2097152</x:v>
      </x:c>
      <x:c r="F61" s="33" t="n">
        <x:f>'Decode'!$P$28</x:f>
        <x:v>2</x:v>
      </x:c>
      <x:c r="G61" s="33" t="n">
        <x:f>'Decode'!$P$11</x:f>
        <x:v>1</x:v>
      </x:c>
      <x:c r="H61" s="33" t="n">
        <x:f>92*IF(AND('Decode'!$P$11&gt;1,'Decode'!$P$14=1),1,0)</x:f>
        <x:v>0</x:v>
      </x:c>
      <x:c r="I61" s="34" t="n">
        <x:f>E61*F61/1048576</x:f>
        <x:v>4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'Decode'!$P$7*512</x:f>
        <x:v>131072</x:v>
      </x:c>
      <x:c r="F62" s="33" t="n">
        <x:f>'Decode'!$P$28</x:f>
        <x:v>2</x:v>
      </x:c>
      <x:c r="G62" s="33" t="n">
        <x:f>'Decode'!$P$11</x:f>
        <x:v>1</x:v>
      </x:c>
      <x:c r="H62" s="33" t="n">
        <x:f>92*IF(AND('Decode'!$P$11&gt;1,'Decode'!$P$14=1),1,0)</x:f>
        <x:v>0</x:v>
      </x:c>
      <x:c r="I62" s="34" t="n">
        <x:f>E62*F62/1048576</x:f>
        <x:v>0.25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'Decode'!$P$7*'Decode'!$P$11*8192</x:f>
        <x:v>2097152</x:v>
      </x:c>
      <x:c r="F63" s="33" t="n">
        <x:f>'Decode'!$P$28</x:f>
        <x:v>2</x:v>
      </x:c>
      <x:c r="G63" s="33" t="n">
        <x:f>'Decode'!$P$11</x:f>
        <x:v>1</x:v>
      </x:c>
      <x:c r="H63" s="33" t="n">
        <x:f>92*IF(AND('Decode'!$P$11&gt;1,'Decode'!$P$14=1),1,0)</x:f>
        <x:v>0</x:v>
      </x:c>
      <x:c r="I63" s="34" t="n">
        <x:f>E63*F63/1048576</x:f>
        <x:v>4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((ROUNDUP('Decode'!$P$7/'Decode'!$P$12,0)*'Decode'!$P$12)/'Decode'!$P$12)*8192</x:f>
        <x:v>262144</x:v>
      </x:c>
      <x:c r="F64" s="33" t="n">
        <x:f>'Decode'!$P$28</x:f>
        <x:v>2</x:v>
      </x:c>
      <x:c r="G64" s="33" t="n">
        <x:f>IF('Decode'!$P$17="TP",'Decode'!$P$18,1)</x:f>
        <x:v>8</x:v>
      </x:c>
      <x:c r="H64" s="33" t="n">
        <x:f>92*IF(AND('Decode'!$P$17="TP",IF('Decode'!$P$17="TP",'Decode'!$P$18,1)&gt;1,'Decode'!$P$13&lt;&gt;0),1,0)</x:f>
        <x:v>92</x:v>
      </x:c>
      <x:c r="I64" s="34" t="n">
        <x:f>E64*F64/1048576</x:f>
        <x:v>0.5</x:v>
      </x:c>
      <x:c r="J64" s="34" t="n">
        <x:f>I64*(IF(G64&gt;1,G64-1,0))</x:f>
        <x:v>3.5</x:v>
      </x:c>
      <x:c r="K64" s="34" t="n">
        <x:f>J64*H64</x:f>
        <x:v>322</x:v>
      </x:c>
      <x:c r="L64" s="34" t="n">
        <x:f>K64*G64</x:f>
        <x:v>2576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(ROUNDUP('Decode'!$P$7/'Decode'!$P$12,0)*'Decode'!$P$12)*8192</x:f>
        <x:v>2097152</x:v>
      </x:c>
      <x:c r="F65" s="33" t="n">
        <x:f>'Decode'!$P$28</x:f>
        <x:v>2</x:v>
      </x:c>
      <x:c r="G65" s="33" t="n">
        <x:f>IF('Decode'!$P$17="TP",'Decode'!$P$18,1)</x:f>
        <x:v>8</x:v>
      </x:c>
      <x:c r="H65" s="33" t="n">
        <x:f>92*IF(AND('Decode'!$P$17="TP",IF('Decode'!$P$17="TP",'Decode'!$P$18,1)&gt;1,'Decode'!$P$13&lt;&gt;0),1,0)</x:f>
        <x:v>92</x:v>
      </x:c>
      <x:c r="I65" s="34" t="n">
        <x:f>E65*F65/1048576</x:f>
        <x:v>4</x:v>
      </x:c>
      <x:c r="J65" s="34" t="n">
        <x:f>I65*(IF(G65&gt;1,(G65-1)/G65,0))</x:f>
        <x:v>3.5</x:v>
      </x:c>
      <x:c r="K65" s="34" t="n">
        <x:f>J65*H65</x:f>
        <x:v>322</x:v>
      </x:c>
      <x:c r="L65" s="34" t="n">
        <x:f>K65*G65</x:f>
        <x:v>2576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'Decode'!$P$7*8192</x:f>
        <x:v>2097152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92*IF(AND('Decode'!$P$17="TP",IF('Decode'!$P$17="TP",'Decode'!$P$18,1)&gt;1,'Decode'!$P$13=0),1,0)</x:f>
        <x:v>0</x:v>
      </x:c>
      <x:c r="I66" s="34" t="n">
        <x:f>E66*F66/1048576</x:f>
        <x:v>4</x:v>
      </x:c>
      <x:c r="J66" s="34" t="n">
        <x:f>I66*(IF(G66&gt;1,2*(G66-1)/G66,0))</x:f>
        <x:v>7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DCP</x:v>
      </x:c>
      <x:c r="B67" s="30" t="str">
        <x:v>Attention</x:v>
      </x:c>
      <x:c r="C67" s="30" t="str">
        <x:v>Query</x:v>
      </x:c>
      <x:c r="D67" s="30" t="str">
        <x:v>Ring AllGather</x:v>
      </x:c>
      <x:c r="E67" s="33" t="n">
        <x:f>'Decode'!$P$7*(64/'Decode'!$P$12)*256</x:f>
        <x:v>524288</x:v>
      </x:c>
      <x:c r="F67" s="33" t="n">
        <x:f>'Decode'!$P$28</x:f>
        <x:v>2</x:v>
      </x:c>
      <x:c r="G67" s="33" t="n">
        <x:f>'Decode'!$P$16</x:f>
        <x:v>1</x:v>
      </x:c>
      <x:c r="H67" s="33" t="n">
        <x:f>23*IF('Decode'!$P$16&gt;1,1,0)</x:f>
        <x:v>0</x:v>
      </x:c>
      <x:c r="I67" s="34" t="n">
        <x:f>E67*F67/1048576</x:f>
        <x:v>1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DCP</x:v>
      </x:c>
      <x:c r="B68" s="30" t="str">
        <x:v>Attention</x:v>
      </x:c>
      <x:c r="C68" s="30" t="str">
        <x:v>LSE</x:v>
      </x:c>
      <x:c r="D68" s="30" t="str">
        <x:v>Ring AllGather</x:v>
      </x:c>
      <x:c r="E68" s="33" t="n">
        <x:f>'Decode'!$P$7*(64*'Decode'!$P$16/'Decode'!$P$12)</x:f>
        <x:v>2048</x:v>
      </x:c>
      <x:c r="F68" s="33" t="n">
        <x:f>'Decode'!$P$29</x:f>
        <x:v>4</x:v>
      </x:c>
      <x:c r="G68" s="33" t="n">
        <x:f>'Decode'!$P$16</x:f>
        <x:v>1</x:v>
      </x:c>
      <x:c r="H68" s="33" t="n">
        <x:f>23*IF('Decode'!$P$16&gt;1,1,0)</x:f>
        <x:v>0</x:v>
      </x:c>
      <x:c r="I68" s="34" t="n">
        <x:f>E68*F68/1048576</x:f>
        <x:v>0.0078125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DCP</x:v>
      </x:c>
      <x:c r="B69" s="30" t="str">
        <x:v>Attention</x:v>
      </x:c>
      <x:c r="C69" s="30" t="str">
        <x:v>Attention 输出</x:v>
      </x:c>
      <x:c r="D69" s="30" t="str">
        <x:v>Ring ReduceScatter</x:v>
      </x:c>
      <x:c r="E69" s="33" t="n">
        <x:f>'Decode'!$P$7*(64*'Decode'!$P$16/'Decode'!$P$12)*256</x:f>
        <x:v>524288</x:v>
      </x:c>
      <x:c r="F69" s="33" t="n">
        <x:f>'Decode'!$P$28</x:f>
        <x:v>2</x:v>
      </x:c>
      <x:c r="G69" s="33" t="n">
        <x:f>'Decode'!$P$16</x:f>
        <x:v>1</x:v>
      </x:c>
      <x:c r="H69" s="33" t="n">
        <x:f>23*IF('Decode'!$P$16&gt;1,1,0)</x:f>
        <x:v>0</x:v>
      </x:c>
      <x:c r="I69" s="34" t="n">
        <x:f>E69*F69/1048576</x:f>
        <x:v>1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SP</x:v>
      </x:c>
      <x:c r="B70" s="30" t="str">
        <x:v>Model Output</x:v>
      </x:c>
      <x:c r="C70" s="30" t="str">
        <x:v>Final Norm 后</x:v>
      </x:c>
      <x:c r="D70" s="30" t="str">
        <x:v>Ring AllGather</x:v>
      </x:c>
      <x:c r="E70" s="33" t="n">
        <x:f>((ROUNDUP('Decode'!$P$7/'Decode'!$P$12,0)*'Decode'!$P$12)/'Decode'!$P$12)*8192</x:f>
        <x:v>262144</x:v>
      </x:c>
      <x:c r="F70" s="33" t="n">
        <x:f>'Decode'!$P$28</x:f>
        <x:v>2</x:v>
      </x:c>
      <x:c r="G70" s="33" t="n">
        <x:f>'Decode'!$P$12</x:f>
        <x:v>8</x:v>
      </x:c>
      <x:c r="H70" s="33" t="n">
        <x:f>IF(AND('Decode'!$P$13&lt;&gt;0,'Decode'!$P$12&gt;1),1,0)</x:f>
        <x:v>1</x:v>
      </x:c>
      <x:c r="I70" s="34" t="n">
        <x:f>E70*F70/1048576</x:f>
        <x:v>0.5</x:v>
      </x:c>
      <x:c r="J70" s="34" t="n">
        <x:f>I70*(IF(G70&gt;1,G70-1,0))</x:f>
        <x:v>3.5</x:v>
      </x:c>
      <x:c r="K70" s="34" t="n">
        <x:f>J70*H70</x:f>
        <x:v>3.5</x:v>
      </x:c>
      <x:c r="L70" s="34" t="n">
        <x:f>K70*G70</x:f>
        <x:v>28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完整 Logits</x:v>
      </x:c>
      <x:c r="D71" s="30" t="str">
        <x:v>Ring AllGather</x:v>
      </x:c>
      <x:c r="E71" s="33" t="n">
        <x:f>'Decode'!$P$8*248320/IF('Decode'!$P$20&gt;0,'Decode'!$P$20,'Decode'!$P$12)</x:f>
        <x:v>7946240</x:v>
      </x:c>
      <x:c r="F71" s="33" t="n">
        <x:f>'Decode'!$P$28</x:f>
        <x:v>2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IF(AND(IF('Decode'!$P$20&gt;0,'Decode'!$P$20,'Decode'!$P$12)&gt;1,'Decode'!$P$23=0,'Decode'!$P$33=0),1,0)</x:f>
        <x:v>0</x:v>
      </x:c>
      <x:c r="I71" s="34" t="n">
        <x:f>E71*F71/1048576</x:f>
        <x:v>15.15625</x:v>
      </x:c>
      <x:c r="J71" s="34" t="n">
        <x:f>I71*(IF(G71&gt;1,G71-1,0))</x:f>
        <x:v>106.09375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Reduce Sample</x:v>
      </x:c>
      <x:c r="D72" s="30" t="str">
        <x:v>Ring AllGather</x:v>
      </x:c>
      <x:c r="E72" s="33" t="n">
        <x:f>'Decode'!$P$8*'Decode'!$P$34</x:f>
        <x:v>65536</x:v>
      </x:c>
      <x:c r="F72" s="33" t="n">
        <x:f>('Decode'!$P$28+'Decode'!$P$31)</x:f>
        <x:v>6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IF(AND(IF('Decode'!$P$20&gt;0,'Decode'!$P$20,'Decode'!$P$12)&gt;1,'Decode'!$P$23=0,'Decode'!$P$33&lt;&gt;0),1,0)</x:f>
        <x:v>1</x:v>
      </x:c>
      <x:c r="I72" s="34" t="n">
        <x:f>E72*F72/1048576</x:f>
        <x:v>0.375</x:v>
      </x:c>
      <x:c r="J72" s="34" t="n">
        <x:f>I72*(IF(G72&gt;1,G72-1,0))</x:f>
        <x:v>2.625</x:v>
      </x:c>
      <x:c r="K72" s="34" t="n">
        <x:f>J72*H72</x:f>
        <x:v>2.625</x:v>
      </x:c>
      <x:c r="L72" s="34" t="n">
        <x:f>K72*G72</x:f>
        <x:v>21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Hidden 输入</x:v>
      </x:c>
      <x:c r="D73" s="30" t="str">
        <x:v>Ring AllGather</x:v>
      </x:c>
      <x:c r="E73" s="33" t="n">
        <x:f>'Decode'!$P$8*8192</x:f>
        <x:v>2097152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IF(AND(IF('Decode'!$P$20&gt;0,'Decode'!$P$20,'Decode'!$P$12)&gt;1,'Decode'!$P$23&lt;&gt;0),1,0)</x:f>
        <x:v>0</x:v>
      </x:c>
      <x:c r="I73" s="34" t="n">
        <x:f>E73*F73/1048576</x:f>
        <x:v>4</x:v>
      </x:c>
      <x:c r="J73" s="34" t="n">
        <x:f>I73*(IF(G73&gt;1,G73-1,0))</x:f>
        <x:v>28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完整 Logits</x:v>
      </x:c>
      <x:c r="D74" s="30" t="str">
        <x:v>Equal-split AllToAll</x:v>
      </x:c>
      <x:c r="E74" s="33" t="n">
        <x:f>'Decode'!$P$8*248320</x:f>
        <x:v>63569920</x:v>
      </x:c>
      <x:c r="F74" s="33" t="n">
        <x:f>'Decode'!$P$28</x:f>
        <x:v>2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IF(AND(IF('Decode'!$P$20&gt;0,'Decode'!$P$20,'Decode'!$P$12)&gt;1,'Decode'!$P$23&lt;&gt;0,'Decode'!$P$33=0),1,0)</x:f>
        <x:v>0</x:v>
      </x:c>
      <x:c r="I74" s="34" t="n">
        <x:f>E74*F74/1048576</x:f>
        <x:v>121.25</x:v>
      </x:c>
      <x:c r="J74" s="34" t="n">
        <x:f>I74*(IF(G74&gt;1,(G74-1)/G74,0))</x:f>
        <x:v>106.09375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'Decode'!$P$8*'Decode'!$P$34</x:f>
        <x:v>65536</x:v>
      </x:c>
      <x:c r="F75" s="33" t="n">
        <x:f>('Decode'!$P$28+'Decode'!$P$31)</x:f>
        <x:v>6</x:v>
      </x:c>
      <x:c r="G75" s="33" t="n">
        <x:f>IF('Decode'!$P$20&gt;0,'Decode'!$P$20,'Decode'!$P$12)</x:f>
        <x:v>8</x:v>
      </x:c>
      <x:c r="H75" s="33" t="n">
        <x:f>IF(AND(IF('Decode'!$P$20&gt;0,'Decode'!$P$20,'Decode'!$P$12)&gt;1,'Decode'!$P$23&lt;&gt;0,'Decode'!$P$33&lt;&gt;0),1,0)</x:f>
        <x:v>0</x:v>
      </x:c>
      <x:c r="I75" s="34" t="n">
        <x:f>E75*F75/1048576</x:f>
        <x:v>0.375</x:v>
      </x:c>
      <x:c r="J75" s="34" t="n">
        <x:f>I75*(IF(G75&gt;1,G75-1,0))</x:f>
        <x:v>2.625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40" t="str">
        <x:v>合计</x:v>
      </x:c>
      <x:c r="B76" s="40"/>
      <x:c r="C76" s="40"/>
      <x:c r="D76" s="40"/>
      <x:c r="E76" s="40"/>
      <x:c r="F76" s="40"/>
      <x:c r="G76" s="40"/>
      <x:c r="H76" s="40"/>
      <x:c r="I76" s="41"/>
      <x:c r="J76" s="41"/>
      <x:c r="K76" s="41" t="n">
        <x:f>SUM(K51:K75)</x:f>
        <x:v>2106.125</x:v>
      </x:c>
      <x:c r="L76" s="41" t="n">
        <x:f>SUM(L51:L75)</x:f>
        <x:v>16849</x:v>
      </x:c>
      <x:c r="M76" s="30"/>
      <x:c r="N76" s="30"/>
      <x:c r="O76" s="30"/>
      <x:c r="P76" s="30"/>
    </x:row>
    <x:row r="79" ht="15" customHeight="1">
      <x:c r="A79" s="40" t="str">
        <x:v>PD 带宽争用耗时评估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15" customHeight="1">
      <x:c r="A80" s="30" t="str">
        <x:v>Decode 当前表参数；100 GB/s 为归一化示例。所列事件的带宽项，不等于完整 forward 耗时。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30" customHeight="1">
      <x:c r="A81" s="62" t="str">
        <x:v>带宽降幅</x:v>
      </x:c>
      <x:c r="B81" s="62" t="str">
        <x:v>输入</x:v>
      </x:c>
      <x:c r="C81" s="62" t="str">
        <x:v>争用覆盖率</x:v>
      </x:c>
      <x:c r="D81" s="62" t="str">
        <x:v>输入</x:v>
      </x:c>
      <x:c r="E81" s="62" t="str">
        <x:v>基线 forward ms</x:v>
      </x:c>
      <x:c r="F81" s="62" t="str">
        <x:v>实测输入</x:v>
      </x:c>
      <x:c r="G81" s="62" t="str">
        <x:v>默认带宽 GB/s</x:v>
      </x:c>
      <x:c r="H81" s="62" t="str">
        <x:v>输入</x:v>
      </x:c>
      <x:c r="I81" s="30"/>
      <x:c r="J81" s="30"/>
      <x:c r="K81" s="30"/>
      <x:c r="L81" s="30"/>
    </x:row>
    <x:row r="82" ht="15" customHeight="1">
      <x:c r="A82" s="30"/>
      <x:c r="B82" s="63" t="n">
        <x:v>0.1</x:v>
      </x:c>
      <x:c r="C82" s="30"/>
      <x:c r="D82" s="63" t="n">
        <x:v>1</x:v>
      </x:c>
      <x:c r="E82" s="30"/>
      <x:c r="F82" s="38"/>
      <x:c r="G82" s="30"/>
      <x:c r="H82" s="36" t="n">
        <x:v>100</x:v>
      </x:c>
      <x:c r="I82" s="30"/>
      <x:c r="J82" s="30"/>
      <x:c r="K82" s="30"/>
      <x:c r="L82" s="30"/>
    </x:row>
    <x:row r="83" ht="30" customHeight="1">
      <x:c r="A83" s="62" t="str">
        <x:v>通信基线 ms</x:v>
      </x:c>
      <x:c r="B83" s="62" t="str">
        <x:v>结果</x:v>
      </x:c>
      <x:c r="C83" s="62" t="str">
        <x:v>通信争用后 ms</x:v>
      </x:c>
      <x:c r="D83" s="62" t="str">
        <x:v>结果</x:v>
      </x:c>
      <x:c r="E83" s="62" t="str">
        <x:v>forward 增量 ms</x:v>
      </x:c>
      <x:c r="F83" s="62" t="str">
        <x:v>结果</x:v>
      </x:c>
      <x:c r="G83" s="62" t="str">
        <x:v>forward 新耗时 ms</x:v>
      </x:c>
      <x:c r="H83" s="62" t="str">
        <x:v>结果</x:v>
      </x:c>
      <x:c r="I83" s="62" t="str">
        <x:v>forward 增幅</x:v>
      </x:c>
      <x:c r="J83" s="62" t="str">
        <x:v>结果</x:v>
      </x:c>
      <x:c r="K83" s="62" t="str">
        <x:v>输入状态</x:v>
      </x:c>
      <x:c r="L83" s="62" t="str">
        <x:v>状态</x:v>
      </x:c>
    </x:row>
    <x:row r="84" ht="15" customHeight="1">
      <x:c r="A84" s="49"/>
      <x:c r="B84" s="49" t="n">
        <x:f>SUM(G88:G113)</x:f>
        <x:v>22.5014272</x:v>
      </x:c>
      <x:c r="C84" s="49"/>
      <x:c r="D84" s="49" t="n">
        <x:f>SUM(H88:H113)</x:f>
        <x:v>25.001585777777773</x:v>
      </x:c>
      <x:c r="E84" s="49"/>
      <x:c r="F84" s="49" t="n">
        <x:f>SUM(K88:K113)</x:f>
        <x:v>2.500158577777779</x:v>
      </x:c>
      <x:c r="G84" s="49"/>
      <x:c r="H84" s="49" t="str">
        <x:f>IF(AND(ISNUMBER($F$82),$F$82&gt;0,$F$82&gt;=SUMPRODUCT(G88:G113,J88:J113)),$F$82+F84,"")</x:f>
      </x:c>
      <x:c r="I84" s="49"/>
      <x:c r="J84" s="50" t="str">
        <x:f>IF(AND(ISNUMBER($F$82),$F$82&gt;0,$F$82&gt;=SUMPRODUCT(G88:G113,J88:J113)),F84/$F$82,"")</x:f>
      </x:c>
      <x:c r="K84" s="49"/>
      <x:c r="L84" s="49" t="str">
        <x:f>IF($F$82="","待填基线",IF(AND(ISNUMBER($F$82),$F$82&gt;0,$F$82&gt;=SUMPRODUCT(G88:G113,J88:J113)),"已填基线","基线/暴露不一致"))</x:f>
        <x:v>待填基线</x:v>
      </x:c>
    </x:row>
    <x:row r="85" ht="15" customHeight="1">
      <x:c r="A85" s="30" t="str">
        <x:v>共享比例=0 表示独立链路；暴露系数=0 表示增量完全隐藏。默认均为 1，降幅只作用于带宽项。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15" customHeight="1">
      <x:c r="A86" s="30" t="str">
        <x:v>P: AllToAllV + 4 B 计数 Ring；D: A3 BF16 MC2 FullMesh。每事件带宽按端点发送量定义。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30" customHeight="1">
      <x:c r="A87" s="62" t="str">
        <x:v>并行域</x:v>
      </x:c>
      <x:c r="B87" s="62" t="str">
        <x:v>模块</x:v>
      </x:c>
      <x:c r="C87" s="62" t="str">
        <x:v>通信事件</x:v>
      </x:c>
      <x:c r="D87" s="62" t="str">
        <x:v>GB/Rank/Step</x:v>
      </x:c>
      <x:c r="E87" s="62" t="str">
        <x:v>有效带宽 GB/s</x:v>
      </x:c>
      <x:c r="F87" s="62" t="str">
        <x:v>共享比例</x:v>
      </x:c>
      <x:c r="G87" s="62" t="str">
        <x:v>基线带宽项 ms</x:v>
      </x:c>
      <x:c r="H87" s="62" t="str">
        <x:v>争用后带宽项 ms</x:v>
      </x:c>
      <x:c r="I87" s="62" t="str">
        <x:v>通信增量 ms</x:v>
      </x:c>
      <x:c r="J87" s="62" t="str">
        <x:v>暴露系数</x:v>
      </x:c>
      <x:c r="K87" s="62" t="str">
        <x:v>forward 增量 ms</x:v>
      </x:c>
      <x:c r="L87" s="62" t="str">
        <x:v>公式口径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标准 TP 输出</x:v>
      </x:c>
      <x:c r="D88" s="34" t="n">
        <x:f>(K51*2^20)/1e9</x:f>
        <x:v>0.007340032</x:v>
      </x:c>
      <x:c r="E88" s="64" t="n">
        <x:f>$H$82</x:f>
        <x:v>100</x:v>
      </x:c>
      <x:c r="F88" s="59" t="n">
        <x:v>1</x:v>
      </x:c>
      <x:c r="G88" s="34" t="n">
        <x:f>IF(AND(ISNUMBER(E88),E88&gt;0,ISNUMBER($B$82),$B$82&gt;=0,$B$82&lt;1,ISNUMBER($D$82),$D$82&gt;=0,$D$82&lt;=1,ISNUMBER(F88),F88&gt;=0,F88&lt;=1,ISNUMBER(J88),J88&gt;=0,J88&lt;=1),D88/E88*1000,NA())</x:f>
        <x:v>0.07340032</x:v>
      </x:c>
      <x:c r="H88" s="34" t="n">
        <x:f>G88+I88</x:f>
        <x:v>0.08155591111111112</x:v>
      </x:c>
      <x:c r="I88" s="34" t="n">
        <x:f>G88*F88*$D$82*$B$82/(1-$B$82)</x:f>
        <x:v>0.008155591111111112</x:v>
      </x:c>
      <x:c r="J88" s="59" t="n">
        <x:v>1</x:v>
      </x:c>
      <x:c r="K88" s="34" t="n">
        <x:f>I88*J88</x:f>
        <x:v>0.008155591111111112</x:v>
      </x:c>
      <x:c r="L88" s="30" t="str">
        <x:v>原通信行 51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Token ID</x:v>
      </x:c>
      <x:c r="D89" s="34" t="n">
        <x:f>(K52*2^20)/1e9</x:f>
        <x:v>0</x:v>
      </x:c>
      <x:c r="E89" s="64" t="n">
        <x:f>$H$82</x:f>
        <x:v>100</x:v>
      </x:c>
      <x:c r="F89" s="59" t="n">
        <x:v>1</x:v>
      </x:c>
      <x:c r="G89" s="34" t="n">
        <x:f>IF(AND(ISNUMBER(E89),E89&gt;0,ISNUMBER($B$82),$B$82&gt;=0,$B$82&lt;1,ISNUMBER($D$82),$D$82&gt;=0,$D$82&lt;=1,ISNUMBER(F89),F89&gt;=0,F89&lt;=1,ISNUMBER(J89),J89&gt;=0,J89&lt;=1),D89/E89*1000,NA())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G89*F89*$D$82*$B$82/(1-$B$82)</x:f>
        <x:v>0</x:v>
      </x:c>
      <x:c r="J89" s="59" t="n">
        <x:v>1</x:v>
      </x:c>
      <x:c r="K89" s="34" t="n">
        <x:f>I89*J89</x:f>
        <x:v>0</x:v>
      </x:c>
      <x:c r="L89" s="30" t="str">
        <x:v>原通信行 52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Hidden</x:v>
      </x:c>
      <x:c r="D90" s="34" t="n">
        <x:f>(K53*2^20)/1e9</x:f>
        <x:v>0</x:v>
      </x:c>
      <x:c r="E90" s="64" t="n">
        <x:f>$H$82</x:f>
        <x:v>100</x:v>
      </x:c>
      <x:c r="F90" s="59" t="n">
        <x:v>1</x:v>
      </x:c>
      <x:c r="G90" s="34" t="n">
        <x:f>IF(AND(ISNUMBER(E90),E90&gt;0,ISNUMBER($B$82),$B$82&gt;=0,$B$82&lt;1,ISNUMBER($D$82),$D$82&gt;=0,$D$82&lt;=1,ISNUMBER(F90),F90&gt;=0,F90&lt;=1,ISNUMBER(J90),J90&gt;=0,J90&lt;=1),D90/E90*1000,NA())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G90*F90*$D$82*$B$82/(1-$B$82)</x:f>
        <x:v>0</x:v>
      </x:c>
      <x:c r="J90" s="59" t="n">
        <x:v>1</x:v>
      </x:c>
      <x:c r="K90" s="34" t="n">
        <x:f>I90*J90</x:f>
        <x:v>0</x:v>
      </x:c>
      <x:c r="L90" s="30" t="str">
        <x:v>原通信行 53</x:v>
      </x:c>
    </x:row>
    <x:row r="91" ht="15" customHeight="1">
      <x:c r="A91" s="30" t="str">
        <x:v>SP</x:v>
      </x:c>
      <x:c r="B91" s="30" t="str">
        <x:v>Attention</x:v>
      </x:c>
      <x:c r="C91" s="30" t="str">
        <x:v>Attention 前</x:v>
      </x:c>
      <x:c r="D91" s="34" t="n">
        <x:f>(K54*2^20)/1e9</x:f>
        <x:v>0.337641472</x:v>
      </x:c>
      <x:c r="E91" s="64" t="n">
        <x:f>$H$82</x:f>
        <x:v>100</x:v>
      </x:c>
      <x:c r="F91" s="59" t="n">
        <x:v>1</x:v>
      </x:c>
      <x:c r="G91" s="34" t="n">
        <x:f>IF(AND(ISNUMBER(E91),E91&gt;0,ISNUMBER($B$82),$B$82&gt;=0,$B$82&lt;1,ISNUMBER($D$82),$D$82&gt;=0,$D$82&lt;=1,ISNUMBER(F91),F91&gt;=0,F91&lt;=1,ISNUMBER(J91),J91&gt;=0,J91&lt;=1),D91/E91*1000,NA())</x:f>
        <x:v>3.37641472</x:v>
      </x:c>
      <x:c r="H91" s="34" t="n">
        <x:f>G91+I91</x:f>
        <x:v>3.751571911111111</x:v>
      </x:c>
      <x:c r="I91" s="34" t="n">
        <x:f>G91*F91*$D$82*$B$82/(1-$B$82)</x:f>
        <x:v>0.3751571911111112</x:v>
      </x:c>
      <x:c r="J91" s="59" t="n">
        <x:v>1</x:v>
      </x:c>
      <x:c r="K91" s="34" t="n">
        <x:f>I91*J91</x:f>
        <x:v>0.3751571911111112</x:v>
      </x:c>
      <x:c r="L91" s="30" t="str">
        <x:v>原通信行 54</x:v>
      </x:c>
    </x:row>
    <x:row r="92" ht="15" customHeight="1">
      <x:c r="A92" s="30" t="str">
        <x:v>SP</x:v>
      </x:c>
      <x:c r="B92" s="30" t="str">
        <x:v>Attention</x:v>
      </x:c>
      <x:c r="C92" s="30" t="str">
        <x:v>O Proj 后</x:v>
      </x:c>
      <x:c r="D92" s="34" t="n">
        <x:f>(K55*2^20)/1e9</x:f>
        <x:v>0.337641472</x:v>
      </x:c>
      <x:c r="E92" s="64" t="n">
        <x:f>$H$82</x:f>
        <x:v>100</x:v>
      </x:c>
      <x:c r="F92" s="59" t="n">
        <x:v>1</x:v>
      </x:c>
      <x:c r="G92" s="34" t="n">
        <x:f>IF(AND(ISNUMBER(E92),E92&gt;0,ISNUMBER($B$82),$B$82&gt;=0,$B$82&lt;1,ISNUMBER($D$82),$D$82&gt;=0,$D$82&lt;=1,ISNUMBER(F92),F92&gt;=0,F92&lt;=1,ISNUMBER(J92),J92&gt;=0,J92&lt;=1),D92/E92*1000,NA())</x:f>
        <x:v>3.37641472</x:v>
      </x:c>
      <x:c r="H92" s="34" t="n">
        <x:f>G92+I92</x:f>
        <x:v>3.751571911111111</x:v>
      </x:c>
      <x:c r="I92" s="34" t="n">
        <x:f>G92*F92*$D$82*$B$82/(1-$B$82)</x:f>
        <x:v>0.3751571911111112</x:v>
      </x:c>
      <x:c r="J92" s="59" t="n">
        <x:v>1</x:v>
      </x:c>
      <x:c r="K92" s="34" t="n">
        <x:f>I92*J92</x:f>
        <x:v>0.3751571911111112</x:v>
      </x:c>
      <x:c r="L92" s="30" t="str">
        <x:v>原通信行 55</x:v>
      </x:c>
    </x:row>
    <x:row r="93" ht="15" customHeight="1">
      <x:c r="A93" s="30" t="str">
        <x:v>O Proj TP</x:v>
      </x:c>
      <x:c r="B93" s="30" t="str">
        <x:v>Attention</x:v>
      </x:c>
      <x:c r="C93" s="30" t="str">
        <x:v>非 SP 标准 TP</x:v>
      </x:c>
      <x:c r="D93" s="34" t="n">
        <x:f>(K56*2^20)/1e9</x:f>
        <x:v>0</x:v>
      </x:c>
      <x:c r="E93" s="64" t="n">
        <x:f>$H$82</x:f>
        <x:v>100</x:v>
      </x:c>
      <x:c r="F93" s="59" t="n">
        <x:v>1</x:v>
      </x:c>
      <x:c r="G93" s="34" t="n">
        <x:f>IF(AND(ISNUMBER(E93),E93&gt;0,ISNUMBER($B$82),$B$82&gt;=0,$B$82&lt;1,ISNUMBER($D$82),$D$82&gt;=0,$D$82&lt;=1,ISNUMBER(F93),F93&gt;=0,F93&lt;=1,ISNUMBER(J93),J93&gt;=0,J93&lt;=1),D93/E93*1000,NA())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G93*F93*$D$82*$B$82/(1-$B$82)</x:f>
        <x:v>0</x:v>
      </x:c>
      <x:c r="J93" s="59" t="n">
        <x:v>1</x:v>
      </x:c>
      <x:c r="K93" s="34" t="n">
        <x:f>I93*J93</x:f>
        <x:v>0</x:v>
      </x:c>
      <x:c r="L93" s="30" t="str">
        <x:v>原通信行 56</x:v>
      </x:c>
    </x:row>
    <x:row r="94" ht="15" customHeight="1">
      <x:c r="A94" s="30" t="str">
        <x:v>Fine O TP</x:v>
      </x:c>
      <x:c r="B94" s="30" t="str">
        <x:v>Attention</x:v>
      </x:c>
      <x:c r="C94" s="30" t="str">
        <x:v>O Proj 输入</x:v>
      </x:c>
      <x:c r="D94" s="34" t="n">
        <x:f>(K57*2^20)/1e9</x:f>
        <x:v>0</x:v>
      </x:c>
      <x:c r="E94" s="64" t="n">
        <x:f>$H$82</x:f>
        <x:v>100</x:v>
      </x:c>
      <x:c r="F94" s="59" t="n">
        <x:v>1</x:v>
      </x:c>
      <x:c r="G94" s="34" t="n">
        <x:f>IF(AND(ISNUMBER(E94),E94&gt;0,ISNUMBER($B$82),$B$82&gt;=0,$B$82&lt;1,ISNUMBER($D$82),$D$82&gt;=0,$D$82&lt;=1,ISNUMBER(F94),F94&gt;=0,F94&lt;=1,ISNUMBER(J94),J94&gt;=0,J94&lt;=1),D94/E94*1000,NA())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G94*F94*$D$82*$B$82/(1-$B$82)</x:f>
        <x:v>0</x:v>
      </x:c>
      <x:c r="J94" s="59" t="n">
        <x:v>1</x:v>
      </x:c>
      <x:c r="K94" s="34" t="n">
        <x:f>I94*J94</x:f>
        <x:v>0</x:v>
      </x:c>
      <x:c r="L94" s="30" t="str">
        <x:v>原通信行 57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输出</x:v>
      </x:c>
      <x:c r="D95" s="34" t="n">
        <x:f>(K58*2^20)/1e9</x:f>
        <x:v>0</x:v>
      </x:c>
      <x:c r="E95" s="64" t="n">
        <x:f>$H$82</x:f>
        <x:v>100</x:v>
      </x:c>
      <x:c r="F95" s="59" t="n">
        <x:v>1</x:v>
      </x:c>
      <x:c r="G95" s="34" t="n">
        <x:f>IF(AND(ISNUMBER(E95),E95&gt;0,ISNUMBER($B$82),$B$82&gt;=0,$B$82&lt;1,ISNUMBER($D$82),$D$82&gt;=0,$D$82&lt;=1,ISNUMBER(F95),F95&gt;=0,F95&lt;=1,ISNUMBER(J95),J95&gt;=0,J95&lt;=1),D95/E95*1000,NA())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G95*F95*$D$82*$B$82/(1-$B$82)</x:f>
        <x:v>0</x:v>
      </x:c>
      <x:c r="J95" s="59" t="n">
        <x:v>1</x:v>
      </x:c>
      <x:c r="K95" s="34" t="n">
        <x:f>I95*J95</x:f>
        <x:v>0</x:v>
      </x:c>
      <x:c r="L95" s="30" t="str">
        <x:v>原通信行 58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FullMesh Dispatch</x:v>
      </x:c>
      <x:c r="D96" s="34" t="n">
        <x:f>(IF(F59=2,E59/8192*H59*(ROUNDUP((ROUNDUP(8192*F59/32,0)*32+32)/480,0)*512),NA()))/1e9</x:f>
        <x:v>0.4616192</x:v>
      </x:c>
      <x:c r="E96" s="64" t="n">
        <x:f>$H$82</x:f>
        <x:v>100</x:v>
      </x:c>
      <x:c r="F96" s="59" t="n">
        <x:v>1</x:v>
      </x:c>
      <x:c r="G96" s="34" t="n">
        <x:f>IF(AND(ISNUMBER(E96),E96&gt;0,ISNUMBER($B$82),$B$82&gt;=0,$B$82&lt;1,ISNUMBER($D$82),$D$82&gt;=0,$D$82&lt;=1,ISNUMBER(F96),F96&gt;=0,F96&lt;=1,ISNUMBER(J96),J96&gt;=0,J96&lt;=1),D96/E96*1000,NA())</x:f>
        <x:v>4.616192</x:v>
      </x:c>
      <x:c r="H96" s="34" t="n">
        <x:f>G96+I96</x:f>
        <x:v>5.1291022222222225</x:v>
      </x:c>
      <x:c r="I96" s="34" t="n">
        <x:f>G96*F96*$D$82*$B$82/(1-$B$82)</x:f>
        <x:v>0.5129102222222223</x:v>
      </x:c>
      <x:c r="J96" s="59" t="n">
        <x:v>1</x:v>
      </x:c>
      <x:c r="K96" s="34" t="n">
        <x:f>I96*J96</x:f>
        <x:v>0.5129102222222223</x:v>
      </x:c>
      <x:c r="L96" s="30" t="str">
        <x:v>原通信行 59</x:v>
      </x:c>
    </x:row>
    <x:row r="97" ht="15" customHeight="1">
      <x:c r="A97" s="30" t="str">
        <x:v>EP</x:v>
      </x:c>
      <x:c r="B97" s="30" t="str">
        <x:v>Routed Experts</x:v>
      </x:c>
      <x:c r="C97" s="30" t="str">
        <x:v>MC2 Combine + flags</x:v>
      </x:c>
      <x:c r="D97" s="34" t="n">
        <x:f>(IF(F60=2,K60*2^20+E60/8192*H60*32,NA()))/1e9</x:f>
        <x:v>0.42287616</x:v>
      </x:c>
      <x:c r="E97" s="64" t="n">
        <x:f>$H$82</x:f>
        <x:v>100</x:v>
      </x:c>
      <x:c r="F97" s="59" t="n">
        <x:v>1</x:v>
      </x:c>
      <x:c r="G97" s="34" t="n">
        <x:f>IF(AND(ISNUMBER(E97),E97&gt;0,ISNUMBER($B$82),$B$82&gt;=0,$B$82&lt;1,ISNUMBER($D$82),$D$82&gt;=0,$D$82&lt;=1,ISNUMBER(F97),F97&gt;=0,F97&lt;=1,ISNUMBER(J97),J97&gt;=0,J97&lt;=1),D97/E97*1000,NA())</x:f>
        <x:v>4.2287616</x:v>
      </x:c>
      <x:c r="H97" s="34" t="n">
        <x:f>G97+I97</x:f>
        <x:v>4.698624000000001</x:v>
      </x:c>
      <x:c r="I97" s="34" t="n">
        <x:f>G97*F97*$D$82*$B$82/(1-$B$82)</x:f>
        <x:v>0.46986240000000007</x:v>
      </x:c>
      <x:c r="J97" s="59" t="n">
        <x:v>1</x:v>
      </x:c>
      <x:c r="K97" s="34" t="n">
        <x:f>I97*J97</x:f>
        <x:v>0.46986240000000007</x:v>
      </x:c>
      <x:c r="L97" s="30" t="str">
        <x:v>原通信行 60</x:v>
      </x:c>
    </x:row>
    <x:row r="98" ht="15" customHeight="1">
      <x:c r="A98" s="30" t="str">
        <x:v>DP</x:v>
      </x:c>
      <x:c r="B98" s="30" t="str">
        <x:v>MoE</x:v>
      </x:c>
      <x:c r="C98" s="30" t="str">
        <x:v>Hidden 输入</x:v>
      </x:c>
      <x:c r="D98" s="34" t="n">
        <x:f>(K61*2^20)/1e9</x:f>
        <x:v>0</x:v>
      </x:c>
      <x:c r="E98" s="64" t="n">
        <x:f>$H$82</x:f>
        <x:v>100</x:v>
      </x:c>
      <x:c r="F98" s="59" t="n">
        <x:v>1</x:v>
      </x:c>
      <x:c r="G98" s="34" t="n">
        <x:f>IF(AND(ISNUMBER(E98),E98&gt;0,ISNUMBER($B$82),$B$82&gt;=0,$B$82&lt;1,ISNUMBER($D$82),$D$82&gt;=0,$D$82&lt;=1,ISNUMBER(F98),F98&gt;=0,F98&lt;=1,ISNUMBER(J98),J98&gt;=0,J98&lt;=1),D98/E98*1000,NA())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G98*F98*$D$82*$B$82/(1-$B$82)</x:f>
        <x:v>0</x:v>
      </x:c>
      <x:c r="J98" s="59" t="n">
        <x:v>1</x:v>
      </x:c>
      <x:c r="K98" s="34" t="n">
        <x:f>I98*J98</x:f>
        <x:v>0</x:v>
      </x:c>
      <x:c r="L98" s="30" t="str">
        <x:v>原通信行 61</x:v>
      </x:c>
    </x:row>
    <x:row r="99" ht="15" customHeight="1">
      <x:c r="A99" s="30" t="str">
        <x:v>DP</x:v>
      </x:c>
      <x:c r="B99" s="30" t="str">
        <x:v>MoE Router</x:v>
      </x:c>
      <x:c r="C99" s="30" t="str">
        <x:v>Router Logits</x:v>
      </x:c>
      <x:c r="D99" s="34" t="n">
        <x:f>(K62*2^20)/1e9</x:f>
        <x:v>0</x:v>
      </x:c>
      <x:c r="E99" s="64" t="n">
        <x:f>$H$82</x:f>
        <x:v>100</x:v>
      </x:c>
      <x:c r="F99" s="59" t="n">
        <x:v>1</x:v>
      </x:c>
      <x:c r="G99" s="34" t="n">
        <x:f>IF(AND(ISNUMBER(E99),E99&gt;0,ISNUMBER($B$82),$B$82&gt;=0,$B$82&lt;1,ISNUMBER($D$82),$D$82&gt;=0,$D$82&lt;=1,ISNUMBER(F99),F99&gt;=0,F99&lt;=1,ISNUMBER(J99),J99&gt;=0,J99&lt;=1),D99/E99*1000,NA())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G99*F99*$D$82*$B$82/(1-$B$82)</x:f>
        <x:v>0</x:v>
      </x:c>
      <x:c r="J99" s="59" t="n">
        <x:v>1</x:v>
      </x:c>
      <x:c r="K99" s="34" t="n">
        <x:f>I99*J99</x:f>
        <x:v>0</x:v>
      </x:c>
      <x:c r="L99" s="30" t="str">
        <x:v>原通信行 62</x:v>
      </x:c>
    </x:row>
    <x:row r="100" ht="15" customHeight="1">
      <x:c r="A100" s="30" t="str">
        <x:v>DP</x:v>
      </x:c>
      <x:c r="B100" s="30" t="str">
        <x:v>MoE</x:v>
      </x:c>
      <x:c r="C100" s="30" t="str">
        <x:v>Routed Expert 输出</x:v>
      </x:c>
      <x:c r="D100" s="34" t="n">
        <x:f>(K63*2^20)/1e9</x:f>
        <x:v>0</x:v>
      </x:c>
      <x:c r="E100" s="64" t="n">
        <x:f>$H$82</x:f>
        <x:v>100</x:v>
      </x:c>
      <x:c r="F100" s="59" t="n">
        <x:v>1</x:v>
      </x:c>
      <x:c r="G100" s="34" t="n">
        <x:f>IF(AND(ISNUMBER(E100),E100&gt;0,ISNUMBER($B$82),$B$82&gt;=0,$B$82&lt;1,ISNUMBER($D$82),$D$82&gt;=0,$D$82&lt;=1,ISNUMBER(F100),F100&gt;=0,F100&lt;=1,ISNUMBER(J100),J100&gt;=0,J100&lt;=1),D100/E100*1000,NA())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G100*F100*$D$82*$B$82/(1-$B$82)</x:f>
        <x:v>0</x:v>
      </x:c>
      <x:c r="J100" s="59" t="n">
        <x:v>1</x:v>
      </x:c>
      <x:c r="K100" s="34" t="n">
        <x:f>I100*J100</x:f>
        <x:v>0</x:v>
      </x:c>
      <x:c r="L100" s="30" t="str">
        <x:v>原通信行 63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输入</x:v>
      </x:c>
      <x:c r="D101" s="34" t="n">
        <x:f>(K64*2^20)/1e9</x:f>
        <x:v>0.337641472</x:v>
      </x:c>
      <x:c r="E101" s="64" t="n">
        <x:f>$H$82</x:f>
        <x:v>100</x:v>
      </x:c>
      <x:c r="F101" s="59" t="n">
        <x:v>1</x:v>
      </x:c>
      <x:c r="G101" s="34" t="n">
        <x:f>IF(AND(ISNUMBER(E101),E101&gt;0,ISNUMBER($B$82),$B$82&gt;=0,$B$82&lt;1,ISNUMBER($D$82),$D$82&gt;=0,$D$82&lt;=1,ISNUMBER(F101),F101&gt;=0,F101&lt;=1,ISNUMBER(J101),J101&gt;=0,J101&lt;=1),D101/E101*1000,NA())</x:f>
        <x:v>3.37641472</x:v>
      </x:c>
      <x:c r="H101" s="34" t="n">
        <x:f>G101+I101</x:f>
        <x:v>3.751571911111111</x:v>
      </x:c>
      <x:c r="I101" s="34" t="n">
        <x:f>G101*F101*$D$82*$B$82/(1-$B$82)</x:f>
        <x:v>0.3751571911111112</x:v>
      </x:c>
      <x:c r="J101" s="59" t="n">
        <x:v>1</x:v>
      </x:c>
      <x:c r="K101" s="34" t="n">
        <x:f>I101*J101</x:f>
        <x:v>0.3751571911111112</x:v>
      </x:c>
      <x:c r="L101" s="30" t="str">
        <x:v>原通信行 64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输出</x:v>
      </x:c>
      <x:c r="D102" s="34" t="n">
        <x:f>(K65*2^20)/1e9</x:f>
        <x:v>0.337641472</x:v>
      </x:c>
      <x:c r="E102" s="64" t="n">
        <x:f>$H$82</x:f>
        <x:v>100</x:v>
      </x:c>
      <x:c r="F102" s="59" t="n">
        <x:v>1</x:v>
      </x:c>
      <x:c r="G102" s="34" t="n">
        <x:f>IF(AND(ISNUMBER(E102),E102&gt;0,ISNUMBER($B$82),$B$82&gt;=0,$B$82&lt;1,ISNUMBER($D$82),$D$82&gt;=0,$D$82&lt;=1,ISNUMBER(F102),F102&gt;=0,F102&lt;=1,ISNUMBER(J102),J102&gt;=0,J102&lt;=1),D102/E102*1000,NA())</x:f>
        <x:v>3.37641472</x:v>
      </x:c>
      <x:c r="H102" s="34" t="n">
        <x:f>G102+I102</x:f>
        <x:v>3.751571911111111</x:v>
      </x:c>
      <x:c r="I102" s="34" t="n">
        <x:f>G102*F102*$D$82*$B$82/(1-$B$82)</x:f>
        <x:v>0.3751571911111112</x:v>
      </x:c>
      <x:c r="J102" s="59" t="n">
        <x:v>1</x:v>
      </x:c>
      <x:c r="K102" s="34" t="n">
        <x:f>I102*J102</x:f>
        <x:v>0.3751571911111112</x:v>
      </x:c>
      <x:c r="L102" s="30" t="str">
        <x:v>原通信行 65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非 SP 输出</x:v>
      </x:c>
      <x:c r="D103" s="34" t="n">
        <x:f>(K66*2^20)/1e9</x:f>
        <x:v>0</x:v>
      </x:c>
      <x:c r="E103" s="64" t="n">
        <x:f>$H$82</x:f>
        <x:v>100</x:v>
      </x:c>
      <x:c r="F103" s="59" t="n">
        <x:v>1</x:v>
      </x:c>
      <x:c r="G103" s="34" t="n">
        <x:f>IF(AND(ISNUMBER(E103),E103&gt;0,ISNUMBER($B$82),$B$82&gt;=0,$B$82&lt;1,ISNUMBER($D$82),$D$82&gt;=0,$D$82&lt;=1,ISNUMBER(F103),F103&gt;=0,F103&lt;=1,ISNUMBER(J103),J103&gt;=0,J103&lt;=1),D103/E103*1000,NA())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G103*F103*$D$82*$B$82/(1-$B$82)</x:f>
        <x:v>0</x:v>
      </x:c>
      <x:c r="J103" s="59" t="n">
        <x:v>1</x:v>
      </x:c>
      <x:c r="K103" s="34" t="n">
        <x:f>I103*J103</x:f>
        <x:v>0</x:v>
      </x:c>
      <x:c r="L103" s="30" t="str">
        <x:v>原通信行 66</x:v>
      </x:c>
    </x:row>
    <x:row r="104" ht="15" customHeight="1">
      <x:c r="A104" s="30" t="str">
        <x:v>DCP</x:v>
      </x:c>
      <x:c r="B104" s="30" t="str">
        <x:v>Attention</x:v>
      </x:c>
      <x:c r="C104" s="30" t="str">
        <x:v>Query</x:v>
      </x:c>
      <x:c r="D104" s="34" t="n">
        <x:f>(K67*2^20)/1e9</x:f>
        <x:v>0</x:v>
      </x:c>
      <x:c r="E104" s="64" t="n">
        <x:f>$H$82</x:f>
        <x:v>100</x:v>
      </x:c>
      <x:c r="F104" s="59" t="n">
        <x:v>1</x:v>
      </x:c>
      <x:c r="G104" s="34" t="n">
        <x:f>IF(AND(ISNUMBER(E104),E104&gt;0,ISNUMBER($B$82),$B$82&gt;=0,$B$82&lt;1,ISNUMBER($D$82),$D$82&gt;=0,$D$82&lt;=1,ISNUMBER(F104),F104&gt;=0,F104&lt;=1,ISNUMBER(J104),J104&gt;=0,J104&lt;=1),D104/E104*1000,NA())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G104*F104*$D$82*$B$82/(1-$B$82)</x:f>
        <x:v>0</x:v>
      </x:c>
      <x:c r="J104" s="59" t="n">
        <x:v>1</x:v>
      </x:c>
      <x:c r="K104" s="34" t="n">
        <x:f>I104*J104</x:f>
        <x:v>0</x:v>
      </x:c>
      <x:c r="L104" s="30" t="str">
        <x:v>原通信行 67</x:v>
      </x:c>
    </x:row>
    <x:row r="105" ht="15" customHeight="1">
      <x:c r="A105" s="30" t="str">
        <x:v>DCP</x:v>
      </x:c>
      <x:c r="B105" s="30" t="str">
        <x:v>Attention</x:v>
      </x:c>
      <x:c r="C105" s="30" t="str">
        <x:v>LSE</x:v>
      </x:c>
      <x:c r="D105" s="34" t="n">
        <x:f>(K68*2^20)/1e9</x:f>
        <x:v>0</x:v>
      </x:c>
      <x:c r="E105" s="64" t="n">
        <x:f>$H$82</x:f>
        <x:v>100</x:v>
      </x:c>
      <x:c r="F105" s="59" t="n">
        <x:v>1</x:v>
      </x:c>
      <x:c r="G105" s="34" t="n">
        <x:f>IF(AND(ISNUMBER(E105),E105&gt;0,ISNUMBER($B$82),$B$82&gt;=0,$B$82&lt;1,ISNUMBER($D$82),$D$82&gt;=0,$D$82&lt;=1,ISNUMBER(F105),F105&gt;=0,F105&lt;=1,ISNUMBER(J105),J105&gt;=0,J105&lt;=1),D105/E105*1000,NA())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G105*F105*$D$82*$B$82/(1-$B$82)</x:f>
        <x:v>0</x:v>
      </x:c>
      <x:c r="J105" s="59" t="n">
        <x:v>1</x:v>
      </x:c>
      <x:c r="K105" s="34" t="n">
        <x:f>I105*J105</x:f>
        <x:v>0</x:v>
      </x:c>
      <x:c r="L105" s="30" t="str">
        <x:v>原通信行 68</x:v>
      </x:c>
    </x:row>
    <x:row r="106" ht="15" customHeight="1">
      <x:c r="A106" s="30" t="str">
        <x:v>DCP</x:v>
      </x:c>
      <x:c r="B106" s="30" t="str">
        <x:v>Attention</x:v>
      </x:c>
      <x:c r="C106" s="30" t="str">
        <x:v>Attention 输出</x:v>
      </x:c>
      <x:c r="D106" s="34" t="n">
        <x:f>(K69*2^20)/1e9</x:f>
        <x:v>0</x:v>
      </x:c>
      <x:c r="E106" s="64" t="n">
        <x:f>$H$82</x:f>
        <x:v>100</x:v>
      </x:c>
      <x:c r="F106" s="59" t="n">
        <x:v>1</x:v>
      </x:c>
      <x:c r="G106" s="34" t="n">
        <x:f>IF(AND(ISNUMBER(E106),E106&gt;0,ISNUMBER($B$82),$B$82&gt;=0,$B$82&lt;1,ISNUMBER($D$82),$D$82&gt;=0,$D$82&lt;=1,ISNUMBER(F106),F106&gt;=0,F106&lt;=1,ISNUMBER(J106),J106&gt;=0,J106&lt;=1),D106/E106*1000,NA())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G106*F106*$D$82*$B$82/(1-$B$82)</x:f>
        <x:v>0</x:v>
      </x:c>
      <x:c r="J106" s="59" t="n">
        <x:v>1</x:v>
      </x:c>
      <x:c r="K106" s="34" t="n">
        <x:f>I106*J106</x:f>
        <x:v>0</x:v>
      </x:c>
      <x:c r="L106" s="30" t="str">
        <x:v>原通信行 69</x:v>
      </x:c>
    </x:row>
    <x:row r="107" ht="15" customHeight="1">
      <x:c r="A107" s="30" t="str">
        <x:v>SP</x:v>
      </x:c>
      <x:c r="B107" s="30" t="str">
        <x:v>Model Output</x:v>
      </x:c>
      <x:c r="C107" s="30" t="str">
        <x:v>Final Norm 后</x:v>
      </x:c>
      <x:c r="D107" s="34" t="n">
        <x:f>(K70*2^20)/1e9</x:f>
        <x:v>0.003670016</x:v>
      </x:c>
      <x:c r="E107" s="64" t="n">
        <x:f>$H$82</x:f>
        <x:v>100</x:v>
      </x:c>
      <x:c r="F107" s="59" t="n">
        <x:v>1</x:v>
      </x:c>
      <x:c r="G107" s="34" t="n">
        <x:f>IF(AND(ISNUMBER(E107),E107&gt;0,ISNUMBER($B$82),$B$82&gt;=0,$B$82&lt;1,ISNUMBER($D$82),$D$82&gt;=0,$D$82&lt;=1,ISNUMBER(F107),F107&gt;=0,F107&lt;=1,ISNUMBER(J107),J107&gt;=0,J107&lt;=1),D107/E107*1000,NA())</x:f>
        <x:v>0.03670016</x:v>
      </x:c>
      <x:c r="H107" s="34" t="n">
        <x:f>G107+I107</x:f>
        <x:v>0.04077795555555556</x:v>
      </x:c>
      <x:c r="I107" s="34" t="n">
        <x:f>G107*F107*$D$82*$B$82/(1-$B$82)</x:f>
        <x:v>0.004077795555555556</x:v>
      </x:c>
      <x:c r="J107" s="59" t="n">
        <x:v>1</x:v>
      </x:c>
      <x:c r="K107" s="34" t="n">
        <x:f>I107*J107</x:f>
        <x:v>0.004077795555555556</x:v>
      </x:c>
      <x:c r="L107" s="30" t="str">
        <x:v>原通信行 70</x:v>
      </x:c>
    </x:row>
    <x:row r="108" ht="15" customHeight="1">
      <x:c r="A108" s="30" t="str">
        <x:v>LM Head TP</x:v>
      </x:c>
      <x:c r="B108" s="30" t="str">
        <x:v>LM Head</x:v>
      </x:c>
      <x:c r="C108" s="30" t="str">
        <x:v>完整 Logits</x:v>
      </x:c>
      <x:c r="D108" s="34" t="n">
        <x:f>(K71*2^20)/1e9</x:f>
        <x:v>0</x:v>
      </x:c>
      <x:c r="E108" s="64" t="n">
        <x:f>$H$82</x:f>
        <x:v>100</x:v>
      </x:c>
      <x:c r="F108" s="59" t="n">
        <x:v>1</x:v>
      </x:c>
      <x:c r="G108" s="34" t="n">
        <x:f>IF(AND(ISNUMBER(E108),E108&gt;0,ISNUMBER($B$82),$B$82&gt;=0,$B$82&lt;1,ISNUMBER($D$82),$D$82&gt;=0,$D$82&lt;=1,ISNUMBER(F108),F108&gt;=0,F108&lt;=1,ISNUMBER(J108),J108&gt;=0,J108&lt;=1),D108/E108*1000,NA())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G108*F108*$D$82*$B$82/(1-$B$82)</x:f>
        <x:v>0</x:v>
      </x:c>
      <x:c r="J108" s="59" t="n">
        <x:v>1</x:v>
      </x:c>
      <x:c r="K108" s="34" t="n">
        <x:f>I108*J108</x:f>
        <x:v>0</x:v>
      </x:c>
      <x:c r="L108" s="30" t="str">
        <x:v>原通信行 71</x:v>
      </x:c>
    </x:row>
    <x:row r="109" ht="15" customHeight="1">
      <x:c r="A109" s="30" t="str">
        <x:v>LM Head TP</x:v>
      </x:c>
      <x:c r="B109" s="30" t="str">
        <x:v>LM Head</x:v>
      </x:c>
      <x:c r="C109" s="30" t="str">
        <x:v>Reduce Sample</x:v>
      </x:c>
      <x:c r="D109" s="34" t="n">
        <x:f>(K72*2^20)/1e9</x:f>
        <x:v>0.002752512</x:v>
      </x:c>
      <x:c r="E109" s="64" t="n">
        <x:f>$H$82</x:f>
        <x:v>100</x:v>
      </x:c>
      <x:c r="F109" s="59" t="n">
        <x:v>1</x:v>
      </x:c>
      <x:c r="G109" s="34" t="n">
        <x:f>IF(AND(ISNUMBER(E109),E109&gt;0,ISNUMBER($B$82),$B$82&gt;=0,$B$82&lt;1,ISNUMBER($D$82),$D$82&gt;=0,$D$82&lt;=1,ISNUMBER(F109),F109&gt;=0,F109&lt;=1,ISNUMBER(J109),J109&gt;=0,J109&lt;=1),D109/E109*1000,NA())</x:f>
        <x:v>0.02752512</x:v>
      </x:c>
      <x:c r="H109" s="34" t="n">
        <x:f>G109+I109</x:f>
        <x:v>0.030583466666666666</x:v>
      </x:c>
      <x:c r="I109" s="34" t="n">
        <x:f>G109*F109*$D$82*$B$82/(1-$B$82)</x:f>
        <x:v>0.003058346666666667</x:v>
      </x:c>
      <x:c r="J109" s="59" t="n">
        <x:v>1</x:v>
      </x:c>
      <x:c r="K109" s="34" t="n">
        <x:f>I109*J109</x:f>
        <x:v>0.003058346666666667</x:v>
      </x:c>
      <x:c r="L109" s="30" t="str">
        <x:v>原通信行 72</x:v>
      </x:c>
    </x:row>
    <x:row r="110" ht="15" customHeight="1">
      <x:c r="A110" s="30" t="str">
        <x:v>Fine LM Head TP</x:v>
      </x:c>
      <x:c r="B110" s="30" t="str">
        <x:v>LM Head</x:v>
      </x:c>
      <x:c r="C110" s="30" t="str">
        <x:v>Hidden 输入</x:v>
      </x:c>
      <x:c r="D110" s="34" t="n">
        <x:f>(K73*2^20)/1e9</x:f>
        <x:v>0</x:v>
      </x:c>
      <x:c r="E110" s="64" t="n">
        <x:f>$H$82</x:f>
        <x:v>100</x:v>
      </x:c>
      <x:c r="F110" s="59" t="n">
        <x:v>1</x:v>
      </x:c>
      <x:c r="G110" s="34" t="n">
        <x:f>IF(AND(ISNUMBER(E110),E110&gt;0,ISNUMBER($B$82),$B$82&gt;=0,$B$82&lt;1,ISNUMBER($D$82),$D$82&gt;=0,$D$82&lt;=1,ISNUMBER(F110),F110&gt;=0,F110&lt;=1,ISNUMBER(J110),J110&gt;=0,J110&lt;=1),D110/E110*1000,NA())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G110*F110*$D$82*$B$82/(1-$B$82)</x:f>
        <x:v>0</x:v>
      </x:c>
      <x:c r="J110" s="59" t="n">
        <x:v>1</x:v>
      </x:c>
      <x:c r="K110" s="34" t="n">
        <x:f>I110*J110</x:f>
        <x:v>0</x:v>
      </x:c>
      <x:c r="L110" s="30" t="str">
        <x:v>原通信行 73</x:v>
      </x:c>
    </x:row>
    <x:row r="111" ht="15" customHeight="1">
      <x:c r="A111" s="30" t="str">
        <x:v>Fine LM Head TP</x:v>
      </x:c>
      <x:c r="B111" s="30" t="str">
        <x:v>LM Head</x:v>
      </x:c>
      <x:c r="C111" s="30" t="str">
        <x:v>完整 Logits</x:v>
      </x:c>
      <x:c r="D111" s="34" t="n">
        <x:f>(K74*2^20)/1e9</x:f>
        <x:v>0</x:v>
      </x:c>
      <x:c r="E111" s="64" t="n">
        <x:f>$H$82</x:f>
        <x:v>100</x:v>
      </x:c>
      <x:c r="F111" s="59" t="n">
        <x:v>1</x:v>
      </x:c>
      <x:c r="G111" s="34" t="n">
        <x:f>IF(AND(ISNUMBER(E111),E111&gt;0,ISNUMBER($B$82),$B$82&gt;=0,$B$82&lt;1,ISNUMBER($D$82),$D$82&gt;=0,$D$82&lt;=1,ISNUMBER(F111),F111&gt;=0,F111&lt;=1,ISNUMBER(J111),J111&gt;=0,J111&lt;=1),D111/E111*1000,NA())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G111*F111*$D$82*$B$82/(1-$B$82)</x:f>
        <x:v>0</x:v>
      </x:c>
      <x:c r="J111" s="59" t="n">
        <x:v>1</x:v>
      </x:c>
      <x:c r="K111" s="34" t="n">
        <x:f>I111*J111</x:f>
        <x:v>0</x:v>
      </x:c>
      <x:c r="L111" s="30" t="str">
        <x:v>原通信行 74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Reduce Sample</x:v>
      </x:c>
      <x:c r="D112" s="34" t="n">
        <x:f>(K75*2^20)/1e9</x:f>
        <x:v>0</x:v>
      </x:c>
      <x:c r="E112" s="64" t="n">
        <x:f>$H$82</x:f>
        <x:v>100</x:v>
      </x:c>
      <x:c r="F112" s="59" t="n">
        <x:v>1</x:v>
      </x:c>
      <x:c r="G112" s="34" t="n">
        <x:f>IF(AND(ISNUMBER(E112),E112&gt;0,ISNUMBER($B$82),$B$82&gt;=0,$B$82&lt;1,ISNUMBER($D$82),$D$82&gt;=0,$D$82&lt;=1,ISNUMBER(F112),F112&gt;=0,F112&lt;=1,ISNUMBER(J112),J112&gt;=0,J112&lt;=1),D112/E112*1000,NA())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G112*F112*$D$82*$B$82/(1-$B$82)</x:f>
        <x:v>0</x:v>
      </x:c>
      <x:c r="J112" s="59" t="n">
        <x:v>1</x:v>
      </x:c>
      <x:c r="K112" s="34" t="n">
        <x:f>I112*J112</x:f>
        <x:v>0</x:v>
      </x:c>
      <x:c r="L112" s="30" t="str">
        <x:v>原通信行 75</x:v>
      </x:c>
    </x:row>
    <x:row r="113" ht="15" customHeight="1">
      <x:c r="A113" s="30" t="str">
        <x:v>EP</x:v>
      </x:c>
      <x:c r="B113" s="30" t="str">
        <x:v>MoE 计数</x:v>
      </x:c>
      <x:c r="C113" s="30" t="str">
        <x:v>MC2 count 写入</x:v>
      </x:c>
      <x:c r="D113" s="34" t="n">
        <x:f>(IF(E59=0,0,H59*ROUNDUP(512/G59,0)*(G59-1)*32))/1e9</x:f>
        <x:v>0.001318912</x:v>
      </x:c>
      <x:c r="E113" s="64" t="n">
        <x:f>$H$82</x:f>
        <x:v>100</x:v>
      </x:c>
      <x:c r="F113" s="59" t="n">
        <x:v>1</x:v>
      </x:c>
      <x:c r="G113" s="34" t="n">
        <x:f>IF(AND(ISNUMBER(E113),E113&gt;0,ISNUMBER($B$82),$B$82&gt;=0,$B$82&lt;1,ISNUMBER($D$82),$D$82&gt;=0,$D$82&lt;=1,ISNUMBER(F113),F113&gt;=0,F113&lt;=1,ISNUMBER(J113),J113&gt;=0,J113&lt;=1),D113/E113*1000,NA())</x:f>
        <x:v>0.01318912</x:v>
      </x:c>
      <x:c r="H113" s="34" t="n">
        <x:f>G113+I113</x:f>
        <x:v>0.014654577777777778</x:v>
      </x:c>
      <x:c r="I113" s="34" t="n">
        <x:f>G113*F113*$D$82*$B$82/(1-$B$82)</x:f>
        <x:v>0.001465457777777778</x:v>
      </x:c>
      <x:c r="J113" s="59" t="n">
        <x:v>1</x:v>
      </x:c>
      <x:c r="K113" s="34" t="n">
        <x:f>I113*J113</x:f>
        <x:v>0.001465457777777778</x:v>
      </x:c>
      <x:c r="L113" s="30" t="str">
        <x:v>额外控制量</x:v>
      </x:c>
    </x:row>
    <x:row r="114" ht="15" customHeight="1">
      <x:c r="A114" s="40" t="str">
        <x:v>所列事件串行相加</x:v>
      </x:c>
      <x:c r="B114" s="40"/>
      <x:c r="C114" s="40"/>
      <x:c r="D114" s="41" t="n">
        <x:f>SUM(D88:D113)</x:f>
        <x:v>2.25014272</x:v>
      </x:c>
      <x:c r="E114" s="40"/>
      <x:c r="F114" s="40"/>
      <x:c r="G114" s="41" t="n">
        <x:f>SUM(G88:G113)</x:f>
        <x:v>22.5014272</x:v>
      </x:c>
      <x:c r="H114" s="41" t="n">
        <x:f>SUM(H88:H113)</x:f>
        <x:v>25.001585777777773</x:v>
      </x:c>
      <x:c r="I114" s="41" t="n">
        <x:f>SUM(I88:I113)</x:f>
        <x:v>2.500158577777779</x:v>
      </x:c>
      <x:c r="J114" s="40"/>
      <x:c r="K114" s="41" t="n">
        <x:f>SUM(K88:K113)</x:f>
        <x:v>2.500158577777779</x:v>
      </x:c>
      <x:c r="L114" s="40"/>
    </x:row>
  </x:sheetData>
  <x:conditionalFormatting sqref="L84:L84">
    <x:cfRule type="containsText" dxfId="1" priority="1" operator="containsText" text="不一致"/>
  </x:conditionalFormatting>
  <x:pageMargins left="0.7" right="0.7" top="0.75" bottom="0.75" header="0.3" footer="0.3"/>
</x:worksheet>
</file>