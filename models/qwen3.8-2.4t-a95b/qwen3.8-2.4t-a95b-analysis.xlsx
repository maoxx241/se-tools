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b48a0d172941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0e2d4041d1d8428c"/>
    <x:sheet xmlns:r="http://schemas.openxmlformats.org/officeDocument/2006/relationships" name="Decode" sheetId="2" r:id="R890a19719de7462c"/>
    <x:sheet xmlns:r="http://schemas.openxmlformats.org/officeDocument/2006/relationships" name="分钟场景" sheetId="3" r:id="Rde5225b86bdb4a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  <x:numFmt numFmtId="213" formatCode="0.00000000%"/>
    <x:numFmt numFmtId="214" formatCode="[=0]0.000000%;[&lt;0.00000001]&quot;&lt;0.000001%&quot;;0.000000%"/>
  </x:numFmts>
  <x:fonts count="7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1F2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9" fontId="3" fillId="0" borderId="0" xfId="0" applyNumberFormat="1" applyFont="1" applyFill="1" applyBorder="1" applyAlignment="1">
      <x:alignment vertical="center"/>
    </x:xf>
    <x:xf numFmtId="209" fontId="3" fillId="11" borderId="0" xfId="0" applyNumberFormat="1" applyFont="1" applyFill="1" applyBorder="1" applyAlignment="1">
      <x:alignment vertical="center"/>
    </x:xf>
    <x:xf numFmtId="209" fontId="3" fillId="11" borderId="2" xfId="0" applyNumberFormat="1" applyFont="1" applyFill="1" applyBorder="1" applyAlignment="1">
      <x:alignment vertical="center"/>
    </x:xf>
    <x:xf numFmtId="204" fontId="3" fillId="11" borderId="0" xfId="0" applyNumberFormat="1" applyFont="1" applyFill="1" applyBorder="1" applyAlignment="1">
      <x:alignment vertical="center"/>
    </x:xf>
    <x:xf numFmtId="204" fontId="3" fillId="11" borderId="2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1" xfId="0" applyNumberFormat="1" applyFont="1" applyFill="1" applyBorder="1" applyAlignment="1">
      <x:alignment vertical="center"/>
    </x:xf>
    <x:xf numFmtId="0" fontId="5" fillId="12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horizontal="center" vertical="center" wrapText="1"/>
    </x:xf>
    <x:xf numFmtId="0" fontId="3" fillId="11" borderId="0" xfId="0" applyNumberFormat="1" applyFont="1" applyFill="1" applyBorder="1" applyAlignment="1">
      <x:alignment vertical="center"/>
    </x:xf>
    <x:xf numFmtId="0" fontId="3" fillId="11" borderId="2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1" xfId="0" applyNumberFormat="1" applyFont="1" applyFill="1" applyBorder="1"/>
    <x:xf numFmtId="0" fontId="5" fillId="12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horizontal="center" wrapText="1"/>
    </x:xf>
    <x:xf numFmtId="209" fontId="6" fillId="11" borderId="2" xfId="0" applyNumberFormat="1" applyFont="1" applyFill="1" applyBorder="1" applyAlignment="1">
      <x:alignment vertical="center"/>
    </x:xf>
    <x:xf numFmtId="204" fontId="6" fillId="11" borderId="2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 wrapText="0"/>
    </x:xf>
    <x:xf numFmtId="0" fontId="3" fillId="13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1" xfId="0" applyNumberFormat="1" applyFont="1" applyFill="1" applyBorder="1" applyAlignment="1">
      <x:alignment vertical="center"/>
    </x:xf>
    <x:xf numFmtId="0" fontId="1" fillId="13" borderId="1" xfId="0" applyNumberFormat="1" applyFont="1" applyFill="1" applyBorder="1" applyAlignment="1">
      <x:alignment vertical="center" wrapText="1"/>
    </x:xf>
    <x:xf numFmtId="0" fontId="1" fillId="13" borderId="1" xfId="0" applyNumberFormat="1" applyFont="1" applyFill="1" applyBorder="1" applyAlignment="1">
      <x:alignment horizontal="center" vertical="center" wrapText="1"/>
    </x:xf>
    <x:xf numFmtId="213" fontId="3" fillId="0" borderId="0" xfId="0" applyNumberFormat="1" applyFont="1" applyFill="1" applyBorder="1" applyAlignment="1">
      <x:alignment vertical="center"/>
    </x:xf>
    <x:xf numFmtId="0" fontId="1" fillId="14" borderId="1" xfId="0" applyNumberFormat="1" applyFont="1" applyFill="1" applyBorder="1" applyAlignment="1">
      <x:alignment horizontal="center" vertical="center" wrapText="1"/>
    </x:xf>
    <x:xf numFmtId="214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412082c7ce448a" /><Relationship Type="http://schemas.openxmlformats.org/officeDocument/2006/relationships/theme" Target="/xl/theme/theme1.xml" Id="R5208f926be624d03" /><Relationship Type="http://schemas.openxmlformats.org/officeDocument/2006/relationships/sharedStrings" Target="/xl/sharedStrings.xml" Id="Ra92a802d3b5341f8" /><Relationship Type="http://schemas.openxmlformats.org/officeDocument/2006/relationships/worksheet" Target="/xl/worksheets/sheet1.xml" Id="R0e2d4041d1d8428c" /><Relationship Type="http://schemas.openxmlformats.org/officeDocument/2006/relationships/worksheet" Target="/xl/worksheets/sheet2.xml" Id="R890a19719de7462c" /><Relationship Type="http://schemas.openxmlformats.org/officeDocument/2006/relationships/worksheet" Target="/xl/worksheets/sheet3.xml" Id="Rde5225b86bdb4a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'Prefill'!$P$12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'Prefill'!$P$12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'Prefill'!$P$12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IF('Prefill'!$P$19&gt;0,'Prefill'!$P$19,'Prefill'!$P$12)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'Prefill'!$P$12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/>
      <x:c r="P16" s="35"/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'Prefill'!$P$12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'Prefill'!$P$12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'Prefill'!$P$12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'Prefill'!$P$12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'Prefill'!$P$12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'Prefill'!$P$14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'Prefill'!$P$7*8192</x:f>
        <x:v>67108864</x:v>
      </x:c>
      <x:c r="F51" s="33" t="n">
        <x:f>'Prefill'!$P$28</x:f>
        <x:v>2</x:v>
      </x:c>
      <x:c r="G51" s="33" t="n">
        <x:f>IF('Prefill'!$P$21&gt;0,'Prefill'!$P$21,'Prefill'!$P$12)</x:f>
        <x:v>8</x:v>
      </x:c>
      <x:c r="H51" s="33" t="n">
        <x:f>IF(AND(IF('Prefill'!$P$21&gt;0,'Prefill'!$P$21,'Prefill'!$P$12)&gt;1,'Prefill'!$P$24=0),1,0)</x:f>
        <x:v>1</x:v>
      </x:c>
      <x:c r="I51" s="34" t="n">
        <x:f>E51*F51/1048576</x:f>
        <x:v>128</x:v>
      </x:c>
      <x:c r="J51" s="34" t="n">
        <x:f>I51*(IF(G51&gt;1,2*(G51-1)/G51,0))</x:f>
        <x:v>224</x:v>
      </x:c>
      <x:c r="K51" s="34" t="n">
        <x:f>J51*H51</x:f>
        <x:v>224</x:v>
      </x:c>
      <x:c r="L51" s="34" t="n">
        <x:f>K51*G51</x:f>
        <x:v>1792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'Prefill'!$P$7</x:f>
        <x:v>8192</x:v>
      </x:c>
      <x:c r="F52" s="33" t="n">
        <x:f>'Prefill'!$P$30</x:f>
        <x:v>8</x:v>
      </x:c>
      <x:c r="G52" s="33" t="n">
        <x:f>IF('Prefill'!$P$21&gt;0,'Prefill'!$P$21,'Prefill'!$P$12)</x:f>
        <x:v>8</x:v>
      </x:c>
      <x:c r="H52" s="33" t="n">
        <x:f>IF(AND(IF('Prefill'!$P$21&gt;0,'Prefill'!$P$21,'Prefill'!$P$12)&gt;1,'Prefill'!$P$24&lt;&gt;0),1,0)</x:f>
        <x:v>0</x:v>
      </x:c>
      <x:c r="I52" s="34" t="n">
        <x:f>E52*F52/1048576</x:f>
        <x:v>0.0625</x:v>
      </x:c>
      <x:c r="J52" s="34" t="n">
        <x:f>I52*(IF(G52&gt;1,G52-1,0))</x:f>
        <x:v>0.4375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'Prefill'!$P$7*IF('Prefill'!$P$21&gt;0,'Prefill'!$P$21,'Prefill'!$P$12)*8192</x:f>
        <x:v>536870912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IF(AND(IF('Prefill'!$P$21&gt;0,'Prefill'!$P$21,'Prefill'!$P$12)&gt;1,'Prefill'!$P$24&lt;&gt;0),1,0)</x:f>
        <x:v>0</x:v>
      </x:c>
      <x:c r="I53" s="34" t="n">
        <x:f>E53*F53/1048576</x:f>
        <x:v>1024</x:v>
      </x:c>
      <x:c r="J53" s="34" t="n">
        <x:f>I53*(IF(G53&gt;1,(G53-1)/G53,0))</x:f>
        <x:v>896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((ROUNDUP('Prefill'!$P$7/'Prefill'!$P$12,0)*'Prefill'!$P$12)/'Prefill'!$P$12)*8192</x:f>
        <x:v>8388608</x:v>
      </x:c>
      <x:c r="F54" s="33" t="n">
        <x:f>'Prefill'!$P$28</x:f>
        <x:v>2</x:v>
      </x:c>
      <x:c r="G54" s="33" t="n">
        <x:f>'Prefill'!$P$12</x:f>
        <x:v>8</x:v>
      </x:c>
      <x:c r="H54" s="33" t="n">
        <x:f>92*IF(AND('Prefill'!$P$13&lt;&gt;0,'Prefill'!$P$12&gt;1,'Prefill'!$P$22=0),1,0)</x:f>
        <x:v>92</x:v>
      </x:c>
      <x:c r="I54" s="34" t="n">
        <x:f>E54*F54/1048576</x:f>
        <x:v>16</x:v>
      </x:c>
      <x:c r="J54" s="34" t="n">
        <x:f>I54*(IF(G54&gt;1,G54-1,0))</x:f>
        <x:v>112</x:v>
      </x:c>
      <x:c r="K54" s="34" t="n">
        <x:f>J54*H54</x:f>
        <x:v>10304</x:v>
      </x:c>
      <x:c r="L54" s="34" t="n">
        <x:f>K54*G54</x:f>
        <x:v>82432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(ROUNDUP('Prefill'!$P$7/'Prefill'!$P$12,0)*'Prefill'!$P$12)*8192</x:f>
        <x:v>67108864</x:v>
      </x:c>
      <x:c r="F55" s="33" t="n">
        <x:f>'Prefill'!$P$28</x:f>
        <x:v>2</x:v>
      </x:c>
      <x:c r="G55" s="33" t="n">
        <x:f>'Prefill'!$P$12</x:f>
        <x:v>8</x:v>
      </x:c>
      <x:c r="H55" s="33" t="n">
        <x:f>92*IF(AND('Prefill'!$P$13&lt;&gt;0,'Prefill'!$P$12&gt;1,'Prefill'!$P$22=0),1,0)</x:f>
        <x:v>92</x:v>
      </x:c>
      <x:c r="I55" s="34" t="n">
        <x:f>E55*F55/1048576</x:f>
        <x:v>128</x:v>
      </x:c>
      <x:c r="J55" s="34" t="n">
        <x:f>I55*(IF(G55&gt;1,(G55-1)/G55,0))</x:f>
        <x:v>112</x:v>
      </x:c>
      <x:c r="K55" s="34" t="n">
        <x:f>J55*H55</x:f>
        <x:v>10304</x:v>
      </x:c>
      <x:c r="L55" s="34" t="n">
        <x:f>K55*G55</x:f>
        <x:v>82432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'Prefill'!$P$7*8192</x:f>
        <x:v>67108864</x:v>
      </x:c>
      <x:c r="F56" s="33" t="n">
        <x:f>'Prefill'!$P$28</x:f>
        <x:v>2</x:v>
      </x:c>
      <x:c r="G56" s="33" t="n">
        <x:f>IF('Prefill'!$P$19&gt;0,'Prefill'!$P$19,'Prefill'!$P$12)</x:f>
        <x:v>8</x:v>
      </x:c>
      <x:c r="H56" s="33" t="n">
        <x:f>92*IF(AND('Prefill'!$P$13=0,IF('Prefill'!$P$19&gt;0,'Prefill'!$P$19,'Prefill'!$P$12)&gt;1,'Prefill'!$P$22=0),1,0)</x:f>
        <x:v>0</x:v>
      </x:c>
      <x:c r="I56" s="34" t="n">
        <x:f>E56*F56/1048576</x:f>
        <x:v>128</x:v>
      </x:c>
      <x:c r="J56" s="34" t="n">
        <x:f>I56*(IF(G56&gt;1,2*(G56-1)/G56,0))</x:f>
        <x:v>224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'Prefill'!$P$7*16384</x:f>
        <x:v>134217728</x:v>
      </x:c>
      <x:c r="F57" s="33" t="n">
        <x:f>'Prefill'!$P$28</x:f>
        <x:v>2</x:v>
      </x:c>
      <x:c r="G57" s="33" t="n">
        <x:f>IF('Prefill'!$P$19&gt;0,'Prefill'!$P$19,'Prefill'!$P$12)</x:f>
        <x:v>8</x:v>
      </x:c>
      <x:c r="H57" s="33" t="n">
        <x:f>92*IF(AND(IF('Prefill'!$P$19&gt;0,'Prefill'!$P$19,'Prefill'!$P$12)&gt;1,'Prefill'!$P$22&lt;&gt;0),1,0)</x:f>
        <x:v>0</x:v>
      </x:c>
      <x:c r="I57" s="34" t="n">
        <x:f>E57*F57/1048576</x:f>
        <x:v>256</x:v>
      </x:c>
      <x:c r="J57" s="34" t="n">
        <x:f>I57*(IF(G57&gt;1,(G57-1)/G57,0))</x:f>
        <x:v>224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'Prefill'!$P$7*IF('Prefill'!$P$19&gt;0,'Prefill'!$P$19,'Prefill'!$P$12)*8192</x:f>
        <x:v>536870912</x:v>
      </x:c>
      <x:c r="F58" s="33" t="n">
        <x:f>'Prefill'!$P$28</x:f>
        <x:v>2</x:v>
      </x:c>
      <x:c r="G58" s="33" t="n">
        <x:f>IF('Prefill'!$P$19&gt;0,'Prefill'!$P$19,'Prefill'!$P$12)</x:f>
        <x:v>8</x:v>
      </x:c>
      <x:c r="H58" s="33" t="n">
        <x:f>92*IF(AND(IF('Prefill'!$P$19&gt;0,'Prefill'!$P$19,'Prefill'!$P$12)&gt;1,'Prefill'!$P$22&lt;&gt;0),1,0)</x:f>
        <x:v>0</x:v>
      </x:c>
      <x:c r="I58" s="34" t="n">
        <x:f>E58*F58/1048576</x:f>
        <x:v>1024</x:v>
      </x:c>
      <x:c r="J58" s="34" t="n">
        <x:f>I58*(IF(G58&gt;1,(G58-1)/G58,0))</x:f>
        <x:v>896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IF('Prefill'!$P$13&lt;&gt;0,((ROUNDUP('Prefill'!$P$7/'Prefill'!$P$12,0)*'Prefill'!$P$12)/'Prefill'!$P$12),'Prefill'!$P$7)*10*'Prefill'!$P$32*8192</x:f>
        <x:v>73400320</x:v>
      </x:c>
      <x:c r="F59" s="33" t="n">
        <x:f>'Prefill'!$P$28</x:f>
        <x:v>2</x:v>
      </x:c>
      <x:c r="G59" s="33" t="n">
        <x:f>'Prefill'!$P$14</x:f>
        <x:v>8</x:v>
      </x:c>
      <x:c r="H59" s="33" t="n">
        <x:f>92*IF('Prefill'!$P$14&gt;1,1,0)</x:f>
        <x:v>92</x:v>
      </x:c>
      <x:c r="I59" s="34" t="n">
        <x:f>E59*F59/1048576</x:f>
        <x:v>140</x:v>
      </x:c>
      <x:c r="J59" s="34" t="n">
        <x:f>I59*(1)</x:f>
        <x:v>140</x:v>
      </x:c>
      <x:c r="K59" s="34" t="n">
        <x:f>J59*H59</x:f>
        <x:v>12880</x:v>
      </x:c>
      <x:c r="L59" s="34" t="n">
        <x:f>K59*G59</x:f>
        <x:v>103040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IF('Prefill'!$P$13&lt;&gt;0,((ROUNDUP('Prefill'!$P$7/'Prefill'!$P$12,0)*'Prefill'!$P$12)/'Prefill'!$P$12),'Prefill'!$P$7)*10*'Prefill'!$P$32*8192</x:f>
        <x:v>73400320</x:v>
      </x:c>
      <x:c r="F60" s="33" t="n">
        <x:f>'Prefill'!$P$28</x:f>
        <x:v>2</x:v>
      </x:c>
      <x:c r="G60" s="33" t="n">
        <x:f>'Prefill'!$P$14</x:f>
        <x:v>8</x:v>
      </x:c>
      <x:c r="H60" s="33" t="n">
        <x:f>92*IF('Prefill'!$P$14&gt;1,1,0)</x:f>
        <x:v>92</x:v>
      </x:c>
      <x:c r="I60" s="34" t="n">
        <x:f>E60*F60/1048576</x:f>
        <x:v>140</x:v>
      </x:c>
      <x:c r="J60" s="34" t="n">
        <x:f>I60*(1)</x:f>
        <x:v>140</x:v>
      </x:c>
      <x:c r="K60" s="34" t="n">
        <x:f>J60*H60</x:f>
        <x:v>12880</x:v>
      </x:c>
      <x:c r="L60" s="34" t="n">
        <x:f>K60*G60</x:f>
        <x:v>103040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'Prefill'!$P$7*8192</x:f>
        <x:v>67108864</x:v>
      </x:c>
      <x:c r="F61" s="33" t="n">
        <x:f>'Prefill'!$P$28</x:f>
        <x:v>2</x:v>
      </x:c>
      <x:c r="G61" s="33" t="n">
        <x:f>'Prefill'!$P$11</x:f>
        <x:v>1</x:v>
      </x:c>
      <x:c r="H61" s="33" t="n">
        <x:f>92*IF(AND('Prefill'!$P$11&gt;1,'Prefill'!$P$14=1),1,0)</x:f>
        <x:v>0</x:v>
      </x:c>
      <x:c r="I61" s="34" t="n">
        <x:f>E61*F61/1048576</x:f>
        <x:v>128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'Prefill'!$P$7*512</x:f>
        <x:v>4194304</x:v>
      </x:c>
      <x:c r="F62" s="33" t="n">
        <x:f>'Prefill'!$P$28</x:f>
        <x:v>2</x:v>
      </x:c>
      <x:c r="G62" s="33" t="n">
        <x:f>'Prefill'!$P$11</x:f>
        <x:v>1</x:v>
      </x:c>
      <x:c r="H62" s="33" t="n">
        <x:f>92*IF(AND('Prefill'!$P$11&gt;1,'Prefill'!$P$14=1),1,0)</x:f>
        <x:v>0</x:v>
      </x:c>
      <x:c r="I62" s="34" t="n">
        <x:f>E62*F62/1048576</x:f>
        <x:v>8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'Prefill'!$P$7*'Prefill'!$P$11*8192</x:f>
        <x:v>67108864</x:v>
      </x:c>
      <x:c r="F63" s="33" t="n">
        <x:f>'Prefill'!$P$28</x:f>
        <x:v>2</x:v>
      </x:c>
      <x:c r="G63" s="33" t="n">
        <x:f>'Prefill'!$P$11</x:f>
        <x:v>1</x:v>
      </x:c>
      <x:c r="H63" s="33" t="n">
        <x:f>92*IF(AND('Prefill'!$P$11&gt;1,'Prefill'!$P$14=1),1,0)</x:f>
        <x:v>0</x:v>
      </x:c>
      <x:c r="I63" s="34" t="n">
        <x:f>E63*F63/1048576</x:f>
        <x:v>128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((ROUNDUP('Prefill'!$P$7/'Prefill'!$P$12,0)*'Prefill'!$P$12)/'Prefill'!$P$12)*8192</x:f>
        <x:v>8388608</x:v>
      </x:c>
      <x:c r="F64" s="33" t="n">
        <x:f>'Prefill'!$P$28</x:f>
        <x:v>2</x:v>
      </x:c>
      <x:c r="G64" s="33" t="n">
        <x:f>IF('Prefill'!$P$17="TP",'Prefill'!$P$18,1)</x:f>
        <x:v>8</x:v>
      </x:c>
      <x:c r="H64" s="33" t="n">
        <x:f>92*IF(AND('Prefill'!$P$17="TP",IF('Prefill'!$P$17="TP",'Prefill'!$P$18,1)&gt;1,'Prefill'!$P$13&lt;&gt;0),1,0)</x:f>
        <x:v>92</x:v>
      </x:c>
      <x:c r="I64" s="34" t="n">
        <x:f>E64*F64/1048576</x:f>
        <x:v>16</x:v>
      </x:c>
      <x:c r="J64" s="34" t="n">
        <x:f>I64*(IF(G64&gt;1,G64-1,0))</x:f>
        <x:v>112</x:v>
      </x:c>
      <x:c r="K64" s="34" t="n">
        <x:f>J64*H64</x:f>
        <x:v>10304</x:v>
      </x:c>
      <x:c r="L64" s="34" t="n">
        <x:f>K64*G64</x:f>
        <x:v>82432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(ROUNDUP('Prefill'!$P$7/'Prefill'!$P$12,0)*'Prefill'!$P$12)*8192</x:f>
        <x:v>67108864</x:v>
      </x:c>
      <x:c r="F65" s="33" t="n">
        <x:f>'Prefill'!$P$28</x:f>
        <x:v>2</x:v>
      </x:c>
      <x:c r="G65" s="33" t="n">
        <x:f>IF('Prefill'!$P$17="TP",'Prefill'!$P$18,1)</x:f>
        <x:v>8</x:v>
      </x:c>
      <x:c r="H65" s="33" t="n">
        <x:f>92*IF(AND('Prefill'!$P$17="TP",IF('Prefill'!$P$17="TP",'Prefill'!$P$18,1)&gt;1,'Prefill'!$P$13&lt;&gt;0),1,0)</x:f>
        <x:v>92</x:v>
      </x:c>
      <x:c r="I65" s="34" t="n">
        <x:f>E65*F65/1048576</x:f>
        <x:v>128</x:v>
      </x:c>
      <x:c r="J65" s="34" t="n">
        <x:f>I65*(IF(G65&gt;1,(G65-1)/G65,0))</x:f>
        <x:v>112</x:v>
      </x:c>
      <x:c r="K65" s="34" t="n">
        <x:f>J65*H65</x:f>
        <x:v>10304</x:v>
      </x:c>
      <x:c r="L65" s="34" t="n">
        <x:f>K65*G65</x:f>
        <x:v>82432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'Prefill'!$P$7*8192</x:f>
        <x:v>67108864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92*IF(AND('Prefill'!$P$17="TP",IF('Prefill'!$P$17="TP",'Prefill'!$P$18,1)&gt;1,'Prefill'!$P$13=0),1,0)</x:f>
        <x:v>0</x:v>
      </x:c>
      <x:c r="I66" s="34" t="n">
        <x:f>E66*F66/1048576</x:f>
        <x:v>128</x:v>
      </x:c>
      <x:c r="J66" s="34" t="n">
        <x:f>I66*(IF(G66&gt;1,2*(G66-1)/G66,0))</x:f>
        <x:v>224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PCP</x:v>
      </x:c>
      <x:c r="B67" s="30" t="str">
        <x:v>MoE</x:v>
      </x:c>
      <x:c r="C67" s="30" t="str">
        <x:v>Hidden 输入</x:v>
      </x:c>
      <x:c r="D67" s="30" t="str">
        <x:v>Ring AllGather</x:v>
      </x:c>
      <x:c r="E67" s="33" t="n">
        <x:f>((ROUNDUP('Prefill'!$P$7/'Prefill'!$P$15,0)*'Prefill'!$P$15)/'Prefill'!$P$15)*8192</x:f>
        <x:v>67108864</x:v>
      </x:c>
      <x:c r="F67" s="33" t="n">
        <x:f>'Prefill'!$P$28</x:f>
        <x:v>2</x:v>
      </x:c>
      <x:c r="G67" s="33" t="n">
        <x:f>'Prefill'!$P$15</x:f>
        <x:v>1</x:v>
      </x:c>
      <x:c r="H67" s="33" t="n">
        <x:f>92*IF('Prefill'!$P$15&gt;1,1,0)</x:f>
        <x:v>0</x:v>
      </x:c>
      <x:c r="I67" s="34" t="n">
        <x:f>E67*F67/1048576</x:f>
        <x:v>128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PCP</x:v>
      </x:c>
      <x:c r="B68" s="30" t="str">
        <x:v>MoE Router</x:v>
      </x:c>
      <x:c r="C68" s="30" t="str">
        <x:v>Router Logits</x:v>
      </x:c>
      <x:c r="D68" s="30" t="str">
        <x:v>Ring AllGather</x:v>
      </x:c>
      <x:c r="E68" s="33" t="n">
        <x:f>((ROUNDUP('Prefill'!$P$7/'Prefill'!$P$15,0)*'Prefill'!$P$15)/'Prefill'!$P$15)*512</x:f>
        <x:v>4194304</x:v>
      </x:c>
      <x:c r="F68" s="33" t="n">
        <x:f>'Prefill'!$P$28</x:f>
        <x:v>2</x:v>
      </x:c>
      <x:c r="G68" s="33" t="n">
        <x:f>'Prefill'!$P$15</x:f>
        <x:v>1</x:v>
      </x:c>
      <x:c r="H68" s="33" t="n">
        <x:f>92*IF('Prefill'!$P$15&gt;1,1,0)</x:f>
        <x:v>0</x:v>
      </x:c>
      <x:c r="I68" s="34" t="n">
        <x:f>E68*F68/1048576</x:f>
        <x:v>8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Routed Expert 输出</x:v>
      </x:c>
      <x:c r="D69" s="30" t="str">
        <x:v>Ring ReduceScatter</x:v>
      </x:c>
      <x:c r="E69" s="33" t="n">
        <x:f>(ROUNDUP('Prefill'!$P$7/'Prefill'!$P$15,0)*'Prefill'!$P$15)*8192</x:f>
        <x:v>67108864</x:v>
      </x:c>
      <x:c r="F69" s="33" t="n">
        <x:f>'Prefill'!$P$28</x:f>
        <x:v>2</x:v>
      </x:c>
      <x:c r="G69" s="33" t="n">
        <x:f>'Prefill'!$P$15</x:f>
        <x:v>1</x:v>
      </x:c>
      <x:c r="H69" s="33" t="n">
        <x:f>92*IF('Prefill'!$P$15&gt;1,1,0)</x:f>
        <x:v>0</x:v>
      </x:c>
      <x:c r="I69" s="34" t="n">
        <x:f>E69*F69/1048576</x:f>
        <x:v>128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Attention KV</x:v>
      </x:c>
      <x:c r="C70" s="30" t="str">
        <x:v>KV Cache 写入前</x:v>
      </x:c>
      <x:c r="D70" s="30" t="str">
        <x:v>Ring AllGather</x:v>
      </x:c>
      <x:c r="E70" s="33" t="n">
        <x:f>((ROUNDUP('Prefill'!$P$7/'Prefill'!$P$15,0)*'Prefill'!$P$15)/'Prefill'!$P$15)*2*MAX(1,4/'Prefill'!$P$12)*256</x:f>
        <x:v>4194304</x:v>
      </x:c>
      <x:c r="F70" s="33" t="n">
        <x:f>'Prefill'!$P$28</x:f>
        <x:v>2</x:v>
      </x:c>
      <x:c r="G70" s="33" t="n">
        <x:f>'Prefill'!$P$15</x:f>
        <x:v>1</x:v>
      </x:c>
      <x:c r="H70" s="33" t="n">
        <x:f>23*IF('Prefill'!$P$15&gt;1,1,0)</x:f>
        <x:v>0</x:v>
      </x:c>
      <x:c r="I70" s="34" t="n">
        <x:f>E70*F70/1048576</x:f>
        <x:v>8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SP</x:v>
      </x:c>
      <x:c r="B71" s="30" t="str">
        <x:v>Model Output</x:v>
      </x:c>
      <x:c r="C71" s="30" t="str">
        <x:v>Final Norm 后</x:v>
      </x:c>
      <x:c r="D71" s="30" t="str">
        <x:v>Ring AllGather</x:v>
      </x:c>
      <x:c r="E71" s="33" t="n">
        <x:f>((ROUNDUP('Prefill'!$P$7/'Prefill'!$P$12,0)*'Prefill'!$P$12)/'Prefill'!$P$12)*8192</x:f>
        <x:v>8388608</x:v>
      </x:c>
      <x:c r="F71" s="33" t="n">
        <x:f>'Prefill'!$P$28</x:f>
        <x:v>2</x:v>
      </x:c>
      <x:c r="G71" s="33" t="n">
        <x:f>'Prefill'!$P$12</x:f>
        <x:v>8</x:v>
      </x:c>
      <x:c r="H71" s="33" t="n">
        <x:f>IF(AND('Prefill'!$P$13&lt;&gt;0,'Prefill'!$P$12&gt;1),1,0)</x:f>
        <x:v>1</x:v>
      </x:c>
      <x:c r="I71" s="34" t="n">
        <x:f>E71*F71/1048576</x:f>
        <x:v>16</x:v>
      </x:c>
      <x:c r="J71" s="34" t="n">
        <x:f>I71*(IF(G71&gt;1,G71-1,0))</x:f>
        <x:v>112</x:v>
      </x:c>
      <x:c r="K71" s="34" t="n">
        <x:f>J71*H71</x:f>
        <x:v>112</x:v>
      </x:c>
      <x:c r="L71" s="34" t="n">
        <x:f>K71*G71</x:f>
        <x:v>896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完整 Logits</x:v>
      </x:c>
      <x:c r="D72" s="30" t="str">
        <x:v>Ring AllGather</x:v>
      </x:c>
      <x:c r="E72" s="33" t="n">
        <x:f>'Prefill'!$P$8*248320/IF('Prefill'!$P$20&gt;0,'Prefill'!$P$20,'Prefill'!$P$12)</x:f>
        <x:v>3973120</x:v>
      </x:c>
      <x:c r="F72" s="33" t="n">
        <x:f>'Prefill'!$P$28</x:f>
        <x:v>2</x:v>
      </x:c>
      <x:c r="G72" s="33" t="n">
        <x:f>IF('Prefill'!$P$20&gt;0,'Prefill'!$P$20,'Prefill'!$P$12)</x:f>
        <x:v>8</x:v>
      </x:c>
      <x:c r="H72" s="33" t="n">
        <x:f>IF(AND(IF('Prefill'!$P$20&gt;0,'Prefill'!$P$20,'Prefill'!$P$12)&gt;1,'Prefill'!$P$23=0,'Prefill'!$P$33=0),1,0)</x:f>
        <x:v>0</x:v>
      </x:c>
      <x:c r="I72" s="34" t="n">
        <x:f>E72*F72/1048576</x:f>
        <x:v>7.578125</x:v>
      </x:c>
      <x:c r="J72" s="34" t="n">
        <x:f>I72*(IF(G72&gt;1,G72-1,0))</x:f>
        <x:v>53.046875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LM Head TP</x:v>
      </x:c>
      <x:c r="B73" s="30" t="str">
        <x:v>LM Head</x:v>
      </x:c>
      <x:c r="C73" s="30" t="str">
        <x:v>Reduce Sample</x:v>
      </x:c>
      <x:c r="D73" s="30" t="str">
        <x:v>Ring AllGather</x:v>
      </x:c>
      <x:c r="E73" s="33" t="n">
        <x:f>'Prefill'!$P$8*'Prefill'!$P$34</x:f>
        <x:v>32768</x:v>
      </x:c>
      <x:c r="F73" s="33" t="n">
        <x:f>('Prefill'!$P$28+'Prefill'!$P$31)</x:f>
        <x:v>6</x:v>
      </x:c>
      <x:c r="G73" s="33" t="n">
        <x:f>IF('Prefill'!$P$20&gt;0,'Prefill'!$P$20,'Prefill'!$P$12)</x:f>
        <x:v>8</x:v>
      </x:c>
      <x:c r="H73" s="33" t="n">
        <x:f>IF(AND(IF('Prefill'!$P$20&gt;0,'Prefill'!$P$20,'Prefill'!$P$12)&gt;1,'Prefill'!$P$23=0,'Prefill'!$P$33&lt;&gt;0),1,0)</x:f>
        <x:v>1</x:v>
      </x:c>
      <x:c r="I73" s="34" t="n">
        <x:f>E73*F73/1048576</x:f>
        <x:v>0.1875</x:v>
      </x:c>
      <x:c r="J73" s="34" t="n">
        <x:f>I73*(IF(G73&gt;1,G73-1,0))</x:f>
        <x:v>1.3125</x:v>
      </x:c>
      <x:c r="K73" s="34" t="n">
        <x:f>J73*H73</x:f>
        <x:v>1.3125</x:v>
      </x:c>
      <x:c r="L73" s="34" t="n">
        <x:f>K73*G73</x:f>
        <x:v>10.5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Hidden 输入</x:v>
      </x:c>
      <x:c r="D74" s="30" t="str">
        <x:v>Ring AllGather</x:v>
      </x:c>
      <x:c r="E74" s="33" t="n">
        <x:f>'Prefill'!$P$8*8192</x:f>
        <x:v>1048576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IF(AND(IF('Prefill'!$P$20&gt;0,'Prefill'!$P$20,'Prefill'!$P$12)&gt;1,'Prefill'!$P$23&lt;&gt;0),1,0)</x:f>
        <x:v>0</x:v>
      </x:c>
      <x:c r="I74" s="34" t="n">
        <x:f>E74*F74/1048576</x:f>
        <x:v>2</x:v>
      </x:c>
      <x:c r="J74" s="34" t="n">
        <x:f>I74*(IF(G74&gt;1,G74-1,0))</x:f>
        <x:v>14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完整 Logits</x:v>
      </x:c>
      <x:c r="D75" s="30" t="str">
        <x:v>Equal-split AllToAll</x:v>
      </x:c>
      <x:c r="E75" s="33" t="n">
        <x:f>'Prefill'!$P$8*248320</x:f>
        <x:v>31784960</x:v>
      </x:c>
      <x:c r="F75" s="33" t="n">
        <x:f>'Prefill'!$P$28</x:f>
        <x:v>2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IF(AND(IF('Prefill'!$P$20&gt;0,'Prefill'!$P$20,'Prefill'!$P$12)&gt;1,'Prefill'!$P$23&lt;&gt;0,'Prefill'!$P$33=0),1,0)</x:f>
        <x:v>0</x:v>
      </x:c>
      <x:c r="I75" s="34" t="n">
        <x:f>E75*F75/1048576</x:f>
        <x:v>60.625</x:v>
      </x:c>
      <x:c r="J75" s="34" t="n">
        <x:f>I75*(IF(G75&gt;1,(G75-1)/G75,0))</x:f>
        <x:v>53.046875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Reduce Sample</x:v>
      </x:c>
      <x:c r="D76" s="30" t="str">
        <x:v>Ring AllGather</x:v>
      </x:c>
      <x:c r="E76" s="33" t="n">
        <x:f>'Prefill'!$P$8*'Prefill'!$P$34</x:f>
        <x:v>32768</x:v>
      </x:c>
      <x:c r="F76" s="33" t="n">
        <x:f>('Prefill'!$P$28+'Prefill'!$P$31)</x:f>
        <x:v>6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IF(AND(IF('Prefill'!$P$20&gt;0,'Prefill'!$P$20,'Prefill'!$P$12)&gt;1,'Prefill'!$P$23&lt;&gt;0,'Prefill'!$P$33&lt;&gt;0),1,0)</x:f>
        <x:v>0</x:v>
      </x:c>
      <x:c r="I76" s="34" t="n">
        <x:f>E76*F76/1048576</x:f>
        <x:v>0.1875</x:v>
      </x:c>
      <x:c r="J76" s="34" t="n">
        <x:f>I76*(IF(G76&gt;1,G76-1,0))</x:f>
        <x:v>1.3125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40" t="str">
        <x:v>合计</x:v>
      </x:c>
      <x:c r="B77" s="40"/>
      <x:c r="C77" s="40"/>
      <x:c r="D77" s="40"/>
      <x:c r="E77" s="40"/>
      <x:c r="F77" s="40"/>
      <x:c r="G77" s="40"/>
      <x:c r="H77" s="40"/>
      <x:c r="I77" s="41"/>
      <x:c r="J77" s="41"/>
      <x:c r="K77" s="41" t="n">
        <x:f>SUM(K51:K76)</x:f>
        <x:v>67313.3125</x:v>
      </x:c>
      <x:c r="L77" s="41" t="n">
        <x:f>SUM(L51:L76)</x:f>
        <x:v>538506.5</x:v>
      </x:c>
      <x:c r="M77" s="30"/>
      <x:c r="N77" s="30"/>
      <x:c r="O77" s="30"/>
      <x:c r="P77" s="30"/>
    </x:row>
    <x:row r="80" ht="15" customHeight="1">
      <x:c r="A80" s="40" t="str">
        <x:v>PD 带宽争用耗时评估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15" customHeight="1">
      <x:c r="A81" s="30" t="str">
        <x:v>Prefill 当前表参数；100 GB/s 为归一化示例。所列事件的带宽项，不等于完整 forward 耗时。</x:v>
      </x:c>
      <x:c r="B81" s="30"/>
      <x:c r="C81" s="30"/>
      <x:c r="D81" s="30"/>
      <x:c r="E81" s="30"/>
      <x:c r="F81" s="30"/>
      <x:c r="G81" s="30"/>
      <x:c r="H81" s="30"/>
      <x:c r="I81" s="30"/>
      <x:c r="J81" s="30"/>
      <x:c r="K81" s="30"/>
      <x:c r="L81" s="30"/>
    </x:row>
    <x:row r="82" ht="30" customHeight="1">
      <x:c r="A82" s="62" t="str">
        <x:v>带宽降幅</x:v>
      </x:c>
      <x:c r="B82" s="62" t="str">
        <x:v>输入</x:v>
      </x:c>
      <x:c r="C82" s="62" t="str">
        <x:v>争用覆盖率</x:v>
      </x:c>
      <x:c r="D82" s="62" t="str">
        <x:v>输入</x:v>
      </x:c>
      <x:c r="E82" s="62" t="str">
        <x:v>基线 forward ms</x:v>
      </x:c>
      <x:c r="F82" s="62" t="str">
        <x:v>实测输入</x:v>
      </x:c>
      <x:c r="G82" s="62" t="str">
        <x:v>默认带宽 GB/s</x:v>
      </x:c>
      <x:c r="H82" s="62" t="str">
        <x:v>输入</x:v>
      </x:c>
      <x:c r="I82" s="30"/>
      <x:c r="J82" s="30"/>
      <x:c r="K82" s="30"/>
      <x:c r="L82" s="30"/>
    </x:row>
    <x:row r="83" ht="15" customHeight="1">
      <x:c r="A83" s="30"/>
      <x:c r="B83" s="63" t="n">
        <x:v>0.1</x:v>
      </x:c>
      <x:c r="C83" s="30"/>
      <x:c r="D83" s="63" t="n">
        <x:v>1</x:v>
      </x:c>
      <x:c r="E83" s="30"/>
      <x:c r="F83" s="38"/>
      <x:c r="G83" s="30"/>
      <x:c r="H83" s="36" t="n">
        <x:v>100</x:v>
      </x:c>
      <x:c r="I83" s="30"/>
      <x:c r="J83" s="30"/>
      <x:c r="K83" s="30"/>
      <x:c r="L83" s="30"/>
    </x:row>
    <x:row r="84" ht="30" customHeight="1">
      <x:c r="A84" s="62" t="str">
        <x:v>通信基线 ms</x:v>
      </x:c>
      <x:c r="B84" s="62" t="str">
        <x:v>结果</x:v>
      </x:c>
      <x:c r="C84" s="62" t="str">
        <x:v>通信争用后 ms</x:v>
      </x:c>
      <x:c r="D84" s="62" t="str">
        <x:v>结果</x:v>
      </x:c>
      <x:c r="E84" s="62" t="str">
        <x:v>forward 增量 ms</x:v>
      </x:c>
      <x:c r="F84" s="62" t="str">
        <x:v>结果</x:v>
      </x:c>
      <x:c r="G84" s="62" t="str">
        <x:v>forward 新耗时 ms</x:v>
      </x:c>
      <x:c r="H84" s="62" t="str">
        <x:v>结果</x:v>
      </x:c>
      <x:c r="I84" s="62" t="str">
        <x:v>forward 增幅</x:v>
      </x:c>
      <x:c r="J84" s="62" t="str">
        <x:v>结果</x:v>
      </x:c>
      <x:c r="K84" s="62" t="str">
        <x:v>输入状态</x:v>
      </x:c>
      <x:c r="L84" s="62" t="str">
        <x:v>状态</x:v>
      </x:c>
    </x:row>
    <x:row r="85" ht="15" customHeight="1">
      <x:c r="A85" s="49"/>
      <x:c r="B85" s="49" t="n">
        <x:f>SUM(G89:G115)</x:f>
        <x:v>705.8444288</x:v>
      </x:c>
      <x:c r="C85" s="49"/>
      <x:c r="D85" s="49" t="n">
        <x:f>SUM(H89:H115)</x:f>
        <x:v>784.2715875555556</x:v>
      </x:c>
      <x:c r="E85" s="49"/>
      <x:c r="F85" s="49" t="n">
        <x:f>SUM(K89:K115)</x:f>
        <x:v>78.4271587555556</x:v>
      </x:c>
      <x:c r="G85" s="49"/>
      <x:c r="H85" s="49" t="str">
        <x:f>IF(AND(ISNUMBER($F$83),$F$83&gt;0,$F$83&gt;=SUMPRODUCT(G89:G115,J89:J115)),$F$83+F85,"")</x:f>
      </x:c>
      <x:c r="I85" s="49"/>
      <x:c r="J85" s="50" t="str">
        <x:f>IF(AND(ISNUMBER($F$83),$F$83&gt;0,$F$83&gt;=SUMPRODUCT(G89:G115,J89:J115)),F85/$F$83,"")</x:f>
      </x:c>
      <x:c r="K85" s="49"/>
      <x:c r="L85" s="49" t="str">
        <x:f>IF($F$83="","待填基线",IF(AND(ISNUMBER($F$83),$F$83&gt;0,$F$83&gt;=SUMPRODUCT(G89:G115,J89:J115)),"已填基线","基线/暴露不一致"))</x:f>
        <x:v>待填基线</x:v>
      </x:c>
    </x:row>
    <x:row r="86" ht="15" customHeight="1">
      <x:c r="A86" s="30" t="str">
        <x:v>共享比例=0 表示独立链路；暴露系数=0 表示增量完全隐藏。默认均为 1，降幅只作用于带宽项。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15" customHeight="1">
      <x:c r="A87" s="30" t="str">
        <x:v>P: AllToAllV + 4 B 计数 Ring；D: A3 BF16 MC2 FullMesh。每事件带宽按端点发送量定义。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</x:row>
    <x:row r="88" ht="30" customHeight="1">
      <x:c r="A88" s="62" t="str">
        <x:v>并行域</x:v>
      </x:c>
      <x:c r="B88" s="62" t="str">
        <x:v>模块</x:v>
      </x:c>
      <x:c r="C88" s="62" t="str">
        <x:v>通信事件</x:v>
      </x:c>
      <x:c r="D88" s="62" t="str">
        <x:v>GB/Rank/Step</x:v>
      </x:c>
      <x:c r="E88" s="62" t="str">
        <x:v>有效带宽 GB/s</x:v>
      </x:c>
      <x:c r="F88" s="62" t="str">
        <x:v>共享比例</x:v>
      </x:c>
      <x:c r="G88" s="62" t="str">
        <x:v>基线带宽项 ms</x:v>
      </x:c>
      <x:c r="H88" s="62" t="str">
        <x:v>争用后带宽项 ms</x:v>
      </x:c>
      <x:c r="I88" s="62" t="str">
        <x:v>通信增量 ms</x:v>
      </x:c>
      <x:c r="J88" s="62" t="str">
        <x:v>暴露系数</x:v>
      </x:c>
      <x:c r="K88" s="62" t="str">
        <x:v>forward 增量 ms</x:v>
      </x:c>
      <x:c r="L88" s="62" t="str">
        <x:v>公式口径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标准 TP 输出</x:v>
      </x:c>
      <x:c r="D89" s="34" t="n">
        <x:f>(K51*2^20)/1e9</x:f>
        <x:v>0.234881024</x:v>
      </x:c>
      <x:c r="E89" s="64" t="n">
        <x:f>$H$83</x:f>
        <x:v>100</x:v>
      </x:c>
      <x:c r="F89" s="59" t="n">
        <x:v>1</x:v>
      </x:c>
      <x:c r="G89" s="34" t="n">
        <x:f>IF(AND(ISNUMBER(E89),E89&gt;0,ISNUMBER($B$83),$B$83&gt;=0,$B$83&lt;1,ISNUMBER($D$83),$D$83&gt;=0,$D$83&lt;=1,ISNUMBER(F89),F89&gt;=0,F89&lt;=1,ISNUMBER(J89),J89&gt;=0,J89&lt;=1),D89/E89*1000,NA())</x:f>
        <x:v>2.34881024</x:v>
      </x:c>
      <x:c r="H89" s="34" t="n">
        <x:f>G89+I89</x:f>
        <x:v>2.6097891555555557</x:v>
      </x:c>
      <x:c r="I89" s="34" t="n">
        <x:f>G89*F89*$D$83*$B$83/(1-$B$83)</x:f>
        <x:v>0.2609789155555556</x:v>
      </x:c>
      <x:c r="J89" s="59" t="n">
        <x:v>1</x:v>
      </x:c>
      <x:c r="K89" s="34" t="n">
        <x:f>I89*J89</x:f>
        <x:v>0.2609789155555556</x:v>
      </x:c>
      <x:c r="L89" s="30" t="str">
        <x:v>原通信行 51</x:v>
      </x:c>
    </x:row>
    <x:row r="90" ht="15" customHeight="1">
      <x:c r="A90" s="30" t="str">
        <x:v>Embedding TP</x:v>
      </x:c>
      <x:c r="B90" s="30" t="str">
        <x:v>Embedding</x:v>
      </x:c>
      <x:c r="C90" s="30" t="str">
        <x:v>Fine TP Token ID</x:v>
      </x:c>
      <x:c r="D90" s="34" t="n">
        <x:f>(K52*2^20)/1e9</x:f>
        <x:v>0</x:v>
      </x:c>
      <x:c r="E90" s="64" t="n">
        <x:f>$H$83</x:f>
        <x:v>100</x:v>
      </x:c>
      <x:c r="F90" s="59" t="n">
        <x:v>1</x:v>
      </x:c>
      <x:c r="G90" s="34" t="n">
        <x:f>IF(AND(ISNUMBER(E90),E90&gt;0,ISNUMBER($B$83),$B$83&gt;=0,$B$83&lt;1,ISNUMBER($D$83),$D$83&gt;=0,$D$83&lt;=1,ISNUMBER(F90),F90&gt;=0,F90&lt;=1,ISNUMBER(J90),J90&gt;=0,J90&lt;=1),D90/E90*1000,NA())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G90*F90*$D$83*$B$83/(1-$B$83)</x:f>
        <x:v>0</x:v>
      </x:c>
      <x:c r="J90" s="59" t="n">
        <x:v>1</x:v>
      </x:c>
      <x:c r="K90" s="34" t="n">
        <x:f>I90*J90</x:f>
        <x:v>0</x:v>
      </x:c>
      <x:c r="L90" s="30" t="str">
        <x:v>原通信行 52</x:v>
      </x:c>
    </x:row>
    <x:row r="91" ht="15" customHeight="1">
      <x:c r="A91" s="30" t="str">
        <x:v>Embedding TP</x:v>
      </x:c>
      <x:c r="B91" s="30" t="str">
        <x:v>Embedding</x:v>
      </x:c>
      <x:c r="C91" s="30" t="str">
        <x:v>Fine TP Hidden</x:v>
      </x:c>
      <x:c r="D91" s="34" t="n">
        <x:f>(K53*2^20)/1e9</x:f>
        <x:v>0</x:v>
      </x:c>
      <x:c r="E91" s="64" t="n">
        <x:f>$H$83</x:f>
        <x:v>100</x:v>
      </x:c>
      <x:c r="F91" s="59" t="n">
        <x:v>1</x:v>
      </x:c>
      <x:c r="G91" s="34" t="n">
        <x:f>IF(AND(ISNUMBER(E91),E91&gt;0,ISNUMBER($B$83),$B$83&gt;=0,$B$83&lt;1,ISNUMBER($D$83),$D$83&gt;=0,$D$83&lt;=1,ISNUMBER(F91),F91&gt;=0,F91&lt;=1,ISNUMBER(J91),J91&gt;=0,J91&lt;=1),D91/E91*1000,NA())</x:f>
        <x:v>0</x:v>
      </x:c>
      <x:c r="H91" s="34" t="n">
        <x:f>G91+I91</x:f>
        <x:v>0</x:v>
      </x:c>
      <x:c r="I91" s="34" t="n">
        <x:f>G91*F91*$D$83*$B$83/(1-$B$83)</x:f>
        <x:v>0</x:v>
      </x:c>
      <x:c r="J91" s="59" t="n">
        <x:v>1</x:v>
      </x:c>
      <x:c r="K91" s="34" t="n">
        <x:f>I91*J91</x:f>
        <x:v>0</x:v>
      </x:c>
      <x:c r="L91" s="30" t="str">
        <x:v>原通信行 53</x:v>
      </x:c>
    </x:row>
    <x:row r="92" ht="15" customHeight="1">
      <x:c r="A92" s="30" t="str">
        <x:v>SP</x:v>
      </x:c>
      <x:c r="B92" s="30" t="str">
        <x:v>Attention</x:v>
      </x:c>
      <x:c r="C92" s="30" t="str">
        <x:v>Attention 前</x:v>
      </x:c>
      <x:c r="D92" s="34" t="n">
        <x:f>(K54*2^20)/1e9</x:f>
        <x:v>10.804527104</x:v>
      </x:c>
      <x:c r="E92" s="64" t="n">
        <x:f>$H$83</x:f>
        <x:v>100</x:v>
      </x:c>
      <x:c r="F92" s="59" t="n">
        <x:v>1</x:v>
      </x:c>
      <x:c r="G92" s="34" t="n">
        <x:f>IF(AND(ISNUMBER(E92),E92&gt;0,ISNUMBER($B$83),$B$83&gt;=0,$B$83&lt;1,ISNUMBER($D$83),$D$83&gt;=0,$D$83&lt;=1,ISNUMBER(F92),F92&gt;=0,F92&lt;=1,ISNUMBER(J92),J92&gt;=0,J92&lt;=1),D92/E92*1000,NA())</x:f>
        <x:v>108.04527104</x:v>
      </x:c>
      <x:c r="H92" s="34" t="n">
        <x:f>G92+I92</x:f>
        <x:v>120.05030115555556</x:v>
      </x:c>
      <x:c r="I92" s="34" t="n">
        <x:f>G92*F92*$D$83*$B$83/(1-$B$83)</x:f>
        <x:v>12.005030115555558</x:v>
      </x:c>
      <x:c r="J92" s="59" t="n">
        <x:v>1</x:v>
      </x:c>
      <x:c r="K92" s="34" t="n">
        <x:f>I92*J92</x:f>
        <x:v>12.005030115555558</x:v>
      </x:c>
      <x:c r="L92" s="30" t="str">
        <x:v>原通信行 54</x:v>
      </x:c>
    </x:row>
    <x:row r="93" ht="15" customHeight="1">
      <x:c r="A93" s="30" t="str">
        <x:v>SP</x:v>
      </x:c>
      <x:c r="B93" s="30" t="str">
        <x:v>Attention</x:v>
      </x:c>
      <x:c r="C93" s="30" t="str">
        <x:v>O Proj 后</x:v>
      </x:c>
      <x:c r="D93" s="34" t="n">
        <x:f>(K55*2^20)/1e9</x:f>
        <x:v>10.804527104</x:v>
      </x:c>
      <x:c r="E93" s="64" t="n">
        <x:f>$H$83</x:f>
        <x:v>100</x:v>
      </x:c>
      <x:c r="F93" s="59" t="n">
        <x:v>1</x:v>
      </x:c>
      <x:c r="G93" s="34" t="n">
        <x:f>IF(AND(ISNUMBER(E93),E93&gt;0,ISNUMBER($B$83),$B$83&gt;=0,$B$83&lt;1,ISNUMBER($D$83),$D$83&gt;=0,$D$83&lt;=1,ISNUMBER(F93),F93&gt;=0,F93&lt;=1,ISNUMBER(J93),J93&gt;=0,J93&lt;=1),D93/E93*1000,NA())</x:f>
        <x:v>108.04527104</x:v>
      </x:c>
      <x:c r="H93" s="34" t="n">
        <x:f>G93+I93</x:f>
        <x:v>120.05030115555556</x:v>
      </x:c>
      <x:c r="I93" s="34" t="n">
        <x:f>G93*F93*$D$83*$B$83/(1-$B$83)</x:f>
        <x:v>12.005030115555558</x:v>
      </x:c>
      <x:c r="J93" s="59" t="n">
        <x:v>1</x:v>
      </x:c>
      <x:c r="K93" s="34" t="n">
        <x:f>I93*J93</x:f>
        <x:v>12.005030115555558</x:v>
      </x:c>
      <x:c r="L93" s="30" t="str">
        <x:v>原通信行 55</x:v>
      </x:c>
    </x:row>
    <x:row r="94" ht="15" customHeight="1">
      <x:c r="A94" s="30" t="str">
        <x:v>O Proj TP</x:v>
      </x:c>
      <x:c r="B94" s="30" t="str">
        <x:v>Attention</x:v>
      </x:c>
      <x:c r="C94" s="30" t="str">
        <x:v>非 SP 标准 TP</x:v>
      </x:c>
      <x:c r="D94" s="34" t="n">
        <x:f>(K56*2^20)/1e9</x:f>
        <x:v>0</x:v>
      </x:c>
      <x:c r="E94" s="64" t="n">
        <x:f>$H$83</x:f>
        <x:v>100</x:v>
      </x:c>
      <x:c r="F94" s="59" t="n">
        <x:v>1</x:v>
      </x:c>
      <x:c r="G94" s="34" t="n">
        <x:f>IF(AND(ISNUMBER(E94),E94&gt;0,ISNUMBER($B$83),$B$83&gt;=0,$B$83&lt;1,ISNUMBER($D$83),$D$83&gt;=0,$D$83&lt;=1,ISNUMBER(F94),F94&gt;=0,F94&lt;=1,ISNUMBER(J94),J94&gt;=0,J94&lt;=1),D94/E94*1000,NA())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G94*F94*$D$83*$B$83/(1-$B$83)</x:f>
        <x:v>0</x:v>
      </x:c>
      <x:c r="J94" s="59" t="n">
        <x:v>1</x:v>
      </x:c>
      <x:c r="K94" s="34" t="n">
        <x:f>I94*J94</x:f>
        <x:v>0</x:v>
      </x:c>
      <x:c r="L94" s="30" t="str">
        <x:v>原通信行 56</x:v>
      </x:c>
    </x:row>
    <x:row r="95" ht="15" customHeight="1">
      <x:c r="A95" s="30" t="str">
        <x:v>Fine O TP</x:v>
      </x:c>
      <x:c r="B95" s="30" t="str">
        <x:v>Attention</x:v>
      </x:c>
      <x:c r="C95" s="30" t="str">
        <x:v>O Proj 输入</x:v>
      </x:c>
      <x:c r="D95" s="34" t="n">
        <x:f>(K57*2^20)/1e9</x:f>
        <x:v>0</x:v>
      </x:c>
      <x:c r="E95" s="64" t="n">
        <x:f>$H$83</x:f>
        <x:v>100</x:v>
      </x:c>
      <x:c r="F95" s="59" t="n">
        <x:v>1</x:v>
      </x:c>
      <x:c r="G95" s="34" t="n">
        <x:f>IF(AND(ISNUMBER(E95),E95&gt;0,ISNUMBER($B$83),$B$83&gt;=0,$B$83&lt;1,ISNUMBER($D$83),$D$83&gt;=0,$D$83&lt;=1,ISNUMBER(F95),F95&gt;=0,F95&lt;=1,ISNUMBER(J95),J95&gt;=0,J95&lt;=1),D95/E95*1000,NA())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G95*F95*$D$83*$B$83/(1-$B$83)</x:f>
        <x:v>0</x:v>
      </x:c>
      <x:c r="J95" s="59" t="n">
        <x:v>1</x:v>
      </x:c>
      <x:c r="K95" s="34" t="n">
        <x:f>I95*J95</x:f>
        <x:v>0</x:v>
      </x:c>
      <x:c r="L95" s="30" t="str">
        <x:v>原通信行 57</x:v>
      </x:c>
    </x:row>
    <x:row r="96" ht="15" customHeight="1">
      <x:c r="A96" s="30" t="str">
        <x:v>Fine O TP</x:v>
      </x:c>
      <x:c r="B96" s="30" t="str">
        <x:v>Attention</x:v>
      </x:c>
      <x:c r="C96" s="30" t="str">
        <x:v>O Proj 输出</x:v>
      </x:c>
      <x:c r="D96" s="34" t="n">
        <x:f>(K58*2^20)/1e9</x:f>
        <x:v>0</x:v>
      </x:c>
      <x:c r="E96" s="64" t="n">
        <x:f>$H$83</x:f>
        <x:v>100</x:v>
      </x:c>
      <x:c r="F96" s="59" t="n">
        <x:v>1</x:v>
      </x:c>
      <x:c r="G96" s="34" t="n">
        <x:f>IF(AND(ISNUMBER(E96),E96&gt;0,ISNUMBER($B$83),$B$83&gt;=0,$B$83&lt;1,ISNUMBER($D$83),$D$83&gt;=0,$D$83&lt;=1,ISNUMBER(F96),F96&gt;=0,F96&lt;=1,ISNUMBER(J96),J96&gt;=0,J96&lt;=1),D96/E96*1000,NA())</x:f>
        <x:v>0</x:v>
      </x:c>
      <x:c r="H96" s="34" t="n">
        <x:f>G96+I96</x:f>
        <x:v>0</x:v>
      </x:c>
      <x:c r="I96" s="34" t="n">
        <x:f>G96*F96*$D$83*$B$83/(1-$B$83)</x:f>
        <x:v>0</x:v>
      </x:c>
      <x:c r="J96" s="59" t="n">
        <x:v>1</x:v>
      </x:c>
      <x:c r="K96" s="34" t="n">
        <x:f>I96*J96</x:f>
        <x:v>0</x:v>
      </x:c>
      <x:c r="L96" s="30" t="str">
        <x:v>原通信行 58</x:v>
      </x:c>
    </x:row>
    <x:row r="97" ht="15" customHeight="1">
      <x:c r="A97" s="30" t="str">
        <x:v>EP</x:v>
      </x:c>
      <x:c r="B97" s="30" t="str">
        <x:v>Routed Experts</x:v>
      </x:c>
      <x:c r="C97" s="30" t="str">
        <x:v>Dispatch Hidden</x:v>
      </x:c>
      <x:c r="D97" s="34" t="n">
        <x:f>(K59*2^20)/1e9</x:f>
        <x:v>13.50565888</x:v>
      </x:c>
      <x:c r="E97" s="64" t="n">
        <x:f>$H$83</x:f>
        <x:v>100</x:v>
      </x:c>
      <x:c r="F97" s="59" t="n">
        <x:v>1</x:v>
      </x:c>
      <x:c r="G97" s="34" t="n">
        <x:f>IF(AND(ISNUMBER(E97),E97&gt;0,ISNUMBER($B$83),$B$83&gt;=0,$B$83&lt;1,ISNUMBER($D$83),$D$83&gt;=0,$D$83&lt;=1,ISNUMBER(F97),F97&gt;=0,F97&lt;=1,ISNUMBER(J97),J97&gt;=0,J97&lt;=1),D97/E97*1000,NA())</x:f>
        <x:v>135.05658880000001</x:v>
      </x:c>
      <x:c r="H97" s="34" t="n">
        <x:f>G97+I97</x:f>
        <x:v>150.06287644444447</x:v>
      </x:c>
      <x:c r="I97" s="34" t="n">
        <x:f>G97*F97*$D$83*$B$83/(1-$B$83)</x:f>
        <x:v>15.006287644444447</x:v>
      </x:c>
      <x:c r="J97" s="59" t="n">
        <x:v>1</x:v>
      </x:c>
      <x:c r="K97" s="34" t="n">
        <x:f>I97*J97</x:f>
        <x:v>15.006287644444447</x:v>
      </x:c>
      <x:c r="L97" s="30" t="str">
        <x:v>原通信行 59</x:v>
      </x:c>
    </x:row>
    <x:row r="98" ht="15" customHeight="1">
      <x:c r="A98" s="30" t="str">
        <x:v>EP</x:v>
      </x:c>
      <x:c r="B98" s="30" t="str">
        <x:v>Routed Experts</x:v>
      </x:c>
      <x:c r="C98" s="30" t="str">
        <x:v>Combine Hidden</x:v>
      </x:c>
      <x:c r="D98" s="34" t="n">
        <x:f>(K60*2^20)/1e9</x:f>
        <x:v>13.50565888</x:v>
      </x:c>
      <x:c r="E98" s="64" t="n">
        <x:f>$H$83</x:f>
        <x:v>100</x:v>
      </x:c>
      <x:c r="F98" s="59" t="n">
        <x:v>1</x:v>
      </x:c>
      <x:c r="G98" s="34" t="n">
        <x:f>IF(AND(ISNUMBER(E98),E98&gt;0,ISNUMBER($B$83),$B$83&gt;=0,$B$83&lt;1,ISNUMBER($D$83),$D$83&gt;=0,$D$83&lt;=1,ISNUMBER(F98),F98&gt;=0,F98&lt;=1,ISNUMBER(J98),J98&gt;=0,J98&lt;=1),D98/E98*1000,NA())</x:f>
        <x:v>135.05658880000001</x:v>
      </x:c>
      <x:c r="H98" s="34" t="n">
        <x:f>G98+I98</x:f>
        <x:v>150.06287644444447</x:v>
      </x:c>
      <x:c r="I98" s="34" t="n">
        <x:f>G98*F98*$D$83*$B$83/(1-$B$83)</x:f>
        <x:v>15.006287644444447</x:v>
      </x:c>
      <x:c r="J98" s="59" t="n">
        <x:v>1</x:v>
      </x:c>
      <x:c r="K98" s="34" t="n">
        <x:f>I98*J98</x:f>
        <x:v>15.006287644444447</x:v>
      </x:c>
      <x:c r="L98" s="30" t="str">
        <x:v>原通信行 60</x:v>
      </x:c>
    </x:row>
    <x:row r="99" ht="15" customHeight="1">
      <x:c r="A99" s="30" t="str">
        <x:v>DP</x:v>
      </x:c>
      <x:c r="B99" s="30" t="str">
        <x:v>MoE</x:v>
      </x:c>
      <x:c r="C99" s="30" t="str">
        <x:v>Hidden 输入</x:v>
      </x:c>
      <x:c r="D99" s="34" t="n">
        <x:f>(K61*2^20)/1e9</x:f>
        <x:v>0</x:v>
      </x:c>
      <x:c r="E99" s="64" t="n">
        <x:f>$H$83</x:f>
        <x:v>100</x:v>
      </x:c>
      <x:c r="F99" s="59" t="n">
        <x:v>1</x:v>
      </x:c>
      <x:c r="G99" s="34" t="n">
        <x:f>IF(AND(ISNUMBER(E99),E99&gt;0,ISNUMBER($B$83),$B$83&gt;=0,$B$83&lt;1,ISNUMBER($D$83),$D$83&gt;=0,$D$83&lt;=1,ISNUMBER(F99),F99&gt;=0,F99&lt;=1,ISNUMBER(J99),J99&gt;=0,J99&lt;=1),D99/E99*1000,NA())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G99*F99*$D$83*$B$83/(1-$B$83)</x:f>
        <x:v>0</x:v>
      </x:c>
      <x:c r="J99" s="59" t="n">
        <x:v>1</x:v>
      </x:c>
      <x:c r="K99" s="34" t="n">
        <x:f>I99*J99</x:f>
        <x:v>0</x:v>
      </x:c>
      <x:c r="L99" s="30" t="str">
        <x:v>原通信行 61</x:v>
      </x:c>
    </x:row>
    <x:row r="100" ht="15" customHeight="1">
      <x:c r="A100" s="30" t="str">
        <x:v>DP</x:v>
      </x:c>
      <x:c r="B100" s="30" t="str">
        <x:v>MoE Router</x:v>
      </x:c>
      <x:c r="C100" s="30" t="str">
        <x:v>Router Logits</x:v>
      </x:c>
      <x:c r="D100" s="34" t="n">
        <x:f>(K62*2^20)/1e9</x:f>
        <x:v>0</x:v>
      </x:c>
      <x:c r="E100" s="64" t="n">
        <x:f>$H$83</x:f>
        <x:v>100</x:v>
      </x:c>
      <x:c r="F100" s="59" t="n">
        <x:v>1</x:v>
      </x:c>
      <x:c r="G100" s="34" t="n">
        <x:f>IF(AND(ISNUMBER(E100),E100&gt;0,ISNUMBER($B$83),$B$83&gt;=0,$B$83&lt;1,ISNUMBER($D$83),$D$83&gt;=0,$D$83&lt;=1,ISNUMBER(F100),F100&gt;=0,F100&lt;=1,ISNUMBER(J100),J100&gt;=0,J100&lt;=1),D100/E100*1000,NA())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G100*F100*$D$83*$B$83/(1-$B$83)</x:f>
        <x:v>0</x:v>
      </x:c>
      <x:c r="J100" s="59" t="n">
        <x:v>1</x:v>
      </x:c>
      <x:c r="K100" s="34" t="n">
        <x:f>I100*J100</x:f>
        <x:v>0</x:v>
      </x:c>
      <x:c r="L100" s="30" t="str">
        <x:v>原通信行 62</x:v>
      </x:c>
    </x:row>
    <x:row r="101" ht="15" customHeight="1">
      <x:c r="A101" s="30" t="str">
        <x:v>DP</x:v>
      </x:c>
      <x:c r="B101" s="30" t="str">
        <x:v>MoE</x:v>
      </x:c>
      <x:c r="C101" s="30" t="str">
        <x:v>Routed Expert 输出</x:v>
      </x:c>
      <x:c r="D101" s="34" t="n">
        <x:f>(K63*2^20)/1e9</x:f>
        <x:v>0</x:v>
      </x:c>
      <x:c r="E101" s="64" t="n">
        <x:f>$H$83</x:f>
        <x:v>100</x:v>
      </x:c>
      <x:c r="F101" s="59" t="n">
        <x:v>1</x:v>
      </x:c>
      <x:c r="G101" s="34" t="n">
        <x:f>IF(AND(ISNUMBER(E101),E101&gt;0,ISNUMBER($B$83),$B$83&gt;=0,$B$83&lt;1,ISNUMBER($D$83),$D$83&gt;=0,$D$83&lt;=1,ISNUMBER(F101),F101&gt;=0,F101&lt;=1,ISNUMBER(J101),J101&gt;=0,J101&lt;=1),D101/E101*1000,NA())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G101*F101*$D$83*$B$83/(1-$B$83)</x:f>
        <x:v>0</x:v>
      </x:c>
      <x:c r="J101" s="59" t="n">
        <x:v>1</x:v>
      </x:c>
      <x:c r="K101" s="34" t="n">
        <x:f>I101*J101</x:f>
        <x:v>0</x:v>
      </x:c>
      <x:c r="L101" s="30" t="str">
        <x:v>原通信行 63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SP 输入</x:v>
      </x:c>
      <x:c r="D102" s="34" t="n">
        <x:f>(K64*2^20)/1e9</x:f>
        <x:v>10.804527104</x:v>
      </x:c>
      <x:c r="E102" s="64" t="n">
        <x:f>$H$83</x:f>
        <x:v>100</x:v>
      </x:c>
      <x:c r="F102" s="59" t="n">
        <x:v>1</x:v>
      </x:c>
      <x:c r="G102" s="34" t="n">
        <x:f>IF(AND(ISNUMBER(E102),E102&gt;0,ISNUMBER($B$83),$B$83&gt;=0,$B$83&lt;1,ISNUMBER($D$83),$D$83&gt;=0,$D$83&lt;=1,ISNUMBER(F102),F102&gt;=0,F102&lt;=1,ISNUMBER(J102),J102&gt;=0,J102&lt;=1),D102/E102*1000,NA())</x:f>
        <x:v>108.04527104</x:v>
      </x:c>
      <x:c r="H102" s="34" t="n">
        <x:f>G102+I102</x:f>
        <x:v>120.05030115555556</x:v>
      </x:c>
      <x:c r="I102" s="34" t="n">
        <x:f>G102*F102*$D$83*$B$83/(1-$B$83)</x:f>
        <x:v>12.005030115555558</x:v>
      </x:c>
      <x:c r="J102" s="59" t="n">
        <x:v>1</x:v>
      </x:c>
      <x:c r="K102" s="34" t="n">
        <x:f>I102*J102</x:f>
        <x:v>12.005030115555558</x:v>
      </x:c>
      <x:c r="L102" s="30" t="str">
        <x:v>原通信行 64</x:v>
      </x:c>
    </x:row>
    <x:row r="103" ht="15" customHeight="1">
      <x:c r="A103" s="30" t="str">
        <x:v>共享专家 TP</x:v>
      </x:c>
      <x:c r="B103" s="30" t="str">
        <x:v>Shared Experts</x:v>
      </x:c>
      <x:c r="C103" s="30" t="str">
        <x:v>SP 输出</x:v>
      </x:c>
      <x:c r="D103" s="34" t="n">
        <x:f>(K65*2^20)/1e9</x:f>
        <x:v>10.804527104</x:v>
      </x:c>
      <x:c r="E103" s="64" t="n">
        <x:f>$H$83</x:f>
        <x:v>100</x:v>
      </x:c>
      <x:c r="F103" s="59" t="n">
        <x:v>1</x:v>
      </x:c>
      <x:c r="G103" s="34" t="n">
        <x:f>IF(AND(ISNUMBER(E103),E103&gt;0,ISNUMBER($B$83),$B$83&gt;=0,$B$83&lt;1,ISNUMBER($D$83),$D$83&gt;=0,$D$83&lt;=1,ISNUMBER(F103),F103&gt;=0,F103&lt;=1,ISNUMBER(J103),J103&gt;=0,J103&lt;=1),D103/E103*1000,NA())</x:f>
        <x:v>108.04527104</x:v>
      </x:c>
      <x:c r="H103" s="34" t="n">
        <x:f>G103+I103</x:f>
        <x:v>120.05030115555556</x:v>
      </x:c>
      <x:c r="I103" s="34" t="n">
        <x:f>G103*F103*$D$83*$B$83/(1-$B$83)</x:f>
        <x:v>12.005030115555558</x:v>
      </x:c>
      <x:c r="J103" s="59" t="n">
        <x:v>1</x:v>
      </x:c>
      <x:c r="K103" s="34" t="n">
        <x:f>I103*J103</x:f>
        <x:v>12.005030115555558</x:v>
      </x:c>
      <x:c r="L103" s="30" t="str">
        <x:v>原通信行 65</x:v>
      </x:c>
    </x:row>
    <x:row r="104" ht="15" customHeight="1">
      <x:c r="A104" s="30" t="str">
        <x:v>共享专家 TP</x:v>
      </x:c>
      <x:c r="B104" s="30" t="str">
        <x:v>Shared Experts</x:v>
      </x:c>
      <x:c r="C104" s="30" t="str">
        <x:v>非 SP 输出</x:v>
      </x:c>
      <x:c r="D104" s="34" t="n">
        <x:f>(K66*2^20)/1e9</x:f>
        <x:v>0</x:v>
      </x:c>
      <x:c r="E104" s="64" t="n">
        <x:f>$H$83</x:f>
        <x:v>100</x:v>
      </x:c>
      <x:c r="F104" s="59" t="n">
        <x:v>1</x:v>
      </x:c>
      <x:c r="G104" s="34" t="n">
        <x:f>IF(AND(ISNUMBER(E104),E104&gt;0,ISNUMBER($B$83),$B$83&gt;=0,$B$83&lt;1,ISNUMBER($D$83),$D$83&gt;=0,$D$83&lt;=1,ISNUMBER(F104),F104&gt;=0,F104&lt;=1,ISNUMBER(J104),J104&gt;=0,J104&lt;=1),D104/E104*1000,NA())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G104*F104*$D$83*$B$83/(1-$B$83)</x:f>
        <x:v>0</x:v>
      </x:c>
      <x:c r="J104" s="59" t="n">
        <x:v>1</x:v>
      </x:c>
      <x:c r="K104" s="34" t="n">
        <x:f>I104*J104</x:f>
        <x:v>0</x:v>
      </x:c>
      <x:c r="L104" s="30" t="str">
        <x:v>原通信行 66</x:v>
      </x:c>
    </x:row>
    <x:row r="105" ht="15" customHeight="1">
      <x:c r="A105" s="30" t="str">
        <x:v>PCP</x:v>
      </x:c>
      <x:c r="B105" s="30" t="str">
        <x:v>MoE</x:v>
      </x:c>
      <x:c r="C105" s="30" t="str">
        <x:v>Hidden 输入</x:v>
      </x:c>
      <x:c r="D105" s="34" t="n">
        <x:f>(K67*2^20)/1e9</x:f>
        <x:v>0</x:v>
      </x:c>
      <x:c r="E105" s="64" t="n">
        <x:f>$H$83</x:f>
        <x:v>100</x:v>
      </x:c>
      <x:c r="F105" s="59" t="n">
        <x:v>1</x:v>
      </x:c>
      <x:c r="G105" s="34" t="n">
        <x:f>IF(AND(ISNUMBER(E105),E105&gt;0,ISNUMBER($B$83),$B$83&gt;=0,$B$83&lt;1,ISNUMBER($D$83),$D$83&gt;=0,$D$83&lt;=1,ISNUMBER(F105),F105&gt;=0,F105&lt;=1,ISNUMBER(J105),J105&gt;=0,J105&lt;=1),D105/E105*1000,NA())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G105*F105*$D$83*$B$83/(1-$B$83)</x:f>
        <x:v>0</x:v>
      </x:c>
      <x:c r="J105" s="59" t="n">
        <x:v>1</x:v>
      </x:c>
      <x:c r="K105" s="34" t="n">
        <x:f>I105*J105</x:f>
        <x:v>0</x:v>
      </x:c>
      <x:c r="L105" s="30" t="str">
        <x:v>原通信行 67</x:v>
      </x:c>
    </x:row>
    <x:row r="106" ht="15" customHeight="1">
      <x:c r="A106" s="30" t="str">
        <x:v>PCP</x:v>
      </x:c>
      <x:c r="B106" s="30" t="str">
        <x:v>MoE Router</x:v>
      </x:c>
      <x:c r="C106" s="30" t="str">
        <x:v>Router Logits</x:v>
      </x:c>
      <x:c r="D106" s="34" t="n">
        <x:f>(K68*2^20)/1e9</x:f>
        <x:v>0</x:v>
      </x:c>
      <x:c r="E106" s="64" t="n">
        <x:f>$H$83</x:f>
        <x:v>100</x:v>
      </x:c>
      <x:c r="F106" s="59" t="n">
        <x:v>1</x:v>
      </x:c>
      <x:c r="G106" s="34" t="n">
        <x:f>IF(AND(ISNUMBER(E106),E106&gt;0,ISNUMBER($B$83),$B$83&gt;=0,$B$83&lt;1,ISNUMBER($D$83),$D$83&gt;=0,$D$83&lt;=1,ISNUMBER(F106),F106&gt;=0,F106&lt;=1,ISNUMBER(J106),J106&gt;=0,J106&lt;=1),D106/E106*1000,NA())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G106*F106*$D$83*$B$83/(1-$B$83)</x:f>
        <x:v>0</x:v>
      </x:c>
      <x:c r="J106" s="59" t="n">
        <x:v>1</x:v>
      </x:c>
      <x:c r="K106" s="34" t="n">
        <x:f>I106*J106</x:f>
        <x:v>0</x:v>
      </x:c>
      <x:c r="L106" s="30" t="str">
        <x:v>原通信行 68</x:v>
      </x:c>
    </x:row>
    <x:row r="107" ht="15" customHeight="1">
      <x:c r="A107" s="30" t="str">
        <x:v>PCP</x:v>
      </x:c>
      <x:c r="B107" s="30" t="str">
        <x:v>MoE</x:v>
      </x:c>
      <x:c r="C107" s="30" t="str">
        <x:v>Routed Expert 输出</x:v>
      </x:c>
      <x:c r="D107" s="34" t="n">
        <x:f>(K69*2^20)/1e9</x:f>
        <x:v>0</x:v>
      </x:c>
      <x:c r="E107" s="64" t="n">
        <x:f>$H$83</x:f>
        <x:v>100</x:v>
      </x:c>
      <x:c r="F107" s="59" t="n">
        <x:v>1</x:v>
      </x:c>
      <x:c r="G107" s="34" t="n">
        <x:f>IF(AND(ISNUMBER(E107),E107&gt;0,ISNUMBER($B$83),$B$83&gt;=0,$B$83&lt;1,ISNUMBER($D$83),$D$83&gt;=0,$D$83&lt;=1,ISNUMBER(F107),F107&gt;=0,F107&lt;=1,ISNUMBER(J107),J107&gt;=0,J107&lt;=1),D107/E107*1000,NA())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G107*F107*$D$83*$B$83/(1-$B$83)</x:f>
        <x:v>0</x:v>
      </x:c>
      <x:c r="J107" s="59" t="n">
        <x:v>1</x:v>
      </x:c>
      <x:c r="K107" s="34" t="n">
        <x:f>I107*J107</x:f>
        <x:v>0</x:v>
      </x:c>
      <x:c r="L107" s="30" t="str">
        <x:v>原通信行 69</x:v>
      </x:c>
    </x:row>
    <x:row r="108" ht="15" customHeight="1">
      <x:c r="A108" s="30" t="str">
        <x:v>PCP</x:v>
      </x:c>
      <x:c r="B108" s="30" t="str">
        <x:v>Attention KV</x:v>
      </x:c>
      <x:c r="C108" s="30" t="str">
        <x:v>KV Cache 写入前</x:v>
      </x:c>
      <x:c r="D108" s="34" t="n">
        <x:f>(K70*2^20)/1e9</x:f>
        <x:v>0</x:v>
      </x:c>
      <x:c r="E108" s="64" t="n">
        <x:f>$H$83</x:f>
        <x:v>100</x:v>
      </x:c>
      <x:c r="F108" s="59" t="n">
        <x:v>1</x:v>
      </x:c>
      <x:c r="G108" s="34" t="n">
        <x:f>IF(AND(ISNUMBER(E108),E108&gt;0,ISNUMBER($B$83),$B$83&gt;=0,$B$83&lt;1,ISNUMBER($D$83),$D$83&gt;=0,$D$83&lt;=1,ISNUMBER(F108),F108&gt;=0,F108&lt;=1,ISNUMBER(J108),J108&gt;=0,J108&lt;=1),D108/E108*1000,NA())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G108*F108*$D$83*$B$83/(1-$B$83)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SP</x:v>
      </x:c>
      <x:c r="B109" s="30" t="str">
        <x:v>Model Output</x:v>
      </x:c>
      <x:c r="C109" s="30" t="str">
        <x:v>Final Norm 后</x:v>
      </x:c>
      <x:c r="D109" s="34" t="n">
        <x:f>(K71*2^20)/1e9</x:f>
        <x:v>0.117440512</x:v>
      </x:c>
      <x:c r="E109" s="64" t="n">
        <x:f>$H$83</x:f>
        <x:v>100</x:v>
      </x:c>
      <x:c r="F109" s="59" t="n">
        <x:v>1</x:v>
      </x:c>
      <x:c r="G109" s="34" t="n">
        <x:f>IF(AND(ISNUMBER(E109),E109&gt;0,ISNUMBER($B$83),$B$83&gt;=0,$B$83&lt;1,ISNUMBER($D$83),$D$83&gt;=0,$D$83&lt;=1,ISNUMBER(F109),F109&gt;=0,F109&lt;=1,ISNUMBER(J109),J109&gt;=0,J109&lt;=1),D109/E109*1000,NA())</x:f>
        <x:v>1.17440512</x:v>
      </x:c>
      <x:c r="H109" s="34" t="n">
        <x:f>G109+I109</x:f>
        <x:v>1.3048945777777778</x:v>
      </x:c>
      <x:c r="I109" s="34" t="n">
        <x:f>G109*F109*$D$83*$B$83/(1-$B$83)</x:f>
        <x:v>0.1304894577777778</x:v>
      </x:c>
      <x:c r="J109" s="59" t="n">
        <x:v>1</x:v>
      </x:c>
      <x:c r="K109" s="34" t="n">
        <x:f>I109*J109</x:f>
        <x:v>0.1304894577777778</x:v>
      </x:c>
      <x:c r="L109" s="30" t="str">
        <x:v>原通信行 71</x:v>
      </x:c>
    </x:row>
    <x:row r="110" ht="15" customHeight="1">
      <x:c r="A110" s="30" t="str">
        <x:v>LM Head TP</x:v>
      </x:c>
      <x:c r="B110" s="30" t="str">
        <x:v>LM Head</x:v>
      </x:c>
      <x:c r="C110" s="30" t="str">
        <x:v>完整 Logits</x:v>
      </x:c>
      <x:c r="D110" s="34" t="n">
        <x:f>(K72*2^20)/1e9</x:f>
        <x:v>0</x:v>
      </x:c>
      <x:c r="E110" s="64" t="n">
        <x:f>$H$83</x:f>
        <x:v>100</x:v>
      </x:c>
      <x:c r="F110" s="59" t="n">
        <x:v>1</x:v>
      </x:c>
      <x:c r="G110" s="34" t="n">
        <x:f>IF(AND(ISNUMBER(E110),E110&gt;0,ISNUMBER($B$83),$B$83&gt;=0,$B$83&lt;1,ISNUMBER($D$83),$D$83&gt;=0,$D$83&lt;=1,ISNUMBER(F110),F110&gt;=0,F110&lt;=1,ISNUMBER(J110),J110&gt;=0,J110&lt;=1),D110/E110*1000,NA())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G110*F110*$D$83*$B$83/(1-$B$83)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LM Head TP</x:v>
      </x:c>
      <x:c r="B111" s="30" t="str">
        <x:v>LM Head</x:v>
      </x:c>
      <x:c r="C111" s="30" t="str">
        <x:v>Reduce Sample</x:v>
      </x:c>
      <x:c r="D111" s="34" t="n">
        <x:f>(K73*2^20)/1e9</x:f>
        <x:v>0.001376256</x:v>
      </x:c>
      <x:c r="E111" s="64" t="n">
        <x:f>$H$83</x:f>
        <x:v>100</x:v>
      </x:c>
      <x:c r="F111" s="59" t="n">
        <x:v>1</x:v>
      </x:c>
      <x:c r="G111" s="34" t="n">
        <x:f>IF(AND(ISNUMBER(E111),E111&gt;0,ISNUMBER($B$83),$B$83&gt;=0,$B$83&lt;1,ISNUMBER($D$83),$D$83&gt;=0,$D$83&lt;=1,ISNUMBER(F111),F111&gt;=0,F111&lt;=1,ISNUMBER(J111),J111&gt;=0,J111&lt;=1),D111/E111*1000,NA())</x:f>
        <x:v>0.01376256</x:v>
      </x:c>
      <x:c r="H111" s="34" t="n">
        <x:f>G111+I111</x:f>
        <x:v>0.015291733333333333</x:v>
      </x:c>
      <x:c r="I111" s="34" t="n">
        <x:f>G111*F111*$D$83*$B$83/(1-$B$83)</x:f>
        <x:v>0.0015291733333333336</x:v>
      </x:c>
      <x:c r="J111" s="59" t="n">
        <x:v>1</x:v>
      </x:c>
      <x:c r="K111" s="34" t="n">
        <x:f>I111*J111</x:f>
        <x:v>0.0015291733333333336</x:v>
      </x:c>
      <x:c r="L111" s="30" t="str">
        <x:v>原通信行 73</x:v>
      </x:c>
    </x:row>
    <x:row r="112" ht="15" customHeight="1">
      <x:c r="A112" s="30" t="str">
        <x:v>Fine LM Head TP</x:v>
      </x:c>
      <x:c r="B112" s="30" t="str">
        <x:v>LM Head</x:v>
      </x:c>
      <x:c r="C112" s="30" t="str">
        <x:v>Hidden 输入</x:v>
      </x:c>
      <x:c r="D112" s="34" t="n">
        <x:f>(K74*2^20)/1e9</x:f>
        <x:v>0</x:v>
      </x:c>
      <x:c r="E112" s="64" t="n">
        <x:f>$H$83</x:f>
        <x:v>100</x:v>
      </x:c>
      <x:c r="F112" s="59" t="n">
        <x:v>1</x:v>
      </x:c>
      <x:c r="G112" s="34" t="n">
        <x:f>IF(AND(ISNUMBER(E112),E112&gt;0,ISNUMBER($B$83),$B$83&gt;=0,$B$83&lt;1,ISNUMBER($D$83),$D$83&gt;=0,$D$83&lt;=1,ISNUMBER(F112),F112&gt;=0,F112&lt;=1,ISNUMBER(J112),J112&gt;=0,J112&lt;=1),D112/E112*1000,NA())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G112*F112*$D$83*$B$83/(1-$B$83)</x:f>
        <x:v>0</x:v>
      </x:c>
      <x:c r="J112" s="59" t="n">
        <x:v>1</x:v>
      </x:c>
      <x:c r="K112" s="34" t="n">
        <x:f>I112*J112</x:f>
        <x:v>0</x:v>
      </x:c>
      <x:c r="L112" s="30" t="str">
        <x:v>原通信行 74</x:v>
      </x:c>
    </x:row>
    <x:row r="113" ht="15" customHeight="1">
      <x:c r="A113" s="30" t="str">
        <x:v>Fine LM Head TP</x:v>
      </x:c>
      <x:c r="B113" s="30" t="str">
        <x:v>LM Head</x:v>
      </x:c>
      <x:c r="C113" s="30" t="str">
        <x:v>完整 Logits</x:v>
      </x:c>
      <x:c r="D113" s="34" t="n">
        <x:f>(K75*2^20)/1e9</x:f>
        <x:v>0</x:v>
      </x:c>
      <x:c r="E113" s="64" t="n">
        <x:f>$H$83</x:f>
        <x:v>100</x:v>
      </x:c>
      <x:c r="F113" s="59" t="n">
        <x:v>1</x:v>
      </x:c>
      <x:c r="G113" s="34" t="n">
        <x:f>IF(AND(ISNUMBER(E113),E113&gt;0,ISNUMBER($B$83),$B$83&gt;=0,$B$83&lt;1,ISNUMBER($D$83),$D$83&gt;=0,$D$83&lt;=1,ISNUMBER(F113),F113&gt;=0,F113&lt;=1,ISNUMBER(J113),J113&gt;=0,J113&lt;=1),D113/E113*1000,NA())</x:f>
        <x:v>0</x:v>
      </x:c>
      <x:c r="H113" s="34" t="n">
        <x:f>G113+I113</x:f>
        <x:v>0</x:v>
      </x:c>
      <x:c r="I113" s="34" t="n">
        <x:f>G113*F113*$D$83*$B$83/(1-$B$83)</x:f>
        <x:v>0</x:v>
      </x:c>
      <x:c r="J113" s="59" t="n">
        <x:v>1</x:v>
      </x:c>
      <x:c r="K113" s="34" t="n">
        <x:f>I113*J113</x:f>
        <x:v>0</x:v>
      </x:c>
      <x:c r="L113" s="30" t="str">
        <x:v>原通信行 75</x:v>
      </x:c>
    </x:row>
    <x:row r="114" ht="15" customHeight="1">
      <x:c r="A114" s="30" t="str">
        <x:v>Fine LM Head TP</x:v>
      </x:c>
      <x:c r="B114" s="30" t="str">
        <x:v>LM Head</x:v>
      </x:c>
      <x:c r="C114" s="30" t="str">
        <x:v>Reduce Sample</x:v>
      </x:c>
      <x:c r="D114" s="34" t="n">
        <x:f>(K76*2^20)/1e9</x:f>
        <x:v>0</x:v>
      </x:c>
      <x:c r="E114" s="64" t="n">
        <x:f>$H$83</x:f>
        <x:v>100</x:v>
      </x:c>
      <x:c r="F114" s="59" t="n">
        <x:v>1</x:v>
      </x:c>
      <x:c r="G114" s="34" t="n">
        <x:f>IF(AND(ISNUMBER(E114),E114&gt;0,ISNUMBER($B$83),$B$83&gt;=0,$B$83&lt;1,ISNUMBER($D$83),$D$83&gt;=0,$D$83&lt;=1,ISNUMBER(F114),F114&gt;=0,F114&lt;=1,ISNUMBER(J114),J114&gt;=0,J114&lt;=1),D114/E114*1000,NA())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G114*F114*$D$83*$B$83/(1-$B$83)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EP</x:v>
      </x:c>
      <x:c r="B115" s="30" t="str">
        <x:v>MoE 计数</x:v>
      </x:c>
      <x:c r="C115" s="30" t="str">
        <x:v>直方图 Ring AG</x:v>
      </x:c>
      <x:c r="D115" s="34" t="n">
        <x:f>(IF(E59=0,0,H59*ROUNDUP(512/G59,0)*G59*4*(G59-1)))/1e9</x:f>
        <x:v>0.001318912</x:v>
      </x:c>
      <x:c r="E115" s="64" t="n">
        <x:f>$H$83</x:f>
        <x:v>100</x:v>
      </x:c>
      <x:c r="F115" s="59" t="n">
        <x:v>1</x:v>
      </x:c>
      <x:c r="G115" s="34" t="n">
        <x:f>IF(AND(ISNUMBER(E115),E115&gt;0,ISNUMBER($B$83),$B$83&gt;=0,$B$83&lt;1,ISNUMBER($D$83),$D$83&gt;=0,$D$83&lt;=1,ISNUMBER(F115),F115&gt;=0,F115&lt;=1,ISNUMBER(J115),J115&gt;=0,J115&lt;=1),D115/E115*1000,NA())</x:f>
        <x:v>0.01318912</x:v>
      </x:c>
      <x:c r="H115" s="34" t="n">
        <x:f>G115+I115</x:f>
        <x:v>0.014654577777777778</x:v>
      </x:c>
      <x:c r="I115" s="34" t="n">
        <x:f>G115*F115*$D$83*$B$83/(1-$B$83)</x:f>
        <x:v>0.001465457777777778</x:v>
      </x:c>
      <x:c r="J115" s="59" t="n">
        <x:v>1</x:v>
      </x:c>
      <x:c r="K115" s="34" t="n">
        <x:f>I115*J115</x:f>
        <x:v>0.001465457777777778</x:v>
      </x:c>
      <x:c r="L115" s="30" t="str">
        <x:v>额外控制量</x:v>
      </x:c>
    </x:row>
    <x:row r="116" ht="15" customHeight="1">
      <x:c r="A116" s="40" t="str">
        <x:v>所列事件串行相加</x:v>
      </x:c>
      <x:c r="B116" s="40"/>
      <x:c r="C116" s="40"/>
      <x:c r="D116" s="41" t="n">
        <x:f>SUM(D89:D115)</x:f>
        <x:v>70.58444288</x:v>
      </x:c>
      <x:c r="E116" s="40"/>
      <x:c r="F116" s="40"/>
      <x:c r="G116" s="41" t="n">
        <x:f>SUM(G89:G115)</x:f>
        <x:v>705.8444288</x:v>
      </x:c>
      <x:c r="H116" s="41" t="n">
        <x:f>SUM(H89:H115)</x:f>
        <x:v>784.2715875555556</x:v>
      </x:c>
      <x:c r="I116" s="41" t="n">
        <x:f>SUM(I89:I115)</x:f>
        <x:v>78.4271587555556</x:v>
      </x:c>
      <x:c r="J116" s="40"/>
      <x:c r="K116" s="41" t="n">
        <x:f>SUM(K89:K115)</x:f>
        <x:v>78.4271587555556</x:v>
      </x:c>
      <x:c r="L116" s="40"/>
    </x:row>
  </x:sheetData>
  <x:conditionalFormatting sqref="L85:L85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'Decode'!$P$12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'Decode'!$P$12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'Decode'!$P$12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IF('Decode'!$P$19&gt;0,'Decode'!$P$19,'Decode'!$P$12)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'Decode'!$P$12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'Decode'!$P$12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/>
      <x:c r="P15" s="35"/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'Decode'!$P$12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'Decode'!$P$12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'Decode'!$P$12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'Decode'!$P$12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'Decode'!$P$14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'Decode'!$P$12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'Decode'!$P$12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'Decode'!$P$14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'Decode'!$P$14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'Decode'!$P$7*8192</x:f>
        <x:v>2097152</x:v>
      </x:c>
      <x:c r="F51" s="33" t="n">
        <x:f>'Decode'!$P$28</x:f>
        <x:v>2</x:v>
      </x:c>
      <x:c r="G51" s="33" t="n">
        <x:f>IF('Decode'!$P$21&gt;0,'Decode'!$P$21,'Decode'!$P$12)</x:f>
        <x:v>8</x:v>
      </x:c>
      <x:c r="H51" s="33" t="n">
        <x:f>IF(AND(IF('Decode'!$P$21&gt;0,'Decode'!$P$21,'Decode'!$P$12)&gt;1,'Decode'!$P$24=0),1,0)</x:f>
        <x:v>1</x:v>
      </x:c>
      <x:c r="I51" s="34" t="n">
        <x:f>E51*F51/1048576</x:f>
        <x:v>4</x:v>
      </x:c>
      <x:c r="J51" s="34" t="n">
        <x:f>I51*(IF(G51&gt;1,2*(G51-1)/G51,0))</x:f>
        <x:v>7</x:v>
      </x:c>
      <x:c r="K51" s="34" t="n">
        <x:f>J51*H51</x:f>
        <x:v>7</x:v>
      </x:c>
      <x:c r="L51" s="34" t="n">
        <x:f>K51*G51</x:f>
        <x:v>56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'Decode'!$P$7</x:f>
        <x:v>256</x:v>
      </x:c>
      <x:c r="F52" s="33" t="n">
        <x:f>'Decode'!$P$30</x:f>
        <x:v>8</x:v>
      </x:c>
      <x:c r="G52" s="33" t="n">
        <x:f>IF('Decode'!$P$21&gt;0,'Decode'!$P$21,'Decode'!$P$12)</x:f>
        <x:v>8</x:v>
      </x:c>
      <x:c r="H52" s="33" t="n">
        <x:f>IF(AND(IF('Decode'!$P$21&gt;0,'Decode'!$P$21,'Decode'!$P$12)&gt;1,'Decode'!$P$24&lt;&gt;0),1,0)</x:f>
        <x:v>0</x:v>
      </x:c>
      <x:c r="I52" s="34" t="n">
        <x:f>E52*F52/1048576</x:f>
        <x:v>0.001953125</x:v>
      </x:c>
      <x:c r="J52" s="34" t="n">
        <x:f>I52*(IF(G52&gt;1,G52-1,0))</x:f>
        <x:v>0.013671875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'Decode'!$P$7*IF('Decode'!$P$21&gt;0,'Decode'!$P$21,'Decode'!$P$12)*8192</x:f>
        <x:v>16777216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IF(AND(IF('Decode'!$P$21&gt;0,'Decode'!$P$21,'Decode'!$P$12)&gt;1,'Decode'!$P$24&lt;&gt;0),1,0)</x:f>
        <x:v>0</x:v>
      </x:c>
      <x:c r="I53" s="34" t="n">
        <x:f>E53*F53/1048576</x:f>
        <x:v>32</x:v>
      </x:c>
      <x:c r="J53" s="34" t="n">
        <x:f>I53*(IF(G53&gt;1,(G53-1)/G53,0))</x:f>
        <x:v>28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((ROUNDUP('Decode'!$P$7/'Decode'!$P$12,0)*'Decode'!$P$12)/'Decode'!$P$12)*8192</x:f>
        <x:v>262144</x:v>
      </x:c>
      <x:c r="F54" s="33" t="n">
        <x:f>'Decode'!$P$28</x:f>
        <x:v>2</x:v>
      </x:c>
      <x:c r="G54" s="33" t="n">
        <x:f>'Decode'!$P$12</x:f>
        <x:v>8</x:v>
      </x:c>
      <x:c r="H54" s="33" t="n">
        <x:f>92*IF(AND('Decode'!$P$13&lt;&gt;0,'Decode'!$P$12&gt;1,'Decode'!$P$22=0),1,0)</x:f>
        <x:v>92</x:v>
      </x:c>
      <x:c r="I54" s="34" t="n">
        <x:f>E54*F54/1048576</x:f>
        <x:v>0.5</x:v>
      </x:c>
      <x:c r="J54" s="34" t="n">
        <x:f>I54*(IF(G54&gt;1,G54-1,0))</x:f>
        <x:v>3.5</x:v>
      </x:c>
      <x:c r="K54" s="34" t="n">
        <x:f>J54*H54</x:f>
        <x:v>322</x:v>
      </x:c>
      <x:c r="L54" s="34" t="n">
        <x:f>K54*G54</x:f>
        <x:v>2576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(ROUNDUP('Decode'!$P$7/'Decode'!$P$12,0)*'Decode'!$P$12)*8192</x:f>
        <x:v>2097152</x:v>
      </x:c>
      <x:c r="F55" s="33" t="n">
        <x:f>'Decode'!$P$28</x:f>
        <x:v>2</x:v>
      </x:c>
      <x:c r="G55" s="33" t="n">
        <x:f>'Decode'!$P$12</x:f>
        <x:v>8</x:v>
      </x:c>
      <x:c r="H55" s="33" t="n">
        <x:f>92*IF(AND('Decode'!$P$13&lt;&gt;0,'Decode'!$P$12&gt;1,'Decode'!$P$22=0),1,0)</x:f>
        <x:v>92</x:v>
      </x:c>
      <x:c r="I55" s="34" t="n">
        <x:f>E55*F55/1048576</x:f>
        <x:v>4</x:v>
      </x:c>
      <x:c r="J55" s="34" t="n">
        <x:f>I55*(IF(G55&gt;1,(G55-1)/G55,0))</x:f>
        <x:v>3.5</x:v>
      </x:c>
      <x:c r="K55" s="34" t="n">
        <x:f>J55*H55</x:f>
        <x:v>322</x:v>
      </x:c>
      <x:c r="L55" s="34" t="n">
        <x:f>K55*G55</x:f>
        <x:v>2576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'Decode'!$P$7*8192</x:f>
        <x:v>2097152</x:v>
      </x:c>
      <x:c r="F56" s="33" t="n">
        <x:f>'Decode'!$P$28</x:f>
        <x:v>2</x:v>
      </x:c>
      <x:c r="G56" s="33" t="n">
        <x:f>IF('Decode'!$P$19&gt;0,'Decode'!$P$19,'Decode'!$P$12)</x:f>
        <x:v>8</x:v>
      </x:c>
      <x:c r="H56" s="33" t="n">
        <x:f>92*IF(AND('Decode'!$P$13=0,IF('Decode'!$P$19&gt;0,'Decode'!$P$19,'Decode'!$P$12)&gt;1,'Decode'!$P$22=0),1,0)</x:f>
        <x:v>0</x:v>
      </x:c>
      <x:c r="I56" s="34" t="n">
        <x:f>E56*F56/1048576</x:f>
        <x:v>4</x:v>
      </x:c>
      <x:c r="J56" s="34" t="n">
        <x:f>I56*(IF(G56&gt;1,2*(G56-1)/G56,0))</x:f>
        <x:v>7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'Decode'!$P$7*16384</x:f>
        <x:v>4194304</x:v>
      </x:c>
      <x:c r="F57" s="33" t="n">
        <x:f>'Decode'!$P$28</x:f>
        <x:v>2</x:v>
      </x:c>
      <x:c r="G57" s="33" t="n">
        <x:f>IF('Decode'!$P$19&gt;0,'Decode'!$P$19,'Decode'!$P$12)</x:f>
        <x:v>8</x:v>
      </x:c>
      <x:c r="H57" s="33" t="n">
        <x:f>92*IF(AND(IF('Decode'!$P$19&gt;0,'Decode'!$P$19,'Decode'!$P$12)&gt;1,'Decode'!$P$22&lt;&gt;0),1,0)</x:f>
        <x:v>0</x:v>
      </x:c>
      <x:c r="I57" s="34" t="n">
        <x:f>E57*F57/1048576</x:f>
        <x:v>8</x:v>
      </x:c>
      <x:c r="J57" s="34" t="n">
        <x:f>I57*(IF(G57&gt;1,(G57-1)/G57,0))</x:f>
        <x:v>7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'Decode'!$P$7*IF('Decode'!$P$19&gt;0,'Decode'!$P$19,'Decode'!$P$12)*8192</x:f>
        <x:v>16777216</x:v>
      </x:c>
      <x:c r="F58" s="33" t="n">
        <x:f>'Decode'!$P$28</x:f>
        <x:v>2</x:v>
      </x:c>
      <x:c r="G58" s="33" t="n">
        <x:f>IF('Decode'!$P$19&gt;0,'Decode'!$P$19,'Decode'!$P$12)</x:f>
        <x:v>8</x:v>
      </x:c>
      <x:c r="H58" s="33" t="n">
        <x:f>92*IF(AND(IF('Decode'!$P$19&gt;0,'Decode'!$P$19,'Decode'!$P$12)&gt;1,'Decode'!$P$22&lt;&gt;0),1,0)</x:f>
        <x:v>0</x:v>
      </x:c>
      <x:c r="I58" s="34" t="n">
        <x:f>E58*F58/1048576</x:f>
        <x:v>32</x:v>
      </x:c>
      <x:c r="J58" s="34" t="n">
        <x:f>I58*(IF(G58&gt;1,(G58-1)/G58,0))</x:f>
        <x:v>28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IF('Decode'!$P$13&lt;&gt;0,((ROUNDUP('Decode'!$P$7/'Decode'!$P$12,0)*'Decode'!$P$12)/'Decode'!$P$12),'Decode'!$P$7)*10*'Decode'!$P$32*8192</x:f>
        <x:v>2293760</x:v>
      </x:c>
      <x:c r="F59" s="33" t="n">
        <x:f>'Decode'!$P$28</x:f>
        <x:v>2</x:v>
      </x:c>
      <x:c r="G59" s="33" t="n">
        <x:f>'Decode'!$P$14</x:f>
        <x:v>8</x:v>
      </x:c>
      <x:c r="H59" s="33" t="n">
        <x:f>92*IF('Decode'!$P$14&gt;1,1,0)</x:f>
        <x:v>92</x:v>
      </x:c>
      <x:c r="I59" s="34" t="n">
        <x:f>E59*F59/1048576</x:f>
        <x:v>4.375</x:v>
      </x:c>
      <x:c r="J59" s="34" t="n">
        <x:f>I59*(1)</x:f>
        <x:v>4.375</x:v>
      </x:c>
      <x:c r="K59" s="34" t="n">
        <x:f>J59*H59</x:f>
        <x:v>402.5</x:v>
      </x:c>
      <x:c r="L59" s="34" t="n">
        <x:f>K59*G59</x:f>
        <x:v>3220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IF('Decode'!$P$13&lt;&gt;0,((ROUNDUP('Decode'!$P$7/'Decode'!$P$12,0)*'Decode'!$P$12)/'Decode'!$P$12),'Decode'!$P$7)*10*'Decode'!$P$32*8192</x:f>
        <x:v>2293760</x:v>
      </x:c>
      <x:c r="F60" s="33" t="n">
        <x:f>'Decode'!$P$28</x:f>
        <x:v>2</x:v>
      </x:c>
      <x:c r="G60" s="33" t="n">
        <x:f>'Decode'!$P$14</x:f>
        <x:v>8</x:v>
      </x:c>
      <x:c r="H60" s="33" t="n">
        <x:f>92*IF('Decode'!$P$14&gt;1,1,0)</x:f>
        <x:v>92</x:v>
      </x:c>
      <x:c r="I60" s="34" t="n">
        <x:f>E60*F60/1048576</x:f>
        <x:v>4.375</x:v>
      </x:c>
      <x:c r="J60" s="34" t="n">
        <x:f>I60*(1)</x:f>
        <x:v>4.375</x:v>
      </x:c>
      <x:c r="K60" s="34" t="n">
        <x:f>J60*H60</x:f>
        <x:v>402.5</x:v>
      </x:c>
      <x:c r="L60" s="34" t="n">
        <x:f>K60*G60</x:f>
        <x:v>3220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'Decode'!$P$7*8192</x:f>
        <x:v>2097152</x:v>
      </x:c>
      <x:c r="F61" s="33" t="n">
        <x:f>'Decode'!$P$28</x:f>
        <x:v>2</x:v>
      </x:c>
      <x:c r="G61" s="33" t="n">
        <x:f>'Decode'!$P$11</x:f>
        <x:v>1</x:v>
      </x:c>
      <x:c r="H61" s="33" t="n">
        <x:f>92*IF(AND('Decode'!$P$11&gt;1,'Decode'!$P$14=1),1,0)</x:f>
        <x:v>0</x:v>
      </x:c>
      <x:c r="I61" s="34" t="n">
        <x:f>E61*F61/1048576</x:f>
        <x:v>4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'Decode'!$P$7*512</x:f>
        <x:v>131072</x:v>
      </x:c>
      <x:c r="F62" s="33" t="n">
        <x:f>'Decode'!$P$28</x:f>
        <x:v>2</x:v>
      </x:c>
      <x:c r="G62" s="33" t="n">
        <x:f>'Decode'!$P$11</x:f>
        <x:v>1</x:v>
      </x:c>
      <x:c r="H62" s="33" t="n">
        <x:f>92*IF(AND('Decode'!$P$11&gt;1,'Decode'!$P$14=1),1,0)</x:f>
        <x:v>0</x:v>
      </x:c>
      <x:c r="I62" s="34" t="n">
        <x:f>E62*F62/1048576</x:f>
        <x:v>0.25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'Decode'!$P$7*'Decode'!$P$11*8192</x:f>
        <x:v>2097152</x:v>
      </x:c>
      <x:c r="F63" s="33" t="n">
        <x:f>'Decode'!$P$28</x:f>
        <x:v>2</x:v>
      </x:c>
      <x:c r="G63" s="33" t="n">
        <x:f>'Decode'!$P$11</x:f>
        <x:v>1</x:v>
      </x:c>
      <x:c r="H63" s="33" t="n">
        <x:f>92*IF(AND('Decode'!$P$11&gt;1,'Decode'!$P$14=1),1,0)</x:f>
        <x:v>0</x:v>
      </x:c>
      <x:c r="I63" s="34" t="n">
        <x:f>E63*F63/1048576</x:f>
        <x:v>4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((ROUNDUP('Decode'!$P$7/'Decode'!$P$12,0)*'Decode'!$P$12)/'Decode'!$P$12)*8192</x:f>
        <x:v>262144</x:v>
      </x:c>
      <x:c r="F64" s="33" t="n">
        <x:f>'Decode'!$P$28</x:f>
        <x:v>2</x:v>
      </x:c>
      <x:c r="G64" s="33" t="n">
        <x:f>IF('Decode'!$P$17="TP",'Decode'!$P$18,1)</x:f>
        <x:v>8</x:v>
      </x:c>
      <x:c r="H64" s="33" t="n">
        <x:f>92*IF(AND('Decode'!$P$17="TP",IF('Decode'!$P$17="TP",'Decode'!$P$18,1)&gt;1,'Decode'!$P$13&lt;&gt;0),1,0)</x:f>
        <x:v>92</x:v>
      </x:c>
      <x:c r="I64" s="34" t="n">
        <x:f>E64*F64/1048576</x:f>
        <x:v>0.5</x:v>
      </x:c>
      <x:c r="J64" s="34" t="n">
        <x:f>I64*(IF(G64&gt;1,G64-1,0))</x:f>
        <x:v>3.5</x:v>
      </x:c>
      <x:c r="K64" s="34" t="n">
        <x:f>J64*H64</x:f>
        <x:v>322</x:v>
      </x:c>
      <x:c r="L64" s="34" t="n">
        <x:f>K64*G64</x:f>
        <x:v>2576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(ROUNDUP('Decode'!$P$7/'Decode'!$P$12,0)*'Decode'!$P$12)*8192</x:f>
        <x:v>2097152</x:v>
      </x:c>
      <x:c r="F65" s="33" t="n">
        <x:f>'Decode'!$P$28</x:f>
        <x:v>2</x:v>
      </x:c>
      <x:c r="G65" s="33" t="n">
        <x:f>IF('Decode'!$P$17="TP",'Decode'!$P$18,1)</x:f>
        <x:v>8</x:v>
      </x:c>
      <x:c r="H65" s="33" t="n">
        <x:f>92*IF(AND('Decode'!$P$17="TP",IF('Decode'!$P$17="TP",'Decode'!$P$18,1)&gt;1,'Decode'!$P$13&lt;&gt;0),1,0)</x:f>
        <x:v>92</x:v>
      </x:c>
      <x:c r="I65" s="34" t="n">
        <x:f>E65*F65/1048576</x:f>
        <x:v>4</x:v>
      </x:c>
      <x:c r="J65" s="34" t="n">
        <x:f>I65*(IF(G65&gt;1,(G65-1)/G65,0))</x:f>
        <x:v>3.5</x:v>
      </x:c>
      <x:c r="K65" s="34" t="n">
        <x:f>J65*H65</x:f>
        <x:v>322</x:v>
      </x:c>
      <x:c r="L65" s="34" t="n">
        <x:f>K65*G65</x:f>
        <x:v>2576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'Decode'!$P$7*8192</x:f>
        <x:v>2097152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92*IF(AND('Decode'!$P$17="TP",IF('Decode'!$P$17="TP",'Decode'!$P$18,1)&gt;1,'Decode'!$P$13=0),1,0)</x:f>
        <x:v>0</x:v>
      </x:c>
      <x:c r="I66" s="34" t="n">
        <x:f>E66*F66/1048576</x:f>
        <x:v>4</x:v>
      </x:c>
      <x:c r="J66" s="34" t="n">
        <x:f>I66*(IF(G66&gt;1,2*(G66-1)/G66,0))</x:f>
        <x:v>7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DCP</x:v>
      </x:c>
      <x:c r="B67" s="30" t="str">
        <x:v>Attention</x:v>
      </x:c>
      <x:c r="C67" s="30" t="str">
        <x:v>Query</x:v>
      </x:c>
      <x:c r="D67" s="30" t="str">
        <x:v>Ring AllGather</x:v>
      </x:c>
      <x:c r="E67" s="33" t="n">
        <x:f>'Decode'!$P$7*(64/'Decode'!$P$12)*256</x:f>
        <x:v>524288</x:v>
      </x:c>
      <x:c r="F67" s="33" t="n">
        <x:f>'Decode'!$P$28</x:f>
        <x:v>2</x:v>
      </x:c>
      <x:c r="G67" s="33" t="n">
        <x:f>'Decode'!$P$16</x:f>
        <x:v>1</x:v>
      </x:c>
      <x:c r="H67" s="33" t="n">
        <x:f>23*IF('Decode'!$P$16&gt;1,1,0)</x:f>
        <x:v>0</x:v>
      </x:c>
      <x:c r="I67" s="34" t="n">
        <x:f>E67*F67/1048576</x:f>
        <x:v>1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DCP</x:v>
      </x:c>
      <x:c r="B68" s="30" t="str">
        <x:v>Attention</x:v>
      </x:c>
      <x:c r="C68" s="30" t="str">
        <x:v>LSE</x:v>
      </x:c>
      <x:c r="D68" s="30" t="str">
        <x:v>Ring AllGather</x:v>
      </x:c>
      <x:c r="E68" s="33" t="n">
        <x:f>'Decode'!$P$7*(64*'Decode'!$P$16/'Decode'!$P$12)</x:f>
        <x:v>2048</x:v>
      </x:c>
      <x:c r="F68" s="33" t="n">
        <x:f>'Decode'!$P$29</x:f>
        <x:v>4</x:v>
      </x:c>
      <x:c r="G68" s="33" t="n">
        <x:f>'Decode'!$P$16</x:f>
        <x:v>1</x:v>
      </x:c>
      <x:c r="H68" s="33" t="n">
        <x:f>23*IF('Decode'!$P$16&gt;1,1,0)</x:f>
        <x:v>0</x:v>
      </x:c>
      <x:c r="I68" s="34" t="n">
        <x:f>E68*F68/1048576</x:f>
        <x:v>0.0078125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DCP</x:v>
      </x:c>
      <x:c r="B69" s="30" t="str">
        <x:v>Attention</x:v>
      </x:c>
      <x:c r="C69" s="30" t="str">
        <x:v>Attention 输出</x:v>
      </x:c>
      <x:c r="D69" s="30" t="str">
        <x:v>Ring ReduceScatter</x:v>
      </x:c>
      <x:c r="E69" s="33" t="n">
        <x:f>'Decode'!$P$7*(64*'Decode'!$P$16/'Decode'!$P$12)*256</x:f>
        <x:v>524288</x:v>
      </x:c>
      <x:c r="F69" s="33" t="n">
        <x:f>'Decode'!$P$28</x:f>
        <x:v>2</x:v>
      </x:c>
      <x:c r="G69" s="33" t="n">
        <x:f>'Decode'!$P$16</x:f>
        <x:v>1</x:v>
      </x:c>
      <x:c r="H69" s="33" t="n">
        <x:f>23*IF('Decode'!$P$16&gt;1,1,0)</x:f>
        <x:v>0</x:v>
      </x:c>
      <x:c r="I69" s="34" t="n">
        <x:f>E69*F69/1048576</x:f>
        <x:v>1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SP</x:v>
      </x:c>
      <x:c r="B70" s="30" t="str">
        <x:v>Model Output</x:v>
      </x:c>
      <x:c r="C70" s="30" t="str">
        <x:v>Final Norm 后</x:v>
      </x:c>
      <x:c r="D70" s="30" t="str">
        <x:v>Ring AllGather</x:v>
      </x:c>
      <x:c r="E70" s="33" t="n">
        <x:f>((ROUNDUP('Decode'!$P$7/'Decode'!$P$12,0)*'Decode'!$P$12)/'Decode'!$P$12)*8192</x:f>
        <x:v>262144</x:v>
      </x:c>
      <x:c r="F70" s="33" t="n">
        <x:f>'Decode'!$P$28</x:f>
        <x:v>2</x:v>
      </x:c>
      <x:c r="G70" s="33" t="n">
        <x:f>'Decode'!$P$12</x:f>
        <x:v>8</x:v>
      </x:c>
      <x:c r="H70" s="33" t="n">
        <x:f>IF(AND('Decode'!$P$13&lt;&gt;0,'Decode'!$P$12&gt;1),1,0)</x:f>
        <x:v>1</x:v>
      </x:c>
      <x:c r="I70" s="34" t="n">
        <x:f>E70*F70/1048576</x:f>
        <x:v>0.5</x:v>
      </x:c>
      <x:c r="J70" s="34" t="n">
        <x:f>I70*(IF(G70&gt;1,G70-1,0))</x:f>
        <x:v>3.5</x:v>
      </x:c>
      <x:c r="K70" s="34" t="n">
        <x:f>J70*H70</x:f>
        <x:v>3.5</x:v>
      </x:c>
      <x:c r="L70" s="34" t="n">
        <x:f>K70*G70</x:f>
        <x:v>28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完整 Logits</x:v>
      </x:c>
      <x:c r="D71" s="30" t="str">
        <x:v>Ring AllGather</x:v>
      </x:c>
      <x:c r="E71" s="33" t="n">
        <x:f>'Decode'!$P$8*248320/IF('Decode'!$P$20&gt;0,'Decode'!$P$20,'Decode'!$P$12)</x:f>
        <x:v>7946240</x:v>
      </x:c>
      <x:c r="F71" s="33" t="n">
        <x:f>'Decode'!$P$28</x:f>
        <x:v>2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IF(AND(IF('Decode'!$P$20&gt;0,'Decode'!$P$20,'Decode'!$P$12)&gt;1,'Decode'!$P$23=0,'Decode'!$P$33=0),1,0)</x:f>
        <x:v>0</x:v>
      </x:c>
      <x:c r="I71" s="34" t="n">
        <x:f>E71*F71/1048576</x:f>
        <x:v>15.15625</x:v>
      </x:c>
      <x:c r="J71" s="34" t="n">
        <x:f>I71*(IF(G71&gt;1,G71-1,0))</x:f>
        <x:v>106.09375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Reduce Sample</x:v>
      </x:c>
      <x:c r="D72" s="30" t="str">
        <x:v>Ring AllGather</x:v>
      </x:c>
      <x:c r="E72" s="33" t="n">
        <x:f>'Decode'!$P$8*'Decode'!$P$34</x:f>
        <x:v>65536</x:v>
      </x:c>
      <x:c r="F72" s="33" t="n">
        <x:f>('Decode'!$P$28+'Decode'!$P$31)</x:f>
        <x:v>6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IF(AND(IF('Decode'!$P$20&gt;0,'Decode'!$P$20,'Decode'!$P$12)&gt;1,'Decode'!$P$23=0,'Decode'!$P$33&lt;&gt;0),1,0)</x:f>
        <x:v>1</x:v>
      </x:c>
      <x:c r="I72" s="34" t="n">
        <x:f>E72*F72/1048576</x:f>
        <x:v>0.375</x:v>
      </x:c>
      <x:c r="J72" s="34" t="n">
        <x:f>I72*(IF(G72&gt;1,G72-1,0))</x:f>
        <x:v>2.625</x:v>
      </x:c>
      <x:c r="K72" s="34" t="n">
        <x:f>J72*H72</x:f>
        <x:v>2.625</x:v>
      </x:c>
      <x:c r="L72" s="34" t="n">
        <x:f>K72*G72</x:f>
        <x:v>21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Hidden 输入</x:v>
      </x:c>
      <x:c r="D73" s="30" t="str">
        <x:v>Ring AllGather</x:v>
      </x:c>
      <x:c r="E73" s="33" t="n">
        <x:f>'Decode'!$P$8*8192</x:f>
        <x:v>2097152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IF(AND(IF('Decode'!$P$20&gt;0,'Decode'!$P$20,'Decode'!$P$12)&gt;1,'Decode'!$P$23&lt;&gt;0),1,0)</x:f>
        <x:v>0</x:v>
      </x:c>
      <x:c r="I73" s="34" t="n">
        <x:f>E73*F73/1048576</x:f>
        <x:v>4</x:v>
      </x:c>
      <x:c r="J73" s="34" t="n">
        <x:f>I73*(IF(G73&gt;1,G73-1,0))</x:f>
        <x:v>28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完整 Logits</x:v>
      </x:c>
      <x:c r="D74" s="30" t="str">
        <x:v>Equal-split AllToAll</x:v>
      </x:c>
      <x:c r="E74" s="33" t="n">
        <x:f>'Decode'!$P$8*248320</x:f>
        <x:v>63569920</x:v>
      </x:c>
      <x:c r="F74" s="33" t="n">
        <x:f>'Decode'!$P$28</x:f>
        <x:v>2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IF(AND(IF('Decode'!$P$20&gt;0,'Decode'!$P$20,'Decode'!$P$12)&gt;1,'Decode'!$P$23&lt;&gt;0,'Decode'!$P$33=0),1,0)</x:f>
        <x:v>0</x:v>
      </x:c>
      <x:c r="I74" s="34" t="n">
        <x:f>E74*F74/1048576</x:f>
        <x:v>121.25</x:v>
      </x:c>
      <x:c r="J74" s="34" t="n">
        <x:f>I74*(IF(G74&gt;1,(G74-1)/G74,0))</x:f>
        <x:v>106.09375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'Decode'!$P$8*'Decode'!$P$34</x:f>
        <x:v>65536</x:v>
      </x:c>
      <x:c r="F75" s="33" t="n">
        <x:f>('Decode'!$P$28+'Decode'!$P$31)</x:f>
        <x:v>6</x:v>
      </x:c>
      <x:c r="G75" s="33" t="n">
        <x:f>IF('Decode'!$P$20&gt;0,'Decode'!$P$20,'Decode'!$P$12)</x:f>
        <x:v>8</x:v>
      </x:c>
      <x:c r="H75" s="33" t="n">
        <x:f>IF(AND(IF('Decode'!$P$20&gt;0,'Decode'!$P$20,'Decode'!$P$12)&gt;1,'Decode'!$P$23&lt;&gt;0,'Decode'!$P$33&lt;&gt;0),1,0)</x:f>
        <x:v>0</x:v>
      </x:c>
      <x:c r="I75" s="34" t="n">
        <x:f>E75*F75/1048576</x:f>
        <x:v>0.375</x:v>
      </x:c>
      <x:c r="J75" s="34" t="n">
        <x:f>I75*(IF(G75&gt;1,G75-1,0))</x:f>
        <x:v>2.625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40" t="str">
        <x:v>合计</x:v>
      </x:c>
      <x:c r="B76" s="40"/>
      <x:c r="C76" s="40"/>
      <x:c r="D76" s="40"/>
      <x:c r="E76" s="40"/>
      <x:c r="F76" s="40"/>
      <x:c r="G76" s="40"/>
      <x:c r="H76" s="40"/>
      <x:c r="I76" s="41"/>
      <x:c r="J76" s="41"/>
      <x:c r="K76" s="41" t="n">
        <x:f>SUM(K51:K75)</x:f>
        <x:v>2106.125</x:v>
      </x:c>
      <x:c r="L76" s="41" t="n">
        <x:f>SUM(L51:L75)</x:f>
        <x:v>16849</x:v>
      </x:c>
      <x:c r="M76" s="30"/>
      <x:c r="N76" s="30"/>
      <x:c r="O76" s="30"/>
      <x:c r="P76" s="30"/>
    </x:row>
    <x:row r="79" ht="15" customHeight="1">
      <x:c r="A79" s="40" t="str">
        <x:v>PD 带宽争用耗时评估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15" customHeight="1">
      <x:c r="A80" s="30" t="str">
        <x:v>Decode 当前表参数；100 GB/s 为归一化示例。所列事件的带宽项，不等于完整 forward 耗时。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30" customHeight="1">
      <x:c r="A81" s="62" t="str">
        <x:v>带宽降幅</x:v>
      </x:c>
      <x:c r="B81" s="62" t="str">
        <x:v>输入</x:v>
      </x:c>
      <x:c r="C81" s="62" t="str">
        <x:v>争用覆盖率</x:v>
      </x:c>
      <x:c r="D81" s="62" t="str">
        <x:v>输入</x:v>
      </x:c>
      <x:c r="E81" s="62" t="str">
        <x:v>基线 forward ms</x:v>
      </x:c>
      <x:c r="F81" s="62" t="str">
        <x:v>实测输入</x:v>
      </x:c>
      <x:c r="G81" s="62" t="str">
        <x:v>默认带宽 GB/s</x:v>
      </x:c>
      <x:c r="H81" s="62" t="str">
        <x:v>输入</x:v>
      </x:c>
      <x:c r="I81" s="30"/>
      <x:c r="J81" s="30"/>
      <x:c r="K81" s="30"/>
      <x:c r="L81" s="30"/>
    </x:row>
    <x:row r="82" ht="15" customHeight="1">
      <x:c r="A82" s="30"/>
      <x:c r="B82" s="63" t="n">
        <x:v>0.1</x:v>
      </x:c>
      <x:c r="C82" s="30"/>
      <x:c r="D82" s="63" t="n">
        <x:v>1</x:v>
      </x:c>
      <x:c r="E82" s="30"/>
      <x:c r="F82" s="38"/>
      <x:c r="G82" s="30"/>
      <x:c r="H82" s="36" t="n">
        <x:v>100</x:v>
      </x:c>
      <x:c r="I82" s="30"/>
      <x:c r="J82" s="30"/>
      <x:c r="K82" s="30"/>
      <x:c r="L82" s="30"/>
    </x:row>
    <x:row r="83" ht="30" customHeight="1">
      <x:c r="A83" s="62" t="str">
        <x:v>通信基线 ms</x:v>
      </x:c>
      <x:c r="B83" s="62" t="str">
        <x:v>结果</x:v>
      </x:c>
      <x:c r="C83" s="62" t="str">
        <x:v>通信争用后 ms</x:v>
      </x:c>
      <x:c r="D83" s="62" t="str">
        <x:v>结果</x:v>
      </x:c>
      <x:c r="E83" s="62" t="str">
        <x:v>forward 增量 ms</x:v>
      </x:c>
      <x:c r="F83" s="62" t="str">
        <x:v>结果</x:v>
      </x:c>
      <x:c r="G83" s="62" t="str">
        <x:v>forward 新耗时 ms</x:v>
      </x:c>
      <x:c r="H83" s="62" t="str">
        <x:v>结果</x:v>
      </x:c>
      <x:c r="I83" s="62" t="str">
        <x:v>forward 增幅</x:v>
      </x:c>
      <x:c r="J83" s="62" t="str">
        <x:v>结果</x:v>
      </x:c>
      <x:c r="K83" s="62" t="str">
        <x:v>输入状态</x:v>
      </x:c>
      <x:c r="L83" s="62" t="str">
        <x:v>状态</x:v>
      </x:c>
    </x:row>
    <x:row r="84" ht="15" customHeight="1">
      <x:c r="A84" s="49"/>
      <x:c r="B84" s="49" t="n">
        <x:f>SUM(G88:G113)</x:f>
        <x:v>22.5014272</x:v>
      </x:c>
      <x:c r="C84" s="49"/>
      <x:c r="D84" s="49" t="n">
        <x:f>SUM(H88:H113)</x:f>
        <x:v>25.001585777777773</x:v>
      </x:c>
      <x:c r="E84" s="49"/>
      <x:c r="F84" s="49" t="n">
        <x:f>SUM(K88:K113)</x:f>
        <x:v>2.500158577777779</x:v>
      </x:c>
      <x:c r="G84" s="49"/>
      <x:c r="H84" s="49" t="str">
        <x:f>IF(AND(ISNUMBER($F$82),$F$82&gt;0,$F$82&gt;=SUMPRODUCT(G88:G113,J88:J113)),$F$82+F84,"")</x:f>
      </x:c>
      <x:c r="I84" s="49"/>
      <x:c r="J84" s="50" t="str">
        <x:f>IF(AND(ISNUMBER($F$82),$F$82&gt;0,$F$82&gt;=SUMPRODUCT(G88:G113,J88:J113)),F84/$F$82,"")</x:f>
      </x:c>
      <x:c r="K84" s="49"/>
      <x:c r="L84" s="49" t="str">
        <x:f>IF($F$82="","待填基线",IF(AND(ISNUMBER($F$82),$F$82&gt;0,$F$82&gt;=SUMPRODUCT(G88:G113,J88:J113)),"已填基线","基线/暴露不一致"))</x:f>
        <x:v>待填基线</x:v>
      </x:c>
    </x:row>
    <x:row r="85" ht="15" customHeight="1">
      <x:c r="A85" s="30" t="str">
        <x:v>共享比例=0 表示独立链路；暴露系数=0 表示增量完全隐藏。默认均为 1，降幅只作用于带宽项。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15" customHeight="1">
      <x:c r="A86" s="30" t="str">
        <x:v>P: AllToAllV + 4 B 计数 Ring；D: A3 BF16 MC2 FullMesh。每事件带宽按端点发送量定义。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30" customHeight="1">
      <x:c r="A87" s="62" t="str">
        <x:v>并行域</x:v>
      </x:c>
      <x:c r="B87" s="62" t="str">
        <x:v>模块</x:v>
      </x:c>
      <x:c r="C87" s="62" t="str">
        <x:v>通信事件</x:v>
      </x:c>
      <x:c r="D87" s="62" t="str">
        <x:v>GB/Rank/Step</x:v>
      </x:c>
      <x:c r="E87" s="62" t="str">
        <x:v>有效带宽 GB/s</x:v>
      </x:c>
      <x:c r="F87" s="62" t="str">
        <x:v>共享比例</x:v>
      </x:c>
      <x:c r="G87" s="62" t="str">
        <x:v>基线带宽项 ms</x:v>
      </x:c>
      <x:c r="H87" s="62" t="str">
        <x:v>争用后带宽项 ms</x:v>
      </x:c>
      <x:c r="I87" s="62" t="str">
        <x:v>通信增量 ms</x:v>
      </x:c>
      <x:c r="J87" s="62" t="str">
        <x:v>暴露系数</x:v>
      </x:c>
      <x:c r="K87" s="62" t="str">
        <x:v>forward 增量 ms</x:v>
      </x:c>
      <x:c r="L87" s="62" t="str">
        <x:v>公式口径</x:v>
      </x:c>
    </x:row>
    <x:row r="88" ht="15" customHeight="1">
      <x:c r="A88" s="30" t="str">
        <x:v>Embedding TP</x:v>
      </x:c>
      <x:c r="B88" s="30" t="str">
        <x:v>Embedding</x:v>
      </x:c>
      <x:c r="C88" s="30" t="str">
        <x:v>标准 TP 输出</x:v>
      </x:c>
      <x:c r="D88" s="34" t="n">
        <x:f>(K51*2^20)/1e9</x:f>
        <x:v>0.007340032</x:v>
      </x:c>
      <x:c r="E88" s="64" t="n">
        <x:f>$H$82</x:f>
        <x:v>100</x:v>
      </x:c>
      <x:c r="F88" s="59" t="n">
        <x:v>1</x:v>
      </x:c>
      <x:c r="G88" s="34" t="n">
        <x:f>IF(AND(ISNUMBER(E88),E88&gt;0,ISNUMBER($B$82),$B$82&gt;=0,$B$82&lt;1,ISNUMBER($D$82),$D$82&gt;=0,$D$82&lt;=1,ISNUMBER(F88),F88&gt;=0,F88&lt;=1,ISNUMBER(J88),J88&gt;=0,J88&lt;=1),D88/E88*1000,NA())</x:f>
        <x:v>0.07340032</x:v>
      </x:c>
      <x:c r="H88" s="34" t="n">
        <x:f>G88+I88</x:f>
        <x:v>0.08155591111111112</x:v>
      </x:c>
      <x:c r="I88" s="34" t="n">
        <x:f>G88*F88*$D$82*$B$82/(1-$B$82)</x:f>
        <x:v>0.008155591111111112</x:v>
      </x:c>
      <x:c r="J88" s="59" t="n">
        <x:v>1</x:v>
      </x:c>
      <x:c r="K88" s="34" t="n">
        <x:f>I88*J88</x:f>
        <x:v>0.008155591111111112</x:v>
      </x:c>
      <x:c r="L88" s="30" t="str">
        <x:v>原通信行 51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Fine TP Token ID</x:v>
      </x:c>
      <x:c r="D89" s="34" t="n">
        <x:f>(K52*2^20)/1e9</x:f>
        <x:v>0</x:v>
      </x:c>
      <x:c r="E89" s="64" t="n">
        <x:f>$H$82</x:f>
        <x:v>100</x:v>
      </x:c>
      <x:c r="F89" s="59" t="n">
        <x:v>1</x:v>
      </x:c>
      <x:c r="G89" s="34" t="n">
        <x:f>IF(AND(ISNUMBER(E89),E89&gt;0,ISNUMBER($B$82),$B$82&gt;=0,$B$82&lt;1,ISNUMBER($D$82),$D$82&gt;=0,$D$82&lt;=1,ISNUMBER(F89),F89&gt;=0,F89&lt;=1,ISNUMBER(J89),J89&gt;=0,J89&lt;=1),D89/E89*1000,NA())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G89*F89*$D$82*$B$82/(1-$B$82)</x:f>
        <x:v>0</x:v>
      </x:c>
      <x:c r="J89" s="59" t="n">
        <x:v>1</x:v>
      </x:c>
      <x:c r="K89" s="34" t="n">
        <x:f>I89*J89</x:f>
        <x:v>0</x:v>
      </x:c>
      <x:c r="L89" s="30" t="str">
        <x:v>原通信行 52</x:v>
      </x:c>
    </x:row>
    <x:row r="90" ht="15" customHeight="1">
      <x:c r="A90" s="30" t="str">
        <x:v>Embedding TP</x:v>
      </x:c>
      <x:c r="B90" s="30" t="str">
        <x:v>Embedding</x:v>
      </x:c>
      <x:c r="C90" s="30" t="str">
        <x:v>Fine TP Hidden</x:v>
      </x:c>
      <x:c r="D90" s="34" t="n">
        <x:f>(K53*2^20)/1e9</x:f>
        <x:v>0</x:v>
      </x:c>
      <x:c r="E90" s="64" t="n">
        <x:f>$H$82</x:f>
        <x:v>100</x:v>
      </x:c>
      <x:c r="F90" s="59" t="n">
        <x:v>1</x:v>
      </x:c>
      <x:c r="G90" s="34" t="n">
        <x:f>IF(AND(ISNUMBER(E90),E90&gt;0,ISNUMBER($B$82),$B$82&gt;=0,$B$82&lt;1,ISNUMBER($D$82),$D$82&gt;=0,$D$82&lt;=1,ISNUMBER(F90),F90&gt;=0,F90&lt;=1,ISNUMBER(J90),J90&gt;=0,J90&lt;=1),D90/E90*1000,NA())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G90*F90*$D$82*$B$82/(1-$B$82)</x:f>
        <x:v>0</x:v>
      </x:c>
      <x:c r="J90" s="59" t="n">
        <x:v>1</x:v>
      </x:c>
      <x:c r="K90" s="34" t="n">
        <x:f>I90*J90</x:f>
        <x:v>0</x:v>
      </x:c>
      <x:c r="L90" s="30" t="str">
        <x:v>原通信行 53</x:v>
      </x:c>
    </x:row>
    <x:row r="91" ht="15" customHeight="1">
      <x:c r="A91" s="30" t="str">
        <x:v>SP</x:v>
      </x:c>
      <x:c r="B91" s="30" t="str">
        <x:v>Attention</x:v>
      </x:c>
      <x:c r="C91" s="30" t="str">
        <x:v>Attention 前</x:v>
      </x:c>
      <x:c r="D91" s="34" t="n">
        <x:f>(K54*2^20)/1e9</x:f>
        <x:v>0.337641472</x:v>
      </x:c>
      <x:c r="E91" s="64" t="n">
        <x:f>$H$82</x:f>
        <x:v>100</x:v>
      </x:c>
      <x:c r="F91" s="59" t="n">
        <x:v>1</x:v>
      </x:c>
      <x:c r="G91" s="34" t="n">
        <x:f>IF(AND(ISNUMBER(E91),E91&gt;0,ISNUMBER($B$82),$B$82&gt;=0,$B$82&lt;1,ISNUMBER($D$82),$D$82&gt;=0,$D$82&lt;=1,ISNUMBER(F91),F91&gt;=0,F91&lt;=1,ISNUMBER(J91),J91&gt;=0,J91&lt;=1),D91/E91*1000,NA())</x:f>
        <x:v>3.37641472</x:v>
      </x:c>
      <x:c r="H91" s="34" t="n">
        <x:f>G91+I91</x:f>
        <x:v>3.751571911111111</x:v>
      </x:c>
      <x:c r="I91" s="34" t="n">
        <x:f>G91*F91*$D$82*$B$82/(1-$B$82)</x:f>
        <x:v>0.3751571911111112</x:v>
      </x:c>
      <x:c r="J91" s="59" t="n">
        <x:v>1</x:v>
      </x:c>
      <x:c r="K91" s="34" t="n">
        <x:f>I91*J91</x:f>
        <x:v>0.3751571911111112</x:v>
      </x:c>
      <x:c r="L91" s="30" t="str">
        <x:v>原通信行 54</x:v>
      </x:c>
    </x:row>
    <x:row r="92" ht="15" customHeight="1">
      <x:c r="A92" s="30" t="str">
        <x:v>SP</x:v>
      </x:c>
      <x:c r="B92" s="30" t="str">
        <x:v>Attention</x:v>
      </x:c>
      <x:c r="C92" s="30" t="str">
        <x:v>O Proj 后</x:v>
      </x:c>
      <x:c r="D92" s="34" t="n">
        <x:f>(K55*2^20)/1e9</x:f>
        <x:v>0.337641472</x:v>
      </x:c>
      <x:c r="E92" s="64" t="n">
        <x:f>$H$82</x:f>
        <x:v>100</x:v>
      </x:c>
      <x:c r="F92" s="59" t="n">
        <x:v>1</x:v>
      </x:c>
      <x:c r="G92" s="34" t="n">
        <x:f>IF(AND(ISNUMBER(E92),E92&gt;0,ISNUMBER($B$82),$B$82&gt;=0,$B$82&lt;1,ISNUMBER($D$82),$D$82&gt;=0,$D$82&lt;=1,ISNUMBER(F92),F92&gt;=0,F92&lt;=1,ISNUMBER(J92),J92&gt;=0,J92&lt;=1),D92/E92*1000,NA())</x:f>
        <x:v>3.37641472</x:v>
      </x:c>
      <x:c r="H92" s="34" t="n">
        <x:f>G92+I92</x:f>
        <x:v>3.751571911111111</x:v>
      </x:c>
      <x:c r="I92" s="34" t="n">
        <x:f>G92*F92*$D$82*$B$82/(1-$B$82)</x:f>
        <x:v>0.3751571911111112</x:v>
      </x:c>
      <x:c r="J92" s="59" t="n">
        <x:v>1</x:v>
      </x:c>
      <x:c r="K92" s="34" t="n">
        <x:f>I92*J92</x:f>
        <x:v>0.3751571911111112</x:v>
      </x:c>
      <x:c r="L92" s="30" t="str">
        <x:v>原通信行 55</x:v>
      </x:c>
    </x:row>
    <x:row r="93" ht="15" customHeight="1">
      <x:c r="A93" s="30" t="str">
        <x:v>O Proj TP</x:v>
      </x:c>
      <x:c r="B93" s="30" t="str">
        <x:v>Attention</x:v>
      </x:c>
      <x:c r="C93" s="30" t="str">
        <x:v>非 SP 标准 TP</x:v>
      </x:c>
      <x:c r="D93" s="34" t="n">
        <x:f>(K56*2^20)/1e9</x:f>
        <x:v>0</x:v>
      </x:c>
      <x:c r="E93" s="64" t="n">
        <x:f>$H$82</x:f>
        <x:v>100</x:v>
      </x:c>
      <x:c r="F93" s="59" t="n">
        <x:v>1</x:v>
      </x:c>
      <x:c r="G93" s="34" t="n">
        <x:f>IF(AND(ISNUMBER(E93),E93&gt;0,ISNUMBER($B$82),$B$82&gt;=0,$B$82&lt;1,ISNUMBER($D$82),$D$82&gt;=0,$D$82&lt;=1,ISNUMBER(F93),F93&gt;=0,F93&lt;=1,ISNUMBER(J93),J93&gt;=0,J93&lt;=1),D93/E93*1000,NA())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G93*F93*$D$82*$B$82/(1-$B$82)</x:f>
        <x:v>0</x:v>
      </x:c>
      <x:c r="J93" s="59" t="n">
        <x:v>1</x:v>
      </x:c>
      <x:c r="K93" s="34" t="n">
        <x:f>I93*J93</x:f>
        <x:v>0</x:v>
      </x:c>
      <x:c r="L93" s="30" t="str">
        <x:v>原通信行 56</x:v>
      </x:c>
    </x:row>
    <x:row r="94" ht="15" customHeight="1">
      <x:c r="A94" s="30" t="str">
        <x:v>Fine O TP</x:v>
      </x:c>
      <x:c r="B94" s="30" t="str">
        <x:v>Attention</x:v>
      </x:c>
      <x:c r="C94" s="30" t="str">
        <x:v>O Proj 输入</x:v>
      </x:c>
      <x:c r="D94" s="34" t="n">
        <x:f>(K57*2^20)/1e9</x:f>
        <x:v>0</x:v>
      </x:c>
      <x:c r="E94" s="64" t="n">
        <x:f>$H$82</x:f>
        <x:v>100</x:v>
      </x:c>
      <x:c r="F94" s="59" t="n">
        <x:v>1</x:v>
      </x:c>
      <x:c r="G94" s="34" t="n">
        <x:f>IF(AND(ISNUMBER(E94),E94&gt;0,ISNUMBER($B$82),$B$82&gt;=0,$B$82&lt;1,ISNUMBER($D$82),$D$82&gt;=0,$D$82&lt;=1,ISNUMBER(F94),F94&gt;=0,F94&lt;=1,ISNUMBER(J94),J94&gt;=0,J94&lt;=1),D94/E94*1000,NA())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G94*F94*$D$82*$B$82/(1-$B$82)</x:f>
        <x:v>0</x:v>
      </x:c>
      <x:c r="J94" s="59" t="n">
        <x:v>1</x:v>
      </x:c>
      <x:c r="K94" s="34" t="n">
        <x:f>I94*J94</x:f>
        <x:v>0</x:v>
      </x:c>
      <x:c r="L94" s="30" t="str">
        <x:v>原通信行 57</x:v>
      </x:c>
    </x:row>
    <x:row r="95" ht="15" customHeight="1">
      <x:c r="A95" s="30" t="str">
        <x:v>Fine O TP</x:v>
      </x:c>
      <x:c r="B95" s="30" t="str">
        <x:v>Attention</x:v>
      </x:c>
      <x:c r="C95" s="30" t="str">
        <x:v>O Proj 输出</x:v>
      </x:c>
      <x:c r="D95" s="34" t="n">
        <x:f>(K58*2^20)/1e9</x:f>
        <x:v>0</x:v>
      </x:c>
      <x:c r="E95" s="64" t="n">
        <x:f>$H$82</x:f>
        <x:v>100</x:v>
      </x:c>
      <x:c r="F95" s="59" t="n">
        <x:v>1</x:v>
      </x:c>
      <x:c r="G95" s="34" t="n">
        <x:f>IF(AND(ISNUMBER(E95),E95&gt;0,ISNUMBER($B$82),$B$82&gt;=0,$B$82&lt;1,ISNUMBER($D$82),$D$82&gt;=0,$D$82&lt;=1,ISNUMBER(F95),F95&gt;=0,F95&lt;=1,ISNUMBER(J95),J95&gt;=0,J95&lt;=1),D95/E95*1000,NA())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G95*F95*$D$82*$B$82/(1-$B$82)</x:f>
        <x:v>0</x:v>
      </x:c>
      <x:c r="J95" s="59" t="n">
        <x:v>1</x:v>
      </x:c>
      <x:c r="K95" s="34" t="n">
        <x:f>I95*J95</x:f>
        <x:v>0</x:v>
      </x:c>
      <x:c r="L95" s="30" t="str">
        <x:v>原通信行 58</x:v>
      </x:c>
    </x:row>
    <x:row r="96" ht="15" customHeight="1">
      <x:c r="A96" s="30" t="str">
        <x:v>EP</x:v>
      </x:c>
      <x:c r="B96" s="30" t="str">
        <x:v>Routed Experts</x:v>
      </x:c>
      <x:c r="C96" s="30" t="str">
        <x:v>MC2 FullMesh Dispatch</x:v>
      </x:c>
      <x:c r="D96" s="34" t="n">
        <x:f>(IF(F59=2,E59/8192*H59*(ROUNDUP((ROUNDUP(8192*F59/32,0)*32+32)/480,0)*512),NA()))/1e9</x:f>
        <x:v>0.4616192</x:v>
      </x:c>
      <x:c r="E96" s="64" t="n">
        <x:f>$H$82</x:f>
        <x:v>100</x:v>
      </x:c>
      <x:c r="F96" s="59" t="n">
        <x:v>1</x:v>
      </x:c>
      <x:c r="G96" s="34" t="n">
        <x:f>IF(AND(ISNUMBER(E96),E96&gt;0,ISNUMBER($B$82),$B$82&gt;=0,$B$82&lt;1,ISNUMBER($D$82),$D$82&gt;=0,$D$82&lt;=1,ISNUMBER(F96),F96&gt;=0,F96&lt;=1,ISNUMBER(J96),J96&gt;=0,J96&lt;=1),D96/E96*1000,NA())</x:f>
        <x:v>4.616192</x:v>
      </x:c>
      <x:c r="H96" s="34" t="n">
        <x:f>G96+I96</x:f>
        <x:v>5.1291022222222225</x:v>
      </x:c>
      <x:c r="I96" s="34" t="n">
        <x:f>G96*F96*$D$82*$B$82/(1-$B$82)</x:f>
        <x:v>0.5129102222222223</x:v>
      </x:c>
      <x:c r="J96" s="59" t="n">
        <x:v>1</x:v>
      </x:c>
      <x:c r="K96" s="34" t="n">
        <x:f>I96*J96</x:f>
        <x:v>0.5129102222222223</x:v>
      </x:c>
      <x:c r="L96" s="30" t="str">
        <x:v>原通信行 59</x:v>
      </x:c>
    </x:row>
    <x:row r="97" ht="15" customHeight="1">
      <x:c r="A97" s="30" t="str">
        <x:v>EP</x:v>
      </x:c>
      <x:c r="B97" s="30" t="str">
        <x:v>Routed Experts</x:v>
      </x:c>
      <x:c r="C97" s="30" t="str">
        <x:v>MC2 Combine + flags</x:v>
      </x:c>
      <x:c r="D97" s="34" t="n">
        <x:f>(IF(F60=2,K60*2^20+E60/8192*H60*32,NA()))/1e9</x:f>
        <x:v>0.42287616</x:v>
      </x:c>
      <x:c r="E97" s="64" t="n">
        <x:f>$H$82</x:f>
        <x:v>100</x:v>
      </x:c>
      <x:c r="F97" s="59" t="n">
        <x:v>1</x:v>
      </x:c>
      <x:c r="G97" s="34" t="n">
        <x:f>IF(AND(ISNUMBER(E97),E97&gt;0,ISNUMBER($B$82),$B$82&gt;=0,$B$82&lt;1,ISNUMBER($D$82),$D$82&gt;=0,$D$82&lt;=1,ISNUMBER(F97),F97&gt;=0,F97&lt;=1,ISNUMBER(J97),J97&gt;=0,J97&lt;=1),D97/E97*1000,NA())</x:f>
        <x:v>4.2287616</x:v>
      </x:c>
      <x:c r="H97" s="34" t="n">
        <x:f>G97+I97</x:f>
        <x:v>4.698624000000001</x:v>
      </x:c>
      <x:c r="I97" s="34" t="n">
        <x:f>G97*F97*$D$82*$B$82/(1-$B$82)</x:f>
        <x:v>0.46986240000000007</x:v>
      </x:c>
      <x:c r="J97" s="59" t="n">
        <x:v>1</x:v>
      </x:c>
      <x:c r="K97" s="34" t="n">
        <x:f>I97*J97</x:f>
        <x:v>0.46986240000000007</x:v>
      </x:c>
      <x:c r="L97" s="30" t="str">
        <x:v>原通信行 60</x:v>
      </x:c>
    </x:row>
    <x:row r="98" ht="15" customHeight="1">
      <x:c r="A98" s="30" t="str">
        <x:v>DP</x:v>
      </x:c>
      <x:c r="B98" s="30" t="str">
        <x:v>MoE</x:v>
      </x:c>
      <x:c r="C98" s="30" t="str">
        <x:v>Hidden 输入</x:v>
      </x:c>
      <x:c r="D98" s="34" t="n">
        <x:f>(K61*2^20)/1e9</x:f>
        <x:v>0</x:v>
      </x:c>
      <x:c r="E98" s="64" t="n">
        <x:f>$H$82</x:f>
        <x:v>100</x:v>
      </x:c>
      <x:c r="F98" s="59" t="n">
        <x:v>1</x:v>
      </x:c>
      <x:c r="G98" s="34" t="n">
        <x:f>IF(AND(ISNUMBER(E98),E98&gt;0,ISNUMBER($B$82),$B$82&gt;=0,$B$82&lt;1,ISNUMBER($D$82),$D$82&gt;=0,$D$82&lt;=1,ISNUMBER(F98),F98&gt;=0,F98&lt;=1,ISNUMBER(J98),J98&gt;=0,J98&lt;=1),D98/E98*1000,NA())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G98*F98*$D$82*$B$82/(1-$B$82)</x:f>
        <x:v>0</x:v>
      </x:c>
      <x:c r="J98" s="59" t="n">
        <x:v>1</x:v>
      </x:c>
      <x:c r="K98" s="34" t="n">
        <x:f>I98*J98</x:f>
        <x:v>0</x:v>
      </x:c>
      <x:c r="L98" s="30" t="str">
        <x:v>原通信行 61</x:v>
      </x:c>
    </x:row>
    <x:row r="99" ht="15" customHeight="1">
      <x:c r="A99" s="30" t="str">
        <x:v>DP</x:v>
      </x:c>
      <x:c r="B99" s="30" t="str">
        <x:v>MoE Router</x:v>
      </x:c>
      <x:c r="C99" s="30" t="str">
        <x:v>Router Logits</x:v>
      </x:c>
      <x:c r="D99" s="34" t="n">
        <x:f>(K62*2^20)/1e9</x:f>
        <x:v>0</x:v>
      </x:c>
      <x:c r="E99" s="64" t="n">
        <x:f>$H$82</x:f>
        <x:v>100</x:v>
      </x:c>
      <x:c r="F99" s="59" t="n">
        <x:v>1</x:v>
      </x:c>
      <x:c r="G99" s="34" t="n">
        <x:f>IF(AND(ISNUMBER(E99),E99&gt;0,ISNUMBER($B$82),$B$82&gt;=0,$B$82&lt;1,ISNUMBER($D$82),$D$82&gt;=0,$D$82&lt;=1,ISNUMBER(F99),F99&gt;=0,F99&lt;=1,ISNUMBER(J99),J99&gt;=0,J99&lt;=1),D99/E99*1000,NA())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G99*F99*$D$82*$B$82/(1-$B$82)</x:f>
        <x:v>0</x:v>
      </x:c>
      <x:c r="J99" s="59" t="n">
        <x:v>1</x:v>
      </x:c>
      <x:c r="K99" s="34" t="n">
        <x:f>I99*J99</x:f>
        <x:v>0</x:v>
      </x:c>
      <x:c r="L99" s="30" t="str">
        <x:v>原通信行 62</x:v>
      </x:c>
    </x:row>
    <x:row r="100" ht="15" customHeight="1">
      <x:c r="A100" s="30" t="str">
        <x:v>DP</x:v>
      </x:c>
      <x:c r="B100" s="30" t="str">
        <x:v>MoE</x:v>
      </x:c>
      <x:c r="C100" s="30" t="str">
        <x:v>Routed Expert 输出</x:v>
      </x:c>
      <x:c r="D100" s="34" t="n">
        <x:f>(K63*2^20)/1e9</x:f>
        <x:v>0</x:v>
      </x:c>
      <x:c r="E100" s="64" t="n">
        <x:f>$H$82</x:f>
        <x:v>100</x:v>
      </x:c>
      <x:c r="F100" s="59" t="n">
        <x:v>1</x:v>
      </x:c>
      <x:c r="G100" s="34" t="n">
        <x:f>IF(AND(ISNUMBER(E100),E100&gt;0,ISNUMBER($B$82),$B$82&gt;=0,$B$82&lt;1,ISNUMBER($D$82),$D$82&gt;=0,$D$82&lt;=1,ISNUMBER(F100),F100&gt;=0,F100&lt;=1,ISNUMBER(J100),J100&gt;=0,J100&lt;=1),D100/E100*1000,NA())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G100*F100*$D$82*$B$82/(1-$B$82)</x:f>
        <x:v>0</x:v>
      </x:c>
      <x:c r="J100" s="59" t="n">
        <x:v>1</x:v>
      </x:c>
      <x:c r="K100" s="34" t="n">
        <x:f>I100*J100</x:f>
        <x:v>0</x:v>
      </x:c>
      <x:c r="L100" s="30" t="str">
        <x:v>原通信行 63</x:v>
      </x:c>
    </x:row>
    <x:row r="101" ht="15" customHeight="1">
      <x:c r="A101" s="30" t="str">
        <x:v>共享专家 TP</x:v>
      </x:c>
      <x:c r="B101" s="30" t="str">
        <x:v>Shared Experts</x:v>
      </x:c>
      <x:c r="C101" s="30" t="str">
        <x:v>SP 输入</x:v>
      </x:c>
      <x:c r="D101" s="34" t="n">
        <x:f>(K64*2^20)/1e9</x:f>
        <x:v>0.337641472</x:v>
      </x:c>
      <x:c r="E101" s="64" t="n">
        <x:f>$H$82</x:f>
        <x:v>100</x:v>
      </x:c>
      <x:c r="F101" s="59" t="n">
        <x:v>1</x:v>
      </x:c>
      <x:c r="G101" s="34" t="n">
        <x:f>IF(AND(ISNUMBER(E101),E101&gt;0,ISNUMBER($B$82),$B$82&gt;=0,$B$82&lt;1,ISNUMBER($D$82),$D$82&gt;=0,$D$82&lt;=1,ISNUMBER(F101),F101&gt;=0,F101&lt;=1,ISNUMBER(J101),J101&gt;=0,J101&lt;=1),D101/E101*1000,NA())</x:f>
        <x:v>3.37641472</x:v>
      </x:c>
      <x:c r="H101" s="34" t="n">
        <x:f>G101+I101</x:f>
        <x:v>3.751571911111111</x:v>
      </x:c>
      <x:c r="I101" s="34" t="n">
        <x:f>G101*F101*$D$82*$B$82/(1-$B$82)</x:f>
        <x:v>0.3751571911111112</x:v>
      </x:c>
      <x:c r="J101" s="59" t="n">
        <x:v>1</x:v>
      </x:c>
      <x:c r="K101" s="34" t="n">
        <x:f>I101*J101</x:f>
        <x:v>0.3751571911111112</x:v>
      </x:c>
      <x:c r="L101" s="30" t="str">
        <x:v>原通信行 64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SP 输出</x:v>
      </x:c>
      <x:c r="D102" s="34" t="n">
        <x:f>(K65*2^20)/1e9</x:f>
        <x:v>0.337641472</x:v>
      </x:c>
      <x:c r="E102" s="64" t="n">
        <x:f>$H$82</x:f>
        <x:v>100</x:v>
      </x:c>
      <x:c r="F102" s="59" t="n">
        <x:v>1</x:v>
      </x:c>
      <x:c r="G102" s="34" t="n">
        <x:f>IF(AND(ISNUMBER(E102),E102&gt;0,ISNUMBER($B$82),$B$82&gt;=0,$B$82&lt;1,ISNUMBER($D$82),$D$82&gt;=0,$D$82&lt;=1,ISNUMBER(F102),F102&gt;=0,F102&lt;=1,ISNUMBER(J102),J102&gt;=0,J102&lt;=1),D102/E102*1000,NA())</x:f>
        <x:v>3.37641472</x:v>
      </x:c>
      <x:c r="H102" s="34" t="n">
        <x:f>G102+I102</x:f>
        <x:v>3.751571911111111</x:v>
      </x:c>
      <x:c r="I102" s="34" t="n">
        <x:f>G102*F102*$D$82*$B$82/(1-$B$82)</x:f>
        <x:v>0.3751571911111112</x:v>
      </x:c>
      <x:c r="J102" s="59" t="n">
        <x:v>1</x:v>
      </x:c>
      <x:c r="K102" s="34" t="n">
        <x:f>I102*J102</x:f>
        <x:v>0.3751571911111112</x:v>
      </x:c>
      <x:c r="L102" s="30" t="str">
        <x:v>原通信行 65</x:v>
      </x:c>
    </x:row>
    <x:row r="103" ht="15" customHeight="1">
      <x:c r="A103" s="30" t="str">
        <x:v>共享专家 TP</x:v>
      </x:c>
      <x:c r="B103" s="30" t="str">
        <x:v>Shared Experts</x:v>
      </x:c>
      <x:c r="C103" s="30" t="str">
        <x:v>非 SP 输出</x:v>
      </x:c>
      <x:c r="D103" s="34" t="n">
        <x:f>(K66*2^20)/1e9</x:f>
        <x:v>0</x:v>
      </x:c>
      <x:c r="E103" s="64" t="n">
        <x:f>$H$82</x:f>
        <x:v>100</x:v>
      </x:c>
      <x:c r="F103" s="59" t="n">
        <x:v>1</x:v>
      </x:c>
      <x:c r="G103" s="34" t="n">
        <x:f>IF(AND(ISNUMBER(E103),E103&gt;0,ISNUMBER($B$82),$B$82&gt;=0,$B$82&lt;1,ISNUMBER($D$82),$D$82&gt;=0,$D$82&lt;=1,ISNUMBER(F103),F103&gt;=0,F103&lt;=1,ISNUMBER(J103),J103&gt;=0,J103&lt;=1),D103/E103*1000,NA())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G103*F103*$D$82*$B$82/(1-$B$82)</x:f>
        <x:v>0</x:v>
      </x:c>
      <x:c r="J103" s="59" t="n">
        <x:v>1</x:v>
      </x:c>
      <x:c r="K103" s="34" t="n">
        <x:f>I103*J103</x:f>
        <x:v>0</x:v>
      </x:c>
      <x:c r="L103" s="30" t="str">
        <x:v>原通信行 66</x:v>
      </x:c>
    </x:row>
    <x:row r="104" ht="15" customHeight="1">
      <x:c r="A104" s="30" t="str">
        <x:v>DCP</x:v>
      </x:c>
      <x:c r="B104" s="30" t="str">
        <x:v>Attention</x:v>
      </x:c>
      <x:c r="C104" s="30" t="str">
        <x:v>Query</x:v>
      </x:c>
      <x:c r="D104" s="34" t="n">
        <x:f>(K67*2^20)/1e9</x:f>
        <x:v>0</x:v>
      </x:c>
      <x:c r="E104" s="64" t="n">
        <x:f>$H$82</x:f>
        <x:v>100</x:v>
      </x:c>
      <x:c r="F104" s="59" t="n">
        <x:v>1</x:v>
      </x:c>
      <x:c r="G104" s="34" t="n">
        <x:f>IF(AND(ISNUMBER(E104),E104&gt;0,ISNUMBER($B$82),$B$82&gt;=0,$B$82&lt;1,ISNUMBER($D$82),$D$82&gt;=0,$D$82&lt;=1,ISNUMBER(F104),F104&gt;=0,F104&lt;=1,ISNUMBER(J104),J104&gt;=0,J104&lt;=1),D104/E104*1000,NA())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G104*F104*$D$82*$B$82/(1-$B$82)</x:f>
        <x:v>0</x:v>
      </x:c>
      <x:c r="J104" s="59" t="n">
        <x:v>1</x:v>
      </x:c>
      <x:c r="K104" s="34" t="n">
        <x:f>I104*J104</x:f>
        <x:v>0</x:v>
      </x:c>
      <x:c r="L104" s="30" t="str">
        <x:v>原通信行 67</x:v>
      </x:c>
    </x:row>
    <x:row r="105" ht="15" customHeight="1">
      <x:c r="A105" s="30" t="str">
        <x:v>DCP</x:v>
      </x:c>
      <x:c r="B105" s="30" t="str">
        <x:v>Attention</x:v>
      </x:c>
      <x:c r="C105" s="30" t="str">
        <x:v>LSE</x:v>
      </x:c>
      <x:c r="D105" s="34" t="n">
        <x:f>(K68*2^20)/1e9</x:f>
        <x:v>0</x:v>
      </x:c>
      <x:c r="E105" s="64" t="n">
        <x:f>$H$82</x:f>
        <x:v>100</x:v>
      </x:c>
      <x:c r="F105" s="59" t="n">
        <x:v>1</x:v>
      </x:c>
      <x:c r="G105" s="34" t="n">
        <x:f>IF(AND(ISNUMBER(E105),E105&gt;0,ISNUMBER($B$82),$B$82&gt;=0,$B$82&lt;1,ISNUMBER($D$82),$D$82&gt;=0,$D$82&lt;=1,ISNUMBER(F105),F105&gt;=0,F105&lt;=1,ISNUMBER(J105),J105&gt;=0,J105&lt;=1),D105/E105*1000,NA())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G105*F105*$D$82*$B$82/(1-$B$82)</x:f>
        <x:v>0</x:v>
      </x:c>
      <x:c r="J105" s="59" t="n">
        <x:v>1</x:v>
      </x:c>
      <x:c r="K105" s="34" t="n">
        <x:f>I105*J105</x:f>
        <x:v>0</x:v>
      </x:c>
      <x:c r="L105" s="30" t="str">
        <x:v>原通信行 68</x:v>
      </x:c>
    </x:row>
    <x:row r="106" ht="15" customHeight="1">
      <x:c r="A106" s="30" t="str">
        <x:v>DCP</x:v>
      </x:c>
      <x:c r="B106" s="30" t="str">
        <x:v>Attention</x:v>
      </x:c>
      <x:c r="C106" s="30" t="str">
        <x:v>Attention 输出</x:v>
      </x:c>
      <x:c r="D106" s="34" t="n">
        <x:f>(K69*2^20)/1e9</x:f>
        <x:v>0</x:v>
      </x:c>
      <x:c r="E106" s="64" t="n">
        <x:f>$H$82</x:f>
        <x:v>100</x:v>
      </x:c>
      <x:c r="F106" s="59" t="n">
        <x:v>1</x:v>
      </x:c>
      <x:c r="G106" s="34" t="n">
        <x:f>IF(AND(ISNUMBER(E106),E106&gt;0,ISNUMBER($B$82),$B$82&gt;=0,$B$82&lt;1,ISNUMBER($D$82),$D$82&gt;=0,$D$82&lt;=1,ISNUMBER(F106),F106&gt;=0,F106&lt;=1,ISNUMBER(J106),J106&gt;=0,J106&lt;=1),D106/E106*1000,NA())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G106*F106*$D$82*$B$82/(1-$B$82)</x:f>
        <x:v>0</x:v>
      </x:c>
      <x:c r="J106" s="59" t="n">
        <x:v>1</x:v>
      </x:c>
      <x:c r="K106" s="34" t="n">
        <x:f>I106*J106</x:f>
        <x:v>0</x:v>
      </x:c>
      <x:c r="L106" s="30" t="str">
        <x:v>原通信行 69</x:v>
      </x:c>
    </x:row>
    <x:row r="107" ht="15" customHeight="1">
      <x:c r="A107" s="30" t="str">
        <x:v>SP</x:v>
      </x:c>
      <x:c r="B107" s="30" t="str">
        <x:v>Model Output</x:v>
      </x:c>
      <x:c r="C107" s="30" t="str">
        <x:v>Final Norm 后</x:v>
      </x:c>
      <x:c r="D107" s="34" t="n">
        <x:f>(K70*2^20)/1e9</x:f>
        <x:v>0.003670016</x:v>
      </x:c>
      <x:c r="E107" s="64" t="n">
        <x:f>$H$82</x:f>
        <x:v>100</x:v>
      </x:c>
      <x:c r="F107" s="59" t="n">
        <x:v>1</x:v>
      </x:c>
      <x:c r="G107" s="34" t="n">
        <x:f>IF(AND(ISNUMBER(E107),E107&gt;0,ISNUMBER($B$82),$B$82&gt;=0,$B$82&lt;1,ISNUMBER($D$82),$D$82&gt;=0,$D$82&lt;=1,ISNUMBER(F107),F107&gt;=0,F107&lt;=1,ISNUMBER(J107),J107&gt;=0,J107&lt;=1),D107/E107*1000,NA())</x:f>
        <x:v>0.03670016</x:v>
      </x:c>
      <x:c r="H107" s="34" t="n">
        <x:f>G107+I107</x:f>
        <x:v>0.04077795555555556</x:v>
      </x:c>
      <x:c r="I107" s="34" t="n">
        <x:f>G107*F107*$D$82*$B$82/(1-$B$82)</x:f>
        <x:v>0.004077795555555556</x:v>
      </x:c>
      <x:c r="J107" s="59" t="n">
        <x:v>1</x:v>
      </x:c>
      <x:c r="K107" s="34" t="n">
        <x:f>I107*J107</x:f>
        <x:v>0.004077795555555556</x:v>
      </x:c>
      <x:c r="L107" s="30" t="str">
        <x:v>原通信行 70</x:v>
      </x:c>
    </x:row>
    <x:row r="108" ht="15" customHeight="1">
      <x:c r="A108" s="30" t="str">
        <x:v>LM Head TP</x:v>
      </x:c>
      <x:c r="B108" s="30" t="str">
        <x:v>LM Head</x:v>
      </x:c>
      <x:c r="C108" s="30" t="str">
        <x:v>完整 Logits</x:v>
      </x:c>
      <x:c r="D108" s="34" t="n">
        <x:f>(K71*2^20)/1e9</x:f>
        <x:v>0</x:v>
      </x:c>
      <x:c r="E108" s="64" t="n">
        <x:f>$H$82</x:f>
        <x:v>100</x:v>
      </x:c>
      <x:c r="F108" s="59" t="n">
        <x:v>1</x:v>
      </x:c>
      <x:c r="G108" s="34" t="n">
        <x:f>IF(AND(ISNUMBER(E108),E108&gt;0,ISNUMBER($B$82),$B$82&gt;=0,$B$82&lt;1,ISNUMBER($D$82),$D$82&gt;=0,$D$82&lt;=1,ISNUMBER(F108),F108&gt;=0,F108&lt;=1,ISNUMBER(J108),J108&gt;=0,J108&lt;=1),D108/E108*1000,NA())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G108*F108*$D$82*$B$82/(1-$B$82)</x:f>
        <x:v>0</x:v>
      </x:c>
      <x:c r="J108" s="59" t="n">
        <x:v>1</x:v>
      </x:c>
      <x:c r="K108" s="34" t="n">
        <x:f>I108*J108</x:f>
        <x:v>0</x:v>
      </x:c>
      <x:c r="L108" s="30" t="str">
        <x:v>原通信行 71</x:v>
      </x:c>
    </x:row>
    <x:row r="109" ht="15" customHeight="1">
      <x:c r="A109" s="30" t="str">
        <x:v>LM Head TP</x:v>
      </x:c>
      <x:c r="B109" s="30" t="str">
        <x:v>LM Head</x:v>
      </x:c>
      <x:c r="C109" s="30" t="str">
        <x:v>Reduce Sample</x:v>
      </x:c>
      <x:c r="D109" s="34" t="n">
        <x:f>(K72*2^20)/1e9</x:f>
        <x:v>0.002752512</x:v>
      </x:c>
      <x:c r="E109" s="64" t="n">
        <x:f>$H$82</x:f>
        <x:v>100</x:v>
      </x:c>
      <x:c r="F109" s="59" t="n">
        <x:v>1</x:v>
      </x:c>
      <x:c r="G109" s="34" t="n">
        <x:f>IF(AND(ISNUMBER(E109),E109&gt;0,ISNUMBER($B$82),$B$82&gt;=0,$B$82&lt;1,ISNUMBER($D$82),$D$82&gt;=0,$D$82&lt;=1,ISNUMBER(F109),F109&gt;=0,F109&lt;=1,ISNUMBER(J109),J109&gt;=0,J109&lt;=1),D109/E109*1000,NA())</x:f>
        <x:v>0.02752512</x:v>
      </x:c>
      <x:c r="H109" s="34" t="n">
        <x:f>G109+I109</x:f>
        <x:v>0.030583466666666666</x:v>
      </x:c>
      <x:c r="I109" s="34" t="n">
        <x:f>G109*F109*$D$82*$B$82/(1-$B$82)</x:f>
        <x:v>0.003058346666666667</x:v>
      </x:c>
      <x:c r="J109" s="59" t="n">
        <x:v>1</x:v>
      </x:c>
      <x:c r="K109" s="34" t="n">
        <x:f>I109*J109</x:f>
        <x:v>0.003058346666666667</x:v>
      </x:c>
      <x:c r="L109" s="30" t="str">
        <x:v>原通信行 72</x:v>
      </x:c>
    </x:row>
    <x:row r="110" ht="15" customHeight="1">
      <x:c r="A110" s="30" t="str">
        <x:v>Fine LM Head TP</x:v>
      </x:c>
      <x:c r="B110" s="30" t="str">
        <x:v>LM Head</x:v>
      </x:c>
      <x:c r="C110" s="30" t="str">
        <x:v>Hidden 输入</x:v>
      </x:c>
      <x:c r="D110" s="34" t="n">
        <x:f>(K73*2^20)/1e9</x:f>
        <x:v>0</x:v>
      </x:c>
      <x:c r="E110" s="64" t="n">
        <x:f>$H$82</x:f>
        <x:v>100</x:v>
      </x:c>
      <x:c r="F110" s="59" t="n">
        <x:v>1</x:v>
      </x:c>
      <x:c r="G110" s="34" t="n">
        <x:f>IF(AND(ISNUMBER(E110),E110&gt;0,ISNUMBER($B$82),$B$82&gt;=0,$B$82&lt;1,ISNUMBER($D$82),$D$82&gt;=0,$D$82&lt;=1,ISNUMBER(F110),F110&gt;=0,F110&lt;=1,ISNUMBER(J110),J110&gt;=0,J110&lt;=1),D110/E110*1000,NA())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G110*F110*$D$82*$B$82/(1-$B$82)</x:f>
        <x:v>0</x:v>
      </x:c>
      <x:c r="J110" s="59" t="n">
        <x:v>1</x:v>
      </x:c>
      <x:c r="K110" s="34" t="n">
        <x:f>I110*J110</x:f>
        <x:v>0</x:v>
      </x:c>
      <x:c r="L110" s="30" t="str">
        <x:v>原通信行 73</x:v>
      </x:c>
    </x:row>
    <x:row r="111" ht="15" customHeight="1">
      <x:c r="A111" s="30" t="str">
        <x:v>Fine LM Head TP</x:v>
      </x:c>
      <x:c r="B111" s="30" t="str">
        <x:v>LM Head</x:v>
      </x:c>
      <x:c r="C111" s="30" t="str">
        <x:v>完整 Logits</x:v>
      </x:c>
      <x:c r="D111" s="34" t="n">
        <x:f>(K74*2^20)/1e9</x:f>
        <x:v>0</x:v>
      </x:c>
      <x:c r="E111" s="64" t="n">
        <x:f>$H$82</x:f>
        <x:v>100</x:v>
      </x:c>
      <x:c r="F111" s="59" t="n">
        <x:v>1</x:v>
      </x:c>
      <x:c r="G111" s="34" t="n">
        <x:f>IF(AND(ISNUMBER(E111),E111&gt;0,ISNUMBER($B$82),$B$82&gt;=0,$B$82&lt;1,ISNUMBER($D$82),$D$82&gt;=0,$D$82&lt;=1,ISNUMBER(F111),F111&gt;=0,F111&lt;=1,ISNUMBER(J111),J111&gt;=0,J111&lt;=1),D111/E111*1000,NA())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G111*F111*$D$82*$B$82/(1-$B$82)</x:f>
        <x:v>0</x:v>
      </x:c>
      <x:c r="J111" s="59" t="n">
        <x:v>1</x:v>
      </x:c>
      <x:c r="K111" s="34" t="n">
        <x:f>I111*J111</x:f>
        <x:v>0</x:v>
      </x:c>
      <x:c r="L111" s="30" t="str">
        <x:v>原通信行 74</x:v>
      </x:c>
    </x:row>
    <x:row r="112" ht="15" customHeight="1">
      <x:c r="A112" s="30" t="str">
        <x:v>Fine LM Head TP</x:v>
      </x:c>
      <x:c r="B112" s="30" t="str">
        <x:v>LM Head</x:v>
      </x:c>
      <x:c r="C112" s="30" t="str">
        <x:v>Reduce Sample</x:v>
      </x:c>
      <x:c r="D112" s="34" t="n">
        <x:f>(K75*2^20)/1e9</x:f>
        <x:v>0</x:v>
      </x:c>
      <x:c r="E112" s="64" t="n">
        <x:f>$H$82</x:f>
        <x:v>100</x:v>
      </x:c>
      <x:c r="F112" s="59" t="n">
        <x:v>1</x:v>
      </x:c>
      <x:c r="G112" s="34" t="n">
        <x:f>IF(AND(ISNUMBER(E112),E112&gt;0,ISNUMBER($B$82),$B$82&gt;=0,$B$82&lt;1,ISNUMBER($D$82),$D$82&gt;=0,$D$82&lt;=1,ISNUMBER(F112),F112&gt;=0,F112&lt;=1,ISNUMBER(J112),J112&gt;=0,J112&lt;=1),D112/E112*1000,NA())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G112*F112*$D$82*$B$82/(1-$B$82)</x:f>
        <x:v>0</x:v>
      </x:c>
      <x:c r="J112" s="59" t="n">
        <x:v>1</x:v>
      </x:c>
      <x:c r="K112" s="34" t="n">
        <x:f>I112*J112</x:f>
        <x:v>0</x:v>
      </x:c>
      <x:c r="L112" s="30" t="str">
        <x:v>原通信行 75</x:v>
      </x:c>
    </x:row>
    <x:row r="113" ht="15" customHeight="1">
      <x:c r="A113" s="30" t="str">
        <x:v>EP</x:v>
      </x:c>
      <x:c r="B113" s="30" t="str">
        <x:v>MoE 计数</x:v>
      </x:c>
      <x:c r="C113" s="30" t="str">
        <x:v>MC2 count 写入</x:v>
      </x:c>
      <x:c r="D113" s="34" t="n">
        <x:f>(IF(E59=0,0,H59*ROUNDUP(512/G59,0)*(G59-1)*32))/1e9</x:f>
        <x:v>0.001318912</x:v>
      </x:c>
      <x:c r="E113" s="64" t="n">
        <x:f>$H$82</x:f>
        <x:v>100</x:v>
      </x:c>
      <x:c r="F113" s="59" t="n">
        <x:v>1</x:v>
      </x:c>
      <x:c r="G113" s="34" t="n">
        <x:f>IF(AND(ISNUMBER(E113),E113&gt;0,ISNUMBER($B$82),$B$82&gt;=0,$B$82&lt;1,ISNUMBER($D$82),$D$82&gt;=0,$D$82&lt;=1,ISNUMBER(F113),F113&gt;=0,F113&lt;=1,ISNUMBER(J113),J113&gt;=0,J113&lt;=1),D113/E113*1000,NA())</x:f>
        <x:v>0.01318912</x:v>
      </x:c>
      <x:c r="H113" s="34" t="n">
        <x:f>G113+I113</x:f>
        <x:v>0.014654577777777778</x:v>
      </x:c>
      <x:c r="I113" s="34" t="n">
        <x:f>G113*F113*$D$82*$B$82/(1-$B$82)</x:f>
        <x:v>0.001465457777777778</x:v>
      </x:c>
      <x:c r="J113" s="59" t="n">
        <x:v>1</x:v>
      </x:c>
      <x:c r="K113" s="34" t="n">
        <x:f>I113*J113</x:f>
        <x:v>0.001465457777777778</x:v>
      </x:c>
      <x:c r="L113" s="30" t="str">
        <x:v>额外控制量</x:v>
      </x:c>
    </x:row>
    <x:row r="114" ht="15" customHeight="1">
      <x:c r="A114" s="40" t="str">
        <x:v>所列事件串行相加</x:v>
      </x:c>
      <x:c r="B114" s="40"/>
      <x:c r="C114" s="40"/>
      <x:c r="D114" s="41" t="n">
        <x:f>SUM(D88:D113)</x:f>
        <x:v>2.25014272</x:v>
      </x:c>
      <x:c r="E114" s="40"/>
      <x:c r="F114" s="40"/>
      <x:c r="G114" s="41" t="n">
        <x:f>SUM(G88:G113)</x:f>
        <x:v>22.5014272</x:v>
      </x:c>
      <x:c r="H114" s="41" t="n">
        <x:f>SUM(H88:H113)</x:f>
        <x:v>25.001585777777773</x:v>
      </x:c>
      <x:c r="I114" s="41" t="n">
        <x:f>SUM(I88:I113)</x:f>
        <x:v>2.500158577777779</x:v>
      </x:c>
      <x:c r="J114" s="40"/>
      <x:c r="K114" s="41" t="n">
        <x:f>SUM(K88:K113)</x:f>
        <x:v>2.500158577777779</x:v>
      </x:c>
      <x:c r="L114" s="40"/>
    </x:row>
  </x:sheetData>
  <x:conditionalFormatting sqref="L84:L84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21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按层分布等效 EP、TP 通信段，次数按一分钟统计。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34" customHeight="1">
      <x:c r="A5" s="30" t="str">
        <x:v>每 P DP 请求数</x:v>
      </x:c>
      <x:c r="B5" s="66" t="n">
        <x:v>16</x:v>
      </x:c>
      <x:c r="C5" s="30"/>
      <x:c r="D5" s="30"/>
      <x:c r="E5" s="79" t="str">
        <x:v>P deployment
count</x:v>
      </x:c>
      <x:c r="F5" s="66" t="n">
        <x:v>1</x:v>
      </x:c>
      <x:c r="G5" s="30"/>
      <x:c r="H5" s="30"/>
      <x:c r="I5" s="79" t="str">
        <x:v>D deployment
count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34" customHeight="1">
      <x:c r="A9" s="79" t="str">
        <x:v>KV bursts
per interval</x:v>
      </x:c>
      <x:c r="B9" s="66" t="n">
        <x:v>1</x:v>
      </x:c>
      <x:c r="C9" s="30"/>
      <x:c r="D9" s="30"/>
      <x:c r="E9" s="79" t="str">
        <x:v>EP shared
resource fraction</x:v>
      </x:c>
      <x:c r="F9" s="68" t="n">
        <x:v>1</x:v>
      </x:c>
      <x:c r="G9" s="30"/>
      <x:c r="H9" s="30"/>
      <x:c r="I9" s="79" t="str">
        <x:v>EP exposed
comm fraction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34" customHeight="1">
      <x:c r="A11" s="30" t="str">
        <x:v>Conv 额外 slots</x:v>
      </x:c>
      <x:c r="B11" s="66" t="n">
        <x:v>7</x:v>
      </x:c>
      <x:c r="C11" s="30"/>
      <x:c r="D11" s="30" t="str"/>
      <x:c r="E11" s="30" t="str">
        <x:v>TP 带宽 GB/s</x:v>
      </x:c>
      <x:c r="F11" s="83" t="n">
        <x:v>4800</x:v>
      </x:c>
      <x:c r="G11" s="30"/>
      <x:c r="H11" s="30"/>
      <x:c r="I11" s="79" t="str">
        <x:v>TP shared
resource fraction</x:v>
      </x:c>
      <x:c r="J11" s="85" t="n">
        <x:v>1</x:v>
      </x:c>
      <x:c r="K11" s="30"/>
      <x:c r="L11" s="30"/>
      <x:c r="M11" s="79" t="str">
        <x:v>TP exposed
comm fraction</x:v>
      </x:c>
      <x:c r="N11" s="85" t="n">
        <x:v>1</x:v>
      </x:c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 t="str">
        <x:v>P = Prefill，D = Decode。通常只需修改带宽、请求数和 TTFT/TPOT；附加假设可保持默认。</x:v>
      </x:c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 t="str">
        <x:v>Total overhead 表示基线 60 秒工作量的额外耗时；TTFT 在这里作为 KV 批次到达间隔。</x:v>
      </x:c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104" t="str">
        <x:v>Default: P = D = 1; KV bursts = 1; shared / exposed fractions = 100%.</x:v>
      </x:c>
      <x:c r="I15" s="104"/>
      <x:c r="J15" s="104"/>
      <x:c r="K15" s="104"/>
      <x:c r="L15" s="104"/>
      <x:c r="M15" s="104"/>
      <x:c r="N15" s="104"/>
      <x:c r="O15" s="104"/>
      <x:c r="P15" s="104"/>
      <x:c r="Q15" s="104"/>
      <x:c r="R15" s="104"/>
      <x:c r="S15" s="104"/>
      <x:c r="T15" s="104"/>
      <x:c r="U15" s="104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104" t="str">
        <x:v>Deployment count：完整 EP 部署的套数；EP32 每套 32 卡，EP256 每套 256 卡。</x:v>
      </x:c>
      <x:c r="I16" s="104"/>
      <x:c r="J16" s="104"/>
      <x:c r="K16" s="104"/>
      <x:c r="L16" s="104"/>
      <x:c r="M16" s="104"/>
      <x:c r="N16" s="104"/>
      <x:c r="O16" s="104"/>
      <x:c r="P16" s="104"/>
      <x:c r="Q16" s="104"/>
      <x:c r="R16" s="104"/>
      <x:c r="S16" s="104"/>
      <x:c r="T16" s="104"/>
      <x:c r="U16" s="104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104" t="str">
        <x:v>Shared resource fraction：通信中与 KV 竞争同一资源的比例。100% = 全部；0% = 资源独立。</x:v>
      </x:c>
      <x:c r="I17" s="104"/>
      <x:c r="J17" s="104"/>
      <x:c r="K17" s="104"/>
      <x:c r="L17" s="104"/>
      <x:c r="M17" s="104"/>
      <x:c r="N17" s="104"/>
      <x:c r="O17" s="104"/>
      <x:c r="P17" s="104"/>
      <x:c r="Q17" s="104"/>
      <x:c r="R17" s="104"/>
      <x:c r="S17" s="104"/>
      <x:c r="T17" s="104"/>
      <x:c r="U17" s="104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104" t="str">
        <x:v>Exposed communication fraction：通信增时最终计入 forward 的比例；被计算遮住的部分不计入。</x:v>
      </x:c>
      <x:c r="I18" s="104"/>
      <x:c r="J18" s="104"/>
      <x:c r="K18" s="104"/>
      <x:c r="L18" s="104"/>
      <x:c r="M18" s="104"/>
      <x:c r="N18" s="104"/>
      <x:c r="O18" s="104"/>
      <x:c r="P18" s="104"/>
      <x:c r="Q18" s="104"/>
      <x:c r="R18" s="104"/>
      <x:c r="S18" s="104"/>
      <x:c r="T18" s="104"/>
      <x:c r="U18" s="104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104" t="str">
        <x:v>KV bursts per interval：一批 KV 均分成 m 次、等间隔发送；m = 2 时每次一半，总量不变。</x:v>
      </x:c>
      <x:c r="I19" s="104"/>
      <x:c r="J19" s="104"/>
      <x:c r="K19" s="104"/>
      <x:c r="L19" s="104"/>
      <x:c r="M19" s="104"/>
      <x:c r="N19" s="104"/>
      <x:c r="O19" s="104"/>
      <x:c r="P19" s="104"/>
      <x:c r="Q19" s="104"/>
      <x:c r="R19" s="104"/>
      <x:c r="S19" s="104"/>
      <x:c r="T19" s="104"/>
      <x:c r="U19" s="104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104" t="str">
        <x:v>Temporal overlap 由 KV 窗口自动计算；没有 profiling 时，不必另猜 shared / exposed 两个比例。</x:v>
      </x:c>
      <x:c r="I20" s="104"/>
      <x:c r="J20" s="104"/>
      <x:c r="K20" s="104"/>
      <x:c r="L20" s="104"/>
      <x:c r="M20" s="104"/>
      <x:c r="N20" s="104"/>
      <x:c r="O20" s="104"/>
      <x:c r="P20" s="104"/>
      <x:c r="Q20" s="104"/>
      <x:c r="R20" s="104"/>
      <x:c r="S20" s="104"/>
      <x:c r="T20" s="104"/>
      <x:c r="U20" s="104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18" t="str">
        <x:v>EP shared
resource fraction</x:v>
      </x:c>
      <x:c r="N22" s="18" t="str">
        <x:v>EP exposed
comm fraction</x:v>
      </x:c>
      <x:c r="O22" s="73" t="str">
        <x:v>配置条件</x:v>
      </x:c>
      <x:c r="P22" s="90" t="str">
        <x:v>TP GB/s 输入</x:v>
      </x:c>
      <x:c r="Q22" s="90" t="str">
        <x:v>TP shared
resource fraction</x:v>
      </x:c>
      <x:c r="R22" s="90" t="str">
        <x:v>TP exposed
comm fraction</x:v>
      </x:c>
      <x:c r="S22" s="90" t="str">
        <x:v>Attention 层数</x:v>
      </x:c>
      <x:c r="T22" s="90" t="str">
        <x:v>Dense 层数</x:v>
      </x:c>
      <x:c r="U22" s="90" t="str">
        <x:v>共享专家 TP 层数</x:v>
      </x:c>
      <x:c r="V22" s="30"/>
      <x:c r="W22" s="30"/>
      <x:c r="X22" s="30"/>
    </x:row>
    <x:row r="23" ht="22" customHeight="1">
      <x:c r="A23" s="30" t="str">
        <x:v>Qwen3.8 2.4T</x:v>
      </x:c>
      <x:c r="B23" s="30" t="n">
        <x:v>32</x:v>
      </x:c>
      <x:c r="C23" s="30" t="n">
        <x:v>8</x:v>
      </x:c>
      <x:c r="D23" s="30" t="n">
        <x:v>8</x:v>
      </x:c>
      <x:c r="E23" s="30" t="n">
        <x:v>92</x:v>
      </x:c>
      <x:c r="F23" s="30" t="n">
        <x:v>8192</x:v>
      </x:c>
      <x:c r="G23" s="30" t="n">
        <x:v>10</x:v>
      </x:c>
      <x:c r="H23" s="30" t="n">
        <x:v>512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98" t="n">
        <x:f>$F$11</x:f>
        <x:v>4800</x:v>
      </x:c>
      <x:c r="Q23" s="99" t="n">
        <x:f>$J$11</x:f>
        <x:v>1</x:v>
      </x:c>
      <x:c r="R23" s="99" t="n">
        <x:f>$N$11</x:f>
        <x:v>1</x:v>
      </x:c>
      <x:c r="S23" s="100" t="n">
        <x:v>92</x:v>
      </x:c>
      <x:c r="T23" s="100" t="n">
        <x:v>0</x:v>
      </x:c>
      <x:c r="U23" s="100" t="n">
        <x:v>0</x:v>
      </x:c>
      <x:c r="V23" s="30"/>
      <x:c r="W23" s="30"/>
      <x:c r="X23" s="30"/>
    </x:row>
    <x:row r="24" ht="22" customHeight="1">
      <x:c r="A24" s="30" t="str">
        <x:v>Qwen3.8 2.4T</x:v>
      </x:c>
      <x:c r="B24" s="30" t="n">
        <x:v>256</x:v>
      </x:c>
      <x:c r="C24" s="30" t="n">
        <x:v>8</x:v>
      </x:c>
      <x:c r="D24" s="30" t="n">
        <x:v>8</x:v>
      </x:c>
      <x:c r="E24" s="30" t="n">
        <x:v>92</x:v>
      </x:c>
      <x:c r="F24" s="30" t="n">
        <x:v>8192</x:v>
      </x:c>
      <x:c r="G24" s="30" t="n">
        <x:v>10</x:v>
      </x:c>
      <x:c r="H24" s="30" t="n">
        <x:v>512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运行未验证</x:v>
      </x:c>
      <x:c r="P24" s="98" t="n">
        <x:f>$F$11</x:f>
        <x:v>4800</x:v>
      </x:c>
      <x:c r="Q24" s="99" t="n">
        <x:f>$J$11</x:f>
        <x:v>1</x:v>
      </x:c>
      <x:c r="R24" s="99" t="n">
        <x:f>$N$11</x:f>
        <x:v>1</x:v>
      </x:c>
      <x:c r="S24" s="100" t="n">
        <x:v>92</x:v>
      </x:c>
      <x:c r="T24" s="100" t="n">
        <x:v>0</x:v>
      </x:c>
      <x:c r="U24" s="100" t="n">
        <x:v>0</x:v>
      </x:c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EP+TP 重叠 FW/min</x:v>
      </x:c>
      <x:c r="I29" s="73" t="str">
        <x:v>全通信 FW/min</x:v>
      </x:c>
      <x:c r="J29" s="73" t="str">
        <x:v>部分通信 FW/min</x:v>
      </x:c>
      <x:c r="K29" s="73" t="str">
        <x:v>重叠层段 次/min</x:v>
      </x:c>
      <x:c r="L29" s="18" t="str">
        <x:v>Total overhead
ms/60s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GB/s（扣 TP）</x:v>
      </x:c>
      <x:c r="Q29" s="90" t="str">
        <x:v>TP GB/Rank/步</x:v>
      </x:c>
      <x:c r="R29" s="90" t="str">
        <x:v>TP 带宽项 ms</x:v>
      </x:c>
      <x:c r="S29" s="90" t="str">
        <x:v>EP overhead
ms/60s</x:v>
      </x:c>
      <x:c r="T29" s="90" t="str">
        <x:v>TP overhead
ms/60s</x:v>
      </x:c>
      <x:c r="U29" s="111" t="str">
        <x:v>Decode throughput
loss (%)</x:v>
      </x:c>
      <x:c r="V29" s="30"/>
      <x:c r="W29" s="30"/>
      <x:c r="X29" s="30"/>
    </x:row>
    <x:row r="30" ht="22" customHeight="1">
      <x:c r="A30" s="30" t="str">
        <x:f>A23</x:f>
        <x:v>Qwen3.8 2.4T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1.5392017066666666</x:v>
      </x:c>
      <x:c r="H30" s="75" t="n">
        <x:f>IF(W60="",U60*R60,"")</x:f>
        <x:v>19.46023836956501</x:v>
      </x:c>
      <x:c r="I30" s="75" t="n">
        <x:f>IF(W60="",U60*S60,"")</x:f>
        <x:v>0</x:v>
      </x:c>
      <x:c r="J30" s="75" t="n">
        <x:f>IF(W60="",U60*MAX(0,R60-S60),"")</x:f>
        <x:v>19.46023836956501</x:v>
      </x:c>
      <x:c r="K30" s="75" t="n">
        <x:f>IF(W60="",IF(OR(AK60=0,K60=0),0,U60*E23*MIN(1,(K60+AL60)/L60)),"")</x:f>
        <x:v>425.34193</x:v>
      </x:c>
      <x:c r="L30" s="34" t="n">
        <x:f>IF(W60="",V60,"")</x:f>
        <x:v>0.08931484298469691</x:v>
      </x:c>
      <x:c r="M30" s="34" t="n">
        <x:f>IF(W60="",E30*V60/60,"")</x:f>
        <x:v>0.007442903582058077</x:v>
      </x:c>
      <x:c r="N30" s="34" t="n">
        <x:f>IF(W60="",V60/60000*1e6,"")</x:f>
        <x:v>1.4885807164116152</x:v>
      </x:c>
      <x:c r="O30" s="30" t="str">
        <x:f>IF(W60="","",W60)</x:f>
      </x:c>
      <x:c r="P30" s="49" t="n">
        <x:f>Q60</x:f>
        <x:v>99.64878655742605</x:v>
      </x:c>
      <x:c r="Q30" s="102" t="n">
        <x:f>AE60</x:f>
        <x:v>0.34452275200000004</x:v>
      </x:c>
      <x:c r="R30" s="102" t="n">
        <x:f>AF60</x:f>
        <x:v>0.07177557333333334</x:v>
      </x:c>
      <x:c r="S30" s="102" t="n">
        <x:f>IF(W60="",AI60,"")</x:f>
        <x:v>0.05249018497742697</x:v>
      </x:c>
      <x:c r="T30" s="102" t="n">
        <x:f>IF(W60="",AJ60,"")</x:f>
        <x:v>0.03682465800726994</x:v>
      </x:c>
      <x:c r="U30" s="112" t="n">
        <x:f>IF(ISNUMBER(L30),L30/(60000+L30),IF(L30="","",L30))</x:f>
        <x:v>0.0000014885785005423645</x:v>
      </x:c>
      <x:c r="V30" s="30"/>
      <x:c r="W30" s="30"/>
      <x:c r="X30" s="30"/>
    </x:row>
    <x:row r="31" ht="22" customHeight="1">
      <x:c r="A31" s="30" t="str">
        <x:f>A23</x:f>
        <x:v>Qwen3.8 2.4T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1.5392017066666666</x:v>
      </x:c>
      <x:c r="H31" s="75" t="n">
        <x:f>IF(W61="",U61*R61,"")</x:f>
        <x:v>17.14859744565178</x:v>
      </x:c>
      <x:c r="I31" s="75" t="n">
        <x:f>IF(W61="",U61*S61,"")</x:f>
        <x:v>0</x:v>
      </x:c>
      <x:c r="J31" s="75" t="n">
        <x:f>IF(W61="",U61*MAX(0,R61-S61),"")</x:f>
        <x:v>17.14859744565178</x:v>
      </x:c>
      <x:c r="K31" s="75" t="n">
        <x:f>IF(W61="",IF(OR(AK61=0,K61=0),0,U61*E23*MIN(1,(K61+AL61)/L61)),"")</x:f>
        <x:v>212.670965</x:v>
      </x:c>
      <x:c r="L31" s="34" t="n">
        <x:f>IF(W61="",V61,"")</x:f>
        <x:v>0.044657421492348456</x:v>
      </x:c>
      <x:c r="M31" s="34" t="n">
        <x:f>IF(W61="",E31*V61/60,"")</x:f>
        <x:v>0.007442903582058077</x:v>
      </x:c>
      <x:c r="N31" s="34" t="n">
        <x:f>IF(W61="",V61/60000*1e6,"")</x:f>
        <x:v>0.7442903582058076</x:v>
      </x:c>
      <x:c r="O31" s="30" t="str">
        <x:f>IF(W61="","",W61)</x:f>
      </x:c>
      <x:c r="P31" s="49" t="n">
        <x:f>Q61</x:f>
        <x:v>49.46419046299507</x:v>
      </x:c>
      <x:c r="Q31" s="102" t="n">
        <x:f>AE61</x:f>
        <x:v>0.34452275200000004</x:v>
      </x:c>
      <x:c r="R31" s="102" t="n">
        <x:f>AF61</x:f>
        <x:v>0.07177557333333334</x:v>
      </x:c>
      <x:c r="S31" s="102" t="n">
        <x:f>IF(W61="",AI61,"")</x:f>
        <x:v>0.026245092488713484</x:v>
      </x:c>
      <x:c r="T31" s="102" t="n">
        <x:f>IF(W61="",AJ61,"")</x:f>
        <x:v>0.01841232900363497</x:v>
      </x:c>
      <x:c r="U31" s="112" t="n">
        <x:f>IF(ISNUMBER(L31),L31/(60000+L31),IF(L31="","",L31))</x:f>
        <x:v>7.442898042380825e-7</x:v>
      </x:c>
      <x:c r="V31" s="30"/>
      <x:c r="W31" s="30"/>
      <x:c r="X31" s="30"/>
    </x:row>
    <x:row r="32" ht="22" customHeight="1">
      <x:c r="A32" s="30" t="str">
        <x:f>A23</x:f>
        <x:v>Qwen3.8 2.4T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1.5392017066666666</x:v>
      </x:c>
      <x:c r="H32" s="75" t="n">
        <x:f>IF(W62="",U62*R62,"")</x:f>
        <x:v>15.9927769836955</x:v>
      </x:c>
      <x:c r="I32" s="75" t="n">
        <x:f>IF(W62="",U62*S62,"")</x:f>
        <x:v>0</x:v>
      </x:c>
      <x:c r="J32" s="75" t="n">
        <x:f>IF(W62="",U62*MAX(0,R62-S62),"")</x:f>
        <x:v>15.9927769836955</x:v>
      </x:c>
      <x:c r="K32" s="75" t="n">
        <x:f>IF(W62="",IF(OR(AK62=0,K62=0),0,U62*E23*MIN(1,(K62+AL62)/L62)),"")</x:f>
        <x:v>106.3354825</x:v>
      </x:c>
      <x:c r="L32" s="34" t="n">
        <x:f>IF(W62="",V62,"")</x:f>
        <x:v>0.022328710746174228</x:v>
      </x:c>
      <x:c r="M32" s="34" t="n">
        <x:f>IF(W62="",E32*V62/60,"")</x:f>
        <x:v>0.007442903582058077</x:v>
      </x:c>
      <x:c r="N32" s="34" t="n">
        <x:f>IF(W62="",V62/60000*1e6,"")</x:f>
        <x:v>0.3721451791029038</x:v>
      </x:c>
      <x:c r="O32" s="30" t="str">
        <x:f>IF(W62="","",W62)</x:f>
      </x:c>
      <x:c r="P32" s="49" t="n">
        <x:f>Q62</x:f>
        <x:v>24.643017535614106</x:v>
      </x:c>
      <x:c r="Q32" s="102" t="n">
        <x:f>AE62</x:f>
        <x:v>0.34452275200000004</x:v>
      </x:c>
      <x:c r="R32" s="102" t="n">
        <x:f>AF62</x:f>
        <x:v>0.07177557333333334</x:v>
      </x:c>
      <x:c r="S32" s="102" t="n">
        <x:f>IF(W62="",AI62,"")</x:f>
        <x:v>0.013122546244356742</x:v>
      </x:c>
      <x:c r="T32" s="102" t="n">
        <x:f>IF(W62="",AJ62,"")</x:f>
        <x:v>0.009206164501817484</x:v>
      </x:c>
      <x:c r="U32" s="112" t="n">
        <x:f>IF(ISNUMBER(L32),L32/(60000+L32),IF(L32="","",L32))</x:f>
        <x:v>3.7214504061092105e-7</x:v>
      </x:c>
      <x:c r="V32" s="30"/>
      <x:c r="W32" s="30"/>
      <x:c r="X32" s="30"/>
    </x:row>
    <x:row r="33" ht="22" customHeight="1">
      <x:c r="A33" s="30" t="str">
        <x:f>A23</x:f>
        <x:v>Qwen3.8 2.4T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1.5392017066666666</x:v>
      </x:c>
      <x:c r="H33" s="75" t="n">
        <x:f>IF(W63="",U63*R63,"")</x:f>
        <x:v>15.60750349637674</x:v>
      </x:c>
      <x:c r="I33" s="75" t="n">
        <x:f>IF(W63="",U63*S63,"")</x:f>
        <x:v>0</x:v>
      </x:c>
      <x:c r="J33" s="75" t="n">
        <x:f>IF(W63="",U63*MAX(0,R63-S63),"")</x:f>
        <x:v>15.60750349637674</x:v>
      </x:c>
      <x:c r="K33" s="75" t="n">
        <x:f>IF(W63="",IF(OR(AK63=0,K63=0),0,U63*E23*MIN(1,(K63+AL63)/L63)),"")</x:f>
        <x:v>70.89032166666667</x:v>
      </x:c>
      <x:c r="L33" s="34" t="n">
        <x:f>IF(W63="",V63,"")</x:f>
        <x:v>0.014885807164116149</x:v>
      </x:c>
      <x:c r="M33" s="34" t="n">
        <x:f>IF(W63="",E33*V63/60,"")</x:f>
        <x:v>0.007442903582058074</x:v>
      </x:c>
      <x:c r="N33" s="34" t="n">
        <x:f>IF(W63="",V63/60000*1e6,"")</x:f>
        <x:v>0.24809678606860247</x:v>
      </x:c>
      <x:c r="O33" s="30" t="str">
        <x:f>IF(W63="","",W63)</x:f>
      </x:c>
      <x:c r="P33" s="49" t="n">
        <x:f>Q63</x:f>
        <x:v>16.408978260749315</x:v>
      </x:c>
      <x:c r="Q33" s="102" t="n">
        <x:f>AE63</x:f>
        <x:v>0.34452275200000004</x:v>
      </x:c>
      <x:c r="R33" s="102" t="n">
        <x:f>AF63</x:f>
        <x:v>0.07177557333333334</x:v>
      </x:c>
      <x:c r="S33" s="102" t="n">
        <x:f>IF(W63="",AI63,"")</x:f>
        <x:v>0.008748364162904494</x:v>
      </x:c>
      <x:c r="T33" s="102" t="n">
        <x:f>IF(W63="",AJ63,"")</x:f>
        <x:v>0.006137443001211656</x:v>
      </x:c>
      <x:c r="U33" s="112" t="n">
        <x:f>IF(ISNUMBER(L33),L33/(60000+L33),IF(L33="","",L33))</x:f>
        <x:v>2.480967245166025e-7</x:v>
      </x:c>
      <x:c r="V33" s="30"/>
      <x:c r="W33" s="30"/>
      <x:c r="X33" s="30"/>
    </x:row>
    <x:row r="34" ht="22" customHeight="1">
      <x:c r="A34" s="30" t="str">
        <x:f>A23</x:f>
        <x:v>Qwen3.8 2.4T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20.833000106666667</x:v>
      </x:c>
      <x:c r="H34" s="75" t="n">
        <x:f>IF(W64="",U64*R64,"")</x:f>
        <x:v>15.468326713914404</x:v>
      </x:c>
      <x:c r="I34" s="75" t="n">
        <x:f>IF(W64="",U64*S64,"")</x:f>
        <x:v>9.531273414087327</x:v>
      </x:c>
      <x:c r="J34" s="75" t="n">
        <x:f>IF(W64="",U64*MAX(0,R64-S64),"")</x:f>
        <x:v>5.9370532998270775</x:v>
      </x:c>
      <x:c r="K34" s="75" t="n">
        <x:f>IF(W64="",IF(OR(AK64=0,K64=0),0,U64*E23*MIN(1,(K64+AL64)/L64)),"")</x:f>
        <x:v>1150.0860576800003</x:v>
      </x:c>
      <x:c r="L34" s="34" t="n">
        <x:f>IF(W64="",V64,"")</x:f>
        <x:v>0.2417820594154653</x:v>
      </x:c>
      <x:c r="M34" s="34" t="n">
        <x:f>IF(W64="",E34*V64/60,"")</x:f>
        <x:v>0.020148504951288775</x:v>
      </x:c>
      <x:c r="N34" s="34" t="n">
        <x:f>IF(W64="",V64/60000*1e6,"")</x:f>
        <x:v>4.029700990257755</x:v>
      </x:c>
      <x:c r="O34" s="30" t="str">
        <x:f>IF(W64="","",W64)</x:f>
      </x:c>
      <x:c r="P34" s="49" t="n">
        <x:f>Q64</x:f>
        <x:v>99.64878655742605</x:v>
      </x:c>
      <x:c r="Q34" s="102" t="n">
        <x:f>AE64</x:f>
        <x:v>0.34452275200000004</x:v>
      </x:c>
      <x:c r="R34" s="102" t="n">
        <x:f>AF64</x:f>
        <x:v>0.07177557333333334</x:v>
      </x:c>
      <x:c r="S34" s="102" t="n">
        <x:f>IF(W64="",AI64,"")</x:f>
        <x:v>0.14209556501816134</x:v>
      </x:c>
      <x:c r="T34" s="102" t="n">
        <x:f>IF(W64="",AJ64,"")</x:f>
        <x:v>0.09968649439730395</x:v>
      </x:c>
      <x:c r="U34" s="112" t="n">
        <x:f>IF(ISNUMBER(L34),L34/(60000+L34),IF(L34="","",L34))</x:f>
        <x:v>0.00000402968475183312</x:v>
      </x:c>
      <x:c r="V34" s="30"/>
      <x:c r="W34" s="30"/>
      <x:c r="X34" s="30"/>
    </x:row>
    <x:row r="35" ht="22" customHeight="1">
      <x:c r="A35" s="30" t="str">
        <x:f>A23</x:f>
        <x:v>Qwen3.8 2.4T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20.833000106666667</x:v>
      </x:c>
      <x:c r="H35" s="75" t="n">
        <x:f>IF(W65="",U65*R65,"")</x:f>
        <x:v>9.217859009130525</x:v>
      </x:c>
      <x:c r="I35" s="75" t="n">
        <x:f>IF(W65="",U65*S65,"")</x:f>
        <x:v>3.281941054870341</x:v>
      </x:c>
      <x:c r="J35" s="75" t="n">
        <x:f>IF(W65="",U65*MAX(0,R65-S65),"")</x:f>
        <x:v>5.935917954260184</x:v>
      </x:c>
      <x:c r="K35" s="75" t="n">
        <x:f>IF(W65="",IF(OR(AK65=0,K65=0),0,U65*E23*MIN(1,(K65+AL65)/L65)),"")</x:f>
        <x:v>575.0430288400001</x:v>
      </x:c>
      <x:c r="L35" s="34" t="n">
        <x:f>IF(W65="",V65,"")</x:f>
        <x:v>0.12089102970773265</x:v>
      </x:c>
      <x:c r="M35" s="34" t="n">
        <x:f>IF(W65="",E35*V65/60,"")</x:f>
        <x:v>0.020148504951288775</x:v>
      </x:c>
      <x:c r="N35" s="34" t="n">
        <x:f>IF(W65="",V65/60000*1e6,"")</x:f>
        <x:v>2.0148504951288775</x:v>
      </x:c>
      <x:c r="O35" s="30" t="str">
        <x:f>IF(W65="","",W65)</x:f>
      </x:c>
      <x:c r="P35" s="49" t="n">
        <x:f>Q65</x:f>
        <x:v>49.46419046299507</x:v>
      </x:c>
      <x:c r="Q35" s="102" t="n">
        <x:f>AE65</x:f>
        <x:v>0.34452275200000004</x:v>
      </x:c>
      <x:c r="R35" s="102" t="n">
        <x:f>AF65</x:f>
        <x:v>0.07177557333333334</x:v>
      </x:c>
      <x:c r="S35" s="102" t="n">
        <x:f>IF(W65="",AI65,"")</x:f>
        <x:v>0.07104778250908067</x:v>
      </x:c>
      <x:c r="T35" s="102" t="n">
        <x:f>IF(W65="",AJ65,"")</x:f>
        <x:v>0.04984324719865198</x:v>
      </x:c>
      <x:c r="U35" s="112" t="n">
        <x:f>IF(ISNUMBER(L35),L35/(60000+L35),IF(L35="","",L35))</x:f>
        <x:v>0.0000020148464355145392</x:v>
      </x:c>
      <x:c r="V35" s="30"/>
      <x:c r="W35" s="30"/>
      <x:c r="X35" s="30"/>
    </x:row>
    <x:row r="36" ht="22" customHeight="1">
      <x:c r="A36" s="30" t="str">
        <x:f>A23</x:f>
        <x:v>Qwen3.8 2.4T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20.833000106666667</x:v>
      </x:c>
      <x:c r="H36" s="75" t="n">
        <x:f>IF(W66="",U66*R66,"")</x:f>
        <x:v>6.092625156739584</x:v>
      </x:c>
      <x:c r="I36" s="75" t="n">
        <x:f>IF(W66="",U66*S66,"")</x:f>
        <x:v>0.15727487526084882</x:v>
      </x:c>
      <x:c r="J36" s="75" t="n">
        <x:f>IF(W66="",U66*MAX(0,R66-S66),"")</x:f>
        <x:v>5.935350281478735</x:v>
      </x:c>
      <x:c r="K36" s="75" t="n">
        <x:f>IF(W66="",IF(OR(AK66=0,K66=0),0,U66*E23*MIN(1,(K66+AL66)/L66)),"")</x:f>
        <x:v>287.5215144200001</x:v>
      </x:c>
      <x:c r="L36" s="34" t="n">
        <x:f>IF(W66="",V66,"")</x:f>
        <x:v>0.060445514853866324</x:v>
      </x:c>
      <x:c r="M36" s="34" t="n">
        <x:f>IF(W66="",E36*V66/60,"")</x:f>
        <x:v>0.020148504951288775</x:v>
      </x:c>
      <x:c r="N36" s="34" t="n">
        <x:f>IF(W66="",V66/60000*1e6,"")</x:f>
        <x:v>1.0074252475644387</x:v>
      </x:c>
      <x:c r="O36" s="30" t="str">
        <x:f>IF(W66="","",W66)</x:f>
      </x:c>
      <x:c r="P36" s="49" t="n">
        <x:f>Q66</x:f>
        <x:v>24.643017535614106</x:v>
      </x:c>
      <x:c r="Q36" s="102" t="n">
        <x:f>AE66</x:f>
        <x:v>0.34452275200000004</x:v>
      </x:c>
      <x:c r="R36" s="102" t="n">
        <x:f>AF66</x:f>
        <x:v>0.07177557333333334</x:v>
      </x:c>
      <x:c r="S36" s="102" t="n">
        <x:f>IF(W66="",AI66,"")</x:f>
        <x:v>0.035523891254540335</x:v>
      </x:c>
      <x:c r="T36" s="102" t="n">
        <x:f>IF(W66="",AJ66,"")</x:f>
        <x:v>0.02492162359932599</x:v>
      </x:c>
      <x:c r="U36" s="112" t="n">
        <x:f>IF(ISNUMBER(L36),L36/(60000+L36),IF(L36="","",L36))</x:f>
        <x:v>0.0000010074242326598318</x:v>
      </x:c>
      <x:c r="V36" s="30"/>
      <x:c r="W36" s="30"/>
      <x:c r="X36" s="30"/>
    </x:row>
    <x:row r="37" ht="22" customHeight="1">
      <x:c r="A37" s="30" t="str">
        <x:f>A23</x:f>
        <x:v>Qwen3.8 2.4T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20.833000106666667</x:v>
      </x:c>
      <x:c r="H37" s="75" t="n">
        <x:f>IF(W67="",U67*R67,"")</x:f>
        <x:v>5.050880539275493</x:v>
      </x:c>
      <x:c r="I37" s="75" t="n">
        <x:f>IF(W67="",U67*S67,"")</x:f>
        <x:v>0</x:v>
      </x:c>
      <x:c r="J37" s="75" t="n">
        <x:f>IF(W67="",U67*MAX(0,R67-S67),"")</x:f>
        <x:v>5.050880539275493</x:v>
      </x:c>
      <x:c r="K37" s="75" t="n">
        <x:f>IF(W67="",IF(OR(AK67=0,K67=0),0,U67*E23*MIN(1,(K67+AL67)/L67)),"")</x:f>
        <x:v>191.68100961333337</x:v>
      </x:c>
      <x:c r="L37" s="34" t="n">
        <x:f>IF(W67="",V67,"")</x:f>
        <x:v>0.04029700990257755</x:v>
      </x:c>
      <x:c r="M37" s="34" t="n">
        <x:f>IF(W67="",E37*V67/60,"")</x:f>
        <x:v>0.020148504951288775</x:v>
      </x:c>
      <x:c r="N37" s="34" t="n">
        <x:f>IF(W67="",V67/60000*1e6,"")</x:f>
        <x:v>0.6716168317096258</x:v>
      </x:c>
      <x:c r="O37" s="30" t="str">
        <x:f>IF(W67="","",W67)</x:f>
      </x:c>
      <x:c r="P37" s="49" t="n">
        <x:f>Q67</x:f>
        <x:v>16.408978260749315</x:v>
      </x:c>
      <x:c r="Q37" s="102" t="n">
        <x:f>AE67</x:f>
        <x:v>0.34452275200000004</x:v>
      </x:c>
      <x:c r="R37" s="102" t="n">
        <x:f>AF67</x:f>
        <x:v>0.07177557333333334</x:v>
      </x:c>
      <x:c r="S37" s="102" t="n">
        <x:f>IF(W67="",AI67,"")</x:f>
        <x:v>0.023682594169693556</x:v>
      </x:c>
      <x:c r="T37" s="102" t="n">
        <x:f>IF(W67="",AJ67,"")</x:f>
        <x:v>0.016614415732883994</x:v>
      </x:c>
      <x:c r="U37" s="112" t="n">
        <x:f>IF(ISNUMBER(L37),L37/(60000+L37),IF(L37="","",L37))</x:f>
        <x:v>6.716163806407602e-7</x:v>
      </x:c>
      <x:c r="V37" s="30"/>
      <x:c r="W37" s="30"/>
      <x:c r="X37" s="30"/>
    </x:row>
    <x:row r="38" ht="22" customHeight="1">
      <x:c r="A38" s="30" t="str">
        <x:f>A23</x:f>
        <x:v>Qwen3.8 2.4T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82.57315498666667</x:v>
      </x:c>
      <x:c r="H38" s="75" t="n">
        <x:f>IF(W68="",U68*R68,"")</x:f>
        <x:v>17.50413988063837</x:v>
      </x:c>
      <x:c r="I38" s="75" t="n">
        <x:f>IF(W68="",U68*S68,"")</x:f>
        <x:v>15.525122114029344</x:v>
      </x:c>
      <x:c r="J38" s="75" t="n">
        <x:f>IF(W68="",U68*MAX(0,R68-S68),"")</x:f>
        <x:v>1.9790177666090258</x:v>
      </x:c>
      <x:c r="K38" s="75" t="n">
        <x:f>IF(W68="",IF(OR(AK68=0,K68=0),0,U68*E23*MIN(1,(K68+AL68)/L68)),"")</x:f>
        <x:v>1519.3808690186665</x:v>
      </x:c>
      <x:c r="L38" s="34" t="n">
        <x:f>IF(W68="",V68,"")</x:f>
        <x:v>0.31944105001158274</x:v>
      </x:c>
      <x:c r="M38" s="34" t="n">
        <x:f>IF(W68="",E38*V68/60,"")</x:f>
        <x:v>0.026620087500965228</x:v>
      </x:c>
      <x:c r="N38" s="34" t="n">
        <x:f>IF(W68="",V68/60000*1e6,"")</x:f>
        <x:v>5.324017500193046</x:v>
      </x:c>
      <x:c r="O38" s="30" t="str">
        <x:f>IF(W68="","",W68)</x:f>
      </x:c>
      <x:c r="P38" s="49" t="n">
        <x:f>Q68</x:f>
        <x:v>99.64878655742605</x:v>
      </x:c>
      <x:c r="Q38" s="102" t="n">
        <x:f>AE68</x:f>
        <x:v>0.34452275200000004</x:v>
      </x:c>
      <x:c r="R38" s="102" t="n">
        <x:f>AF68</x:f>
        <x:v>0.07177557333333334</x:v>
      </x:c>
      <x:c r="S38" s="102" t="n">
        <x:f>IF(W68="",AI68,"")</x:f>
        <x:v>0.18773588489690812</x:v>
      </x:c>
      <x:c r="T38" s="102" t="n">
        <x:f>IF(W68="",AJ68,"")</x:f>
        <x:v>0.13170516511467462</x:v>
      </x:c>
      <x:c r="U38" s="112" t="n">
        <x:f>IF(ISNUMBER(L38),L38/(60000+L38),IF(L38="","",L38))</x:f>
        <x:v>0.000005323989155181612</x:v>
      </x:c>
      <x:c r="V38" s="30"/>
      <x:c r="W38" s="30"/>
      <x:c r="X38" s="30"/>
    </x:row>
    <x:row r="39" ht="22" customHeight="1">
      <x:c r="A39" s="30" t="str">
        <x:f>A23</x:f>
        <x:v>Qwen3.8 2.4T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82.57315498666667</x:v>
      </x:c>
      <x:c r="H39" s="75" t="n">
        <x:f>IF(W69="",U69*R69,"")</x:f>
        <x:v>9.246635157710514</x:v>
      </x:c>
      <x:c r="I39" s="75" t="n">
        <x:f>IF(W69="",U69*S69,"")</x:f>
        <x:v>7.267995839623342</x:v>
      </x:c>
      <x:c r="J39" s="75" t="n">
        <x:f>IF(W69="",U69*MAX(0,R69-S69),"")</x:f>
        <x:v>1.978639318087172</x:v>
      </x:c>
      <x:c r="K39" s="75" t="n">
        <x:f>IF(W69="",IF(OR(AK69=0,K69=0),0,U69*E23*MIN(1,(K69+AL69)/L69)),"")</x:f>
        <x:v>759.6904345093333</x:v>
      </x:c>
      <x:c r="L39" s="34" t="n">
        <x:f>IF(W69="",V69,"")</x:f>
        <x:v>0.15972052500579137</x:v>
      </x:c>
      <x:c r="M39" s="34" t="n">
        <x:f>IF(W69="",E39*V69/60,"")</x:f>
        <x:v>0.026620087500965228</x:v>
      </x:c>
      <x:c r="N39" s="34" t="n">
        <x:f>IF(W69="",V69/60000*1e6,"")</x:f>
        <x:v>2.662008750096523</x:v>
      </x:c>
      <x:c r="O39" s="30" t="str">
        <x:f>IF(W69="","",W69)</x:f>
      </x:c>
      <x:c r="P39" s="49" t="n">
        <x:f>Q69</x:f>
        <x:v>49.46419046299507</x:v>
      </x:c>
      <x:c r="Q39" s="102" t="n">
        <x:f>AE69</x:f>
        <x:v>0.34452275200000004</x:v>
      </x:c>
      <x:c r="R39" s="102" t="n">
        <x:f>AF69</x:f>
        <x:v>0.07177557333333334</x:v>
      </x:c>
      <x:c r="S39" s="102" t="n">
        <x:f>IF(W69="",AI69,"")</x:f>
        <x:v>0.09386794244845406</x:v>
      </x:c>
      <x:c r="T39" s="102" t="n">
        <x:f>IF(W69="",AJ69,"")</x:f>
        <x:v>0.06585258255733731</x:v>
      </x:c>
      <x:c r="U39" s="112" t="n">
        <x:f>IF(ISNUMBER(L39),L39/(60000+L39),IF(L39="","",L39))</x:f>
        <x:v>0.0000026620016638248008</x:v>
      </x:c>
      <x:c r="V39" s="30"/>
      <x:c r="W39" s="30"/>
      <x:c r="X39" s="30"/>
    </x:row>
    <x:row r="40" ht="22" customHeight="1">
      <x:c r="A40" s="30" t="str">
        <x:f>A23</x:f>
        <x:v>Qwen3.8 2.4T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82.57315498666667</x:v>
      </x:c>
      <x:c r="H40" s="75" t="n">
        <x:f>IF(W70="",U70*R70,"")</x:f>
        <x:v>5.117882796246254</x:v>
      </x:c>
      <x:c r="I40" s="75" t="n">
        <x:f>IF(W70="",U70*S70,"")</x:f>
        <x:v>3.1394327024206747</x:v>
      </x:c>
      <x:c r="J40" s="75" t="n">
        <x:f>IF(W70="",U70*MAX(0,R70-S70),"")</x:f>
        <x:v>1.978450093825579</x:v>
      </x:c>
      <x:c r="K40" s="75" t="n">
        <x:f>IF(W70="",IF(OR(AK70=0,K70=0),0,U70*E23*MIN(1,(K70+AL70)/L70)),"")</x:f>
        <x:v>379.84521725466664</x:v>
      </x:c>
      <x:c r="L40" s="34" t="n">
        <x:f>IF(W70="",V70,"")</x:f>
        <x:v>0.07986026250289568</x:v>
      </x:c>
      <x:c r="M40" s="34" t="n">
        <x:f>IF(W70="",E40*V70/60,"")</x:f>
        <x:v>0.026620087500965228</x:v>
      </x:c>
      <x:c r="N40" s="34" t="n">
        <x:f>IF(W70="",V70/60000*1e6,"")</x:f>
        <x:v>1.3310043750482614</x:v>
      </x:c>
      <x:c r="O40" s="30" t="str">
        <x:f>IF(W70="","",W70)</x:f>
      </x:c>
      <x:c r="P40" s="49" t="n">
        <x:f>Q70</x:f>
        <x:v>24.643017535614106</x:v>
      </x:c>
      <x:c r="Q40" s="102" t="n">
        <x:f>AE70</x:f>
        <x:v>0.34452275200000004</x:v>
      </x:c>
      <x:c r="R40" s="102" t="n">
        <x:f>AF70</x:f>
        <x:v>0.07177557333333334</x:v>
      </x:c>
      <x:c r="S40" s="102" t="n">
        <x:f>IF(W70="",AI70,"")</x:f>
        <x:v>0.04693397122422703</x:v>
      </x:c>
      <x:c r="T40" s="102" t="n">
        <x:f>IF(W70="",AJ70,"")</x:f>
        <x:v>0.032926291278668654</x:v>
      </x:c>
      <x:c r="U40" s="112" t="n">
        <x:f>IF(ISNUMBER(L40),L40/(60000+L40),IF(L40="","",L40))</x:f>
        <x:v>0.0000013310026034779731</x:v>
      </x:c>
      <x:c r="V40" s="30"/>
      <x:c r="W40" s="30"/>
      <x:c r="X40" s="30"/>
    </x:row>
    <x:row r="41" ht="22" customHeight="1">
      <x:c r="A41" s="30" t="str">
        <x:f>A23</x:f>
        <x:v>Qwen3.8 2.4T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82.57315498666667</x:v>
      </x:c>
      <x:c r="H41" s="75" t="n">
        <x:f>IF(W71="",U71*R71,"")</x:f>
        <x:v>3.741632009091944</x:v>
      </x:c>
      <x:c r="I41" s="75" t="n">
        <x:f>IF(W71="",U71*S71,"")</x:f>
        <x:v>1.7632449900193414</x:v>
      </x:c>
      <x:c r="J41" s="75" t="n">
        <x:f>IF(W71="",U71*MAX(0,R71-S71),"")</x:f>
        <x:v>1.9783870190726027</x:v>
      </x:c>
      <x:c r="K41" s="75" t="n">
        <x:f>IF(W71="",IF(OR(AK71=0,K71=0),0,U71*E23*MIN(1,(K71+AL71)/L71)),"")</x:f>
        <x:v>253.23014483644442</x:v>
      </x:c>
      <x:c r="L41" s="34" t="n">
        <x:f>IF(W71="",V71,"")</x:f>
        <x:v>0.053240175001930456</x:v>
      </x:c>
      <x:c r="M41" s="34" t="n">
        <x:f>IF(W71="",E41*V71/60,"")</x:f>
        <x:v>0.026620087500965228</x:v>
      </x:c>
      <x:c r="N41" s="34" t="n">
        <x:f>IF(W71="",V71/60000*1e6,"")</x:f>
        <x:v>0.8873362500321743</x:v>
      </x:c>
      <x:c r="O41" s="30" t="str">
        <x:f>IF(W71="","",W71)</x:f>
      </x:c>
      <x:c r="P41" s="49" t="n">
        <x:f>Q71</x:f>
        <x:v>16.408978260749315</x:v>
      </x:c>
      <x:c r="Q41" s="102" t="n">
        <x:f>AE71</x:f>
        <x:v>0.34452275200000004</x:v>
      </x:c>
      <x:c r="R41" s="102" t="n">
        <x:f>AF71</x:f>
        <x:v>0.07177557333333334</x:v>
      </x:c>
      <x:c r="S41" s="102" t="n">
        <x:f>IF(W71="",AI71,"")</x:f>
        <x:v>0.03128931414948469</x:v>
      </x:c>
      <x:c r="T41" s="102" t="n">
        <x:f>IF(W71="",AJ71,"")</x:f>
        <x:v>0.02195086085244577</x:v>
      </x:c>
      <x:c r="U41" s="112" t="n">
        <x:f>IF(ISNUMBER(L41),L41/(60000+L41),IF(L41="","",L41))</x:f>
        <x:v>8.873354626672523e-7</x:v>
      </x:c>
      <x:c r="V41" s="30"/>
      <x:c r="W41" s="30"/>
      <x:c r="X41" s="30"/>
    </x:row>
    <x:row r="42" ht="22" customHeight="1">
      <x:c r="A42" s="30" t="str">
        <x:f>A24</x:f>
        <x:v>Qwen3.8 2.4T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1.5392017066666666</x:v>
      </x:c>
      <x:c r="H42" s="75" t="n">
        <x:f>IF(W72="",U72*R72,"")</x:f>
        <x:v>19.46033253706414</x:v>
      </x:c>
      <x:c r="I42" s="75" t="n">
        <x:f>IF(W72="",U72*S72,"")</x:f>
        <x:v>0</x:v>
      </x:c>
      <x:c r="J42" s="75" t="n">
        <x:f>IF(W72="",U72*MAX(0,R72-S72),"")</x:f>
        <x:v>19.46033253706414</x:v>
      </x:c>
      <x:c r="K42" s="75" t="n">
        <x:f>IF(W72="",IF(OR(AK72=0,K72=0),0,U72*E24*MIN(1,(K72+AL72)/L72)),"")</x:f>
        <x:v>425.35059341</x:v>
      </x:c>
      <x:c r="L42" s="34" t="n">
        <x:f>IF(W72="",V72,"")</x:f>
        <x:v>0.09079635963657506</x:v>
      </x:c>
      <x:c r="M42" s="34" t="n">
        <x:f>IF(W72="",E42*V72/60,"")</x:f>
        <x:v>0.007566363303047922</x:v>
      </x:c>
      <x:c r="N42" s="34" t="n">
        <x:f>IF(W72="",V72/60000*1e6,"")</x:f>
        <x:v>1.5132726606095843</x:v>
      </x:c>
      <x:c r="O42" s="30" t="str">
        <x:f>IF(W72="","",W72)</x:f>
      </x:c>
      <x:c r="P42" s="49" t="n">
        <x:f>Q72</x:f>
        <x:v>102.46145391993403</x:v>
      </x:c>
      <x:c r="Q42" s="102" t="n">
        <x:f>AE72</x:f>
        <x:v>0.34452275200000004</x:v>
      </x:c>
      <x:c r="R42" s="102" t="n">
        <x:f>AF72</x:f>
        <x:v>0.07177557333333334</x:v>
      </x:c>
      <x:c r="S42" s="102" t="n">
        <x:f>IF(W72="",AI72,"")</x:f>
        <x:v>0.053971701629305126</x:v>
      </x:c>
      <x:c r="T42" s="102" t="n">
        <x:f>IF(W72="",AJ72,"")</x:f>
        <x:v>0.03682465800726994</x:v>
      </x:c>
      <x:c r="U42" s="112" t="n">
        <x:f>IF(ISNUMBER(L42),L42/(60000+L42),IF(L42="","",L42))</x:f>
        <x:v>0.0000015132703706189044</x:v>
      </x:c>
      <x:c r="V42" s="30"/>
      <x:c r="W42" s="30"/>
      <x:c r="X42" s="30"/>
    </x:row>
    <x:row r="43" ht="22" customHeight="1">
      <x:c r="A43" s="30" t="str">
        <x:f>A24</x:f>
        <x:v>Qwen3.8 2.4T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1.5392017066666666</x:v>
      </x:c>
      <x:c r="H43" s="75" t="n">
        <x:f>IF(W73="",U73*R73,"")</x:f>
        <x:v>17.148644529402013</x:v>
      </x:c>
      <x:c r="I43" s="75" t="n">
        <x:f>IF(W73="",U73*S73,"")</x:f>
        <x:v>0</x:v>
      </x:c>
      <x:c r="J43" s="75" t="n">
        <x:f>IF(W73="",U73*MAX(0,R73-S73),"")</x:f>
        <x:v>17.148644529402013</x:v>
      </x:c>
      <x:c r="K43" s="75" t="n">
        <x:f>IF(W73="",IF(OR(AK73=0,K73=0),0,U73*E24*MIN(1,(K73+AL73)/L73)),"")</x:f>
        <x:v>212.675296705</x:v>
      </x:c>
      <x:c r="L43" s="34" t="n">
        <x:f>IF(W73="",V73,"")</x:f>
        <x:v>0.04539817981828753</x:v>
      </x:c>
      <x:c r="M43" s="34" t="n">
        <x:f>IF(W73="",E43*V73/60,"")</x:f>
        <x:v>0.007566363303047922</x:v>
      </x:c>
      <x:c r="N43" s="34" t="n">
        <x:f>IF(W73="",V73/60000*1e6,"")</x:f>
        <x:v>0.7566363303047922</x:v>
      </x:c>
      <x:c r="O43" s="30" t="str">
        <x:f>IF(W73="","",W73)</x:f>
      </x:c>
      <x:c r="P43" s="49" t="n">
        <x:f>Q73</x:f>
        <x:v>50.860357129289284</x:v>
      </x:c>
      <x:c r="Q43" s="102" t="n">
        <x:f>AE73</x:f>
        <x:v>0.34452275200000004</x:v>
      </x:c>
      <x:c r="R43" s="102" t="n">
        <x:f>AF73</x:f>
        <x:v>0.07177557333333334</x:v>
      </x:c>
      <x:c r="S43" s="102" t="n">
        <x:f>IF(W73="",AI73,"")</x:f>
        <x:v>0.026985850814652563</x:v>
      </x:c>
      <x:c r="T43" s="102" t="n">
        <x:f>IF(W73="",AJ73,"")</x:f>
        <x:v>0.01841232900363497</x:v>
      </x:c>
      <x:c r="U43" s="112" t="n">
        <x:f>IF(ISNUMBER(L43),L43/(60000+L43),IF(L43="","",L43))</x:f>
        <x:v>7.56635757806689e-7</x:v>
      </x:c>
      <x:c r="V43" s="30"/>
      <x:c r="W43" s="30"/>
      <x:c r="X43" s="30"/>
    </x:row>
    <x:row r="44" ht="22" customHeight="1">
      <x:c r="A44" s="30" t="str">
        <x:f>A24</x:f>
        <x:v>Qwen3.8 2.4T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1.5392017066666666</x:v>
      </x:c>
      <x:c r="H44" s="75" t="n">
        <x:f>IF(W74="",U74*R74,"")</x:f>
        <x:v>15.992800525570283</x:v>
      </x:c>
      <x:c r="I44" s="75" t="n">
        <x:f>IF(W74="",U74*S74,"")</x:f>
        <x:v>0</x:v>
      </x:c>
      <x:c r="J44" s="75" t="n">
        <x:f>IF(W74="",U74*MAX(0,R74-S74),"")</x:f>
        <x:v>15.992800525570283</x:v>
      </x:c>
      <x:c r="K44" s="75" t="n">
        <x:f>IF(W74="",IF(OR(AK74=0,K74=0),0,U74*E24*MIN(1,(K74+AL74)/L74)),"")</x:f>
        <x:v>106.3376483525</x:v>
      </x:c>
      <x:c r="L44" s="34" t="n">
        <x:f>IF(W74="",V74,"")</x:f>
        <x:v>0.022699089909143766</x:v>
      </x:c>
      <x:c r="M44" s="34" t="n">
        <x:f>IF(W74="",E44*V74/60,"")</x:f>
        <x:v>0.007566363303047922</x:v>
      </x:c>
      <x:c r="N44" s="34" t="n">
        <x:f>IF(W74="",V74/60000*1e6,"")</x:f>
        <x:v>0.3783181651523961</x:v>
      </x:c>
      <x:c r="O44" s="30" t="str">
        <x:f>IF(W74="","",W74)</x:f>
      </x:c>
      <x:c r="P44" s="49" t="n">
        <x:f>Q74</x:f>
        <x:v>25.33858657895805</x:v>
      </x:c>
      <x:c r="Q44" s="102" t="n">
        <x:f>AE74</x:f>
        <x:v>0.34452275200000004</x:v>
      </x:c>
      <x:c r="R44" s="102" t="n">
        <x:f>AF74</x:f>
        <x:v>0.07177557333333334</x:v>
      </x:c>
      <x:c r="S44" s="102" t="n">
        <x:f>IF(W74="",AI74,"")</x:f>
        <x:v>0.013492925407326281</x:v>
      </x:c>
      <x:c r="T44" s="102" t="n">
        <x:f>IF(W74="",AJ74,"")</x:f>
        <x:v>0.009206164501817484</x:v>
      </x:c>
      <x:c r="U44" s="112" t="n">
        <x:f>IF(ISNUMBER(L44),L44/(60000+L44),IF(L44="","",L44))</x:f>
        <x:v>3.783180220278162e-7</x:v>
      </x:c>
      <x:c r="V44" s="30"/>
      <x:c r="W44" s="30"/>
      <x:c r="X44" s="30"/>
    </x:row>
    <x:row r="45" ht="22" customHeight="1">
      <x:c r="A45" s="30" t="str">
        <x:f>A24</x:f>
        <x:v>Qwen3.8 2.4T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1.5392017066666666</x:v>
      </x:c>
      <x:c r="H45" s="75" t="n">
        <x:f>IF(W75="",U75*R75,"")</x:f>
        <x:v>15.60751919096015</x:v>
      </x:c>
      <x:c r="I45" s="75" t="n">
        <x:f>IF(W75="",U75*S75,"")</x:f>
        <x:v>0</x:v>
      </x:c>
      <x:c r="J45" s="75" t="n">
        <x:f>IF(W75="",U75*MAX(0,R75-S75),"")</x:f>
        <x:v>15.60751919096015</x:v>
      </x:c>
      <x:c r="K45" s="75" t="n">
        <x:f>IF(W75="",IF(OR(AK75=0,K75=0),0,U75*E24*MIN(1,(K75+AL75)/L75)),"")</x:f>
        <x:v>70.89176556833333</x:v>
      </x:c>
      <x:c r="L45" s="34" t="n">
        <x:f>IF(W75="",V75,"")</x:f>
        <x:v>0.015132726606095843</x:v>
      </x:c>
      <x:c r="M45" s="34" t="n">
        <x:f>IF(W75="",E45*V75/60,"")</x:f>
        <x:v>0.007566363303047921</x:v>
      </x:c>
      <x:c r="N45" s="34" t="n">
        <x:f>IF(W75="",V75/60000*1e6,"")</x:f>
        <x:v>0.2522121101015974</x:v>
      </x:c>
      <x:c r="O45" s="30" t="str">
        <x:f>IF(W75="","",W75)</x:f>
      </x:c>
      <x:c r="P45" s="49" t="n">
        <x:f>Q75</x:f>
        <x:v>16.87213490520595</x:v>
      </x:c>
      <x:c r="Q45" s="102" t="n">
        <x:f>AE75</x:f>
        <x:v>0.34452275200000004</x:v>
      </x:c>
      <x:c r="R45" s="102" t="n">
        <x:f>AF75</x:f>
        <x:v>0.07177557333333334</x:v>
      </x:c>
      <x:c r="S45" s="102" t="n">
        <x:f>IF(W75="",AI75,"")</x:f>
        <x:v>0.008995283604884188</x:v>
      </x:c>
      <x:c r="T45" s="102" t="n">
        <x:f>IF(W75="",AJ75,"")</x:f>
        <x:v>0.006137443001211656</x:v>
      </x:c>
      <x:c r="U45" s="112" t="n">
        <x:f>IF(ISNUMBER(L45),L45/(60000+L45),IF(L45="","",L45))</x:f>
        <x:v>2.522120464906649e-7</x:v>
      </x:c>
      <x:c r="V45" s="30"/>
      <x:c r="W45" s="30"/>
      <x:c r="X45" s="30"/>
    </x:row>
    <x:row r="46" ht="22" customHeight="1">
      <x:c r="A46" s="30" t="str">
        <x:f>A24</x:f>
        <x:v>Qwen3.8 2.4T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20.833000106666667</x:v>
      </x:c>
      <x:c r="H46" s="75" t="n">
        <x:f>IF(W76="",U76*R76,"")</x:f>
        <x:v>15.468345547413165</x:v>
      </x:c>
      <x:c r="I46" s="75" t="n">
        <x:f>IF(W76="",U76*S76,"")</x:f>
        <x:v>9.531254580588566</x:v>
      </x:c>
      <x:c r="J46" s="75" t="n">
        <x:f>IF(W76="",U76*MAX(0,R76-S76),"")</x:f>
        <x:v>5.937090966824599</x:v>
      </x:c>
      <x:c r="K46" s="75" t="n">
        <x:f>IF(W76="",IF(OR(AK76=0,K76=0),0,U76*E24*MIN(1,(K76+AL76)/L76)),"")</x:f>
        <x:v>1150.0877903619999</x:v>
      </x:c>
      <x:c r="L46" s="34" t="n">
        <x:f>IF(W76="",V76,"")</x:f>
        <x:v>0.24579280910131965</x:v>
      </x:c>
      <x:c r="M46" s="34" t="n">
        <x:f>IF(W76="",E46*V76/60,"")</x:f>
        <x:v>0.020482734091776637</x:v>
      </x:c>
      <x:c r="N46" s="34" t="n">
        <x:f>IF(W76="",V76/60000*1e6,"")</x:f>
        <x:v>4.0965468183553275</x:v>
      </x:c>
      <x:c r="O46" s="30" t="str">
        <x:f>IF(W76="","",W76)</x:f>
      </x:c>
      <x:c r="P46" s="49" t="n">
        <x:f>Q76</x:f>
        <x:v>102.46145391993403</x:v>
      </x:c>
      <x:c r="Q46" s="102" t="n">
        <x:f>AE76</x:f>
        <x:v>0.34452275200000004</x:v>
      </x:c>
      <x:c r="R46" s="102" t="n">
        <x:f>AF76</x:f>
        <x:v>0.07177557333333334</x:v>
      </x:c>
      <x:c r="S46" s="102" t="n">
        <x:f>IF(W76="",AI76,"")</x:f>
        <x:v>0.1461063147040157</x:v>
      </x:c>
      <x:c r="T46" s="102" t="n">
        <x:f>IF(W76="",AJ76,"")</x:f>
        <x:v>0.09968649439730395</x:v>
      </x:c>
      <x:c r="U46" s="112" t="n">
        <x:f>IF(ISNUMBER(L46),L46/(60000+L46),IF(L46="","",L46))</x:f>
        <x:v>0.000004096530036728239</x:v>
      </x:c>
      <x:c r="V46" s="30"/>
      <x:c r="W46" s="30"/>
      <x:c r="X46" s="30"/>
    </x:row>
    <x:row r="47" ht="22" customHeight="1">
      <x:c r="A47" s="30" t="str">
        <x:f>A24</x:f>
        <x:v>Qwen3.8 2.4T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20.833000106666667</x:v>
      </x:c>
      <x:c r="H47" s="75" t="n">
        <x:f>IF(W77="",U77*R77,"")</x:f>
        <x:v>9.217868425881237</x:v>
      </x:c>
      <x:c r="I47" s="75" t="n">
        <x:f>IF(W77="",U77*S77,"")</x:f>
        <x:v>3.2819316381196284</x:v>
      </x:c>
      <x:c r="J47" s="75" t="n">
        <x:f>IF(W77="",U77*MAX(0,R77-S77),"")</x:f>
        <x:v>5.935936787761609</x:v>
      </x:c>
      <x:c r="K47" s="75" t="n">
        <x:f>IF(W77="",IF(OR(AK77=0,K77=0),0,U77*E24*MIN(1,(K77+AL77)/L77)),"")</x:f>
        <x:v>575.0438951809999</x:v>
      </x:c>
      <x:c r="L47" s="34" t="n">
        <x:f>IF(W77="",V77,"")</x:f>
        <x:v>0.12289640455065982</x:v>
      </x:c>
      <x:c r="M47" s="34" t="n">
        <x:f>IF(W77="",E47*V77/60,"")</x:f>
        <x:v>0.020482734091776637</x:v>
      </x:c>
      <x:c r="N47" s="34" t="n">
        <x:f>IF(W77="",V77/60000*1e6,"")</x:f>
        <x:v>2.0482734091776638</x:v>
      </x:c>
      <x:c r="O47" s="30" t="str">
        <x:f>IF(W77="","",W77)</x:f>
      </x:c>
      <x:c r="P47" s="49" t="n">
        <x:f>Q77</x:f>
        <x:v>50.860357129289284</x:v>
      </x:c>
      <x:c r="Q47" s="102" t="n">
        <x:f>AE77</x:f>
        <x:v>0.34452275200000004</x:v>
      </x:c>
      <x:c r="R47" s="102" t="n">
        <x:f>AF77</x:f>
        <x:v>0.07177557333333334</x:v>
      </x:c>
      <x:c r="S47" s="102" t="n">
        <x:f>IF(W77="",AI77,"")</x:f>
        <x:v>0.07305315735200785</x:v>
      </x:c>
      <x:c r="T47" s="102" t="n">
        <x:f>IF(W77="",AJ77,"")</x:f>
        <x:v>0.04984324719865198</x:v>
      </x:c>
      <x:c r="U47" s="112" t="n">
        <x:f>IF(ISNUMBER(L47),L47/(60000+L47),IF(L47="","",L47))</x:f>
        <x:v>0.0000020482692137622983</x:v>
      </x:c>
      <x:c r="V47" s="30"/>
      <x:c r="W47" s="30"/>
      <x:c r="X47" s="30"/>
    </x:row>
    <x:row r="48" ht="22" customHeight="1">
      <x:c r="A48" s="30" t="str">
        <x:f>A24</x:f>
        <x:v>Qwen3.8 2.4T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20.833000106666667</x:v>
      </x:c>
      <x:c r="H48" s="75" t="n">
        <x:f>IF(W78="",U78*R78,"")</x:f>
        <x:v>6.092629865114274</x:v>
      </x:c>
      <x:c r="I48" s="75" t="n">
        <x:f>IF(W78="",U78*S78,"")</x:f>
        <x:v>0.1572701668861587</x:v>
      </x:c>
      <x:c r="J48" s="75" t="n">
        <x:f>IF(W78="",U78*MAX(0,R78-S78),"")</x:f>
        <x:v>5.935359698228115</x:v>
      </x:c>
      <x:c r="K48" s="75" t="n">
        <x:f>IF(W78="",IF(OR(AK78=0,K78=0),0,U78*E24*MIN(1,(K78+AL78)/L78)),"")</x:f>
        <x:v>287.52194759049996</x:v>
      </x:c>
      <x:c r="L48" s="34" t="n">
        <x:f>IF(W78="",V78,"")</x:f>
        <x:v>0.06144820227532991</x:v>
      </x:c>
      <x:c r="M48" s="34" t="n">
        <x:f>IF(W78="",E48*V78/60,"")</x:f>
        <x:v>0.020482734091776637</x:v>
      </x:c>
      <x:c r="N48" s="34" t="n">
        <x:f>IF(W78="",V78/60000*1e6,"")</x:f>
        <x:v>1.0241367045888319</x:v>
      </x:c>
      <x:c r="O48" s="30" t="str">
        <x:f>IF(W78="","",W78)</x:f>
      </x:c>
      <x:c r="P48" s="49" t="n">
        <x:f>Q78</x:f>
        <x:v>25.33858657895805</x:v>
      </x:c>
      <x:c r="Q48" s="102" t="n">
        <x:f>AE78</x:f>
        <x:v>0.34452275200000004</x:v>
      </x:c>
      <x:c r="R48" s="102" t="n">
        <x:f>AF78</x:f>
        <x:v>0.07177557333333334</x:v>
      </x:c>
      <x:c r="S48" s="102" t="n">
        <x:f>IF(W78="",AI78,"")</x:f>
        <x:v>0.036526578676003923</x:v>
      </x:c>
      <x:c r="T48" s="102" t="n">
        <x:f>IF(W78="",AJ78,"")</x:f>
        <x:v>0.02492162359932599</x:v>
      </x:c>
      <x:c r="U48" s="112" t="n">
        <x:f>IF(ISNUMBER(L48),L48/(60000+L48),IF(L48="","",L48))</x:f>
        <x:v>0.0000010241356557339165</x:v>
      </x:c>
      <x:c r="V48" s="30"/>
      <x:c r="W48" s="30"/>
      <x:c r="X48" s="30"/>
    </x:row>
    <x:row r="49" ht="22" customHeight="1">
      <x:c r="A49" s="30" t="str">
        <x:f>A24</x:f>
        <x:v>Qwen3.8 2.4T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20.833000106666667</x:v>
      </x:c>
      <x:c r="H49" s="75" t="n">
        <x:f>IF(W79="",U79*R79,"")</x:f>
        <x:v>5.050883678192175</x:v>
      </x:c>
      <x:c r="I49" s="75" t="n">
        <x:f>IF(W79="",U79*S79,"")</x:f>
        <x:v>0</x:v>
      </x:c>
      <x:c r="J49" s="75" t="n">
        <x:f>IF(W79="",U79*MAX(0,R79-S79),"")</x:f>
        <x:v>5.050883678192175</x:v>
      </x:c>
      <x:c r="K49" s="75" t="n">
        <x:f>IF(W79="",IF(OR(AK79=0,K79=0),0,U79*E24*MIN(1,(K79+AL79)/L79)),"")</x:f>
        <x:v>191.68129839366665</x:v>
      </x:c>
      <x:c r="L49" s="34" t="n">
        <x:f>IF(W79="",V79,"")</x:f>
        <x:v>0.040965468183553275</x:v>
      </x:c>
      <x:c r="M49" s="34" t="n">
        <x:f>IF(W79="",E49*V79/60,"")</x:f>
        <x:v>0.020482734091776637</x:v>
      </x:c>
      <x:c r="N49" s="34" t="n">
        <x:f>IF(W79="",V79/60000*1e6,"")</x:f>
        <x:v>0.6827578030592213</x:v>
      </x:c>
      <x:c r="O49" s="30" t="str">
        <x:f>IF(W79="","",W79)</x:f>
      </x:c>
      <x:c r="P49" s="49" t="n">
        <x:f>Q79</x:f>
        <x:v>16.87213490520595</x:v>
      </x:c>
      <x:c r="Q49" s="102" t="n">
        <x:f>AE79</x:f>
        <x:v>0.34452275200000004</x:v>
      </x:c>
      <x:c r="R49" s="102" t="n">
        <x:f>AF79</x:f>
        <x:v>0.07177557333333334</x:v>
      </x:c>
      <x:c r="S49" s="102" t="n">
        <x:f>IF(W79="",AI79,"")</x:f>
        <x:v>0.02435105245066928</x:v>
      </x:c>
      <x:c r="T49" s="102" t="n">
        <x:f>IF(W79="",AJ79,"")</x:f>
        <x:v>0.016614415732883994</x:v>
      </x:c>
      <x:c r="U49" s="112" t="n">
        <x:f>IF(ISNUMBER(L49),L49/(60000+L49),IF(L49="","",L49))</x:f>
        <x:v>6.827573369013218e-7</x:v>
      </x:c>
      <x:c r="V49" s="30"/>
      <x:c r="W49" s="30"/>
      <x:c r="X49" s="30"/>
    </x:row>
    <x:row r="50" ht="22" customHeight="1">
      <x:c r="A50" s="30" t="str">
        <x:f>A24</x:f>
        <x:v>Qwen3.8 2.4T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82.57315498666667</x:v>
      </x:c>
      <x:c r="H50" s="75" t="n">
        <x:f>IF(W80="",U80*R80,"")</x:f>
        <x:v>17.50414615847129</x:v>
      </x:c>
      <x:c r="I50" s="75" t="n">
        <x:f>IF(W80="",U80*S80,"")</x:f>
        <x:v>15.525115836196424</x:v>
      </x:c>
      <x:c r="J50" s="75" t="n">
        <x:f>IF(W80="",U80*MAX(0,R80-S80),"")</x:f>
        <x:v>1.9790303222748662</x:v>
      </x:c>
      <x:c r="K50" s="75" t="n">
        <x:f>IF(W80="",IF(OR(AK80=0,K80=0),0,U80*E24*MIN(1,(K80+AL80)/L80)),"")</x:f>
        <x:v>1519.3814465793332</x:v>
      </x:c>
      <x:c r="L50" s="34" t="n">
        <x:f>IF(W80="",V80,"")</x:f>
        <x:v>0.32474004268604484</x:v>
      </x:c>
      <x:c r="M50" s="34" t="n">
        <x:f>IF(W80="",E50*V80/60,"")</x:f>
        <x:v>0.027061670223837066</x:v>
      </x:c>
      <x:c r="N50" s="34" t="n">
        <x:f>IF(W80="",V80/60000*1e6,"")</x:f>
        <x:v>5.412334044767413</x:v>
      </x:c>
      <x:c r="O50" s="30" t="str">
        <x:f>IF(W80="","",W80)</x:f>
      </x:c>
      <x:c r="P50" s="49" t="n">
        <x:f>Q80</x:f>
        <x:v>102.46145391993403</x:v>
      </x:c>
      <x:c r="Q50" s="102" t="n">
        <x:f>AE80</x:f>
        <x:v>0.34452275200000004</x:v>
      </x:c>
      <x:c r="R50" s="102" t="n">
        <x:f>AF80</x:f>
        <x:v>0.07177557333333334</x:v>
      </x:c>
      <x:c r="S50" s="102" t="n">
        <x:f>IF(W80="",AI80,"")</x:f>
        <x:v>0.19303487757137025</x:v>
      </x:c>
      <x:c r="T50" s="102" t="n">
        <x:f>IF(W80="",AJ80,"")</x:f>
        <x:v>0.13170516511467462</x:v>
      </x:c>
      <x:c r="U50" s="112" t="n">
        <x:f>IF(ISNUMBER(L50),L50/(60000+L50),IF(L50="","",L50))</x:f>
        <x:v>0.0000054123047515661465</x:v>
      </x:c>
      <x:c r="V50" s="30"/>
      <x:c r="W50" s="30"/>
      <x:c r="X50" s="30"/>
    </x:row>
    <x:row r="51" ht="22" customHeight="1">
      <x:c r="A51" s="30" t="str">
        <x:f>A24</x:f>
        <x:v>Qwen3.8 2.4T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82.57315498666667</x:v>
      </x:c>
      <x:c r="H51" s="75" t="n">
        <x:f>IF(W81="",U81*R81,"")</x:f>
        <x:v>9.246638296626974</x:v>
      </x:c>
      <x:c r="I51" s="75" t="n">
        <x:f>IF(W81="",U81*S81,"")</x:f>
        <x:v>7.267992700706882</x:v>
      </x:c>
      <x:c r="J51" s="75" t="n">
        <x:f>IF(W81="",U81*MAX(0,R81-S81),"")</x:f>
        <x:v>1.9786455959200921</x:v>
      </x:c>
      <x:c r="K51" s="75" t="n">
        <x:f>IF(W81="",IF(OR(AK81=0,K81=0),0,U81*E24*MIN(1,(K81+AL81)/L81)),"")</x:f>
        <x:v>759.6907232896666</x:v>
      </x:c>
      <x:c r="L51" s="34" t="n">
        <x:f>IF(W81="",V81,"")</x:f>
        <x:v>0.16237002134302242</x:v>
      </x:c>
      <x:c r="M51" s="34" t="n">
        <x:f>IF(W81="",E51*V81/60,"")</x:f>
        <x:v>0.027061670223837066</x:v>
      </x:c>
      <x:c r="N51" s="34" t="n">
        <x:f>IF(W81="",V81/60000*1e6,"")</x:f>
        <x:v>2.7061670223837067</x:v>
      </x:c>
      <x:c r="O51" s="30" t="str">
        <x:f>IF(W81="","",W81)</x:f>
      </x:c>
      <x:c r="P51" s="49" t="n">
        <x:f>Q81</x:f>
        <x:v>50.860357129289284</x:v>
      </x:c>
      <x:c r="Q51" s="102" t="n">
        <x:f>AE81</x:f>
        <x:v>0.34452275200000004</x:v>
      </x:c>
      <x:c r="R51" s="102" t="n">
        <x:f>AF81</x:f>
        <x:v>0.07177557333333334</x:v>
      </x:c>
      <x:c r="S51" s="102" t="n">
        <x:f>IF(W81="",AI81,"")</x:f>
        <x:v>0.09651743878568513</x:v>
      </x:c>
      <x:c r="T51" s="102" t="n">
        <x:f>IF(W81="",AJ81,"")</x:f>
        <x:v>0.06585258255733731</x:v>
      </x:c>
      <x:c r="U51" s="112" t="n">
        <x:f>IF(ISNUMBER(L51),L51/(60000+L51),IF(L51="","",L51))</x:f>
        <x:v>0.000002706159699063572</x:v>
      </x:c>
      <x:c r="V51" s="30"/>
      <x:c r="W51" s="30"/>
      <x:c r="X51" s="30"/>
    </x:row>
    <x:row r="52" ht="22" customHeight="1">
      <x:c r="A52" s="30" t="str">
        <x:f>A24</x:f>
        <x:v>Qwen3.8 2.4T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82.57315498666667</x:v>
      </x:c>
      <x:c r="H52" s="75" t="n">
        <x:f>IF(W82="",U82*R82,"")</x:f>
        <x:v>5.117884365704817</x:v>
      </x:c>
      <x:c r="I52" s="75" t="n">
        <x:f>IF(W82="",U82*S82,"")</x:f>
        <x:v>3.1394311329617786</x:v>
      </x:c>
      <x:c r="J52" s="75" t="n">
        <x:f>IF(W82="",U82*MAX(0,R82-S82),"")</x:f>
        <x:v>1.9784532327430382</x:v>
      </x:c>
      <x:c r="K52" s="75" t="n">
        <x:f>IF(W82="",IF(OR(AK82=0,K82=0),0,U82*E24*MIN(1,(K82+AL82)/L82)),"")</x:f>
        <x:v>379.8453616448333</x:v>
      </x:c>
      <x:c r="L52" s="34" t="n">
        <x:f>IF(W82="",V82,"")</x:f>
        <x:v>0.08118501067151121</x:v>
      </x:c>
      <x:c r="M52" s="34" t="n">
        <x:f>IF(W82="",E52*V82/60,"")</x:f>
        <x:v>0.027061670223837066</x:v>
      </x:c>
      <x:c r="N52" s="34" t="n">
        <x:f>IF(W82="",V82/60000*1e6,"")</x:f>
        <x:v>1.3530835111918533</x:v>
      </x:c>
      <x:c r="O52" s="30" t="str">
        <x:f>IF(W82="","",W82)</x:f>
      </x:c>
      <x:c r="P52" s="49" t="n">
        <x:f>Q82</x:f>
        <x:v>25.33858657895805</x:v>
      </x:c>
      <x:c r="Q52" s="102" t="n">
        <x:f>AE82</x:f>
        <x:v>0.34452275200000004</x:v>
      </x:c>
      <x:c r="R52" s="102" t="n">
        <x:f>AF82</x:f>
        <x:v>0.07177557333333334</x:v>
      </x:c>
      <x:c r="S52" s="102" t="n">
        <x:f>IF(W82="",AI82,"")</x:f>
        <x:v>0.04825871939284256</x:v>
      </x:c>
      <x:c r="T52" s="102" t="n">
        <x:f>IF(W82="",AJ82,"")</x:f>
        <x:v>0.032926291278668654</x:v>
      </x:c>
      <x:c r="U52" s="112" t="n">
        <x:f>IF(ISNUMBER(L52),L52/(60000+L52),IF(L52="","",L52))</x:f>
        <x:v>0.0000013530816803593426</x:v>
      </x:c>
      <x:c r="V52" s="30"/>
      <x:c r="W52" s="30"/>
      <x:c r="X52" s="30"/>
    </x:row>
    <x:row r="53" ht="22" customHeight="1">
      <x:c r="A53" s="30" t="str">
        <x:f>A24</x:f>
        <x:v>Qwen3.8 2.4T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82.57315498666667</x:v>
      </x:c>
      <x:c r="H53" s="75" t="n">
        <x:f>IF(W83="",U83*R83,"")</x:f>
        <x:v>3.741633055397431</x:v>
      </x:c>
      <x:c r="I53" s="75" t="n">
        <x:f>IF(W83="",U83*S83,"")</x:f>
        <x:v>1.7632439437138547</x:v>
      </x:c>
      <x:c r="J53" s="75" t="n">
        <x:f>IF(W83="",U83*MAX(0,R83-S83),"")</x:f>
        <x:v>1.9783891116835761</x:v>
      </x:c>
      <x:c r="K53" s="75" t="n">
        <x:f>IF(W83="",IF(OR(AK83=0,K83=0),0,U83*E24*MIN(1,(K83+AL83)/L83)),"")</x:f>
        <x:v>253.23024109655555</x:v>
      </x:c>
      <x:c r="L53" s="34" t="n">
        <x:f>IF(W83="",V83,"")</x:f>
        <x:v>0.05412334044767415</x:v>
      </x:c>
      <x:c r="M53" s="34" t="n">
        <x:f>IF(W83="",E53*V83/60,"")</x:f>
        <x:v>0.027061670223837073</x:v>
      </x:c>
      <x:c r="N53" s="34" t="n">
        <x:f>IF(W83="",V83/60000*1e6,"")</x:f>
        <x:v>0.9020556741279024</x:v>
      </x:c>
      <x:c r="O53" s="30" t="str">
        <x:f>IF(W83="","",W83)</x:f>
      </x:c>
      <x:c r="P53" s="49" t="n">
        <x:f>Q83</x:f>
        <x:v>16.87213490520595</x:v>
      </x:c>
      <x:c r="Q53" s="102" t="n">
        <x:f>AE83</x:f>
        <x:v>0.34452275200000004</x:v>
      </x:c>
      <x:c r="R53" s="102" t="n">
        <x:f>AF83</x:f>
        <x:v>0.07177557333333334</x:v>
      </x:c>
      <x:c r="S53" s="102" t="n">
        <x:f>IF(W83="",AI83,"")</x:f>
        <x:v>0.03217247959522838</x:v>
      </x:c>
      <x:c r="T53" s="102" t="n">
        <x:f>IF(W83="",AJ83,"")</x:f>
        <x:v>0.02195086085244577</x:v>
      </x:c>
      <x:c r="U53" s="112" t="n">
        <x:f>IF(ISNUMBER(L53),L53/(60000+L53),IF(L53="","",L53))</x:f>
        <x:v>9.020548604241971e-7</x:v>
      </x:c>
      <x:c r="V53" s="30"/>
      <x:c r="W53" s="30"/>
      <x:c r="X53" s="30"/>
    </x:row>
    <x:row r="54" ht="22" customHeight="1">
      <x:c r="A54" s="30" t="str">
        <x:v>Decode throughput loss = Total overhead / (60000 + Total overhead). Fixed batch size and tokens/step; Decode stays busy.</x:v>
      </x:c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EP、TP 增时分别计算后相加；重叠 FW 统计合并层段，不能把两种通信的 FW 次数相加。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全通信概率</x:v>
      </x:c>
      <x:c r="T59" s="73" t="str">
        <x:v>每层平均增时 ms</x:v>
      </x:c>
      <x:c r="U59" s="73" t="str">
        <x:v>基线 FW/min</x:v>
      </x:c>
      <x:c r="V59" s="18" t="str">
        <x:v>Total overhead
ms/60s</x:v>
      </x:c>
      <x:c r="W59" s="73" t="str">
        <x:v>输入 / 调度状态</x:v>
      </x:c>
      <x:c r="X59" s="73" t="str">
        <x:v>等效全通信 FW/min</x:v>
      </x:c>
      <x:c r="Y59" s="90" t="str">
        <x:v>Embedding TP GB</x:v>
      </x:c>
      <x:c r="Z59" s="90" t="str">
        <x:v>Attention SP GB</x:v>
      </x:c>
      <x:c r="AA59" s="90" t="str">
        <x:v>Dense TP GB</x:v>
      </x:c>
      <x:c r="AB59" s="90" t="str">
        <x:v>Shared TP GB</x:v>
      </x:c>
      <x:c r="AC59" s="90" t="str">
        <x:v>Final Hidden GB</x:v>
      </x:c>
      <x:c r="AD59" s="90" t="str">
        <x:v>Sampling TP GB</x:v>
      </x:c>
      <x:c r="AE59" s="90" t="str">
        <x:v>TP GB/Rank/步</x:v>
      </x:c>
      <x:c r="AF59" s="90" t="str">
        <x:v>TP 带宽项 ms</x:v>
      </x:c>
      <x:c r="AG59" s="90" t="str">
        <x:v>每层 TP 段 ms</x:v>
      </x:c>
      <x:c r="AH59" s="90" t="str">
        <x:v>TP 每层增时 ms</x:v>
      </x:c>
      <x:c r="AI59" s="90" t="str">
        <x:v>EP 增时 ms/60s</x:v>
      </x:c>
      <x:c r="AJ59" s="90" t="str">
        <x:v>TP 增时 ms/60s</x:v>
      </x:c>
      <x:c r="AK59" s="90" t="str">
        <x:v>EP+TP 带宽 ms</x:v>
      </x:c>
      <x:c r="AL59" s="90" t="str">
        <x:v>每层合并段 ms</x:v>
      </x:c>
    </x:row>
    <x:row r="60" ht="22" customHeight="1">
      <x:c r="A60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IF(A60,M93,"")</x:f>
        <x:v>3.4403839111328125</x:v>
      </x:c>
      <x:c r="E60" s="76" t="n">
        <x:f>IF(A60,B23/C23,"")</x:f>
        <x:v>4</x:v>
      </x:c>
      <x:c r="F60" s="76" t="n">
        <x:f>IF(A60,B23/D23,"")</x:f>
        <x:v>4</x:v>
      </x:c>
      <x:c r="G60" s="76" t="n">
        <x:f>IF(A60,$F$5*E60*$B$5*60000/B60,"")</x:f>
        <x:v>960</x:v>
      </x:c>
      <x:c r="H60" s="76" t="n">
        <x:f>IF(A60,G60/($J$5*F60),"")</x:f>
        <x:v>240</x:v>
      </x:c>
      <x:c r="I60" s="76" t="n">
        <x:f>IF(A60,$B$5*D60/C23/$B$9,"")</x:f>
        <x:v>6.880767822265625</x:v>
      </x:c>
      <x:c r="J60" s="76" t="n">
        <x:f>IF(A60,I60*$F$5/$J$5,"")</x:f>
        <x:v>6.880767822265625</x:v>
      </x:c>
      <x:c r="K60" s="76" t="n">
        <x:f>IF(A60,MAX(I60,J60)*2^30/(J23*1e6),"")</x:f>
        <x:v>1.5392017066666666</x:v>
      </x:c>
      <x:c r="L60" s="76" t="n">
        <x:f>IF(A60,B60/$B$9,"")</x:f>
        <x:v>4000</x:v>
      </x:c>
      <x:c r="M60" s="77" t="n">
        <x:f>IF(A60,K60/L60,"")</x:f>
        <x:v>0.00038480042666666665</x:v>
      </x:c>
      <x:c r="N60" s="76" t="n">
        <x:f>IF(A60,(E23*ROUNDUP(K23/D23,0)*G23*(B23-1)/B23*(ROUNDUP((ROUNDUP(F23*2/32,0)*32+32)/480,0)*512+F23*2+32)+E23*ROUNDUP(H23/B23,0)*(B23-1)*32)/1e9,"")</x:f>
        <x:v>0.491091584</x:v>
      </x:c>
      <x:c r="O60" s="76" t="n">
        <x:f>IF(A60,N60*1000/I23,"")</x:f>
        <x:v>0.10231074666666667</x:v>
      </x:c>
      <x:c r="P60" s="76" t="n">
        <x:f>IF(A60,O60/E23,"")</x:f>
        <x:v>0.0011120733333333335</x:v>
      </x:c>
      <x:c r="Q60" s="76" t="n">
        <x:f>IF(A60,IF(C60&gt;AF60,N60*1000/(C60-AF60),""),"")</x:f>
        <x:v>99.64878655742605</x:v>
      </x:c>
      <x:c r="R60" s="76" t="n">
        <x:f>IF(W60="",IF(OR(K60=0,AK60=0),0,1-((E23-1)*MAX(0,(C60-AK60)/E23-(K60))+MAX(0,L60-((E23-1)*C60/E23+AL60)-(K60)))/L60),"")</x:f>
        <x:v>0.001621686530797084</x:v>
      </x:c>
      <x:c r="S60" s="76" t="n">
        <x:f>IF(W60="",IF(AK60=0,0,MAX(0,1-(1-((E23-1)*MAX(0,(C60-AK60)/E23-(L60-K60))+MAX(0,L60-((E23-1)*C60/E23+AL60)-(L60-K60)))/L60))),"")</x:f>
        <x:v>0</x:v>
      </x:c>
      <x:c r="T60" s="76" t="n">
        <x:f>IF(W60="",IF(OR(P60=0,K60=0,$J$7=0),0,IF(P60&lt;=(1-$J$7)*K60,$J$7*P60*K60/(1-$J$7)-$J$7^2*P60^2/(2*(1-$J$7)^2),$J$7*P60*K60+$J$7^2*K60^2/2)/L60),"")</x:f>
        <x:v>4.754545740708964e-8</x:v>
      </x:c>
      <x:c r="U60" s="76" t="n">
        <x:f>IF(A60,60000/C60,"")</x:f>
        <x:v>12000</x:v>
      </x:c>
      <x:c r="V60" s="76" t="n">
        <x:f>IF(W60="",SUM(AI60:AJ60),"")</x:f>
        <x:v>0.08931484298469691</x:v>
      </x:c>
      <x:c r="W60" s="76" t="str">
        <x:f>IF(NOT(A60),"输入无效",IF(K60&gt;=L60,"KV 超载",IF(AK60&gt;C60+1e-9,"TPOT 不自洽",IF(OR(C60&gt;L60,MAX(P60,AG60)&gt;L60-K60),"需时序仿真",""))))</x:f>
      </x:c>
      <x:c r="X60" s="76" t="n">
        <x:f>IF(W60="",U60*M60,"")</x:f>
        <x:v>4.6176051199999995</x:v>
      </x:c>
      <x:c r="Y60" s="103" t="n">
        <x:f>IF(A60,K23*F23*2*2*(D23-1)/D23/1e9,"")</x:f>
        <x:v>0.003670016</x:v>
      </x:c>
      <x:c r="Z60" s="103" t="n">
        <x:f>IF(A60,S23*2*ROUNDUP(K23/D23,0)*F23*2*(D23-1)/1e9,"")</x:f>
        <x:v>0.337641472</x:v>
      </x:c>
      <x:c r="AA60" s="103" t="n">
        <x:f>IF(A60,T23*ROUNDUP(K23/D23,0)*F23*2*2*(D23-1)/D23/1e9,"")</x:f>
        <x:v>0</x:v>
      </x:c>
      <x:c r="AB60" s="103" t="n">
        <x:f>IF(A60,U23*2*ROUNDUP(K23/D23,0)*F23*2*(D23-1)/1e9,"")</x:f>
        <x:v>0</x:v>
      </x:c>
      <x:c r="AC60" s="103" t="n">
        <x:f>IF(A60,ROUNDUP(K23/D23,0)*F23*2*(D23-1)/1e9,"")</x:f>
        <x:v>0.001835008</x:v>
      </x:c>
      <x:c r="AD60" s="103" t="n">
        <x:f>IF(A60,K23*256*(2+4)*(D23-1)/1e9,"")</x:f>
        <x:v>0.001376256</x:v>
      </x:c>
      <x:c r="AE60" s="103" t="n">
        <x:f>IF(A60,SUM(Y60:AD60),"")</x:f>
        <x:v>0.34452275200000004</x:v>
      </x:c>
      <x:c r="AF60" s="103" t="n">
        <x:f>IF(A60,AE60*1000/P23,"")</x:f>
        <x:v>0.07177557333333334</x:v>
      </x:c>
      <x:c r="AG60" s="103" t="n">
        <x:f>IF(A60,AF60/E23,"")</x:f>
        <x:v>0.0007801692753623189</x:v>
      </x:c>
      <x:c r="AH60" s="103" t="n">
        <x:f>IF(W60="",IF(OR(AG60=0,K60=0,$J$7=0),0,IF(AG60&lt;=(1-$J$7)*K60,$J$7*AG60*K60/(1-$J$7)-$J$7^2*AG60^2/(2*(1-$J$7)^2),$J$7*AG60*K60+$J$7^2*K60^2/2)/L60),"")</x:f>
        <x:v>3.335566848484596e-8</x:v>
      </x:c>
      <x:c r="AI60" s="103" t="n">
        <x:f>IF(W60="",U60*E23*T60*M23*N23,"")</x:f>
        <x:v>0.05249018497742697</x:v>
      </x:c>
      <x:c r="AJ60" s="103" t="n">
        <x:f>IF(W60="",U60*E23*AH60*Q23*R23,"")</x:f>
        <x:v>0.03682465800726994</x:v>
      </x:c>
      <x:c r="AK60" s="103" t="n">
        <x:f>IF(A60,O60+AF60,"")</x:f>
        <x:v>0.17408632000000002</x:v>
      </x:c>
      <x:c r="AL60" s="103" t="n">
        <x:f>IF(A60,AK60/E23,"")</x:f>
        <x:v>0.0018922426086956524</x:v>
      </x:c>
    </x:row>
    <x:row r="61" ht="22" customHeight="1">
      <x:c r="A61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IF(A61,M93,"")</x:f>
        <x:v>3.4403839111328125</x:v>
      </x:c>
      <x:c r="E61" s="76" t="n">
        <x:f>IF(A61,B23/C23,"")</x:f>
        <x:v>4</x:v>
      </x:c>
      <x:c r="F61" s="76" t="n">
        <x:f>IF(A61,B23/D23,"")</x:f>
        <x:v>4</x:v>
      </x:c>
      <x:c r="G61" s="76" t="n">
        <x:f>IF(A61,$F$5*E61*$B$5*60000/B61,"")</x:f>
        <x:v>960</x:v>
      </x:c>
      <x:c r="H61" s="76" t="n">
        <x:f>IF(A61,G61/($J$5*F61),"")</x:f>
        <x:v>240</x:v>
      </x:c>
      <x:c r="I61" s="76" t="n">
        <x:f>IF(A61,$B$5*D61/C23/$B$9,"")</x:f>
        <x:v>6.880767822265625</x:v>
      </x:c>
      <x:c r="J61" s="76" t="n">
        <x:f>IF(A61,I61*$F$5/$J$5,"")</x:f>
        <x:v>6.880767822265625</x:v>
      </x:c>
      <x:c r="K61" s="76" t="n">
        <x:f>IF(A61,MAX(I61,J61)*2^30/(J23*1e6),"")</x:f>
        <x:v>1.5392017066666666</x:v>
      </x:c>
      <x:c r="L61" s="76" t="n">
        <x:f>IF(A61,B61/$B$9,"")</x:f>
        <x:v>4000</x:v>
      </x:c>
      <x:c r="M61" s="77" t="n">
        <x:f>IF(A61,K61/L61,"")</x:f>
        <x:v>0.00038480042666666665</x:v>
      </x:c>
      <x:c r="N61" s="76" t="n">
        <x:f>IF(A61,(E23*ROUNDUP(K23/D23,0)*G23*(B23-1)/B23*(ROUNDUP((ROUNDUP(F23*2/32,0)*32+32)/480,0)*512+F23*2+32)+E23*ROUNDUP(H23/B23,0)*(B23-1)*32)/1e9,"")</x:f>
        <x:v>0.491091584</x:v>
      </x:c>
      <x:c r="O61" s="76" t="n">
        <x:f>IF(A61,N61*1000/I23,"")</x:f>
        <x:v>0.10231074666666667</x:v>
      </x:c>
      <x:c r="P61" s="76" t="n">
        <x:f>IF(A61,O61/E23,"")</x:f>
        <x:v>0.0011120733333333335</x:v>
      </x:c>
      <x:c r="Q61" s="76" t="n">
        <x:f>IF(A61,IF(C61&gt;AF61,N61*1000/(C61-AF61),""),"")</x:f>
        <x:v>49.46419046299507</x:v>
      </x:c>
      <x:c r="R61" s="76" t="n">
        <x:f>IF(W61="",IF(OR(K61=0,AK61=0),0,1-((E23-1)*MAX(0,(C61-AK61)/E23-(K61))+MAX(0,L61-((E23-1)*C61/E23+AL61)-(K61)))/L61),"")</x:f>
        <x:v>0.002858099574275297</x:v>
      </x:c>
      <x:c r="S61" s="76" t="n">
        <x:f>IF(W61="",IF(AK61=0,0,MAX(0,1-(1-((E23-1)*MAX(0,(C61-AK61)/E23-(L61-K61))+MAX(0,L61-((E23-1)*C61/E23+AL61)-(L61-K61)))/L61))),"")</x:f>
        <x:v>0</x:v>
      </x:c>
      <x:c r="T61" s="76" t="n">
        <x:f>IF(W61="",IF(OR(P61=0,K61=0,$J$7=0),0,IF(P61&lt;=(1-$J$7)*K61,$J$7*P61*K61/(1-$J$7)-$J$7^2*P61^2/(2*(1-$J$7)^2),$J$7*P61*K61+$J$7^2*K61^2/2)/L61),"")</x:f>
        <x:v>4.754545740708964e-8</x:v>
      </x:c>
      <x:c r="U61" s="76" t="n">
        <x:f>IF(A61,60000/C61,"")</x:f>
        <x:v>6000</x:v>
      </x:c>
      <x:c r="V61" s="76" t="n">
        <x:f>IF(W61="",SUM(AI61:AJ61),"")</x:f>
        <x:v>0.044657421492348456</x:v>
      </x:c>
      <x:c r="W61" s="76" t="str">
        <x:f>IF(NOT(A61),"输入无效",IF(K61&gt;=L61,"KV 超载",IF(AK61&gt;C61+1e-9,"TPOT 不自洽",IF(OR(C61&gt;L61,MAX(P61,AG61)&gt;L61-K61),"需时序仿真",""))))</x:f>
      </x:c>
      <x:c r="X61" s="76" t="n">
        <x:f>IF(W61="",U61*M61,"")</x:f>
        <x:v>2.3088025599999997</x:v>
      </x:c>
      <x:c r="Y61" s="103" t="n">
        <x:f>IF(A61,K23*F23*2*2*(D23-1)/D23/1e9,"")</x:f>
        <x:v>0.003670016</x:v>
      </x:c>
      <x:c r="Z61" s="103" t="n">
        <x:f>IF(A61,S23*2*ROUNDUP(K23/D23,0)*F23*2*(D23-1)/1e9,"")</x:f>
        <x:v>0.337641472</x:v>
      </x:c>
      <x:c r="AA61" s="103" t="n">
        <x:f>IF(A61,T23*ROUNDUP(K23/D23,0)*F23*2*2*(D23-1)/D23/1e9,"")</x:f>
        <x:v>0</x:v>
      </x:c>
      <x:c r="AB61" s="103" t="n">
        <x:f>IF(A61,U23*2*ROUNDUP(K23/D23,0)*F23*2*(D23-1)/1e9,"")</x:f>
        <x:v>0</x:v>
      </x:c>
      <x:c r="AC61" s="103" t="n">
        <x:f>IF(A61,ROUNDUP(K23/D23,0)*F23*2*(D23-1)/1e9,"")</x:f>
        <x:v>0.001835008</x:v>
      </x:c>
      <x:c r="AD61" s="103" t="n">
        <x:f>IF(A61,K23*256*(2+4)*(D23-1)/1e9,"")</x:f>
        <x:v>0.001376256</x:v>
      </x:c>
      <x:c r="AE61" s="103" t="n">
        <x:f>IF(A61,SUM(Y61:AD61),"")</x:f>
        <x:v>0.34452275200000004</x:v>
      </x:c>
      <x:c r="AF61" s="103" t="n">
        <x:f>IF(A61,AE61*1000/P23,"")</x:f>
        <x:v>0.07177557333333334</x:v>
      </x:c>
      <x:c r="AG61" s="103" t="n">
        <x:f>IF(A61,AF61/E23,"")</x:f>
        <x:v>0.0007801692753623189</x:v>
      </x:c>
      <x:c r="AH61" s="103" t="n">
        <x:f>IF(W61="",IF(OR(AG61=0,K61=0,$J$7=0),0,IF(AG61&lt;=(1-$J$7)*K61,$J$7*AG61*K61/(1-$J$7)-$J$7^2*AG61^2/(2*(1-$J$7)^2),$J$7*AG61*K61+$J$7^2*K61^2/2)/L61),"")</x:f>
        <x:v>3.335566848484596e-8</x:v>
      </x:c>
      <x:c r="AI61" s="103" t="n">
        <x:f>IF(W61="",U61*E23*T61*M23*N23,"")</x:f>
        <x:v>0.026245092488713484</x:v>
      </x:c>
      <x:c r="AJ61" s="103" t="n">
        <x:f>IF(W61="",U61*E23*AH61*Q23*R23,"")</x:f>
        <x:v>0.01841232900363497</x:v>
      </x:c>
      <x:c r="AK61" s="103" t="n">
        <x:f>IF(A61,O61+AF61,"")</x:f>
        <x:v>0.17408632000000002</x:v>
      </x:c>
      <x:c r="AL61" s="103" t="n">
        <x:f>IF(A61,AK61/E23,"")</x:f>
        <x:v>0.0018922426086956524</x:v>
      </x:c>
    </x:row>
    <x:row r="62" ht="22" customHeight="1">
      <x:c r="A62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IF(A62,M93,"")</x:f>
        <x:v>3.4403839111328125</x:v>
      </x:c>
      <x:c r="E62" s="76" t="n">
        <x:f>IF(A62,B23/C23,"")</x:f>
        <x:v>4</x:v>
      </x:c>
      <x:c r="F62" s="76" t="n">
        <x:f>IF(A62,B23/D23,"")</x:f>
        <x:v>4</x:v>
      </x:c>
      <x:c r="G62" s="76" t="n">
        <x:f>IF(A62,$F$5*E62*$B$5*60000/B62,"")</x:f>
        <x:v>960</x:v>
      </x:c>
      <x:c r="H62" s="76" t="n">
        <x:f>IF(A62,G62/($J$5*F62),"")</x:f>
        <x:v>240</x:v>
      </x:c>
      <x:c r="I62" s="76" t="n">
        <x:f>IF(A62,$B$5*D62/C23/$B$9,"")</x:f>
        <x:v>6.880767822265625</x:v>
      </x:c>
      <x:c r="J62" s="76" t="n">
        <x:f>IF(A62,I62*$F$5/$J$5,"")</x:f>
        <x:v>6.880767822265625</x:v>
      </x:c>
      <x:c r="K62" s="76" t="n">
        <x:f>IF(A62,MAX(I62,J62)*2^30/(J23*1e6),"")</x:f>
        <x:v>1.5392017066666666</x:v>
      </x:c>
      <x:c r="L62" s="76" t="n">
        <x:f>IF(A62,B62/$B$9,"")</x:f>
        <x:v>4000</x:v>
      </x:c>
      <x:c r="M62" s="77" t="n">
        <x:f>IF(A62,K62/L62,"")</x:f>
        <x:v>0.00038480042666666665</x:v>
      </x:c>
      <x:c r="N62" s="76" t="n">
        <x:f>IF(A62,(E23*ROUNDUP(K23/D23,0)*G23*(B23-1)/B23*(ROUNDUP((ROUNDUP(F23*2/32,0)*32+32)/480,0)*512+F23*2+32)+E23*ROUNDUP(H23/B23,0)*(B23-1)*32)/1e9,"")</x:f>
        <x:v>0.491091584</x:v>
      </x:c>
      <x:c r="O62" s="76" t="n">
        <x:f>IF(A62,N62*1000/I23,"")</x:f>
        <x:v>0.10231074666666667</x:v>
      </x:c>
      <x:c r="P62" s="76" t="n">
        <x:f>IF(A62,O62/E23,"")</x:f>
        <x:v>0.0011120733333333335</x:v>
      </x:c>
      <x:c r="Q62" s="76" t="n">
        <x:f>IF(A62,IF(C62&gt;AF62,N62*1000/(C62-AF62),""),"")</x:f>
        <x:v>24.643017535614106</x:v>
      </x:c>
      <x:c r="R62" s="76" t="n">
        <x:f>IF(W62="",IF(OR(K62=0,AK62=0),0,1-((E23-1)*MAX(0,(C62-AK62)/E23-(K62))+MAX(0,L62-((E23-1)*C62/E23+AL62)-(K62)))/L62),"")</x:f>
        <x:v>0.005330925661231833</x:v>
      </x:c>
      <x:c r="S62" s="76" t="n">
        <x:f>IF(W62="",IF(AK62=0,0,MAX(0,1-(1-((E23-1)*MAX(0,(C62-AK62)/E23-(L62-K62))+MAX(0,L62-((E23-1)*C62/E23+AL62)-(L62-K62)))/L62))),"")</x:f>
        <x:v>0</x:v>
      </x:c>
      <x:c r="T62" s="76" t="n">
        <x:f>IF(W62="",IF(OR(P62=0,K62=0,$J$7=0),0,IF(P62&lt;=(1-$J$7)*K62,$J$7*P62*K62/(1-$J$7)-$J$7^2*P62^2/(2*(1-$J$7)^2),$J$7*P62*K62+$J$7^2*K62^2/2)/L62),"")</x:f>
        <x:v>4.754545740708964e-8</x:v>
      </x:c>
      <x:c r="U62" s="76" t="n">
        <x:f>IF(A62,60000/C62,"")</x:f>
        <x:v>3000</x:v>
      </x:c>
      <x:c r="V62" s="76" t="n">
        <x:f>IF(W62="",SUM(AI62:AJ62),"")</x:f>
        <x:v>0.022328710746174228</x:v>
      </x:c>
      <x:c r="W62" s="76" t="str">
        <x:f>IF(NOT(A62),"输入无效",IF(K62&gt;=L62,"KV 超载",IF(AK62&gt;C62+1e-9,"TPOT 不自洽",IF(OR(C62&gt;L62,MAX(P62,AG62)&gt;L62-K62),"需时序仿真",""))))</x:f>
      </x:c>
      <x:c r="X62" s="76" t="n">
        <x:f>IF(W62="",U62*M62,"")</x:f>
        <x:v>1.1544012799999999</x:v>
      </x:c>
      <x:c r="Y62" s="103" t="n">
        <x:f>IF(A62,K23*F23*2*2*(D23-1)/D23/1e9,"")</x:f>
        <x:v>0.003670016</x:v>
      </x:c>
      <x:c r="Z62" s="103" t="n">
        <x:f>IF(A62,S23*2*ROUNDUP(K23/D23,0)*F23*2*(D23-1)/1e9,"")</x:f>
        <x:v>0.337641472</x:v>
      </x:c>
      <x:c r="AA62" s="103" t="n">
        <x:f>IF(A62,T23*ROUNDUP(K23/D23,0)*F23*2*2*(D23-1)/D23/1e9,"")</x:f>
        <x:v>0</x:v>
      </x:c>
      <x:c r="AB62" s="103" t="n">
        <x:f>IF(A62,U23*2*ROUNDUP(K23/D23,0)*F23*2*(D23-1)/1e9,"")</x:f>
        <x:v>0</x:v>
      </x:c>
      <x:c r="AC62" s="103" t="n">
        <x:f>IF(A62,ROUNDUP(K23/D23,0)*F23*2*(D23-1)/1e9,"")</x:f>
        <x:v>0.001835008</x:v>
      </x:c>
      <x:c r="AD62" s="103" t="n">
        <x:f>IF(A62,K23*256*(2+4)*(D23-1)/1e9,"")</x:f>
        <x:v>0.001376256</x:v>
      </x:c>
      <x:c r="AE62" s="103" t="n">
        <x:f>IF(A62,SUM(Y62:AD62),"")</x:f>
        <x:v>0.34452275200000004</x:v>
      </x:c>
      <x:c r="AF62" s="103" t="n">
        <x:f>IF(A62,AE62*1000/P23,"")</x:f>
        <x:v>0.07177557333333334</x:v>
      </x:c>
      <x:c r="AG62" s="103" t="n">
        <x:f>IF(A62,AF62/E23,"")</x:f>
        <x:v>0.0007801692753623189</x:v>
      </x:c>
      <x:c r="AH62" s="103" t="n">
        <x:f>IF(W62="",IF(OR(AG62=0,K62=0,$J$7=0),0,IF(AG62&lt;=(1-$J$7)*K62,$J$7*AG62*K62/(1-$J$7)-$J$7^2*AG62^2/(2*(1-$J$7)^2),$J$7*AG62*K62+$J$7^2*K62^2/2)/L62),"")</x:f>
        <x:v>3.335566848484596e-8</x:v>
      </x:c>
      <x:c r="AI62" s="103" t="n">
        <x:f>IF(W62="",U62*E23*T62*M23*N23,"")</x:f>
        <x:v>0.013122546244356742</x:v>
      </x:c>
      <x:c r="AJ62" s="103" t="n">
        <x:f>IF(W62="",U62*E23*AH62*Q23*R23,"")</x:f>
        <x:v>0.009206164501817484</x:v>
      </x:c>
      <x:c r="AK62" s="103" t="n">
        <x:f>IF(A62,O62+AF62,"")</x:f>
        <x:v>0.17408632000000002</x:v>
      </x:c>
      <x:c r="AL62" s="103" t="n">
        <x:f>IF(A62,AK62/E23,"")</x:f>
        <x:v>0.0018922426086956524</x:v>
      </x:c>
    </x:row>
    <x:row r="63" ht="22" customHeight="1">
      <x:c r="A63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IF(A63,M93,"")</x:f>
        <x:v>3.4403839111328125</x:v>
      </x:c>
      <x:c r="E63" s="76" t="n">
        <x:f>IF(A63,B23/C23,"")</x:f>
        <x:v>4</x:v>
      </x:c>
      <x:c r="F63" s="76" t="n">
        <x:f>IF(A63,B23/D23,"")</x:f>
        <x:v>4</x:v>
      </x:c>
      <x:c r="G63" s="76" t="n">
        <x:f>IF(A63,$F$5*E63*$B$5*60000/B63,"")</x:f>
        <x:v>960</x:v>
      </x:c>
      <x:c r="H63" s="76" t="n">
        <x:f>IF(A63,G63/($J$5*F63),"")</x:f>
        <x:v>240</x:v>
      </x:c>
      <x:c r="I63" s="76" t="n">
        <x:f>IF(A63,$B$5*D63/C23/$B$9,"")</x:f>
        <x:v>6.880767822265625</x:v>
      </x:c>
      <x:c r="J63" s="76" t="n">
        <x:f>IF(A63,I63*$F$5/$J$5,"")</x:f>
        <x:v>6.880767822265625</x:v>
      </x:c>
      <x:c r="K63" s="76" t="n">
        <x:f>IF(A63,MAX(I63,J63)*2^30/(J23*1e6),"")</x:f>
        <x:v>1.5392017066666666</x:v>
      </x:c>
      <x:c r="L63" s="76" t="n">
        <x:f>IF(A63,B63/$B$9,"")</x:f>
        <x:v>4000</x:v>
      </x:c>
      <x:c r="M63" s="77" t="n">
        <x:f>IF(A63,K63/L63,"")</x:f>
        <x:v>0.00038480042666666665</x:v>
      </x:c>
      <x:c r="N63" s="76" t="n">
        <x:f>IF(A63,(E23*ROUNDUP(K23/D23,0)*G23*(B23-1)/B23*(ROUNDUP((ROUNDUP(F23*2/32,0)*32+32)/480,0)*512+F23*2+32)+E23*ROUNDUP(H23/B23,0)*(B23-1)*32)/1e9,"")</x:f>
        <x:v>0.491091584</x:v>
      </x:c>
      <x:c r="O63" s="76" t="n">
        <x:f>IF(A63,N63*1000/I23,"")</x:f>
        <x:v>0.10231074666666667</x:v>
      </x:c>
      <x:c r="P63" s="76" t="n">
        <x:f>IF(A63,O63/E23,"")</x:f>
        <x:v>0.0011120733333333335</x:v>
      </x:c>
      <x:c r="Q63" s="76" t="n">
        <x:f>IF(A63,IF(C63&gt;AF63,N63*1000/(C63-AF63),""),"")</x:f>
        <x:v>16.408978260749315</x:v>
      </x:c>
      <x:c r="R63" s="76" t="n">
        <x:f>IF(W63="",IF(OR(K63=0,AK63=0),0,1-((E23-1)*MAX(0,(C63-AK63)/E23-(K63))+MAX(0,L63-((E23-1)*C63/E23+AL63)-(K63)))/L63),"")</x:f>
        <x:v>0.00780375174818837</x:v>
      </x:c>
      <x:c r="S63" s="76" t="n">
        <x:f>IF(W63="",IF(AK63=0,0,MAX(0,1-(1-((E23-1)*MAX(0,(C63-AK63)/E23-(L63-K63))+MAX(0,L63-((E23-1)*C63/E23+AL63)-(L63-K63)))/L63))),"")</x:f>
        <x:v>0</x:v>
      </x:c>
      <x:c r="T63" s="76" t="n">
        <x:f>IF(W63="",IF(OR(P63=0,K63=0,$J$7=0),0,IF(P63&lt;=(1-$J$7)*K63,$J$7*P63*K63/(1-$J$7)-$J$7^2*P63^2/(2*(1-$J$7)^2),$J$7*P63*K63+$J$7^2*K63^2/2)/L63),"")</x:f>
        <x:v>4.754545740708964e-8</x:v>
      </x:c>
      <x:c r="U63" s="76" t="n">
        <x:f>IF(A63,60000/C63,"")</x:f>
        <x:v>2000</x:v>
      </x:c>
      <x:c r="V63" s="76" t="n">
        <x:f>IF(W63="",SUM(AI63:AJ63),"")</x:f>
        <x:v>0.014885807164116149</x:v>
      </x:c>
      <x:c r="W63" s="76" t="str">
        <x:f>IF(NOT(A63),"输入无效",IF(K63&gt;=L63,"KV 超载",IF(AK63&gt;C63+1e-9,"TPOT 不自洽",IF(OR(C63&gt;L63,MAX(P63,AG63)&gt;L63-K63),"需时序仿真",""))))</x:f>
      </x:c>
      <x:c r="X63" s="76" t="n">
        <x:f>IF(W63="",U63*M63,"")</x:f>
        <x:v>0.7696008533333333</x:v>
      </x:c>
      <x:c r="Y63" s="103" t="n">
        <x:f>IF(A63,K23*F23*2*2*(D23-1)/D23/1e9,"")</x:f>
        <x:v>0.003670016</x:v>
      </x:c>
      <x:c r="Z63" s="103" t="n">
        <x:f>IF(A63,S23*2*ROUNDUP(K23/D23,0)*F23*2*(D23-1)/1e9,"")</x:f>
        <x:v>0.337641472</x:v>
      </x:c>
      <x:c r="AA63" s="103" t="n">
        <x:f>IF(A63,T23*ROUNDUP(K23/D23,0)*F23*2*2*(D23-1)/D23/1e9,"")</x:f>
        <x:v>0</x:v>
      </x:c>
      <x:c r="AB63" s="103" t="n">
        <x:f>IF(A63,U23*2*ROUNDUP(K23/D23,0)*F23*2*(D23-1)/1e9,"")</x:f>
        <x:v>0</x:v>
      </x:c>
      <x:c r="AC63" s="103" t="n">
        <x:f>IF(A63,ROUNDUP(K23/D23,0)*F23*2*(D23-1)/1e9,"")</x:f>
        <x:v>0.001835008</x:v>
      </x:c>
      <x:c r="AD63" s="103" t="n">
        <x:f>IF(A63,K23*256*(2+4)*(D23-1)/1e9,"")</x:f>
        <x:v>0.001376256</x:v>
      </x:c>
      <x:c r="AE63" s="103" t="n">
        <x:f>IF(A63,SUM(Y63:AD63),"")</x:f>
        <x:v>0.34452275200000004</x:v>
      </x:c>
      <x:c r="AF63" s="103" t="n">
        <x:f>IF(A63,AE63*1000/P23,"")</x:f>
        <x:v>0.07177557333333334</x:v>
      </x:c>
      <x:c r="AG63" s="103" t="n">
        <x:f>IF(A63,AF63/E23,"")</x:f>
        <x:v>0.0007801692753623189</x:v>
      </x:c>
      <x:c r="AH63" s="103" t="n">
        <x:f>IF(W63="",IF(OR(AG63=0,K63=0,$J$7=0),0,IF(AG63&lt;=(1-$J$7)*K63,$J$7*AG63*K63/(1-$J$7)-$J$7^2*AG63^2/(2*(1-$J$7)^2),$J$7*AG63*K63+$J$7^2*K63^2/2)/L63),"")</x:f>
        <x:v>3.335566848484596e-8</x:v>
      </x:c>
      <x:c r="AI63" s="103" t="n">
        <x:f>IF(W63="",U63*E23*T63*M23*N23,"")</x:f>
        <x:v>0.008748364162904494</x:v>
      </x:c>
      <x:c r="AJ63" s="103" t="n">
        <x:f>IF(W63="",U63*E23*AH63*Q23*R23,"")</x:f>
        <x:v>0.006137443001211656</x:v>
      </x:c>
      <x:c r="AK63" s="103" t="n">
        <x:f>IF(A63,O63+AF63,"")</x:f>
        <x:v>0.17408632000000002</x:v>
      </x:c>
      <x:c r="AL63" s="103" t="n">
        <x:f>IF(A63,AK63/E23,"")</x:f>
        <x:v>0.0018922426086956524</x:v>
      </x:c>
    </x:row>
    <x:row r="64" ht="22" customHeight="1">
      <x:c r="A64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IF(A64,M97,"")</x:f>
        <x:v>46.56538391113281</x:v>
      </x:c>
      <x:c r="E64" s="76" t="n">
        <x:f>IF(A64,B23/C23,"")</x:f>
        <x:v>4</x:v>
      </x:c>
      <x:c r="F64" s="76" t="n">
        <x:f>IF(A64,B23/D23,"")</x:f>
        <x:v>4</x:v>
      </x:c>
      <x:c r="G64" s="76" t="n">
        <x:f>IF(A64,$F$5*E64*$B$5*60000/B64,"")</x:f>
        <x:v>192</x:v>
      </x:c>
      <x:c r="H64" s="76" t="n">
        <x:f>IF(A64,G64/($J$5*F64),"")</x:f>
        <x:v>48</x:v>
      </x:c>
      <x:c r="I64" s="76" t="n">
        <x:f>IF(A64,$B$5*D64/C23/$B$9,"")</x:f>
        <x:v>93.13076782226562</x:v>
      </x:c>
      <x:c r="J64" s="76" t="n">
        <x:f>IF(A64,I64*$F$5/$J$5,"")</x:f>
        <x:v>93.13076782226562</x:v>
      </x:c>
      <x:c r="K64" s="76" t="n">
        <x:f>IF(A64,MAX(I64,J64)*2^30/(J23*1e6),"")</x:f>
        <x:v>20.833000106666667</x:v>
      </x:c>
      <x:c r="L64" s="76" t="n">
        <x:f>IF(A64,B64/$B$9,"")</x:f>
        <x:v>20000</x:v>
      </x:c>
      <x:c r="M64" s="77" t="n">
        <x:f>IF(A64,K64/L64,"")</x:f>
        <x:v>0.0010416500053333333</x:v>
      </x:c>
      <x:c r="N64" s="76" t="n">
        <x:f>IF(A64,(E23*ROUNDUP(K23/D23,0)*G23*(B23-1)/B23*(ROUNDUP((ROUNDUP(F23*2/32,0)*32+32)/480,0)*512+F23*2+32)+E23*ROUNDUP(H23/B23,0)*(B23-1)*32)/1e9,"")</x:f>
        <x:v>0.491091584</x:v>
      </x:c>
      <x:c r="O64" s="76" t="n">
        <x:f>IF(A64,N64*1000/I23,"")</x:f>
        <x:v>0.10231074666666667</x:v>
      </x:c>
      <x:c r="P64" s="76" t="n">
        <x:f>IF(A64,O64/E23,"")</x:f>
        <x:v>0.0011120733333333335</x:v>
      </x:c>
      <x:c r="Q64" s="76" t="n">
        <x:f>IF(A64,IF(C64&gt;AF64,N64*1000/(C64-AF64),""),"")</x:f>
        <x:v>99.64878655742605</x:v>
      </x:c>
      <x:c r="R64" s="76" t="n">
        <x:f>IF(W64="",IF(OR(K64=0,AK64=0),0,1-((E23-1)*MAX(0,(C64-AK64)/E23-(K64))+MAX(0,L64-((E23-1)*C64/E23+AL64)-(K64)))/L64),"")</x:f>
        <x:v>0.0012890272261595337</x:v>
      </x:c>
      <x:c r="S64" s="76" t="n">
        <x:f>IF(W64="",IF(AK64=0,0,MAX(0,1-(1-((E23-1)*MAX(0,(C64-AK64)/E23-(L64-K64))+MAX(0,L64-((E23-1)*C64/E23+AL64)-(L64-K64)))/L64))),"")</x:f>
        <x:v>0.0007942727845072772</x:v>
      </x:c>
      <x:c r="T64" s="76" t="n">
        <x:f>IF(W64="",IF(OR(P64=0,K64=0,$J$7=0),0,IF(P64&lt;=(1-$J$7)*K64,$J$7*P64*K64/(1-$J$7)-$J$7^2*P64^2/(2*(1-$J$7)^2),$J$7*P64*K64+$J$7^2*K64^2/2)/L64),"")</x:f>
        <x:v>1.2870975092224758e-7</x:v>
      </x:c>
      <x:c r="U64" s="76" t="n">
        <x:f>IF(A64,60000/C64,"")</x:f>
        <x:v>12000</x:v>
      </x:c>
      <x:c r="V64" s="76" t="n">
        <x:f>IF(W64="",SUM(AI64:AJ64),"")</x:f>
        <x:v>0.2417820594154653</x:v>
      </x:c>
      <x:c r="W64" s="76" t="str">
        <x:f>IF(NOT(A64),"输入无效",IF(K64&gt;=L64,"KV 超载",IF(AK64&gt;C64+1e-9,"TPOT 不自洽",IF(OR(C64&gt;L64,MAX(P64,AG64)&gt;L64-K64),"需时序仿真",""))))</x:f>
      </x:c>
      <x:c r="X64" s="76" t="n">
        <x:f>IF(W64="",U64*M64,"")</x:f>
        <x:v>12.499800063999999</x:v>
      </x:c>
      <x:c r="Y64" s="103" t="n">
        <x:f>IF(A64,K23*F23*2*2*(D23-1)/D23/1e9,"")</x:f>
        <x:v>0.003670016</x:v>
      </x:c>
      <x:c r="Z64" s="103" t="n">
        <x:f>IF(A64,S23*2*ROUNDUP(K23/D23,0)*F23*2*(D23-1)/1e9,"")</x:f>
        <x:v>0.337641472</x:v>
      </x:c>
      <x:c r="AA64" s="103" t="n">
        <x:f>IF(A64,T23*ROUNDUP(K23/D23,0)*F23*2*2*(D23-1)/D23/1e9,"")</x:f>
        <x:v>0</x:v>
      </x:c>
      <x:c r="AB64" s="103" t="n">
        <x:f>IF(A64,U23*2*ROUNDUP(K23/D23,0)*F23*2*(D23-1)/1e9,"")</x:f>
        <x:v>0</x:v>
      </x:c>
      <x:c r="AC64" s="103" t="n">
        <x:f>IF(A64,ROUNDUP(K23/D23,0)*F23*2*(D23-1)/1e9,"")</x:f>
        <x:v>0.001835008</x:v>
      </x:c>
      <x:c r="AD64" s="103" t="n">
        <x:f>IF(A64,K23*256*(2+4)*(D23-1)/1e9,"")</x:f>
        <x:v>0.001376256</x:v>
      </x:c>
      <x:c r="AE64" s="103" t="n">
        <x:f>IF(A64,SUM(Y64:AD64),"")</x:f>
        <x:v>0.34452275200000004</x:v>
      </x:c>
      <x:c r="AF64" s="103" t="n">
        <x:f>IF(A64,AE64*1000/P23,"")</x:f>
        <x:v>0.07177557333333334</x:v>
      </x:c>
      <x:c r="AG64" s="103" t="n">
        <x:f>IF(A64,AF64/E23,"")</x:f>
        <x:v>0.0007801692753623189</x:v>
      </x:c>
      <x:c r="AH64" s="103" t="n">
        <x:f>IF(W64="",IF(OR(AG64=0,K64=0,$J$7=0),0,IF(AG64&lt;=(1-$J$7)*K64,$J$7*AG64*K64/(1-$J$7)-$J$7^2*AG64^2/(2*(1-$J$7)^2),$J$7*AG64*K64+$J$7^2*K64^2/2)/L64),"")</x:f>
        <x:v>9.029573767871735e-8</x:v>
      </x:c>
      <x:c r="AI64" s="103" t="n">
        <x:f>IF(W64="",U64*E23*T64*M23*N23,"")</x:f>
        <x:v>0.14209556501816134</x:v>
      </x:c>
      <x:c r="AJ64" s="103" t="n">
        <x:f>IF(W64="",U64*E23*AH64*Q23*R23,"")</x:f>
        <x:v>0.09968649439730395</x:v>
      </x:c>
      <x:c r="AK64" s="103" t="n">
        <x:f>IF(A64,O64+AF64,"")</x:f>
        <x:v>0.17408632000000002</x:v>
      </x:c>
      <x:c r="AL64" s="103" t="n">
        <x:f>IF(A64,AK64/E23,"")</x:f>
        <x:v>0.0018922426086956524</x:v>
      </x:c>
    </x:row>
    <x:row r="65" ht="22" customHeight="1">
      <x:c r="A65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IF(A65,M97,"")</x:f>
        <x:v>46.56538391113281</x:v>
      </x:c>
      <x:c r="E65" s="76" t="n">
        <x:f>IF(A65,B23/C23,"")</x:f>
        <x:v>4</x:v>
      </x:c>
      <x:c r="F65" s="76" t="n">
        <x:f>IF(A65,B23/D23,"")</x:f>
        <x:v>4</x:v>
      </x:c>
      <x:c r="G65" s="76" t="n">
        <x:f>IF(A65,$F$5*E65*$B$5*60000/B65,"")</x:f>
        <x:v>192</x:v>
      </x:c>
      <x:c r="H65" s="76" t="n">
        <x:f>IF(A65,G65/($J$5*F65),"")</x:f>
        <x:v>48</x:v>
      </x:c>
      <x:c r="I65" s="76" t="n">
        <x:f>IF(A65,$B$5*D65/C23/$B$9,"")</x:f>
        <x:v>93.13076782226562</x:v>
      </x:c>
      <x:c r="J65" s="76" t="n">
        <x:f>IF(A65,I65*$F$5/$J$5,"")</x:f>
        <x:v>93.13076782226562</x:v>
      </x:c>
      <x:c r="K65" s="76" t="n">
        <x:f>IF(A65,MAX(I65,J65)*2^30/(J23*1e6),"")</x:f>
        <x:v>20.833000106666667</x:v>
      </x:c>
      <x:c r="L65" s="76" t="n">
        <x:f>IF(A65,B65/$B$9,"")</x:f>
        <x:v>20000</x:v>
      </x:c>
      <x:c r="M65" s="77" t="n">
        <x:f>IF(A65,K65/L65,"")</x:f>
        <x:v>0.0010416500053333333</x:v>
      </x:c>
      <x:c r="N65" s="76" t="n">
        <x:f>IF(A65,(E23*ROUNDUP(K23/D23,0)*G23*(B23-1)/B23*(ROUNDUP((ROUNDUP(F23*2/32,0)*32+32)/480,0)*512+F23*2+32)+E23*ROUNDUP(H23/B23,0)*(B23-1)*32)/1e9,"")</x:f>
        <x:v>0.491091584</x:v>
      </x:c>
      <x:c r="O65" s="76" t="n">
        <x:f>IF(A65,N65*1000/I23,"")</x:f>
        <x:v>0.10231074666666667</x:v>
      </x:c>
      <x:c r="P65" s="76" t="n">
        <x:f>IF(A65,O65/E23,"")</x:f>
        <x:v>0.0011120733333333335</x:v>
      </x:c>
      <x:c r="Q65" s="76" t="n">
        <x:f>IF(A65,IF(C65&gt;AF65,N65*1000/(C65-AF65),""),"")</x:f>
        <x:v>49.46419046299507</x:v>
      </x:c>
      <x:c r="R65" s="76" t="n">
        <x:f>IF(W65="",IF(OR(K65=0,AK65=0),0,1-((E23-1)*MAX(0,(C65-AK65)/E23-(K65))+MAX(0,L65-((E23-1)*C65/E23+AL65)-(K65)))/L65),"")</x:f>
        <x:v>0.0015363098348550874</x:v>
      </x:c>
      <x:c r="S65" s="76" t="n">
        <x:f>IF(W65="",IF(AK65=0,0,MAX(0,1-(1-((E23-1)*MAX(0,(C65-AK65)/E23-(L65-K65))+MAX(0,L65-((E23-1)*C65/E23+AL65)-(L65-K65)))/L65))),"")</x:f>
        <x:v>0.0005469901758117235</x:v>
      </x:c>
      <x:c r="T65" s="76" t="n">
        <x:f>IF(W65="",IF(OR(P65=0,K65=0,$J$7=0),0,IF(P65&lt;=(1-$J$7)*K65,$J$7*P65*K65/(1-$J$7)-$J$7^2*P65^2/(2*(1-$J$7)^2),$J$7*P65*K65+$J$7^2*K65^2/2)/L65),"")</x:f>
        <x:v>1.2870975092224758e-7</x:v>
      </x:c>
      <x:c r="U65" s="76" t="n">
        <x:f>IF(A65,60000/C65,"")</x:f>
        <x:v>6000</x:v>
      </x:c>
      <x:c r="V65" s="76" t="n">
        <x:f>IF(W65="",SUM(AI65:AJ65),"")</x:f>
        <x:v>0.12089102970773265</x:v>
      </x:c>
      <x:c r="W65" s="76" t="str">
        <x:f>IF(NOT(A65),"输入无效",IF(K65&gt;=L65,"KV 超载",IF(AK65&gt;C65+1e-9,"TPOT 不自洽",IF(OR(C65&gt;L65,MAX(P65,AG65)&gt;L65-K65),"需时序仿真",""))))</x:f>
      </x:c>
      <x:c r="X65" s="76" t="n">
        <x:f>IF(W65="",U65*M65,"")</x:f>
        <x:v>6.249900031999999</x:v>
      </x:c>
      <x:c r="Y65" s="103" t="n">
        <x:f>IF(A65,K23*F23*2*2*(D23-1)/D23/1e9,"")</x:f>
        <x:v>0.003670016</x:v>
      </x:c>
      <x:c r="Z65" s="103" t="n">
        <x:f>IF(A65,S23*2*ROUNDUP(K23/D23,0)*F23*2*(D23-1)/1e9,"")</x:f>
        <x:v>0.337641472</x:v>
      </x:c>
      <x:c r="AA65" s="103" t="n">
        <x:f>IF(A65,T23*ROUNDUP(K23/D23,0)*F23*2*2*(D23-1)/D23/1e9,"")</x:f>
        <x:v>0</x:v>
      </x:c>
      <x:c r="AB65" s="103" t="n">
        <x:f>IF(A65,U23*2*ROUNDUP(K23/D23,0)*F23*2*(D23-1)/1e9,"")</x:f>
        <x:v>0</x:v>
      </x:c>
      <x:c r="AC65" s="103" t="n">
        <x:f>IF(A65,ROUNDUP(K23/D23,0)*F23*2*(D23-1)/1e9,"")</x:f>
        <x:v>0.001835008</x:v>
      </x:c>
      <x:c r="AD65" s="103" t="n">
        <x:f>IF(A65,K23*256*(2+4)*(D23-1)/1e9,"")</x:f>
        <x:v>0.001376256</x:v>
      </x:c>
      <x:c r="AE65" s="103" t="n">
        <x:f>IF(A65,SUM(Y65:AD65),"")</x:f>
        <x:v>0.34452275200000004</x:v>
      </x:c>
      <x:c r="AF65" s="103" t="n">
        <x:f>IF(A65,AE65*1000/P23,"")</x:f>
        <x:v>0.07177557333333334</x:v>
      </x:c>
      <x:c r="AG65" s="103" t="n">
        <x:f>IF(A65,AF65/E23,"")</x:f>
        <x:v>0.0007801692753623189</x:v>
      </x:c>
      <x:c r="AH65" s="103" t="n">
        <x:f>IF(W65="",IF(OR(AG65=0,K65=0,$J$7=0),0,IF(AG65&lt;=(1-$J$7)*K65,$J$7*AG65*K65/(1-$J$7)-$J$7^2*AG65^2/(2*(1-$J$7)^2),$J$7*AG65*K65+$J$7^2*K65^2/2)/L65),"")</x:f>
        <x:v>9.029573767871735e-8</x:v>
      </x:c>
      <x:c r="AI65" s="103" t="n">
        <x:f>IF(W65="",U65*E23*T65*M23*N23,"")</x:f>
        <x:v>0.07104778250908067</x:v>
      </x:c>
      <x:c r="AJ65" s="103" t="n">
        <x:f>IF(W65="",U65*E23*AH65*Q23*R23,"")</x:f>
        <x:v>0.04984324719865198</x:v>
      </x:c>
      <x:c r="AK65" s="103" t="n">
        <x:f>IF(A65,O65+AF65,"")</x:f>
        <x:v>0.17408632000000002</x:v>
      </x:c>
      <x:c r="AL65" s="103" t="n">
        <x:f>IF(A65,AK65/E23,"")</x:f>
        <x:v>0.0018922426086956524</x:v>
      </x:c>
    </x:row>
    <x:row r="66" ht="22" customHeight="1">
      <x:c r="A66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IF(A66,M97,"")</x:f>
        <x:v>46.56538391113281</x:v>
      </x:c>
      <x:c r="E66" s="76" t="n">
        <x:f>IF(A66,B23/C23,"")</x:f>
        <x:v>4</x:v>
      </x:c>
      <x:c r="F66" s="76" t="n">
        <x:f>IF(A66,B23/D23,"")</x:f>
        <x:v>4</x:v>
      </x:c>
      <x:c r="G66" s="76" t="n">
        <x:f>IF(A66,$F$5*E66*$B$5*60000/B66,"")</x:f>
        <x:v>192</x:v>
      </x:c>
      <x:c r="H66" s="76" t="n">
        <x:f>IF(A66,G66/($J$5*F66),"")</x:f>
        <x:v>48</x:v>
      </x:c>
      <x:c r="I66" s="76" t="n">
        <x:f>IF(A66,$B$5*D66/C23/$B$9,"")</x:f>
        <x:v>93.13076782226562</x:v>
      </x:c>
      <x:c r="J66" s="76" t="n">
        <x:f>IF(A66,I66*$F$5/$J$5,"")</x:f>
        <x:v>93.13076782226562</x:v>
      </x:c>
      <x:c r="K66" s="76" t="n">
        <x:f>IF(A66,MAX(I66,J66)*2^30/(J23*1e6),"")</x:f>
        <x:v>20.833000106666667</x:v>
      </x:c>
      <x:c r="L66" s="76" t="n">
        <x:f>IF(A66,B66/$B$9,"")</x:f>
        <x:v>20000</x:v>
      </x:c>
      <x:c r="M66" s="77" t="n">
        <x:f>IF(A66,K66/L66,"")</x:f>
        <x:v>0.0010416500053333333</x:v>
      </x:c>
      <x:c r="N66" s="76" t="n">
        <x:f>IF(A66,(E23*ROUNDUP(K23/D23,0)*G23*(B23-1)/B23*(ROUNDUP((ROUNDUP(F23*2/32,0)*32+32)/480,0)*512+F23*2+32)+E23*ROUNDUP(H23/B23,0)*(B23-1)*32)/1e9,"")</x:f>
        <x:v>0.491091584</x:v>
      </x:c>
      <x:c r="O66" s="76" t="n">
        <x:f>IF(A66,N66*1000/I23,"")</x:f>
        <x:v>0.10231074666666667</x:v>
      </x:c>
      <x:c r="P66" s="76" t="n">
        <x:f>IF(A66,O66/E23,"")</x:f>
        <x:v>0.0011120733333333335</x:v>
      </x:c>
      <x:c r="Q66" s="76" t="n">
        <x:f>IF(A66,IF(C66&gt;AF66,N66*1000/(C66-AF66),""),"")</x:f>
        <x:v>24.643017535614106</x:v>
      </x:c>
      <x:c r="R66" s="76" t="n">
        <x:f>IF(W66="",IF(OR(K66=0,AK66=0),0,1-((E23-1)*MAX(0,(C66-AK66)/E23-(K66))+MAX(0,L66-((E23-1)*C66/E23+AL66)-(K66)))/L66),"")</x:f>
        <x:v>0.002030875052246528</x:v>
      </x:c>
      <x:c r="S66" s="76" t="n">
        <x:f>IF(W66="",IF(AK66=0,0,MAX(0,1-(1-((E23-1)*MAX(0,(C66-AK66)/E23-(L66-K66))+MAX(0,L66-((E23-1)*C66/E23+AL66)-(L66-K66)))/L66))),"")</x:f>
        <x:v>0.00005242495842028294</x:v>
      </x:c>
      <x:c r="T66" s="76" t="n">
        <x:f>IF(W66="",IF(OR(P66=0,K66=0,$J$7=0),0,IF(P66&lt;=(1-$J$7)*K66,$J$7*P66*K66/(1-$J$7)-$J$7^2*P66^2/(2*(1-$J$7)^2),$J$7*P66*K66+$J$7^2*K66^2/2)/L66),"")</x:f>
        <x:v>1.2870975092224758e-7</x:v>
      </x:c>
      <x:c r="U66" s="76" t="n">
        <x:f>IF(A66,60000/C66,"")</x:f>
        <x:v>3000</x:v>
      </x:c>
      <x:c r="V66" s="76" t="n">
        <x:f>IF(W66="",SUM(AI66:AJ66),"")</x:f>
        <x:v>0.060445514853866324</x:v>
      </x:c>
      <x:c r="W66" s="76" t="str">
        <x:f>IF(NOT(A66),"输入无效",IF(K66&gt;=L66,"KV 超载",IF(AK66&gt;C66+1e-9,"TPOT 不自洽",IF(OR(C66&gt;L66,MAX(P66,AG66)&gt;L66-K66),"需时序仿真",""))))</x:f>
      </x:c>
      <x:c r="X66" s="76" t="n">
        <x:f>IF(W66="",U66*M66,"")</x:f>
        <x:v>3.1249500159999997</x:v>
      </x:c>
      <x:c r="Y66" s="103" t="n">
        <x:f>IF(A66,K23*F23*2*2*(D23-1)/D23/1e9,"")</x:f>
        <x:v>0.003670016</x:v>
      </x:c>
      <x:c r="Z66" s="103" t="n">
        <x:f>IF(A66,S23*2*ROUNDUP(K23/D23,0)*F23*2*(D23-1)/1e9,"")</x:f>
        <x:v>0.337641472</x:v>
      </x:c>
      <x:c r="AA66" s="103" t="n">
        <x:f>IF(A66,T23*ROUNDUP(K23/D23,0)*F23*2*2*(D23-1)/D23/1e9,"")</x:f>
        <x:v>0</x:v>
      </x:c>
      <x:c r="AB66" s="103" t="n">
        <x:f>IF(A66,U23*2*ROUNDUP(K23/D23,0)*F23*2*(D23-1)/1e9,"")</x:f>
        <x:v>0</x:v>
      </x:c>
      <x:c r="AC66" s="103" t="n">
        <x:f>IF(A66,ROUNDUP(K23/D23,0)*F23*2*(D23-1)/1e9,"")</x:f>
        <x:v>0.001835008</x:v>
      </x:c>
      <x:c r="AD66" s="103" t="n">
        <x:f>IF(A66,K23*256*(2+4)*(D23-1)/1e9,"")</x:f>
        <x:v>0.001376256</x:v>
      </x:c>
      <x:c r="AE66" s="103" t="n">
        <x:f>IF(A66,SUM(Y66:AD66),"")</x:f>
        <x:v>0.34452275200000004</x:v>
      </x:c>
      <x:c r="AF66" s="103" t="n">
        <x:f>IF(A66,AE66*1000/P23,"")</x:f>
        <x:v>0.07177557333333334</x:v>
      </x:c>
      <x:c r="AG66" s="103" t="n">
        <x:f>IF(A66,AF66/E23,"")</x:f>
        <x:v>0.0007801692753623189</x:v>
      </x:c>
      <x:c r="AH66" s="103" t="n">
        <x:f>IF(W66="",IF(OR(AG66=0,K66=0,$J$7=0),0,IF(AG66&lt;=(1-$J$7)*K66,$J$7*AG66*K66/(1-$J$7)-$J$7^2*AG66^2/(2*(1-$J$7)^2),$J$7*AG66*K66+$J$7^2*K66^2/2)/L66),"")</x:f>
        <x:v>9.029573767871735e-8</x:v>
      </x:c>
      <x:c r="AI66" s="103" t="n">
        <x:f>IF(W66="",U66*E23*T66*M23*N23,"")</x:f>
        <x:v>0.035523891254540335</x:v>
      </x:c>
      <x:c r="AJ66" s="103" t="n">
        <x:f>IF(W66="",U66*E23*AH66*Q23*R23,"")</x:f>
        <x:v>0.02492162359932599</x:v>
      </x:c>
      <x:c r="AK66" s="103" t="n">
        <x:f>IF(A66,O66+AF66,"")</x:f>
        <x:v>0.17408632000000002</x:v>
      </x:c>
      <x:c r="AL66" s="103" t="n">
        <x:f>IF(A66,AK66/E23,"")</x:f>
        <x:v>0.0018922426086956524</x:v>
      </x:c>
    </x:row>
    <x:row r="67" ht="22" customHeight="1">
      <x:c r="A67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IF(A67,M97,"")</x:f>
        <x:v>46.56538391113281</x:v>
      </x:c>
      <x:c r="E67" s="76" t="n">
        <x:f>IF(A67,B23/C23,"")</x:f>
        <x:v>4</x:v>
      </x:c>
      <x:c r="F67" s="76" t="n">
        <x:f>IF(A67,B23/D23,"")</x:f>
        <x:v>4</x:v>
      </x:c>
      <x:c r="G67" s="76" t="n">
        <x:f>IF(A67,$F$5*E67*$B$5*60000/B67,"")</x:f>
        <x:v>192</x:v>
      </x:c>
      <x:c r="H67" s="76" t="n">
        <x:f>IF(A67,G67/($J$5*F67),"")</x:f>
        <x:v>48</x:v>
      </x:c>
      <x:c r="I67" s="76" t="n">
        <x:f>IF(A67,$B$5*D67/C23/$B$9,"")</x:f>
        <x:v>93.13076782226562</x:v>
      </x:c>
      <x:c r="J67" s="76" t="n">
        <x:f>IF(A67,I67*$F$5/$J$5,"")</x:f>
        <x:v>93.13076782226562</x:v>
      </x:c>
      <x:c r="K67" s="76" t="n">
        <x:f>IF(A67,MAX(I67,J67)*2^30/(J23*1e6),"")</x:f>
        <x:v>20.833000106666667</x:v>
      </x:c>
      <x:c r="L67" s="76" t="n">
        <x:f>IF(A67,B67/$B$9,"")</x:f>
        <x:v>20000</x:v>
      </x:c>
      <x:c r="M67" s="77" t="n">
        <x:f>IF(A67,K67/L67,"")</x:f>
        <x:v>0.0010416500053333333</x:v>
      </x:c>
      <x:c r="N67" s="76" t="n">
        <x:f>IF(A67,(E23*ROUNDUP(K23/D23,0)*G23*(B23-1)/B23*(ROUNDUP((ROUNDUP(F23*2/32,0)*32+32)/480,0)*512+F23*2+32)+E23*ROUNDUP(H23/B23,0)*(B23-1)*32)/1e9,"")</x:f>
        <x:v>0.491091584</x:v>
      </x:c>
      <x:c r="O67" s="76" t="n">
        <x:f>IF(A67,N67*1000/I23,"")</x:f>
        <x:v>0.10231074666666667</x:v>
      </x:c>
      <x:c r="P67" s="76" t="n">
        <x:f>IF(A67,O67/E23,"")</x:f>
        <x:v>0.0011120733333333335</x:v>
      </x:c>
      <x:c r="Q67" s="76" t="n">
        <x:f>IF(A67,IF(C67&gt;AF67,N67*1000/(C67-AF67),""),"")</x:f>
        <x:v>16.408978260749315</x:v>
      </x:c>
      <x:c r="R67" s="76" t="n">
        <x:f>IF(W67="",IF(OR(K67=0,AK67=0),0,1-((E23-1)*MAX(0,(C67-AK67)/E23-(K67))+MAX(0,L67-((E23-1)*C67/E23+AL67)-(K67)))/L67),"")</x:f>
        <x:v>0.0025254402696377465</x:v>
      </x:c>
      <x:c r="S67" s="76" t="n">
        <x:f>IF(W67="",IF(AK67=0,0,MAX(0,1-(1-((E23-1)*MAX(0,(C67-AK67)/E23-(L67-K67))+MAX(0,L67-((E23-1)*C67/E23+AL67)-(L67-K67)))/L67))),"")</x:f>
        <x:v>0</x:v>
      </x:c>
      <x:c r="T67" s="76" t="n">
        <x:f>IF(W67="",IF(OR(P67=0,K67=0,$J$7=0),0,IF(P67&lt;=(1-$J$7)*K67,$J$7*P67*K67/(1-$J$7)-$J$7^2*P67^2/(2*(1-$J$7)^2),$J$7*P67*K67+$J$7^2*K67^2/2)/L67),"")</x:f>
        <x:v>1.2870975092224758e-7</x:v>
      </x:c>
      <x:c r="U67" s="76" t="n">
        <x:f>IF(A67,60000/C67,"")</x:f>
        <x:v>2000</x:v>
      </x:c>
      <x:c r="V67" s="76" t="n">
        <x:f>IF(W67="",SUM(AI67:AJ67),"")</x:f>
        <x:v>0.04029700990257755</x:v>
      </x:c>
      <x:c r="W67" s="76" t="str">
        <x:f>IF(NOT(A67),"输入无效",IF(K67&gt;=L67,"KV 超载",IF(AK67&gt;C67+1e-9,"TPOT 不自洽",IF(OR(C67&gt;L67,MAX(P67,AG67)&gt;L67-K67),"需时序仿真",""))))</x:f>
      </x:c>
      <x:c r="X67" s="76" t="n">
        <x:f>IF(W67="",U67*M67,"")</x:f>
        <x:v>2.0833000106666666</x:v>
      </x:c>
      <x:c r="Y67" s="103" t="n">
        <x:f>IF(A67,K23*F23*2*2*(D23-1)/D23/1e9,"")</x:f>
        <x:v>0.003670016</x:v>
      </x:c>
      <x:c r="Z67" s="103" t="n">
        <x:f>IF(A67,S23*2*ROUNDUP(K23/D23,0)*F23*2*(D23-1)/1e9,"")</x:f>
        <x:v>0.337641472</x:v>
      </x:c>
      <x:c r="AA67" s="103" t="n">
        <x:f>IF(A67,T23*ROUNDUP(K23/D23,0)*F23*2*2*(D23-1)/D23/1e9,"")</x:f>
        <x:v>0</x:v>
      </x:c>
      <x:c r="AB67" s="103" t="n">
        <x:f>IF(A67,U23*2*ROUNDUP(K23/D23,0)*F23*2*(D23-1)/1e9,"")</x:f>
        <x:v>0</x:v>
      </x:c>
      <x:c r="AC67" s="103" t="n">
        <x:f>IF(A67,ROUNDUP(K23/D23,0)*F23*2*(D23-1)/1e9,"")</x:f>
        <x:v>0.001835008</x:v>
      </x:c>
      <x:c r="AD67" s="103" t="n">
        <x:f>IF(A67,K23*256*(2+4)*(D23-1)/1e9,"")</x:f>
        <x:v>0.001376256</x:v>
      </x:c>
      <x:c r="AE67" s="103" t="n">
        <x:f>IF(A67,SUM(Y67:AD67),"")</x:f>
        <x:v>0.34452275200000004</x:v>
      </x:c>
      <x:c r="AF67" s="103" t="n">
        <x:f>IF(A67,AE67*1000/P23,"")</x:f>
        <x:v>0.07177557333333334</x:v>
      </x:c>
      <x:c r="AG67" s="103" t="n">
        <x:f>IF(A67,AF67/E23,"")</x:f>
        <x:v>0.0007801692753623189</x:v>
      </x:c>
      <x:c r="AH67" s="103" t="n">
        <x:f>IF(W67="",IF(OR(AG67=0,K67=0,$J$7=0),0,IF(AG67&lt;=(1-$J$7)*K67,$J$7*AG67*K67/(1-$J$7)-$J$7^2*AG67^2/(2*(1-$J$7)^2),$J$7*AG67*K67+$J$7^2*K67^2/2)/L67),"")</x:f>
        <x:v>9.029573767871735e-8</x:v>
      </x:c>
      <x:c r="AI67" s="103" t="n">
        <x:f>IF(W67="",U67*E23*T67*M23*N23,"")</x:f>
        <x:v>0.023682594169693556</x:v>
      </x:c>
      <x:c r="AJ67" s="103" t="n">
        <x:f>IF(W67="",U67*E23*AH67*Q23*R23,"")</x:f>
        <x:v>0.016614415732883994</x:v>
      </x:c>
      <x:c r="AK67" s="103" t="n">
        <x:f>IF(A67,O67+AF67,"")</x:f>
        <x:v>0.17408632000000002</x:v>
      </x:c>
      <x:c r="AL67" s="103" t="n">
        <x:f>IF(A67,AK67/E23,"")</x:f>
        <x:v>0.0018922426086956524</x:v>
      </x:c>
    </x:row>
    <x:row r="68" ht="22" customHeight="1">
      <x:c r="A68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IF(A68,M101,"")</x:f>
        <x:v>184.5653839111328</x:v>
      </x:c>
      <x:c r="E68" s="76" t="n">
        <x:f>IF(A68,B23/C23,"")</x:f>
        <x:v>4</x:v>
      </x:c>
      <x:c r="F68" s="76" t="n">
        <x:f>IF(A68,B23/D23,"")</x:f>
        <x:v>4</x:v>
      </x:c>
      <x:c r="G68" s="76" t="n">
        <x:f>IF(A68,$F$5*E68*$B$5*60000/B68,"")</x:f>
        <x:v>64</x:v>
      </x:c>
      <x:c r="H68" s="76" t="n">
        <x:f>IF(A68,G68/($J$5*F68),"")</x:f>
        <x:v>16</x:v>
      </x:c>
      <x:c r="I68" s="76" t="n">
        <x:f>IF(A68,$B$5*D68/C23/$B$9,"")</x:f>
        <x:v>369.1307678222656</x:v>
      </x:c>
      <x:c r="J68" s="76" t="n">
        <x:f>IF(A68,I68*$F$5/$J$5,"")</x:f>
        <x:v>369.1307678222656</x:v>
      </x:c>
      <x:c r="K68" s="76" t="n">
        <x:f>IF(A68,MAX(I68,J68)*2^30/(J23*1e6),"")</x:f>
        <x:v>82.57315498666667</x:v>
      </x:c>
      <x:c r="L68" s="76" t="n">
        <x:f>IF(A68,B68/$B$9,"")</x:f>
        <x:v>60000</x:v>
      </x:c>
      <x:c r="M68" s="77" t="n">
        <x:f>IF(A68,K68/L68,"")</x:f>
        <x:v>0.0013762192497777778</x:v>
      </x:c>
      <x:c r="N68" s="76" t="n">
        <x:f>IF(A68,(E23*ROUNDUP(K23/D23,0)*G23*(B23-1)/B23*(ROUNDUP((ROUNDUP(F23*2/32,0)*32+32)/480,0)*512+F23*2+32)+E23*ROUNDUP(H23/B23,0)*(B23-1)*32)/1e9,"")</x:f>
        <x:v>0.491091584</x:v>
      </x:c>
      <x:c r="O68" s="76" t="n">
        <x:f>IF(A68,N68*1000/I23,"")</x:f>
        <x:v>0.10231074666666667</x:v>
      </x:c>
      <x:c r="P68" s="76" t="n">
        <x:f>IF(A68,O68/E23,"")</x:f>
        <x:v>0.0011120733333333335</x:v>
      </x:c>
      <x:c r="Q68" s="76" t="n">
        <x:f>IF(A68,IF(C68&gt;AF68,N68*1000/(C68-AF68),""),"")</x:f>
        <x:v>99.64878655742605</x:v>
      </x:c>
      <x:c r="R68" s="76" t="n">
        <x:f>IF(W68="",IF(OR(K68=0,AK68=0),0,1-((E23-1)*MAX(0,(C68-AK68)/E23-(K68))+MAX(0,L68-((E23-1)*C68/E23+AL68)-(K68)))/L68),"")</x:f>
        <x:v>0.0014586783233865308</x:v>
      </x:c>
      <x:c r="S68" s="76" t="n">
        <x:f>IF(W68="",IF(AK68=0,0,MAX(0,1-(1-((E23-1)*MAX(0,(C68-AK68)/E23-(L68-K68))+MAX(0,L68-((E23-1)*C68/E23+AL68)-(L68-K68)))/L68))),"")</x:f>
        <x:v>0.001293760176169112</x:v>
      </x:c>
      <x:c r="T68" s="76" t="n">
        <x:f>IF(W68="",IF(OR(P68=0,K68=0,$J$7=0),0,IF(P68&lt;=(1-$J$7)*K68,$J$7*P68*K68/(1-$J$7)-$J$7^2*P68^2/(2*(1-$J$7)^2),$J$7*P68*K68+$J$7^2*K68^2/2)/L68),"")</x:f>
        <x:v>1.7005062037763417e-7</x:v>
      </x:c>
      <x:c r="U68" s="76" t="n">
        <x:f>IF(A68,60000/C68,"")</x:f>
        <x:v>12000</x:v>
      </x:c>
      <x:c r="V68" s="76" t="n">
        <x:f>IF(W68="",SUM(AI68:AJ68),"")</x:f>
        <x:v>0.31944105001158274</x:v>
      </x:c>
      <x:c r="W68" s="76" t="str">
        <x:f>IF(NOT(A68),"输入无效",IF(K68&gt;=L68,"KV 超载",IF(AK68&gt;C68+1e-9,"TPOT 不自洽",IF(OR(C68&gt;L68,MAX(P68,AG68)&gt;L68-K68),"需时序仿真",""))))</x:f>
      </x:c>
      <x:c r="X68" s="76" t="n">
        <x:f>IF(W68="",U68*M68,"")</x:f>
        <x:v>16.514630997333335</x:v>
      </x:c>
      <x:c r="Y68" s="103" t="n">
        <x:f>IF(A68,K23*F23*2*2*(D23-1)/D23/1e9,"")</x:f>
        <x:v>0.003670016</x:v>
      </x:c>
      <x:c r="Z68" s="103" t="n">
        <x:f>IF(A68,S23*2*ROUNDUP(K23/D23,0)*F23*2*(D23-1)/1e9,"")</x:f>
        <x:v>0.337641472</x:v>
      </x:c>
      <x:c r="AA68" s="103" t="n">
        <x:f>IF(A68,T23*ROUNDUP(K23/D23,0)*F23*2*2*(D23-1)/D23/1e9,"")</x:f>
        <x:v>0</x:v>
      </x:c>
      <x:c r="AB68" s="103" t="n">
        <x:f>IF(A68,U23*2*ROUNDUP(K23/D23,0)*F23*2*(D23-1)/1e9,"")</x:f>
        <x:v>0</x:v>
      </x:c>
      <x:c r="AC68" s="103" t="n">
        <x:f>IF(A68,ROUNDUP(K23/D23,0)*F23*2*(D23-1)/1e9,"")</x:f>
        <x:v>0.001835008</x:v>
      </x:c>
      <x:c r="AD68" s="103" t="n">
        <x:f>IF(A68,K23*256*(2+4)*(D23-1)/1e9,"")</x:f>
        <x:v>0.001376256</x:v>
      </x:c>
      <x:c r="AE68" s="103" t="n">
        <x:f>IF(A68,SUM(Y68:AD68),"")</x:f>
        <x:v>0.34452275200000004</x:v>
      </x:c>
      <x:c r="AF68" s="103" t="n">
        <x:f>IF(A68,AE68*1000/P23,"")</x:f>
        <x:v>0.07177557333333334</x:v>
      </x:c>
      <x:c r="AG68" s="103" t="n">
        <x:f>IF(A68,AF68/E23,"")</x:f>
        <x:v>0.0007801692753623189</x:v>
      </x:c>
      <x:c r="AH68" s="103" t="n">
        <x:f>IF(W68="",IF(OR(AG68=0,K68=0,$J$7=0),0,IF(AG68&lt;=(1-$J$7)*K68,$J$7*AG68*K68/(1-$J$7)-$J$7^2*AG68^2/(2*(1-$J$7)^2),$J$7*AG68*K68+$J$7^2*K68^2/2)/L68),"")</x:f>
        <x:v>1.1929815680677048e-7</x:v>
      </x:c>
      <x:c r="AI68" s="103" t="n">
        <x:f>IF(W68="",U68*E23*T68*M23*N23,"")</x:f>
        <x:v>0.18773588489690812</x:v>
      </x:c>
      <x:c r="AJ68" s="103" t="n">
        <x:f>IF(W68="",U68*E23*AH68*Q23*R23,"")</x:f>
        <x:v>0.13170516511467462</x:v>
      </x:c>
      <x:c r="AK68" s="103" t="n">
        <x:f>IF(A68,O68+AF68,"")</x:f>
        <x:v>0.17408632000000002</x:v>
      </x:c>
      <x:c r="AL68" s="103" t="n">
        <x:f>IF(A68,AK68/E23,"")</x:f>
        <x:v>0.0018922426086956524</x:v>
      </x:c>
    </x:row>
    <x:row r="69" ht="22" customHeight="1">
      <x:c r="A69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IF(A69,M101,"")</x:f>
        <x:v>184.5653839111328</x:v>
      </x:c>
      <x:c r="E69" s="76" t="n">
        <x:f>IF(A69,B23/C23,"")</x:f>
        <x:v>4</x:v>
      </x:c>
      <x:c r="F69" s="76" t="n">
        <x:f>IF(A69,B23/D23,"")</x:f>
        <x:v>4</x:v>
      </x:c>
      <x:c r="G69" s="76" t="n">
        <x:f>IF(A69,$F$5*E69*$B$5*60000/B69,"")</x:f>
        <x:v>64</x:v>
      </x:c>
      <x:c r="H69" s="76" t="n">
        <x:f>IF(A69,G69/($J$5*F69),"")</x:f>
        <x:v>16</x:v>
      </x:c>
      <x:c r="I69" s="76" t="n">
        <x:f>IF(A69,$B$5*D69/C23/$B$9,"")</x:f>
        <x:v>369.1307678222656</x:v>
      </x:c>
      <x:c r="J69" s="76" t="n">
        <x:f>IF(A69,I69*$F$5/$J$5,"")</x:f>
        <x:v>369.1307678222656</x:v>
      </x:c>
      <x:c r="K69" s="76" t="n">
        <x:f>IF(A69,MAX(I69,J69)*2^30/(J23*1e6),"")</x:f>
        <x:v>82.57315498666667</x:v>
      </x:c>
      <x:c r="L69" s="76" t="n">
        <x:f>IF(A69,B69/$B$9,"")</x:f>
        <x:v>60000</x:v>
      </x:c>
      <x:c r="M69" s="77" t="n">
        <x:f>IF(A69,K69/L69,"")</x:f>
        <x:v>0.0013762192497777778</x:v>
      </x:c>
      <x:c r="N69" s="76" t="n">
        <x:f>IF(A69,(E23*ROUNDUP(K23/D23,0)*G23*(B23-1)/B23*(ROUNDUP((ROUNDUP(F23*2/32,0)*32+32)/480,0)*512+F23*2+32)+E23*ROUNDUP(H23/B23,0)*(B23-1)*32)/1e9,"")</x:f>
        <x:v>0.491091584</x:v>
      </x:c>
      <x:c r="O69" s="76" t="n">
        <x:f>IF(A69,N69*1000/I23,"")</x:f>
        <x:v>0.10231074666666667</x:v>
      </x:c>
      <x:c r="P69" s="76" t="n">
        <x:f>IF(A69,O69/E23,"")</x:f>
        <x:v>0.0011120733333333335</x:v>
      </x:c>
      <x:c r="Q69" s="76" t="n">
        <x:f>IF(A69,IF(C69&gt;AF69,N69*1000/(C69-AF69),""),"")</x:f>
        <x:v>49.46419046299507</x:v>
      </x:c>
      <x:c r="R69" s="76" t="n">
        <x:f>IF(W69="",IF(OR(K69=0,AK69=0),0,1-((E23-1)*MAX(0,(C69-AK69)/E23-(K69))+MAX(0,L69-((E23-1)*C69/E23+AL69)-(K69)))/L69),"")</x:f>
        <x:v>0.001541105859618419</x:v>
      </x:c>
      <x:c r="S69" s="76" t="n">
        <x:f>IF(W69="",IF(AK69=0,0,MAX(0,1-(1-((E23-1)*MAX(0,(C69-AK69)/E23-(L69-K69))+MAX(0,L69-((E23-1)*C69/E23+AL69)-(L69-K69)))/L69))),"")</x:f>
        <x:v>0.0012113326399372237</x:v>
      </x:c>
      <x:c r="T69" s="76" t="n">
        <x:f>IF(W69="",IF(OR(P69=0,K69=0,$J$7=0),0,IF(P69&lt;=(1-$J$7)*K69,$J$7*P69*K69/(1-$J$7)-$J$7^2*P69^2/(2*(1-$J$7)^2),$J$7*P69*K69+$J$7^2*K69^2/2)/L69),"")</x:f>
        <x:v>1.7005062037763417e-7</x:v>
      </x:c>
      <x:c r="U69" s="76" t="n">
        <x:f>IF(A69,60000/C69,"")</x:f>
        <x:v>6000</x:v>
      </x:c>
      <x:c r="V69" s="76" t="n">
        <x:f>IF(W69="",SUM(AI69:AJ69),"")</x:f>
        <x:v>0.15972052500579137</x:v>
      </x:c>
      <x:c r="W69" s="76" t="str">
        <x:f>IF(NOT(A69),"输入无效",IF(K69&gt;=L69,"KV 超载",IF(AK69&gt;C69+1e-9,"TPOT 不自洽",IF(OR(C69&gt;L69,MAX(P69,AG69)&gt;L69-K69),"需时序仿真",""))))</x:f>
      </x:c>
      <x:c r="X69" s="76" t="n">
        <x:f>IF(W69="",U69*M69,"")</x:f>
        <x:v>8.257315498666667</x:v>
      </x:c>
      <x:c r="Y69" s="103" t="n">
        <x:f>IF(A69,K23*F23*2*2*(D23-1)/D23/1e9,"")</x:f>
        <x:v>0.003670016</x:v>
      </x:c>
      <x:c r="Z69" s="103" t="n">
        <x:f>IF(A69,S23*2*ROUNDUP(K23/D23,0)*F23*2*(D23-1)/1e9,"")</x:f>
        <x:v>0.337641472</x:v>
      </x:c>
      <x:c r="AA69" s="103" t="n">
        <x:f>IF(A69,T23*ROUNDUP(K23/D23,0)*F23*2*2*(D23-1)/D23/1e9,"")</x:f>
        <x:v>0</x:v>
      </x:c>
      <x:c r="AB69" s="103" t="n">
        <x:f>IF(A69,U23*2*ROUNDUP(K23/D23,0)*F23*2*(D23-1)/1e9,"")</x:f>
        <x:v>0</x:v>
      </x:c>
      <x:c r="AC69" s="103" t="n">
        <x:f>IF(A69,ROUNDUP(K23/D23,0)*F23*2*(D23-1)/1e9,"")</x:f>
        <x:v>0.001835008</x:v>
      </x:c>
      <x:c r="AD69" s="103" t="n">
        <x:f>IF(A69,K23*256*(2+4)*(D23-1)/1e9,"")</x:f>
        <x:v>0.001376256</x:v>
      </x:c>
      <x:c r="AE69" s="103" t="n">
        <x:f>IF(A69,SUM(Y69:AD69),"")</x:f>
        <x:v>0.34452275200000004</x:v>
      </x:c>
      <x:c r="AF69" s="103" t="n">
        <x:f>IF(A69,AE69*1000/P23,"")</x:f>
        <x:v>0.07177557333333334</x:v>
      </x:c>
      <x:c r="AG69" s="103" t="n">
        <x:f>IF(A69,AF69/E23,"")</x:f>
        <x:v>0.0007801692753623189</x:v>
      </x:c>
      <x:c r="AH69" s="103" t="n">
        <x:f>IF(W69="",IF(OR(AG69=0,K69=0,$J$7=0),0,IF(AG69&lt;=(1-$J$7)*K69,$J$7*AG69*K69/(1-$J$7)-$J$7^2*AG69^2/(2*(1-$J$7)^2),$J$7*AG69*K69+$J$7^2*K69^2/2)/L69),"")</x:f>
        <x:v>1.1929815680677048e-7</x:v>
      </x:c>
      <x:c r="AI69" s="103" t="n">
        <x:f>IF(W69="",U69*E23*T69*M23*N23,"")</x:f>
        <x:v>0.09386794244845406</x:v>
      </x:c>
      <x:c r="AJ69" s="103" t="n">
        <x:f>IF(W69="",U69*E23*AH69*Q23*R23,"")</x:f>
        <x:v>0.06585258255733731</x:v>
      </x:c>
      <x:c r="AK69" s="103" t="n">
        <x:f>IF(A69,O69+AF69,"")</x:f>
        <x:v>0.17408632000000002</x:v>
      </x:c>
      <x:c r="AL69" s="103" t="n">
        <x:f>IF(A69,AK69/E23,"")</x:f>
        <x:v>0.0018922426086956524</x:v>
      </x:c>
    </x:row>
    <x:row r="70" ht="22" customHeight="1">
      <x:c r="A70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IF(A70,M101,"")</x:f>
        <x:v>184.5653839111328</x:v>
      </x:c>
      <x:c r="E70" s="76" t="n">
        <x:f>IF(A70,B23/C23,"")</x:f>
        <x:v>4</x:v>
      </x:c>
      <x:c r="F70" s="76" t="n">
        <x:f>IF(A70,B23/D23,"")</x:f>
        <x:v>4</x:v>
      </x:c>
      <x:c r="G70" s="76" t="n">
        <x:f>IF(A70,$F$5*E70*$B$5*60000/B70,"")</x:f>
        <x:v>64</x:v>
      </x:c>
      <x:c r="H70" s="76" t="n">
        <x:f>IF(A70,G70/($J$5*F70),"")</x:f>
        <x:v>16</x:v>
      </x:c>
      <x:c r="I70" s="76" t="n">
        <x:f>IF(A70,$B$5*D70/C23/$B$9,"")</x:f>
        <x:v>369.1307678222656</x:v>
      </x:c>
      <x:c r="J70" s="76" t="n">
        <x:f>IF(A70,I70*$F$5/$J$5,"")</x:f>
        <x:v>369.1307678222656</x:v>
      </x:c>
      <x:c r="K70" s="76" t="n">
        <x:f>IF(A70,MAX(I70,J70)*2^30/(J23*1e6),"")</x:f>
        <x:v>82.57315498666667</x:v>
      </x:c>
      <x:c r="L70" s="76" t="n">
        <x:f>IF(A70,B70/$B$9,"")</x:f>
        <x:v>60000</x:v>
      </x:c>
      <x:c r="M70" s="77" t="n">
        <x:f>IF(A70,K70/L70,"")</x:f>
        <x:v>0.0013762192497777778</x:v>
      </x:c>
      <x:c r="N70" s="76" t="n">
        <x:f>IF(A70,(E23*ROUNDUP(K23/D23,0)*G23*(B23-1)/B23*(ROUNDUP((ROUNDUP(F23*2/32,0)*32+32)/480,0)*512+F23*2+32)+E23*ROUNDUP(H23/B23,0)*(B23-1)*32)/1e9,"")</x:f>
        <x:v>0.491091584</x:v>
      </x:c>
      <x:c r="O70" s="76" t="n">
        <x:f>IF(A70,N70*1000/I23,"")</x:f>
        <x:v>0.10231074666666667</x:v>
      </x:c>
      <x:c r="P70" s="76" t="n">
        <x:f>IF(A70,O70/E23,"")</x:f>
        <x:v>0.0011120733333333335</x:v>
      </x:c>
      <x:c r="Q70" s="76" t="n">
        <x:f>IF(A70,IF(C70&gt;AF70,N70*1000/(C70-AF70),""),"")</x:f>
        <x:v>24.643017535614106</x:v>
      </x:c>
      <x:c r="R70" s="76" t="n">
        <x:f>IF(W70="",IF(OR(K70=0,AK70=0),0,1-((E23-1)*MAX(0,(C70-AK70)/E23-(K70))+MAX(0,L70-((E23-1)*C70/E23+AL70)-(K70)))/L70),"")</x:f>
        <x:v>0.0017059609320820845</x:v>
      </x:c>
      <x:c r="S70" s="76" t="n">
        <x:f>IF(W70="",IF(AK70=0,0,MAX(0,1-(1-((E23-1)*MAX(0,(C70-AK70)/E23-(L70-K70))+MAX(0,L70-((E23-1)*C70/E23+AL70)-(L70-K70)))/L70))),"")</x:f>
        <x:v>0.0010464775674735582</x:v>
      </x:c>
      <x:c r="T70" s="76" t="n">
        <x:f>IF(W70="",IF(OR(P70=0,K70=0,$J$7=0),0,IF(P70&lt;=(1-$J$7)*K70,$J$7*P70*K70/(1-$J$7)-$J$7^2*P70^2/(2*(1-$J$7)^2),$J$7*P70*K70+$J$7^2*K70^2/2)/L70),"")</x:f>
        <x:v>1.7005062037763417e-7</x:v>
      </x:c>
      <x:c r="U70" s="76" t="n">
        <x:f>IF(A70,60000/C70,"")</x:f>
        <x:v>3000</x:v>
      </x:c>
      <x:c r="V70" s="76" t="n">
        <x:f>IF(W70="",SUM(AI70:AJ70),"")</x:f>
        <x:v>0.07986026250289568</x:v>
      </x:c>
      <x:c r="W70" s="76" t="str">
        <x:f>IF(NOT(A70),"输入无效",IF(K70&gt;=L70,"KV 超载",IF(AK70&gt;C70+1e-9,"TPOT 不自洽",IF(OR(C70&gt;L70,MAX(P70,AG70)&gt;L70-K70),"需时序仿真",""))))</x:f>
      </x:c>
      <x:c r="X70" s="76" t="n">
        <x:f>IF(W70="",U70*M70,"")</x:f>
        <x:v>4.128657749333334</x:v>
      </x:c>
      <x:c r="Y70" s="103" t="n">
        <x:f>IF(A70,K23*F23*2*2*(D23-1)/D23/1e9,"")</x:f>
        <x:v>0.003670016</x:v>
      </x:c>
      <x:c r="Z70" s="103" t="n">
        <x:f>IF(A70,S23*2*ROUNDUP(K23/D23,0)*F23*2*(D23-1)/1e9,"")</x:f>
        <x:v>0.337641472</x:v>
      </x:c>
      <x:c r="AA70" s="103" t="n">
        <x:f>IF(A70,T23*ROUNDUP(K23/D23,0)*F23*2*2*(D23-1)/D23/1e9,"")</x:f>
        <x:v>0</x:v>
      </x:c>
      <x:c r="AB70" s="103" t="n">
        <x:f>IF(A70,U23*2*ROUNDUP(K23/D23,0)*F23*2*(D23-1)/1e9,"")</x:f>
        <x:v>0</x:v>
      </x:c>
      <x:c r="AC70" s="103" t="n">
        <x:f>IF(A70,ROUNDUP(K23/D23,0)*F23*2*(D23-1)/1e9,"")</x:f>
        <x:v>0.001835008</x:v>
      </x:c>
      <x:c r="AD70" s="103" t="n">
        <x:f>IF(A70,K23*256*(2+4)*(D23-1)/1e9,"")</x:f>
        <x:v>0.001376256</x:v>
      </x:c>
      <x:c r="AE70" s="103" t="n">
        <x:f>IF(A70,SUM(Y70:AD70),"")</x:f>
        <x:v>0.34452275200000004</x:v>
      </x:c>
      <x:c r="AF70" s="103" t="n">
        <x:f>IF(A70,AE70*1000/P23,"")</x:f>
        <x:v>0.07177557333333334</x:v>
      </x:c>
      <x:c r="AG70" s="103" t="n">
        <x:f>IF(A70,AF70/E23,"")</x:f>
        <x:v>0.0007801692753623189</x:v>
      </x:c>
      <x:c r="AH70" s="103" t="n">
        <x:f>IF(W70="",IF(OR(AG70=0,K70=0,$J$7=0),0,IF(AG70&lt;=(1-$J$7)*K70,$J$7*AG70*K70/(1-$J$7)-$J$7^2*AG70^2/(2*(1-$J$7)^2),$J$7*AG70*K70+$J$7^2*K70^2/2)/L70),"")</x:f>
        <x:v>1.1929815680677048e-7</x:v>
      </x:c>
      <x:c r="AI70" s="103" t="n">
        <x:f>IF(W70="",U70*E23*T70*M23*N23,"")</x:f>
        <x:v>0.04693397122422703</x:v>
      </x:c>
      <x:c r="AJ70" s="103" t="n">
        <x:f>IF(W70="",U70*E23*AH70*Q23*R23,"")</x:f>
        <x:v>0.032926291278668654</x:v>
      </x:c>
      <x:c r="AK70" s="103" t="n">
        <x:f>IF(A70,O70+AF70,"")</x:f>
        <x:v>0.17408632000000002</x:v>
      </x:c>
      <x:c r="AL70" s="103" t="n">
        <x:f>IF(A70,AK70/E23,"")</x:f>
        <x:v>0.0018922426086956524</x:v>
      </x:c>
    </x:row>
    <x:row r="71" ht="22" customHeight="1">
      <x:c r="A71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IF(A71,M101,"")</x:f>
        <x:v>184.5653839111328</x:v>
      </x:c>
      <x:c r="E71" s="76" t="n">
        <x:f>IF(A71,B23/C23,"")</x:f>
        <x:v>4</x:v>
      </x:c>
      <x:c r="F71" s="76" t="n">
        <x:f>IF(A71,B23/D23,"")</x:f>
        <x:v>4</x:v>
      </x:c>
      <x:c r="G71" s="76" t="n">
        <x:f>IF(A71,$F$5*E71*$B$5*60000/B71,"")</x:f>
        <x:v>64</x:v>
      </x:c>
      <x:c r="H71" s="76" t="n">
        <x:f>IF(A71,G71/($J$5*F71),"")</x:f>
        <x:v>16</x:v>
      </x:c>
      <x:c r="I71" s="76" t="n">
        <x:f>IF(A71,$B$5*D71/C23/$B$9,"")</x:f>
        <x:v>369.1307678222656</x:v>
      </x:c>
      <x:c r="J71" s="76" t="n">
        <x:f>IF(A71,I71*$F$5/$J$5,"")</x:f>
        <x:v>369.1307678222656</x:v>
      </x:c>
      <x:c r="K71" s="76" t="n">
        <x:f>IF(A71,MAX(I71,J71)*2^30/(J23*1e6),"")</x:f>
        <x:v>82.57315498666667</x:v>
      </x:c>
      <x:c r="L71" s="76" t="n">
        <x:f>IF(A71,B71/$B$9,"")</x:f>
        <x:v>60000</x:v>
      </x:c>
      <x:c r="M71" s="77" t="n">
        <x:f>IF(A71,K71/L71,"")</x:f>
        <x:v>0.0013762192497777778</x:v>
      </x:c>
      <x:c r="N71" s="76" t="n">
        <x:f>IF(A71,(E23*ROUNDUP(K23/D23,0)*G23*(B23-1)/B23*(ROUNDUP((ROUNDUP(F23*2/32,0)*32+32)/480,0)*512+F23*2+32)+E23*ROUNDUP(H23/B23,0)*(B23-1)*32)/1e9,"")</x:f>
        <x:v>0.491091584</x:v>
      </x:c>
      <x:c r="O71" s="76" t="n">
        <x:f>IF(A71,N71*1000/I23,"")</x:f>
        <x:v>0.10231074666666667</x:v>
      </x:c>
      <x:c r="P71" s="76" t="n">
        <x:f>IF(A71,O71/E23,"")</x:f>
        <x:v>0.0011120733333333335</x:v>
      </x:c>
      <x:c r="Q71" s="76" t="n">
        <x:f>IF(A71,IF(C71&gt;AF71,N71*1000/(C71-AF71),""),"")</x:f>
        <x:v>16.408978260749315</x:v>
      </x:c>
      <x:c r="R71" s="76" t="n">
        <x:f>IF(W71="",IF(OR(K71=0,AK71=0),0,1-((E23-1)*MAX(0,(C71-AK71)/E23-(K71))+MAX(0,L71-((E23-1)*C71/E23+AL71)-(K71)))/L71),"")</x:f>
        <x:v>0.001870816004545972</x:v>
      </x:c>
      <x:c r="S71" s="76" t="n">
        <x:f>IF(W71="",IF(AK71=0,0,MAX(0,1-(1-((E23-1)*MAX(0,(C71-AK71)/E23-(L71-K71))+MAX(0,L71-((E23-1)*C71/E23+AL71)-(L71-K71)))/L71))),"")</x:f>
        <x:v>0.0008816224950096707</x:v>
      </x:c>
      <x:c r="T71" s="76" t="n">
        <x:f>IF(W71="",IF(OR(P71=0,K71=0,$J$7=0),0,IF(P71&lt;=(1-$J$7)*K71,$J$7*P71*K71/(1-$J$7)-$J$7^2*P71^2/(2*(1-$J$7)^2),$J$7*P71*K71+$J$7^2*K71^2/2)/L71),"")</x:f>
        <x:v>1.7005062037763417e-7</x:v>
      </x:c>
      <x:c r="U71" s="76" t="n">
        <x:f>IF(A71,60000/C71,"")</x:f>
        <x:v>2000</x:v>
      </x:c>
      <x:c r="V71" s="76" t="n">
        <x:f>IF(W71="",SUM(AI71:AJ71),"")</x:f>
        <x:v>0.053240175001930456</x:v>
      </x:c>
      <x:c r="W71" s="76" t="str">
        <x:f>IF(NOT(A71),"输入无效",IF(K71&gt;=L71,"KV 超载",IF(AK71&gt;C71+1e-9,"TPOT 不自洽",IF(OR(C71&gt;L71,MAX(P71,AG71)&gt;L71-K71),"需时序仿真",""))))</x:f>
      </x:c>
      <x:c r="X71" s="76" t="n">
        <x:f>IF(W71="",U71*M71,"")</x:f>
        <x:v>2.7524384995555558</x:v>
      </x:c>
      <x:c r="Y71" s="103" t="n">
        <x:f>IF(A71,K23*F23*2*2*(D23-1)/D23/1e9,"")</x:f>
        <x:v>0.003670016</x:v>
      </x:c>
      <x:c r="Z71" s="103" t="n">
        <x:f>IF(A71,S23*2*ROUNDUP(K23/D23,0)*F23*2*(D23-1)/1e9,"")</x:f>
        <x:v>0.337641472</x:v>
      </x:c>
      <x:c r="AA71" s="103" t="n">
        <x:f>IF(A71,T23*ROUNDUP(K23/D23,0)*F23*2*2*(D23-1)/D23/1e9,"")</x:f>
        <x:v>0</x:v>
      </x:c>
      <x:c r="AB71" s="103" t="n">
        <x:f>IF(A71,U23*2*ROUNDUP(K23/D23,0)*F23*2*(D23-1)/1e9,"")</x:f>
        <x:v>0</x:v>
      </x:c>
      <x:c r="AC71" s="103" t="n">
        <x:f>IF(A71,ROUNDUP(K23/D23,0)*F23*2*(D23-1)/1e9,"")</x:f>
        <x:v>0.001835008</x:v>
      </x:c>
      <x:c r="AD71" s="103" t="n">
        <x:f>IF(A71,K23*256*(2+4)*(D23-1)/1e9,"")</x:f>
        <x:v>0.001376256</x:v>
      </x:c>
      <x:c r="AE71" s="103" t="n">
        <x:f>IF(A71,SUM(Y71:AD71),"")</x:f>
        <x:v>0.34452275200000004</x:v>
      </x:c>
      <x:c r="AF71" s="103" t="n">
        <x:f>IF(A71,AE71*1000/P23,"")</x:f>
        <x:v>0.07177557333333334</x:v>
      </x:c>
      <x:c r="AG71" s="103" t="n">
        <x:f>IF(A71,AF71/E23,"")</x:f>
        <x:v>0.0007801692753623189</x:v>
      </x:c>
      <x:c r="AH71" s="103" t="n">
        <x:f>IF(W71="",IF(OR(AG71=0,K71=0,$J$7=0),0,IF(AG71&lt;=(1-$J$7)*K71,$J$7*AG71*K71/(1-$J$7)-$J$7^2*AG71^2/(2*(1-$J$7)^2),$J$7*AG71*K71+$J$7^2*K71^2/2)/L71),"")</x:f>
        <x:v>1.1929815680677048e-7</x:v>
      </x:c>
      <x:c r="AI71" s="103" t="n">
        <x:f>IF(W71="",U71*E23*T71*M23*N23,"")</x:f>
        <x:v>0.03128931414948469</x:v>
      </x:c>
      <x:c r="AJ71" s="103" t="n">
        <x:f>IF(W71="",U71*E23*AH71*Q23*R23,"")</x:f>
        <x:v>0.02195086085244577</x:v>
      </x:c>
      <x:c r="AK71" s="103" t="n">
        <x:f>IF(A71,O71+AF71,"")</x:f>
        <x:v>0.17408632000000002</x:v>
      </x:c>
      <x:c r="AL71" s="103" t="n">
        <x:f>IF(A71,AK71/E23,"")</x:f>
        <x:v>0.0018922426086956524</x:v>
      </x:c>
    </x:row>
    <x:row r="72" ht="22" customHeight="1">
      <x:c r="A72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IF(A72,M93,"")</x:f>
        <x:v>3.4403839111328125</x:v>
      </x:c>
      <x:c r="E72" s="76" t="n">
        <x:f>IF(A72,B24/C24,"")</x:f>
        <x:v>32</x:v>
      </x:c>
      <x:c r="F72" s="76" t="n">
        <x:f>IF(A72,B24/D24,"")</x:f>
        <x:v>32</x:v>
      </x:c>
      <x:c r="G72" s="76" t="n">
        <x:f>IF(A72,$F$5*E72*$B$5*60000/B72,"")</x:f>
        <x:v>7680</x:v>
      </x:c>
      <x:c r="H72" s="76" t="n">
        <x:f>IF(A72,G72/($J$5*F72),"")</x:f>
        <x:v>240</x:v>
      </x:c>
      <x:c r="I72" s="76" t="n">
        <x:f>IF(A72,$B$5*D72/C24/$B$9,"")</x:f>
        <x:v>6.880767822265625</x:v>
      </x:c>
      <x:c r="J72" s="76" t="n">
        <x:f>IF(A72,I72*$F$5/$J$5,"")</x:f>
        <x:v>6.880767822265625</x:v>
      </x:c>
      <x:c r="K72" s="76" t="n">
        <x:f>IF(A72,MAX(I72,J72)*2^30/(J24*1e6),"")</x:f>
        <x:v>1.5392017066666666</x:v>
      </x:c>
      <x:c r="L72" s="76" t="n">
        <x:f>IF(A72,B72/$B$9,"")</x:f>
        <x:v>4000</x:v>
      </x:c>
      <x:c r="M72" s="77" t="n">
        <x:f>IF(A72,K72/L72,"")</x:f>
        <x:v>0.00038480042666666665</x:v>
      </x:c>
      <x:c r="N72" s="76" t="n">
        <x:f>IF(A72,(E24*ROUNDUP(K24/D24,0)*G24*(B24-1)/B24*(ROUNDUP((ROUNDUP(F24*2/32,0)*32+32)/480,0)*512+F24*2+32)+E24*ROUNDUP(H24/B24,0)*(B24-1)*32)/1e9,"")</x:f>
        <x:v>0.50495304</x:v>
      </x:c>
      <x:c r="O72" s="76" t="n">
        <x:f>IF(A72,N72*1000/I24,"")</x:f>
        <x:v>0.10519855</x:v>
      </x:c>
      <x:c r="P72" s="76" t="n">
        <x:f>IF(A72,O72/E24,"")</x:f>
        <x:v>0.0011434625</x:v>
      </x:c>
      <x:c r="Q72" s="76" t="n">
        <x:f>IF(A72,IF(C72&gt;AF72,N72*1000/(C72-AF72),""),"")</x:f>
        <x:v>102.46145391993403</x:v>
      </x:c>
      <x:c r="R72" s="76" t="n">
        <x:f>IF(W72="",IF(OR(K72=0,AK72=0),0,1-((E24-1)*MAX(0,(C72-AK72)/E24-(K72))+MAX(0,L72-((E24-1)*C72/E24+AL72)-(K72)))/L72),"")</x:f>
        <x:v>0.0016216943780886783</x:v>
      </x:c>
      <x:c r="S72" s="76" t="n">
        <x:f>IF(W72="",IF(AK72=0,0,MAX(0,1-(1-((E24-1)*MAX(0,(C72-AK72)/E24-(L72-K72))+MAX(0,L72-((E24-1)*C72/E24+AL72)-(L72-K72)))/L72))),"")</x:f>
        <x:v>0</x:v>
      </x:c>
      <x:c r="T72" s="76" t="n">
        <x:f>IF(W72="",IF(OR(P72=0,K72=0,$J$7=0),0,IF(P72&lt;=(1-$J$7)*K72,$J$7*P72*K72/(1-$J$7)-$J$7^2*P72^2/(2*(1-$J$7)^2),$J$7*P72*K72+$J$7^2*K72^2/2)/L72),"")</x:f>
        <x:v>4.8887410896109717e-8</x:v>
      </x:c>
      <x:c r="U72" s="76" t="n">
        <x:f>IF(A72,60000/C72,"")</x:f>
        <x:v>12000</x:v>
      </x:c>
      <x:c r="V72" s="76" t="n">
        <x:f>IF(W72="",SUM(AI72:AJ72),"")</x:f>
        <x:v>0.09079635963657506</x:v>
      </x:c>
      <x:c r="W72" s="76" t="str">
        <x:f>IF(NOT(A72),"输入无效",IF(K72&gt;=L72,"KV 超载",IF(AK72&gt;C72+1e-9,"TPOT 不自洽",IF(OR(C72&gt;L72,MAX(P72,AG72)&gt;L72-K72),"需时序仿真",""))))</x:f>
      </x:c>
      <x:c r="X72" s="76" t="n">
        <x:f>IF(W72="",U72*M72,"")</x:f>
        <x:v>4.6176051199999995</x:v>
      </x:c>
      <x:c r="Y72" s="103" t="n">
        <x:f>IF(A72,K24*F24*2*2*(D24-1)/D24/1e9,"")</x:f>
        <x:v>0.003670016</x:v>
      </x:c>
      <x:c r="Z72" s="103" t="n">
        <x:f>IF(A72,S24*2*ROUNDUP(K24/D24,0)*F24*2*(D24-1)/1e9,"")</x:f>
        <x:v>0.337641472</x:v>
      </x:c>
      <x:c r="AA72" s="103" t="n">
        <x:f>IF(A72,T24*ROUNDUP(K24/D24,0)*F24*2*2*(D24-1)/D24/1e9,"")</x:f>
        <x:v>0</x:v>
      </x:c>
      <x:c r="AB72" s="103" t="n">
        <x:f>IF(A72,U24*2*ROUNDUP(K24/D24,0)*F24*2*(D24-1)/1e9,"")</x:f>
        <x:v>0</x:v>
      </x:c>
      <x:c r="AC72" s="103" t="n">
        <x:f>IF(A72,ROUNDUP(K24/D24,0)*F24*2*(D24-1)/1e9,"")</x:f>
        <x:v>0.001835008</x:v>
      </x:c>
      <x:c r="AD72" s="103" t="n">
        <x:f>IF(A72,K24*256*(2+4)*(D24-1)/1e9,"")</x:f>
        <x:v>0.001376256</x:v>
      </x:c>
      <x:c r="AE72" s="103" t="n">
        <x:f>IF(A72,SUM(Y72:AD72),"")</x:f>
        <x:v>0.34452275200000004</x:v>
      </x:c>
      <x:c r="AF72" s="103" t="n">
        <x:f>IF(A72,AE72*1000/P24,"")</x:f>
        <x:v>0.07177557333333334</x:v>
      </x:c>
      <x:c r="AG72" s="103" t="n">
        <x:f>IF(A72,AF72/E24,"")</x:f>
        <x:v>0.0007801692753623189</x:v>
      </x:c>
      <x:c r="AH72" s="103" t="n">
        <x:f>IF(W72="",IF(OR(AG72=0,K72=0,$J$7=0),0,IF(AG72&lt;=(1-$J$7)*K72,$J$7*AG72*K72/(1-$J$7)-$J$7^2*AG72^2/(2*(1-$J$7)^2),$J$7*AG72*K72+$J$7^2*K72^2/2)/L72),"")</x:f>
        <x:v>3.335566848484596e-8</x:v>
      </x:c>
      <x:c r="AI72" s="103" t="n">
        <x:f>IF(W72="",U72*E24*T72*M24*N24,"")</x:f>
        <x:v>0.053971701629305126</x:v>
      </x:c>
      <x:c r="AJ72" s="103" t="n">
        <x:f>IF(W72="",U72*E24*AH72*Q24*R24,"")</x:f>
        <x:v>0.03682465800726994</x:v>
      </x:c>
      <x:c r="AK72" s="103" t="n">
        <x:f>IF(A72,O72+AF72,"")</x:f>
        <x:v>0.17697412333333334</x:v>
      </x:c>
      <x:c r="AL72" s="103" t="n">
        <x:f>IF(A72,AK72/E24,"")</x:f>
        <x:v>0.001923631775362319</x:v>
      </x:c>
    </x:row>
    <x:row r="73" ht="22" customHeight="1">
      <x:c r="A73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IF(A73,M93,"")</x:f>
        <x:v>3.4403839111328125</x:v>
      </x:c>
      <x:c r="E73" s="76" t="n">
        <x:f>IF(A73,B24/C24,"")</x:f>
        <x:v>32</x:v>
      </x:c>
      <x:c r="F73" s="76" t="n">
        <x:f>IF(A73,B24/D24,"")</x:f>
        <x:v>32</x:v>
      </x:c>
      <x:c r="G73" s="76" t="n">
        <x:f>IF(A73,$F$5*E73*$B$5*60000/B73,"")</x:f>
        <x:v>7680</x:v>
      </x:c>
      <x:c r="H73" s="76" t="n">
        <x:f>IF(A73,G73/($J$5*F73),"")</x:f>
        <x:v>240</x:v>
      </x:c>
      <x:c r="I73" s="76" t="n">
        <x:f>IF(A73,$B$5*D73/C24/$B$9,"")</x:f>
        <x:v>6.880767822265625</x:v>
      </x:c>
      <x:c r="J73" s="76" t="n">
        <x:f>IF(A73,I73*$F$5/$J$5,"")</x:f>
        <x:v>6.880767822265625</x:v>
      </x:c>
      <x:c r="K73" s="76" t="n">
        <x:f>IF(A73,MAX(I73,J73)*2^30/(J24*1e6),"")</x:f>
        <x:v>1.5392017066666666</x:v>
      </x:c>
      <x:c r="L73" s="76" t="n">
        <x:f>IF(A73,B73/$B$9,"")</x:f>
        <x:v>4000</x:v>
      </x:c>
      <x:c r="M73" s="77" t="n">
        <x:f>IF(A73,K73/L73,"")</x:f>
        <x:v>0.00038480042666666665</x:v>
      </x:c>
      <x:c r="N73" s="76" t="n">
        <x:f>IF(A73,(E24*ROUNDUP(K24/D24,0)*G24*(B24-1)/B24*(ROUNDUP((ROUNDUP(F24*2/32,0)*32+32)/480,0)*512+F24*2+32)+E24*ROUNDUP(H24/B24,0)*(B24-1)*32)/1e9,"")</x:f>
        <x:v>0.50495304</x:v>
      </x:c>
      <x:c r="O73" s="76" t="n">
        <x:f>IF(A73,N73*1000/I24,"")</x:f>
        <x:v>0.10519855</x:v>
      </x:c>
      <x:c r="P73" s="76" t="n">
        <x:f>IF(A73,O73/E24,"")</x:f>
        <x:v>0.0011434625</x:v>
      </x:c>
      <x:c r="Q73" s="76" t="n">
        <x:f>IF(A73,IF(C73&gt;AF73,N73*1000/(C73-AF73),""),"")</x:f>
        <x:v>50.860357129289284</x:v>
      </x:c>
      <x:c r="R73" s="76" t="n">
        <x:f>IF(W73="",IF(OR(K73=0,AK73=0),0,1-((E24-1)*MAX(0,(C73-AK73)/E24-(K73))+MAX(0,L73-((E24-1)*C73/E24+AL73)-(K73)))/L73),"")</x:f>
        <x:v>0.002858107421567002</x:v>
      </x:c>
      <x:c r="S73" s="76" t="n">
        <x:f>IF(W73="",IF(AK73=0,0,MAX(0,1-(1-((E24-1)*MAX(0,(C73-AK73)/E24-(L73-K73))+MAX(0,L73-((E24-1)*C73/E24+AL73)-(L73-K73)))/L73))),"")</x:f>
        <x:v>0</x:v>
      </x:c>
      <x:c r="T73" s="76" t="n">
        <x:f>IF(W73="",IF(OR(P73=0,K73=0,$J$7=0),0,IF(P73&lt;=(1-$J$7)*K73,$J$7*P73*K73/(1-$J$7)-$J$7^2*P73^2/(2*(1-$J$7)^2),$J$7*P73*K73+$J$7^2*K73^2/2)/L73),"")</x:f>
        <x:v>4.8887410896109717e-8</x:v>
      </x:c>
      <x:c r="U73" s="76" t="n">
        <x:f>IF(A73,60000/C73,"")</x:f>
        <x:v>6000</x:v>
      </x:c>
      <x:c r="V73" s="76" t="n">
        <x:f>IF(W73="",SUM(AI73:AJ73),"")</x:f>
        <x:v>0.04539817981828753</x:v>
      </x:c>
      <x:c r="W73" s="76" t="str">
        <x:f>IF(NOT(A73),"输入无效",IF(K73&gt;=L73,"KV 超载",IF(AK73&gt;C73+1e-9,"TPOT 不自洽",IF(OR(C73&gt;L73,MAX(P73,AG73)&gt;L73-K73),"需时序仿真",""))))</x:f>
      </x:c>
      <x:c r="X73" s="76" t="n">
        <x:f>IF(W73="",U73*M73,"")</x:f>
        <x:v>2.3088025599999997</x:v>
      </x:c>
      <x:c r="Y73" s="103" t="n">
        <x:f>IF(A73,K24*F24*2*2*(D24-1)/D24/1e9,"")</x:f>
        <x:v>0.003670016</x:v>
      </x:c>
      <x:c r="Z73" s="103" t="n">
        <x:f>IF(A73,S24*2*ROUNDUP(K24/D24,0)*F24*2*(D24-1)/1e9,"")</x:f>
        <x:v>0.337641472</x:v>
      </x:c>
      <x:c r="AA73" s="103" t="n">
        <x:f>IF(A73,T24*ROUNDUP(K24/D24,0)*F24*2*2*(D24-1)/D24/1e9,"")</x:f>
        <x:v>0</x:v>
      </x:c>
      <x:c r="AB73" s="103" t="n">
        <x:f>IF(A73,U24*2*ROUNDUP(K24/D24,0)*F24*2*(D24-1)/1e9,"")</x:f>
        <x:v>0</x:v>
      </x:c>
      <x:c r="AC73" s="103" t="n">
        <x:f>IF(A73,ROUNDUP(K24/D24,0)*F24*2*(D24-1)/1e9,"")</x:f>
        <x:v>0.001835008</x:v>
      </x:c>
      <x:c r="AD73" s="103" t="n">
        <x:f>IF(A73,K24*256*(2+4)*(D24-1)/1e9,"")</x:f>
        <x:v>0.001376256</x:v>
      </x:c>
      <x:c r="AE73" s="103" t="n">
        <x:f>IF(A73,SUM(Y73:AD73),"")</x:f>
        <x:v>0.34452275200000004</x:v>
      </x:c>
      <x:c r="AF73" s="103" t="n">
        <x:f>IF(A73,AE73*1000/P24,"")</x:f>
        <x:v>0.07177557333333334</x:v>
      </x:c>
      <x:c r="AG73" s="103" t="n">
        <x:f>IF(A73,AF73/E24,"")</x:f>
        <x:v>0.0007801692753623189</x:v>
      </x:c>
      <x:c r="AH73" s="103" t="n">
        <x:f>IF(W73="",IF(OR(AG73=0,K73=0,$J$7=0),0,IF(AG73&lt;=(1-$J$7)*K73,$J$7*AG73*K73/(1-$J$7)-$J$7^2*AG73^2/(2*(1-$J$7)^2),$J$7*AG73*K73+$J$7^2*K73^2/2)/L73),"")</x:f>
        <x:v>3.335566848484596e-8</x:v>
      </x:c>
      <x:c r="AI73" s="103" t="n">
        <x:f>IF(W73="",U73*E24*T73*M24*N24,"")</x:f>
        <x:v>0.026985850814652563</x:v>
      </x:c>
      <x:c r="AJ73" s="103" t="n">
        <x:f>IF(W73="",U73*E24*AH73*Q24*R24,"")</x:f>
        <x:v>0.01841232900363497</x:v>
      </x:c>
      <x:c r="AK73" s="103" t="n">
        <x:f>IF(A73,O73+AF73,"")</x:f>
        <x:v>0.17697412333333334</x:v>
      </x:c>
      <x:c r="AL73" s="103" t="n">
        <x:f>IF(A73,AK73/E24,"")</x:f>
        <x:v>0.001923631775362319</x:v>
      </x:c>
    </x:row>
    <x:row r="74" ht="22" customHeight="1">
      <x:c r="A74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IF(A74,M93,"")</x:f>
        <x:v>3.4403839111328125</x:v>
      </x:c>
      <x:c r="E74" s="76" t="n">
        <x:f>IF(A74,B24/C24,"")</x:f>
        <x:v>32</x:v>
      </x:c>
      <x:c r="F74" s="76" t="n">
        <x:f>IF(A74,B24/D24,"")</x:f>
        <x:v>32</x:v>
      </x:c>
      <x:c r="G74" s="76" t="n">
        <x:f>IF(A74,$F$5*E74*$B$5*60000/B74,"")</x:f>
        <x:v>7680</x:v>
      </x:c>
      <x:c r="H74" s="76" t="n">
        <x:f>IF(A74,G74/($J$5*F74),"")</x:f>
        <x:v>240</x:v>
      </x:c>
      <x:c r="I74" s="76" t="n">
        <x:f>IF(A74,$B$5*D74/C24/$B$9,"")</x:f>
        <x:v>6.880767822265625</x:v>
      </x:c>
      <x:c r="J74" s="76" t="n">
        <x:f>IF(A74,I74*$F$5/$J$5,"")</x:f>
        <x:v>6.880767822265625</x:v>
      </x:c>
      <x:c r="K74" s="76" t="n">
        <x:f>IF(A74,MAX(I74,J74)*2^30/(J24*1e6),"")</x:f>
        <x:v>1.5392017066666666</x:v>
      </x:c>
      <x:c r="L74" s="76" t="n">
        <x:f>IF(A74,B74/$B$9,"")</x:f>
        <x:v>4000</x:v>
      </x:c>
      <x:c r="M74" s="77" t="n">
        <x:f>IF(A74,K74/L74,"")</x:f>
        <x:v>0.00038480042666666665</x:v>
      </x:c>
      <x:c r="N74" s="76" t="n">
        <x:f>IF(A74,(E24*ROUNDUP(K24/D24,0)*G24*(B24-1)/B24*(ROUNDUP((ROUNDUP(F24*2/32,0)*32+32)/480,0)*512+F24*2+32)+E24*ROUNDUP(H24/B24,0)*(B24-1)*32)/1e9,"")</x:f>
        <x:v>0.50495304</x:v>
      </x:c>
      <x:c r="O74" s="76" t="n">
        <x:f>IF(A74,N74*1000/I24,"")</x:f>
        <x:v>0.10519855</x:v>
      </x:c>
      <x:c r="P74" s="76" t="n">
        <x:f>IF(A74,O74/E24,"")</x:f>
        <x:v>0.0011434625</x:v>
      </x:c>
      <x:c r="Q74" s="76" t="n">
        <x:f>IF(A74,IF(C74&gt;AF74,N74*1000/(C74-AF74),""),"")</x:f>
        <x:v>25.33858657895805</x:v>
      </x:c>
      <x:c r="R74" s="76" t="n">
        <x:f>IF(W74="",IF(OR(K74=0,AK74=0),0,1-((E24-1)*MAX(0,(C74-AK74)/E24-(K74))+MAX(0,L74-((E24-1)*C74/E24+AL74)-(K74)))/L74),"")</x:f>
        <x:v>0.005330933508523428</x:v>
      </x:c>
      <x:c r="S74" s="76" t="n">
        <x:f>IF(W74="",IF(AK74=0,0,MAX(0,1-(1-((E24-1)*MAX(0,(C74-AK74)/E24-(L74-K74))+MAX(0,L74-((E24-1)*C74/E24+AL74)-(L74-K74)))/L74))),"")</x:f>
        <x:v>0</x:v>
      </x:c>
      <x:c r="T74" s="76" t="n">
        <x:f>IF(W74="",IF(OR(P74=0,K74=0,$J$7=0),0,IF(P74&lt;=(1-$J$7)*K74,$J$7*P74*K74/(1-$J$7)-$J$7^2*P74^2/(2*(1-$J$7)^2),$J$7*P74*K74+$J$7^2*K74^2/2)/L74),"")</x:f>
        <x:v>4.8887410896109717e-8</x:v>
      </x:c>
      <x:c r="U74" s="76" t="n">
        <x:f>IF(A74,60000/C74,"")</x:f>
        <x:v>3000</x:v>
      </x:c>
      <x:c r="V74" s="76" t="n">
        <x:f>IF(W74="",SUM(AI74:AJ74),"")</x:f>
        <x:v>0.022699089909143766</x:v>
      </x:c>
      <x:c r="W74" s="76" t="str">
        <x:f>IF(NOT(A74),"输入无效",IF(K74&gt;=L74,"KV 超载",IF(AK74&gt;C74+1e-9,"TPOT 不自洽",IF(OR(C74&gt;L74,MAX(P74,AG74)&gt;L74-K74),"需时序仿真",""))))</x:f>
      </x:c>
      <x:c r="X74" s="76" t="n">
        <x:f>IF(W74="",U74*M74,"")</x:f>
        <x:v>1.1544012799999999</x:v>
      </x:c>
      <x:c r="Y74" s="103" t="n">
        <x:f>IF(A74,K24*F24*2*2*(D24-1)/D24/1e9,"")</x:f>
        <x:v>0.003670016</x:v>
      </x:c>
      <x:c r="Z74" s="103" t="n">
        <x:f>IF(A74,S24*2*ROUNDUP(K24/D24,0)*F24*2*(D24-1)/1e9,"")</x:f>
        <x:v>0.337641472</x:v>
      </x:c>
      <x:c r="AA74" s="103" t="n">
        <x:f>IF(A74,T24*ROUNDUP(K24/D24,0)*F24*2*2*(D24-1)/D24/1e9,"")</x:f>
        <x:v>0</x:v>
      </x:c>
      <x:c r="AB74" s="103" t="n">
        <x:f>IF(A74,U24*2*ROUNDUP(K24/D24,0)*F24*2*(D24-1)/1e9,"")</x:f>
        <x:v>0</x:v>
      </x:c>
      <x:c r="AC74" s="103" t="n">
        <x:f>IF(A74,ROUNDUP(K24/D24,0)*F24*2*(D24-1)/1e9,"")</x:f>
        <x:v>0.001835008</x:v>
      </x:c>
      <x:c r="AD74" s="103" t="n">
        <x:f>IF(A74,K24*256*(2+4)*(D24-1)/1e9,"")</x:f>
        <x:v>0.001376256</x:v>
      </x:c>
      <x:c r="AE74" s="103" t="n">
        <x:f>IF(A74,SUM(Y74:AD74),"")</x:f>
        <x:v>0.34452275200000004</x:v>
      </x:c>
      <x:c r="AF74" s="103" t="n">
        <x:f>IF(A74,AE74*1000/P24,"")</x:f>
        <x:v>0.07177557333333334</x:v>
      </x:c>
      <x:c r="AG74" s="103" t="n">
        <x:f>IF(A74,AF74/E24,"")</x:f>
        <x:v>0.0007801692753623189</x:v>
      </x:c>
      <x:c r="AH74" s="103" t="n">
        <x:f>IF(W74="",IF(OR(AG74=0,K74=0,$J$7=0),0,IF(AG74&lt;=(1-$J$7)*K74,$J$7*AG74*K74/(1-$J$7)-$J$7^2*AG74^2/(2*(1-$J$7)^2),$J$7*AG74*K74+$J$7^2*K74^2/2)/L74),"")</x:f>
        <x:v>3.335566848484596e-8</x:v>
      </x:c>
      <x:c r="AI74" s="103" t="n">
        <x:f>IF(W74="",U74*E24*T74*M24*N24,"")</x:f>
        <x:v>0.013492925407326281</x:v>
      </x:c>
      <x:c r="AJ74" s="103" t="n">
        <x:f>IF(W74="",U74*E24*AH74*Q24*R24,"")</x:f>
        <x:v>0.009206164501817484</x:v>
      </x:c>
      <x:c r="AK74" s="103" t="n">
        <x:f>IF(A74,O74+AF74,"")</x:f>
        <x:v>0.17697412333333334</x:v>
      </x:c>
      <x:c r="AL74" s="103" t="n">
        <x:f>IF(A74,AK74/E24,"")</x:f>
        <x:v>0.001923631775362319</x:v>
      </x:c>
    </x:row>
    <x:row r="75" ht="22" customHeight="1">
      <x:c r="A75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IF(A75,M93,"")</x:f>
        <x:v>3.4403839111328125</x:v>
      </x:c>
      <x:c r="E75" s="76" t="n">
        <x:f>IF(A75,B24/C24,"")</x:f>
        <x:v>32</x:v>
      </x:c>
      <x:c r="F75" s="76" t="n">
        <x:f>IF(A75,B24/D24,"")</x:f>
        <x:v>32</x:v>
      </x:c>
      <x:c r="G75" s="76" t="n">
        <x:f>IF(A75,$F$5*E75*$B$5*60000/B75,"")</x:f>
        <x:v>7680</x:v>
      </x:c>
      <x:c r="H75" s="76" t="n">
        <x:f>IF(A75,G75/($J$5*F75),"")</x:f>
        <x:v>240</x:v>
      </x:c>
      <x:c r="I75" s="76" t="n">
        <x:f>IF(A75,$B$5*D75/C24/$B$9,"")</x:f>
        <x:v>6.880767822265625</x:v>
      </x:c>
      <x:c r="J75" s="76" t="n">
        <x:f>IF(A75,I75*$F$5/$J$5,"")</x:f>
        <x:v>6.880767822265625</x:v>
      </x:c>
      <x:c r="K75" s="76" t="n">
        <x:f>IF(A75,MAX(I75,J75)*2^30/(J24*1e6),"")</x:f>
        <x:v>1.5392017066666666</x:v>
      </x:c>
      <x:c r="L75" s="76" t="n">
        <x:f>IF(A75,B75/$B$9,"")</x:f>
        <x:v>4000</x:v>
      </x:c>
      <x:c r="M75" s="77" t="n">
        <x:f>IF(A75,K75/L75,"")</x:f>
        <x:v>0.00038480042666666665</x:v>
      </x:c>
      <x:c r="N75" s="76" t="n">
        <x:f>IF(A75,(E24*ROUNDUP(K24/D24,0)*G24*(B24-1)/B24*(ROUNDUP((ROUNDUP(F24*2/32,0)*32+32)/480,0)*512+F24*2+32)+E24*ROUNDUP(H24/B24,0)*(B24-1)*32)/1e9,"")</x:f>
        <x:v>0.50495304</x:v>
      </x:c>
      <x:c r="O75" s="76" t="n">
        <x:f>IF(A75,N75*1000/I24,"")</x:f>
        <x:v>0.10519855</x:v>
      </x:c>
      <x:c r="P75" s="76" t="n">
        <x:f>IF(A75,O75/E24,"")</x:f>
        <x:v>0.0011434625</x:v>
      </x:c>
      <x:c r="Q75" s="76" t="n">
        <x:f>IF(A75,IF(C75&gt;AF75,N75*1000/(C75-AF75),""),"")</x:f>
        <x:v>16.87213490520595</x:v>
      </x:c>
      <x:c r="R75" s="76" t="n">
        <x:f>IF(W75="",IF(OR(K75=0,AK75=0),0,1-((E24-1)*MAX(0,(C75-AK75)/E24-(K75))+MAX(0,L75-((E24-1)*C75/E24+AL75)-(K75)))/L75),"")</x:f>
        <x:v>0.007803759595480075</x:v>
      </x:c>
      <x:c r="S75" s="76" t="n">
        <x:f>IF(W75="",IF(AK75=0,0,MAX(0,1-(1-((E24-1)*MAX(0,(C75-AK75)/E24-(L75-K75))+MAX(0,L75-((E24-1)*C75/E24+AL75)-(L75-K75)))/L75))),"")</x:f>
        <x:v>0</x:v>
      </x:c>
      <x:c r="T75" s="76" t="n">
        <x:f>IF(W75="",IF(OR(P75=0,K75=0,$J$7=0),0,IF(P75&lt;=(1-$J$7)*K75,$J$7*P75*K75/(1-$J$7)-$J$7^2*P75^2/(2*(1-$J$7)^2),$J$7*P75*K75+$J$7^2*K75^2/2)/L75),"")</x:f>
        <x:v>4.8887410896109717e-8</x:v>
      </x:c>
      <x:c r="U75" s="76" t="n">
        <x:f>IF(A75,60000/C75,"")</x:f>
        <x:v>2000</x:v>
      </x:c>
      <x:c r="V75" s="76" t="n">
        <x:f>IF(W75="",SUM(AI75:AJ75),"")</x:f>
        <x:v>0.015132726606095843</x:v>
      </x:c>
      <x:c r="W75" s="76" t="str">
        <x:f>IF(NOT(A75),"输入无效",IF(K75&gt;=L75,"KV 超载",IF(AK75&gt;C75+1e-9,"TPOT 不自洽",IF(OR(C75&gt;L75,MAX(P75,AG75)&gt;L75-K75),"需时序仿真",""))))</x:f>
      </x:c>
      <x:c r="X75" s="76" t="n">
        <x:f>IF(W75="",U75*M75,"")</x:f>
        <x:v>0.7696008533333333</x:v>
      </x:c>
      <x:c r="Y75" s="103" t="n">
        <x:f>IF(A75,K24*F24*2*2*(D24-1)/D24/1e9,"")</x:f>
        <x:v>0.003670016</x:v>
      </x:c>
      <x:c r="Z75" s="103" t="n">
        <x:f>IF(A75,S24*2*ROUNDUP(K24/D24,0)*F24*2*(D24-1)/1e9,"")</x:f>
        <x:v>0.337641472</x:v>
      </x:c>
      <x:c r="AA75" s="103" t="n">
        <x:f>IF(A75,T24*ROUNDUP(K24/D24,0)*F24*2*2*(D24-1)/D24/1e9,"")</x:f>
        <x:v>0</x:v>
      </x:c>
      <x:c r="AB75" s="103" t="n">
        <x:f>IF(A75,U24*2*ROUNDUP(K24/D24,0)*F24*2*(D24-1)/1e9,"")</x:f>
        <x:v>0</x:v>
      </x:c>
      <x:c r="AC75" s="103" t="n">
        <x:f>IF(A75,ROUNDUP(K24/D24,0)*F24*2*(D24-1)/1e9,"")</x:f>
        <x:v>0.001835008</x:v>
      </x:c>
      <x:c r="AD75" s="103" t="n">
        <x:f>IF(A75,K24*256*(2+4)*(D24-1)/1e9,"")</x:f>
        <x:v>0.001376256</x:v>
      </x:c>
      <x:c r="AE75" s="103" t="n">
        <x:f>IF(A75,SUM(Y75:AD75),"")</x:f>
        <x:v>0.34452275200000004</x:v>
      </x:c>
      <x:c r="AF75" s="103" t="n">
        <x:f>IF(A75,AE75*1000/P24,"")</x:f>
        <x:v>0.07177557333333334</x:v>
      </x:c>
      <x:c r="AG75" s="103" t="n">
        <x:f>IF(A75,AF75/E24,"")</x:f>
        <x:v>0.0007801692753623189</x:v>
      </x:c>
      <x:c r="AH75" s="103" t="n">
        <x:f>IF(W75="",IF(OR(AG75=0,K75=0,$J$7=0),0,IF(AG75&lt;=(1-$J$7)*K75,$J$7*AG75*K75/(1-$J$7)-$J$7^2*AG75^2/(2*(1-$J$7)^2),$J$7*AG75*K75+$J$7^2*K75^2/2)/L75),"")</x:f>
        <x:v>3.335566848484596e-8</x:v>
      </x:c>
      <x:c r="AI75" s="103" t="n">
        <x:f>IF(W75="",U75*E24*T75*M24*N24,"")</x:f>
        <x:v>0.008995283604884188</x:v>
      </x:c>
      <x:c r="AJ75" s="103" t="n">
        <x:f>IF(W75="",U75*E24*AH75*Q24*R24,"")</x:f>
        <x:v>0.006137443001211656</x:v>
      </x:c>
      <x:c r="AK75" s="103" t="n">
        <x:f>IF(A75,O75+AF75,"")</x:f>
        <x:v>0.17697412333333334</x:v>
      </x:c>
      <x:c r="AL75" s="103" t="n">
        <x:f>IF(A75,AK75/E24,"")</x:f>
        <x:v>0.001923631775362319</x:v>
      </x:c>
    </x:row>
    <x:row r="76" ht="22" customHeight="1">
      <x:c r="A76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IF(A76,M97,"")</x:f>
        <x:v>46.56538391113281</x:v>
      </x:c>
      <x:c r="E76" s="76" t="n">
        <x:f>IF(A76,B24/C24,"")</x:f>
        <x:v>32</x:v>
      </x:c>
      <x:c r="F76" s="76" t="n">
        <x:f>IF(A76,B24/D24,"")</x:f>
        <x:v>32</x:v>
      </x:c>
      <x:c r="G76" s="76" t="n">
        <x:f>IF(A76,$F$5*E76*$B$5*60000/B76,"")</x:f>
        <x:v>1536</x:v>
      </x:c>
      <x:c r="H76" s="76" t="n">
        <x:f>IF(A76,G76/($J$5*F76),"")</x:f>
        <x:v>48</x:v>
      </x:c>
      <x:c r="I76" s="76" t="n">
        <x:f>IF(A76,$B$5*D76/C24/$B$9,"")</x:f>
        <x:v>93.13076782226562</x:v>
      </x:c>
      <x:c r="J76" s="76" t="n">
        <x:f>IF(A76,I76*$F$5/$J$5,"")</x:f>
        <x:v>93.13076782226562</x:v>
      </x:c>
      <x:c r="K76" s="76" t="n">
        <x:f>IF(A76,MAX(I76,J76)*2^30/(J24*1e6),"")</x:f>
        <x:v>20.833000106666667</x:v>
      </x:c>
      <x:c r="L76" s="76" t="n">
        <x:f>IF(A76,B76/$B$9,"")</x:f>
        <x:v>20000</x:v>
      </x:c>
      <x:c r="M76" s="77" t="n">
        <x:f>IF(A76,K76/L76,"")</x:f>
        <x:v>0.0010416500053333333</x:v>
      </x:c>
      <x:c r="N76" s="76" t="n">
        <x:f>IF(A76,(E24*ROUNDUP(K24/D24,0)*G24*(B24-1)/B24*(ROUNDUP((ROUNDUP(F24*2/32,0)*32+32)/480,0)*512+F24*2+32)+E24*ROUNDUP(H24/B24,0)*(B24-1)*32)/1e9,"")</x:f>
        <x:v>0.50495304</x:v>
      </x:c>
      <x:c r="O76" s="76" t="n">
        <x:f>IF(A76,N76*1000/I24,"")</x:f>
        <x:v>0.10519855</x:v>
      </x:c>
      <x:c r="P76" s="76" t="n">
        <x:f>IF(A76,O76/E24,"")</x:f>
        <x:v>0.0011434625</x:v>
      </x:c>
      <x:c r="Q76" s="76" t="n">
        <x:f>IF(A76,IF(C76&gt;AF76,N76*1000/(C76-AF76),""),"")</x:f>
        <x:v>102.46145391993403</x:v>
      </x:c>
      <x:c r="R76" s="76" t="n">
        <x:f>IF(W76="",IF(OR(K76=0,AK76=0),0,1-((E24-1)*MAX(0,(C76-AK76)/E24-(K76))+MAX(0,L76-((E24-1)*C76/E24+AL76)-(K76)))/L76),"")</x:f>
        <x:v>0.0012890287956177637</x:v>
      </x:c>
      <x:c r="S76" s="76" t="n">
        <x:f>IF(W76="",IF(AK76=0,0,MAX(0,1-(1-((E24-1)*MAX(0,(C76-AK76)/E24-(L76-K76))+MAX(0,L76-((E24-1)*C76/E24+AL76)-(L76-K76)))/L76))),"")</x:f>
        <x:v>0.0007942712150490472</x:v>
      </x:c>
      <x:c r="T76" s="76" t="n">
        <x:f>IF(W76="",IF(OR(P76=0,K76=0,$J$7=0),0,IF(P76&lt;=(1-$J$7)*K76,$J$7*P76*K76/(1-$J$7)-$J$7^2*P76^2/(2*(1-$J$7)^2),$J$7*P76*K76+$J$7^2*K76^2/2)/L76),"")</x:f>
        <x:v>1.3234267636233306e-7</x:v>
      </x:c>
      <x:c r="U76" s="76" t="n">
        <x:f>IF(A76,60000/C76,"")</x:f>
        <x:v>12000</x:v>
      </x:c>
      <x:c r="V76" s="76" t="n">
        <x:f>IF(W76="",SUM(AI76:AJ76),"")</x:f>
        <x:v>0.24579280910131965</x:v>
      </x:c>
      <x:c r="W76" s="76" t="str">
        <x:f>IF(NOT(A76),"输入无效",IF(K76&gt;=L76,"KV 超载",IF(AK76&gt;C76+1e-9,"TPOT 不自洽",IF(OR(C76&gt;L76,MAX(P76,AG76)&gt;L76-K76),"需时序仿真",""))))</x:f>
      </x:c>
      <x:c r="X76" s="76" t="n">
        <x:f>IF(W76="",U76*M76,"")</x:f>
        <x:v>12.499800063999999</x:v>
      </x:c>
      <x:c r="Y76" s="103" t="n">
        <x:f>IF(A76,K24*F24*2*2*(D24-1)/D24/1e9,"")</x:f>
        <x:v>0.003670016</x:v>
      </x:c>
      <x:c r="Z76" s="103" t="n">
        <x:f>IF(A76,S24*2*ROUNDUP(K24/D24,0)*F24*2*(D24-1)/1e9,"")</x:f>
        <x:v>0.337641472</x:v>
      </x:c>
      <x:c r="AA76" s="103" t="n">
        <x:f>IF(A76,T24*ROUNDUP(K24/D24,0)*F24*2*2*(D24-1)/D24/1e9,"")</x:f>
        <x:v>0</x:v>
      </x:c>
      <x:c r="AB76" s="103" t="n">
        <x:f>IF(A76,U24*2*ROUNDUP(K24/D24,0)*F24*2*(D24-1)/1e9,"")</x:f>
        <x:v>0</x:v>
      </x:c>
      <x:c r="AC76" s="103" t="n">
        <x:f>IF(A76,ROUNDUP(K24/D24,0)*F24*2*(D24-1)/1e9,"")</x:f>
        <x:v>0.001835008</x:v>
      </x:c>
      <x:c r="AD76" s="103" t="n">
        <x:f>IF(A76,K24*256*(2+4)*(D24-1)/1e9,"")</x:f>
        <x:v>0.001376256</x:v>
      </x:c>
      <x:c r="AE76" s="103" t="n">
        <x:f>IF(A76,SUM(Y76:AD76),"")</x:f>
        <x:v>0.34452275200000004</x:v>
      </x:c>
      <x:c r="AF76" s="103" t="n">
        <x:f>IF(A76,AE76*1000/P24,"")</x:f>
        <x:v>0.07177557333333334</x:v>
      </x:c>
      <x:c r="AG76" s="103" t="n">
        <x:f>IF(A76,AF76/E24,"")</x:f>
        <x:v>0.0007801692753623189</x:v>
      </x:c>
      <x:c r="AH76" s="103" t="n">
        <x:f>IF(W76="",IF(OR(AG76=0,K76=0,$J$7=0),0,IF(AG76&lt;=(1-$J$7)*K76,$J$7*AG76*K76/(1-$J$7)-$J$7^2*AG76^2/(2*(1-$J$7)^2),$J$7*AG76*K76+$J$7^2*K76^2/2)/L76),"")</x:f>
        <x:v>9.029573767871735e-8</x:v>
      </x:c>
      <x:c r="AI76" s="103" t="n">
        <x:f>IF(W76="",U76*E24*T76*M24*N24,"")</x:f>
        <x:v>0.1461063147040157</x:v>
      </x:c>
      <x:c r="AJ76" s="103" t="n">
        <x:f>IF(W76="",U76*E24*AH76*Q24*R24,"")</x:f>
        <x:v>0.09968649439730395</x:v>
      </x:c>
      <x:c r="AK76" s="103" t="n">
        <x:f>IF(A76,O76+AF76,"")</x:f>
        <x:v>0.17697412333333334</x:v>
      </x:c>
      <x:c r="AL76" s="103" t="n">
        <x:f>IF(A76,AK76/E24,"")</x:f>
        <x:v>0.001923631775362319</x:v>
      </x:c>
    </x:row>
    <x:row r="77" ht="22" customHeight="1">
      <x:c r="A77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IF(A77,M97,"")</x:f>
        <x:v>46.56538391113281</x:v>
      </x:c>
      <x:c r="E77" s="76" t="n">
        <x:f>IF(A77,B24/C24,"")</x:f>
        <x:v>32</x:v>
      </x:c>
      <x:c r="F77" s="76" t="n">
        <x:f>IF(A77,B24/D24,"")</x:f>
        <x:v>32</x:v>
      </x:c>
      <x:c r="G77" s="76" t="n">
        <x:f>IF(A77,$F$5*E77*$B$5*60000/B77,"")</x:f>
        <x:v>1536</x:v>
      </x:c>
      <x:c r="H77" s="76" t="n">
        <x:f>IF(A77,G77/($J$5*F77),"")</x:f>
        <x:v>48</x:v>
      </x:c>
      <x:c r="I77" s="76" t="n">
        <x:f>IF(A77,$B$5*D77/C24/$B$9,"")</x:f>
        <x:v>93.13076782226562</x:v>
      </x:c>
      <x:c r="J77" s="76" t="n">
        <x:f>IF(A77,I77*$F$5/$J$5,"")</x:f>
        <x:v>93.13076782226562</x:v>
      </x:c>
      <x:c r="K77" s="76" t="n">
        <x:f>IF(A77,MAX(I77,J77)*2^30/(J24*1e6),"")</x:f>
        <x:v>20.833000106666667</x:v>
      </x:c>
      <x:c r="L77" s="76" t="n">
        <x:f>IF(A77,B77/$B$9,"")</x:f>
        <x:v>20000</x:v>
      </x:c>
      <x:c r="M77" s="77" t="n">
        <x:f>IF(A77,K77/L77,"")</x:f>
        <x:v>0.0010416500053333333</x:v>
      </x:c>
      <x:c r="N77" s="76" t="n">
        <x:f>IF(A77,(E24*ROUNDUP(K24/D24,0)*G24*(B24-1)/B24*(ROUNDUP((ROUNDUP(F24*2/32,0)*32+32)/480,0)*512+F24*2+32)+E24*ROUNDUP(H24/B24,0)*(B24-1)*32)/1e9,"")</x:f>
        <x:v>0.50495304</x:v>
      </x:c>
      <x:c r="O77" s="76" t="n">
        <x:f>IF(A77,N77*1000/I24,"")</x:f>
        <x:v>0.10519855</x:v>
      </x:c>
      <x:c r="P77" s="76" t="n">
        <x:f>IF(A77,O77/E24,"")</x:f>
        <x:v>0.0011434625</x:v>
      </x:c>
      <x:c r="Q77" s="76" t="n">
        <x:f>IF(A77,IF(C77&gt;AF77,N77*1000/(C77-AF77),""),"")</x:f>
        <x:v>50.860357129289284</x:v>
      </x:c>
      <x:c r="R77" s="76" t="n">
        <x:f>IF(W77="",IF(OR(K77=0,AK77=0),0,1-((E24-1)*MAX(0,(C77-AK77)/E24-(K77))+MAX(0,L77-((E24-1)*C77/E24+AL77)-(K77)))/L77),"")</x:f>
        <x:v>0.0015363114043135395</x:v>
      </x:c>
      <x:c r="S77" s="76" t="n">
        <x:f>IF(W77="",IF(AK77=0,0,MAX(0,1-(1-((E24-1)*MAX(0,(C77-AK77)/E24-(L77-K77))+MAX(0,L77-((E24-1)*C77/E24+AL77)-(L77-K77)))/L77))),"")</x:f>
        <x:v>0.0005469886063532714</x:v>
      </x:c>
      <x:c r="T77" s="76" t="n">
        <x:f>IF(W77="",IF(OR(P77=0,K77=0,$J$7=0),0,IF(P77&lt;=(1-$J$7)*K77,$J$7*P77*K77/(1-$J$7)-$J$7^2*P77^2/(2*(1-$J$7)^2),$J$7*P77*K77+$J$7^2*K77^2/2)/L77),"")</x:f>
        <x:v>1.3234267636233306e-7</x:v>
      </x:c>
      <x:c r="U77" s="76" t="n">
        <x:f>IF(A77,60000/C77,"")</x:f>
        <x:v>6000</x:v>
      </x:c>
      <x:c r="V77" s="76" t="n">
        <x:f>IF(W77="",SUM(AI77:AJ77),"")</x:f>
        <x:v>0.12289640455065982</x:v>
      </x:c>
      <x:c r="W77" s="76" t="str">
        <x:f>IF(NOT(A77),"输入无效",IF(K77&gt;=L77,"KV 超载",IF(AK77&gt;C77+1e-9,"TPOT 不自洽",IF(OR(C77&gt;L77,MAX(P77,AG77)&gt;L77-K77),"需时序仿真",""))))</x:f>
      </x:c>
      <x:c r="X77" s="76" t="n">
        <x:f>IF(W77="",U77*M77,"")</x:f>
        <x:v>6.249900031999999</x:v>
      </x:c>
      <x:c r="Y77" s="103" t="n">
        <x:f>IF(A77,K24*F24*2*2*(D24-1)/D24/1e9,"")</x:f>
        <x:v>0.003670016</x:v>
      </x:c>
      <x:c r="Z77" s="103" t="n">
        <x:f>IF(A77,S24*2*ROUNDUP(K24/D24,0)*F24*2*(D24-1)/1e9,"")</x:f>
        <x:v>0.337641472</x:v>
      </x:c>
      <x:c r="AA77" s="103" t="n">
        <x:f>IF(A77,T24*ROUNDUP(K24/D24,0)*F24*2*2*(D24-1)/D24/1e9,"")</x:f>
        <x:v>0</x:v>
      </x:c>
      <x:c r="AB77" s="103" t="n">
        <x:f>IF(A77,U24*2*ROUNDUP(K24/D24,0)*F24*2*(D24-1)/1e9,"")</x:f>
        <x:v>0</x:v>
      </x:c>
      <x:c r="AC77" s="103" t="n">
        <x:f>IF(A77,ROUNDUP(K24/D24,0)*F24*2*(D24-1)/1e9,"")</x:f>
        <x:v>0.001835008</x:v>
      </x:c>
      <x:c r="AD77" s="103" t="n">
        <x:f>IF(A77,K24*256*(2+4)*(D24-1)/1e9,"")</x:f>
        <x:v>0.001376256</x:v>
      </x:c>
      <x:c r="AE77" s="103" t="n">
        <x:f>IF(A77,SUM(Y77:AD77),"")</x:f>
        <x:v>0.34452275200000004</x:v>
      </x:c>
      <x:c r="AF77" s="103" t="n">
        <x:f>IF(A77,AE77*1000/P24,"")</x:f>
        <x:v>0.07177557333333334</x:v>
      </x:c>
      <x:c r="AG77" s="103" t="n">
        <x:f>IF(A77,AF77/E24,"")</x:f>
        <x:v>0.0007801692753623189</x:v>
      </x:c>
      <x:c r="AH77" s="103" t="n">
        <x:f>IF(W77="",IF(OR(AG77=0,K77=0,$J$7=0),0,IF(AG77&lt;=(1-$J$7)*K77,$J$7*AG77*K77/(1-$J$7)-$J$7^2*AG77^2/(2*(1-$J$7)^2),$J$7*AG77*K77+$J$7^2*K77^2/2)/L77),"")</x:f>
        <x:v>9.029573767871735e-8</x:v>
      </x:c>
      <x:c r="AI77" s="103" t="n">
        <x:f>IF(W77="",U77*E24*T77*M24*N24,"")</x:f>
        <x:v>0.07305315735200785</x:v>
      </x:c>
      <x:c r="AJ77" s="103" t="n">
        <x:f>IF(W77="",U77*E24*AH77*Q24*R24,"")</x:f>
        <x:v>0.04984324719865198</x:v>
      </x:c>
      <x:c r="AK77" s="103" t="n">
        <x:f>IF(A77,O77+AF77,"")</x:f>
        <x:v>0.17697412333333334</x:v>
      </x:c>
      <x:c r="AL77" s="103" t="n">
        <x:f>IF(A77,AK77/E24,"")</x:f>
        <x:v>0.001923631775362319</x:v>
      </x:c>
    </x:row>
    <x:row r="78" ht="22" customHeight="1">
      <x:c r="A78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IF(A78,M97,"")</x:f>
        <x:v>46.56538391113281</x:v>
      </x:c>
      <x:c r="E78" s="76" t="n">
        <x:f>IF(A78,B24/C24,"")</x:f>
        <x:v>32</x:v>
      </x:c>
      <x:c r="F78" s="76" t="n">
        <x:f>IF(A78,B24/D24,"")</x:f>
        <x:v>32</x:v>
      </x:c>
      <x:c r="G78" s="76" t="n">
        <x:f>IF(A78,$F$5*E78*$B$5*60000/B78,"")</x:f>
        <x:v>1536</x:v>
      </x:c>
      <x:c r="H78" s="76" t="n">
        <x:f>IF(A78,G78/($J$5*F78),"")</x:f>
        <x:v>48</x:v>
      </x:c>
      <x:c r="I78" s="76" t="n">
        <x:f>IF(A78,$B$5*D78/C24/$B$9,"")</x:f>
        <x:v>93.13076782226562</x:v>
      </x:c>
      <x:c r="J78" s="76" t="n">
        <x:f>IF(A78,I78*$F$5/$J$5,"")</x:f>
        <x:v>93.13076782226562</x:v>
      </x:c>
      <x:c r="K78" s="76" t="n">
        <x:f>IF(A78,MAX(I78,J78)*2^30/(J24*1e6),"")</x:f>
        <x:v>20.833000106666667</x:v>
      </x:c>
      <x:c r="L78" s="76" t="n">
        <x:f>IF(A78,B78/$B$9,"")</x:f>
        <x:v>20000</x:v>
      </x:c>
      <x:c r="M78" s="77" t="n">
        <x:f>IF(A78,K78/L78,"")</x:f>
        <x:v>0.0010416500053333333</x:v>
      </x:c>
      <x:c r="N78" s="76" t="n">
        <x:f>IF(A78,(E24*ROUNDUP(K24/D24,0)*G24*(B24-1)/B24*(ROUNDUP((ROUNDUP(F24*2/32,0)*32+32)/480,0)*512+F24*2+32)+E24*ROUNDUP(H24/B24,0)*(B24-1)*32)/1e9,"")</x:f>
        <x:v>0.50495304</x:v>
      </x:c>
      <x:c r="O78" s="76" t="n">
        <x:f>IF(A78,N78*1000/I24,"")</x:f>
        <x:v>0.10519855</x:v>
      </x:c>
      <x:c r="P78" s="76" t="n">
        <x:f>IF(A78,O78/E24,"")</x:f>
        <x:v>0.0011434625</x:v>
      </x:c>
      <x:c r="Q78" s="76" t="n">
        <x:f>IF(A78,IF(C78&gt;AF78,N78*1000/(C78-AF78),""),"")</x:f>
        <x:v>25.33858657895805</x:v>
      </x:c>
      <x:c r="R78" s="76" t="n">
        <x:f>IF(W78="",IF(OR(K78=0,AK78=0),0,1-((E24-1)*MAX(0,(C78-AK78)/E24-(K78))+MAX(0,L78-((E24-1)*C78/E24+AL78)-(K78)))/L78),"")</x:f>
        <x:v>0.002030876621704758</x:v>
      </x:c>
      <x:c r="S78" s="76" t="n">
        <x:f>IF(W78="",IF(AK78=0,0,MAX(0,1-(1-((E24-1)*MAX(0,(C78-AK78)/E24-(L78-K78))+MAX(0,L78-((E24-1)*C78/E24+AL78)-(L78-K78)))/L78))),"")</x:f>
        <x:v>0.0000524233889620529</x:v>
      </x:c>
      <x:c r="T78" s="76" t="n">
        <x:f>IF(W78="",IF(OR(P78=0,K78=0,$J$7=0),0,IF(P78&lt;=(1-$J$7)*K78,$J$7*P78*K78/(1-$J$7)-$J$7^2*P78^2/(2*(1-$J$7)^2),$J$7*P78*K78+$J$7^2*K78^2/2)/L78),"")</x:f>
        <x:v>1.3234267636233306e-7</x:v>
      </x:c>
      <x:c r="U78" s="76" t="n">
        <x:f>IF(A78,60000/C78,"")</x:f>
        <x:v>3000</x:v>
      </x:c>
      <x:c r="V78" s="76" t="n">
        <x:f>IF(W78="",SUM(AI78:AJ78),"")</x:f>
        <x:v>0.06144820227532991</x:v>
      </x:c>
      <x:c r="W78" s="76" t="str">
        <x:f>IF(NOT(A78),"输入无效",IF(K78&gt;=L78,"KV 超载",IF(AK78&gt;C78+1e-9,"TPOT 不自洽",IF(OR(C78&gt;L78,MAX(P78,AG78)&gt;L78-K78),"需时序仿真",""))))</x:f>
      </x:c>
      <x:c r="X78" s="76" t="n">
        <x:f>IF(W78="",U78*M78,"")</x:f>
        <x:v>3.1249500159999997</x:v>
      </x:c>
      <x:c r="Y78" s="103" t="n">
        <x:f>IF(A78,K24*F24*2*2*(D24-1)/D24/1e9,"")</x:f>
        <x:v>0.003670016</x:v>
      </x:c>
      <x:c r="Z78" s="103" t="n">
        <x:f>IF(A78,S24*2*ROUNDUP(K24/D24,0)*F24*2*(D24-1)/1e9,"")</x:f>
        <x:v>0.337641472</x:v>
      </x:c>
      <x:c r="AA78" s="103" t="n">
        <x:f>IF(A78,T24*ROUNDUP(K24/D24,0)*F24*2*2*(D24-1)/D24/1e9,"")</x:f>
        <x:v>0</x:v>
      </x:c>
      <x:c r="AB78" s="103" t="n">
        <x:f>IF(A78,U24*2*ROUNDUP(K24/D24,0)*F24*2*(D24-1)/1e9,"")</x:f>
        <x:v>0</x:v>
      </x:c>
      <x:c r="AC78" s="103" t="n">
        <x:f>IF(A78,ROUNDUP(K24/D24,0)*F24*2*(D24-1)/1e9,"")</x:f>
        <x:v>0.001835008</x:v>
      </x:c>
      <x:c r="AD78" s="103" t="n">
        <x:f>IF(A78,K24*256*(2+4)*(D24-1)/1e9,"")</x:f>
        <x:v>0.001376256</x:v>
      </x:c>
      <x:c r="AE78" s="103" t="n">
        <x:f>IF(A78,SUM(Y78:AD78),"")</x:f>
        <x:v>0.34452275200000004</x:v>
      </x:c>
      <x:c r="AF78" s="103" t="n">
        <x:f>IF(A78,AE78*1000/P24,"")</x:f>
        <x:v>0.07177557333333334</x:v>
      </x:c>
      <x:c r="AG78" s="103" t="n">
        <x:f>IF(A78,AF78/E24,"")</x:f>
        <x:v>0.0007801692753623189</x:v>
      </x:c>
      <x:c r="AH78" s="103" t="n">
        <x:f>IF(W78="",IF(OR(AG78=0,K78=0,$J$7=0),0,IF(AG78&lt;=(1-$J$7)*K78,$J$7*AG78*K78/(1-$J$7)-$J$7^2*AG78^2/(2*(1-$J$7)^2),$J$7*AG78*K78+$J$7^2*K78^2/2)/L78),"")</x:f>
        <x:v>9.029573767871735e-8</x:v>
      </x:c>
      <x:c r="AI78" s="103" t="n">
        <x:f>IF(W78="",U78*E24*T78*M24*N24,"")</x:f>
        <x:v>0.036526578676003923</x:v>
      </x:c>
      <x:c r="AJ78" s="103" t="n">
        <x:f>IF(W78="",U78*E24*AH78*Q24*R24,"")</x:f>
        <x:v>0.02492162359932599</x:v>
      </x:c>
      <x:c r="AK78" s="103" t="n">
        <x:f>IF(A78,O78+AF78,"")</x:f>
        <x:v>0.17697412333333334</x:v>
      </x:c>
      <x:c r="AL78" s="103" t="n">
        <x:f>IF(A78,AK78/E24,"")</x:f>
        <x:v>0.001923631775362319</x:v>
      </x:c>
    </x:row>
    <x:row r="79" ht="22" customHeight="1">
      <x:c r="A79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IF(A79,M97,"")</x:f>
        <x:v>46.56538391113281</x:v>
      </x:c>
      <x:c r="E79" s="76" t="n">
        <x:f>IF(A79,B24/C24,"")</x:f>
        <x:v>32</x:v>
      </x:c>
      <x:c r="F79" s="76" t="n">
        <x:f>IF(A79,B24/D24,"")</x:f>
        <x:v>32</x:v>
      </x:c>
      <x:c r="G79" s="76" t="n">
        <x:f>IF(A79,$F$5*E79*$B$5*60000/B79,"")</x:f>
        <x:v>1536</x:v>
      </x:c>
      <x:c r="H79" s="76" t="n">
        <x:f>IF(A79,G79/($J$5*F79),"")</x:f>
        <x:v>48</x:v>
      </x:c>
      <x:c r="I79" s="76" t="n">
        <x:f>IF(A79,$B$5*D79/C24/$B$9,"")</x:f>
        <x:v>93.13076782226562</x:v>
      </x:c>
      <x:c r="J79" s="76" t="n">
        <x:f>IF(A79,I79*$F$5/$J$5,"")</x:f>
        <x:v>93.13076782226562</x:v>
      </x:c>
      <x:c r="K79" s="76" t="n">
        <x:f>IF(A79,MAX(I79,J79)*2^30/(J24*1e6),"")</x:f>
        <x:v>20.833000106666667</x:v>
      </x:c>
      <x:c r="L79" s="76" t="n">
        <x:f>IF(A79,B79/$B$9,"")</x:f>
        <x:v>20000</x:v>
      </x:c>
      <x:c r="M79" s="77" t="n">
        <x:f>IF(A79,K79/L79,"")</x:f>
        <x:v>0.0010416500053333333</x:v>
      </x:c>
      <x:c r="N79" s="76" t="n">
        <x:f>IF(A79,(E24*ROUNDUP(K24/D24,0)*G24*(B24-1)/B24*(ROUNDUP((ROUNDUP(F24*2/32,0)*32+32)/480,0)*512+F24*2+32)+E24*ROUNDUP(H24/B24,0)*(B24-1)*32)/1e9,"")</x:f>
        <x:v>0.50495304</x:v>
      </x:c>
      <x:c r="O79" s="76" t="n">
        <x:f>IF(A79,N79*1000/I24,"")</x:f>
        <x:v>0.10519855</x:v>
      </x:c>
      <x:c r="P79" s="76" t="n">
        <x:f>IF(A79,O79/E24,"")</x:f>
        <x:v>0.0011434625</x:v>
      </x:c>
      <x:c r="Q79" s="76" t="n">
        <x:f>IF(A79,IF(C79&gt;AF79,N79*1000/(C79-AF79),""),"")</x:f>
        <x:v>16.87213490520595</x:v>
      </x:c>
      <x:c r="R79" s="76" t="n">
        <x:f>IF(W79="",IF(OR(K79=0,AK79=0),0,1-((E24-1)*MAX(0,(C79-AK79)/E24-(K79))+MAX(0,L79-((E24-1)*C79/E24+AL79)-(K79)))/L79),"")</x:f>
        <x:v>0.0025254418390960875</x:v>
      </x:c>
      <x:c r="S79" s="76" t="n">
        <x:f>IF(W79="",IF(AK79=0,0,MAX(0,1-(1-((E24-1)*MAX(0,(C79-AK79)/E24-(L79-K79))+MAX(0,L79-((E24-1)*C79/E24+AL79)-(L79-K79)))/L79))),"")</x:f>
        <x:v>0</x:v>
      </x:c>
      <x:c r="T79" s="76" t="n">
        <x:f>IF(W79="",IF(OR(P79=0,K79=0,$J$7=0),0,IF(P79&lt;=(1-$J$7)*K79,$J$7*P79*K79/(1-$J$7)-$J$7^2*P79^2/(2*(1-$J$7)^2),$J$7*P79*K79+$J$7^2*K79^2/2)/L79),"")</x:f>
        <x:v>1.3234267636233306e-7</x:v>
      </x:c>
      <x:c r="U79" s="76" t="n">
        <x:f>IF(A79,60000/C79,"")</x:f>
        <x:v>2000</x:v>
      </x:c>
      <x:c r="V79" s="76" t="n">
        <x:f>IF(W79="",SUM(AI79:AJ79),"")</x:f>
        <x:v>0.040965468183553275</x:v>
      </x:c>
      <x:c r="W79" s="76" t="str">
        <x:f>IF(NOT(A79),"输入无效",IF(K79&gt;=L79,"KV 超载",IF(AK79&gt;C79+1e-9,"TPOT 不自洽",IF(OR(C79&gt;L79,MAX(P79,AG79)&gt;L79-K79),"需时序仿真",""))))</x:f>
      </x:c>
      <x:c r="X79" s="76" t="n">
        <x:f>IF(W79="",U79*M79,"")</x:f>
        <x:v>2.0833000106666666</x:v>
      </x:c>
      <x:c r="Y79" s="103" t="n">
        <x:f>IF(A79,K24*F24*2*2*(D24-1)/D24/1e9,"")</x:f>
        <x:v>0.003670016</x:v>
      </x:c>
      <x:c r="Z79" s="103" t="n">
        <x:f>IF(A79,S24*2*ROUNDUP(K24/D24,0)*F24*2*(D24-1)/1e9,"")</x:f>
        <x:v>0.337641472</x:v>
      </x:c>
      <x:c r="AA79" s="103" t="n">
        <x:f>IF(A79,T24*ROUNDUP(K24/D24,0)*F24*2*2*(D24-1)/D24/1e9,"")</x:f>
        <x:v>0</x:v>
      </x:c>
      <x:c r="AB79" s="103" t="n">
        <x:f>IF(A79,U24*2*ROUNDUP(K24/D24,0)*F24*2*(D24-1)/1e9,"")</x:f>
        <x:v>0</x:v>
      </x:c>
      <x:c r="AC79" s="103" t="n">
        <x:f>IF(A79,ROUNDUP(K24/D24,0)*F24*2*(D24-1)/1e9,"")</x:f>
        <x:v>0.001835008</x:v>
      </x:c>
      <x:c r="AD79" s="103" t="n">
        <x:f>IF(A79,K24*256*(2+4)*(D24-1)/1e9,"")</x:f>
        <x:v>0.001376256</x:v>
      </x:c>
      <x:c r="AE79" s="103" t="n">
        <x:f>IF(A79,SUM(Y79:AD79),"")</x:f>
        <x:v>0.34452275200000004</x:v>
      </x:c>
      <x:c r="AF79" s="103" t="n">
        <x:f>IF(A79,AE79*1000/P24,"")</x:f>
        <x:v>0.07177557333333334</x:v>
      </x:c>
      <x:c r="AG79" s="103" t="n">
        <x:f>IF(A79,AF79/E24,"")</x:f>
        <x:v>0.0007801692753623189</x:v>
      </x:c>
      <x:c r="AH79" s="103" t="n">
        <x:f>IF(W79="",IF(OR(AG79=0,K79=0,$J$7=0),0,IF(AG79&lt;=(1-$J$7)*K79,$J$7*AG79*K79/(1-$J$7)-$J$7^2*AG79^2/(2*(1-$J$7)^2),$J$7*AG79*K79+$J$7^2*K79^2/2)/L79),"")</x:f>
        <x:v>9.029573767871735e-8</x:v>
      </x:c>
      <x:c r="AI79" s="103" t="n">
        <x:f>IF(W79="",U79*E24*T79*M24*N24,"")</x:f>
        <x:v>0.02435105245066928</x:v>
      </x:c>
      <x:c r="AJ79" s="103" t="n">
        <x:f>IF(W79="",U79*E24*AH79*Q24*R24,"")</x:f>
        <x:v>0.016614415732883994</x:v>
      </x:c>
      <x:c r="AK79" s="103" t="n">
        <x:f>IF(A79,O79+AF79,"")</x:f>
        <x:v>0.17697412333333334</x:v>
      </x:c>
      <x:c r="AL79" s="103" t="n">
        <x:f>IF(A79,AK79/E24,"")</x:f>
        <x:v>0.001923631775362319</x:v>
      </x:c>
    </x:row>
    <x:row r="80" ht="22" customHeight="1">
      <x:c r="A80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IF(A80,M101,"")</x:f>
        <x:v>184.5653839111328</x:v>
      </x:c>
      <x:c r="E80" s="76" t="n">
        <x:f>IF(A80,B24/C24,"")</x:f>
        <x:v>32</x:v>
      </x:c>
      <x:c r="F80" s="76" t="n">
        <x:f>IF(A80,B24/D24,"")</x:f>
        <x:v>32</x:v>
      </x:c>
      <x:c r="G80" s="76" t="n">
        <x:f>IF(A80,$F$5*E80*$B$5*60000/B80,"")</x:f>
        <x:v>512</x:v>
      </x:c>
      <x:c r="H80" s="76" t="n">
        <x:f>IF(A80,G80/($J$5*F80),"")</x:f>
        <x:v>16</x:v>
      </x:c>
      <x:c r="I80" s="76" t="n">
        <x:f>IF(A80,$B$5*D80/C24/$B$9,"")</x:f>
        <x:v>369.1307678222656</x:v>
      </x:c>
      <x:c r="J80" s="76" t="n">
        <x:f>IF(A80,I80*$F$5/$J$5,"")</x:f>
        <x:v>369.1307678222656</x:v>
      </x:c>
      <x:c r="K80" s="76" t="n">
        <x:f>IF(A80,MAX(I80,J80)*2^30/(J24*1e6),"")</x:f>
        <x:v>82.57315498666667</x:v>
      </x:c>
      <x:c r="L80" s="76" t="n">
        <x:f>IF(A80,B80/$B$9,"")</x:f>
        <x:v>60000</x:v>
      </x:c>
      <x:c r="M80" s="77" t="n">
        <x:f>IF(A80,K80/L80,"")</x:f>
        <x:v>0.0013762192497777778</x:v>
      </x:c>
      <x:c r="N80" s="76" t="n">
        <x:f>IF(A80,(E24*ROUNDUP(K24/D24,0)*G24*(B24-1)/B24*(ROUNDUP((ROUNDUP(F24*2/32,0)*32+32)/480,0)*512+F24*2+32)+E24*ROUNDUP(H24/B24,0)*(B24-1)*32)/1e9,"")</x:f>
        <x:v>0.50495304</x:v>
      </x:c>
      <x:c r="O80" s="76" t="n">
        <x:f>IF(A80,N80*1000/I24,"")</x:f>
        <x:v>0.10519855</x:v>
      </x:c>
      <x:c r="P80" s="76" t="n">
        <x:f>IF(A80,O80/E24,"")</x:f>
        <x:v>0.0011434625</x:v>
      </x:c>
      <x:c r="Q80" s="76" t="n">
        <x:f>IF(A80,IF(C80&gt;AF80,N80*1000/(C80-AF80),""),"")</x:f>
        <x:v>102.46145391993403</x:v>
      </x:c>
      <x:c r="R80" s="76" t="n">
        <x:f>IF(W80="",IF(OR(K80=0,AK80=0),0,1-((E24-1)*MAX(0,(C80-AK80)/E24-(K80))+MAX(0,L80-((E24-1)*C80/E24+AL80)-(K80)))/L80),"")</x:f>
        <x:v>0.0014586788465392742</x:v>
      </x:c>
      <x:c r="S80" s="76" t="n">
        <x:f>IF(W80="",IF(AK80=0,0,MAX(0,1-(1-((E24-1)*MAX(0,(C80-AK80)/E24-(L80-K80))+MAX(0,L80-((E24-1)*C80/E24+AL80)-(L80-K80)))/L80))),"")</x:f>
        <x:v>0.0012937596530163686</x:v>
      </x:c>
      <x:c r="T80" s="76" t="n">
        <x:f>IF(W80="",IF(OR(P80=0,K80=0,$J$7=0),0,IF(P80&lt;=(1-$J$7)*K80,$J$7*P80*K80/(1-$J$7)-$J$7^2*P80^2/(2*(1-$J$7)^2),$J$7*P80*K80+$J$7^2*K80^2/2)/L80),"")</x:f>
        <x:v>1.7485043258276292e-7</x:v>
      </x:c>
      <x:c r="U80" s="76" t="n">
        <x:f>IF(A80,60000/C80,"")</x:f>
        <x:v>12000</x:v>
      </x:c>
      <x:c r="V80" s="76" t="n">
        <x:f>IF(W80="",SUM(AI80:AJ80),"")</x:f>
        <x:v>0.32474004268604484</x:v>
      </x:c>
      <x:c r="W80" s="76" t="str">
        <x:f>IF(NOT(A80),"输入无效",IF(K80&gt;=L80,"KV 超载",IF(AK80&gt;C80+1e-9,"TPOT 不自洽",IF(OR(C80&gt;L80,MAX(P80,AG80)&gt;L80-K80),"需时序仿真",""))))</x:f>
      </x:c>
      <x:c r="X80" s="76" t="n">
        <x:f>IF(W80="",U80*M80,"")</x:f>
        <x:v>16.514630997333335</x:v>
      </x:c>
      <x:c r="Y80" s="103" t="n">
        <x:f>IF(A80,K24*F24*2*2*(D24-1)/D24/1e9,"")</x:f>
        <x:v>0.003670016</x:v>
      </x:c>
      <x:c r="Z80" s="103" t="n">
        <x:f>IF(A80,S24*2*ROUNDUP(K24/D24,0)*F24*2*(D24-1)/1e9,"")</x:f>
        <x:v>0.337641472</x:v>
      </x:c>
      <x:c r="AA80" s="103" t="n">
        <x:f>IF(A80,T24*ROUNDUP(K24/D24,0)*F24*2*2*(D24-1)/D24/1e9,"")</x:f>
        <x:v>0</x:v>
      </x:c>
      <x:c r="AB80" s="103" t="n">
        <x:f>IF(A80,U24*2*ROUNDUP(K24/D24,0)*F24*2*(D24-1)/1e9,"")</x:f>
        <x:v>0</x:v>
      </x:c>
      <x:c r="AC80" s="103" t="n">
        <x:f>IF(A80,ROUNDUP(K24/D24,0)*F24*2*(D24-1)/1e9,"")</x:f>
        <x:v>0.001835008</x:v>
      </x:c>
      <x:c r="AD80" s="103" t="n">
        <x:f>IF(A80,K24*256*(2+4)*(D24-1)/1e9,"")</x:f>
        <x:v>0.001376256</x:v>
      </x:c>
      <x:c r="AE80" s="103" t="n">
        <x:f>IF(A80,SUM(Y80:AD80),"")</x:f>
        <x:v>0.34452275200000004</x:v>
      </x:c>
      <x:c r="AF80" s="103" t="n">
        <x:f>IF(A80,AE80*1000/P24,"")</x:f>
        <x:v>0.07177557333333334</x:v>
      </x:c>
      <x:c r="AG80" s="103" t="n">
        <x:f>IF(A80,AF80/E24,"")</x:f>
        <x:v>0.0007801692753623189</x:v>
      </x:c>
      <x:c r="AH80" s="103" t="n">
        <x:f>IF(W80="",IF(OR(AG80=0,K80=0,$J$7=0),0,IF(AG80&lt;=(1-$J$7)*K80,$J$7*AG80*K80/(1-$J$7)-$J$7^2*AG80^2/(2*(1-$J$7)^2),$J$7*AG80*K80+$J$7^2*K80^2/2)/L80),"")</x:f>
        <x:v>1.1929815680677048e-7</x:v>
      </x:c>
      <x:c r="AI80" s="103" t="n">
        <x:f>IF(W80="",U80*E24*T80*M24*N24,"")</x:f>
        <x:v>0.19303487757137025</x:v>
      </x:c>
      <x:c r="AJ80" s="103" t="n">
        <x:f>IF(W80="",U80*E24*AH80*Q24*R24,"")</x:f>
        <x:v>0.13170516511467462</x:v>
      </x:c>
      <x:c r="AK80" s="103" t="n">
        <x:f>IF(A80,O80+AF80,"")</x:f>
        <x:v>0.17697412333333334</x:v>
      </x:c>
      <x:c r="AL80" s="103" t="n">
        <x:f>IF(A80,AK80/E24,"")</x:f>
        <x:v>0.001923631775362319</x:v>
      </x:c>
    </x:row>
    <x:row r="81" ht="22" customHeight="1">
      <x:c r="A81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IF(A81,M101,"")</x:f>
        <x:v>184.5653839111328</x:v>
      </x:c>
      <x:c r="E81" s="76" t="n">
        <x:f>IF(A81,B24/C24,"")</x:f>
        <x:v>32</x:v>
      </x:c>
      <x:c r="F81" s="76" t="n">
        <x:f>IF(A81,B24/D24,"")</x:f>
        <x:v>32</x:v>
      </x:c>
      <x:c r="G81" s="76" t="n">
        <x:f>IF(A81,$F$5*E81*$B$5*60000/B81,"")</x:f>
        <x:v>512</x:v>
      </x:c>
      <x:c r="H81" s="76" t="n">
        <x:f>IF(A81,G81/($J$5*F81),"")</x:f>
        <x:v>16</x:v>
      </x:c>
      <x:c r="I81" s="76" t="n">
        <x:f>IF(A81,$B$5*D81/C24/$B$9,"")</x:f>
        <x:v>369.1307678222656</x:v>
      </x:c>
      <x:c r="J81" s="76" t="n">
        <x:f>IF(A81,I81*$F$5/$J$5,"")</x:f>
        <x:v>369.1307678222656</x:v>
      </x:c>
      <x:c r="K81" s="76" t="n">
        <x:f>IF(A81,MAX(I81,J81)*2^30/(J24*1e6),"")</x:f>
        <x:v>82.57315498666667</x:v>
      </x:c>
      <x:c r="L81" s="76" t="n">
        <x:f>IF(A81,B81/$B$9,"")</x:f>
        <x:v>60000</x:v>
      </x:c>
      <x:c r="M81" s="77" t="n">
        <x:f>IF(A81,K81/L81,"")</x:f>
        <x:v>0.0013762192497777778</x:v>
      </x:c>
      <x:c r="N81" s="76" t="n">
        <x:f>IF(A81,(E24*ROUNDUP(K24/D24,0)*G24*(B24-1)/B24*(ROUNDUP((ROUNDUP(F24*2/32,0)*32+32)/480,0)*512+F24*2+32)+E24*ROUNDUP(H24/B24,0)*(B24-1)*32)/1e9,"")</x:f>
        <x:v>0.50495304</x:v>
      </x:c>
      <x:c r="O81" s="76" t="n">
        <x:f>IF(A81,N81*1000/I24,"")</x:f>
        <x:v>0.10519855</x:v>
      </x:c>
      <x:c r="P81" s="76" t="n">
        <x:f>IF(A81,O81/E24,"")</x:f>
        <x:v>0.0011434625</x:v>
      </x:c>
      <x:c r="Q81" s="76" t="n">
        <x:f>IF(A81,IF(C81&gt;AF81,N81*1000/(C81-AF81),""),"")</x:f>
        <x:v>50.860357129289284</x:v>
      </x:c>
      <x:c r="R81" s="76" t="n">
        <x:f>IF(W81="",IF(OR(K81=0,AK81=0),0,1-((E24-1)*MAX(0,(C81-AK81)/E24-(K81))+MAX(0,L81-((E24-1)*C81/E24+AL81)-(K81)))/L81),"")</x:f>
        <x:v>0.0015411063827711624</x:v>
      </x:c>
      <x:c r="S81" s="76" t="n">
        <x:f>IF(W81="",IF(AK81=0,0,MAX(0,1-(1-((E24-1)*MAX(0,(C81-AK81)/E24-(L81-K81))+MAX(0,L81-((E24-1)*C81/E24+AL81)-(L81-K81)))/L81))),"")</x:f>
        <x:v>0.0012113321167844804</x:v>
      </x:c>
      <x:c r="T81" s="76" t="n">
        <x:f>IF(W81="",IF(OR(P81=0,K81=0,$J$7=0),0,IF(P81&lt;=(1-$J$7)*K81,$J$7*P81*K81/(1-$J$7)-$J$7^2*P81^2/(2*(1-$J$7)^2),$J$7*P81*K81+$J$7^2*K81^2/2)/L81),"")</x:f>
        <x:v>1.7485043258276292e-7</x:v>
      </x:c>
      <x:c r="U81" s="76" t="n">
        <x:f>IF(A81,60000/C81,"")</x:f>
        <x:v>6000</x:v>
      </x:c>
      <x:c r="V81" s="76" t="n">
        <x:f>IF(W81="",SUM(AI81:AJ81),"")</x:f>
        <x:v>0.16237002134302242</x:v>
      </x:c>
      <x:c r="W81" s="76" t="str">
        <x:f>IF(NOT(A81),"输入无效",IF(K81&gt;=L81,"KV 超载",IF(AK81&gt;C81+1e-9,"TPOT 不自洽",IF(OR(C81&gt;L81,MAX(P81,AG81)&gt;L81-K81),"需时序仿真",""))))</x:f>
      </x:c>
      <x:c r="X81" s="76" t="n">
        <x:f>IF(W81="",U81*M81,"")</x:f>
        <x:v>8.257315498666667</x:v>
      </x:c>
      <x:c r="Y81" s="103" t="n">
        <x:f>IF(A81,K24*F24*2*2*(D24-1)/D24/1e9,"")</x:f>
        <x:v>0.003670016</x:v>
      </x:c>
      <x:c r="Z81" s="103" t="n">
        <x:f>IF(A81,S24*2*ROUNDUP(K24/D24,0)*F24*2*(D24-1)/1e9,"")</x:f>
        <x:v>0.337641472</x:v>
      </x:c>
      <x:c r="AA81" s="103" t="n">
        <x:f>IF(A81,T24*ROUNDUP(K24/D24,0)*F24*2*2*(D24-1)/D24/1e9,"")</x:f>
        <x:v>0</x:v>
      </x:c>
      <x:c r="AB81" s="103" t="n">
        <x:f>IF(A81,U24*2*ROUNDUP(K24/D24,0)*F24*2*(D24-1)/1e9,"")</x:f>
        <x:v>0</x:v>
      </x:c>
      <x:c r="AC81" s="103" t="n">
        <x:f>IF(A81,ROUNDUP(K24/D24,0)*F24*2*(D24-1)/1e9,"")</x:f>
        <x:v>0.001835008</x:v>
      </x:c>
      <x:c r="AD81" s="103" t="n">
        <x:f>IF(A81,K24*256*(2+4)*(D24-1)/1e9,"")</x:f>
        <x:v>0.001376256</x:v>
      </x:c>
      <x:c r="AE81" s="103" t="n">
        <x:f>IF(A81,SUM(Y81:AD81),"")</x:f>
        <x:v>0.34452275200000004</x:v>
      </x:c>
      <x:c r="AF81" s="103" t="n">
        <x:f>IF(A81,AE81*1000/P24,"")</x:f>
        <x:v>0.07177557333333334</x:v>
      </x:c>
      <x:c r="AG81" s="103" t="n">
        <x:f>IF(A81,AF81/E24,"")</x:f>
        <x:v>0.0007801692753623189</x:v>
      </x:c>
      <x:c r="AH81" s="103" t="n">
        <x:f>IF(W81="",IF(OR(AG81=0,K81=0,$J$7=0),0,IF(AG81&lt;=(1-$J$7)*K81,$J$7*AG81*K81/(1-$J$7)-$J$7^2*AG81^2/(2*(1-$J$7)^2),$J$7*AG81*K81+$J$7^2*K81^2/2)/L81),"")</x:f>
        <x:v>1.1929815680677048e-7</x:v>
      </x:c>
      <x:c r="AI81" s="103" t="n">
        <x:f>IF(W81="",U81*E24*T81*M24*N24,"")</x:f>
        <x:v>0.09651743878568513</x:v>
      </x:c>
      <x:c r="AJ81" s="103" t="n">
        <x:f>IF(W81="",U81*E24*AH81*Q24*R24,"")</x:f>
        <x:v>0.06585258255733731</x:v>
      </x:c>
      <x:c r="AK81" s="103" t="n">
        <x:f>IF(A81,O81+AF81,"")</x:f>
        <x:v>0.17697412333333334</x:v>
      </x:c>
      <x:c r="AL81" s="103" t="n">
        <x:f>IF(A81,AK81/E24,"")</x:f>
        <x:v>0.001923631775362319</x:v>
      </x:c>
    </x:row>
    <x:row r="82" ht="22" customHeight="1">
      <x:c r="A82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IF(A82,M101,"")</x:f>
        <x:v>184.5653839111328</x:v>
      </x:c>
      <x:c r="E82" s="76" t="n">
        <x:f>IF(A82,B24/C24,"")</x:f>
        <x:v>32</x:v>
      </x:c>
      <x:c r="F82" s="76" t="n">
        <x:f>IF(A82,B24/D24,"")</x:f>
        <x:v>32</x:v>
      </x:c>
      <x:c r="G82" s="76" t="n">
        <x:f>IF(A82,$F$5*E82*$B$5*60000/B82,"")</x:f>
        <x:v>512</x:v>
      </x:c>
      <x:c r="H82" s="76" t="n">
        <x:f>IF(A82,G82/($J$5*F82),"")</x:f>
        <x:v>16</x:v>
      </x:c>
      <x:c r="I82" s="76" t="n">
        <x:f>IF(A82,$B$5*D82/C24/$B$9,"")</x:f>
        <x:v>369.1307678222656</x:v>
      </x:c>
      <x:c r="J82" s="76" t="n">
        <x:f>IF(A82,I82*$F$5/$J$5,"")</x:f>
        <x:v>369.1307678222656</x:v>
      </x:c>
      <x:c r="K82" s="76" t="n">
        <x:f>IF(A82,MAX(I82,J82)*2^30/(J24*1e6),"")</x:f>
        <x:v>82.57315498666667</x:v>
      </x:c>
      <x:c r="L82" s="76" t="n">
        <x:f>IF(A82,B82/$B$9,"")</x:f>
        <x:v>60000</x:v>
      </x:c>
      <x:c r="M82" s="77" t="n">
        <x:f>IF(A82,K82/L82,"")</x:f>
        <x:v>0.0013762192497777778</x:v>
      </x:c>
      <x:c r="N82" s="76" t="n">
        <x:f>IF(A82,(E24*ROUNDUP(K24/D24,0)*G24*(B24-1)/B24*(ROUNDUP((ROUNDUP(F24*2/32,0)*32+32)/480,0)*512+F24*2+32)+E24*ROUNDUP(H24/B24,0)*(B24-1)*32)/1e9,"")</x:f>
        <x:v>0.50495304</x:v>
      </x:c>
      <x:c r="O82" s="76" t="n">
        <x:f>IF(A82,N82*1000/I24,"")</x:f>
        <x:v>0.10519855</x:v>
      </x:c>
      <x:c r="P82" s="76" t="n">
        <x:f>IF(A82,O82/E24,"")</x:f>
        <x:v>0.0011434625</x:v>
      </x:c>
      <x:c r="Q82" s="76" t="n">
        <x:f>IF(A82,IF(C82&gt;AF82,N82*1000/(C82-AF82),""),"")</x:f>
        <x:v>25.33858657895805</x:v>
      </x:c>
      <x:c r="R82" s="76" t="n">
        <x:f>IF(W82="",IF(OR(K82=0,AK82=0),0,1-((E24-1)*MAX(0,(C82-AK82)/E24-(K82))+MAX(0,L82-((E24-1)*C82/E24+AL82)-(K82)))/L82),"")</x:f>
        <x:v>0.001705961455234939</x:v>
      </x:c>
      <x:c r="S82" s="76" t="n">
        <x:f>IF(W82="",IF(AK82=0,0,MAX(0,1-(1-((E24-1)*MAX(0,(C82-AK82)/E24-(L82-K82))+MAX(0,L82-((E24-1)*C82/E24+AL82)-(L82-K82)))/L82))),"")</x:f>
        <x:v>0.0010464770443205929</x:v>
      </x:c>
      <x:c r="T82" s="76" t="n">
        <x:f>IF(W82="",IF(OR(P82=0,K82=0,$J$7=0),0,IF(P82&lt;=(1-$J$7)*K82,$J$7*P82*K82/(1-$J$7)-$J$7^2*P82^2/(2*(1-$J$7)^2),$J$7*P82*K82+$J$7^2*K82^2/2)/L82),"")</x:f>
        <x:v>1.7485043258276292e-7</x:v>
      </x:c>
      <x:c r="U82" s="76" t="n">
        <x:f>IF(A82,60000/C82,"")</x:f>
        <x:v>3000</x:v>
      </x:c>
      <x:c r="V82" s="76" t="n">
        <x:f>IF(W82="",SUM(AI82:AJ82),"")</x:f>
        <x:v>0.08118501067151121</x:v>
      </x:c>
      <x:c r="W82" s="76" t="str">
        <x:f>IF(NOT(A82),"输入无效",IF(K82&gt;=L82,"KV 超载",IF(AK82&gt;C82+1e-9,"TPOT 不自洽",IF(OR(C82&gt;L82,MAX(P82,AG82)&gt;L82-K82),"需时序仿真",""))))</x:f>
      </x:c>
      <x:c r="X82" s="76" t="n">
        <x:f>IF(W82="",U82*M82,"")</x:f>
        <x:v>4.128657749333334</x:v>
      </x:c>
      <x:c r="Y82" s="103" t="n">
        <x:f>IF(A82,K24*F24*2*2*(D24-1)/D24/1e9,"")</x:f>
        <x:v>0.003670016</x:v>
      </x:c>
      <x:c r="Z82" s="103" t="n">
        <x:f>IF(A82,S24*2*ROUNDUP(K24/D24,0)*F24*2*(D24-1)/1e9,"")</x:f>
        <x:v>0.337641472</x:v>
      </x:c>
      <x:c r="AA82" s="103" t="n">
        <x:f>IF(A82,T24*ROUNDUP(K24/D24,0)*F24*2*2*(D24-1)/D24/1e9,"")</x:f>
        <x:v>0</x:v>
      </x:c>
      <x:c r="AB82" s="103" t="n">
        <x:f>IF(A82,U24*2*ROUNDUP(K24/D24,0)*F24*2*(D24-1)/1e9,"")</x:f>
        <x:v>0</x:v>
      </x:c>
      <x:c r="AC82" s="103" t="n">
        <x:f>IF(A82,ROUNDUP(K24/D24,0)*F24*2*(D24-1)/1e9,"")</x:f>
        <x:v>0.001835008</x:v>
      </x:c>
      <x:c r="AD82" s="103" t="n">
        <x:f>IF(A82,K24*256*(2+4)*(D24-1)/1e9,"")</x:f>
        <x:v>0.001376256</x:v>
      </x:c>
      <x:c r="AE82" s="103" t="n">
        <x:f>IF(A82,SUM(Y82:AD82),"")</x:f>
        <x:v>0.34452275200000004</x:v>
      </x:c>
      <x:c r="AF82" s="103" t="n">
        <x:f>IF(A82,AE82*1000/P24,"")</x:f>
        <x:v>0.07177557333333334</x:v>
      </x:c>
      <x:c r="AG82" s="103" t="n">
        <x:f>IF(A82,AF82/E24,"")</x:f>
        <x:v>0.0007801692753623189</x:v>
      </x:c>
      <x:c r="AH82" s="103" t="n">
        <x:f>IF(W82="",IF(OR(AG82=0,K82=0,$J$7=0),0,IF(AG82&lt;=(1-$J$7)*K82,$J$7*AG82*K82/(1-$J$7)-$J$7^2*AG82^2/(2*(1-$J$7)^2),$J$7*AG82*K82+$J$7^2*K82^2/2)/L82),"")</x:f>
        <x:v>1.1929815680677048e-7</x:v>
      </x:c>
      <x:c r="AI82" s="103" t="n">
        <x:f>IF(W82="",U82*E24*T82*M24*N24,"")</x:f>
        <x:v>0.04825871939284256</x:v>
      </x:c>
      <x:c r="AJ82" s="103" t="n">
        <x:f>IF(W82="",U82*E24*AH82*Q24*R24,"")</x:f>
        <x:v>0.032926291278668654</x:v>
      </x:c>
      <x:c r="AK82" s="103" t="n">
        <x:f>IF(A82,O82+AF82,"")</x:f>
        <x:v>0.17697412333333334</x:v>
      </x:c>
      <x:c r="AL82" s="103" t="n">
        <x:f>IF(A82,AK82/E24,"")</x:f>
        <x:v>0.001923631775362319</x:v>
      </x:c>
    </x:row>
    <x:row r="83" ht="22" customHeight="1">
      <x:c r="A83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IF(A83,M101,"")</x:f>
        <x:v>184.5653839111328</x:v>
      </x:c>
      <x:c r="E83" s="76" t="n">
        <x:f>IF(A83,B24/C24,"")</x:f>
        <x:v>32</x:v>
      </x:c>
      <x:c r="F83" s="76" t="n">
        <x:f>IF(A83,B24/D24,"")</x:f>
        <x:v>32</x:v>
      </x:c>
      <x:c r="G83" s="76" t="n">
        <x:f>IF(A83,$F$5*E83*$B$5*60000/B83,"")</x:f>
        <x:v>512</x:v>
      </x:c>
      <x:c r="H83" s="76" t="n">
        <x:f>IF(A83,G83/($J$5*F83),"")</x:f>
        <x:v>16</x:v>
      </x:c>
      <x:c r="I83" s="76" t="n">
        <x:f>IF(A83,$B$5*D83/C24/$B$9,"")</x:f>
        <x:v>369.1307678222656</x:v>
      </x:c>
      <x:c r="J83" s="76" t="n">
        <x:f>IF(A83,I83*$F$5/$J$5,"")</x:f>
        <x:v>369.1307678222656</x:v>
      </x:c>
      <x:c r="K83" s="76" t="n">
        <x:f>IF(A83,MAX(I83,J83)*2^30/(J24*1e6),"")</x:f>
        <x:v>82.57315498666667</x:v>
      </x:c>
      <x:c r="L83" s="76" t="n">
        <x:f>IF(A83,B83/$B$9,"")</x:f>
        <x:v>60000</x:v>
      </x:c>
      <x:c r="M83" s="77" t="n">
        <x:f>IF(A83,K83/L83,"")</x:f>
        <x:v>0.0013762192497777778</x:v>
      </x:c>
      <x:c r="N83" s="76" t="n">
        <x:f>IF(A83,(E24*ROUNDUP(K24/D24,0)*G24*(B24-1)/B24*(ROUNDUP((ROUNDUP(F24*2/32,0)*32+32)/480,0)*512+F24*2+32)+E24*ROUNDUP(H24/B24,0)*(B24-1)*32)/1e9,"")</x:f>
        <x:v>0.50495304</x:v>
      </x:c>
      <x:c r="O83" s="76" t="n">
        <x:f>IF(A83,N83*1000/I24,"")</x:f>
        <x:v>0.10519855</x:v>
      </x:c>
      <x:c r="P83" s="76" t="n">
        <x:f>IF(A83,O83/E24,"")</x:f>
        <x:v>0.0011434625</x:v>
      </x:c>
      <x:c r="Q83" s="76" t="n">
        <x:f>IF(A83,IF(C83&gt;AF83,N83*1000/(C83-AF83),""),"")</x:f>
        <x:v>16.87213490520595</x:v>
      </x:c>
      <x:c r="R83" s="76" t="n">
        <x:f>IF(W83="",IF(OR(K83=0,AK83=0),0,1-((E24-1)*MAX(0,(C83-AK83)/E24-(K83))+MAX(0,L83-((E24-1)*C83/E24+AL83)-(K83)))/L83),"")</x:f>
        <x:v>0.0018708165276987154</x:v>
      </x:c>
      <x:c r="S83" s="76" t="n">
        <x:f>IF(W83="",IF(AK83=0,0,MAX(0,1-(1-((E24-1)*MAX(0,(C83-AK83)/E24-(L83-K83))+MAX(0,L83-((E24-1)*C83/E24+AL83)-(L83-K83)))/L83))),"")</x:f>
        <x:v>0.0008816219718569274</x:v>
      </x:c>
      <x:c r="T83" s="76" t="n">
        <x:f>IF(W83="",IF(OR(P83=0,K83=0,$J$7=0),0,IF(P83&lt;=(1-$J$7)*K83,$J$7*P83*K83/(1-$J$7)-$J$7^2*P83^2/(2*(1-$J$7)^2),$J$7*P83*K83+$J$7^2*K83^2/2)/L83),"")</x:f>
        <x:v>1.7485043258276292e-7</x:v>
      </x:c>
      <x:c r="U83" s="76" t="n">
        <x:f>IF(A83,60000/C83,"")</x:f>
        <x:v>2000</x:v>
      </x:c>
      <x:c r="V83" s="76" t="n">
        <x:f>IF(W83="",SUM(AI83:AJ83),"")</x:f>
        <x:v>0.05412334044767415</x:v>
      </x:c>
      <x:c r="W83" s="76" t="str">
        <x:f>IF(NOT(A83),"输入无效",IF(K83&gt;=L83,"KV 超载",IF(AK83&gt;C83+1e-9,"TPOT 不自洽",IF(OR(C83&gt;L83,MAX(P83,AG83)&gt;L83-K83),"需时序仿真",""))))</x:f>
      </x:c>
      <x:c r="X83" s="76" t="n">
        <x:f>IF(W83="",U83*M83,"")</x:f>
        <x:v>2.7524384995555558</x:v>
      </x:c>
      <x:c r="Y83" s="103" t="n">
        <x:f>IF(A83,K24*F24*2*2*(D24-1)/D24/1e9,"")</x:f>
        <x:v>0.003670016</x:v>
      </x:c>
      <x:c r="Z83" s="103" t="n">
        <x:f>IF(A83,S24*2*ROUNDUP(K24/D24,0)*F24*2*(D24-1)/1e9,"")</x:f>
        <x:v>0.337641472</x:v>
      </x:c>
      <x:c r="AA83" s="103" t="n">
        <x:f>IF(A83,T24*ROUNDUP(K24/D24,0)*F24*2*2*(D24-1)/D24/1e9,"")</x:f>
        <x:v>0</x:v>
      </x:c>
      <x:c r="AB83" s="103" t="n">
        <x:f>IF(A83,U24*2*ROUNDUP(K24/D24,0)*F24*2*(D24-1)/1e9,"")</x:f>
        <x:v>0</x:v>
      </x:c>
      <x:c r="AC83" s="103" t="n">
        <x:f>IF(A83,ROUNDUP(K24/D24,0)*F24*2*(D24-1)/1e9,"")</x:f>
        <x:v>0.001835008</x:v>
      </x:c>
      <x:c r="AD83" s="103" t="n">
        <x:f>IF(A83,K24*256*(2+4)*(D24-1)/1e9,"")</x:f>
        <x:v>0.001376256</x:v>
      </x:c>
      <x:c r="AE83" s="103" t="n">
        <x:f>IF(A83,SUM(Y83:AD83),"")</x:f>
        <x:v>0.34452275200000004</x:v>
      </x:c>
      <x:c r="AF83" s="103" t="n">
        <x:f>IF(A83,AE83*1000/P24,"")</x:f>
        <x:v>0.07177557333333334</x:v>
      </x:c>
      <x:c r="AG83" s="103" t="n">
        <x:f>IF(A83,AF83/E24,"")</x:f>
        <x:v>0.0007801692753623189</x:v>
      </x:c>
      <x:c r="AH83" s="103" t="n">
        <x:f>IF(W83="",IF(OR(AG83=0,K83=0,$J$7=0),0,IF(AG83&lt;=(1-$J$7)*K83,$J$7*AG83*K83/(1-$J$7)-$J$7^2*AG83^2/(2*(1-$J$7)^2),$J$7*AG83*K83+$J$7^2*K83^2/2)/L83),"")</x:f>
        <x:v>1.1929815680677048e-7</x:v>
      </x:c>
      <x:c r="AI83" s="103" t="n">
        <x:f>IF(W83="",U83*E24*T83*M24*N24,"")</x:f>
        <x:v>0.03217247959522838</x:v>
      </x:c>
      <x:c r="AJ83" s="103" t="n">
        <x:f>IF(W83="",U83*E24*AH83*Q24*R24,"")</x:f>
        <x:v>0.02195086085244577</x:v>
      </x:c>
      <x:c r="AK83" s="103" t="n">
        <x:f>IF(A83,O83+AF83,"")</x:f>
        <x:v>0.17697412333333334</x:v>
      </x:c>
      <x:c r="AL83" s="103" t="n">
        <x:f>IF(A83,AK83/E24,"")</x:f>
        <x:v>0.001923631775362319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Qwen3.8 2.4T</x:v>
      </x:c>
      <x:c r="B90" s="30" t="n">
        <x:f>$B$15</x:f>
        <x:v>16384</x:v>
      </x:c>
      <x:c r="C90" s="79" t="str">
        <x:v>GQA K+V / BF16 (KV heads replicated)</x:v>
      </x:c>
      <x:c r="D90" s="30" t="n">
        <x:v>23</x:v>
      </x:c>
      <x:c r="E90" s="30" t="n">
        <x:v>1024</x:v>
      </x:c>
      <x:c r="F90" s="30" t="n">
        <x:v>8</x:v>
      </x:c>
      <x:c r="G90" s="30" t="n">
        <x:v>8</x:v>
      </x:c>
      <x:c r="H90" s="30" t="n">
        <x:f>IF(AND(ISNUMBER($B$15),$B$15&gt;=2,MOD($B$15,1)=0,OR($N$9=32,$N$9=64,$N$9=128),ISNUMBER($B$11),$B$11&gt;=0,MOD($B$11,1)=0),INT(($B$15-1)/1),"")</x:f>
        <x:v>16383</x:v>
      </x:c>
      <x:c r="I90" s="30" t="n">
        <x:f>IF(AND(ISNUMBER($B$15),$B$15&gt;=2,MOD($B$15,1)=0,OR($N$9=32,$N$9=64,$N$9=128),ISNUMBER($B$11),$B$11&gt;=0,MOD($B$11,1)=0),INT(($B$15-1)/1),"")</x:f>
        <x:v>16383</x:v>
      </x:c>
      <x:c r="J90" s="30" t="n">
        <x:f>IF(AND(ISNUMBER($B$15),$B$15&gt;=2,MOD($B$15,1)=0,OR($N$9=32,$N$9=64,$N$9=128),ISNUMBER($B$11),$B$11&gt;=0,MOD($B$11,1)=0),ROUNDUP(($B$15-1)/(1*$N$9),0)*$N$9,"")</x:f>
        <x:v>16384</x:v>
      </x:c>
      <x:c r="K90" s="76" t="n">
        <x:f>IF(AND(ISNUMBER($B$15),$B$15&gt;=2,MOD($B$15,1)=0,OR($N$9=32,$N$9=64,$N$9=128),ISNUMBER($B$11),$B$11&gt;=0,MOD($B$11,1)=0),D90*E90*F90*H90/2^30,"")</x:f>
        <x:v>2.8748245239257812</x:v>
      </x:c>
      <x:c r="L90" s="76" t="n">
        <x:f>IF(AND(ISNUMBER($B$15),$B$15&gt;=2,MOD($B$15,1)=0,OR($N$9=32,$N$9=64,$N$9=128),ISNUMBER($B$11),$B$11&gt;=0,MOD($B$11,1)=0),D90*E90*F90*I90/2^30,"")</x:f>
        <x:v>2.8748245239257812</x:v>
      </x:c>
      <x:c r="M90" s="76" t="n">
        <x:f>IF(AND(ISNUMBER($B$15),$B$15&gt;=2,MOD($B$15,1)=0,OR($N$9=32,$N$9=64,$N$9=128),ISNUMBER($B$11),$B$11&gt;=0,MOD($B$11,1)=0),D90*E90*G90*J90/2^30,"")</x:f>
        <x:v>2.875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Qwen3.8 2.4T</x:v>
      </x:c>
      <x:c r="B91" s="30" t="n">
        <x:f>$B$15</x:f>
        <x:v>16384</x:v>
      </x:c>
      <x:c r="C91" s="79" t="str">
        <x:v>Conv state / BF16</x:v>
      </x:c>
      <x:c r="D91" s="30" t="n">
        <x:v>69</x:v>
      </x:c>
      <x:c r="E91" s="30" t="n">
        <x:v>5120</x:v>
      </x:c>
      <x:c r="F91" s="30" t="n">
        <x:v>8</x:v>
      </x:c>
      <x:c r="G91" s="30" t="n">
        <x:v>8</x:v>
      </x:c>
      <x:c r="H91" s="30" t="n">
        <x:f>IF(AND(ISNUMBER($B$15),$B$15&gt;=2,MOD($B$15,1)=0,OR($N$9=32,$N$9=64,$N$9=128),ISNUMBER($B$11),$B$11&gt;=0,MOD($B$11,1)=0),MIN(($B$15-1),3),"")</x:f>
        <x:v>3</x:v>
      </x:c>
      <x:c r="I91" s="30" t="n">
        <x:f>IF(AND(ISNUMBER($B$15),$B$15&gt;=2,MOD($B$15,1)=0,OR($N$9=32,$N$9=64,$N$9=128),ISNUMBER($B$11),$B$11&gt;=0,MOD($B$11,1)=0),MIN(($B$15-1),3),"")</x:f>
        <x:v>3</x:v>
      </x:c>
      <x:c r="J91" s="30" t="n">
        <x:f>IF(AND(ISNUMBER($B$15),$B$15&gt;=2,MOD($B$15,1)=0,OR($N$9=32,$N$9=64,$N$9=128),ISNUMBER($B$11),$B$11&gt;=0,MOD($B$11,1)=0),3+$B$11,"")</x:f>
        <x:v>10</x:v>
      </x:c>
      <x:c r="K91" s="76" t="n">
        <x:f>IF(AND(ISNUMBER($B$15),$B$15&gt;=2,MOD($B$15,1)=0,OR($N$9=32,$N$9=64,$N$9=128),ISNUMBER($B$11),$B$11&gt;=0,MOD($B$11,1)=0),D91*E91*F91*H91/2^30,"")</x:f>
        <x:v>0.00789642333984375</x:v>
      </x:c>
      <x:c r="L91" s="76" t="n">
        <x:f>IF(AND(ISNUMBER($B$15),$B$15&gt;=2,MOD($B$15,1)=0,OR($N$9=32,$N$9=64,$N$9=128),ISNUMBER($B$11),$B$11&gt;=0,MOD($B$11,1)=0),D91*E91*F91*I91/2^30,"")</x:f>
        <x:v>0.00789642333984375</x:v>
      </x:c>
      <x:c r="M91" s="76" t="n">
        <x:f>IF(AND(ISNUMBER($B$15),$B$15&gt;=2,MOD($B$15,1)=0,OR($N$9=32,$N$9=64,$N$9=128),ISNUMBER($B$11),$B$11&gt;=0,MOD($B$11,1)=0),D91*E91*G91*J91/2^30,"")</x:f>
        <x:v>0.0263214111328125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30" t="str">
        <x:v>Qwen3.8 2.4T</x:v>
      </x:c>
      <x:c r="B92" s="30" t="n">
        <x:f>$B$15</x:f>
        <x:v>16384</x:v>
      </x:c>
      <x:c r="C92" s="79" t="str">
        <x:v>Recurrent state / FP32</x:v>
      </x:c>
      <x:c r="D92" s="30" t="n">
        <x:v>69</x:v>
      </x:c>
      <x:c r="E92" s="30" t="n">
        <x:v>1048576</x:v>
      </x:c>
      <x:c r="F92" s="30" t="n">
        <x:v>8</x:v>
      </x:c>
      <x:c r="G92" s="30" t="n">
        <x:v>8</x:v>
      </x:c>
      <x:c r="H92" s="30" t="n">
        <x:f>IF(AND(ISNUMBER($B$15),$B$15&gt;=2,MOD($B$15,1)=0,OR($N$9=32,$N$9=64,$N$9=128),ISNUMBER($B$11),$B$11&gt;=0,MOD($B$11,1)=0),1,"")</x:f>
        <x:v>1</x:v>
      </x:c>
      <x:c r="I92" s="30" t="n">
        <x:f>IF(AND(ISNUMBER($B$15),$B$15&gt;=2,MOD($B$15,1)=0,OR($N$9=32,$N$9=64,$N$9=128),ISNUMBER($B$11),$B$11&gt;=0,MOD($B$11,1)=0),1,"")</x:f>
        <x:v>1</x:v>
      </x:c>
      <x:c r="J92" s="30" t="n">
        <x:f>IF(AND(ISNUMBER($B$15),$B$15&gt;=2,MOD($B$15,1)=0,OR($N$9=32,$N$9=64,$N$9=128),ISNUMBER($B$11),$B$11&gt;=0,MOD($B$11,1)=0),1,"")</x:f>
        <x:v>1</x:v>
      </x:c>
      <x:c r="K92" s="76" t="n">
        <x:f>IF(AND(ISNUMBER($B$15),$B$15&gt;=2,MOD($B$15,1)=0,OR($N$9=32,$N$9=64,$N$9=128),ISNUMBER($B$11),$B$11&gt;=0,MOD($B$11,1)=0),D92*E92*F92*H92/2^30,"")</x:f>
        <x:v>0.5390625</x:v>
      </x:c>
      <x:c r="L92" s="76" t="n">
        <x:f>IF(AND(ISNUMBER($B$15),$B$15&gt;=2,MOD($B$15,1)=0,OR($N$9=32,$N$9=64,$N$9=128),ISNUMBER($B$11),$B$11&gt;=0,MOD($B$11,1)=0),D92*E92*F92*I92/2^30,"")</x:f>
        <x:v>0.5390625</x:v>
      </x:c>
      <x:c r="M92" s="76" t="n">
        <x:f>IF(AND(ISNUMBER($B$15),$B$15&gt;=2,MOD($B$15,1)=0,OR($N$9=32,$N$9=64,$N$9=128),ISNUMBER($B$11),$B$11&gt;=0,MOD($B$11,1)=0),D92*E92*G92*J92/2^30,"")</x:f>
        <x:v>0.5390625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40" t="str">
        <x:v>Qwen3.8 2.4T</x:v>
      </x:c>
      <x:c r="B93" s="40" t="n">
        <x:f>$B$15</x:f>
        <x:v>16384</x:v>
      </x:c>
      <x:c r="C93" s="80" t="str">
        <x:v>每请求合计</x:v>
      </x:c>
      <x:c r="D93" s="40"/>
      <x:c r="E93" s="40"/>
      <x:c r="F93" s="40"/>
      <x:c r="G93" s="40"/>
      <x:c r="H93" s="40"/>
      <x:c r="I93" s="40"/>
      <x:c r="J93" s="40"/>
      <x:c r="K93" s="78" t="n">
        <x:f>SUM(K90:K92)</x:f>
        <x:v>3.421783447265625</x:v>
      </x:c>
      <x:c r="L93" s="78" t="n">
        <x:f>SUM(L90:L92)</x:f>
        <x:v>3.421783447265625</x:v>
      </x:c>
      <x:c r="M93" s="78" t="n">
        <x:f>SUM(M90:M92)</x:f>
        <x:v>3.4403839111328125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Qwen3.8 2.4T</x:v>
      </x:c>
      <x:c r="B94" s="30" t="n">
        <x:f>$B$16</x:f>
        <x:v>262144</x:v>
      </x:c>
      <x:c r="C94" s="79" t="str">
        <x:v>GQA K+V / BF16 (KV heads replicated)</x:v>
      </x:c>
      <x:c r="D94" s="30" t="n">
        <x:v>23</x:v>
      </x:c>
      <x:c r="E94" s="30" t="n">
        <x:v>1024</x:v>
      </x:c>
      <x:c r="F94" s="30" t="n">
        <x:v>8</x:v>
      </x:c>
      <x:c r="G94" s="30" t="n">
        <x:v>8</x:v>
      </x:c>
      <x:c r="H94" s="30" t="n">
        <x:f>IF(AND(ISNUMBER($B$16),$B$16&gt;=2,MOD($B$16,1)=0,OR($N$9=32,$N$9=64,$N$9=128),ISNUMBER($B$11),$B$11&gt;=0,MOD($B$11,1)=0),INT(($B$16-1)/1),"")</x:f>
        <x:v>262143</x:v>
      </x:c>
      <x:c r="I94" s="30" t="n">
        <x:f>IF(AND(ISNUMBER($B$16),$B$16&gt;=2,MOD($B$16,1)=0,OR($N$9=32,$N$9=64,$N$9=128),ISNUMBER($B$11),$B$11&gt;=0,MOD($B$11,1)=0),INT(($B$16-1)/1),"")</x:f>
        <x:v>262143</x:v>
      </x:c>
      <x:c r="J94" s="30" t="n">
        <x:f>IF(AND(ISNUMBER($B$16),$B$16&gt;=2,MOD($B$16,1)=0,OR($N$9=32,$N$9=64,$N$9=128),ISNUMBER($B$11),$B$11&gt;=0,MOD($B$11,1)=0),ROUNDUP(($B$16-1)/(1*$N$9),0)*$N$9,"")</x:f>
        <x:v>262144</x:v>
      </x:c>
      <x:c r="K94" s="76" t="n">
        <x:f>IF(AND(ISNUMBER($B$16),$B$16&gt;=2,MOD($B$16,1)=0,OR($N$9=32,$N$9=64,$N$9=128),ISNUMBER($B$11),$B$11&gt;=0,MOD($B$11,1)=0),D94*E94*F94*H94/2^30,"")</x:f>
        <x:v>45.99982452392578</x:v>
      </x:c>
      <x:c r="L94" s="76" t="n">
        <x:f>IF(AND(ISNUMBER($B$16),$B$16&gt;=2,MOD($B$16,1)=0,OR($N$9=32,$N$9=64,$N$9=128),ISNUMBER($B$11),$B$11&gt;=0,MOD($B$11,1)=0),D94*E94*F94*I94/2^30,"")</x:f>
        <x:v>45.99982452392578</x:v>
      </x:c>
      <x:c r="M94" s="76" t="n">
        <x:f>IF(AND(ISNUMBER($B$16),$B$16&gt;=2,MOD($B$16,1)=0,OR($N$9=32,$N$9=64,$N$9=128),ISNUMBER($B$11),$B$11&gt;=0,MOD($B$11,1)=0),D94*E94*G94*J94/2^30,"")</x:f>
        <x:v>46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30" t="str">
        <x:v>Qwen3.8 2.4T</x:v>
      </x:c>
      <x:c r="B95" s="30" t="n">
        <x:f>$B$16</x:f>
        <x:v>262144</x:v>
      </x:c>
      <x:c r="C95" s="79" t="str">
        <x:v>Conv state / BF16</x:v>
      </x:c>
      <x:c r="D95" s="30" t="n">
        <x:v>69</x:v>
      </x:c>
      <x:c r="E95" s="30" t="n">
        <x:v>5120</x:v>
      </x:c>
      <x:c r="F95" s="30" t="n">
        <x:v>8</x:v>
      </x:c>
      <x:c r="G95" s="30" t="n">
        <x:v>8</x:v>
      </x:c>
      <x:c r="H95" s="30" t="n">
        <x:f>IF(AND(ISNUMBER($B$16),$B$16&gt;=2,MOD($B$16,1)=0,OR($N$9=32,$N$9=64,$N$9=128),ISNUMBER($B$11),$B$11&gt;=0,MOD($B$11,1)=0),MIN(($B$16-1),3),"")</x:f>
        <x:v>3</x:v>
      </x:c>
      <x:c r="I95" s="30" t="n">
        <x:f>IF(AND(ISNUMBER($B$16),$B$16&gt;=2,MOD($B$16,1)=0,OR($N$9=32,$N$9=64,$N$9=128),ISNUMBER($B$11),$B$11&gt;=0,MOD($B$11,1)=0),MIN(($B$16-1),3),"")</x:f>
        <x:v>3</x:v>
      </x:c>
      <x:c r="J95" s="30" t="n">
        <x:f>IF(AND(ISNUMBER($B$16),$B$16&gt;=2,MOD($B$16,1)=0,OR($N$9=32,$N$9=64,$N$9=128),ISNUMBER($B$11),$B$11&gt;=0,MOD($B$11,1)=0),3+$B$11,"")</x:f>
        <x:v>10</x:v>
      </x:c>
      <x:c r="K95" s="76" t="n">
        <x:f>IF(AND(ISNUMBER($B$16),$B$16&gt;=2,MOD($B$16,1)=0,OR($N$9=32,$N$9=64,$N$9=128),ISNUMBER($B$11),$B$11&gt;=0,MOD($B$11,1)=0),D95*E95*F95*H95/2^30,"")</x:f>
        <x:v>0.00789642333984375</x:v>
      </x:c>
      <x:c r="L95" s="76" t="n">
        <x:f>IF(AND(ISNUMBER($B$16),$B$16&gt;=2,MOD($B$16,1)=0,OR($N$9=32,$N$9=64,$N$9=128),ISNUMBER($B$11),$B$11&gt;=0,MOD($B$11,1)=0),D95*E95*F95*I95/2^30,"")</x:f>
        <x:v>0.00789642333984375</x:v>
      </x:c>
      <x:c r="M95" s="76" t="n">
        <x:f>IF(AND(ISNUMBER($B$16),$B$16&gt;=2,MOD($B$16,1)=0,OR($N$9=32,$N$9=64,$N$9=128),ISNUMBER($B$11),$B$11&gt;=0,MOD($B$11,1)=0),D95*E95*G95*J95/2^30,"")</x:f>
        <x:v>0.0263214111328125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Qwen3.8 2.4T</x:v>
      </x:c>
      <x:c r="B96" s="30" t="n">
        <x:f>$B$16</x:f>
        <x:v>262144</x:v>
      </x:c>
      <x:c r="C96" s="79" t="str">
        <x:v>Recurrent state / FP32</x:v>
      </x:c>
      <x:c r="D96" s="30" t="n">
        <x:v>69</x:v>
      </x:c>
      <x:c r="E96" s="30" t="n">
        <x:v>1048576</x:v>
      </x:c>
      <x:c r="F96" s="30" t="n">
        <x:v>8</x:v>
      </x:c>
      <x:c r="G96" s="30" t="n">
        <x:v>8</x:v>
      </x:c>
      <x:c r="H96" s="30" t="n">
        <x:f>IF(AND(ISNUMBER($B$16),$B$16&gt;=2,MOD($B$16,1)=0,OR($N$9=32,$N$9=64,$N$9=128),ISNUMBER($B$11),$B$11&gt;=0,MOD($B$11,1)=0),1,"")</x:f>
        <x:v>1</x:v>
      </x:c>
      <x:c r="I96" s="30" t="n">
        <x:f>IF(AND(ISNUMBER($B$16),$B$16&gt;=2,MOD($B$16,1)=0,OR($N$9=32,$N$9=64,$N$9=128),ISNUMBER($B$11),$B$11&gt;=0,MOD($B$11,1)=0),1,"")</x:f>
        <x:v>1</x:v>
      </x:c>
      <x:c r="J96" s="30" t="n">
        <x:f>IF(AND(ISNUMBER($B$16),$B$16&gt;=2,MOD($B$16,1)=0,OR($N$9=32,$N$9=64,$N$9=128),ISNUMBER($B$11),$B$11&gt;=0,MOD($B$11,1)=0),1,"")</x:f>
        <x:v>1</x:v>
      </x:c>
      <x:c r="K96" s="76" t="n">
        <x:f>IF(AND(ISNUMBER($B$16),$B$16&gt;=2,MOD($B$16,1)=0,OR($N$9=32,$N$9=64,$N$9=128),ISNUMBER($B$11),$B$11&gt;=0,MOD($B$11,1)=0),D96*E96*F96*H96/2^30,"")</x:f>
        <x:v>0.5390625</x:v>
      </x:c>
      <x:c r="L96" s="76" t="n">
        <x:f>IF(AND(ISNUMBER($B$16),$B$16&gt;=2,MOD($B$16,1)=0,OR($N$9=32,$N$9=64,$N$9=128),ISNUMBER($B$11),$B$11&gt;=0,MOD($B$11,1)=0),D96*E96*F96*I96/2^30,"")</x:f>
        <x:v>0.5390625</x:v>
      </x:c>
      <x:c r="M96" s="76" t="n">
        <x:f>IF(AND(ISNUMBER($B$16),$B$16&gt;=2,MOD($B$16,1)=0,OR($N$9=32,$N$9=64,$N$9=128),ISNUMBER($B$11),$B$11&gt;=0,MOD($B$11,1)=0),D96*E96*G96*J96/2^30,"")</x:f>
        <x:v>0.5390625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40" t="str">
        <x:v>Qwen3.8 2.4T</x:v>
      </x:c>
      <x:c r="B97" s="40" t="n">
        <x:f>$B$16</x:f>
        <x:v>262144</x:v>
      </x:c>
      <x:c r="C97" s="80" t="str">
        <x:v>每请求合计</x:v>
      </x:c>
      <x:c r="D97" s="40"/>
      <x:c r="E97" s="40"/>
      <x:c r="F97" s="40"/>
      <x:c r="G97" s="40"/>
      <x:c r="H97" s="40"/>
      <x:c r="I97" s="40"/>
      <x:c r="J97" s="40"/>
      <x:c r="K97" s="78" t="n">
        <x:f>SUM(K94:K96)</x:f>
        <x:v>46.546783447265625</x:v>
      </x:c>
      <x:c r="L97" s="78" t="n">
        <x:f>SUM(L94:L96)</x:f>
        <x:v>46.546783447265625</x:v>
      </x:c>
      <x:c r="M97" s="78" t="n">
        <x:f>SUM(M94:M96)</x:f>
        <x:v>46.56538391113281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30" t="str">
        <x:v>Qwen3.8 2.4T</x:v>
      </x:c>
      <x:c r="B98" s="30" t="n">
        <x:f>$B$17</x:f>
        <x:v>1048576</x:v>
      </x:c>
      <x:c r="C98" s="79" t="str">
        <x:v>GQA K+V / BF16 (KV heads replicated)</x:v>
      </x:c>
      <x:c r="D98" s="30" t="n">
        <x:v>23</x:v>
      </x:c>
      <x:c r="E98" s="30" t="n">
        <x:v>1024</x:v>
      </x:c>
      <x:c r="F98" s="30" t="n">
        <x:v>8</x:v>
      </x:c>
      <x:c r="G98" s="30" t="n">
        <x:v>8</x:v>
      </x:c>
      <x:c r="H98" s="30" t="n">
        <x:f>IF(AND(ISNUMBER($B$17),$B$17&gt;=2,MOD($B$17,1)=0,OR($N$9=32,$N$9=64,$N$9=128),ISNUMBER($B$11),$B$11&gt;=0,MOD($B$11,1)=0),INT(($B$17-1)/1),"")</x:f>
        <x:v>1048575</x:v>
      </x:c>
      <x:c r="I98" s="30" t="n">
        <x:f>IF(AND(ISNUMBER($B$17),$B$17&gt;=2,MOD($B$17,1)=0,OR($N$9=32,$N$9=64,$N$9=128),ISNUMBER($B$11),$B$11&gt;=0,MOD($B$11,1)=0),INT(($B$17-1)/1),"")</x:f>
        <x:v>1048575</x:v>
      </x:c>
      <x:c r="J98" s="30" t="n">
        <x:f>IF(AND(ISNUMBER($B$17),$B$17&gt;=2,MOD($B$17,1)=0,OR($N$9=32,$N$9=64,$N$9=128),ISNUMBER($B$11),$B$11&gt;=0,MOD($B$11,1)=0),ROUNDUP(($B$17-1)/(1*$N$9),0)*$N$9,"")</x:f>
        <x:v>1048576</x:v>
      </x:c>
      <x:c r="K98" s="76" t="n">
        <x:f>IF(AND(ISNUMBER($B$17),$B$17&gt;=2,MOD($B$17,1)=0,OR($N$9=32,$N$9=64,$N$9=128),ISNUMBER($B$11),$B$11&gt;=0,MOD($B$11,1)=0),D98*E98*F98*H98/2^30,"")</x:f>
        <x:v>183.99982452392578</x:v>
      </x:c>
      <x:c r="L98" s="76" t="n">
        <x:f>IF(AND(ISNUMBER($B$17),$B$17&gt;=2,MOD($B$17,1)=0,OR($N$9=32,$N$9=64,$N$9=128),ISNUMBER($B$11),$B$11&gt;=0,MOD($B$11,1)=0),D98*E98*F98*I98/2^30,"")</x:f>
        <x:v>183.99982452392578</x:v>
      </x:c>
      <x:c r="M98" s="76" t="n">
        <x:f>IF(AND(ISNUMBER($B$17),$B$17&gt;=2,MOD($B$17,1)=0,OR($N$9=32,$N$9=64,$N$9=128),ISNUMBER($B$11),$B$11&gt;=0,MOD($B$11,1)=0),D98*E98*G98*J98/2^30,"")</x:f>
        <x:v>184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 t="str">
        <x:v>Qwen3.8 2.4T</x:v>
      </x:c>
      <x:c r="B99" s="30" t="n">
        <x:f>$B$17</x:f>
        <x:v>1048576</x:v>
      </x:c>
      <x:c r="C99" s="79" t="str">
        <x:v>Conv state / BF16</x:v>
      </x:c>
      <x:c r="D99" s="30" t="n">
        <x:v>69</x:v>
      </x:c>
      <x:c r="E99" s="30" t="n">
        <x:v>5120</x:v>
      </x:c>
      <x:c r="F99" s="30" t="n">
        <x:v>8</x:v>
      </x:c>
      <x:c r="G99" s="30" t="n">
        <x:v>8</x:v>
      </x:c>
      <x:c r="H99" s="30" t="n">
        <x:f>IF(AND(ISNUMBER($B$17),$B$17&gt;=2,MOD($B$17,1)=0,OR($N$9=32,$N$9=64,$N$9=128),ISNUMBER($B$11),$B$11&gt;=0,MOD($B$11,1)=0),MIN(($B$17-1),3),"")</x:f>
        <x:v>3</x:v>
      </x:c>
      <x:c r="I99" s="30" t="n">
        <x:f>IF(AND(ISNUMBER($B$17),$B$17&gt;=2,MOD($B$17,1)=0,OR($N$9=32,$N$9=64,$N$9=128),ISNUMBER($B$11),$B$11&gt;=0,MOD($B$11,1)=0),MIN(($B$17-1),3),"")</x:f>
        <x:v>3</x:v>
      </x:c>
      <x:c r="J99" s="30" t="n">
        <x:f>IF(AND(ISNUMBER($B$17),$B$17&gt;=2,MOD($B$17,1)=0,OR($N$9=32,$N$9=64,$N$9=128),ISNUMBER($B$11),$B$11&gt;=0,MOD($B$11,1)=0),3+$B$11,"")</x:f>
        <x:v>10</x:v>
      </x:c>
      <x:c r="K99" s="76" t="n">
        <x:f>IF(AND(ISNUMBER($B$17),$B$17&gt;=2,MOD($B$17,1)=0,OR($N$9=32,$N$9=64,$N$9=128),ISNUMBER($B$11),$B$11&gt;=0,MOD($B$11,1)=0),D99*E99*F99*H99/2^30,"")</x:f>
        <x:v>0.00789642333984375</x:v>
      </x:c>
      <x:c r="L99" s="76" t="n">
        <x:f>IF(AND(ISNUMBER($B$17),$B$17&gt;=2,MOD($B$17,1)=0,OR($N$9=32,$N$9=64,$N$9=128),ISNUMBER($B$11),$B$11&gt;=0,MOD($B$11,1)=0),D99*E99*F99*I99/2^30,"")</x:f>
        <x:v>0.00789642333984375</x:v>
      </x:c>
      <x:c r="M99" s="76" t="n">
        <x:f>IF(AND(ISNUMBER($B$17),$B$17&gt;=2,MOD($B$17,1)=0,OR($N$9=32,$N$9=64,$N$9=128),ISNUMBER($B$11),$B$11&gt;=0,MOD($B$11,1)=0),D99*E99*G99*J99/2^30,"")</x:f>
        <x:v>0.0263214111328125</x:v>
      </x:c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45" customHeight="1">
      <x:c r="A100" s="30" t="str">
        <x:v>Qwen3.8 2.4T</x:v>
      </x:c>
      <x:c r="B100" s="30" t="n">
        <x:f>$B$17</x:f>
        <x:v>1048576</x:v>
      </x:c>
      <x:c r="C100" s="79" t="str">
        <x:v>Recurrent state / FP32</x:v>
      </x:c>
      <x:c r="D100" s="30" t="n">
        <x:v>69</x:v>
      </x:c>
      <x:c r="E100" s="30" t="n">
        <x:v>1048576</x:v>
      </x:c>
      <x:c r="F100" s="30" t="n">
        <x:v>8</x:v>
      </x:c>
      <x:c r="G100" s="30" t="n">
        <x:v>8</x:v>
      </x:c>
      <x:c r="H100" s="30" t="n">
        <x:f>IF(AND(ISNUMBER($B$17),$B$17&gt;=2,MOD($B$17,1)=0,OR($N$9=32,$N$9=64,$N$9=128),ISNUMBER($B$11),$B$11&gt;=0,MOD($B$11,1)=0),1,"")</x:f>
        <x:v>1</x:v>
      </x:c>
      <x:c r="I100" s="30" t="n">
        <x:f>IF(AND(ISNUMBER($B$17),$B$17&gt;=2,MOD($B$17,1)=0,OR($N$9=32,$N$9=64,$N$9=128),ISNUMBER($B$11),$B$11&gt;=0,MOD($B$11,1)=0),1,"")</x:f>
        <x:v>1</x:v>
      </x:c>
      <x:c r="J100" s="30" t="n">
        <x:f>IF(AND(ISNUMBER($B$17),$B$17&gt;=2,MOD($B$17,1)=0,OR($N$9=32,$N$9=64,$N$9=128),ISNUMBER($B$11),$B$11&gt;=0,MOD($B$11,1)=0),1,"")</x:f>
        <x:v>1</x:v>
      </x:c>
      <x:c r="K100" s="76" t="n">
        <x:f>IF(AND(ISNUMBER($B$17),$B$17&gt;=2,MOD($B$17,1)=0,OR($N$9=32,$N$9=64,$N$9=128),ISNUMBER($B$11),$B$11&gt;=0,MOD($B$11,1)=0),D100*E100*F100*H100/2^30,"")</x:f>
        <x:v>0.5390625</x:v>
      </x:c>
      <x:c r="L100" s="76" t="n">
        <x:f>IF(AND(ISNUMBER($B$17),$B$17&gt;=2,MOD($B$17,1)=0,OR($N$9=32,$N$9=64,$N$9=128),ISNUMBER($B$11),$B$11&gt;=0,MOD($B$11,1)=0),D100*E100*F100*I100/2^30,"")</x:f>
        <x:v>0.5390625</x:v>
      </x:c>
      <x:c r="M100" s="76" t="n">
        <x:f>IF(AND(ISNUMBER($B$17),$B$17&gt;=2,MOD($B$17,1)=0,OR($N$9=32,$N$9=64,$N$9=128),ISNUMBER($B$11),$B$11&gt;=0,MOD($B$11,1)=0),D100*E100*G100*J100/2^30,"")</x:f>
        <x:v>0.5390625</x:v>
      </x:c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45" customHeight="1">
      <x:c r="A101" s="40" t="str">
        <x:v>Qwen3.8 2.4T</x:v>
      </x:c>
      <x:c r="B101" s="40" t="n">
        <x:f>$B$17</x:f>
        <x:v>1048576</x:v>
      </x:c>
      <x:c r="C101" s="80" t="str">
        <x:v>每请求合计</x:v>
      </x:c>
      <x:c r="D101" s="40"/>
      <x:c r="E101" s="40"/>
      <x:c r="F101" s="40"/>
      <x:c r="G101" s="40"/>
      <x:c r="H101" s="40"/>
      <x:c r="I101" s="40"/>
      <x:c r="J101" s="40"/>
      <x:c r="K101" s="78" t="n">
        <x:f>SUM(K98:K100)</x:f>
        <x:v>184.54678344726562</x:v>
      </x:c>
      <x:c r="L101" s="78" t="n">
        <x:f>SUM(L98:L100)</x:f>
        <x:v>184.54678344726562</x:v>
      </x:c>
      <x:c r="M101" s="78" t="n">
        <x:f>SUM(M98:M100)</x:f>
        <x:v>184.5653839111328</x:v>
      </x:c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45" customHeight="1">
      <x:c r="A102" s="30"/>
      <x:c r="B102" s="30"/>
      <x:c r="C102" s="79"/>
      <x:c r="D102" s="30"/>
      <x:c r="E102" s="30"/>
      <x:c r="F102" s="30"/>
      <x:c r="G102" s="30"/>
      <x:c r="H102" s="30"/>
      <x:c r="I102" s="30"/>
      <x:c r="J102" s="30"/>
      <x:c r="K102" s="76"/>
      <x:c r="L102" s="76"/>
      <x:c r="M102" s="76"/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22" customHeight="1">
      <x:c r="A103" s="30"/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22" customHeight="1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22" customHeight="1">
      <x:c r="A105" s="30" t="str">
        <x:v>来源：库内 config.json、analysis/KV-EP-SPECS.md、analysis/PD-MINUTE.md；V4.1 为既有 KV 规划量。</x:v>
      </x:c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22" customHeight="1">
      <x:c r="A106" s="30" t="str">
        <x:v>MC2：A3 FullMesh BF16；TP/SP：HCCL Ring，K3 共享专家 TP、Qwen 共享专家 DP。通信启动、Engram 与排队另计。</x:v>
      </x:c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22" customHeight="1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22" customHeight="1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22" customHeight="1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22" customHeight="1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22" customHeight="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22" customHeight="1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22" customHeight="1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22" customHeight="1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