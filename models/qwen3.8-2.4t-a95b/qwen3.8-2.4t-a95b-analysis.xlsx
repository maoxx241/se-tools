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f0e59618824f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bcd29c3ebef84fcb"/>
    <x:sheet xmlns:r="http://schemas.openxmlformats.org/officeDocument/2006/relationships" name="Decode" sheetId="2" r:id="Ra87abf0b5c98490e"/>
    <x:sheet xmlns:r="http://schemas.openxmlformats.org/officeDocument/2006/relationships" name="分钟场景" sheetId="3" r:id="Rb82836ea9db94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d414747c4c4a23" /><Relationship Type="http://schemas.openxmlformats.org/officeDocument/2006/relationships/theme" Target="/xl/theme/theme1.xml" Id="Re17377bd071141a8" /><Relationship Type="http://schemas.openxmlformats.org/officeDocument/2006/relationships/sharedStrings" Target="/xl/sharedStrings.xml" Id="R7d13260dd10441a2" /><Relationship Type="http://schemas.openxmlformats.org/officeDocument/2006/relationships/worksheet" Target="/xl/worksheets/sheet1.xml" Id="Rbcd29c3ebef84fcb" /><Relationship Type="http://schemas.openxmlformats.org/officeDocument/2006/relationships/worksheet" Target="/xl/worksheets/sheet2.xml" Id="Ra87abf0b5c98490e" /><Relationship Type="http://schemas.openxmlformats.org/officeDocument/2006/relationships/worksheet" Target="/xl/worksheets/sheet3.xml" Id="Rb82836ea9db941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'Prefill'!$P$12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'Prefill'!$P$12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'Prefill'!$P$12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IF('Prefill'!$P$19&gt;0,'Prefill'!$P$19,'Prefill'!$P$12)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'Prefill'!$P$12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/>
      <x:c r="P16" s="35"/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'Prefill'!$P$12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'Prefill'!$P$12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'Prefill'!$P$12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'Prefill'!$P$12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'Prefill'!$P$12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'Prefill'!$P$14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'Prefill'!$P$7*8192</x:f>
        <x:v>67108864</x:v>
      </x:c>
      <x:c r="F51" s="33" t="n">
        <x:f>'Prefill'!$P$28</x:f>
        <x:v>2</x:v>
      </x:c>
      <x:c r="G51" s="33" t="n">
        <x:f>IF('Prefill'!$P$21&gt;0,'Prefill'!$P$21,'Prefill'!$P$12)</x:f>
        <x:v>8</x:v>
      </x:c>
      <x:c r="H51" s="33" t="n">
        <x:f>IF(AND(IF('Prefill'!$P$21&gt;0,'Prefill'!$P$21,'Prefill'!$P$12)&gt;1,'Prefill'!$P$24=0),1,0)</x:f>
        <x:v>1</x:v>
      </x:c>
      <x:c r="I51" s="34" t="n">
        <x:f>E51*F51/1048576</x:f>
        <x:v>128</x:v>
      </x:c>
      <x:c r="J51" s="34" t="n">
        <x:f>I51*(IF(G51&gt;1,2*(G51-1)/G51,0))</x:f>
        <x:v>224</x:v>
      </x:c>
      <x:c r="K51" s="34" t="n">
        <x:f>J51*H51</x:f>
        <x:v>224</x:v>
      </x:c>
      <x:c r="L51" s="34" t="n">
        <x:f>K51*G51</x:f>
        <x:v>1792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'Prefill'!$P$7</x:f>
        <x:v>8192</x:v>
      </x:c>
      <x:c r="F52" s="33" t="n">
        <x:f>'Prefill'!$P$30</x:f>
        <x:v>8</x:v>
      </x:c>
      <x:c r="G52" s="33" t="n">
        <x:f>IF('Prefill'!$P$21&gt;0,'Prefill'!$P$21,'Prefill'!$P$12)</x:f>
        <x:v>8</x:v>
      </x:c>
      <x:c r="H52" s="33" t="n">
        <x:f>IF(AND(IF('Prefill'!$P$21&gt;0,'Prefill'!$P$21,'Prefill'!$P$12)&gt;1,'Prefill'!$P$24&lt;&gt;0),1,0)</x:f>
        <x:v>0</x:v>
      </x:c>
      <x:c r="I52" s="34" t="n">
        <x:f>E52*F52/1048576</x:f>
        <x:v>0.0625</x:v>
      </x:c>
      <x:c r="J52" s="34" t="n">
        <x:f>I52*(IF(G52&gt;1,G52-1,0))</x:f>
        <x:v>0.4375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'Prefill'!$P$7*IF('Prefill'!$P$21&gt;0,'Prefill'!$P$21,'Prefill'!$P$12)*8192</x:f>
        <x:v>536870912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IF(AND(IF('Prefill'!$P$21&gt;0,'Prefill'!$P$21,'Prefill'!$P$12)&gt;1,'Prefill'!$P$24&lt;&gt;0),1,0)</x:f>
        <x:v>0</x:v>
      </x:c>
      <x:c r="I53" s="34" t="n">
        <x:f>E53*F53/1048576</x:f>
        <x:v>1024</x:v>
      </x:c>
      <x:c r="J53" s="34" t="n">
        <x:f>I53*(IF(G53&gt;1,(G53-1)/G53,0))</x:f>
        <x:v>896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((ROUNDUP('Prefill'!$P$7/'Prefill'!$P$12,0)*'Prefill'!$P$12)/'Prefill'!$P$12)*8192</x:f>
        <x:v>8388608</x:v>
      </x:c>
      <x:c r="F54" s="33" t="n">
        <x:f>'Prefill'!$P$28</x:f>
        <x:v>2</x:v>
      </x:c>
      <x:c r="G54" s="33" t="n">
        <x:f>'Prefill'!$P$12</x:f>
        <x:v>8</x:v>
      </x:c>
      <x:c r="H54" s="33" t="n">
        <x:f>92*IF(AND('Prefill'!$P$13&lt;&gt;0,'Prefill'!$P$12&gt;1,'Prefill'!$P$22=0),1,0)</x:f>
        <x:v>92</x:v>
      </x:c>
      <x:c r="I54" s="34" t="n">
        <x:f>E54*F54/1048576</x:f>
        <x:v>16</x:v>
      </x:c>
      <x:c r="J54" s="34" t="n">
        <x:f>I54*(IF(G54&gt;1,G54-1,0))</x:f>
        <x:v>112</x:v>
      </x:c>
      <x:c r="K54" s="34" t="n">
        <x:f>J54*H54</x:f>
        <x:v>10304</x:v>
      </x:c>
      <x:c r="L54" s="34" t="n">
        <x:f>K54*G54</x:f>
        <x:v>82432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(ROUNDUP('Prefill'!$P$7/'Prefill'!$P$12,0)*'Prefill'!$P$12)*8192</x:f>
        <x:v>67108864</x:v>
      </x:c>
      <x:c r="F55" s="33" t="n">
        <x:f>'Prefill'!$P$28</x:f>
        <x:v>2</x:v>
      </x:c>
      <x:c r="G55" s="33" t="n">
        <x:f>'Prefill'!$P$12</x:f>
        <x:v>8</x:v>
      </x:c>
      <x:c r="H55" s="33" t="n">
        <x:f>92*IF(AND('Prefill'!$P$13&lt;&gt;0,'Prefill'!$P$12&gt;1,'Prefill'!$P$22=0),1,0)</x:f>
        <x:v>92</x:v>
      </x:c>
      <x:c r="I55" s="34" t="n">
        <x:f>E55*F55/1048576</x:f>
        <x:v>128</x:v>
      </x:c>
      <x:c r="J55" s="34" t="n">
        <x:f>I55*(IF(G55&gt;1,(G55-1)/G55,0))</x:f>
        <x:v>112</x:v>
      </x:c>
      <x:c r="K55" s="34" t="n">
        <x:f>J55*H55</x:f>
        <x:v>10304</x:v>
      </x:c>
      <x:c r="L55" s="34" t="n">
        <x:f>K55*G55</x:f>
        <x:v>82432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'Prefill'!$P$7*8192</x:f>
        <x:v>67108864</x:v>
      </x:c>
      <x:c r="F56" s="33" t="n">
        <x:f>'Prefill'!$P$28</x:f>
        <x:v>2</x:v>
      </x:c>
      <x:c r="G56" s="33" t="n">
        <x:f>IF('Prefill'!$P$19&gt;0,'Prefill'!$P$19,'Prefill'!$P$12)</x:f>
        <x:v>8</x:v>
      </x:c>
      <x:c r="H56" s="33" t="n">
        <x:f>92*IF(AND('Prefill'!$P$13=0,IF('Prefill'!$P$19&gt;0,'Prefill'!$P$19,'Prefill'!$P$12)&gt;1,'Prefill'!$P$22=0),1,0)</x:f>
        <x:v>0</x:v>
      </x:c>
      <x:c r="I56" s="34" t="n">
        <x:f>E56*F56/1048576</x:f>
        <x:v>128</x:v>
      </x:c>
      <x:c r="J56" s="34" t="n">
        <x:f>I56*(IF(G56&gt;1,2*(G56-1)/G56,0))</x:f>
        <x:v>224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'Prefill'!$P$7*16384</x:f>
        <x:v>134217728</x:v>
      </x:c>
      <x:c r="F57" s="33" t="n">
        <x:f>'Prefill'!$P$28</x:f>
        <x:v>2</x:v>
      </x:c>
      <x:c r="G57" s="33" t="n">
        <x:f>IF('Prefill'!$P$19&gt;0,'Prefill'!$P$19,'Prefill'!$P$12)</x:f>
        <x:v>8</x:v>
      </x:c>
      <x:c r="H57" s="33" t="n">
        <x:f>92*IF(AND(IF('Prefill'!$P$19&gt;0,'Prefill'!$P$19,'Prefill'!$P$12)&gt;1,'Prefill'!$P$22&lt;&gt;0),1,0)</x:f>
        <x:v>0</x:v>
      </x:c>
      <x:c r="I57" s="34" t="n">
        <x:f>E57*F57/1048576</x:f>
        <x:v>256</x:v>
      </x:c>
      <x:c r="J57" s="34" t="n">
        <x:f>I57*(IF(G57&gt;1,(G57-1)/G57,0))</x:f>
        <x:v>224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'Prefill'!$P$7*IF('Prefill'!$P$19&gt;0,'Prefill'!$P$19,'Prefill'!$P$12)*8192</x:f>
        <x:v>536870912</x:v>
      </x:c>
      <x:c r="F58" s="33" t="n">
        <x:f>'Prefill'!$P$28</x:f>
        <x:v>2</x:v>
      </x:c>
      <x:c r="G58" s="33" t="n">
        <x:f>IF('Prefill'!$P$19&gt;0,'Prefill'!$P$19,'Prefill'!$P$12)</x:f>
        <x:v>8</x:v>
      </x:c>
      <x:c r="H58" s="33" t="n">
        <x:f>92*IF(AND(IF('Prefill'!$P$19&gt;0,'Prefill'!$P$19,'Prefill'!$P$12)&gt;1,'Prefill'!$P$22&lt;&gt;0),1,0)</x:f>
        <x:v>0</x:v>
      </x:c>
      <x:c r="I58" s="34" t="n">
        <x:f>E58*F58/1048576</x:f>
        <x:v>1024</x:v>
      </x:c>
      <x:c r="J58" s="34" t="n">
        <x:f>I58*(IF(G58&gt;1,(G58-1)/G58,0))</x:f>
        <x:v>896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IF('Prefill'!$P$13&lt;&gt;0,((ROUNDUP('Prefill'!$P$7/'Prefill'!$P$12,0)*'Prefill'!$P$12)/'Prefill'!$P$12),'Prefill'!$P$7)*10*'Prefill'!$P$32*8192</x:f>
        <x:v>73400320</x:v>
      </x:c>
      <x:c r="F59" s="33" t="n">
        <x:f>'Prefill'!$P$28</x:f>
        <x:v>2</x:v>
      </x:c>
      <x:c r="G59" s="33" t="n">
        <x:f>'Prefill'!$P$14</x:f>
        <x:v>8</x:v>
      </x:c>
      <x:c r="H59" s="33" t="n">
        <x:f>92*IF('Prefill'!$P$14&gt;1,1,0)</x:f>
        <x:v>92</x:v>
      </x:c>
      <x:c r="I59" s="34" t="n">
        <x:f>E59*F59/1048576</x:f>
        <x:v>140</x:v>
      </x:c>
      <x:c r="J59" s="34" t="n">
        <x:f>I59*(1)</x:f>
        <x:v>140</x:v>
      </x:c>
      <x:c r="K59" s="34" t="n">
        <x:f>J59*H59</x:f>
        <x:v>12880</x:v>
      </x:c>
      <x:c r="L59" s="34" t="n">
        <x:f>K59*G59</x:f>
        <x:v>103040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IF('Prefill'!$P$13&lt;&gt;0,((ROUNDUP('Prefill'!$P$7/'Prefill'!$P$12,0)*'Prefill'!$P$12)/'Prefill'!$P$12),'Prefill'!$P$7)*10*'Prefill'!$P$32*8192</x:f>
        <x:v>73400320</x:v>
      </x:c>
      <x:c r="F60" s="33" t="n">
        <x:f>'Prefill'!$P$28</x:f>
        <x:v>2</x:v>
      </x:c>
      <x:c r="G60" s="33" t="n">
        <x:f>'Prefill'!$P$14</x:f>
        <x:v>8</x:v>
      </x:c>
      <x:c r="H60" s="33" t="n">
        <x:f>92*IF('Prefill'!$P$14&gt;1,1,0)</x:f>
        <x:v>92</x:v>
      </x:c>
      <x:c r="I60" s="34" t="n">
        <x:f>E60*F60/1048576</x:f>
        <x:v>140</x:v>
      </x:c>
      <x:c r="J60" s="34" t="n">
        <x:f>I60*(1)</x:f>
        <x:v>140</x:v>
      </x:c>
      <x:c r="K60" s="34" t="n">
        <x:f>J60*H60</x:f>
        <x:v>12880</x:v>
      </x:c>
      <x:c r="L60" s="34" t="n">
        <x:f>K60*G60</x:f>
        <x:v>103040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'Prefill'!$P$7*8192</x:f>
        <x:v>67108864</x:v>
      </x:c>
      <x:c r="F61" s="33" t="n">
        <x:f>'Prefill'!$P$28</x:f>
        <x:v>2</x:v>
      </x:c>
      <x:c r="G61" s="33" t="n">
        <x:f>'Prefill'!$P$11</x:f>
        <x:v>1</x:v>
      </x:c>
      <x:c r="H61" s="33" t="n">
        <x:f>92*IF(AND('Prefill'!$P$11&gt;1,'Prefill'!$P$14=1),1,0)</x:f>
        <x:v>0</x:v>
      </x:c>
      <x:c r="I61" s="34" t="n">
        <x:f>E61*F61/1048576</x:f>
        <x:v>128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'Prefill'!$P$7*512</x:f>
        <x:v>4194304</x:v>
      </x:c>
      <x:c r="F62" s="33" t="n">
        <x:f>'Prefill'!$P$28</x:f>
        <x:v>2</x:v>
      </x:c>
      <x:c r="G62" s="33" t="n">
        <x:f>'Prefill'!$P$11</x:f>
        <x:v>1</x:v>
      </x:c>
      <x:c r="H62" s="33" t="n">
        <x:f>92*IF(AND('Prefill'!$P$11&gt;1,'Prefill'!$P$14=1),1,0)</x:f>
        <x:v>0</x:v>
      </x:c>
      <x:c r="I62" s="34" t="n">
        <x:f>E62*F62/1048576</x:f>
        <x:v>8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'Prefill'!$P$7*'Prefill'!$P$11*8192</x:f>
        <x:v>67108864</x:v>
      </x:c>
      <x:c r="F63" s="33" t="n">
        <x:f>'Prefill'!$P$28</x:f>
        <x:v>2</x:v>
      </x:c>
      <x:c r="G63" s="33" t="n">
        <x:f>'Prefill'!$P$11</x:f>
        <x:v>1</x:v>
      </x:c>
      <x:c r="H63" s="33" t="n">
        <x:f>92*IF(AND('Prefill'!$P$11&gt;1,'Prefill'!$P$14=1),1,0)</x:f>
        <x:v>0</x:v>
      </x:c>
      <x:c r="I63" s="34" t="n">
        <x:f>E63*F63/1048576</x:f>
        <x:v>128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((ROUNDUP('Prefill'!$P$7/'Prefill'!$P$12,0)*'Prefill'!$P$12)/'Prefill'!$P$12)*8192</x:f>
        <x:v>8388608</x:v>
      </x:c>
      <x:c r="F64" s="33" t="n">
        <x:f>'Prefill'!$P$28</x:f>
        <x:v>2</x:v>
      </x:c>
      <x:c r="G64" s="33" t="n">
        <x:f>IF('Prefill'!$P$17="TP",'Prefill'!$P$18,1)</x:f>
        <x:v>8</x:v>
      </x:c>
      <x:c r="H64" s="33" t="n">
        <x:f>92*IF(AND('Prefill'!$P$17="TP",IF('Prefill'!$P$17="TP",'Prefill'!$P$18,1)&gt;1,'Prefill'!$P$13&lt;&gt;0),1,0)</x:f>
        <x:v>92</x:v>
      </x:c>
      <x:c r="I64" s="34" t="n">
        <x:f>E64*F64/1048576</x:f>
        <x:v>16</x:v>
      </x:c>
      <x:c r="J64" s="34" t="n">
        <x:f>I64*(IF(G64&gt;1,G64-1,0))</x:f>
        <x:v>112</x:v>
      </x:c>
      <x:c r="K64" s="34" t="n">
        <x:f>J64*H64</x:f>
        <x:v>10304</x:v>
      </x:c>
      <x:c r="L64" s="34" t="n">
        <x:f>K64*G64</x:f>
        <x:v>82432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(ROUNDUP('Prefill'!$P$7/'Prefill'!$P$12,0)*'Prefill'!$P$12)*8192</x:f>
        <x:v>67108864</x:v>
      </x:c>
      <x:c r="F65" s="33" t="n">
        <x:f>'Prefill'!$P$28</x:f>
        <x:v>2</x:v>
      </x:c>
      <x:c r="G65" s="33" t="n">
        <x:f>IF('Prefill'!$P$17="TP",'Prefill'!$P$18,1)</x:f>
        <x:v>8</x:v>
      </x:c>
      <x:c r="H65" s="33" t="n">
        <x:f>92*IF(AND('Prefill'!$P$17="TP",IF('Prefill'!$P$17="TP",'Prefill'!$P$18,1)&gt;1,'Prefill'!$P$13&lt;&gt;0),1,0)</x:f>
        <x:v>92</x:v>
      </x:c>
      <x:c r="I65" s="34" t="n">
        <x:f>E65*F65/1048576</x:f>
        <x:v>128</x:v>
      </x:c>
      <x:c r="J65" s="34" t="n">
        <x:f>I65*(IF(G65&gt;1,(G65-1)/G65,0))</x:f>
        <x:v>112</x:v>
      </x:c>
      <x:c r="K65" s="34" t="n">
        <x:f>J65*H65</x:f>
        <x:v>10304</x:v>
      </x:c>
      <x:c r="L65" s="34" t="n">
        <x:f>K65*G65</x:f>
        <x:v>82432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'Prefill'!$P$7*8192</x:f>
        <x:v>67108864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92*IF(AND('Prefill'!$P$17="TP",IF('Prefill'!$P$17="TP",'Prefill'!$P$18,1)&gt;1,'Prefill'!$P$13=0),1,0)</x:f>
        <x:v>0</x:v>
      </x:c>
      <x:c r="I66" s="34" t="n">
        <x:f>E66*F66/1048576</x:f>
        <x:v>128</x:v>
      </x:c>
      <x:c r="J66" s="34" t="n">
        <x:f>I66*(IF(G66&gt;1,2*(G66-1)/G66,0))</x:f>
        <x:v>224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PCP</x:v>
      </x:c>
      <x:c r="B67" s="30" t="str">
        <x:v>MoE</x:v>
      </x:c>
      <x:c r="C67" s="30" t="str">
        <x:v>Hidden 输入</x:v>
      </x:c>
      <x:c r="D67" s="30" t="str">
        <x:v>Ring AllGather</x:v>
      </x:c>
      <x:c r="E67" s="33" t="n">
        <x:f>((ROUNDUP('Prefill'!$P$7/'Prefill'!$P$15,0)*'Prefill'!$P$15)/'Prefill'!$P$15)*8192</x:f>
        <x:v>67108864</x:v>
      </x:c>
      <x:c r="F67" s="33" t="n">
        <x:f>'Prefill'!$P$28</x:f>
        <x:v>2</x:v>
      </x:c>
      <x:c r="G67" s="33" t="n">
        <x:f>'Prefill'!$P$15</x:f>
        <x:v>1</x:v>
      </x:c>
      <x:c r="H67" s="33" t="n">
        <x:f>92*IF('Prefill'!$P$15&gt;1,1,0)</x:f>
        <x:v>0</x:v>
      </x:c>
      <x:c r="I67" s="34" t="n">
        <x:f>E67*F67/1048576</x:f>
        <x:v>128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PCP</x:v>
      </x:c>
      <x:c r="B68" s="30" t="str">
        <x:v>MoE Router</x:v>
      </x:c>
      <x:c r="C68" s="30" t="str">
        <x:v>Router Logits</x:v>
      </x:c>
      <x:c r="D68" s="30" t="str">
        <x:v>Ring AllGather</x:v>
      </x:c>
      <x:c r="E68" s="33" t="n">
        <x:f>((ROUNDUP('Prefill'!$P$7/'Prefill'!$P$15,0)*'Prefill'!$P$15)/'Prefill'!$P$15)*512</x:f>
        <x:v>4194304</x:v>
      </x:c>
      <x:c r="F68" s="33" t="n">
        <x:f>'Prefill'!$P$28</x:f>
        <x:v>2</x:v>
      </x:c>
      <x:c r="G68" s="33" t="n">
        <x:f>'Prefill'!$P$15</x:f>
        <x:v>1</x:v>
      </x:c>
      <x:c r="H68" s="33" t="n">
        <x:f>92*IF('Prefill'!$P$15&gt;1,1,0)</x:f>
        <x:v>0</x:v>
      </x:c>
      <x:c r="I68" s="34" t="n">
        <x:f>E68*F68/1048576</x:f>
        <x:v>8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Routed Expert 输出</x:v>
      </x:c>
      <x:c r="D69" s="30" t="str">
        <x:v>Ring ReduceScatter</x:v>
      </x:c>
      <x:c r="E69" s="33" t="n">
        <x:f>(ROUNDUP('Prefill'!$P$7/'Prefill'!$P$15,0)*'Prefill'!$P$15)*8192</x:f>
        <x:v>67108864</x:v>
      </x:c>
      <x:c r="F69" s="33" t="n">
        <x:f>'Prefill'!$P$28</x:f>
        <x:v>2</x:v>
      </x:c>
      <x:c r="G69" s="33" t="n">
        <x:f>'Prefill'!$P$15</x:f>
        <x:v>1</x:v>
      </x:c>
      <x:c r="H69" s="33" t="n">
        <x:f>92*IF('Prefill'!$P$15&gt;1,1,0)</x:f>
        <x:v>0</x:v>
      </x:c>
      <x:c r="I69" s="34" t="n">
        <x:f>E69*F69/1048576</x:f>
        <x:v>128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Attention KV</x:v>
      </x:c>
      <x:c r="C70" s="30" t="str">
        <x:v>KV Cache 写入前</x:v>
      </x:c>
      <x:c r="D70" s="30" t="str">
        <x:v>Ring AllGather</x:v>
      </x:c>
      <x:c r="E70" s="33" t="n">
        <x:f>((ROUNDUP('Prefill'!$P$7/'Prefill'!$P$15,0)*'Prefill'!$P$15)/'Prefill'!$P$15)*2*MAX(1,4/'Prefill'!$P$12)*256</x:f>
        <x:v>4194304</x:v>
      </x:c>
      <x:c r="F70" s="33" t="n">
        <x:f>'Prefill'!$P$28</x:f>
        <x:v>2</x:v>
      </x:c>
      <x:c r="G70" s="33" t="n">
        <x:f>'Prefill'!$P$15</x:f>
        <x:v>1</x:v>
      </x:c>
      <x:c r="H70" s="33" t="n">
        <x:f>23*IF('Prefill'!$P$15&gt;1,1,0)</x:f>
        <x:v>0</x:v>
      </x:c>
      <x:c r="I70" s="34" t="n">
        <x:f>E70*F70/1048576</x:f>
        <x:v>8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SP</x:v>
      </x:c>
      <x:c r="B71" s="30" t="str">
        <x:v>Model Output</x:v>
      </x:c>
      <x:c r="C71" s="30" t="str">
        <x:v>Final Norm 后</x:v>
      </x:c>
      <x:c r="D71" s="30" t="str">
        <x:v>Ring AllGather</x:v>
      </x:c>
      <x:c r="E71" s="33" t="n">
        <x:f>((ROUNDUP('Prefill'!$P$7/'Prefill'!$P$12,0)*'Prefill'!$P$12)/'Prefill'!$P$12)*8192</x:f>
        <x:v>8388608</x:v>
      </x:c>
      <x:c r="F71" s="33" t="n">
        <x:f>'Prefill'!$P$28</x:f>
        <x:v>2</x:v>
      </x:c>
      <x:c r="G71" s="33" t="n">
        <x:f>'Prefill'!$P$12</x:f>
        <x:v>8</x:v>
      </x:c>
      <x:c r="H71" s="33" t="n">
        <x:f>IF(AND('Prefill'!$P$13&lt;&gt;0,'Prefill'!$P$12&gt;1),1,0)</x:f>
        <x:v>1</x:v>
      </x:c>
      <x:c r="I71" s="34" t="n">
        <x:f>E71*F71/1048576</x:f>
        <x:v>16</x:v>
      </x:c>
      <x:c r="J71" s="34" t="n">
        <x:f>I71*(IF(G71&gt;1,G71-1,0))</x:f>
        <x:v>112</x:v>
      </x:c>
      <x:c r="K71" s="34" t="n">
        <x:f>J71*H71</x:f>
        <x:v>112</x:v>
      </x:c>
      <x:c r="L71" s="34" t="n">
        <x:f>K71*G71</x:f>
        <x:v>896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完整 Logits</x:v>
      </x:c>
      <x:c r="D72" s="30" t="str">
        <x:v>Ring AllGather</x:v>
      </x:c>
      <x:c r="E72" s="33" t="n">
        <x:f>'Prefill'!$P$8*248320/IF('Prefill'!$P$20&gt;0,'Prefill'!$P$20,'Prefill'!$P$12)</x:f>
        <x:v>3973120</x:v>
      </x:c>
      <x:c r="F72" s="33" t="n">
        <x:f>'Prefill'!$P$28</x:f>
        <x:v>2</x:v>
      </x:c>
      <x:c r="G72" s="33" t="n">
        <x:f>IF('Prefill'!$P$20&gt;0,'Prefill'!$P$20,'Prefill'!$P$12)</x:f>
        <x:v>8</x:v>
      </x:c>
      <x:c r="H72" s="33" t="n">
        <x:f>IF(AND(IF('Prefill'!$P$20&gt;0,'Prefill'!$P$20,'Prefill'!$P$12)&gt;1,'Prefill'!$P$23=0,'Prefill'!$P$33=0),1,0)</x:f>
        <x:v>0</x:v>
      </x:c>
      <x:c r="I72" s="34" t="n">
        <x:f>E72*F72/1048576</x:f>
        <x:v>7.578125</x:v>
      </x:c>
      <x:c r="J72" s="34" t="n">
        <x:f>I72*(IF(G72&gt;1,G72-1,0))</x:f>
        <x:v>53.046875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LM Head TP</x:v>
      </x:c>
      <x:c r="B73" s="30" t="str">
        <x:v>LM Head</x:v>
      </x:c>
      <x:c r="C73" s="30" t="str">
        <x:v>Reduce Sample</x:v>
      </x:c>
      <x:c r="D73" s="30" t="str">
        <x:v>Ring AllGather</x:v>
      </x:c>
      <x:c r="E73" s="33" t="n">
        <x:f>'Prefill'!$P$8*'Prefill'!$P$34</x:f>
        <x:v>32768</x:v>
      </x:c>
      <x:c r="F73" s="33" t="n">
        <x:f>('Prefill'!$P$28+'Prefill'!$P$31)</x:f>
        <x:v>6</x:v>
      </x:c>
      <x:c r="G73" s="33" t="n">
        <x:f>IF('Prefill'!$P$20&gt;0,'Prefill'!$P$20,'Prefill'!$P$12)</x:f>
        <x:v>8</x:v>
      </x:c>
      <x:c r="H73" s="33" t="n">
        <x:f>IF(AND(IF('Prefill'!$P$20&gt;0,'Prefill'!$P$20,'Prefill'!$P$12)&gt;1,'Prefill'!$P$23=0,'Prefill'!$P$33&lt;&gt;0),1,0)</x:f>
        <x:v>1</x:v>
      </x:c>
      <x:c r="I73" s="34" t="n">
        <x:f>E73*F73/1048576</x:f>
        <x:v>0.1875</x:v>
      </x:c>
      <x:c r="J73" s="34" t="n">
        <x:f>I73*(IF(G73&gt;1,G73-1,0))</x:f>
        <x:v>1.3125</x:v>
      </x:c>
      <x:c r="K73" s="34" t="n">
        <x:f>J73*H73</x:f>
        <x:v>1.3125</x:v>
      </x:c>
      <x:c r="L73" s="34" t="n">
        <x:f>K73*G73</x:f>
        <x:v>10.5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Hidden 输入</x:v>
      </x:c>
      <x:c r="D74" s="30" t="str">
        <x:v>Ring AllGather</x:v>
      </x:c>
      <x:c r="E74" s="33" t="n">
        <x:f>'Prefill'!$P$8*8192</x:f>
        <x:v>1048576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IF(AND(IF('Prefill'!$P$20&gt;0,'Prefill'!$P$20,'Prefill'!$P$12)&gt;1,'Prefill'!$P$23&lt;&gt;0),1,0)</x:f>
        <x:v>0</x:v>
      </x:c>
      <x:c r="I74" s="34" t="n">
        <x:f>E74*F74/1048576</x:f>
        <x:v>2</x:v>
      </x:c>
      <x:c r="J74" s="34" t="n">
        <x:f>I74*(IF(G74&gt;1,G74-1,0))</x:f>
        <x:v>14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完整 Logits</x:v>
      </x:c>
      <x:c r="D75" s="30" t="str">
        <x:v>Equal-split AllToAll</x:v>
      </x:c>
      <x:c r="E75" s="33" t="n">
        <x:f>'Prefill'!$P$8*248320</x:f>
        <x:v>31784960</x:v>
      </x:c>
      <x:c r="F75" s="33" t="n">
        <x:f>'Prefill'!$P$28</x:f>
        <x:v>2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IF(AND(IF('Prefill'!$P$20&gt;0,'Prefill'!$P$20,'Prefill'!$P$12)&gt;1,'Prefill'!$P$23&lt;&gt;0,'Prefill'!$P$33=0),1,0)</x:f>
        <x:v>0</x:v>
      </x:c>
      <x:c r="I75" s="34" t="n">
        <x:f>E75*F75/1048576</x:f>
        <x:v>60.625</x:v>
      </x:c>
      <x:c r="J75" s="34" t="n">
        <x:f>I75*(IF(G75&gt;1,(G75-1)/G75,0))</x:f>
        <x:v>53.046875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Reduce Sample</x:v>
      </x:c>
      <x:c r="D76" s="30" t="str">
        <x:v>Ring AllGather</x:v>
      </x:c>
      <x:c r="E76" s="33" t="n">
        <x:f>'Prefill'!$P$8*'Prefill'!$P$34</x:f>
        <x:v>32768</x:v>
      </x:c>
      <x:c r="F76" s="33" t="n">
        <x:f>('Prefill'!$P$28+'Prefill'!$P$31)</x:f>
        <x:v>6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IF(AND(IF('Prefill'!$P$20&gt;0,'Prefill'!$P$20,'Prefill'!$P$12)&gt;1,'Prefill'!$P$23&lt;&gt;0,'Prefill'!$P$33&lt;&gt;0),1,0)</x:f>
        <x:v>0</x:v>
      </x:c>
      <x:c r="I76" s="34" t="n">
        <x:f>E76*F76/1048576</x:f>
        <x:v>0.1875</x:v>
      </x:c>
      <x:c r="J76" s="34" t="n">
        <x:f>I76*(IF(G76&gt;1,G76-1,0))</x:f>
        <x:v>1.3125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40" t="str">
        <x:v>合计</x:v>
      </x:c>
      <x:c r="B77" s="40"/>
      <x:c r="C77" s="40"/>
      <x:c r="D77" s="40"/>
      <x:c r="E77" s="40"/>
      <x:c r="F77" s="40"/>
      <x:c r="G77" s="40"/>
      <x:c r="H77" s="40"/>
      <x:c r="I77" s="41"/>
      <x:c r="J77" s="41"/>
      <x:c r="K77" s="41" t="n">
        <x:f>SUM(K51:K76)</x:f>
        <x:v>67313.3125</x:v>
      </x:c>
      <x:c r="L77" s="41" t="n">
        <x:f>SUM(L51:L76)</x:f>
        <x:v>538506.5</x:v>
      </x:c>
      <x:c r="M77" s="30"/>
      <x:c r="N77" s="30"/>
      <x:c r="O77" s="30"/>
      <x:c r="P77" s="30"/>
    </x:row>
    <x:row r="80" ht="15" customHeight="1">
      <x:c r="A80" s="40" t="str">
        <x:v>PD 带宽争用耗时评估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15" customHeight="1">
      <x:c r="A81" s="30" t="str">
        <x:v>Prefill 当前表参数；100 GB/s 为归一化示例。所列事件的带宽项，不等于完整 forward 耗时。</x:v>
      </x:c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</x:row>
    <x:row r="82" ht="30" customHeight="1">
      <x:c r="A82" s="62" t="str">
        <x:v>带宽降幅</x:v>
      </x:c>
      <x:c r="B82" s="62" t="str">
        <x:v>输入</x:v>
      </x:c>
      <x:c r="C82" s="62" t="str">
        <x:v>争用覆盖率</x:v>
      </x:c>
      <x:c r="D82" s="62" t="str">
        <x:v>输入</x:v>
      </x:c>
      <x:c r="E82" s="62" t="str">
        <x:v>基线 forward ms</x:v>
      </x:c>
      <x:c r="F82" s="62" t="str">
        <x:v>实测输入</x:v>
      </x:c>
      <x:c r="G82" s="62" t="str">
        <x:v>默认带宽 GB/s</x:v>
      </x:c>
      <x:c r="H82" s="62" t="str">
        <x:v>输入</x:v>
      </x:c>
      <x:c r="I82" s="30"/>
      <x:c r="J82" s="30"/>
      <x:c r="K82" s="30"/>
      <x:c r="L82" s="30"/>
    </x:row>
    <x:row r="83" ht="15" customHeight="1">
      <x:c r="A83" s="30"/>
      <x:c r="B83" s="63" t="n">
        <x:v>0.1</x:v>
      </x:c>
      <x:c r="C83" s="30"/>
      <x:c r="D83" s="63" t="n">
        <x:v>1</x:v>
      </x:c>
      <x:c r="E83" s="30"/>
      <x:c r="F83" s="38"/>
      <x:c r="G83" s="30"/>
      <x:c r="H83" s="36" t="n">
        <x:v>100</x:v>
      </x:c>
      <x:c r="I83" s="30"/>
      <x:c r="J83" s="30"/>
      <x:c r="K83" s="30"/>
      <x:c r="L83" s="30"/>
    </x:row>
    <x:row r="84" ht="30" customHeight="1">
      <x:c r="A84" s="62" t="str">
        <x:v>通信基线 ms</x:v>
      </x:c>
      <x:c r="B84" s="62" t="str">
        <x:v>结果</x:v>
      </x:c>
      <x:c r="C84" s="62" t="str">
        <x:v>通信争用后 ms</x:v>
      </x:c>
      <x:c r="D84" s="62" t="str">
        <x:v>结果</x:v>
      </x:c>
      <x:c r="E84" s="62" t="str">
        <x:v>forward 增量 ms</x:v>
      </x:c>
      <x:c r="F84" s="62" t="str">
        <x:v>结果</x:v>
      </x:c>
      <x:c r="G84" s="62" t="str">
        <x:v>forward 新耗时 ms</x:v>
      </x:c>
      <x:c r="H84" s="62" t="str">
        <x:v>结果</x:v>
      </x:c>
      <x:c r="I84" s="62" t="str">
        <x:v>forward 增幅</x:v>
      </x:c>
      <x:c r="J84" s="62" t="str">
        <x:v>结果</x:v>
      </x:c>
      <x:c r="K84" s="62" t="str">
        <x:v>输入状态</x:v>
      </x:c>
      <x:c r="L84" s="62" t="str">
        <x:v>状态</x:v>
      </x:c>
    </x:row>
    <x:row r="85" ht="15" customHeight="1">
      <x:c r="A85" s="49"/>
      <x:c r="B85" s="49" t="n">
        <x:f>SUM(G89:G115)</x:f>
        <x:v>705.8444288</x:v>
      </x:c>
      <x:c r="C85" s="49"/>
      <x:c r="D85" s="49" t="n">
        <x:f>SUM(H89:H115)</x:f>
        <x:v>784.2715875555556</x:v>
      </x:c>
      <x:c r="E85" s="49"/>
      <x:c r="F85" s="49" t="n">
        <x:f>SUM(K89:K115)</x:f>
        <x:v>78.4271587555556</x:v>
      </x:c>
      <x:c r="G85" s="49"/>
      <x:c r="H85" s="49" t="str">
        <x:f>IF(AND(ISNUMBER($F$83),$F$83&gt;0,$F$83&gt;=SUMPRODUCT(G89:G115,J89:J115)),$F$83+F85,"")</x:f>
      </x:c>
      <x:c r="I85" s="49"/>
      <x:c r="J85" s="50" t="str">
        <x:f>IF(AND(ISNUMBER($F$83),$F$83&gt;0,$F$83&gt;=SUMPRODUCT(G89:G115,J89:J115)),F85/$F$83,"")</x:f>
      </x:c>
      <x:c r="K85" s="49"/>
      <x:c r="L85" s="49" t="str">
        <x:f>IF($F$83="","待填基线",IF(AND(ISNUMBER($F$83),$F$83&gt;0,$F$83&gt;=SUMPRODUCT(G89:G115,J89:J115)),"已填基线","基线/暴露不一致"))</x:f>
        <x:v>待填基线</x:v>
      </x:c>
    </x:row>
    <x:row r="86" ht="15" customHeight="1">
      <x:c r="A86" s="30" t="str">
        <x:v>共享比例=0 表示独立链路；暴露系数=0 表示增量完全隐藏。默认均为 1，降幅只作用于带宽项。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15" customHeight="1">
      <x:c r="A87" s="30" t="str">
        <x:v>P: AllToAllV + 4 B 计数 Ring；D: A3 BF16 MC2 FullMesh。每事件带宽按端点发送量定义。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</x:row>
    <x:row r="88" ht="30" customHeight="1">
      <x:c r="A88" s="62" t="str">
        <x:v>并行域</x:v>
      </x:c>
      <x:c r="B88" s="62" t="str">
        <x:v>模块</x:v>
      </x:c>
      <x:c r="C88" s="62" t="str">
        <x:v>通信事件</x:v>
      </x:c>
      <x:c r="D88" s="62" t="str">
        <x:v>GB/Rank/Step</x:v>
      </x:c>
      <x:c r="E88" s="62" t="str">
        <x:v>有效带宽 GB/s</x:v>
      </x:c>
      <x:c r="F88" s="62" t="str">
        <x:v>共享比例</x:v>
      </x:c>
      <x:c r="G88" s="62" t="str">
        <x:v>基线带宽项 ms</x:v>
      </x:c>
      <x:c r="H88" s="62" t="str">
        <x:v>争用后带宽项 ms</x:v>
      </x:c>
      <x:c r="I88" s="62" t="str">
        <x:v>通信增量 ms</x:v>
      </x:c>
      <x:c r="J88" s="62" t="str">
        <x:v>暴露系数</x:v>
      </x:c>
      <x:c r="K88" s="62" t="str">
        <x:v>forward 增量 ms</x:v>
      </x:c>
      <x:c r="L88" s="62" t="str">
        <x:v>公式口径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标准 TP 输出</x:v>
      </x:c>
      <x:c r="D89" s="34" t="n">
        <x:f>(K51*2^20)/1e9</x:f>
        <x:v>0.234881024</x:v>
      </x:c>
      <x:c r="E89" s="64" t="n">
        <x:f>$H$83</x:f>
        <x:v>100</x:v>
      </x:c>
      <x:c r="F89" s="59" t="n">
        <x:v>1</x:v>
      </x:c>
      <x:c r="G89" s="34" t="n">
        <x:f>IF(AND(ISNUMBER(E89),E89&gt;0,ISNUMBER($B$83),$B$83&gt;=0,$B$83&lt;1,ISNUMBER($D$83),$D$83&gt;=0,$D$83&lt;=1,ISNUMBER(F89),F89&gt;=0,F89&lt;=1,ISNUMBER(J89),J89&gt;=0,J89&lt;=1),D89/E89*1000,NA())</x:f>
        <x:v>2.34881024</x:v>
      </x:c>
      <x:c r="H89" s="34" t="n">
        <x:f>G89+I89</x:f>
        <x:v>2.6097891555555557</x:v>
      </x:c>
      <x:c r="I89" s="34" t="n">
        <x:f>G89*F89*$D$83*$B$83/(1-$B$83)</x:f>
        <x:v>0.2609789155555556</x:v>
      </x:c>
      <x:c r="J89" s="59" t="n">
        <x:v>1</x:v>
      </x:c>
      <x:c r="K89" s="34" t="n">
        <x:f>I89*J89</x:f>
        <x:v>0.2609789155555556</x:v>
      </x:c>
      <x:c r="L89" s="30" t="str">
        <x:v>原通信行 51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Token ID</x:v>
      </x:c>
      <x:c r="D90" s="34" t="n">
        <x:f>(K52*2^20)/1e9</x:f>
        <x:v>0</x:v>
      </x:c>
      <x:c r="E90" s="64" t="n">
        <x:f>$H$83</x:f>
        <x:v>100</x:v>
      </x:c>
      <x:c r="F90" s="59" t="n">
        <x:v>1</x:v>
      </x:c>
      <x:c r="G90" s="34" t="n">
        <x:f>IF(AND(ISNUMBER(E90),E90&gt;0,ISNUMBER($B$83),$B$83&gt;=0,$B$83&lt;1,ISNUMBER($D$83),$D$83&gt;=0,$D$83&lt;=1,ISNUMBER(F90),F90&gt;=0,F90&lt;=1,ISNUMBER(J90),J90&gt;=0,J90&lt;=1),D90/E90*1000,NA())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G90*F90*$D$83*$B$83/(1-$B$83)</x:f>
        <x:v>0</x:v>
      </x:c>
      <x:c r="J90" s="59" t="n">
        <x:v>1</x:v>
      </x:c>
      <x:c r="K90" s="34" t="n">
        <x:f>I90*J90</x:f>
        <x:v>0</x:v>
      </x:c>
      <x:c r="L90" s="30" t="str">
        <x:v>原通信行 52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Fine TP Hidden</x:v>
      </x:c>
      <x:c r="D91" s="34" t="n">
        <x:f>(K53*2^20)/1e9</x:f>
        <x:v>0</x:v>
      </x:c>
      <x:c r="E91" s="64" t="n">
        <x:f>$H$83</x:f>
        <x:v>100</x:v>
      </x:c>
      <x:c r="F91" s="59" t="n">
        <x:v>1</x:v>
      </x:c>
      <x:c r="G91" s="34" t="n">
        <x:f>IF(AND(ISNUMBER(E91),E91&gt;0,ISNUMBER($B$83),$B$83&gt;=0,$B$83&lt;1,ISNUMBER($D$83),$D$83&gt;=0,$D$83&lt;=1,ISNUMBER(F91),F91&gt;=0,F91&lt;=1,ISNUMBER(J91),J91&gt;=0,J91&lt;=1),D91/E91*1000,NA())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G91*F91*$D$83*$B$83/(1-$B$83)</x:f>
        <x:v>0</x:v>
      </x:c>
      <x:c r="J91" s="59" t="n">
        <x:v>1</x:v>
      </x:c>
      <x:c r="K91" s="34" t="n">
        <x:f>I91*J91</x:f>
        <x:v>0</x:v>
      </x:c>
      <x:c r="L91" s="30" t="str">
        <x:v>原通信行 53</x:v>
      </x:c>
    </x:row>
    <x:row r="92" ht="15" customHeight="1">
      <x:c r="A92" s="30" t="str">
        <x:v>SP</x:v>
      </x:c>
      <x:c r="B92" s="30" t="str">
        <x:v>Attention</x:v>
      </x:c>
      <x:c r="C92" s="30" t="str">
        <x:v>Attention 前</x:v>
      </x:c>
      <x:c r="D92" s="34" t="n">
        <x:f>(K54*2^20)/1e9</x:f>
        <x:v>10.804527104</x:v>
      </x:c>
      <x:c r="E92" s="64" t="n">
        <x:f>$H$83</x:f>
        <x:v>100</x:v>
      </x:c>
      <x:c r="F92" s="59" t="n">
        <x:v>1</x:v>
      </x:c>
      <x:c r="G92" s="34" t="n">
        <x:f>IF(AND(ISNUMBER(E92),E92&gt;0,ISNUMBER($B$83),$B$83&gt;=0,$B$83&lt;1,ISNUMBER($D$83),$D$83&gt;=0,$D$83&lt;=1,ISNUMBER(F92),F92&gt;=0,F92&lt;=1,ISNUMBER(J92),J92&gt;=0,J92&lt;=1),D92/E92*1000,NA())</x:f>
        <x:v>108.04527104</x:v>
      </x:c>
      <x:c r="H92" s="34" t="n">
        <x:f>G92+I92</x:f>
        <x:v>120.05030115555556</x:v>
      </x:c>
      <x:c r="I92" s="34" t="n">
        <x:f>G92*F92*$D$83*$B$83/(1-$B$83)</x:f>
        <x:v>12.005030115555558</x:v>
      </x:c>
      <x:c r="J92" s="59" t="n">
        <x:v>1</x:v>
      </x:c>
      <x:c r="K92" s="34" t="n">
        <x:f>I92*J92</x:f>
        <x:v>12.005030115555558</x:v>
      </x:c>
      <x:c r="L92" s="30" t="str">
        <x:v>原通信行 54</x:v>
      </x:c>
    </x:row>
    <x:row r="93" ht="15" customHeight="1">
      <x:c r="A93" s="30" t="str">
        <x:v>SP</x:v>
      </x:c>
      <x:c r="B93" s="30" t="str">
        <x:v>Attention</x:v>
      </x:c>
      <x:c r="C93" s="30" t="str">
        <x:v>O Proj 后</x:v>
      </x:c>
      <x:c r="D93" s="34" t="n">
        <x:f>(K55*2^20)/1e9</x:f>
        <x:v>10.804527104</x:v>
      </x:c>
      <x:c r="E93" s="64" t="n">
        <x:f>$H$83</x:f>
        <x:v>100</x:v>
      </x:c>
      <x:c r="F93" s="59" t="n">
        <x:v>1</x:v>
      </x:c>
      <x:c r="G93" s="34" t="n">
        <x:f>IF(AND(ISNUMBER(E93),E93&gt;0,ISNUMBER($B$83),$B$83&gt;=0,$B$83&lt;1,ISNUMBER($D$83),$D$83&gt;=0,$D$83&lt;=1,ISNUMBER(F93),F93&gt;=0,F93&lt;=1,ISNUMBER(J93),J93&gt;=0,J93&lt;=1),D93/E93*1000,NA())</x:f>
        <x:v>108.04527104</x:v>
      </x:c>
      <x:c r="H93" s="34" t="n">
        <x:f>G93+I93</x:f>
        <x:v>120.05030115555556</x:v>
      </x:c>
      <x:c r="I93" s="34" t="n">
        <x:f>G93*F93*$D$83*$B$83/(1-$B$83)</x:f>
        <x:v>12.005030115555558</x:v>
      </x:c>
      <x:c r="J93" s="59" t="n">
        <x:v>1</x:v>
      </x:c>
      <x:c r="K93" s="34" t="n">
        <x:f>I93*J93</x:f>
        <x:v>12.005030115555558</x:v>
      </x:c>
      <x:c r="L93" s="30" t="str">
        <x:v>原通信行 55</x:v>
      </x:c>
    </x:row>
    <x:row r="94" ht="15" customHeight="1">
      <x:c r="A94" s="30" t="str">
        <x:v>O Proj TP</x:v>
      </x:c>
      <x:c r="B94" s="30" t="str">
        <x:v>Attention</x:v>
      </x:c>
      <x:c r="C94" s="30" t="str">
        <x:v>非 SP 标准 TP</x:v>
      </x:c>
      <x:c r="D94" s="34" t="n">
        <x:f>(K56*2^20)/1e9</x:f>
        <x:v>0</x:v>
      </x:c>
      <x:c r="E94" s="64" t="n">
        <x:f>$H$83</x:f>
        <x:v>100</x:v>
      </x:c>
      <x:c r="F94" s="59" t="n">
        <x:v>1</x:v>
      </x:c>
      <x:c r="G94" s="34" t="n">
        <x:f>IF(AND(ISNUMBER(E94),E94&gt;0,ISNUMBER($B$83),$B$83&gt;=0,$B$83&lt;1,ISNUMBER($D$83),$D$83&gt;=0,$D$83&lt;=1,ISNUMBER(F94),F94&gt;=0,F94&lt;=1,ISNUMBER(J94),J94&gt;=0,J94&lt;=1),D94/E94*1000,NA())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G94*F94*$D$83*$B$83/(1-$B$83)</x:f>
        <x:v>0</x:v>
      </x:c>
      <x:c r="J94" s="59" t="n">
        <x:v>1</x:v>
      </x:c>
      <x:c r="K94" s="34" t="n">
        <x:f>I94*J94</x:f>
        <x:v>0</x:v>
      </x:c>
      <x:c r="L94" s="30" t="str">
        <x:v>原通信行 56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输入</x:v>
      </x:c>
      <x:c r="D95" s="34" t="n">
        <x:f>(K57*2^20)/1e9</x:f>
        <x:v>0</x:v>
      </x:c>
      <x:c r="E95" s="64" t="n">
        <x:f>$H$83</x:f>
        <x:v>100</x:v>
      </x:c>
      <x:c r="F95" s="59" t="n">
        <x:v>1</x:v>
      </x:c>
      <x:c r="G95" s="34" t="n">
        <x:f>IF(AND(ISNUMBER(E95),E95&gt;0,ISNUMBER($B$83),$B$83&gt;=0,$B$83&lt;1,ISNUMBER($D$83),$D$83&gt;=0,$D$83&lt;=1,ISNUMBER(F95),F95&gt;=0,F95&lt;=1,ISNUMBER(J95),J95&gt;=0,J95&lt;=1),D95/E95*1000,NA())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G95*F95*$D$83*$B$83/(1-$B$83)</x:f>
        <x:v>0</x:v>
      </x:c>
      <x:c r="J95" s="59" t="n">
        <x:v>1</x:v>
      </x:c>
      <x:c r="K95" s="34" t="n">
        <x:f>I95*J95</x:f>
        <x:v>0</x:v>
      </x:c>
      <x:c r="L95" s="30" t="str">
        <x:v>原通信行 57</x:v>
      </x:c>
    </x:row>
    <x:row r="96" ht="15" customHeight="1">
      <x:c r="A96" s="30" t="str">
        <x:v>Fine O TP</x:v>
      </x:c>
      <x:c r="B96" s="30" t="str">
        <x:v>Attention</x:v>
      </x:c>
      <x:c r="C96" s="30" t="str">
        <x:v>O Proj 输出</x:v>
      </x:c>
      <x:c r="D96" s="34" t="n">
        <x:f>(K58*2^20)/1e9</x:f>
        <x:v>0</x:v>
      </x:c>
      <x:c r="E96" s="64" t="n">
        <x:f>$H$83</x:f>
        <x:v>100</x:v>
      </x:c>
      <x:c r="F96" s="59" t="n">
        <x:v>1</x:v>
      </x:c>
      <x:c r="G96" s="34" t="n">
        <x:f>IF(AND(ISNUMBER(E96),E96&gt;0,ISNUMBER($B$83),$B$83&gt;=0,$B$83&lt;1,ISNUMBER($D$83),$D$83&gt;=0,$D$83&lt;=1,ISNUMBER(F96),F96&gt;=0,F96&lt;=1,ISNUMBER(J96),J96&gt;=0,J96&lt;=1),D96/E96*1000,NA())</x:f>
        <x:v>0</x:v>
      </x:c>
      <x:c r="H96" s="34" t="n">
        <x:f>G96+I96</x:f>
        <x:v>0</x:v>
      </x:c>
      <x:c r="I96" s="34" t="n">
        <x:f>G96*F96*$D$83*$B$83/(1-$B$83)</x:f>
        <x:v>0</x:v>
      </x:c>
      <x:c r="J96" s="59" t="n">
        <x:v>1</x:v>
      </x:c>
      <x:c r="K96" s="34" t="n">
        <x:f>I96*J96</x:f>
        <x:v>0</x:v>
      </x:c>
      <x:c r="L96" s="30" t="str">
        <x:v>原通信行 58</x:v>
      </x:c>
    </x:row>
    <x:row r="97" ht="15" customHeight="1">
      <x:c r="A97" s="30" t="str">
        <x:v>EP</x:v>
      </x:c>
      <x:c r="B97" s="30" t="str">
        <x:v>Routed Experts</x:v>
      </x:c>
      <x:c r="C97" s="30" t="str">
        <x:v>Dispatch Hidden</x:v>
      </x:c>
      <x:c r="D97" s="34" t="n">
        <x:f>(K59*2^20)/1e9</x:f>
        <x:v>13.50565888</x:v>
      </x:c>
      <x:c r="E97" s="64" t="n">
        <x:f>$H$83</x:f>
        <x:v>100</x:v>
      </x:c>
      <x:c r="F97" s="59" t="n">
        <x:v>1</x:v>
      </x:c>
      <x:c r="G97" s="34" t="n">
        <x:f>IF(AND(ISNUMBER(E97),E97&gt;0,ISNUMBER($B$83),$B$83&gt;=0,$B$83&lt;1,ISNUMBER($D$83),$D$83&gt;=0,$D$83&lt;=1,ISNUMBER(F97),F97&gt;=0,F97&lt;=1,ISNUMBER(J97),J97&gt;=0,J97&lt;=1),D97/E97*1000,NA())</x:f>
        <x:v>135.05658880000001</x:v>
      </x:c>
      <x:c r="H97" s="34" t="n">
        <x:f>G97+I97</x:f>
        <x:v>150.06287644444447</x:v>
      </x:c>
      <x:c r="I97" s="34" t="n">
        <x:f>G97*F97*$D$83*$B$83/(1-$B$83)</x:f>
        <x:v>15.006287644444447</x:v>
      </x:c>
      <x:c r="J97" s="59" t="n">
        <x:v>1</x:v>
      </x:c>
      <x:c r="K97" s="34" t="n">
        <x:f>I97*J97</x:f>
        <x:v>15.006287644444447</x:v>
      </x:c>
      <x:c r="L97" s="30" t="str">
        <x:v>原通信行 59</x:v>
      </x:c>
    </x:row>
    <x:row r="98" ht="15" customHeight="1">
      <x:c r="A98" s="30" t="str">
        <x:v>EP</x:v>
      </x:c>
      <x:c r="B98" s="30" t="str">
        <x:v>Routed Experts</x:v>
      </x:c>
      <x:c r="C98" s="30" t="str">
        <x:v>Combine Hidden</x:v>
      </x:c>
      <x:c r="D98" s="34" t="n">
        <x:f>(K60*2^20)/1e9</x:f>
        <x:v>13.50565888</x:v>
      </x:c>
      <x:c r="E98" s="64" t="n">
        <x:f>$H$83</x:f>
        <x:v>100</x:v>
      </x:c>
      <x:c r="F98" s="59" t="n">
        <x:v>1</x:v>
      </x:c>
      <x:c r="G98" s="34" t="n">
        <x:f>IF(AND(ISNUMBER(E98),E98&gt;0,ISNUMBER($B$83),$B$83&gt;=0,$B$83&lt;1,ISNUMBER($D$83),$D$83&gt;=0,$D$83&lt;=1,ISNUMBER(F98),F98&gt;=0,F98&lt;=1,ISNUMBER(J98),J98&gt;=0,J98&lt;=1),D98/E98*1000,NA())</x:f>
        <x:v>135.05658880000001</x:v>
      </x:c>
      <x:c r="H98" s="34" t="n">
        <x:f>G98+I98</x:f>
        <x:v>150.06287644444447</x:v>
      </x:c>
      <x:c r="I98" s="34" t="n">
        <x:f>G98*F98*$D$83*$B$83/(1-$B$83)</x:f>
        <x:v>15.006287644444447</x:v>
      </x:c>
      <x:c r="J98" s="59" t="n">
        <x:v>1</x:v>
      </x:c>
      <x:c r="K98" s="34" t="n">
        <x:f>I98*J98</x:f>
        <x:v>15.006287644444447</x:v>
      </x:c>
      <x:c r="L98" s="30" t="str">
        <x:v>原通信行 60</x:v>
      </x:c>
    </x:row>
    <x:row r="99" ht="15" customHeight="1">
      <x:c r="A99" s="30" t="str">
        <x:v>DP</x:v>
      </x:c>
      <x:c r="B99" s="30" t="str">
        <x:v>MoE</x:v>
      </x:c>
      <x:c r="C99" s="30" t="str">
        <x:v>Hidden 输入</x:v>
      </x:c>
      <x:c r="D99" s="34" t="n">
        <x:f>(K61*2^20)/1e9</x:f>
        <x:v>0</x:v>
      </x:c>
      <x:c r="E99" s="64" t="n">
        <x:f>$H$83</x:f>
        <x:v>100</x:v>
      </x:c>
      <x:c r="F99" s="59" t="n">
        <x:v>1</x:v>
      </x:c>
      <x:c r="G99" s="34" t="n">
        <x:f>IF(AND(ISNUMBER(E99),E99&gt;0,ISNUMBER($B$83),$B$83&gt;=0,$B$83&lt;1,ISNUMBER($D$83),$D$83&gt;=0,$D$83&lt;=1,ISNUMBER(F99),F99&gt;=0,F99&lt;=1,ISNUMBER(J99),J99&gt;=0,J99&lt;=1),D99/E99*1000,NA())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G99*F99*$D$83*$B$83/(1-$B$83)</x:f>
        <x:v>0</x:v>
      </x:c>
      <x:c r="J99" s="59" t="n">
        <x:v>1</x:v>
      </x:c>
      <x:c r="K99" s="34" t="n">
        <x:f>I99*J99</x:f>
        <x:v>0</x:v>
      </x:c>
      <x:c r="L99" s="30" t="str">
        <x:v>原通信行 61</x:v>
      </x:c>
    </x:row>
    <x:row r="100" ht="15" customHeight="1">
      <x:c r="A100" s="30" t="str">
        <x:v>DP</x:v>
      </x:c>
      <x:c r="B100" s="30" t="str">
        <x:v>MoE Router</x:v>
      </x:c>
      <x:c r="C100" s="30" t="str">
        <x:v>Router Logits</x:v>
      </x:c>
      <x:c r="D100" s="34" t="n">
        <x:f>(K62*2^20)/1e9</x:f>
        <x:v>0</x:v>
      </x:c>
      <x:c r="E100" s="64" t="n">
        <x:f>$H$83</x:f>
        <x:v>100</x:v>
      </x:c>
      <x:c r="F100" s="59" t="n">
        <x:v>1</x:v>
      </x:c>
      <x:c r="G100" s="34" t="n">
        <x:f>IF(AND(ISNUMBER(E100),E100&gt;0,ISNUMBER($B$83),$B$83&gt;=0,$B$83&lt;1,ISNUMBER($D$83),$D$83&gt;=0,$D$83&lt;=1,ISNUMBER(F100),F100&gt;=0,F100&lt;=1,ISNUMBER(J100),J100&gt;=0,J100&lt;=1),D100/E100*1000,NA())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G100*F100*$D$83*$B$83/(1-$B$83)</x:f>
        <x:v>0</x:v>
      </x:c>
      <x:c r="J100" s="59" t="n">
        <x:v>1</x:v>
      </x:c>
      <x:c r="K100" s="34" t="n">
        <x:f>I100*J100</x:f>
        <x:v>0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Routed Expert 输出</x:v>
      </x:c>
      <x:c r="D101" s="34" t="n">
        <x:f>(K63*2^20)/1e9</x:f>
        <x:v>0</x:v>
      </x:c>
      <x:c r="E101" s="64" t="n">
        <x:f>$H$83</x:f>
        <x:v>100</x:v>
      </x:c>
      <x:c r="F101" s="59" t="n">
        <x:v>1</x:v>
      </x:c>
      <x:c r="G101" s="34" t="n">
        <x:f>IF(AND(ISNUMBER(E101),E101&gt;0,ISNUMBER($B$83),$B$83&gt;=0,$B$83&lt;1,ISNUMBER($D$83),$D$83&gt;=0,$D$83&lt;=1,ISNUMBER(F101),F101&gt;=0,F101&lt;=1,ISNUMBER(J101),J101&gt;=0,J101&lt;=1),D101/E101*1000,NA())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G101*F101*$D$83*$B$83/(1-$B$83)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输入</x:v>
      </x:c>
      <x:c r="D102" s="34" t="n">
        <x:f>(K64*2^20)/1e9</x:f>
        <x:v>10.804527104</x:v>
      </x:c>
      <x:c r="E102" s="64" t="n">
        <x:f>$H$83</x:f>
        <x:v>100</x:v>
      </x:c>
      <x:c r="F102" s="59" t="n">
        <x:v>1</x:v>
      </x:c>
      <x:c r="G102" s="34" t="n">
        <x:f>IF(AND(ISNUMBER(E102),E102&gt;0,ISNUMBER($B$83),$B$83&gt;=0,$B$83&lt;1,ISNUMBER($D$83),$D$83&gt;=0,$D$83&lt;=1,ISNUMBER(F102),F102&gt;=0,F102&lt;=1,ISNUMBER(J102),J102&gt;=0,J102&lt;=1),D102/E102*1000,NA())</x:f>
        <x:v>108.04527104</x:v>
      </x:c>
      <x:c r="H102" s="34" t="n">
        <x:f>G102+I102</x:f>
        <x:v>120.05030115555556</x:v>
      </x:c>
      <x:c r="I102" s="34" t="n">
        <x:f>G102*F102*$D$83*$B$83/(1-$B$83)</x:f>
        <x:v>12.005030115555558</x:v>
      </x:c>
      <x:c r="J102" s="59" t="n">
        <x:v>1</x:v>
      </x:c>
      <x:c r="K102" s="34" t="n">
        <x:f>I102*J102</x:f>
        <x:v>12.005030115555558</x:v>
      </x:c>
      <x:c r="L102" s="30" t="str">
        <x:v>原通信行 64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SP 输出</x:v>
      </x:c>
      <x:c r="D103" s="34" t="n">
        <x:f>(K65*2^20)/1e9</x:f>
        <x:v>10.804527104</x:v>
      </x:c>
      <x:c r="E103" s="64" t="n">
        <x:f>$H$83</x:f>
        <x:v>100</x:v>
      </x:c>
      <x:c r="F103" s="59" t="n">
        <x:v>1</x:v>
      </x:c>
      <x:c r="G103" s="34" t="n">
        <x:f>IF(AND(ISNUMBER(E103),E103&gt;0,ISNUMBER($B$83),$B$83&gt;=0,$B$83&lt;1,ISNUMBER($D$83),$D$83&gt;=0,$D$83&lt;=1,ISNUMBER(F103),F103&gt;=0,F103&lt;=1,ISNUMBER(J103),J103&gt;=0,J103&lt;=1),D103/E103*1000,NA())</x:f>
        <x:v>108.04527104</x:v>
      </x:c>
      <x:c r="H103" s="34" t="n">
        <x:f>G103+I103</x:f>
        <x:v>120.05030115555556</x:v>
      </x:c>
      <x:c r="I103" s="34" t="n">
        <x:f>G103*F103*$D$83*$B$83/(1-$B$83)</x:f>
        <x:v>12.005030115555558</x:v>
      </x:c>
      <x:c r="J103" s="59" t="n">
        <x:v>1</x:v>
      </x:c>
      <x:c r="K103" s="34" t="n">
        <x:f>I103*J103</x:f>
        <x:v>12.005030115555558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非 SP 输出</x:v>
      </x:c>
      <x:c r="D104" s="34" t="n">
        <x:f>(K66*2^20)/1e9</x:f>
        <x:v>0</x:v>
      </x:c>
      <x:c r="E104" s="64" t="n">
        <x:f>$H$83</x:f>
        <x:v>100</x:v>
      </x:c>
      <x:c r="F104" s="59" t="n">
        <x:v>1</x:v>
      </x:c>
      <x:c r="G104" s="34" t="n">
        <x:f>IF(AND(ISNUMBER(E104),E104&gt;0,ISNUMBER($B$83),$B$83&gt;=0,$B$83&lt;1,ISNUMBER($D$83),$D$83&gt;=0,$D$83&lt;=1,ISNUMBER(F104),F104&gt;=0,F104&lt;=1,ISNUMBER(J104),J104&gt;=0,J104&lt;=1),D104/E104*1000,NA())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G104*F104*$D$83*$B$83/(1-$B$83)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PCP</x:v>
      </x:c>
      <x:c r="B105" s="30" t="str">
        <x:v>MoE</x:v>
      </x:c>
      <x:c r="C105" s="30" t="str">
        <x:v>Hidden 输入</x:v>
      </x:c>
      <x:c r="D105" s="34" t="n">
        <x:f>(K67*2^20)/1e9</x:f>
        <x:v>0</x:v>
      </x:c>
      <x:c r="E105" s="64" t="n">
        <x:f>$H$83</x:f>
        <x:v>100</x:v>
      </x:c>
      <x:c r="F105" s="59" t="n">
        <x:v>1</x:v>
      </x:c>
      <x:c r="G105" s="34" t="n">
        <x:f>IF(AND(ISNUMBER(E105),E105&gt;0,ISNUMBER($B$83),$B$83&gt;=0,$B$83&lt;1,ISNUMBER($D$83),$D$83&gt;=0,$D$83&lt;=1,ISNUMBER(F105),F105&gt;=0,F105&lt;=1,ISNUMBER(J105),J105&gt;=0,J105&lt;=1),D105/E105*1000,NA())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G105*F105*$D$83*$B$83/(1-$B$83)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PCP</x:v>
      </x:c>
      <x:c r="B106" s="30" t="str">
        <x:v>MoE Router</x:v>
      </x:c>
      <x:c r="C106" s="30" t="str">
        <x:v>Router Logits</x:v>
      </x:c>
      <x:c r="D106" s="34" t="n">
        <x:f>(K68*2^20)/1e9</x:f>
        <x:v>0</x:v>
      </x:c>
      <x:c r="E106" s="64" t="n">
        <x:f>$H$83</x:f>
        <x:v>100</x:v>
      </x:c>
      <x:c r="F106" s="59" t="n">
        <x:v>1</x:v>
      </x:c>
      <x:c r="G106" s="34" t="n">
        <x:f>IF(AND(ISNUMBER(E106),E106&gt;0,ISNUMBER($B$83),$B$83&gt;=0,$B$83&lt;1,ISNUMBER($D$83),$D$83&gt;=0,$D$83&lt;=1,ISNUMBER(F106),F106&gt;=0,F106&lt;=1,ISNUMBER(J106),J106&gt;=0,J106&lt;=1),D106/E106*1000,NA())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G106*F106*$D$83*$B$83/(1-$B$83)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Routed Expert 输出</x:v>
      </x:c>
      <x:c r="D107" s="34" t="n">
        <x:f>(K69*2^20)/1e9</x:f>
        <x:v>0</x:v>
      </x:c>
      <x:c r="E107" s="64" t="n">
        <x:f>$H$83</x:f>
        <x:v>100</x:v>
      </x:c>
      <x:c r="F107" s="59" t="n">
        <x:v>1</x:v>
      </x:c>
      <x:c r="G107" s="34" t="n">
        <x:f>IF(AND(ISNUMBER(E107),E107&gt;0,ISNUMBER($B$83),$B$83&gt;=0,$B$83&lt;1,ISNUMBER($D$83),$D$83&gt;=0,$D$83&lt;=1,ISNUMBER(F107),F107&gt;=0,F107&lt;=1,ISNUMBER(J107),J107&gt;=0,J107&lt;=1),D107/E107*1000,NA())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G107*F107*$D$83*$B$83/(1-$B$83)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Attention KV</x:v>
      </x:c>
      <x:c r="C108" s="30" t="str">
        <x:v>KV Cache 写入前</x:v>
      </x:c>
      <x:c r="D108" s="34" t="n">
        <x:f>(K70*2^20)/1e9</x:f>
        <x:v>0</x:v>
      </x:c>
      <x:c r="E108" s="64" t="n">
        <x:f>$H$83</x:f>
        <x:v>100</x:v>
      </x:c>
      <x:c r="F108" s="59" t="n">
        <x:v>1</x:v>
      </x:c>
      <x:c r="G108" s="34" t="n">
        <x:f>IF(AND(ISNUMBER(E108),E108&gt;0,ISNUMBER($B$83),$B$83&gt;=0,$B$83&lt;1,ISNUMBER($D$83),$D$83&gt;=0,$D$83&lt;=1,ISNUMBER(F108),F108&gt;=0,F108&lt;=1,ISNUMBER(J108),J108&gt;=0,J108&lt;=1),D108/E108*1000,NA())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G108*F108*$D$83*$B$83/(1-$B$83)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SP</x:v>
      </x:c>
      <x:c r="B109" s="30" t="str">
        <x:v>Model Output</x:v>
      </x:c>
      <x:c r="C109" s="30" t="str">
        <x:v>Final Norm 后</x:v>
      </x:c>
      <x:c r="D109" s="34" t="n">
        <x:f>(K71*2^20)/1e9</x:f>
        <x:v>0.117440512</x:v>
      </x:c>
      <x:c r="E109" s="64" t="n">
        <x:f>$H$83</x:f>
        <x:v>100</x:v>
      </x:c>
      <x:c r="F109" s="59" t="n">
        <x:v>1</x:v>
      </x:c>
      <x:c r="G109" s="34" t="n">
        <x:f>IF(AND(ISNUMBER(E109),E109&gt;0,ISNUMBER($B$83),$B$83&gt;=0,$B$83&lt;1,ISNUMBER($D$83),$D$83&gt;=0,$D$83&lt;=1,ISNUMBER(F109),F109&gt;=0,F109&lt;=1,ISNUMBER(J109),J109&gt;=0,J109&lt;=1),D109/E109*1000,NA())</x:f>
        <x:v>1.17440512</x:v>
      </x:c>
      <x:c r="H109" s="34" t="n">
        <x:f>G109+I109</x:f>
        <x:v>1.3048945777777778</x:v>
      </x:c>
      <x:c r="I109" s="34" t="n">
        <x:f>G109*F109*$D$83*$B$83/(1-$B$83)</x:f>
        <x:v>0.1304894577777778</x:v>
      </x:c>
      <x:c r="J109" s="59" t="n">
        <x:v>1</x:v>
      </x:c>
      <x:c r="K109" s="34" t="n">
        <x:f>I109*J109</x:f>
        <x:v>0.1304894577777778</x:v>
      </x:c>
      <x:c r="L109" s="30" t="str">
        <x:v>原通信行 71</x:v>
      </x:c>
    </x:row>
    <x:row r="110" ht="15" customHeight="1">
      <x:c r="A110" s="30" t="str">
        <x:v>LM Head TP</x:v>
      </x:c>
      <x:c r="B110" s="30" t="str">
        <x:v>LM Head</x:v>
      </x:c>
      <x:c r="C110" s="30" t="str">
        <x:v>完整 Logits</x:v>
      </x:c>
      <x:c r="D110" s="34" t="n">
        <x:f>(K72*2^20)/1e9</x:f>
        <x:v>0</x:v>
      </x:c>
      <x:c r="E110" s="64" t="n">
        <x:f>$H$83</x:f>
        <x:v>100</x:v>
      </x:c>
      <x:c r="F110" s="59" t="n">
        <x:v>1</x:v>
      </x:c>
      <x:c r="G110" s="34" t="n">
        <x:f>IF(AND(ISNUMBER(E110),E110&gt;0,ISNUMBER($B$83),$B$83&gt;=0,$B$83&lt;1,ISNUMBER($D$83),$D$83&gt;=0,$D$83&lt;=1,ISNUMBER(F110),F110&gt;=0,F110&lt;=1,ISNUMBER(J110),J110&gt;=0,J110&lt;=1),D110/E110*1000,NA())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G110*F110*$D$83*$B$83/(1-$B$83)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LM Head TP</x:v>
      </x:c>
      <x:c r="B111" s="30" t="str">
        <x:v>LM Head</x:v>
      </x:c>
      <x:c r="C111" s="30" t="str">
        <x:v>Reduce Sample</x:v>
      </x:c>
      <x:c r="D111" s="34" t="n">
        <x:f>(K73*2^20)/1e9</x:f>
        <x:v>0.001376256</x:v>
      </x:c>
      <x:c r="E111" s="64" t="n">
        <x:f>$H$83</x:f>
        <x:v>100</x:v>
      </x:c>
      <x:c r="F111" s="59" t="n">
        <x:v>1</x:v>
      </x:c>
      <x:c r="G111" s="34" t="n">
        <x:f>IF(AND(ISNUMBER(E111),E111&gt;0,ISNUMBER($B$83),$B$83&gt;=0,$B$83&lt;1,ISNUMBER($D$83),$D$83&gt;=0,$D$83&lt;=1,ISNUMBER(F111),F111&gt;=0,F111&lt;=1,ISNUMBER(J111),J111&gt;=0,J111&lt;=1),D111/E111*1000,NA())</x:f>
        <x:v>0.01376256</x:v>
      </x:c>
      <x:c r="H111" s="34" t="n">
        <x:f>G111+I111</x:f>
        <x:v>0.015291733333333333</x:v>
      </x:c>
      <x:c r="I111" s="34" t="n">
        <x:f>G111*F111*$D$83*$B$83/(1-$B$83)</x:f>
        <x:v>0.0015291733333333336</x:v>
      </x:c>
      <x:c r="J111" s="59" t="n">
        <x:v>1</x:v>
      </x:c>
      <x:c r="K111" s="34" t="n">
        <x:f>I111*J111</x:f>
        <x:v>0.0015291733333333336</x:v>
      </x:c>
      <x:c r="L111" s="30" t="str">
        <x:v>原通信行 73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Hidden 输入</x:v>
      </x:c>
      <x:c r="D112" s="34" t="n">
        <x:f>(K74*2^20)/1e9</x:f>
        <x:v>0</x:v>
      </x:c>
      <x:c r="E112" s="64" t="n">
        <x:f>$H$83</x:f>
        <x:v>100</x:v>
      </x:c>
      <x:c r="F112" s="59" t="n">
        <x:v>1</x:v>
      </x:c>
      <x:c r="G112" s="34" t="n">
        <x:f>IF(AND(ISNUMBER(E112),E112&gt;0,ISNUMBER($B$83),$B$83&gt;=0,$B$83&lt;1,ISNUMBER($D$83),$D$83&gt;=0,$D$83&lt;=1,ISNUMBER(F112),F112&gt;=0,F112&lt;=1,ISNUMBER(J112),J112&gt;=0,J112&lt;=1),D112/E112*1000,NA())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G112*F112*$D$83*$B$83/(1-$B$83)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Fine LM Head TP</x:v>
      </x:c>
      <x:c r="B113" s="30" t="str">
        <x:v>LM Head</x:v>
      </x:c>
      <x:c r="C113" s="30" t="str">
        <x:v>完整 Logits</x:v>
      </x:c>
      <x:c r="D113" s="34" t="n">
        <x:f>(K75*2^20)/1e9</x:f>
        <x:v>0</x:v>
      </x:c>
      <x:c r="E113" s="64" t="n">
        <x:f>$H$83</x:f>
        <x:v>100</x:v>
      </x:c>
      <x:c r="F113" s="59" t="n">
        <x:v>1</x:v>
      </x:c>
      <x:c r="G113" s="34" t="n">
        <x:f>IF(AND(ISNUMBER(E113),E113&gt;0,ISNUMBER($B$83),$B$83&gt;=0,$B$83&lt;1,ISNUMBER($D$83),$D$83&gt;=0,$D$83&lt;=1,ISNUMBER(F113),F113&gt;=0,F113&lt;=1,ISNUMBER(J113),J113&gt;=0,J113&lt;=1),D113/E113*1000,NA())</x:f>
        <x:v>0</x:v>
      </x:c>
      <x:c r="H113" s="34" t="n">
        <x:f>G113+I113</x:f>
        <x:v>0</x:v>
      </x:c>
      <x:c r="I113" s="34" t="n">
        <x:f>G113*F113*$D$83*$B$83/(1-$B$83)</x:f>
        <x:v>0</x:v>
      </x:c>
      <x:c r="J113" s="59" t="n">
        <x:v>1</x:v>
      </x:c>
      <x:c r="K113" s="34" t="n">
        <x:f>I113*J113</x:f>
        <x:v>0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Reduce Sample</x:v>
      </x:c>
      <x:c r="D114" s="34" t="n">
        <x:f>(K76*2^20)/1e9</x:f>
        <x:v>0</x:v>
      </x:c>
      <x:c r="E114" s="64" t="n">
        <x:f>$H$83</x:f>
        <x:v>100</x:v>
      </x:c>
      <x:c r="F114" s="59" t="n">
        <x:v>1</x:v>
      </x:c>
      <x:c r="G114" s="34" t="n">
        <x:f>IF(AND(ISNUMBER(E114),E114&gt;0,ISNUMBER($B$83),$B$83&gt;=0,$B$83&lt;1,ISNUMBER($D$83),$D$83&gt;=0,$D$83&lt;=1,ISNUMBER(F114),F114&gt;=0,F114&lt;=1,ISNUMBER(J114),J114&gt;=0,J114&lt;=1),D114/E114*1000,NA())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G114*F114*$D$83*$B$83/(1-$B$83)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EP</x:v>
      </x:c>
      <x:c r="B115" s="30" t="str">
        <x:v>MoE 计数</x:v>
      </x:c>
      <x:c r="C115" s="30" t="str">
        <x:v>直方图 Ring AG</x:v>
      </x:c>
      <x:c r="D115" s="34" t="n">
        <x:f>(IF(E59=0,0,H59*ROUNDUP(512/G59,0)*G59*4*(G59-1)))/1e9</x:f>
        <x:v>0.001318912</x:v>
      </x:c>
      <x:c r="E115" s="64" t="n">
        <x:f>$H$83</x:f>
        <x:v>100</x:v>
      </x:c>
      <x:c r="F115" s="59" t="n">
        <x:v>1</x:v>
      </x:c>
      <x:c r="G115" s="34" t="n">
        <x:f>IF(AND(ISNUMBER(E115),E115&gt;0,ISNUMBER($B$83),$B$83&gt;=0,$B$83&lt;1,ISNUMBER($D$83),$D$83&gt;=0,$D$83&lt;=1,ISNUMBER(F115),F115&gt;=0,F115&lt;=1,ISNUMBER(J115),J115&gt;=0,J115&lt;=1),D115/E115*1000,NA())</x:f>
        <x:v>0.01318912</x:v>
      </x:c>
      <x:c r="H115" s="34" t="n">
        <x:f>G115+I115</x:f>
        <x:v>0.014654577777777778</x:v>
      </x:c>
      <x:c r="I115" s="34" t="n">
        <x:f>G115*F115*$D$83*$B$83/(1-$B$83)</x:f>
        <x:v>0.001465457777777778</x:v>
      </x:c>
      <x:c r="J115" s="59" t="n">
        <x:v>1</x:v>
      </x:c>
      <x:c r="K115" s="34" t="n">
        <x:f>I115*J115</x:f>
        <x:v>0.001465457777777778</x:v>
      </x:c>
      <x:c r="L115" s="30" t="str">
        <x:v>额外控制量</x:v>
      </x:c>
    </x:row>
    <x:row r="116" ht="15" customHeight="1">
      <x:c r="A116" s="40" t="str">
        <x:v>所列事件串行相加</x:v>
      </x:c>
      <x:c r="B116" s="40"/>
      <x:c r="C116" s="40"/>
      <x:c r="D116" s="41" t="n">
        <x:f>SUM(D89:D115)</x:f>
        <x:v>70.58444288</x:v>
      </x:c>
      <x:c r="E116" s="40"/>
      <x:c r="F116" s="40"/>
      <x:c r="G116" s="41" t="n">
        <x:f>SUM(G89:G115)</x:f>
        <x:v>705.8444288</x:v>
      </x:c>
      <x:c r="H116" s="41" t="n">
        <x:f>SUM(H89:H115)</x:f>
        <x:v>784.2715875555556</x:v>
      </x:c>
      <x:c r="I116" s="41" t="n">
        <x:f>SUM(I89:I115)</x:f>
        <x:v>78.4271587555556</x:v>
      </x:c>
      <x:c r="J116" s="40"/>
      <x:c r="K116" s="41" t="n">
        <x:f>SUM(K89:K115)</x:f>
        <x:v>78.4271587555556</x:v>
      </x:c>
      <x:c r="L116" s="40"/>
    </x:row>
  </x:sheetData>
  <x:conditionalFormatting sqref="L85:L8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'Decode'!$P$12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'Decode'!$P$12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'Decode'!$P$12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IF('Decode'!$P$19&gt;0,'Decode'!$P$19,'Decode'!$P$12)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'Decode'!$P$12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'Decode'!$P$12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/>
      <x:c r="P15" s="35"/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'Decode'!$P$12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'Decode'!$P$12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'Decode'!$P$12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'Decode'!$P$12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'Decode'!$P$14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'Decode'!$P$12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'Decode'!$P$12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'Decode'!$P$14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'Decode'!$P$7*8192</x:f>
        <x:v>2097152</x:v>
      </x:c>
      <x:c r="F51" s="33" t="n">
        <x:f>'Decode'!$P$28</x:f>
        <x:v>2</x:v>
      </x:c>
      <x:c r="G51" s="33" t="n">
        <x:f>IF('Decode'!$P$21&gt;0,'Decode'!$P$21,'Decode'!$P$12)</x:f>
        <x:v>8</x:v>
      </x:c>
      <x:c r="H51" s="33" t="n">
        <x:f>IF(AND(IF('Decode'!$P$21&gt;0,'Decode'!$P$21,'Decode'!$P$12)&gt;1,'Decode'!$P$24=0),1,0)</x:f>
        <x:v>1</x:v>
      </x:c>
      <x:c r="I51" s="34" t="n">
        <x:f>E51*F51/1048576</x:f>
        <x:v>4</x:v>
      </x:c>
      <x:c r="J51" s="34" t="n">
        <x:f>I51*(IF(G51&gt;1,2*(G51-1)/G51,0))</x:f>
        <x:v>7</x:v>
      </x:c>
      <x:c r="K51" s="34" t="n">
        <x:f>J51*H51</x:f>
        <x:v>7</x:v>
      </x:c>
      <x:c r="L51" s="34" t="n">
        <x:f>K51*G51</x:f>
        <x:v>56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'Decode'!$P$7</x:f>
        <x:v>256</x:v>
      </x:c>
      <x:c r="F52" s="33" t="n">
        <x:f>'Decode'!$P$30</x:f>
        <x:v>8</x:v>
      </x:c>
      <x:c r="G52" s="33" t="n">
        <x:f>IF('Decode'!$P$21&gt;0,'Decode'!$P$21,'Decode'!$P$12)</x:f>
        <x:v>8</x:v>
      </x:c>
      <x:c r="H52" s="33" t="n">
        <x:f>IF(AND(IF('Decode'!$P$21&gt;0,'Decode'!$P$21,'Decode'!$P$12)&gt;1,'Decode'!$P$24&lt;&gt;0),1,0)</x:f>
        <x:v>0</x:v>
      </x:c>
      <x:c r="I52" s="34" t="n">
        <x:f>E52*F52/1048576</x:f>
        <x:v>0.001953125</x:v>
      </x:c>
      <x:c r="J52" s="34" t="n">
        <x:f>I52*(IF(G52&gt;1,G52-1,0))</x:f>
        <x:v>0.013671875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'Decode'!$P$7*IF('Decode'!$P$21&gt;0,'Decode'!$P$21,'Decode'!$P$12)*8192</x:f>
        <x:v>16777216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IF(AND(IF('Decode'!$P$21&gt;0,'Decode'!$P$21,'Decode'!$P$12)&gt;1,'Decode'!$P$24&lt;&gt;0),1,0)</x:f>
        <x:v>0</x:v>
      </x:c>
      <x:c r="I53" s="34" t="n">
        <x:f>E53*F53/1048576</x:f>
        <x:v>32</x:v>
      </x:c>
      <x:c r="J53" s="34" t="n">
        <x:f>I53*(IF(G53&gt;1,(G53-1)/G53,0))</x:f>
        <x:v>28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((ROUNDUP('Decode'!$P$7/'Decode'!$P$12,0)*'Decode'!$P$12)/'Decode'!$P$12)*8192</x:f>
        <x:v>262144</x:v>
      </x:c>
      <x:c r="F54" s="33" t="n">
        <x:f>'Decode'!$P$28</x:f>
        <x:v>2</x:v>
      </x:c>
      <x:c r="G54" s="33" t="n">
        <x:f>'Decode'!$P$12</x:f>
        <x:v>8</x:v>
      </x:c>
      <x:c r="H54" s="33" t="n">
        <x:f>92*IF(AND('Decode'!$P$13&lt;&gt;0,'Decode'!$P$12&gt;1,'Decode'!$P$22=0),1,0)</x:f>
        <x:v>92</x:v>
      </x:c>
      <x:c r="I54" s="34" t="n">
        <x:f>E54*F54/1048576</x:f>
        <x:v>0.5</x:v>
      </x:c>
      <x:c r="J54" s="34" t="n">
        <x:f>I54*(IF(G54&gt;1,G54-1,0))</x:f>
        <x:v>3.5</x:v>
      </x:c>
      <x:c r="K54" s="34" t="n">
        <x:f>J54*H54</x:f>
        <x:v>322</x:v>
      </x:c>
      <x:c r="L54" s="34" t="n">
        <x:f>K54*G54</x:f>
        <x:v>2576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(ROUNDUP('Decode'!$P$7/'Decode'!$P$12,0)*'Decode'!$P$12)*8192</x:f>
        <x:v>2097152</x:v>
      </x:c>
      <x:c r="F55" s="33" t="n">
        <x:f>'Decode'!$P$28</x:f>
        <x:v>2</x:v>
      </x:c>
      <x:c r="G55" s="33" t="n">
        <x:f>'Decode'!$P$12</x:f>
        <x:v>8</x:v>
      </x:c>
      <x:c r="H55" s="33" t="n">
        <x:f>92*IF(AND('Decode'!$P$13&lt;&gt;0,'Decode'!$P$12&gt;1,'Decode'!$P$22=0),1,0)</x:f>
        <x:v>92</x:v>
      </x:c>
      <x:c r="I55" s="34" t="n">
        <x:f>E55*F55/1048576</x:f>
        <x:v>4</x:v>
      </x:c>
      <x:c r="J55" s="34" t="n">
        <x:f>I55*(IF(G55&gt;1,(G55-1)/G55,0))</x:f>
        <x:v>3.5</x:v>
      </x:c>
      <x:c r="K55" s="34" t="n">
        <x:f>J55*H55</x:f>
        <x:v>322</x:v>
      </x:c>
      <x:c r="L55" s="34" t="n">
        <x:f>K55*G55</x:f>
        <x:v>2576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'Decode'!$P$7*8192</x:f>
        <x:v>2097152</x:v>
      </x:c>
      <x:c r="F56" s="33" t="n">
        <x:f>'Decode'!$P$28</x:f>
        <x:v>2</x:v>
      </x:c>
      <x:c r="G56" s="33" t="n">
        <x:f>IF('Decode'!$P$19&gt;0,'Decode'!$P$19,'Decode'!$P$12)</x:f>
        <x:v>8</x:v>
      </x:c>
      <x:c r="H56" s="33" t="n">
        <x:f>92*IF(AND('Decode'!$P$13=0,IF('Decode'!$P$19&gt;0,'Decode'!$P$19,'Decode'!$P$12)&gt;1,'Decode'!$P$22=0),1,0)</x:f>
        <x:v>0</x:v>
      </x:c>
      <x:c r="I56" s="34" t="n">
        <x:f>E56*F56/1048576</x:f>
        <x:v>4</x:v>
      </x:c>
      <x:c r="J56" s="34" t="n">
        <x:f>I56*(IF(G56&gt;1,2*(G56-1)/G56,0))</x:f>
        <x:v>7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'Decode'!$P$7*16384</x:f>
        <x:v>4194304</x:v>
      </x:c>
      <x:c r="F57" s="33" t="n">
        <x:f>'Decode'!$P$28</x:f>
        <x:v>2</x:v>
      </x:c>
      <x:c r="G57" s="33" t="n">
        <x:f>IF('Decode'!$P$19&gt;0,'Decode'!$P$19,'Decode'!$P$12)</x:f>
        <x:v>8</x:v>
      </x:c>
      <x:c r="H57" s="33" t="n">
        <x:f>92*IF(AND(IF('Decode'!$P$19&gt;0,'Decode'!$P$19,'Decode'!$P$12)&gt;1,'Decode'!$P$22&lt;&gt;0),1,0)</x:f>
        <x:v>0</x:v>
      </x:c>
      <x:c r="I57" s="34" t="n">
        <x:f>E57*F57/1048576</x:f>
        <x:v>8</x:v>
      </x:c>
      <x:c r="J57" s="34" t="n">
        <x:f>I57*(IF(G57&gt;1,(G57-1)/G57,0))</x:f>
        <x:v>7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'Decode'!$P$7*IF('Decode'!$P$19&gt;0,'Decode'!$P$19,'Decode'!$P$12)*8192</x:f>
        <x:v>16777216</x:v>
      </x:c>
      <x:c r="F58" s="33" t="n">
        <x:f>'Decode'!$P$28</x:f>
        <x:v>2</x:v>
      </x:c>
      <x:c r="G58" s="33" t="n">
        <x:f>IF('Decode'!$P$19&gt;0,'Decode'!$P$19,'Decode'!$P$12)</x:f>
        <x:v>8</x:v>
      </x:c>
      <x:c r="H58" s="33" t="n">
        <x:f>92*IF(AND(IF('Decode'!$P$19&gt;0,'Decode'!$P$19,'Decode'!$P$12)&gt;1,'Decode'!$P$22&lt;&gt;0),1,0)</x:f>
        <x:v>0</x:v>
      </x:c>
      <x:c r="I58" s="34" t="n">
        <x:f>E58*F58/1048576</x:f>
        <x:v>32</x:v>
      </x:c>
      <x:c r="J58" s="34" t="n">
        <x:f>I58*(IF(G58&gt;1,(G58-1)/G58,0))</x:f>
        <x:v>28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IF('Decode'!$P$13&lt;&gt;0,((ROUNDUP('Decode'!$P$7/'Decode'!$P$12,0)*'Decode'!$P$12)/'Decode'!$P$12),'Decode'!$P$7)*10*'Decode'!$P$32*8192</x:f>
        <x:v>2293760</x:v>
      </x:c>
      <x:c r="F59" s="33" t="n">
        <x:f>'Decode'!$P$28</x:f>
        <x:v>2</x:v>
      </x:c>
      <x:c r="G59" s="33" t="n">
        <x:f>'Decode'!$P$14</x:f>
        <x:v>8</x:v>
      </x:c>
      <x:c r="H59" s="33" t="n">
        <x:f>92*IF('Decode'!$P$14&gt;1,1,0)</x:f>
        <x:v>92</x:v>
      </x:c>
      <x:c r="I59" s="34" t="n">
        <x:f>E59*F59/1048576</x:f>
        <x:v>4.375</x:v>
      </x:c>
      <x:c r="J59" s="34" t="n">
        <x:f>I59*(1)</x:f>
        <x:v>4.375</x:v>
      </x:c>
      <x:c r="K59" s="34" t="n">
        <x:f>J59*H59</x:f>
        <x:v>402.5</x:v>
      </x:c>
      <x:c r="L59" s="34" t="n">
        <x:f>K59*G59</x:f>
        <x:v>3220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IF('Decode'!$P$13&lt;&gt;0,((ROUNDUP('Decode'!$P$7/'Decode'!$P$12,0)*'Decode'!$P$12)/'Decode'!$P$12),'Decode'!$P$7)*10*'Decode'!$P$32*8192</x:f>
        <x:v>2293760</x:v>
      </x:c>
      <x:c r="F60" s="33" t="n">
        <x:f>'Decode'!$P$28</x:f>
        <x:v>2</x:v>
      </x:c>
      <x:c r="G60" s="33" t="n">
        <x:f>'Decode'!$P$14</x:f>
        <x:v>8</x:v>
      </x:c>
      <x:c r="H60" s="33" t="n">
        <x:f>92*IF('Decode'!$P$14&gt;1,1,0)</x:f>
        <x:v>92</x:v>
      </x:c>
      <x:c r="I60" s="34" t="n">
        <x:f>E60*F60/1048576</x:f>
        <x:v>4.375</x:v>
      </x:c>
      <x:c r="J60" s="34" t="n">
        <x:f>I60*(1)</x:f>
        <x:v>4.375</x:v>
      </x:c>
      <x:c r="K60" s="34" t="n">
        <x:f>J60*H60</x:f>
        <x:v>402.5</x:v>
      </x:c>
      <x:c r="L60" s="34" t="n">
        <x:f>K60*G60</x:f>
        <x:v>3220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'Decode'!$P$7*8192</x:f>
        <x:v>2097152</x:v>
      </x:c>
      <x:c r="F61" s="33" t="n">
        <x:f>'Decode'!$P$28</x:f>
        <x:v>2</x:v>
      </x:c>
      <x:c r="G61" s="33" t="n">
        <x:f>'Decode'!$P$11</x:f>
        <x:v>1</x:v>
      </x:c>
      <x:c r="H61" s="33" t="n">
        <x:f>92*IF(AND('Decode'!$P$11&gt;1,'Decode'!$P$14=1),1,0)</x:f>
        <x:v>0</x:v>
      </x:c>
      <x:c r="I61" s="34" t="n">
        <x:f>E61*F61/1048576</x:f>
        <x:v>4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'Decode'!$P$7*512</x:f>
        <x:v>131072</x:v>
      </x:c>
      <x:c r="F62" s="33" t="n">
        <x:f>'Decode'!$P$28</x:f>
        <x:v>2</x:v>
      </x:c>
      <x:c r="G62" s="33" t="n">
        <x:f>'Decode'!$P$11</x:f>
        <x:v>1</x:v>
      </x:c>
      <x:c r="H62" s="33" t="n">
        <x:f>92*IF(AND('Decode'!$P$11&gt;1,'Decode'!$P$14=1),1,0)</x:f>
        <x:v>0</x:v>
      </x:c>
      <x:c r="I62" s="34" t="n">
        <x:f>E62*F62/1048576</x:f>
        <x:v>0.25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'Decode'!$P$7*'Decode'!$P$11*8192</x:f>
        <x:v>2097152</x:v>
      </x:c>
      <x:c r="F63" s="33" t="n">
        <x:f>'Decode'!$P$28</x:f>
        <x:v>2</x:v>
      </x:c>
      <x:c r="G63" s="33" t="n">
        <x:f>'Decode'!$P$11</x:f>
        <x:v>1</x:v>
      </x:c>
      <x:c r="H63" s="33" t="n">
        <x:f>92*IF(AND('Decode'!$P$11&gt;1,'Decode'!$P$14=1),1,0)</x:f>
        <x:v>0</x:v>
      </x:c>
      <x:c r="I63" s="34" t="n">
        <x:f>E63*F63/1048576</x:f>
        <x:v>4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((ROUNDUP('Decode'!$P$7/'Decode'!$P$12,0)*'Decode'!$P$12)/'Decode'!$P$12)*8192</x:f>
        <x:v>262144</x:v>
      </x:c>
      <x:c r="F64" s="33" t="n">
        <x:f>'Decode'!$P$28</x:f>
        <x:v>2</x:v>
      </x:c>
      <x:c r="G64" s="33" t="n">
        <x:f>IF('Decode'!$P$17="TP",'Decode'!$P$18,1)</x:f>
        <x:v>8</x:v>
      </x:c>
      <x:c r="H64" s="33" t="n">
        <x:f>92*IF(AND('Decode'!$P$17="TP",IF('Decode'!$P$17="TP",'Decode'!$P$18,1)&gt;1,'Decode'!$P$13&lt;&gt;0),1,0)</x:f>
        <x:v>92</x:v>
      </x:c>
      <x:c r="I64" s="34" t="n">
        <x:f>E64*F64/1048576</x:f>
        <x:v>0.5</x:v>
      </x:c>
      <x:c r="J64" s="34" t="n">
        <x:f>I64*(IF(G64&gt;1,G64-1,0))</x:f>
        <x:v>3.5</x:v>
      </x:c>
      <x:c r="K64" s="34" t="n">
        <x:f>J64*H64</x:f>
        <x:v>322</x:v>
      </x:c>
      <x:c r="L64" s="34" t="n">
        <x:f>K64*G64</x:f>
        <x:v>2576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(ROUNDUP('Decode'!$P$7/'Decode'!$P$12,0)*'Decode'!$P$12)*8192</x:f>
        <x:v>2097152</x:v>
      </x:c>
      <x:c r="F65" s="33" t="n">
        <x:f>'Decode'!$P$28</x:f>
        <x:v>2</x:v>
      </x:c>
      <x:c r="G65" s="33" t="n">
        <x:f>IF('Decode'!$P$17="TP",'Decode'!$P$18,1)</x:f>
        <x:v>8</x:v>
      </x:c>
      <x:c r="H65" s="33" t="n">
        <x:f>92*IF(AND('Decode'!$P$17="TP",IF('Decode'!$P$17="TP",'Decode'!$P$18,1)&gt;1,'Decode'!$P$13&lt;&gt;0),1,0)</x:f>
        <x:v>92</x:v>
      </x:c>
      <x:c r="I65" s="34" t="n">
        <x:f>E65*F65/1048576</x:f>
        <x:v>4</x:v>
      </x:c>
      <x:c r="J65" s="34" t="n">
        <x:f>I65*(IF(G65&gt;1,(G65-1)/G65,0))</x:f>
        <x:v>3.5</x:v>
      </x:c>
      <x:c r="K65" s="34" t="n">
        <x:f>J65*H65</x:f>
        <x:v>322</x:v>
      </x:c>
      <x:c r="L65" s="34" t="n">
        <x:f>K65*G65</x:f>
        <x:v>2576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'Decode'!$P$7*8192</x:f>
        <x:v>2097152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92*IF(AND('Decode'!$P$17="TP",IF('Decode'!$P$17="TP",'Decode'!$P$18,1)&gt;1,'Decode'!$P$13=0),1,0)</x:f>
        <x:v>0</x:v>
      </x:c>
      <x:c r="I66" s="34" t="n">
        <x:f>E66*F66/1048576</x:f>
        <x:v>4</x:v>
      </x:c>
      <x:c r="J66" s="34" t="n">
        <x:f>I66*(IF(G66&gt;1,2*(G66-1)/G66,0))</x:f>
        <x:v>7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DCP</x:v>
      </x:c>
      <x:c r="B67" s="30" t="str">
        <x:v>Attention</x:v>
      </x:c>
      <x:c r="C67" s="30" t="str">
        <x:v>Query</x:v>
      </x:c>
      <x:c r="D67" s="30" t="str">
        <x:v>Ring AllGather</x:v>
      </x:c>
      <x:c r="E67" s="33" t="n">
        <x:f>'Decode'!$P$7*(64/'Decode'!$P$12)*256</x:f>
        <x:v>524288</x:v>
      </x:c>
      <x:c r="F67" s="33" t="n">
        <x:f>'Decode'!$P$28</x:f>
        <x:v>2</x:v>
      </x:c>
      <x:c r="G67" s="33" t="n">
        <x:f>'Decode'!$P$16</x:f>
        <x:v>1</x:v>
      </x:c>
      <x:c r="H67" s="33" t="n">
        <x:f>23*IF('Decode'!$P$16&gt;1,1,0)</x:f>
        <x:v>0</x:v>
      </x:c>
      <x:c r="I67" s="34" t="n">
        <x:f>E67*F67/1048576</x:f>
        <x:v>1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DCP</x:v>
      </x:c>
      <x:c r="B68" s="30" t="str">
        <x:v>Attention</x:v>
      </x:c>
      <x:c r="C68" s="30" t="str">
        <x:v>LSE</x:v>
      </x:c>
      <x:c r="D68" s="30" t="str">
        <x:v>Ring AllGather</x:v>
      </x:c>
      <x:c r="E68" s="33" t="n">
        <x:f>'Decode'!$P$7*(64*'Decode'!$P$16/'Decode'!$P$12)</x:f>
        <x:v>2048</x:v>
      </x:c>
      <x:c r="F68" s="33" t="n">
        <x:f>'Decode'!$P$29</x:f>
        <x:v>4</x:v>
      </x:c>
      <x:c r="G68" s="33" t="n">
        <x:f>'Decode'!$P$16</x:f>
        <x:v>1</x:v>
      </x:c>
      <x:c r="H68" s="33" t="n">
        <x:f>23*IF('Decode'!$P$16&gt;1,1,0)</x:f>
        <x:v>0</x:v>
      </x:c>
      <x:c r="I68" s="34" t="n">
        <x:f>E68*F68/1048576</x:f>
        <x:v>0.0078125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DCP</x:v>
      </x:c>
      <x:c r="B69" s="30" t="str">
        <x:v>Attention</x:v>
      </x:c>
      <x:c r="C69" s="30" t="str">
        <x:v>Attention 输出</x:v>
      </x:c>
      <x:c r="D69" s="30" t="str">
        <x:v>Ring ReduceScatter</x:v>
      </x:c>
      <x:c r="E69" s="33" t="n">
        <x:f>'Decode'!$P$7*(64*'Decode'!$P$16/'Decode'!$P$12)*256</x:f>
        <x:v>524288</x:v>
      </x:c>
      <x:c r="F69" s="33" t="n">
        <x:f>'Decode'!$P$28</x:f>
        <x:v>2</x:v>
      </x:c>
      <x:c r="G69" s="33" t="n">
        <x:f>'Decode'!$P$16</x:f>
        <x:v>1</x:v>
      </x:c>
      <x:c r="H69" s="33" t="n">
        <x:f>23*IF('Decode'!$P$16&gt;1,1,0)</x:f>
        <x:v>0</x:v>
      </x:c>
      <x:c r="I69" s="34" t="n">
        <x:f>E69*F69/1048576</x:f>
        <x:v>1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SP</x:v>
      </x:c>
      <x:c r="B70" s="30" t="str">
        <x:v>Model Output</x:v>
      </x:c>
      <x:c r="C70" s="30" t="str">
        <x:v>Final Norm 后</x:v>
      </x:c>
      <x:c r="D70" s="30" t="str">
        <x:v>Ring AllGather</x:v>
      </x:c>
      <x:c r="E70" s="33" t="n">
        <x:f>((ROUNDUP('Decode'!$P$7/'Decode'!$P$12,0)*'Decode'!$P$12)/'Decode'!$P$12)*8192</x:f>
        <x:v>262144</x:v>
      </x:c>
      <x:c r="F70" s="33" t="n">
        <x:f>'Decode'!$P$28</x:f>
        <x:v>2</x:v>
      </x:c>
      <x:c r="G70" s="33" t="n">
        <x:f>'Decode'!$P$12</x:f>
        <x:v>8</x:v>
      </x:c>
      <x:c r="H70" s="33" t="n">
        <x:f>IF(AND('Decode'!$P$13&lt;&gt;0,'Decode'!$P$12&gt;1),1,0)</x:f>
        <x:v>1</x:v>
      </x:c>
      <x:c r="I70" s="34" t="n">
        <x:f>E70*F70/1048576</x:f>
        <x:v>0.5</x:v>
      </x:c>
      <x:c r="J70" s="34" t="n">
        <x:f>I70*(IF(G70&gt;1,G70-1,0))</x:f>
        <x:v>3.5</x:v>
      </x:c>
      <x:c r="K70" s="34" t="n">
        <x:f>J70*H70</x:f>
        <x:v>3.5</x:v>
      </x:c>
      <x:c r="L70" s="34" t="n">
        <x:f>K70*G70</x:f>
        <x:v>28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完整 Logits</x:v>
      </x:c>
      <x:c r="D71" s="30" t="str">
        <x:v>Ring AllGather</x:v>
      </x:c>
      <x:c r="E71" s="33" t="n">
        <x:f>'Decode'!$P$8*248320/IF('Decode'!$P$20&gt;0,'Decode'!$P$20,'Decode'!$P$12)</x:f>
        <x:v>7946240</x:v>
      </x:c>
      <x:c r="F71" s="33" t="n">
        <x:f>'Decode'!$P$28</x:f>
        <x:v>2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IF(AND(IF('Decode'!$P$20&gt;0,'Decode'!$P$20,'Decode'!$P$12)&gt;1,'Decode'!$P$23=0,'Decode'!$P$33=0),1,0)</x:f>
        <x:v>0</x:v>
      </x:c>
      <x:c r="I71" s="34" t="n">
        <x:f>E71*F71/1048576</x:f>
        <x:v>15.15625</x:v>
      </x:c>
      <x:c r="J71" s="34" t="n">
        <x:f>I71*(IF(G71&gt;1,G71-1,0))</x:f>
        <x:v>106.09375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Reduce Sample</x:v>
      </x:c>
      <x:c r="D72" s="30" t="str">
        <x:v>Ring AllGather</x:v>
      </x:c>
      <x:c r="E72" s="33" t="n">
        <x:f>'Decode'!$P$8*'Decode'!$P$34</x:f>
        <x:v>65536</x:v>
      </x:c>
      <x:c r="F72" s="33" t="n">
        <x:f>('Decode'!$P$28+'Decode'!$P$31)</x:f>
        <x:v>6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IF(AND(IF('Decode'!$P$20&gt;0,'Decode'!$P$20,'Decode'!$P$12)&gt;1,'Decode'!$P$23=0,'Decode'!$P$33&lt;&gt;0),1,0)</x:f>
        <x:v>1</x:v>
      </x:c>
      <x:c r="I72" s="34" t="n">
        <x:f>E72*F72/1048576</x:f>
        <x:v>0.375</x:v>
      </x:c>
      <x:c r="J72" s="34" t="n">
        <x:f>I72*(IF(G72&gt;1,G72-1,0))</x:f>
        <x:v>2.625</x:v>
      </x:c>
      <x:c r="K72" s="34" t="n">
        <x:f>J72*H72</x:f>
        <x:v>2.625</x:v>
      </x:c>
      <x:c r="L72" s="34" t="n">
        <x:f>K72*G72</x:f>
        <x:v>21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Hidden 输入</x:v>
      </x:c>
      <x:c r="D73" s="30" t="str">
        <x:v>Ring AllGather</x:v>
      </x:c>
      <x:c r="E73" s="33" t="n">
        <x:f>'Decode'!$P$8*8192</x:f>
        <x:v>2097152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IF(AND(IF('Decode'!$P$20&gt;0,'Decode'!$P$20,'Decode'!$P$12)&gt;1,'Decode'!$P$23&lt;&gt;0),1,0)</x:f>
        <x:v>0</x:v>
      </x:c>
      <x:c r="I73" s="34" t="n">
        <x:f>E73*F73/1048576</x:f>
        <x:v>4</x:v>
      </x:c>
      <x:c r="J73" s="34" t="n">
        <x:f>I73*(IF(G73&gt;1,G73-1,0))</x:f>
        <x:v>28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完整 Logits</x:v>
      </x:c>
      <x:c r="D74" s="30" t="str">
        <x:v>Equal-split AllToAll</x:v>
      </x:c>
      <x:c r="E74" s="33" t="n">
        <x:f>'Decode'!$P$8*248320</x:f>
        <x:v>63569920</x:v>
      </x:c>
      <x:c r="F74" s="33" t="n">
        <x:f>'Decode'!$P$28</x:f>
        <x:v>2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IF(AND(IF('Decode'!$P$20&gt;0,'Decode'!$P$20,'Decode'!$P$12)&gt;1,'Decode'!$P$23&lt;&gt;0,'Decode'!$P$33=0),1,0)</x:f>
        <x:v>0</x:v>
      </x:c>
      <x:c r="I74" s="34" t="n">
        <x:f>E74*F74/1048576</x:f>
        <x:v>121.25</x:v>
      </x:c>
      <x:c r="J74" s="34" t="n">
        <x:f>I74*(IF(G74&gt;1,(G74-1)/G74,0))</x:f>
        <x:v>106.09375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'Decode'!$P$8*'Decode'!$P$34</x:f>
        <x:v>65536</x:v>
      </x:c>
      <x:c r="F75" s="33" t="n">
        <x:f>('Decode'!$P$28+'Decode'!$P$31)</x:f>
        <x:v>6</x:v>
      </x:c>
      <x:c r="G75" s="33" t="n">
        <x:f>IF('Decode'!$P$20&gt;0,'Decode'!$P$20,'Decode'!$P$12)</x:f>
        <x:v>8</x:v>
      </x:c>
      <x:c r="H75" s="33" t="n">
        <x:f>IF(AND(IF('Decode'!$P$20&gt;0,'Decode'!$P$20,'Decode'!$P$12)&gt;1,'Decode'!$P$23&lt;&gt;0,'Decode'!$P$33&lt;&gt;0),1,0)</x:f>
        <x:v>0</x:v>
      </x:c>
      <x:c r="I75" s="34" t="n">
        <x:f>E75*F75/1048576</x:f>
        <x:v>0.375</x:v>
      </x:c>
      <x:c r="J75" s="34" t="n">
        <x:f>I75*(IF(G75&gt;1,G75-1,0))</x:f>
        <x:v>2.625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40" t="str">
        <x:v>合计</x:v>
      </x:c>
      <x:c r="B76" s="40"/>
      <x:c r="C76" s="40"/>
      <x:c r="D76" s="40"/>
      <x:c r="E76" s="40"/>
      <x:c r="F76" s="40"/>
      <x:c r="G76" s="40"/>
      <x:c r="H76" s="40"/>
      <x:c r="I76" s="41"/>
      <x:c r="J76" s="41"/>
      <x:c r="K76" s="41" t="n">
        <x:f>SUM(K51:K75)</x:f>
        <x:v>2106.125</x:v>
      </x:c>
      <x:c r="L76" s="41" t="n">
        <x:f>SUM(L51:L75)</x:f>
        <x:v>16849</x:v>
      </x:c>
      <x:c r="M76" s="30"/>
      <x:c r="N76" s="30"/>
      <x:c r="O76" s="30"/>
      <x:c r="P76" s="30"/>
    </x:row>
    <x:row r="79" ht="15" customHeight="1">
      <x:c r="A79" s="40" t="str">
        <x:v>PD 带宽争用耗时评估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15" customHeight="1">
      <x:c r="A80" s="30" t="str">
        <x:v>Decode 当前表参数；100 GB/s 为归一化示例。所列事件的带宽项，不等于完整 forward 耗时。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30" customHeight="1">
      <x:c r="A81" s="62" t="str">
        <x:v>带宽降幅</x:v>
      </x:c>
      <x:c r="B81" s="62" t="str">
        <x:v>输入</x:v>
      </x:c>
      <x:c r="C81" s="62" t="str">
        <x:v>争用覆盖率</x:v>
      </x:c>
      <x:c r="D81" s="62" t="str">
        <x:v>输入</x:v>
      </x:c>
      <x:c r="E81" s="62" t="str">
        <x:v>基线 forward ms</x:v>
      </x:c>
      <x:c r="F81" s="62" t="str">
        <x:v>实测输入</x:v>
      </x:c>
      <x:c r="G81" s="62" t="str">
        <x:v>默认带宽 GB/s</x:v>
      </x:c>
      <x:c r="H81" s="62" t="str">
        <x:v>输入</x:v>
      </x:c>
      <x:c r="I81" s="30"/>
      <x:c r="J81" s="30"/>
      <x:c r="K81" s="30"/>
      <x:c r="L81" s="30"/>
    </x:row>
    <x:row r="82" ht="15" customHeight="1">
      <x:c r="A82" s="30"/>
      <x:c r="B82" s="63" t="n">
        <x:v>0.1</x:v>
      </x:c>
      <x:c r="C82" s="30"/>
      <x:c r="D82" s="63" t="n">
        <x:v>1</x:v>
      </x:c>
      <x:c r="E82" s="30"/>
      <x:c r="F82" s="38"/>
      <x:c r="G82" s="30"/>
      <x:c r="H82" s="36" t="n">
        <x:v>100</x:v>
      </x:c>
      <x:c r="I82" s="30"/>
      <x:c r="J82" s="30"/>
      <x:c r="K82" s="30"/>
      <x:c r="L82" s="30"/>
    </x:row>
    <x:row r="83" ht="30" customHeight="1">
      <x:c r="A83" s="62" t="str">
        <x:v>通信基线 ms</x:v>
      </x:c>
      <x:c r="B83" s="62" t="str">
        <x:v>结果</x:v>
      </x:c>
      <x:c r="C83" s="62" t="str">
        <x:v>通信争用后 ms</x:v>
      </x:c>
      <x:c r="D83" s="62" t="str">
        <x:v>结果</x:v>
      </x:c>
      <x:c r="E83" s="62" t="str">
        <x:v>forward 增量 ms</x:v>
      </x:c>
      <x:c r="F83" s="62" t="str">
        <x:v>结果</x:v>
      </x:c>
      <x:c r="G83" s="62" t="str">
        <x:v>forward 新耗时 ms</x:v>
      </x:c>
      <x:c r="H83" s="62" t="str">
        <x:v>结果</x:v>
      </x:c>
      <x:c r="I83" s="62" t="str">
        <x:v>forward 增幅</x:v>
      </x:c>
      <x:c r="J83" s="62" t="str">
        <x:v>结果</x:v>
      </x:c>
      <x:c r="K83" s="62" t="str">
        <x:v>输入状态</x:v>
      </x:c>
      <x:c r="L83" s="62" t="str">
        <x:v>状态</x:v>
      </x:c>
    </x:row>
    <x:row r="84" ht="15" customHeight="1">
      <x:c r="A84" s="49"/>
      <x:c r="B84" s="49" t="n">
        <x:f>SUM(G88:G113)</x:f>
        <x:v>22.5014272</x:v>
      </x:c>
      <x:c r="C84" s="49"/>
      <x:c r="D84" s="49" t="n">
        <x:f>SUM(H88:H113)</x:f>
        <x:v>25.001585777777773</x:v>
      </x:c>
      <x:c r="E84" s="49"/>
      <x:c r="F84" s="49" t="n">
        <x:f>SUM(K88:K113)</x:f>
        <x:v>2.500158577777779</x:v>
      </x:c>
      <x:c r="G84" s="49"/>
      <x:c r="H84" s="49" t="str">
        <x:f>IF(AND(ISNUMBER($F$82),$F$82&gt;0,$F$82&gt;=SUMPRODUCT(G88:G113,J88:J113)),$F$82+F84,"")</x:f>
      </x:c>
      <x:c r="I84" s="49"/>
      <x:c r="J84" s="50" t="str">
        <x:f>IF(AND(ISNUMBER($F$82),$F$82&gt;0,$F$82&gt;=SUMPRODUCT(G88:G113,J88:J113)),F84/$F$82,"")</x:f>
      </x:c>
      <x:c r="K84" s="49"/>
      <x:c r="L84" s="49" t="str">
        <x:f>IF($F$82="","待填基线",IF(AND(ISNUMBER($F$82),$F$82&gt;0,$F$82&gt;=SUMPRODUCT(G88:G113,J88:J113)),"已填基线","基线/暴露不一致"))</x:f>
        <x:v>待填基线</x:v>
      </x:c>
    </x:row>
    <x:row r="85" ht="15" customHeight="1">
      <x:c r="A85" s="30" t="str">
        <x:v>共享比例=0 表示独立链路；暴露系数=0 表示增量完全隐藏。默认均为 1，降幅只作用于带宽项。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15" customHeight="1">
      <x:c r="A86" s="30" t="str">
        <x:v>P: AllToAllV + 4 B 计数 Ring；D: A3 BF16 MC2 FullMesh。每事件带宽按端点发送量定义。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30" customHeight="1">
      <x:c r="A87" s="62" t="str">
        <x:v>并行域</x:v>
      </x:c>
      <x:c r="B87" s="62" t="str">
        <x:v>模块</x:v>
      </x:c>
      <x:c r="C87" s="62" t="str">
        <x:v>通信事件</x:v>
      </x:c>
      <x:c r="D87" s="62" t="str">
        <x:v>GB/Rank/Step</x:v>
      </x:c>
      <x:c r="E87" s="62" t="str">
        <x:v>有效带宽 GB/s</x:v>
      </x:c>
      <x:c r="F87" s="62" t="str">
        <x:v>共享比例</x:v>
      </x:c>
      <x:c r="G87" s="62" t="str">
        <x:v>基线带宽项 ms</x:v>
      </x:c>
      <x:c r="H87" s="62" t="str">
        <x:v>争用后带宽项 ms</x:v>
      </x:c>
      <x:c r="I87" s="62" t="str">
        <x:v>通信增量 ms</x:v>
      </x:c>
      <x:c r="J87" s="62" t="str">
        <x:v>暴露系数</x:v>
      </x:c>
      <x:c r="K87" s="62" t="str">
        <x:v>forward 增量 ms</x:v>
      </x:c>
      <x:c r="L87" s="62" t="str">
        <x:v>公式口径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标准 TP 输出</x:v>
      </x:c>
      <x:c r="D88" s="34" t="n">
        <x:f>(K51*2^20)/1e9</x:f>
        <x:v>0.007340032</x:v>
      </x:c>
      <x:c r="E88" s="64" t="n">
        <x:f>$H$82</x:f>
        <x:v>100</x:v>
      </x:c>
      <x:c r="F88" s="59" t="n">
        <x:v>1</x:v>
      </x:c>
      <x:c r="G88" s="34" t="n">
        <x:f>IF(AND(ISNUMBER(E88),E88&gt;0,ISNUMBER($B$82),$B$82&gt;=0,$B$82&lt;1,ISNUMBER($D$82),$D$82&gt;=0,$D$82&lt;=1,ISNUMBER(F88),F88&gt;=0,F88&lt;=1,ISNUMBER(J88),J88&gt;=0,J88&lt;=1),D88/E88*1000,NA())</x:f>
        <x:v>0.07340032</x:v>
      </x:c>
      <x:c r="H88" s="34" t="n">
        <x:f>G88+I88</x:f>
        <x:v>0.08155591111111112</x:v>
      </x:c>
      <x:c r="I88" s="34" t="n">
        <x:f>G88*F88*$D$82*$B$82/(1-$B$82)</x:f>
        <x:v>0.008155591111111112</x:v>
      </x:c>
      <x:c r="J88" s="59" t="n">
        <x:v>1</x:v>
      </x:c>
      <x:c r="K88" s="34" t="n">
        <x:f>I88*J88</x:f>
        <x:v>0.008155591111111112</x:v>
      </x:c>
      <x:c r="L88" s="30" t="str">
        <x:v>原通信行 51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Token ID</x:v>
      </x:c>
      <x:c r="D89" s="34" t="n">
        <x:f>(K52*2^20)/1e9</x:f>
        <x:v>0</x:v>
      </x:c>
      <x:c r="E89" s="64" t="n">
        <x:f>$H$82</x:f>
        <x:v>100</x:v>
      </x:c>
      <x:c r="F89" s="59" t="n">
        <x:v>1</x:v>
      </x:c>
      <x:c r="G89" s="34" t="n">
        <x:f>IF(AND(ISNUMBER(E89),E89&gt;0,ISNUMBER($B$82),$B$82&gt;=0,$B$82&lt;1,ISNUMBER($D$82),$D$82&gt;=0,$D$82&lt;=1,ISNUMBER(F89),F89&gt;=0,F89&lt;=1,ISNUMBER(J89),J89&gt;=0,J89&lt;=1),D89/E89*1000,NA())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G89*F89*$D$82*$B$82/(1-$B$82)</x:f>
        <x:v>0</x:v>
      </x:c>
      <x:c r="J89" s="59" t="n">
        <x:v>1</x:v>
      </x:c>
      <x:c r="K89" s="34" t="n">
        <x:f>I89*J89</x:f>
        <x:v>0</x:v>
      </x:c>
      <x:c r="L89" s="30" t="str">
        <x:v>原通信行 52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Hidden</x:v>
      </x:c>
      <x:c r="D90" s="34" t="n">
        <x:f>(K53*2^20)/1e9</x:f>
        <x:v>0</x:v>
      </x:c>
      <x:c r="E90" s="64" t="n">
        <x:f>$H$82</x:f>
        <x:v>100</x:v>
      </x:c>
      <x:c r="F90" s="59" t="n">
        <x:v>1</x:v>
      </x:c>
      <x:c r="G90" s="34" t="n">
        <x:f>IF(AND(ISNUMBER(E90),E90&gt;0,ISNUMBER($B$82),$B$82&gt;=0,$B$82&lt;1,ISNUMBER($D$82),$D$82&gt;=0,$D$82&lt;=1,ISNUMBER(F90),F90&gt;=0,F90&lt;=1,ISNUMBER(J90),J90&gt;=0,J90&lt;=1),D90/E90*1000,NA())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G90*F90*$D$82*$B$82/(1-$B$82)</x:f>
        <x:v>0</x:v>
      </x:c>
      <x:c r="J90" s="59" t="n">
        <x:v>1</x:v>
      </x:c>
      <x:c r="K90" s="34" t="n">
        <x:f>I90*J90</x:f>
        <x:v>0</x:v>
      </x:c>
      <x:c r="L90" s="30" t="str">
        <x:v>原通信行 53</x:v>
      </x:c>
    </x:row>
    <x:row r="91" ht="15" customHeight="1">
      <x:c r="A91" s="30" t="str">
        <x:v>SP</x:v>
      </x:c>
      <x:c r="B91" s="30" t="str">
        <x:v>Attention</x:v>
      </x:c>
      <x:c r="C91" s="30" t="str">
        <x:v>Attention 前</x:v>
      </x:c>
      <x:c r="D91" s="34" t="n">
        <x:f>(K54*2^20)/1e9</x:f>
        <x:v>0.337641472</x:v>
      </x:c>
      <x:c r="E91" s="64" t="n">
        <x:f>$H$82</x:f>
        <x:v>100</x:v>
      </x:c>
      <x:c r="F91" s="59" t="n">
        <x:v>1</x:v>
      </x:c>
      <x:c r="G91" s="34" t="n">
        <x:f>IF(AND(ISNUMBER(E91),E91&gt;0,ISNUMBER($B$82),$B$82&gt;=0,$B$82&lt;1,ISNUMBER($D$82),$D$82&gt;=0,$D$82&lt;=1,ISNUMBER(F91),F91&gt;=0,F91&lt;=1,ISNUMBER(J91),J91&gt;=0,J91&lt;=1),D91/E91*1000,NA())</x:f>
        <x:v>3.37641472</x:v>
      </x:c>
      <x:c r="H91" s="34" t="n">
        <x:f>G91+I91</x:f>
        <x:v>3.751571911111111</x:v>
      </x:c>
      <x:c r="I91" s="34" t="n">
        <x:f>G91*F91*$D$82*$B$82/(1-$B$82)</x:f>
        <x:v>0.3751571911111112</x:v>
      </x:c>
      <x:c r="J91" s="59" t="n">
        <x:v>1</x:v>
      </x:c>
      <x:c r="K91" s="34" t="n">
        <x:f>I91*J91</x:f>
        <x:v>0.3751571911111112</x:v>
      </x:c>
      <x:c r="L91" s="30" t="str">
        <x:v>原通信行 54</x:v>
      </x:c>
    </x:row>
    <x:row r="92" ht="15" customHeight="1">
      <x:c r="A92" s="30" t="str">
        <x:v>SP</x:v>
      </x:c>
      <x:c r="B92" s="30" t="str">
        <x:v>Attention</x:v>
      </x:c>
      <x:c r="C92" s="30" t="str">
        <x:v>O Proj 后</x:v>
      </x:c>
      <x:c r="D92" s="34" t="n">
        <x:f>(K55*2^20)/1e9</x:f>
        <x:v>0.337641472</x:v>
      </x:c>
      <x:c r="E92" s="64" t="n">
        <x:f>$H$82</x:f>
        <x:v>100</x:v>
      </x:c>
      <x:c r="F92" s="59" t="n">
        <x:v>1</x:v>
      </x:c>
      <x:c r="G92" s="34" t="n">
        <x:f>IF(AND(ISNUMBER(E92),E92&gt;0,ISNUMBER($B$82),$B$82&gt;=0,$B$82&lt;1,ISNUMBER($D$82),$D$82&gt;=0,$D$82&lt;=1,ISNUMBER(F92),F92&gt;=0,F92&lt;=1,ISNUMBER(J92),J92&gt;=0,J92&lt;=1),D92/E92*1000,NA())</x:f>
        <x:v>3.37641472</x:v>
      </x:c>
      <x:c r="H92" s="34" t="n">
        <x:f>G92+I92</x:f>
        <x:v>3.751571911111111</x:v>
      </x:c>
      <x:c r="I92" s="34" t="n">
        <x:f>G92*F92*$D$82*$B$82/(1-$B$82)</x:f>
        <x:v>0.3751571911111112</x:v>
      </x:c>
      <x:c r="J92" s="59" t="n">
        <x:v>1</x:v>
      </x:c>
      <x:c r="K92" s="34" t="n">
        <x:f>I92*J92</x:f>
        <x:v>0.3751571911111112</x:v>
      </x:c>
      <x:c r="L92" s="30" t="str">
        <x:v>原通信行 55</x:v>
      </x:c>
    </x:row>
    <x:row r="93" ht="15" customHeight="1">
      <x:c r="A93" s="30" t="str">
        <x:v>O Proj TP</x:v>
      </x:c>
      <x:c r="B93" s="30" t="str">
        <x:v>Attention</x:v>
      </x:c>
      <x:c r="C93" s="30" t="str">
        <x:v>非 SP 标准 TP</x:v>
      </x:c>
      <x:c r="D93" s="34" t="n">
        <x:f>(K56*2^20)/1e9</x:f>
        <x:v>0</x:v>
      </x:c>
      <x:c r="E93" s="64" t="n">
        <x:f>$H$82</x:f>
        <x:v>100</x:v>
      </x:c>
      <x:c r="F93" s="59" t="n">
        <x:v>1</x:v>
      </x:c>
      <x:c r="G93" s="34" t="n">
        <x:f>IF(AND(ISNUMBER(E93),E93&gt;0,ISNUMBER($B$82),$B$82&gt;=0,$B$82&lt;1,ISNUMBER($D$82),$D$82&gt;=0,$D$82&lt;=1,ISNUMBER(F93),F93&gt;=0,F93&lt;=1,ISNUMBER(J93),J93&gt;=0,J93&lt;=1),D93/E93*1000,NA())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G93*F93*$D$82*$B$82/(1-$B$82)</x:f>
        <x:v>0</x:v>
      </x:c>
      <x:c r="J93" s="59" t="n">
        <x:v>1</x:v>
      </x:c>
      <x:c r="K93" s="34" t="n">
        <x:f>I93*J93</x:f>
        <x:v>0</x:v>
      </x:c>
      <x:c r="L93" s="30" t="str">
        <x:v>原通信行 56</x:v>
      </x:c>
    </x:row>
    <x:row r="94" ht="15" customHeight="1">
      <x:c r="A94" s="30" t="str">
        <x:v>Fine O TP</x:v>
      </x:c>
      <x:c r="B94" s="30" t="str">
        <x:v>Attention</x:v>
      </x:c>
      <x:c r="C94" s="30" t="str">
        <x:v>O Proj 输入</x:v>
      </x:c>
      <x:c r="D94" s="34" t="n">
        <x:f>(K57*2^20)/1e9</x:f>
        <x:v>0</x:v>
      </x:c>
      <x:c r="E94" s="64" t="n">
        <x:f>$H$82</x:f>
        <x:v>100</x:v>
      </x:c>
      <x:c r="F94" s="59" t="n">
        <x:v>1</x:v>
      </x:c>
      <x:c r="G94" s="34" t="n">
        <x:f>IF(AND(ISNUMBER(E94),E94&gt;0,ISNUMBER($B$82),$B$82&gt;=0,$B$82&lt;1,ISNUMBER($D$82),$D$82&gt;=0,$D$82&lt;=1,ISNUMBER(F94),F94&gt;=0,F94&lt;=1,ISNUMBER(J94),J94&gt;=0,J94&lt;=1),D94/E94*1000,NA())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G94*F94*$D$82*$B$82/(1-$B$82)</x:f>
        <x:v>0</x:v>
      </x:c>
      <x:c r="J94" s="59" t="n">
        <x:v>1</x:v>
      </x:c>
      <x:c r="K94" s="34" t="n">
        <x:f>I94*J94</x:f>
        <x:v>0</x:v>
      </x:c>
      <x:c r="L94" s="30" t="str">
        <x:v>原通信行 57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输出</x:v>
      </x:c>
      <x:c r="D95" s="34" t="n">
        <x:f>(K58*2^20)/1e9</x:f>
        <x:v>0</x:v>
      </x:c>
      <x:c r="E95" s="64" t="n">
        <x:f>$H$82</x:f>
        <x:v>100</x:v>
      </x:c>
      <x:c r="F95" s="59" t="n">
        <x:v>1</x:v>
      </x:c>
      <x:c r="G95" s="34" t="n">
        <x:f>IF(AND(ISNUMBER(E95),E95&gt;0,ISNUMBER($B$82),$B$82&gt;=0,$B$82&lt;1,ISNUMBER($D$82),$D$82&gt;=0,$D$82&lt;=1,ISNUMBER(F95),F95&gt;=0,F95&lt;=1,ISNUMBER(J95),J95&gt;=0,J95&lt;=1),D95/E95*1000,NA())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G95*F95*$D$82*$B$82/(1-$B$82)</x:f>
        <x:v>0</x:v>
      </x:c>
      <x:c r="J95" s="59" t="n">
        <x:v>1</x:v>
      </x:c>
      <x:c r="K95" s="34" t="n">
        <x:f>I95*J95</x:f>
        <x:v>0</x:v>
      </x:c>
      <x:c r="L95" s="30" t="str">
        <x:v>原通信行 58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FullMesh Dispatch</x:v>
      </x:c>
      <x:c r="D96" s="34" t="n">
        <x:f>(IF(F59=2,E59/8192*H59*(ROUNDUP((ROUNDUP(8192*F59/32,0)*32+32)/480,0)*512),NA()))/1e9</x:f>
        <x:v>0.4616192</x:v>
      </x:c>
      <x:c r="E96" s="64" t="n">
        <x:f>$H$82</x:f>
        <x:v>100</x:v>
      </x:c>
      <x:c r="F96" s="59" t="n">
        <x:v>1</x:v>
      </x:c>
      <x:c r="G96" s="34" t="n">
        <x:f>IF(AND(ISNUMBER(E96),E96&gt;0,ISNUMBER($B$82),$B$82&gt;=0,$B$82&lt;1,ISNUMBER($D$82),$D$82&gt;=0,$D$82&lt;=1,ISNUMBER(F96),F96&gt;=0,F96&lt;=1,ISNUMBER(J96),J96&gt;=0,J96&lt;=1),D96/E96*1000,NA())</x:f>
        <x:v>4.616192</x:v>
      </x:c>
      <x:c r="H96" s="34" t="n">
        <x:f>G96+I96</x:f>
        <x:v>5.1291022222222225</x:v>
      </x:c>
      <x:c r="I96" s="34" t="n">
        <x:f>G96*F96*$D$82*$B$82/(1-$B$82)</x:f>
        <x:v>0.5129102222222223</x:v>
      </x:c>
      <x:c r="J96" s="59" t="n">
        <x:v>1</x:v>
      </x:c>
      <x:c r="K96" s="34" t="n">
        <x:f>I96*J96</x:f>
        <x:v>0.5129102222222223</x:v>
      </x:c>
      <x:c r="L96" s="30" t="str">
        <x:v>原通信行 59</x:v>
      </x:c>
    </x:row>
    <x:row r="97" ht="15" customHeight="1">
      <x:c r="A97" s="30" t="str">
        <x:v>EP</x:v>
      </x:c>
      <x:c r="B97" s="30" t="str">
        <x:v>Routed Experts</x:v>
      </x:c>
      <x:c r="C97" s="30" t="str">
        <x:v>MC2 Combine + flags</x:v>
      </x:c>
      <x:c r="D97" s="34" t="n">
        <x:f>(IF(F60=2,K60*2^20+E60/8192*H60*32,NA()))/1e9</x:f>
        <x:v>0.42287616</x:v>
      </x:c>
      <x:c r="E97" s="64" t="n">
        <x:f>$H$82</x:f>
        <x:v>100</x:v>
      </x:c>
      <x:c r="F97" s="59" t="n">
        <x:v>1</x:v>
      </x:c>
      <x:c r="G97" s="34" t="n">
        <x:f>IF(AND(ISNUMBER(E97),E97&gt;0,ISNUMBER($B$82),$B$82&gt;=0,$B$82&lt;1,ISNUMBER($D$82),$D$82&gt;=0,$D$82&lt;=1,ISNUMBER(F97),F97&gt;=0,F97&lt;=1,ISNUMBER(J97),J97&gt;=0,J97&lt;=1),D97/E97*1000,NA())</x:f>
        <x:v>4.2287616</x:v>
      </x:c>
      <x:c r="H97" s="34" t="n">
        <x:f>G97+I97</x:f>
        <x:v>4.698624000000001</x:v>
      </x:c>
      <x:c r="I97" s="34" t="n">
        <x:f>G97*F97*$D$82*$B$82/(1-$B$82)</x:f>
        <x:v>0.46986240000000007</x:v>
      </x:c>
      <x:c r="J97" s="59" t="n">
        <x:v>1</x:v>
      </x:c>
      <x:c r="K97" s="34" t="n">
        <x:f>I97*J97</x:f>
        <x:v>0.46986240000000007</x:v>
      </x:c>
      <x:c r="L97" s="30" t="str">
        <x:v>原通信行 60</x:v>
      </x:c>
    </x:row>
    <x:row r="98" ht="15" customHeight="1">
      <x:c r="A98" s="30" t="str">
        <x:v>DP</x:v>
      </x:c>
      <x:c r="B98" s="30" t="str">
        <x:v>MoE</x:v>
      </x:c>
      <x:c r="C98" s="30" t="str">
        <x:v>Hidden 输入</x:v>
      </x:c>
      <x:c r="D98" s="34" t="n">
        <x:f>(K61*2^20)/1e9</x:f>
        <x:v>0</x:v>
      </x:c>
      <x:c r="E98" s="64" t="n">
        <x:f>$H$82</x:f>
        <x:v>100</x:v>
      </x:c>
      <x:c r="F98" s="59" t="n">
        <x:v>1</x:v>
      </x:c>
      <x:c r="G98" s="34" t="n">
        <x:f>IF(AND(ISNUMBER(E98),E98&gt;0,ISNUMBER($B$82),$B$82&gt;=0,$B$82&lt;1,ISNUMBER($D$82),$D$82&gt;=0,$D$82&lt;=1,ISNUMBER(F98),F98&gt;=0,F98&lt;=1,ISNUMBER(J98),J98&gt;=0,J98&lt;=1),D98/E98*1000,NA())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G98*F98*$D$82*$B$82/(1-$B$82)</x:f>
        <x:v>0</x:v>
      </x:c>
      <x:c r="J98" s="59" t="n">
        <x:v>1</x:v>
      </x:c>
      <x:c r="K98" s="34" t="n">
        <x:f>I98*J98</x:f>
        <x:v>0</x:v>
      </x:c>
      <x:c r="L98" s="30" t="str">
        <x:v>原通信行 61</x:v>
      </x:c>
    </x:row>
    <x:row r="99" ht="15" customHeight="1">
      <x:c r="A99" s="30" t="str">
        <x:v>DP</x:v>
      </x:c>
      <x:c r="B99" s="30" t="str">
        <x:v>MoE Router</x:v>
      </x:c>
      <x:c r="C99" s="30" t="str">
        <x:v>Router Logits</x:v>
      </x:c>
      <x:c r="D99" s="34" t="n">
        <x:f>(K62*2^20)/1e9</x:f>
        <x:v>0</x:v>
      </x:c>
      <x:c r="E99" s="64" t="n">
        <x:f>$H$82</x:f>
        <x:v>100</x:v>
      </x:c>
      <x:c r="F99" s="59" t="n">
        <x:v>1</x:v>
      </x:c>
      <x:c r="G99" s="34" t="n">
        <x:f>IF(AND(ISNUMBER(E99),E99&gt;0,ISNUMBER($B$82),$B$82&gt;=0,$B$82&lt;1,ISNUMBER($D$82),$D$82&gt;=0,$D$82&lt;=1,ISNUMBER(F99),F99&gt;=0,F99&lt;=1,ISNUMBER(J99),J99&gt;=0,J99&lt;=1),D99/E99*1000,NA())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G99*F99*$D$82*$B$82/(1-$B$82)</x:f>
        <x:v>0</x:v>
      </x:c>
      <x:c r="J99" s="59" t="n">
        <x:v>1</x:v>
      </x:c>
      <x:c r="K99" s="34" t="n">
        <x:f>I99*J99</x:f>
        <x:v>0</x:v>
      </x:c>
      <x:c r="L99" s="30" t="str">
        <x:v>原通信行 62</x:v>
      </x:c>
    </x:row>
    <x:row r="100" ht="15" customHeight="1">
      <x:c r="A100" s="30" t="str">
        <x:v>DP</x:v>
      </x:c>
      <x:c r="B100" s="30" t="str">
        <x:v>MoE</x:v>
      </x:c>
      <x:c r="C100" s="30" t="str">
        <x:v>Routed Expert 输出</x:v>
      </x:c>
      <x:c r="D100" s="34" t="n">
        <x:f>(K63*2^20)/1e9</x:f>
        <x:v>0</x:v>
      </x:c>
      <x:c r="E100" s="64" t="n">
        <x:f>$H$82</x:f>
        <x:v>100</x:v>
      </x:c>
      <x:c r="F100" s="59" t="n">
        <x:v>1</x:v>
      </x:c>
      <x:c r="G100" s="34" t="n">
        <x:f>IF(AND(ISNUMBER(E100),E100&gt;0,ISNUMBER($B$82),$B$82&gt;=0,$B$82&lt;1,ISNUMBER($D$82),$D$82&gt;=0,$D$82&lt;=1,ISNUMBER(F100),F100&gt;=0,F100&lt;=1,ISNUMBER(J100),J100&gt;=0,J100&lt;=1),D100/E100*1000,NA())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G100*F100*$D$82*$B$82/(1-$B$82)</x:f>
        <x:v>0</x:v>
      </x:c>
      <x:c r="J100" s="59" t="n">
        <x:v>1</x:v>
      </x:c>
      <x:c r="K100" s="34" t="n">
        <x:f>I100*J100</x:f>
        <x:v>0</x:v>
      </x:c>
      <x:c r="L100" s="30" t="str">
        <x:v>原通信行 63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输入</x:v>
      </x:c>
      <x:c r="D101" s="34" t="n">
        <x:f>(K64*2^20)/1e9</x:f>
        <x:v>0.337641472</x:v>
      </x:c>
      <x:c r="E101" s="64" t="n">
        <x:f>$H$82</x:f>
        <x:v>100</x:v>
      </x:c>
      <x:c r="F101" s="59" t="n">
        <x:v>1</x:v>
      </x:c>
      <x:c r="G101" s="34" t="n">
        <x:f>IF(AND(ISNUMBER(E101),E101&gt;0,ISNUMBER($B$82),$B$82&gt;=0,$B$82&lt;1,ISNUMBER($D$82),$D$82&gt;=0,$D$82&lt;=1,ISNUMBER(F101),F101&gt;=0,F101&lt;=1,ISNUMBER(J101),J101&gt;=0,J101&lt;=1),D101/E101*1000,NA())</x:f>
        <x:v>3.37641472</x:v>
      </x:c>
      <x:c r="H101" s="34" t="n">
        <x:f>G101+I101</x:f>
        <x:v>3.751571911111111</x:v>
      </x:c>
      <x:c r="I101" s="34" t="n">
        <x:f>G101*F101*$D$82*$B$82/(1-$B$82)</x:f>
        <x:v>0.3751571911111112</x:v>
      </x:c>
      <x:c r="J101" s="59" t="n">
        <x:v>1</x:v>
      </x:c>
      <x:c r="K101" s="34" t="n">
        <x:f>I101*J101</x:f>
        <x:v>0.3751571911111112</x:v>
      </x:c>
      <x:c r="L101" s="30" t="str">
        <x:v>原通信行 64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输出</x:v>
      </x:c>
      <x:c r="D102" s="34" t="n">
        <x:f>(K65*2^20)/1e9</x:f>
        <x:v>0.337641472</x:v>
      </x:c>
      <x:c r="E102" s="64" t="n">
        <x:f>$H$82</x:f>
        <x:v>100</x:v>
      </x:c>
      <x:c r="F102" s="59" t="n">
        <x:v>1</x:v>
      </x:c>
      <x:c r="G102" s="34" t="n">
        <x:f>IF(AND(ISNUMBER(E102),E102&gt;0,ISNUMBER($B$82),$B$82&gt;=0,$B$82&lt;1,ISNUMBER($D$82),$D$82&gt;=0,$D$82&lt;=1,ISNUMBER(F102),F102&gt;=0,F102&lt;=1,ISNUMBER(J102),J102&gt;=0,J102&lt;=1),D102/E102*1000,NA())</x:f>
        <x:v>3.37641472</x:v>
      </x:c>
      <x:c r="H102" s="34" t="n">
        <x:f>G102+I102</x:f>
        <x:v>3.751571911111111</x:v>
      </x:c>
      <x:c r="I102" s="34" t="n">
        <x:f>G102*F102*$D$82*$B$82/(1-$B$82)</x:f>
        <x:v>0.3751571911111112</x:v>
      </x:c>
      <x:c r="J102" s="59" t="n">
        <x:v>1</x:v>
      </x:c>
      <x:c r="K102" s="34" t="n">
        <x:f>I102*J102</x:f>
        <x:v>0.3751571911111112</x:v>
      </x:c>
      <x:c r="L102" s="30" t="str">
        <x:v>原通信行 65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非 SP 输出</x:v>
      </x:c>
      <x:c r="D103" s="34" t="n">
        <x:f>(K66*2^20)/1e9</x:f>
        <x:v>0</x:v>
      </x:c>
      <x:c r="E103" s="64" t="n">
        <x:f>$H$82</x:f>
        <x:v>100</x:v>
      </x:c>
      <x:c r="F103" s="59" t="n">
        <x:v>1</x:v>
      </x:c>
      <x:c r="G103" s="34" t="n">
        <x:f>IF(AND(ISNUMBER(E103),E103&gt;0,ISNUMBER($B$82),$B$82&gt;=0,$B$82&lt;1,ISNUMBER($D$82),$D$82&gt;=0,$D$82&lt;=1,ISNUMBER(F103),F103&gt;=0,F103&lt;=1,ISNUMBER(J103),J103&gt;=0,J103&lt;=1),D103/E103*1000,NA())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G103*F103*$D$82*$B$82/(1-$B$82)</x:f>
        <x:v>0</x:v>
      </x:c>
      <x:c r="J103" s="59" t="n">
        <x:v>1</x:v>
      </x:c>
      <x:c r="K103" s="34" t="n">
        <x:f>I103*J103</x:f>
        <x:v>0</x:v>
      </x:c>
      <x:c r="L103" s="30" t="str">
        <x:v>原通信行 66</x:v>
      </x:c>
    </x:row>
    <x:row r="104" ht="15" customHeight="1">
      <x:c r="A104" s="30" t="str">
        <x:v>DCP</x:v>
      </x:c>
      <x:c r="B104" s="30" t="str">
        <x:v>Attention</x:v>
      </x:c>
      <x:c r="C104" s="30" t="str">
        <x:v>Query</x:v>
      </x:c>
      <x:c r="D104" s="34" t="n">
        <x:f>(K67*2^20)/1e9</x:f>
        <x:v>0</x:v>
      </x:c>
      <x:c r="E104" s="64" t="n">
        <x:f>$H$82</x:f>
        <x:v>100</x:v>
      </x:c>
      <x:c r="F104" s="59" t="n">
        <x:v>1</x:v>
      </x:c>
      <x:c r="G104" s="34" t="n">
        <x:f>IF(AND(ISNUMBER(E104),E104&gt;0,ISNUMBER($B$82),$B$82&gt;=0,$B$82&lt;1,ISNUMBER($D$82),$D$82&gt;=0,$D$82&lt;=1,ISNUMBER(F104),F104&gt;=0,F104&lt;=1,ISNUMBER(J104),J104&gt;=0,J104&lt;=1),D104/E104*1000,NA())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G104*F104*$D$82*$B$82/(1-$B$82)</x:f>
        <x:v>0</x:v>
      </x:c>
      <x:c r="J104" s="59" t="n">
        <x:v>1</x:v>
      </x:c>
      <x:c r="K104" s="34" t="n">
        <x:f>I104*J104</x:f>
        <x:v>0</x:v>
      </x:c>
      <x:c r="L104" s="30" t="str">
        <x:v>原通信行 67</x:v>
      </x:c>
    </x:row>
    <x:row r="105" ht="15" customHeight="1">
      <x:c r="A105" s="30" t="str">
        <x:v>DCP</x:v>
      </x:c>
      <x:c r="B105" s="30" t="str">
        <x:v>Attention</x:v>
      </x:c>
      <x:c r="C105" s="30" t="str">
        <x:v>LSE</x:v>
      </x:c>
      <x:c r="D105" s="34" t="n">
        <x:f>(K68*2^20)/1e9</x:f>
        <x:v>0</x:v>
      </x:c>
      <x:c r="E105" s="64" t="n">
        <x:f>$H$82</x:f>
        <x:v>100</x:v>
      </x:c>
      <x:c r="F105" s="59" t="n">
        <x:v>1</x:v>
      </x:c>
      <x:c r="G105" s="34" t="n">
        <x:f>IF(AND(ISNUMBER(E105),E105&gt;0,ISNUMBER($B$82),$B$82&gt;=0,$B$82&lt;1,ISNUMBER($D$82),$D$82&gt;=0,$D$82&lt;=1,ISNUMBER(F105),F105&gt;=0,F105&lt;=1,ISNUMBER(J105),J105&gt;=0,J105&lt;=1),D105/E105*1000,NA())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G105*F105*$D$82*$B$82/(1-$B$82)</x:f>
        <x:v>0</x:v>
      </x:c>
      <x:c r="J105" s="59" t="n">
        <x:v>1</x:v>
      </x:c>
      <x:c r="K105" s="34" t="n">
        <x:f>I105*J105</x:f>
        <x:v>0</x:v>
      </x:c>
      <x:c r="L105" s="30" t="str">
        <x:v>原通信行 68</x:v>
      </x:c>
    </x:row>
    <x:row r="106" ht="15" customHeight="1">
      <x:c r="A106" s="30" t="str">
        <x:v>DCP</x:v>
      </x:c>
      <x:c r="B106" s="30" t="str">
        <x:v>Attention</x:v>
      </x:c>
      <x:c r="C106" s="30" t="str">
        <x:v>Attention 输出</x:v>
      </x:c>
      <x:c r="D106" s="34" t="n">
        <x:f>(K69*2^20)/1e9</x:f>
        <x:v>0</x:v>
      </x:c>
      <x:c r="E106" s="64" t="n">
        <x:f>$H$82</x:f>
        <x:v>100</x:v>
      </x:c>
      <x:c r="F106" s="59" t="n">
        <x:v>1</x:v>
      </x:c>
      <x:c r="G106" s="34" t="n">
        <x:f>IF(AND(ISNUMBER(E106),E106&gt;0,ISNUMBER($B$82),$B$82&gt;=0,$B$82&lt;1,ISNUMBER($D$82),$D$82&gt;=0,$D$82&lt;=1,ISNUMBER(F106),F106&gt;=0,F106&lt;=1,ISNUMBER(J106),J106&gt;=0,J106&lt;=1),D106/E106*1000,NA())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G106*F106*$D$82*$B$82/(1-$B$82)</x:f>
        <x:v>0</x:v>
      </x:c>
      <x:c r="J106" s="59" t="n">
        <x:v>1</x:v>
      </x:c>
      <x:c r="K106" s="34" t="n">
        <x:f>I106*J106</x:f>
        <x:v>0</x:v>
      </x:c>
      <x:c r="L106" s="30" t="str">
        <x:v>原通信行 69</x:v>
      </x:c>
    </x:row>
    <x:row r="107" ht="15" customHeight="1">
      <x:c r="A107" s="30" t="str">
        <x:v>SP</x:v>
      </x:c>
      <x:c r="B107" s="30" t="str">
        <x:v>Model Output</x:v>
      </x:c>
      <x:c r="C107" s="30" t="str">
        <x:v>Final Norm 后</x:v>
      </x:c>
      <x:c r="D107" s="34" t="n">
        <x:f>(K70*2^20)/1e9</x:f>
        <x:v>0.003670016</x:v>
      </x:c>
      <x:c r="E107" s="64" t="n">
        <x:f>$H$82</x:f>
        <x:v>100</x:v>
      </x:c>
      <x:c r="F107" s="59" t="n">
        <x:v>1</x:v>
      </x:c>
      <x:c r="G107" s="34" t="n">
        <x:f>IF(AND(ISNUMBER(E107),E107&gt;0,ISNUMBER($B$82),$B$82&gt;=0,$B$82&lt;1,ISNUMBER($D$82),$D$82&gt;=0,$D$82&lt;=1,ISNUMBER(F107),F107&gt;=0,F107&lt;=1,ISNUMBER(J107),J107&gt;=0,J107&lt;=1),D107/E107*1000,NA())</x:f>
        <x:v>0.03670016</x:v>
      </x:c>
      <x:c r="H107" s="34" t="n">
        <x:f>G107+I107</x:f>
        <x:v>0.04077795555555556</x:v>
      </x:c>
      <x:c r="I107" s="34" t="n">
        <x:f>G107*F107*$D$82*$B$82/(1-$B$82)</x:f>
        <x:v>0.004077795555555556</x:v>
      </x:c>
      <x:c r="J107" s="59" t="n">
        <x:v>1</x:v>
      </x:c>
      <x:c r="K107" s="34" t="n">
        <x:f>I107*J107</x:f>
        <x:v>0.004077795555555556</x:v>
      </x:c>
      <x:c r="L107" s="30" t="str">
        <x:v>原通信行 70</x:v>
      </x:c>
    </x:row>
    <x:row r="108" ht="15" customHeight="1">
      <x:c r="A108" s="30" t="str">
        <x:v>LM Head TP</x:v>
      </x:c>
      <x:c r="B108" s="30" t="str">
        <x:v>LM Head</x:v>
      </x:c>
      <x:c r="C108" s="30" t="str">
        <x:v>完整 Logits</x:v>
      </x:c>
      <x:c r="D108" s="34" t="n">
        <x:f>(K71*2^20)/1e9</x:f>
        <x:v>0</x:v>
      </x:c>
      <x:c r="E108" s="64" t="n">
        <x:f>$H$82</x:f>
        <x:v>100</x:v>
      </x:c>
      <x:c r="F108" s="59" t="n">
        <x:v>1</x:v>
      </x:c>
      <x:c r="G108" s="34" t="n">
        <x:f>IF(AND(ISNUMBER(E108),E108&gt;0,ISNUMBER($B$82),$B$82&gt;=0,$B$82&lt;1,ISNUMBER($D$82),$D$82&gt;=0,$D$82&lt;=1,ISNUMBER(F108),F108&gt;=0,F108&lt;=1,ISNUMBER(J108),J108&gt;=0,J108&lt;=1),D108/E108*1000,NA())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G108*F108*$D$82*$B$82/(1-$B$82)</x:f>
        <x:v>0</x:v>
      </x:c>
      <x:c r="J108" s="59" t="n">
        <x:v>1</x:v>
      </x:c>
      <x:c r="K108" s="34" t="n">
        <x:f>I108*J108</x:f>
        <x:v>0</x:v>
      </x:c>
      <x:c r="L108" s="30" t="str">
        <x:v>原通信行 71</x:v>
      </x:c>
    </x:row>
    <x:row r="109" ht="15" customHeight="1">
      <x:c r="A109" s="30" t="str">
        <x:v>LM Head TP</x:v>
      </x:c>
      <x:c r="B109" s="30" t="str">
        <x:v>LM Head</x:v>
      </x:c>
      <x:c r="C109" s="30" t="str">
        <x:v>Reduce Sample</x:v>
      </x:c>
      <x:c r="D109" s="34" t="n">
        <x:f>(K72*2^20)/1e9</x:f>
        <x:v>0.002752512</x:v>
      </x:c>
      <x:c r="E109" s="64" t="n">
        <x:f>$H$82</x:f>
        <x:v>100</x:v>
      </x:c>
      <x:c r="F109" s="59" t="n">
        <x:v>1</x:v>
      </x:c>
      <x:c r="G109" s="34" t="n">
        <x:f>IF(AND(ISNUMBER(E109),E109&gt;0,ISNUMBER($B$82),$B$82&gt;=0,$B$82&lt;1,ISNUMBER($D$82),$D$82&gt;=0,$D$82&lt;=1,ISNUMBER(F109),F109&gt;=0,F109&lt;=1,ISNUMBER(J109),J109&gt;=0,J109&lt;=1),D109/E109*1000,NA())</x:f>
        <x:v>0.02752512</x:v>
      </x:c>
      <x:c r="H109" s="34" t="n">
        <x:f>G109+I109</x:f>
        <x:v>0.030583466666666666</x:v>
      </x:c>
      <x:c r="I109" s="34" t="n">
        <x:f>G109*F109*$D$82*$B$82/(1-$B$82)</x:f>
        <x:v>0.003058346666666667</x:v>
      </x:c>
      <x:c r="J109" s="59" t="n">
        <x:v>1</x:v>
      </x:c>
      <x:c r="K109" s="34" t="n">
        <x:f>I109*J109</x:f>
        <x:v>0.003058346666666667</x:v>
      </x:c>
      <x:c r="L109" s="30" t="str">
        <x:v>原通信行 72</x:v>
      </x:c>
    </x:row>
    <x:row r="110" ht="15" customHeight="1">
      <x:c r="A110" s="30" t="str">
        <x:v>Fine LM Head TP</x:v>
      </x:c>
      <x:c r="B110" s="30" t="str">
        <x:v>LM Head</x:v>
      </x:c>
      <x:c r="C110" s="30" t="str">
        <x:v>Hidden 输入</x:v>
      </x:c>
      <x:c r="D110" s="34" t="n">
        <x:f>(K73*2^20)/1e9</x:f>
        <x:v>0</x:v>
      </x:c>
      <x:c r="E110" s="64" t="n">
        <x:f>$H$82</x:f>
        <x:v>100</x:v>
      </x:c>
      <x:c r="F110" s="59" t="n">
        <x:v>1</x:v>
      </x:c>
      <x:c r="G110" s="34" t="n">
        <x:f>IF(AND(ISNUMBER(E110),E110&gt;0,ISNUMBER($B$82),$B$82&gt;=0,$B$82&lt;1,ISNUMBER($D$82),$D$82&gt;=0,$D$82&lt;=1,ISNUMBER(F110),F110&gt;=0,F110&lt;=1,ISNUMBER(J110),J110&gt;=0,J110&lt;=1),D110/E110*1000,NA())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G110*F110*$D$82*$B$82/(1-$B$82)</x:f>
        <x:v>0</x:v>
      </x:c>
      <x:c r="J110" s="59" t="n">
        <x:v>1</x:v>
      </x:c>
      <x:c r="K110" s="34" t="n">
        <x:f>I110*J110</x:f>
        <x:v>0</x:v>
      </x:c>
      <x:c r="L110" s="30" t="str">
        <x:v>原通信行 73</x:v>
      </x:c>
    </x:row>
    <x:row r="111" ht="15" customHeight="1">
      <x:c r="A111" s="30" t="str">
        <x:v>Fine LM Head TP</x:v>
      </x:c>
      <x:c r="B111" s="30" t="str">
        <x:v>LM Head</x:v>
      </x:c>
      <x:c r="C111" s="30" t="str">
        <x:v>完整 Logits</x:v>
      </x:c>
      <x:c r="D111" s="34" t="n">
        <x:f>(K74*2^20)/1e9</x:f>
        <x:v>0</x:v>
      </x:c>
      <x:c r="E111" s="64" t="n">
        <x:f>$H$82</x:f>
        <x:v>100</x:v>
      </x:c>
      <x:c r="F111" s="59" t="n">
        <x:v>1</x:v>
      </x:c>
      <x:c r="G111" s="34" t="n">
        <x:f>IF(AND(ISNUMBER(E111),E111&gt;0,ISNUMBER($B$82),$B$82&gt;=0,$B$82&lt;1,ISNUMBER($D$82),$D$82&gt;=0,$D$82&lt;=1,ISNUMBER(F111),F111&gt;=0,F111&lt;=1,ISNUMBER(J111),J111&gt;=0,J111&lt;=1),D111/E111*1000,NA())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G111*F111*$D$82*$B$82/(1-$B$82)</x:f>
        <x:v>0</x:v>
      </x:c>
      <x:c r="J111" s="59" t="n">
        <x:v>1</x:v>
      </x:c>
      <x:c r="K111" s="34" t="n">
        <x:f>I111*J111</x:f>
        <x:v>0</x:v>
      </x:c>
      <x:c r="L111" s="30" t="str">
        <x:v>原通信行 74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Reduce Sample</x:v>
      </x:c>
      <x:c r="D112" s="34" t="n">
        <x:f>(K75*2^20)/1e9</x:f>
        <x:v>0</x:v>
      </x:c>
      <x:c r="E112" s="64" t="n">
        <x:f>$H$82</x:f>
        <x:v>100</x:v>
      </x:c>
      <x:c r="F112" s="59" t="n">
        <x:v>1</x:v>
      </x:c>
      <x:c r="G112" s="34" t="n">
        <x:f>IF(AND(ISNUMBER(E112),E112&gt;0,ISNUMBER($B$82),$B$82&gt;=0,$B$82&lt;1,ISNUMBER($D$82),$D$82&gt;=0,$D$82&lt;=1,ISNUMBER(F112),F112&gt;=0,F112&lt;=1,ISNUMBER(J112),J112&gt;=0,J112&lt;=1),D112/E112*1000,NA())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G112*F112*$D$82*$B$82/(1-$B$82)</x:f>
        <x:v>0</x:v>
      </x:c>
      <x:c r="J112" s="59" t="n">
        <x:v>1</x:v>
      </x:c>
      <x:c r="K112" s="34" t="n">
        <x:f>I112*J112</x:f>
        <x:v>0</x:v>
      </x:c>
      <x:c r="L112" s="30" t="str">
        <x:v>原通信行 75</x:v>
      </x:c>
    </x:row>
    <x:row r="113" ht="15" customHeight="1">
      <x:c r="A113" s="30" t="str">
        <x:v>EP</x:v>
      </x:c>
      <x:c r="B113" s="30" t="str">
        <x:v>MoE 计数</x:v>
      </x:c>
      <x:c r="C113" s="30" t="str">
        <x:v>MC2 count 写入</x:v>
      </x:c>
      <x:c r="D113" s="34" t="n">
        <x:f>(IF(E59=0,0,H59*ROUNDUP(512/G59,0)*(G59-1)*32))/1e9</x:f>
        <x:v>0.001318912</x:v>
      </x:c>
      <x:c r="E113" s="64" t="n">
        <x:f>$H$82</x:f>
        <x:v>100</x:v>
      </x:c>
      <x:c r="F113" s="59" t="n">
        <x:v>1</x:v>
      </x:c>
      <x:c r="G113" s="34" t="n">
        <x:f>IF(AND(ISNUMBER(E113),E113&gt;0,ISNUMBER($B$82),$B$82&gt;=0,$B$82&lt;1,ISNUMBER($D$82),$D$82&gt;=0,$D$82&lt;=1,ISNUMBER(F113),F113&gt;=0,F113&lt;=1,ISNUMBER(J113),J113&gt;=0,J113&lt;=1),D113/E113*1000,NA())</x:f>
        <x:v>0.01318912</x:v>
      </x:c>
      <x:c r="H113" s="34" t="n">
        <x:f>G113+I113</x:f>
        <x:v>0.014654577777777778</x:v>
      </x:c>
      <x:c r="I113" s="34" t="n">
        <x:f>G113*F113*$D$82*$B$82/(1-$B$82)</x:f>
        <x:v>0.001465457777777778</x:v>
      </x:c>
      <x:c r="J113" s="59" t="n">
        <x:v>1</x:v>
      </x:c>
      <x:c r="K113" s="34" t="n">
        <x:f>I113*J113</x:f>
        <x:v>0.001465457777777778</x:v>
      </x:c>
      <x:c r="L113" s="30" t="str">
        <x:v>额外控制量</x:v>
      </x:c>
    </x:row>
    <x:row r="114" ht="15" customHeight="1">
      <x:c r="A114" s="40" t="str">
        <x:v>所列事件串行相加</x:v>
      </x:c>
      <x:c r="B114" s="40"/>
      <x:c r="C114" s="40"/>
      <x:c r="D114" s="41" t="n">
        <x:f>SUM(D88:D113)</x:f>
        <x:v>2.25014272</x:v>
      </x:c>
      <x:c r="E114" s="40"/>
      <x:c r="F114" s="40"/>
      <x:c r="G114" s="41" t="n">
        <x:f>SUM(G88:G113)</x:f>
        <x:v>22.5014272</x:v>
      </x:c>
      <x:c r="H114" s="41" t="n">
        <x:f>SUM(H88:H113)</x:f>
        <x:v>25.001585777777773</x:v>
      </x:c>
      <x:c r="I114" s="41" t="n">
        <x:f>SUM(I88:I113)</x:f>
        <x:v>2.500158577777779</x:v>
      </x:c>
      <x:c r="J114" s="40"/>
      <x:c r="K114" s="41" t="n">
        <x:f>SUM(K88:K113)</x:f>
        <x:v>2.500158577777779</x:v>
      </x:c>
      <x:c r="L114" s="40"/>
    </x:row>
  </x:sheetData>
  <x:conditionalFormatting sqref="L84:L84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22" customHeight="1">
      <x:c r="A5" s="30" t="str">
        <x:v>每 P DP 请求数</x:v>
      </x:c>
      <x:c r="B5" s="66" t="n">
        <x:v>16</x:v>
      </x:c>
      <x:c r="C5" s="30"/>
      <x:c r="D5" s="30"/>
      <x:c r="E5" s="30" t="str">
        <x:v>P EP 组数</x:v>
      </x:c>
      <x:c r="F5" s="66" t="n">
        <x:v>1</x:v>
      </x:c>
      <x:c r="G5" s="30"/>
      <x:c r="H5" s="30"/>
      <x:c r="I5" s="30" t="str">
        <x:v>D EP 组数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22" customHeight="1">
      <x:c r="A9" s="30" t="str">
        <x:v>每周期错峰批数</x:v>
      </x:c>
      <x:c r="B9" s="66" t="n">
        <x:v>1</x:v>
      </x:c>
      <x:c r="C9" s="30"/>
      <x:c r="D9" s="30"/>
      <x:c r="E9" s="30" t="str">
        <x:v>通信共享比例</x:v>
      </x:c>
      <x:c r="F9" s="68" t="n">
        <x:v>1</x:v>
      </x:c>
      <x:c r="G9" s="30"/>
      <x:c r="H9" s="30"/>
      <x:c r="I9" s="30" t="str">
        <x:v>关键路径暴露率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>
        <x:v>TTFT 暂作 P 批次间隔；步间隔＝TPOT×平均产出。每周期 1 批表示各 P DP 同步交接。</x:v>
      </x:c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/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30" t="str">
        <x:v>黄色为输入；模型 / EP 带宽可在下表逐项覆盖。</x:v>
      </x:c>
      <x:c r="I15" s="30"/>
      <x:c r="J15" s="30"/>
      <x:c r="K15" s="30"/>
      <x:c r="L15" s="30"/>
      <x:c r="M15" s="30"/>
      <x:c r="N15" s="30"/>
      <x:c r="O15" s="30"/>
      <x:c r="P15" s="30"/>
      <x:c r="Q15" s="30"/>
      <x:c r="R15" s="30"/>
      <x:c r="S15" s="30"/>
      <x:c r="T15" s="30"/>
      <x:c r="U15" s="30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30" t="str">
        <x:v>时间增量针对基线 60 秒工作量；不表示实测吞吐或 P99。</x:v>
      </x:c>
      <x:c r="I16" s="30"/>
      <x:c r="J16" s="30"/>
      <x:c r="K16" s="30"/>
      <x:c r="L16" s="30"/>
      <x:c r="M16" s="30"/>
      <x:c r="N16" s="30"/>
      <x:c r="O16" s="30"/>
      <x:c r="P16" s="30"/>
      <x:c r="Q16" s="30"/>
      <x:c r="R16" s="30"/>
      <x:c r="S16" s="30"/>
      <x:c r="T16" s="30"/>
      <x:c r="U16" s="30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30" t="str">
        <x:v>TTFT 只用于到达节奏，本页估算 D 侧 TPOT；P 耗时仍见原表。</x:v>
      </x:c>
      <x:c r="I17" s="30"/>
      <x:c r="J17" s="30"/>
      <x:c r="K17" s="30"/>
      <x:c r="L17" s="30"/>
      <x:c r="M17" s="30"/>
      <x:c r="N17" s="30"/>
      <x:c r="O17" s="30"/>
      <x:c r="P17" s="30"/>
      <x:c r="Q17" s="30"/>
      <x:c r="R17" s="30"/>
      <x:c r="S17" s="30"/>
      <x:c r="T17" s="30"/>
      <x:c r="U17" s="30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30" t="str">
        <x:v>全 EP＝该步所有等效 EP 通信段都在 KV 窗口内；不代表整步持续时间都重叠。</x:v>
      </x:c>
      <x:c r="I18" s="30"/>
      <x:c r="J18" s="30"/>
      <x:c r="K18" s="30"/>
      <x:c r="L18" s="30"/>
      <x:c r="M18" s="30"/>
      <x:c r="N18" s="30"/>
      <x:c r="O18" s="30"/>
      <x:c r="P18" s="30"/>
      <x:c r="Q18" s="30"/>
      <x:c r="R18" s="30"/>
      <x:c r="S18" s="30"/>
      <x:c r="T18" s="30"/>
      <x:c r="U18" s="30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  <x:c r="R19" s="30"/>
      <x:c r="S19" s="30"/>
      <x:c r="T19" s="30"/>
      <x:c r="U19" s="30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30"/>
      <x:c r="I20" s="30"/>
      <x:c r="J20" s="30"/>
      <x:c r="K20" s="30"/>
      <x:c r="L20" s="30"/>
      <x:c r="M20" s="30"/>
      <x:c r="N20" s="30"/>
      <x:c r="O20" s="30"/>
      <x:c r="P20" s="30"/>
      <x:c r="Q20" s="30"/>
      <x:c r="R20" s="30"/>
      <x:c r="S20" s="30"/>
      <x:c r="T20" s="30"/>
      <x:c r="U20" s="30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73" t="str">
        <x:v>共享比例</x:v>
      </x:c>
      <x:c r="N22" s="73" t="str">
        <x:v>暴露率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Qwen3.8 2.4T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8192</x:v>
      </x:c>
      <x:c r="G23" s="30" t="n">
        <x:v>10</x:v>
      </x:c>
      <x:c r="H23" s="30" t="n">
        <x:v>512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Qwen3.8 2.4T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8192</x:v>
      </x:c>
      <x:c r="G24" s="30" t="n">
        <x:v>10</x:v>
      </x:c>
      <x:c r="H24" s="30" t="n">
        <x:v>512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运行未验证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73" t="str">
        <x:v>60s 工作增时 ms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30"/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Qwen3.8 2.4T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1.5392017066666666</x:v>
      </x:c>
      <x:c r="H30" s="75" t="n">
        <x:f>IF(W60="估算",U60*R60,"")</x:f>
        <x:v>19.457897861738793</x:v>
      </x:c>
      <x:c r="I30" s="75" t="n">
        <x:f>IF(W60="估算",U60*S60,"")</x:f>
        <x:v>0</x:v>
      </x:c>
      <x:c r="J30" s="75" t="n">
        <x:f>IF(W60="估算",U60*MAX(0,R60-S60),"")</x:f>
        <x:v>19.457897861738793</x:v>
      </x:c>
      <x:c r="K30" s="75" t="n">
        <x:f>IF(W60="估算",IF(OR(O60=0,K60=0),0,U60*E23*MIN(1,(K60+P60)/L60)),"")</x:f>
        <x:v>425.12660328</x:v>
      </x:c>
      <x:c r="L30" s="34" t="n">
        <x:f>IF(W60="估算",V60,"")</x:f>
        <x:v>0.05249018497742697</x:v>
      </x:c>
      <x:c r="M30" s="34" t="n">
        <x:f>IF(W60="估算",E30*V60/60,"")</x:f>
        <x:v>0.004374182081452248</x:v>
      </x:c>
      <x:c r="N30" s="34" t="n">
        <x:f>IF(W60="估算",V60/60000*1e6,"")</x:f>
        <x:v>0.8748364162904494</x:v>
      </x:c>
      <x:c r="O30" s="30" t="str">
        <x:f>IF(W60="估算","相位平均估算",W60)</x:f>
        <x:v>相位平均估算</x:v>
      </x:c>
      <x:c r="P30" s="49" t="n">
        <x:f>Q60</x:f>
        <x:v>98.2183168</x:v>
      </x:c>
      <x:c r="Q30" s="30"/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Qwen3.8 2.4T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1.5392017066666666</x:v>
      </x:c>
      <x:c r="H31" s="75" t="n">
        <x:f>IF(W61="估算",U61*R61,"")</x:f>
        <x:v>17.14742719173867</x:v>
      </x:c>
      <x:c r="I31" s="75" t="n">
        <x:f>IF(W61="估算",U61*S61,"")</x:f>
        <x:v>0</x:v>
      </x:c>
      <x:c r="J31" s="75" t="n">
        <x:f>IF(W61="估算",U61*MAX(0,R61-S61),"")</x:f>
        <x:v>17.14742719173867</x:v>
      </x:c>
      <x:c r="K31" s="75" t="n">
        <x:f>IF(W61="估算",IF(OR(O61=0,K61=0),0,U61*E23*MIN(1,(K61+P61)/L61)),"")</x:f>
        <x:v>212.56330164</x:v>
      </x:c>
      <x:c r="L31" s="34" t="n">
        <x:f>IF(W61="估算",V61,"")</x:f>
        <x:v>0.026245092488713484</x:v>
      </x:c>
      <x:c r="M31" s="34" t="n">
        <x:f>IF(W61="估算",E31*V61/60,"")</x:f>
        <x:v>0.004374182081452248</x:v>
      </x:c>
      <x:c r="N31" s="34" t="n">
        <x:f>IF(W61="估算",V61/60000*1e6,"")</x:f>
        <x:v>0.4374182081452247</x:v>
      </x:c>
      <x:c r="O31" s="30" t="str">
        <x:f>IF(W61="估算","相位平均估算",W61)</x:f>
        <x:v>相位平均估算</x:v>
      </x:c>
      <x:c r="P31" s="49" t="n">
        <x:f>Q61</x:f>
        <x:v>49.1091584</x:v>
      </x:c>
      <x:c r="Q31" s="30"/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Qwen3.8 2.4T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1.5392017066666666</x:v>
      </x:c>
      <x:c r="H32" s="75" t="n">
        <x:f>IF(W62="估算",U62*R62,"")</x:f>
        <x:v>15.992191856738946</x:v>
      </x:c>
      <x:c r="I32" s="75" t="n">
        <x:f>IF(W62="估算",U62*S62,"")</x:f>
        <x:v>0</x:v>
      </x:c>
      <x:c r="J32" s="75" t="n">
        <x:f>IF(W62="估算",U62*MAX(0,R62-S62),"")</x:f>
        <x:v>15.992191856738946</x:v>
      </x:c>
      <x:c r="K32" s="75" t="n">
        <x:f>IF(W62="估算",IF(OR(O62=0,K62=0),0,U62*E23*MIN(1,(K62+P62)/L62)),"")</x:f>
        <x:v>106.28165082</x:v>
      </x:c>
      <x:c r="L32" s="34" t="n">
        <x:f>IF(W62="估算",V62,"")</x:f>
        <x:v>0.013122546244356742</x:v>
      </x:c>
      <x:c r="M32" s="34" t="n">
        <x:f>IF(W62="估算",E32*V62/60,"")</x:f>
        <x:v>0.004374182081452248</x:v>
      </x:c>
      <x:c r="N32" s="34" t="n">
        <x:f>IF(W62="估算",V62/60000*1e6,"")</x:f>
        <x:v>0.21870910407261235</x:v>
      </x:c>
      <x:c r="O32" s="30" t="str">
        <x:f>IF(W62="估算","相位平均估算",W62)</x:f>
        <x:v>相位平均估算</x:v>
      </x:c>
      <x:c r="P32" s="49" t="n">
        <x:f>Q62</x:f>
        <x:v>24.5545792</x:v>
      </x:c>
      <x:c r="Q32" s="30"/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Qwen3.8 2.4T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1.5392017066666666</x:v>
      </x:c>
      <x:c r="H33" s="75" t="n">
        <x:f>IF(W63="估算",U63*R63,"")</x:f>
        <x:v>15.607113411739038</x:v>
      </x:c>
      <x:c r="I33" s="75" t="n">
        <x:f>IF(W63="估算",U63*S63,"")</x:f>
        <x:v>0</x:v>
      </x:c>
      <x:c r="J33" s="75" t="n">
        <x:f>IF(W63="估算",U63*MAX(0,R63-S63),"")</x:f>
        <x:v>15.607113411739038</x:v>
      </x:c>
      <x:c r="K33" s="75" t="n">
        <x:f>IF(W63="估算",IF(OR(O63=0,K63=0),0,U63*E23*MIN(1,(K63+P63)/L63)),"")</x:f>
        <x:v>70.85443387999999</x:v>
      </x:c>
      <x:c r="L33" s="34" t="n">
        <x:f>IF(W63="估算",V63,"")</x:f>
        <x:v>0.008748364162904494</x:v>
      </x:c>
      <x:c r="M33" s="34" t="n">
        <x:f>IF(W63="估算",E33*V63/60,"")</x:f>
        <x:v>0.004374182081452247</x:v>
      </x:c>
      <x:c r="N33" s="34" t="n">
        <x:f>IF(W63="估算",V63/60000*1e6,"")</x:f>
        <x:v>0.14580606938174157</x:v>
      </x:c>
      <x:c r="O33" s="30" t="str">
        <x:f>IF(W63="估算","相位平均估算",W63)</x:f>
        <x:v>相位平均估算</x:v>
      </x:c>
      <x:c r="P33" s="49" t="n">
        <x:f>Q63</x:f>
        <x:v>16.369719466666666</x:v>
      </x:c>
      <x:c r="Q33" s="30"/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Qwen3.8 2.4T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20.833000106666667</x:v>
      </x:c>
      <x:c r="H34" s="75" t="n">
        <x:f>IF(W64="估算",U64*R64,"")</x:f>
        <x:v>15.467858612347563</x:v>
      </x:c>
      <x:c r="I34" s="75" t="n">
        <x:f>IF(W64="估算",U64*S64,"")</x:f>
        <x:v>9.531741515654168</x:v>
      </x:c>
      <x:c r="J34" s="75" t="n">
        <x:f>IF(W64="估算",U64*MAX(0,R64-S64),"")</x:f>
        <x:v>5.936117096693394</x:v>
      </x:c>
      <x:c r="K34" s="75" t="n">
        <x:f>IF(W64="估算",IF(OR(O64=0,K64=0),0,U64*E23*MIN(1,(K64+P64)/L64)),"")</x:f>
        <x:v>1150.0429923360002</x:v>
      </x:c>
      <x:c r="L34" s="34" t="n">
        <x:f>IF(W64="估算",V64,"")</x:f>
        <x:v>0.14209556501816134</x:v>
      </x:c>
      <x:c r="M34" s="34" t="n">
        <x:f>IF(W64="估算",E34*V64/60,"")</x:f>
        <x:v>0.011841297084846778</x:v>
      </x:c>
      <x:c r="N34" s="34" t="n">
        <x:f>IF(W64="估算",V64/60000*1e6,"")</x:f>
        <x:v>2.3682594169693556</x:v>
      </x:c>
      <x:c r="O34" s="30" t="str">
        <x:f>IF(W64="估算","相位平均估算",W64)</x:f>
        <x:v>相位平均估算</x:v>
      </x:c>
      <x:c r="P34" s="49" t="n">
        <x:f>Q64</x:f>
        <x:v>98.2183168</x:v>
      </x:c>
      <x:c r="Q34" s="30"/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Qwen3.8 2.4T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20.833000106666667</x:v>
      </x:c>
      <x:c r="H35" s="75" t="n">
        <x:f>IF(W65="估算",U65*R65,"")</x:f>
        <x:v>9.217624958348436</x:v>
      </x:c>
      <x:c r="I35" s="75" t="n">
        <x:f>IF(W65="估算",U65*S65,"")</x:f>
        <x:v>3.2821751056524295</x:v>
      </x:c>
      <x:c r="J35" s="75" t="n">
        <x:f>IF(W65="估算",U65*MAX(0,R65-S65),"")</x:f>
        <x:v>5.9354498526960064</x:v>
      </x:c>
      <x:c r="K35" s="75" t="n">
        <x:f>IF(W65="估算",IF(OR(O65=0,K65=0),0,U65*E23*MIN(1,(K65+P65)/L65)),"")</x:f>
        <x:v>575.0214961680001</x:v>
      </x:c>
      <x:c r="L35" s="34" t="n">
        <x:f>IF(W65="估算",V65,"")</x:f>
        <x:v>0.07104778250908067</x:v>
      </x:c>
      <x:c r="M35" s="34" t="n">
        <x:f>IF(W65="估算",E35*V65/60,"")</x:f>
        <x:v>0.011841297084846778</x:v>
      </x:c>
      <x:c r="N35" s="34" t="n">
        <x:f>IF(W65="估算",V65/60000*1e6,"")</x:f>
        <x:v>1.1841297084846778</x:v>
      </x:c>
      <x:c r="O35" s="30" t="str">
        <x:f>IF(W65="估算","相位平均估算",W65)</x:f>
        <x:v>相位平均估算</x:v>
      </x:c>
      <x:c r="P35" s="49" t="n">
        <x:f>Q65</x:f>
        <x:v>49.1091584</x:v>
      </x:c>
      <x:c r="Q35" s="30"/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Qwen3.8 2.4T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20.833000106666667</x:v>
      </x:c>
      <x:c r="H36" s="75" t="n">
        <x:f>IF(W66="估算",U66*R66,"")</x:f>
        <x:v>6.0925081313478735</x:v>
      </x:c>
      <x:c r="I36" s="75" t="n">
        <x:f>IF(W66="估算",U66*S66,"")</x:f>
        <x:v>0.15739190065255926</x:v>
      </x:c>
      <x:c r="J36" s="75" t="n">
        <x:f>IF(W66="估算",U66*MAX(0,R66-S66),"")</x:f>
        <x:v>5.935116230695314</x:v>
      </x:c>
      <x:c r="K36" s="75" t="n">
        <x:f>IF(W66="估算",IF(OR(O66=0,K66=0),0,U66*E23*MIN(1,(K66+P66)/L66)),"")</x:f>
        <x:v>287.51074808400006</x:v>
      </x:c>
      <x:c r="L36" s="34" t="n">
        <x:f>IF(W66="估算",V66,"")</x:f>
        <x:v>0.035523891254540335</x:v>
      </x:c>
      <x:c r="M36" s="34" t="n">
        <x:f>IF(W66="估算",E36*V66/60,"")</x:f>
        <x:v>0.011841297084846778</x:v>
      </x:c>
      <x:c r="N36" s="34" t="n">
        <x:f>IF(W66="估算",V66/60000*1e6,"")</x:f>
        <x:v>0.5920648542423389</x:v>
      </x:c>
      <x:c r="O36" s="30" t="str">
        <x:f>IF(W66="估算","相位平均估算",W66)</x:f>
        <x:v>相位平均估算</x:v>
      </x:c>
      <x:c r="P36" s="49" t="n">
        <x:f>Q66</x:f>
        <x:v>24.5545792</x:v>
      </x:c>
      <x:c r="Q36" s="30"/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Qwen3.8 2.4T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20.833000106666667</x:v>
      </x:c>
      <x:c r="H37" s="75" t="n">
        <x:f>IF(W67="估算",U67*R67,"")</x:f>
        <x:v>5.05080252234813</x:v>
      </x:c>
      <x:c r="I37" s="75" t="n">
        <x:f>IF(W67="估算",U67*S67,"")</x:f>
        <x:v>0</x:v>
      </x:c>
      <x:c r="J37" s="75" t="n">
        <x:f>IF(W67="估算",U67*MAX(0,R67-S67),"")</x:f>
        <x:v>5.05080252234813</x:v>
      </x:c>
      <x:c r="K37" s="75" t="n">
        <x:f>IF(W67="估算",IF(OR(O67=0,K67=0),0,U67*E23*MIN(1,(K67+P67)/L67)),"")</x:f>
        <x:v>191.67383205600004</x:v>
      </x:c>
      <x:c r="L37" s="34" t="n">
        <x:f>IF(W67="估算",V67,"")</x:f>
        <x:v>0.023682594169693556</x:v>
      </x:c>
      <x:c r="M37" s="34" t="n">
        <x:f>IF(W67="估算",E37*V67/60,"")</x:f>
        <x:v>0.011841297084846778</x:v>
      </x:c>
      <x:c r="N37" s="34" t="n">
        <x:f>IF(W67="估算",V67/60000*1e6,"")</x:f>
        <x:v>0.39470990282822593</x:v>
      </x:c>
      <x:c r="O37" s="30" t="str">
        <x:f>IF(W67="估算","相位平均估算",W67)</x:f>
        <x:v>相位平均估算</x:v>
      </x:c>
      <x:c r="P37" s="49" t="n">
        <x:f>Q67</x:f>
        <x:v>16.369719466666666</x:v>
      </x:c>
      <x:c r="Q37" s="30"/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Qwen3.8 2.4T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82.57315498666667</x:v>
      </x:c>
      <x:c r="H38" s="75" t="n">
        <x:f>IF(W68="估算",U68*R68,"")</x:f>
        <x:v>17.5039838467832</x:v>
      </x:c>
      <x:c r="I38" s="75" t="n">
        <x:f>IF(W68="估算",U68*S68,"")</x:f>
        <x:v>15.525278147884514</x:v>
      </x:c>
      <x:c r="J38" s="75" t="n">
        <x:f>IF(W68="估算",U68*MAX(0,R68-S68),"")</x:f>
        <x:v>1.9787056988986862</x:v>
      </x:c>
      <x:c r="K38" s="75" t="n">
        <x:f>IF(W68="估算",IF(OR(O68=0,K68=0),0,U68*E23*MIN(1,(K68+P68)/L68)),"")</x:f>
        <x:v>1519.366513904</x:v>
      </x:c>
      <x:c r="L38" s="34" t="n">
        <x:f>IF(W68="估算",V68,"")</x:f>
        <x:v>0.18773588489690812</x:v>
      </x:c>
      <x:c r="M38" s="34" t="n">
        <x:f>IF(W68="估算",E38*V68/60,"")</x:f>
        <x:v>0.015644657074742344</x:v>
      </x:c>
      <x:c r="N38" s="34" t="n">
        <x:f>IF(W68="估算",V68/60000*1e6,"")</x:f>
        <x:v>3.1289314149484686</x:v>
      </x:c>
      <x:c r="O38" s="30" t="str">
        <x:f>IF(W68="估算","相位平均估算",W68)</x:f>
        <x:v>相位平均估算</x:v>
      </x:c>
      <x:c r="P38" s="49" t="n">
        <x:f>Q68</x:f>
        <x:v>98.2183168</x:v>
      </x:c>
      <x:c r="Q38" s="30"/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Qwen3.8 2.4T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82.57315498666667</x:v>
      </x:c>
      <x:c r="H39" s="75" t="n">
        <x:f>IF(W69="估算",U69*R69,"")</x:f>
        <x:v>9.246557140782263</x:v>
      </x:c>
      <x:c r="I39" s="75" t="n">
        <x:f>IF(W69="估算",U69*S69,"")</x:f>
        <x:v>7.268073856550927</x:v>
      </x:c>
      <x:c r="J39" s="75" t="n">
        <x:f>IF(W69="估算",U69*MAX(0,R69-S69),"")</x:f>
        <x:v>1.978483284231336</x:v>
      </x:c>
      <x:c r="K39" s="75" t="n">
        <x:f>IF(W69="估算",IF(OR(O69=0,K69=0),0,U69*E23*MIN(1,(K69+P69)/L69)),"")</x:f>
        <x:v>759.683256952</x:v>
      </x:c>
      <x:c r="L39" s="34" t="n">
        <x:f>IF(W69="估算",V69,"")</x:f>
        <x:v>0.09386794244845406</x:v>
      </x:c>
      <x:c r="M39" s="34" t="n">
        <x:f>IF(W69="估算",E39*V69/60,"")</x:f>
        <x:v>0.015644657074742344</x:v>
      </x:c>
      <x:c r="N39" s="34" t="n">
        <x:f>IF(W69="估算",V69/60000*1e6,"")</x:f>
        <x:v>1.5644657074742343</x:v>
      </x:c>
      <x:c r="O39" s="30" t="str">
        <x:f>IF(W69="估算","相位平均估算",W69)</x:f>
        <x:v>相位平均估算</x:v>
      </x:c>
      <x:c r="P39" s="49" t="n">
        <x:f>Q69</x:f>
        <x:v>49.1091584</x:v>
      </x:c>
      <x:c r="Q39" s="30"/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Qwen3.8 2.4T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82.57315498666667</x:v>
      </x:c>
      <x:c r="H40" s="75" t="n">
        <x:f>IF(W70="估算",U70*R70,"")</x:f>
        <x:v>5.117843787782794</x:v>
      </x:c>
      <x:c r="I40" s="75" t="n">
        <x:f>IF(W70="估算",U70*S70,"")</x:f>
        <x:v>3.139471710884134</x:v>
      </x:c>
      <x:c r="J40" s="75" t="n">
        <x:f>IF(W70="估算",U70*MAX(0,R70-S70),"")</x:f>
        <x:v>1.9783720768986601</x:v>
      </x:c>
      <x:c r="K40" s="75" t="n">
        <x:f>IF(W70="估算",IF(OR(O70=0,K70=0),0,U70*E23*MIN(1,(K70+P70)/L70)),"")</x:f>
        <x:v>379.841628476</x:v>
      </x:c>
      <x:c r="L40" s="34" t="n">
        <x:f>IF(W70="估算",V70,"")</x:f>
        <x:v>0.04693397122422703</x:v>
      </x:c>
      <x:c r="M40" s="34" t="n">
        <x:f>IF(W70="估算",E40*V70/60,"")</x:f>
        <x:v>0.015644657074742344</x:v>
      </x:c>
      <x:c r="N40" s="34" t="n">
        <x:f>IF(W70="估算",V70/60000*1e6,"")</x:f>
        <x:v>0.7822328537371172</x:v>
      </x:c>
      <x:c r="O40" s="30" t="str">
        <x:f>IF(W70="估算","相位平均估算",W70)</x:f>
        <x:v>相位平均估算</x:v>
      </x:c>
      <x:c r="P40" s="49" t="n">
        <x:f>Q70</x:f>
        <x:v>24.5545792</x:v>
      </x:c>
      <x:c r="Q40" s="30"/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Qwen3.8 2.4T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82.57315498666667</x:v>
      </x:c>
      <x:c r="H41" s="75" t="n">
        <x:f>IF(W71="估算",U71*R71,"")</x:f>
        <x:v>3.741606003449416</x:v>
      </x:c>
      <x:c r="I41" s="75" t="n">
        <x:f>IF(W71="估算",U71*S71,"")</x:f>
        <x:v>1.7632709956618697</x:v>
      </x:c>
      <x:c r="J41" s="75" t="n">
        <x:f>IF(W71="估算",U71*MAX(0,R71-S71),"")</x:f>
        <x:v>1.9783350077875461</x:v>
      </x:c>
      <x:c r="K41" s="75" t="n">
        <x:f>IF(W71="估算",IF(OR(O71=0,K71=0),0,U71*E23*MIN(1,(K71+P71)/L71)),"")</x:f>
        <x:v>253.22775231733334</x:v>
      </x:c>
      <x:c r="L41" s="34" t="n">
        <x:f>IF(W71="估算",V71,"")</x:f>
        <x:v>0.03128931414948469</x:v>
      </x:c>
      <x:c r="M41" s="34" t="n">
        <x:f>IF(W71="估算",E41*V71/60,"")</x:f>
        <x:v>0.015644657074742344</x:v>
      </x:c>
      <x:c r="N41" s="34" t="n">
        <x:f>IF(W71="估算",V71/60000*1e6,"")</x:f>
        <x:v>0.5214885691580781</x:v>
      </x:c>
      <x:c r="O41" s="30" t="str">
        <x:f>IF(W71="估算","相位平均估算",W71)</x:f>
        <x:v>相位平均估算</x:v>
      </x:c>
      <x:c r="P41" s="49" t="n">
        <x:f>Q71</x:f>
        <x:v>16.369719466666666</x:v>
      </x:c>
      <x:c r="Q41" s="30"/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Qwen3.8 2.4T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1.5392017066666666</x:v>
      </x:c>
      <x:c r="H42" s="75" t="n">
        <x:f>IF(W72="估算",U72*R72,"")</x:f>
        <x:v>19.457992029237925</x:v>
      </x:c>
      <x:c r="I42" s="75" t="n">
        <x:f>IF(W72="估算",U72*S72,"")</x:f>
        <x:v>0</x:v>
      </x:c>
      <x:c r="J42" s="75" t="n">
        <x:f>IF(W72="估算",U72*MAX(0,R72-S72),"")</x:f>
        <x:v>19.457992029237925</x:v>
      </x:c>
      <x:c r="K42" s="75" t="n">
        <x:f>IF(W72="估算",IF(OR(O72=0,K72=0),0,U72*E24*MIN(1,(K72+P72)/L72)),"")</x:f>
        <x:v>425.13526669</x:v>
      </x:c>
      <x:c r="L42" s="34" t="n">
        <x:f>IF(W72="估算",V72,"")</x:f>
        <x:v>0.053971701629305126</x:v>
      </x:c>
      <x:c r="M42" s="34" t="n">
        <x:f>IF(W72="估算",E42*V72/60,"")</x:f>
        <x:v>0.004497641802442094</x:v>
      </x:c>
      <x:c r="N42" s="34" t="n">
        <x:f>IF(W72="估算",V72/60000*1e6,"")</x:f>
        <x:v>0.8995283604884188</x:v>
      </x:c>
      <x:c r="O42" s="30" t="str">
        <x:f>IF(W72="估算","相位平均估算",W72)</x:f>
        <x:v>相位平均估算</x:v>
      </x:c>
      <x:c r="P42" s="49" t="n">
        <x:f>Q72</x:f>
        <x:v>100.990608</x:v>
      </x:c>
      <x:c r="Q42" s="30"/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Qwen3.8 2.4T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1.5392017066666666</x:v>
      </x:c>
      <x:c r="H43" s="75" t="n">
        <x:f>IF(W73="估算",U73*R73,"")</x:f>
        <x:v>17.147474275488904</x:v>
      </x:c>
      <x:c r="I43" s="75" t="n">
        <x:f>IF(W73="估算",U73*S73,"")</x:f>
        <x:v>0</x:v>
      </x:c>
      <x:c r="J43" s="75" t="n">
        <x:f>IF(W73="估算",U73*MAX(0,R73-S73),"")</x:f>
        <x:v>17.147474275488904</x:v>
      </x:c>
      <x:c r="K43" s="75" t="n">
        <x:f>IF(W73="估算",IF(OR(O73=0,K73=0),0,U73*E24*MIN(1,(K73+P73)/L73)),"")</x:f>
        <x:v>212.567633345</x:v>
      </x:c>
      <x:c r="L43" s="34" t="n">
        <x:f>IF(W73="估算",V73,"")</x:f>
        <x:v>0.026985850814652563</x:v>
      </x:c>
      <x:c r="M43" s="34" t="n">
        <x:f>IF(W73="估算",E43*V73/60,"")</x:f>
        <x:v>0.004497641802442094</x:v>
      </x:c>
      <x:c r="N43" s="34" t="n">
        <x:f>IF(W73="估算",V73/60000*1e6,"")</x:f>
        <x:v>0.4497641802442094</x:v>
      </x:c>
      <x:c r="O43" s="30" t="str">
        <x:f>IF(W73="估算","相位平均估算",W73)</x:f>
        <x:v>相位平均估算</x:v>
      </x:c>
      <x:c r="P43" s="49" t="n">
        <x:f>Q73</x:f>
        <x:v>50.495304</x:v>
      </x:c>
      <x:c r="Q43" s="30"/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Qwen3.8 2.4T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1.5392017066666666</x:v>
      </x:c>
      <x:c r="H44" s="75" t="n">
        <x:f>IF(W74="估算",U74*R74,"")</x:f>
        <x:v>15.992215398614062</x:v>
      </x:c>
      <x:c r="I44" s="75" t="n">
        <x:f>IF(W74="估算",U74*S74,"")</x:f>
        <x:v>0</x:v>
      </x:c>
      <x:c r="J44" s="75" t="n">
        <x:f>IF(W74="估算",U74*MAX(0,R74-S74),"")</x:f>
        <x:v>15.992215398614062</x:v>
      </x:c>
      <x:c r="K44" s="75" t="n">
        <x:f>IF(W74="估算",IF(OR(O74=0,K74=0),0,U74*E24*MIN(1,(K74+P74)/L74)),"")</x:f>
        <x:v>106.2838166725</x:v>
      </x:c>
      <x:c r="L44" s="34" t="n">
        <x:f>IF(W74="估算",V74,"")</x:f>
        <x:v>0.013492925407326281</x:v>
      </x:c>
      <x:c r="M44" s="34" t="n">
        <x:f>IF(W74="估算",E44*V74/60,"")</x:f>
        <x:v>0.004497641802442094</x:v>
      </x:c>
      <x:c r="N44" s="34" t="n">
        <x:f>IF(W74="估算",V74/60000*1e6,"")</x:f>
        <x:v>0.2248820901221047</x:v>
      </x:c>
      <x:c r="O44" s="30" t="str">
        <x:f>IF(W74="估算","相位平均估算",W74)</x:f>
        <x:v>相位平均估算</x:v>
      </x:c>
      <x:c r="P44" s="49" t="n">
        <x:f>Q74</x:f>
        <x:v>25.247652</x:v>
      </x:c>
      <x:c r="Q44" s="30"/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Qwen3.8 2.4T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1.5392017066666666</x:v>
      </x:c>
      <x:c r="H45" s="75" t="n">
        <x:f>IF(W75="估算",U75*R75,"")</x:f>
        <x:v>15.607129106322448</x:v>
      </x:c>
      <x:c r="I45" s="75" t="n">
        <x:f>IF(W75="估算",U75*S75,"")</x:f>
        <x:v>0</x:v>
      </x:c>
      <x:c r="J45" s="75" t="n">
        <x:f>IF(W75="估算",U75*MAX(0,R75-S75),"")</x:f>
        <x:v>15.607129106322448</x:v>
      </x:c>
      <x:c r="K45" s="75" t="n">
        <x:f>IF(W75="估算",IF(OR(O75=0,K75=0),0,U75*E24*MIN(1,(K75+P75)/L75)),"")</x:f>
        <x:v>70.85587778166666</x:v>
      </x:c>
      <x:c r="L45" s="34" t="n">
        <x:f>IF(W75="估算",V75,"")</x:f>
        <x:v>0.008995283604884188</x:v>
      </x:c>
      <x:c r="M45" s="34" t="n">
        <x:f>IF(W75="估算",E45*V75/60,"")</x:f>
        <x:v>0.004497641802442094</x:v>
      </x:c>
      <x:c r="N45" s="34" t="n">
        <x:f>IF(W75="估算",V75/60000*1e6,"")</x:f>
        <x:v>0.14992139341473645</x:v>
      </x:c>
      <x:c r="O45" s="30" t="str">
        <x:f>IF(W75="估算","相位平均估算",W75)</x:f>
        <x:v>相位平均估算</x:v>
      </x:c>
      <x:c r="P45" s="49" t="n">
        <x:f>Q75</x:f>
        <x:v>16.831768</x:v>
      </x:c>
      <x:c r="Q45" s="30"/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Qwen3.8 2.4T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20.833000106666667</x:v>
      </x:c>
      <x:c r="H46" s="75" t="n">
        <x:f>IF(W76="估算",U76*R76,"")</x:f>
        <x:v>15.467877445848988</x:v>
      </x:c>
      <x:c r="I46" s="75" t="n">
        <x:f>IF(W76="估算",U76*S76,"")</x:f>
        <x:v>9.531722682152743</x:v>
      </x:c>
      <x:c r="J46" s="75" t="n">
        <x:f>IF(W76="估算",U76*MAX(0,R76-S76),"")</x:f>
        <x:v>5.936154763696244</x:v>
      </x:c>
      <x:c r="K46" s="75" t="n">
        <x:f>IF(W76="估算",IF(OR(O76=0,K76=0),0,U76*E24*MIN(1,(K76+P76)/L76)),"")</x:f>
        <x:v>1150.044725018</x:v>
      </x:c>
      <x:c r="L46" s="34" t="n">
        <x:f>IF(W76="估算",V76,"")</x:f>
        <x:v>0.1461063147040157</x:v>
      </x:c>
      <x:c r="M46" s="34" t="n">
        <x:f>IF(W76="估算",E46*V76/60,"")</x:f>
        <x:v>0.01217552622533464</x:v>
      </x:c>
      <x:c r="N46" s="34" t="n">
        <x:f>IF(W76="估算",V76/60000*1e6,"")</x:f>
        <x:v>2.435105245066928</x:v>
      </x:c>
      <x:c r="O46" s="30" t="str">
        <x:f>IF(W76="估算","相位平均估算",W76)</x:f>
        <x:v>相位平均估算</x:v>
      </x:c>
      <x:c r="P46" s="49" t="n">
        <x:f>Q76</x:f>
        <x:v>100.990608</x:v>
      </x:c>
      <x:c r="Q46" s="30"/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Qwen3.8 2.4T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20.833000106666667</x:v>
      </x:c>
      <x:c r="H47" s="75" t="n">
        <x:f>IF(W77="估算",U77*R77,"")</x:f>
        <x:v>9.217634375097816</x:v>
      </x:c>
      <x:c r="I47" s="75" t="n">
        <x:f>IF(W77="估算",U77*S77,"")</x:f>
        <x:v>3.2821656889030493</x:v>
      </x:c>
      <x:c r="J47" s="75" t="n">
        <x:f>IF(W77="估算",U77*MAX(0,R77-S77),"")</x:f>
        <x:v>5.935468686194767</x:v>
      </x:c>
      <x:c r="K47" s="75" t="n">
        <x:f>IF(W77="估算",IF(OR(O77=0,K77=0),0,U77*E24*MIN(1,(K77+P77)/L77)),"")</x:f>
        <x:v>575.022362509</x:v>
      </x:c>
      <x:c r="L47" s="34" t="n">
        <x:f>IF(W77="估算",V77,"")</x:f>
        <x:v>0.07305315735200785</x:v>
      </x:c>
      <x:c r="M47" s="34" t="n">
        <x:f>IF(W77="估算",E47*V77/60,"")</x:f>
        <x:v>0.01217552622533464</x:v>
      </x:c>
      <x:c r="N47" s="34" t="n">
        <x:f>IF(W77="估算",V77/60000*1e6,"")</x:f>
        <x:v>1.217552622533464</x:v>
      </x:c>
      <x:c r="O47" s="30" t="str">
        <x:f>IF(W77="估算","相位平均估算",W77)</x:f>
        <x:v>相位平均估算</x:v>
      </x:c>
      <x:c r="P47" s="49" t="n">
        <x:f>Q77</x:f>
        <x:v>50.495304</x:v>
      </x:c>
      <x:c r="Q47" s="30"/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Qwen3.8 2.4T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20.833000106666667</x:v>
      </x:c>
      <x:c r="H48" s="75" t="n">
        <x:f>IF(W78="估算",U78*R78,"")</x:f>
        <x:v>6.09251283972323</x:v>
      </x:c>
      <x:c r="I48" s="75" t="n">
        <x:f>IF(W78="估算",U78*S78,"")</x:f>
        <x:v>0.157387192277203</x:v>
      </x:c>
      <x:c r="J48" s="75" t="n">
        <x:f>IF(W78="估算",U78*MAX(0,R78-S78),"")</x:f>
        <x:v>5.935125647446027</x:v>
      </x:c>
      <x:c r="K48" s="75" t="n">
        <x:f>IF(W78="估算",IF(OR(O78=0,K78=0),0,U78*E24*MIN(1,(K78+P78)/L78)),"")</x:f>
        <x:v>287.5111812545</x:v>
      </x:c>
      <x:c r="L48" s="34" t="n">
        <x:f>IF(W78="估算",V78,"")</x:f>
        <x:v>0.036526578676003923</x:v>
      </x:c>
      <x:c r="M48" s="34" t="n">
        <x:f>IF(W78="估算",E48*V78/60,"")</x:f>
        <x:v>0.01217552622533464</x:v>
      </x:c>
      <x:c r="N48" s="34" t="n">
        <x:f>IF(W78="估算",V78/60000*1e6,"")</x:f>
        <x:v>0.608776311266732</x:v>
      </x:c>
      <x:c r="O48" s="30" t="str">
        <x:f>IF(W78="估算","相位平均估算",W78)</x:f>
        <x:v>相位平均估算</x:v>
      </x:c>
      <x:c r="P48" s="49" t="n">
        <x:f>Q78</x:f>
        <x:v>25.247652</x:v>
      </x:c>
      <x:c r="Q48" s="30"/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Qwen3.8 2.4T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20.833000106666667</x:v>
      </x:c>
      <x:c r="H49" s="75" t="n">
        <x:f>IF(W79="估算",U79*R79,"")</x:f>
        <x:v>5.05080566126459</x:v>
      </x:c>
      <x:c r="I49" s="75" t="n">
        <x:f>IF(W79="估算",U79*S79,"")</x:f>
        <x:v>0</x:v>
      </x:c>
      <x:c r="J49" s="75" t="n">
        <x:f>IF(W79="估算",U79*MAX(0,R79-S79),"")</x:f>
        <x:v>5.05080566126459</x:v>
      </x:c>
      <x:c r="K49" s="75" t="n">
        <x:f>IF(W79="估算",IF(OR(O79=0,K79=0),0,U79*E24*MIN(1,(K79+P79)/L79)),"")</x:f>
        <x:v>191.67412083633334</x:v>
      </x:c>
      <x:c r="L49" s="34" t="n">
        <x:f>IF(W79="估算",V79,"")</x:f>
        <x:v>0.02435105245066928</x:v>
      </x:c>
      <x:c r="M49" s="34" t="n">
        <x:f>IF(W79="估算",E49*V79/60,"")</x:f>
        <x:v>0.01217552622533464</x:v>
      </x:c>
      <x:c r="N49" s="34" t="n">
        <x:f>IF(W79="估算",V79/60000*1e6,"")</x:f>
        <x:v>0.4058508741778214</x:v>
      </x:c>
      <x:c r="O49" s="30" t="str">
        <x:f>IF(W79="估算","相位平均估算",W79)</x:f>
        <x:v>相位平均估算</x:v>
      </x:c>
      <x:c r="P49" s="49" t="n">
        <x:f>Q79</x:f>
        <x:v>16.831768</x:v>
      </x:c>
      <x:c r="Q49" s="30"/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Qwen3.8 2.4T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82.57315498666667</x:v>
      </x:c>
      <x:c r="H50" s="75" t="n">
        <x:f>IF(W80="估算",U80*R80,"")</x:f>
        <x:v>17.50399012461612</x:v>
      </x:c>
      <x:c r="I50" s="75" t="n">
        <x:f>IF(W80="估算",U80*S80,"")</x:f>
        <x:v>15.525271870051593</x:v>
      </x:c>
      <x:c r="J50" s="75" t="n">
        <x:f>IF(W80="估算",U80*MAX(0,R80-S80),"")</x:f>
        <x:v>1.9787182545645265</x:v>
      </x:c>
      <x:c r="K50" s="75" t="n">
        <x:f>IF(W80="估算",IF(OR(O80=0,K80=0),0,U80*E24*MIN(1,(K80+P80)/L80)),"")</x:f>
        <x:v>1519.3670914646666</x:v>
      </x:c>
      <x:c r="L50" s="34" t="n">
        <x:f>IF(W80="估算",V80,"")</x:f>
        <x:v>0.19303487757137025</x:v>
      </x:c>
      <x:c r="M50" s="34" t="n">
        <x:f>IF(W80="估算",E50*V80/60,"")</x:f>
        <x:v>0.01608623979761419</x:v>
      </x:c>
      <x:c r="N50" s="34" t="n">
        <x:f>IF(W80="估算",V80/60000*1e6,"")</x:f>
        <x:v>3.217247959522837</x:v>
      </x:c>
      <x:c r="O50" s="30" t="str">
        <x:f>IF(W80="估算","相位平均估算",W80)</x:f>
        <x:v>相位平均估算</x:v>
      </x:c>
      <x:c r="P50" s="49" t="n">
        <x:f>Q80</x:f>
        <x:v>100.990608</x:v>
      </x:c>
      <x:c r="Q50" s="30"/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Qwen3.8 2.4T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82.57315498666667</x:v>
      </x:c>
      <x:c r="H51" s="75" t="n">
        <x:f>IF(W81="估算",U81*R81,"")</x:f>
        <x:v>9.246560279700056</x:v>
      </x:c>
      <x:c r="I51" s="75" t="n">
        <x:f>IF(W81="估算",U81*S81,"")</x:f>
        <x:v>7.268070717633801</x:v>
      </x:c>
      <x:c r="J51" s="75" t="n">
        <x:f>IF(W81="估算",U81*MAX(0,R81-S81),"")</x:f>
        <x:v>1.9784895620662546</x:v>
      </x:c>
      <x:c r="K51" s="75" t="n">
        <x:f>IF(W81="估算",IF(OR(O81=0,K81=0),0,U81*E24*MIN(1,(K81+P81)/L81)),"")</x:f>
        <x:v>759.6835457323333</x:v>
      </x:c>
      <x:c r="L51" s="34" t="n">
        <x:f>IF(W81="估算",V81,"")</x:f>
        <x:v>0.09651743878568513</x:v>
      </x:c>
      <x:c r="M51" s="34" t="n">
        <x:f>IF(W81="估算",E51*V81/60,"")</x:f>
        <x:v>0.01608623979761419</x:v>
      </x:c>
      <x:c r="N51" s="34" t="n">
        <x:f>IF(W81="估算",V81/60000*1e6,"")</x:f>
        <x:v>1.6086239797614186</x:v>
      </x:c>
      <x:c r="O51" s="30" t="str">
        <x:f>IF(W81="估算","相位平均估算",W81)</x:f>
        <x:v>相位平均估算</x:v>
      </x:c>
      <x:c r="P51" s="49" t="n">
        <x:f>Q81</x:f>
        <x:v>50.495304</x:v>
      </x:c>
      <x:c r="Q51" s="30"/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Qwen3.8 2.4T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82.57315498666667</x:v>
      </x:c>
      <x:c r="H52" s="75" t="n">
        <x:f>IF(W82="估算",U82*R82,"")</x:f>
        <x:v>5.117845357241024</x:v>
      </x:c>
      <x:c r="I52" s="75" t="n">
        <x:f>IF(W82="估算",U82*S82,"")</x:f>
        <x:v>3.139470141425904</x:v>
      </x:c>
      <x:c r="J52" s="75" t="n">
        <x:f>IF(W82="估算",U82*MAX(0,R82-S82),"")</x:f>
        <x:v>1.9783752158151202</x:v>
      </x:c>
      <x:c r="K52" s="75" t="n">
        <x:f>IF(W82="估算",IF(OR(O82=0,K82=0),0,U82*E24*MIN(1,(K82+P82)/L82)),"")</x:f>
        <x:v>379.84177286616665</x:v>
      </x:c>
      <x:c r="L52" s="34" t="n">
        <x:f>IF(W82="估算",V82,"")</x:f>
        <x:v>0.04825871939284256</x:v>
      </x:c>
      <x:c r="M52" s="34" t="n">
        <x:f>IF(W82="估算",E52*V82/60,"")</x:f>
        <x:v>0.01608623979761419</x:v>
      </x:c>
      <x:c r="N52" s="34" t="n">
        <x:f>IF(W82="估算",V82/60000*1e6,"")</x:f>
        <x:v>0.8043119898807093</x:v>
      </x:c>
      <x:c r="O52" s="30" t="str">
        <x:f>IF(W82="估算","相位平均估算",W82)</x:f>
        <x:v>相位平均估算</x:v>
      </x:c>
      <x:c r="P52" s="49" t="n">
        <x:f>Q82</x:f>
        <x:v>25.247652</x:v>
      </x:c>
      <x:c r="Q52" s="30"/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Qwen3.8 2.4T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82.57315498666667</x:v>
      </x:c>
      <x:c r="H53" s="75" t="n">
        <x:f>IF(W83="估算",U83*R83,"")</x:f>
        <x:v>3.7416070497549025</x:v>
      </x:c>
      <x:c r="I53" s="75" t="n">
        <x:f>IF(W83="估算",U83*S83,"")</x:f>
        <x:v>1.763269949356383</x:v>
      </x:c>
      <x:c r="J53" s="75" t="n">
        <x:f>IF(W83="估算",U83*MAX(0,R83-S83),"")</x:f>
        <x:v>1.9783371003985195</x:v>
      </x:c>
      <x:c r="K53" s="75" t="n">
        <x:f>IF(W83="估算",IF(OR(O83=0,K83=0),0,U83*E24*MIN(1,(K83+P83)/L83)),"")</x:f>
        <x:v>253.22784857744443</x:v>
      </x:c>
      <x:c r="L53" s="34" t="n">
        <x:f>IF(W83="估算",V83,"")</x:f>
        <x:v>0.03217247959522838</x:v>
      </x:c>
      <x:c r="M53" s="34" t="n">
        <x:f>IF(W83="估算",E53*V83/60,"")</x:f>
        <x:v>0.01608623979761419</x:v>
      </x:c>
      <x:c r="N53" s="34" t="n">
        <x:f>IF(W83="估算",V83/60000*1e6,"")</x:f>
        <x:v>0.5362079932538063</x:v>
      </x:c>
      <x:c r="O53" s="30" t="str">
        <x:f>IF(W83="估算","相位平均估算",W83)</x:f>
        <x:v>相位平均估算</x:v>
      </x:c>
      <x:c r="P53" s="49" t="n">
        <x:f>Q83</x:f>
        <x:v>16.831768</x:v>
      </x:c>
      <x:c r="Q53" s="30"/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73" t="str">
        <x:v>60s 工作增时 ms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3.4403839111328125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6.880767822265625</x:v>
      </x:c>
      <x:c r="J60" s="76" t="n">
        <x:f>IF(A60,I60*$F$5/$J$5,"")</x:f>
        <x:v>6.880767822265625</x:v>
      </x:c>
      <x:c r="K60" s="76" t="n">
        <x:f>IF(A60,MAX(I60,J60)*2^30/(J23*1e6),"")</x:f>
        <x:v>1.5392017066666666</x:v>
      </x:c>
      <x:c r="L60" s="76" t="n">
        <x:f>IF(A60,B60/$B$9,"")</x:f>
        <x:v>4000</x:v>
      </x:c>
      <x:c r="M60" s="77" t="n">
        <x:f>IF(A60,K60/L60,"")</x:f>
        <x:v>0.00038480042666666665</x:v>
      </x:c>
      <x:c r="N60" s="76" t="n">
        <x:f>IF(A60,(E23*ROUNDUP(K23/D23,0)*G23*(B23-1)/B23*(ROUNDUP((ROUNDUP(F23*2/32,0)*32+32)/480,0)*512+F23*2+32)+E23*ROUNDUP(H23/B23,0)*(B23-1)*32)/1e9,"")</x:f>
        <x:v>0.491091584</x:v>
      </x:c>
      <x:c r="O60" s="76" t="n">
        <x:f>IF(A60,N60*1000/I23,"")</x:f>
        <x:v>0.10231074666666667</x:v>
      </x:c>
      <x:c r="P60" s="76" t="n">
        <x:f>IF(A60,O60/E23,"")</x:f>
        <x:v>0.0011120733333333335</x:v>
      </x:c>
      <x:c r="Q60" s="76" t="n">
        <x:f>IF(A60,N60*1000/C60,"")</x:f>
        <x:v>98.2183168</x:v>
      </x:c>
      <x:c r="R60" s="76" t="n">
        <x:f>IF(W60="估算",IF(OR(K60=0,O60=0),0,1-((E23-1)*MAX(0,(C60-O60)/E23-(K60))+MAX(0,L60-((E23-1)*C60/E23+P60)-(K60)))/L60),"")</x:f>
        <x:v>0.0016214914884782328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4.754545740708964e-8</x:v>
      </x:c>
      <x:c r="U60" s="76" t="n">
        <x:f>IF(A60,60000/C60,"")</x:f>
        <x:v>12000</x:v>
      </x:c>
      <x:c r="V60" s="76" t="n">
        <x:f>IF(W60="估算",U60*E23*T60*M23*N23,"")</x:f>
        <x:v>0.05249018497742697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4.6176051199999995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3.4403839111328125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6.880767822265625</x:v>
      </x:c>
      <x:c r="J61" s="76" t="n">
        <x:f>IF(A61,I61*$F$5/$J$5,"")</x:f>
        <x:v>6.880767822265625</x:v>
      </x:c>
      <x:c r="K61" s="76" t="n">
        <x:f>IF(A61,MAX(I61,J61)*2^30/(J23*1e6),"")</x:f>
        <x:v>1.5392017066666666</x:v>
      </x:c>
      <x:c r="L61" s="76" t="n">
        <x:f>IF(A61,B61/$B$9,"")</x:f>
        <x:v>4000</x:v>
      </x:c>
      <x:c r="M61" s="77" t="n">
        <x:f>IF(A61,K61/L61,"")</x:f>
        <x:v>0.00038480042666666665</x:v>
      </x:c>
      <x:c r="N61" s="76" t="n">
        <x:f>IF(A61,(E23*ROUNDUP(K23/D23,0)*G23*(B23-1)/B23*(ROUNDUP((ROUNDUP(F23*2/32,0)*32+32)/480,0)*512+F23*2+32)+E23*ROUNDUP(H23/B23,0)*(B23-1)*32)/1e9,"")</x:f>
        <x:v>0.491091584</x:v>
      </x:c>
      <x:c r="O61" s="76" t="n">
        <x:f>IF(A61,N61*1000/I23,"")</x:f>
        <x:v>0.10231074666666667</x:v>
      </x:c>
      <x:c r="P61" s="76" t="n">
        <x:f>IF(A61,O61/E23,"")</x:f>
        <x:v>0.0011120733333333335</x:v>
      </x:c>
      <x:c r="Q61" s="76" t="n">
        <x:f>IF(A61,N61*1000/C61,"")</x:f>
        <x:v>49.1091584</x:v>
      </x:c>
      <x:c r="R61" s="76" t="n">
        <x:f>IF(W61="估算",IF(OR(K61=0,O61=0),0,1-((E23-1)*MAX(0,(C61-O61)/E23-(K61))+MAX(0,L61-((E23-1)*C61/E23+P61)-(K61)))/L61),"")</x:f>
        <x:v>0.0028579045319564456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4.754545740708964e-8</x:v>
      </x:c>
      <x:c r="U61" s="76" t="n">
        <x:f>IF(A61,60000/C61,"")</x:f>
        <x:v>6000</x:v>
      </x:c>
      <x:c r="V61" s="76" t="n">
        <x:f>IF(W61="估算",U61*E23*T61*M23*N23,"")</x:f>
        <x:v>0.026245092488713484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2.3088025599999997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3.4403839111328125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6.880767822265625</x:v>
      </x:c>
      <x:c r="J62" s="76" t="n">
        <x:f>IF(A62,I62*$F$5/$J$5,"")</x:f>
        <x:v>6.880767822265625</x:v>
      </x:c>
      <x:c r="K62" s="76" t="n">
        <x:f>IF(A62,MAX(I62,J62)*2^30/(J23*1e6),"")</x:f>
        <x:v>1.5392017066666666</x:v>
      </x:c>
      <x:c r="L62" s="76" t="n">
        <x:f>IF(A62,B62/$B$9,"")</x:f>
        <x:v>4000</x:v>
      </x:c>
      <x:c r="M62" s="77" t="n">
        <x:f>IF(A62,K62/L62,"")</x:f>
        <x:v>0.00038480042666666665</x:v>
      </x:c>
      <x:c r="N62" s="76" t="n">
        <x:f>IF(A62,(E23*ROUNDUP(K23/D23,0)*G23*(B23-1)/B23*(ROUNDUP((ROUNDUP(F23*2/32,0)*32+32)/480,0)*512+F23*2+32)+E23*ROUNDUP(H23/B23,0)*(B23-1)*32)/1e9,"")</x:f>
        <x:v>0.491091584</x:v>
      </x:c>
      <x:c r="O62" s="76" t="n">
        <x:f>IF(A62,N62*1000/I23,"")</x:f>
        <x:v>0.10231074666666667</x:v>
      </x:c>
      <x:c r="P62" s="76" t="n">
        <x:f>IF(A62,O62/E23,"")</x:f>
        <x:v>0.0011120733333333335</x:v>
      </x:c>
      <x:c r="Q62" s="76" t="n">
        <x:f>IF(A62,N62*1000/C62,"")</x:f>
        <x:v>24.5545792</x:v>
      </x:c>
      <x:c r="R62" s="76" t="n">
        <x:f>IF(W62="估算",IF(OR(K62=0,O62=0),0,1-((E23-1)*MAX(0,(C62-O62)/E23-(K62))+MAX(0,L62-((E23-1)*C62/E23+P62)-(K62)))/L62),"")</x:f>
        <x:v>0.005330730618912982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4.754545740708964e-8</x:v>
      </x:c>
      <x:c r="U62" s="76" t="n">
        <x:f>IF(A62,60000/C62,"")</x:f>
        <x:v>3000</x:v>
      </x:c>
      <x:c r="V62" s="76" t="n">
        <x:f>IF(W62="估算",U62*E23*T62*M23*N23,"")</x:f>
        <x:v>0.013122546244356742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1.1544012799999999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3.4403839111328125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6.880767822265625</x:v>
      </x:c>
      <x:c r="J63" s="76" t="n">
        <x:f>IF(A63,I63*$F$5/$J$5,"")</x:f>
        <x:v>6.880767822265625</x:v>
      </x:c>
      <x:c r="K63" s="76" t="n">
        <x:f>IF(A63,MAX(I63,J63)*2^30/(J23*1e6),"")</x:f>
        <x:v>1.5392017066666666</x:v>
      </x:c>
      <x:c r="L63" s="76" t="n">
        <x:f>IF(A63,B63/$B$9,"")</x:f>
        <x:v>4000</x:v>
      </x:c>
      <x:c r="M63" s="77" t="n">
        <x:f>IF(A63,K63/L63,"")</x:f>
        <x:v>0.00038480042666666665</x:v>
      </x:c>
      <x:c r="N63" s="76" t="n">
        <x:f>IF(A63,(E23*ROUNDUP(K23/D23,0)*G23*(B23-1)/B23*(ROUNDUP((ROUNDUP(F23*2/32,0)*32+32)/480,0)*512+F23*2+32)+E23*ROUNDUP(H23/B23,0)*(B23-1)*32)/1e9,"")</x:f>
        <x:v>0.491091584</x:v>
      </x:c>
      <x:c r="O63" s="76" t="n">
        <x:f>IF(A63,N63*1000/I23,"")</x:f>
        <x:v>0.10231074666666667</x:v>
      </x:c>
      <x:c r="P63" s="76" t="n">
        <x:f>IF(A63,O63/E23,"")</x:f>
        <x:v>0.0011120733333333335</x:v>
      </x:c>
      <x:c r="Q63" s="76" t="n">
        <x:f>IF(A63,N63*1000/C63,"")</x:f>
        <x:v>16.369719466666666</x:v>
      </x:c>
      <x:c r="R63" s="76" t="n">
        <x:f>IF(W63="估算",IF(OR(K63=0,O63=0),0,1-((E23-1)*MAX(0,(C63-O63)/E23-(K63))+MAX(0,L63-((E23-1)*C63/E23+P63)-(K63)))/L63),"")</x:f>
        <x:v>0.007803556705869519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4.754545740708964e-8</x:v>
      </x:c>
      <x:c r="U63" s="76" t="n">
        <x:f>IF(A63,60000/C63,"")</x:f>
        <x:v>2000</x:v>
      </x:c>
      <x:c r="V63" s="76" t="n">
        <x:f>IF(W63="估算",U63*E23*T63*M23*N23,"")</x:f>
        <x:v>0.008748364162904494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0.7696008533333333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46.56538391113281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93.13076782226562</x:v>
      </x:c>
      <x:c r="J64" s="76" t="n">
        <x:f>IF(A64,I64*$F$5/$J$5,"")</x:f>
        <x:v>93.13076782226562</x:v>
      </x:c>
      <x:c r="K64" s="76" t="n">
        <x:f>IF(A64,MAX(I64,J64)*2^30/(J23*1e6),"")</x:f>
        <x:v>20.833000106666667</x:v>
      </x:c>
      <x:c r="L64" s="76" t="n">
        <x:f>IF(A64,B64/$B$9,"")</x:f>
        <x:v>20000</x:v>
      </x:c>
      <x:c r="M64" s="77" t="n">
        <x:f>IF(A64,K64/L64,"")</x:f>
        <x:v>0.0010416500053333333</x:v>
      </x:c>
      <x:c r="N64" s="76" t="n">
        <x:f>IF(A64,(E23*ROUNDUP(K23/D23,0)*G23*(B23-1)/B23*(ROUNDUP((ROUNDUP(F23*2/32,0)*32+32)/480,0)*512+F23*2+32)+E23*ROUNDUP(H23/B23,0)*(B23-1)*32)/1e9,"")</x:f>
        <x:v>0.491091584</x:v>
      </x:c>
      <x:c r="O64" s="76" t="n">
        <x:f>IF(A64,N64*1000/I23,"")</x:f>
        <x:v>0.10231074666666667</x:v>
      </x:c>
      <x:c r="P64" s="76" t="n">
        <x:f>IF(A64,O64/E23,"")</x:f>
        <x:v>0.0011120733333333335</x:v>
      </x:c>
      <x:c r="Q64" s="76" t="n">
        <x:f>IF(A64,N64*1000/C64,"")</x:f>
        <x:v>98.2183168</x:v>
      </x:c>
      <x:c r="R64" s="76" t="n">
        <x:f>IF(W64="估算",IF(OR(K64=0,O64=0),0,1-((E23-1)*MAX(0,(C64-O64)/E23-(K64))+MAX(0,L64-((E23-1)*C64/E23+P64)-(K64)))/L64),"")</x:f>
        <x:v>0.0012889882176956302</x:v>
      </x:c>
      <x:c r="S64" s="76" t="n">
        <x:f>IF(W64="估算",IF(O64=0,0,MAX(0,1-(1-((E23-1)*MAX(0,(C64-O64)/E23-(L64-K64))+MAX(0,L64-((E23-1)*C64/E23+P64)-(L64-K64)))/L64))),"")</x:f>
        <x:v>0.0007943117929711807</x:v>
      </x:c>
      <x:c r="T64" s="76" t="n">
        <x:f>IF(W64="估算",IF(OR(P64=0,K64=0,$J$7=0),0,IF(P64&lt;=(1-$J$7)*K64,$J$7*P64*K64/(1-$J$7)-$J$7^2*P64^2/(2*(1-$J$7)^2),$J$7*P64*K64+$J$7^2*K64^2/2)/L64),"")</x:f>
        <x:v>1.2870975092224758e-7</x:v>
      </x:c>
      <x:c r="U64" s="76" t="n">
        <x:f>IF(A64,60000/C64,"")</x:f>
        <x:v>12000</x:v>
      </x:c>
      <x:c r="V64" s="76" t="n">
        <x:f>IF(W64="估算",U64*E23*T64*M23*N23,"")</x:f>
        <x:v>0.14209556501816134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12.499800063999999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46.56538391113281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93.13076782226562</x:v>
      </x:c>
      <x:c r="J65" s="76" t="n">
        <x:f>IF(A65,I65*$F$5/$J$5,"")</x:f>
        <x:v>93.13076782226562</x:v>
      </x:c>
      <x:c r="K65" s="76" t="n">
        <x:f>IF(A65,MAX(I65,J65)*2^30/(J23*1e6),"")</x:f>
        <x:v>20.833000106666667</x:v>
      </x:c>
      <x:c r="L65" s="76" t="n">
        <x:f>IF(A65,B65/$B$9,"")</x:f>
        <x:v>20000</x:v>
      </x:c>
      <x:c r="M65" s="77" t="n">
        <x:f>IF(A65,K65/L65,"")</x:f>
        <x:v>0.0010416500053333333</x:v>
      </x:c>
      <x:c r="N65" s="76" t="n">
        <x:f>IF(A65,(E23*ROUNDUP(K23/D23,0)*G23*(B23-1)/B23*(ROUNDUP((ROUNDUP(F23*2/32,0)*32+32)/480,0)*512+F23*2+32)+E23*ROUNDUP(H23/B23,0)*(B23-1)*32)/1e9,"")</x:f>
        <x:v>0.491091584</x:v>
      </x:c>
      <x:c r="O65" s="76" t="n">
        <x:f>IF(A65,N65*1000/I23,"")</x:f>
        <x:v>0.10231074666666667</x:v>
      </x:c>
      <x:c r="P65" s="76" t="n">
        <x:f>IF(A65,O65/E23,"")</x:f>
        <x:v>0.0011120733333333335</x:v>
      </x:c>
      <x:c r="Q65" s="76" t="n">
        <x:f>IF(A65,N65*1000/C65,"")</x:f>
        <x:v>49.1091584</x:v>
      </x:c>
      <x:c r="R65" s="76" t="n">
        <x:f>IF(W65="估算",IF(OR(K65=0,O65=0),0,1-((E23-1)*MAX(0,(C65-O65)/E23-(K65))+MAX(0,L65-((E23-1)*C65/E23+P65)-(K65)))/L65),"")</x:f>
        <x:v>0.001536270826391406</x:v>
      </x:c>
      <x:c r="S65" s="76" t="n">
        <x:f>IF(W65="估算",IF(O65=0,0,MAX(0,1-(1-((E23-1)*MAX(0,(C65-O65)/E23-(L65-K65))+MAX(0,L65-((E23-1)*C65/E23+P65)-(L65-K65)))/L65))),"")</x:f>
        <x:v>0.0005470291842754049</x:v>
      </x:c>
      <x:c r="T65" s="76" t="n">
        <x:f>IF(W65="估算",IF(OR(P65=0,K65=0,$J$7=0),0,IF(P65&lt;=(1-$J$7)*K65,$J$7*P65*K65/(1-$J$7)-$J$7^2*P65^2/(2*(1-$J$7)^2),$J$7*P65*K65+$J$7^2*K65^2/2)/L65),"")</x:f>
        <x:v>1.2870975092224758e-7</x:v>
      </x:c>
      <x:c r="U65" s="76" t="n">
        <x:f>IF(A65,60000/C65,"")</x:f>
        <x:v>6000</x:v>
      </x:c>
      <x:c r="V65" s="76" t="n">
        <x:f>IF(W65="估算",U65*E23*T65*M23*N23,"")</x:f>
        <x:v>0.07104778250908067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6.249900031999999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46.56538391113281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93.13076782226562</x:v>
      </x:c>
      <x:c r="J66" s="76" t="n">
        <x:f>IF(A66,I66*$F$5/$J$5,"")</x:f>
        <x:v>93.13076782226562</x:v>
      </x:c>
      <x:c r="K66" s="76" t="n">
        <x:f>IF(A66,MAX(I66,J66)*2^30/(J23*1e6),"")</x:f>
        <x:v>20.833000106666667</x:v>
      </x:c>
      <x:c r="L66" s="76" t="n">
        <x:f>IF(A66,B66/$B$9,"")</x:f>
        <x:v>20000</x:v>
      </x:c>
      <x:c r="M66" s="77" t="n">
        <x:f>IF(A66,K66/L66,"")</x:f>
        <x:v>0.0010416500053333333</x:v>
      </x:c>
      <x:c r="N66" s="76" t="n">
        <x:f>IF(A66,(E23*ROUNDUP(K23/D23,0)*G23*(B23-1)/B23*(ROUNDUP((ROUNDUP(F23*2/32,0)*32+32)/480,0)*512+F23*2+32)+E23*ROUNDUP(H23/B23,0)*(B23-1)*32)/1e9,"")</x:f>
        <x:v>0.491091584</x:v>
      </x:c>
      <x:c r="O66" s="76" t="n">
        <x:f>IF(A66,N66*1000/I23,"")</x:f>
        <x:v>0.10231074666666667</x:v>
      </x:c>
      <x:c r="P66" s="76" t="n">
        <x:f>IF(A66,O66/E23,"")</x:f>
        <x:v>0.0011120733333333335</x:v>
      </x:c>
      <x:c r="Q66" s="76" t="n">
        <x:f>IF(A66,N66*1000/C66,"")</x:f>
        <x:v>24.5545792</x:v>
      </x:c>
      <x:c r="R66" s="76" t="n">
        <x:f>IF(W66="估算",IF(OR(K66=0,O66=0),0,1-((E23-1)*MAX(0,(C66-O66)/E23-(K66))+MAX(0,L66-((E23-1)*C66/E23+P66)-(K66)))/L66),"")</x:f>
        <x:v>0.0020308360437826245</x:v>
      </x:c>
      <x:c r="S66" s="76" t="n">
        <x:f>IF(W66="估算",IF(O66=0,0,MAX(0,1-(1-((E23-1)*MAX(0,(C66-O66)/E23-(L66-K66))+MAX(0,L66-((E23-1)*C66/E23+P66)-(L66-K66)))/L66))),"")</x:f>
        <x:v>0.00005246396688418642</x:v>
      </x:c>
      <x:c r="T66" s="76" t="n">
        <x:f>IF(W66="估算",IF(OR(P66=0,K66=0,$J$7=0),0,IF(P66&lt;=(1-$J$7)*K66,$J$7*P66*K66/(1-$J$7)-$J$7^2*P66^2/(2*(1-$J$7)^2),$J$7*P66*K66+$J$7^2*K66^2/2)/L66),"")</x:f>
        <x:v>1.2870975092224758e-7</x:v>
      </x:c>
      <x:c r="U66" s="76" t="n">
        <x:f>IF(A66,60000/C66,"")</x:f>
        <x:v>3000</x:v>
      </x:c>
      <x:c r="V66" s="76" t="n">
        <x:f>IF(W66="估算",U66*E23*T66*M23*N23,"")</x:f>
        <x:v>0.035523891254540335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3.1249500159999997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46.56538391113281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93.13076782226562</x:v>
      </x:c>
      <x:c r="J67" s="76" t="n">
        <x:f>IF(A67,I67*$F$5/$J$5,"")</x:f>
        <x:v>93.13076782226562</x:v>
      </x:c>
      <x:c r="K67" s="76" t="n">
        <x:f>IF(A67,MAX(I67,J67)*2^30/(J23*1e6),"")</x:f>
        <x:v>20.833000106666667</x:v>
      </x:c>
      <x:c r="L67" s="76" t="n">
        <x:f>IF(A67,B67/$B$9,"")</x:f>
        <x:v>20000</x:v>
      </x:c>
      <x:c r="M67" s="77" t="n">
        <x:f>IF(A67,K67/L67,"")</x:f>
        <x:v>0.0010416500053333333</x:v>
      </x:c>
      <x:c r="N67" s="76" t="n">
        <x:f>IF(A67,(E23*ROUNDUP(K23/D23,0)*G23*(B23-1)/B23*(ROUNDUP((ROUNDUP(F23*2/32,0)*32+32)/480,0)*512+F23*2+32)+E23*ROUNDUP(H23/B23,0)*(B23-1)*32)/1e9,"")</x:f>
        <x:v>0.491091584</x:v>
      </x:c>
      <x:c r="O67" s="76" t="n">
        <x:f>IF(A67,N67*1000/I23,"")</x:f>
        <x:v>0.10231074666666667</x:v>
      </x:c>
      <x:c r="P67" s="76" t="n">
        <x:f>IF(A67,O67/E23,"")</x:f>
        <x:v>0.0011120733333333335</x:v>
      </x:c>
      <x:c r="Q67" s="76" t="n">
        <x:f>IF(A67,N67*1000/C67,"")</x:f>
        <x:v>16.369719466666666</x:v>
      </x:c>
      <x:c r="R67" s="76" t="n">
        <x:f>IF(W67="估算",IF(OR(K67=0,O67=0),0,1-((E23-1)*MAX(0,(C67-O67)/E23-(K67))+MAX(0,L67-((E23-1)*C67/E23+P67)-(K67)))/L67),"")</x:f>
        <x:v>0.002525401261174065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1.2870975092224758e-7</x:v>
      </x:c>
      <x:c r="U67" s="76" t="n">
        <x:f>IF(A67,60000/C67,"")</x:f>
        <x:v>2000</x:v>
      </x:c>
      <x:c r="V67" s="76" t="n">
        <x:f>IF(W67="估算",U67*E23*T67*M23*N23,"")</x:f>
        <x:v>0.023682594169693556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2.0833000106666666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184.5653839111328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369.1307678222656</x:v>
      </x:c>
      <x:c r="J68" s="76" t="n">
        <x:f>IF(A68,I68*$F$5/$J$5,"")</x:f>
        <x:v>369.1307678222656</x:v>
      </x:c>
      <x:c r="K68" s="76" t="n">
        <x:f>IF(A68,MAX(I68,J68)*2^30/(J23*1e6),"")</x:f>
        <x:v>82.57315498666667</x:v>
      </x:c>
      <x:c r="L68" s="76" t="n">
        <x:f>IF(A68,B68/$B$9,"")</x:f>
        <x:v>60000</x:v>
      </x:c>
      <x:c r="M68" s="77" t="n">
        <x:f>IF(A68,K68/L68,"")</x:f>
        <x:v>0.0013762192497777778</x:v>
      </x:c>
      <x:c r="N68" s="76" t="n">
        <x:f>IF(A68,(E23*ROUNDUP(K23/D23,0)*G23*(B23-1)/B23*(ROUNDUP((ROUNDUP(F23*2/32,0)*32+32)/480,0)*512+F23*2+32)+E23*ROUNDUP(H23/B23,0)*(B23-1)*32)/1e9,"")</x:f>
        <x:v>0.491091584</x:v>
      </x:c>
      <x:c r="O68" s="76" t="n">
        <x:f>IF(A68,N68*1000/I23,"")</x:f>
        <x:v>0.10231074666666667</x:v>
      </x:c>
      <x:c r="P68" s="76" t="n">
        <x:f>IF(A68,O68/E23,"")</x:f>
        <x:v>0.0011120733333333335</x:v>
      </x:c>
      <x:c r="Q68" s="76" t="n">
        <x:f>IF(A68,N68*1000/C68,"")</x:f>
        <x:v>98.2183168</x:v>
      </x:c>
      <x:c r="R68" s="76" t="n">
        <x:f>IF(W68="估算",IF(OR(K68=0,O68=0),0,1-((E23-1)*MAX(0,(C68-O68)/E23-(K68))+MAX(0,L68-((E23-1)*C68/E23+P68)-(K68)))/L68),"")</x:f>
        <x:v>0.0014586653205652667</x:v>
      </x:c>
      <x:c r="S68" s="76" t="n">
        <x:f>IF(W68="估算",IF(O68=0,0,MAX(0,1-(1-((E23-1)*MAX(0,(C68-O68)/E23-(L68-K68))+MAX(0,L68-((E23-1)*C68/E23+P68)-(L68-K68)))/L68))),"")</x:f>
        <x:v>0.0012937731789903761</x:v>
      </x:c>
      <x:c r="T68" s="76" t="n">
        <x:f>IF(W68="估算",IF(OR(P68=0,K68=0,$J$7=0),0,IF(P68&lt;=(1-$J$7)*K68,$J$7*P68*K68/(1-$J$7)-$J$7^2*P68^2/(2*(1-$J$7)^2),$J$7*P68*K68+$J$7^2*K68^2/2)/L68),"")</x:f>
        <x:v>1.7005062037763417e-7</x:v>
      </x:c>
      <x:c r="U68" s="76" t="n">
        <x:f>IF(A68,60000/C68,"")</x:f>
        <x:v>12000</x:v>
      </x:c>
      <x:c r="V68" s="76" t="n">
        <x:f>IF(W68="估算",U68*E23*T68*M23*N23,"")</x:f>
        <x:v>0.18773588489690812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16.514630997333335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184.5653839111328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369.1307678222656</x:v>
      </x:c>
      <x:c r="J69" s="76" t="n">
        <x:f>IF(A69,I69*$F$5/$J$5,"")</x:f>
        <x:v>369.1307678222656</x:v>
      </x:c>
      <x:c r="K69" s="76" t="n">
        <x:f>IF(A69,MAX(I69,J69)*2^30/(J23*1e6),"")</x:f>
        <x:v>82.57315498666667</x:v>
      </x:c>
      <x:c r="L69" s="76" t="n">
        <x:f>IF(A69,B69/$B$9,"")</x:f>
        <x:v>60000</x:v>
      </x:c>
      <x:c r="M69" s="77" t="n">
        <x:f>IF(A69,K69/L69,"")</x:f>
        <x:v>0.0013762192497777778</x:v>
      </x:c>
      <x:c r="N69" s="76" t="n">
        <x:f>IF(A69,(E23*ROUNDUP(K23/D23,0)*G23*(B23-1)/B23*(ROUNDUP((ROUNDUP(F23*2/32,0)*32+32)/480,0)*512+F23*2+32)+E23*ROUNDUP(H23/B23,0)*(B23-1)*32)/1e9,"")</x:f>
        <x:v>0.491091584</x:v>
      </x:c>
      <x:c r="O69" s="76" t="n">
        <x:f>IF(A69,N69*1000/I23,"")</x:f>
        <x:v>0.10231074666666667</x:v>
      </x:c>
      <x:c r="P69" s="76" t="n">
        <x:f>IF(A69,O69/E23,"")</x:f>
        <x:v>0.0011120733333333335</x:v>
      </x:c>
      <x:c r="Q69" s="76" t="n">
        <x:f>IF(A69,N69*1000/C69,"")</x:f>
        <x:v>49.1091584</x:v>
      </x:c>
      <x:c r="R69" s="76" t="n">
        <x:f>IF(W69="估算",IF(OR(K69=0,O69=0),0,1-((E23-1)*MAX(0,(C69-O69)/E23-(K69))+MAX(0,L69-((E23-1)*C69/E23+P69)-(K69)))/L69),"")</x:f>
        <x:v>0.0015410928567970439</x:v>
      </x:c>
      <x:c r="S69" s="76" t="n">
        <x:f>IF(W69="估算",IF(O69=0,0,MAX(0,1-(1-((E23-1)*MAX(0,(C69-O69)/E23-(L69-K69))+MAX(0,L69-((E23-1)*C69/E23+P69)-(L69-K69)))/L69))),"")</x:f>
        <x:v>0.0012113456427584879</x:v>
      </x:c>
      <x:c r="T69" s="76" t="n">
        <x:f>IF(W69="估算",IF(OR(P69=0,K69=0,$J$7=0),0,IF(P69&lt;=(1-$J$7)*K69,$J$7*P69*K69/(1-$J$7)-$J$7^2*P69^2/(2*(1-$J$7)^2),$J$7*P69*K69+$J$7^2*K69^2/2)/L69),"")</x:f>
        <x:v>1.7005062037763417e-7</x:v>
      </x:c>
      <x:c r="U69" s="76" t="n">
        <x:f>IF(A69,60000/C69,"")</x:f>
        <x:v>6000</x:v>
      </x:c>
      <x:c r="V69" s="76" t="n">
        <x:f>IF(W69="估算",U69*E23*T69*M23*N23,"")</x:f>
        <x:v>0.09386794244845406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8.257315498666667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184.5653839111328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369.1307678222656</x:v>
      </x:c>
      <x:c r="J70" s="76" t="n">
        <x:f>IF(A70,I70*$F$5/$J$5,"")</x:f>
        <x:v>369.1307678222656</x:v>
      </x:c>
      <x:c r="K70" s="76" t="n">
        <x:f>IF(A70,MAX(I70,J70)*2^30/(J23*1e6),"")</x:f>
        <x:v>82.57315498666667</x:v>
      </x:c>
      <x:c r="L70" s="76" t="n">
        <x:f>IF(A70,B70/$B$9,"")</x:f>
        <x:v>60000</x:v>
      </x:c>
      <x:c r="M70" s="77" t="n">
        <x:f>IF(A70,K70/L70,"")</x:f>
        <x:v>0.0013762192497777778</x:v>
      </x:c>
      <x:c r="N70" s="76" t="n">
        <x:f>IF(A70,(E23*ROUNDUP(K23/D23,0)*G23*(B23-1)/B23*(ROUNDUP((ROUNDUP(F23*2/32,0)*32+32)/480,0)*512+F23*2+32)+E23*ROUNDUP(H23/B23,0)*(B23-1)*32)/1e9,"")</x:f>
        <x:v>0.491091584</x:v>
      </x:c>
      <x:c r="O70" s="76" t="n">
        <x:f>IF(A70,N70*1000/I23,"")</x:f>
        <x:v>0.10231074666666667</x:v>
      </x:c>
      <x:c r="P70" s="76" t="n">
        <x:f>IF(A70,O70/E23,"")</x:f>
        <x:v>0.0011120733333333335</x:v>
      </x:c>
      <x:c r="Q70" s="76" t="n">
        <x:f>IF(A70,N70*1000/C70,"")</x:f>
        <x:v>24.5545792</x:v>
      </x:c>
      <x:c r="R70" s="76" t="n">
        <x:f>IF(W70="估算",IF(OR(K70=0,O70=0),0,1-((E23-1)*MAX(0,(C70-O70)/E23-(K70))+MAX(0,L70-((E23-1)*C70/E23+P70)-(K70)))/L70),"")</x:f>
        <x:v>0.0017059479292609314</x:v>
      </x:c>
      <x:c r="S70" s="76" t="n">
        <x:f>IF(W70="估算",IF(O70=0,0,MAX(0,1-(1-((E23-1)*MAX(0,(C70-O70)/E23-(L70-K70))+MAX(0,L70-((E23-1)*C70/E23+P70)-(L70-K70)))/L70))),"")</x:f>
        <x:v>0.0010464905702947114</x:v>
      </x:c>
      <x:c r="T70" s="76" t="n">
        <x:f>IF(W70="估算",IF(OR(P70=0,K70=0,$J$7=0),0,IF(P70&lt;=(1-$J$7)*K70,$J$7*P70*K70/(1-$J$7)-$J$7^2*P70^2/(2*(1-$J$7)^2),$J$7*P70*K70+$J$7^2*K70^2/2)/L70),"")</x:f>
        <x:v>1.7005062037763417e-7</x:v>
      </x:c>
      <x:c r="U70" s="76" t="n">
        <x:f>IF(A70,60000/C70,"")</x:f>
        <x:v>3000</x:v>
      </x:c>
      <x:c r="V70" s="76" t="n">
        <x:f>IF(W70="估算",U70*E23*T70*M23*N23,"")</x:f>
        <x:v>0.04693397122422703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4.128657749333334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184.5653839111328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369.1307678222656</x:v>
      </x:c>
      <x:c r="J71" s="76" t="n">
        <x:f>IF(A71,I71*$F$5/$J$5,"")</x:f>
        <x:v>369.1307678222656</x:v>
      </x:c>
      <x:c r="K71" s="76" t="n">
        <x:f>IF(A71,MAX(I71,J71)*2^30/(J23*1e6),"")</x:f>
        <x:v>82.57315498666667</x:v>
      </x:c>
      <x:c r="L71" s="76" t="n">
        <x:f>IF(A71,B71/$B$9,"")</x:f>
        <x:v>60000</x:v>
      </x:c>
      <x:c r="M71" s="77" t="n">
        <x:f>IF(A71,K71/L71,"")</x:f>
        <x:v>0.0013762192497777778</x:v>
      </x:c>
      <x:c r="N71" s="76" t="n">
        <x:f>IF(A71,(E23*ROUNDUP(K23/D23,0)*G23*(B23-1)/B23*(ROUNDUP((ROUNDUP(F23*2/32,0)*32+32)/480,0)*512+F23*2+32)+E23*ROUNDUP(H23/B23,0)*(B23-1)*32)/1e9,"")</x:f>
        <x:v>0.491091584</x:v>
      </x:c>
      <x:c r="O71" s="76" t="n">
        <x:f>IF(A71,N71*1000/I23,"")</x:f>
        <x:v>0.10231074666666667</x:v>
      </x:c>
      <x:c r="P71" s="76" t="n">
        <x:f>IF(A71,O71/E23,"")</x:f>
        <x:v>0.0011120733333333335</x:v>
      </x:c>
      <x:c r="Q71" s="76" t="n">
        <x:f>IF(A71,N71*1000/C71,"")</x:f>
        <x:v>16.369719466666666</x:v>
      </x:c>
      <x:c r="R71" s="76" t="n">
        <x:f>IF(W71="估算",IF(OR(K71=0,O71=0),0,1-((E23-1)*MAX(0,(C71-O71)/E23-(K71))+MAX(0,L71-((E23-1)*C71/E23+P71)-(K71)))/L71),"")</x:f>
        <x:v>0.001870803001724708</x:v>
      </x:c>
      <x:c r="S71" s="76" t="n">
        <x:f>IF(W71="估算",IF(O71=0,0,MAX(0,1-(1-((E23-1)*MAX(0,(C71-O71)/E23-(L71-K71))+MAX(0,L71-((E23-1)*C71/E23+P71)-(L71-K71)))/L71))),"")</x:f>
        <x:v>0.0008816354978309349</x:v>
      </x:c>
      <x:c r="T71" s="76" t="n">
        <x:f>IF(W71="估算",IF(OR(P71=0,K71=0,$J$7=0),0,IF(P71&lt;=(1-$J$7)*K71,$J$7*P71*K71/(1-$J$7)-$J$7^2*P71^2/(2*(1-$J$7)^2),$J$7*P71*K71+$J$7^2*K71^2/2)/L71),"")</x:f>
        <x:v>1.7005062037763417e-7</x:v>
      </x:c>
      <x:c r="U71" s="76" t="n">
        <x:f>IF(A71,60000/C71,"")</x:f>
        <x:v>2000</x:v>
      </x:c>
      <x:c r="V71" s="76" t="n">
        <x:f>IF(W71="估算",U71*E23*T71*M23*N23,"")</x:f>
        <x:v>0.03128931414948469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2.7524384995555558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3.4403839111328125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6.880767822265625</x:v>
      </x:c>
      <x:c r="J72" s="76" t="n">
        <x:f>IF(A72,I72*$F$5/$J$5,"")</x:f>
        <x:v>6.880767822265625</x:v>
      </x:c>
      <x:c r="K72" s="76" t="n">
        <x:f>IF(A72,MAX(I72,J72)*2^30/(J24*1e6),"")</x:f>
        <x:v>1.5392017066666666</x:v>
      </x:c>
      <x:c r="L72" s="76" t="n">
        <x:f>IF(A72,B72/$B$9,"")</x:f>
        <x:v>4000</x:v>
      </x:c>
      <x:c r="M72" s="77" t="n">
        <x:f>IF(A72,K72/L72,"")</x:f>
        <x:v>0.00038480042666666665</x:v>
      </x:c>
      <x:c r="N72" s="76" t="n">
        <x:f>IF(A72,(E24*ROUNDUP(K24/D24,0)*G24*(B24-1)/B24*(ROUNDUP((ROUNDUP(F24*2/32,0)*32+32)/480,0)*512+F24*2+32)+E24*ROUNDUP(H24/B24,0)*(B24-1)*32)/1e9,"")</x:f>
        <x:v>0.50495304</x:v>
      </x:c>
      <x:c r="O72" s="76" t="n">
        <x:f>IF(A72,N72*1000/I24,"")</x:f>
        <x:v>0.10519855</x:v>
      </x:c>
      <x:c r="P72" s="76" t="n">
        <x:f>IF(A72,O72/E24,"")</x:f>
        <x:v>0.0011434625</x:v>
      </x:c>
      <x:c r="Q72" s="76" t="n">
        <x:f>IF(A72,N72*1000/C72,"")</x:f>
        <x:v>100.990608</x:v>
      </x:c>
      <x:c r="R72" s="76" t="n">
        <x:f>IF(W72="估算",IF(OR(K72=0,O72=0),0,1-((E24-1)*MAX(0,(C72-O72)/E24-(K72))+MAX(0,L72-((E24-1)*C72/E24+P72)-(K72)))/L72),"")</x:f>
        <x:v>0.001621499335769827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4.8887410896109717e-8</x:v>
      </x:c>
      <x:c r="U72" s="76" t="n">
        <x:f>IF(A72,60000/C72,"")</x:f>
        <x:v>12000</x:v>
      </x:c>
      <x:c r="V72" s="76" t="n">
        <x:f>IF(W72="估算",U72*E24*T72*M24*N24,"")</x:f>
        <x:v>0.053971701629305126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4.6176051199999995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3.4403839111328125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6.880767822265625</x:v>
      </x:c>
      <x:c r="J73" s="76" t="n">
        <x:f>IF(A73,I73*$F$5/$J$5,"")</x:f>
        <x:v>6.880767822265625</x:v>
      </x:c>
      <x:c r="K73" s="76" t="n">
        <x:f>IF(A73,MAX(I73,J73)*2^30/(J24*1e6),"")</x:f>
        <x:v>1.5392017066666666</x:v>
      </x:c>
      <x:c r="L73" s="76" t="n">
        <x:f>IF(A73,B73/$B$9,"")</x:f>
        <x:v>4000</x:v>
      </x:c>
      <x:c r="M73" s="77" t="n">
        <x:f>IF(A73,K73/L73,"")</x:f>
        <x:v>0.00038480042666666665</x:v>
      </x:c>
      <x:c r="N73" s="76" t="n">
        <x:f>IF(A73,(E24*ROUNDUP(K24/D24,0)*G24*(B24-1)/B24*(ROUNDUP((ROUNDUP(F24*2/32,0)*32+32)/480,0)*512+F24*2+32)+E24*ROUNDUP(H24/B24,0)*(B24-1)*32)/1e9,"")</x:f>
        <x:v>0.50495304</x:v>
      </x:c>
      <x:c r="O73" s="76" t="n">
        <x:f>IF(A73,N73*1000/I24,"")</x:f>
        <x:v>0.10519855</x:v>
      </x:c>
      <x:c r="P73" s="76" t="n">
        <x:f>IF(A73,O73/E24,"")</x:f>
        <x:v>0.0011434625</x:v>
      </x:c>
      <x:c r="Q73" s="76" t="n">
        <x:f>IF(A73,N73*1000/C73,"")</x:f>
        <x:v>50.495304</x:v>
      </x:c>
      <x:c r="R73" s="76" t="n">
        <x:f>IF(W73="估算",IF(OR(K73=0,O73=0),0,1-((E24-1)*MAX(0,(C73-O73)/E24-(K73))+MAX(0,L73-((E24-1)*C73/E24+P73)-(K73)))/L73),"")</x:f>
        <x:v>0.002857912379248151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4.8887410896109717e-8</x:v>
      </x:c>
      <x:c r="U73" s="76" t="n">
        <x:f>IF(A73,60000/C73,"")</x:f>
        <x:v>6000</x:v>
      </x:c>
      <x:c r="V73" s="76" t="n">
        <x:f>IF(W73="估算",U73*E24*T73*M24*N24,"")</x:f>
        <x:v>0.026985850814652563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2.3088025599999997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3.4403839111328125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6.880767822265625</x:v>
      </x:c>
      <x:c r="J74" s="76" t="n">
        <x:f>IF(A74,I74*$F$5/$J$5,"")</x:f>
        <x:v>6.880767822265625</x:v>
      </x:c>
      <x:c r="K74" s="76" t="n">
        <x:f>IF(A74,MAX(I74,J74)*2^30/(J24*1e6),"")</x:f>
        <x:v>1.5392017066666666</x:v>
      </x:c>
      <x:c r="L74" s="76" t="n">
        <x:f>IF(A74,B74/$B$9,"")</x:f>
        <x:v>4000</x:v>
      </x:c>
      <x:c r="M74" s="77" t="n">
        <x:f>IF(A74,K74/L74,"")</x:f>
        <x:v>0.00038480042666666665</x:v>
      </x:c>
      <x:c r="N74" s="76" t="n">
        <x:f>IF(A74,(E24*ROUNDUP(K24/D24,0)*G24*(B24-1)/B24*(ROUNDUP((ROUNDUP(F24*2/32,0)*32+32)/480,0)*512+F24*2+32)+E24*ROUNDUP(H24/B24,0)*(B24-1)*32)/1e9,"")</x:f>
        <x:v>0.50495304</x:v>
      </x:c>
      <x:c r="O74" s="76" t="n">
        <x:f>IF(A74,N74*1000/I24,"")</x:f>
        <x:v>0.10519855</x:v>
      </x:c>
      <x:c r="P74" s="76" t="n">
        <x:f>IF(A74,O74/E24,"")</x:f>
        <x:v>0.0011434625</x:v>
      </x:c>
      <x:c r="Q74" s="76" t="n">
        <x:f>IF(A74,N74*1000/C74,"")</x:f>
        <x:v>25.247652</x:v>
      </x:c>
      <x:c r="R74" s="76" t="n">
        <x:f>IF(W74="估算",IF(OR(K74=0,O74=0),0,1-((E24-1)*MAX(0,(C74-O74)/E24-(K74))+MAX(0,L74-((E24-1)*C74/E24+P74)-(K74)))/L74),"")</x:f>
        <x:v>0.0053307384662046875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4.8887410896109717e-8</x:v>
      </x:c>
      <x:c r="U74" s="76" t="n">
        <x:f>IF(A74,60000/C74,"")</x:f>
        <x:v>3000</x:v>
      </x:c>
      <x:c r="V74" s="76" t="n">
        <x:f>IF(W74="估算",U74*E24*T74*M24*N24,"")</x:f>
        <x:v>0.013492925407326281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1.1544012799999999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3.4403839111328125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6.880767822265625</x:v>
      </x:c>
      <x:c r="J75" s="76" t="n">
        <x:f>IF(A75,I75*$F$5/$J$5,"")</x:f>
        <x:v>6.880767822265625</x:v>
      </x:c>
      <x:c r="K75" s="76" t="n">
        <x:f>IF(A75,MAX(I75,J75)*2^30/(J24*1e6),"")</x:f>
        <x:v>1.5392017066666666</x:v>
      </x:c>
      <x:c r="L75" s="76" t="n">
        <x:f>IF(A75,B75/$B$9,"")</x:f>
        <x:v>4000</x:v>
      </x:c>
      <x:c r="M75" s="77" t="n">
        <x:f>IF(A75,K75/L75,"")</x:f>
        <x:v>0.00038480042666666665</x:v>
      </x:c>
      <x:c r="N75" s="76" t="n">
        <x:f>IF(A75,(E24*ROUNDUP(K24/D24,0)*G24*(B24-1)/B24*(ROUNDUP((ROUNDUP(F24*2/32,0)*32+32)/480,0)*512+F24*2+32)+E24*ROUNDUP(H24/B24,0)*(B24-1)*32)/1e9,"")</x:f>
        <x:v>0.50495304</x:v>
      </x:c>
      <x:c r="O75" s="76" t="n">
        <x:f>IF(A75,N75*1000/I24,"")</x:f>
        <x:v>0.10519855</x:v>
      </x:c>
      <x:c r="P75" s="76" t="n">
        <x:f>IF(A75,O75/E24,"")</x:f>
        <x:v>0.0011434625</x:v>
      </x:c>
      <x:c r="Q75" s="76" t="n">
        <x:f>IF(A75,N75*1000/C75,"")</x:f>
        <x:v>16.831768</x:v>
      </x:c>
      <x:c r="R75" s="76" t="n">
        <x:f>IF(W75="估算",IF(OR(K75=0,O75=0),0,1-((E24-1)*MAX(0,(C75-O75)/E24-(K75))+MAX(0,L75-((E24-1)*C75/E24+P75)-(K75)))/L75),"")</x:f>
        <x:v>0.007803564553161224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4.8887410896109717e-8</x:v>
      </x:c>
      <x:c r="U75" s="76" t="n">
        <x:f>IF(A75,60000/C75,"")</x:f>
        <x:v>2000</x:v>
      </x:c>
      <x:c r="V75" s="76" t="n">
        <x:f>IF(W75="估算",U75*E24*T75*M24*N24,"")</x:f>
        <x:v>0.008995283604884188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0.7696008533333333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46.56538391113281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93.13076782226562</x:v>
      </x:c>
      <x:c r="J76" s="76" t="n">
        <x:f>IF(A76,I76*$F$5/$J$5,"")</x:f>
        <x:v>93.13076782226562</x:v>
      </x:c>
      <x:c r="K76" s="76" t="n">
        <x:f>IF(A76,MAX(I76,J76)*2^30/(J24*1e6),"")</x:f>
        <x:v>20.833000106666667</x:v>
      </x:c>
      <x:c r="L76" s="76" t="n">
        <x:f>IF(A76,B76/$B$9,"")</x:f>
        <x:v>20000</x:v>
      </x:c>
      <x:c r="M76" s="77" t="n">
        <x:f>IF(A76,K76/L76,"")</x:f>
        <x:v>0.0010416500053333333</x:v>
      </x:c>
      <x:c r="N76" s="76" t="n">
        <x:f>IF(A76,(E24*ROUNDUP(K24/D24,0)*G24*(B24-1)/B24*(ROUNDUP((ROUNDUP(F24*2/32,0)*32+32)/480,0)*512+F24*2+32)+E24*ROUNDUP(H24/B24,0)*(B24-1)*32)/1e9,"")</x:f>
        <x:v>0.50495304</x:v>
      </x:c>
      <x:c r="O76" s="76" t="n">
        <x:f>IF(A76,N76*1000/I24,"")</x:f>
        <x:v>0.10519855</x:v>
      </x:c>
      <x:c r="P76" s="76" t="n">
        <x:f>IF(A76,O76/E24,"")</x:f>
        <x:v>0.0011434625</x:v>
      </x:c>
      <x:c r="Q76" s="76" t="n">
        <x:f>IF(A76,N76*1000/C76,"")</x:f>
        <x:v>100.990608</x:v>
      </x:c>
      <x:c r="R76" s="76" t="n">
        <x:f>IF(W76="估算",IF(OR(K76=0,O76=0),0,1-((E24-1)*MAX(0,(C76-O76)/E24-(K76))+MAX(0,L76-((E24-1)*C76/E24+P76)-(K76)))/L76),"")</x:f>
        <x:v>0.0012889897871540823</x:v>
      </x:c>
      <x:c r="S76" s="76" t="n">
        <x:f>IF(W76="估算",IF(O76=0,0,MAX(0,1-(1-((E24-1)*MAX(0,(C76-O76)/E24-(L76-K76))+MAX(0,L76-((E24-1)*C76/E24+P76)-(L76-K76)))/L76))),"")</x:f>
        <x:v>0.0007943102235127286</x:v>
      </x:c>
      <x:c r="T76" s="76" t="n">
        <x:f>IF(W76="估算",IF(OR(P76=0,K76=0,$J$7=0),0,IF(P76&lt;=(1-$J$7)*K76,$J$7*P76*K76/(1-$J$7)-$J$7^2*P76^2/(2*(1-$J$7)^2),$J$7*P76*K76+$J$7^2*K76^2/2)/L76),"")</x:f>
        <x:v>1.3234267636233306e-7</x:v>
      </x:c>
      <x:c r="U76" s="76" t="n">
        <x:f>IF(A76,60000/C76,"")</x:f>
        <x:v>12000</x:v>
      </x:c>
      <x:c r="V76" s="76" t="n">
        <x:f>IF(W76="估算",U76*E24*T76*M24*N24,"")</x:f>
        <x:v>0.1461063147040157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12.499800063999999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46.56538391113281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93.13076782226562</x:v>
      </x:c>
      <x:c r="J77" s="76" t="n">
        <x:f>IF(A77,I77*$F$5/$J$5,"")</x:f>
        <x:v>93.13076782226562</x:v>
      </x:c>
      <x:c r="K77" s="76" t="n">
        <x:f>IF(A77,MAX(I77,J77)*2^30/(J24*1e6),"")</x:f>
        <x:v>20.833000106666667</x:v>
      </x:c>
      <x:c r="L77" s="76" t="n">
        <x:f>IF(A77,B77/$B$9,"")</x:f>
        <x:v>20000</x:v>
      </x:c>
      <x:c r="M77" s="77" t="n">
        <x:f>IF(A77,K77/L77,"")</x:f>
        <x:v>0.0010416500053333333</x:v>
      </x:c>
      <x:c r="N77" s="76" t="n">
        <x:f>IF(A77,(E24*ROUNDUP(K24/D24,0)*G24*(B24-1)/B24*(ROUNDUP((ROUNDUP(F24*2/32,0)*32+32)/480,0)*512+F24*2+32)+E24*ROUNDUP(H24/B24,0)*(B24-1)*32)/1e9,"")</x:f>
        <x:v>0.50495304</x:v>
      </x:c>
      <x:c r="O77" s="76" t="n">
        <x:f>IF(A77,N77*1000/I24,"")</x:f>
        <x:v>0.10519855</x:v>
      </x:c>
      <x:c r="P77" s="76" t="n">
        <x:f>IF(A77,O77/E24,"")</x:f>
        <x:v>0.0011434625</x:v>
      </x:c>
      <x:c r="Q77" s="76" t="n">
        <x:f>IF(A77,N77*1000/C77,"")</x:f>
        <x:v>50.495304</x:v>
      </x:c>
      <x:c r="R77" s="76" t="n">
        <x:f>IF(W77="估算",IF(OR(K77=0,O77=0),0,1-((E24-1)*MAX(0,(C77-O77)/E24-(K77))+MAX(0,L77-((E24-1)*C77/E24+P77)-(K77)))/L77),"")</x:f>
        <x:v>0.001536272395849636</x:v>
      </x:c>
      <x:c r="S77" s="76" t="n">
        <x:f>IF(W77="估算",IF(O77=0,0,MAX(0,1-(1-((E24-1)*MAX(0,(C77-O77)/E24-(L77-K77))+MAX(0,L77-((E24-1)*C77/E24+P77)-(L77-K77)))/L77))),"")</x:f>
        <x:v>0.0005470276148171749</x:v>
      </x:c>
      <x:c r="T77" s="76" t="n">
        <x:f>IF(W77="估算",IF(OR(P77=0,K77=0,$J$7=0),0,IF(P77&lt;=(1-$J$7)*K77,$J$7*P77*K77/(1-$J$7)-$J$7^2*P77^2/(2*(1-$J$7)^2),$J$7*P77*K77+$J$7^2*K77^2/2)/L77),"")</x:f>
        <x:v>1.3234267636233306e-7</x:v>
      </x:c>
      <x:c r="U77" s="76" t="n">
        <x:f>IF(A77,60000/C77,"")</x:f>
        <x:v>6000</x:v>
      </x:c>
      <x:c r="V77" s="76" t="n">
        <x:f>IF(W77="估算",U77*E24*T77*M24*N24,"")</x:f>
        <x:v>0.07305315735200785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6.249900031999999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46.56538391113281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93.13076782226562</x:v>
      </x:c>
      <x:c r="J78" s="76" t="n">
        <x:f>IF(A78,I78*$F$5/$J$5,"")</x:f>
        <x:v>93.13076782226562</x:v>
      </x:c>
      <x:c r="K78" s="76" t="n">
        <x:f>IF(A78,MAX(I78,J78)*2^30/(J24*1e6),"")</x:f>
        <x:v>20.833000106666667</x:v>
      </x:c>
      <x:c r="L78" s="76" t="n">
        <x:f>IF(A78,B78/$B$9,"")</x:f>
        <x:v>20000</x:v>
      </x:c>
      <x:c r="M78" s="77" t="n">
        <x:f>IF(A78,K78/L78,"")</x:f>
        <x:v>0.0010416500053333333</x:v>
      </x:c>
      <x:c r="N78" s="76" t="n">
        <x:f>IF(A78,(E24*ROUNDUP(K24/D24,0)*G24*(B24-1)/B24*(ROUNDUP((ROUNDUP(F24*2/32,0)*32+32)/480,0)*512+F24*2+32)+E24*ROUNDUP(H24/B24,0)*(B24-1)*32)/1e9,"")</x:f>
        <x:v>0.50495304</x:v>
      </x:c>
      <x:c r="O78" s="76" t="n">
        <x:f>IF(A78,N78*1000/I24,"")</x:f>
        <x:v>0.10519855</x:v>
      </x:c>
      <x:c r="P78" s="76" t="n">
        <x:f>IF(A78,O78/E24,"")</x:f>
        <x:v>0.0011434625</x:v>
      </x:c>
      <x:c r="Q78" s="76" t="n">
        <x:f>IF(A78,N78*1000/C78,"")</x:f>
        <x:v>25.247652</x:v>
      </x:c>
      <x:c r="R78" s="76" t="n">
        <x:f>IF(W78="估算",IF(OR(K78=0,O78=0),0,1-((E24-1)*MAX(0,(C78-O78)/E24-(K78))+MAX(0,L78-((E24-1)*C78/E24+P78)-(K78)))/L78),"")</x:f>
        <x:v>0.0020308376132410766</x:v>
      </x:c>
      <x:c r="S78" s="76" t="n">
        <x:f>IF(W78="估算",IF(O78=0,0,MAX(0,1-(1-((E24-1)*MAX(0,(C78-O78)/E24-(L78-K78))+MAX(0,L78-((E24-1)*C78/E24+P78)-(L78-K78)))/L78))),"")</x:f>
        <x:v>0.00005246239742573433</x:v>
      </x:c>
      <x:c r="T78" s="76" t="n">
        <x:f>IF(W78="估算",IF(OR(P78=0,K78=0,$J$7=0),0,IF(P78&lt;=(1-$J$7)*K78,$J$7*P78*K78/(1-$J$7)-$J$7^2*P78^2/(2*(1-$J$7)^2),$J$7*P78*K78+$J$7^2*K78^2/2)/L78),"")</x:f>
        <x:v>1.3234267636233306e-7</x:v>
      </x:c>
      <x:c r="U78" s="76" t="n">
        <x:f>IF(A78,60000/C78,"")</x:f>
        <x:v>3000</x:v>
      </x:c>
      <x:c r="V78" s="76" t="n">
        <x:f>IF(W78="估算",U78*E24*T78*M24*N24,"")</x:f>
        <x:v>0.036526578676003923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3.1249500159999997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46.56538391113281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93.13076782226562</x:v>
      </x:c>
      <x:c r="J79" s="76" t="n">
        <x:f>IF(A79,I79*$F$5/$J$5,"")</x:f>
        <x:v>93.13076782226562</x:v>
      </x:c>
      <x:c r="K79" s="76" t="n">
        <x:f>IF(A79,MAX(I79,J79)*2^30/(J24*1e6),"")</x:f>
        <x:v>20.833000106666667</x:v>
      </x:c>
      <x:c r="L79" s="76" t="n">
        <x:f>IF(A79,B79/$B$9,"")</x:f>
        <x:v>20000</x:v>
      </x:c>
      <x:c r="M79" s="77" t="n">
        <x:f>IF(A79,K79/L79,"")</x:f>
        <x:v>0.0010416500053333333</x:v>
      </x:c>
      <x:c r="N79" s="76" t="n">
        <x:f>IF(A79,(E24*ROUNDUP(K24/D24,0)*G24*(B24-1)/B24*(ROUNDUP((ROUNDUP(F24*2/32,0)*32+32)/480,0)*512+F24*2+32)+E24*ROUNDUP(H24/B24,0)*(B24-1)*32)/1e9,"")</x:f>
        <x:v>0.50495304</x:v>
      </x:c>
      <x:c r="O79" s="76" t="n">
        <x:f>IF(A79,N79*1000/I24,"")</x:f>
        <x:v>0.10519855</x:v>
      </x:c>
      <x:c r="P79" s="76" t="n">
        <x:f>IF(A79,O79/E24,"")</x:f>
        <x:v>0.0011434625</x:v>
      </x:c>
      <x:c r="Q79" s="76" t="n">
        <x:f>IF(A79,N79*1000/C79,"")</x:f>
        <x:v>16.831768</x:v>
      </x:c>
      <x:c r="R79" s="76" t="n">
        <x:f>IF(W79="估算",IF(OR(K79=0,O79=0),0,1-((E24-1)*MAX(0,(C79-O79)/E24-(K79))+MAX(0,L79-((E24-1)*C79/E24+P79)-(K79)))/L79),"")</x:f>
        <x:v>0.002525402830632295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1.3234267636233306e-7</x:v>
      </x:c>
      <x:c r="U79" s="76" t="n">
        <x:f>IF(A79,60000/C79,"")</x:f>
        <x:v>2000</x:v>
      </x:c>
      <x:c r="V79" s="76" t="n">
        <x:f>IF(W79="估算",U79*E24*T79*M24*N24,"")</x:f>
        <x:v>0.02435105245066928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2.0833000106666666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184.5653839111328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369.1307678222656</x:v>
      </x:c>
      <x:c r="J80" s="76" t="n">
        <x:f>IF(A80,I80*$F$5/$J$5,"")</x:f>
        <x:v>369.1307678222656</x:v>
      </x:c>
      <x:c r="K80" s="76" t="n">
        <x:f>IF(A80,MAX(I80,J80)*2^30/(J24*1e6),"")</x:f>
        <x:v>82.57315498666667</x:v>
      </x:c>
      <x:c r="L80" s="76" t="n">
        <x:f>IF(A80,B80/$B$9,"")</x:f>
        <x:v>60000</x:v>
      </x:c>
      <x:c r="M80" s="77" t="n">
        <x:f>IF(A80,K80/L80,"")</x:f>
        <x:v>0.0013762192497777778</x:v>
      </x:c>
      <x:c r="N80" s="76" t="n">
        <x:f>IF(A80,(E24*ROUNDUP(K24/D24,0)*G24*(B24-1)/B24*(ROUNDUP((ROUNDUP(F24*2/32,0)*32+32)/480,0)*512+F24*2+32)+E24*ROUNDUP(H24/B24,0)*(B24-1)*32)/1e9,"")</x:f>
        <x:v>0.50495304</x:v>
      </x:c>
      <x:c r="O80" s="76" t="n">
        <x:f>IF(A80,N80*1000/I24,"")</x:f>
        <x:v>0.10519855</x:v>
      </x:c>
      <x:c r="P80" s="76" t="n">
        <x:f>IF(A80,O80/E24,"")</x:f>
        <x:v>0.0011434625</x:v>
      </x:c>
      <x:c r="Q80" s="76" t="n">
        <x:f>IF(A80,N80*1000/C80,"")</x:f>
        <x:v>100.990608</x:v>
      </x:c>
      <x:c r="R80" s="76" t="n">
        <x:f>IF(W80="估算",IF(OR(K80=0,O80=0),0,1-((E24-1)*MAX(0,(C80-O80)/E24-(K80))+MAX(0,L80-((E24-1)*C80/E24+P80)-(K80)))/L80),"")</x:f>
        <x:v>0.00145866584371801</x:v>
      </x:c>
      <x:c r="S80" s="76" t="n">
        <x:f>IF(W80="估算",IF(O80=0,0,MAX(0,1-(1-((E24-1)*MAX(0,(C80-O80)/E24-(L80-K80))+MAX(0,L80-((E24-1)*C80/E24+P80)-(L80-K80)))/L80))),"")</x:f>
        <x:v>0.0012937726558376328</x:v>
      </x:c>
      <x:c r="T80" s="76" t="n">
        <x:f>IF(W80="估算",IF(OR(P80=0,K80=0,$J$7=0),0,IF(P80&lt;=(1-$J$7)*K80,$J$7*P80*K80/(1-$J$7)-$J$7^2*P80^2/(2*(1-$J$7)^2),$J$7*P80*K80+$J$7^2*K80^2/2)/L80),"")</x:f>
        <x:v>1.7485043258276292e-7</x:v>
      </x:c>
      <x:c r="U80" s="76" t="n">
        <x:f>IF(A80,60000/C80,"")</x:f>
        <x:v>12000</x:v>
      </x:c>
      <x:c r="V80" s="76" t="n">
        <x:f>IF(W80="估算",U80*E24*T80*M24*N24,"")</x:f>
        <x:v>0.19303487757137025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16.514630997333335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184.5653839111328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369.1307678222656</x:v>
      </x:c>
      <x:c r="J81" s="76" t="n">
        <x:f>IF(A81,I81*$F$5/$J$5,"")</x:f>
        <x:v>369.1307678222656</x:v>
      </x:c>
      <x:c r="K81" s="76" t="n">
        <x:f>IF(A81,MAX(I81,J81)*2^30/(J24*1e6),"")</x:f>
        <x:v>82.57315498666667</x:v>
      </x:c>
      <x:c r="L81" s="76" t="n">
        <x:f>IF(A81,B81/$B$9,"")</x:f>
        <x:v>60000</x:v>
      </x:c>
      <x:c r="M81" s="77" t="n">
        <x:f>IF(A81,K81/L81,"")</x:f>
        <x:v>0.0013762192497777778</x:v>
      </x:c>
      <x:c r="N81" s="76" t="n">
        <x:f>IF(A81,(E24*ROUNDUP(K24/D24,0)*G24*(B24-1)/B24*(ROUNDUP((ROUNDUP(F24*2/32,0)*32+32)/480,0)*512+F24*2+32)+E24*ROUNDUP(H24/B24,0)*(B24-1)*32)/1e9,"")</x:f>
        <x:v>0.50495304</x:v>
      </x:c>
      <x:c r="O81" s="76" t="n">
        <x:f>IF(A81,N81*1000/I24,"")</x:f>
        <x:v>0.10519855</x:v>
      </x:c>
      <x:c r="P81" s="76" t="n">
        <x:f>IF(A81,O81/E24,"")</x:f>
        <x:v>0.0011434625</x:v>
      </x:c>
      <x:c r="Q81" s="76" t="n">
        <x:f>IF(A81,N81*1000/C81,"")</x:f>
        <x:v>50.495304</x:v>
      </x:c>
      <x:c r="R81" s="76" t="n">
        <x:f>IF(W81="估算",IF(OR(K81=0,O81=0),0,1-((E24-1)*MAX(0,(C81-O81)/E24-(K81))+MAX(0,L81-((E24-1)*C81/E24+P81)-(K81)))/L81),"")</x:f>
        <x:v>0.0015410933799500093</x:v>
      </x:c>
      <x:c r="S81" s="76" t="n">
        <x:f>IF(W81="估算",IF(O81=0,0,MAX(0,1-(1-((E24-1)*MAX(0,(C81-O81)/E24-(L81-K81))+MAX(0,L81-((E24-1)*C81/E24+P81)-(L81-K81)))/L81))),"")</x:f>
        <x:v>0.0012113451196056335</x:v>
      </x:c>
      <x:c r="T81" s="76" t="n">
        <x:f>IF(W81="估算",IF(OR(P81=0,K81=0,$J$7=0),0,IF(P81&lt;=(1-$J$7)*K81,$J$7*P81*K81/(1-$J$7)-$J$7^2*P81^2/(2*(1-$J$7)^2),$J$7*P81*K81+$J$7^2*K81^2/2)/L81),"")</x:f>
        <x:v>1.7485043258276292e-7</x:v>
      </x:c>
      <x:c r="U81" s="76" t="n">
        <x:f>IF(A81,60000/C81,"")</x:f>
        <x:v>6000</x:v>
      </x:c>
      <x:c r="V81" s="76" t="n">
        <x:f>IF(W81="估算",U81*E24*T81*M24*N24,"")</x:f>
        <x:v>0.09651743878568513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8.257315498666667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184.5653839111328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369.1307678222656</x:v>
      </x:c>
      <x:c r="J82" s="76" t="n">
        <x:f>IF(A82,I82*$F$5/$J$5,"")</x:f>
        <x:v>369.1307678222656</x:v>
      </x:c>
      <x:c r="K82" s="76" t="n">
        <x:f>IF(A82,MAX(I82,J82)*2^30/(J24*1e6),"")</x:f>
        <x:v>82.57315498666667</x:v>
      </x:c>
      <x:c r="L82" s="76" t="n">
        <x:f>IF(A82,B82/$B$9,"")</x:f>
        <x:v>60000</x:v>
      </x:c>
      <x:c r="M82" s="77" t="n">
        <x:f>IF(A82,K82/L82,"")</x:f>
        <x:v>0.0013762192497777778</x:v>
      </x:c>
      <x:c r="N82" s="76" t="n">
        <x:f>IF(A82,(E24*ROUNDUP(K24/D24,0)*G24*(B24-1)/B24*(ROUNDUP((ROUNDUP(F24*2/32,0)*32+32)/480,0)*512+F24*2+32)+E24*ROUNDUP(H24/B24,0)*(B24-1)*32)/1e9,"")</x:f>
        <x:v>0.50495304</x:v>
      </x:c>
      <x:c r="O82" s="76" t="n">
        <x:f>IF(A82,N82*1000/I24,"")</x:f>
        <x:v>0.10519855</x:v>
      </x:c>
      <x:c r="P82" s="76" t="n">
        <x:f>IF(A82,O82/E24,"")</x:f>
        <x:v>0.0011434625</x:v>
      </x:c>
      <x:c r="Q82" s="76" t="n">
        <x:f>IF(A82,N82*1000/C82,"")</x:f>
        <x:v>25.247652</x:v>
      </x:c>
      <x:c r="R82" s="76" t="n">
        <x:f>IF(W82="估算",IF(OR(K82=0,O82=0),0,1-((E24-1)*MAX(0,(C82-O82)/E24-(K82))+MAX(0,L82-((E24-1)*C82/E24+P82)-(K82)))/L82),"")</x:f>
        <x:v>0.0017059484524136748</x:v>
      </x:c>
      <x:c r="S82" s="76" t="n">
        <x:f>IF(W82="估算",IF(O82=0,0,MAX(0,1-(1-((E24-1)*MAX(0,(C82-O82)/E24-(L82-K82))+MAX(0,L82-((E24-1)*C82/E24+P82)-(L82-K82)))/L82))),"")</x:f>
        <x:v>0.001046490047141968</x:v>
      </x:c>
      <x:c r="T82" s="76" t="n">
        <x:f>IF(W82="估算",IF(OR(P82=0,K82=0,$J$7=0),0,IF(P82&lt;=(1-$J$7)*K82,$J$7*P82*K82/(1-$J$7)-$J$7^2*P82^2/(2*(1-$J$7)^2),$J$7*P82*K82+$J$7^2*K82^2/2)/L82),"")</x:f>
        <x:v>1.7485043258276292e-7</x:v>
      </x:c>
      <x:c r="U82" s="76" t="n">
        <x:f>IF(A82,60000/C82,"")</x:f>
        <x:v>3000</x:v>
      </x:c>
      <x:c r="V82" s="76" t="n">
        <x:f>IF(W82="估算",U82*E24*T82*M24*N24,"")</x:f>
        <x:v>0.04825871939284256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4.128657749333334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184.5653839111328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369.1307678222656</x:v>
      </x:c>
      <x:c r="J83" s="76" t="n">
        <x:f>IF(A83,I83*$F$5/$J$5,"")</x:f>
        <x:v>369.1307678222656</x:v>
      </x:c>
      <x:c r="K83" s="76" t="n">
        <x:f>IF(A83,MAX(I83,J83)*2^30/(J24*1e6),"")</x:f>
        <x:v>82.57315498666667</x:v>
      </x:c>
      <x:c r="L83" s="76" t="n">
        <x:f>IF(A83,B83/$B$9,"")</x:f>
        <x:v>60000</x:v>
      </x:c>
      <x:c r="M83" s="77" t="n">
        <x:f>IF(A83,K83/L83,"")</x:f>
        <x:v>0.0013762192497777778</x:v>
      </x:c>
      <x:c r="N83" s="76" t="n">
        <x:f>IF(A83,(E24*ROUNDUP(K24/D24,0)*G24*(B24-1)/B24*(ROUNDUP((ROUNDUP(F24*2/32,0)*32+32)/480,0)*512+F24*2+32)+E24*ROUNDUP(H24/B24,0)*(B24-1)*32)/1e9,"")</x:f>
        <x:v>0.50495304</x:v>
      </x:c>
      <x:c r="O83" s="76" t="n">
        <x:f>IF(A83,N83*1000/I24,"")</x:f>
        <x:v>0.10519855</x:v>
      </x:c>
      <x:c r="P83" s="76" t="n">
        <x:f>IF(A83,O83/E24,"")</x:f>
        <x:v>0.0011434625</x:v>
      </x:c>
      <x:c r="Q83" s="76" t="n">
        <x:f>IF(A83,N83*1000/C83,"")</x:f>
        <x:v>16.831768</x:v>
      </x:c>
      <x:c r="R83" s="76" t="n">
        <x:f>IF(W83="估算",IF(OR(K83=0,O83=0),0,1-((E24-1)*MAX(0,(C83-O83)/E24-(K83))+MAX(0,L83-((E24-1)*C83/E24+P83)-(K83)))/L83),"")</x:f>
        <x:v>0.0018708035248774513</x:v>
      </x:c>
      <x:c r="S83" s="76" t="n">
        <x:f>IF(W83="估算",IF(O83=0,0,MAX(0,1-(1-((E24-1)*MAX(0,(C83-O83)/E24-(L83-K83))+MAX(0,L83-((E24-1)*C83/E24+P83)-(L83-K83)))/L83))),"")</x:f>
        <x:v>0.0008816349746781915</x:v>
      </x:c>
      <x:c r="T83" s="76" t="n">
        <x:f>IF(W83="估算",IF(OR(P83=0,K83=0,$J$7=0),0,IF(P83&lt;=(1-$J$7)*K83,$J$7*P83*K83/(1-$J$7)-$J$7^2*P83^2/(2*(1-$J$7)^2),$J$7*P83*K83+$J$7^2*K83^2/2)/L83),"")</x:f>
        <x:v>1.7485043258276292e-7</x:v>
      </x:c>
      <x:c r="U83" s="76" t="n">
        <x:f>IF(A83,60000/C83,"")</x:f>
        <x:v>2000</x:v>
      </x:c>
      <x:c r="V83" s="76" t="n">
        <x:f>IF(W83="估算",U83*E24*T83*M24*N24,"")</x:f>
        <x:v>0.03217247959522838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2.7524384995555558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Qwen3.8 2.4T</x:v>
      </x:c>
      <x:c r="B90" s="30" t="n">
        <x:f>$B$15</x:f>
        <x:v>16384</x:v>
      </x:c>
      <x:c r="C90" s="79" t="str">
        <x:v>GQA K+V / BF16 (KV heads replicated)</x:v>
      </x:c>
      <x:c r="D90" s="30" t="n">
        <x:v>23</x:v>
      </x:c>
      <x:c r="E90" s="30" t="n">
        <x:v>1024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2.8748245239257812</x:v>
      </x:c>
      <x:c r="L90" s="76" t="n">
        <x:f>IF(AND(ISNUMBER($B$15),$B$15&gt;=2,MOD($B$15,1)=0,OR($N$9=32,$N$9=64,$N$9=128),ISNUMBER($B$11),$B$11&gt;=0,MOD($B$11,1)=0),D90*E90*F90*I90/2^30,"")</x:f>
        <x:v>2.8748245239257812</x:v>
      </x:c>
      <x:c r="M90" s="76" t="n">
        <x:f>IF(AND(ISNUMBER($B$15),$B$15&gt;=2,MOD($B$15,1)=0,OR($N$9=32,$N$9=64,$N$9=128),ISNUMBER($B$11),$B$11&gt;=0,MOD($B$11,1)=0),D90*E90*G90*J90/2^30,"")</x:f>
        <x:v>2.875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Qwen3.8 2.4T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5120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0.00789642333984375</x:v>
      </x:c>
      <x:c r="L91" s="76" t="n">
        <x:f>IF(AND(ISNUMBER($B$15),$B$15&gt;=2,MOD($B$15,1)=0,OR($N$9=32,$N$9=64,$N$9=128),ISNUMBER($B$11),$B$11&gt;=0,MOD($B$11,1)=0),D91*E91*F91*I91/2^30,"")</x:f>
        <x:v>0.00789642333984375</x:v>
      </x:c>
      <x:c r="M91" s="76" t="n">
        <x:f>IF(AND(ISNUMBER($B$15),$B$15&gt;=2,MOD($B$15,1)=0,OR($N$9=32,$N$9=64,$N$9=128),ISNUMBER($B$11),$B$11&gt;=0,MOD($B$11,1)=0),D91*E91*G91*J91/2^30,"")</x:f>
        <x:v>0.0263214111328125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Qwen3.8 2.4T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1048576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0.5390625</x:v>
      </x:c>
      <x:c r="L92" s="76" t="n">
        <x:f>IF(AND(ISNUMBER($B$15),$B$15&gt;=2,MOD($B$15,1)=0,OR($N$9=32,$N$9=64,$N$9=128),ISNUMBER($B$11),$B$11&gt;=0,MOD($B$11,1)=0),D92*E92*F92*I92/2^30,"")</x:f>
        <x:v>0.5390625</x:v>
      </x:c>
      <x:c r="M92" s="76" t="n">
        <x:f>IF(AND(ISNUMBER($B$15),$B$15&gt;=2,MOD($B$15,1)=0,OR($N$9=32,$N$9=64,$N$9=128),ISNUMBER($B$11),$B$11&gt;=0,MOD($B$11,1)=0),D92*E92*G92*J92/2^30,"")</x:f>
        <x:v>0.5390625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Qwen3.8 2.4T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3.421783447265625</x:v>
      </x:c>
      <x:c r="L93" s="78" t="n">
        <x:f>SUM(L90:L92)</x:f>
        <x:v>3.421783447265625</x:v>
      </x:c>
      <x:c r="M93" s="78" t="n">
        <x:f>SUM(M90:M92)</x:f>
        <x:v>3.4403839111328125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Qwen3.8 2.4T</x:v>
      </x:c>
      <x:c r="B94" s="30" t="n">
        <x:f>$B$16</x:f>
        <x:v>262144</x:v>
      </x:c>
      <x:c r="C94" s="79" t="str">
        <x:v>GQA K+V / BF16 (KV heads replicated)</x:v>
      </x:c>
      <x:c r="D94" s="30" t="n">
        <x:v>23</x:v>
      </x:c>
      <x:c r="E94" s="30" t="n">
        <x:v>1024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45.99982452392578</x:v>
      </x:c>
      <x:c r="L94" s="76" t="n">
        <x:f>IF(AND(ISNUMBER($B$16),$B$16&gt;=2,MOD($B$16,1)=0,OR($N$9=32,$N$9=64,$N$9=128),ISNUMBER($B$11),$B$11&gt;=0,MOD($B$11,1)=0),D94*E94*F94*I94/2^30,"")</x:f>
        <x:v>45.99982452392578</x:v>
      </x:c>
      <x:c r="M94" s="76" t="n">
        <x:f>IF(AND(ISNUMBER($B$16),$B$16&gt;=2,MOD($B$16,1)=0,OR($N$9=32,$N$9=64,$N$9=128),ISNUMBER($B$11),$B$11&gt;=0,MOD($B$11,1)=0),D94*E94*G94*J94/2^30,"")</x:f>
        <x:v>46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Qwen3.8 2.4T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5120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0.00789642333984375</x:v>
      </x:c>
      <x:c r="L95" s="76" t="n">
        <x:f>IF(AND(ISNUMBER($B$16),$B$16&gt;=2,MOD($B$16,1)=0,OR($N$9=32,$N$9=64,$N$9=128),ISNUMBER($B$11),$B$11&gt;=0,MOD($B$11,1)=0),D95*E95*F95*I95/2^30,"")</x:f>
        <x:v>0.00789642333984375</x:v>
      </x:c>
      <x:c r="M95" s="76" t="n">
        <x:f>IF(AND(ISNUMBER($B$16),$B$16&gt;=2,MOD($B$16,1)=0,OR($N$9=32,$N$9=64,$N$9=128),ISNUMBER($B$11),$B$11&gt;=0,MOD($B$11,1)=0),D95*E95*G95*J95/2^30,"")</x:f>
        <x:v>0.0263214111328125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Qwen3.8 2.4T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1048576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0.5390625</x:v>
      </x:c>
      <x:c r="L96" s="76" t="n">
        <x:f>IF(AND(ISNUMBER($B$16),$B$16&gt;=2,MOD($B$16,1)=0,OR($N$9=32,$N$9=64,$N$9=128),ISNUMBER($B$11),$B$11&gt;=0,MOD($B$11,1)=0),D96*E96*F96*I96/2^30,"")</x:f>
        <x:v>0.5390625</x:v>
      </x:c>
      <x:c r="M96" s="76" t="n">
        <x:f>IF(AND(ISNUMBER($B$16),$B$16&gt;=2,MOD($B$16,1)=0,OR($N$9=32,$N$9=64,$N$9=128),ISNUMBER($B$11),$B$11&gt;=0,MOD($B$11,1)=0),D96*E96*G96*J96/2^30,"")</x:f>
        <x:v>0.5390625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Qwen3.8 2.4T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46.546783447265625</x:v>
      </x:c>
      <x:c r="L97" s="78" t="n">
        <x:f>SUM(L94:L96)</x:f>
        <x:v>46.546783447265625</x:v>
      </x:c>
      <x:c r="M97" s="78" t="n">
        <x:f>SUM(M94:M96)</x:f>
        <x:v>46.56538391113281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Qwen3.8 2.4T</x:v>
      </x:c>
      <x:c r="B98" s="30" t="n">
        <x:f>$B$17</x:f>
        <x:v>1048576</x:v>
      </x:c>
      <x:c r="C98" s="79" t="str">
        <x:v>GQA K+V / BF16 (KV heads replicated)</x:v>
      </x:c>
      <x:c r="D98" s="30" t="n">
        <x:v>23</x:v>
      </x:c>
      <x:c r="E98" s="30" t="n">
        <x:v>1024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183.99982452392578</x:v>
      </x:c>
      <x:c r="L98" s="76" t="n">
        <x:f>IF(AND(ISNUMBER($B$17),$B$17&gt;=2,MOD($B$17,1)=0,OR($N$9=32,$N$9=64,$N$9=128),ISNUMBER($B$11),$B$11&gt;=0,MOD($B$11,1)=0),D98*E98*F98*I98/2^30,"")</x:f>
        <x:v>183.99982452392578</x:v>
      </x:c>
      <x:c r="M98" s="76" t="n">
        <x:f>IF(AND(ISNUMBER($B$17),$B$17&gt;=2,MOD($B$17,1)=0,OR($N$9=32,$N$9=64,$N$9=128),ISNUMBER($B$11),$B$11&gt;=0,MOD($B$11,1)=0),D98*E98*G98*J98/2^30,"")</x:f>
        <x:v>184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Qwen3.8 2.4T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5120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0.00789642333984375</x:v>
      </x:c>
      <x:c r="L99" s="76" t="n">
        <x:f>IF(AND(ISNUMBER($B$17),$B$17&gt;=2,MOD($B$17,1)=0,OR($N$9=32,$N$9=64,$N$9=128),ISNUMBER($B$11),$B$11&gt;=0,MOD($B$11,1)=0),D99*E99*F99*I99/2^30,"")</x:f>
        <x:v>0.00789642333984375</x:v>
      </x:c>
      <x:c r="M99" s="76" t="n">
        <x:f>IF(AND(ISNUMBER($B$17),$B$17&gt;=2,MOD($B$17,1)=0,OR($N$9=32,$N$9=64,$N$9=128),ISNUMBER($B$11),$B$11&gt;=0,MOD($B$11,1)=0),D99*E99*G99*J99/2^30,"")</x:f>
        <x:v>0.0263214111328125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Qwen3.8 2.4T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1048576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0.5390625</x:v>
      </x:c>
      <x:c r="L100" s="76" t="n">
        <x:f>IF(AND(ISNUMBER($B$17),$B$17&gt;=2,MOD($B$17,1)=0,OR($N$9=32,$N$9=64,$N$9=128),ISNUMBER($B$11),$B$11&gt;=0,MOD($B$11,1)=0),D100*E100*F100*I100/2^30,"")</x:f>
        <x:v>0.5390625</x:v>
      </x:c>
      <x:c r="M100" s="76" t="n">
        <x:f>IF(AND(ISNUMBER($B$17),$B$17&gt;=2,MOD($B$17,1)=0,OR($N$9=32,$N$9=64,$N$9=128),ISNUMBER($B$11),$B$11&gt;=0,MOD($B$11,1)=0),D100*E100*G100*J100/2^30,"")</x:f>
        <x:v>0.5390625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Qwen3.8 2.4T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184.54678344726562</x:v>
      </x:c>
      <x:c r="L101" s="78" t="n">
        <x:f>SUM(L98:L100)</x:f>
        <x:v>184.54678344726562</x:v>
      </x:c>
      <x:c r="M101" s="78" t="n">
        <x:f>SUM(M98:M100)</x:f>
        <x:v>184.5653839111328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BF16；均衡路由。未计 TP / Attention / Engram、通信启动和真实排队，未复现 NPU 实测。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