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b21d40115a47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fill" sheetId="1" r:id="Rcda6aaa74bce4cbf"/>
    <x:sheet xmlns:r="http://schemas.openxmlformats.org/officeDocument/2006/relationships" name="Decode" sheetId="2" r:id="Rf69eecd78ea44d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##"/>
    <x:numFmt numFmtId="201" formatCode="0.0000"/>
    <x:numFmt numFmtId="202" formatCode="#,##0.####"/>
    <x:numFmt numFmtId="203" formatCode="0.000000"/>
  </x:numFmts>
  <x:fonts count="5">
    <x:font>
      <x:sz val="11"/>
      <x:name val="Carlito"/>
    </x:font>
    <x:font>
      <x:b/>
      <x:sz val="10"/>
      <x:color rgb="FF000000"/>
      <x:name val="Arial"/>
    </x:font>
    <x:font>
      <x:b/>
      <x:sz val="11"/>
      <x:name val="Carlito"/>
    </x:font>
    <x:font>
      <x:sz val="10"/>
      <x:color rgb="FF000000"/>
      <x:name val="Arial"/>
    </x:font>
    <x:font>
      <x:sz val="10"/>
      <x:color rgb="FF66666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3" borderId="2" xfId="0" applyNumberFormat="1" applyFont="1" applyFill="1" applyBorder="1"/>
    <x:xf numFmtId="200" fontId="0" fillId="3" borderId="2" xfId="0" applyNumberFormat="1" applyFont="1" applyFill="1" applyBorder="1"/>
    <x:xf numFmtId="0" fontId="0" fillId="4" borderId="2" xfId="0" applyNumberFormat="1" applyFont="1" applyFill="1" applyBorder="1"/>
    <x:xf numFmtId="200" fontId="0" fillId="4" borderId="2" xfId="0" applyNumberFormat="1" applyFont="1" applyFill="1" applyBorder="1"/>
    <x:xf numFmtId="201" fontId="0" fillId="4" borderId="2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3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2" fontId="3" fillId="3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2" xfId="0" applyNumberFormat="1" applyFont="1" applyFill="1" applyBorder="1"/>
    <x:xf numFmtId="200" fontId="3" fillId="3" borderId="2" xfId="0" applyNumberFormat="1" applyFont="1" applyFill="1" applyBorder="1"/>
    <x:xf numFmtId="200" fontId="3" fillId="4" borderId="2" xfId="0" applyNumberFormat="1" applyFont="1" applyFill="1" applyBorder="1"/>
    <x:xf numFmtId="201" fontId="3" fillId="4" borderId="2" xfId="0" applyNumberFormat="1" applyFont="1" applyFill="1" applyBorder="1"/>
    <x:xf numFmtId="0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200" fontId="3" fillId="3" borderId="2" xfId="0" applyNumberFormat="1" applyFont="1" applyFill="1" applyBorder="1" applyAlignment="1">
      <x:alignment vertical="center"/>
    </x:xf>
    <x:xf numFmtId="200" fontId="3" fillId="4" borderId="2" xfId="0" applyNumberFormat="1" applyFont="1" applyFill="1" applyBorder="1" applyAlignment="1">
      <x:alignment vertical="center"/>
    </x:xf>
    <x:xf numFmtId="201" fontId="3" fillId="4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2ff297f6c14e4d" /><Relationship Type="http://schemas.openxmlformats.org/officeDocument/2006/relationships/theme" Target="/xl/theme/theme1.xml" Id="Rc56befc1c1ab4b82" /><Relationship Type="http://schemas.openxmlformats.org/officeDocument/2006/relationships/sharedStrings" Target="/xl/sharedStrings.xml" Id="R67fddbb47ee240c8" /><Relationship Type="http://schemas.openxmlformats.org/officeDocument/2006/relationships/worksheet" Target="/xl/worksheets/sheet1.xml" Id="Rcda6aaa74bce4cbf" /><Relationship Type="http://schemas.openxmlformats.org/officeDocument/2006/relationships/worksheet" Target="/xl/worksheets/sheet2.xml" Id="Rf69eecd78ea44d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2" hidden="0" customWidth="1"/>
    <x:col min="3" max="3" width="24" hidden="0" customWidth="1"/>
    <x:col min="4" max="4" width="2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20" hidden="0" customWidth="1"/>
    <x:col min="13" max="13" width="3" hidden="0" customWidth="1"/>
    <x:col min="14" max="14" width="3" hidden="0" customWidth="1"/>
    <x:col min="15" max="15" width="44" hidden="0" customWidth="1"/>
    <x:col min="16" max="16" width="18" hidden="0" customWidth="1"/>
  </x:cols>
  <x:sheetData>
    <x:row r="1" ht="30" customHeight="1">
      <x:c r="A1" s="18" t="str">
        <x:v>模块</x:v>
      </x:c>
      <x:c r="B1" s="18" t="str">
        <x:v>权重 / Tensor</x:v>
      </x:c>
      <x:c r="C1" s="18" t="str">
        <x:v>shape</x:v>
      </x:c>
      <x:c r="D1" s="18" t="str">
        <x:v>dtype</x:v>
      </x:c>
      <x:c r="E1" s="18" t="str">
        <x:v>字节/元素</x:v>
      </x:c>
      <x:c r="F1" s="18" t="str">
        <x:v>数量</x:v>
      </x:c>
      <x:c r="G1" s="18" t="str">
        <x:v>单个 Tensor 元素数</x:v>
      </x:c>
      <x:c r="H1" s="18" t="str">
        <x:v>切分方式</x:v>
      </x:c>
      <x:c r="I1" s="18" t="str">
        <x:v>切分份数</x:v>
      </x:c>
      <x:c r="J1" s="18" t="str">
        <x:v>总权重 GiB</x:v>
      </x:c>
      <x:c r="K1" s="18" t="str">
        <x:v>单 Rank 权重 GiB</x:v>
      </x:c>
      <x:c r="L1" s="29"/>
      <x:c r="M1" s="29"/>
      <x:c r="N1" s="29"/>
      <x:c r="O1" s="30" t="str">
        <x:v>请求参数</x:v>
      </x:c>
      <x:c r="P1" s="30"/>
    </x:row>
    <x:row r="2" ht="30" customHeight="1">
      <x:c r="A2" s="29" t="str">
        <x:v>Embedding</x:v>
      </x:c>
      <x:c r="B2" s="40" t="str">
        <x:v>embed.weight</x:v>
      </x:c>
      <x:c r="C2" s="29" t="str">
        <x:v>[129280, 5120]</x:v>
      </x:c>
      <x:c r="D2" s="29" t="str">
        <x:v>BF16</x:v>
      </x:c>
      <x:c r="E2" s="31" t="n">
        <x:v>2</x:v>
      </x:c>
      <x:c r="F2" s="32" t="n">
        <x:v>1</x:v>
      </x:c>
      <x:c r="G2" s="32" t="n">
        <x:v>661913600</x:v>
      </x:c>
      <x:c r="H2" s="32" t="str">
        <x:v>Embedding TP</x:v>
      </x:c>
      <x:c r="I2" s="32" t="n">
        <x:f>IF('Prefill'!$P$21&gt;0,'Prefill'!$P$21,'Prefill'!$P$12)</x:f>
        <x:v>8</x:v>
      </x:c>
      <x:c r="J2" s="33" t="n">
        <x:f>E2*F2*G2/1073741824</x:f>
        <x:v>1.23291015625</x:v>
      </x:c>
      <x:c r="K2" s="33" t="n">
        <x:f>J2/I2</x:f>
        <x:v>0.15411376953125</x:v>
      </x:c>
      <x:c r="L2" s="29"/>
      <x:c r="M2" s="29"/>
      <x:c r="N2" s="29"/>
      <x:c r="O2" s="34" t="str">
        <x:v>max_num_batched_tokens</x:v>
      </x:c>
      <x:c r="P2" s="35" t="n">
        <x:v>16384</x:v>
      </x:c>
    </x:row>
    <x:row r="3" ht="30" customHeight="1">
      <x:c r="A3" s="29" t="str">
        <x:v>LM Head</x:v>
      </x:c>
      <x:c r="B3" s="40" t="str">
        <x:v>head.weight</x:v>
      </x:c>
      <x:c r="C3" s="29" t="str">
        <x:v>[129280, 5120]</x:v>
      </x:c>
      <x:c r="D3" s="29" t="str">
        <x:v>BF16</x:v>
      </x:c>
      <x:c r="E3" s="31" t="n">
        <x:v>2</x:v>
      </x:c>
      <x:c r="F3" s="32" t="n">
        <x:v>1</x:v>
      </x:c>
      <x:c r="G3" s="32" t="n">
        <x:v>661913600</x:v>
      </x:c>
      <x:c r="H3" s="32" t="str">
        <x:v>LM Head TP</x:v>
      </x:c>
      <x:c r="I3" s="32" t="n">
        <x:f>IF('Prefill'!$P$20&gt;0,'Prefill'!$P$20,'Prefill'!$P$12)</x:f>
        <x:v>8</x:v>
      </x:c>
      <x:c r="J3" s="33" t="n">
        <x:f>E3*F3*G3/1073741824</x:f>
        <x:v>1.23291015625</x:v>
      </x:c>
      <x:c r="K3" s="33" t="n">
        <x:f>J3/I3</x:f>
        <x:v>0.15411376953125</x:v>
      </x:c>
      <x:c r="L3" s="29"/>
      <x:c r="M3" s="29"/>
      <x:c r="N3" s="29"/>
      <x:c r="O3" s="34" t="str">
        <x:v>max_num_seqs</x:v>
      </x:c>
      <x:c r="P3" s="35" t="n">
        <x:v>128</x:v>
      </x:c>
    </x:row>
    <x:row r="4" ht="30" customHeight="1">
      <x:c r="A4" s="29" t="str">
        <x:v>Backbone</x:v>
      </x:c>
      <x:c r="B4" s="40" t="str">
        <x:v>norm.weight</x:v>
      </x:c>
      <x:c r="C4" s="29" t="str">
        <x:v>[5120]</x:v>
      </x:c>
      <x:c r="D4" s="29" t="str">
        <x:v>BF16</x:v>
      </x:c>
      <x:c r="E4" s="31" t="n">
        <x:v>2</x:v>
      </x:c>
      <x:c r="F4" s="32" t="n">
        <x:v>1</x:v>
      </x:c>
      <x:c r="G4" s="32" t="n">
        <x:v>5120</x:v>
      </x:c>
      <x:c r="H4" s="32" t="str">
        <x:v>Replicated</x:v>
      </x:c>
      <x:c r="I4" s="32" t="n">
        <x:f>1</x:f>
        <x:v>1</x:v>
      </x:c>
      <x:c r="J4" s="33" t="n">
        <x:f>E4*F4*G4/1073741824</x:f>
        <x:v>0.0000095367431640625</x:v>
      </x:c>
      <x:c r="K4" s="33" t="n">
        <x:f>J4/I4</x:f>
        <x:v>0.0000095367431640625</x:v>
      </x:c>
      <x:c r="L4" s="29"/>
      <x:c r="M4" s="29"/>
      <x:c r="N4" s="29"/>
      <x:c r="O4" s="34" t="str">
        <x:v>平均输入 Token 数</x:v>
      </x:c>
      <x:c r="P4" s="35" t="n">
        <x:v>262144</x:v>
      </x:c>
    </x:row>
    <x:row r="5" ht="30" customHeight="1">
      <x:c r="A5" s="29" t="str">
        <x:v>Attention</x:v>
      </x:c>
      <x:c r="B5" s="40" t="str">
        <x:v>layers.N.attn.attn_sink</x:v>
      </x:c>
      <x:c r="C5" s="29" t="str">
        <x:v>[64]</x:v>
      </x:c>
      <x:c r="D5" s="29" t="str">
        <x:v>F32</x:v>
      </x:c>
      <x:c r="E5" s="31" t="n">
        <x:v>4</x:v>
      </x:c>
      <x:c r="F5" s="32" t="n">
        <x:v>40</x:v>
      </x:c>
      <x:c r="G5" s="32" t="n">
        <x:v>64</x:v>
      </x:c>
      <x:c r="H5" s="32" t="str">
        <x:v>DSA CP / TP</x:v>
      </x:c>
      <x:c r="I5" s="32" t="n">
        <x:f>IF('Prefill'!$P$25&lt;&gt;0,1,'Prefill'!$P$12)</x:f>
        <x:v>1</x:v>
      </x:c>
      <x:c r="J5" s="33" t="n">
        <x:f>E5*F5*G5/1073741824</x:f>
        <x:v>0.0000095367431640625</x:v>
      </x:c>
      <x:c r="K5" s="33" t="n">
        <x:f>J5/I5</x:f>
        <x:v>0.0000095367431640625</x:v>
      </x:c>
      <x:c r="L5" s="29"/>
      <x:c r="M5" s="29"/>
      <x:c r="N5" s="29"/>
      <x:c r="O5" s="34" t="str">
        <x:v>平均输出 Token 数</x:v>
      </x:c>
      <x:c r="P5" s="35" t="n">
        <x:v>1024</x:v>
      </x:c>
    </x:row>
    <x:row r="6" ht="30" customHeight="1">
      <x:c r="A6" s="29" t="str">
        <x:v>Attention</x:v>
      </x:c>
      <x:c r="B6" s="40" t="str">
        <x:v>layers.N.attn.wq_a.weight</x:v>
      </x:c>
      <x:c r="C6" s="29" t="str">
        <x:v>[1280, 5120]</x:v>
      </x:c>
      <x:c r="D6" s="29" t="str">
        <x:v>FP8 E4M3</x:v>
      </x:c>
      <x:c r="E6" s="31" t="n">
        <x:v>1</x:v>
      </x:c>
      <x:c r="F6" s="32" t="n">
        <x:v>40</x:v>
      </x:c>
      <x:c r="G6" s="32" t="n">
        <x:v>6553600</x:v>
      </x:c>
      <x:c r="H6" s="32" t="str">
        <x:v>Replicated</x:v>
      </x:c>
      <x:c r="I6" s="32" t="n">
        <x:f>1</x:f>
        <x:v>1</x:v>
      </x:c>
      <x:c r="J6" s="33" t="n">
        <x:f>E6*F6*G6/1073741824</x:f>
        <x:v>0.244140625</x:v>
      </x:c>
      <x:c r="K6" s="33" t="n">
        <x:f>J6/I6</x:f>
        <x:v>0.244140625</x:v>
      </x:c>
      <x:c r="L6" s="29"/>
      <x:c r="M6" s="29"/>
      <x:c r="N6" s="29"/>
      <x:c r="O6" s="34" t="str">
        <x:v>投机采样步数</x:v>
      </x:c>
      <x:c r="P6" s="35" t="n">
        <x:v>0</x:v>
      </x:c>
    </x:row>
    <x:row r="7" ht="30" customHeight="1">
      <x:c r="A7" s="29" t="str">
        <x:v>Attention</x:v>
      </x:c>
      <x:c r="B7" s="40" t="str">
        <x:v>layers.N.attn.wq_a.scale</x:v>
      </x:c>
      <x:c r="C7" s="29" t="str">
        <x:v>[40, 160]</x:v>
      </x:c>
      <x:c r="D7" s="29" t="str">
        <x:v>E8M0</x:v>
      </x:c>
      <x:c r="E7" s="31" t="n">
        <x:v>1</x:v>
      </x:c>
      <x:c r="F7" s="32" t="n">
        <x:v>40</x:v>
      </x:c>
      <x:c r="G7" s="32" t="n">
        <x:v>6400</x:v>
      </x:c>
      <x:c r="H7" s="32" t="str">
        <x:v>Replicated</x:v>
      </x:c>
      <x:c r="I7" s="32" t="n">
        <x:f>1</x:f>
        <x:v>1</x:v>
      </x:c>
      <x:c r="J7" s="33" t="n">
        <x:f>E7*F7*G7/1073741824</x:f>
        <x:v>0.0002384185791015625</x:v>
      </x:c>
      <x:c r="K7" s="33" t="n">
        <x:f>J7/I7</x:f>
        <x:v>0.0002384185791015625</x:v>
      </x:c>
      <x:c r="L7" s="29"/>
      <x:c r="M7" s="29"/>
      <x:c r="N7" s="29"/>
      <x:c r="O7" s="34" t="str">
        <x:v>当前 Step Token 数</x:v>
      </x:c>
      <x:c r="P7" s="36" t="n">
        <x:f>MIN($P$2,$P$3*$P$4)</x:f>
        <x:v>16384</x:v>
      </x:c>
    </x:row>
    <x:row r="8" ht="30" customHeight="1">
      <x:c r="A8" s="29" t="str">
        <x:v>Attention</x:v>
      </x:c>
      <x:c r="B8" s="40" t="str">
        <x:v>layers.N.attn.wq_b.weight</x:v>
      </x:c>
      <x:c r="C8" s="29" t="str">
        <x:v>[32768, 1280]</x:v>
      </x:c>
      <x:c r="D8" s="29" t="str">
        <x:v>FP8 E4M3</x:v>
      </x:c>
      <x:c r="E8" s="31" t="n">
        <x:v>1</x:v>
      </x:c>
      <x:c r="F8" s="32" t="n">
        <x:v>40</x:v>
      </x:c>
      <x:c r="G8" s="32" t="n">
        <x:v>41943040</x:v>
      </x:c>
      <x:c r="H8" s="32" t="str">
        <x:v>DSA CP / TP</x:v>
      </x:c>
      <x:c r="I8" s="32" t="n">
        <x:f>IF('Prefill'!$P$25&lt;&gt;0,1,'Prefill'!$P$12)</x:f>
        <x:v>1</x:v>
      </x:c>
      <x:c r="J8" s="33" t="n">
        <x:f>E8*F8*G8/1073741824</x:f>
        <x:v>1.5625</x:v>
      </x:c>
      <x:c r="K8" s="33" t="n">
        <x:f>J8/I8</x:f>
        <x:v>1.5625</x:v>
      </x:c>
      <x:c r="L8" s="29"/>
      <x:c r="M8" s="29"/>
      <x:c r="N8" s="29"/>
      <x:c r="O8" s="34" t="str">
        <x:v>本 Step 采样行数</x:v>
      </x:c>
      <x:c r="P8" s="36" t="n">
        <x:f>MIN($P$3,$P$7)</x:f>
        <x:v>128</x:v>
      </x:c>
    </x:row>
    <x:row r="9" ht="30" customHeight="1">
      <x:c r="A9" s="29" t="str">
        <x:v>Attention</x:v>
      </x:c>
      <x:c r="B9" s="40" t="str">
        <x:v>layers.N.attn.wq_b.scale</x:v>
      </x:c>
      <x:c r="C9" s="29" t="str">
        <x:v>[1024, 40]</x:v>
      </x:c>
      <x:c r="D9" s="29" t="str">
        <x:v>E8M0</x:v>
      </x:c>
      <x:c r="E9" s="31" t="n">
        <x:v>1</x:v>
      </x:c>
      <x:c r="F9" s="32" t="n">
        <x:v>40</x:v>
      </x:c>
      <x:c r="G9" s="32" t="n">
        <x:v>40960</x:v>
      </x:c>
      <x:c r="H9" s="32" t="str">
        <x:v>DSA CP / TP</x:v>
      </x:c>
      <x:c r="I9" s="32" t="n">
        <x:f>IF('Prefill'!$P$25&lt;&gt;0,1,'Prefill'!$P$12)</x:f>
        <x:v>1</x:v>
      </x:c>
      <x:c r="J9" s="33" t="n">
        <x:f>E9*F9*G9/1073741824</x:f>
        <x:v>0.00152587890625</x:v>
      </x:c>
      <x:c r="K9" s="33" t="n">
        <x:f>J9/I9</x:f>
        <x:v>0.00152587890625</x:v>
      </x:c>
      <x:c r="L9" s="29"/>
      <x:c r="M9" s="29"/>
      <x:c r="N9" s="29"/>
      <x:c r="O9" s="29"/>
      <x:c r="P9" s="29"/>
    </x:row>
    <x:row r="10" ht="30" customHeight="1">
      <x:c r="A10" s="29" t="str">
        <x:v>Attention</x:v>
      </x:c>
      <x:c r="B10" s="40" t="str">
        <x:v>layers.N.attn.wkv.weight</x:v>
      </x:c>
      <x:c r="C10" s="29" t="str">
        <x:v>[512, 5120]</x:v>
      </x:c>
      <x:c r="D10" s="29" t="str">
        <x:v>FP8 E4M3</x:v>
      </x:c>
      <x:c r="E10" s="31" t="n">
        <x:v>1</x:v>
      </x:c>
      <x:c r="F10" s="32" t="n">
        <x:v>40</x:v>
      </x:c>
      <x:c r="G10" s="32" t="n">
        <x:v>2621440</x:v>
      </x:c>
      <x:c r="H10" s="32" t="str">
        <x:v>Replicated</x:v>
      </x:c>
      <x:c r="I10" s="32" t="n">
        <x:f>1</x:f>
        <x:v>1</x:v>
      </x:c>
      <x:c r="J10" s="33" t="n">
        <x:f>E10*F10*G10/1073741824</x:f>
        <x:v>0.09765625</x:v>
      </x:c>
      <x:c r="K10" s="33" t="n">
        <x:f>J10/I10</x:f>
        <x:v>0.09765625</x:v>
      </x:c>
      <x:c r="L10" s="29"/>
      <x:c r="M10" s="29"/>
      <x:c r="N10" s="29"/>
      <x:c r="O10" s="30" t="str">
        <x:v>并行策略</x:v>
      </x:c>
      <x:c r="P10" s="30"/>
    </x:row>
    <x:row r="11" ht="30" customHeight="1">
      <x:c r="A11" s="29" t="str">
        <x:v>Attention</x:v>
      </x:c>
      <x:c r="B11" s="40" t="str">
        <x:v>layers.N.attn.wkv.scale</x:v>
      </x:c>
      <x:c r="C11" s="29" t="str">
        <x:v>[16, 160]</x:v>
      </x:c>
      <x:c r="D11" s="29" t="str">
        <x:v>E8M0</x:v>
      </x:c>
      <x:c r="E11" s="31" t="n">
        <x:v>1</x:v>
      </x:c>
      <x:c r="F11" s="32" t="n">
        <x:v>40</x:v>
      </x:c>
      <x:c r="G11" s="32" t="n">
        <x:v>2560</x:v>
      </x:c>
      <x:c r="H11" s="32" t="str">
        <x:v>Replicated</x:v>
      </x:c>
      <x:c r="I11" s="32" t="n">
        <x:f>1</x:f>
        <x:v>1</x:v>
      </x:c>
      <x:c r="J11" s="33" t="n">
        <x:f>E11*F11*G11/1073741824</x:f>
        <x:v>0.000095367431640625</x:v>
      </x:c>
      <x:c r="K11" s="33" t="n">
        <x:f>J11/I11</x:f>
        <x:v>0.000095367431640625</x:v>
      </x:c>
      <x:c r="L11" s="29"/>
      <x:c r="M11" s="29"/>
      <x:c r="N11" s="29"/>
      <x:c r="O11" s="34" t="str">
        <x:v>DP</x:v>
      </x:c>
      <x:c r="P11" s="35" t="n">
        <x:v>4</x:v>
      </x:c>
    </x:row>
    <x:row r="12" ht="30" customHeight="1">
      <x:c r="A12" s="29" t="str">
        <x:v>Attention</x:v>
      </x:c>
      <x:c r="B12" s="40" t="str">
        <x:v>layers.N.attn.wo_a.weight</x:v>
      </x:c>
      <x:c r="C12" s="29" t="str">
        <x:v>[8192, 4096]</x:v>
      </x:c>
      <x:c r="D12" s="29" t="str">
        <x:v>FP8 E4M3</x:v>
      </x:c>
      <x:c r="E12" s="31" t="n">
        <x:v>1</x:v>
      </x:c>
      <x:c r="F12" s="32" t="n">
        <x:v>40</x:v>
      </x:c>
      <x:c r="G12" s="32" t="n">
        <x:v>33554432</x:v>
      </x:c>
      <x:c r="H12" s="32" t="str">
        <x:v>TP</x:v>
      </x:c>
      <x:c r="I12" s="32" t="n">
        <x:f>'Prefill'!$P$12</x:f>
        <x:v>8</x:v>
      </x:c>
      <x:c r="J12" s="33" t="n">
        <x:f>E12*F12*G12/1073741824</x:f>
        <x:v>1.25</x:v>
      </x:c>
      <x:c r="K12" s="33" t="n">
        <x:f>J12/I12</x:f>
        <x:v>0.15625</x:v>
      </x:c>
      <x:c r="L12" s="29"/>
      <x:c r="M12" s="29"/>
      <x:c r="N12" s="29"/>
      <x:c r="O12" s="34" t="str">
        <x:v>TP</x:v>
      </x:c>
      <x:c r="P12" s="35" t="n">
        <x:v>8</x:v>
      </x:c>
    </x:row>
    <x:row r="13" ht="30" customHeight="1">
      <x:c r="A13" s="29" t="str">
        <x:v>Attention</x:v>
      </x:c>
      <x:c r="B13" s="40" t="str">
        <x:v>layers.N.attn.wo_a.scale</x:v>
      </x:c>
      <x:c r="C13" s="29" t="str">
        <x:v>[256, 128]</x:v>
      </x:c>
      <x:c r="D13" s="29" t="str">
        <x:v>E8M0</x:v>
      </x:c>
      <x:c r="E13" s="31" t="n">
        <x:v>1</x:v>
      </x:c>
      <x:c r="F13" s="32" t="n">
        <x:v>40</x:v>
      </x:c>
      <x:c r="G13" s="32" t="n">
        <x:v>32768</x:v>
      </x:c>
      <x:c r="H13" s="32" t="str">
        <x:v>TP</x:v>
      </x:c>
      <x:c r="I13" s="32" t="n">
        <x:f>'Prefill'!$P$12</x:f>
        <x:v>8</x:v>
      </x:c>
      <x:c r="J13" s="33" t="n">
        <x:f>E13*F13*G13/1073741824</x:f>
        <x:v>0.001220703125</x:v>
      </x:c>
      <x:c r="K13" s="33" t="n">
        <x:f>J13/I13</x:f>
        <x:v>0.000152587890625</x:v>
      </x:c>
      <x:c r="L13" s="29"/>
      <x:c r="M13" s="29"/>
      <x:c r="N13" s="29"/>
      <x:c r="O13" s="34" t="str">
        <x:v>SP（0/1）</x:v>
      </x:c>
      <x:c r="P13" s="35" t="n">
        <x:v>1</x:v>
      </x:c>
    </x:row>
    <x:row r="14" ht="30" customHeight="1">
      <x:c r="A14" s="29" t="str">
        <x:v>Attention</x:v>
      </x:c>
      <x:c r="B14" s="40" t="str">
        <x:v>layers.N.attn.wo_b.weight</x:v>
      </x:c>
      <x:c r="C14" s="29" t="str">
        <x:v>[5120, 8192]</x:v>
      </x:c>
      <x:c r="D14" s="29" t="str">
        <x:v>FP8 E4M3</x:v>
      </x:c>
      <x:c r="E14" s="31" t="n">
        <x:v>1</x:v>
      </x:c>
      <x:c r="F14" s="32" t="n">
        <x:v>40</x:v>
      </x:c>
      <x:c r="G14" s="32" t="n">
        <x:v>41943040</x:v>
      </x:c>
      <x:c r="H14" s="32" t="str">
        <x:v>TP</x:v>
      </x:c>
      <x:c r="I14" s="32" t="n">
        <x:f>'Prefill'!$P$12</x:f>
        <x:v>8</x:v>
      </x:c>
      <x:c r="J14" s="33" t="n">
        <x:f>E14*F14*G14/1073741824</x:f>
        <x:v>1.5625</x:v>
      </x:c>
      <x:c r="K14" s="33" t="n">
        <x:f>J14/I14</x:f>
        <x:v>0.1953125</x:v>
      </x:c>
      <x:c r="L14" s="29"/>
      <x:c r="M14" s="29"/>
      <x:c r="N14" s="29"/>
      <x:c r="O14" s="34" t="str">
        <x:v>EP</x:v>
      </x:c>
      <x:c r="P14" s="35" t="n">
        <x:v>32</x:v>
      </x:c>
    </x:row>
    <x:row r="15" ht="30" customHeight="1">
      <x:c r="A15" s="29" t="str">
        <x:v>Attention</x:v>
      </x:c>
      <x:c r="B15" s="40" t="str">
        <x:v>layers.N.attn.wo_b.scale</x:v>
      </x:c>
      <x:c r="C15" s="29" t="str">
        <x:v>[160, 256]</x:v>
      </x:c>
      <x:c r="D15" s="29" t="str">
        <x:v>E8M0</x:v>
      </x:c>
      <x:c r="E15" s="31" t="n">
        <x:v>1</x:v>
      </x:c>
      <x:c r="F15" s="32" t="n">
        <x:v>40</x:v>
      </x:c>
      <x:c r="G15" s="32" t="n">
        <x:v>40960</x:v>
      </x:c>
      <x:c r="H15" s="32" t="str">
        <x:v>TP</x:v>
      </x:c>
      <x:c r="I15" s="32" t="n">
        <x:f>'Prefill'!$P$12</x:f>
        <x:v>8</x:v>
      </x:c>
      <x:c r="J15" s="33" t="n">
        <x:f>E15*F15*G15/1073741824</x:f>
        <x:v>0.00152587890625</x:v>
      </x:c>
      <x:c r="K15" s="33" t="n">
        <x:f>J15/I15</x:f>
        <x:v>0.00019073486328125</x:v>
      </x:c>
      <x:c r="L15" s="29"/>
      <x:c r="M15" s="29"/>
      <x:c r="N15" s="29"/>
      <x:c r="O15" s="34"/>
      <x:c r="P15" s="34"/>
    </x:row>
    <x:row r="16" ht="30" customHeight="1">
      <x:c r="A16" s="29" t="str">
        <x:v>Attention</x:v>
      </x:c>
      <x:c r="B16" s="40" t="str">
        <x:v>layers.N.attn.q_norm.weight</x:v>
      </x:c>
      <x:c r="C16" s="29" t="str">
        <x:v>[1280]</x:v>
      </x:c>
      <x:c r="D16" s="29" t="str">
        <x:v>BF16</x:v>
      </x:c>
      <x:c r="E16" s="31" t="n">
        <x:v>2</x:v>
      </x:c>
      <x:c r="F16" s="32" t="n">
        <x:v>40</x:v>
      </x:c>
      <x:c r="G16" s="32" t="n">
        <x:v>1280</x:v>
      </x:c>
      <x:c r="H16" s="32" t="str">
        <x:v>Replicated</x:v>
      </x:c>
      <x:c r="I16" s="32" t="n">
        <x:f>1</x:f>
        <x:v>1</x:v>
      </x:c>
      <x:c r="J16" s="33" t="n">
        <x:f>E16*F16*G16/1073741824</x:f>
        <x:v>0.000095367431640625</x:v>
      </x:c>
      <x:c r="K16" s="33" t="n">
        <x:f>J16/I16</x:f>
        <x:v>0.000095367431640625</x:v>
      </x:c>
      <x:c r="L16" s="29"/>
      <x:c r="M16" s="29"/>
      <x:c r="N16" s="29"/>
      <x:c r="O16" s="34"/>
      <x:c r="P16" s="34"/>
    </x:row>
    <x:row r="17" ht="30" customHeight="1">
      <x:c r="A17" s="29" t="str">
        <x:v>Attention</x:v>
      </x:c>
      <x:c r="B17" s="40" t="str">
        <x:v>layers.N.attn.kv_norm.weight</x:v>
      </x:c>
      <x:c r="C17" s="29" t="str">
        <x:v>[512]</x:v>
      </x:c>
      <x:c r="D17" s="29" t="str">
        <x:v>BF16</x:v>
      </x:c>
      <x:c r="E17" s="31" t="n">
        <x:v>2</x:v>
      </x:c>
      <x:c r="F17" s="32" t="n">
        <x:v>40</x:v>
      </x:c>
      <x:c r="G17" s="32" t="n">
        <x:v>512</x:v>
      </x:c>
      <x:c r="H17" s="32" t="str">
        <x:v>Replicated</x:v>
      </x:c>
      <x:c r="I17" s="32" t="n">
        <x:f>1</x:f>
        <x:v>1</x:v>
      </x:c>
      <x:c r="J17" s="33" t="n">
        <x:f>E17*F17*G17/1073741824</x:f>
        <x:v>0.00003814697265625</x:v>
      </x:c>
      <x:c r="K17" s="33" t="n">
        <x:f>J17/I17</x:f>
        <x:v>0.00003814697265625</x:v>
      </x:c>
      <x:c r="L17" s="29"/>
      <x:c r="M17" s="29"/>
      <x:c r="N17" s="29"/>
      <x:c r="O17" s="34"/>
      <x:c r="P17" s="34"/>
    </x:row>
    <x:row r="18" ht="30" customHeight="1">
      <x:c r="A18" s="29" t="str">
        <x:v>Attention</x:v>
      </x:c>
      <x:c r="B18" s="40" t="str">
        <x:v>layers.N.attn_norm.weight</x:v>
      </x:c>
      <x:c r="C18" s="29" t="str">
        <x:v>[5120]</x:v>
      </x:c>
      <x:c r="D18" s="29" t="str">
        <x:v>BF16</x:v>
      </x:c>
      <x:c r="E18" s="31" t="n">
        <x:v>2</x:v>
      </x:c>
      <x:c r="F18" s="32" t="n">
        <x:v>40</x:v>
      </x:c>
      <x:c r="G18" s="32" t="n">
        <x:v>5120</x:v>
      </x:c>
      <x:c r="H18" s="32" t="str">
        <x:v>Replicated</x:v>
      </x:c>
      <x:c r="I18" s="32" t="n">
        <x:f>1</x:f>
        <x:v>1</x:v>
      </x:c>
      <x:c r="J18" s="33" t="n">
        <x:f>E18*F18*G18/1073741824</x:f>
        <x:v>0.0003814697265625</x:v>
      </x:c>
      <x:c r="K18" s="33" t="n">
        <x:f>J18/I18</x:f>
        <x:v>0.0003814697265625</x:v>
      </x:c>
      <x:c r="L18" s="29"/>
      <x:c r="M18" s="29"/>
      <x:c r="N18" s="29"/>
      <x:c r="O18" s="34"/>
      <x:c r="P18" s="34"/>
    </x:row>
    <x:row r="19" ht="30" customHeight="1">
      <x:c r="A19" s="29" t="str">
        <x:v>Attention</x:v>
      </x:c>
      <x:c r="B19" s="40" t="str">
        <x:v>layers.N.ffn_norm.weight</x:v>
      </x:c>
      <x:c r="C19" s="29" t="str">
        <x:v>[5120]</x:v>
      </x:c>
      <x:c r="D19" s="29" t="str">
        <x:v>BF16</x:v>
      </x:c>
      <x:c r="E19" s="31" t="n">
        <x:v>2</x:v>
      </x:c>
      <x:c r="F19" s="32" t="n">
        <x:v>40</x:v>
      </x:c>
      <x:c r="G19" s="32" t="n">
        <x:v>5120</x:v>
      </x:c>
      <x:c r="H19" s="32" t="str">
        <x:v>Replicated</x:v>
      </x:c>
      <x:c r="I19" s="32" t="n">
        <x:f>1</x:f>
        <x:v>1</x:v>
      </x:c>
      <x:c r="J19" s="33" t="n">
        <x:f>E19*F19*G19/1073741824</x:f>
        <x:v>0.0003814697265625</x:v>
      </x:c>
      <x:c r="K19" s="33" t="n">
        <x:f>J19/I19</x:f>
        <x:v>0.0003814697265625</x:v>
      </x:c>
      <x:c r="L19" s="29"/>
      <x:c r="M19" s="29"/>
      <x:c r="N19" s="29"/>
      <x:c r="O19" s="34"/>
      <x:c r="P19" s="34"/>
    </x:row>
    <x:row r="20" ht="30" customHeight="1">
      <x:c r="A20" s="29" t="str">
        <x:v>MoE Router</x:v>
      </x:c>
      <x:c r="B20" s="40" t="str">
        <x:v>layers.N.ffn.gate.weight</x:v>
      </x:c>
      <x:c r="C20" s="29" t="str">
        <x:v>[384, 5120]</x:v>
      </x:c>
      <x:c r="D20" s="29" t="str">
        <x:v>BF16</x:v>
      </x:c>
      <x:c r="E20" s="31" t="n">
        <x:v>2</x:v>
      </x:c>
      <x:c r="F20" s="32" t="n">
        <x:v>40</x:v>
      </x:c>
      <x:c r="G20" s="32" t="n">
        <x:v>1966080</x:v>
      </x:c>
      <x:c r="H20" s="32" t="str">
        <x:v>Replicated</x:v>
      </x:c>
      <x:c r="I20" s="32" t="n">
        <x:f>1</x:f>
        <x:v>1</x:v>
      </x:c>
      <x:c r="J20" s="33" t="n">
        <x:f>E20*F20*G20/1073741824</x:f>
        <x:v>0.146484375</x:v>
      </x:c>
      <x:c r="K20" s="33" t="n">
        <x:f>J20/I20</x:f>
        <x:v>0.146484375</x:v>
      </x:c>
      <x:c r="L20" s="29"/>
      <x:c r="M20" s="29"/>
      <x:c r="N20" s="29"/>
      <x:c r="O20" s="34"/>
      <x:c r="P20" s="34"/>
    </x:row>
    <x:row r="21" ht="30" customHeight="1">
      <x:c r="A21" s="29" t="str">
        <x:v>MoE Router</x:v>
      </x:c>
      <x:c r="B21" s="40" t="str">
        <x:v>layers.N.ffn.gate.bias</x:v>
      </x:c>
      <x:c r="C21" s="29" t="str">
        <x:v>[384]</x:v>
      </x:c>
      <x:c r="D21" s="29" t="str">
        <x:v>F32</x:v>
      </x:c>
      <x:c r="E21" s="31" t="n">
        <x:v>4</x:v>
      </x:c>
      <x:c r="F21" s="32" t="n">
        <x:v>40</x:v>
      </x:c>
      <x:c r="G21" s="32" t="n">
        <x:v>384</x:v>
      </x:c>
      <x:c r="H21" s="32" t="str">
        <x:v>Replicated</x:v>
      </x:c>
      <x:c r="I21" s="32" t="n">
        <x:f>1</x:f>
        <x:v>1</x:v>
      </x:c>
      <x:c r="J21" s="33" t="n">
        <x:f>E21*F21*G21/1073741824</x:f>
        <x:v>0.000057220458984375</x:v>
      </x:c>
      <x:c r="K21" s="33" t="n">
        <x:f>J21/I21</x:f>
        <x:v>0.000057220458984375</x:v>
      </x:c>
      <x:c r="L21" s="29"/>
      <x:c r="M21" s="29"/>
      <x:c r="N21" s="29"/>
      <x:c r="O21" s="34"/>
      <x:c r="P21" s="34"/>
    </x:row>
    <x:row r="22" ht="30" customHeight="1">
      <x:c r="A22" s="29" t="str">
        <x:v>MoE Router</x:v>
      </x:c>
      <x:c r="B22" s="40" t="str">
        <x:v>layers.N.ffn.gate.bias_vl</x:v>
      </x:c>
      <x:c r="C22" s="29" t="str">
        <x:v>[384]</x:v>
      </x:c>
      <x:c r="D22" s="29" t="str">
        <x:v>F32</x:v>
      </x:c>
      <x:c r="E22" s="31" t="n">
        <x:v>4</x:v>
      </x:c>
      <x:c r="F22" s="32" t="n">
        <x:v>40</x:v>
      </x:c>
      <x:c r="G22" s="32" t="n">
        <x:v>384</x:v>
      </x:c>
      <x:c r="H22" s="32" t="str">
        <x:v>Replicated</x:v>
      </x:c>
      <x:c r="I22" s="32" t="n">
        <x:f>1</x:f>
        <x:v>1</x:v>
      </x:c>
      <x:c r="J22" s="33" t="n">
        <x:f>E22*F22*G22/1073741824</x:f>
        <x:v>0.000057220458984375</x:v>
      </x:c>
      <x:c r="K22" s="33" t="n">
        <x:f>J22/I22</x:f>
        <x:v>0.000057220458984375</x:v>
      </x:c>
      <x:c r="L22" s="29"/>
      <x:c r="M22" s="29"/>
      <x:c r="N22" s="29"/>
      <x:c r="O22" s="34"/>
      <x:c r="P22" s="34"/>
    </x:row>
    <x:row r="23" ht="30" customHeight="1">
      <x:c r="A23" s="29" t="str">
        <x:v>Routed Experts</x:v>
      </x:c>
      <x:c r="B23" s="40" t="str">
        <x:v>layers.N.ffn.experts.N.w1.weight</x:v>
      </x:c>
      <x:c r="C23" s="29" t="str">
        <x:v>[2304, 5120]</x:v>
      </x:c>
      <x:c r="D23" s="29" t="str">
        <x:v>FP4 E2M1</x:v>
      </x:c>
      <x:c r="E23" s="31" t="n">
        <x:v>0.5</x:v>
      </x:c>
      <x:c r="F23" s="32" t="n">
        <x:v>15360</x:v>
      </x:c>
      <x:c r="G23" s="32" t="n">
        <x:v>11796480</x:v>
      </x:c>
      <x:c r="H23" s="32" t="str">
        <x:v>EP</x:v>
      </x:c>
      <x:c r="I23" s="32" t="n">
        <x:f>'Prefill'!$P$14</x:f>
        <x:v>32</x:v>
      </x:c>
      <x:c r="J23" s="33" t="n">
        <x:f>E23*F23*G23/1073741824</x:f>
        <x:v>84.375</x:v>
      </x:c>
      <x:c r="K23" s="33" t="n">
        <x:f>J23/I23</x:f>
        <x:v>2.63671875</x:v>
      </x:c>
      <x:c r="L23" s="29"/>
      <x:c r="M23" s="29"/>
      <x:c r="N23" s="29"/>
      <x:c r="O23" s="34"/>
      <x:c r="P23" s="34"/>
    </x:row>
    <x:row r="24" ht="30" customHeight="1">
      <x:c r="A24" s="29" t="str">
        <x:v>Routed Experts</x:v>
      </x:c>
      <x:c r="B24" s="40" t="str">
        <x:v>layers.N.ffn.experts.N.w1.scale</x:v>
      </x:c>
      <x:c r="C24" s="29" t="str">
        <x:v>[2304, 160]</x:v>
      </x:c>
      <x:c r="D24" s="29" t="str">
        <x:v>E8M0</x:v>
      </x:c>
      <x:c r="E24" s="31" t="n">
        <x:v>1</x:v>
      </x:c>
      <x:c r="F24" s="32" t="n">
        <x:v>15360</x:v>
      </x:c>
      <x:c r="G24" s="32" t="n">
        <x:v>368640</x:v>
      </x:c>
      <x:c r="H24" s="32" t="str">
        <x:v>EP</x:v>
      </x:c>
      <x:c r="I24" s="32" t="n">
        <x:f>'Prefill'!$P$14</x:f>
        <x:v>32</x:v>
      </x:c>
      <x:c r="J24" s="33" t="n">
        <x:f>E24*F24*G24/1073741824</x:f>
        <x:v>5.2734375</x:v>
      </x:c>
      <x:c r="K24" s="33" t="n">
        <x:f>J24/I24</x:f>
        <x:v>0.164794921875</x:v>
      </x:c>
      <x:c r="L24" s="29"/>
      <x:c r="M24" s="29"/>
      <x:c r="N24" s="29"/>
      <x:c r="O24" s="34"/>
      <x:c r="P24" s="34"/>
    </x:row>
    <x:row r="25" ht="30" customHeight="1">
      <x:c r="A25" s="29" t="str">
        <x:v>Shared Experts</x:v>
      </x:c>
      <x:c r="B25" s="40" t="str">
        <x:v>layers.N.ffn.shared_experts.w1.weight</x:v>
      </x:c>
      <x:c r="C25" s="29" t="str">
        <x:v>[2304, 5120]</x:v>
      </x:c>
      <x:c r="D25" s="29" t="str">
        <x:v>FP8 E4M3</x:v>
      </x:c>
      <x:c r="E25" s="31" t="n">
        <x:v>1</x:v>
      </x:c>
      <x:c r="F25" s="32" t="n">
        <x:v>40</x:v>
      </x:c>
      <x:c r="G25" s="32" t="n">
        <x:v>11796480</x:v>
      </x:c>
      <x:c r="H25" s="32" t="str">
        <x:v>SP 复制 / 非 SP TP</x:v>
      </x:c>
      <x:c r="I25" s="32" t="n">
        <x:f>IF('Prefill'!$P$13&lt;&gt;0,1,'Prefill'!$P$12)</x:f>
        <x:v>1</x:v>
      </x:c>
      <x:c r="J25" s="33" t="n">
        <x:f>E25*F25*G25/1073741824</x:f>
        <x:v>0.439453125</x:v>
      </x:c>
      <x:c r="K25" s="33" t="n">
        <x:f>J25/I25</x:f>
        <x:v>0.439453125</x:v>
      </x:c>
      <x:c r="L25" s="29"/>
      <x:c r="M25" s="29"/>
      <x:c r="N25" s="29"/>
      <x:c r="O25" s="34" t="str">
        <x:v>DSA CP（0/1）</x:v>
      </x:c>
      <x:c r="P25" s="35" t="n">
        <x:v>1</x:v>
      </x:c>
    </x:row>
    <x:row r="26" ht="30" customHeight="1">
      <x:c r="A26" s="29" t="str">
        <x:v>Shared Experts</x:v>
      </x:c>
      <x:c r="B26" s="40" t="str">
        <x:v>layers.N.ffn.shared_experts.w1.scale</x:v>
      </x:c>
      <x:c r="C26" s="29" t="str">
        <x:v>[72, 160]</x:v>
      </x:c>
      <x:c r="D26" s="29" t="str">
        <x:v>E8M0</x:v>
      </x:c>
      <x:c r="E26" s="31" t="n">
        <x:v>1</x:v>
      </x:c>
      <x:c r="F26" s="32" t="n">
        <x:v>40</x:v>
      </x:c>
      <x:c r="G26" s="32" t="n">
        <x:v>11520</x:v>
      </x:c>
      <x:c r="H26" s="32" t="str">
        <x:v>SP 复制 / 非 SP TP</x:v>
      </x:c>
      <x:c r="I26" s="32" t="n">
        <x:f>IF('Prefill'!$P$13&lt;&gt;0,1,'Prefill'!$P$12)</x:f>
        <x:v>1</x:v>
      </x:c>
      <x:c r="J26" s="33" t="n">
        <x:f>E26*F26*G26/1073741824</x:f>
        <x:v>0.0004291534423828125</x:v>
      </x:c>
      <x:c r="K26" s="33" t="n">
        <x:f>J26/I26</x:f>
        <x:v>0.0004291534423828125</x:v>
      </x:c>
      <x:c r="L26" s="29"/>
      <x:c r="M26" s="29"/>
      <x:c r="N26" s="29"/>
      <x:c r="O26" s="29"/>
      <x:c r="P26" s="29"/>
    </x:row>
    <x:row r="27" ht="30" customHeight="1">
      <x:c r="A27" s="29" t="str">
        <x:v>Routed Experts</x:v>
      </x:c>
      <x:c r="B27" s="40" t="str">
        <x:v>layers.N.ffn.experts.N.w3.weight</x:v>
      </x:c>
      <x:c r="C27" s="29" t="str">
        <x:v>[2304, 5120]</x:v>
      </x:c>
      <x:c r="D27" s="29" t="str">
        <x:v>FP4 E2M1</x:v>
      </x:c>
      <x:c r="E27" s="31" t="n">
        <x:v>0.5</x:v>
      </x:c>
      <x:c r="F27" s="32" t="n">
        <x:v>15360</x:v>
      </x:c>
      <x:c r="G27" s="32" t="n">
        <x:v>11796480</x:v>
      </x:c>
      <x:c r="H27" s="32" t="str">
        <x:v>EP</x:v>
      </x:c>
      <x:c r="I27" s="32" t="n">
        <x:f>'Prefill'!$P$14</x:f>
        <x:v>32</x:v>
      </x:c>
      <x:c r="J27" s="33" t="n">
        <x:f>E27*F27*G27/1073741824</x:f>
        <x:v>84.375</x:v>
      </x:c>
      <x:c r="K27" s="33" t="n">
        <x:f>J27/I27</x:f>
        <x:v>2.63671875</x:v>
      </x:c>
      <x:c r="L27" s="29"/>
      <x:c r="M27" s="29"/>
      <x:c r="N27" s="29"/>
      <x:c r="O27" s="30" t="str">
        <x:v>通信参数</x:v>
      </x:c>
      <x:c r="P27" s="30"/>
    </x:row>
    <x:row r="28" ht="30" customHeight="1">
      <x:c r="A28" s="29" t="str">
        <x:v>Routed Experts</x:v>
      </x:c>
      <x:c r="B28" s="40" t="str">
        <x:v>layers.N.ffn.experts.N.w3.scale</x:v>
      </x:c>
      <x:c r="C28" s="29" t="str">
        <x:v>[2304, 160]</x:v>
      </x:c>
      <x:c r="D28" s="29" t="str">
        <x:v>E8M0</x:v>
      </x:c>
      <x:c r="E28" s="31" t="n">
        <x:v>1</x:v>
      </x:c>
      <x:c r="F28" s="32" t="n">
        <x:v>15360</x:v>
      </x:c>
      <x:c r="G28" s="32" t="n">
        <x:v>368640</x:v>
      </x:c>
      <x:c r="H28" s="32" t="str">
        <x:v>EP</x:v>
      </x:c>
      <x:c r="I28" s="32" t="n">
        <x:f>'Prefill'!$P$14</x:f>
        <x:v>32</x:v>
      </x:c>
      <x:c r="J28" s="33" t="n">
        <x:f>E28*F28*G28/1073741824</x:f>
        <x:v>5.2734375</x:v>
      </x:c>
      <x:c r="K28" s="33" t="n">
        <x:f>J28/I28</x:f>
        <x:v>0.164794921875</x:v>
      </x:c>
      <x:c r="L28" s="29"/>
      <x:c r="M28" s="29"/>
      <x:c r="N28" s="29"/>
      <x:c r="O28" s="34" t="str">
        <x:v>激活字节/元素</x:v>
      </x:c>
      <x:c r="P28" s="35" t="n">
        <x:v>2</x:v>
      </x:c>
    </x:row>
    <x:row r="29" ht="30" customHeight="1">
      <x:c r="A29" s="29" t="str">
        <x:v>Shared Experts</x:v>
      </x:c>
      <x:c r="B29" s="40" t="str">
        <x:v>layers.N.ffn.shared_experts.w3.weight</x:v>
      </x:c>
      <x:c r="C29" s="29" t="str">
        <x:v>[2304, 5120]</x:v>
      </x:c>
      <x:c r="D29" s="29" t="str">
        <x:v>FP8 E4M3</x:v>
      </x:c>
      <x:c r="E29" s="31" t="n">
        <x:v>1</x:v>
      </x:c>
      <x:c r="F29" s="32" t="n">
        <x:v>40</x:v>
      </x:c>
      <x:c r="G29" s="32" t="n">
        <x:v>11796480</x:v>
      </x:c>
      <x:c r="H29" s="32" t="str">
        <x:v>SP 复制 / 非 SP TP</x:v>
      </x:c>
      <x:c r="I29" s="32" t="n">
        <x:f>IF('Prefill'!$P$13&lt;&gt;0,1,'Prefill'!$P$12)</x:f>
        <x:v>1</x:v>
      </x:c>
      <x:c r="J29" s="33" t="n">
        <x:f>E29*F29*G29/1073741824</x:f>
        <x:v>0.439453125</x:v>
      </x:c>
      <x:c r="K29" s="33" t="n">
        <x:f>J29/I29</x:f>
        <x:v>0.439453125</x:v>
      </x:c>
      <x:c r="L29" s="29"/>
      <x:c r="M29" s="29"/>
      <x:c r="N29" s="29"/>
      <x:c r="O29" s="34"/>
      <x:c r="P29" s="34"/>
    </x:row>
    <x:row r="30" ht="30" customHeight="1">
      <x:c r="A30" s="29" t="str">
        <x:v>Shared Experts</x:v>
      </x:c>
      <x:c r="B30" s="40" t="str">
        <x:v>layers.N.ffn.shared_experts.w3.scale</x:v>
      </x:c>
      <x:c r="C30" s="29" t="str">
        <x:v>[72, 160]</x:v>
      </x:c>
      <x:c r="D30" s="29" t="str">
        <x:v>E8M0</x:v>
      </x:c>
      <x:c r="E30" s="31" t="n">
        <x:v>1</x:v>
      </x:c>
      <x:c r="F30" s="32" t="n">
        <x:v>40</x:v>
      </x:c>
      <x:c r="G30" s="32" t="n">
        <x:v>11520</x:v>
      </x:c>
      <x:c r="H30" s="32" t="str">
        <x:v>SP 复制 / 非 SP TP</x:v>
      </x:c>
      <x:c r="I30" s="32" t="n">
        <x:f>IF('Prefill'!$P$13&lt;&gt;0,1,'Prefill'!$P$12)</x:f>
        <x:v>1</x:v>
      </x:c>
      <x:c r="J30" s="33" t="n">
        <x:f>E30*F30*G30/1073741824</x:f>
        <x:v>0.0004291534423828125</x:v>
      </x:c>
      <x:c r="K30" s="33" t="n">
        <x:f>J30/I30</x:f>
        <x:v>0.0004291534423828125</x:v>
      </x:c>
      <x:c r="L30" s="29"/>
      <x:c r="M30" s="29"/>
      <x:c r="N30" s="29"/>
      <x:c r="O30" s="34"/>
      <x:c r="P30" s="34"/>
    </x:row>
    <x:row r="31" ht="30" customHeight="1">
      <x:c r="A31" s="29" t="str">
        <x:v>Routed Experts</x:v>
      </x:c>
      <x:c r="B31" s="40" t="str">
        <x:v>layers.N.ffn.experts.N.w2.weight</x:v>
      </x:c>
      <x:c r="C31" s="29" t="str">
        <x:v>[5120, 2304]</x:v>
      </x:c>
      <x:c r="D31" s="29" t="str">
        <x:v>FP4 E2M1</x:v>
      </x:c>
      <x:c r="E31" s="31" t="n">
        <x:v>0.5</x:v>
      </x:c>
      <x:c r="F31" s="32" t="n">
        <x:v>15360</x:v>
      </x:c>
      <x:c r="G31" s="32" t="n">
        <x:v>11796480</x:v>
      </x:c>
      <x:c r="H31" s="32" t="str">
        <x:v>EP</x:v>
      </x:c>
      <x:c r="I31" s="32" t="n">
        <x:f>'Prefill'!$P$14</x:f>
        <x:v>32</x:v>
      </x:c>
      <x:c r="J31" s="33" t="n">
        <x:f>E31*F31*G31/1073741824</x:f>
        <x:v>84.375</x:v>
      </x:c>
      <x:c r="K31" s="33" t="n">
        <x:f>J31/I31</x:f>
        <x:v>2.63671875</x:v>
      </x:c>
      <x:c r="L31" s="29"/>
      <x:c r="M31" s="29"/>
      <x:c r="N31" s="29"/>
      <x:c r="O31" s="34"/>
      <x:c r="P31" s="34"/>
    </x:row>
    <x:row r="32" ht="30" customHeight="1">
      <x:c r="A32" s="29" t="str">
        <x:v>Routed Experts</x:v>
      </x:c>
      <x:c r="B32" s="40" t="str">
        <x:v>layers.N.ffn.experts.N.w2.scale</x:v>
      </x:c>
      <x:c r="C32" s="29" t="str">
        <x:v>[5120, 72]</x:v>
      </x:c>
      <x:c r="D32" s="29" t="str">
        <x:v>E8M0</x:v>
      </x:c>
      <x:c r="E32" s="31" t="n">
        <x:v>1</x:v>
      </x:c>
      <x:c r="F32" s="32" t="n">
        <x:v>15360</x:v>
      </x:c>
      <x:c r="G32" s="32" t="n">
        <x:v>368640</x:v>
      </x:c>
      <x:c r="H32" s="32" t="str">
        <x:v>EP</x:v>
      </x:c>
      <x:c r="I32" s="32" t="n">
        <x:f>'Prefill'!$P$14</x:f>
        <x:v>32</x:v>
      </x:c>
      <x:c r="J32" s="33" t="n">
        <x:f>E32*F32*G32/1073741824</x:f>
        <x:v>5.2734375</x:v>
      </x:c>
      <x:c r="K32" s="33" t="n">
        <x:f>J32/I32</x:f>
        <x:v>0.164794921875</x:v>
      </x:c>
      <x:c r="L32" s="29"/>
      <x:c r="M32" s="29"/>
      <x:c r="N32" s="29"/>
      <x:c r="O32" s="34" t="str">
        <x:v>跨 EP Rank 路由比例</x:v>
      </x:c>
      <x:c r="P32" s="37" t="n">
        <x:f>IF($P$14&gt;1,($P$14-1)/$P$14,0)</x:f>
        <x:v>0.96875</x:v>
      </x:c>
    </x:row>
    <x:row r="33" ht="30" customHeight="1">
      <x:c r="A33" s="29" t="str">
        <x:v>Shared Experts</x:v>
      </x:c>
      <x:c r="B33" s="40" t="str">
        <x:v>layers.N.ffn.shared_experts.w2.weight</x:v>
      </x:c>
      <x:c r="C33" s="29" t="str">
        <x:v>[5120, 2304]</x:v>
      </x:c>
      <x:c r="D33" s="29" t="str">
        <x:v>FP8 E4M3</x:v>
      </x:c>
      <x:c r="E33" s="31" t="n">
        <x:v>1</x:v>
      </x:c>
      <x:c r="F33" s="32" t="n">
        <x:v>40</x:v>
      </x:c>
      <x:c r="G33" s="32" t="n">
        <x:v>11796480</x:v>
      </x:c>
      <x:c r="H33" s="32" t="str">
        <x:v>SP 复制 / 非 SP TP</x:v>
      </x:c>
      <x:c r="I33" s="32" t="n">
        <x:f>IF('Prefill'!$P$13&lt;&gt;0,1,'Prefill'!$P$12)</x:f>
        <x:v>1</x:v>
      </x:c>
      <x:c r="J33" s="33" t="n">
        <x:f>E33*F33*G33/1073741824</x:f>
        <x:v>0.439453125</x:v>
      </x:c>
      <x:c r="K33" s="33" t="n">
        <x:f>J33/I33</x:f>
        <x:v>0.439453125</x:v>
      </x:c>
      <x:c r="L33" s="29"/>
      <x:c r="M33" s="29"/>
      <x:c r="N33" s="29"/>
      <x:c r="O33" s="29"/>
      <x:c r="P33" s="29"/>
    </x:row>
    <x:row r="34" ht="30" customHeight="1">
      <x:c r="A34" s="29" t="str">
        <x:v>Shared Experts</x:v>
      </x:c>
      <x:c r="B34" s="40" t="str">
        <x:v>layers.N.ffn.shared_experts.w2.scale</x:v>
      </x:c>
      <x:c r="C34" s="29" t="str">
        <x:v>[160, 72]</x:v>
      </x:c>
      <x:c r="D34" s="29" t="str">
        <x:v>E8M0</x:v>
      </x:c>
      <x:c r="E34" s="31" t="n">
        <x:v>1</x:v>
      </x:c>
      <x:c r="F34" s="32" t="n">
        <x:v>40</x:v>
      </x:c>
      <x:c r="G34" s="32" t="n">
        <x:v>11520</x:v>
      </x:c>
      <x:c r="H34" s="32" t="str">
        <x:v>SP 复制 / 非 SP TP</x:v>
      </x:c>
      <x:c r="I34" s="32" t="n">
        <x:f>IF('Prefill'!$P$13&lt;&gt;0,1,'Prefill'!$P$12)</x:f>
        <x:v>1</x:v>
      </x:c>
      <x:c r="J34" s="33" t="n">
        <x:f>E34*F34*G34/1073741824</x:f>
        <x:v>0.0004291534423828125</x:v>
      </x:c>
      <x:c r="K34" s="33" t="n">
        <x:f>J34/I34</x:f>
        <x:v>0.0004291534423828125</x:v>
      </x:c>
      <x:c r="L34" s="29"/>
      <x:c r="M34" s="29"/>
      <x:c r="N34" s="29"/>
      <x:c r="O34" s="29"/>
      <x:c r="P34" s="29"/>
    </x:row>
    <x:row r="35" ht="30" customHeight="1">
      <x:c r="A35" s="29" t="str">
        <x:v>HC</x:v>
      </x:c>
      <x:c r="B35" s="40" t="str">
        <x:v>layers.N.hc_attn_fn</x:v>
      </x:c>
      <x:c r="C35" s="29" t="str">
        <x:v>[24, 20480]</x:v>
      </x:c>
      <x:c r="D35" s="29" t="str">
        <x:v>F32</x:v>
      </x:c>
      <x:c r="E35" s="31" t="n">
        <x:v>4</x:v>
      </x:c>
      <x:c r="F35" s="32" t="n">
        <x:v>40</x:v>
      </x:c>
      <x:c r="G35" s="32" t="n">
        <x:v>491520</x:v>
      </x:c>
      <x:c r="H35" s="32" t="str">
        <x:v>Replicated</x:v>
      </x:c>
      <x:c r="I35" s="32" t="n">
        <x:f>1</x:f>
        <x:v>1</x:v>
      </x:c>
      <x:c r="J35" s="33" t="n">
        <x:f>E35*F35*G35/1073741824</x:f>
        <x:v>0.0732421875</x:v>
      </x:c>
      <x:c r="K35" s="33" t="n">
        <x:f>J35/I35</x:f>
        <x:v>0.0732421875</x:v>
      </x:c>
      <x:c r="L35" s="29"/>
      <x:c r="M35" s="29"/>
      <x:c r="N35" s="29"/>
      <x:c r="O35" s="29"/>
      <x:c r="P35" s="29"/>
    </x:row>
    <x:row r="36" ht="30" customHeight="1">
      <x:c r="A36" s="29" t="str">
        <x:v>HC</x:v>
      </x:c>
      <x:c r="B36" s="40" t="str">
        <x:v>layers.N.hc_attn_base</x:v>
      </x:c>
      <x:c r="C36" s="29" t="str">
        <x:v>[24]</x:v>
      </x:c>
      <x:c r="D36" s="29" t="str">
        <x:v>F32</x:v>
      </x:c>
      <x:c r="E36" s="31" t="n">
        <x:v>4</x:v>
      </x:c>
      <x:c r="F36" s="32" t="n">
        <x:v>40</x:v>
      </x:c>
      <x:c r="G36" s="32" t="n">
        <x:v>24</x:v>
      </x:c>
      <x:c r="H36" s="32" t="str">
        <x:v>Replicated</x:v>
      </x:c>
      <x:c r="I36" s="32" t="n">
        <x:f>1</x:f>
        <x:v>1</x:v>
      </x:c>
      <x:c r="J36" s="33" t="n">
        <x:f>E36*F36*G36/1073741824</x:f>
        <x:v>0.0000035762786865234375</x:v>
      </x:c>
      <x:c r="K36" s="33" t="n">
        <x:f>J36/I36</x:f>
        <x:v>0.0000035762786865234375</x:v>
      </x:c>
      <x:c r="L36" s="29"/>
      <x:c r="M36" s="29"/>
      <x:c r="N36" s="29"/>
      <x:c r="O36" s="30" t="str">
        <x:v>V4.1 节点与载荷</x:v>
      </x:c>
      <x:c r="P36" s="30"/>
    </x:row>
    <x:row r="37" ht="30" customHeight="1">
      <x:c r="A37" s="29" t="str">
        <x:v>HC</x:v>
      </x:c>
      <x:c r="B37" s="40" t="str">
        <x:v>layers.N.hc_attn_scale</x:v>
      </x:c>
      <x:c r="C37" s="29" t="str">
        <x:v>[3]</x:v>
      </x:c>
      <x:c r="D37" s="29" t="str">
        <x:v>F32</x:v>
      </x:c>
      <x:c r="E37" s="31" t="n">
        <x:v>4</x:v>
      </x:c>
      <x:c r="F37" s="32" t="n">
        <x:v>40</x:v>
      </x:c>
      <x:c r="G37" s="32" t="n">
        <x:v>3</x:v>
      </x:c>
      <x:c r="H37" s="32" t="str">
        <x:v>Replicated</x:v>
      </x:c>
      <x:c r="I37" s="32" t="n">
        <x:f>1</x:f>
        <x:v>1</x:v>
      </x:c>
      <x:c r="J37" s="33" t="n">
        <x:f>E37*F37*G37/1073741824</x:f>
        <x:v>4.470348358154297e-7</x:v>
      </x:c>
      <x:c r="K37" s="33" t="n">
        <x:f>J37/I37</x:f>
        <x:v>4.470348358154297e-7</x:v>
      </x:c>
      <x:c r="L37" s="29"/>
      <x:c r="M37" s="29"/>
      <x:c r="N37" s="29"/>
      <x:c r="O37" s="34" t="str">
        <x:v>每节点 Rank 数</x:v>
      </x:c>
      <x:c r="P37" s="35" t="n">
        <x:v>8</x:v>
      </x:c>
    </x:row>
    <x:row r="38" ht="30" customHeight="1">
      <x:c r="A38" s="29" t="str">
        <x:v>HC</x:v>
      </x:c>
      <x:c r="B38" s="40" t="str">
        <x:v>layers.N.hc_ffn_fn</x:v>
      </x:c>
      <x:c r="C38" s="29" t="str">
        <x:v>[24, 20480]</x:v>
      </x:c>
      <x:c r="D38" s="29" t="str">
        <x:v>F32</x:v>
      </x:c>
      <x:c r="E38" s="31" t="n">
        <x:v>4</x:v>
      </x:c>
      <x:c r="F38" s="32" t="n">
        <x:v>40</x:v>
      </x:c>
      <x:c r="G38" s="32" t="n">
        <x:v>491520</x:v>
      </x:c>
      <x:c r="H38" s="32" t="str">
        <x:v>Replicated</x:v>
      </x:c>
      <x:c r="I38" s="32" t="n">
        <x:f>1</x:f>
        <x:v>1</x:v>
      </x:c>
      <x:c r="J38" s="33" t="n">
        <x:f>E38*F38*G38/1073741824</x:f>
        <x:v>0.0732421875</x:v>
      </x:c>
      <x:c r="K38" s="33" t="n">
        <x:f>J38/I38</x:f>
        <x:v>0.0732421875</x:v>
      </x:c>
      <x:c r="L38" s="29"/>
      <x:c r="M38" s="29"/>
      <x:c r="N38" s="29"/>
      <x:c r="O38" s="34" t="str">
        <x:v>Engram（0/1）</x:v>
      </x:c>
      <x:c r="P38" s="35" t="n">
        <x:v>1</x:v>
      </x:c>
    </x:row>
    <x:row r="39" ht="30" customHeight="1">
      <x:c r="A39" s="29" t="str">
        <x:v>HC</x:v>
      </x:c>
      <x:c r="B39" s="40" t="str">
        <x:v>layers.N.hc_ffn_base</x:v>
      </x:c>
      <x:c r="C39" s="29" t="str">
        <x:v>[24]</x:v>
      </x:c>
      <x:c r="D39" s="29" t="str">
        <x:v>F32</x:v>
      </x:c>
      <x:c r="E39" s="31" t="n">
        <x:v>4</x:v>
      </x:c>
      <x:c r="F39" s="32" t="n">
        <x:v>40</x:v>
      </x:c>
      <x:c r="G39" s="32" t="n">
        <x:v>24</x:v>
      </x:c>
      <x:c r="H39" s="32" t="str">
        <x:v>Replicated</x:v>
      </x:c>
      <x:c r="I39" s="32" t="n">
        <x:f>1</x:f>
        <x:v>1</x:v>
      </x:c>
      <x:c r="J39" s="33" t="n">
        <x:f>E39*F39*G39/1073741824</x:f>
        <x:v>0.0000035762786865234375</x:v>
      </x:c>
      <x:c r="K39" s="33" t="n">
        <x:f>J39/I39</x:f>
        <x:v>0.0000035762786865234375</x:v>
      </x:c>
      <x:c r="L39" s="29"/>
      <x:c r="M39" s="29"/>
      <x:c r="N39" s="29"/>
      <x:c r="O39" s="34" t="str">
        <x:v>MoE Dispatch 字节/元素</x:v>
      </x:c>
      <x:c r="P39" s="35" t="n">
        <x:v>2</x:v>
      </x:c>
    </x:row>
    <x:row r="40" ht="30" customHeight="1">
      <x:c r="A40" s="29" t="str">
        <x:v>HC</x:v>
      </x:c>
      <x:c r="B40" s="40" t="str">
        <x:v>layers.N.hc_ffn_scale</x:v>
      </x:c>
      <x:c r="C40" s="29" t="str">
        <x:v>[3]</x:v>
      </x:c>
      <x:c r="D40" s="29" t="str">
        <x:v>F32</x:v>
      </x:c>
      <x:c r="E40" s="31" t="n">
        <x:v>4</x:v>
      </x:c>
      <x:c r="F40" s="32" t="n">
        <x:v>40</x:v>
      </x:c>
      <x:c r="G40" s="32" t="n">
        <x:v>3</x:v>
      </x:c>
      <x:c r="H40" s="32" t="str">
        <x:v>Replicated</x:v>
      </x:c>
      <x:c r="I40" s="32" t="n">
        <x:f>1</x:f>
        <x:v>1</x:v>
      </x:c>
      <x:c r="J40" s="33" t="n">
        <x:f>E40*F40*G40/1073741824</x:f>
        <x:v>4.470348358154297e-7</x:v>
      </x:c>
      <x:c r="K40" s="33" t="n">
        <x:f>J40/I40</x:f>
        <x:v>4.470348358154297e-7</x:v>
      </x:c>
      <x:c r="L40" s="29"/>
      <x:c r="M40" s="29"/>
      <x:c r="N40" s="29"/>
      <x:c r="O40" s="34" t="str">
        <x:v>MoE Combine 字节/元素</x:v>
      </x:c>
      <x:c r="P40" s="35" t="n">
        <x:v>2</x:v>
      </x:c>
    </x:row>
    <x:row r="41" ht="30" customHeight="1">
      <x:c r="A41" s="29" t="str">
        <x:v>Compressor</x:v>
      </x:c>
      <x:c r="B41" s="40" t="str">
        <x:v>layers.N.attn.compressor.wkv.weight</x:v>
      </x:c>
      <x:c r="C41" s="29" t="str">
        <x:v>[512, 5120]</x:v>
      </x:c>
      <x:c r="D41" s="29" t="str">
        <x:v>BF16</x:v>
      </x:c>
      <x:c r="E41" s="31" t="n">
        <x:v>2</x:v>
      </x:c>
      <x:c r="F41" s="32" t="n">
        <x:v>4</x:v>
      </x:c>
      <x:c r="G41" s="32" t="n">
        <x:v>2621440</x:v>
      </x:c>
      <x:c r="H41" s="32" t="str">
        <x:v>Replicated</x:v>
      </x:c>
      <x:c r="I41" s="32" t="n">
        <x:f>1</x:f>
        <x:v>1</x:v>
      </x:c>
      <x:c r="J41" s="33" t="n">
        <x:f>E41*F41*G41/1073741824</x:f>
        <x:v>0.01953125</x:v>
      </x:c>
      <x:c r="K41" s="33" t="n">
        <x:f>J41/I41</x:f>
        <x:v>0.01953125</x:v>
      </x:c>
      <x:c r="L41" s="29"/>
      <x:c r="M41" s="29"/>
      <x:c r="N41" s="29"/>
      <x:c r="O41" s="34" t="str">
        <x:v>缓存案例请求数</x:v>
      </x:c>
      <x:c r="P41" s="35" t="n">
        <x:v>16</x:v>
      </x:c>
    </x:row>
    <x:row r="42" ht="30" customHeight="1">
      <x:c r="A42" s="29" t="str">
        <x:v>Compressor C2</x:v>
      </x:c>
      <x:c r="B42" s="40" t="str">
        <x:v>layers.N.attn.compressor.wgate.weight</x:v>
      </x:c>
      <x:c r="C42" s="29" t="str">
        <x:v>[512, 5120]</x:v>
      </x:c>
      <x:c r="D42" s="29" t="str">
        <x:v>BF16</x:v>
      </x:c>
      <x:c r="E42" s="31" t="n">
        <x:v>2</x:v>
      </x:c>
      <x:c r="F42" s="32" t="n">
        <x:v>3</x:v>
      </x:c>
      <x:c r="G42" s="32" t="n">
        <x:v>2621440</x:v>
      </x:c>
      <x:c r="H42" s="32" t="str">
        <x:v>Replicated</x:v>
      </x:c>
      <x:c r="I42" s="32" t="n">
        <x:f>1</x:f>
        <x:v>1</x:v>
      </x:c>
      <x:c r="J42" s="33" t="n">
        <x:f>E42*F42*G42/1073741824</x:f>
        <x:v>0.0146484375</x:v>
      </x:c>
      <x:c r="K42" s="33" t="n">
        <x:f>J42/I42</x:f>
        <x:v>0.0146484375</x:v>
      </x:c>
      <x:c r="L42" s="29"/>
      <x:c r="M42" s="29"/>
      <x:c r="N42" s="29"/>
      <x:c r="O42" s="29"/>
      <x:c r="P42" s="29"/>
    </x:row>
    <x:row r="43" ht="30" customHeight="1">
      <x:c r="A43" s="29" t="str">
        <x:v>Compressor</x:v>
      </x:c>
      <x:c r="B43" s="40" t="str">
        <x:v>layers.N.attn.compressor.norm.weight</x:v>
      </x:c>
      <x:c r="C43" s="29" t="str">
        <x:v>[512]</x:v>
      </x:c>
      <x:c r="D43" s="29" t="str">
        <x:v>BF16</x:v>
      </x:c>
      <x:c r="E43" s="31" t="n">
        <x:v>2</x:v>
      </x:c>
      <x:c r="F43" s="32" t="n">
        <x:v>4</x:v>
      </x:c>
      <x:c r="G43" s="32" t="n">
        <x:v>512</x:v>
      </x:c>
      <x:c r="H43" s="32" t="str">
        <x:v>Replicated</x:v>
      </x:c>
      <x:c r="I43" s="32" t="n">
        <x:f>1</x:f>
        <x:v>1</x:v>
      </x:c>
      <x:c r="J43" s="33" t="n">
        <x:f>E43*F43*G43/1073741824</x:f>
        <x:v>0.000003814697265625</x:v>
      </x:c>
      <x:c r="K43" s="33" t="n">
        <x:f>J43/I43</x:f>
        <x:v>0.000003814697265625</x:v>
      </x:c>
      <x:c r="L43" s="29"/>
      <x:c r="M43" s="29"/>
      <x:c r="N43" s="29"/>
      <x:c r="O43" s="29"/>
      <x:c r="P43" s="29"/>
    </x:row>
    <x:row r="44" ht="30" customHeight="1">
      <x:c r="A44" s="29" t="str">
        <x:v>Indexer</x:v>
      </x:c>
      <x:c r="B44" s="40" t="str">
        <x:v>layers.N.attn.indexer.wq_b.weight</x:v>
      </x:c>
      <x:c r="C44" s="29" t="str">
        <x:v>[4096, 1280]</x:v>
      </x:c>
      <x:c r="D44" s="29" t="str">
        <x:v>FP8 E4M3</x:v>
      </x:c>
      <x:c r="E44" s="31" t="n">
        <x:v>1</x:v>
      </x:c>
      <x:c r="F44" s="32" t="n">
        <x:v>8</x:v>
      </x:c>
      <x:c r="G44" s="32" t="n">
        <x:v>5242880</x:v>
      </x:c>
      <x:c r="H44" s="32" t="str">
        <x:v>Replicated</x:v>
      </x:c>
      <x:c r="I44" s="32" t="n">
        <x:f>1</x:f>
        <x:v>1</x:v>
      </x:c>
      <x:c r="J44" s="33" t="n">
        <x:f>E44*F44*G44/1073741824</x:f>
        <x:v>0.0390625</x:v>
      </x:c>
      <x:c r="K44" s="33" t="n">
        <x:f>J44/I44</x:f>
        <x:v>0.0390625</x:v>
      </x:c>
      <x:c r="L44" s="29"/>
      <x:c r="M44" s="29"/>
      <x:c r="N44" s="29"/>
      <x:c r="O44" s="29"/>
      <x:c r="P44" s="29"/>
    </x:row>
    <x:row r="45" ht="30" customHeight="1">
      <x:c r="A45" s="29" t="str">
        <x:v>Indexer</x:v>
      </x:c>
      <x:c r="B45" s="40" t="str">
        <x:v>layers.N.attn.indexer.wq_b.scale</x:v>
      </x:c>
      <x:c r="C45" s="29" t="str">
        <x:v>[128, 40]</x:v>
      </x:c>
      <x:c r="D45" s="29" t="str">
        <x:v>E8M0</x:v>
      </x:c>
      <x:c r="E45" s="31" t="n">
        <x:v>1</x:v>
      </x:c>
      <x:c r="F45" s="32" t="n">
        <x:v>8</x:v>
      </x:c>
      <x:c r="G45" s="32" t="n">
        <x:v>5120</x:v>
      </x:c>
      <x:c r="H45" s="32" t="str">
        <x:v>Replicated</x:v>
      </x:c>
      <x:c r="I45" s="32" t="n">
        <x:f>1</x:f>
        <x:v>1</x:v>
      </x:c>
      <x:c r="J45" s="33" t="n">
        <x:f>E45*F45*G45/1073741824</x:f>
        <x:v>0.00003814697265625</x:v>
      </x:c>
      <x:c r="K45" s="33" t="n">
        <x:f>J45/I45</x:f>
        <x:v>0.00003814697265625</x:v>
      </x:c>
      <x:c r="L45" s="29"/>
      <x:c r="M45" s="29"/>
      <x:c r="N45" s="29"/>
      <x:c r="O45" s="29"/>
      <x:c r="P45" s="29"/>
    </x:row>
    <x:row r="46" ht="30" customHeight="1">
      <x:c r="A46" s="29" t="str">
        <x:v>Indexer</x:v>
      </x:c>
      <x:c r="B46" s="40" t="str">
        <x:v>layers.N.attn.indexer.weights_proj.weight</x:v>
      </x:c>
      <x:c r="C46" s="29" t="str">
        <x:v>[32, 5120]</x:v>
      </x:c>
      <x:c r="D46" s="29" t="str">
        <x:v>BF16</x:v>
      </x:c>
      <x:c r="E46" s="31" t="n">
        <x:v>2</x:v>
      </x:c>
      <x:c r="F46" s="32" t="n">
        <x:v>8</x:v>
      </x:c>
      <x:c r="G46" s="32" t="n">
        <x:v>163840</x:v>
      </x:c>
      <x:c r="H46" s="32" t="str">
        <x:v>Replicated</x:v>
      </x:c>
      <x:c r="I46" s="32" t="n">
        <x:f>1</x:f>
        <x:v>1</x:v>
      </x:c>
      <x:c r="J46" s="33" t="n">
        <x:f>E46*F46*G46/1073741824</x:f>
        <x:v>0.00244140625</x:v>
      </x:c>
      <x:c r="K46" s="33" t="n">
        <x:f>J46/I46</x:f>
        <x:v>0.00244140625</x:v>
      </x:c>
      <x:c r="L46" s="29"/>
      <x:c r="M46" s="29"/>
      <x:c r="N46" s="29"/>
      <x:c r="O46" s="29"/>
      <x:c r="P46" s="29"/>
    </x:row>
    <x:row r="47" ht="30" customHeight="1">
      <x:c r="A47" s="29" t="str">
        <x:v>Indexer K</x:v>
      </x:c>
      <x:c r="B47" s="40" t="str">
        <x:v>layers.N.attn.indexer.wk.weight</x:v>
      </x:c>
      <x:c r="C47" s="29" t="str">
        <x:v>[128, 512]</x:v>
      </x:c>
      <x:c r="D47" s="29" t="str">
        <x:v>BF16</x:v>
      </x:c>
      <x:c r="E47" s="31" t="n">
        <x:v>2</x:v>
      </x:c>
      <x:c r="F47" s="32" t="n">
        <x:v>4</x:v>
      </x:c>
      <x:c r="G47" s="32" t="n">
        <x:v>65536</x:v>
      </x:c>
      <x:c r="H47" s="32" t="str">
        <x:v>Replicated</x:v>
      </x:c>
      <x:c r="I47" s="32" t="n">
        <x:f>1</x:f>
        <x:v>1</x:v>
      </x:c>
      <x:c r="J47" s="33" t="n">
        <x:f>E47*F47*G47/1073741824</x:f>
        <x:v>0.00048828125</x:v>
      </x:c>
      <x:c r="K47" s="33" t="n">
        <x:f>J47/I47</x:f>
        <x:v>0.00048828125</x:v>
      </x:c>
      <x:c r="L47" s="29"/>
      <x:c r="M47" s="29"/>
      <x:c r="N47" s="29"/>
      <x:c r="O47" s="29"/>
      <x:c r="P47" s="29"/>
    </x:row>
    <x:row r="48" ht="30" customHeight="1">
      <x:c r="A48" s="29" t="str">
        <x:v>Indexer K</x:v>
      </x:c>
      <x:c r="B48" s="40" t="str">
        <x:v>layers.N.attn.indexer.k_norm.weight</x:v>
      </x:c>
      <x:c r="C48" s="29" t="str">
        <x:v>[128]</x:v>
      </x:c>
      <x:c r="D48" s="29" t="str">
        <x:v>BF16</x:v>
      </x:c>
      <x:c r="E48" s="31" t="n">
        <x:v>2</x:v>
      </x:c>
      <x:c r="F48" s="32" t="n">
        <x:v>4</x:v>
      </x:c>
      <x:c r="G48" s="32" t="n">
        <x:v>128</x:v>
      </x:c>
      <x:c r="H48" s="32" t="str">
        <x:v>Replicated</x:v>
      </x:c>
      <x:c r="I48" s="32" t="n">
        <x:f>1</x:f>
        <x:v>1</x:v>
      </x:c>
      <x:c r="J48" s="33" t="n">
        <x:f>E48*F48*G48/1073741824</x:f>
        <x:v>9.5367431640625e-7</x:v>
      </x:c>
      <x:c r="K48" s="33" t="n">
        <x:f>J48/I48</x:f>
        <x:v>9.5367431640625e-7</x:v>
      </x:c>
      <x:c r="L48" s="29"/>
      <x:c r="M48" s="29"/>
      <x:c r="N48" s="29"/>
      <x:c r="O48" s="45" t="str">
        <x:v>VA 缓存 / Engram 存储</x:v>
      </x:c>
      <x:c r="P48" s="45" t="str">
        <x:v>GiB / Rank</x:v>
      </x:c>
    </x:row>
    <x:row r="49" ht="30" customHeight="1">
      <x:c r="A49" s="29" t="str">
        <x:v>Engram Table</x:v>
      </x:c>
      <x:c r="B49" s="40" t="str">
        <x:v>layers.1.engram.embed.weight</x:v>
      </x:c>
      <x:c r="C49" s="29" t="str">
        <x:v>[384006168, 256]</x:v>
      </x:c>
      <x:c r="D49" s="29" t="str">
        <x:v>FP8 E4M3</x:v>
      </x:c>
      <x:c r="E49" s="31" t="n">
        <x:v>1</x:v>
      </x:c>
      <x:c r="F49" s="32" t="n">
        <x:v>1</x:v>
      </x:c>
      <x:c r="G49" s="32" t="n">
        <x:v>98305579008</x:v>
      </x:c>
      <x:c r="H49" s="32" t="str">
        <x:v>节点内均摊（源格式）</x:v>
      </x:c>
      <x:c r="I49" s="32" t="n">
        <x:f>'Prefill'!$P$37</x:f>
        <x:v>8</x:v>
      </x:c>
      <x:c r="J49" s="33" t="n">
        <x:f>E49*F49*G49/1073741824</x:f>
        <x:v>91.5542049407959</x:v>
      </x:c>
      <x:c r="K49" s="33" t="n">
        <x:f>J49/I49</x:f>
        <x:v>11.444275617599487</x:v>
      </x:c>
      <x:c r="L49" s="29"/>
      <x:c r="M49" s="29"/>
      <x:c r="N49" s="29"/>
      <x:c r="O49" s="29" t="str">
        <x:v>长 KV + Index（每 Rank）</x:v>
      </x:c>
      <x:c r="P49" s="33" t="n">
        <x:f>(3*INT('Prefill'!$P$4/2)+'Prefill'!$P$4)*(512*2+128+2)*'Prefill'!$P$41/2^30</x:f>
        <x:v>11.26953125</x:v>
      </x:c>
    </x:row>
    <x:row r="50" ht="30" customHeight="1">
      <x:c r="A50" s="29" t="str">
        <x:v>Engram Table</x:v>
      </x:c>
      <x:c r="B50" s="40" t="str">
        <x:v>layers.1.engram.embed.scale</x:v>
      </x:c>
      <x:c r="C50" s="29" t="str">
        <x:v>[384006168, 8]</x:v>
      </x:c>
      <x:c r="D50" s="29" t="str">
        <x:v>E8M0</x:v>
      </x:c>
      <x:c r="E50" s="31" t="n">
        <x:v>1</x:v>
      </x:c>
      <x:c r="F50" s="32" t="n">
        <x:v>1</x:v>
      </x:c>
      <x:c r="G50" s="32" t="n">
        <x:v>3072049344</x:v>
      </x:c>
      <x:c r="H50" s="32" t="str">
        <x:v>节点内均摊（源格式）</x:v>
      </x:c>
      <x:c r="I50" s="32" t="n">
        <x:f>'Prefill'!$P$37</x:f>
        <x:v>8</x:v>
      </x:c>
      <x:c r="J50" s="33" t="n">
        <x:f>E50*F50*G50/1073741824</x:f>
        <x:v>2.861068904399872</x:v>
      </x:c>
      <x:c r="K50" s="33" t="n">
        <x:f>J50/I50</x:f>
        <x:v>0.357633613049984</x:v>
      </x:c>
      <x:c r="L50" s="29"/>
      <x:c r="M50" s="29"/>
      <x:c r="N50" s="29"/>
      <x:c r="O50" s="29" t="str">
        <x:v>SWA 保留载荷（每 Rank）</x:v>
      </x:c>
      <x:c r="P50" s="33" t="n">
        <x:f>40*MIN('Prefill'!$P$4,128)*512*2*'Prefill'!$P$41/2^30</x:f>
        <x:v>0.078125</x:v>
      </x:c>
    </x:row>
    <x:row r="51" ht="30" customHeight="1">
      <x:c r="A51" s="29" t="str">
        <x:v>Engram Table</x:v>
      </x:c>
      <x:c r="B51" s="40" t="str">
        <x:v>layers.14.engram.embed.weight</x:v>
      </x:c>
      <x:c r="C51" s="29" t="str">
        <x:v>[384016682, 256]</x:v>
      </x:c>
      <x:c r="D51" s="29" t="str">
        <x:v>FP8 E4M3</x:v>
      </x:c>
      <x:c r="E51" s="31" t="n">
        <x:v>1</x:v>
      </x:c>
      <x:c r="F51" s="32" t="n">
        <x:v>1</x:v>
      </x:c>
      <x:c r="G51" s="32" t="n">
        <x:v>98308270592</x:v>
      </x:c>
      <x:c r="H51" s="32" t="str">
        <x:v>节点内均摊（源格式）</x:v>
      </x:c>
      <x:c r="I51" s="32" t="n">
        <x:f>'Prefill'!$P$37</x:f>
        <x:v>8</x:v>
      </x:c>
      <x:c r="J51" s="33" t="n">
        <x:f>E51*F51*G51/1073741824</x:f>
        <x:v>91.55671167373657</x:v>
      </x:c>
      <x:c r="K51" s="33" t="n">
        <x:f>J51/I51</x:f>
        <x:v>11.444588959217072</x:v>
      </x:c>
      <x:c r="L51" s="29"/>
      <x:c r="M51" s="29"/>
      <x:c r="N51" s="29"/>
      <x:c r="O51" s="29" t="str">
        <x:v>C2 Ring（每 Rank）</x:v>
      </x:c>
      <x:c r="P51" s="33" t="n">
        <x:f>IF('Prefill'!$P$4&gt;0,3*32*1024*4*'Prefill'!$P$41/2^30,0)</x:f>
        <x:v>0.005859375</x:v>
      </x:c>
    </x:row>
    <x:row r="52" ht="30" customHeight="1">
      <x:c r="A52" s="29" t="str">
        <x:v>Engram Table</x:v>
      </x:c>
      <x:c r="B52" s="40" t="str">
        <x:v>layers.14.engram.embed.scale</x:v>
      </x:c>
      <x:c r="C52" s="29" t="str">
        <x:v>[384016682, 8]</x:v>
      </x:c>
      <x:c r="D52" s="29" t="str">
        <x:v>E8M0</x:v>
      </x:c>
      <x:c r="E52" s="31" t="n">
        <x:v>1</x:v>
      </x:c>
      <x:c r="F52" s="32" t="n">
        <x:v>1</x:v>
      </x:c>
      <x:c r="G52" s="32" t="n">
        <x:v>3072133456</x:v>
      </x:c>
      <x:c r="H52" s="32" t="str">
        <x:v>节点内均摊（源格式）</x:v>
      </x:c>
      <x:c r="I52" s="32" t="n">
        <x:f>'Prefill'!$P$37</x:f>
        <x:v>8</x:v>
      </x:c>
      <x:c r="J52" s="33" t="n">
        <x:f>E52*F52*G52/1073741824</x:f>
        <x:v>2.861147239804268</x:v>
      </x:c>
      <x:c r="K52" s="33" t="n">
        <x:f>J52/I52</x:f>
        <x:v>0.3576434049755335</x:v>
      </x:c>
      <x:c r="L52" s="29"/>
      <x:c r="M52" s="29"/>
      <x:c r="N52" s="29"/>
      <x:c r="O52" s="29" t="str">
        <x:v>Engram BF16（节点内均摊）</x:v>
      </x:c>
      <x:c r="P52" s="33" t="n">
        <x:f>768022850*256*2/'Prefill'!$P$37/2^30</x:f>
        <x:v>45.77772915363312</x:v>
      </x:c>
    </x:row>
    <x:row r="53" ht="30" customHeight="1">
      <x:c r="A53" s="29" t="str">
        <x:v>Engram Gate</x:v>
      </x:c>
      <x:c r="B53" s="40" t="str">
        <x:v>layers.N.engram.wkv.weight</x:v>
      </x:c>
      <x:c r="C53" s="29" t="str">
        <x:v>[25600, 6144]</x:v>
      </x:c>
      <x:c r="D53" s="29" t="str">
        <x:v>FP8 E4M3</x:v>
      </x:c>
      <x:c r="E53" s="31" t="n">
        <x:v>1</x:v>
      </x:c>
      <x:c r="F53" s="32" t="n">
        <x:v>2</x:v>
      </x:c>
      <x:c r="G53" s="32" t="n">
        <x:v>157286400</x:v>
      </x:c>
      <x:c r="H53" s="32" t="str">
        <x:v>Replicated</x:v>
      </x:c>
      <x:c r="I53" s="32" t="n">
        <x:f>1</x:f>
        <x:v>1</x:v>
      </x:c>
      <x:c r="J53" s="33" t="n">
        <x:f>E53*F53*G53/1073741824</x:f>
        <x:v>0.29296875</x:v>
      </x:c>
      <x:c r="K53" s="33" t="n">
        <x:f>J53/I53</x:f>
        <x:v>0.29296875</x:v>
      </x:c>
      <x:c r="L53" s="29"/>
      <x:c r="M53" s="29"/>
      <x:c r="N53" s="29"/>
      <x:c r="O53" s="29" t="str">
        <x:v>Engram INT8+F32 scale 均摊</x:v>
      </x:c>
      <x:c r="P53" s="33" t="n">
        <x:f>768022850*(256+8*4)/'Prefill'!$P$37/2^30</x:f>
        <x:v>25.74997264891863</x:v>
      </x:c>
    </x:row>
    <x:row r="54" ht="30" customHeight="1">
      <x:c r="A54" s="29" t="str">
        <x:v>Engram Gate</x:v>
      </x:c>
      <x:c r="B54" s="40" t="str">
        <x:v>layers.N.engram.wkv.scale</x:v>
      </x:c>
      <x:c r="C54" s="29" t="str">
        <x:v>[800, 192]</x:v>
      </x:c>
      <x:c r="D54" s="29" t="str">
        <x:v>E8M0</x:v>
      </x:c>
      <x:c r="E54" s="31" t="n">
        <x:v>1</x:v>
      </x:c>
      <x:c r="F54" s="32" t="n">
        <x:v>2</x:v>
      </x:c>
      <x:c r="G54" s="32" t="n">
        <x:v>153600</x:v>
      </x:c>
      <x:c r="H54" s="32" t="str">
        <x:v>Replicated</x:v>
      </x:c>
      <x:c r="I54" s="32" t="n">
        <x:f>1</x:f>
        <x:v>1</x:v>
      </x:c>
      <x:c r="J54" s="33" t="n">
        <x:f>E54*F54*G54/1073741824</x:f>
        <x:v>0.000286102294921875</x:v>
      </x:c>
      <x:c r="K54" s="33" t="n">
        <x:f>J54/I54</x:f>
        <x:v>0.000286102294921875</x:v>
      </x:c>
      <x:c r="L54" s="29"/>
      <x:c r="M54" s="29"/>
      <x:c r="N54" s="29"/>
      <x:c r="O54" s="29" t="str">
        <x:v>Engram FP8+E8M0（CPU 均摊）</x:v>
      </x:c>
      <x:c r="P54" s="33" t="n">
        <x:f>768022850*(256+8)/'Prefill'!$P$37/2^30</x:f>
        <x:v>23.604141594842076</x:v>
      </x:c>
    </x:row>
    <x:row r="55" ht="30" customHeight="1">
      <x:c r="A55" s="29" t="str">
        <x:v>Engram Gate</x:v>
      </x:c>
      <x:c r="B55" s="40" t="str">
        <x:v>layers.N.engram.q_weight</x:v>
      </x:c>
      <x:c r="C55" s="29" t="str">
        <x:v>[4, 5120]</x:v>
      </x:c>
      <x:c r="D55" s="29" t="str">
        <x:v>BF16</x:v>
      </x:c>
      <x:c r="E55" s="31" t="n">
        <x:v>2</x:v>
      </x:c>
      <x:c r="F55" s="32" t="n">
        <x:v>2</x:v>
      </x:c>
      <x:c r="G55" s="32" t="n">
        <x:v>20480</x:v>
      </x:c>
      <x:c r="H55" s="32" t="str">
        <x:v>Replicated</x:v>
      </x:c>
      <x:c r="I55" s="32" t="n">
        <x:f>1</x:f>
        <x:v>1</x:v>
      </x:c>
      <x:c r="J55" s="33" t="n">
        <x:f>E55*F55*G55/1073741824</x:f>
        <x:v>0.0000762939453125</x:v>
      </x:c>
      <x:c r="K55" s="33" t="n">
        <x:f>J55/I55</x:f>
        <x:v>0.0000762939453125</x:v>
      </x:c>
      <x:c r="L55" s="29"/>
      <x:c r="M55" s="29"/>
      <x:c r="N55" s="29"/>
      <x:c r="O55" s="29"/>
      <x:c r="P55" s="29"/>
    </x:row>
    <x:row r="56" ht="46" customHeight="1">
      <x:c r="A56" s="29" t="str">
        <x:v>Engram Gate</x:v>
      </x:c>
      <x:c r="B56" s="40" t="str">
        <x:v>layers.N.engram.k_weight</x:v>
      </x:c>
      <x:c r="C56" s="29" t="str">
        <x:v>[4, 5120]</x:v>
      </x:c>
      <x:c r="D56" s="29" t="str">
        <x:v>BF16</x:v>
      </x:c>
      <x:c r="E56" s="31" t="n">
        <x:v>2</x:v>
      </x:c>
      <x:c r="F56" s="32" t="n">
        <x:v>2</x:v>
      </x:c>
      <x:c r="G56" s="32" t="n">
        <x:v>20480</x:v>
      </x:c>
      <x:c r="H56" s="32" t="str">
        <x:v>Replicated</x:v>
      </x:c>
      <x:c r="I56" s="32" t="n">
        <x:f>1</x:f>
        <x:v>1</x:v>
      </x:c>
      <x:c r="J56" s="33" t="n">
        <x:f>E56*F56*G56/1073741824</x:f>
        <x:v>0.0000762939453125</x:v>
      </x:c>
      <x:c r="K56" s="33" t="n">
        <x:f>J56/I56</x:f>
        <x:v>0.0000762939453125</x:v>
      </x:c>
      <x:c r="L56" s="29"/>
      <x:c r="M56" s="29"/>
      <x:c r="N56" s="29"/>
      <x:c r="O56" s="43" t="str">
        <x:v>权重使用官方源格式；不等于 VA 驻留字节。两阶段各含全部权重及 DSpark。</x:v>
      </x:c>
      <x:c r="P56" s="43"/>
    </x:row>
    <x:row r="57" ht="46" customHeight="1">
      <x:c r="A57" s="29" t="str">
        <x:v>DSpark</x:v>
      </x:c>
      <x:c r="B57" s="40" t="str">
        <x:v>mtp.N.attn.attn_sink</x:v>
      </x:c>
      <x:c r="C57" s="29" t="str">
        <x:v>[64]</x:v>
      </x:c>
      <x:c r="D57" s="29" t="str">
        <x:v>F32</x:v>
      </x:c>
      <x:c r="E57" s="31" t="n">
        <x:v>4</x:v>
      </x:c>
      <x:c r="F57" s="32" t="n">
        <x:v>3</x:v>
      </x:c>
      <x:c r="G57" s="32" t="n">
        <x:v>64</x:v>
      </x:c>
      <x:c r="H57" s="32" t="str">
        <x:v>DSA CP / TP</x:v>
      </x:c>
      <x:c r="I57" s="32" t="n">
        <x:f>IF('Prefill'!$P$25&lt;&gt;0,1,'Prefill'!$P$12)</x:f>
        <x:v>1</x:v>
      </x:c>
      <x:c r="J57" s="33" t="n">
        <x:f>E57*F57*G57/1073741824</x:f>
        <x:v>7.152557373046875e-7</x:v>
      </x:c>
      <x:c r="K57" s="33" t="n">
        <x:f>J57/I57</x:f>
        <x:v>7.152557373046875e-7</x:v>
      </x:c>
      <x:c r="L57" s="29"/>
      <x:c r="M57" s="29"/>
      <x:c r="N57" s="29"/>
      <x:c r="O57" s="43" t="str">
        <x:v>通信只覆盖表中事件。未合计 LM Head、Embedding、draft、MoE 元数据或设备同步。</x:v>
      </x:c>
      <x:c r="P57" s="43"/>
    </x:row>
    <x:row r="58" ht="46" customHeight="1">
      <x:c r="A58" s="29" t="str">
        <x:v>DSpark</x:v>
      </x:c>
      <x:c r="B58" s="40" t="str">
        <x:v>mtp.N.attn.wq_a.weight</x:v>
      </x:c>
      <x:c r="C58" s="29" t="str">
        <x:v>[1280, 5120]</x:v>
      </x:c>
      <x:c r="D58" s="29" t="str">
        <x:v>FP8 E4M3</x:v>
      </x:c>
      <x:c r="E58" s="31" t="n">
        <x:v>1</x:v>
      </x:c>
      <x:c r="F58" s="32" t="n">
        <x:v>3</x:v>
      </x:c>
      <x:c r="G58" s="32" t="n">
        <x:v>6553600</x:v>
      </x:c>
      <x:c r="H58" s="32" t="str">
        <x:v>Replicated</x:v>
      </x:c>
      <x:c r="I58" s="32" t="n">
        <x:f>1</x:f>
        <x:v>1</x:v>
      </x:c>
      <x:c r="J58" s="33" t="n">
        <x:f>E58*F58*G58/1073741824</x:f>
        <x:v>0.018310546875</x:v>
      </x:c>
      <x:c r="K58" s="33" t="n">
        <x:f>J58/I58</x:f>
        <x:v>0.018310546875</x:v>
      </x:c>
      <x:c r="L58" s="29"/>
      <x:c r="M58" s="29"/>
      <x:c r="N58" s="29"/>
      <x:c r="O58" s="43" t="str">
        <x:v>Ring/Tree 是显式基准；EP/Owner 为均匀路由期望。不同通信域不合计。</x:v>
      </x:c>
      <x:c r="P58" s="43"/>
    </x:row>
    <x:row r="59" ht="46" customHeight="1">
      <x:c r="A59" s="29" t="str">
        <x:v>DSpark</x:v>
      </x:c>
      <x:c r="B59" s="40" t="str">
        <x:v>mtp.N.attn.wq_a.scale</x:v>
      </x:c>
      <x:c r="C59" s="29" t="str">
        <x:v>[40, 160]</x:v>
      </x:c>
      <x:c r="D59" s="29" t="str">
        <x:v>E8M0</x:v>
      </x:c>
      <x:c r="E59" s="31" t="n">
        <x:v>1</x:v>
      </x:c>
      <x:c r="F59" s="32" t="n">
        <x:v>3</x:v>
      </x:c>
      <x:c r="G59" s="32" t="n">
        <x:v>6400</x:v>
      </x:c>
      <x:c r="H59" s="32" t="str">
        <x:v>Replicated</x:v>
      </x:c>
      <x:c r="I59" s="32" t="n">
        <x:f>1</x:f>
        <x:v>1</x:v>
      </x:c>
      <x:c r="J59" s="33" t="n">
        <x:f>E59*F59*G59/1073741824</x:f>
        <x:v>0.000017881393432617188</x:v>
      </x:c>
      <x:c r="K59" s="33" t="n">
        <x:f>J59/I59</x:f>
        <x:v>0.000017881393432617188</x:v>
      </x:c>
      <x:c r="L59" s="29"/>
      <x:c r="M59" s="29"/>
      <x:c r="N59" s="29"/>
      <x:c r="O59" s="43" t="str">
        <x:v>SP 下共享专家复制；Indexer 本地选 TopK。这两项无独立 Gather。</x:v>
      </x:c>
      <x:c r="P59" s="43"/>
    </x:row>
    <x:row r="60" ht="46" customHeight="1">
      <x:c r="A60" s="29" t="str">
        <x:v>DSpark</x:v>
      </x:c>
      <x:c r="B60" s="40" t="str">
        <x:v>mtp.N.attn.wq_b.weight</x:v>
      </x:c>
      <x:c r="C60" s="29" t="str">
        <x:v>[32768, 1280]</x:v>
      </x:c>
      <x:c r="D60" s="29" t="str">
        <x:v>FP8 E4M3</x:v>
      </x:c>
      <x:c r="E60" s="31" t="n">
        <x:v>1</x:v>
      </x:c>
      <x:c r="F60" s="32" t="n">
        <x:v>3</x:v>
      </x:c>
      <x:c r="G60" s="32" t="n">
        <x:v>41943040</x:v>
      </x:c>
      <x:c r="H60" s="32" t="str">
        <x:v>DSA CP / TP</x:v>
      </x:c>
      <x:c r="I60" s="32" t="n">
        <x:f>IF('Prefill'!$P$25&lt;&gt;0,1,'Prefill'!$P$12)</x:f>
        <x:v>1</x:v>
      </x:c>
      <x:c r="J60" s="33" t="n">
        <x:f>E60*F60*G60/1073741824</x:f>
        <x:v>0.1171875</x:v>
      </x:c>
      <x:c r="K60" s="33" t="n">
        <x:f>J60/I60</x:f>
        <x:v>0.1171875</x:v>
      </x:c>
      <x:c r="L60" s="29"/>
      <x:c r="M60" s="29"/>
      <x:c r="N60" s="29"/>
      <x:c r="O60" s="43" t="str">
        <x:v>缓存按输入长度×缓存案例请求数；表示完整请求保留载荷，非 Step 或 P→D 流量。</x:v>
      </x:c>
      <x:c r="P60" s="43"/>
    </x:row>
    <x:row r="61" ht="46" customHeight="1">
      <x:c r="A61" s="29" t="str">
        <x:v>DSpark</x:v>
      </x:c>
      <x:c r="B61" s="40" t="str">
        <x:v>mtp.N.attn.wq_b.scale</x:v>
      </x:c>
      <x:c r="C61" s="29" t="str">
        <x:v>[1024, 40]</x:v>
      </x:c>
      <x:c r="D61" s="29" t="str">
        <x:v>E8M0</x:v>
      </x:c>
      <x:c r="E61" s="31" t="n">
        <x:v>1</x:v>
      </x:c>
      <x:c r="F61" s="32" t="n">
        <x:v>3</x:v>
      </x:c>
      <x:c r="G61" s="32" t="n">
        <x:v>40960</x:v>
      </x:c>
      <x:c r="H61" s="32" t="str">
        <x:v>DSA CP / TP</x:v>
      </x:c>
      <x:c r="I61" s="32" t="n">
        <x:f>IF('Prefill'!$P$25&lt;&gt;0,1,'Prefill'!$P$12)</x:f>
        <x:v>1</x:v>
      </x:c>
      <x:c r="J61" s="33" t="n">
        <x:f>E61*F61*G61/1073741824</x:f>
        <x:v>0.00011444091796875</x:v>
      </x:c>
      <x:c r="K61" s="33" t="n">
        <x:f>J61/I61</x:f>
        <x:v>0.00011444091796875</x:v>
      </x:c>
      <x:c r="L61" s="29"/>
      <x:c r="M61" s="29"/>
      <x:c r="N61" s="29"/>
      <x:c r="O61" s="43" t="str">
        <x:v>长缓存全 TP 复制。物理分配含 padding；每全局 ID 为 540928 B，不能按层数再乘。</x:v>
      </x:c>
      <x:c r="P61" s="43"/>
    </x:row>
    <x:row r="62" ht="46" customHeight="1">
      <x:c r="A62" s="29" t="str">
        <x:v>DSpark</x:v>
      </x:c>
      <x:c r="B62" s="40" t="str">
        <x:v>mtp.N.attn.wkv.weight</x:v>
      </x:c>
      <x:c r="C62" s="29" t="str">
        <x:v>[512, 5120]</x:v>
      </x:c>
      <x:c r="D62" s="29" t="str">
        <x:v>FP8 E4M3</x:v>
      </x:c>
      <x:c r="E62" s="31" t="n">
        <x:v>1</x:v>
      </x:c>
      <x:c r="F62" s="32" t="n">
        <x:v>3</x:v>
      </x:c>
      <x:c r="G62" s="32" t="n">
        <x:v>2621440</x:v>
      </x:c>
      <x:c r="H62" s="32" t="str">
        <x:v>Replicated</x:v>
      </x:c>
      <x:c r="I62" s="32" t="n">
        <x:f>1</x:f>
        <x:v>1</x:v>
      </x:c>
      <x:c r="J62" s="33" t="n">
        <x:f>E62*F62*G62/1073741824</x:f>
        <x:v>0.00732421875</x:v>
      </x:c>
      <x:c r="K62" s="33" t="n">
        <x:f>J62/I62</x:f>
        <x:v>0.00732421875</x:v>
      </x:c>
      <x:c r="L62" s="29"/>
      <x:c r="M62" s="29"/>
      <x:c r="N62" s="29"/>
      <x:c r="O62" s="43" t="str">
        <x:v>Engram 三种存储为可选表示。默认返回 BF16；FP8/MXFP8 表在 CPU。</x:v>
      </x:c>
      <x:c r="P62" s="43"/>
    </x:row>
    <x:row r="63" ht="46" customHeight="1">
      <x:c r="A63" s="29" t="str">
        <x:v>DSpark</x:v>
      </x:c>
      <x:c r="B63" s="40" t="str">
        <x:v>mtp.N.attn.wkv.scale</x:v>
      </x:c>
      <x:c r="C63" s="29" t="str">
        <x:v>[16, 160]</x:v>
      </x:c>
      <x:c r="D63" s="29" t="str">
        <x:v>E8M0</x:v>
      </x:c>
      <x:c r="E63" s="31" t="n">
        <x:v>1</x:v>
      </x:c>
      <x:c r="F63" s="32" t="n">
        <x:v>3</x:v>
      </x:c>
      <x:c r="G63" s="32" t="n">
        <x:v>2560</x:v>
      </x:c>
      <x:c r="H63" s="32" t="str">
        <x:v>Replicated</x:v>
      </x:c>
      <x:c r="I63" s="32" t="n">
        <x:f>1</x:f>
        <x:v>1</x:v>
      </x:c>
      <x:c r="J63" s="33" t="n">
        <x:f>E63*F63*G63/1073741824</x:f>
        <x:v>0.000007152557373046875</x:v>
      </x:c>
      <x:c r="K63" s="33" t="n">
        <x:f>J63/I63</x:f>
        <x:v>0.000007152557373046875</x:v>
      </x:c>
      <x:c r="L63" s="29"/>
      <x:c r="M63" s="29"/>
      <x:c r="N63" s="29"/>
      <x:c r="O63" s="43" t="str">
        <x:v>范围：EP=TP×DP；TP 留在节点内；PP=PCP=DCP=1；SP=0 时本表仅建模 TP=1。</x:v>
      </x:c>
      <x:c r="P63" s="43"/>
    </x:row>
    <x:row r="64" ht="46" customHeight="1">
      <x:c r="A64" s="29" t="str">
        <x:v>DSpark</x:v>
      </x:c>
      <x:c r="B64" s="40" t="str">
        <x:v>mtp.N.attn.wo_a.weight</x:v>
      </x:c>
      <x:c r="C64" s="29" t="str">
        <x:v>[8192, 4096]</x:v>
      </x:c>
      <x:c r="D64" s="29" t="str">
        <x:v>FP8 E4M3</x:v>
      </x:c>
      <x:c r="E64" s="31" t="n">
        <x:v>1</x:v>
      </x:c>
      <x:c r="F64" s="32" t="n">
        <x:v>3</x:v>
      </x:c>
      <x:c r="G64" s="32" t="n">
        <x:v>33554432</x:v>
      </x:c>
      <x:c r="H64" s="32" t="str">
        <x:v>TP</x:v>
      </x:c>
      <x:c r="I64" s="32" t="n">
        <x:f>'Prefill'!$P$12</x:f>
        <x:v>8</x:v>
      </x:c>
      <x:c r="J64" s="33" t="n">
        <x:f>E64*F64*G64/1073741824</x:f>
        <x:v>0.09375</x:v>
      </x:c>
      <x:c r="K64" s="33" t="n">
        <x:f>J64/I64</x:f>
        <x:v>0.01171875</x:v>
      </x:c>
      <x:c r="L64" s="29"/>
      <x:c r="M64" s="29"/>
      <x:c r="N64" s="29"/>
      <x:c r="O64" s="43" t="str">
        <x:v>投机步数默认 0。启用 DSpark 后，当前表仅扩大 target Token，draft 通信需另加。</x:v>
      </x:c>
      <x:c r="P64" s="43"/>
    </x:row>
    <x:row r="65" ht="30" customHeight="1">
      <x:c r="A65" s="29" t="str">
        <x:v>DSpark</x:v>
      </x:c>
      <x:c r="B65" s="40" t="str">
        <x:v>mtp.N.attn.wo_a.scale</x:v>
      </x:c>
      <x:c r="C65" s="29" t="str">
        <x:v>[256, 128]</x:v>
      </x:c>
      <x:c r="D65" s="29" t="str">
        <x:v>E8M0</x:v>
      </x:c>
      <x:c r="E65" s="31" t="n">
        <x:v>1</x:v>
      </x:c>
      <x:c r="F65" s="32" t="n">
        <x:v>3</x:v>
      </x:c>
      <x:c r="G65" s="32" t="n">
        <x:v>32768</x:v>
      </x:c>
      <x:c r="H65" s="32" t="str">
        <x:v>TP</x:v>
      </x:c>
      <x:c r="I65" s="32" t="n">
        <x:f>'Prefill'!$P$12</x:f>
        <x:v>8</x:v>
      </x:c>
      <x:c r="J65" s="33" t="n">
        <x:f>E65*F65*G65/1073741824</x:f>
        <x:v>0.000091552734375</x:v>
      </x:c>
      <x:c r="K65" s="33" t="n">
        <x:f>J65/I65</x:f>
        <x:v>0.000011444091796875</x:v>
      </x:c>
      <x:c r="L65" s="29"/>
      <x:c r="M65" s="29"/>
      <x:c r="N65" s="29"/>
      <x:c r="O65" s="29"/>
      <x:c r="P65" s="29"/>
    </x:row>
    <x:row r="66" ht="30" customHeight="1">
      <x:c r="A66" s="29" t="str">
        <x:v>DSpark</x:v>
      </x:c>
      <x:c r="B66" s="40" t="str">
        <x:v>mtp.N.attn.wo_b.weight</x:v>
      </x:c>
      <x:c r="C66" s="29" t="str">
        <x:v>[5120, 8192]</x:v>
      </x:c>
      <x:c r="D66" s="29" t="str">
        <x:v>FP8 E4M3</x:v>
      </x:c>
      <x:c r="E66" s="31" t="n">
        <x:v>1</x:v>
      </x:c>
      <x:c r="F66" s="32" t="n">
        <x:v>3</x:v>
      </x:c>
      <x:c r="G66" s="32" t="n">
        <x:v>41943040</x:v>
      </x:c>
      <x:c r="H66" s="32" t="str">
        <x:v>TP</x:v>
      </x:c>
      <x:c r="I66" s="32" t="n">
        <x:f>'Prefill'!$P$12</x:f>
        <x:v>8</x:v>
      </x:c>
      <x:c r="J66" s="33" t="n">
        <x:f>E66*F66*G66/1073741824</x:f>
        <x:v>0.1171875</x:v>
      </x:c>
      <x:c r="K66" s="33" t="n">
        <x:f>J66/I66</x:f>
        <x:v>0.0146484375</x:v>
      </x:c>
      <x:c r="L66" s="29"/>
      <x:c r="M66" s="29"/>
      <x:c r="N66" s="29"/>
      <x:c r="O66" s="29"/>
      <x:c r="P66" s="29"/>
    </x:row>
    <x:row r="67" ht="30" customHeight="1">
      <x:c r="A67" s="29" t="str">
        <x:v>DSpark</x:v>
      </x:c>
      <x:c r="B67" s="40" t="str">
        <x:v>mtp.N.attn.wo_b.scale</x:v>
      </x:c>
      <x:c r="C67" s="29" t="str">
        <x:v>[160, 256]</x:v>
      </x:c>
      <x:c r="D67" s="29" t="str">
        <x:v>E8M0</x:v>
      </x:c>
      <x:c r="E67" s="31" t="n">
        <x:v>1</x:v>
      </x:c>
      <x:c r="F67" s="32" t="n">
        <x:v>3</x:v>
      </x:c>
      <x:c r="G67" s="32" t="n">
        <x:v>40960</x:v>
      </x:c>
      <x:c r="H67" s="32" t="str">
        <x:v>TP</x:v>
      </x:c>
      <x:c r="I67" s="32" t="n">
        <x:f>'Prefill'!$P$12</x:f>
        <x:v>8</x:v>
      </x:c>
      <x:c r="J67" s="33" t="n">
        <x:f>E67*F67*G67/1073741824</x:f>
        <x:v>0.00011444091796875</x:v>
      </x:c>
      <x:c r="K67" s="33" t="n">
        <x:f>J67/I67</x:f>
        <x:v>0.00001430511474609375</x:v>
      </x:c>
      <x:c r="L67" s="29"/>
      <x:c r="M67" s="29"/>
      <x:c r="N67" s="29"/>
      <x:c r="O67" s="29"/>
      <x:c r="P67" s="29"/>
    </x:row>
    <x:row r="68" ht="30" customHeight="1">
      <x:c r="A68" s="29" t="str">
        <x:v>DSpark</x:v>
      </x:c>
      <x:c r="B68" s="40" t="str">
        <x:v>mtp.N.attn.q_norm.weight</x:v>
      </x:c>
      <x:c r="C68" s="29" t="str">
        <x:v>[1280]</x:v>
      </x:c>
      <x:c r="D68" s="29" t="str">
        <x:v>BF16</x:v>
      </x:c>
      <x:c r="E68" s="31" t="n">
        <x:v>2</x:v>
      </x:c>
      <x:c r="F68" s="32" t="n">
        <x:v>3</x:v>
      </x:c>
      <x:c r="G68" s="32" t="n">
        <x:v>1280</x:v>
      </x:c>
      <x:c r="H68" s="32" t="str">
        <x:v>Replicated</x:v>
      </x:c>
      <x:c r="I68" s="32" t="n">
        <x:f>1</x:f>
        <x:v>1</x:v>
      </x:c>
      <x:c r="J68" s="33" t="n">
        <x:f>E68*F68*G68/1073741824</x:f>
        <x:v>0.000007152557373046875</x:v>
      </x:c>
      <x:c r="K68" s="33" t="n">
        <x:f>J68/I68</x:f>
        <x:v>0.000007152557373046875</x:v>
      </x:c>
      <x:c r="L68" s="29"/>
      <x:c r="M68" s="29"/>
      <x:c r="N68" s="29"/>
      <x:c r="O68" s="29"/>
      <x:c r="P68" s="29"/>
    </x:row>
    <x:row r="69" ht="30" customHeight="1">
      <x:c r="A69" s="29" t="str">
        <x:v>DSpark</x:v>
      </x:c>
      <x:c r="B69" s="40" t="str">
        <x:v>mtp.N.attn.kv_norm.weight</x:v>
      </x:c>
      <x:c r="C69" s="29" t="str">
        <x:v>[512]</x:v>
      </x:c>
      <x:c r="D69" s="29" t="str">
        <x:v>BF16</x:v>
      </x:c>
      <x:c r="E69" s="31" t="n">
        <x:v>2</x:v>
      </x:c>
      <x:c r="F69" s="32" t="n">
        <x:v>3</x:v>
      </x:c>
      <x:c r="G69" s="32" t="n">
        <x:v>512</x:v>
      </x:c>
      <x:c r="H69" s="32" t="str">
        <x:v>Replicated</x:v>
      </x:c>
      <x:c r="I69" s="32" t="n">
        <x:f>1</x:f>
        <x:v>1</x:v>
      </x:c>
      <x:c r="J69" s="33" t="n">
        <x:f>E69*F69*G69/1073741824</x:f>
        <x:v>0.00000286102294921875</x:v>
      </x:c>
      <x:c r="K69" s="33" t="n">
        <x:f>J69/I69</x:f>
        <x:v>0.00000286102294921875</x:v>
      </x:c>
      <x:c r="L69" s="29"/>
      <x:c r="M69" s="29"/>
      <x:c r="N69" s="29"/>
      <x:c r="O69" s="29"/>
      <x:c r="P69" s="29"/>
    </x:row>
    <x:row r="70" ht="30" customHeight="1">
      <x:c r="A70" s="29" t="str">
        <x:v>DSpark</x:v>
      </x:c>
      <x:c r="B70" s="40" t="str">
        <x:v>mtp.N.attn_norm.weight</x:v>
      </x:c>
      <x:c r="C70" s="29" t="str">
        <x:v>[5120]</x:v>
      </x:c>
      <x:c r="D70" s="29" t="str">
        <x:v>BF16</x:v>
      </x:c>
      <x:c r="E70" s="31" t="n">
        <x:v>2</x:v>
      </x:c>
      <x:c r="F70" s="32" t="n">
        <x:v>3</x:v>
      </x:c>
      <x:c r="G70" s="32" t="n">
        <x:v>5120</x:v>
      </x:c>
      <x:c r="H70" s="32" t="str">
        <x:v>Replicated</x:v>
      </x:c>
      <x:c r="I70" s="32" t="n">
        <x:f>1</x:f>
        <x:v>1</x:v>
      </x:c>
      <x:c r="J70" s="33" t="n">
        <x:f>E70*F70*G70/1073741824</x:f>
        <x:v>0.0000286102294921875</x:v>
      </x:c>
      <x:c r="K70" s="33" t="n">
        <x:f>J70/I70</x:f>
        <x:v>0.0000286102294921875</x:v>
      </x:c>
      <x:c r="L70" s="29"/>
      <x:c r="M70" s="29"/>
      <x:c r="N70" s="29"/>
      <x:c r="O70" s="29"/>
      <x:c r="P70" s="29"/>
    </x:row>
    <x:row r="71" ht="30" customHeight="1">
      <x:c r="A71" s="29" t="str">
        <x:v>DSpark</x:v>
      </x:c>
      <x:c r="B71" s="40" t="str">
        <x:v>mtp.N.ffn_norm.weight</x:v>
      </x:c>
      <x:c r="C71" s="29" t="str">
        <x:v>[5120]</x:v>
      </x:c>
      <x:c r="D71" s="29" t="str">
        <x:v>BF16</x:v>
      </x:c>
      <x:c r="E71" s="31" t="n">
        <x:v>2</x:v>
      </x:c>
      <x:c r="F71" s="32" t="n">
        <x:v>3</x:v>
      </x:c>
      <x:c r="G71" s="32" t="n">
        <x:v>5120</x:v>
      </x:c>
      <x:c r="H71" s="32" t="str">
        <x:v>Replicated</x:v>
      </x:c>
      <x:c r="I71" s="32" t="n">
        <x:f>1</x:f>
        <x:v>1</x:v>
      </x:c>
      <x:c r="J71" s="33" t="n">
        <x:f>E71*F71*G71/1073741824</x:f>
        <x:v>0.0000286102294921875</x:v>
      </x:c>
      <x:c r="K71" s="33" t="n">
        <x:f>J71/I71</x:f>
        <x:v>0.0000286102294921875</x:v>
      </x:c>
      <x:c r="L71" s="29"/>
      <x:c r="M71" s="29"/>
      <x:c r="N71" s="29"/>
      <x:c r="O71" s="29"/>
      <x:c r="P71" s="29"/>
    </x:row>
    <x:row r="72" ht="30" customHeight="1">
      <x:c r="A72" s="29" t="str">
        <x:v>DSpark Router</x:v>
      </x:c>
      <x:c r="B72" s="40" t="str">
        <x:v>mtp.N.ffn.gate.weight</x:v>
      </x:c>
      <x:c r="C72" s="29" t="str">
        <x:v>[128, 5120]</x:v>
      </x:c>
      <x:c r="D72" s="29" t="str">
        <x:v>BF16</x:v>
      </x:c>
      <x:c r="E72" s="31" t="n">
        <x:v>2</x:v>
      </x:c>
      <x:c r="F72" s="32" t="n">
        <x:v>3</x:v>
      </x:c>
      <x:c r="G72" s="32" t="n">
        <x:v>655360</x:v>
      </x:c>
      <x:c r="H72" s="32" t="str">
        <x:v>Replicated</x:v>
      </x:c>
      <x:c r="I72" s="32" t="n">
        <x:f>1</x:f>
        <x:v>1</x:v>
      </x:c>
      <x:c r="J72" s="33" t="n">
        <x:f>E72*F72*G72/1073741824</x:f>
        <x:v>0.003662109375</x:v>
      </x:c>
      <x:c r="K72" s="33" t="n">
        <x:f>J72/I72</x:f>
        <x:v>0.003662109375</x:v>
      </x:c>
      <x:c r="L72" s="29"/>
      <x:c r="M72" s="29"/>
      <x:c r="N72" s="29"/>
      <x:c r="O72" s="29"/>
      <x:c r="P72" s="29"/>
    </x:row>
    <x:row r="73" ht="30" customHeight="1">
      <x:c r="A73" s="29" t="str">
        <x:v>DSpark Router</x:v>
      </x:c>
      <x:c r="B73" s="40" t="str">
        <x:v>mtp.N.ffn.gate.bias</x:v>
      </x:c>
      <x:c r="C73" s="29" t="str">
        <x:v>[128]</x:v>
      </x:c>
      <x:c r="D73" s="29" t="str">
        <x:v>F32</x:v>
      </x:c>
      <x:c r="E73" s="31" t="n">
        <x:v>4</x:v>
      </x:c>
      <x:c r="F73" s="32" t="n">
        <x:v>3</x:v>
      </x:c>
      <x:c r="G73" s="32" t="n">
        <x:v>128</x:v>
      </x:c>
      <x:c r="H73" s="32" t="str">
        <x:v>Replicated</x:v>
      </x:c>
      <x:c r="I73" s="32" t="n">
        <x:f>1</x:f>
        <x:v>1</x:v>
      </x:c>
      <x:c r="J73" s="33" t="n">
        <x:f>E73*F73*G73/1073741824</x:f>
        <x:v>0.000001430511474609375</x:v>
      </x:c>
      <x:c r="K73" s="33" t="n">
        <x:f>J73/I73</x:f>
        <x:v>0.000001430511474609375</x:v>
      </x:c>
      <x:c r="L73" s="29"/>
      <x:c r="M73" s="29"/>
      <x:c r="N73" s="29"/>
      <x:c r="O73" s="29"/>
      <x:c r="P73" s="29"/>
    </x:row>
    <x:row r="74" ht="30" customHeight="1">
      <x:c r="A74" s="29" t="str">
        <x:v>DSpark Router</x:v>
      </x:c>
      <x:c r="B74" s="40" t="str">
        <x:v>mtp.N.ffn.gate.bias_vl</x:v>
      </x:c>
      <x:c r="C74" s="29" t="str">
        <x:v>[128]</x:v>
      </x:c>
      <x:c r="D74" s="29" t="str">
        <x:v>F32</x:v>
      </x:c>
      <x:c r="E74" s="31" t="n">
        <x:v>4</x:v>
      </x:c>
      <x:c r="F74" s="32" t="n">
        <x:v>3</x:v>
      </x:c>
      <x:c r="G74" s="32" t="n">
        <x:v>128</x:v>
      </x:c>
      <x:c r="H74" s="32" t="str">
        <x:v>Replicated</x:v>
      </x:c>
      <x:c r="I74" s="32" t="n">
        <x:f>1</x:f>
        <x:v>1</x:v>
      </x:c>
      <x:c r="J74" s="33" t="n">
        <x:f>E74*F74*G74/1073741824</x:f>
        <x:v>0.000001430511474609375</x:v>
      </x:c>
      <x:c r="K74" s="33" t="n">
        <x:f>J74/I74</x:f>
        <x:v>0.000001430511474609375</x:v>
      </x:c>
      <x:c r="L74" s="29"/>
      <x:c r="M74" s="29"/>
      <x:c r="N74" s="29"/>
      <x:c r="O74" s="29"/>
      <x:c r="P74" s="29"/>
    </x:row>
    <x:row r="75" ht="30" customHeight="1">
      <x:c r="A75" s="29" t="str">
        <x:v>DSpark Experts</x:v>
      </x:c>
      <x:c r="B75" s="40" t="str">
        <x:v>mtp.N.ffn.experts.N.w1.weight</x:v>
      </x:c>
      <x:c r="C75" s="29" t="str">
        <x:v>[2304, 5120]</x:v>
      </x:c>
      <x:c r="D75" s="29" t="str">
        <x:v>FP4 E2M1</x:v>
      </x:c>
      <x:c r="E75" s="31" t="n">
        <x:v>0.5</x:v>
      </x:c>
      <x:c r="F75" s="32" t="n">
        <x:v>384</x:v>
      </x:c>
      <x:c r="G75" s="32" t="n">
        <x:v>11796480</x:v>
      </x:c>
      <x:c r="H75" s="32" t="str">
        <x:v>EP</x:v>
      </x:c>
      <x:c r="I75" s="32" t="n">
        <x:f>'Prefill'!$P$14</x:f>
        <x:v>32</x:v>
      </x:c>
      <x:c r="J75" s="33" t="n">
        <x:f>E75*F75*G75/1073741824</x:f>
        <x:v>2.109375</x:v>
      </x:c>
      <x:c r="K75" s="33" t="n">
        <x:f>J75/I75</x:f>
        <x:v>0.06591796875</x:v>
      </x:c>
      <x:c r="L75" s="29"/>
      <x:c r="M75" s="29"/>
      <x:c r="N75" s="29"/>
      <x:c r="O75" s="29"/>
      <x:c r="P75" s="29"/>
    </x:row>
    <x:row r="76" ht="30" customHeight="1">
      <x:c r="A76" s="29" t="str">
        <x:v>DSpark Experts</x:v>
      </x:c>
      <x:c r="B76" s="40" t="str">
        <x:v>mtp.N.ffn.experts.N.w1.scale</x:v>
      </x:c>
      <x:c r="C76" s="29" t="str">
        <x:v>[2304, 160]</x:v>
      </x:c>
      <x:c r="D76" s="29" t="str">
        <x:v>E8M0</x:v>
      </x:c>
      <x:c r="E76" s="31" t="n">
        <x:v>1</x:v>
      </x:c>
      <x:c r="F76" s="32" t="n">
        <x:v>384</x:v>
      </x:c>
      <x:c r="G76" s="32" t="n">
        <x:v>368640</x:v>
      </x:c>
      <x:c r="H76" s="32" t="str">
        <x:v>EP</x:v>
      </x:c>
      <x:c r="I76" s="32" t="n">
        <x:f>'Prefill'!$P$14</x:f>
        <x:v>32</x:v>
      </x:c>
      <x:c r="J76" s="33" t="n">
        <x:f>E76*F76*G76/1073741824</x:f>
        <x:v>0.1318359375</x:v>
      </x:c>
      <x:c r="K76" s="33" t="n">
        <x:f>J76/I76</x:f>
        <x:v>0.004119873046875</x:v>
      </x:c>
      <x:c r="L76" s="29"/>
      <x:c r="M76" s="29"/>
      <x:c r="N76" s="29"/>
      <x:c r="O76" s="29"/>
      <x:c r="P76" s="29"/>
    </x:row>
    <x:row r="77" ht="30" customHeight="1">
      <x:c r="A77" s="29" t="str">
        <x:v>DSpark Shared</x:v>
      </x:c>
      <x:c r="B77" s="40" t="str">
        <x:v>mtp.N.ffn.shared_experts.w1.weight</x:v>
      </x:c>
      <x:c r="C77" s="29" t="str">
        <x:v>[2304, 5120]</x:v>
      </x:c>
      <x:c r="D77" s="29" t="str">
        <x:v>FP8 E4M3</x:v>
      </x:c>
      <x:c r="E77" s="31" t="n">
        <x:v>1</x:v>
      </x:c>
      <x:c r="F77" s="32" t="n">
        <x:v>3</x:v>
      </x:c>
      <x:c r="G77" s="32" t="n">
        <x:v>11796480</x:v>
      </x:c>
      <x:c r="H77" s="32" t="str">
        <x:v>SP 复制 / 非 SP TP</x:v>
      </x:c>
      <x:c r="I77" s="32" t="n">
        <x:f>IF('Prefill'!$P$13&lt;&gt;0,1,'Prefill'!$P$12)</x:f>
        <x:v>1</x:v>
      </x:c>
      <x:c r="J77" s="33" t="n">
        <x:f>E77*F77*G77/1073741824</x:f>
        <x:v>0.032958984375</x:v>
      </x:c>
      <x:c r="K77" s="33" t="n">
        <x:f>J77/I77</x:f>
        <x:v>0.032958984375</x:v>
      </x:c>
      <x:c r="L77" s="29"/>
      <x:c r="M77" s="29"/>
      <x:c r="N77" s="29"/>
      <x:c r="O77" s="29"/>
      <x:c r="P77" s="29"/>
    </x:row>
    <x:row r="78" ht="30" customHeight="1">
      <x:c r="A78" s="29" t="str">
        <x:v>DSpark Shared</x:v>
      </x:c>
      <x:c r="B78" s="40" t="str">
        <x:v>mtp.N.ffn.shared_experts.w1.scale</x:v>
      </x:c>
      <x:c r="C78" s="29" t="str">
        <x:v>[72, 160]</x:v>
      </x:c>
      <x:c r="D78" s="29" t="str">
        <x:v>E8M0</x:v>
      </x:c>
      <x:c r="E78" s="31" t="n">
        <x:v>1</x:v>
      </x:c>
      <x:c r="F78" s="32" t="n">
        <x:v>3</x:v>
      </x:c>
      <x:c r="G78" s="32" t="n">
        <x:v>11520</x:v>
      </x:c>
      <x:c r="H78" s="32" t="str">
        <x:v>SP 复制 / 非 SP TP</x:v>
      </x:c>
      <x:c r="I78" s="32" t="n">
        <x:f>IF('Prefill'!$P$13&lt;&gt;0,1,'Prefill'!$P$12)</x:f>
        <x:v>1</x:v>
      </x:c>
      <x:c r="J78" s="33" t="n">
        <x:f>E78*F78*G78/1073741824</x:f>
        <x:v>0.00003218650817871094</x:v>
      </x:c>
      <x:c r="K78" s="33" t="n">
        <x:f>J78/I78</x:f>
        <x:v>0.00003218650817871094</x:v>
      </x:c>
      <x:c r="L78" s="29"/>
      <x:c r="M78" s="29"/>
      <x:c r="N78" s="29"/>
      <x:c r="O78" s="29"/>
      <x:c r="P78" s="29"/>
    </x:row>
    <x:row r="79" ht="30" customHeight="1">
      <x:c r="A79" s="29" t="str">
        <x:v>DSpark Experts</x:v>
      </x:c>
      <x:c r="B79" s="40" t="str">
        <x:v>mtp.N.ffn.experts.N.w3.weight</x:v>
      </x:c>
      <x:c r="C79" s="29" t="str">
        <x:v>[2304, 5120]</x:v>
      </x:c>
      <x:c r="D79" s="29" t="str">
        <x:v>FP4 E2M1</x:v>
      </x:c>
      <x:c r="E79" s="31" t="n">
        <x:v>0.5</x:v>
      </x:c>
      <x:c r="F79" s="32" t="n">
        <x:v>384</x:v>
      </x:c>
      <x:c r="G79" s="32" t="n">
        <x:v>11796480</x:v>
      </x:c>
      <x:c r="H79" s="32" t="str">
        <x:v>EP</x:v>
      </x:c>
      <x:c r="I79" s="32" t="n">
        <x:f>'Prefill'!$P$14</x:f>
        <x:v>32</x:v>
      </x:c>
      <x:c r="J79" s="33" t="n">
        <x:f>E79*F79*G79/1073741824</x:f>
        <x:v>2.109375</x:v>
      </x:c>
      <x:c r="K79" s="33" t="n">
        <x:f>J79/I79</x:f>
        <x:v>0.06591796875</x:v>
      </x:c>
      <x:c r="L79" s="29"/>
      <x:c r="M79" s="29"/>
      <x:c r="N79" s="29"/>
      <x:c r="O79" s="29"/>
      <x:c r="P79" s="29"/>
    </x:row>
    <x:row r="80" ht="30" customHeight="1">
      <x:c r="A80" s="29" t="str">
        <x:v>DSpark Experts</x:v>
      </x:c>
      <x:c r="B80" s="40" t="str">
        <x:v>mtp.N.ffn.experts.N.w3.scale</x:v>
      </x:c>
      <x:c r="C80" s="29" t="str">
        <x:v>[2304, 160]</x:v>
      </x:c>
      <x:c r="D80" s="29" t="str">
        <x:v>E8M0</x:v>
      </x:c>
      <x:c r="E80" s="31" t="n">
        <x:v>1</x:v>
      </x:c>
      <x:c r="F80" s="32" t="n">
        <x:v>384</x:v>
      </x:c>
      <x:c r="G80" s="32" t="n">
        <x:v>368640</x:v>
      </x:c>
      <x:c r="H80" s="32" t="str">
        <x:v>EP</x:v>
      </x:c>
      <x:c r="I80" s="32" t="n">
        <x:f>'Prefill'!$P$14</x:f>
        <x:v>32</x:v>
      </x:c>
      <x:c r="J80" s="33" t="n">
        <x:f>E80*F80*G80/1073741824</x:f>
        <x:v>0.1318359375</x:v>
      </x:c>
      <x:c r="K80" s="33" t="n">
        <x:f>J80/I80</x:f>
        <x:v>0.004119873046875</x:v>
      </x:c>
      <x:c r="L80" s="29"/>
      <x:c r="M80" s="29"/>
      <x:c r="N80" s="29"/>
      <x:c r="O80" s="29"/>
      <x:c r="P80" s="29"/>
    </x:row>
    <x:row r="81" ht="30" customHeight="1">
      <x:c r="A81" s="29" t="str">
        <x:v>DSpark Shared</x:v>
      </x:c>
      <x:c r="B81" s="40" t="str">
        <x:v>mtp.N.ffn.shared_experts.w3.weight</x:v>
      </x:c>
      <x:c r="C81" s="29" t="str">
        <x:v>[2304, 5120]</x:v>
      </x:c>
      <x:c r="D81" s="29" t="str">
        <x:v>FP8 E4M3</x:v>
      </x:c>
      <x:c r="E81" s="31" t="n">
        <x:v>1</x:v>
      </x:c>
      <x:c r="F81" s="32" t="n">
        <x:v>3</x:v>
      </x:c>
      <x:c r="G81" s="32" t="n">
        <x:v>11796480</x:v>
      </x:c>
      <x:c r="H81" s="32" t="str">
        <x:v>SP 复制 / 非 SP TP</x:v>
      </x:c>
      <x:c r="I81" s="32" t="n">
        <x:f>IF('Prefill'!$P$13&lt;&gt;0,1,'Prefill'!$P$12)</x:f>
        <x:v>1</x:v>
      </x:c>
      <x:c r="J81" s="33" t="n">
        <x:f>E81*F81*G81/1073741824</x:f>
        <x:v>0.032958984375</x:v>
      </x:c>
      <x:c r="K81" s="33" t="n">
        <x:f>J81/I81</x:f>
        <x:v>0.032958984375</x:v>
      </x:c>
      <x:c r="L81" s="29"/>
      <x:c r="M81" s="29"/>
      <x:c r="N81" s="29"/>
      <x:c r="O81" s="29"/>
      <x:c r="P81" s="29"/>
    </x:row>
    <x:row r="82" ht="30" customHeight="1">
      <x:c r="A82" s="29" t="str">
        <x:v>DSpark Shared</x:v>
      </x:c>
      <x:c r="B82" s="40" t="str">
        <x:v>mtp.N.ffn.shared_experts.w3.scale</x:v>
      </x:c>
      <x:c r="C82" s="29" t="str">
        <x:v>[72, 160]</x:v>
      </x:c>
      <x:c r="D82" s="29" t="str">
        <x:v>E8M0</x:v>
      </x:c>
      <x:c r="E82" s="31" t="n">
        <x:v>1</x:v>
      </x:c>
      <x:c r="F82" s="32" t="n">
        <x:v>3</x:v>
      </x:c>
      <x:c r="G82" s="32" t="n">
        <x:v>11520</x:v>
      </x:c>
      <x:c r="H82" s="32" t="str">
        <x:v>SP 复制 / 非 SP TP</x:v>
      </x:c>
      <x:c r="I82" s="32" t="n">
        <x:f>IF('Prefill'!$P$13&lt;&gt;0,1,'Prefill'!$P$12)</x:f>
        <x:v>1</x:v>
      </x:c>
      <x:c r="J82" s="33" t="n">
        <x:f>E82*F82*G82/1073741824</x:f>
        <x:v>0.00003218650817871094</x:v>
      </x:c>
      <x:c r="K82" s="33" t="n">
        <x:f>J82/I82</x:f>
        <x:v>0.00003218650817871094</x:v>
      </x:c>
      <x:c r="L82" s="29"/>
      <x:c r="M82" s="29"/>
      <x:c r="N82" s="29"/>
      <x:c r="O82" s="29"/>
      <x:c r="P82" s="29"/>
    </x:row>
    <x:row r="83" ht="30" customHeight="1">
      <x:c r="A83" s="29" t="str">
        <x:v>DSpark Experts</x:v>
      </x:c>
      <x:c r="B83" s="40" t="str">
        <x:v>mtp.N.ffn.experts.N.w2.weight</x:v>
      </x:c>
      <x:c r="C83" s="29" t="str">
        <x:v>[5120, 2304]</x:v>
      </x:c>
      <x:c r="D83" s="29" t="str">
        <x:v>FP4 E2M1</x:v>
      </x:c>
      <x:c r="E83" s="31" t="n">
        <x:v>0.5</x:v>
      </x:c>
      <x:c r="F83" s="32" t="n">
        <x:v>384</x:v>
      </x:c>
      <x:c r="G83" s="32" t="n">
        <x:v>11796480</x:v>
      </x:c>
      <x:c r="H83" s="32" t="str">
        <x:v>EP</x:v>
      </x:c>
      <x:c r="I83" s="32" t="n">
        <x:f>'Prefill'!$P$14</x:f>
        <x:v>32</x:v>
      </x:c>
      <x:c r="J83" s="33" t="n">
        <x:f>E83*F83*G83/1073741824</x:f>
        <x:v>2.109375</x:v>
      </x:c>
      <x:c r="K83" s="33" t="n">
        <x:f>J83/I83</x:f>
        <x:v>0.06591796875</x:v>
      </x:c>
      <x:c r="L83" s="29"/>
      <x:c r="M83" s="29"/>
      <x:c r="N83" s="29"/>
      <x:c r="O83" s="29"/>
      <x:c r="P83" s="29"/>
    </x:row>
    <x:row r="84" ht="30" customHeight="1">
      <x:c r="A84" s="29" t="str">
        <x:v>DSpark Experts</x:v>
      </x:c>
      <x:c r="B84" s="40" t="str">
        <x:v>mtp.N.ffn.experts.N.w2.scale</x:v>
      </x:c>
      <x:c r="C84" s="29" t="str">
        <x:v>[5120, 72]</x:v>
      </x:c>
      <x:c r="D84" s="29" t="str">
        <x:v>E8M0</x:v>
      </x:c>
      <x:c r="E84" s="31" t="n">
        <x:v>1</x:v>
      </x:c>
      <x:c r="F84" s="32" t="n">
        <x:v>384</x:v>
      </x:c>
      <x:c r="G84" s="32" t="n">
        <x:v>368640</x:v>
      </x:c>
      <x:c r="H84" s="32" t="str">
        <x:v>EP</x:v>
      </x:c>
      <x:c r="I84" s="32" t="n">
        <x:f>'Prefill'!$P$14</x:f>
        <x:v>32</x:v>
      </x:c>
      <x:c r="J84" s="33" t="n">
        <x:f>E84*F84*G84/1073741824</x:f>
        <x:v>0.1318359375</x:v>
      </x:c>
      <x:c r="K84" s="33" t="n">
        <x:f>J84/I84</x:f>
        <x:v>0.004119873046875</x:v>
      </x:c>
      <x:c r="L84" s="29"/>
      <x:c r="M84" s="29"/>
      <x:c r="N84" s="29"/>
      <x:c r="O84" s="29"/>
      <x:c r="P84" s="29"/>
    </x:row>
    <x:row r="85" ht="30" customHeight="1">
      <x:c r="A85" s="29" t="str">
        <x:v>DSpark Shared</x:v>
      </x:c>
      <x:c r="B85" s="40" t="str">
        <x:v>mtp.N.ffn.shared_experts.w2.weight</x:v>
      </x:c>
      <x:c r="C85" s="29" t="str">
        <x:v>[5120, 2304]</x:v>
      </x:c>
      <x:c r="D85" s="29" t="str">
        <x:v>FP8 E4M3</x:v>
      </x:c>
      <x:c r="E85" s="31" t="n">
        <x:v>1</x:v>
      </x:c>
      <x:c r="F85" s="32" t="n">
        <x:v>3</x:v>
      </x:c>
      <x:c r="G85" s="32" t="n">
        <x:v>11796480</x:v>
      </x:c>
      <x:c r="H85" s="32" t="str">
        <x:v>SP 复制 / 非 SP TP</x:v>
      </x:c>
      <x:c r="I85" s="32" t="n">
        <x:f>IF('Prefill'!$P$13&lt;&gt;0,1,'Prefill'!$P$12)</x:f>
        <x:v>1</x:v>
      </x:c>
      <x:c r="J85" s="33" t="n">
        <x:f>E85*F85*G85/1073741824</x:f>
        <x:v>0.032958984375</x:v>
      </x:c>
      <x:c r="K85" s="33" t="n">
        <x:f>J85/I85</x:f>
        <x:v>0.032958984375</x:v>
      </x:c>
      <x:c r="L85" s="29"/>
      <x:c r="M85" s="29"/>
      <x:c r="N85" s="29"/>
      <x:c r="O85" s="29"/>
      <x:c r="P85" s="29"/>
    </x:row>
    <x:row r="86" ht="30" customHeight="1">
      <x:c r="A86" s="29" t="str">
        <x:v>DSpark Shared</x:v>
      </x:c>
      <x:c r="B86" s="40" t="str">
        <x:v>mtp.N.ffn.shared_experts.w2.scale</x:v>
      </x:c>
      <x:c r="C86" s="29" t="str">
        <x:v>[160, 72]</x:v>
      </x:c>
      <x:c r="D86" s="29" t="str">
        <x:v>E8M0</x:v>
      </x:c>
      <x:c r="E86" s="31" t="n">
        <x:v>1</x:v>
      </x:c>
      <x:c r="F86" s="32" t="n">
        <x:v>3</x:v>
      </x:c>
      <x:c r="G86" s="32" t="n">
        <x:v>11520</x:v>
      </x:c>
      <x:c r="H86" s="32" t="str">
        <x:v>SP 复制 / 非 SP TP</x:v>
      </x:c>
      <x:c r="I86" s="32" t="n">
        <x:f>IF('Prefill'!$P$13&lt;&gt;0,1,'Prefill'!$P$12)</x:f>
        <x:v>1</x:v>
      </x:c>
      <x:c r="J86" s="33" t="n">
        <x:f>E86*F86*G86/1073741824</x:f>
        <x:v>0.00003218650817871094</x:v>
      </x:c>
      <x:c r="K86" s="33" t="n">
        <x:f>J86/I86</x:f>
        <x:v>0.00003218650817871094</x:v>
      </x:c>
      <x:c r="L86" s="29"/>
      <x:c r="M86" s="29"/>
      <x:c r="N86" s="29"/>
      <x:c r="O86" s="29"/>
      <x:c r="P86" s="29"/>
    </x:row>
    <x:row r="87" ht="30" customHeight="1">
      <x:c r="A87" s="29" t="str">
        <x:v>DSpark HC</x:v>
      </x:c>
      <x:c r="B87" s="40" t="str">
        <x:v>mtp.N.hc_attn_fn</x:v>
      </x:c>
      <x:c r="C87" s="29" t="str">
        <x:v>[24, 20480]</x:v>
      </x:c>
      <x:c r="D87" s="29" t="str">
        <x:v>F32</x:v>
      </x:c>
      <x:c r="E87" s="31" t="n">
        <x:v>4</x:v>
      </x:c>
      <x:c r="F87" s="32" t="n">
        <x:v>3</x:v>
      </x:c>
      <x:c r="G87" s="32" t="n">
        <x:v>491520</x:v>
      </x:c>
      <x:c r="H87" s="32" t="str">
        <x:v>Replicated</x:v>
      </x:c>
      <x:c r="I87" s="32" t="n">
        <x:f>1</x:f>
        <x:v>1</x:v>
      </x:c>
      <x:c r="J87" s="33" t="n">
        <x:f>E87*F87*G87/1073741824</x:f>
        <x:v>0.0054931640625</x:v>
      </x:c>
      <x:c r="K87" s="33" t="n">
        <x:f>J87/I87</x:f>
        <x:v>0.0054931640625</x:v>
      </x:c>
      <x:c r="L87" s="29"/>
      <x:c r="M87" s="29"/>
      <x:c r="N87" s="29"/>
      <x:c r="O87" s="29"/>
      <x:c r="P87" s="29"/>
    </x:row>
    <x:row r="88" ht="30" customHeight="1">
      <x:c r="A88" s="29" t="str">
        <x:v>DSpark HC</x:v>
      </x:c>
      <x:c r="B88" s="40" t="str">
        <x:v>mtp.N.hc_attn_base</x:v>
      </x:c>
      <x:c r="C88" s="29" t="str">
        <x:v>[24]</x:v>
      </x:c>
      <x:c r="D88" s="29" t="str">
        <x:v>F32</x:v>
      </x:c>
      <x:c r="E88" s="31" t="n">
        <x:v>4</x:v>
      </x:c>
      <x:c r="F88" s="32" t="n">
        <x:v>3</x:v>
      </x:c>
      <x:c r="G88" s="32" t="n">
        <x:v>24</x:v>
      </x:c>
      <x:c r="H88" s="32" t="str">
        <x:v>Replicated</x:v>
      </x:c>
      <x:c r="I88" s="32" t="n">
        <x:f>1</x:f>
        <x:v>1</x:v>
      </x:c>
      <x:c r="J88" s="33" t="n">
        <x:f>E88*F88*G88/1073741824</x:f>
        <x:v>2.682209014892578e-7</x:v>
      </x:c>
      <x:c r="K88" s="33" t="n">
        <x:f>J88/I88</x:f>
        <x:v>2.682209014892578e-7</x:v>
      </x:c>
      <x:c r="L88" s="29"/>
      <x:c r="M88" s="29"/>
      <x:c r="N88" s="29"/>
      <x:c r="O88" s="29"/>
      <x:c r="P88" s="29"/>
    </x:row>
    <x:row r="89" ht="30" customHeight="1">
      <x:c r="A89" s="29" t="str">
        <x:v>DSpark HC</x:v>
      </x:c>
      <x:c r="B89" s="40" t="str">
        <x:v>mtp.N.hc_attn_scale</x:v>
      </x:c>
      <x:c r="C89" s="29" t="str">
        <x:v>[3]</x:v>
      </x:c>
      <x:c r="D89" s="29" t="str">
        <x:v>F32</x:v>
      </x:c>
      <x:c r="E89" s="31" t="n">
        <x:v>4</x:v>
      </x:c>
      <x:c r="F89" s="32" t="n">
        <x:v>3</x:v>
      </x:c>
      <x:c r="G89" s="32" t="n">
        <x:v>3</x:v>
      </x:c>
      <x:c r="H89" s="32" t="str">
        <x:v>Replicated</x:v>
      </x:c>
      <x:c r="I89" s="32" t="n">
        <x:f>1</x:f>
        <x:v>1</x:v>
      </x:c>
      <x:c r="J89" s="33" t="n">
        <x:f>E89*F89*G89/1073741824</x:f>
        <x:v>3.3527612686157227e-8</x:v>
      </x:c>
      <x:c r="K89" s="33" t="n">
        <x:f>J89/I89</x:f>
        <x:v>3.3527612686157227e-8</x:v>
      </x:c>
      <x:c r="L89" s="29"/>
      <x:c r="M89" s="29"/>
      <x:c r="N89" s="29"/>
      <x:c r="O89" s="29"/>
      <x:c r="P89" s="29"/>
    </x:row>
    <x:row r="90" ht="30" customHeight="1">
      <x:c r="A90" s="29" t="str">
        <x:v>DSpark HC</x:v>
      </x:c>
      <x:c r="B90" s="40" t="str">
        <x:v>mtp.N.hc_ffn_fn</x:v>
      </x:c>
      <x:c r="C90" s="29" t="str">
        <x:v>[24, 20480]</x:v>
      </x:c>
      <x:c r="D90" s="29" t="str">
        <x:v>F32</x:v>
      </x:c>
      <x:c r="E90" s="31" t="n">
        <x:v>4</x:v>
      </x:c>
      <x:c r="F90" s="32" t="n">
        <x:v>3</x:v>
      </x:c>
      <x:c r="G90" s="32" t="n">
        <x:v>491520</x:v>
      </x:c>
      <x:c r="H90" s="32" t="str">
        <x:v>Replicated</x:v>
      </x:c>
      <x:c r="I90" s="32" t="n">
        <x:f>1</x:f>
        <x:v>1</x:v>
      </x:c>
      <x:c r="J90" s="33" t="n">
        <x:f>E90*F90*G90/1073741824</x:f>
        <x:v>0.0054931640625</x:v>
      </x:c>
      <x:c r="K90" s="33" t="n">
        <x:f>J90/I90</x:f>
        <x:v>0.0054931640625</x:v>
      </x:c>
      <x:c r="L90" s="29"/>
      <x:c r="M90" s="29"/>
      <x:c r="N90" s="29"/>
      <x:c r="O90" s="29"/>
      <x:c r="P90" s="29"/>
    </x:row>
    <x:row r="91" ht="30" customHeight="1">
      <x:c r="A91" s="29" t="str">
        <x:v>DSpark HC</x:v>
      </x:c>
      <x:c r="B91" s="40" t="str">
        <x:v>mtp.N.hc_ffn_base</x:v>
      </x:c>
      <x:c r="C91" s="29" t="str">
        <x:v>[24]</x:v>
      </x:c>
      <x:c r="D91" s="29" t="str">
        <x:v>F32</x:v>
      </x:c>
      <x:c r="E91" s="31" t="n">
        <x:v>4</x:v>
      </x:c>
      <x:c r="F91" s="32" t="n">
        <x:v>3</x:v>
      </x:c>
      <x:c r="G91" s="32" t="n">
        <x:v>24</x:v>
      </x:c>
      <x:c r="H91" s="32" t="str">
        <x:v>Replicated</x:v>
      </x:c>
      <x:c r="I91" s="32" t="n">
        <x:f>1</x:f>
        <x:v>1</x:v>
      </x:c>
      <x:c r="J91" s="33" t="n">
        <x:f>E91*F91*G91/1073741824</x:f>
        <x:v>2.682209014892578e-7</x:v>
      </x:c>
      <x:c r="K91" s="33" t="n">
        <x:f>J91/I91</x:f>
        <x:v>2.682209014892578e-7</x:v>
      </x:c>
      <x:c r="L91" s="29"/>
      <x:c r="M91" s="29"/>
      <x:c r="N91" s="29"/>
      <x:c r="O91" s="29"/>
      <x:c r="P91" s="29"/>
    </x:row>
    <x:row r="92" ht="30" customHeight="1">
      <x:c r="A92" s="29" t="str">
        <x:v>DSpark HC</x:v>
      </x:c>
      <x:c r="B92" s="40" t="str">
        <x:v>mtp.N.hc_ffn_scale</x:v>
      </x:c>
      <x:c r="C92" s="29" t="str">
        <x:v>[3]</x:v>
      </x:c>
      <x:c r="D92" s="29" t="str">
        <x:v>F32</x:v>
      </x:c>
      <x:c r="E92" s="31" t="n">
        <x:v>4</x:v>
      </x:c>
      <x:c r="F92" s="32" t="n">
        <x:v>3</x:v>
      </x:c>
      <x:c r="G92" s="32" t="n">
        <x:v>3</x:v>
      </x:c>
      <x:c r="H92" s="32" t="str">
        <x:v>Replicated</x:v>
      </x:c>
      <x:c r="I92" s="32" t="n">
        <x:f>1</x:f>
        <x:v>1</x:v>
      </x:c>
      <x:c r="J92" s="33" t="n">
        <x:f>E92*F92*G92/1073741824</x:f>
        <x:v>3.3527612686157227e-8</x:v>
      </x:c>
      <x:c r="K92" s="33" t="n">
        <x:f>J92/I92</x:f>
        <x:v>3.3527612686157227e-8</x:v>
      </x:c>
      <x:c r="L92" s="29"/>
      <x:c r="M92" s="29"/>
      <x:c r="N92" s="29"/>
      <x:c r="O92" s="29"/>
      <x:c r="P92" s="29"/>
    </x:row>
    <x:row r="93" ht="30" customHeight="1">
      <x:c r="A93" s="29" t="str">
        <x:v>DSpark Input</x:v>
      </x:c>
      <x:c r="B93" s="40" t="str">
        <x:v>mtp.N.main_proj.weight</x:v>
      </x:c>
      <x:c r="C93" s="29" t="str">
        <x:v>[5120, 15360]</x:v>
      </x:c>
      <x:c r="D93" s="29" t="str">
        <x:v>FP8 E4M3</x:v>
      </x:c>
      <x:c r="E93" s="31" t="n">
        <x:v>1</x:v>
      </x:c>
      <x:c r="F93" s="32" t="n">
        <x:v>1</x:v>
      </x:c>
      <x:c r="G93" s="32" t="n">
        <x:v>78643200</x:v>
      </x:c>
      <x:c r="H93" s="32" t="str">
        <x:v>TP</x:v>
      </x:c>
      <x:c r="I93" s="32" t="n">
        <x:f>'Prefill'!$P$12</x:f>
        <x:v>8</x:v>
      </x:c>
      <x:c r="J93" s="33" t="n">
        <x:f>E93*F93*G93/1073741824</x:f>
        <x:v>0.0732421875</x:v>
      </x:c>
      <x:c r="K93" s="33" t="n">
        <x:f>J93/I93</x:f>
        <x:v>0.0091552734375</x:v>
      </x:c>
      <x:c r="L93" s="29"/>
      <x:c r="M93" s="29"/>
      <x:c r="N93" s="29"/>
      <x:c r="O93" s="29"/>
      <x:c r="P93" s="29"/>
    </x:row>
    <x:row r="94" ht="30" customHeight="1">
      <x:c r="A94" s="29" t="str">
        <x:v>DSpark Input</x:v>
      </x:c>
      <x:c r="B94" s="40" t="str">
        <x:v>mtp.N.main_proj.scale</x:v>
      </x:c>
      <x:c r="C94" s="29" t="str">
        <x:v>[160, 480]</x:v>
      </x:c>
      <x:c r="D94" s="29" t="str">
        <x:v>E8M0</x:v>
      </x:c>
      <x:c r="E94" s="31" t="n">
        <x:v>1</x:v>
      </x:c>
      <x:c r="F94" s="32" t="n">
        <x:v>1</x:v>
      </x:c>
      <x:c r="G94" s="32" t="n">
        <x:v>76800</x:v>
      </x:c>
      <x:c r="H94" s="32" t="str">
        <x:v>TP</x:v>
      </x:c>
      <x:c r="I94" s="32" t="n">
        <x:f>'Prefill'!$P$12</x:f>
        <x:v>8</x:v>
      </x:c>
      <x:c r="J94" s="33" t="n">
        <x:f>E94*F94*G94/1073741824</x:f>
        <x:v>0.00007152557373046875</x:v>
      </x:c>
      <x:c r="K94" s="33" t="n">
        <x:f>J94/I94</x:f>
        <x:v>0.000008940696716308594</x:v>
      </x:c>
      <x:c r="L94" s="29"/>
      <x:c r="M94" s="29"/>
      <x:c r="N94" s="29"/>
      <x:c r="O94" s="29"/>
      <x:c r="P94" s="29"/>
    </x:row>
    <x:row r="95" ht="30" customHeight="1">
      <x:c r="A95" s="29" t="str">
        <x:v>DSpark Norm</x:v>
      </x:c>
      <x:c r="B95" s="40" t="str">
        <x:v>mtp.N.main_norm.weight</x:v>
      </x:c>
      <x:c r="C95" s="29" t="str">
        <x:v>[5120]</x:v>
      </x:c>
      <x:c r="D95" s="29" t="str">
        <x:v>BF16</x:v>
      </x:c>
      <x:c r="E95" s="31" t="n">
        <x:v>2</x:v>
      </x:c>
      <x:c r="F95" s="32" t="n">
        <x:v>1</x:v>
      </x:c>
      <x:c r="G95" s="32" t="n">
        <x:v>5120</x:v>
      </x:c>
      <x:c r="H95" s="32" t="str">
        <x:v>Replicated</x:v>
      </x:c>
      <x:c r="I95" s="32" t="n">
        <x:f>1</x:f>
        <x:v>1</x:v>
      </x:c>
      <x:c r="J95" s="33" t="n">
        <x:f>E95*F95*G95/1073741824</x:f>
        <x:v>0.0000095367431640625</x:v>
      </x:c>
      <x:c r="K95" s="33" t="n">
        <x:f>J95/I95</x:f>
        <x:v>0.0000095367431640625</x:v>
      </x:c>
      <x:c r="L95" s="29"/>
      <x:c r="M95" s="29"/>
      <x:c r="N95" s="29"/>
      <x:c r="O95" s="29"/>
      <x:c r="P95" s="29"/>
    </x:row>
    <x:row r="96" ht="30" customHeight="1">
      <x:c r="A96" s="29" t="str">
        <x:v>DSpark Norm</x:v>
      </x:c>
      <x:c r="B96" s="40" t="str">
        <x:v>mtp.N.norm.weight</x:v>
      </x:c>
      <x:c r="C96" s="29" t="str">
        <x:v>[5120]</x:v>
      </x:c>
      <x:c r="D96" s="29" t="str">
        <x:v>BF16</x:v>
      </x:c>
      <x:c r="E96" s="31" t="n">
        <x:v>2</x:v>
      </x:c>
      <x:c r="F96" s="32" t="n">
        <x:v>1</x:v>
      </x:c>
      <x:c r="G96" s="32" t="n">
        <x:v>5120</x:v>
      </x:c>
      <x:c r="H96" s="32" t="str">
        <x:v>Replicated</x:v>
      </x:c>
      <x:c r="I96" s="32" t="n">
        <x:f>1</x:f>
        <x:v>1</x:v>
      </x:c>
      <x:c r="J96" s="33" t="n">
        <x:f>E96*F96*G96/1073741824</x:f>
        <x:v>0.0000095367431640625</x:v>
      </x:c>
      <x:c r="K96" s="33" t="n">
        <x:f>J96/I96</x:f>
        <x:v>0.0000095367431640625</x:v>
      </x:c>
      <x:c r="L96" s="29"/>
      <x:c r="M96" s="29"/>
      <x:c r="N96" s="29"/>
      <x:c r="O96" s="29"/>
      <x:c r="P96" s="29"/>
    </x:row>
    <x:row r="97" ht="30" customHeight="1">
      <x:c r="A97" s="29" t="str">
        <x:v>DSpark Markov</x:v>
      </x:c>
      <x:c r="B97" s="40" t="str">
        <x:v>mtp.N.markov_head.embed.weight</x:v>
      </x:c>
      <x:c r="C97" s="29" t="str">
        <x:v>[129280, 256]</x:v>
      </x:c>
      <x:c r="D97" s="29" t="str">
        <x:v>BF16</x:v>
      </x:c>
      <x:c r="E97" s="31" t="n">
        <x:v>2</x:v>
      </x:c>
      <x:c r="F97" s="32" t="n">
        <x:v>1</x:v>
      </x:c>
      <x:c r="G97" s="32" t="n">
        <x:v>33095680</x:v>
      </x:c>
      <x:c r="H97" s="32" t="str">
        <x:v>Embedding TP</x:v>
      </x:c>
      <x:c r="I97" s="32" t="n">
        <x:f>IF('Prefill'!$P$21&gt;0,'Prefill'!$P$21,'Prefill'!$P$12)</x:f>
        <x:v>8</x:v>
      </x:c>
      <x:c r="J97" s="33" t="n">
        <x:f>E97*F97*G97/1073741824</x:f>
        <x:v>0.0616455078125</x:v>
      </x:c>
      <x:c r="K97" s="33" t="n">
        <x:f>J97/I97</x:f>
        <x:v>0.0077056884765625</x:v>
      </x:c>
      <x:c r="L97" s="29"/>
      <x:c r="M97" s="29"/>
      <x:c r="N97" s="29"/>
      <x:c r="O97" s="29"/>
      <x:c r="P97" s="29"/>
    </x:row>
    <x:row r="98" ht="30" customHeight="1">
      <x:c r="A98" s="29" t="str">
        <x:v>DSpark Markov</x:v>
      </x:c>
      <x:c r="B98" s="40" t="str">
        <x:v>mtp.N.markov_head.head.weight</x:v>
      </x:c>
      <x:c r="C98" s="29" t="str">
        <x:v>[129280, 256]</x:v>
      </x:c>
      <x:c r="D98" s="29" t="str">
        <x:v>BF16</x:v>
      </x:c>
      <x:c r="E98" s="31" t="n">
        <x:v>2</x:v>
      </x:c>
      <x:c r="F98" s="32" t="n">
        <x:v>1</x:v>
      </x:c>
      <x:c r="G98" s="32" t="n">
        <x:v>33095680</x:v>
      </x:c>
      <x:c r="H98" s="32" t="str">
        <x:v>LM Head TP</x:v>
      </x:c>
      <x:c r="I98" s="32" t="n">
        <x:f>IF('Prefill'!$P$20&gt;0,'Prefill'!$P$20,'Prefill'!$P$12)</x:f>
        <x:v>8</x:v>
      </x:c>
      <x:c r="J98" s="33" t="n">
        <x:f>E98*F98*G98/1073741824</x:f>
        <x:v>0.0616455078125</x:v>
      </x:c>
      <x:c r="K98" s="33" t="n">
        <x:f>J98/I98</x:f>
        <x:v>0.0077056884765625</x:v>
      </x:c>
      <x:c r="L98" s="29"/>
      <x:c r="M98" s="29"/>
      <x:c r="N98" s="29"/>
      <x:c r="O98" s="29"/>
      <x:c r="P98" s="29"/>
    </x:row>
    <x:row r="99" ht="30" customHeight="1">
      <x:c r="A99" s="29" t="str">
        <x:v>DSpark Confidence</x:v>
      </x:c>
      <x:c r="B99" s="40" t="str">
        <x:v>mtp.N.confidence_head.proj.weight</x:v>
      </x:c>
      <x:c r="C99" s="29" t="str">
        <x:v>[1, 5376]</x:v>
      </x:c>
      <x:c r="D99" s="29" t="str">
        <x:v>BF16</x:v>
      </x:c>
      <x:c r="E99" s="31" t="n">
        <x:v>2</x:v>
      </x:c>
      <x:c r="F99" s="32" t="n">
        <x:v>1</x:v>
      </x:c>
      <x:c r="G99" s="32" t="n">
        <x:v>5376</x:v>
      </x:c>
      <x:c r="H99" s="32" t="str">
        <x:v>Replicated</x:v>
      </x:c>
      <x:c r="I99" s="32" t="n">
        <x:f>1</x:f>
        <x:v>1</x:v>
      </x:c>
      <x:c r="J99" s="33" t="n">
        <x:f>E99*F99*G99/1073741824</x:f>
        <x:v>0.000010013580322265625</x:v>
      </x:c>
      <x:c r="K99" s="33" t="n">
        <x:f>J99/I99</x:f>
        <x:v>0.000010013580322265625</x:v>
      </x:c>
      <x:c r="L99" s="29"/>
      <x:c r="M99" s="29"/>
      <x:c r="N99" s="29"/>
      <x:c r="O99" s="29"/>
      <x:c r="P99" s="29"/>
    </x:row>
    <x:row r="100" ht="30" customHeight="1">
      <x:c r="A100" s="29" t="str">
        <x:v>Image Tokens</x:v>
      </x:c>
      <x:c r="B100" s="40" t="str">
        <x:v>image_start</x:v>
      </x:c>
      <x:c r="C100" s="29" t="str">
        <x:v>[5120]</x:v>
      </x:c>
      <x:c r="D100" s="29" t="str">
        <x:v>BF16</x:v>
      </x:c>
      <x:c r="E100" s="31" t="n">
        <x:v>2</x:v>
      </x:c>
      <x:c r="F100" s="32" t="n">
        <x:v>1</x:v>
      </x:c>
      <x:c r="G100" s="32" t="n">
        <x:v>5120</x:v>
      </x:c>
      <x:c r="H100" s="32" t="str">
        <x:v>Replicated</x:v>
      </x:c>
      <x:c r="I100" s="32" t="n">
        <x:f>1</x:f>
        <x:v>1</x:v>
      </x:c>
      <x:c r="J100" s="33" t="n">
        <x:f>E100*F100*G100/1073741824</x:f>
        <x:v>0.0000095367431640625</x:v>
      </x:c>
      <x:c r="K100" s="33" t="n">
        <x:f>J100/I100</x:f>
        <x:v>0.0000095367431640625</x:v>
      </x:c>
      <x:c r="L100" s="29"/>
      <x:c r="M100" s="29"/>
      <x:c r="N100" s="29"/>
      <x:c r="O100" s="29"/>
      <x:c r="P100" s="29"/>
    </x:row>
    <x:row r="101" ht="30" customHeight="1">
      <x:c r="A101" s="29" t="str">
        <x:v>Image Tokens</x:v>
      </x:c>
      <x:c r="B101" s="40" t="str">
        <x:v>image_end</x:v>
      </x:c>
      <x:c r="C101" s="29" t="str">
        <x:v>[5120]</x:v>
      </x:c>
      <x:c r="D101" s="29" t="str">
        <x:v>BF16</x:v>
      </x:c>
      <x:c r="E101" s="31" t="n">
        <x:v>2</x:v>
      </x:c>
      <x:c r="F101" s="32" t="n">
        <x:v>1</x:v>
      </x:c>
      <x:c r="G101" s="32" t="n">
        <x:v>5120</x:v>
      </x:c>
      <x:c r="H101" s="32" t="str">
        <x:v>Replicated</x:v>
      </x:c>
      <x:c r="I101" s="32" t="n">
        <x:f>1</x:f>
        <x:v>1</x:v>
      </x:c>
      <x:c r="J101" s="33" t="n">
        <x:f>E101*F101*G101/1073741824</x:f>
        <x:v>0.0000095367431640625</x:v>
      </x:c>
      <x:c r="K101" s="33" t="n">
        <x:f>J101/I101</x:f>
        <x:v>0.0000095367431640625</x:v>
      </x:c>
      <x:c r="L101" s="29"/>
      <x:c r="M101" s="29"/>
      <x:c r="N101" s="29"/>
      <x:c r="O101" s="29"/>
      <x:c r="P101" s="29"/>
    </x:row>
    <x:row r="102" ht="30" customHeight="1">
      <x:c r="A102" s="29" t="str">
        <x:v>Image Tokens</x:v>
      </x:c>
      <x:c r="B102" s="40" t="str">
        <x:v>image_newline</x:v>
      </x:c>
      <x:c r="C102" s="29" t="str">
        <x:v>[5120]</x:v>
      </x:c>
      <x:c r="D102" s="29" t="str">
        <x:v>BF16</x:v>
      </x:c>
      <x:c r="E102" s="31" t="n">
        <x:v>2</x:v>
      </x:c>
      <x:c r="F102" s="32" t="n">
        <x:v>1</x:v>
      </x:c>
      <x:c r="G102" s="32" t="n">
        <x:v>5120</x:v>
      </x:c>
      <x:c r="H102" s="32" t="str">
        <x:v>Replicated</x:v>
      </x:c>
      <x:c r="I102" s="32" t="n">
        <x:f>1</x:f>
        <x:v>1</x:v>
      </x:c>
      <x:c r="J102" s="33" t="n">
        <x:f>E102*F102*G102/1073741824</x:f>
        <x:v>0.0000095367431640625</x:v>
      </x:c>
      <x:c r="K102" s="33" t="n">
        <x:f>J102/I102</x:f>
        <x:v>0.0000095367431640625</x:v>
      </x:c>
      <x:c r="L102" s="29"/>
      <x:c r="M102" s="29"/>
      <x:c r="N102" s="29"/>
      <x:c r="O102" s="29"/>
      <x:c r="P102" s="29"/>
    </x:row>
    <x:row r="103" ht="30" customHeight="1">
      <x:c r="A103" s="29" t="str">
        <x:v>Vision</x:v>
      </x:c>
      <x:c r="B103" s="40" t="str">
        <x:v>vision.patch_embed.proj.weight</x:v>
      </x:c>
      <x:c r="C103" s="29" t="str">
        <x:v>[1024, 588]</x:v>
      </x:c>
      <x:c r="D103" s="29" t="str">
        <x:v>BF16</x:v>
      </x:c>
      <x:c r="E103" s="31" t="n">
        <x:v>2</x:v>
      </x:c>
      <x:c r="F103" s="32" t="n">
        <x:v>1</x:v>
      </x:c>
      <x:c r="G103" s="32" t="n">
        <x:v>602112</x:v>
      </x:c>
      <x:c r="H103" s="32" t="str">
        <x:v>Replicated</x:v>
      </x:c>
      <x:c r="I103" s="32" t="n">
        <x:f>1</x:f>
        <x:v>1</x:v>
      </x:c>
      <x:c r="J103" s="33" t="n">
        <x:f>E103*F103*G103/1073741824</x:f>
        <x:v>0.00112152099609375</x:v>
      </x:c>
      <x:c r="K103" s="33" t="n">
        <x:f>J103/I103</x:f>
        <x:v>0.00112152099609375</x:v>
      </x:c>
      <x:c r="L103" s="29"/>
      <x:c r="M103" s="29"/>
      <x:c r="N103" s="29"/>
      <x:c r="O103" s="29"/>
      <x:c r="P103" s="29"/>
    </x:row>
    <x:row r="104" ht="30" customHeight="1">
      <x:c r="A104" s="29" t="str">
        <x:v>Vision</x:v>
      </x:c>
      <x:c r="B104" s="40" t="str">
        <x:v>vision.patch_embed.proj.bias</x:v>
      </x:c>
      <x:c r="C104" s="29" t="str">
        <x:v>[1024]</x:v>
      </x:c>
      <x:c r="D104" s="29" t="str">
        <x:v>BF16</x:v>
      </x:c>
      <x:c r="E104" s="31" t="n">
        <x:v>2</x:v>
      </x:c>
      <x:c r="F104" s="32" t="n">
        <x:v>1</x:v>
      </x:c>
      <x:c r="G104" s="32" t="n">
        <x:v>1024</x:v>
      </x:c>
      <x:c r="H104" s="32" t="str">
        <x:v>Replicated</x:v>
      </x:c>
      <x:c r="I104" s="32" t="n">
        <x:f>1</x:f>
        <x:v>1</x:v>
      </x:c>
      <x:c r="J104" s="33" t="n">
        <x:f>E104*F104*G104/1073741824</x:f>
        <x:v>0.0000019073486328125</x:v>
      </x:c>
      <x:c r="K104" s="33" t="n">
        <x:f>J104/I104</x:f>
        <x:v>0.0000019073486328125</x:v>
      </x:c>
      <x:c r="L104" s="29"/>
      <x:c r="M104" s="29"/>
      <x:c r="N104" s="29"/>
      <x:c r="O104" s="29"/>
      <x:c r="P104" s="29"/>
    </x:row>
    <x:row r="105" ht="30" customHeight="1">
      <x:c r="A105" s="29" t="str">
        <x:v>Vision</x:v>
      </x:c>
      <x:c r="B105" s="40" t="str">
        <x:v>vision.blocks.N.attn.wqkv.weight</x:v>
      </x:c>
      <x:c r="C105" s="29" t="str">
        <x:v>[3072, 1024]</x:v>
      </x:c>
      <x:c r="D105" s="29" t="str">
        <x:v>BF16</x:v>
      </x:c>
      <x:c r="E105" s="31" t="n">
        <x:v>2</x:v>
      </x:c>
      <x:c r="F105" s="32" t="n">
        <x:v>32</x:v>
      </x:c>
      <x:c r="G105" s="32" t="n">
        <x:v>3145728</x:v>
      </x:c>
      <x:c r="H105" s="32" t="str">
        <x:v>Replicated</x:v>
      </x:c>
      <x:c r="I105" s="32" t="n">
        <x:f>1</x:f>
        <x:v>1</x:v>
      </x:c>
      <x:c r="J105" s="33" t="n">
        <x:f>E105*F105*G105/1073741824</x:f>
        <x:v>0.1875</x:v>
      </x:c>
      <x:c r="K105" s="33" t="n">
        <x:f>J105/I105</x:f>
        <x:v>0.1875</x:v>
      </x:c>
      <x:c r="L105" s="29"/>
      <x:c r="M105" s="29"/>
      <x:c r="N105" s="29"/>
      <x:c r="O105" s="29"/>
      <x:c r="P105" s="29"/>
    </x:row>
    <x:row r="106" ht="30" customHeight="1">
      <x:c r="A106" s="29" t="str">
        <x:v>Vision</x:v>
      </x:c>
      <x:c r="B106" s="40" t="str">
        <x:v>vision.blocks.N.attn.wqkv.bias</x:v>
      </x:c>
      <x:c r="C106" s="29" t="str">
        <x:v>[3072]</x:v>
      </x:c>
      <x:c r="D106" s="29" t="str">
        <x:v>BF16</x:v>
      </x:c>
      <x:c r="E106" s="31" t="n">
        <x:v>2</x:v>
      </x:c>
      <x:c r="F106" s="32" t="n">
        <x:v>32</x:v>
      </x:c>
      <x:c r="G106" s="32" t="n">
        <x:v>3072</x:v>
      </x:c>
      <x:c r="H106" s="32" t="str">
        <x:v>Replicated</x:v>
      </x:c>
      <x:c r="I106" s="32" t="n">
        <x:f>1</x:f>
        <x:v>1</x:v>
      </x:c>
      <x:c r="J106" s="33" t="n">
        <x:f>E106*F106*G106/1073741824</x:f>
        <x:v>0.00018310546875</x:v>
      </x:c>
      <x:c r="K106" s="33" t="n">
        <x:f>J106/I106</x:f>
        <x:v>0.00018310546875</x:v>
      </x:c>
      <x:c r="L106" s="29"/>
      <x:c r="M106" s="29"/>
      <x:c r="N106" s="29"/>
      <x:c r="O106" s="29"/>
      <x:c r="P106" s="29"/>
    </x:row>
    <x:row r="107" ht="30" customHeight="1">
      <x:c r="A107" s="29" t="str">
        <x:v>Vision</x:v>
      </x:c>
      <x:c r="B107" s="40" t="str">
        <x:v>vision.blocks.N.attn.wo.weight</x:v>
      </x:c>
      <x:c r="C107" s="29" t="str">
        <x:v>[1024, 1024]</x:v>
      </x:c>
      <x:c r="D107" s="29" t="str">
        <x:v>BF16</x:v>
      </x:c>
      <x:c r="E107" s="31" t="n">
        <x:v>2</x:v>
      </x:c>
      <x:c r="F107" s="32" t="n">
        <x:v>32</x:v>
      </x:c>
      <x:c r="G107" s="32" t="n">
        <x:v>1048576</x:v>
      </x:c>
      <x:c r="H107" s="32" t="str">
        <x:v>Replicated</x:v>
      </x:c>
      <x:c r="I107" s="32" t="n">
        <x:f>1</x:f>
        <x:v>1</x:v>
      </x:c>
      <x:c r="J107" s="33" t="n">
        <x:f>E107*F107*G107/1073741824</x:f>
        <x:v>0.0625</x:v>
      </x:c>
      <x:c r="K107" s="33" t="n">
        <x:f>J107/I107</x:f>
        <x:v>0.0625</x:v>
      </x:c>
      <x:c r="L107" s="29"/>
      <x:c r="M107" s="29"/>
      <x:c r="N107" s="29"/>
      <x:c r="O107" s="29"/>
      <x:c r="P107" s="29"/>
    </x:row>
    <x:row r="108" ht="30" customHeight="1">
      <x:c r="A108" s="29" t="str">
        <x:v>Vision</x:v>
      </x:c>
      <x:c r="B108" s="40" t="str">
        <x:v>vision.blocks.N.attn.wo.bias</x:v>
      </x:c>
      <x:c r="C108" s="29" t="str">
        <x:v>[1024]</x:v>
      </x:c>
      <x:c r="D108" s="29" t="str">
        <x:v>BF16</x:v>
      </x:c>
      <x:c r="E108" s="31" t="n">
        <x:v>2</x:v>
      </x:c>
      <x:c r="F108" s="32" t="n">
        <x:v>32</x:v>
      </x:c>
      <x:c r="G108" s="32" t="n">
        <x:v>1024</x:v>
      </x:c>
      <x:c r="H108" s="32" t="str">
        <x:v>Replicated</x:v>
      </x:c>
      <x:c r="I108" s="32" t="n">
        <x:f>1</x:f>
        <x:v>1</x:v>
      </x:c>
      <x:c r="J108" s="33" t="n">
        <x:f>E108*F108*G108/1073741824</x:f>
        <x:v>0.00006103515625</x:v>
      </x:c>
      <x:c r="K108" s="33" t="n">
        <x:f>J108/I108</x:f>
        <x:v>0.00006103515625</x:v>
      </x:c>
      <x:c r="L108" s="29"/>
      <x:c r="M108" s="29"/>
      <x:c r="N108" s="29"/>
      <x:c r="O108" s="29"/>
      <x:c r="P108" s="29"/>
    </x:row>
    <x:row r="109" ht="30" customHeight="1">
      <x:c r="A109" s="29" t="str">
        <x:v>Vision</x:v>
      </x:c>
      <x:c r="B109" s="40" t="str">
        <x:v>vision.blocks.N.mlp.w1.weight</x:v>
      </x:c>
      <x:c r="C109" s="29" t="str">
        <x:v>[5632, 1024]</x:v>
      </x:c>
      <x:c r="D109" s="29" t="str">
        <x:v>BF16</x:v>
      </x:c>
      <x:c r="E109" s="31" t="n">
        <x:v>2</x:v>
      </x:c>
      <x:c r="F109" s="32" t="n">
        <x:v>32</x:v>
      </x:c>
      <x:c r="G109" s="32" t="n">
        <x:v>5767168</x:v>
      </x:c>
      <x:c r="H109" s="32" t="str">
        <x:v>Replicated</x:v>
      </x:c>
      <x:c r="I109" s="32" t="n">
        <x:f>1</x:f>
        <x:v>1</x:v>
      </x:c>
      <x:c r="J109" s="33" t="n">
        <x:f>E109*F109*G109/1073741824</x:f>
        <x:v>0.34375</x:v>
      </x:c>
      <x:c r="K109" s="33" t="n">
        <x:f>J109/I109</x:f>
        <x:v>0.34375</x:v>
      </x:c>
      <x:c r="L109" s="29"/>
      <x:c r="M109" s="29"/>
      <x:c r="N109" s="29"/>
      <x:c r="O109" s="29"/>
      <x:c r="P109" s="29"/>
    </x:row>
    <x:row r="110" ht="30" customHeight="1">
      <x:c r="A110" s="29" t="str">
        <x:v>Vision</x:v>
      </x:c>
      <x:c r="B110" s="40" t="str">
        <x:v>vision.blocks.N.mlp.w2.weight</x:v>
      </x:c>
      <x:c r="C110" s="29" t="str">
        <x:v>[1024, 2816]</x:v>
      </x:c>
      <x:c r="D110" s="29" t="str">
        <x:v>BF16</x:v>
      </x:c>
      <x:c r="E110" s="31" t="n">
        <x:v>2</x:v>
      </x:c>
      <x:c r="F110" s="32" t="n">
        <x:v>32</x:v>
      </x:c>
      <x:c r="G110" s="32" t="n">
        <x:v>2883584</x:v>
      </x:c>
      <x:c r="H110" s="32" t="str">
        <x:v>Replicated</x:v>
      </x:c>
      <x:c r="I110" s="32" t="n">
        <x:f>1</x:f>
        <x:v>1</x:v>
      </x:c>
      <x:c r="J110" s="33" t="n">
        <x:f>E110*F110*G110/1073741824</x:f>
        <x:v>0.171875</x:v>
      </x:c>
      <x:c r="K110" s="33" t="n">
        <x:f>J110/I110</x:f>
        <x:v>0.171875</x:v>
      </x:c>
      <x:c r="L110" s="29"/>
      <x:c r="M110" s="29"/>
      <x:c r="N110" s="29"/>
      <x:c r="O110" s="29"/>
      <x:c r="P110" s="29"/>
    </x:row>
    <x:row r="111" ht="30" customHeight="1">
      <x:c r="A111" s="29" t="str">
        <x:v>Vision</x:v>
      </x:c>
      <x:c r="B111" s="40" t="str">
        <x:v>vision.blocks.N.norm1.weight</x:v>
      </x:c>
      <x:c r="C111" s="29" t="str">
        <x:v>[1024]</x:v>
      </x:c>
      <x:c r="D111" s="29" t="str">
        <x:v>BF16</x:v>
      </x:c>
      <x:c r="E111" s="31" t="n">
        <x:v>2</x:v>
      </x:c>
      <x:c r="F111" s="32" t="n">
        <x:v>32</x:v>
      </x:c>
      <x:c r="G111" s="32" t="n">
        <x:v>1024</x:v>
      </x:c>
      <x:c r="H111" s="32" t="str">
        <x:v>Replicated</x:v>
      </x:c>
      <x:c r="I111" s="32" t="n">
        <x:f>1</x:f>
        <x:v>1</x:v>
      </x:c>
      <x:c r="J111" s="33" t="n">
        <x:f>E111*F111*G111/1073741824</x:f>
        <x:v>0.00006103515625</x:v>
      </x:c>
      <x:c r="K111" s="33" t="n">
        <x:f>J111/I111</x:f>
        <x:v>0.00006103515625</x:v>
      </x:c>
      <x:c r="L111" s="29"/>
      <x:c r="M111" s="29"/>
      <x:c r="N111" s="29"/>
      <x:c r="O111" s="29"/>
      <x:c r="P111" s="29"/>
    </x:row>
    <x:row r="112" ht="30" customHeight="1">
      <x:c r="A112" s="29" t="str">
        <x:v>Vision</x:v>
      </x:c>
      <x:c r="B112" s="40" t="str">
        <x:v>vision.blocks.N.norm2.weight</x:v>
      </x:c>
      <x:c r="C112" s="29" t="str">
        <x:v>[1024]</x:v>
      </x:c>
      <x:c r="D112" s="29" t="str">
        <x:v>BF16</x:v>
      </x:c>
      <x:c r="E112" s="31" t="n">
        <x:v>2</x:v>
      </x:c>
      <x:c r="F112" s="32" t="n">
        <x:v>32</x:v>
      </x:c>
      <x:c r="G112" s="32" t="n">
        <x:v>1024</x:v>
      </x:c>
      <x:c r="H112" s="32" t="str">
        <x:v>Replicated</x:v>
      </x:c>
      <x:c r="I112" s="32" t="n">
        <x:f>1</x:f>
        <x:v>1</x:v>
      </x:c>
      <x:c r="J112" s="33" t="n">
        <x:f>E112*F112*G112/1073741824</x:f>
        <x:v>0.00006103515625</x:v>
      </x:c>
      <x:c r="K112" s="33" t="n">
        <x:f>J112/I112</x:f>
        <x:v>0.00006103515625</x:v>
      </x:c>
      <x:c r="L112" s="29"/>
      <x:c r="M112" s="29"/>
      <x:c r="N112" s="29"/>
      <x:c r="O112" s="29"/>
      <x:c r="P112" s="29"/>
    </x:row>
    <x:row r="113" ht="30" customHeight="1">
      <x:c r="A113" s="29" t="str">
        <x:v>Vision</x:v>
      </x:c>
      <x:c r="B113" s="40" t="str">
        <x:v>vision.norm.weight</x:v>
      </x:c>
      <x:c r="C113" s="29" t="str">
        <x:v>[1024]</x:v>
      </x:c>
      <x:c r="D113" s="29" t="str">
        <x:v>BF16</x:v>
      </x:c>
      <x:c r="E113" s="31" t="n">
        <x:v>2</x:v>
      </x:c>
      <x:c r="F113" s="32" t="n">
        <x:v>1</x:v>
      </x:c>
      <x:c r="G113" s="32" t="n">
        <x:v>1024</x:v>
      </x:c>
      <x:c r="H113" s="32" t="str">
        <x:v>Replicated</x:v>
      </x:c>
      <x:c r="I113" s="32" t="n">
        <x:f>1</x:f>
        <x:v>1</x:v>
      </x:c>
      <x:c r="J113" s="33" t="n">
        <x:f>E113*F113*G113/1073741824</x:f>
        <x:v>0.0000019073486328125</x:v>
      </x:c>
      <x:c r="K113" s="33" t="n">
        <x:f>J113/I113</x:f>
        <x:v>0.0000019073486328125</x:v>
      </x:c>
      <x:c r="L113" s="29"/>
      <x:c r="M113" s="29"/>
      <x:c r="N113" s="29"/>
      <x:c r="O113" s="29"/>
      <x:c r="P113" s="29"/>
    </x:row>
    <x:row r="114" ht="30" customHeight="1">
      <x:c r="A114" s="29" t="str">
        <x:v>Aligner</x:v>
      </x:c>
      <x:c r="B114" s="40" t="str">
        <x:v>aligner.w1.weight</x:v>
      </x:c>
      <x:c r="C114" s="29" t="str">
        <x:v>[5120, 9216]</x:v>
      </x:c>
      <x:c r="D114" s="29" t="str">
        <x:v>BF16</x:v>
      </x:c>
      <x:c r="E114" s="31" t="n">
        <x:v>2</x:v>
      </x:c>
      <x:c r="F114" s="32" t="n">
        <x:v>1</x:v>
      </x:c>
      <x:c r="G114" s="32" t="n">
        <x:v>47185920</x:v>
      </x:c>
      <x:c r="H114" s="32" t="str">
        <x:v>Replicated</x:v>
      </x:c>
      <x:c r="I114" s="32" t="n">
        <x:f>1</x:f>
        <x:v>1</x:v>
      </x:c>
      <x:c r="J114" s="33" t="n">
        <x:f>E114*F114*G114/1073741824</x:f>
        <x:v>0.087890625</x:v>
      </x:c>
      <x:c r="K114" s="33" t="n">
        <x:f>J114/I114</x:f>
        <x:v>0.087890625</x:v>
      </x:c>
      <x:c r="L114" s="29"/>
      <x:c r="M114" s="29"/>
      <x:c r="N114" s="29"/>
      <x:c r="O114" s="29"/>
      <x:c r="P114" s="29"/>
    </x:row>
    <x:row r="115" ht="30" customHeight="1">
      <x:c r="A115" s="29" t="str">
        <x:v>Aligner</x:v>
      </x:c>
      <x:c r="B115" s="40" t="str">
        <x:v>aligner.w1.bias</x:v>
      </x:c>
      <x:c r="C115" s="29" t="str">
        <x:v>[5120]</x:v>
      </x:c>
      <x:c r="D115" s="29" t="str">
        <x:v>BF16</x:v>
      </x:c>
      <x:c r="E115" s="31" t="n">
        <x:v>2</x:v>
      </x:c>
      <x:c r="F115" s="32" t="n">
        <x:v>1</x:v>
      </x:c>
      <x:c r="G115" s="32" t="n">
        <x:v>5120</x:v>
      </x:c>
      <x:c r="H115" s="32" t="str">
        <x:v>Replicated</x:v>
      </x:c>
      <x:c r="I115" s="32" t="n">
        <x:f>1</x:f>
        <x:v>1</x:v>
      </x:c>
      <x:c r="J115" s="33" t="n">
        <x:f>E115*F115*G115/1073741824</x:f>
        <x:v>0.0000095367431640625</x:v>
      </x:c>
      <x:c r="K115" s="33" t="n">
        <x:f>J115/I115</x:f>
        <x:v>0.0000095367431640625</x:v>
      </x:c>
      <x:c r="L115" s="29"/>
      <x:c r="M115" s="29"/>
      <x:c r="N115" s="29"/>
      <x:c r="O115" s="29"/>
      <x:c r="P115" s="29"/>
    </x:row>
    <x:row r="116" ht="30" customHeight="1">
      <x:c r="A116" s="29" t="str">
        <x:v>Aligner</x:v>
      </x:c>
      <x:c r="B116" s="40" t="str">
        <x:v>aligner.w2.weight</x:v>
      </x:c>
      <x:c r="C116" s="29" t="str">
        <x:v>[5120, 5120]</x:v>
      </x:c>
      <x:c r="D116" s="29" t="str">
        <x:v>BF16</x:v>
      </x:c>
      <x:c r="E116" s="31" t="n">
        <x:v>2</x:v>
      </x:c>
      <x:c r="F116" s="32" t="n">
        <x:v>1</x:v>
      </x:c>
      <x:c r="G116" s="32" t="n">
        <x:v>26214400</x:v>
      </x:c>
      <x:c r="H116" s="32" t="str">
        <x:v>Replicated</x:v>
      </x:c>
      <x:c r="I116" s="32" t="n">
        <x:f>1</x:f>
        <x:v>1</x:v>
      </x:c>
      <x:c r="J116" s="33" t="n">
        <x:f>E116*F116*G116/1073741824</x:f>
        <x:v>0.048828125</x:v>
      </x:c>
      <x:c r="K116" s="33" t="n">
        <x:f>J116/I116</x:f>
        <x:v>0.048828125</x:v>
      </x:c>
      <x:c r="L116" s="29"/>
      <x:c r="M116" s="29"/>
      <x:c r="N116" s="29"/>
      <x:c r="O116" s="29"/>
      <x:c r="P116" s="29"/>
    </x:row>
    <x:row r="117" ht="30" customHeight="1">
      <x:c r="A117" s="29" t="str">
        <x:v>Aligner</x:v>
      </x:c>
      <x:c r="B117" s="40" t="str">
        <x:v>aligner.w2.bias</x:v>
      </x:c>
      <x:c r="C117" s="29" t="str">
        <x:v>[5120]</x:v>
      </x:c>
      <x:c r="D117" s="29" t="str">
        <x:v>BF16</x:v>
      </x:c>
      <x:c r="E117" s="31" t="n">
        <x:v>2</x:v>
      </x:c>
      <x:c r="F117" s="32" t="n">
        <x:v>1</x:v>
      </x:c>
      <x:c r="G117" s="32" t="n">
        <x:v>5120</x:v>
      </x:c>
      <x:c r="H117" s="32" t="str">
        <x:v>Replicated</x:v>
      </x:c>
      <x:c r="I117" s="32" t="n">
        <x:f>1</x:f>
        <x:v>1</x:v>
      </x:c>
      <x:c r="J117" s="33" t="n">
        <x:f>E117*F117*G117/1073741824</x:f>
        <x:v>0.0000095367431640625</x:v>
      </x:c>
      <x:c r="K117" s="33" t="n">
        <x:f>J117/I117</x:f>
        <x:v>0.0000095367431640625</x:v>
      </x:c>
      <x:c r="L117" s="29"/>
      <x:c r="M117" s="29"/>
      <x:c r="N117" s="29"/>
      <x:c r="O117" s="29"/>
      <x:c r="P117" s="29"/>
    </x:row>
    <x:row r="118" ht="30" customHeight="1">
      <x:c r="A118" s="38" t="str">
        <x:v>合计</x:v>
      </x:c>
      <x:c r="B118" s="41"/>
      <x:c r="C118" s="38"/>
      <x:c r="D118" s="38"/>
      <x:c r="E118" s="38"/>
      <x:c r="F118" s="38"/>
      <x:c r="G118" s="38"/>
      <x:c r="H118" s="38"/>
      <x:c r="I118" s="38"/>
      <x:c r="J118" s="39" t="n">
        <x:f>SUM(J2:J117)</x:f>
        <x:v>475.2408927306533</x:v>
      </x:c>
      <x:c r="K118" s="39" t="n">
        <x:f>SUM(K2:K117)</x:f>
        <x:v>37.97989756800234</x:v>
      </x:c>
      <x:c r="L118" s="29"/>
      <x:c r="M118" s="29"/>
      <x:c r="N118" s="29"/>
      <x:c r="O118" s="29"/>
      <x:c r="P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</x:row>
    <x:row r="120" ht="42" customHeight="1">
      <x:c r="A120" s="18" t="str">
        <x:v>并行策略</x:v>
      </x:c>
      <x:c r="B120" s="18" t="str">
        <x:v>模块</x:v>
      </x:c>
      <x:c r="C120" s="18" t="str">
        <x:v>通信位置</x:v>
      </x:c>
      <x:c r="D120" s="18" t="str">
        <x:v>Collective</x:v>
      </x:c>
      <x:c r="E120" s="18" t="str">
        <x:v>输入/跨 Rank 期望元素</x:v>
      </x:c>
      <x:c r="F120" s="18" t="str">
        <x:v>字节/元素</x:v>
      </x:c>
      <x:c r="G120" s="18" t="str">
        <x:v>通信组大小</x:v>
      </x:c>
      <x:c r="H120" s="18" t="str">
        <x:v>次数/Step</x:v>
      </x:c>
      <x:c r="I120" s="18" t="str">
        <x:v>本 Rank 载荷 MiB/次</x:v>
      </x:c>
      <x:c r="J120" s="18" t="str">
        <x:v>Rank 平均发送 MiB/次</x:v>
      </x:c>
      <x:c r="K120" s="18" t="str">
        <x:v>Rank 平均发送 MiB/Step</x:v>
      </x:c>
      <x:c r="L120" s="18" t="str">
        <x:v>通信组建模发送 MiB/Step</x:v>
      </x:c>
      <x:c r="M120" s="29"/>
      <x:c r="N120" s="29"/>
      <x:c r="O120" s="29"/>
      <x:c r="P120" s="29"/>
    </x:row>
    <x:row r="121">
      <x:c r="A121" s="29" t="str">
        <x:v>SP</x:v>
      </x:c>
      <x:c r="B121" s="29" t="str">
        <x:v>Attention</x:v>
      </x:c>
      <x:c r="C121" s="29" t="str">
        <x:v>逐层输入</x:v>
      </x:c>
      <x:c r="D121" s="29" t="str">
        <x:v>Ring AllGather</x:v>
      </x:c>
      <x:c r="E121" s="32" t="n">
        <x:f>ROUNDUP('Prefill'!$P$7/'Prefill'!$P$12,0)*5120</x:f>
        <x:v>10485760</x:v>
      </x:c>
      <x:c r="F121" s="32" t="n">
        <x:f>'Prefill'!$P$28</x:f>
        <x:v>2</x:v>
      </x:c>
      <x:c r="G121" s="32" t="n">
        <x:f>'Prefill'!$P$12</x:f>
        <x:v>8</x:v>
      </x:c>
      <x:c r="H121" s="32" t="n">
        <x:f>40*'Prefill'!$P$13</x:f>
        <x:v>40</x:v>
      </x:c>
      <x:c r="I121" s="33" t="n">
        <x:f>E121*F121/1048576</x:f>
        <x:v>20</x:v>
      </x:c>
      <x:c r="J121" s="33" t="n">
        <x:f>I121*(IF(G121&gt;1,G121-1,0))</x:f>
        <x:v>140</x:v>
      </x:c>
      <x:c r="K121" s="33" t="n">
        <x:f>J121*H121</x:f>
        <x:v>5600</x:v>
      </x:c>
      <x:c r="L121" s="33" t="n">
        <x:f>K121*G121</x:f>
        <x:v>44800</x:v>
      </x:c>
      <x:c r="M121" s="29"/>
      <x:c r="N121" s="29"/>
      <x:c r="O121" s="29"/>
      <x:c r="P121" s="29"/>
    </x:row>
    <x:row r="122">
      <x:c r="A122" s="29" t="str">
        <x:v>DSA CP</x:v>
      </x:c>
      <x:c r="B122" s="29" t="str">
        <x:v>Attention</x:v>
      </x:c>
      <x:c r="C122" s="29" t="str">
        <x:v>Token/Head 交换</x:v>
      </x:c>
      <x:c r="D122" s="29" t="str">
        <x:v>Equal-split AllToAll</x:v>
      </x:c>
      <x:c r="E122" s="32" t="n">
        <x:f>ROUNDUP('Prefill'!$P$7/'Prefill'!$P$12,0)*32768</x:f>
        <x:v>67108864</x:v>
      </x:c>
      <x:c r="F122" s="32" t="n">
        <x:f>'Prefill'!$P$28</x:f>
        <x:v>2</x:v>
      </x:c>
      <x:c r="G122" s="32" t="n">
        <x:f>'Prefill'!$P$12</x:f>
        <x:v>8</x:v>
      </x:c>
      <x:c r="H122" s="32" t="n">
        <x:f>40*'Prefill'!$P$25</x:f>
        <x:v>40</x:v>
      </x:c>
      <x:c r="I122" s="33" t="n">
        <x:f>E122*F122/1048576</x:f>
        <x:v>128</x:v>
      </x:c>
      <x:c r="J122" s="33" t="n">
        <x:f>I122*(IF(G122&gt;1,(G122-1)/G122,0))</x:f>
        <x:v>112</x:v>
      </x:c>
      <x:c r="K122" s="33" t="n">
        <x:f>J122*H122</x:f>
        <x:v>4480</x:v>
      </x:c>
      <x:c r="L122" s="33" t="n">
        <x:f>K122*G122</x:f>
        <x:v>35840</x:v>
      </x:c>
      <x:c r="M122" s="29"/>
      <x:c r="N122" s="29"/>
      <x:c r="O122" s="29"/>
      <x:c r="P122" s="29"/>
    </x:row>
    <x:row r="123">
      <x:c r="A123" s="29" t="str">
        <x:v>SP</x:v>
      </x:c>
      <x:c r="B123" s="29" t="str">
        <x:v>Attention</x:v>
      </x:c>
      <x:c r="C123" s="29" t="str">
        <x:v>O Proj 后</x:v>
      </x:c>
      <x:c r="D123" s="29" t="str">
        <x:v>Ring ReduceScatter</x:v>
      </x:c>
      <x:c r="E123" s="32" t="n">
        <x:f>(ROUNDUP('Prefill'!$P$7/'Prefill'!$P$12,0)*'Prefill'!$P$12)*5120</x:f>
        <x:v>83886080</x:v>
      </x:c>
      <x:c r="F123" s="32" t="n">
        <x:f>'Prefill'!$P$28</x:f>
        <x:v>2</x:v>
      </x:c>
      <x:c r="G123" s="32" t="n">
        <x:f>'Prefill'!$P$12</x:f>
        <x:v>8</x:v>
      </x:c>
      <x:c r="H123" s="32" t="n">
        <x:f>40*'Prefill'!$P$13</x:f>
        <x:v>40</x:v>
      </x:c>
      <x:c r="I123" s="33" t="n">
        <x:f>E123*F123/1048576</x:f>
        <x:v>160</x:v>
      </x:c>
      <x:c r="J123" s="33" t="n">
        <x:f>I123*(IF(G123&gt;1,(G123-1)/G123,0))</x:f>
        <x:v>140</x:v>
      </x:c>
      <x:c r="K123" s="33" t="n">
        <x:f>J123*H123</x:f>
        <x:v>5600</x:v>
      </x:c>
      <x:c r="L123" s="33" t="n">
        <x:f>K123*G123</x:f>
        <x:v>44800</x:v>
      </x:c>
      <x:c r="M123" s="29"/>
      <x:c r="N123" s="29"/>
      <x:c r="O123" s="29"/>
      <x:c r="P123" s="29"/>
    </x:row>
    <x:row r="124">
      <x:c r="A124" s="29" t="str">
        <x:v>Attention TP</x:v>
      </x:c>
      <x:c r="B124" s="29" t="str">
        <x:v>Attention</x:v>
      </x:c>
      <x:c r="C124" s="29" t="str">
        <x:v>非 SP 输出</x:v>
      </x:c>
      <x:c r="D124" s="29" t="str">
        <x:v>Ring AllReduce</x:v>
      </x:c>
      <x:c r="E124" s="32" t="n">
        <x:f>'Prefill'!$P$7*5120</x:f>
        <x:v>83886080</x:v>
      </x:c>
      <x:c r="F124" s="32" t="n">
        <x:f>'Prefill'!$P$28</x:f>
        <x:v>2</x:v>
      </x:c>
      <x:c r="G124" s="32" t="n">
        <x:f>'Prefill'!$P$12</x:f>
        <x:v>8</x:v>
      </x:c>
      <x:c r="H124" s="32" t="n">
        <x:f>40*(1-'Prefill'!$P$13)</x:f>
        <x:v>0</x:v>
      </x:c>
      <x:c r="I124" s="33" t="n">
        <x:f>E124*F124/1048576</x:f>
        <x:v>160</x:v>
      </x:c>
      <x:c r="J124" s="33" t="n">
        <x:f>I124*(IF(G124&gt;1,2*(G124-1)/G124,0))</x:f>
        <x:v>280</x:v>
      </x:c>
      <x:c r="K124" s="33" t="n">
        <x:f>J124*H124</x:f>
        <x:v>0</x:v>
      </x:c>
      <x:c r="L124" s="33" t="n">
        <x:f>K124*G124</x:f>
        <x:v>0</x:v>
      </x:c>
      <x:c r="M124" s="29"/>
      <x:c r="N124" s="29"/>
      <x:c r="O124" s="29"/>
      <x:c r="P124" s="29"/>
    </x:row>
    <x:row r="125">
      <x:c r="A125" s="29" t="str">
        <x:v>SP</x:v>
      </x:c>
      <x:c r="B125" s="29" t="str">
        <x:v>Model Output</x:v>
      </x:c>
      <x:c r="C125" s="29" t="str">
        <x:v>最终 Hidden</x:v>
      </x:c>
      <x:c r="D125" s="29" t="str">
        <x:v>Ring AllGather</x:v>
      </x:c>
      <x:c r="E125" s="32" t="n">
        <x:f>ROUNDUP('Prefill'!$P$7/'Prefill'!$P$12,0)*5120</x:f>
        <x:v>10485760</x:v>
      </x:c>
      <x:c r="F125" s="32" t="n">
        <x:f>'Prefill'!$P$28</x:f>
        <x:v>2</x:v>
      </x:c>
      <x:c r="G125" s="32" t="n">
        <x:f>'Prefill'!$P$12</x:f>
        <x:v>8</x:v>
      </x:c>
      <x:c r="H125" s="32" t="n">
        <x:f>'Prefill'!$P$13</x:f>
        <x:v>1</x:v>
      </x:c>
      <x:c r="I125" s="33" t="n">
        <x:f>E125*F125/1048576</x:f>
        <x:v>20</x:v>
      </x:c>
      <x:c r="J125" s="33" t="n">
        <x:f>I125*(IF(G125&gt;1,G125-1,0))</x:f>
        <x:v>140</x:v>
      </x:c>
      <x:c r="K125" s="33" t="n">
        <x:f>J125*H125</x:f>
        <x:v>140</x:v>
      </x:c>
      <x:c r="L125" s="33" t="n">
        <x:f>K125*G125</x:f>
        <x:v>1120</x:v>
      </x:c>
      <x:c r="M125" s="29"/>
      <x:c r="N125" s="29"/>
      <x:c r="O125" s="29"/>
      <x:c r="P125" s="29"/>
    </x:row>
    <x:row r="126">
      <x:c r="A126" s="29" t="str">
        <x:v>EP 期望</x:v>
      </x:c>
      <x:c r="B126" s="29" t="str">
        <x:v>MoE Hidden</x:v>
      </x:c>
      <x:c r="C126" s="29" t="str">
        <x:v>Dispatch 仅 Hidden</x:v>
      </x:c>
      <x:c r="D126" s="29" t="str">
        <x:v>AllToAllV（跨 Rank 发送）</x:v>
      </x:c>
      <x:c r="E126" s="32" t="n">
        <x:f>ROUNDUP('Prefill'!$P$7/'Prefill'!$P$12,0)*5120*6*'Prefill'!$P$32</x:f>
        <x:v>60948480</x:v>
      </x:c>
      <x:c r="F126" s="32" t="n">
        <x:f>'Prefill'!$P$39</x:f>
        <x:v>2</x:v>
      </x:c>
      <x:c r="G126" s="32" t="n">
        <x:f>'Prefill'!$P$14</x:f>
        <x:v>32</x:v>
      </x:c>
      <x:c r="H126" s="32" t="n">
        <x:f>40</x:f>
        <x:v>40</x:v>
      </x:c>
      <x:c r="I126" s="33" t="n">
        <x:f>E126*F126/1048576</x:f>
        <x:v>116.25</x:v>
      </x:c>
      <x:c r="J126" s="33" t="n">
        <x:f>I126*(IF(G126&gt;1,1,0))</x:f>
        <x:v>116.25</x:v>
      </x:c>
      <x:c r="K126" s="33" t="n">
        <x:f>J126*H126</x:f>
        <x:v>4650</x:v>
      </x:c>
      <x:c r="L126" s="33" t="n">
        <x:f>K126*G126</x:f>
        <x:v>148800</x:v>
      </x:c>
      <x:c r="M126" s="29"/>
      <x:c r="N126" s="29"/>
      <x:c r="O126" s="29"/>
      <x:c r="P126" s="29"/>
    </x:row>
    <x:row r="127">
      <x:c r="A127" s="29" t="str">
        <x:v>EP 期望</x:v>
      </x:c>
      <x:c r="B127" s="29" t="str">
        <x:v>MoE Hidden</x:v>
      </x:c>
      <x:c r="C127" s="29" t="str">
        <x:v>Combine 仅 Hidden</x:v>
      </x:c>
      <x:c r="D127" s="29" t="str">
        <x:v>AllToAllV（跨 Rank 发送）</x:v>
      </x:c>
      <x:c r="E127" s="32" t="n">
        <x:f>ROUNDUP('Prefill'!$P$7/'Prefill'!$P$12,0)*5120*6*'Prefill'!$P$32</x:f>
        <x:v>60948480</x:v>
      </x:c>
      <x:c r="F127" s="32" t="n">
        <x:f>'Prefill'!$P$40</x:f>
        <x:v>2</x:v>
      </x:c>
      <x:c r="G127" s="32" t="n">
        <x:f>'Prefill'!$P$14</x:f>
        <x:v>32</x:v>
      </x:c>
      <x:c r="H127" s="32" t="n">
        <x:f>40</x:f>
        <x:v>40</x:v>
      </x:c>
      <x:c r="I127" s="33" t="n">
        <x:f>E127*F127/1048576</x:f>
        <x:v>116.25</x:v>
      </x:c>
      <x:c r="J127" s="33" t="n">
        <x:f>I127*(IF(G127&gt;1,1,0))</x:f>
        <x:v>116.25</x:v>
      </x:c>
      <x:c r="K127" s="33" t="n">
        <x:f>J127*H127</x:f>
        <x:v>4650</x:v>
      </x:c>
      <x:c r="L127" s="33" t="n">
        <x:f>K127*G127</x:f>
        <x:v>148800</x:v>
      </x:c>
      <x:c r="M127" s="29"/>
      <x:c r="N127" s="29"/>
      <x:c r="O127" s="29"/>
      <x:c r="P127" s="29"/>
    </x:row>
    <x:row r="128">
      <x:c r="A128" s="29" t="str">
        <x:v>Engram</x:v>
      </x:c>
      <x:c r="B128" s="29" t="str">
        <x:v>Node Metadata</x:v>
      </x:c>
      <x:c r="C128" s="29" t="str">
        <x:v>两表合并 Counts</x:v>
      </x:c>
      <x:c r="D128" s="29" t="str">
        <x:v>Ring AllGather</x:v>
      </x:c>
      <x:c r="E128" s="32" t="n">
        <x:f>2*('Prefill'!$P$37+1)</x:f>
        <x:v>18</x:v>
      </x:c>
      <x:c r="F128" s="32" t="n">
        <x:f>8</x:f>
        <x:v>8</x:v>
      </x:c>
      <x:c r="G128" s="32" t="n">
        <x:f>'Prefill'!$P$37</x:f>
        <x:v>8</x:v>
      </x:c>
      <x:c r="H128" s="32" t="n">
        <x:f>'Prefill'!$P$38</x:f>
        <x:v>1</x:v>
      </x:c>
      <x:c r="I128" s="33" t="n">
        <x:f>E128*F128/1048576</x:f>
        <x:v>0.0001373291015625</x:v>
      </x:c>
      <x:c r="J128" s="33" t="n">
        <x:f>I128*(IF(G128&gt;1,G128-1,0))</x:f>
        <x:v>0.0009613037109375</x:v>
      </x:c>
      <x:c r="K128" s="33" t="n">
        <x:f>J128*H128</x:f>
        <x:v>0.0009613037109375</x:v>
      </x:c>
      <x:c r="L128" s="33" t="n">
        <x:f>K128*G128</x:f>
        <x:v>0.0076904296875</x:v>
      </x:c>
      <x:c r="M128" s="29"/>
      <x:c r="N128" s="29"/>
      <x:c r="O128" s="29"/>
      <x:c r="P128" s="29"/>
    </x:row>
    <x:row r="129">
      <x:c r="A129" s="29" t="str">
        <x:v>Engram 期望</x:v>
      </x:c>
      <x:c r="B129" s="29" t="str">
        <x:v>Node IDs</x:v>
      </x:c>
      <x:c r="C129" s="29" t="str">
        <x:v>均匀 Owner 路由</x:v>
      </x:c>
      <x:c r="D129" s="29" t="str">
        <x:v>AllToAllV（跨 Rank 发送）</x:v>
      </x:c>
      <x:c r="E129" s="32" t="n">
        <x:f>('Prefill'!$P$7*24*2)/'Prefill'!$P$12*('Prefill'!$P$37-1)/'Prefill'!$P$37</x:f>
        <x:v>86016</x:v>
      </x:c>
      <x:c r="F129" s="32" t="n">
        <x:f>8</x:f>
        <x:v>8</x:v>
      </x:c>
      <x:c r="G129" s="32" t="n">
        <x:f>'Prefill'!$P$37</x:f>
        <x:v>8</x:v>
      </x:c>
      <x:c r="H129" s="32" t="n">
        <x:f>'Prefill'!$P$38</x:f>
        <x:v>1</x:v>
      </x:c>
      <x:c r="I129" s="33" t="n">
        <x:f>E129*F129/1048576</x:f>
        <x:v>0.65625</x:v>
      </x:c>
      <x:c r="J129" s="33" t="n">
        <x:f>I129*(IF(G129&gt;1,1,0))</x:f>
        <x:v>0.65625</x:v>
      </x:c>
      <x:c r="K129" s="33" t="n">
        <x:f>J129*H129</x:f>
        <x:v>0.65625</x:v>
      </x:c>
      <x:c r="L129" s="33" t="n">
        <x:f>K129*G129</x:f>
        <x:v>5.25</x:v>
      </x:c>
      <x:c r="M129" s="29"/>
      <x:c r="N129" s="29"/>
      <x:c r="O129" s="29"/>
      <x:c r="P129" s="29"/>
    </x:row>
    <x:row r="130">
      <x:c r="A130" s="29" t="str">
        <x:v>Engram 期望</x:v>
      </x:c>
      <x:c r="B130" s="29" t="str">
        <x:v>Node Responses</x:v>
      </x:c>
      <x:c r="C130" s="29" t="str">
        <x:v>反向 BF16 返回</x:v>
      </x:c>
      <x:c r="D130" s="29" t="str">
        <x:v>AllToAllV（跨 Rank 发送）</x:v>
      </x:c>
      <x:c r="E130" s="32" t="n">
        <x:f>('Prefill'!$P$7*24*2)/'Prefill'!$P$12*('Prefill'!$P$37-1)/'Prefill'!$P$37*256</x:f>
        <x:v>22020096</x:v>
      </x:c>
      <x:c r="F130" s="32" t="n">
        <x:f>2</x:f>
        <x:v>2</x:v>
      </x:c>
      <x:c r="G130" s="32" t="n">
        <x:f>'Prefill'!$P$37</x:f>
        <x:v>8</x:v>
      </x:c>
      <x:c r="H130" s="32" t="n">
        <x:f>'Prefill'!$P$38</x:f>
        <x:v>1</x:v>
      </x:c>
      <x:c r="I130" s="33" t="n">
        <x:f>E130*F130/1048576</x:f>
        <x:v>42</x:v>
      </x:c>
      <x:c r="J130" s="33" t="n">
        <x:f>I130*(IF(G130&gt;1,1,0))</x:f>
        <x:v>42</x:v>
      </x:c>
      <x:c r="K130" s="33" t="n">
        <x:f>J130*H130</x:f>
        <x:v>42</x:v>
      </x:c>
      <x:c r="L130" s="33" t="n">
        <x:f>K130*G130</x:f>
        <x:v>336</x:v>
      </x:c>
      <x:c r="M130" s="29"/>
      <x:c r="N130" s="29"/>
      <x:c r="O130" s="29"/>
      <x:c r="P130" s="29"/>
    </x:row>
    <x:row r="131">
      <x:c r="A131" s="29" t="str">
        <x:v>Engram</x:v>
      </x:c>
      <x:c r="B131" s="29" t="str">
        <x:v>TP Lookup</x:v>
      </x:c>
      <x:c r="C131" s="29" t="str">
        <x:v>两表合并广播</x:v>
      </x:c>
      <x:c r="D131" s="29" t="str">
        <x:v>Tree Broadcast（Rank 均值）</x:v>
      </x:c>
      <x:c r="E131" s="32" t="n">
        <x:f>('Prefill'!$P$7*24*2)*256</x:f>
        <x:v>201326592</x:v>
      </x:c>
      <x:c r="F131" s="32" t="n">
        <x:f>2</x:f>
        <x:v>2</x:v>
      </x:c>
      <x:c r="G131" s="32" t="n">
        <x:f>'Prefill'!$P$12</x:f>
        <x:v>8</x:v>
      </x:c>
      <x:c r="H131" s="32" t="n">
        <x:f>'Prefill'!$P$38</x:f>
        <x:v>1</x:v>
      </x:c>
      <x:c r="I131" s="33" t="n">
        <x:f>E131*F131/1048576</x:f>
        <x:v>384</x:v>
      </x:c>
      <x:c r="J131" s="33" t="n">
        <x:f>I131*(IF(G131&gt;1,(G131-1)/G131,0))</x:f>
        <x:v>336</x:v>
      </x:c>
      <x:c r="K131" s="33" t="n">
        <x:f>J131*H131</x:f>
        <x:v>336</x:v>
      </x:c>
      <x:c r="L131" s="33" t="n">
        <x:f>K131*G131</x:f>
        <x:v>2688</x:v>
      </x:c>
      <x:c r="M131" s="29"/>
      <x:c r="N131" s="29"/>
      <x:c r="O131" s="29"/>
      <x:c r="P131" s="29"/>
    </x:row>
    <x:row r="132">
      <x:c r="A132" s="38" t="str">
        <x:v>所列事件平均 Rank 合计</x:v>
      </x:c>
      <x:c r="B132" s="38"/>
      <x:c r="C132" s="38"/>
      <x:c r="D132" s="38"/>
      <x:c r="E132" s="38"/>
      <x:c r="F132" s="38"/>
      <x:c r="G132" s="38"/>
      <x:c r="H132" s="38"/>
      <x:c r="I132" s="39"/>
      <x:c r="J132" s="39"/>
      <x:c r="K132" s="39" t="n">
        <x:f>SUM(K121:K131)</x:f>
        <x:v>25498.65721130371</x:v>
      </x:c>
      <x:c r="L132" s="39"/>
      <x:c r="M132" s="29"/>
      <x:c r="N132" s="29"/>
      <x:c r="O132" s="29"/>
      <x:c r="P132" s="29"/>
    </x:row>
  </x:sheetData>
  <x:mergeCells>
    <x:mergeCell ref="O56:P56"/>
    <x:mergeCell ref="O57:P57"/>
    <x:mergeCell ref="O58:P58"/>
    <x:mergeCell ref="O59:P59"/>
    <x:mergeCell ref="O60:P60"/>
    <x:mergeCell ref="O61:P61"/>
    <x:mergeCell ref="O62:P62"/>
    <x:mergeCell ref="O63:P63"/>
    <x:mergeCell ref="O64:P6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2" hidden="0" customWidth="1"/>
    <x:col min="3" max="3" width="24" hidden="0" customWidth="1"/>
    <x:col min="4" max="4" width="2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20" hidden="0" customWidth="1"/>
    <x:col min="13" max="13" width="3" hidden="0" customWidth="1"/>
    <x:col min="14" max="14" width="3" hidden="0" customWidth="1"/>
    <x:col min="15" max="15" width="44" hidden="0" customWidth="1"/>
    <x:col min="16" max="16" width="18" hidden="0" customWidth="1"/>
  </x:cols>
  <x:sheetData>
    <x:row r="1" ht="30" customHeight="1">
      <x:c r="A1" s="18" t="str">
        <x:v>模块</x:v>
      </x:c>
      <x:c r="B1" s="18" t="str">
        <x:v>权重 / Tensor</x:v>
      </x:c>
      <x:c r="C1" s="18" t="str">
        <x:v>shape</x:v>
      </x:c>
      <x:c r="D1" s="18" t="str">
        <x:v>dtype</x:v>
      </x:c>
      <x:c r="E1" s="18" t="str">
        <x:v>字节/元素</x:v>
      </x:c>
      <x:c r="F1" s="18" t="str">
        <x:v>数量</x:v>
      </x:c>
      <x:c r="G1" s="18" t="str">
        <x:v>单个 Tensor 元素数</x:v>
      </x:c>
      <x:c r="H1" s="18" t="str">
        <x:v>切分方式</x:v>
      </x:c>
      <x:c r="I1" s="18" t="str">
        <x:v>切分份数</x:v>
      </x:c>
      <x:c r="J1" s="18" t="str">
        <x:v>总权重 GiB</x:v>
      </x:c>
      <x:c r="K1" s="18" t="str">
        <x:v>单 Rank 权重 GiB</x:v>
      </x:c>
      <x:c r="L1" s="29"/>
      <x:c r="M1" s="29"/>
      <x:c r="N1" s="29"/>
      <x:c r="O1" s="30" t="str">
        <x:v>请求参数</x:v>
      </x:c>
      <x:c r="P1" s="30"/>
    </x:row>
    <x:row r="2" ht="30" customHeight="1">
      <x:c r="A2" s="29" t="str">
        <x:v>Embedding</x:v>
      </x:c>
      <x:c r="B2" s="40" t="str">
        <x:v>embed.weight</x:v>
      </x:c>
      <x:c r="C2" s="29" t="str">
        <x:v>[129280, 5120]</x:v>
      </x:c>
      <x:c r="D2" s="29" t="str">
        <x:v>BF16</x:v>
      </x:c>
      <x:c r="E2" s="31" t="n">
        <x:v>2</x:v>
      </x:c>
      <x:c r="F2" s="32" t="n">
        <x:v>1</x:v>
      </x:c>
      <x:c r="G2" s="32" t="n">
        <x:v>661913600</x:v>
      </x:c>
      <x:c r="H2" s="32" t="str">
        <x:v>Embedding TP</x:v>
      </x:c>
      <x:c r="I2" s="32" t="n">
        <x:f>IF('Decode'!$P$21&gt;0,'Decode'!$P$21,'Decode'!$P$12)</x:f>
        <x:v>1</x:v>
      </x:c>
      <x:c r="J2" s="33" t="n">
        <x:f>E2*F2*G2/1073741824</x:f>
        <x:v>1.23291015625</x:v>
      </x:c>
      <x:c r="K2" s="33" t="n">
        <x:f>J2/I2</x:f>
        <x:v>1.23291015625</x:v>
      </x:c>
      <x:c r="L2" s="29"/>
      <x:c r="M2" s="29"/>
      <x:c r="N2" s="29"/>
      <x:c r="O2" s="34" t="str">
        <x:v>max_num_batched_tokens</x:v>
      </x:c>
      <x:c r="P2" s="35" t="n">
        <x:v>128</x:v>
      </x:c>
    </x:row>
    <x:row r="3" ht="30" customHeight="1">
      <x:c r="A3" s="29" t="str">
        <x:v>LM Head</x:v>
      </x:c>
      <x:c r="B3" s="40" t="str">
        <x:v>head.weight</x:v>
      </x:c>
      <x:c r="C3" s="29" t="str">
        <x:v>[129280, 5120]</x:v>
      </x:c>
      <x:c r="D3" s="29" t="str">
        <x:v>BF16</x:v>
      </x:c>
      <x:c r="E3" s="31" t="n">
        <x:v>2</x:v>
      </x:c>
      <x:c r="F3" s="32" t="n">
        <x:v>1</x:v>
      </x:c>
      <x:c r="G3" s="32" t="n">
        <x:v>661913600</x:v>
      </x:c>
      <x:c r="H3" s="32" t="str">
        <x:v>LM Head TP</x:v>
      </x:c>
      <x:c r="I3" s="32" t="n">
        <x:f>IF('Decode'!$P$20&gt;0,'Decode'!$P$20,'Decode'!$P$12)</x:f>
        <x:v>1</x:v>
      </x:c>
      <x:c r="J3" s="33" t="n">
        <x:f>E3*F3*G3/1073741824</x:f>
        <x:v>1.23291015625</x:v>
      </x:c>
      <x:c r="K3" s="33" t="n">
        <x:f>J3/I3</x:f>
        <x:v>1.23291015625</x:v>
      </x:c>
      <x:c r="L3" s="29"/>
      <x:c r="M3" s="29"/>
      <x:c r="N3" s="29"/>
      <x:c r="O3" s="34" t="str">
        <x:v>max_num_seqs</x:v>
      </x:c>
      <x:c r="P3" s="35" t="n">
        <x:v>128</x:v>
      </x:c>
    </x:row>
    <x:row r="4" ht="30" customHeight="1">
      <x:c r="A4" s="29" t="str">
        <x:v>Backbone</x:v>
      </x:c>
      <x:c r="B4" s="40" t="str">
        <x:v>norm.weight</x:v>
      </x:c>
      <x:c r="C4" s="29" t="str">
        <x:v>[5120]</x:v>
      </x:c>
      <x:c r="D4" s="29" t="str">
        <x:v>BF16</x:v>
      </x:c>
      <x:c r="E4" s="31" t="n">
        <x:v>2</x:v>
      </x:c>
      <x:c r="F4" s="32" t="n">
        <x:v>1</x:v>
      </x:c>
      <x:c r="G4" s="32" t="n">
        <x:v>5120</x:v>
      </x:c>
      <x:c r="H4" s="32" t="str">
        <x:v>Replicated</x:v>
      </x:c>
      <x:c r="I4" s="32" t="n">
        <x:f>1</x:f>
        <x:v>1</x:v>
      </x:c>
      <x:c r="J4" s="33" t="n">
        <x:f>E4*F4*G4/1073741824</x:f>
        <x:v>0.0000095367431640625</x:v>
      </x:c>
      <x:c r="K4" s="33" t="n">
        <x:f>J4/I4</x:f>
        <x:v>0.0000095367431640625</x:v>
      </x:c>
      <x:c r="L4" s="29"/>
      <x:c r="M4" s="29"/>
      <x:c r="N4" s="29"/>
      <x:c r="O4" s="34" t="str">
        <x:v>平均输入 Token 数</x:v>
      </x:c>
      <x:c r="P4" s="35" t="n">
        <x:v>262144</x:v>
      </x:c>
    </x:row>
    <x:row r="5" ht="30" customHeight="1">
      <x:c r="A5" s="29" t="str">
        <x:v>Attention</x:v>
      </x:c>
      <x:c r="B5" s="40" t="str">
        <x:v>layers.N.attn.attn_sink</x:v>
      </x:c>
      <x:c r="C5" s="29" t="str">
        <x:v>[64]</x:v>
      </x:c>
      <x:c r="D5" s="29" t="str">
        <x:v>F32</x:v>
      </x:c>
      <x:c r="E5" s="31" t="n">
        <x:v>4</x:v>
      </x:c>
      <x:c r="F5" s="32" t="n">
        <x:v>40</x:v>
      </x:c>
      <x:c r="G5" s="32" t="n">
        <x:v>64</x:v>
      </x:c>
      <x:c r="H5" s="32" t="str">
        <x:v>DSA CP / TP</x:v>
      </x:c>
      <x:c r="I5" s="32" t="n">
        <x:f>IF('Decode'!$P$25&lt;&gt;0,1,'Decode'!$P$12)</x:f>
        <x:v>1</x:v>
      </x:c>
      <x:c r="J5" s="33" t="n">
        <x:f>E5*F5*G5/1073741824</x:f>
        <x:v>0.0000095367431640625</x:v>
      </x:c>
      <x:c r="K5" s="33" t="n">
        <x:f>J5/I5</x:f>
        <x:v>0.0000095367431640625</x:v>
      </x:c>
      <x:c r="L5" s="29"/>
      <x:c r="M5" s="29"/>
      <x:c r="N5" s="29"/>
      <x:c r="O5" s="34" t="str">
        <x:v>平均输出 Token 数</x:v>
      </x:c>
      <x:c r="P5" s="35" t="n">
        <x:v>1024</x:v>
      </x:c>
    </x:row>
    <x:row r="6" ht="30" customHeight="1">
      <x:c r="A6" s="29" t="str">
        <x:v>Attention</x:v>
      </x:c>
      <x:c r="B6" s="40" t="str">
        <x:v>layers.N.attn.wq_a.weight</x:v>
      </x:c>
      <x:c r="C6" s="29" t="str">
        <x:v>[1280, 5120]</x:v>
      </x:c>
      <x:c r="D6" s="29" t="str">
        <x:v>FP8 E4M3</x:v>
      </x:c>
      <x:c r="E6" s="31" t="n">
        <x:v>1</x:v>
      </x:c>
      <x:c r="F6" s="32" t="n">
        <x:v>40</x:v>
      </x:c>
      <x:c r="G6" s="32" t="n">
        <x:v>6553600</x:v>
      </x:c>
      <x:c r="H6" s="32" t="str">
        <x:v>Replicated</x:v>
      </x:c>
      <x:c r="I6" s="32" t="n">
        <x:f>1</x:f>
        <x:v>1</x:v>
      </x:c>
      <x:c r="J6" s="33" t="n">
        <x:f>E6*F6*G6/1073741824</x:f>
        <x:v>0.244140625</x:v>
      </x:c>
      <x:c r="K6" s="33" t="n">
        <x:f>J6/I6</x:f>
        <x:v>0.244140625</x:v>
      </x:c>
      <x:c r="L6" s="29"/>
      <x:c r="M6" s="29"/>
      <x:c r="N6" s="29"/>
      <x:c r="O6" s="34" t="str">
        <x:v>投机采样步数</x:v>
      </x:c>
      <x:c r="P6" s="35" t="n">
        <x:v>0</x:v>
      </x:c>
    </x:row>
    <x:row r="7" ht="30" customHeight="1">
      <x:c r="A7" s="29" t="str">
        <x:v>Attention</x:v>
      </x:c>
      <x:c r="B7" s="40" t="str">
        <x:v>layers.N.attn.wq_a.scale</x:v>
      </x:c>
      <x:c r="C7" s="29" t="str">
        <x:v>[40, 160]</x:v>
      </x:c>
      <x:c r="D7" s="29" t="str">
        <x:v>E8M0</x:v>
      </x:c>
      <x:c r="E7" s="31" t="n">
        <x:v>1</x:v>
      </x:c>
      <x:c r="F7" s="32" t="n">
        <x:v>40</x:v>
      </x:c>
      <x:c r="G7" s="32" t="n">
        <x:v>6400</x:v>
      </x:c>
      <x:c r="H7" s="32" t="str">
        <x:v>Replicated</x:v>
      </x:c>
      <x:c r="I7" s="32" t="n">
        <x:f>1</x:f>
        <x:v>1</x:v>
      </x:c>
      <x:c r="J7" s="33" t="n">
        <x:f>E7*F7*G7/1073741824</x:f>
        <x:v>0.0002384185791015625</x:v>
      </x:c>
      <x:c r="K7" s="33" t="n">
        <x:f>J7/I7</x:f>
        <x:v>0.0002384185791015625</x:v>
      </x:c>
      <x:c r="L7" s="29"/>
      <x:c r="M7" s="29"/>
      <x:c r="N7" s="29"/>
      <x:c r="O7" s="34" t="str">
        <x:v>当前 Step Token 数</x:v>
      </x:c>
      <x:c r="P7" s="36" t="n">
        <x:f>MIN($P$2,$P$3*($P$6+1))</x:f>
        <x:v>128</x:v>
      </x:c>
    </x:row>
    <x:row r="8" ht="30" customHeight="1">
      <x:c r="A8" s="29" t="str">
        <x:v>Attention</x:v>
      </x:c>
      <x:c r="B8" s="40" t="str">
        <x:v>layers.N.attn.wq_b.weight</x:v>
      </x:c>
      <x:c r="C8" s="29" t="str">
        <x:v>[32768, 1280]</x:v>
      </x:c>
      <x:c r="D8" s="29" t="str">
        <x:v>FP8 E4M3</x:v>
      </x:c>
      <x:c r="E8" s="31" t="n">
        <x:v>1</x:v>
      </x:c>
      <x:c r="F8" s="32" t="n">
        <x:v>40</x:v>
      </x:c>
      <x:c r="G8" s="32" t="n">
        <x:v>41943040</x:v>
      </x:c>
      <x:c r="H8" s="32" t="str">
        <x:v>DSA CP / TP</x:v>
      </x:c>
      <x:c r="I8" s="32" t="n">
        <x:f>IF('Decode'!$P$25&lt;&gt;0,1,'Decode'!$P$12)</x:f>
        <x:v>1</x:v>
      </x:c>
      <x:c r="J8" s="33" t="n">
        <x:f>E8*F8*G8/1073741824</x:f>
        <x:v>1.5625</x:v>
      </x:c>
      <x:c r="K8" s="33" t="n">
        <x:f>J8/I8</x:f>
        <x:v>1.5625</x:v>
      </x:c>
      <x:c r="L8" s="29"/>
      <x:c r="M8" s="29"/>
      <x:c r="N8" s="29"/>
      <x:c r="O8" s="34" t="str">
        <x:v>本 Step 采样行数</x:v>
      </x:c>
      <x:c r="P8" s="36" t="n">
        <x:f>MIN($P$7,$P$3*($P$6+1))</x:f>
        <x:v>128</x:v>
      </x:c>
    </x:row>
    <x:row r="9" ht="30" customHeight="1">
      <x:c r="A9" s="29" t="str">
        <x:v>Attention</x:v>
      </x:c>
      <x:c r="B9" s="40" t="str">
        <x:v>layers.N.attn.wq_b.scale</x:v>
      </x:c>
      <x:c r="C9" s="29" t="str">
        <x:v>[1024, 40]</x:v>
      </x:c>
      <x:c r="D9" s="29" t="str">
        <x:v>E8M0</x:v>
      </x:c>
      <x:c r="E9" s="31" t="n">
        <x:v>1</x:v>
      </x:c>
      <x:c r="F9" s="32" t="n">
        <x:v>40</x:v>
      </x:c>
      <x:c r="G9" s="32" t="n">
        <x:v>40960</x:v>
      </x:c>
      <x:c r="H9" s="32" t="str">
        <x:v>DSA CP / TP</x:v>
      </x:c>
      <x:c r="I9" s="32" t="n">
        <x:f>IF('Decode'!$P$25&lt;&gt;0,1,'Decode'!$P$12)</x:f>
        <x:v>1</x:v>
      </x:c>
      <x:c r="J9" s="33" t="n">
        <x:f>E9*F9*G9/1073741824</x:f>
        <x:v>0.00152587890625</x:v>
      </x:c>
      <x:c r="K9" s="33" t="n">
        <x:f>J9/I9</x:f>
        <x:v>0.00152587890625</x:v>
      </x:c>
      <x:c r="L9" s="29"/>
      <x:c r="M9" s="29"/>
      <x:c r="N9" s="29"/>
      <x:c r="O9" s="29"/>
      <x:c r="P9" s="29"/>
    </x:row>
    <x:row r="10" ht="30" customHeight="1">
      <x:c r="A10" s="29" t="str">
        <x:v>Attention</x:v>
      </x:c>
      <x:c r="B10" s="40" t="str">
        <x:v>layers.N.attn.wkv.weight</x:v>
      </x:c>
      <x:c r="C10" s="29" t="str">
        <x:v>[512, 5120]</x:v>
      </x:c>
      <x:c r="D10" s="29" t="str">
        <x:v>FP8 E4M3</x:v>
      </x:c>
      <x:c r="E10" s="31" t="n">
        <x:v>1</x:v>
      </x:c>
      <x:c r="F10" s="32" t="n">
        <x:v>40</x:v>
      </x:c>
      <x:c r="G10" s="32" t="n">
        <x:v>2621440</x:v>
      </x:c>
      <x:c r="H10" s="32" t="str">
        <x:v>Replicated</x:v>
      </x:c>
      <x:c r="I10" s="32" t="n">
        <x:f>1</x:f>
        <x:v>1</x:v>
      </x:c>
      <x:c r="J10" s="33" t="n">
        <x:f>E10*F10*G10/1073741824</x:f>
        <x:v>0.09765625</x:v>
      </x:c>
      <x:c r="K10" s="33" t="n">
        <x:f>J10/I10</x:f>
        <x:v>0.09765625</x:v>
      </x:c>
      <x:c r="L10" s="29"/>
      <x:c r="M10" s="29"/>
      <x:c r="N10" s="29"/>
      <x:c r="O10" s="30" t="str">
        <x:v>并行策略</x:v>
      </x:c>
      <x:c r="P10" s="30"/>
    </x:row>
    <x:row r="11" ht="30" customHeight="1">
      <x:c r="A11" s="29" t="str">
        <x:v>Attention</x:v>
      </x:c>
      <x:c r="B11" s="40" t="str">
        <x:v>layers.N.attn.wkv.scale</x:v>
      </x:c>
      <x:c r="C11" s="29" t="str">
        <x:v>[16, 160]</x:v>
      </x:c>
      <x:c r="D11" s="29" t="str">
        <x:v>E8M0</x:v>
      </x:c>
      <x:c r="E11" s="31" t="n">
        <x:v>1</x:v>
      </x:c>
      <x:c r="F11" s="32" t="n">
        <x:v>40</x:v>
      </x:c>
      <x:c r="G11" s="32" t="n">
        <x:v>2560</x:v>
      </x:c>
      <x:c r="H11" s="32" t="str">
        <x:v>Replicated</x:v>
      </x:c>
      <x:c r="I11" s="32" t="n">
        <x:f>1</x:f>
        <x:v>1</x:v>
      </x:c>
      <x:c r="J11" s="33" t="n">
        <x:f>E11*F11*G11/1073741824</x:f>
        <x:v>0.000095367431640625</x:v>
      </x:c>
      <x:c r="K11" s="33" t="n">
        <x:f>J11/I11</x:f>
        <x:v>0.000095367431640625</x:v>
      </x:c>
      <x:c r="L11" s="29"/>
      <x:c r="M11" s="29"/>
      <x:c r="N11" s="29"/>
      <x:c r="O11" s="34" t="str">
        <x:v>DP</x:v>
      </x:c>
      <x:c r="P11" s="35" t="n">
        <x:v>32</x:v>
      </x:c>
    </x:row>
    <x:row r="12" ht="30" customHeight="1">
      <x:c r="A12" s="29" t="str">
        <x:v>Attention</x:v>
      </x:c>
      <x:c r="B12" s="40" t="str">
        <x:v>layers.N.attn.wo_a.weight</x:v>
      </x:c>
      <x:c r="C12" s="29" t="str">
        <x:v>[8192, 4096]</x:v>
      </x:c>
      <x:c r="D12" s="29" t="str">
        <x:v>FP8 E4M3</x:v>
      </x:c>
      <x:c r="E12" s="31" t="n">
        <x:v>1</x:v>
      </x:c>
      <x:c r="F12" s="32" t="n">
        <x:v>40</x:v>
      </x:c>
      <x:c r="G12" s="32" t="n">
        <x:v>33554432</x:v>
      </x:c>
      <x:c r="H12" s="32" t="str">
        <x:v>TP</x:v>
      </x:c>
      <x:c r="I12" s="32" t="n">
        <x:f>'Decode'!$P$12</x:f>
        <x:v>1</x:v>
      </x:c>
      <x:c r="J12" s="33" t="n">
        <x:f>E12*F12*G12/1073741824</x:f>
        <x:v>1.25</x:v>
      </x:c>
      <x:c r="K12" s="33" t="n">
        <x:f>J12/I12</x:f>
        <x:v>1.25</x:v>
      </x:c>
      <x:c r="L12" s="29"/>
      <x:c r="M12" s="29"/>
      <x:c r="N12" s="29"/>
      <x:c r="O12" s="34" t="str">
        <x:v>TP</x:v>
      </x:c>
      <x:c r="P12" s="35" t="n">
        <x:v>1</x:v>
      </x:c>
    </x:row>
    <x:row r="13" ht="30" customHeight="1">
      <x:c r="A13" s="29" t="str">
        <x:v>Attention</x:v>
      </x:c>
      <x:c r="B13" s="40" t="str">
        <x:v>layers.N.attn.wo_a.scale</x:v>
      </x:c>
      <x:c r="C13" s="29" t="str">
        <x:v>[256, 128]</x:v>
      </x:c>
      <x:c r="D13" s="29" t="str">
        <x:v>E8M0</x:v>
      </x:c>
      <x:c r="E13" s="31" t="n">
        <x:v>1</x:v>
      </x:c>
      <x:c r="F13" s="32" t="n">
        <x:v>40</x:v>
      </x:c>
      <x:c r="G13" s="32" t="n">
        <x:v>32768</x:v>
      </x:c>
      <x:c r="H13" s="32" t="str">
        <x:v>TP</x:v>
      </x:c>
      <x:c r="I13" s="32" t="n">
        <x:f>'Decode'!$P$12</x:f>
        <x:v>1</x:v>
      </x:c>
      <x:c r="J13" s="33" t="n">
        <x:f>E13*F13*G13/1073741824</x:f>
        <x:v>0.001220703125</x:v>
      </x:c>
      <x:c r="K13" s="33" t="n">
        <x:f>J13/I13</x:f>
        <x:v>0.001220703125</x:v>
      </x:c>
      <x:c r="L13" s="29"/>
      <x:c r="M13" s="29"/>
      <x:c r="N13" s="29"/>
      <x:c r="O13" s="34" t="str">
        <x:v>SP（0/1）</x:v>
      </x:c>
      <x:c r="P13" s="35" t="n">
        <x:v>0</x:v>
      </x:c>
    </x:row>
    <x:row r="14" ht="30" customHeight="1">
      <x:c r="A14" s="29" t="str">
        <x:v>Attention</x:v>
      </x:c>
      <x:c r="B14" s="40" t="str">
        <x:v>layers.N.attn.wo_b.weight</x:v>
      </x:c>
      <x:c r="C14" s="29" t="str">
        <x:v>[5120, 8192]</x:v>
      </x:c>
      <x:c r="D14" s="29" t="str">
        <x:v>FP8 E4M3</x:v>
      </x:c>
      <x:c r="E14" s="31" t="n">
        <x:v>1</x:v>
      </x:c>
      <x:c r="F14" s="32" t="n">
        <x:v>40</x:v>
      </x:c>
      <x:c r="G14" s="32" t="n">
        <x:v>41943040</x:v>
      </x:c>
      <x:c r="H14" s="32" t="str">
        <x:v>TP</x:v>
      </x:c>
      <x:c r="I14" s="32" t="n">
        <x:f>'Decode'!$P$12</x:f>
        <x:v>1</x:v>
      </x:c>
      <x:c r="J14" s="33" t="n">
        <x:f>E14*F14*G14/1073741824</x:f>
        <x:v>1.5625</x:v>
      </x:c>
      <x:c r="K14" s="33" t="n">
        <x:f>J14/I14</x:f>
        <x:v>1.5625</x:v>
      </x:c>
      <x:c r="L14" s="29"/>
      <x:c r="M14" s="29"/>
      <x:c r="N14" s="29"/>
      <x:c r="O14" s="34" t="str">
        <x:v>EP</x:v>
      </x:c>
      <x:c r="P14" s="35" t="n">
        <x:v>32</x:v>
      </x:c>
    </x:row>
    <x:row r="15" ht="30" customHeight="1">
      <x:c r="A15" s="29" t="str">
        <x:v>Attention</x:v>
      </x:c>
      <x:c r="B15" s="40" t="str">
        <x:v>layers.N.attn.wo_b.scale</x:v>
      </x:c>
      <x:c r="C15" s="29" t="str">
        <x:v>[160, 256]</x:v>
      </x:c>
      <x:c r="D15" s="29" t="str">
        <x:v>E8M0</x:v>
      </x:c>
      <x:c r="E15" s="31" t="n">
        <x:v>1</x:v>
      </x:c>
      <x:c r="F15" s="32" t="n">
        <x:v>40</x:v>
      </x:c>
      <x:c r="G15" s="32" t="n">
        <x:v>40960</x:v>
      </x:c>
      <x:c r="H15" s="32" t="str">
        <x:v>TP</x:v>
      </x:c>
      <x:c r="I15" s="32" t="n">
        <x:f>'Decode'!$P$12</x:f>
        <x:v>1</x:v>
      </x:c>
      <x:c r="J15" s="33" t="n">
        <x:f>E15*F15*G15/1073741824</x:f>
        <x:v>0.00152587890625</x:v>
      </x:c>
      <x:c r="K15" s="33" t="n">
        <x:f>J15/I15</x:f>
        <x:v>0.00152587890625</x:v>
      </x:c>
      <x:c r="L15" s="29"/>
      <x:c r="M15" s="29"/>
      <x:c r="N15" s="29"/>
      <x:c r="O15" s="34"/>
      <x:c r="P15" s="34"/>
    </x:row>
    <x:row r="16" ht="30" customHeight="1">
      <x:c r="A16" s="29" t="str">
        <x:v>Attention</x:v>
      </x:c>
      <x:c r="B16" s="40" t="str">
        <x:v>layers.N.attn.q_norm.weight</x:v>
      </x:c>
      <x:c r="C16" s="29" t="str">
        <x:v>[1280]</x:v>
      </x:c>
      <x:c r="D16" s="29" t="str">
        <x:v>BF16</x:v>
      </x:c>
      <x:c r="E16" s="31" t="n">
        <x:v>2</x:v>
      </x:c>
      <x:c r="F16" s="32" t="n">
        <x:v>40</x:v>
      </x:c>
      <x:c r="G16" s="32" t="n">
        <x:v>1280</x:v>
      </x:c>
      <x:c r="H16" s="32" t="str">
        <x:v>Replicated</x:v>
      </x:c>
      <x:c r="I16" s="32" t="n">
        <x:f>1</x:f>
        <x:v>1</x:v>
      </x:c>
      <x:c r="J16" s="33" t="n">
        <x:f>E16*F16*G16/1073741824</x:f>
        <x:v>0.000095367431640625</x:v>
      </x:c>
      <x:c r="K16" s="33" t="n">
        <x:f>J16/I16</x:f>
        <x:v>0.000095367431640625</x:v>
      </x:c>
      <x:c r="L16" s="29"/>
      <x:c r="M16" s="29"/>
      <x:c r="N16" s="29"/>
      <x:c r="O16" s="34"/>
      <x:c r="P16" s="34"/>
    </x:row>
    <x:row r="17" ht="30" customHeight="1">
      <x:c r="A17" s="29" t="str">
        <x:v>Attention</x:v>
      </x:c>
      <x:c r="B17" s="40" t="str">
        <x:v>layers.N.attn.kv_norm.weight</x:v>
      </x:c>
      <x:c r="C17" s="29" t="str">
        <x:v>[512]</x:v>
      </x:c>
      <x:c r="D17" s="29" t="str">
        <x:v>BF16</x:v>
      </x:c>
      <x:c r="E17" s="31" t="n">
        <x:v>2</x:v>
      </x:c>
      <x:c r="F17" s="32" t="n">
        <x:v>40</x:v>
      </x:c>
      <x:c r="G17" s="32" t="n">
        <x:v>512</x:v>
      </x:c>
      <x:c r="H17" s="32" t="str">
        <x:v>Replicated</x:v>
      </x:c>
      <x:c r="I17" s="32" t="n">
        <x:f>1</x:f>
        <x:v>1</x:v>
      </x:c>
      <x:c r="J17" s="33" t="n">
        <x:f>E17*F17*G17/1073741824</x:f>
        <x:v>0.00003814697265625</x:v>
      </x:c>
      <x:c r="K17" s="33" t="n">
        <x:f>J17/I17</x:f>
        <x:v>0.00003814697265625</x:v>
      </x:c>
      <x:c r="L17" s="29"/>
      <x:c r="M17" s="29"/>
      <x:c r="N17" s="29"/>
      <x:c r="O17" s="34"/>
      <x:c r="P17" s="34"/>
    </x:row>
    <x:row r="18" ht="30" customHeight="1">
      <x:c r="A18" s="29" t="str">
        <x:v>Attention</x:v>
      </x:c>
      <x:c r="B18" s="40" t="str">
        <x:v>layers.N.attn_norm.weight</x:v>
      </x:c>
      <x:c r="C18" s="29" t="str">
        <x:v>[5120]</x:v>
      </x:c>
      <x:c r="D18" s="29" t="str">
        <x:v>BF16</x:v>
      </x:c>
      <x:c r="E18" s="31" t="n">
        <x:v>2</x:v>
      </x:c>
      <x:c r="F18" s="32" t="n">
        <x:v>40</x:v>
      </x:c>
      <x:c r="G18" s="32" t="n">
        <x:v>5120</x:v>
      </x:c>
      <x:c r="H18" s="32" t="str">
        <x:v>Replicated</x:v>
      </x:c>
      <x:c r="I18" s="32" t="n">
        <x:f>1</x:f>
        <x:v>1</x:v>
      </x:c>
      <x:c r="J18" s="33" t="n">
        <x:f>E18*F18*G18/1073741824</x:f>
        <x:v>0.0003814697265625</x:v>
      </x:c>
      <x:c r="K18" s="33" t="n">
        <x:f>J18/I18</x:f>
        <x:v>0.0003814697265625</x:v>
      </x:c>
      <x:c r="L18" s="29"/>
      <x:c r="M18" s="29"/>
      <x:c r="N18" s="29"/>
      <x:c r="O18" s="34"/>
      <x:c r="P18" s="34"/>
    </x:row>
    <x:row r="19" ht="30" customHeight="1">
      <x:c r="A19" s="29" t="str">
        <x:v>Attention</x:v>
      </x:c>
      <x:c r="B19" s="40" t="str">
        <x:v>layers.N.ffn_norm.weight</x:v>
      </x:c>
      <x:c r="C19" s="29" t="str">
        <x:v>[5120]</x:v>
      </x:c>
      <x:c r="D19" s="29" t="str">
        <x:v>BF16</x:v>
      </x:c>
      <x:c r="E19" s="31" t="n">
        <x:v>2</x:v>
      </x:c>
      <x:c r="F19" s="32" t="n">
        <x:v>40</x:v>
      </x:c>
      <x:c r="G19" s="32" t="n">
        <x:v>5120</x:v>
      </x:c>
      <x:c r="H19" s="32" t="str">
        <x:v>Replicated</x:v>
      </x:c>
      <x:c r="I19" s="32" t="n">
        <x:f>1</x:f>
        <x:v>1</x:v>
      </x:c>
      <x:c r="J19" s="33" t="n">
        <x:f>E19*F19*G19/1073741824</x:f>
        <x:v>0.0003814697265625</x:v>
      </x:c>
      <x:c r="K19" s="33" t="n">
        <x:f>J19/I19</x:f>
        <x:v>0.0003814697265625</x:v>
      </x:c>
      <x:c r="L19" s="29"/>
      <x:c r="M19" s="29"/>
      <x:c r="N19" s="29"/>
      <x:c r="O19" s="34"/>
      <x:c r="P19" s="34"/>
    </x:row>
    <x:row r="20" ht="30" customHeight="1">
      <x:c r="A20" s="29" t="str">
        <x:v>MoE Router</x:v>
      </x:c>
      <x:c r="B20" s="40" t="str">
        <x:v>layers.N.ffn.gate.weight</x:v>
      </x:c>
      <x:c r="C20" s="29" t="str">
        <x:v>[384, 5120]</x:v>
      </x:c>
      <x:c r="D20" s="29" t="str">
        <x:v>BF16</x:v>
      </x:c>
      <x:c r="E20" s="31" t="n">
        <x:v>2</x:v>
      </x:c>
      <x:c r="F20" s="32" t="n">
        <x:v>40</x:v>
      </x:c>
      <x:c r="G20" s="32" t="n">
        <x:v>1966080</x:v>
      </x:c>
      <x:c r="H20" s="32" t="str">
        <x:v>Replicated</x:v>
      </x:c>
      <x:c r="I20" s="32" t="n">
        <x:f>1</x:f>
        <x:v>1</x:v>
      </x:c>
      <x:c r="J20" s="33" t="n">
        <x:f>E20*F20*G20/1073741824</x:f>
        <x:v>0.146484375</x:v>
      </x:c>
      <x:c r="K20" s="33" t="n">
        <x:f>J20/I20</x:f>
        <x:v>0.146484375</x:v>
      </x:c>
      <x:c r="L20" s="29"/>
      <x:c r="M20" s="29"/>
      <x:c r="N20" s="29"/>
      <x:c r="O20" s="34"/>
      <x:c r="P20" s="34"/>
    </x:row>
    <x:row r="21" ht="30" customHeight="1">
      <x:c r="A21" s="29" t="str">
        <x:v>MoE Router</x:v>
      </x:c>
      <x:c r="B21" s="40" t="str">
        <x:v>layers.N.ffn.gate.bias</x:v>
      </x:c>
      <x:c r="C21" s="29" t="str">
        <x:v>[384]</x:v>
      </x:c>
      <x:c r="D21" s="29" t="str">
        <x:v>F32</x:v>
      </x:c>
      <x:c r="E21" s="31" t="n">
        <x:v>4</x:v>
      </x:c>
      <x:c r="F21" s="32" t="n">
        <x:v>40</x:v>
      </x:c>
      <x:c r="G21" s="32" t="n">
        <x:v>384</x:v>
      </x:c>
      <x:c r="H21" s="32" t="str">
        <x:v>Replicated</x:v>
      </x:c>
      <x:c r="I21" s="32" t="n">
        <x:f>1</x:f>
        <x:v>1</x:v>
      </x:c>
      <x:c r="J21" s="33" t="n">
        <x:f>E21*F21*G21/1073741824</x:f>
        <x:v>0.000057220458984375</x:v>
      </x:c>
      <x:c r="K21" s="33" t="n">
        <x:f>J21/I21</x:f>
        <x:v>0.000057220458984375</x:v>
      </x:c>
      <x:c r="L21" s="29"/>
      <x:c r="M21" s="29"/>
      <x:c r="N21" s="29"/>
      <x:c r="O21" s="34"/>
      <x:c r="P21" s="34"/>
    </x:row>
    <x:row r="22" ht="30" customHeight="1">
      <x:c r="A22" s="29" t="str">
        <x:v>MoE Router</x:v>
      </x:c>
      <x:c r="B22" s="40" t="str">
        <x:v>layers.N.ffn.gate.bias_vl</x:v>
      </x:c>
      <x:c r="C22" s="29" t="str">
        <x:v>[384]</x:v>
      </x:c>
      <x:c r="D22" s="29" t="str">
        <x:v>F32</x:v>
      </x:c>
      <x:c r="E22" s="31" t="n">
        <x:v>4</x:v>
      </x:c>
      <x:c r="F22" s="32" t="n">
        <x:v>40</x:v>
      </x:c>
      <x:c r="G22" s="32" t="n">
        <x:v>384</x:v>
      </x:c>
      <x:c r="H22" s="32" t="str">
        <x:v>Replicated</x:v>
      </x:c>
      <x:c r="I22" s="32" t="n">
        <x:f>1</x:f>
        <x:v>1</x:v>
      </x:c>
      <x:c r="J22" s="33" t="n">
        <x:f>E22*F22*G22/1073741824</x:f>
        <x:v>0.000057220458984375</x:v>
      </x:c>
      <x:c r="K22" s="33" t="n">
        <x:f>J22/I22</x:f>
        <x:v>0.000057220458984375</x:v>
      </x:c>
      <x:c r="L22" s="29"/>
      <x:c r="M22" s="29"/>
      <x:c r="N22" s="29"/>
      <x:c r="O22" s="34"/>
      <x:c r="P22" s="34"/>
    </x:row>
    <x:row r="23" ht="30" customHeight="1">
      <x:c r="A23" s="29" t="str">
        <x:v>Routed Experts</x:v>
      </x:c>
      <x:c r="B23" s="40" t="str">
        <x:v>layers.N.ffn.experts.N.w1.weight</x:v>
      </x:c>
      <x:c r="C23" s="29" t="str">
        <x:v>[2304, 5120]</x:v>
      </x:c>
      <x:c r="D23" s="29" t="str">
        <x:v>FP4 E2M1</x:v>
      </x:c>
      <x:c r="E23" s="31" t="n">
        <x:v>0.5</x:v>
      </x:c>
      <x:c r="F23" s="32" t="n">
        <x:v>15360</x:v>
      </x:c>
      <x:c r="G23" s="32" t="n">
        <x:v>11796480</x:v>
      </x:c>
      <x:c r="H23" s="32" t="str">
        <x:v>EP</x:v>
      </x:c>
      <x:c r="I23" s="32" t="n">
        <x:f>'Decode'!$P$14</x:f>
        <x:v>32</x:v>
      </x:c>
      <x:c r="J23" s="33" t="n">
        <x:f>E23*F23*G23/1073741824</x:f>
        <x:v>84.375</x:v>
      </x:c>
      <x:c r="K23" s="33" t="n">
        <x:f>J23/I23</x:f>
        <x:v>2.63671875</x:v>
      </x:c>
      <x:c r="L23" s="29"/>
      <x:c r="M23" s="29"/>
      <x:c r="N23" s="29"/>
      <x:c r="O23" s="34"/>
      <x:c r="P23" s="34"/>
    </x:row>
    <x:row r="24" ht="30" customHeight="1">
      <x:c r="A24" s="29" t="str">
        <x:v>Routed Experts</x:v>
      </x:c>
      <x:c r="B24" s="40" t="str">
        <x:v>layers.N.ffn.experts.N.w1.scale</x:v>
      </x:c>
      <x:c r="C24" s="29" t="str">
        <x:v>[2304, 160]</x:v>
      </x:c>
      <x:c r="D24" s="29" t="str">
        <x:v>E8M0</x:v>
      </x:c>
      <x:c r="E24" s="31" t="n">
        <x:v>1</x:v>
      </x:c>
      <x:c r="F24" s="32" t="n">
        <x:v>15360</x:v>
      </x:c>
      <x:c r="G24" s="32" t="n">
        <x:v>368640</x:v>
      </x:c>
      <x:c r="H24" s="32" t="str">
        <x:v>EP</x:v>
      </x:c>
      <x:c r="I24" s="32" t="n">
        <x:f>'Decode'!$P$14</x:f>
        <x:v>32</x:v>
      </x:c>
      <x:c r="J24" s="33" t="n">
        <x:f>E24*F24*G24/1073741824</x:f>
        <x:v>5.2734375</x:v>
      </x:c>
      <x:c r="K24" s="33" t="n">
        <x:f>J24/I24</x:f>
        <x:v>0.164794921875</x:v>
      </x:c>
      <x:c r="L24" s="29"/>
      <x:c r="M24" s="29"/>
      <x:c r="N24" s="29"/>
      <x:c r="O24" s="34"/>
      <x:c r="P24" s="34"/>
    </x:row>
    <x:row r="25" ht="30" customHeight="1">
      <x:c r="A25" s="29" t="str">
        <x:v>Shared Experts</x:v>
      </x:c>
      <x:c r="B25" s="40" t="str">
        <x:v>layers.N.ffn.shared_experts.w1.weight</x:v>
      </x:c>
      <x:c r="C25" s="29" t="str">
        <x:v>[2304, 5120]</x:v>
      </x:c>
      <x:c r="D25" s="29" t="str">
        <x:v>FP8 E4M3</x:v>
      </x:c>
      <x:c r="E25" s="31" t="n">
        <x:v>1</x:v>
      </x:c>
      <x:c r="F25" s="32" t="n">
        <x:v>40</x:v>
      </x:c>
      <x:c r="G25" s="32" t="n">
        <x:v>11796480</x:v>
      </x:c>
      <x:c r="H25" s="32" t="str">
        <x:v>SP 复制 / 非 SP TP</x:v>
      </x:c>
      <x:c r="I25" s="32" t="n">
        <x:f>IF('Decode'!$P$13&lt;&gt;0,1,'Decode'!$P$12)</x:f>
        <x:v>1</x:v>
      </x:c>
      <x:c r="J25" s="33" t="n">
        <x:f>E25*F25*G25/1073741824</x:f>
        <x:v>0.439453125</x:v>
      </x:c>
      <x:c r="K25" s="33" t="n">
        <x:f>J25/I25</x:f>
        <x:v>0.439453125</x:v>
      </x:c>
      <x:c r="L25" s="29"/>
      <x:c r="M25" s="29"/>
      <x:c r="N25" s="29"/>
      <x:c r="O25" s="34" t="str">
        <x:v>DSA CP（0/1）</x:v>
      </x:c>
      <x:c r="P25" s="35" t="n">
        <x:v>0</x:v>
      </x:c>
    </x:row>
    <x:row r="26" ht="30" customHeight="1">
      <x:c r="A26" s="29" t="str">
        <x:v>Shared Experts</x:v>
      </x:c>
      <x:c r="B26" s="40" t="str">
        <x:v>layers.N.ffn.shared_experts.w1.scale</x:v>
      </x:c>
      <x:c r="C26" s="29" t="str">
        <x:v>[72, 160]</x:v>
      </x:c>
      <x:c r="D26" s="29" t="str">
        <x:v>E8M0</x:v>
      </x:c>
      <x:c r="E26" s="31" t="n">
        <x:v>1</x:v>
      </x:c>
      <x:c r="F26" s="32" t="n">
        <x:v>40</x:v>
      </x:c>
      <x:c r="G26" s="32" t="n">
        <x:v>11520</x:v>
      </x:c>
      <x:c r="H26" s="32" t="str">
        <x:v>SP 复制 / 非 SP TP</x:v>
      </x:c>
      <x:c r="I26" s="32" t="n">
        <x:f>IF('Decode'!$P$13&lt;&gt;0,1,'Decode'!$P$12)</x:f>
        <x:v>1</x:v>
      </x:c>
      <x:c r="J26" s="33" t="n">
        <x:f>E26*F26*G26/1073741824</x:f>
        <x:v>0.0004291534423828125</x:v>
      </x:c>
      <x:c r="K26" s="33" t="n">
        <x:f>J26/I26</x:f>
        <x:v>0.0004291534423828125</x:v>
      </x:c>
      <x:c r="L26" s="29"/>
      <x:c r="M26" s="29"/>
      <x:c r="N26" s="29"/>
      <x:c r="O26" s="29"/>
      <x:c r="P26" s="29"/>
    </x:row>
    <x:row r="27" ht="30" customHeight="1">
      <x:c r="A27" s="29" t="str">
        <x:v>Routed Experts</x:v>
      </x:c>
      <x:c r="B27" s="40" t="str">
        <x:v>layers.N.ffn.experts.N.w3.weight</x:v>
      </x:c>
      <x:c r="C27" s="29" t="str">
        <x:v>[2304, 5120]</x:v>
      </x:c>
      <x:c r="D27" s="29" t="str">
        <x:v>FP4 E2M1</x:v>
      </x:c>
      <x:c r="E27" s="31" t="n">
        <x:v>0.5</x:v>
      </x:c>
      <x:c r="F27" s="32" t="n">
        <x:v>15360</x:v>
      </x:c>
      <x:c r="G27" s="32" t="n">
        <x:v>11796480</x:v>
      </x:c>
      <x:c r="H27" s="32" t="str">
        <x:v>EP</x:v>
      </x:c>
      <x:c r="I27" s="32" t="n">
        <x:f>'Decode'!$P$14</x:f>
        <x:v>32</x:v>
      </x:c>
      <x:c r="J27" s="33" t="n">
        <x:f>E27*F27*G27/1073741824</x:f>
        <x:v>84.375</x:v>
      </x:c>
      <x:c r="K27" s="33" t="n">
        <x:f>J27/I27</x:f>
        <x:v>2.63671875</x:v>
      </x:c>
      <x:c r="L27" s="29"/>
      <x:c r="M27" s="29"/>
      <x:c r="N27" s="29"/>
      <x:c r="O27" s="30" t="str">
        <x:v>通信参数</x:v>
      </x:c>
      <x:c r="P27" s="30"/>
    </x:row>
    <x:row r="28" ht="30" customHeight="1">
      <x:c r="A28" s="29" t="str">
        <x:v>Routed Experts</x:v>
      </x:c>
      <x:c r="B28" s="40" t="str">
        <x:v>layers.N.ffn.experts.N.w3.scale</x:v>
      </x:c>
      <x:c r="C28" s="29" t="str">
        <x:v>[2304, 160]</x:v>
      </x:c>
      <x:c r="D28" s="29" t="str">
        <x:v>E8M0</x:v>
      </x:c>
      <x:c r="E28" s="31" t="n">
        <x:v>1</x:v>
      </x:c>
      <x:c r="F28" s="32" t="n">
        <x:v>15360</x:v>
      </x:c>
      <x:c r="G28" s="32" t="n">
        <x:v>368640</x:v>
      </x:c>
      <x:c r="H28" s="32" t="str">
        <x:v>EP</x:v>
      </x:c>
      <x:c r="I28" s="32" t="n">
        <x:f>'Decode'!$P$14</x:f>
        <x:v>32</x:v>
      </x:c>
      <x:c r="J28" s="33" t="n">
        <x:f>E28*F28*G28/1073741824</x:f>
        <x:v>5.2734375</x:v>
      </x:c>
      <x:c r="K28" s="33" t="n">
        <x:f>J28/I28</x:f>
        <x:v>0.164794921875</x:v>
      </x:c>
      <x:c r="L28" s="29"/>
      <x:c r="M28" s="29"/>
      <x:c r="N28" s="29"/>
      <x:c r="O28" s="34" t="str">
        <x:v>激活字节/元素</x:v>
      </x:c>
      <x:c r="P28" s="35" t="n">
        <x:v>2</x:v>
      </x:c>
    </x:row>
    <x:row r="29" ht="30" customHeight="1">
      <x:c r="A29" s="29" t="str">
        <x:v>Shared Experts</x:v>
      </x:c>
      <x:c r="B29" s="40" t="str">
        <x:v>layers.N.ffn.shared_experts.w3.weight</x:v>
      </x:c>
      <x:c r="C29" s="29" t="str">
        <x:v>[2304, 5120]</x:v>
      </x:c>
      <x:c r="D29" s="29" t="str">
        <x:v>FP8 E4M3</x:v>
      </x:c>
      <x:c r="E29" s="31" t="n">
        <x:v>1</x:v>
      </x:c>
      <x:c r="F29" s="32" t="n">
        <x:v>40</x:v>
      </x:c>
      <x:c r="G29" s="32" t="n">
        <x:v>11796480</x:v>
      </x:c>
      <x:c r="H29" s="32" t="str">
        <x:v>SP 复制 / 非 SP TP</x:v>
      </x:c>
      <x:c r="I29" s="32" t="n">
        <x:f>IF('Decode'!$P$13&lt;&gt;0,1,'Decode'!$P$12)</x:f>
        <x:v>1</x:v>
      </x:c>
      <x:c r="J29" s="33" t="n">
        <x:f>E29*F29*G29/1073741824</x:f>
        <x:v>0.439453125</x:v>
      </x:c>
      <x:c r="K29" s="33" t="n">
        <x:f>J29/I29</x:f>
        <x:v>0.439453125</x:v>
      </x:c>
      <x:c r="L29" s="29"/>
      <x:c r="M29" s="29"/>
      <x:c r="N29" s="29"/>
      <x:c r="O29" s="34"/>
      <x:c r="P29" s="34"/>
    </x:row>
    <x:row r="30" ht="30" customHeight="1">
      <x:c r="A30" s="29" t="str">
        <x:v>Shared Experts</x:v>
      </x:c>
      <x:c r="B30" s="40" t="str">
        <x:v>layers.N.ffn.shared_experts.w3.scale</x:v>
      </x:c>
      <x:c r="C30" s="29" t="str">
        <x:v>[72, 160]</x:v>
      </x:c>
      <x:c r="D30" s="29" t="str">
        <x:v>E8M0</x:v>
      </x:c>
      <x:c r="E30" s="31" t="n">
        <x:v>1</x:v>
      </x:c>
      <x:c r="F30" s="32" t="n">
        <x:v>40</x:v>
      </x:c>
      <x:c r="G30" s="32" t="n">
        <x:v>11520</x:v>
      </x:c>
      <x:c r="H30" s="32" t="str">
        <x:v>SP 复制 / 非 SP TP</x:v>
      </x:c>
      <x:c r="I30" s="32" t="n">
        <x:f>IF('Decode'!$P$13&lt;&gt;0,1,'Decode'!$P$12)</x:f>
        <x:v>1</x:v>
      </x:c>
      <x:c r="J30" s="33" t="n">
        <x:f>E30*F30*G30/1073741824</x:f>
        <x:v>0.0004291534423828125</x:v>
      </x:c>
      <x:c r="K30" s="33" t="n">
        <x:f>J30/I30</x:f>
        <x:v>0.0004291534423828125</x:v>
      </x:c>
      <x:c r="L30" s="29"/>
      <x:c r="M30" s="29"/>
      <x:c r="N30" s="29"/>
      <x:c r="O30" s="34"/>
      <x:c r="P30" s="34"/>
    </x:row>
    <x:row r="31" ht="30" customHeight="1">
      <x:c r="A31" s="29" t="str">
        <x:v>Routed Experts</x:v>
      </x:c>
      <x:c r="B31" s="40" t="str">
        <x:v>layers.N.ffn.experts.N.w2.weight</x:v>
      </x:c>
      <x:c r="C31" s="29" t="str">
        <x:v>[5120, 2304]</x:v>
      </x:c>
      <x:c r="D31" s="29" t="str">
        <x:v>FP4 E2M1</x:v>
      </x:c>
      <x:c r="E31" s="31" t="n">
        <x:v>0.5</x:v>
      </x:c>
      <x:c r="F31" s="32" t="n">
        <x:v>15360</x:v>
      </x:c>
      <x:c r="G31" s="32" t="n">
        <x:v>11796480</x:v>
      </x:c>
      <x:c r="H31" s="32" t="str">
        <x:v>EP</x:v>
      </x:c>
      <x:c r="I31" s="32" t="n">
        <x:f>'Decode'!$P$14</x:f>
        <x:v>32</x:v>
      </x:c>
      <x:c r="J31" s="33" t="n">
        <x:f>E31*F31*G31/1073741824</x:f>
        <x:v>84.375</x:v>
      </x:c>
      <x:c r="K31" s="33" t="n">
        <x:f>J31/I31</x:f>
        <x:v>2.63671875</x:v>
      </x:c>
      <x:c r="L31" s="29"/>
      <x:c r="M31" s="29"/>
      <x:c r="N31" s="29"/>
      <x:c r="O31" s="34"/>
      <x:c r="P31" s="34"/>
    </x:row>
    <x:row r="32" ht="30" customHeight="1">
      <x:c r="A32" s="29" t="str">
        <x:v>Routed Experts</x:v>
      </x:c>
      <x:c r="B32" s="40" t="str">
        <x:v>layers.N.ffn.experts.N.w2.scale</x:v>
      </x:c>
      <x:c r="C32" s="29" t="str">
        <x:v>[5120, 72]</x:v>
      </x:c>
      <x:c r="D32" s="29" t="str">
        <x:v>E8M0</x:v>
      </x:c>
      <x:c r="E32" s="31" t="n">
        <x:v>1</x:v>
      </x:c>
      <x:c r="F32" s="32" t="n">
        <x:v>15360</x:v>
      </x:c>
      <x:c r="G32" s="32" t="n">
        <x:v>368640</x:v>
      </x:c>
      <x:c r="H32" s="32" t="str">
        <x:v>EP</x:v>
      </x:c>
      <x:c r="I32" s="32" t="n">
        <x:f>'Decode'!$P$14</x:f>
        <x:v>32</x:v>
      </x:c>
      <x:c r="J32" s="33" t="n">
        <x:f>E32*F32*G32/1073741824</x:f>
        <x:v>5.2734375</x:v>
      </x:c>
      <x:c r="K32" s="33" t="n">
        <x:f>J32/I32</x:f>
        <x:v>0.164794921875</x:v>
      </x:c>
      <x:c r="L32" s="29"/>
      <x:c r="M32" s="29"/>
      <x:c r="N32" s="29"/>
      <x:c r="O32" s="34" t="str">
        <x:v>跨 EP Rank 路由比例</x:v>
      </x:c>
      <x:c r="P32" s="37" t="n">
        <x:f>IF($P$14&gt;1,($P$14-1)/$P$14,0)</x:f>
        <x:v>0.96875</x:v>
      </x:c>
    </x:row>
    <x:row r="33" ht="30" customHeight="1">
      <x:c r="A33" s="29" t="str">
        <x:v>Shared Experts</x:v>
      </x:c>
      <x:c r="B33" s="40" t="str">
        <x:v>layers.N.ffn.shared_experts.w2.weight</x:v>
      </x:c>
      <x:c r="C33" s="29" t="str">
        <x:v>[5120, 2304]</x:v>
      </x:c>
      <x:c r="D33" s="29" t="str">
        <x:v>FP8 E4M3</x:v>
      </x:c>
      <x:c r="E33" s="31" t="n">
        <x:v>1</x:v>
      </x:c>
      <x:c r="F33" s="32" t="n">
        <x:v>40</x:v>
      </x:c>
      <x:c r="G33" s="32" t="n">
        <x:v>11796480</x:v>
      </x:c>
      <x:c r="H33" s="32" t="str">
        <x:v>SP 复制 / 非 SP TP</x:v>
      </x:c>
      <x:c r="I33" s="32" t="n">
        <x:f>IF('Decode'!$P$13&lt;&gt;0,1,'Decode'!$P$12)</x:f>
        <x:v>1</x:v>
      </x:c>
      <x:c r="J33" s="33" t="n">
        <x:f>E33*F33*G33/1073741824</x:f>
        <x:v>0.439453125</x:v>
      </x:c>
      <x:c r="K33" s="33" t="n">
        <x:f>J33/I33</x:f>
        <x:v>0.439453125</x:v>
      </x:c>
      <x:c r="L33" s="29"/>
      <x:c r="M33" s="29"/>
      <x:c r="N33" s="29"/>
      <x:c r="O33" s="29"/>
      <x:c r="P33" s="29"/>
    </x:row>
    <x:row r="34" ht="30" customHeight="1">
      <x:c r="A34" s="29" t="str">
        <x:v>Shared Experts</x:v>
      </x:c>
      <x:c r="B34" s="40" t="str">
        <x:v>layers.N.ffn.shared_experts.w2.scale</x:v>
      </x:c>
      <x:c r="C34" s="29" t="str">
        <x:v>[160, 72]</x:v>
      </x:c>
      <x:c r="D34" s="29" t="str">
        <x:v>E8M0</x:v>
      </x:c>
      <x:c r="E34" s="31" t="n">
        <x:v>1</x:v>
      </x:c>
      <x:c r="F34" s="32" t="n">
        <x:v>40</x:v>
      </x:c>
      <x:c r="G34" s="32" t="n">
        <x:v>11520</x:v>
      </x:c>
      <x:c r="H34" s="32" t="str">
        <x:v>SP 复制 / 非 SP TP</x:v>
      </x:c>
      <x:c r="I34" s="32" t="n">
        <x:f>IF('Decode'!$P$13&lt;&gt;0,1,'Decode'!$P$12)</x:f>
        <x:v>1</x:v>
      </x:c>
      <x:c r="J34" s="33" t="n">
        <x:f>E34*F34*G34/1073741824</x:f>
        <x:v>0.0004291534423828125</x:v>
      </x:c>
      <x:c r="K34" s="33" t="n">
        <x:f>J34/I34</x:f>
        <x:v>0.0004291534423828125</x:v>
      </x:c>
      <x:c r="L34" s="29"/>
      <x:c r="M34" s="29"/>
      <x:c r="N34" s="29"/>
      <x:c r="O34" s="29"/>
      <x:c r="P34" s="29"/>
    </x:row>
    <x:row r="35" ht="30" customHeight="1">
      <x:c r="A35" s="29" t="str">
        <x:v>HC</x:v>
      </x:c>
      <x:c r="B35" s="40" t="str">
        <x:v>layers.N.hc_attn_fn</x:v>
      </x:c>
      <x:c r="C35" s="29" t="str">
        <x:v>[24, 20480]</x:v>
      </x:c>
      <x:c r="D35" s="29" t="str">
        <x:v>F32</x:v>
      </x:c>
      <x:c r="E35" s="31" t="n">
        <x:v>4</x:v>
      </x:c>
      <x:c r="F35" s="32" t="n">
        <x:v>40</x:v>
      </x:c>
      <x:c r="G35" s="32" t="n">
        <x:v>491520</x:v>
      </x:c>
      <x:c r="H35" s="32" t="str">
        <x:v>Replicated</x:v>
      </x:c>
      <x:c r="I35" s="32" t="n">
        <x:f>1</x:f>
        <x:v>1</x:v>
      </x:c>
      <x:c r="J35" s="33" t="n">
        <x:f>E35*F35*G35/1073741824</x:f>
        <x:v>0.0732421875</x:v>
      </x:c>
      <x:c r="K35" s="33" t="n">
        <x:f>J35/I35</x:f>
        <x:v>0.0732421875</x:v>
      </x:c>
      <x:c r="L35" s="29"/>
      <x:c r="M35" s="29"/>
      <x:c r="N35" s="29"/>
      <x:c r="O35" s="29"/>
      <x:c r="P35" s="29"/>
    </x:row>
    <x:row r="36" ht="30" customHeight="1">
      <x:c r="A36" s="29" t="str">
        <x:v>HC</x:v>
      </x:c>
      <x:c r="B36" s="40" t="str">
        <x:v>layers.N.hc_attn_base</x:v>
      </x:c>
      <x:c r="C36" s="29" t="str">
        <x:v>[24]</x:v>
      </x:c>
      <x:c r="D36" s="29" t="str">
        <x:v>F32</x:v>
      </x:c>
      <x:c r="E36" s="31" t="n">
        <x:v>4</x:v>
      </x:c>
      <x:c r="F36" s="32" t="n">
        <x:v>40</x:v>
      </x:c>
      <x:c r="G36" s="32" t="n">
        <x:v>24</x:v>
      </x:c>
      <x:c r="H36" s="32" t="str">
        <x:v>Replicated</x:v>
      </x:c>
      <x:c r="I36" s="32" t="n">
        <x:f>1</x:f>
        <x:v>1</x:v>
      </x:c>
      <x:c r="J36" s="33" t="n">
        <x:f>E36*F36*G36/1073741824</x:f>
        <x:v>0.0000035762786865234375</x:v>
      </x:c>
      <x:c r="K36" s="33" t="n">
        <x:f>J36/I36</x:f>
        <x:v>0.0000035762786865234375</x:v>
      </x:c>
      <x:c r="L36" s="29"/>
      <x:c r="M36" s="29"/>
      <x:c r="N36" s="29"/>
      <x:c r="O36" s="30" t="str">
        <x:v>V4.1 节点与载荷</x:v>
      </x:c>
      <x:c r="P36" s="30"/>
    </x:row>
    <x:row r="37" ht="30" customHeight="1">
      <x:c r="A37" s="29" t="str">
        <x:v>HC</x:v>
      </x:c>
      <x:c r="B37" s="40" t="str">
        <x:v>layers.N.hc_attn_scale</x:v>
      </x:c>
      <x:c r="C37" s="29" t="str">
        <x:v>[3]</x:v>
      </x:c>
      <x:c r="D37" s="29" t="str">
        <x:v>F32</x:v>
      </x:c>
      <x:c r="E37" s="31" t="n">
        <x:v>4</x:v>
      </x:c>
      <x:c r="F37" s="32" t="n">
        <x:v>40</x:v>
      </x:c>
      <x:c r="G37" s="32" t="n">
        <x:v>3</x:v>
      </x:c>
      <x:c r="H37" s="32" t="str">
        <x:v>Replicated</x:v>
      </x:c>
      <x:c r="I37" s="32" t="n">
        <x:f>1</x:f>
        <x:v>1</x:v>
      </x:c>
      <x:c r="J37" s="33" t="n">
        <x:f>E37*F37*G37/1073741824</x:f>
        <x:v>4.470348358154297e-7</x:v>
      </x:c>
      <x:c r="K37" s="33" t="n">
        <x:f>J37/I37</x:f>
        <x:v>4.470348358154297e-7</x:v>
      </x:c>
      <x:c r="L37" s="29"/>
      <x:c r="M37" s="29"/>
      <x:c r="N37" s="29"/>
      <x:c r="O37" s="34" t="str">
        <x:v>每节点 Rank 数</x:v>
      </x:c>
      <x:c r="P37" s="35" t="n">
        <x:v>8</x:v>
      </x:c>
    </x:row>
    <x:row r="38" ht="30" customHeight="1">
      <x:c r="A38" s="29" t="str">
        <x:v>HC</x:v>
      </x:c>
      <x:c r="B38" s="40" t="str">
        <x:v>layers.N.hc_ffn_fn</x:v>
      </x:c>
      <x:c r="C38" s="29" t="str">
        <x:v>[24, 20480]</x:v>
      </x:c>
      <x:c r="D38" s="29" t="str">
        <x:v>F32</x:v>
      </x:c>
      <x:c r="E38" s="31" t="n">
        <x:v>4</x:v>
      </x:c>
      <x:c r="F38" s="32" t="n">
        <x:v>40</x:v>
      </x:c>
      <x:c r="G38" s="32" t="n">
        <x:v>491520</x:v>
      </x:c>
      <x:c r="H38" s="32" t="str">
        <x:v>Replicated</x:v>
      </x:c>
      <x:c r="I38" s="32" t="n">
        <x:f>1</x:f>
        <x:v>1</x:v>
      </x:c>
      <x:c r="J38" s="33" t="n">
        <x:f>E38*F38*G38/1073741824</x:f>
        <x:v>0.0732421875</x:v>
      </x:c>
      <x:c r="K38" s="33" t="n">
        <x:f>J38/I38</x:f>
        <x:v>0.0732421875</x:v>
      </x:c>
      <x:c r="L38" s="29"/>
      <x:c r="M38" s="29"/>
      <x:c r="N38" s="29"/>
      <x:c r="O38" s="34" t="str">
        <x:v>Engram（0/1）</x:v>
      </x:c>
      <x:c r="P38" s="35" t="n">
        <x:v>1</x:v>
      </x:c>
    </x:row>
    <x:row r="39" ht="30" customHeight="1">
      <x:c r="A39" s="29" t="str">
        <x:v>HC</x:v>
      </x:c>
      <x:c r="B39" s="40" t="str">
        <x:v>layers.N.hc_ffn_base</x:v>
      </x:c>
      <x:c r="C39" s="29" t="str">
        <x:v>[24]</x:v>
      </x:c>
      <x:c r="D39" s="29" t="str">
        <x:v>F32</x:v>
      </x:c>
      <x:c r="E39" s="31" t="n">
        <x:v>4</x:v>
      </x:c>
      <x:c r="F39" s="32" t="n">
        <x:v>40</x:v>
      </x:c>
      <x:c r="G39" s="32" t="n">
        <x:v>24</x:v>
      </x:c>
      <x:c r="H39" s="32" t="str">
        <x:v>Replicated</x:v>
      </x:c>
      <x:c r="I39" s="32" t="n">
        <x:f>1</x:f>
        <x:v>1</x:v>
      </x:c>
      <x:c r="J39" s="33" t="n">
        <x:f>E39*F39*G39/1073741824</x:f>
        <x:v>0.0000035762786865234375</x:v>
      </x:c>
      <x:c r="K39" s="33" t="n">
        <x:f>J39/I39</x:f>
        <x:v>0.0000035762786865234375</x:v>
      </x:c>
      <x:c r="L39" s="29"/>
      <x:c r="M39" s="29"/>
      <x:c r="N39" s="29"/>
      <x:c r="O39" s="34" t="str">
        <x:v>MoE Dispatch 字节/元素</x:v>
      </x:c>
      <x:c r="P39" s="35" t="n">
        <x:v>2</x:v>
      </x:c>
    </x:row>
    <x:row r="40" ht="30" customHeight="1">
      <x:c r="A40" s="29" t="str">
        <x:v>HC</x:v>
      </x:c>
      <x:c r="B40" s="40" t="str">
        <x:v>layers.N.hc_ffn_scale</x:v>
      </x:c>
      <x:c r="C40" s="29" t="str">
        <x:v>[3]</x:v>
      </x:c>
      <x:c r="D40" s="29" t="str">
        <x:v>F32</x:v>
      </x:c>
      <x:c r="E40" s="31" t="n">
        <x:v>4</x:v>
      </x:c>
      <x:c r="F40" s="32" t="n">
        <x:v>40</x:v>
      </x:c>
      <x:c r="G40" s="32" t="n">
        <x:v>3</x:v>
      </x:c>
      <x:c r="H40" s="32" t="str">
        <x:v>Replicated</x:v>
      </x:c>
      <x:c r="I40" s="32" t="n">
        <x:f>1</x:f>
        <x:v>1</x:v>
      </x:c>
      <x:c r="J40" s="33" t="n">
        <x:f>E40*F40*G40/1073741824</x:f>
        <x:v>4.470348358154297e-7</x:v>
      </x:c>
      <x:c r="K40" s="33" t="n">
        <x:f>J40/I40</x:f>
        <x:v>4.470348358154297e-7</x:v>
      </x:c>
      <x:c r="L40" s="29"/>
      <x:c r="M40" s="29"/>
      <x:c r="N40" s="29"/>
      <x:c r="O40" s="34" t="str">
        <x:v>MoE Combine 字节/元素</x:v>
      </x:c>
      <x:c r="P40" s="35" t="n">
        <x:v>2</x:v>
      </x:c>
    </x:row>
    <x:row r="41" ht="30" customHeight="1">
      <x:c r="A41" s="29" t="str">
        <x:v>Compressor</x:v>
      </x:c>
      <x:c r="B41" s="40" t="str">
        <x:v>layers.N.attn.compressor.wkv.weight</x:v>
      </x:c>
      <x:c r="C41" s="29" t="str">
        <x:v>[512, 5120]</x:v>
      </x:c>
      <x:c r="D41" s="29" t="str">
        <x:v>BF16</x:v>
      </x:c>
      <x:c r="E41" s="31" t="n">
        <x:v>2</x:v>
      </x:c>
      <x:c r="F41" s="32" t="n">
        <x:v>4</x:v>
      </x:c>
      <x:c r="G41" s="32" t="n">
        <x:v>2621440</x:v>
      </x:c>
      <x:c r="H41" s="32" t="str">
        <x:v>Replicated</x:v>
      </x:c>
      <x:c r="I41" s="32" t="n">
        <x:f>1</x:f>
        <x:v>1</x:v>
      </x:c>
      <x:c r="J41" s="33" t="n">
        <x:f>E41*F41*G41/1073741824</x:f>
        <x:v>0.01953125</x:v>
      </x:c>
      <x:c r="K41" s="33" t="n">
        <x:f>J41/I41</x:f>
        <x:v>0.01953125</x:v>
      </x:c>
      <x:c r="L41" s="29"/>
      <x:c r="M41" s="29"/>
      <x:c r="N41" s="29"/>
      <x:c r="O41" s="34" t="str">
        <x:v>缓存案例请求数</x:v>
      </x:c>
      <x:c r="P41" s="35" t="n">
        <x:v>16</x:v>
      </x:c>
    </x:row>
    <x:row r="42" ht="30" customHeight="1">
      <x:c r="A42" s="29" t="str">
        <x:v>Compressor C2</x:v>
      </x:c>
      <x:c r="B42" s="40" t="str">
        <x:v>layers.N.attn.compressor.wgate.weight</x:v>
      </x:c>
      <x:c r="C42" s="29" t="str">
        <x:v>[512, 5120]</x:v>
      </x:c>
      <x:c r="D42" s="29" t="str">
        <x:v>BF16</x:v>
      </x:c>
      <x:c r="E42" s="31" t="n">
        <x:v>2</x:v>
      </x:c>
      <x:c r="F42" s="32" t="n">
        <x:v>3</x:v>
      </x:c>
      <x:c r="G42" s="32" t="n">
        <x:v>2621440</x:v>
      </x:c>
      <x:c r="H42" s="32" t="str">
        <x:v>Replicated</x:v>
      </x:c>
      <x:c r="I42" s="32" t="n">
        <x:f>1</x:f>
        <x:v>1</x:v>
      </x:c>
      <x:c r="J42" s="33" t="n">
        <x:f>E42*F42*G42/1073741824</x:f>
        <x:v>0.0146484375</x:v>
      </x:c>
      <x:c r="K42" s="33" t="n">
        <x:f>J42/I42</x:f>
        <x:v>0.0146484375</x:v>
      </x:c>
      <x:c r="L42" s="29"/>
      <x:c r="M42" s="29"/>
      <x:c r="N42" s="29"/>
      <x:c r="O42" s="29"/>
      <x:c r="P42" s="29"/>
    </x:row>
    <x:row r="43" ht="30" customHeight="1">
      <x:c r="A43" s="29" t="str">
        <x:v>Compressor</x:v>
      </x:c>
      <x:c r="B43" s="40" t="str">
        <x:v>layers.N.attn.compressor.norm.weight</x:v>
      </x:c>
      <x:c r="C43" s="29" t="str">
        <x:v>[512]</x:v>
      </x:c>
      <x:c r="D43" s="29" t="str">
        <x:v>BF16</x:v>
      </x:c>
      <x:c r="E43" s="31" t="n">
        <x:v>2</x:v>
      </x:c>
      <x:c r="F43" s="32" t="n">
        <x:v>4</x:v>
      </x:c>
      <x:c r="G43" s="32" t="n">
        <x:v>512</x:v>
      </x:c>
      <x:c r="H43" s="32" t="str">
        <x:v>Replicated</x:v>
      </x:c>
      <x:c r="I43" s="32" t="n">
        <x:f>1</x:f>
        <x:v>1</x:v>
      </x:c>
      <x:c r="J43" s="33" t="n">
        <x:f>E43*F43*G43/1073741824</x:f>
        <x:v>0.000003814697265625</x:v>
      </x:c>
      <x:c r="K43" s="33" t="n">
        <x:f>J43/I43</x:f>
        <x:v>0.000003814697265625</x:v>
      </x:c>
      <x:c r="L43" s="29"/>
      <x:c r="M43" s="29"/>
      <x:c r="N43" s="29"/>
      <x:c r="O43" s="29"/>
      <x:c r="P43" s="29"/>
    </x:row>
    <x:row r="44" ht="30" customHeight="1">
      <x:c r="A44" s="29" t="str">
        <x:v>Indexer</x:v>
      </x:c>
      <x:c r="B44" s="40" t="str">
        <x:v>layers.N.attn.indexer.wq_b.weight</x:v>
      </x:c>
      <x:c r="C44" s="29" t="str">
        <x:v>[4096, 1280]</x:v>
      </x:c>
      <x:c r="D44" s="29" t="str">
        <x:v>FP8 E4M3</x:v>
      </x:c>
      <x:c r="E44" s="31" t="n">
        <x:v>1</x:v>
      </x:c>
      <x:c r="F44" s="32" t="n">
        <x:v>8</x:v>
      </x:c>
      <x:c r="G44" s="32" t="n">
        <x:v>5242880</x:v>
      </x:c>
      <x:c r="H44" s="32" t="str">
        <x:v>Replicated</x:v>
      </x:c>
      <x:c r="I44" s="32" t="n">
        <x:f>1</x:f>
        <x:v>1</x:v>
      </x:c>
      <x:c r="J44" s="33" t="n">
        <x:f>E44*F44*G44/1073741824</x:f>
        <x:v>0.0390625</x:v>
      </x:c>
      <x:c r="K44" s="33" t="n">
        <x:f>J44/I44</x:f>
        <x:v>0.0390625</x:v>
      </x:c>
      <x:c r="L44" s="29"/>
      <x:c r="M44" s="29"/>
      <x:c r="N44" s="29"/>
      <x:c r="O44" s="29"/>
      <x:c r="P44" s="29"/>
    </x:row>
    <x:row r="45" ht="30" customHeight="1">
      <x:c r="A45" s="29" t="str">
        <x:v>Indexer</x:v>
      </x:c>
      <x:c r="B45" s="40" t="str">
        <x:v>layers.N.attn.indexer.wq_b.scale</x:v>
      </x:c>
      <x:c r="C45" s="29" t="str">
        <x:v>[128, 40]</x:v>
      </x:c>
      <x:c r="D45" s="29" t="str">
        <x:v>E8M0</x:v>
      </x:c>
      <x:c r="E45" s="31" t="n">
        <x:v>1</x:v>
      </x:c>
      <x:c r="F45" s="32" t="n">
        <x:v>8</x:v>
      </x:c>
      <x:c r="G45" s="32" t="n">
        <x:v>5120</x:v>
      </x:c>
      <x:c r="H45" s="32" t="str">
        <x:v>Replicated</x:v>
      </x:c>
      <x:c r="I45" s="32" t="n">
        <x:f>1</x:f>
        <x:v>1</x:v>
      </x:c>
      <x:c r="J45" s="33" t="n">
        <x:f>E45*F45*G45/1073741824</x:f>
        <x:v>0.00003814697265625</x:v>
      </x:c>
      <x:c r="K45" s="33" t="n">
        <x:f>J45/I45</x:f>
        <x:v>0.00003814697265625</x:v>
      </x:c>
      <x:c r="L45" s="29"/>
      <x:c r="M45" s="29"/>
      <x:c r="N45" s="29"/>
      <x:c r="O45" s="29"/>
      <x:c r="P45" s="29"/>
    </x:row>
    <x:row r="46" ht="30" customHeight="1">
      <x:c r="A46" s="29" t="str">
        <x:v>Indexer</x:v>
      </x:c>
      <x:c r="B46" s="40" t="str">
        <x:v>layers.N.attn.indexer.weights_proj.weight</x:v>
      </x:c>
      <x:c r="C46" s="29" t="str">
        <x:v>[32, 5120]</x:v>
      </x:c>
      <x:c r="D46" s="29" t="str">
        <x:v>BF16</x:v>
      </x:c>
      <x:c r="E46" s="31" t="n">
        <x:v>2</x:v>
      </x:c>
      <x:c r="F46" s="32" t="n">
        <x:v>8</x:v>
      </x:c>
      <x:c r="G46" s="32" t="n">
        <x:v>163840</x:v>
      </x:c>
      <x:c r="H46" s="32" t="str">
        <x:v>Replicated</x:v>
      </x:c>
      <x:c r="I46" s="32" t="n">
        <x:f>1</x:f>
        <x:v>1</x:v>
      </x:c>
      <x:c r="J46" s="33" t="n">
        <x:f>E46*F46*G46/1073741824</x:f>
        <x:v>0.00244140625</x:v>
      </x:c>
      <x:c r="K46" s="33" t="n">
        <x:f>J46/I46</x:f>
        <x:v>0.00244140625</x:v>
      </x:c>
      <x:c r="L46" s="29"/>
      <x:c r="M46" s="29"/>
      <x:c r="N46" s="29"/>
      <x:c r="O46" s="29"/>
      <x:c r="P46" s="29"/>
    </x:row>
    <x:row r="47" ht="30" customHeight="1">
      <x:c r="A47" s="29" t="str">
        <x:v>Indexer K</x:v>
      </x:c>
      <x:c r="B47" s="40" t="str">
        <x:v>layers.N.attn.indexer.wk.weight</x:v>
      </x:c>
      <x:c r="C47" s="29" t="str">
        <x:v>[128, 512]</x:v>
      </x:c>
      <x:c r="D47" s="29" t="str">
        <x:v>BF16</x:v>
      </x:c>
      <x:c r="E47" s="31" t="n">
        <x:v>2</x:v>
      </x:c>
      <x:c r="F47" s="32" t="n">
        <x:v>4</x:v>
      </x:c>
      <x:c r="G47" s="32" t="n">
        <x:v>65536</x:v>
      </x:c>
      <x:c r="H47" s="32" t="str">
        <x:v>Replicated</x:v>
      </x:c>
      <x:c r="I47" s="32" t="n">
        <x:f>1</x:f>
        <x:v>1</x:v>
      </x:c>
      <x:c r="J47" s="33" t="n">
        <x:f>E47*F47*G47/1073741824</x:f>
        <x:v>0.00048828125</x:v>
      </x:c>
      <x:c r="K47" s="33" t="n">
        <x:f>J47/I47</x:f>
        <x:v>0.00048828125</x:v>
      </x:c>
      <x:c r="L47" s="29"/>
      <x:c r="M47" s="29"/>
      <x:c r="N47" s="29"/>
      <x:c r="O47" s="29"/>
      <x:c r="P47" s="29"/>
    </x:row>
    <x:row r="48" ht="30" customHeight="1">
      <x:c r="A48" s="29" t="str">
        <x:v>Indexer K</x:v>
      </x:c>
      <x:c r="B48" s="40" t="str">
        <x:v>layers.N.attn.indexer.k_norm.weight</x:v>
      </x:c>
      <x:c r="C48" s="29" t="str">
        <x:v>[128]</x:v>
      </x:c>
      <x:c r="D48" s="29" t="str">
        <x:v>BF16</x:v>
      </x:c>
      <x:c r="E48" s="31" t="n">
        <x:v>2</x:v>
      </x:c>
      <x:c r="F48" s="32" t="n">
        <x:v>4</x:v>
      </x:c>
      <x:c r="G48" s="32" t="n">
        <x:v>128</x:v>
      </x:c>
      <x:c r="H48" s="32" t="str">
        <x:v>Replicated</x:v>
      </x:c>
      <x:c r="I48" s="32" t="n">
        <x:f>1</x:f>
        <x:v>1</x:v>
      </x:c>
      <x:c r="J48" s="33" t="n">
        <x:f>E48*F48*G48/1073741824</x:f>
        <x:v>9.5367431640625e-7</x:v>
      </x:c>
      <x:c r="K48" s="33" t="n">
        <x:f>J48/I48</x:f>
        <x:v>9.5367431640625e-7</x:v>
      </x:c>
      <x:c r="L48" s="29"/>
      <x:c r="M48" s="29"/>
      <x:c r="N48" s="29"/>
      <x:c r="O48" s="45" t="str">
        <x:v>VA 缓存 / Engram 存储</x:v>
      </x:c>
      <x:c r="P48" s="45" t="str">
        <x:v>GiB / Rank</x:v>
      </x:c>
    </x:row>
    <x:row r="49" ht="30" customHeight="1">
      <x:c r="A49" s="29" t="str">
        <x:v>Engram Table</x:v>
      </x:c>
      <x:c r="B49" s="40" t="str">
        <x:v>layers.1.engram.embed.weight</x:v>
      </x:c>
      <x:c r="C49" s="29" t="str">
        <x:v>[384006168, 256]</x:v>
      </x:c>
      <x:c r="D49" s="29" t="str">
        <x:v>FP8 E4M3</x:v>
      </x:c>
      <x:c r="E49" s="31" t="n">
        <x:v>1</x:v>
      </x:c>
      <x:c r="F49" s="32" t="n">
        <x:v>1</x:v>
      </x:c>
      <x:c r="G49" s="32" t="n">
        <x:v>98305579008</x:v>
      </x:c>
      <x:c r="H49" s="32" t="str">
        <x:v>节点内均摊（源格式）</x:v>
      </x:c>
      <x:c r="I49" s="32" t="n">
        <x:f>'Decode'!$P$37</x:f>
        <x:v>8</x:v>
      </x:c>
      <x:c r="J49" s="33" t="n">
        <x:f>E49*F49*G49/1073741824</x:f>
        <x:v>91.5542049407959</x:v>
      </x:c>
      <x:c r="K49" s="33" t="n">
        <x:f>J49/I49</x:f>
        <x:v>11.444275617599487</x:v>
      </x:c>
      <x:c r="L49" s="29"/>
      <x:c r="M49" s="29"/>
      <x:c r="N49" s="29"/>
      <x:c r="O49" s="29" t="str">
        <x:v>长 KV + Index（每 Rank）</x:v>
      </x:c>
      <x:c r="P49" s="33" t="n">
        <x:f>(3*INT('Decode'!$P$4/2)+'Decode'!$P$4)*(512*2+128+2)*'Decode'!$P$41/2^30</x:f>
        <x:v>11.26953125</x:v>
      </x:c>
    </x:row>
    <x:row r="50" ht="30" customHeight="1">
      <x:c r="A50" s="29" t="str">
        <x:v>Engram Table</x:v>
      </x:c>
      <x:c r="B50" s="40" t="str">
        <x:v>layers.1.engram.embed.scale</x:v>
      </x:c>
      <x:c r="C50" s="29" t="str">
        <x:v>[384006168, 8]</x:v>
      </x:c>
      <x:c r="D50" s="29" t="str">
        <x:v>E8M0</x:v>
      </x:c>
      <x:c r="E50" s="31" t="n">
        <x:v>1</x:v>
      </x:c>
      <x:c r="F50" s="32" t="n">
        <x:v>1</x:v>
      </x:c>
      <x:c r="G50" s="32" t="n">
        <x:v>3072049344</x:v>
      </x:c>
      <x:c r="H50" s="32" t="str">
        <x:v>节点内均摊（源格式）</x:v>
      </x:c>
      <x:c r="I50" s="32" t="n">
        <x:f>'Decode'!$P$37</x:f>
        <x:v>8</x:v>
      </x:c>
      <x:c r="J50" s="33" t="n">
        <x:f>E50*F50*G50/1073741824</x:f>
        <x:v>2.861068904399872</x:v>
      </x:c>
      <x:c r="K50" s="33" t="n">
        <x:f>J50/I50</x:f>
        <x:v>0.357633613049984</x:v>
      </x:c>
      <x:c r="L50" s="29"/>
      <x:c r="M50" s="29"/>
      <x:c r="N50" s="29"/>
      <x:c r="O50" s="29" t="str">
        <x:v>SWA 保留载荷（每 Rank）</x:v>
      </x:c>
      <x:c r="P50" s="33" t="n">
        <x:f>40*MIN('Decode'!$P$4,128)*512*2*'Decode'!$P$41/2^30</x:f>
        <x:v>0.078125</x:v>
      </x:c>
    </x:row>
    <x:row r="51" ht="30" customHeight="1">
      <x:c r="A51" s="29" t="str">
        <x:v>Engram Table</x:v>
      </x:c>
      <x:c r="B51" s="40" t="str">
        <x:v>layers.14.engram.embed.weight</x:v>
      </x:c>
      <x:c r="C51" s="29" t="str">
        <x:v>[384016682, 256]</x:v>
      </x:c>
      <x:c r="D51" s="29" t="str">
        <x:v>FP8 E4M3</x:v>
      </x:c>
      <x:c r="E51" s="31" t="n">
        <x:v>1</x:v>
      </x:c>
      <x:c r="F51" s="32" t="n">
        <x:v>1</x:v>
      </x:c>
      <x:c r="G51" s="32" t="n">
        <x:v>98308270592</x:v>
      </x:c>
      <x:c r="H51" s="32" t="str">
        <x:v>节点内均摊（源格式）</x:v>
      </x:c>
      <x:c r="I51" s="32" t="n">
        <x:f>'Decode'!$P$37</x:f>
        <x:v>8</x:v>
      </x:c>
      <x:c r="J51" s="33" t="n">
        <x:f>E51*F51*G51/1073741824</x:f>
        <x:v>91.55671167373657</x:v>
      </x:c>
      <x:c r="K51" s="33" t="n">
        <x:f>J51/I51</x:f>
        <x:v>11.444588959217072</x:v>
      </x:c>
      <x:c r="L51" s="29"/>
      <x:c r="M51" s="29"/>
      <x:c r="N51" s="29"/>
      <x:c r="O51" s="29" t="str">
        <x:v>C2 Ring（每 Rank）</x:v>
      </x:c>
      <x:c r="P51" s="33" t="n">
        <x:f>IF('Decode'!$P$4&gt;0,3*32*1024*4*'Decode'!$P$41/2^30,0)</x:f>
        <x:v>0.005859375</x:v>
      </x:c>
    </x:row>
    <x:row r="52" ht="30" customHeight="1">
      <x:c r="A52" s="29" t="str">
        <x:v>Engram Table</x:v>
      </x:c>
      <x:c r="B52" s="40" t="str">
        <x:v>layers.14.engram.embed.scale</x:v>
      </x:c>
      <x:c r="C52" s="29" t="str">
        <x:v>[384016682, 8]</x:v>
      </x:c>
      <x:c r="D52" s="29" t="str">
        <x:v>E8M0</x:v>
      </x:c>
      <x:c r="E52" s="31" t="n">
        <x:v>1</x:v>
      </x:c>
      <x:c r="F52" s="32" t="n">
        <x:v>1</x:v>
      </x:c>
      <x:c r="G52" s="32" t="n">
        <x:v>3072133456</x:v>
      </x:c>
      <x:c r="H52" s="32" t="str">
        <x:v>节点内均摊（源格式）</x:v>
      </x:c>
      <x:c r="I52" s="32" t="n">
        <x:f>'Decode'!$P$37</x:f>
        <x:v>8</x:v>
      </x:c>
      <x:c r="J52" s="33" t="n">
        <x:f>E52*F52*G52/1073741824</x:f>
        <x:v>2.861147239804268</x:v>
      </x:c>
      <x:c r="K52" s="33" t="n">
        <x:f>J52/I52</x:f>
        <x:v>0.3576434049755335</x:v>
      </x:c>
      <x:c r="L52" s="29"/>
      <x:c r="M52" s="29"/>
      <x:c r="N52" s="29"/>
      <x:c r="O52" s="29" t="str">
        <x:v>Engram BF16（节点内均摊）</x:v>
      </x:c>
      <x:c r="P52" s="33" t="n">
        <x:f>768022850*256*2/'Decode'!$P$37/2^30</x:f>
        <x:v>45.77772915363312</x:v>
      </x:c>
    </x:row>
    <x:row r="53" ht="30" customHeight="1">
      <x:c r="A53" s="29" t="str">
        <x:v>Engram Gate</x:v>
      </x:c>
      <x:c r="B53" s="40" t="str">
        <x:v>layers.N.engram.wkv.weight</x:v>
      </x:c>
      <x:c r="C53" s="29" t="str">
        <x:v>[25600, 6144]</x:v>
      </x:c>
      <x:c r="D53" s="29" t="str">
        <x:v>FP8 E4M3</x:v>
      </x:c>
      <x:c r="E53" s="31" t="n">
        <x:v>1</x:v>
      </x:c>
      <x:c r="F53" s="32" t="n">
        <x:v>2</x:v>
      </x:c>
      <x:c r="G53" s="32" t="n">
        <x:v>157286400</x:v>
      </x:c>
      <x:c r="H53" s="32" t="str">
        <x:v>Replicated</x:v>
      </x:c>
      <x:c r="I53" s="32" t="n">
        <x:f>1</x:f>
        <x:v>1</x:v>
      </x:c>
      <x:c r="J53" s="33" t="n">
        <x:f>E53*F53*G53/1073741824</x:f>
        <x:v>0.29296875</x:v>
      </x:c>
      <x:c r="K53" s="33" t="n">
        <x:f>J53/I53</x:f>
        <x:v>0.29296875</x:v>
      </x:c>
      <x:c r="L53" s="29"/>
      <x:c r="M53" s="29"/>
      <x:c r="N53" s="29"/>
      <x:c r="O53" s="29" t="str">
        <x:v>Engram INT8+F32 scale 均摊</x:v>
      </x:c>
      <x:c r="P53" s="33" t="n">
        <x:f>768022850*(256+8*4)/'Decode'!$P$37/2^30</x:f>
        <x:v>25.74997264891863</x:v>
      </x:c>
    </x:row>
    <x:row r="54" ht="30" customHeight="1">
      <x:c r="A54" s="29" t="str">
        <x:v>Engram Gate</x:v>
      </x:c>
      <x:c r="B54" s="40" t="str">
        <x:v>layers.N.engram.wkv.scale</x:v>
      </x:c>
      <x:c r="C54" s="29" t="str">
        <x:v>[800, 192]</x:v>
      </x:c>
      <x:c r="D54" s="29" t="str">
        <x:v>E8M0</x:v>
      </x:c>
      <x:c r="E54" s="31" t="n">
        <x:v>1</x:v>
      </x:c>
      <x:c r="F54" s="32" t="n">
        <x:v>2</x:v>
      </x:c>
      <x:c r="G54" s="32" t="n">
        <x:v>153600</x:v>
      </x:c>
      <x:c r="H54" s="32" t="str">
        <x:v>Replicated</x:v>
      </x:c>
      <x:c r="I54" s="32" t="n">
        <x:f>1</x:f>
        <x:v>1</x:v>
      </x:c>
      <x:c r="J54" s="33" t="n">
        <x:f>E54*F54*G54/1073741824</x:f>
        <x:v>0.000286102294921875</x:v>
      </x:c>
      <x:c r="K54" s="33" t="n">
        <x:f>J54/I54</x:f>
        <x:v>0.000286102294921875</x:v>
      </x:c>
      <x:c r="L54" s="29"/>
      <x:c r="M54" s="29"/>
      <x:c r="N54" s="29"/>
      <x:c r="O54" s="29" t="str">
        <x:v>Engram FP8+E8M0（CPU 均摊）</x:v>
      </x:c>
      <x:c r="P54" s="33" t="n">
        <x:f>768022850*(256+8)/'Decode'!$P$37/2^30</x:f>
        <x:v>23.604141594842076</x:v>
      </x:c>
    </x:row>
    <x:row r="55" ht="30" customHeight="1">
      <x:c r="A55" s="29" t="str">
        <x:v>Engram Gate</x:v>
      </x:c>
      <x:c r="B55" s="40" t="str">
        <x:v>layers.N.engram.q_weight</x:v>
      </x:c>
      <x:c r="C55" s="29" t="str">
        <x:v>[4, 5120]</x:v>
      </x:c>
      <x:c r="D55" s="29" t="str">
        <x:v>BF16</x:v>
      </x:c>
      <x:c r="E55" s="31" t="n">
        <x:v>2</x:v>
      </x:c>
      <x:c r="F55" s="32" t="n">
        <x:v>2</x:v>
      </x:c>
      <x:c r="G55" s="32" t="n">
        <x:v>20480</x:v>
      </x:c>
      <x:c r="H55" s="32" t="str">
        <x:v>Replicated</x:v>
      </x:c>
      <x:c r="I55" s="32" t="n">
        <x:f>1</x:f>
        <x:v>1</x:v>
      </x:c>
      <x:c r="J55" s="33" t="n">
        <x:f>E55*F55*G55/1073741824</x:f>
        <x:v>0.0000762939453125</x:v>
      </x:c>
      <x:c r="K55" s="33" t="n">
        <x:f>J55/I55</x:f>
        <x:v>0.0000762939453125</x:v>
      </x:c>
      <x:c r="L55" s="29"/>
      <x:c r="M55" s="29"/>
      <x:c r="N55" s="29"/>
      <x:c r="O55" s="29"/>
      <x:c r="P55" s="29"/>
    </x:row>
    <x:row r="56" ht="46" customHeight="1">
      <x:c r="A56" s="29" t="str">
        <x:v>Engram Gate</x:v>
      </x:c>
      <x:c r="B56" s="40" t="str">
        <x:v>layers.N.engram.k_weight</x:v>
      </x:c>
      <x:c r="C56" s="29" t="str">
        <x:v>[4, 5120]</x:v>
      </x:c>
      <x:c r="D56" s="29" t="str">
        <x:v>BF16</x:v>
      </x:c>
      <x:c r="E56" s="31" t="n">
        <x:v>2</x:v>
      </x:c>
      <x:c r="F56" s="32" t="n">
        <x:v>2</x:v>
      </x:c>
      <x:c r="G56" s="32" t="n">
        <x:v>20480</x:v>
      </x:c>
      <x:c r="H56" s="32" t="str">
        <x:v>Replicated</x:v>
      </x:c>
      <x:c r="I56" s="32" t="n">
        <x:f>1</x:f>
        <x:v>1</x:v>
      </x:c>
      <x:c r="J56" s="33" t="n">
        <x:f>E56*F56*G56/1073741824</x:f>
        <x:v>0.0000762939453125</x:v>
      </x:c>
      <x:c r="K56" s="33" t="n">
        <x:f>J56/I56</x:f>
        <x:v>0.0000762939453125</x:v>
      </x:c>
      <x:c r="L56" s="29"/>
      <x:c r="M56" s="29"/>
      <x:c r="N56" s="29"/>
      <x:c r="O56" s="43" t="str">
        <x:v>权重使用官方源格式；不等于 VA 驻留字节。两阶段各含全部权重及 DSpark。</x:v>
      </x:c>
      <x:c r="P56" s="43"/>
    </x:row>
    <x:row r="57" ht="46" customHeight="1">
      <x:c r="A57" s="29" t="str">
        <x:v>DSpark</x:v>
      </x:c>
      <x:c r="B57" s="40" t="str">
        <x:v>mtp.N.attn.attn_sink</x:v>
      </x:c>
      <x:c r="C57" s="29" t="str">
        <x:v>[64]</x:v>
      </x:c>
      <x:c r="D57" s="29" t="str">
        <x:v>F32</x:v>
      </x:c>
      <x:c r="E57" s="31" t="n">
        <x:v>4</x:v>
      </x:c>
      <x:c r="F57" s="32" t="n">
        <x:v>3</x:v>
      </x:c>
      <x:c r="G57" s="32" t="n">
        <x:v>64</x:v>
      </x:c>
      <x:c r="H57" s="32" t="str">
        <x:v>DSA CP / TP</x:v>
      </x:c>
      <x:c r="I57" s="32" t="n">
        <x:f>IF('Decode'!$P$25&lt;&gt;0,1,'Decode'!$P$12)</x:f>
        <x:v>1</x:v>
      </x:c>
      <x:c r="J57" s="33" t="n">
        <x:f>E57*F57*G57/1073741824</x:f>
        <x:v>7.152557373046875e-7</x:v>
      </x:c>
      <x:c r="K57" s="33" t="n">
        <x:f>J57/I57</x:f>
        <x:v>7.152557373046875e-7</x:v>
      </x:c>
      <x:c r="L57" s="29"/>
      <x:c r="M57" s="29"/>
      <x:c r="N57" s="29"/>
      <x:c r="O57" s="43" t="str">
        <x:v>通信只覆盖表中事件。未合计 LM Head、Embedding、draft、MoE 元数据或设备同步。</x:v>
      </x:c>
      <x:c r="P57" s="43"/>
    </x:row>
    <x:row r="58" ht="46" customHeight="1">
      <x:c r="A58" s="29" t="str">
        <x:v>DSpark</x:v>
      </x:c>
      <x:c r="B58" s="40" t="str">
        <x:v>mtp.N.attn.wq_a.weight</x:v>
      </x:c>
      <x:c r="C58" s="29" t="str">
        <x:v>[1280, 5120]</x:v>
      </x:c>
      <x:c r="D58" s="29" t="str">
        <x:v>FP8 E4M3</x:v>
      </x:c>
      <x:c r="E58" s="31" t="n">
        <x:v>1</x:v>
      </x:c>
      <x:c r="F58" s="32" t="n">
        <x:v>3</x:v>
      </x:c>
      <x:c r="G58" s="32" t="n">
        <x:v>6553600</x:v>
      </x:c>
      <x:c r="H58" s="32" t="str">
        <x:v>Replicated</x:v>
      </x:c>
      <x:c r="I58" s="32" t="n">
        <x:f>1</x:f>
        <x:v>1</x:v>
      </x:c>
      <x:c r="J58" s="33" t="n">
        <x:f>E58*F58*G58/1073741824</x:f>
        <x:v>0.018310546875</x:v>
      </x:c>
      <x:c r="K58" s="33" t="n">
        <x:f>J58/I58</x:f>
        <x:v>0.018310546875</x:v>
      </x:c>
      <x:c r="L58" s="29"/>
      <x:c r="M58" s="29"/>
      <x:c r="N58" s="29"/>
      <x:c r="O58" s="43" t="str">
        <x:v>Ring/Tree 是显式基准；EP/Owner 为均匀路由期望。不同通信域不合计。</x:v>
      </x:c>
      <x:c r="P58" s="43"/>
    </x:row>
    <x:row r="59" ht="46" customHeight="1">
      <x:c r="A59" s="29" t="str">
        <x:v>DSpark</x:v>
      </x:c>
      <x:c r="B59" s="40" t="str">
        <x:v>mtp.N.attn.wq_a.scale</x:v>
      </x:c>
      <x:c r="C59" s="29" t="str">
        <x:v>[40, 160]</x:v>
      </x:c>
      <x:c r="D59" s="29" t="str">
        <x:v>E8M0</x:v>
      </x:c>
      <x:c r="E59" s="31" t="n">
        <x:v>1</x:v>
      </x:c>
      <x:c r="F59" s="32" t="n">
        <x:v>3</x:v>
      </x:c>
      <x:c r="G59" s="32" t="n">
        <x:v>6400</x:v>
      </x:c>
      <x:c r="H59" s="32" t="str">
        <x:v>Replicated</x:v>
      </x:c>
      <x:c r="I59" s="32" t="n">
        <x:f>1</x:f>
        <x:v>1</x:v>
      </x:c>
      <x:c r="J59" s="33" t="n">
        <x:f>E59*F59*G59/1073741824</x:f>
        <x:v>0.000017881393432617188</x:v>
      </x:c>
      <x:c r="K59" s="33" t="n">
        <x:f>J59/I59</x:f>
        <x:v>0.000017881393432617188</x:v>
      </x:c>
      <x:c r="L59" s="29"/>
      <x:c r="M59" s="29"/>
      <x:c r="N59" s="29"/>
      <x:c r="O59" s="43" t="str">
        <x:v>SP 下共享专家复制；Indexer 本地选 TopK。这两项无独立 Gather。</x:v>
      </x:c>
      <x:c r="P59" s="43"/>
    </x:row>
    <x:row r="60" ht="46" customHeight="1">
      <x:c r="A60" s="29" t="str">
        <x:v>DSpark</x:v>
      </x:c>
      <x:c r="B60" s="40" t="str">
        <x:v>mtp.N.attn.wq_b.weight</x:v>
      </x:c>
      <x:c r="C60" s="29" t="str">
        <x:v>[32768, 1280]</x:v>
      </x:c>
      <x:c r="D60" s="29" t="str">
        <x:v>FP8 E4M3</x:v>
      </x:c>
      <x:c r="E60" s="31" t="n">
        <x:v>1</x:v>
      </x:c>
      <x:c r="F60" s="32" t="n">
        <x:v>3</x:v>
      </x:c>
      <x:c r="G60" s="32" t="n">
        <x:v>41943040</x:v>
      </x:c>
      <x:c r="H60" s="32" t="str">
        <x:v>DSA CP / TP</x:v>
      </x:c>
      <x:c r="I60" s="32" t="n">
        <x:f>IF('Decode'!$P$25&lt;&gt;0,1,'Decode'!$P$12)</x:f>
        <x:v>1</x:v>
      </x:c>
      <x:c r="J60" s="33" t="n">
        <x:f>E60*F60*G60/1073741824</x:f>
        <x:v>0.1171875</x:v>
      </x:c>
      <x:c r="K60" s="33" t="n">
        <x:f>J60/I60</x:f>
        <x:v>0.1171875</x:v>
      </x:c>
      <x:c r="L60" s="29"/>
      <x:c r="M60" s="29"/>
      <x:c r="N60" s="29"/>
      <x:c r="O60" s="43" t="str">
        <x:v>缓存按输入长度×缓存案例请求数；表示完整请求保留载荷，非 Step 或 P→D 流量。</x:v>
      </x:c>
      <x:c r="P60" s="43"/>
    </x:row>
    <x:row r="61" ht="46" customHeight="1">
      <x:c r="A61" s="29" t="str">
        <x:v>DSpark</x:v>
      </x:c>
      <x:c r="B61" s="40" t="str">
        <x:v>mtp.N.attn.wq_b.scale</x:v>
      </x:c>
      <x:c r="C61" s="29" t="str">
        <x:v>[1024, 40]</x:v>
      </x:c>
      <x:c r="D61" s="29" t="str">
        <x:v>E8M0</x:v>
      </x:c>
      <x:c r="E61" s="31" t="n">
        <x:v>1</x:v>
      </x:c>
      <x:c r="F61" s="32" t="n">
        <x:v>3</x:v>
      </x:c>
      <x:c r="G61" s="32" t="n">
        <x:v>40960</x:v>
      </x:c>
      <x:c r="H61" s="32" t="str">
        <x:v>DSA CP / TP</x:v>
      </x:c>
      <x:c r="I61" s="32" t="n">
        <x:f>IF('Decode'!$P$25&lt;&gt;0,1,'Decode'!$P$12)</x:f>
        <x:v>1</x:v>
      </x:c>
      <x:c r="J61" s="33" t="n">
        <x:f>E61*F61*G61/1073741824</x:f>
        <x:v>0.00011444091796875</x:v>
      </x:c>
      <x:c r="K61" s="33" t="n">
        <x:f>J61/I61</x:f>
        <x:v>0.00011444091796875</x:v>
      </x:c>
      <x:c r="L61" s="29"/>
      <x:c r="M61" s="29"/>
      <x:c r="N61" s="29"/>
      <x:c r="O61" s="43" t="str">
        <x:v>长缓存全 TP 复制。物理分配含 padding；每全局 ID 为 540928 B，不能按层数再乘。</x:v>
      </x:c>
      <x:c r="P61" s="43"/>
    </x:row>
    <x:row r="62" ht="46" customHeight="1">
      <x:c r="A62" s="29" t="str">
        <x:v>DSpark</x:v>
      </x:c>
      <x:c r="B62" s="40" t="str">
        <x:v>mtp.N.attn.wkv.weight</x:v>
      </x:c>
      <x:c r="C62" s="29" t="str">
        <x:v>[512, 5120]</x:v>
      </x:c>
      <x:c r="D62" s="29" t="str">
        <x:v>FP8 E4M3</x:v>
      </x:c>
      <x:c r="E62" s="31" t="n">
        <x:v>1</x:v>
      </x:c>
      <x:c r="F62" s="32" t="n">
        <x:v>3</x:v>
      </x:c>
      <x:c r="G62" s="32" t="n">
        <x:v>2621440</x:v>
      </x:c>
      <x:c r="H62" s="32" t="str">
        <x:v>Replicated</x:v>
      </x:c>
      <x:c r="I62" s="32" t="n">
        <x:f>1</x:f>
        <x:v>1</x:v>
      </x:c>
      <x:c r="J62" s="33" t="n">
        <x:f>E62*F62*G62/1073741824</x:f>
        <x:v>0.00732421875</x:v>
      </x:c>
      <x:c r="K62" s="33" t="n">
        <x:f>J62/I62</x:f>
        <x:v>0.00732421875</x:v>
      </x:c>
      <x:c r="L62" s="29"/>
      <x:c r="M62" s="29"/>
      <x:c r="N62" s="29"/>
      <x:c r="O62" s="43" t="str">
        <x:v>Engram 三种存储为可选表示。默认返回 BF16；FP8/MXFP8 表在 CPU。</x:v>
      </x:c>
      <x:c r="P62" s="43"/>
    </x:row>
    <x:row r="63" ht="46" customHeight="1">
      <x:c r="A63" s="29" t="str">
        <x:v>DSpark</x:v>
      </x:c>
      <x:c r="B63" s="40" t="str">
        <x:v>mtp.N.attn.wkv.scale</x:v>
      </x:c>
      <x:c r="C63" s="29" t="str">
        <x:v>[16, 160]</x:v>
      </x:c>
      <x:c r="D63" s="29" t="str">
        <x:v>E8M0</x:v>
      </x:c>
      <x:c r="E63" s="31" t="n">
        <x:v>1</x:v>
      </x:c>
      <x:c r="F63" s="32" t="n">
        <x:v>3</x:v>
      </x:c>
      <x:c r="G63" s="32" t="n">
        <x:v>2560</x:v>
      </x:c>
      <x:c r="H63" s="32" t="str">
        <x:v>Replicated</x:v>
      </x:c>
      <x:c r="I63" s="32" t="n">
        <x:f>1</x:f>
        <x:v>1</x:v>
      </x:c>
      <x:c r="J63" s="33" t="n">
        <x:f>E63*F63*G63/1073741824</x:f>
        <x:v>0.000007152557373046875</x:v>
      </x:c>
      <x:c r="K63" s="33" t="n">
        <x:f>J63/I63</x:f>
        <x:v>0.000007152557373046875</x:v>
      </x:c>
      <x:c r="L63" s="29"/>
      <x:c r="M63" s="29"/>
      <x:c r="N63" s="29"/>
      <x:c r="O63" s="43" t="str">
        <x:v>范围：EP=TP×DP；TP 留在节点内；PP=PCP=DCP=1；SP=0 时本表仅建模 TP=1。</x:v>
      </x:c>
      <x:c r="P63" s="43"/>
    </x:row>
    <x:row r="64" ht="46" customHeight="1">
      <x:c r="A64" s="29" t="str">
        <x:v>DSpark</x:v>
      </x:c>
      <x:c r="B64" s="40" t="str">
        <x:v>mtp.N.attn.wo_a.weight</x:v>
      </x:c>
      <x:c r="C64" s="29" t="str">
        <x:v>[8192, 4096]</x:v>
      </x:c>
      <x:c r="D64" s="29" t="str">
        <x:v>FP8 E4M3</x:v>
      </x:c>
      <x:c r="E64" s="31" t="n">
        <x:v>1</x:v>
      </x:c>
      <x:c r="F64" s="32" t="n">
        <x:v>3</x:v>
      </x:c>
      <x:c r="G64" s="32" t="n">
        <x:v>33554432</x:v>
      </x:c>
      <x:c r="H64" s="32" t="str">
        <x:v>TP</x:v>
      </x:c>
      <x:c r="I64" s="32" t="n">
        <x:f>'Decode'!$P$12</x:f>
        <x:v>1</x:v>
      </x:c>
      <x:c r="J64" s="33" t="n">
        <x:f>E64*F64*G64/1073741824</x:f>
        <x:v>0.09375</x:v>
      </x:c>
      <x:c r="K64" s="33" t="n">
        <x:f>J64/I64</x:f>
        <x:v>0.09375</x:v>
      </x:c>
      <x:c r="L64" s="29"/>
      <x:c r="M64" s="29"/>
      <x:c r="N64" s="29"/>
      <x:c r="O64" s="43" t="str">
        <x:v>投机步数默认 0。启用 DSpark 后，当前表仅扩大 target Token，draft 通信需另加。</x:v>
      </x:c>
      <x:c r="P64" s="43"/>
    </x:row>
    <x:row r="65" ht="30" customHeight="1">
      <x:c r="A65" s="29" t="str">
        <x:v>DSpark</x:v>
      </x:c>
      <x:c r="B65" s="40" t="str">
        <x:v>mtp.N.attn.wo_a.scale</x:v>
      </x:c>
      <x:c r="C65" s="29" t="str">
        <x:v>[256, 128]</x:v>
      </x:c>
      <x:c r="D65" s="29" t="str">
        <x:v>E8M0</x:v>
      </x:c>
      <x:c r="E65" s="31" t="n">
        <x:v>1</x:v>
      </x:c>
      <x:c r="F65" s="32" t="n">
        <x:v>3</x:v>
      </x:c>
      <x:c r="G65" s="32" t="n">
        <x:v>32768</x:v>
      </x:c>
      <x:c r="H65" s="32" t="str">
        <x:v>TP</x:v>
      </x:c>
      <x:c r="I65" s="32" t="n">
        <x:f>'Decode'!$P$12</x:f>
        <x:v>1</x:v>
      </x:c>
      <x:c r="J65" s="33" t="n">
        <x:f>E65*F65*G65/1073741824</x:f>
        <x:v>0.000091552734375</x:v>
      </x:c>
      <x:c r="K65" s="33" t="n">
        <x:f>J65/I65</x:f>
        <x:v>0.000091552734375</x:v>
      </x:c>
      <x:c r="L65" s="29"/>
      <x:c r="M65" s="29"/>
      <x:c r="N65" s="29"/>
      <x:c r="O65" s="29"/>
      <x:c r="P65" s="29"/>
    </x:row>
    <x:row r="66" ht="30" customHeight="1">
      <x:c r="A66" s="29" t="str">
        <x:v>DSpark</x:v>
      </x:c>
      <x:c r="B66" s="40" t="str">
        <x:v>mtp.N.attn.wo_b.weight</x:v>
      </x:c>
      <x:c r="C66" s="29" t="str">
        <x:v>[5120, 8192]</x:v>
      </x:c>
      <x:c r="D66" s="29" t="str">
        <x:v>FP8 E4M3</x:v>
      </x:c>
      <x:c r="E66" s="31" t="n">
        <x:v>1</x:v>
      </x:c>
      <x:c r="F66" s="32" t="n">
        <x:v>3</x:v>
      </x:c>
      <x:c r="G66" s="32" t="n">
        <x:v>41943040</x:v>
      </x:c>
      <x:c r="H66" s="32" t="str">
        <x:v>TP</x:v>
      </x:c>
      <x:c r="I66" s="32" t="n">
        <x:f>'Decode'!$P$12</x:f>
        <x:v>1</x:v>
      </x:c>
      <x:c r="J66" s="33" t="n">
        <x:f>E66*F66*G66/1073741824</x:f>
        <x:v>0.1171875</x:v>
      </x:c>
      <x:c r="K66" s="33" t="n">
        <x:f>J66/I66</x:f>
        <x:v>0.1171875</x:v>
      </x:c>
      <x:c r="L66" s="29"/>
      <x:c r="M66" s="29"/>
      <x:c r="N66" s="29"/>
      <x:c r="O66" s="29"/>
      <x:c r="P66" s="29"/>
    </x:row>
    <x:row r="67" ht="30" customHeight="1">
      <x:c r="A67" s="29" t="str">
        <x:v>DSpark</x:v>
      </x:c>
      <x:c r="B67" s="40" t="str">
        <x:v>mtp.N.attn.wo_b.scale</x:v>
      </x:c>
      <x:c r="C67" s="29" t="str">
        <x:v>[160, 256]</x:v>
      </x:c>
      <x:c r="D67" s="29" t="str">
        <x:v>E8M0</x:v>
      </x:c>
      <x:c r="E67" s="31" t="n">
        <x:v>1</x:v>
      </x:c>
      <x:c r="F67" s="32" t="n">
        <x:v>3</x:v>
      </x:c>
      <x:c r="G67" s="32" t="n">
        <x:v>40960</x:v>
      </x:c>
      <x:c r="H67" s="32" t="str">
        <x:v>TP</x:v>
      </x:c>
      <x:c r="I67" s="32" t="n">
        <x:f>'Decode'!$P$12</x:f>
        <x:v>1</x:v>
      </x:c>
      <x:c r="J67" s="33" t="n">
        <x:f>E67*F67*G67/1073741824</x:f>
        <x:v>0.00011444091796875</x:v>
      </x:c>
      <x:c r="K67" s="33" t="n">
        <x:f>J67/I67</x:f>
        <x:v>0.00011444091796875</x:v>
      </x:c>
      <x:c r="L67" s="29"/>
      <x:c r="M67" s="29"/>
      <x:c r="N67" s="29"/>
      <x:c r="O67" s="29"/>
      <x:c r="P67" s="29"/>
    </x:row>
    <x:row r="68" ht="30" customHeight="1">
      <x:c r="A68" s="29" t="str">
        <x:v>DSpark</x:v>
      </x:c>
      <x:c r="B68" s="40" t="str">
        <x:v>mtp.N.attn.q_norm.weight</x:v>
      </x:c>
      <x:c r="C68" s="29" t="str">
        <x:v>[1280]</x:v>
      </x:c>
      <x:c r="D68" s="29" t="str">
        <x:v>BF16</x:v>
      </x:c>
      <x:c r="E68" s="31" t="n">
        <x:v>2</x:v>
      </x:c>
      <x:c r="F68" s="32" t="n">
        <x:v>3</x:v>
      </x:c>
      <x:c r="G68" s="32" t="n">
        <x:v>1280</x:v>
      </x:c>
      <x:c r="H68" s="32" t="str">
        <x:v>Replicated</x:v>
      </x:c>
      <x:c r="I68" s="32" t="n">
        <x:f>1</x:f>
        <x:v>1</x:v>
      </x:c>
      <x:c r="J68" s="33" t="n">
        <x:f>E68*F68*G68/1073741824</x:f>
        <x:v>0.000007152557373046875</x:v>
      </x:c>
      <x:c r="K68" s="33" t="n">
        <x:f>J68/I68</x:f>
        <x:v>0.000007152557373046875</x:v>
      </x:c>
      <x:c r="L68" s="29"/>
      <x:c r="M68" s="29"/>
      <x:c r="N68" s="29"/>
      <x:c r="O68" s="29"/>
      <x:c r="P68" s="29"/>
    </x:row>
    <x:row r="69" ht="30" customHeight="1">
      <x:c r="A69" s="29" t="str">
        <x:v>DSpark</x:v>
      </x:c>
      <x:c r="B69" s="40" t="str">
        <x:v>mtp.N.attn.kv_norm.weight</x:v>
      </x:c>
      <x:c r="C69" s="29" t="str">
        <x:v>[512]</x:v>
      </x:c>
      <x:c r="D69" s="29" t="str">
        <x:v>BF16</x:v>
      </x:c>
      <x:c r="E69" s="31" t="n">
        <x:v>2</x:v>
      </x:c>
      <x:c r="F69" s="32" t="n">
        <x:v>3</x:v>
      </x:c>
      <x:c r="G69" s="32" t="n">
        <x:v>512</x:v>
      </x:c>
      <x:c r="H69" s="32" t="str">
        <x:v>Replicated</x:v>
      </x:c>
      <x:c r="I69" s="32" t="n">
        <x:f>1</x:f>
        <x:v>1</x:v>
      </x:c>
      <x:c r="J69" s="33" t="n">
        <x:f>E69*F69*G69/1073741824</x:f>
        <x:v>0.00000286102294921875</x:v>
      </x:c>
      <x:c r="K69" s="33" t="n">
        <x:f>J69/I69</x:f>
        <x:v>0.00000286102294921875</x:v>
      </x:c>
      <x:c r="L69" s="29"/>
      <x:c r="M69" s="29"/>
      <x:c r="N69" s="29"/>
      <x:c r="O69" s="29"/>
      <x:c r="P69" s="29"/>
    </x:row>
    <x:row r="70" ht="30" customHeight="1">
      <x:c r="A70" s="29" t="str">
        <x:v>DSpark</x:v>
      </x:c>
      <x:c r="B70" s="40" t="str">
        <x:v>mtp.N.attn_norm.weight</x:v>
      </x:c>
      <x:c r="C70" s="29" t="str">
        <x:v>[5120]</x:v>
      </x:c>
      <x:c r="D70" s="29" t="str">
        <x:v>BF16</x:v>
      </x:c>
      <x:c r="E70" s="31" t="n">
        <x:v>2</x:v>
      </x:c>
      <x:c r="F70" s="32" t="n">
        <x:v>3</x:v>
      </x:c>
      <x:c r="G70" s="32" t="n">
        <x:v>5120</x:v>
      </x:c>
      <x:c r="H70" s="32" t="str">
        <x:v>Replicated</x:v>
      </x:c>
      <x:c r="I70" s="32" t="n">
        <x:f>1</x:f>
        <x:v>1</x:v>
      </x:c>
      <x:c r="J70" s="33" t="n">
        <x:f>E70*F70*G70/1073741824</x:f>
        <x:v>0.0000286102294921875</x:v>
      </x:c>
      <x:c r="K70" s="33" t="n">
        <x:f>J70/I70</x:f>
        <x:v>0.0000286102294921875</x:v>
      </x:c>
      <x:c r="L70" s="29"/>
      <x:c r="M70" s="29"/>
      <x:c r="N70" s="29"/>
      <x:c r="O70" s="29"/>
      <x:c r="P70" s="29"/>
    </x:row>
    <x:row r="71" ht="30" customHeight="1">
      <x:c r="A71" s="29" t="str">
        <x:v>DSpark</x:v>
      </x:c>
      <x:c r="B71" s="40" t="str">
        <x:v>mtp.N.ffn_norm.weight</x:v>
      </x:c>
      <x:c r="C71" s="29" t="str">
        <x:v>[5120]</x:v>
      </x:c>
      <x:c r="D71" s="29" t="str">
        <x:v>BF16</x:v>
      </x:c>
      <x:c r="E71" s="31" t="n">
        <x:v>2</x:v>
      </x:c>
      <x:c r="F71" s="32" t="n">
        <x:v>3</x:v>
      </x:c>
      <x:c r="G71" s="32" t="n">
        <x:v>5120</x:v>
      </x:c>
      <x:c r="H71" s="32" t="str">
        <x:v>Replicated</x:v>
      </x:c>
      <x:c r="I71" s="32" t="n">
        <x:f>1</x:f>
        <x:v>1</x:v>
      </x:c>
      <x:c r="J71" s="33" t="n">
        <x:f>E71*F71*G71/1073741824</x:f>
        <x:v>0.0000286102294921875</x:v>
      </x:c>
      <x:c r="K71" s="33" t="n">
        <x:f>J71/I71</x:f>
        <x:v>0.0000286102294921875</x:v>
      </x:c>
      <x:c r="L71" s="29"/>
      <x:c r="M71" s="29"/>
      <x:c r="N71" s="29"/>
      <x:c r="O71" s="29"/>
      <x:c r="P71" s="29"/>
    </x:row>
    <x:row r="72" ht="30" customHeight="1">
      <x:c r="A72" s="29" t="str">
        <x:v>DSpark Router</x:v>
      </x:c>
      <x:c r="B72" s="40" t="str">
        <x:v>mtp.N.ffn.gate.weight</x:v>
      </x:c>
      <x:c r="C72" s="29" t="str">
        <x:v>[128, 5120]</x:v>
      </x:c>
      <x:c r="D72" s="29" t="str">
        <x:v>BF16</x:v>
      </x:c>
      <x:c r="E72" s="31" t="n">
        <x:v>2</x:v>
      </x:c>
      <x:c r="F72" s="32" t="n">
        <x:v>3</x:v>
      </x:c>
      <x:c r="G72" s="32" t="n">
        <x:v>655360</x:v>
      </x:c>
      <x:c r="H72" s="32" t="str">
        <x:v>Replicated</x:v>
      </x:c>
      <x:c r="I72" s="32" t="n">
        <x:f>1</x:f>
        <x:v>1</x:v>
      </x:c>
      <x:c r="J72" s="33" t="n">
        <x:f>E72*F72*G72/1073741824</x:f>
        <x:v>0.003662109375</x:v>
      </x:c>
      <x:c r="K72" s="33" t="n">
        <x:f>J72/I72</x:f>
        <x:v>0.003662109375</x:v>
      </x:c>
      <x:c r="L72" s="29"/>
      <x:c r="M72" s="29"/>
      <x:c r="N72" s="29"/>
      <x:c r="O72" s="29"/>
      <x:c r="P72" s="29"/>
    </x:row>
    <x:row r="73" ht="30" customHeight="1">
      <x:c r="A73" s="29" t="str">
        <x:v>DSpark Router</x:v>
      </x:c>
      <x:c r="B73" s="40" t="str">
        <x:v>mtp.N.ffn.gate.bias</x:v>
      </x:c>
      <x:c r="C73" s="29" t="str">
        <x:v>[128]</x:v>
      </x:c>
      <x:c r="D73" s="29" t="str">
        <x:v>F32</x:v>
      </x:c>
      <x:c r="E73" s="31" t="n">
        <x:v>4</x:v>
      </x:c>
      <x:c r="F73" s="32" t="n">
        <x:v>3</x:v>
      </x:c>
      <x:c r="G73" s="32" t="n">
        <x:v>128</x:v>
      </x:c>
      <x:c r="H73" s="32" t="str">
        <x:v>Replicated</x:v>
      </x:c>
      <x:c r="I73" s="32" t="n">
        <x:f>1</x:f>
        <x:v>1</x:v>
      </x:c>
      <x:c r="J73" s="33" t="n">
        <x:f>E73*F73*G73/1073741824</x:f>
        <x:v>0.000001430511474609375</x:v>
      </x:c>
      <x:c r="K73" s="33" t="n">
        <x:f>J73/I73</x:f>
        <x:v>0.000001430511474609375</x:v>
      </x:c>
      <x:c r="L73" s="29"/>
      <x:c r="M73" s="29"/>
      <x:c r="N73" s="29"/>
      <x:c r="O73" s="29"/>
      <x:c r="P73" s="29"/>
    </x:row>
    <x:row r="74" ht="30" customHeight="1">
      <x:c r="A74" s="29" t="str">
        <x:v>DSpark Router</x:v>
      </x:c>
      <x:c r="B74" s="40" t="str">
        <x:v>mtp.N.ffn.gate.bias_vl</x:v>
      </x:c>
      <x:c r="C74" s="29" t="str">
        <x:v>[128]</x:v>
      </x:c>
      <x:c r="D74" s="29" t="str">
        <x:v>F32</x:v>
      </x:c>
      <x:c r="E74" s="31" t="n">
        <x:v>4</x:v>
      </x:c>
      <x:c r="F74" s="32" t="n">
        <x:v>3</x:v>
      </x:c>
      <x:c r="G74" s="32" t="n">
        <x:v>128</x:v>
      </x:c>
      <x:c r="H74" s="32" t="str">
        <x:v>Replicated</x:v>
      </x:c>
      <x:c r="I74" s="32" t="n">
        <x:f>1</x:f>
        <x:v>1</x:v>
      </x:c>
      <x:c r="J74" s="33" t="n">
        <x:f>E74*F74*G74/1073741824</x:f>
        <x:v>0.000001430511474609375</x:v>
      </x:c>
      <x:c r="K74" s="33" t="n">
        <x:f>J74/I74</x:f>
        <x:v>0.000001430511474609375</x:v>
      </x:c>
      <x:c r="L74" s="29"/>
      <x:c r="M74" s="29"/>
      <x:c r="N74" s="29"/>
      <x:c r="O74" s="29"/>
      <x:c r="P74" s="29"/>
    </x:row>
    <x:row r="75" ht="30" customHeight="1">
      <x:c r="A75" s="29" t="str">
        <x:v>DSpark Experts</x:v>
      </x:c>
      <x:c r="B75" s="40" t="str">
        <x:v>mtp.N.ffn.experts.N.w1.weight</x:v>
      </x:c>
      <x:c r="C75" s="29" t="str">
        <x:v>[2304, 5120]</x:v>
      </x:c>
      <x:c r="D75" s="29" t="str">
        <x:v>FP4 E2M1</x:v>
      </x:c>
      <x:c r="E75" s="31" t="n">
        <x:v>0.5</x:v>
      </x:c>
      <x:c r="F75" s="32" t="n">
        <x:v>384</x:v>
      </x:c>
      <x:c r="G75" s="32" t="n">
        <x:v>11796480</x:v>
      </x:c>
      <x:c r="H75" s="32" t="str">
        <x:v>EP</x:v>
      </x:c>
      <x:c r="I75" s="32" t="n">
        <x:f>'Decode'!$P$14</x:f>
        <x:v>32</x:v>
      </x:c>
      <x:c r="J75" s="33" t="n">
        <x:f>E75*F75*G75/1073741824</x:f>
        <x:v>2.109375</x:v>
      </x:c>
      <x:c r="K75" s="33" t="n">
        <x:f>J75/I75</x:f>
        <x:v>0.06591796875</x:v>
      </x:c>
      <x:c r="L75" s="29"/>
      <x:c r="M75" s="29"/>
      <x:c r="N75" s="29"/>
      <x:c r="O75" s="29"/>
      <x:c r="P75" s="29"/>
    </x:row>
    <x:row r="76" ht="30" customHeight="1">
      <x:c r="A76" s="29" t="str">
        <x:v>DSpark Experts</x:v>
      </x:c>
      <x:c r="B76" s="40" t="str">
        <x:v>mtp.N.ffn.experts.N.w1.scale</x:v>
      </x:c>
      <x:c r="C76" s="29" t="str">
        <x:v>[2304, 160]</x:v>
      </x:c>
      <x:c r="D76" s="29" t="str">
        <x:v>E8M0</x:v>
      </x:c>
      <x:c r="E76" s="31" t="n">
        <x:v>1</x:v>
      </x:c>
      <x:c r="F76" s="32" t="n">
        <x:v>384</x:v>
      </x:c>
      <x:c r="G76" s="32" t="n">
        <x:v>368640</x:v>
      </x:c>
      <x:c r="H76" s="32" t="str">
        <x:v>EP</x:v>
      </x:c>
      <x:c r="I76" s="32" t="n">
        <x:f>'Decode'!$P$14</x:f>
        <x:v>32</x:v>
      </x:c>
      <x:c r="J76" s="33" t="n">
        <x:f>E76*F76*G76/1073741824</x:f>
        <x:v>0.1318359375</x:v>
      </x:c>
      <x:c r="K76" s="33" t="n">
        <x:f>J76/I76</x:f>
        <x:v>0.004119873046875</x:v>
      </x:c>
      <x:c r="L76" s="29"/>
      <x:c r="M76" s="29"/>
      <x:c r="N76" s="29"/>
      <x:c r="O76" s="29"/>
      <x:c r="P76" s="29"/>
    </x:row>
    <x:row r="77" ht="30" customHeight="1">
      <x:c r="A77" s="29" t="str">
        <x:v>DSpark Shared</x:v>
      </x:c>
      <x:c r="B77" s="40" t="str">
        <x:v>mtp.N.ffn.shared_experts.w1.weight</x:v>
      </x:c>
      <x:c r="C77" s="29" t="str">
        <x:v>[2304, 5120]</x:v>
      </x:c>
      <x:c r="D77" s="29" t="str">
        <x:v>FP8 E4M3</x:v>
      </x:c>
      <x:c r="E77" s="31" t="n">
        <x:v>1</x:v>
      </x:c>
      <x:c r="F77" s="32" t="n">
        <x:v>3</x:v>
      </x:c>
      <x:c r="G77" s="32" t="n">
        <x:v>11796480</x:v>
      </x:c>
      <x:c r="H77" s="32" t="str">
        <x:v>SP 复制 / 非 SP TP</x:v>
      </x:c>
      <x:c r="I77" s="32" t="n">
        <x:f>IF('Decode'!$P$13&lt;&gt;0,1,'Decode'!$P$12)</x:f>
        <x:v>1</x:v>
      </x:c>
      <x:c r="J77" s="33" t="n">
        <x:f>E77*F77*G77/1073741824</x:f>
        <x:v>0.032958984375</x:v>
      </x:c>
      <x:c r="K77" s="33" t="n">
        <x:f>J77/I77</x:f>
        <x:v>0.032958984375</x:v>
      </x:c>
      <x:c r="L77" s="29"/>
      <x:c r="M77" s="29"/>
      <x:c r="N77" s="29"/>
      <x:c r="O77" s="29"/>
      <x:c r="P77" s="29"/>
    </x:row>
    <x:row r="78" ht="30" customHeight="1">
      <x:c r="A78" s="29" t="str">
        <x:v>DSpark Shared</x:v>
      </x:c>
      <x:c r="B78" s="40" t="str">
        <x:v>mtp.N.ffn.shared_experts.w1.scale</x:v>
      </x:c>
      <x:c r="C78" s="29" t="str">
        <x:v>[72, 160]</x:v>
      </x:c>
      <x:c r="D78" s="29" t="str">
        <x:v>E8M0</x:v>
      </x:c>
      <x:c r="E78" s="31" t="n">
        <x:v>1</x:v>
      </x:c>
      <x:c r="F78" s="32" t="n">
        <x:v>3</x:v>
      </x:c>
      <x:c r="G78" s="32" t="n">
        <x:v>11520</x:v>
      </x:c>
      <x:c r="H78" s="32" t="str">
        <x:v>SP 复制 / 非 SP TP</x:v>
      </x:c>
      <x:c r="I78" s="32" t="n">
        <x:f>IF('Decode'!$P$13&lt;&gt;0,1,'Decode'!$P$12)</x:f>
        <x:v>1</x:v>
      </x:c>
      <x:c r="J78" s="33" t="n">
        <x:f>E78*F78*G78/1073741824</x:f>
        <x:v>0.00003218650817871094</x:v>
      </x:c>
      <x:c r="K78" s="33" t="n">
        <x:f>J78/I78</x:f>
        <x:v>0.00003218650817871094</x:v>
      </x:c>
      <x:c r="L78" s="29"/>
      <x:c r="M78" s="29"/>
      <x:c r="N78" s="29"/>
      <x:c r="O78" s="29"/>
      <x:c r="P78" s="29"/>
    </x:row>
    <x:row r="79" ht="30" customHeight="1">
      <x:c r="A79" s="29" t="str">
        <x:v>DSpark Experts</x:v>
      </x:c>
      <x:c r="B79" s="40" t="str">
        <x:v>mtp.N.ffn.experts.N.w3.weight</x:v>
      </x:c>
      <x:c r="C79" s="29" t="str">
        <x:v>[2304, 5120]</x:v>
      </x:c>
      <x:c r="D79" s="29" t="str">
        <x:v>FP4 E2M1</x:v>
      </x:c>
      <x:c r="E79" s="31" t="n">
        <x:v>0.5</x:v>
      </x:c>
      <x:c r="F79" s="32" t="n">
        <x:v>384</x:v>
      </x:c>
      <x:c r="G79" s="32" t="n">
        <x:v>11796480</x:v>
      </x:c>
      <x:c r="H79" s="32" t="str">
        <x:v>EP</x:v>
      </x:c>
      <x:c r="I79" s="32" t="n">
        <x:f>'Decode'!$P$14</x:f>
        <x:v>32</x:v>
      </x:c>
      <x:c r="J79" s="33" t="n">
        <x:f>E79*F79*G79/1073741824</x:f>
        <x:v>2.109375</x:v>
      </x:c>
      <x:c r="K79" s="33" t="n">
        <x:f>J79/I79</x:f>
        <x:v>0.06591796875</x:v>
      </x:c>
      <x:c r="L79" s="29"/>
      <x:c r="M79" s="29"/>
      <x:c r="N79" s="29"/>
      <x:c r="O79" s="29"/>
      <x:c r="P79" s="29"/>
    </x:row>
    <x:row r="80" ht="30" customHeight="1">
      <x:c r="A80" s="29" t="str">
        <x:v>DSpark Experts</x:v>
      </x:c>
      <x:c r="B80" s="40" t="str">
        <x:v>mtp.N.ffn.experts.N.w3.scale</x:v>
      </x:c>
      <x:c r="C80" s="29" t="str">
        <x:v>[2304, 160]</x:v>
      </x:c>
      <x:c r="D80" s="29" t="str">
        <x:v>E8M0</x:v>
      </x:c>
      <x:c r="E80" s="31" t="n">
        <x:v>1</x:v>
      </x:c>
      <x:c r="F80" s="32" t="n">
        <x:v>384</x:v>
      </x:c>
      <x:c r="G80" s="32" t="n">
        <x:v>368640</x:v>
      </x:c>
      <x:c r="H80" s="32" t="str">
        <x:v>EP</x:v>
      </x:c>
      <x:c r="I80" s="32" t="n">
        <x:f>'Decode'!$P$14</x:f>
        <x:v>32</x:v>
      </x:c>
      <x:c r="J80" s="33" t="n">
        <x:f>E80*F80*G80/1073741824</x:f>
        <x:v>0.1318359375</x:v>
      </x:c>
      <x:c r="K80" s="33" t="n">
        <x:f>J80/I80</x:f>
        <x:v>0.004119873046875</x:v>
      </x:c>
      <x:c r="L80" s="29"/>
      <x:c r="M80" s="29"/>
      <x:c r="N80" s="29"/>
      <x:c r="O80" s="29"/>
      <x:c r="P80" s="29"/>
    </x:row>
    <x:row r="81" ht="30" customHeight="1">
      <x:c r="A81" s="29" t="str">
        <x:v>DSpark Shared</x:v>
      </x:c>
      <x:c r="B81" s="40" t="str">
        <x:v>mtp.N.ffn.shared_experts.w3.weight</x:v>
      </x:c>
      <x:c r="C81" s="29" t="str">
        <x:v>[2304, 5120]</x:v>
      </x:c>
      <x:c r="D81" s="29" t="str">
        <x:v>FP8 E4M3</x:v>
      </x:c>
      <x:c r="E81" s="31" t="n">
        <x:v>1</x:v>
      </x:c>
      <x:c r="F81" s="32" t="n">
        <x:v>3</x:v>
      </x:c>
      <x:c r="G81" s="32" t="n">
        <x:v>11796480</x:v>
      </x:c>
      <x:c r="H81" s="32" t="str">
        <x:v>SP 复制 / 非 SP TP</x:v>
      </x:c>
      <x:c r="I81" s="32" t="n">
        <x:f>IF('Decode'!$P$13&lt;&gt;0,1,'Decode'!$P$12)</x:f>
        <x:v>1</x:v>
      </x:c>
      <x:c r="J81" s="33" t="n">
        <x:f>E81*F81*G81/1073741824</x:f>
        <x:v>0.032958984375</x:v>
      </x:c>
      <x:c r="K81" s="33" t="n">
        <x:f>J81/I81</x:f>
        <x:v>0.032958984375</x:v>
      </x:c>
      <x:c r="L81" s="29"/>
      <x:c r="M81" s="29"/>
      <x:c r="N81" s="29"/>
      <x:c r="O81" s="29"/>
      <x:c r="P81" s="29"/>
    </x:row>
    <x:row r="82" ht="30" customHeight="1">
      <x:c r="A82" s="29" t="str">
        <x:v>DSpark Shared</x:v>
      </x:c>
      <x:c r="B82" s="40" t="str">
        <x:v>mtp.N.ffn.shared_experts.w3.scale</x:v>
      </x:c>
      <x:c r="C82" s="29" t="str">
        <x:v>[72, 160]</x:v>
      </x:c>
      <x:c r="D82" s="29" t="str">
        <x:v>E8M0</x:v>
      </x:c>
      <x:c r="E82" s="31" t="n">
        <x:v>1</x:v>
      </x:c>
      <x:c r="F82" s="32" t="n">
        <x:v>3</x:v>
      </x:c>
      <x:c r="G82" s="32" t="n">
        <x:v>11520</x:v>
      </x:c>
      <x:c r="H82" s="32" t="str">
        <x:v>SP 复制 / 非 SP TP</x:v>
      </x:c>
      <x:c r="I82" s="32" t="n">
        <x:f>IF('Decode'!$P$13&lt;&gt;0,1,'Decode'!$P$12)</x:f>
        <x:v>1</x:v>
      </x:c>
      <x:c r="J82" s="33" t="n">
        <x:f>E82*F82*G82/1073741824</x:f>
        <x:v>0.00003218650817871094</x:v>
      </x:c>
      <x:c r="K82" s="33" t="n">
        <x:f>J82/I82</x:f>
        <x:v>0.00003218650817871094</x:v>
      </x:c>
      <x:c r="L82" s="29"/>
      <x:c r="M82" s="29"/>
      <x:c r="N82" s="29"/>
      <x:c r="O82" s="29"/>
      <x:c r="P82" s="29"/>
    </x:row>
    <x:row r="83" ht="30" customHeight="1">
      <x:c r="A83" s="29" t="str">
        <x:v>DSpark Experts</x:v>
      </x:c>
      <x:c r="B83" s="40" t="str">
        <x:v>mtp.N.ffn.experts.N.w2.weight</x:v>
      </x:c>
      <x:c r="C83" s="29" t="str">
        <x:v>[5120, 2304]</x:v>
      </x:c>
      <x:c r="D83" s="29" t="str">
        <x:v>FP4 E2M1</x:v>
      </x:c>
      <x:c r="E83" s="31" t="n">
        <x:v>0.5</x:v>
      </x:c>
      <x:c r="F83" s="32" t="n">
        <x:v>384</x:v>
      </x:c>
      <x:c r="G83" s="32" t="n">
        <x:v>11796480</x:v>
      </x:c>
      <x:c r="H83" s="32" t="str">
        <x:v>EP</x:v>
      </x:c>
      <x:c r="I83" s="32" t="n">
        <x:f>'Decode'!$P$14</x:f>
        <x:v>32</x:v>
      </x:c>
      <x:c r="J83" s="33" t="n">
        <x:f>E83*F83*G83/1073741824</x:f>
        <x:v>2.109375</x:v>
      </x:c>
      <x:c r="K83" s="33" t="n">
        <x:f>J83/I83</x:f>
        <x:v>0.06591796875</x:v>
      </x:c>
      <x:c r="L83" s="29"/>
      <x:c r="M83" s="29"/>
      <x:c r="N83" s="29"/>
      <x:c r="O83" s="29"/>
      <x:c r="P83" s="29"/>
    </x:row>
    <x:row r="84" ht="30" customHeight="1">
      <x:c r="A84" s="29" t="str">
        <x:v>DSpark Experts</x:v>
      </x:c>
      <x:c r="B84" s="40" t="str">
        <x:v>mtp.N.ffn.experts.N.w2.scale</x:v>
      </x:c>
      <x:c r="C84" s="29" t="str">
        <x:v>[5120, 72]</x:v>
      </x:c>
      <x:c r="D84" s="29" t="str">
        <x:v>E8M0</x:v>
      </x:c>
      <x:c r="E84" s="31" t="n">
        <x:v>1</x:v>
      </x:c>
      <x:c r="F84" s="32" t="n">
        <x:v>384</x:v>
      </x:c>
      <x:c r="G84" s="32" t="n">
        <x:v>368640</x:v>
      </x:c>
      <x:c r="H84" s="32" t="str">
        <x:v>EP</x:v>
      </x:c>
      <x:c r="I84" s="32" t="n">
        <x:f>'Decode'!$P$14</x:f>
        <x:v>32</x:v>
      </x:c>
      <x:c r="J84" s="33" t="n">
        <x:f>E84*F84*G84/1073741824</x:f>
        <x:v>0.1318359375</x:v>
      </x:c>
      <x:c r="K84" s="33" t="n">
        <x:f>J84/I84</x:f>
        <x:v>0.004119873046875</x:v>
      </x:c>
      <x:c r="L84" s="29"/>
      <x:c r="M84" s="29"/>
      <x:c r="N84" s="29"/>
      <x:c r="O84" s="29"/>
      <x:c r="P84" s="29"/>
    </x:row>
    <x:row r="85" ht="30" customHeight="1">
      <x:c r="A85" s="29" t="str">
        <x:v>DSpark Shared</x:v>
      </x:c>
      <x:c r="B85" s="40" t="str">
        <x:v>mtp.N.ffn.shared_experts.w2.weight</x:v>
      </x:c>
      <x:c r="C85" s="29" t="str">
        <x:v>[5120, 2304]</x:v>
      </x:c>
      <x:c r="D85" s="29" t="str">
        <x:v>FP8 E4M3</x:v>
      </x:c>
      <x:c r="E85" s="31" t="n">
        <x:v>1</x:v>
      </x:c>
      <x:c r="F85" s="32" t="n">
        <x:v>3</x:v>
      </x:c>
      <x:c r="G85" s="32" t="n">
        <x:v>11796480</x:v>
      </x:c>
      <x:c r="H85" s="32" t="str">
        <x:v>SP 复制 / 非 SP TP</x:v>
      </x:c>
      <x:c r="I85" s="32" t="n">
        <x:f>IF('Decode'!$P$13&lt;&gt;0,1,'Decode'!$P$12)</x:f>
        <x:v>1</x:v>
      </x:c>
      <x:c r="J85" s="33" t="n">
        <x:f>E85*F85*G85/1073741824</x:f>
        <x:v>0.032958984375</x:v>
      </x:c>
      <x:c r="K85" s="33" t="n">
        <x:f>J85/I85</x:f>
        <x:v>0.032958984375</x:v>
      </x:c>
      <x:c r="L85" s="29"/>
      <x:c r="M85" s="29"/>
      <x:c r="N85" s="29"/>
      <x:c r="O85" s="29"/>
      <x:c r="P85" s="29"/>
    </x:row>
    <x:row r="86" ht="30" customHeight="1">
      <x:c r="A86" s="29" t="str">
        <x:v>DSpark Shared</x:v>
      </x:c>
      <x:c r="B86" s="40" t="str">
        <x:v>mtp.N.ffn.shared_experts.w2.scale</x:v>
      </x:c>
      <x:c r="C86" s="29" t="str">
        <x:v>[160, 72]</x:v>
      </x:c>
      <x:c r="D86" s="29" t="str">
        <x:v>E8M0</x:v>
      </x:c>
      <x:c r="E86" s="31" t="n">
        <x:v>1</x:v>
      </x:c>
      <x:c r="F86" s="32" t="n">
        <x:v>3</x:v>
      </x:c>
      <x:c r="G86" s="32" t="n">
        <x:v>11520</x:v>
      </x:c>
      <x:c r="H86" s="32" t="str">
        <x:v>SP 复制 / 非 SP TP</x:v>
      </x:c>
      <x:c r="I86" s="32" t="n">
        <x:f>IF('Decode'!$P$13&lt;&gt;0,1,'Decode'!$P$12)</x:f>
        <x:v>1</x:v>
      </x:c>
      <x:c r="J86" s="33" t="n">
        <x:f>E86*F86*G86/1073741824</x:f>
        <x:v>0.00003218650817871094</x:v>
      </x:c>
      <x:c r="K86" s="33" t="n">
        <x:f>J86/I86</x:f>
        <x:v>0.00003218650817871094</x:v>
      </x:c>
      <x:c r="L86" s="29"/>
      <x:c r="M86" s="29"/>
      <x:c r="N86" s="29"/>
      <x:c r="O86" s="29"/>
      <x:c r="P86" s="29"/>
    </x:row>
    <x:row r="87" ht="30" customHeight="1">
      <x:c r="A87" s="29" t="str">
        <x:v>DSpark HC</x:v>
      </x:c>
      <x:c r="B87" s="40" t="str">
        <x:v>mtp.N.hc_attn_fn</x:v>
      </x:c>
      <x:c r="C87" s="29" t="str">
        <x:v>[24, 20480]</x:v>
      </x:c>
      <x:c r="D87" s="29" t="str">
        <x:v>F32</x:v>
      </x:c>
      <x:c r="E87" s="31" t="n">
        <x:v>4</x:v>
      </x:c>
      <x:c r="F87" s="32" t="n">
        <x:v>3</x:v>
      </x:c>
      <x:c r="G87" s="32" t="n">
        <x:v>491520</x:v>
      </x:c>
      <x:c r="H87" s="32" t="str">
        <x:v>Replicated</x:v>
      </x:c>
      <x:c r="I87" s="32" t="n">
        <x:f>1</x:f>
        <x:v>1</x:v>
      </x:c>
      <x:c r="J87" s="33" t="n">
        <x:f>E87*F87*G87/1073741824</x:f>
        <x:v>0.0054931640625</x:v>
      </x:c>
      <x:c r="K87" s="33" t="n">
        <x:f>J87/I87</x:f>
        <x:v>0.0054931640625</x:v>
      </x:c>
      <x:c r="L87" s="29"/>
      <x:c r="M87" s="29"/>
      <x:c r="N87" s="29"/>
      <x:c r="O87" s="29"/>
      <x:c r="P87" s="29"/>
    </x:row>
    <x:row r="88" ht="30" customHeight="1">
      <x:c r="A88" s="29" t="str">
        <x:v>DSpark HC</x:v>
      </x:c>
      <x:c r="B88" s="40" t="str">
        <x:v>mtp.N.hc_attn_base</x:v>
      </x:c>
      <x:c r="C88" s="29" t="str">
        <x:v>[24]</x:v>
      </x:c>
      <x:c r="D88" s="29" t="str">
        <x:v>F32</x:v>
      </x:c>
      <x:c r="E88" s="31" t="n">
        <x:v>4</x:v>
      </x:c>
      <x:c r="F88" s="32" t="n">
        <x:v>3</x:v>
      </x:c>
      <x:c r="G88" s="32" t="n">
        <x:v>24</x:v>
      </x:c>
      <x:c r="H88" s="32" t="str">
        <x:v>Replicated</x:v>
      </x:c>
      <x:c r="I88" s="32" t="n">
        <x:f>1</x:f>
        <x:v>1</x:v>
      </x:c>
      <x:c r="J88" s="33" t="n">
        <x:f>E88*F88*G88/1073741824</x:f>
        <x:v>2.682209014892578e-7</x:v>
      </x:c>
      <x:c r="K88" s="33" t="n">
        <x:f>J88/I88</x:f>
        <x:v>2.682209014892578e-7</x:v>
      </x:c>
      <x:c r="L88" s="29"/>
      <x:c r="M88" s="29"/>
      <x:c r="N88" s="29"/>
      <x:c r="O88" s="29"/>
      <x:c r="P88" s="29"/>
    </x:row>
    <x:row r="89" ht="30" customHeight="1">
      <x:c r="A89" s="29" t="str">
        <x:v>DSpark HC</x:v>
      </x:c>
      <x:c r="B89" s="40" t="str">
        <x:v>mtp.N.hc_attn_scale</x:v>
      </x:c>
      <x:c r="C89" s="29" t="str">
        <x:v>[3]</x:v>
      </x:c>
      <x:c r="D89" s="29" t="str">
        <x:v>F32</x:v>
      </x:c>
      <x:c r="E89" s="31" t="n">
        <x:v>4</x:v>
      </x:c>
      <x:c r="F89" s="32" t="n">
        <x:v>3</x:v>
      </x:c>
      <x:c r="G89" s="32" t="n">
        <x:v>3</x:v>
      </x:c>
      <x:c r="H89" s="32" t="str">
        <x:v>Replicated</x:v>
      </x:c>
      <x:c r="I89" s="32" t="n">
        <x:f>1</x:f>
        <x:v>1</x:v>
      </x:c>
      <x:c r="J89" s="33" t="n">
        <x:f>E89*F89*G89/1073741824</x:f>
        <x:v>3.3527612686157227e-8</x:v>
      </x:c>
      <x:c r="K89" s="33" t="n">
        <x:f>J89/I89</x:f>
        <x:v>3.3527612686157227e-8</x:v>
      </x:c>
      <x:c r="L89" s="29"/>
      <x:c r="M89" s="29"/>
      <x:c r="N89" s="29"/>
      <x:c r="O89" s="29"/>
      <x:c r="P89" s="29"/>
    </x:row>
    <x:row r="90" ht="30" customHeight="1">
      <x:c r="A90" s="29" t="str">
        <x:v>DSpark HC</x:v>
      </x:c>
      <x:c r="B90" s="40" t="str">
        <x:v>mtp.N.hc_ffn_fn</x:v>
      </x:c>
      <x:c r="C90" s="29" t="str">
        <x:v>[24, 20480]</x:v>
      </x:c>
      <x:c r="D90" s="29" t="str">
        <x:v>F32</x:v>
      </x:c>
      <x:c r="E90" s="31" t="n">
        <x:v>4</x:v>
      </x:c>
      <x:c r="F90" s="32" t="n">
        <x:v>3</x:v>
      </x:c>
      <x:c r="G90" s="32" t="n">
        <x:v>491520</x:v>
      </x:c>
      <x:c r="H90" s="32" t="str">
        <x:v>Replicated</x:v>
      </x:c>
      <x:c r="I90" s="32" t="n">
        <x:f>1</x:f>
        <x:v>1</x:v>
      </x:c>
      <x:c r="J90" s="33" t="n">
        <x:f>E90*F90*G90/1073741824</x:f>
        <x:v>0.0054931640625</x:v>
      </x:c>
      <x:c r="K90" s="33" t="n">
        <x:f>J90/I90</x:f>
        <x:v>0.0054931640625</x:v>
      </x:c>
      <x:c r="L90" s="29"/>
      <x:c r="M90" s="29"/>
      <x:c r="N90" s="29"/>
      <x:c r="O90" s="29"/>
      <x:c r="P90" s="29"/>
    </x:row>
    <x:row r="91" ht="30" customHeight="1">
      <x:c r="A91" s="29" t="str">
        <x:v>DSpark HC</x:v>
      </x:c>
      <x:c r="B91" s="40" t="str">
        <x:v>mtp.N.hc_ffn_base</x:v>
      </x:c>
      <x:c r="C91" s="29" t="str">
        <x:v>[24]</x:v>
      </x:c>
      <x:c r="D91" s="29" t="str">
        <x:v>F32</x:v>
      </x:c>
      <x:c r="E91" s="31" t="n">
        <x:v>4</x:v>
      </x:c>
      <x:c r="F91" s="32" t="n">
        <x:v>3</x:v>
      </x:c>
      <x:c r="G91" s="32" t="n">
        <x:v>24</x:v>
      </x:c>
      <x:c r="H91" s="32" t="str">
        <x:v>Replicated</x:v>
      </x:c>
      <x:c r="I91" s="32" t="n">
        <x:f>1</x:f>
        <x:v>1</x:v>
      </x:c>
      <x:c r="J91" s="33" t="n">
        <x:f>E91*F91*G91/1073741824</x:f>
        <x:v>2.682209014892578e-7</x:v>
      </x:c>
      <x:c r="K91" s="33" t="n">
        <x:f>J91/I91</x:f>
        <x:v>2.682209014892578e-7</x:v>
      </x:c>
      <x:c r="L91" s="29"/>
      <x:c r="M91" s="29"/>
      <x:c r="N91" s="29"/>
      <x:c r="O91" s="29"/>
      <x:c r="P91" s="29"/>
    </x:row>
    <x:row r="92" ht="30" customHeight="1">
      <x:c r="A92" s="29" t="str">
        <x:v>DSpark HC</x:v>
      </x:c>
      <x:c r="B92" s="40" t="str">
        <x:v>mtp.N.hc_ffn_scale</x:v>
      </x:c>
      <x:c r="C92" s="29" t="str">
        <x:v>[3]</x:v>
      </x:c>
      <x:c r="D92" s="29" t="str">
        <x:v>F32</x:v>
      </x:c>
      <x:c r="E92" s="31" t="n">
        <x:v>4</x:v>
      </x:c>
      <x:c r="F92" s="32" t="n">
        <x:v>3</x:v>
      </x:c>
      <x:c r="G92" s="32" t="n">
        <x:v>3</x:v>
      </x:c>
      <x:c r="H92" s="32" t="str">
        <x:v>Replicated</x:v>
      </x:c>
      <x:c r="I92" s="32" t="n">
        <x:f>1</x:f>
        <x:v>1</x:v>
      </x:c>
      <x:c r="J92" s="33" t="n">
        <x:f>E92*F92*G92/1073741824</x:f>
        <x:v>3.3527612686157227e-8</x:v>
      </x:c>
      <x:c r="K92" s="33" t="n">
        <x:f>J92/I92</x:f>
        <x:v>3.3527612686157227e-8</x:v>
      </x:c>
      <x:c r="L92" s="29"/>
      <x:c r="M92" s="29"/>
      <x:c r="N92" s="29"/>
      <x:c r="O92" s="29"/>
      <x:c r="P92" s="29"/>
    </x:row>
    <x:row r="93" ht="30" customHeight="1">
      <x:c r="A93" s="29" t="str">
        <x:v>DSpark Input</x:v>
      </x:c>
      <x:c r="B93" s="40" t="str">
        <x:v>mtp.N.main_proj.weight</x:v>
      </x:c>
      <x:c r="C93" s="29" t="str">
        <x:v>[5120, 15360]</x:v>
      </x:c>
      <x:c r="D93" s="29" t="str">
        <x:v>FP8 E4M3</x:v>
      </x:c>
      <x:c r="E93" s="31" t="n">
        <x:v>1</x:v>
      </x:c>
      <x:c r="F93" s="32" t="n">
        <x:v>1</x:v>
      </x:c>
      <x:c r="G93" s="32" t="n">
        <x:v>78643200</x:v>
      </x:c>
      <x:c r="H93" s="32" t="str">
        <x:v>TP</x:v>
      </x:c>
      <x:c r="I93" s="32" t="n">
        <x:f>'Decode'!$P$12</x:f>
        <x:v>1</x:v>
      </x:c>
      <x:c r="J93" s="33" t="n">
        <x:f>E93*F93*G93/1073741824</x:f>
        <x:v>0.0732421875</x:v>
      </x:c>
      <x:c r="K93" s="33" t="n">
        <x:f>J93/I93</x:f>
        <x:v>0.0732421875</x:v>
      </x:c>
      <x:c r="L93" s="29"/>
      <x:c r="M93" s="29"/>
      <x:c r="N93" s="29"/>
      <x:c r="O93" s="29"/>
      <x:c r="P93" s="29"/>
    </x:row>
    <x:row r="94" ht="30" customHeight="1">
      <x:c r="A94" s="29" t="str">
        <x:v>DSpark Input</x:v>
      </x:c>
      <x:c r="B94" s="40" t="str">
        <x:v>mtp.N.main_proj.scale</x:v>
      </x:c>
      <x:c r="C94" s="29" t="str">
        <x:v>[160, 480]</x:v>
      </x:c>
      <x:c r="D94" s="29" t="str">
        <x:v>E8M0</x:v>
      </x:c>
      <x:c r="E94" s="31" t="n">
        <x:v>1</x:v>
      </x:c>
      <x:c r="F94" s="32" t="n">
        <x:v>1</x:v>
      </x:c>
      <x:c r="G94" s="32" t="n">
        <x:v>76800</x:v>
      </x:c>
      <x:c r="H94" s="32" t="str">
        <x:v>TP</x:v>
      </x:c>
      <x:c r="I94" s="32" t="n">
        <x:f>'Decode'!$P$12</x:f>
        <x:v>1</x:v>
      </x:c>
      <x:c r="J94" s="33" t="n">
        <x:f>E94*F94*G94/1073741824</x:f>
        <x:v>0.00007152557373046875</x:v>
      </x:c>
      <x:c r="K94" s="33" t="n">
        <x:f>J94/I94</x:f>
        <x:v>0.00007152557373046875</x:v>
      </x:c>
      <x:c r="L94" s="29"/>
      <x:c r="M94" s="29"/>
      <x:c r="N94" s="29"/>
      <x:c r="O94" s="29"/>
      <x:c r="P94" s="29"/>
    </x:row>
    <x:row r="95" ht="30" customHeight="1">
      <x:c r="A95" s="29" t="str">
        <x:v>DSpark Norm</x:v>
      </x:c>
      <x:c r="B95" s="40" t="str">
        <x:v>mtp.N.main_norm.weight</x:v>
      </x:c>
      <x:c r="C95" s="29" t="str">
        <x:v>[5120]</x:v>
      </x:c>
      <x:c r="D95" s="29" t="str">
        <x:v>BF16</x:v>
      </x:c>
      <x:c r="E95" s="31" t="n">
        <x:v>2</x:v>
      </x:c>
      <x:c r="F95" s="32" t="n">
        <x:v>1</x:v>
      </x:c>
      <x:c r="G95" s="32" t="n">
        <x:v>5120</x:v>
      </x:c>
      <x:c r="H95" s="32" t="str">
        <x:v>Replicated</x:v>
      </x:c>
      <x:c r="I95" s="32" t="n">
        <x:f>1</x:f>
        <x:v>1</x:v>
      </x:c>
      <x:c r="J95" s="33" t="n">
        <x:f>E95*F95*G95/1073741824</x:f>
        <x:v>0.0000095367431640625</x:v>
      </x:c>
      <x:c r="K95" s="33" t="n">
        <x:f>J95/I95</x:f>
        <x:v>0.0000095367431640625</x:v>
      </x:c>
      <x:c r="L95" s="29"/>
      <x:c r="M95" s="29"/>
      <x:c r="N95" s="29"/>
      <x:c r="O95" s="29"/>
      <x:c r="P95" s="29"/>
    </x:row>
    <x:row r="96" ht="30" customHeight="1">
      <x:c r="A96" s="29" t="str">
        <x:v>DSpark Norm</x:v>
      </x:c>
      <x:c r="B96" s="40" t="str">
        <x:v>mtp.N.norm.weight</x:v>
      </x:c>
      <x:c r="C96" s="29" t="str">
        <x:v>[5120]</x:v>
      </x:c>
      <x:c r="D96" s="29" t="str">
        <x:v>BF16</x:v>
      </x:c>
      <x:c r="E96" s="31" t="n">
        <x:v>2</x:v>
      </x:c>
      <x:c r="F96" s="32" t="n">
        <x:v>1</x:v>
      </x:c>
      <x:c r="G96" s="32" t="n">
        <x:v>5120</x:v>
      </x:c>
      <x:c r="H96" s="32" t="str">
        <x:v>Replicated</x:v>
      </x:c>
      <x:c r="I96" s="32" t="n">
        <x:f>1</x:f>
        <x:v>1</x:v>
      </x:c>
      <x:c r="J96" s="33" t="n">
        <x:f>E96*F96*G96/1073741824</x:f>
        <x:v>0.0000095367431640625</x:v>
      </x:c>
      <x:c r="K96" s="33" t="n">
        <x:f>J96/I96</x:f>
        <x:v>0.0000095367431640625</x:v>
      </x:c>
      <x:c r="L96" s="29"/>
      <x:c r="M96" s="29"/>
      <x:c r="N96" s="29"/>
      <x:c r="O96" s="29"/>
      <x:c r="P96" s="29"/>
    </x:row>
    <x:row r="97" ht="30" customHeight="1">
      <x:c r="A97" s="29" t="str">
        <x:v>DSpark Markov</x:v>
      </x:c>
      <x:c r="B97" s="40" t="str">
        <x:v>mtp.N.markov_head.embed.weight</x:v>
      </x:c>
      <x:c r="C97" s="29" t="str">
        <x:v>[129280, 256]</x:v>
      </x:c>
      <x:c r="D97" s="29" t="str">
        <x:v>BF16</x:v>
      </x:c>
      <x:c r="E97" s="31" t="n">
        <x:v>2</x:v>
      </x:c>
      <x:c r="F97" s="32" t="n">
        <x:v>1</x:v>
      </x:c>
      <x:c r="G97" s="32" t="n">
        <x:v>33095680</x:v>
      </x:c>
      <x:c r="H97" s="32" t="str">
        <x:v>Embedding TP</x:v>
      </x:c>
      <x:c r="I97" s="32" t="n">
        <x:f>IF('Decode'!$P$21&gt;0,'Decode'!$P$21,'Decode'!$P$12)</x:f>
        <x:v>1</x:v>
      </x:c>
      <x:c r="J97" s="33" t="n">
        <x:f>E97*F97*G97/1073741824</x:f>
        <x:v>0.0616455078125</x:v>
      </x:c>
      <x:c r="K97" s="33" t="n">
        <x:f>J97/I97</x:f>
        <x:v>0.0616455078125</x:v>
      </x:c>
      <x:c r="L97" s="29"/>
      <x:c r="M97" s="29"/>
      <x:c r="N97" s="29"/>
      <x:c r="O97" s="29"/>
      <x:c r="P97" s="29"/>
    </x:row>
    <x:row r="98" ht="30" customHeight="1">
      <x:c r="A98" s="29" t="str">
        <x:v>DSpark Markov</x:v>
      </x:c>
      <x:c r="B98" s="40" t="str">
        <x:v>mtp.N.markov_head.head.weight</x:v>
      </x:c>
      <x:c r="C98" s="29" t="str">
        <x:v>[129280, 256]</x:v>
      </x:c>
      <x:c r="D98" s="29" t="str">
        <x:v>BF16</x:v>
      </x:c>
      <x:c r="E98" s="31" t="n">
        <x:v>2</x:v>
      </x:c>
      <x:c r="F98" s="32" t="n">
        <x:v>1</x:v>
      </x:c>
      <x:c r="G98" s="32" t="n">
        <x:v>33095680</x:v>
      </x:c>
      <x:c r="H98" s="32" t="str">
        <x:v>LM Head TP</x:v>
      </x:c>
      <x:c r="I98" s="32" t="n">
        <x:f>IF('Decode'!$P$20&gt;0,'Decode'!$P$20,'Decode'!$P$12)</x:f>
        <x:v>1</x:v>
      </x:c>
      <x:c r="J98" s="33" t="n">
        <x:f>E98*F98*G98/1073741824</x:f>
        <x:v>0.0616455078125</x:v>
      </x:c>
      <x:c r="K98" s="33" t="n">
        <x:f>J98/I98</x:f>
        <x:v>0.0616455078125</x:v>
      </x:c>
      <x:c r="L98" s="29"/>
      <x:c r="M98" s="29"/>
      <x:c r="N98" s="29"/>
      <x:c r="O98" s="29"/>
      <x:c r="P98" s="29"/>
    </x:row>
    <x:row r="99" ht="30" customHeight="1">
      <x:c r="A99" s="29" t="str">
        <x:v>DSpark Confidence</x:v>
      </x:c>
      <x:c r="B99" s="40" t="str">
        <x:v>mtp.N.confidence_head.proj.weight</x:v>
      </x:c>
      <x:c r="C99" s="29" t="str">
        <x:v>[1, 5376]</x:v>
      </x:c>
      <x:c r="D99" s="29" t="str">
        <x:v>BF16</x:v>
      </x:c>
      <x:c r="E99" s="31" t="n">
        <x:v>2</x:v>
      </x:c>
      <x:c r="F99" s="32" t="n">
        <x:v>1</x:v>
      </x:c>
      <x:c r="G99" s="32" t="n">
        <x:v>5376</x:v>
      </x:c>
      <x:c r="H99" s="32" t="str">
        <x:v>Replicated</x:v>
      </x:c>
      <x:c r="I99" s="32" t="n">
        <x:f>1</x:f>
        <x:v>1</x:v>
      </x:c>
      <x:c r="J99" s="33" t="n">
        <x:f>E99*F99*G99/1073741824</x:f>
        <x:v>0.000010013580322265625</x:v>
      </x:c>
      <x:c r="K99" s="33" t="n">
        <x:f>J99/I99</x:f>
        <x:v>0.000010013580322265625</x:v>
      </x:c>
      <x:c r="L99" s="29"/>
      <x:c r="M99" s="29"/>
      <x:c r="N99" s="29"/>
      <x:c r="O99" s="29"/>
      <x:c r="P99" s="29"/>
    </x:row>
    <x:row r="100" ht="30" customHeight="1">
      <x:c r="A100" s="29" t="str">
        <x:v>Image Tokens</x:v>
      </x:c>
      <x:c r="B100" s="40" t="str">
        <x:v>image_start</x:v>
      </x:c>
      <x:c r="C100" s="29" t="str">
        <x:v>[5120]</x:v>
      </x:c>
      <x:c r="D100" s="29" t="str">
        <x:v>BF16</x:v>
      </x:c>
      <x:c r="E100" s="31" t="n">
        <x:v>2</x:v>
      </x:c>
      <x:c r="F100" s="32" t="n">
        <x:v>1</x:v>
      </x:c>
      <x:c r="G100" s="32" t="n">
        <x:v>5120</x:v>
      </x:c>
      <x:c r="H100" s="32" t="str">
        <x:v>Replicated</x:v>
      </x:c>
      <x:c r="I100" s="32" t="n">
        <x:f>1</x:f>
        <x:v>1</x:v>
      </x:c>
      <x:c r="J100" s="33" t="n">
        <x:f>E100*F100*G100/1073741824</x:f>
        <x:v>0.0000095367431640625</x:v>
      </x:c>
      <x:c r="K100" s="33" t="n">
        <x:f>J100/I100</x:f>
        <x:v>0.0000095367431640625</x:v>
      </x:c>
      <x:c r="L100" s="29"/>
      <x:c r="M100" s="29"/>
      <x:c r="N100" s="29"/>
      <x:c r="O100" s="29"/>
      <x:c r="P100" s="29"/>
    </x:row>
    <x:row r="101" ht="30" customHeight="1">
      <x:c r="A101" s="29" t="str">
        <x:v>Image Tokens</x:v>
      </x:c>
      <x:c r="B101" s="40" t="str">
        <x:v>image_end</x:v>
      </x:c>
      <x:c r="C101" s="29" t="str">
        <x:v>[5120]</x:v>
      </x:c>
      <x:c r="D101" s="29" t="str">
        <x:v>BF16</x:v>
      </x:c>
      <x:c r="E101" s="31" t="n">
        <x:v>2</x:v>
      </x:c>
      <x:c r="F101" s="32" t="n">
        <x:v>1</x:v>
      </x:c>
      <x:c r="G101" s="32" t="n">
        <x:v>5120</x:v>
      </x:c>
      <x:c r="H101" s="32" t="str">
        <x:v>Replicated</x:v>
      </x:c>
      <x:c r="I101" s="32" t="n">
        <x:f>1</x:f>
        <x:v>1</x:v>
      </x:c>
      <x:c r="J101" s="33" t="n">
        <x:f>E101*F101*G101/1073741824</x:f>
        <x:v>0.0000095367431640625</x:v>
      </x:c>
      <x:c r="K101" s="33" t="n">
        <x:f>J101/I101</x:f>
        <x:v>0.0000095367431640625</x:v>
      </x:c>
      <x:c r="L101" s="29"/>
      <x:c r="M101" s="29"/>
      <x:c r="N101" s="29"/>
      <x:c r="O101" s="29"/>
      <x:c r="P101" s="29"/>
    </x:row>
    <x:row r="102" ht="30" customHeight="1">
      <x:c r="A102" s="29" t="str">
        <x:v>Image Tokens</x:v>
      </x:c>
      <x:c r="B102" s="40" t="str">
        <x:v>image_newline</x:v>
      </x:c>
      <x:c r="C102" s="29" t="str">
        <x:v>[5120]</x:v>
      </x:c>
      <x:c r="D102" s="29" t="str">
        <x:v>BF16</x:v>
      </x:c>
      <x:c r="E102" s="31" t="n">
        <x:v>2</x:v>
      </x:c>
      <x:c r="F102" s="32" t="n">
        <x:v>1</x:v>
      </x:c>
      <x:c r="G102" s="32" t="n">
        <x:v>5120</x:v>
      </x:c>
      <x:c r="H102" s="32" t="str">
        <x:v>Replicated</x:v>
      </x:c>
      <x:c r="I102" s="32" t="n">
        <x:f>1</x:f>
        <x:v>1</x:v>
      </x:c>
      <x:c r="J102" s="33" t="n">
        <x:f>E102*F102*G102/1073741824</x:f>
        <x:v>0.0000095367431640625</x:v>
      </x:c>
      <x:c r="K102" s="33" t="n">
        <x:f>J102/I102</x:f>
        <x:v>0.0000095367431640625</x:v>
      </x:c>
      <x:c r="L102" s="29"/>
      <x:c r="M102" s="29"/>
      <x:c r="N102" s="29"/>
      <x:c r="O102" s="29"/>
      <x:c r="P102" s="29"/>
    </x:row>
    <x:row r="103" ht="30" customHeight="1">
      <x:c r="A103" s="29" t="str">
        <x:v>Vision</x:v>
      </x:c>
      <x:c r="B103" s="40" t="str">
        <x:v>vision.patch_embed.proj.weight</x:v>
      </x:c>
      <x:c r="C103" s="29" t="str">
        <x:v>[1024, 588]</x:v>
      </x:c>
      <x:c r="D103" s="29" t="str">
        <x:v>BF16</x:v>
      </x:c>
      <x:c r="E103" s="31" t="n">
        <x:v>2</x:v>
      </x:c>
      <x:c r="F103" s="32" t="n">
        <x:v>1</x:v>
      </x:c>
      <x:c r="G103" s="32" t="n">
        <x:v>602112</x:v>
      </x:c>
      <x:c r="H103" s="32" t="str">
        <x:v>Replicated</x:v>
      </x:c>
      <x:c r="I103" s="32" t="n">
        <x:f>1</x:f>
        <x:v>1</x:v>
      </x:c>
      <x:c r="J103" s="33" t="n">
        <x:f>E103*F103*G103/1073741824</x:f>
        <x:v>0.00112152099609375</x:v>
      </x:c>
      <x:c r="K103" s="33" t="n">
        <x:f>J103/I103</x:f>
        <x:v>0.00112152099609375</x:v>
      </x:c>
      <x:c r="L103" s="29"/>
      <x:c r="M103" s="29"/>
      <x:c r="N103" s="29"/>
      <x:c r="O103" s="29"/>
      <x:c r="P103" s="29"/>
    </x:row>
    <x:row r="104" ht="30" customHeight="1">
      <x:c r="A104" s="29" t="str">
        <x:v>Vision</x:v>
      </x:c>
      <x:c r="B104" s="40" t="str">
        <x:v>vision.patch_embed.proj.bias</x:v>
      </x:c>
      <x:c r="C104" s="29" t="str">
        <x:v>[1024]</x:v>
      </x:c>
      <x:c r="D104" s="29" t="str">
        <x:v>BF16</x:v>
      </x:c>
      <x:c r="E104" s="31" t="n">
        <x:v>2</x:v>
      </x:c>
      <x:c r="F104" s="32" t="n">
        <x:v>1</x:v>
      </x:c>
      <x:c r="G104" s="32" t="n">
        <x:v>1024</x:v>
      </x:c>
      <x:c r="H104" s="32" t="str">
        <x:v>Replicated</x:v>
      </x:c>
      <x:c r="I104" s="32" t="n">
        <x:f>1</x:f>
        <x:v>1</x:v>
      </x:c>
      <x:c r="J104" s="33" t="n">
        <x:f>E104*F104*G104/1073741824</x:f>
        <x:v>0.0000019073486328125</x:v>
      </x:c>
      <x:c r="K104" s="33" t="n">
        <x:f>J104/I104</x:f>
        <x:v>0.0000019073486328125</x:v>
      </x:c>
      <x:c r="L104" s="29"/>
      <x:c r="M104" s="29"/>
      <x:c r="N104" s="29"/>
      <x:c r="O104" s="29"/>
      <x:c r="P104" s="29"/>
    </x:row>
    <x:row r="105" ht="30" customHeight="1">
      <x:c r="A105" s="29" t="str">
        <x:v>Vision</x:v>
      </x:c>
      <x:c r="B105" s="40" t="str">
        <x:v>vision.blocks.N.attn.wqkv.weight</x:v>
      </x:c>
      <x:c r="C105" s="29" t="str">
        <x:v>[3072, 1024]</x:v>
      </x:c>
      <x:c r="D105" s="29" t="str">
        <x:v>BF16</x:v>
      </x:c>
      <x:c r="E105" s="31" t="n">
        <x:v>2</x:v>
      </x:c>
      <x:c r="F105" s="32" t="n">
        <x:v>32</x:v>
      </x:c>
      <x:c r="G105" s="32" t="n">
        <x:v>3145728</x:v>
      </x:c>
      <x:c r="H105" s="32" t="str">
        <x:v>Replicated</x:v>
      </x:c>
      <x:c r="I105" s="32" t="n">
        <x:f>1</x:f>
        <x:v>1</x:v>
      </x:c>
      <x:c r="J105" s="33" t="n">
        <x:f>E105*F105*G105/1073741824</x:f>
        <x:v>0.1875</x:v>
      </x:c>
      <x:c r="K105" s="33" t="n">
        <x:f>J105/I105</x:f>
        <x:v>0.1875</x:v>
      </x:c>
      <x:c r="L105" s="29"/>
      <x:c r="M105" s="29"/>
      <x:c r="N105" s="29"/>
      <x:c r="O105" s="29"/>
      <x:c r="P105" s="29"/>
    </x:row>
    <x:row r="106" ht="30" customHeight="1">
      <x:c r="A106" s="29" t="str">
        <x:v>Vision</x:v>
      </x:c>
      <x:c r="B106" s="40" t="str">
        <x:v>vision.blocks.N.attn.wqkv.bias</x:v>
      </x:c>
      <x:c r="C106" s="29" t="str">
        <x:v>[3072]</x:v>
      </x:c>
      <x:c r="D106" s="29" t="str">
        <x:v>BF16</x:v>
      </x:c>
      <x:c r="E106" s="31" t="n">
        <x:v>2</x:v>
      </x:c>
      <x:c r="F106" s="32" t="n">
        <x:v>32</x:v>
      </x:c>
      <x:c r="G106" s="32" t="n">
        <x:v>3072</x:v>
      </x:c>
      <x:c r="H106" s="32" t="str">
        <x:v>Replicated</x:v>
      </x:c>
      <x:c r="I106" s="32" t="n">
        <x:f>1</x:f>
        <x:v>1</x:v>
      </x:c>
      <x:c r="J106" s="33" t="n">
        <x:f>E106*F106*G106/1073741824</x:f>
        <x:v>0.00018310546875</x:v>
      </x:c>
      <x:c r="K106" s="33" t="n">
        <x:f>J106/I106</x:f>
        <x:v>0.00018310546875</x:v>
      </x:c>
      <x:c r="L106" s="29"/>
      <x:c r="M106" s="29"/>
      <x:c r="N106" s="29"/>
      <x:c r="O106" s="29"/>
      <x:c r="P106" s="29"/>
    </x:row>
    <x:row r="107" ht="30" customHeight="1">
      <x:c r="A107" s="29" t="str">
        <x:v>Vision</x:v>
      </x:c>
      <x:c r="B107" s="40" t="str">
        <x:v>vision.blocks.N.attn.wo.weight</x:v>
      </x:c>
      <x:c r="C107" s="29" t="str">
        <x:v>[1024, 1024]</x:v>
      </x:c>
      <x:c r="D107" s="29" t="str">
        <x:v>BF16</x:v>
      </x:c>
      <x:c r="E107" s="31" t="n">
        <x:v>2</x:v>
      </x:c>
      <x:c r="F107" s="32" t="n">
        <x:v>32</x:v>
      </x:c>
      <x:c r="G107" s="32" t="n">
        <x:v>1048576</x:v>
      </x:c>
      <x:c r="H107" s="32" t="str">
        <x:v>Replicated</x:v>
      </x:c>
      <x:c r="I107" s="32" t="n">
        <x:f>1</x:f>
        <x:v>1</x:v>
      </x:c>
      <x:c r="J107" s="33" t="n">
        <x:f>E107*F107*G107/1073741824</x:f>
        <x:v>0.0625</x:v>
      </x:c>
      <x:c r="K107" s="33" t="n">
        <x:f>J107/I107</x:f>
        <x:v>0.0625</x:v>
      </x:c>
      <x:c r="L107" s="29"/>
      <x:c r="M107" s="29"/>
      <x:c r="N107" s="29"/>
      <x:c r="O107" s="29"/>
      <x:c r="P107" s="29"/>
    </x:row>
    <x:row r="108" ht="30" customHeight="1">
      <x:c r="A108" s="29" t="str">
        <x:v>Vision</x:v>
      </x:c>
      <x:c r="B108" s="40" t="str">
        <x:v>vision.blocks.N.attn.wo.bias</x:v>
      </x:c>
      <x:c r="C108" s="29" t="str">
        <x:v>[1024]</x:v>
      </x:c>
      <x:c r="D108" s="29" t="str">
        <x:v>BF16</x:v>
      </x:c>
      <x:c r="E108" s="31" t="n">
        <x:v>2</x:v>
      </x:c>
      <x:c r="F108" s="32" t="n">
        <x:v>32</x:v>
      </x:c>
      <x:c r="G108" s="32" t="n">
        <x:v>1024</x:v>
      </x:c>
      <x:c r="H108" s="32" t="str">
        <x:v>Replicated</x:v>
      </x:c>
      <x:c r="I108" s="32" t="n">
        <x:f>1</x:f>
        <x:v>1</x:v>
      </x:c>
      <x:c r="J108" s="33" t="n">
        <x:f>E108*F108*G108/1073741824</x:f>
        <x:v>0.00006103515625</x:v>
      </x:c>
      <x:c r="K108" s="33" t="n">
        <x:f>J108/I108</x:f>
        <x:v>0.00006103515625</x:v>
      </x:c>
      <x:c r="L108" s="29"/>
      <x:c r="M108" s="29"/>
      <x:c r="N108" s="29"/>
      <x:c r="O108" s="29"/>
      <x:c r="P108" s="29"/>
    </x:row>
    <x:row r="109" ht="30" customHeight="1">
      <x:c r="A109" s="29" t="str">
        <x:v>Vision</x:v>
      </x:c>
      <x:c r="B109" s="40" t="str">
        <x:v>vision.blocks.N.mlp.w1.weight</x:v>
      </x:c>
      <x:c r="C109" s="29" t="str">
        <x:v>[5632, 1024]</x:v>
      </x:c>
      <x:c r="D109" s="29" t="str">
        <x:v>BF16</x:v>
      </x:c>
      <x:c r="E109" s="31" t="n">
        <x:v>2</x:v>
      </x:c>
      <x:c r="F109" s="32" t="n">
        <x:v>32</x:v>
      </x:c>
      <x:c r="G109" s="32" t="n">
        <x:v>5767168</x:v>
      </x:c>
      <x:c r="H109" s="32" t="str">
        <x:v>Replicated</x:v>
      </x:c>
      <x:c r="I109" s="32" t="n">
        <x:f>1</x:f>
        <x:v>1</x:v>
      </x:c>
      <x:c r="J109" s="33" t="n">
        <x:f>E109*F109*G109/1073741824</x:f>
        <x:v>0.34375</x:v>
      </x:c>
      <x:c r="K109" s="33" t="n">
        <x:f>J109/I109</x:f>
        <x:v>0.34375</x:v>
      </x:c>
      <x:c r="L109" s="29"/>
      <x:c r="M109" s="29"/>
      <x:c r="N109" s="29"/>
      <x:c r="O109" s="29"/>
      <x:c r="P109" s="29"/>
    </x:row>
    <x:row r="110" ht="30" customHeight="1">
      <x:c r="A110" s="29" t="str">
        <x:v>Vision</x:v>
      </x:c>
      <x:c r="B110" s="40" t="str">
        <x:v>vision.blocks.N.mlp.w2.weight</x:v>
      </x:c>
      <x:c r="C110" s="29" t="str">
        <x:v>[1024, 2816]</x:v>
      </x:c>
      <x:c r="D110" s="29" t="str">
        <x:v>BF16</x:v>
      </x:c>
      <x:c r="E110" s="31" t="n">
        <x:v>2</x:v>
      </x:c>
      <x:c r="F110" s="32" t="n">
        <x:v>32</x:v>
      </x:c>
      <x:c r="G110" s="32" t="n">
        <x:v>2883584</x:v>
      </x:c>
      <x:c r="H110" s="32" t="str">
        <x:v>Replicated</x:v>
      </x:c>
      <x:c r="I110" s="32" t="n">
        <x:f>1</x:f>
        <x:v>1</x:v>
      </x:c>
      <x:c r="J110" s="33" t="n">
        <x:f>E110*F110*G110/1073741824</x:f>
        <x:v>0.171875</x:v>
      </x:c>
      <x:c r="K110" s="33" t="n">
        <x:f>J110/I110</x:f>
        <x:v>0.171875</x:v>
      </x:c>
      <x:c r="L110" s="29"/>
      <x:c r="M110" s="29"/>
      <x:c r="N110" s="29"/>
      <x:c r="O110" s="29"/>
      <x:c r="P110" s="29"/>
    </x:row>
    <x:row r="111" ht="30" customHeight="1">
      <x:c r="A111" s="29" t="str">
        <x:v>Vision</x:v>
      </x:c>
      <x:c r="B111" s="40" t="str">
        <x:v>vision.blocks.N.norm1.weight</x:v>
      </x:c>
      <x:c r="C111" s="29" t="str">
        <x:v>[1024]</x:v>
      </x:c>
      <x:c r="D111" s="29" t="str">
        <x:v>BF16</x:v>
      </x:c>
      <x:c r="E111" s="31" t="n">
        <x:v>2</x:v>
      </x:c>
      <x:c r="F111" s="32" t="n">
        <x:v>32</x:v>
      </x:c>
      <x:c r="G111" s="32" t="n">
        <x:v>1024</x:v>
      </x:c>
      <x:c r="H111" s="32" t="str">
        <x:v>Replicated</x:v>
      </x:c>
      <x:c r="I111" s="32" t="n">
        <x:f>1</x:f>
        <x:v>1</x:v>
      </x:c>
      <x:c r="J111" s="33" t="n">
        <x:f>E111*F111*G111/1073741824</x:f>
        <x:v>0.00006103515625</x:v>
      </x:c>
      <x:c r="K111" s="33" t="n">
        <x:f>J111/I111</x:f>
        <x:v>0.00006103515625</x:v>
      </x:c>
      <x:c r="L111" s="29"/>
      <x:c r="M111" s="29"/>
      <x:c r="N111" s="29"/>
      <x:c r="O111" s="29"/>
      <x:c r="P111" s="29"/>
    </x:row>
    <x:row r="112" ht="30" customHeight="1">
      <x:c r="A112" s="29" t="str">
        <x:v>Vision</x:v>
      </x:c>
      <x:c r="B112" s="40" t="str">
        <x:v>vision.blocks.N.norm2.weight</x:v>
      </x:c>
      <x:c r="C112" s="29" t="str">
        <x:v>[1024]</x:v>
      </x:c>
      <x:c r="D112" s="29" t="str">
        <x:v>BF16</x:v>
      </x:c>
      <x:c r="E112" s="31" t="n">
        <x:v>2</x:v>
      </x:c>
      <x:c r="F112" s="32" t="n">
        <x:v>32</x:v>
      </x:c>
      <x:c r="G112" s="32" t="n">
        <x:v>1024</x:v>
      </x:c>
      <x:c r="H112" s="32" t="str">
        <x:v>Replicated</x:v>
      </x:c>
      <x:c r="I112" s="32" t="n">
        <x:f>1</x:f>
        <x:v>1</x:v>
      </x:c>
      <x:c r="J112" s="33" t="n">
        <x:f>E112*F112*G112/1073741824</x:f>
        <x:v>0.00006103515625</x:v>
      </x:c>
      <x:c r="K112" s="33" t="n">
        <x:f>J112/I112</x:f>
        <x:v>0.00006103515625</x:v>
      </x:c>
      <x:c r="L112" s="29"/>
      <x:c r="M112" s="29"/>
      <x:c r="N112" s="29"/>
      <x:c r="O112" s="29"/>
      <x:c r="P112" s="29"/>
    </x:row>
    <x:row r="113" ht="30" customHeight="1">
      <x:c r="A113" s="29" t="str">
        <x:v>Vision</x:v>
      </x:c>
      <x:c r="B113" s="40" t="str">
        <x:v>vision.norm.weight</x:v>
      </x:c>
      <x:c r="C113" s="29" t="str">
        <x:v>[1024]</x:v>
      </x:c>
      <x:c r="D113" s="29" t="str">
        <x:v>BF16</x:v>
      </x:c>
      <x:c r="E113" s="31" t="n">
        <x:v>2</x:v>
      </x:c>
      <x:c r="F113" s="32" t="n">
        <x:v>1</x:v>
      </x:c>
      <x:c r="G113" s="32" t="n">
        <x:v>1024</x:v>
      </x:c>
      <x:c r="H113" s="32" t="str">
        <x:v>Replicated</x:v>
      </x:c>
      <x:c r="I113" s="32" t="n">
        <x:f>1</x:f>
        <x:v>1</x:v>
      </x:c>
      <x:c r="J113" s="33" t="n">
        <x:f>E113*F113*G113/1073741824</x:f>
        <x:v>0.0000019073486328125</x:v>
      </x:c>
      <x:c r="K113" s="33" t="n">
        <x:f>J113/I113</x:f>
        <x:v>0.0000019073486328125</x:v>
      </x:c>
      <x:c r="L113" s="29"/>
      <x:c r="M113" s="29"/>
      <x:c r="N113" s="29"/>
      <x:c r="O113" s="29"/>
      <x:c r="P113" s="29"/>
    </x:row>
    <x:row r="114" ht="30" customHeight="1">
      <x:c r="A114" s="29" t="str">
        <x:v>Aligner</x:v>
      </x:c>
      <x:c r="B114" s="40" t="str">
        <x:v>aligner.w1.weight</x:v>
      </x:c>
      <x:c r="C114" s="29" t="str">
        <x:v>[5120, 9216]</x:v>
      </x:c>
      <x:c r="D114" s="29" t="str">
        <x:v>BF16</x:v>
      </x:c>
      <x:c r="E114" s="31" t="n">
        <x:v>2</x:v>
      </x:c>
      <x:c r="F114" s="32" t="n">
        <x:v>1</x:v>
      </x:c>
      <x:c r="G114" s="32" t="n">
        <x:v>47185920</x:v>
      </x:c>
      <x:c r="H114" s="32" t="str">
        <x:v>Replicated</x:v>
      </x:c>
      <x:c r="I114" s="32" t="n">
        <x:f>1</x:f>
        <x:v>1</x:v>
      </x:c>
      <x:c r="J114" s="33" t="n">
        <x:f>E114*F114*G114/1073741824</x:f>
        <x:v>0.087890625</x:v>
      </x:c>
      <x:c r="K114" s="33" t="n">
        <x:f>J114/I114</x:f>
        <x:v>0.087890625</x:v>
      </x:c>
      <x:c r="L114" s="29"/>
      <x:c r="M114" s="29"/>
      <x:c r="N114" s="29"/>
      <x:c r="O114" s="29"/>
      <x:c r="P114" s="29"/>
    </x:row>
    <x:row r="115" ht="30" customHeight="1">
      <x:c r="A115" s="29" t="str">
        <x:v>Aligner</x:v>
      </x:c>
      <x:c r="B115" s="40" t="str">
        <x:v>aligner.w1.bias</x:v>
      </x:c>
      <x:c r="C115" s="29" t="str">
        <x:v>[5120]</x:v>
      </x:c>
      <x:c r="D115" s="29" t="str">
        <x:v>BF16</x:v>
      </x:c>
      <x:c r="E115" s="31" t="n">
        <x:v>2</x:v>
      </x:c>
      <x:c r="F115" s="32" t="n">
        <x:v>1</x:v>
      </x:c>
      <x:c r="G115" s="32" t="n">
        <x:v>5120</x:v>
      </x:c>
      <x:c r="H115" s="32" t="str">
        <x:v>Replicated</x:v>
      </x:c>
      <x:c r="I115" s="32" t="n">
        <x:f>1</x:f>
        <x:v>1</x:v>
      </x:c>
      <x:c r="J115" s="33" t="n">
        <x:f>E115*F115*G115/1073741824</x:f>
        <x:v>0.0000095367431640625</x:v>
      </x:c>
      <x:c r="K115" s="33" t="n">
        <x:f>J115/I115</x:f>
        <x:v>0.0000095367431640625</x:v>
      </x:c>
      <x:c r="L115" s="29"/>
      <x:c r="M115" s="29"/>
      <x:c r="N115" s="29"/>
      <x:c r="O115" s="29"/>
      <x:c r="P115" s="29"/>
    </x:row>
    <x:row r="116" ht="30" customHeight="1">
      <x:c r="A116" s="29" t="str">
        <x:v>Aligner</x:v>
      </x:c>
      <x:c r="B116" s="40" t="str">
        <x:v>aligner.w2.weight</x:v>
      </x:c>
      <x:c r="C116" s="29" t="str">
        <x:v>[5120, 5120]</x:v>
      </x:c>
      <x:c r="D116" s="29" t="str">
        <x:v>BF16</x:v>
      </x:c>
      <x:c r="E116" s="31" t="n">
        <x:v>2</x:v>
      </x:c>
      <x:c r="F116" s="32" t="n">
        <x:v>1</x:v>
      </x:c>
      <x:c r="G116" s="32" t="n">
        <x:v>26214400</x:v>
      </x:c>
      <x:c r="H116" s="32" t="str">
        <x:v>Replicated</x:v>
      </x:c>
      <x:c r="I116" s="32" t="n">
        <x:f>1</x:f>
        <x:v>1</x:v>
      </x:c>
      <x:c r="J116" s="33" t="n">
        <x:f>E116*F116*G116/1073741824</x:f>
        <x:v>0.048828125</x:v>
      </x:c>
      <x:c r="K116" s="33" t="n">
        <x:f>J116/I116</x:f>
        <x:v>0.048828125</x:v>
      </x:c>
      <x:c r="L116" s="29"/>
      <x:c r="M116" s="29"/>
      <x:c r="N116" s="29"/>
      <x:c r="O116" s="29"/>
      <x:c r="P116" s="29"/>
    </x:row>
    <x:row r="117" ht="30" customHeight="1">
      <x:c r="A117" s="29" t="str">
        <x:v>Aligner</x:v>
      </x:c>
      <x:c r="B117" s="40" t="str">
        <x:v>aligner.w2.bias</x:v>
      </x:c>
      <x:c r="C117" s="29" t="str">
        <x:v>[5120]</x:v>
      </x:c>
      <x:c r="D117" s="29" t="str">
        <x:v>BF16</x:v>
      </x:c>
      <x:c r="E117" s="31" t="n">
        <x:v>2</x:v>
      </x:c>
      <x:c r="F117" s="32" t="n">
        <x:v>1</x:v>
      </x:c>
      <x:c r="G117" s="32" t="n">
        <x:v>5120</x:v>
      </x:c>
      <x:c r="H117" s="32" t="str">
        <x:v>Replicated</x:v>
      </x:c>
      <x:c r="I117" s="32" t="n">
        <x:f>1</x:f>
        <x:v>1</x:v>
      </x:c>
      <x:c r="J117" s="33" t="n">
        <x:f>E117*F117*G117/1073741824</x:f>
        <x:v>0.0000095367431640625</x:v>
      </x:c>
      <x:c r="K117" s="33" t="n">
        <x:f>J117/I117</x:f>
        <x:v>0.0000095367431640625</x:v>
      </x:c>
      <x:c r="L117" s="29"/>
      <x:c r="M117" s="29"/>
      <x:c r="N117" s="29"/>
      <x:c r="O117" s="29"/>
      <x:c r="P117" s="29"/>
    </x:row>
    <x:row r="118" ht="30" customHeight="1">
      <x:c r="A118" s="38" t="str">
        <x:v>合计</x:v>
      </x:c>
      <x:c r="B118" s="41"/>
      <x:c r="C118" s="38"/>
      <x:c r="D118" s="38"/>
      <x:c r="E118" s="38"/>
      <x:c r="F118" s="38"/>
      <x:c r="G118" s="38"/>
      <x:c r="H118" s="38"/>
      <x:c r="I118" s="38"/>
      <x:c r="J118" s="39" t="n">
        <x:f>SUM(J2:J117)</x:f>
        <x:v>475.2408927306533</x:v>
      </x:c>
      <x:c r="K118" s="39" t="n">
        <x:f>SUM(K2:K117)</x:f>
        <x:v>42.95761079527438</x:v>
      </x:c>
      <x:c r="L118" s="29"/>
      <x:c r="M118" s="29"/>
      <x:c r="N118" s="29"/>
      <x:c r="O118" s="29"/>
      <x:c r="P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</x:row>
    <x:row r="120" ht="42" customHeight="1">
      <x:c r="A120" s="18" t="str">
        <x:v>并行策略</x:v>
      </x:c>
      <x:c r="B120" s="18" t="str">
        <x:v>模块</x:v>
      </x:c>
      <x:c r="C120" s="18" t="str">
        <x:v>通信位置</x:v>
      </x:c>
      <x:c r="D120" s="18" t="str">
        <x:v>Collective</x:v>
      </x:c>
      <x:c r="E120" s="18" t="str">
        <x:v>输入/跨 Rank 期望元素</x:v>
      </x:c>
      <x:c r="F120" s="18" t="str">
        <x:v>字节/元素</x:v>
      </x:c>
      <x:c r="G120" s="18" t="str">
        <x:v>通信组大小</x:v>
      </x:c>
      <x:c r="H120" s="18" t="str">
        <x:v>次数/Step</x:v>
      </x:c>
      <x:c r="I120" s="18" t="str">
        <x:v>本 Rank 载荷 MiB/次</x:v>
      </x:c>
      <x:c r="J120" s="18" t="str">
        <x:v>Rank 平均发送 MiB/次</x:v>
      </x:c>
      <x:c r="K120" s="18" t="str">
        <x:v>Rank 平均发送 MiB/Step</x:v>
      </x:c>
      <x:c r="L120" s="18" t="str">
        <x:v>通信组建模发送 MiB/Step</x:v>
      </x:c>
      <x:c r="M120" s="29"/>
      <x:c r="N120" s="29"/>
      <x:c r="O120" s="29"/>
      <x:c r="P120" s="29"/>
    </x:row>
    <x:row r="121">
      <x:c r="A121" s="29" t="str">
        <x:v>SP</x:v>
      </x:c>
      <x:c r="B121" s="29" t="str">
        <x:v>Attention</x:v>
      </x:c>
      <x:c r="C121" s="29" t="str">
        <x:v>逐层输入</x:v>
      </x:c>
      <x:c r="D121" s="29" t="str">
        <x:v>Ring AllGather</x:v>
      </x:c>
      <x:c r="E121" s="32" t="n">
        <x:f>ROUNDUP('Decode'!$P$7/'Decode'!$P$12,0)*5120</x:f>
        <x:v>655360</x:v>
      </x:c>
      <x:c r="F121" s="32" t="n">
        <x:f>'Decode'!$P$28</x:f>
        <x:v>2</x:v>
      </x:c>
      <x:c r="G121" s="32" t="n">
        <x:f>'Decode'!$P$12</x:f>
        <x:v>1</x:v>
      </x:c>
      <x:c r="H121" s="32" t="n">
        <x:f>40*'Decode'!$P$13</x:f>
        <x:v>0</x:v>
      </x:c>
      <x:c r="I121" s="33" t="n">
        <x:f>E121*F121/1048576</x:f>
        <x:v>1.25</x:v>
      </x:c>
      <x:c r="J121" s="33" t="n">
        <x:f>I121*(IF(G121&gt;1,G121-1,0))</x:f>
        <x:v>0</x:v>
      </x:c>
      <x:c r="K121" s="33" t="n">
        <x:f>J121*H121</x:f>
        <x:v>0</x:v>
      </x:c>
      <x:c r="L121" s="33" t="n">
        <x:f>K121*G121</x:f>
        <x:v>0</x:v>
      </x:c>
      <x:c r="M121" s="29"/>
      <x:c r="N121" s="29"/>
      <x:c r="O121" s="29"/>
      <x:c r="P121" s="29"/>
    </x:row>
    <x:row r="122">
      <x:c r="A122" s="29" t="str">
        <x:v>DSA CP</x:v>
      </x:c>
      <x:c r="B122" s="29" t="str">
        <x:v>Attention</x:v>
      </x:c>
      <x:c r="C122" s="29" t="str">
        <x:v>Token/Head 交换</x:v>
      </x:c>
      <x:c r="D122" s="29" t="str">
        <x:v>Equal-split AllToAll</x:v>
      </x:c>
      <x:c r="E122" s="32" t="n">
        <x:f>ROUNDUP('Decode'!$P$7/'Decode'!$P$12,0)*32768</x:f>
        <x:v>4194304</x:v>
      </x:c>
      <x:c r="F122" s="32" t="n">
        <x:f>'Decode'!$P$28</x:f>
        <x:v>2</x:v>
      </x:c>
      <x:c r="G122" s="32" t="n">
        <x:f>'Decode'!$P$12</x:f>
        <x:v>1</x:v>
      </x:c>
      <x:c r="H122" s="32" t="n">
        <x:f>40*'Decode'!$P$25</x:f>
        <x:v>0</x:v>
      </x:c>
      <x:c r="I122" s="33" t="n">
        <x:f>E122*F122/1048576</x:f>
        <x:v>8</x:v>
      </x:c>
      <x:c r="J122" s="33" t="n">
        <x:f>I122*(IF(G122&gt;1,(G122-1)/G122,0))</x:f>
        <x:v>0</x:v>
      </x:c>
      <x:c r="K122" s="33" t="n">
        <x:f>J122*H122</x:f>
        <x:v>0</x:v>
      </x:c>
      <x:c r="L122" s="33" t="n">
        <x:f>K122*G122</x:f>
        <x:v>0</x:v>
      </x:c>
      <x:c r="M122" s="29"/>
      <x:c r="N122" s="29"/>
      <x:c r="O122" s="29"/>
      <x:c r="P122" s="29"/>
    </x:row>
    <x:row r="123">
      <x:c r="A123" s="29" t="str">
        <x:v>SP</x:v>
      </x:c>
      <x:c r="B123" s="29" t="str">
        <x:v>Attention</x:v>
      </x:c>
      <x:c r="C123" s="29" t="str">
        <x:v>O Proj 后</x:v>
      </x:c>
      <x:c r="D123" s="29" t="str">
        <x:v>Ring ReduceScatter</x:v>
      </x:c>
      <x:c r="E123" s="32" t="n">
        <x:f>(ROUNDUP('Decode'!$P$7/'Decode'!$P$12,0)*'Decode'!$P$12)*5120</x:f>
        <x:v>655360</x:v>
      </x:c>
      <x:c r="F123" s="32" t="n">
        <x:f>'Decode'!$P$28</x:f>
        <x:v>2</x:v>
      </x:c>
      <x:c r="G123" s="32" t="n">
        <x:f>'Decode'!$P$12</x:f>
        <x:v>1</x:v>
      </x:c>
      <x:c r="H123" s="32" t="n">
        <x:f>40*'Decode'!$P$13</x:f>
        <x:v>0</x:v>
      </x:c>
      <x:c r="I123" s="33" t="n">
        <x:f>E123*F123/1048576</x:f>
        <x:v>1.25</x:v>
      </x:c>
      <x:c r="J123" s="33" t="n">
        <x:f>I123*(IF(G123&gt;1,(G123-1)/G123,0))</x:f>
        <x:v>0</x:v>
      </x:c>
      <x:c r="K123" s="33" t="n">
        <x:f>J123*H123</x:f>
        <x:v>0</x:v>
      </x:c>
      <x:c r="L123" s="33" t="n">
        <x:f>K123*G123</x:f>
        <x:v>0</x:v>
      </x:c>
      <x:c r="M123" s="29"/>
      <x:c r="N123" s="29"/>
      <x:c r="O123" s="29"/>
      <x:c r="P123" s="29"/>
    </x:row>
    <x:row r="124">
      <x:c r="A124" s="29" t="str">
        <x:v>Attention TP</x:v>
      </x:c>
      <x:c r="B124" s="29" t="str">
        <x:v>Attention</x:v>
      </x:c>
      <x:c r="C124" s="29" t="str">
        <x:v>非 SP 输出</x:v>
      </x:c>
      <x:c r="D124" s="29" t="str">
        <x:v>Ring AllReduce</x:v>
      </x:c>
      <x:c r="E124" s="32" t="n">
        <x:f>'Decode'!$P$7*5120</x:f>
        <x:v>655360</x:v>
      </x:c>
      <x:c r="F124" s="32" t="n">
        <x:f>'Decode'!$P$28</x:f>
        <x:v>2</x:v>
      </x:c>
      <x:c r="G124" s="32" t="n">
        <x:f>'Decode'!$P$12</x:f>
        <x:v>1</x:v>
      </x:c>
      <x:c r="H124" s="32" t="n">
        <x:f>40*(1-'Decode'!$P$13)</x:f>
        <x:v>40</x:v>
      </x:c>
      <x:c r="I124" s="33" t="n">
        <x:f>E124*F124/1048576</x:f>
        <x:v>1.25</x:v>
      </x:c>
      <x:c r="J124" s="33" t="n">
        <x:f>I124*(IF(G124&gt;1,2*(G124-1)/G124,0))</x:f>
        <x:v>0</x:v>
      </x:c>
      <x:c r="K124" s="33" t="n">
        <x:f>J124*H124</x:f>
        <x:v>0</x:v>
      </x:c>
      <x:c r="L124" s="33" t="n">
        <x:f>K124*G124</x:f>
        <x:v>0</x:v>
      </x:c>
      <x:c r="M124" s="29"/>
      <x:c r="N124" s="29"/>
      <x:c r="O124" s="29"/>
      <x:c r="P124" s="29"/>
    </x:row>
    <x:row r="125">
      <x:c r="A125" s="29" t="str">
        <x:v>SP</x:v>
      </x:c>
      <x:c r="B125" s="29" t="str">
        <x:v>Model Output</x:v>
      </x:c>
      <x:c r="C125" s="29" t="str">
        <x:v>最终 Hidden</x:v>
      </x:c>
      <x:c r="D125" s="29" t="str">
        <x:v>Ring AllGather</x:v>
      </x:c>
      <x:c r="E125" s="32" t="n">
        <x:f>ROUNDUP('Decode'!$P$7/'Decode'!$P$12,0)*5120</x:f>
        <x:v>655360</x:v>
      </x:c>
      <x:c r="F125" s="32" t="n">
        <x:f>'Decode'!$P$28</x:f>
        <x:v>2</x:v>
      </x:c>
      <x:c r="G125" s="32" t="n">
        <x:f>'Decode'!$P$12</x:f>
        <x:v>1</x:v>
      </x:c>
      <x:c r="H125" s="32" t="n">
        <x:f>'Decode'!$P$13</x:f>
        <x:v>0</x:v>
      </x:c>
      <x:c r="I125" s="33" t="n">
        <x:f>E125*F125/1048576</x:f>
        <x:v>1.25</x:v>
      </x:c>
      <x:c r="J125" s="33" t="n">
        <x:f>I125*(IF(G125&gt;1,G125-1,0))</x:f>
        <x:v>0</x:v>
      </x:c>
      <x:c r="K125" s="33" t="n">
        <x:f>J125*H125</x:f>
        <x:v>0</x:v>
      </x:c>
      <x:c r="L125" s="33" t="n">
        <x:f>K125*G125</x:f>
        <x:v>0</x:v>
      </x:c>
      <x:c r="M125" s="29"/>
      <x:c r="N125" s="29"/>
      <x:c r="O125" s="29"/>
      <x:c r="P125" s="29"/>
    </x:row>
    <x:row r="126">
      <x:c r="A126" s="29" t="str">
        <x:v>EP 期望</x:v>
      </x:c>
      <x:c r="B126" s="29" t="str">
        <x:v>MoE Hidden</x:v>
      </x:c>
      <x:c r="C126" s="29" t="str">
        <x:v>Dispatch 仅 Hidden</x:v>
      </x:c>
      <x:c r="D126" s="29" t="str">
        <x:v>AllToAllV（跨 Rank 发送）</x:v>
      </x:c>
      <x:c r="E126" s="32" t="n">
        <x:f>ROUNDUP('Decode'!$P$7/'Decode'!$P$12,0)*5120*6*'Decode'!$P$32</x:f>
        <x:v>3809280</x:v>
      </x:c>
      <x:c r="F126" s="32" t="n">
        <x:f>'Decode'!$P$39</x:f>
        <x:v>2</x:v>
      </x:c>
      <x:c r="G126" s="32" t="n">
        <x:f>'Decode'!$P$14</x:f>
        <x:v>32</x:v>
      </x:c>
      <x:c r="H126" s="32" t="n">
        <x:f>40</x:f>
        <x:v>40</x:v>
      </x:c>
      <x:c r="I126" s="33" t="n">
        <x:f>E126*F126/1048576</x:f>
        <x:v>7.265625</x:v>
      </x:c>
      <x:c r="J126" s="33" t="n">
        <x:f>I126*(IF(G126&gt;1,1,0))</x:f>
        <x:v>7.265625</x:v>
      </x:c>
      <x:c r="K126" s="33" t="n">
        <x:f>J126*H126</x:f>
        <x:v>290.625</x:v>
      </x:c>
      <x:c r="L126" s="33" t="n">
        <x:f>K126*G126</x:f>
        <x:v>9300</x:v>
      </x:c>
      <x:c r="M126" s="29"/>
      <x:c r="N126" s="29"/>
      <x:c r="O126" s="29"/>
      <x:c r="P126" s="29"/>
    </x:row>
    <x:row r="127">
      <x:c r="A127" s="29" t="str">
        <x:v>EP 期望</x:v>
      </x:c>
      <x:c r="B127" s="29" t="str">
        <x:v>MoE Hidden</x:v>
      </x:c>
      <x:c r="C127" s="29" t="str">
        <x:v>Combine 仅 Hidden</x:v>
      </x:c>
      <x:c r="D127" s="29" t="str">
        <x:v>AllToAllV（跨 Rank 发送）</x:v>
      </x:c>
      <x:c r="E127" s="32" t="n">
        <x:f>ROUNDUP('Decode'!$P$7/'Decode'!$P$12,0)*5120*6*'Decode'!$P$32</x:f>
        <x:v>3809280</x:v>
      </x:c>
      <x:c r="F127" s="32" t="n">
        <x:f>'Decode'!$P$40</x:f>
        <x:v>2</x:v>
      </x:c>
      <x:c r="G127" s="32" t="n">
        <x:f>'Decode'!$P$14</x:f>
        <x:v>32</x:v>
      </x:c>
      <x:c r="H127" s="32" t="n">
        <x:f>40</x:f>
        <x:v>40</x:v>
      </x:c>
      <x:c r="I127" s="33" t="n">
        <x:f>E127*F127/1048576</x:f>
        <x:v>7.265625</x:v>
      </x:c>
      <x:c r="J127" s="33" t="n">
        <x:f>I127*(IF(G127&gt;1,1,0))</x:f>
        <x:v>7.265625</x:v>
      </x:c>
      <x:c r="K127" s="33" t="n">
        <x:f>J127*H127</x:f>
        <x:v>290.625</x:v>
      </x:c>
      <x:c r="L127" s="33" t="n">
        <x:f>K127*G127</x:f>
        <x:v>9300</x:v>
      </x:c>
      <x:c r="M127" s="29"/>
      <x:c r="N127" s="29"/>
      <x:c r="O127" s="29"/>
      <x:c r="P127" s="29"/>
    </x:row>
    <x:row r="128">
      <x:c r="A128" s="29" t="str">
        <x:v>Engram</x:v>
      </x:c>
      <x:c r="B128" s="29" t="str">
        <x:v>Node Metadata</x:v>
      </x:c>
      <x:c r="C128" s="29" t="str">
        <x:v>两表合并 Counts</x:v>
      </x:c>
      <x:c r="D128" s="29" t="str">
        <x:v>Ring AllGather</x:v>
      </x:c>
      <x:c r="E128" s="32" t="n">
        <x:f>2*('Decode'!$P$37+1)</x:f>
        <x:v>18</x:v>
      </x:c>
      <x:c r="F128" s="32" t="n">
        <x:f>8</x:f>
        <x:v>8</x:v>
      </x:c>
      <x:c r="G128" s="32" t="n">
        <x:f>'Decode'!$P$37</x:f>
        <x:v>8</x:v>
      </x:c>
      <x:c r="H128" s="32" t="n">
        <x:f>'Decode'!$P$38</x:f>
        <x:v>1</x:v>
      </x:c>
      <x:c r="I128" s="33" t="n">
        <x:f>E128*F128/1048576</x:f>
        <x:v>0.0001373291015625</x:v>
      </x:c>
      <x:c r="J128" s="33" t="n">
        <x:f>I128*(IF(G128&gt;1,G128-1,0))</x:f>
        <x:v>0.0009613037109375</x:v>
      </x:c>
      <x:c r="K128" s="33" t="n">
        <x:f>J128*H128</x:f>
        <x:v>0.0009613037109375</x:v>
      </x:c>
      <x:c r="L128" s="33" t="n">
        <x:f>K128*G128</x:f>
        <x:v>0.0076904296875</x:v>
      </x:c>
      <x:c r="M128" s="29"/>
      <x:c r="N128" s="29"/>
      <x:c r="O128" s="29"/>
      <x:c r="P128" s="29"/>
    </x:row>
    <x:row r="129">
      <x:c r="A129" s="29" t="str">
        <x:v>Engram 期望</x:v>
      </x:c>
      <x:c r="B129" s="29" t="str">
        <x:v>Node IDs</x:v>
      </x:c>
      <x:c r="C129" s="29" t="str">
        <x:v>均匀 Owner 路由</x:v>
      </x:c>
      <x:c r="D129" s="29" t="str">
        <x:v>AllToAllV（跨 Rank 发送）</x:v>
      </x:c>
      <x:c r="E129" s="32" t="n">
        <x:f>('Decode'!$P$7*24*2)/'Decode'!$P$12*('Decode'!$P$37-1)/'Decode'!$P$37</x:f>
        <x:v>5376</x:v>
      </x:c>
      <x:c r="F129" s="32" t="n">
        <x:f>8</x:f>
        <x:v>8</x:v>
      </x:c>
      <x:c r="G129" s="32" t="n">
        <x:f>'Decode'!$P$37</x:f>
        <x:v>8</x:v>
      </x:c>
      <x:c r="H129" s="32" t="n">
        <x:f>'Decode'!$P$38</x:f>
        <x:v>1</x:v>
      </x:c>
      <x:c r="I129" s="33" t="n">
        <x:f>E129*F129/1048576</x:f>
        <x:v>0.041015625</x:v>
      </x:c>
      <x:c r="J129" s="33" t="n">
        <x:f>I129*(IF(G129&gt;1,1,0))</x:f>
        <x:v>0.041015625</x:v>
      </x:c>
      <x:c r="K129" s="33" t="n">
        <x:f>J129*H129</x:f>
        <x:v>0.041015625</x:v>
      </x:c>
      <x:c r="L129" s="33" t="n">
        <x:f>K129*G129</x:f>
        <x:v>0.328125</x:v>
      </x:c>
      <x:c r="M129" s="29"/>
      <x:c r="N129" s="29"/>
      <x:c r="O129" s="29"/>
      <x:c r="P129" s="29"/>
    </x:row>
    <x:row r="130">
      <x:c r="A130" s="29" t="str">
        <x:v>Engram 期望</x:v>
      </x:c>
      <x:c r="B130" s="29" t="str">
        <x:v>Node Responses</x:v>
      </x:c>
      <x:c r="C130" s="29" t="str">
        <x:v>反向 BF16 返回</x:v>
      </x:c>
      <x:c r="D130" s="29" t="str">
        <x:v>AllToAllV（跨 Rank 发送）</x:v>
      </x:c>
      <x:c r="E130" s="32" t="n">
        <x:f>('Decode'!$P$7*24*2)/'Decode'!$P$12*('Decode'!$P$37-1)/'Decode'!$P$37*256</x:f>
        <x:v>1376256</x:v>
      </x:c>
      <x:c r="F130" s="32" t="n">
        <x:f>2</x:f>
        <x:v>2</x:v>
      </x:c>
      <x:c r="G130" s="32" t="n">
        <x:f>'Decode'!$P$37</x:f>
        <x:v>8</x:v>
      </x:c>
      <x:c r="H130" s="32" t="n">
        <x:f>'Decode'!$P$38</x:f>
        <x:v>1</x:v>
      </x:c>
      <x:c r="I130" s="33" t="n">
        <x:f>E130*F130/1048576</x:f>
        <x:v>2.625</x:v>
      </x:c>
      <x:c r="J130" s="33" t="n">
        <x:f>I130*(IF(G130&gt;1,1,0))</x:f>
        <x:v>2.625</x:v>
      </x:c>
      <x:c r="K130" s="33" t="n">
        <x:f>J130*H130</x:f>
        <x:v>2.625</x:v>
      </x:c>
      <x:c r="L130" s="33" t="n">
        <x:f>K130*G130</x:f>
        <x:v>21</x:v>
      </x:c>
      <x:c r="M130" s="29"/>
      <x:c r="N130" s="29"/>
      <x:c r="O130" s="29"/>
      <x:c r="P130" s="29"/>
    </x:row>
    <x:row r="131">
      <x:c r="A131" s="29" t="str">
        <x:v>Engram</x:v>
      </x:c>
      <x:c r="B131" s="29" t="str">
        <x:v>TP Lookup</x:v>
      </x:c>
      <x:c r="C131" s="29" t="str">
        <x:v>两表合并广播</x:v>
      </x:c>
      <x:c r="D131" s="29" t="str">
        <x:v>Tree Broadcast（Rank 均值）</x:v>
      </x:c>
      <x:c r="E131" s="32" t="n">
        <x:f>('Decode'!$P$7*24*2)*256</x:f>
        <x:v>1572864</x:v>
      </x:c>
      <x:c r="F131" s="32" t="n">
        <x:f>2</x:f>
        <x:v>2</x:v>
      </x:c>
      <x:c r="G131" s="32" t="n">
        <x:f>'Decode'!$P$12</x:f>
        <x:v>1</x:v>
      </x:c>
      <x:c r="H131" s="32" t="n">
        <x:f>'Decode'!$P$38</x:f>
        <x:v>1</x:v>
      </x:c>
      <x:c r="I131" s="33" t="n">
        <x:f>E131*F131/1048576</x:f>
        <x:v>3</x:v>
      </x:c>
      <x:c r="J131" s="33" t="n">
        <x:f>I131*(IF(G131&gt;1,(G131-1)/G131,0))</x:f>
        <x:v>0</x:v>
      </x:c>
      <x:c r="K131" s="33" t="n">
        <x:f>J131*H131</x:f>
        <x:v>0</x:v>
      </x:c>
      <x:c r="L131" s="33" t="n">
        <x:f>K131*G131</x:f>
        <x:v>0</x:v>
      </x:c>
      <x:c r="M131" s="29"/>
      <x:c r="N131" s="29"/>
      <x:c r="O131" s="29"/>
      <x:c r="P131" s="29"/>
    </x:row>
    <x:row r="132">
      <x:c r="A132" s="38" t="str">
        <x:v>所列事件平均 Rank 合计</x:v>
      </x:c>
      <x:c r="B132" s="38"/>
      <x:c r="C132" s="38"/>
      <x:c r="D132" s="38"/>
      <x:c r="E132" s="38"/>
      <x:c r="F132" s="38"/>
      <x:c r="G132" s="38"/>
      <x:c r="H132" s="38"/>
      <x:c r="I132" s="39"/>
      <x:c r="J132" s="39"/>
      <x:c r="K132" s="39" t="n">
        <x:f>SUM(K121:K131)</x:f>
        <x:v>583.9169769287109</x:v>
      </x:c>
      <x:c r="L132" s="39"/>
      <x:c r="M132" s="29"/>
      <x:c r="N132" s="29"/>
      <x:c r="O132" s="29"/>
      <x:c r="P132" s="29"/>
    </x:row>
  </x:sheetData>
  <x:mergeCells>
    <x:mergeCell ref="O56:P56"/>
    <x:mergeCell ref="O57:P57"/>
    <x:mergeCell ref="O58:P58"/>
    <x:mergeCell ref="O59:P59"/>
    <x:mergeCell ref="O60:P60"/>
    <x:mergeCell ref="O61:P61"/>
    <x:mergeCell ref="O62:P62"/>
    <x:mergeCell ref="O63:P63"/>
    <x:mergeCell ref="O64:P64"/>
  </x:mergeCells>
  <x:pageMargins left="0.7" right="0.7" top="0.75" bottom="0.75" header="0.3" footer="0.3"/>
</x:worksheet>
</file>