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024a0d367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60dc0e4a22f747f8"/>
    <x:sheet xmlns:r="http://schemas.openxmlformats.org/officeDocument/2006/relationships" name="Decode" sheetId="2" r:id="R7cad9cfc6d014626"/>
    <x:sheet xmlns:r="http://schemas.openxmlformats.org/officeDocument/2006/relationships" name="分钟场景" sheetId="3" r:id="R8d20362ba9c242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6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sz val="10"/>
      <x:color rgb="FF666666"/>
      <x:name val="Arial"/>
    </x:font>
    <x:font>
      <x:b/>
      <x:sz val="14"/>
      <x:color rgb="FF000000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1935f7d0794e07" /><Relationship Type="http://schemas.openxmlformats.org/officeDocument/2006/relationships/theme" Target="/xl/theme/theme1.xml" Id="R34b8f27ba5e74d42" /><Relationship Type="http://schemas.openxmlformats.org/officeDocument/2006/relationships/sharedStrings" Target="/xl/sharedStrings.xml" Id="R64b2bf231d114ad0" /><Relationship Type="http://schemas.openxmlformats.org/officeDocument/2006/relationships/worksheet" Target="/xl/worksheets/sheet1.xml" Id="R60dc0e4a22f747f8" /><Relationship Type="http://schemas.openxmlformats.org/officeDocument/2006/relationships/worksheet" Target="/xl/worksheets/sheet2.xml" Id="R7cad9cfc6d014626" /><Relationship Type="http://schemas.openxmlformats.org/officeDocument/2006/relationships/worksheet" Target="/xl/worksheets/sheet3.xml" Id="R8d20362ba9c242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IF('Prefill'!$P$21&gt;0,'Prefill'!$P$21,'Prefill'!$P$12)</x:f>
        <x:v>8</x:v>
      </x:c>
      <x:c r="J2" s="33" t="n">
        <x:f>E2*F2*G2/1073741824</x:f>
        <x:v>1.23291015625</x:v>
      </x:c>
      <x:c r="K2" s="33" t="n">
        <x:f>J2/I2</x:f>
        <x:v>0.15411376953125</x:v>
      </x:c>
      <x:c r="L2" s="29"/>
      <x:c r="M2" s="29"/>
      <x:c r="N2" s="29"/>
      <x:c r="O2" s="34" t="str">
        <x:v>max_num_batched_tokens</x:v>
      </x:c>
      <x:c r="P2" s="35" t="n">
        <x:v>16384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IF('Prefill'!$P$20&gt;0,'Prefill'!$P$20,'Prefill'!$P$12)</x:f>
        <x:v>8</x:v>
      </x:c>
      <x:c r="J3" s="33" t="n">
        <x:f>E3*F3*G3/1073741824</x:f>
        <x:v>1.23291015625</x:v>
      </x:c>
      <x:c r="K3" s="33" t="n">
        <x:f>J3/I3</x:f>
        <x:v>0.15411376953125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IF('Prefill'!$P$25&lt;&gt;0,1,'Prefill'!$P$12)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MIN($P$2,$P$3*$P$4)</x:f>
        <x:v>16384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IF('Prefill'!$P$25&lt;&gt;0,1,'Prefill'!$P$12)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MIN($P$3,$P$7)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IF('Prefill'!$P$25&lt;&gt;0,1,'Prefill'!$P$12)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4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'Prefill'!$P$12</x:f>
        <x:v>8</x:v>
      </x:c>
      <x:c r="J12" s="33" t="n">
        <x:f>E12*F12*G12/1073741824</x:f>
        <x:v>1.25</x:v>
      </x:c>
      <x:c r="K12" s="33" t="n">
        <x:f>J12/I12</x:f>
        <x:v>0.15625</x:v>
      </x:c>
      <x:c r="L12" s="29"/>
      <x:c r="M12" s="29"/>
      <x:c r="N12" s="29"/>
      <x:c r="O12" s="34" t="str">
        <x:v>TP</x:v>
      </x:c>
      <x:c r="P12" s="35" t="n">
        <x:v>8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'Prefill'!$P$12</x:f>
        <x:v>8</x:v>
      </x:c>
      <x:c r="J13" s="33" t="n">
        <x:f>E13*F13*G13/1073741824</x:f>
        <x:v>0.001220703125</x:v>
      </x:c>
      <x:c r="K13" s="33" t="n">
        <x:f>J13/I13</x:f>
        <x:v>0.000152587890625</x:v>
      </x:c>
      <x:c r="L13" s="29"/>
      <x:c r="M13" s="29"/>
      <x:c r="N13" s="29"/>
      <x:c r="O13" s="34" t="str">
        <x:v>SP（0/1）</x:v>
      </x:c>
      <x:c r="P13" s="35" t="n">
        <x:v>1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'Prefill'!$P$12</x:f>
        <x:v>8</x:v>
      </x:c>
      <x:c r="J14" s="33" t="n">
        <x:f>E14*F14*G14/1073741824</x:f>
        <x:v>1.5625</x:v>
      </x:c>
      <x:c r="K14" s="33" t="n">
        <x:f>J14/I14</x:f>
        <x:v>0.1953125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'Prefill'!$P$12</x:f>
        <x:v>8</x:v>
      </x:c>
      <x:c r="J15" s="33" t="n">
        <x:f>E15*F15*G15/1073741824</x:f>
        <x:v>0.00152587890625</x:v>
      </x:c>
      <x:c r="K15" s="33" t="n">
        <x:f>J15/I15</x:f>
        <x:v>0.00019073486328125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'Prefill'!$P$14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'Prefill'!$P$14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IF('Prefill'!$P$13&lt;&gt;0,1,'Prefill'!$P$12)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1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IF('Prefill'!$P$13&lt;&gt;0,1,'Prefill'!$P$12)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'Prefill'!$P$14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'Prefill'!$P$14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IF('Prefill'!$P$13&lt;&gt;0,1,'Prefill'!$P$12)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IF('Prefill'!$P$13&lt;&gt;0,1,'Prefill'!$P$12)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'Prefill'!$P$14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'Prefill'!$P$14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IF('Prefill'!$P$13&lt;&gt;0,1,'Prefill'!$P$12)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IF('Prefill'!$P$13&lt;&gt;0,1,'Prefill'!$P$12)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'Prefill'!$P$37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(3*INT('Prefill'!$P$4/2)+'Prefill'!$P$4)*(512*2+128+2)*'Prefill'!$P$41/2^30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'Prefill'!$P$37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40*MIN('Prefill'!$P$4,128)*512*2*'Prefill'!$P$41/2^30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'Prefill'!$P$37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IF('Prefill'!$P$4&gt;0,3*32*1024*4*'Prefill'!$P$41/2^30,0)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'Prefill'!$P$37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768022850*256*2/'Prefill'!$P$37/2^30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768022850*(256+8*4)/'Prefill'!$P$37/2^30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768022850*(256+8)/'Prefill'!$P$37/2^30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IF('Prefill'!$P$25&lt;&gt;0,1,'Prefill'!$P$12)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IF('Prefill'!$P$25&lt;&gt;0,1,'Prefill'!$P$12)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IF('Prefill'!$P$25&lt;&gt;0,1,'Prefill'!$P$12)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'Prefill'!$P$12</x:f>
        <x:v>8</x:v>
      </x:c>
      <x:c r="J64" s="33" t="n">
        <x:f>E64*F64*G64/1073741824</x:f>
        <x:v>0.09375</x:v>
      </x:c>
      <x:c r="K64" s="33" t="n">
        <x:f>J64/I64</x:f>
        <x:v>0.01171875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'Prefill'!$P$12</x:f>
        <x:v>8</x:v>
      </x:c>
      <x:c r="J65" s="33" t="n">
        <x:f>E65*F65*G65/1073741824</x:f>
        <x:v>0.000091552734375</x:v>
      </x:c>
      <x:c r="K65" s="33" t="n">
        <x:f>J65/I65</x:f>
        <x:v>0.000011444091796875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'Prefill'!$P$12</x:f>
        <x:v>8</x:v>
      </x:c>
      <x:c r="J66" s="33" t="n">
        <x:f>E66*F66*G66/1073741824</x:f>
        <x:v>0.1171875</x:v>
      </x:c>
      <x:c r="K66" s="33" t="n">
        <x:f>J66/I66</x:f>
        <x:v>0.0146484375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'Prefill'!$P$12</x:f>
        <x:v>8</x:v>
      </x:c>
      <x:c r="J67" s="33" t="n">
        <x:f>E67*F67*G67/1073741824</x:f>
        <x:v>0.00011444091796875</x:v>
      </x:c>
      <x:c r="K67" s="33" t="n">
        <x:f>J67/I67</x:f>
        <x:v>0.00001430511474609375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'Prefill'!$P$14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'Prefill'!$P$14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IF('Prefill'!$P$13&lt;&gt;0,1,'Prefill'!$P$12)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IF('Prefill'!$P$13&lt;&gt;0,1,'Prefill'!$P$12)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'Prefill'!$P$14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'Prefill'!$P$14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IF('Prefill'!$P$13&lt;&gt;0,1,'Prefill'!$P$12)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IF('Prefill'!$P$13&lt;&gt;0,1,'Prefill'!$P$12)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'Prefill'!$P$14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'Prefill'!$P$14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IF('Prefill'!$P$13&lt;&gt;0,1,'Prefill'!$P$12)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IF('Prefill'!$P$13&lt;&gt;0,1,'Prefill'!$P$12)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'Prefill'!$P$12</x:f>
        <x:v>8</x:v>
      </x:c>
      <x:c r="J93" s="33" t="n">
        <x:f>E93*F93*G93/1073741824</x:f>
        <x:v>0.0732421875</x:v>
      </x:c>
      <x:c r="K93" s="33" t="n">
        <x:f>J93/I93</x:f>
        <x:v>0.0091552734375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'Prefill'!$P$12</x:f>
        <x:v>8</x:v>
      </x:c>
      <x:c r="J94" s="33" t="n">
        <x:f>E94*F94*G94/1073741824</x:f>
        <x:v>0.00007152557373046875</x:v>
      </x:c>
      <x:c r="K94" s="33" t="n">
        <x:f>J94/I94</x:f>
        <x:v>0.000008940696716308594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IF('Prefill'!$P$21&gt;0,'Prefill'!$P$21,'Prefill'!$P$12)</x:f>
        <x:v>8</x:v>
      </x:c>
      <x:c r="J97" s="33" t="n">
        <x:f>E97*F97*G97/1073741824</x:f>
        <x:v>0.0616455078125</x:v>
      </x:c>
      <x:c r="K97" s="33" t="n">
        <x:f>J97/I97</x:f>
        <x:v>0.0077056884765625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IF('Prefill'!$P$20&gt;0,'Prefill'!$P$20,'Prefill'!$P$12)</x:f>
        <x:v>8</x:v>
      </x:c>
      <x:c r="J98" s="33" t="n">
        <x:f>E98*F98*G98/1073741824</x:f>
        <x:v>0.0616455078125</x:v>
      </x:c>
      <x:c r="K98" s="33" t="n">
        <x:f>J98/I98</x:f>
        <x:v>0.0077056884765625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37.97989756800234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ROUNDUP('Prefill'!$P$7/'Prefill'!$P$12,0)*5120</x:f>
        <x:v>10485760</x:v>
      </x:c>
      <x:c r="F121" s="32" t="n">
        <x:f>'Prefill'!$P$28</x:f>
        <x:v>2</x:v>
      </x:c>
      <x:c r="G121" s="32" t="n">
        <x:f>'Prefill'!$P$12</x:f>
        <x:v>8</x:v>
      </x:c>
      <x:c r="H121" s="32" t="n">
        <x:f>40*'Prefill'!$P$13</x:f>
        <x:v>40</x:v>
      </x:c>
      <x:c r="I121" s="33" t="n">
        <x:f>E121*F121/1048576</x:f>
        <x:v>20</x:v>
      </x:c>
      <x:c r="J121" s="33" t="n">
        <x:f>I121*(IF(G121&gt;1,G121-1,0))</x:f>
        <x:v>140</x:v>
      </x:c>
      <x:c r="K121" s="33" t="n">
        <x:f>J121*H121</x:f>
        <x:v>5600</x:v>
      </x:c>
      <x:c r="L121" s="33" t="n">
        <x:f>K121*G121</x:f>
        <x:v>44800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ROUNDUP('Prefill'!$P$7/'Prefill'!$P$12,0)*32768</x:f>
        <x:v>67108864</x:v>
      </x:c>
      <x:c r="F122" s="32" t="n">
        <x:f>'Prefill'!$P$28</x:f>
        <x:v>2</x:v>
      </x:c>
      <x:c r="G122" s="32" t="n">
        <x:f>'Prefill'!$P$12</x:f>
        <x:v>8</x:v>
      </x:c>
      <x:c r="H122" s="32" t="n">
        <x:f>40*'Prefill'!$P$25</x:f>
        <x:v>40</x:v>
      </x:c>
      <x:c r="I122" s="33" t="n">
        <x:f>E122*F122/1048576</x:f>
        <x:v>128</x:v>
      </x:c>
      <x:c r="J122" s="33" t="n">
        <x:f>I122*(IF(G122&gt;1,(G122-1)/G122,0))</x:f>
        <x:v>112</x:v>
      </x:c>
      <x:c r="K122" s="33" t="n">
        <x:f>J122*H122</x:f>
        <x:v>4480</x:v>
      </x:c>
      <x:c r="L122" s="33" t="n">
        <x:f>K122*G122</x:f>
        <x:v>35840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(ROUNDUP('Prefill'!$P$7/'Prefill'!$P$12,0)*'Prefill'!$P$12)*5120</x:f>
        <x:v>83886080</x:v>
      </x:c>
      <x:c r="F123" s="32" t="n">
        <x:f>'Prefill'!$P$28</x:f>
        <x:v>2</x:v>
      </x:c>
      <x:c r="G123" s="32" t="n">
        <x:f>'Prefill'!$P$12</x:f>
        <x:v>8</x:v>
      </x:c>
      <x:c r="H123" s="32" t="n">
        <x:f>40*'Prefill'!$P$13</x:f>
        <x:v>40</x:v>
      </x:c>
      <x:c r="I123" s="33" t="n">
        <x:f>E123*F123/1048576</x:f>
        <x:v>160</x:v>
      </x:c>
      <x:c r="J123" s="33" t="n">
        <x:f>I123*(IF(G123&gt;1,(G123-1)/G123,0))</x:f>
        <x:v>140</x:v>
      </x:c>
      <x:c r="K123" s="33" t="n">
        <x:f>J123*H123</x:f>
        <x:v>5600</x:v>
      </x:c>
      <x:c r="L123" s="33" t="n">
        <x:f>K123*G123</x:f>
        <x:v>44800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'Prefill'!$P$7*5120</x:f>
        <x:v>83886080</x:v>
      </x:c>
      <x:c r="F124" s="32" t="n">
        <x:f>'Prefill'!$P$28</x:f>
        <x:v>2</x:v>
      </x:c>
      <x:c r="G124" s="32" t="n">
        <x:f>'Prefill'!$P$12</x:f>
        <x:v>8</x:v>
      </x:c>
      <x:c r="H124" s="32" t="n">
        <x:f>40*(1-'Prefill'!$P$13)</x:f>
        <x:v>0</x:v>
      </x:c>
      <x:c r="I124" s="33" t="n">
        <x:f>E124*F124/1048576</x:f>
        <x:v>160</x:v>
      </x:c>
      <x:c r="J124" s="33" t="n">
        <x:f>I124*(IF(G124&gt;1,2*(G124-1)/G124,0))</x:f>
        <x:v>280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ROUNDUP('Prefill'!$P$7/'Prefill'!$P$12,0)*5120</x:f>
        <x:v>10485760</x:v>
      </x:c>
      <x:c r="F125" s="32" t="n">
        <x:f>'Prefill'!$P$28</x:f>
        <x:v>2</x:v>
      </x:c>
      <x:c r="G125" s="32" t="n">
        <x:f>'Prefill'!$P$12</x:f>
        <x:v>8</x:v>
      </x:c>
      <x:c r="H125" s="32" t="n">
        <x:f>'Prefill'!$P$13</x:f>
        <x:v>1</x:v>
      </x:c>
      <x:c r="I125" s="33" t="n">
        <x:f>E125*F125/1048576</x:f>
        <x:v>20</x:v>
      </x:c>
      <x:c r="J125" s="33" t="n">
        <x:f>I125*(IF(G125&gt;1,G125-1,0))</x:f>
        <x:v>140</x:v>
      </x:c>
      <x:c r="K125" s="33" t="n">
        <x:f>J125*H125</x:f>
        <x:v>140</x:v>
      </x:c>
      <x:c r="L125" s="33" t="n">
        <x:f>K125*G125</x:f>
        <x:v>1120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ROUNDUP('Prefill'!$P$7/'Prefill'!$P$12,0)*5120*6*'Prefill'!$P$32</x:f>
        <x:v>60948480</x:v>
      </x:c>
      <x:c r="F126" s="32" t="n">
        <x:f>'Prefill'!$P$39</x:f>
        <x:v>2</x:v>
      </x:c>
      <x:c r="G126" s="32" t="n">
        <x:f>'Prefill'!$P$14</x:f>
        <x:v>32</x:v>
      </x:c>
      <x:c r="H126" s="32" t="n">
        <x:f>40</x:f>
        <x:v>40</x:v>
      </x:c>
      <x:c r="I126" s="33" t="n">
        <x:f>E126*F126/1048576</x:f>
        <x:v>116.25</x:v>
      </x:c>
      <x:c r="J126" s="33" t="n">
        <x:f>I126*(IF(G126&gt;1,1,0))</x:f>
        <x:v>116.25</x:v>
      </x:c>
      <x:c r="K126" s="33" t="n">
        <x:f>J126*H126</x:f>
        <x:v>4650</x:v>
      </x:c>
      <x:c r="L126" s="33" t="n">
        <x:f>K126*G126</x:f>
        <x:v>148800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ROUNDUP('Prefill'!$P$7/'Prefill'!$P$12,0)*5120*6*'Prefill'!$P$32</x:f>
        <x:v>60948480</x:v>
      </x:c>
      <x:c r="F127" s="32" t="n">
        <x:f>'Prefill'!$P$40</x:f>
        <x:v>2</x:v>
      </x:c>
      <x:c r="G127" s="32" t="n">
        <x:f>'Prefill'!$P$14</x:f>
        <x:v>32</x:v>
      </x:c>
      <x:c r="H127" s="32" t="n">
        <x:f>40</x:f>
        <x:v>40</x:v>
      </x:c>
      <x:c r="I127" s="33" t="n">
        <x:f>E127*F127/1048576</x:f>
        <x:v>116.25</x:v>
      </x:c>
      <x:c r="J127" s="33" t="n">
        <x:f>I127*(IF(G127&gt;1,1,0))</x:f>
        <x:v>116.25</x:v>
      </x:c>
      <x:c r="K127" s="33" t="n">
        <x:f>J127*H127</x:f>
        <x:v>4650</x:v>
      </x:c>
      <x:c r="L127" s="33" t="n">
        <x:f>K127*G127</x:f>
        <x:v>148800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2*('Prefill'!$P$37+1)</x:f>
        <x:v>18</x:v>
      </x:c>
      <x:c r="F128" s="32" t="n">
        <x:f>8</x:f>
        <x:v>8</x:v>
      </x:c>
      <x:c r="G128" s="32" t="n">
        <x:f>'Prefill'!$P$37</x:f>
        <x:v>8</x:v>
      </x:c>
      <x:c r="H128" s="32" t="n">
        <x:f>'Prefill'!$P$38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('Prefill'!$P$7*24*2)/'Prefill'!$P$12*('Prefill'!$P$37-1)/'Prefill'!$P$37</x:f>
        <x:v>86016</x:v>
      </x:c>
      <x:c r="F129" s="32" t="n">
        <x:f>8</x:f>
        <x:v>8</x:v>
      </x:c>
      <x:c r="G129" s="32" t="n">
        <x:f>'Prefill'!$P$37</x:f>
        <x:v>8</x:v>
      </x:c>
      <x:c r="H129" s="32" t="n">
        <x:f>'Prefill'!$P$38</x:f>
        <x:v>1</x:v>
      </x:c>
      <x:c r="I129" s="33" t="n">
        <x:f>E129*F129/1048576</x:f>
        <x:v>0.65625</x:v>
      </x:c>
      <x:c r="J129" s="33" t="n">
        <x:f>I129*(IF(G129&gt;1,1,0))</x:f>
        <x:v>0.65625</x:v>
      </x:c>
      <x:c r="K129" s="33" t="n">
        <x:f>J129*H129</x:f>
        <x:v>0.65625</x:v>
      </x:c>
      <x:c r="L129" s="33" t="n">
        <x:f>K129*G129</x:f>
        <x:v>5.25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('Prefill'!$P$7*24*2)/'Prefill'!$P$12*('Prefill'!$P$37-1)/'Prefill'!$P$37*256</x:f>
        <x:v>22020096</x:v>
      </x:c>
      <x:c r="F130" s="32" t="n">
        <x:f>2</x:f>
        <x:v>2</x:v>
      </x:c>
      <x:c r="G130" s="32" t="n">
        <x:f>'Prefill'!$P$37</x:f>
        <x:v>8</x:v>
      </x:c>
      <x:c r="H130" s="32" t="n">
        <x:f>'Prefill'!$P$38</x:f>
        <x:v>1</x:v>
      </x:c>
      <x:c r="I130" s="33" t="n">
        <x:f>E130*F130/1048576</x:f>
        <x:v>42</x:v>
      </x:c>
      <x:c r="J130" s="33" t="n">
        <x:f>I130*(IF(G130&gt;1,1,0))</x:f>
        <x:v>42</x:v>
      </x:c>
      <x:c r="K130" s="33" t="n">
        <x:f>J130*H130</x:f>
        <x:v>42</x:v>
      </x:c>
      <x:c r="L130" s="33" t="n">
        <x:f>K130*G130</x:f>
        <x:v>336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('Prefill'!$P$7*24*2)*256</x:f>
        <x:v>201326592</x:v>
      </x:c>
      <x:c r="F131" s="32" t="n">
        <x:f>2</x:f>
        <x:v>2</x:v>
      </x:c>
      <x:c r="G131" s="32" t="n">
        <x:f>'Prefill'!$P$12</x:f>
        <x:v>8</x:v>
      </x:c>
      <x:c r="H131" s="32" t="n">
        <x:f>'Prefill'!$P$38</x:f>
        <x:v>1</x:v>
      </x:c>
      <x:c r="I131" s="33" t="n">
        <x:f>E131*F131/1048576</x:f>
        <x:v>384</x:v>
      </x:c>
      <x:c r="J131" s="33" t="n">
        <x:f>I131*(IF(G131&gt;1,(G131-1)/G131,0))</x:f>
        <x:v>336</x:v>
      </x:c>
      <x:c r="K131" s="33" t="n">
        <x:f>J131*H131</x:f>
        <x:v>336</x:v>
      </x:c>
      <x:c r="L131" s="33" t="n">
        <x:f>K131*G131</x:f>
        <x:v>2688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25498.65721130371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Prefill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267.39184624</x:v>
      </x:c>
      <x:c r="C140" s="53"/>
      <x:c r="D140" s="53" t="n">
        <x:f>SUM(H144:H155)</x:f>
        <x:v>297.1020513777778</x:v>
      </x:c>
      <x:c r="E140" s="53"/>
      <x:c r="F140" s="53" t="n">
        <x:f>SUM(K144:K155)</x:f>
        <x:v>29.710205137777784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5.8720256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58.720256</x:v>
      </x:c>
      <x:c r="H144" s="33" t="n">
        <x:f>G144+I144</x:f>
        <x:v>65.24472888888889</x:v>
      </x:c>
      <x:c r="I144" s="33" t="n">
        <x:f>G144*F144*$D$138*$B$138/(1-$B$138)</x:f>
        <x:v>6.524472888888889</x:v>
      </x:c>
      <x:c r="J144" s="63" t="n">
        <x:v>1</x:v>
      </x:c>
      <x:c r="K144" s="33" t="n">
        <x:f>I144*J144</x:f>
        <x:v>6.524472888888889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4.69762048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46.976204800000005</x:v>
      </x:c>
      <x:c r="H145" s="33" t="n">
        <x:f>G145+I145</x:f>
        <x:v>52.19578311111112</x:v>
      </x:c>
      <x:c r="I145" s="33" t="n">
        <x:f>G145*F145*$D$138*$B$138/(1-$B$138)</x:f>
        <x:v>5.219578311111111</x:v>
      </x:c>
      <x:c r="J145" s="63" t="n">
        <x:v>1</x:v>
      </x:c>
      <x:c r="K145" s="33" t="n">
        <x:f>I145*J145</x:f>
        <x:v>5.219578311111111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5.8720256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58.720256</x:v>
      </x:c>
      <x:c r="H146" s="33" t="n">
        <x:f>G146+I146</x:f>
        <x:v>65.24472888888889</x:v>
      </x:c>
      <x:c r="I146" s="33" t="n">
        <x:f>G146*F146*$D$138*$B$138/(1-$B$138)</x:f>
        <x:v>6.524472888888889</x:v>
      </x:c>
      <x:c r="J146" s="63" t="n">
        <x:v>1</x:v>
      </x:c>
      <x:c r="K146" s="33" t="n">
        <x:f>I146*J146</x:f>
        <x:v>6.524472888888889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0.14680064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1.4680064000000002</x:v>
      </x:c>
      <x:c r="H148" s="33" t="n">
        <x:f>G148+I148</x:f>
        <x:v>1.6311182222222225</x:v>
      </x:c>
      <x:c r="I148" s="33" t="n">
        <x:f>G148*F148*$D$138*$B$138/(1-$B$138)</x:f>
        <x:v>0.16311182222222223</x:v>
      </x:c>
      <x:c r="J148" s="63" t="n">
        <x:v>1</x:v>
      </x:c>
      <x:c r="K148" s="33" t="n">
        <x:f>I148*J148</x:f>
        <x:v>0.16311182222222223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Dispatch 仅 Hidden</x:v>
      </x:c>
      <x:c r="D149" s="33" t="n">
        <x:f>(K126*2^20)/1e9</x:f>
        <x:v>4.8758784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48.758784000000006</x:v>
      </x:c>
      <x:c r="H149" s="33" t="n">
        <x:f>G149+I149</x:f>
        <x:v>54.17642666666667</x:v>
      </x:c>
      <x:c r="I149" s="33" t="n">
        <x:f>G149*F149*$D$138*$B$138/(1-$B$138)</x:f>
        <x:v>5.417642666666668</x:v>
      </x:c>
      <x:c r="J149" s="63" t="n">
        <x:v>1</x:v>
      </x:c>
      <x:c r="K149" s="33" t="n">
        <x:f>I149*J149</x:f>
        <x:v>5.417642666666668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Combine 仅 Hidden</x:v>
      </x:c>
      <x:c r="D150" s="33" t="n">
        <x:f>(K127*2^20)/1e9</x:f>
        <x:v>4.8758784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48.758784000000006</x:v>
      </x:c>
      <x:c r="H150" s="33" t="n">
        <x:f>G150+I150</x:f>
        <x:v>54.17642666666667</x:v>
      </x:c>
      <x:c r="I150" s="33" t="n">
        <x:f>G150*F150*$D$138*$B$138/(1-$B$138)</x:f>
        <x:v>5.417642666666668</x:v>
      </x:c>
      <x:c r="J150" s="63" t="n">
        <x:v>1</x:v>
      </x:c>
      <x:c r="K150" s="33" t="n">
        <x:f>I150*J150</x:f>
        <x:v>5.417642666666668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0.000688128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0.00688128</x:v>
      </x:c>
      <x:c r="H152" s="33" t="n">
        <x:f>G152+I152</x:f>
        <x:v>0.007645866666666667</x:v>
      </x:c>
      <x:c r="I152" s="33" t="n">
        <x:f>G152*F152*$D$138*$B$138/(1-$B$138)</x:f>
        <x:v>0.0007645866666666668</x:v>
      </x:c>
      <x:c r="J152" s="63" t="n">
        <x:v>1</x:v>
      </x:c>
      <x:c r="K152" s="33" t="n">
        <x:f>I152*J152</x:f>
        <x:v>0.0007645866666666668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0.044040192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0.44040192</x:v>
      </x:c>
      <x:c r="H153" s="33" t="n">
        <x:f>G153+I153</x:f>
        <x:v>0.48933546666666666</x:v>
      </x:c>
      <x:c r="I153" s="33" t="n">
        <x:f>G153*F153*$D$138*$B$138/(1-$B$138)</x:f>
        <x:v>0.048933546666666675</x:v>
      </x:c>
      <x:c r="J153" s="63" t="n">
        <x:v>1</x:v>
      </x:c>
      <x:c r="K153" s="33" t="n">
        <x:f>I153*J153</x:f>
        <x:v>0.048933546666666675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0.352321536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3.52321536</x:v>
      </x:c>
      <x:c r="H154" s="33" t="n">
        <x:f>G154+I154</x:f>
        <x:v>3.9146837333333333</x:v>
      </x:c>
      <x:c r="I154" s="33" t="n">
        <x:f>G154*F154*$D$138*$B$138/(1-$B$138)</x:f>
        <x:v>0.3914683733333334</x:v>
      </x:c>
      <x:c r="J154" s="63" t="n">
        <x:v>1</x:v>
      </x:c>
      <x:c r="K154" s="33" t="n">
        <x:f>I154*J154</x:f>
        <x:v>0.3914683733333334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直方图 Ring AG</x:v>
      </x:c>
      <x:c r="D155" s="33" t="n">
        <x:f>(IF(E126=0,0,H126*ROUNDUP(384/G126,0)*G126*4*(G126-1)))/1e9</x:f>
        <x:v>0.00190464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0.0190464</x:v>
      </x:c>
      <x:c r="H155" s="33" t="n">
        <x:f>G155+I155</x:f>
        <x:v>0.02116266666666667</x:v>
      </x:c>
      <x:c r="I155" s="33" t="n">
        <x:f>G155*F155*$D$138*$B$138/(1-$B$138)</x:f>
        <x:v>0.0021162666666666666</x:v>
      </x:c>
      <x:c r="J155" s="63" t="n">
        <x:v>1</x:v>
      </x:c>
      <x:c r="K155" s="33" t="n">
        <x:f>I155*J155</x:f>
        <x:v>0.0021162666666666666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26.739184624000004</x:v>
      </x:c>
      <x:c r="E156" s="38"/>
      <x:c r="F156" s="38"/>
      <x:c r="G156" s="39" t="n">
        <x:f>SUM(G144:G155)</x:f>
        <x:v>267.39184624</x:v>
      </x:c>
      <x:c r="H156" s="39" t="n">
        <x:f>SUM(H144:H155)</x:f>
        <x:v>297.1020513777778</x:v>
      </x:c>
      <x:c r="I156" s="39" t="n">
        <x:f>SUM(I144:I155)</x:f>
        <x:v>29.710205137777784</x:v>
      </x:c>
      <x:c r="J156" s="38"/>
      <x:c r="K156" s="39" t="n">
        <x:f>SUM(K144:K155)</x:f>
        <x:v>29.710205137777784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2" hidden="0" customWidth="1"/>
    <x:col min="3" max="3" width="24" hidden="0" customWidth="1"/>
    <x:col min="4" max="4" width="2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4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29"/>
      <x:c r="M1" s="29"/>
      <x:c r="N1" s="29"/>
      <x:c r="O1" s="30" t="str">
        <x:v>请求参数</x:v>
      </x:c>
      <x:c r="P1" s="30"/>
    </x:row>
    <x:row r="2" ht="30" customHeight="1">
      <x:c r="A2" s="29" t="str">
        <x:v>Embedding</x:v>
      </x:c>
      <x:c r="B2" s="40" t="str">
        <x:v>embed.weight</x:v>
      </x:c>
      <x:c r="C2" s="29" t="str">
        <x:v>[129280, 5120]</x:v>
      </x:c>
      <x:c r="D2" s="29" t="str">
        <x:v>BF16</x:v>
      </x:c>
      <x:c r="E2" s="31" t="n">
        <x:v>2</x:v>
      </x:c>
      <x:c r="F2" s="32" t="n">
        <x:v>1</x:v>
      </x:c>
      <x:c r="G2" s="32" t="n">
        <x:v>661913600</x:v>
      </x:c>
      <x:c r="H2" s="32" t="str">
        <x:v>Embedding TP</x:v>
      </x:c>
      <x:c r="I2" s="32" t="n">
        <x:f>IF('Decode'!$P$21&gt;0,'Decode'!$P$21,'Decode'!$P$12)</x:f>
        <x:v>1</x:v>
      </x:c>
      <x:c r="J2" s="33" t="n">
        <x:f>E2*F2*G2/1073741824</x:f>
        <x:v>1.23291015625</x:v>
      </x:c>
      <x:c r="K2" s="33" t="n">
        <x:f>J2/I2</x:f>
        <x:v>1.23291015625</x:v>
      </x:c>
      <x:c r="L2" s="29"/>
      <x:c r="M2" s="29"/>
      <x:c r="N2" s="29"/>
      <x:c r="O2" s="34" t="str">
        <x:v>max_num_batched_tokens</x:v>
      </x:c>
      <x:c r="P2" s="35" t="n">
        <x:v>128</x:v>
      </x:c>
    </x:row>
    <x:row r="3" ht="30" customHeight="1">
      <x:c r="A3" s="29" t="str">
        <x:v>LM Head</x:v>
      </x:c>
      <x:c r="B3" s="40" t="str">
        <x:v>head.weight</x:v>
      </x:c>
      <x:c r="C3" s="29" t="str">
        <x:v>[129280, 5120]</x:v>
      </x:c>
      <x:c r="D3" s="29" t="str">
        <x:v>BF16</x:v>
      </x:c>
      <x:c r="E3" s="31" t="n">
        <x:v>2</x:v>
      </x:c>
      <x:c r="F3" s="32" t="n">
        <x:v>1</x:v>
      </x:c>
      <x:c r="G3" s="32" t="n">
        <x:v>661913600</x:v>
      </x:c>
      <x:c r="H3" s="32" t="str">
        <x:v>LM Head TP</x:v>
      </x:c>
      <x:c r="I3" s="32" t="n">
        <x:f>IF('Decode'!$P$20&gt;0,'Decode'!$P$20,'Decode'!$P$12)</x:f>
        <x:v>1</x:v>
      </x:c>
      <x:c r="J3" s="33" t="n">
        <x:f>E3*F3*G3/1073741824</x:f>
        <x:v>1.23291015625</x:v>
      </x:c>
      <x:c r="K3" s="33" t="n">
        <x:f>J3/I3</x:f>
        <x:v>1.23291015625</x:v>
      </x:c>
      <x:c r="L3" s="29"/>
      <x:c r="M3" s="29"/>
      <x:c r="N3" s="29"/>
      <x:c r="O3" s="34" t="str">
        <x:v>max_num_seqs</x:v>
      </x:c>
      <x:c r="P3" s="35" t="n">
        <x:v>128</x:v>
      </x:c>
    </x:row>
    <x:row r="4" ht="30" customHeight="1">
      <x:c r="A4" s="29" t="str">
        <x:v>Backbone</x:v>
      </x:c>
      <x:c r="B4" s="40" t="str">
        <x:v>norm.weight</x:v>
      </x:c>
      <x:c r="C4" s="29" t="str">
        <x:v>[5120]</x:v>
      </x:c>
      <x:c r="D4" s="29" t="str">
        <x:v>BF16</x:v>
      </x:c>
      <x:c r="E4" s="31" t="n">
        <x:v>2</x:v>
      </x:c>
      <x:c r="F4" s="32" t="n">
        <x:v>1</x:v>
      </x:c>
      <x:c r="G4" s="32" t="n">
        <x:v>5120</x:v>
      </x:c>
      <x:c r="H4" s="32" t="str">
        <x:v>Replicated</x:v>
      </x:c>
      <x:c r="I4" s="32" t="n">
        <x:f>1</x:f>
        <x:v>1</x:v>
      </x:c>
      <x:c r="J4" s="33" t="n">
        <x:f>E4*F4*G4/1073741824</x:f>
        <x:v>0.0000095367431640625</x:v>
      </x:c>
      <x:c r="K4" s="33" t="n">
        <x:f>J4/I4</x:f>
        <x:v>0.0000095367431640625</x:v>
      </x:c>
      <x:c r="L4" s="29"/>
      <x:c r="M4" s="29"/>
      <x:c r="N4" s="29"/>
      <x:c r="O4" s="34" t="str">
        <x:v>平均输入 Token 数</x:v>
      </x:c>
      <x:c r="P4" s="35" t="n">
        <x:v>262144</x:v>
      </x:c>
    </x:row>
    <x:row r="5" ht="30" customHeight="1">
      <x:c r="A5" s="29" t="str">
        <x:v>Attention</x:v>
      </x:c>
      <x:c r="B5" s="40" t="str">
        <x:v>layers.N.attn.attn_sink</x:v>
      </x:c>
      <x:c r="C5" s="29" t="str">
        <x:v>[64]</x:v>
      </x:c>
      <x:c r="D5" s="29" t="str">
        <x:v>F32</x:v>
      </x:c>
      <x:c r="E5" s="31" t="n">
        <x:v>4</x:v>
      </x:c>
      <x:c r="F5" s="32" t="n">
        <x:v>40</x:v>
      </x:c>
      <x:c r="G5" s="32" t="n">
        <x:v>64</x:v>
      </x:c>
      <x:c r="H5" s="32" t="str">
        <x:v>DSA CP / TP</x:v>
      </x:c>
      <x:c r="I5" s="32" t="n">
        <x:f>IF('Decode'!$P$25&lt;&gt;0,1,'Decode'!$P$12)</x:f>
        <x:v>1</x:v>
      </x:c>
      <x:c r="J5" s="33" t="n">
        <x:f>E5*F5*G5/1073741824</x:f>
        <x:v>0.0000095367431640625</x:v>
      </x:c>
      <x:c r="K5" s="33" t="n">
        <x:f>J5/I5</x:f>
        <x:v>0.0000095367431640625</x:v>
      </x:c>
      <x:c r="L5" s="29"/>
      <x:c r="M5" s="29"/>
      <x:c r="N5" s="29"/>
      <x:c r="O5" s="34" t="str">
        <x:v>平均输出 Token 数</x:v>
      </x:c>
      <x:c r="P5" s="35" t="n">
        <x:v>1024</x:v>
      </x:c>
    </x:row>
    <x:row r="6" ht="30" customHeight="1">
      <x:c r="A6" s="29" t="str">
        <x:v>Attention</x:v>
      </x:c>
      <x:c r="B6" s="40" t="str">
        <x:v>layers.N.attn.wq_a.weight</x:v>
      </x:c>
      <x:c r="C6" s="29" t="str">
        <x:v>[1280, 5120]</x:v>
      </x:c>
      <x:c r="D6" s="29" t="str">
        <x:v>FP8 E4M3</x:v>
      </x:c>
      <x:c r="E6" s="31" t="n">
        <x:v>1</x:v>
      </x:c>
      <x:c r="F6" s="32" t="n">
        <x:v>40</x:v>
      </x:c>
      <x:c r="G6" s="32" t="n">
        <x:v>6553600</x:v>
      </x:c>
      <x:c r="H6" s="32" t="str">
        <x:v>Replicated</x:v>
      </x:c>
      <x:c r="I6" s="32" t="n">
        <x:f>1</x:f>
        <x:v>1</x:v>
      </x:c>
      <x:c r="J6" s="33" t="n">
        <x:f>E6*F6*G6/1073741824</x:f>
        <x:v>0.244140625</x:v>
      </x:c>
      <x:c r="K6" s="33" t="n">
        <x:f>J6/I6</x:f>
        <x:v>0.244140625</x:v>
      </x:c>
      <x:c r="L6" s="29"/>
      <x:c r="M6" s="29"/>
      <x:c r="N6" s="29"/>
      <x:c r="O6" s="34" t="str">
        <x:v>投机采样步数</x:v>
      </x:c>
      <x:c r="P6" s="35" t="n">
        <x:v>0</x:v>
      </x:c>
    </x:row>
    <x:row r="7" ht="30" customHeight="1">
      <x:c r="A7" s="29" t="str">
        <x:v>Attention</x:v>
      </x:c>
      <x:c r="B7" s="40" t="str">
        <x:v>layers.N.attn.wq_a.scale</x:v>
      </x:c>
      <x:c r="C7" s="29" t="str">
        <x:v>[40, 160]</x:v>
      </x:c>
      <x:c r="D7" s="29" t="str">
        <x:v>E8M0</x:v>
      </x:c>
      <x:c r="E7" s="31" t="n">
        <x:v>1</x:v>
      </x:c>
      <x:c r="F7" s="32" t="n">
        <x:v>40</x:v>
      </x:c>
      <x:c r="G7" s="32" t="n">
        <x:v>6400</x:v>
      </x:c>
      <x:c r="H7" s="32" t="str">
        <x:v>Replicated</x:v>
      </x:c>
      <x:c r="I7" s="32" t="n">
        <x:f>1</x:f>
        <x:v>1</x:v>
      </x:c>
      <x:c r="J7" s="33" t="n">
        <x:f>E7*F7*G7/1073741824</x:f>
        <x:v>0.0002384185791015625</x:v>
      </x:c>
      <x:c r="K7" s="33" t="n">
        <x:f>J7/I7</x:f>
        <x:v>0.0002384185791015625</x:v>
      </x:c>
      <x:c r="L7" s="29"/>
      <x:c r="M7" s="29"/>
      <x:c r="N7" s="29"/>
      <x:c r="O7" s="34" t="str">
        <x:v>当前 Step Token 数</x:v>
      </x:c>
      <x:c r="P7" s="36" t="n">
        <x:f>MIN($P$2,$P$3*($P$6+1))</x:f>
        <x:v>128</x:v>
      </x:c>
    </x:row>
    <x:row r="8" ht="30" customHeight="1">
      <x:c r="A8" s="29" t="str">
        <x:v>Attention</x:v>
      </x:c>
      <x:c r="B8" s="40" t="str">
        <x:v>layers.N.attn.wq_b.weight</x:v>
      </x:c>
      <x:c r="C8" s="29" t="str">
        <x:v>[32768, 1280]</x:v>
      </x:c>
      <x:c r="D8" s="29" t="str">
        <x:v>FP8 E4M3</x:v>
      </x:c>
      <x:c r="E8" s="31" t="n">
        <x:v>1</x:v>
      </x:c>
      <x:c r="F8" s="32" t="n">
        <x:v>40</x:v>
      </x:c>
      <x:c r="G8" s="32" t="n">
        <x:v>41943040</x:v>
      </x:c>
      <x:c r="H8" s="32" t="str">
        <x:v>DSA CP / TP</x:v>
      </x:c>
      <x:c r="I8" s="32" t="n">
        <x:f>IF('Decode'!$P$25&lt;&gt;0,1,'Decode'!$P$12)</x:f>
        <x:v>1</x:v>
      </x:c>
      <x:c r="J8" s="33" t="n">
        <x:f>E8*F8*G8/1073741824</x:f>
        <x:v>1.5625</x:v>
      </x:c>
      <x:c r="K8" s="33" t="n">
        <x:f>J8/I8</x:f>
        <x:v>1.5625</x:v>
      </x:c>
      <x:c r="L8" s="29"/>
      <x:c r="M8" s="29"/>
      <x:c r="N8" s="29"/>
      <x:c r="O8" s="34" t="str">
        <x:v>本 Step 采样行数</x:v>
      </x:c>
      <x:c r="P8" s="36" t="n">
        <x:f>MIN($P$7,$P$3*($P$6+1))</x:f>
        <x:v>128</x:v>
      </x:c>
    </x:row>
    <x:row r="9" ht="30" customHeight="1">
      <x:c r="A9" s="29" t="str">
        <x:v>Attention</x:v>
      </x:c>
      <x:c r="B9" s="40" t="str">
        <x:v>layers.N.attn.wq_b.scale</x:v>
      </x:c>
      <x:c r="C9" s="29" t="str">
        <x:v>[1024, 40]</x:v>
      </x:c>
      <x:c r="D9" s="29" t="str">
        <x:v>E8M0</x:v>
      </x:c>
      <x:c r="E9" s="31" t="n">
        <x:v>1</x:v>
      </x:c>
      <x:c r="F9" s="32" t="n">
        <x:v>40</x:v>
      </x:c>
      <x:c r="G9" s="32" t="n">
        <x:v>40960</x:v>
      </x:c>
      <x:c r="H9" s="32" t="str">
        <x:v>DSA CP / TP</x:v>
      </x:c>
      <x:c r="I9" s="32" t="n">
        <x:f>IF('Decode'!$P$25&lt;&gt;0,1,'Decode'!$P$12)</x:f>
        <x:v>1</x:v>
      </x:c>
      <x:c r="J9" s="33" t="n">
        <x:f>E9*F9*G9/1073741824</x:f>
        <x:v>0.00152587890625</x:v>
      </x:c>
      <x:c r="K9" s="33" t="n">
        <x:f>J9/I9</x:f>
        <x:v>0.00152587890625</x:v>
      </x:c>
      <x:c r="L9" s="29"/>
      <x:c r="M9" s="29"/>
      <x:c r="N9" s="29"/>
      <x:c r="O9" s="29"/>
      <x:c r="P9" s="29"/>
    </x:row>
    <x:row r="10" ht="30" customHeight="1">
      <x:c r="A10" s="29" t="str">
        <x:v>Attention</x:v>
      </x:c>
      <x:c r="B10" s="40" t="str">
        <x:v>layers.N.attn.wkv.weight</x:v>
      </x:c>
      <x:c r="C10" s="29" t="str">
        <x:v>[512, 5120]</x:v>
      </x:c>
      <x:c r="D10" s="29" t="str">
        <x:v>FP8 E4M3</x:v>
      </x:c>
      <x:c r="E10" s="31" t="n">
        <x:v>1</x:v>
      </x:c>
      <x:c r="F10" s="32" t="n">
        <x:v>40</x:v>
      </x:c>
      <x:c r="G10" s="32" t="n">
        <x:v>2621440</x:v>
      </x:c>
      <x:c r="H10" s="32" t="str">
        <x:v>Replicated</x:v>
      </x:c>
      <x:c r="I10" s="32" t="n">
        <x:f>1</x:f>
        <x:v>1</x:v>
      </x:c>
      <x:c r="J10" s="33" t="n">
        <x:f>E10*F10*G10/1073741824</x:f>
        <x:v>0.09765625</x:v>
      </x:c>
      <x:c r="K10" s="33" t="n">
        <x:f>J10/I10</x:f>
        <x:v>0.09765625</x:v>
      </x:c>
      <x:c r="L10" s="29"/>
      <x:c r="M10" s="29"/>
      <x:c r="N10" s="29"/>
      <x:c r="O10" s="30" t="str">
        <x:v>并行策略</x:v>
      </x:c>
      <x:c r="P10" s="30"/>
    </x:row>
    <x:row r="11" ht="30" customHeight="1">
      <x:c r="A11" s="29" t="str">
        <x:v>Attention</x:v>
      </x:c>
      <x:c r="B11" s="40" t="str">
        <x:v>layers.N.attn.wkv.scale</x:v>
      </x:c>
      <x:c r="C11" s="29" t="str">
        <x:v>[16, 160]</x:v>
      </x:c>
      <x:c r="D11" s="29" t="str">
        <x:v>E8M0</x:v>
      </x:c>
      <x:c r="E11" s="31" t="n">
        <x:v>1</x:v>
      </x:c>
      <x:c r="F11" s="32" t="n">
        <x:v>40</x:v>
      </x:c>
      <x:c r="G11" s="32" t="n">
        <x:v>2560</x:v>
      </x:c>
      <x:c r="H11" s="32" t="str">
        <x:v>Replicated</x:v>
      </x:c>
      <x:c r="I11" s="32" t="n">
        <x:f>1</x:f>
        <x:v>1</x:v>
      </x:c>
      <x:c r="J11" s="33" t="n">
        <x:f>E11*F11*G11/1073741824</x:f>
        <x:v>0.000095367431640625</x:v>
      </x:c>
      <x:c r="K11" s="33" t="n">
        <x:f>J11/I11</x:f>
        <x:v>0.000095367431640625</x:v>
      </x:c>
      <x:c r="L11" s="29"/>
      <x:c r="M11" s="29"/>
      <x:c r="N11" s="29"/>
      <x:c r="O11" s="34" t="str">
        <x:v>DP</x:v>
      </x:c>
      <x:c r="P11" s="35" t="n">
        <x:v>32</x:v>
      </x:c>
    </x:row>
    <x:row r="12" ht="30" customHeight="1">
      <x:c r="A12" s="29" t="str">
        <x:v>Attention</x:v>
      </x:c>
      <x:c r="B12" s="40" t="str">
        <x:v>layers.N.attn.wo_a.weight</x:v>
      </x:c>
      <x:c r="C12" s="29" t="str">
        <x:v>[8192, 4096]</x:v>
      </x:c>
      <x:c r="D12" s="29" t="str">
        <x:v>FP8 E4M3</x:v>
      </x:c>
      <x:c r="E12" s="31" t="n">
        <x:v>1</x:v>
      </x:c>
      <x:c r="F12" s="32" t="n">
        <x:v>40</x:v>
      </x:c>
      <x:c r="G12" s="32" t="n">
        <x:v>33554432</x:v>
      </x:c>
      <x:c r="H12" s="32" t="str">
        <x:v>TP</x:v>
      </x:c>
      <x:c r="I12" s="32" t="n">
        <x:f>'Decode'!$P$12</x:f>
        <x:v>1</x:v>
      </x:c>
      <x:c r="J12" s="33" t="n">
        <x:f>E12*F12*G12/1073741824</x:f>
        <x:v>1.25</x:v>
      </x:c>
      <x:c r="K12" s="33" t="n">
        <x:f>J12/I12</x:f>
        <x:v>1.25</x:v>
      </x:c>
      <x:c r="L12" s="29"/>
      <x:c r="M12" s="29"/>
      <x:c r="N12" s="29"/>
      <x:c r="O12" s="34" t="str">
        <x:v>TP</x:v>
      </x:c>
      <x:c r="P12" s="35" t="n">
        <x:v>1</x:v>
      </x:c>
    </x:row>
    <x:row r="13" ht="30" customHeight="1">
      <x:c r="A13" s="29" t="str">
        <x:v>Attention</x:v>
      </x:c>
      <x:c r="B13" s="40" t="str">
        <x:v>layers.N.attn.wo_a.scale</x:v>
      </x:c>
      <x:c r="C13" s="29" t="str">
        <x:v>[256, 128]</x:v>
      </x:c>
      <x:c r="D13" s="29" t="str">
        <x:v>E8M0</x:v>
      </x:c>
      <x:c r="E13" s="31" t="n">
        <x:v>1</x:v>
      </x:c>
      <x:c r="F13" s="32" t="n">
        <x:v>40</x:v>
      </x:c>
      <x:c r="G13" s="32" t="n">
        <x:v>32768</x:v>
      </x:c>
      <x:c r="H13" s="32" t="str">
        <x:v>TP</x:v>
      </x:c>
      <x:c r="I13" s="32" t="n">
        <x:f>'Decode'!$P$12</x:f>
        <x:v>1</x:v>
      </x:c>
      <x:c r="J13" s="33" t="n">
        <x:f>E13*F13*G13/1073741824</x:f>
        <x:v>0.001220703125</x:v>
      </x:c>
      <x:c r="K13" s="33" t="n">
        <x:f>J13/I13</x:f>
        <x:v>0.001220703125</x:v>
      </x:c>
      <x:c r="L13" s="29"/>
      <x:c r="M13" s="29"/>
      <x:c r="N13" s="29"/>
      <x:c r="O13" s="34" t="str">
        <x:v>SP（0/1）</x:v>
      </x:c>
      <x:c r="P13" s="35" t="n">
        <x:v>0</x:v>
      </x:c>
    </x:row>
    <x:row r="14" ht="30" customHeight="1">
      <x:c r="A14" s="29" t="str">
        <x:v>Attention</x:v>
      </x:c>
      <x:c r="B14" s="40" t="str">
        <x:v>layers.N.attn.wo_b.weight</x:v>
      </x:c>
      <x:c r="C14" s="29" t="str">
        <x:v>[5120, 8192]</x:v>
      </x:c>
      <x:c r="D14" s="29" t="str">
        <x:v>FP8 E4M3</x:v>
      </x:c>
      <x:c r="E14" s="31" t="n">
        <x:v>1</x:v>
      </x:c>
      <x:c r="F14" s="32" t="n">
        <x:v>40</x:v>
      </x:c>
      <x:c r="G14" s="32" t="n">
        <x:v>41943040</x:v>
      </x:c>
      <x:c r="H14" s="32" t="str">
        <x:v>TP</x:v>
      </x:c>
      <x:c r="I14" s="32" t="n">
        <x:f>'Decode'!$P$12</x:f>
        <x:v>1</x:v>
      </x:c>
      <x:c r="J14" s="33" t="n">
        <x:f>E14*F14*G14/1073741824</x:f>
        <x:v>1.5625</x:v>
      </x:c>
      <x:c r="K14" s="33" t="n">
        <x:f>J14/I14</x:f>
        <x:v>1.5625</x:v>
      </x:c>
      <x:c r="L14" s="29"/>
      <x:c r="M14" s="29"/>
      <x:c r="N14" s="29"/>
      <x:c r="O14" s="34" t="str">
        <x:v>EP</x:v>
      </x:c>
      <x:c r="P14" s="35" t="n">
        <x:v>32</x:v>
      </x:c>
    </x:row>
    <x:row r="15" ht="30" customHeight="1">
      <x:c r="A15" s="29" t="str">
        <x:v>Attention</x:v>
      </x:c>
      <x:c r="B15" s="40" t="str">
        <x:v>layers.N.attn.wo_b.scale</x:v>
      </x:c>
      <x:c r="C15" s="29" t="str">
        <x:v>[160, 256]</x:v>
      </x:c>
      <x:c r="D15" s="29" t="str">
        <x:v>E8M0</x:v>
      </x:c>
      <x:c r="E15" s="31" t="n">
        <x:v>1</x:v>
      </x:c>
      <x:c r="F15" s="32" t="n">
        <x:v>40</x:v>
      </x:c>
      <x:c r="G15" s="32" t="n">
        <x:v>40960</x:v>
      </x:c>
      <x:c r="H15" s="32" t="str">
        <x:v>TP</x:v>
      </x:c>
      <x:c r="I15" s="32" t="n">
        <x:f>'Decode'!$P$12</x:f>
        <x:v>1</x:v>
      </x:c>
      <x:c r="J15" s="33" t="n">
        <x:f>E15*F15*G15/1073741824</x:f>
        <x:v>0.00152587890625</x:v>
      </x:c>
      <x:c r="K15" s="33" t="n">
        <x:f>J15/I15</x:f>
        <x:v>0.00152587890625</x:v>
      </x:c>
      <x:c r="L15" s="29"/>
      <x:c r="M15" s="29"/>
      <x:c r="N15" s="29"/>
      <x:c r="O15" s="34"/>
      <x:c r="P15" s="34"/>
    </x:row>
    <x:row r="16" ht="30" customHeight="1">
      <x:c r="A16" s="29" t="str">
        <x:v>Attention</x:v>
      </x:c>
      <x:c r="B16" s="40" t="str">
        <x:v>layers.N.attn.q_norm.weight</x:v>
      </x:c>
      <x:c r="C16" s="29" t="str">
        <x:v>[1280]</x:v>
      </x:c>
      <x:c r="D16" s="29" t="str">
        <x:v>BF16</x:v>
      </x:c>
      <x:c r="E16" s="31" t="n">
        <x:v>2</x:v>
      </x:c>
      <x:c r="F16" s="32" t="n">
        <x:v>40</x:v>
      </x:c>
      <x:c r="G16" s="32" t="n">
        <x:v>1280</x:v>
      </x:c>
      <x:c r="H16" s="32" t="str">
        <x:v>Replicated</x:v>
      </x:c>
      <x:c r="I16" s="32" t="n">
        <x:f>1</x:f>
        <x:v>1</x:v>
      </x:c>
      <x:c r="J16" s="33" t="n">
        <x:f>E16*F16*G16/1073741824</x:f>
        <x:v>0.000095367431640625</x:v>
      </x:c>
      <x:c r="K16" s="33" t="n">
        <x:f>J16/I16</x:f>
        <x:v>0.000095367431640625</x:v>
      </x:c>
      <x:c r="L16" s="29"/>
      <x:c r="M16" s="29"/>
      <x:c r="N16" s="29"/>
      <x:c r="O16" s="34"/>
      <x:c r="P16" s="34"/>
    </x:row>
    <x:row r="17" ht="30" customHeight="1">
      <x:c r="A17" s="29" t="str">
        <x:v>Attention</x:v>
      </x:c>
      <x:c r="B17" s="40" t="str">
        <x:v>layers.N.attn.kv_norm.weight</x:v>
      </x:c>
      <x:c r="C17" s="29" t="str">
        <x:v>[512]</x:v>
      </x:c>
      <x:c r="D17" s="29" t="str">
        <x:v>BF16</x:v>
      </x:c>
      <x:c r="E17" s="31" t="n">
        <x:v>2</x:v>
      </x:c>
      <x:c r="F17" s="32" t="n">
        <x:v>40</x:v>
      </x:c>
      <x:c r="G17" s="32" t="n">
        <x:v>512</x:v>
      </x:c>
      <x:c r="H17" s="32" t="str">
        <x:v>Replicated</x:v>
      </x:c>
      <x:c r="I17" s="32" t="n">
        <x:f>1</x:f>
        <x:v>1</x:v>
      </x:c>
      <x:c r="J17" s="33" t="n">
        <x:f>E17*F17*G17/1073741824</x:f>
        <x:v>0.00003814697265625</x:v>
      </x:c>
      <x:c r="K17" s="33" t="n">
        <x:f>J17/I17</x:f>
        <x:v>0.00003814697265625</x:v>
      </x:c>
      <x:c r="L17" s="29"/>
      <x:c r="M17" s="29"/>
      <x:c r="N17" s="29"/>
      <x:c r="O17" s="34"/>
      <x:c r="P17" s="34"/>
    </x:row>
    <x:row r="18" ht="30" customHeight="1">
      <x:c r="A18" s="29" t="str">
        <x:v>Attention</x:v>
      </x:c>
      <x:c r="B18" s="40" t="str">
        <x:v>layers.N.attn_norm.weight</x:v>
      </x:c>
      <x:c r="C18" s="29" t="str">
        <x:v>[5120]</x:v>
      </x:c>
      <x:c r="D18" s="29" t="str">
        <x:v>BF16</x:v>
      </x:c>
      <x:c r="E18" s="31" t="n">
        <x:v>2</x:v>
      </x:c>
      <x:c r="F18" s="32" t="n">
        <x:v>40</x:v>
      </x:c>
      <x:c r="G18" s="32" t="n">
        <x:v>5120</x:v>
      </x:c>
      <x:c r="H18" s="32" t="str">
        <x:v>Replicated</x:v>
      </x:c>
      <x:c r="I18" s="32" t="n">
        <x:f>1</x:f>
        <x:v>1</x:v>
      </x:c>
      <x:c r="J18" s="33" t="n">
        <x:f>E18*F18*G18/1073741824</x:f>
        <x:v>0.0003814697265625</x:v>
      </x:c>
      <x:c r="K18" s="33" t="n">
        <x:f>J18/I18</x:f>
        <x:v>0.0003814697265625</x:v>
      </x:c>
      <x:c r="L18" s="29"/>
      <x:c r="M18" s="29"/>
      <x:c r="N18" s="29"/>
      <x:c r="O18" s="34"/>
      <x:c r="P18" s="34"/>
    </x:row>
    <x:row r="19" ht="30" customHeight="1">
      <x:c r="A19" s="29" t="str">
        <x:v>Attention</x:v>
      </x:c>
      <x:c r="B19" s="40" t="str">
        <x:v>layers.N.ffn_norm.weight</x:v>
      </x:c>
      <x:c r="C19" s="29" t="str">
        <x:v>[5120]</x:v>
      </x:c>
      <x:c r="D19" s="29" t="str">
        <x:v>BF16</x:v>
      </x:c>
      <x:c r="E19" s="31" t="n">
        <x:v>2</x:v>
      </x:c>
      <x:c r="F19" s="32" t="n">
        <x:v>40</x:v>
      </x:c>
      <x:c r="G19" s="32" t="n">
        <x:v>5120</x:v>
      </x:c>
      <x:c r="H19" s="32" t="str">
        <x:v>Replicated</x:v>
      </x:c>
      <x:c r="I19" s="32" t="n">
        <x:f>1</x:f>
        <x:v>1</x:v>
      </x:c>
      <x:c r="J19" s="33" t="n">
        <x:f>E19*F19*G19/1073741824</x:f>
        <x:v>0.0003814697265625</x:v>
      </x:c>
      <x:c r="K19" s="33" t="n">
        <x:f>J19/I19</x:f>
        <x:v>0.0003814697265625</x:v>
      </x:c>
      <x:c r="L19" s="29"/>
      <x:c r="M19" s="29"/>
      <x:c r="N19" s="29"/>
      <x:c r="O19" s="34"/>
      <x:c r="P19" s="34"/>
    </x:row>
    <x:row r="20" ht="30" customHeight="1">
      <x:c r="A20" s="29" t="str">
        <x:v>MoE Router</x:v>
      </x:c>
      <x:c r="B20" s="40" t="str">
        <x:v>layers.N.ffn.gate.weight</x:v>
      </x:c>
      <x:c r="C20" s="29" t="str">
        <x:v>[384, 5120]</x:v>
      </x:c>
      <x:c r="D20" s="29" t="str">
        <x:v>BF16</x:v>
      </x:c>
      <x:c r="E20" s="31" t="n">
        <x:v>2</x:v>
      </x:c>
      <x:c r="F20" s="32" t="n">
        <x:v>40</x:v>
      </x:c>
      <x:c r="G20" s="32" t="n">
        <x:v>1966080</x:v>
      </x:c>
      <x:c r="H20" s="32" t="str">
        <x:v>Replicated</x:v>
      </x:c>
      <x:c r="I20" s="32" t="n">
        <x:f>1</x:f>
        <x:v>1</x:v>
      </x:c>
      <x:c r="J20" s="33" t="n">
        <x:f>E20*F20*G20/1073741824</x:f>
        <x:v>0.146484375</x:v>
      </x:c>
      <x:c r="K20" s="33" t="n">
        <x:f>J20/I20</x:f>
        <x:v>0.146484375</x:v>
      </x:c>
      <x:c r="L20" s="29"/>
      <x:c r="M20" s="29"/>
      <x:c r="N20" s="29"/>
      <x:c r="O20" s="34"/>
      <x:c r="P20" s="34"/>
    </x:row>
    <x:row r="21" ht="30" customHeight="1">
      <x:c r="A21" s="29" t="str">
        <x:v>MoE Router</x:v>
      </x:c>
      <x:c r="B21" s="40" t="str">
        <x:v>layers.N.ffn.gate.bias</x:v>
      </x:c>
      <x:c r="C21" s="29" t="str">
        <x:v>[384]</x:v>
      </x:c>
      <x:c r="D21" s="29" t="str">
        <x:v>F32</x:v>
      </x:c>
      <x:c r="E21" s="31" t="n">
        <x:v>4</x:v>
      </x:c>
      <x:c r="F21" s="32" t="n">
        <x:v>40</x:v>
      </x:c>
      <x:c r="G21" s="32" t="n">
        <x:v>384</x:v>
      </x:c>
      <x:c r="H21" s="32" t="str">
        <x:v>Replicated</x:v>
      </x:c>
      <x:c r="I21" s="32" t="n">
        <x:f>1</x:f>
        <x:v>1</x:v>
      </x:c>
      <x:c r="J21" s="33" t="n">
        <x:f>E21*F21*G21/1073741824</x:f>
        <x:v>0.000057220458984375</x:v>
      </x:c>
      <x:c r="K21" s="33" t="n">
        <x:f>J21/I21</x:f>
        <x:v>0.000057220458984375</x:v>
      </x:c>
      <x:c r="L21" s="29"/>
      <x:c r="M21" s="29"/>
      <x:c r="N21" s="29"/>
      <x:c r="O21" s="34"/>
      <x:c r="P21" s="34"/>
    </x:row>
    <x:row r="22" ht="30" customHeight="1">
      <x:c r="A22" s="29" t="str">
        <x:v>MoE Router</x:v>
      </x:c>
      <x:c r="B22" s="40" t="str">
        <x:v>layers.N.ffn.gate.bias_vl</x:v>
      </x:c>
      <x:c r="C22" s="29" t="str">
        <x:v>[384]</x:v>
      </x:c>
      <x:c r="D22" s="29" t="str">
        <x:v>F32</x:v>
      </x:c>
      <x:c r="E22" s="31" t="n">
        <x:v>4</x:v>
      </x:c>
      <x:c r="F22" s="32" t="n">
        <x:v>40</x:v>
      </x:c>
      <x:c r="G22" s="32" t="n">
        <x:v>384</x:v>
      </x:c>
      <x:c r="H22" s="32" t="str">
        <x:v>Replicated</x:v>
      </x:c>
      <x:c r="I22" s="32" t="n">
        <x:f>1</x:f>
        <x:v>1</x:v>
      </x:c>
      <x:c r="J22" s="33" t="n">
        <x:f>E22*F22*G22/1073741824</x:f>
        <x:v>0.000057220458984375</x:v>
      </x:c>
      <x:c r="K22" s="33" t="n">
        <x:f>J22/I22</x:f>
        <x:v>0.000057220458984375</x:v>
      </x:c>
      <x:c r="L22" s="29"/>
      <x:c r="M22" s="29"/>
      <x:c r="N22" s="29"/>
      <x:c r="O22" s="34"/>
      <x:c r="P22" s="34"/>
    </x:row>
    <x:row r="23" ht="30" customHeight="1">
      <x:c r="A23" s="29" t="str">
        <x:v>Routed Experts</x:v>
      </x:c>
      <x:c r="B23" s="40" t="str">
        <x:v>layers.N.ffn.experts.N.w1.weight</x:v>
      </x:c>
      <x:c r="C23" s="29" t="str">
        <x:v>[2304, 5120]</x:v>
      </x:c>
      <x:c r="D23" s="29" t="str">
        <x:v>FP4 E2M1</x:v>
      </x:c>
      <x:c r="E23" s="31" t="n">
        <x:v>0.5</x:v>
      </x:c>
      <x:c r="F23" s="32" t="n">
        <x:v>15360</x:v>
      </x:c>
      <x:c r="G23" s="32" t="n">
        <x:v>11796480</x:v>
      </x:c>
      <x:c r="H23" s="32" t="str">
        <x:v>EP</x:v>
      </x:c>
      <x:c r="I23" s="32" t="n">
        <x:f>'Decode'!$P$14</x:f>
        <x:v>32</x:v>
      </x:c>
      <x:c r="J23" s="33" t="n">
        <x:f>E23*F23*G23/1073741824</x:f>
        <x:v>84.375</x:v>
      </x:c>
      <x:c r="K23" s="33" t="n">
        <x:f>J23/I23</x:f>
        <x:v>2.63671875</x:v>
      </x:c>
      <x:c r="L23" s="29"/>
      <x:c r="M23" s="29"/>
      <x:c r="N23" s="29"/>
      <x:c r="O23" s="34"/>
      <x:c r="P23" s="34"/>
    </x:row>
    <x:row r="24" ht="30" customHeight="1">
      <x:c r="A24" s="29" t="str">
        <x:v>Routed Experts</x:v>
      </x:c>
      <x:c r="B24" s="40" t="str">
        <x:v>layers.N.ffn.experts.N.w1.scale</x:v>
      </x:c>
      <x:c r="C24" s="29" t="str">
        <x:v>[2304, 160]</x:v>
      </x:c>
      <x:c r="D24" s="29" t="str">
        <x:v>E8M0</x:v>
      </x:c>
      <x:c r="E24" s="31" t="n">
        <x:v>1</x:v>
      </x:c>
      <x:c r="F24" s="32" t="n">
        <x:v>15360</x:v>
      </x:c>
      <x:c r="G24" s="32" t="n">
        <x:v>368640</x:v>
      </x:c>
      <x:c r="H24" s="32" t="str">
        <x:v>EP</x:v>
      </x:c>
      <x:c r="I24" s="32" t="n">
        <x:f>'Decode'!$P$14</x:f>
        <x:v>32</x:v>
      </x:c>
      <x:c r="J24" s="33" t="n">
        <x:f>E24*F24*G24/1073741824</x:f>
        <x:v>5.2734375</x:v>
      </x:c>
      <x:c r="K24" s="33" t="n">
        <x:f>J24/I24</x:f>
        <x:v>0.164794921875</x:v>
      </x:c>
      <x:c r="L24" s="29"/>
      <x:c r="M24" s="29"/>
      <x:c r="N24" s="29"/>
      <x:c r="O24" s="34"/>
      <x:c r="P24" s="34"/>
    </x:row>
    <x:row r="25" ht="30" customHeight="1">
      <x:c r="A25" s="29" t="str">
        <x:v>Shared Experts</x:v>
      </x:c>
      <x:c r="B25" s="40" t="str">
        <x:v>layers.N.ffn.shared_experts.w1.weight</x:v>
      </x:c>
      <x:c r="C25" s="29" t="str">
        <x:v>[2304, 5120]</x:v>
      </x:c>
      <x:c r="D25" s="29" t="str">
        <x:v>FP8 E4M3</x:v>
      </x:c>
      <x:c r="E25" s="31" t="n">
        <x:v>1</x:v>
      </x:c>
      <x:c r="F25" s="32" t="n">
        <x:v>40</x:v>
      </x:c>
      <x:c r="G25" s="32" t="n">
        <x:v>11796480</x:v>
      </x:c>
      <x:c r="H25" s="32" t="str">
        <x:v>SP 复制 / 非 SP TP</x:v>
      </x:c>
      <x:c r="I25" s="32" t="n">
        <x:f>IF('Decode'!$P$13&lt;&gt;0,1,'Decode'!$P$12)</x:f>
        <x:v>1</x:v>
      </x:c>
      <x:c r="J25" s="33" t="n">
        <x:f>E25*F25*G25/1073741824</x:f>
        <x:v>0.439453125</x:v>
      </x:c>
      <x:c r="K25" s="33" t="n">
        <x:f>J25/I25</x:f>
        <x:v>0.439453125</x:v>
      </x:c>
      <x:c r="L25" s="29"/>
      <x:c r="M25" s="29"/>
      <x:c r="N25" s="29"/>
      <x:c r="O25" s="34" t="str">
        <x:v>DSA CP（0/1）</x:v>
      </x:c>
      <x:c r="P25" s="35" t="n">
        <x:v>0</x:v>
      </x:c>
    </x:row>
    <x:row r="26" ht="30" customHeight="1">
      <x:c r="A26" s="29" t="str">
        <x:v>Shared Experts</x:v>
      </x:c>
      <x:c r="B26" s="40" t="str">
        <x:v>layers.N.ffn.shared_experts.w1.scale</x:v>
      </x:c>
      <x:c r="C26" s="29" t="str">
        <x:v>[72, 160]</x:v>
      </x:c>
      <x:c r="D26" s="29" t="str">
        <x:v>E8M0</x:v>
      </x:c>
      <x:c r="E26" s="31" t="n">
        <x:v>1</x:v>
      </x:c>
      <x:c r="F26" s="32" t="n">
        <x:v>40</x:v>
      </x:c>
      <x:c r="G26" s="32" t="n">
        <x:v>11520</x:v>
      </x:c>
      <x:c r="H26" s="32" t="str">
        <x:v>SP 复制 / 非 SP TP</x:v>
      </x:c>
      <x:c r="I26" s="32" t="n">
        <x:f>IF('Decode'!$P$13&lt;&gt;0,1,'Decode'!$P$12)</x:f>
        <x:v>1</x:v>
      </x:c>
      <x:c r="J26" s="33" t="n">
        <x:f>E26*F26*G26/1073741824</x:f>
        <x:v>0.0004291534423828125</x:v>
      </x:c>
      <x:c r="K26" s="33" t="n">
        <x:f>J26/I26</x:f>
        <x:v>0.0004291534423828125</x:v>
      </x:c>
      <x:c r="L26" s="29"/>
      <x:c r="M26" s="29"/>
      <x:c r="N26" s="29"/>
      <x:c r="O26" s="29"/>
      <x:c r="P26" s="29"/>
    </x:row>
    <x:row r="27" ht="30" customHeight="1">
      <x:c r="A27" s="29" t="str">
        <x:v>Routed Experts</x:v>
      </x:c>
      <x:c r="B27" s="40" t="str">
        <x:v>layers.N.ffn.experts.N.w3.weight</x:v>
      </x:c>
      <x:c r="C27" s="29" t="str">
        <x:v>[2304, 5120]</x:v>
      </x:c>
      <x:c r="D27" s="29" t="str">
        <x:v>FP4 E2M1</x:v>
      </x:c>
      <x:c r="E27" s="31" t="n">
        <x:v>0.5</x:v>
      </x:c>
      <x:c r="F27" s="32" t="n">
        <x:v>15360</x:v>
      </x:c>
      <x:c r="G27" s="32" t="n">
        <x:v>11796480</x:v>
      </x:c>
      <x:c r="H27" s="32" t="str">
        <x:v>EP</x:v>
      </x:c>
      <x:c r="I27" s="32" t="n">
        <x:f>'Decode'!$P$14</x:f>
        <x:v>32</x:v>
      </x:c>
      <x:c r="J27" s="33" t="n">
        <x:f>E27*F27*G27/1073741824</x:f>
        <x:v>84.375</x:v>
      </x:c>
      <x:c r="K27" s="33" t="n">
        <x:f>J27/I27</x:f>
        <x:v>2.63671875</x:v>
      </x:c>
      <x:c r="L27" s="29"/>
      <x:c r="M27" s="29"/>
      <x:c r="N27" s="29"/>
      <x:c r="O27" s="30" t="str">
        <x:v>通信参数</x:v>
      </x:c>
      <x:c r="P27" s="30"/>
    </x:row>
    <x:row r="28" ht="30" customHeight="1">
      <x:c r="A28" s="29" t="str">
        <x:v>Routed Experts</x:v>
      </x:c>
      <x:c r="B28" s="40" t="str">
        <x:v>layers.N.ffn.experts.N.w3.scale</x:v>
      </x:c>
      <x:c r="C28" s="29" t="str">
        <x:v>[2304, 160]</x:v>
      </x:c>
      <x:c r="D28" s="29" t="str">
        <x:v>E8M0</x:v>
      </x:c>
      <x:c r="E28" s="31" t="n">
        <x:v>1</x:v>
      </x:c>
      <x:c r="F28" s="32" t="n">
        <x:v>15360</x:v>
      </x:c>
      <x:c r="G28" s="32" t="n">
        <x:v>368640</x:v>
      </x:c>
      <x:c r="H28" s="32" t="str">
        <x:v>EP</x:v>
      </x:c>
      <x:c r="I28" s="32" t="n">
        <x:f>'Decode'!$P$14</x:f>
        <x:v>32</x:v>
      </x:c>
      <x:c r="J28" s="33" t="n">
        <x:f>E28*F28*G28/1073741824</x:f>
        <x:v>5.2734375</x:v>
      </x:c>
      <x:c r="K28" s="33" t="n">
        <x:f>J28/I28</x:f>
        <x:v>0.164794921875</x:v>
      </x:c>
      <x:c r="L28" s="29"/>
      <x:c r="M28" s="29"/>
      <x:c r="N28" s="29"/>
      <x:c r="O28" s="34" t="str">
        <x:v>激活字节/元素</x:v>
      </x:c>
      <x:c r="P28" s="35" t="n">
        <x:v>2</x:v>
      </x:c>
    </x:row>
    <x:row r="29" ht="30" customHeight="1">
      <x:c r="A29" s="29" t="str">
        <x:v>Shared Experts</x:v>
      </x:c>
      <x:c r="B29" s="40" t="str">
        <x:v>layers.N.ffn.shared_experts.w3.weight</x:v>
      </x:c>
      <x:c r="C29" s="29" t="str">
        <x:v>[2304, 5120]</x:v>
      </x:c>
      <x:c r="D29" s="29" t="str">
        <x:v>FP8 E4M3</x:v>
      </x:c>
      <x:c r="E29" s="31" t="n">
        <x:v>1</x:v>
      </x:c>
      <x:c r="F29" s="32" t="n">
        <x:v>40</x:v>
      </x:c>
      <x:c r="G29" s="32" t="n">
        <x:v>11796480</x:v>
      </x:c>
      <x:c r="H29" s="32" t="str">
        <x:v>SP 复制 / 非 SP TP</x:v>
      </x:c>
      <x:c r="I29" s="32" t="n">
        <x:f>IF('Decode'!$P$13&lt;&gt;0,1,'Decode'!$P$12)</x:f>
        <x:v>1</x:v>
      </x:c>
      <x:c r="J29" s="33" t="n">
        <x:f>E29*F29*G29/1073741824</x:f>
        <x:v>0.439453125</x:v>
      </x:c>
      <x:c r="K29" s="33" t="n">
        <x:f>J29/I29</x:f>
        <x:v>0.439453125</x:v>
      </x:c>
      <x:c r="L29" s="29"/>
      <x:c r="M29" s="29"/>
      <x:c r="N29" s="29"/>
      <x:c r="O29" s="34"/>
      <x:c r="P29" s="34"/>
    </x:row>
    <x:row r="30" ht="30" customHeight="1">
      <x:c r="A30" s="29" t="str">
        <x:v>Shared Experts</x:v>
      </x:c>
      <x:c r="B30" s="40" t="str">
        <x:v>layers.N.ffn.shared_experts.w3.scale</x:v>
      </x:c>
      <x:c r="C30" s="29" t="str">
        <x:v>[72, 160]</x:v>
      </x:c>
      <x:c r="D30" s="29" t="str">
        <x:v>E8M0</x:v>
      </x:c>
      <x:c r="E30" s="31" t="n">
        <x:v>1</x:v>
      </x:c>
      <x:c r="F30" s="32" t="n">
        <x:v>40</x:v>
      </x:c>
      <x:c r="G30" s="32" t="n">
        <x:v>11520</x:v>
      </x:c>
      <x:c r="H30" s="32" t="str">
        <x:v>SP 复制 / 非 SP TP</x:v>
      </x:c>
      <x:c r="I30" s="32" t="n">
        <x:f>IF('Decode'!$P$13&lt;&gt;0,1,'Decode'!$P$12)</x:f>
        <x:v>1</x:v>
      </x:c>
      <x:c r="J30" s="33" t="n">
        <x:f>E30*F30*G30/1073741824</x:f>
        <x:v>0.0004291534423828125</x:v>
      </x:c>
      <x:c r="K30" s="33" t="n">
        <x:f>J30/I30</x:f>
        <x:v>0.0004291534423828125</x:v>
      </x:c>
      <x:c r="L30" s="29"/>
      <x:c r="M30" s="29"/>
      <x:c r="N30" s="29"/>
      <x:c r="O30" s="34"/>
      <x:c r="P30" s="34"/>
    </x:row>
    <x:row r="31" ht="30" customHeight="1">
      <x:c r="A31" s="29" t="str">
        <x:v>Routed Experts</x:v>
      </x:c>
      <x:c r="B31" s="40" t="str">
        <x:v>layers.N.ffn.experts.N.w2.weight</x:v>
      </x:c>
      <x:c r="C31" s="29" t="str">
        <x:v>[5120, 2304]</x:v>
      </x:c>
      <x:c r="D31" s="29" t="str">
        <x:v>FP4 E2M1</x:v>
      </x:c>
      <x:c r="E31" s="31" t="n">
        <x:v>0.5</x:v>
      </x:c>
      <x:c r="F31" s="32" t="n">
        <x:v>15360</x:v>
      </x:c>
      <x:c r="G31" s="32" t="n">
        <x:v>11796480</x:v>
      </x:c>
      <x:c r="H31" s="32" t="str">
        <x:v>EP</x:v>
      </x:c>
      <x:c r="I31" s="32" t="n">
        <x:f>'Decode'!$P$14</x:f>
        <x:v>32</x:v>
      </x:c>
      <x:c r="J31" s="33" t="n">
        <x:f>E31*F31*G31/1073741824</x:f>
        <x:v>84.375</x:v>
      </x:c>
      <x:c r="K31" s="33" t="n">
        <x:f>J31/I31</x:f>
        <x:v>2.63671875</x:v>
      </x:c>
      <x:c r="L31" s="29"/>
      <x:c r="M31" s="29"/>
      <x:c r="N31" s="29"/>
      <x:c r="O31" s="34"/>
      <x:c r="P31" s="34"/>
    </x:row>
    <x:row r="32" ht="30" customHeight="1">
      <x:c r="A32" s="29" t="str">
        <x:v>Routed Experts</x:v>
      </x:c>
      <x:c r="B32" s="40" t="str">
        <x:v>layers.N.ffn.experts.N.w2.scale</x:v>
      </x:c>
      <x:c r="C32" s="29" t="str">
        <x:v>[5120, 72]</x:v>
      </x:c>
      <x:c r="D32" s="29" t="str">
        <x:v>E8M0</x:v>
      </x:c>
      <x:c r="E32" s="31" t="n">
        <x:v>1</x:v>
      </x:c>
      <x:c r="F32" s="32" t="n">
        <x:v>15360</x:v>
      </x:c>
      <x:c r="G32" s="32" t="n">
        <x:v>368640</x:v>
      </x:c>
      <x:c r="H32" s="32" t="str">
        <x:v>EP</x:v>
      </x:c>
      <x:c r="I32" s="32" t="n">
        <x:f>'Decode'!$P$14</x:f>
        <x:v>32</x:v>
      </x:c>
      <x:c r="J32" s="33" t="n">
        <x:f>E32*F32*G32/1073741824</x:f>
        <x:v>5.2734375</x:v>
      </x:c>
      <x:c r="K32" s="33" t="n">
        <x:f>J32/I32</x:f>
        <x:v>0.164794921875</x:v>
      </x:c>
      <x:c r="L32" s="29"/>
      <x:c r="M32" s="29"/>
      <x:c r="N32" s="29"/>
      <x:c r="O32" s="34" t="str">
        <x:v>跨 EP Rank 路由比例</x:v>
      </x:c>
      <x:c r="P32" s="37" t="n">
        <x:f>IF($P$14&gt;1,($P$14-1)/$P$14,0)</x:f>
        <x:v>0.96875</x:v>
      </x:c>
    </x:row>
    <x:row r="33" ht="30" customHeight="1">
      <x:c r="A33" s="29" t="str">
        <x:v>Shared Experts</x:v>
      </x:c>
      <x:c r="B33" s="40" t="str">
        <x:v>layers.N.ffn.shared_experts.w2.weight</x:v>
      </x:c>
      <x:c r="C33" s="29" t="str">
        <x:v>[5120, 2304]</x:v>
      </x:c>
      <x:c r="D33" s="29" t="str">
        <x:v>FP8 E4M3</x:v>
      </x:c>
      <x:c r="E33" s="31" t="n">
        <x:v>1</x:v>
      </x:c>
      <x:c r="F33" s="32" t="n">
        <x:v>40</x:v>
      </x:c>
      <x:c r="G33" s="32" t="n">
        <x:v>11796480</x:v>
      </x:c>
      <x:c r="H33" s="32" t="str">
        <x:v>SP 复制 / 非 SP TP</x:v>
      </x:c>
      <x:c r="I33" s="32" t="n">
        <x:f>IF('Decode'!$P$13&lt;&gt;0,1,'Decode'!$P$12)</x:f>
        <x:v>1</x:v>
      </x:c>
      <x:c r="J33" s="33" t="n">
        <x:f>E33*F33*G33/1073741824</x:f>
        <x:v>0.439453125</x:v>
      </x:c>
      <x:c r="K33" s="33" t="n">
        <x:f>J33/I33</x:f>
        <x:v>0.439453125</x:v>
      </x:c>
      <x:c r="L33" s="29"/>
      <x:c r="M33" s="29"/>
      <x:c r="N33" s="29"/>
      <x:c r="O33" s="29"/>
      <x:c r="P33" s="29"/>
    </x:row>
    <x:row r="34" ht="30" customHeight="1">
      <x:c r="A34" s="29" t="str">
        <x:v>Shared Experts</x:v>
      </x:c>
      <x:c r="B34" s="40" t="str">
        <x:v>layers.N.ffn.shared_experts.w2.scale</x:v>
      </x:c>
      <x:c r="C34" s="29" t="str">
        <x:v>[160, 72]</x:v>
      </x:c>
      <x:c r="D34" s="29" t="str">
        <x:v>E8M0</x:v>
      </x:c>
      <x:c r="E34" s="31" t="n">
        <x:v>1</x:v>
      </x:c>
      <x:c r="F34" s="32" t="n">
        <x:v>40</x:v>
      </x:c>
      <x:c r="G34" s="32" t="n">
        <x:v>11520</x:v>
      </x:c>
      <x:c r="H34" s="32" t="str">
        <x:v>SP 复制 / 非 SP TP</x:v>
      </x:c>
      <x:c r="I34" s="32" t="n">
        <x:f>IF('Decode'!$P$13&lt;&gt;0,1,'Decode'!$P$12)</x:f>
        <x:v>1</x:v>
      </x:c>
      <x:c r="J34" s="33" t="n">
        <x:f>E34*F34*G34/1073741824</x:f>
        <x:v>0.0004291534423828125</x:v>
      </x:c>
      <x:c r="K34" s="33" t="n">
        <x:f>J34/I34</x:f>
        <x:v>0.0004291534423828125</x:v>
      </x:c>
      <x:c r="L34" s="29"/>
      <x:c r="M34" s="29"/>
      <x:c r="N34" s="29"/>
      <x:c r="O34" s="29"/>
      <x:c r="P34" s="29"/>
    </x:row>
    <x:row r="35" ht="30" customHeight="1">
      <x:c r="A35" s="29" t="str">
        <x:v>HC</x:v>
      </x:c>
      <x:c r="B35" s="40" t="str">
        <x:v>layers.N.hc_attn_fn</x:v>
      </x:c>
      <x:c r="C35" s="29" t="str">
        <x:v>[24, 20480]</x:v>
      </x:c>
      <x:c r="D35" s="29" t="str">
        <x:v>F32</x:v>
      </x:c>
      <x:c r="E35" s="31" t="n">
        <x:v>4</x:v>
      </x:c>
      <x:c r="F35" s="32" t="n">
        <x:v>40</x:v>
      </x:c>
      <x:c r="G35" s="32" t="n">
        <x:v>491520</x:v>
      </x:c>
      <x:c r="H35" s="32" t="str">
        <x:v>Replicated</x:v>
      </x:c>
      <x:c r="I35" s="32" t="n">
        <x:f>1</x:f>
        <x:v>1</x:v>
      </x:c>
      <x:c r="J35" s="33" t="n">
        <x:f>E35*F35*G35/1073741824</x:f>
        <x:v>0.0732421875</x:v>
      </x:c>
      <x:c r="K35" s="33" t="n">
        <x:f>J35/I35</x:f>
        <x:v>0.0732421875</x:v>
      </x:c>
      <x:c r="L35" s="29"/>
      <x:c r="M35" s="29"/>
      <x:c r="N35" s="29"/>
      <x:c r="O35" s="29"/>
      <x:c r="P35" s="29"/>
    </x:row>
    <x:row r="36" ht="30" customHeight="1">
      <x:c r="A36" s="29" t="str">
        <x:v>HC</x:v>
      </x:c>
      <x:c r="B36" s="40" t="str">
        <x:v>layers.N.hc_attn_base</x:v>
      </x:c>
      <x:c r="C36" s="29" t="str">
        <x:v>[24]</x:v>
      </x:c>
      <x:c r="D36" s="29" t="str">
        <x:v>F32</x:v>
      </x:c>
      <x:c r="E36" s="31" t="n">
        <x:v>4</x:v>
      </x:c>
      <x:c r="F36" s="32" t="n">
        <x:v>40</x:v>
      </x:c>
      <x:c r="G36" s="32" t="n">
        <x:v>24</x:v>
      </x:c>
      <x:c r="H36" s="32" t="str">
        <x:v>Replicated</x:v>
      </x:c>
      <x:c r="I36" s="32" t="n">
        <x:f>1</x:f>
        <x:v>1</x:v>
      </x:c>
      <x:c r="J36" s="33" t="n">
        <x:f>E36*F36*G36/1073741824</x:f>
        <x:v>0.0000035762786865234375</x:v>
      </x:c>
      <x:c r="K36" s="33" t="n">
        <x:f>J36/I36</x:f>
        <x:v>0.0000035762786865234375</x:v>
      </x:c>
      <x:c r="L36" s="29"/>
      <x:c r="M36" s="29"/>
      <x:c r="N36" s="29"/>
      <x:c r="O36" s="30" t="str">
        <x:v>V4.1 节点与载荷</x:v>
      </x:c>
      <x:c r="P36" s="30"/>
    </x:row>
    <x:row r="37" ht="30" customHeight="1">
      <x:c r="A37" s="29" t="str">
        <x:v>HC</x:v>
      </x:c>
      <x:c r="B37" s="40" t="str">
        <x:v>layers.N.hc_attn_scale</x:v>
      </x:c>
      <x:c r="C37" s="29" t="str">
        <x:v>[3]</x:v>
      </x:c>
      <x:c r="D37" s="29" t="str">
        <x:v>F32</x:v>
      </x:c>
      <x:c r="E37" s="31" t="n">
        <x:v>4</x:v>
      </x:c>
      <x:c r="F37" s="32" t="n">
        <x:v>40</x:v>
      </x:c>
      <x:c r="G37" s="32" t="n">
        <x:v>3</x:v>
      </x:c>
      <x:c r="H37" s="32" t="str">
        <x:v>Replicated</x:v>
      </x:c>
      <x:c r="I37" s="32" t="n">
        <x:f>1</x:f>
        <x:v>1</x:v>
      </x:c>
      <x:c r="J37" s="33" t="n">
        <x:f>E37*F37*G37/1073741824</x:f>
        <x:v>4.470348358154297e-7</x:v>
      </x:c>
      <x:c r="K37" s="33" t="n">
        <x:f>J37/I37</x:f>
        <x:v>4.470348358154297e-7</x:v>
      </x:c>
      <x:c r="L37" s="29"/>
      <x:c r="M37" s="29"/>
      <x:c r="N37" s="29"/>
      <x:c r="O37" s="34" t="str">
        <x:v>每节点 Rank 数</x:v>
      </x:c>
      <x:c r="P37" s="35" t="n">
        <x:v>8</x:v>
      </x:c>
    </x:row>
    <x:row r="38" ht="30" customHeight="1">
      <x:c r="A38" s="29" t="str">
        <x:v>HC</x:v>
      </x:c>
      <x:c r="B38" s="40" t="str">
        <x:v>layers.N.hc_ffn_fn</x:v>
      </x:c>
      <x:c r="C38" s="29" t="str">
        <x:v>[24, 20480]</x:v>
      </x:c>
      <x:c r="D38" s="29" t="str">
        <x:v>F32</x:v>
      </x:c>
      <x:c r="E38" s="31" t="n">
        <x:v>4</x:v>
      </x:c>
      <x:c r="F38" s="32" t="n">
        <x:v>40</x:v>
      </x:c>
      <x:c r="G38" s="32" t="n">
        <x:v>491520</x:v>
      </x:c>
      <x:c r="H38" s="32" t="str">
        <x:v>Replicated</x:v>
      </x:c>
      <x:c r="I38" s="32" t="n">
        <x:f>1</x:f>
        <x:v>1</x:v>
      </x:c>
      <x:c r="J38" s="33" t="n">
        <x:f>E38*F38*G38/1073741824</x:f>
        <x:v>0.0732421875</x:v>
      </x:c>
      <x:c r="K38" s="33" t="n">
        <x:f>J38/I38</x:f>
        <x:v>0.0732421875</x:v>
      </x:c>
      <x:c r="L38" s="29"/>
      <x:c r="M38" s="29"/>
      <x:c r="N38" s="29"/>
      <x:c r="O38" s="34" t="str">
        <x:v>Engram（0/1）</x:v>
      </x:c>
      <x:c r="P38" s="35" t="n">
        <x:v>1</x:v>
      </x:c>
    </x:row>
    <x:row r="39" ht="30" customHeight="1">
      <x:c r="A39" s="29" t="str">
        <x:v>HC</x:v>
      </x:c>
      <x:c r="B39" s="40" t="str">
        <x:v>layers.N.hc_ffn_base</x:v>
      </x:c>
      <x:c r="C39" s="29" t="str">
        <x:v>[24]</x:v>
      </x:c>
      <x:c r="D39" s="29" t="str">
        <x:v>F32</x:v>
      </x:c>
      <x:c r="E39" s="31" t="n">
        <x:v>4</x:v>
      </x:c>
      <x:c r="F39" s="32" t="n">
        <x:v>40</x:v>
      </x:c>
      <x:c r="G39" s="32" t="n">
        <x:v>24</x:v>
      </x:c>
      <x:c r="H39" s="32" t="str">
        <x:v>Replicated</x:v>
      </x:c>
      <x:c r="I39" s="32" t="n">
        <x:f>1</x:f>
        <x:v>1</x:v>
      </x:c>
      <x:c r="J39" s="33" t="n">
        <x:f>E39*F39*G39/1073741824</x:f>
        <x:v>0.0000035762786865234375</x:v>
      </x:c>
      <x:c r="K39" s="33" t="n">
        <x:f>J39/I39</x:f>
        <x:v>0.0000035762786865234375</x:v>
      </x:c>
      <x:c r="L39" s="29"/>
      <x:c r="M39" s="29"/>
      <x:c r="N39" s="29"/>
      <x:c r="O39" s="34" t="str">
        <x:v>MoE Dispatch 字节/元素</x:v>
      </x:c>
      <x:c r="P39" s="35" t="n">
        <x:v>2</x:v>
      </x:c>
    </x:row>
    <x:row r="40" ht="30" customHeight="1">
      <x:c r="A40" s="29" t="str">
        <x:v>HC</x:v>
      </x:c>
      <x:c r="B40" s="40" t="str">
        <x:v>layers.N.hc_ffn_scale</x:v>
      </x:c>
      <x:c r="C40" s="29" t="str">
        <x:v>[3]</x:v>
      </x:c>
      <x:c r="D40" s="29" t="str">
        <x:v>F32</x:v>
      </x:c>
      <x:c r="E40" s="31" t="n">
        <x:v>4</x:v>
      </x:c>
      <x:c r="F40" s="32" t="n">
        <x:v>40</x:v>
      </x:c>
      <x:c r="G40" s="32" t="n">
        <x:v>3</x:v>
      </x:c>
      <x:c r="H40" s="32" t="str">
        <x:v>Replicated</x:v>
      </x:c>
      <x:c r="I40" s="32" t="n">
        <x:f>1</x:f>
        <x:v>1</x:v>
      </x:c>
      <x:c r="J40" s="33" t="n">
        <x:f>E40*F40*G40/1073741824</x:f>
        <x:v>4.470348358154297e-7</x:v>
      </x:c>
      <x:c r="K40" s="33" t="n">
        <x:f>J40/I40</x:f>
        <x:v>4.470348358154297e-7</x:v>
      </x:c>
      <x:c r="L40" s="29"/>
      <x:c r="M40" s="29"/>
      <x:c r="N40" s="29"/>
      <x:c r="O40" s="34" t="str">
        <x:v>MoE Combine 字节/元素</x:v>
      </x:c>
      <x:c r="P40" s="35" t="n">
        <x:v>2</x:v>
      </x:c>
    </x:row>
    <x:row r="41" ht="30" customHeight="1">
      <x:c r="A41" s="29" t="str">
        <x:v>Compressor</x:v>
      </x:c>
      <x:c r="B41" s="40" t="str">
        <x:v>layers.N.attn.compressor.wkv.weight</x:v>
      </x:c>
      <x:c r="C41" s="29" t="str">
        <x:v>[512, 5120]</x:v>
      </x:c>
      <x:c r="D41" s="29" t="str">
        <x:v>BF16</x:v>
      </x:c>
      <x:c r="E41" s="31" t="n">
        <x:v>2</x:v>
      </x:c>
      <x:c r="F41" s="32" t="n">
        <x:v>4</x:v>
      </x:c>
      <x:c r="G41" s="32" t="n">
        <x:v>2621440</x:v>
      </x:c>
      <x:c r="H41" s="32" t="str">
        <x:v>Replicated</x:v>
      </x:c>
      <x:c r="I41" s="32" t="n">
        <x:f>1</x:f>
        <x:v>1</x:v>
      </x:c>
      <x:c r="J41" s="33" t="n">
        <x:f>E41*F41*G41/1073741824</x:f>
        <x:v>0.01953125</x:v>
      </x:c>
      <x:c r="K41" s="33" t="n">
        <x:f>J41/I41</x:f>
        <x:v>0.01953125</x:v>
      </x:c>
      <x:c r="L41" s="29"/>
      <x:c r="M41" s="29"/>
      <x:c r="N41" s="29"/>
      <x:c r="O41" s="34" t="str">
        <x:v>缓存案例请求数</x:v>
      </x:c>
      <x:c r="P41" s="35" t="n">
        <x:v>16</x:v>
      </x:c>
    </x:row>
    <x:row r="42" ht="30" customHeight="1">
      <x:c r="A42" s="29" t="str">
        <x:v>Compressor C2</x:v>
      </x:c>
      <x:c r="B42" s="40" t="str">
        <x:v>layers.N.attn.compressor.wgate.weight</x:v>
      </x:c>
      <x:c r="C42" s="29" t="str">
        <x:v>[512, 5120]</x:v>
      </x:c>
      <x:c r="D42" s="29" t="str">
        <x:v>BF16</x:v>
      </x:c>
      <x:c r="E42" s="31" t="n">
        <x:v>2</x:v>
      </x:c>
      <x:c r="F42" s="32" t="n">
        <x:v>3</x:v>
      </x:c>
      <x:c r="G42" s="32" t="n">
        <x:v>2621440</x:v>
      </x:c>
      <x:c r="H42" s="32" t="str">
        <x:v>Replicated</x:v>
      </x:c>
      <x:c r="I42" s="32" t="n">
        <x:f>1</x:f>
        <x:v>1</x:v>
      </x:c>
      <x:c r="J42" s="33" t="n">
        <x:f>E42*F42*G42/1073741824</x:f>
        <x:v>0.0146484375</x:v>
      </x:c>
      <x:c r="K42" s="33" t="n">
        <x:f>J42/I42</x:f>
        <x:v>0.0146484375</x:v>
      </x:c>
      <x:c r="L42" s="29"/>
      <x:c r="M42" s="29"/>
      <x:c r="N42" s="29"/>
      <x:c r="O42" s="29"/>
      <x:c r="P42" s="29"/>
    </x:row>
    <x:row r="43" ht="30" customHeight="1">
      <x:c r="A43" s="29" t="str">
        <x:v>Compressor</x:v>
      </x:c>
      <x:c r="B43" s="40" t="str">
        <x:v>layers.N.attn.compressor.norm.weight</x:v>
      </x:c>
      <x:c r="C43" s="29" t="str">
        <x:v>[512]</x:v>
      </x:c>
      <x:c r="D43" s="29" t="str">
        <x:v>BF16</x:v>
      </x:c>
      <x:c r="E43" s="31" t="n">
        <x:v>2</x:v>
      </x:c>
      <x:c r="F43" s="32" t="n">
        <x:v>4</x:v>
      </x:c>
      <x:c r="G43" s="32" t="n">
        <x:v>512</x:v>
      </x:c>
      <x:c r="H43" s="32" t="str">
        <x:v>Replicated</x:v>
      </x:c>
      <x:c r="I43" s="32" t="n">
        <x:f>1</x:f>
        <x:v>1</x:v>
      </x:c>
      <x:c r="J43" s="33" t="n">
        <x:f>E43*F43*G43/1073741824</x:f>
        <x:v>0.000003814697265625</x:v>
      </x:c>
      <x:c r="K43" s="33" t="n">
        <x:f>J43/I43</x:f>
        <x:v>0.000003814697265625</x:v>
      </x:c>
      <x:c r="L43" s="29"/>
      <x:c r="M43" s="29"/>
      <x:c r="N43" s="29"/>
      <x:c r="O43" s="29"/>
      <x:c r="P43" s="29"/>
    </x:row>
    <x:row r="44" ht="30" customHeight="1">
      <x:c r="A44" s="29" t="str">
        <x:v>Indexer</x:v>
      </x:c>
      <x:c r="B44" s="40" t="str">
        <x:v>layers.N.attn.indexer.wq_b.weight</x:v>
      </x:c>
      <x:c r="C44" s="29" t="str">
        <x:v>[4096, 1280]</x:v>
      </x:c>
      <x:c r="D44" s="29" t="str">
        <x:v>FP8 E4M3</x:v>
      </x:c>
      <x:c r="E44" s="31" t="n">
        <x:v>1</x:v>
      </x:c>
      <x:c r="F44" s="32" t="n">
        <x:v>8</x:v>
      </x:c>
      <x:c r="G44" s="32" t="n">
        <x:v>5242880</x:v>
      </x:c>
      <x:c r="H44" s="32" t="str">
        <x:v>Replicated</x:v>
      </x:c>
      <x:c r="I44" s="32" t="n">
        <x:f>1</x:f>
        <x:v>1</x:v>
      </x:c>
      <x:c r="J44" s="33" t="n">
        <x:f>E44*F44*G44/1073741824</x:f>
        <x:v>0.0390625</x:v>
      </x:c>
      <x:c r="K44" s="33" t="n">
        <x:f>J44/I44</x:f>
        <x:v>0.0390625</x:v>
      </x:c>
      <x:c r="L44" s="29"/>
      <x:c r="M44" s="29"/>
      <x:c r="N44" s="29"/>
      <x:c r="O44" s="29"/>
      <x:c r="P44" s="29"/>
    </x:row>
    <x:row r="45" ht="30" customHeight="1">
      <x:c r="A45" s="29" t="str">
        <x:v>Indexer</x:v>
      </x:c>
      <x:c r="B45" s="40" t="str">
        <x:v>layers.N.attn.indexer.wq_b.scale</x:v>
      </x:c>
      <x:c r="C45" s="29" t="str">
        <x:v>[128, 40]</x:v>
      </x:c>
      <x:c r="D45" s="29" t="str">
        <x:v>E8M0</x:v>
      </x:c>
      <x:c r="E45" s="31" t="n">
        <x:v>1</x:v>
      </x:c>
      <x:c r="F45" s="32" t="n">
        <x:v>8</x:v>
      </x:c>
      <x:c r="G45" s="32" t="n">
        <x:v>5120</x:v>
      </x:c>
      <x:c r="H45" s="32" t="str">
        <x:v>Replicated</x:v>
      </x:c>
      <x:c r="I45" s="32" t="n">
        <x:f>1</x:f>
        <x:v>1</x:v>
      </x:c>
      <x:c r="J45" s="33" t="n">
        <x:f>E45*F45*G45/1073741824</x:f>
        <x:v>0.00003814697265625</x:v>
      </x:c>
      <x:c r="K45" s="33" t="n">
        <x:f>J45/I45</x:f>
        <x:v>0.00003814697265625</x:v>
      </x:c>
      <x:c r="L45" s="29"/>
      <x:c r="M45" s="29"/>
      <x:c r="N45" s="29"/>
      <x:c r="O45" s="29"/>
      <x:c r="P45" s="29"/>
    </x:row>
    <x:row r="46" ht="30" customHeight="1">
      <x:c r="A46" s="29" t="str">
        <x:v>Indexer</x:v>
      </x:c>
      <x:c r="B46" s="40" t="str">
        <x:v>layers.N.attn.indexer.weights_proj.weight</x:v>
      </x:c>
      <x:c r="C46" s="29" t="str">
        <x:v>[32, 5120]</x:v>
      </x:c>
      <x:c r="D46" s="29" t="str">
        <x:v>BF16</x:v>
      </x:c>
      <x:c r="E46" s="31" t="n">
        <x:v>2</x:v>
      </x:c>
      <x:c r="F46" s="32" t="n">
        <x:v>8</x:v>
      </x:c>
      <x:c r="G46" s="32" t="n">
        <x:v>163840</x:v>
      </x:c>
      <x:c r="H46" s="32" t="str">
        <x:v>Replicated</x:v>
      </x:c>
      <x:c r="I46" s="32" t="n">
        <x:f>1</x:f>
        <x:v>1</x:v>
      </x:c>
      <x:c r="J46" s="33" t="n">
        <x:f>E46*F46*G46/1073741824</x:f>
        <x:v>0.00244140625</x:v>
      </x:c>
      <x:c r="K46" s="33" t="n">
        <x:f>J46/I46</x:f>
        <x:v>0.00244140625</x:v>
      </x:c>
      <x:c r="L46" s="29"/>
      <x:c r="M46" s="29"/>
      <x:c r="N46" s="29"/>
      <x:c r="O46" s="29"/>
      <x:c r="P46" s="29"/>
    </x:row>
    <x:row r="47" ht="30" customHeight="1">
      <x:c r="A47" s="29" t="str">
        <x:v>Indexer K</x:v>
      </x:c>
      <x:c r="B47" s="40" t="str">
        <x:v>layers.N.attn.indexer.wk.weight</x:v>
      </x:c>
      <x:c r="C47" s="29" t="str">
        <x:v>[128, 512]</x:v>
      </x:c>
      <x:c r="D47" s="29" t="str">
        <x:v>BF16</x:v>
      </x:c>
      <x:c r="E47" s="31" t="n">
        <x:v>2</x:v>
      </x:c>
      <x:c r="F47" s="32" t="n">
        <x:v>4</x:v>
      </x:c>
      <x:c r="G47" s="32" t="n">
        <x:v>65536</x:v>
      </x:c>
      <x:c r="H47" s="32" t="str">
        <x:v>Replicated</x:v>
      </x:c>
      <x:c r="I47" s="32" t="n">
        <x:f>1</x:f>
        <x:v>1</x:v>
      </x:c>
      <x:c r="J47" s="33" t="n">
        <x:f>E47*F47*G47/1073741824</x:f>
        <x:v>0.00048828125</x:v>
      </x:c>
      <x:c r="K47" s="33" t="n">
        <x:f>J47/I47</x:f>
        <x:v>0.00048828125</x:v>
      </x:c>
      <x:c r="L47" s="29"/>
      <x:c r="M47" s="29"/>
      <x:c r="N47" s="29"/>
      <x:c r="O47" s="29"/>
      <x:c r="P47" s="29"/>
    </x:row>
    <x:row r="48" ht="30" customHeight="1">
      <x:c r="A48" s="29" t="str">
        <x:v>Indexer K</x:v>
      </x:c>
      <x:c r="B48" s="40" t="str">
        <x:v>layers.N.attn.indexer.k_norm.weight</x:v>
      </x:c>
      <x:c r="C48" s="29" t="str">
        <x:v>[128]</x:v>
      </x:c>
      <x:c r="D48" s="29" t="str">
        <x:v>BF16</x:v>
      </x:c>
      <x:c r="E48" s="31" t="n">
        <x:v>2</x:v>
      </x:c>
      <x:c r="F48" s="32" t="n">
        <x:v>4</x:v>
      </x:c>
      <x:c r="G48" s="32" t="n">
        <x:v>128</x:v>
      </x:c>
      <x:c r="H48" s="32" t="str">
        <x:v>Replicated</x:v>
      </x:c>
      <x:c r="I48" s="32" t="n">
        <x:f>1</x:f>
        <x:v>1</x:v>
      </x:c>
      <x:c r="J48" s="33" t="n">
        <x:f>E48*F48*G48/1073741824</x:f>
        <x:v>9.5367431640625e-7</x:v>
      </x:c>
      <x:c r="K48" s="33" t="n">
        <x:f>J48/I48</x:f>
        <x:v>9.5367431640625e-7</x:v>
      </x:c>
      <x:c r="L48" s="29"/>
      <x:c r="M48" s="29"/>
      <x:c r="N48" s="29"/>
      <x:c r="O48" s="45" t="str">
        <x:v>VA 缓存 / Engram 存储</x:v>
      </x:c>
      <x:c r="P48" s="45" t="str">
        <x:v>GiB / Rank</x:v>
      </x:c>
    </x:row>
    <x:row r="49" ht="30" customHeight="1">
      <x:c r="A49" s="29" t="str">
        <x:v>Engram Table</x:v>
      </x:c>
      <x:c r="B49" s="40" t="str">
        <x:v>layers.1.engram.embed.weight</x:v>
      </x:c>
      <x:c r="C49" s="29" t="str">
        <x:v>[384006168, 256]</x:v>
      </x:c>
      <x:c r="D49" s="29" t="str">
        <x:v>FP8 E4M3</x:v>
      </x:c>
      <x:c r="E49" s="31" t="n">
        <x:v>1</x:v>
      </x:c>
      <x:c r="F49" s="32" t="n">
        <x:v>1</x:v>
      </x:c>
      <x:c r="G49" s="32" t="n">
        <x:v>98305579008</x:v>
      </x:c>
      <x:c r="H49" s="32" t="str">
        <x:v>节点内均摊（源格式）</x:v>
      </x:c>
      <x:c r="I49" s="32" t="n">
        <x:f>'Decode'!$P$37</x:f>
        <x:v>8</x:v>
      </x:c>
      <x:c r="J49" s="33" t="n">
        <x:f>E49*F49*G49/1073741824</x:f>
        <x:v>91.5542049407959</x:v>
      </x:c>
      <x:c r="K49" s="33" t="n">
        <x:f>J49/I49</x:f>
        <x:v>11.444275617599487</x:v>
      </x:c>
      <x:c r="L49" s="29"/>
      <x:c r="M49" s="29"/>
      <x:c r="N49" s="29"/>
      <x:c r="O49" s="29" t="str">
        <x:v>长 KV + Index（每 Rank）</x:v>
      </x:c>
      <x:c r="P49" s="33" t="n">
        <x:f>(3*INT('Decode'!$P$4/2)+'Decode'!$P$4)*(512*2+128+2)*'Decode'!$P$41/2^30</x:f>
        <x:v>11.26953125</x:v>
      </x:c>
    </x:row>
    <x:row r="50" ht="30" customHeight="1">
      <x:c r="A50" s="29" t="str">
        <x:v>Engram Table</x:v>
      </x:c>
      <x:c r="B50" s="40" t="str">
        <x:v>layers.1.engram.embed.scale</x:v>
      </x:c>
      <x:c r="C50" s="29" t="str">
        <x:v>[384006168, 8]</x:v>
      </x:c>
      <x:c r="D50" s="29" t="str">
        <x:v>E8M0</x:v>
      </x:c>
      <x:c r="E50" s="31" t="n">
        <x:v>1</x:v>
      </x:c>
      <x:c r="F50" s="32" t="n">
        <x:v>1</x:v>
      </x:c>
      <x:c r="G50" s="32" t="n">
        <x:v>3072049344</x:v>
      </x:c>
      <x:c r="H50" s="32" t="str">
        <x:v>节点内均摊（源格式）</x:v>
      </x:c>
      <x:c r="I50" s="32" t="n">
        <x:f>'Decode'!$P$37</x:f>
        <x:v>8</x:v>
      </x:c>
      <x:c r="J50" s="33" t="n">
        <x:f>E50*F50*G50/1073741824</x:f>
        <x:v>2.861068904399872</x:v>
      </x:c>
      <x:c r="K50" s="33" t="n">
        <x:f>J50/I50</x:f>
        <x:v>0.357633613049984</x:v>
      </x:c>
      <x:c r="L50" s="29"/>
      <x:c r="M50" s="29"/>
      <x:c r="N50" s="29"/>
      <x:c r="O50" s="29" t="str">
        <x:v>SWA 保留载荷（每 Rank）</x:v>
      </x:c>
      <x:c r="P50" s="33" t="n">
        <x:f>40*MIN('Decode'!$P$4,128)*512*2*'Decode'!$P$41/2^30</x:f>
        <x:v>0.078125</x:v>
      </x:c>
    </x:row>
    <x:row r="51" ht="30" customHeight="1">
      <x:c r="A51" s="29" t="str">
        <x:v>Engram Table</x:v>
      </x:c>
      <x:c r="B51" s="40" t="str">
        <x:v>layers.14.engram.embed.weight</x:v>
      </x:c>
      <x:c r="C51" s="29" t="str">
        <x:v>[384016682, 256]</x:v>
      </x:c>
      <x:c r="D51" s="29" t="str">
        <x:v>FP8 E4M3</x:v>
      </x:c>
      <x:c r="E51" s="31" t="n">
        <x:v>1</x:v>
      </x:c>
      <x:c r="F51" s="32" t="n">
        <x:v>1</x:v>
      </x:c>
      <x:c r="G51" s="32" t="n">
        <x:v>98308270592</x:v>
      </x:c>
      <x:c r="H51" s="32" t="str">
        <x:v>节点内均摊（源格式）</x:v>
      </x:c>
      <x:c r="I51" s="32" t="n">
        <x:f>'Decode'!$P$37</x:f>
        <x:v>8</x:v>
      </x:c>
      <x:c r="J51" s="33" t="n">
        <x:f>E51*F51*G51/1073741824</x:f>
        <x:v>91.55671167373657</x:v>
      </x:c>
      <x:c r="K51" s="33" t="n">
        <x:f>J51/I51</x:f>
        <x:v>11.444588959217072</x:v>
      </x:c>
      <x:c r="L51" s="29"/>
      <x:c r="M51" s="29"/>
      <x:c r="N51" s="29"/>
      <x:c r="O51" s="29" t="str">
        <x:v>C2 Ring（每 Rank）</x:v>
      </x:c>
      <x:c r="P51" s="33" t="n">
        <x:f>IF('Decode'!$P$4&gt;0,3*32*1024*4*'Decode'!$P$41/2^30,0)</x:f>
        <x:v>0.005859375</x:v>
      </x:c>
    </x:row>
    <x:row r="52" ht="30" customHeight="1">
      <x:c r="A52" s="29" t="str">
        <x:v>Engram Table</x:v>
      </x:c>
      <x:c r="B52" s="40" t="str">
        <x:v>layers.14.engram.embed.scale</x:v>
      </x:c>
      <x:c r="C52" s="29" t="str">
        <x:v>[384016682, 8]</x:v>
      </x:c>
      <x:c r="D52" s="29" t="str">
        <x:v>E8M0</x:v>
      </x:c>
      <x:c r="E52" s="31" t="n">
        <x:v>1</x:v>
      </x:c>
      <x:c r="F52" s="32" t="n">
        <x:v>1</x:v>
      </x:c>
      <x:c r="G52" s="32" t="n">
        <x:v>3072133456</x:v>
      </x:c>
      <x:c r="H52" s="32" t="str">
        <x:v>节点内均摊（源格式）</x:v>
      </x:c>
      <x:c r="I52" s="32" t="n">
        <x:f>'Decode'!$P$37</x:f>
        <x:v>8</x:v>
      </x:c>
      <x:c r="J52" s="33" t="n">
        <x:f>E52*F52*G52/1073741824</x:f>
        <x:v>2.861147239804268</x:v>
      </x:c>
      <x:c r="K52" s="33" t="n">
        <x:f>J52/I52</x:f>
        <x:v>0.3576434049755335</x:v>
      </x:c>
      <x:c r="L52" s="29"/>
      <x:c r="M52" s="29"/>
      <x:c r="N52" s="29"/>
      <x:c r="O52" s="29" t="str">
        <x:v>Engram BF16（节点内均摊）</x:v>
      </x:c>
      <x:c r="P52" s="33" t="n">
        <x:f>768022850*256*2/'Decode'!$P$37/2^30</x:f>
        <x:v>45.77772915363312</x:v>
      </x:c>
    </x:row>
    <x:row r="53" ht="30" customHeight="1">
      <x:c r="A53" s="29" t="str">
        <x:v>Engram Gate</x:v>
      </x:c>
      <x:c r="B53" s="40" t="str">
        <x:v>layers.N.engram.wkv.weight</x:v>
      </x:c>
      <x:c r="C53" s="29" t="str">
        <x:v>[25600, 6144]</x:v>
      </x:c>
      <x:c r="D53" s="29" t="str">
        <x:v>FP8 E4M3</x:v>
      </x:c>
      <x:c r="E53" s="31" t="n">
        <x:v>1</x:v>
      </x:c>
      <x:c r="F53" s="32" t="n">
        <x:v>2</x:v>
      </x:c>
      <x:c r="G53" s="32" t="n">
        <x:v>157286400</x:v>
      </x:c>
      <x:c r="H53" s="32" t="str">
        <x:v>Replicated</x:v>
      </x:c>
      <x:c r="I53" s="32" t="n">
        <x:f>1</x:f>
        <x:v>1</x:v>
      </x:c>
      <x:c r="J53" s="33" t="n">
        <x:f>E53*F53*G53/1073741824</x:f>
        <x:v>0.29296875</x:v>
      </x:c>
      <x:c r="K53" s="33" t="n">
        <x:f>J53/I53</x:f>
        <x:v>0.29296875</x:v>
      </x:c>
      <x:c r="L53" s="29"/>
      <x:c r="M53" s="29"/>
      <x:c r="N53" s="29"/>
      <x:c r="O53" s="29" t="str">
        <x:v>Engram INT8+F32 scale 均摊</x:v>
      </x:c>
      <x:c r="P53" s="33" t="n">
        <x:f>768022850*(256+8*4)/'Decode'!$P$37/2^30</x:f>
        <x:v>25.74997264891863</x:v>
      </x:c>
    </x:row>
    <x:row r="54" ht="30" customHeight="1">
      <x:c r="A54" s="29" t="str">
        <x:v>Engram Gate</x:v>
      </x:c>
      <x:c r="B54" s="40" t="str">
        <x:v>layers.N.engram.wkv.scale</x:v>
      </x:c>
      <x:c r="C54" s="29" t="str">
        <x:v>[800, 192]</x:v>
      </x:c>
      <x:c r="D54" s="29" t="str">
        <x:v>E8M0</x:v>
      </x:c>
      <x:c r="E54" s="31" t="n">
        <x:v>1</x:v>
      </x:c>
      <x:c r="F54" s="32" t="n">
        <x:v>2</x:v>
      </x:c>
      <x:c r="G54" s="32" t="n">
        <x:v>153600</x:v>
      </x:c>
      <x:c r="H54" s="32" t="str">
        <x:v>Replicated</x:v>
      </x:c>
      <x:c r="I54" s="32" t="n">
        <x:f>1</x:f>
        <x:v>1</x:v>
      </x:c>
      <x:c r="J54" s="33" t="n">
        <x:f>E54*F54*G54/1073741824</x:f>
        <x:v>0.000286102294921875</x:v>
      </x:c>
      <x:c r="K54" s="33" t="n">
        <x:f>J54/I54</x:f>
        <x:v>0.000286102294921875</x:v>
      </x:c>
      <x:c r="L54" s="29"/>
      <x:c r="M54" s="29"/>
      <x:c r="N54" s="29"/>
      <x:c r="O54" s="29" t="str">
        <x:v>Engram FP8+E8M0（CPU 均摊）</x:v>
      </x:c>
      <x:c r="P54" s="33" t="n">
        <x:f>768022850*(256+8)/'Decode'!$P$37/2^30</x:f>
        <x:v>23.604141594842076</x:v>
      </x:c>
    </x:row>
    <x:row r="55" ht="30" customHeight="1">
      <x:c r="A55" s="29" t="str">
        <x:v>Engram Gate</x:v>
      </x:c>
      <x:c r="B55" s="40" t="str">
        <x:v>layers.N.engram.q_weight</x:v>
      </x:c>
      <x:c r="C55" s="29" t="str">
        <x:v>[4, 5120]</x:v>
      </x:c>
      <x:c r="D55" s="29" t="str">
        <x:v>BF16</x:v>
      </x:c>
      <x:c r="E55" s="31" t="n">
        <x:v>2</x:v>
      </x:c>
      <x:c r="F55" s="32" t="n">
        <x:v>2</x:v>
      </x:c>
      <x:c r="G55" s="32" t="n">
        <x:v>20480</x:v>
      </x:c>
      <x:c r="H55" s="32" t="str">
        <x:v>Replicated</x:v>
      </x:c>
      <x:c r="I55" s="32" t="n">
        <x:f>1</x:f>
        <x:v>1</x:v>
      </x:c>
      <x:c r="J55" s="33" t="n">
        <x:f>E55*F55*G55/1073741824</x:f>
        <x:v>0.0000762939453125</x:v>
      </x:c>
      <x:c r="K55" s="33" t="n">
        <x:f>J55/I55</x:f>
        <x:v>0.0000762939453125</x:v>
      </x:c>
      <x:c r="L55" s="29"/>
      <x:c r="M55" s="29"/>
      <x:c r="N55" s="29"/>
      <x:c r="O55" s="29"/>
      <x:c r="P55" s="29"/>
    </x:row>
    <x:row r="56" ht="46" customHeight="1">
      <x:c r="A56" s="29" t="str">
        <x:v>Engram Gate</x:v>
      </x:c>
      <x:c r="B56" s="40" t="str">
        <x:v>layers.N.engram.k_weight</x:v>
      </x:c>
      <x:c r="C56" s="29" t="str">
        <x:v>[4, 5120]</x:v>
      </x:c>
      <x:c r="D56" s="29" t="str">
        <x:v>BF16</x:v>
      </x:c>
      <x:c r="E56" s="31" t="n">
        <x:v>2</x:v>
      </x:c>
      <x:c r="F56" s="32" t="n">
        <x:v>2</x:v>
      </x:c>
      <x:c r="G56" s="32" t="n">
        <x:v>20480</x:v>
      </x:c>
      <x:c r="H56" s="32" t="str">
        <x:v>Replicated</x:v>
      </x:c>
      <x:c r="I56" s="32" t="n">
        <x:f>1</x:f>
        <x:v>1</x:v>
      </x:c>
      <x:c r="J56" s="33" t="n">
        <x:f>E56*F56*G56/1073741824</x:f>
        <x:v>0.0000762939453125</x:v>
      </x:c>
      <x:c r="K56" s="33" t="n">
        <x:f>J56/I56</x:f>
        <x:v>0.0000762939453125</x:v>
      </x:c>
      <x:c r="L56" s="29"/>
      <x:c r="M56" s="29"/>
      <x:c r="N56" s="29"/>
      <x:c r="O56" s="43" t="str">
        <x:v>权重使用官方源格式；不等于 VA 驻留字节。两阶段各含全部权重及 DSpark。</x:v>
      </x:c>
      <x:c r="P56" s="43"/>
    </x:row>
    <x:row r="57" ht="46" customHeight="1">
      <x:c r="A57" s="29" t="str">
        <x:v>DSpark</x:v>
      </x:c>
      <x:c r="B57" s="40" t="str">
        <x:v>mtp.N.attn.attn_sink</x:v>
      </x:c>
      <x:c r="C57" s="29" t="str">
        <x:v>[64]</x:v>
      </x:c>
      <x:c r="D57" s="29" t="str">
        <x:v>F32</x:v>
      </x:c>
      <x:c r="E57" s="31" t="n">
        <x:v>4</x:v>
      </x:c>
      <x:c r="F57" s="32" t="n">
        <x:v>3</x:v>
      </x:c>
      <x:c r="G57" s="32" t="n">
        <x:v>64</x:v>
      </x:c>
      <x:c r="H57" s="32" t="str">
        <x:v>DSA CP / TP</x:v>
      </x:c>
      <x:c r="I57" s="32" t="n">
        <x:f>IF('Decode'!$P$25&lt;&gt;0,1,'Decode'!$P$12)</x:f>
        <x:v>1</x:v>
      </x:c>
      <x:c r="J57" s="33" t="n">
        <x:f>E57*F57*G57/1073741824</x:f>
        <x:v>7.152557373046875e-7</x:v>
      </x:c>
      <x:c r="K57" s="33" t="n">
        <x:f>J57/I57</x:f>
        <x:v>7.152557373046875e-7</x:v>
      </x:c>
      <x:c r="L57" s="29"/>
      <x:c r="M57" s="29"/>
      <x:c r="N57" s="29"/>
      <x:c r="O57" s="43" t="str">
        <x:v>通信只覆盖表中事件。未合计 LM Head、Embedding、draft、MoE 元数据或设备同步。</x:v>
      </x:c>
      <x:c r="P57" s="43"/>
    </x:row>
    <x:row r="58" ht="46" customHeight="1">
      <x:c r="A58" s="29" t="str">
        <x:v>DSpark</x:v>
      </x:c>
      <x:c r="B58" s="40" t="str">
        <x:v>mtp.N.attn.wq_a.weight</x:v>
      </x:c>
      <x:c r="C58" s="29" t="str">
        <x:v>[1280, 5120]</x:v>
      </x:c>
      <x:c r="D58" s="29" t="str">
        <x:v>FP8 E4M3</x:v>
      </x:c>
      <x:c r="E58" s="31" t="n">
        <x:v>1</x:v>
      </x:c>
      <x:c r="F58" s="32" t="n">
        <x:v>3</x:v>
      </x:c>
      <x:c r="G58" s="32" t="n">
        <x:v>6553600</x:v>
      </x:c>
      <x:c r="H58" s="32" t="str">
        <x:v>Replicated</x:v>
      </x:c>
      <x:c r="I58" s="32" t="n">
        <x:f>1</x:f>
        <x:v>1</x:v>
      </x:c>
      <x:c r="J58" s="33" t="n">
        <x:f>E58*F58*G58/1073741824</x:f>
        <x:v>0.018310546875</x:v>
      </x:c>
      <x:c r="K58" s="33" t="n">
        <x:f>J58/I58</x:f>
        <x:v>0.018310546875</x:v>
      </x:c>
      <x:c r="L58" s="29"/>
      <x:c r="M58" s="29"/>
      <x:c r="N58" s="29"/>
      <x:c r="O58" s="43" t="str">
        <x:v>Ring/Tree 是显式基准；EP/Owner 为均匀路由期望。不同通信域不合计。</x:v>
      </x:c>
      <x:c r="P58" s="43"/>
    </x:row>
    <x:row r="59" ht="46" customHeight="1">
      <x:c r="A59" s="29" t="str">
        <x:v>DSpark</x:v>
      </x:c>
      <x:c r="B59" s="40" t="str">
        <x:v>mtp.N.attn.wq_a.scale</x:v>
      </x:c>
      <x:c r="C59" s="29" t="str">
        <x:v>[40, 160]</x:v>
      </x:c>
      <x:c r="D59" s="29" t="str">
        <x:v>E8M0</x:v>
      </x:c>
      <x:c r="E59" s="31" t="n">
        <x:v>1</x:v>
      </x:c>
      <x:c r="F59" s="32" t="n">
        <x:v>3</x:v>
      </x:c>
      <x:c r="G59" s="32" t="n">
        <x:v>6400</x:v>
      </x:c>
      <x:c r="H59" s="32" t="str">
        <x:v>Replicated</x:v>
      </x:c>
      <x:c r="I59" s="32" t="n">
        <x:f>1</x:f>
        <x:v>1</x:v>
      </x:c>
      <x:c r="J59" s="33" t="n">
        <x:f>E59*F59*G59/1073741824</x:f>
        <x:v>0.000017881393432617188</x:v>
      </x:c>
      <x:c r="K59" s="33" t="n">
        <x:f>J59/I59</x:f>
        <x:v>0.000017881393432617188</x:v>
      </x:c>
      <x:c r="L59" s="29"/>
      <x:c r="M59" s="29"/>
      <x:c r="N59" s="29"/>
      <x:c r="O59" s="43" t="str">
        <x:v>SP 下共享专家复制；Indexer 本地选 TopK。这两项无独立 Gather。</x:v>
      </x:c>
      <x:c r="P59" s="43"/>
    </x:row>
    <x:row r="60" ht="46" customHeight="1">
      <x:c r="A60" s="29" t="str">
        <x:v>DSpark</x:v>
      </x:c>
      <x:c r="B60" s="40" t="str">
        <x:v>mtp.N.attn.wq_b.weight</x:v>
      </x:c>
      <x:c r="C60" s="29" t="str">
        <x:v>[32768, 1280]</x:v>
      </x:c>
      <x:c r="D60" s="29" t="str">
        <x:v>FP8 E4M3</x:v>
      </x:c>
      <x:c r="E60" s="31" t="n">
        <x:v>1</x:v>
      </x:c>
      <x:c r="F60" s="32" t="n">
        <x:v>3</x:v>
      </x:c>
      <x:c r="G60" s="32" t="n">
        <x:v>41943040</x:v>
      </x:c>
      <x:c r="H60" s="32" t="str">
        <x:v>DSA CP / TP</x:v>
      </x:c>
      <x:c r="I60" s="32" t="n">
        <x:f>IF('Decode'!$P$25&lt;&gt;0,1,'Decode'!$P$12)</x:f>
        <x:v>1</x:v>
      </x:c>
      <x:c r="J60" s="33" t="n">
        <x:f>E60*F60*G60/1073741824</x:f>
        <x:v>0.1171875</x:v>
      </x:c>
      <x:c r="K60" s="33" t="n">
        <x:f>J60/I60</x:f>
        <x:v>0.1171875</x:v>
      </x:c>
      <x:c r="L60" s="29"/>
      <x:c r="M60" s="29"/>
      <x:c r="N60" s="29"/>
      <x:c r="O60" s="43" t="str">
        <x:v>缓存按输入长度×缓存案例请求数；表示完整请求保留载荷，非 Step 或 P→D 流量。</x:v>
      </x:c>
      <x:c r="P60" s="43"/>
    </x:row>
    <x:row r="61" ht="46" customHeight="1">
      <x:c r="A61" s="29" t="str">
        <x:v>DSpark</x:v>
      </x:c>
      <x:c r="B61" s="40" t="str">
        <x:v>mtp.N.attn.wq_b.scale</x:v>
      </x:c>
      <x:c r="C61" s="29" t="str">
        <x:v>[1024, 40]</x:v>
      </x:c>
      <x:c r="D61" s="29" t="str">
        <x:v>E8M0</x:v>
      </x:c>
      <x:c r="E61" s="31" t="n">
        <x:v>1</x:v>
      </x:c>
      <x:c r="F61" s="32" t="n">
        <x:v>3</x:v>
      </x:c>
      <x:c r="G61" s="32" t="n">
        <x:v>40960</x:v>
      </x:c>
      <x:c r="H61" s="32" t="str">
        <x:v>DSA CP / TP</x:v>
      </x:c>
      <x:c r="I61" s="32" t="n">
        <x:f>IF('Decode'!$P$25&lt;&gt;0,1,'Decode'!$P$12)</x:f>
        <x:v>1</x:v>
      </x:c>
      <x:c r="J61" s="33" t="n">
        <x:f>E61*F61*G61/1073741824</x:f>
        <x:v>0.00011444091796875</x:v>
      </x:c>
      <x:c r="K61" s="33" t="n">
        <x:f>J61/I61</x:f>
        <x:v>0.00011444091796875</x:v>
      </x:c>
      <x:c r="L61" s="29"/>
      <x:c r="M61" s="29"/>
      <x:c r="N61" s="29"/>
      <x:c r="O61" s="43" t="str">
        <x:v>长缓存全 TP 复制。物理分配含 padding；每全局 ID 为 540928 B，不能按层数再乘。</x:v>
      </x:c>
      <x:c r="P61" s="43"/>
    </x:row>
    <x:row r="62" ht="46" customHeight="1">
      <x:c r="A62" s="29" t="str">
        <x:v>DSpark</x:v>
      </x:c>
      <x:c r="B62" s="40" t="str">
        <x:v>mtp.N.attn.wkv.weight</x:v>
      </x:c>
      <x:c r="C62" s="29" t="str">
        <x:v>[512, 5120]</x:v>
      </x:c>
      <x:c r="D62" s="29" t="str">
        <x:v>FP8 E4M3</x:v>
      </x:c>
      <x:c r="E62" s="31" t="n">
        <x:v>1</x:v>
      </x:c>
      <x:c r="F62" s="32" t="n">
        <x:v>3</x:v>
      </x:c>
      <x:c r="G62" s="32" t="n">
        <x:v>2621440</x:v>
      </x:c>
      <x:c r="H62" s="32" t="str">
        <x:v>Replicated</x:v>
      </x:c>
      <x:c r="I62" s="32" t="n">
        <x:f>1</x:f>
        <x:v>1</x:v>
      </x:c>
      <x:c r="J62" s="33" t="n">
        <x:f>E62*F62*G62/1073741824</x:f>
        <x:v>0.00732421875</x:v>
      </x:c>
      <x:c r="K62" s="33" t="n">
        <x:f>J62/I62</x:f>
        <x:v>0.00732421875</x:v>
      </x:c>
      <x:c r="L62" s="29"/>
      <x:c r="M62" s="29"/>
      <x:c r="N62" s="29"/>
      <x:c r="O62" s="43" t="str">
        <x:v>Engram 三种存储为可选表示。默认返回 BF16；FP8/MXFP8 表在 CPU。</x:v>
      </x:c>
      <x:c r="P62" s="43"/>
    </x:row>
    <x:row r="63" ht="46" customHeight="1">
      <x:c r="A63" s="29" t="str">
        <x:v>DSpark</x:v>
      </x:c>
      <x:c r="B63" s="40" t="str">
        <x:v>mtp.N.attn.wkv.scale</x:v>
      </x:c>
      <x:c r="C63" s="29" t="str">
        <x:v>[16, 160]</x:v>
      </x:c>
      <x:c r="D63" s="29" t="str">
        <x:v>E8M0</x:v>
      </x:c>
      <x:c r="E63" s="31" t="n">
        <x:v>1</x:v>
      </x:c>
      <x:c r="F63" s="32" t="n">
        <x:v>3</x:v>
      </x:c>
      <x:c r="G63" s="32" t="n">
        <x:v>2560</x:v>
      </x:c>
      <x:c r="H63" s="32" t="str">
        <x:v>Replicated</x:v>
      </x:c>
      <x:c r="I63" s="32" t="n">
        <x:f>1</x:f>
        <x:v>1</x:v>
      </x:c>
      <x:c r="J63" s="33" t="n">
        <x:f>E63*F63*G63/1073741824</x:f>
        <x:v>0.000007152557373046875</x:v>
      </x:c>
      <x:c r="K63" s="33" t="n">
        <x:f>J63/I63</x:f>
        <x:v>0.000007152557373046875</x:v>
      </x:c>
      <x:c r="L63" s="29"/>
      <x:c r="M63" s="29"/>
      <x:c r="N63" s="29"/>
      <x:c r="O63" s="43" t="str">
        <x:v>范围：EP=TP×DP；TP 留在节点内；PP=PCP=DCP=1；SP=0 时本表仅建模 TP=1。</x:v>
      </x:c>
      <x:c r="P63" s="43"/>
    </x:row>
    <x:row r="64" ht="46" customHeight="1">
      <x:c r="A64" s="29" t="str">
        <x:v>DSpark</x:v>
      </x:c>
      <x:c r="B64" s="40" t="str">
        <x:v>mtp.N.attn.wo_a.weight</x:v>
      </x:c>
      <x:c r="C64" s="29" t="str">
        <x:v>[8192, 4096]</x:v>
      </x:c>
      <x:c r="D64" s="29" t="str">
        <x:v>FP8 E4M3</x:v>
      </x:c>
      <x:c r="E64" s="31" t="n">
        <x:v>1</x:v>
      </x:c>
      <x:c r="F64" s="32" t="n">
        <x:v>3</x:v>
      </x:c>
      <x:c r="G64" s="32" t="n">
        <x:v>33554432</x:v>
      </x:c>
      <x:c r="H64" s="32" t="str">
        <x:v>TP</x:v>
      </x:c>
      <x:c r="I64" s="32" t="n">
        <x:f>'Decode'!$P$12</x:f>
        <x:v>1</x:v>
      </x:c>
      <x:c r="J64" s="33" t="n">
        <x:f>E64*F64*G64/1073741824</x:f>
        <x:v>0.09375</x:v>
      </x:c>
      <x:c r="K64" s="33" t="n">
        <x:f>J64/I64</x:f>
        <x:v>0.09375</x:v>
      </x:c>
      <x:c r="L64" s="29"/>
      <x:c r="M64" s="29"/>
      <x:c r="N64" s="29"/>
      <x:c r="O64" s="43" t="str">
        <x:v>投机步数默认 0。启用 DSpark 后，当前表仅扩大 target Token，draft 通信需另加。</x:v>
      </x:c>
      <x:c r="P64" s="43"/>
    </x:row>
    <x:row r="65" ht="30" customHeight="1">
      <x:c r="A65" s="29" t="str">
        <x:v>DSpark</x:v>
      </x:c>
      <x:c r="B65" s="40" t="str">
        <x:v>mtp.N.attn.wo_a.scale</x:v>
      </x:c>
      <x:c r="C65" s="29" t="str">
        <x:v>[256, 128]</x:v>
      </x:c>
      <x:c r="D65" s="29" t="str">
        <x:v>E8M0</x:v>
      </x:c>
      <x:c r="E65" s="31" t="n">
        <x:v>1</x:v>
      </x:c>
      <x:c r="F65" s="32" t="n">
        <x:v>3</x:v>
      </x:c>
      <x:c r="G65" s="32" t="n">
        <x:v>32768</x:v>
      </x:c>
      <x:c r="H65" s="32" t="str">
        <x:v>TP</x:v>
      </x:c>
      <x:c r="I65" s="32" t="n">
        <x:f>'Decode'!$P$12</x:f>
        <x:v>1</x:v>
      </x:c>
      <x:c r="J65" s="33" t="n">
        <x:f>E65*F65*G65/1073741824</x:f>
        <x:v>0.000091552734375</x:v>
      </x:c>
      <x:c r="K65" s="33" t="n">
        <x:f>J65/I65</x:f>
        <x:v>0.000091552734375</x:v>
      </x:c>
      <x:c r="L65" s="29"/>
      <x:c r="M65" s="29"/>
      <x:c r="N65" s="29"/>
      <x:c r="O65" s="29"/>
      <x:c r="P65" s="29"/>
    </x:row>
    <x:row r="66" ht="30" customHeight="1">
      <x:c r="A66" s="29" t="str">
        <x:v>DSpark</x:v>
      </x:c>
      <x:c r="B66" s="40" t="str">
        <x:v>mtp.N.attn.wo_b.weight</x:v>
      </x:c>
      <x:c r="C66" s="29" t="str">
        <x:v>[5120, 8192]</x:v>
      </x:c>
      <x:c r="D66" s="29" t="str">
        <x:v>FP8 E4M3</x:v>
      </x:c>
      <x:c r="E66" s="31" t="n">
        <x:v>1</x:v>
      </x:c>
      <x:c r="F66" s="32" t="n">
        <x:v>3</x:v>
      </x:c>
      <x:c r="G66" s="32" t="n">
        <x:v>41943040</x:v>
      </x:c>
      <x:c r="H66" s="32" t="str">
        <x:v>TP</x:v>
      </x:c>
      <x:c r="I66" s="32" t="n">
        <x:f>'Decode'!$P$12</x:f>
        <x:v>1</x:v>
      </x:c>
      <x:c r="J66" s="33" t="n">
        <x:f>E66*F66*G66/1073741824</x:f>
        <x:v>0.1171875</x:v>
      </x:c>
      <x:c r="K66" s="33" t="n">
        <x:f>J66/I66</x:f>
        <x:v>0.1171875</x:v>
      </x:c>
      <x:c r="L66" s="29"/>
      <x:c r="M66" s="29"/>
      <x:c r="N66" s="29"/>
      <x:c r="O66" s="29"/>
      <x:c r="P66" s="29"/>
    </x:row>
    <x:row r="67" ht="30" customHeight="1">
      <x:c r="A67" s="29" t="str">
        <x:v>DSpark</x:v>
      </x:c>
      <x:c r="B67" s="40" t="str">
        <x:v>mtp.N.attn.wo_b.scale</x:v>
      </x:c>
      <x:c r="C67" s="29" t="str">
        <x:v>[160, 256]</x:v>
      </x:c>
      <x:c r="D67" s="29" t="str">
        <x:v>E8M0</x:v>
      </x:c>
      <x:c r="E67" s="31" t="n">
        <x:v>1</x:v>
      </x:c>
      <x:c r="F67" s="32" t="n">
        <x:v>3</x:v>
      </x:c>
      <x:c r="G67" s="32" t="n">
        <x:v>40960</x:v>
      </x:c>
      <x:c r="H67" s="32" t="str">
        <x:v>TP</x:v>
      </x:c>
      <x:c r="I67" s="32" t="n">
        <x:f>'Decode'!$P$12</x:f>
        <x:v>1</x:v>
      </x:c>
      <x:c r="J67" s="33" t="n">
        <x:f>E67*F67*G67/1073741824</x:f>
        <x:v>0.00011444091796875</x:v>
      </x:c>
      <x:c r="K67" s="33" t="n">
        <x:f>J67/I67</x:f>
        <x:v>0.00011444091796875</x:v>
      </x:c>
      <x:c r="L67" s="29"/>
      <x:c r="M67" s="29"/>
      <x:c r="N67" s="29"/>
      <x:c r="O67" s="29"/>
      <x:c r="P67" s="29"/>
    </x:row>
    <x:row r="68" ht="30" customHeight="1">
      <x:c r="A68" s="29" t="str">
        <x:v>DSpark</x:v>
      </x:c>
      <x:c r="B68" s="40" t="str">
        <x:v>mtp.N.attn.q_norm.weight</x:v>
      </x:c>
      <x:c r="C68" s="29" t="str">
        <x:v>[1280]</x:v>
      </x:c>
      <x:c r="D68" s="29" t="str">
        <x:v>BF16</x:v>
      </x:c>
      <x:c r="E68" s="31" t="n">
        <x:v>2</x:v>
      </x:c>
      <x:c r="F68" s="32" t="n">
        <x:v>3</x:v>
      </x:c>
      <x:c r="G68" s="32" t="n">
        <x:v>1280</x:v>
      </x:c>
      <x:c r="H68" s="32" t="str">
        <x:v>Replicated</x:v>
      </x:c>
      <x:c r="I68" s="32" t="n">
        <x:f>1</x:f>
        <x:v>1</x:v>
      </x:c>
      <x:c r="J68" s="33" t="n">
        <x:f>E68*F68*G68/1073741824</x:f>
        <x:v>0.000007152557373046875</x:v>
      </x:c>
      <x:c r="K68" s="33" t="n">
        <x:f>J68/I68</x:f>
        <x:v>0.000007152557373046875</x:v>
      </x:c>
      <x:c r="L68" s="29"/>
      <x:c r="M68" s="29"/>
      <x:c r="N68" s="29"/>
      <x:c r="O68" s="29"/>
      <x:c r="P68" s="29"/>
    </x:row>
    <x:row r="69" ht="30" customHeight="1">
      <x:c r="A69" s="29" t="str">
        <x:v>DSpark</x:v>
      </x:c>
      <x:c r="B69" s="40" t="str">
        <x:v>mtp.N.attn.kv_norm.weight</x:v>
      </x:c>
      <x:c r="C69" s="29" t="str">
        <x:v>[512]</x:v>
      </x:c>
      <x:c r="D69" s="29" t="str">
        <x:v>BF16</x:v>
      </x:c>
      <x:c r="E69" s="31" t="n">
        <x:v>2</x:v>
      </x:c>
      <x:c r="F69" s="32" t="n">
        <x:v>3</x:v>
      </x:c>
      <x:c r="G69" s="32" t="n">
        <x:v>512</x:v>
      </x:c>
      <x:c r="H69" s="32" t="str">
        <x:v>Replicated</x:v>
      </x:c>
      <x:c r="I69" s="32" t="n">
        <x:f>1</x:f>
        <x:v>1</x:v>
      </x:c>
      <x:c r="J69" s="33" t="n">
        <x:f>E69*F69*G69/1073741824</x:f>
        <x:v>0.00000286102294921875</x:v>
      </x:c>
      <x:c r="K69" s="33" t="n">
        <x:f>J69/I69</x:f>
        <x:v>0.00000286102294921875</x:v>
      </x:c>
      <x:c r="L69" s="29"/>
      <x:c r="M69" s="29"/>
      <x:c r="N69" s="29"/>
      <x:c r="O69" s="29"/>
      <x:c r="P69" s="29"/>
    </x:row>
    <x:row r="70" ht="30" customHeight="1">
      <x:c r="A70" s="29" t="str">
        <x:v>DSpark</x:v>
      </x:c>
      <x:c r="B70" s="40" t="str">
        <x:v>mtp.N.attn_norm.weight</x:v>
      </x:c>
      <x:c r="C70" s="29" t="str">
        <x:v>[5120]</x:v>
      </x:c>
      <x:c r="D70" s="29" t="str">
        <x:v>BF16</x:v>
      </x:c>
      <x:c r="E70" s="31" t="n">
        <x:v>2</x:v>
      </x:c>
      <x:c r="F70" s="32" t="n">
        <x:v>3</x:v>
      </x:c>
      <x:c r="G70" s="32" t="n">
        <x:v>5120</x:v>
      </x:c>
      <x:c r="H70" s="32" t="str">
        <x:v>Replicated</x:v>
      </x:c>
      <x:c r="I70" s="32" t="n">
        <x:f>1</x:f>
        <x:v>1</x:v>
      </x:c>
      <x:c r="J70" s="33" t="n">
        <x:f>E70*F70*G70/1073741824</x:f>
        <x:v>0.0000286102294921875</x:v>
      </x:c>
      <x:c r="K70" s="33" t="n">
        <x:f>J70/I70</x:f>
        <x:v>0.0000286102294921875</x:v>
      </x:c>
      <x:c r="L70" s="29"/>
      <x:c r="M70" s="29"/>
      <x:c r="N70" s="29"/>
      <x:c r="O70" s="29"/>
      <x:c r="P70" s="29"/>
    </x:row>
    <x:row r="71" ht="30" customHeight="1">
      <x:c r="A71" s="29" t="str">
        <x:v>DSpark</x:v>
      </x:c>
      <x:c r="B71" s="40" t="str">
        <x:v>mtp.N.ffn_norm.weight</x:v>
      </x:c>
      <x:c r="C71" s="29" t="str">
        <x:v>[5120]</x:v>
      </x:c>
      <x:c r="D71" s="29" t="str">
        <x:v>BF16</x:v>
      </x:c>
      <x:c r="E71" s="31" t="n">
        <x:v>2</x:v>
      </x:c>
      <x:c r="F71" s="32" t="n">
        <x:v>3</x:v>
      </x:c>
      <x:c r="G71" s="32" t="n">
        <x:v>5120</x:v>
      </x:c>
      <x:c r="H71" s="32" t="str">
        <x:v>Replicated</x:v>
      </x:c>
      <x:c r="I71" s="32" t="n">
        <x:f>1</x:f>
        <x:v>1</x:v>
      </x:c>
      <x:c r="J71" s="33" t="n">
        <x:f>E71*F71*G71/1073741824</x:f>
        <x:v>0.0000286102294921875</x:v>
      </x:c>
      <x:c r="K71" s="33" t="n">
        <x:f>J71/I71</x:f>
        <x:v>0.0000286102294921875</x:v>
      </x:c>
      <x:c r="L71" s="29"/>
      <x:c r="M71" s="29"/>
      <x:c r="N71" s="29"/>
      <x:c r="O71" s="29"/>
      <x:c r="P71" s="29"/>
    </x:row>
    <x:row r="72" ht="30" customHeight="1">
      <x:c r="A72" s="29" t="str">
        <x:v>DSpark Router</x:v>
      </x:c>
      <x:c r="B72" s="40" t="str">
        <x:v>mtp.N.ffn.gate.weight</x:v>
      </x:c>
      <x:c r="C72" s="29" t="str">
        <x:v>[128, 5120]</x:v>
      </x:c>
      <x:c r="D72" s="29" t="str">
        <x:v>BF16</x:v>
      </x:c>
      <x:c r="E72" s="31" t="n">
        <x:v>2</x:v>
      </x:c>
      <x:c r="F72" s="32" t="n">
        <x:v>3</x:v>
      </x:c>
      <x:c r="G72" s="32" t="n">
        <x:v>655360</x:v>
      </x:c>
      <x:c r="H72" s="32" t="str">
        <x:v>Replicated</x:v>
      </x:c>
      <x:c r="I72" s="32" t="n">
        <x:f>1</x:f>
        <x:v>1</x:v>
      </x:c>
      <x:c r="J72" s="33" t="n">
        <x:f>E72*F72*G72/1073741824</x:f>
        <x:v>0.003662109375</x:v>
      </x:c>
      <x:c r="K72" s="33" t="n">
        <x:f>J72/I72</x:f>
        <x:v>0.003662109375</x:v>
      </x:c>
      <x:c r="L72" s="29"/>
      <x:c r="M72" s="29"/>
      <x:c r="N72" s="29"/>
      <x:c r="O72" s="29"/>
      <x:c r="P72" s="29"/>
    </x:row>
    <x:row r="73" ht="30" customHeight="1">
      <x:c r="A73" s="29" t="str">
        <x:v>DSpark Router</x:v>
      </x:c>
      <x:c r="B73" s="40" t="str">
        <x:v>mtp.N.ffn.gate.bias</x:v>
      </x:c>
      <x:c r="C73" s="29" t="str">
        <x:v>[128]</x:v>
      </x:c>
      <x:c r="D73" s="29" t="str">
        <x:v>F32</x:v>
      </x:c>
      <x:c r="E73" s="31" t="n">
        <x:v>4</x:v>
      </x:c>
      <x:c r="F73" s="32" t="n">
        <x:v>3</x:v>
      </x:c>
      <x:c r="G73" s="32" t="n">
        <x:v>128</x:v>
      </x:c>
      <x:c r="H73" s="32" t="str">
        <x:v>Replicated</x:v>
      </x:c>
      <x:c r="I73" s="32" t="n">
        <x:f>1</x:f>
        <x:v>1</x:v>
      </x:c>
      <x:c r="J73" s="33" t="n">
        <x:f>E73*F73*G73/1073741824</x:f>
        <x:v>0.000001430511474609375</x:v>
      </x:c>
      <x:c r="K73" s="33" t="n">
        <x:f>J73/I73</x:f>
        <x:v>0.000001430511474609375</x:v>
      </x:c>
      <x:c r="L73" s="29"/>
      <x:c r="M73" s="29"/>
      <x:c r="N73" s="29"/>
      <x:c r="O73" s="29"/>
      <x:c r="P73" s="29"/>
    </x:row>
    <x:row r="74" ht="30" customHeight="1">
      <x:c r="A74" s="29" t="str">
        <x:v>DSpark Router</x:v>
      </x:c>
      <x:c r="B74" s="40" t="str">
        <x:v>mtp.N.ffn.gate.bias_vl</x:v>
      </x:c>
      <x:c r="C74" s="29" t="str">
        <x:v>[128]</x:v>
      </x:c>
      <x:c r="D74" s="29" t="str">
        <x:v>F32</x:v>
      </x:c>
      <x:c r="E74" s="31" t="n">
        <x:v>4</x:v>
      </x:c>
      <x:c r="F74" s="32" t="n">
        <x:v>3</x:v>
      </x:c>
      <x:c r="G74" s="32" t="n">
        <x:v>128</x:v>
      </x:c>
      <x:c r="H74" s="32" t="str">
        <x:v>Replicated</x:v>
      </x:c>
      <x:c r="I74" s="32" t="n">
        <x:f>1</x:f>
        <x:v>1</x:v>
      </x:c>
      <x:c r="J74" s="33" t="n">
        <x:f>E74*F74*G74/1073741824</x:f>
        <x:v>0.000001430511474609375</x:v>
      </x:c>
      <x:c r="K74" s="33" t="n">
        <x:f>J74/I74</x:f>
        <x:v>0.000001430511474609375</x:v>
      </x:c>
      <x:c r="L74" s="29"/>
      <x:c r="M74" s="29"/>
      <x:c r="N74" s="29"/>
      <x:c r="O74" s="29"/>
      <x:c r="P74" s="29"/>
    </x:row>
    <x:row r="75" ht="30" customHeight="1">
      <x:c r="A75" s="29" t="str">
        <x:v>DSpark Experts</x:v>
      </x:c>
      <x:c r="B75" s="40" t="str">
        <x:v>mtp.N.ffn.experts.N.w1.weight</x:v>
      </x:c>
      <x:c r="C75" s="29" t="str">
        <x:v>[2304, 5120]</x:v>
      </x:c>
      <x:c r="D75" s="29" t="str">
        <x:v>FP4 E2M1</x:v>
      </x:c>
      <x:c r="E75" s="31" t="n">
        <x:v>0.5</x:v>
      </x:c>
      <x:c r="F75" s="32" t="n">
        <x:v>384</x:v>
      </x:c>
      <x:c r="G75" s="32" t="n">
        <x:v>11796480</x:v>
      </x:c>
      <x:c r="H75" s="32" t="str">
        <x:v>EP</x:v>
      </x:c>
      <x:c r="I75" s="32" t="n">
        <x:f>'Decode'!$P$14</x:f>
        <x:v>32</x:v>
      </x:c>
      <x:c r="J75" s="33" t="n">
        <x:f>E75*F75*G75/1073741824</x:f>
        <x:v>2.109375</x:v>
      </x:c>
      <x:c r="K75" s="33" t="n">
        <x:f>J75/I75</x:f>
        <x:v>0.06591796875</x:v>
      </x:c>
      <x:c r="L75" s="29"/>
      <x:c r="M75" s="29"/>
      <x:c r="N75" s="29"/>
      <x:c r="O75" s="29"/>
      <x:c r="P75" s="29"/>
    </x:row>
    <x:row r="76" ht="30" customHeight="1">
      <x:c r="A76" s="29" t="str">
        <x:v>DSpark Experts</x:v>
      </x:c>
      <x:c r="B76" s="40" t="str">
        <x:v>mtp.N.ffn.experts.N.w1.scale</x:v>
      </x:c>
      <x:c r="C76" s="29" t="str">
        <x:v>[2304, 160]</x:v>
      </x:c>
      <x:c r="D76" s="29" t="str">
        <x:v>E8M0</x:v>
      </x:c>
      <x:c r="E76" s="31" t="n">
        <x:v>1</x:v>
      </x:c>
      <x:c r="F76" s="32" t="n">
        <x:v>384</x:v>
      </x:c>
      <x:c r="G76" s="32" t="n">
        <x:v>368640</x:v>
      </x:c>
      <x:c r="H76" s="32" t="str">
        <x:v>EP</x:v>
      </x:c>
      <x:c r="I76" s="32" t="n">
        <x:f>'Decode'!$P$14</x:f>
        <x:v>32</x:v>
      </x:c>
      <x:c r="J76" s="33" t="n">
        <x:f>E76*F76*G76/1073741824</x:f>
        <x:v>0.1318359375</x:v>
      </x:c>
      <x:c r="K76" s="33" t="n">
        <x:f>J76/I76</x:f>
        <x:v>0.004119873046875</x:v>
      </x:c>
      <x:c r="L76" s="29"/>
      <x:c r="M76" s="29"/>
      <x:c r="N76" s="29"/>
      <x:c r="O76" s="29"/>
      <x:c r="P76" s="29"/>
    </x:row>
    <x:row r="77" ht="30" customHeight="1">
      <x:c r="A77" s="29" t="str">
        <x:v>DSpark Shared</x:v>
      </x:c>
      <x:c r="B77" s="40" t="str">
        <x:v>mtp.N.ffn.shared_experts.w1.weight</x:v>
      </x:c>
      <x:c r="C77" s="29" t="str">
        <x:v>[2304, 5120]</x:v>
      </x:c>
      <x:c r="D77" s="29" t="str">
        <x:v>FP8 E4M3</x:v>
      </x:c>
      <x:c r="E77" s="31" t="n">
        <x:v>1</x:v>
      </x:c>
      <x:c r="F77" s="32" t="n">
        <x:v>3</x:v>
      </x:c>
      <x:c r="G77" s="32" t="n">
        <x:v>11796480</x:v>
      </x:c>
      <x:c r="H77" s="32" t="str">
        <x:v>SP 复制 / 非 SP TP</x:v>
      </x:c>
      <x:c r="I77" s="32" t="n">
        <x:f>IF('Decode'!$P$13&lt;&gt;0,1,'Decode'!$P$12)</x:f>
        <x:v>1</x:v>
      </x:c>
      <x:c r="J77" s="33" t="n">
        <x:f>E77*F77*G77/1073741824</x:f>
        <x:v>0.032958984375</x:v>
      </x:c>
      <x:c r="K77" s="33" t="n">
        <x:f>J77/I77</x:f>
        <x:v>0.032958984375</x:v>
      </x:c>
      <x:c r="L77" s="29"/>
      <x:c r="M77" s="29"/>
      <x:c r="N77" s="29"/>
      <x:c r="O77" s="29"/>
      <x:c r="P77" s="29"/>
    </x:row>
    <x:row r="78" ht="30" customHeight="1">
      <x:c r="A78" s="29" t="str">
        <x:v>DSpark Shared</x:v>
      </x:c>
      <x:c r="B78" s="40" t="str">
        <x:v>mtp.N.ffn.shared_experts.w1.scale</x:v>
      </x:c>
      <x:c r="C78" s="29" t="str">
        <x:v>[72, 160]</x:v>
      </x:c>
      <x:c r="D78" s="29" t="str">
        <x:v>E8M0</x:v>
      </x:c>
      <x:c r="E78" s="31" t="n">
        <x:v>1</x:v>
      </x:c>
      <x:c r="F78" s="32" t="n">
        <x:v>3</x:v>
      </x:c>
      <x:c r="G78" s="32" t="n">
        <x:v>11520</x:v>
      </x:c>
      <x:c r="H78" s="32" t="str">
        <x:v>SP 复制 / 非 SP TP</x:v>
      </x:c>
      <x:c r="I78" s="32" t="n">
        <x:f>IF('Decode'!$P$13&lt;&gt;0,1,'Decode'!$P$12)</x:f>
        <x:v>1</x:v>
      </x:c>
      <x:c r="J78" s="33" t="n">
        <x:f>E78*F78*G78/1073741824</x:f>
        <x:v>0.00003218650817871094</x:v>
      </x:c>
      <x:c r="K78" s="33" t="n">
        <x:f>J78/I78</x:f>
        <x:v>0.00003218650817871094</x:v>
      </x:c>
      <x:c r="L78" s="29"/>
      <x:c r="M78" s="29"/>
      <x:c r="N78" s="29"/>
      <x:c r="O78" s="29"/>
      <x:c r="P78" s="29"/>
    </x:row>
    <x:row r="79" ht="30" customHeight="1">
      <x:c r="A79" s="29" t="str">
        <x:v>DSpark Experts</x:v>
      </x:c>
      <x:c r="B79" s="40" t="str">
        <x:v>mtp.N.ffn.experts.N.w3.weight</x:v>
      </x:c>
      <x:c r="C79" s="29" t="str">
        <x:v>[2304, 5120]</x:v>
      </x:c>
      <x:c r="D79" s="29" t="str">
        <x:v>FP4 E2M1</x:v>
      </x:c>
      <x:c r="E79" s="31" t="n">
        <x:v>0.5</x:v>
      </x:c>
      <x:c r="F79" s="32" t="n">
        <x:v>384</x:v>
      </x:c>
      <x:c r="G79" s="32" t="n">
        <x:v>11796480</x:v>
      </x:c>
      <x:c r="H79" s="32" t="str">
        <x:v>EP</x:v>
      </x:c>
      <x:c r="I79" s="32" t="n">
        <x:f>'Decode'!$P$14</x:f>
        <x:v>32</x:v>
      </x:c>
      <x:c r="J79" s="33" t="n">
        <x:f>E79*F79*G79/1073741824</x:f>
        <x:v>2.109375</x:v>
      </x:c>
      <x:c r="K79" s="33" t="n">
        <x:f>J79/I79</x:f>
        <x:v>0.06591796875</x:v>
      </x:c>
      <x:c r="L79" s="29"/>
      <x:c r="M79" s="29"/>
      <x:c r="N79" s="29"/>
      <x:c r="O79" s="29"/>
      <x:c r="P79" s="29"/>
    </x:row>
    <x:row r="80" ht="30" customHeight="1">
      <x:c r="A80" s="29" t="str">
        <x:v>DSpark Experts</x:v>
      </x:c>
      <x:c r="B80" s="40" t="str">
        <x:v>mtp.N.ffn.experts.N.w3.scale</x:v>
      </x:c>
      <x:c r="C80" s="29" t="str">
        <x:v>[2304, 160]</x:v>
      </x:c>
      <x:c r="D80" s="29" t="str">
        <x:v>E8M0</x:v>
      </x:c>
      <x:c r="E80" s="31" t="n">
        <x:v>1</x:v>
      </x:c>
      <x:c r="F80" s="32" t="n">
        <x:v>384</x:v>
      </x:c>
      <x:c r="G80" s="32" t="n">
        <x:v>368640</x:v>
      </x:c>
      <x:c r="H80" s="32" t="str">
        <x:v>EP</x:v>
      </x:c>
      <x:c r="I80" s="32" t="n">
        <x:f>'Decode'!$P$14</x:f>
        <x:v>32</x:v>
      </x:c>
      <x:c r="J80" s="33" t="n">
        <x:f>E80*F80*G80/1073741824</x:f>
        <x:v>0.1318359375</x:v>
      </x:c>
      <x:c r="K80" s="33" t="n">
        <x:f>J80/I80</x:f>
        <x:v>0.004119873046875</x:v>
      </x:c>
      <x:c r="L80" s="29"/>
      <x:c r="M80" s="29"/>
      <x:c r="N80" s="29"/>
      <x:c r="O80" s="29"/>
      <x:c r="P80" s="29"/>
    </x:row>
    <x:row r="81" ht="30" customHeight="1">
      <x:c r="A81" s="29" t="str">
        <x:v>DSpark Shared</x:v>
      </x:c>
      <x:c r="B81" s="40" t="str">
        <x:v>mtp.N.ffn.shared_experts.w3.weight</x:v>
      </x:c>
      <x:c r="C81" s="29" t="str">
        <x:v>[2304, 5120]</x:v>
      </x:c>
      <x:c r="D81" s="29" t="str">
        <x:v>FP8 E4M3</x:v>
      </x:c>
      <x:c r="E81" s="31" t="n">
        <x:v>1</x:v>
      </x:c>
      <x:c r="F81" s="32" t="n">
        <x:v>3</x:v>
      </x:c>
      <x:c r="G81" s="32" t="n">
        <x:v>11796480</x:v>
      </x:c>
      <x:c r="H81" s="32" t="str">
        <x:v>SP 复制 / 非 SP TP</x:v>
      </x:c>
      <x:c r="I81" s="32" t="n">
        <x:f>IF('Decode'!$P$13&lt;&gt;0,1,'Decode'!$P$12)</x:f>
        <x:v>1</x:v>
      </x:c>
      <x:c r="J81" s="33" t="n">
        <x:f>E81*F81*G81/1073741824</x:f>
        <x:v>0.032958984375</x:v>
      </x:c>
      <x:c r="K81" s="33" t="n">
        <x:f>J81/I81</x:f>
        <x:v>0.032958984375</x:v>
      </x:c>
      <x:c r="L81" s="29"/>
      <x:c r="M81" s="29"/>
      <x:c r="N81" s="29"/>
      <x:c r="O81" s="29"/>
      <x:c r="P81" s="29"/>
    </x:row>
    <x:row r="82" ht="30" customHeight="1">
      <x:c r="A82" s="29" t="str">
        <x:v>DSpark Shared</x:v>
      </x:c>
      <x:c r="B82" s="40" t="str">
        <x:v>mtp.N.ffn.shared_experts.w3.scale</x:v>
      </x:c>
      <x:c r="C82" s="29" t="str">
        <x:v>[72, 160]</x:v>
      </x:c>
      <x:c r="D82" s="29" t="str">
        <x:v>E8M0</x:v>
      </x:c>
      <x:c r="E82" s="31" t="n">
        <x:v>1</x:v>
      </x:c>
      <x:c r="F82" s="32" t="n">
        <x:v>3</x:v>
      </x:c>
      <x:c r="G82" s="32" t="n">
        <x:v>11520</x:v>
      </x:c>
      <x:c r="H82" s="32" t="str">
        <x:v>SP 复制 / 非 SP TP</x:v>
      </x:c>
      <x:c r="I82" s="32" t="n">
        <x:f>IF('Decode'!$P$13&lt;&gt;0,1,'Decode'!$P$12)</x:f>
        <x:v>1</x:v>
      </x:c>
      <x:c r="J82" s="33" t="n">
        <x:f>E82*F82*G82/1073741824</x:f>
        <x:v>0.00003218650817871094</x:v>
      </x:c>
      <x:c r="K82" s="33" t="n">
        <x:f>J82/I82</x:f>
        <x:v>0.00003218650817871094</x:v>
      </x:c>
      <x:c r="L82" s="29"/>
      <x:c r="M82" s="29"/>
      <x:c r="N82" s="29"/>
      <x:c r="O82" s="29"/>
      <x:c r="P82" s="29"/>
    </x:row>
    <x:row r="83" ht="30" customHeight="1">
      <x:c r="A83" s="29" t="str">
        <x:v>DSpark Experts</x:v>
      </x:c>
      <x:c r="B83" s="40" t="str">
        <x:v>mtp.N.ffn.experts.N.w2.weight</x:v>
      </x:c>
      <x:c r="C83" s="29" t="str">
        <x:v>[5120, 2304]</x:v>
      </x:c>
      <x:c r="D83" s="29" t="str">
        <x:v>FP4 E2M1</x:v>
      </x:c>
      <x:c r="E83" s="31" t="n">
        <x:v>0.5</x:v>
      </x:c>
      <x:c r="F83" s="32" t="n">
        <x:v>384</x:v>
      </x:c>
      <x:c r="G83" s="32" t="n">
        <x:v>11796480</x:v>
      </x:c>
      <x:c r="H83" s="32" t="str">
        <x:v>EP</x:v>
      </x:c>
      <x:c r="I83" s="32" t="n">
        <x:f>'Decode'!$P$14</x:f>
        <x:v>32</x:v>
      </x:c>
      <x:c r="J83" s="33" t="n">
        <x:f>E83*F83*G83/1073741824</x:f>
        <x:v>2.109375</x:v>
      </x:c>
      <x:c r="K83" s="33" t="n">
        <x:f>J83/I83</x:f>
        <x:v>0.06591796875</x:v>
      </x:c>
      <x:c r="L83" s="29"/>
      <x:c r="M83" s="29"/>
      <x:c r="N83" s="29"/>
      <x:c r="O83" s="29"/>
      <x:c r="P83" s="29"/>
    </x:row>
    <x:row r="84" ht="30" customHeight="1">
      <x:c r="A84" s="29" t="str">
        <x:v>DSpark Experts</x:v>
      </x:c>
      <x:c r="B84" s="40" t="str">
        <x:v>mtp.N.ffn.experts.N.w2.scale</x:v>
      </x:c>
      <x:c r="C84" s="29" t="str">
        <x:v>[5120, 72]</x:v>
      </x:c>
      <x:c r="D84" s="29" t="str">
        <x:v>E8M0</x:v>
      </x:c>
      <x:c r="E84" s="31" t="n">
        <x:v>1</x:v>
      </x:c>
      <x:c r="F84" s="32" t="n">
        <x:v>384</x:v>
      </x:c>
      <x:c r="G84" s="32" t="n">
        <x:v>368640</x:v>
      </x:c>
      <x:c r="H84" s="32" t="str">
        <x:v>EP</x:v>
      </x:c>
      <x:c r="I84" s="32" t="n">
        <x:f>'Decode'!$P$14</x:f>
        <x:v>32</x:v>
      </x:c>
      <x:c r="J84" s="33" t="n">
        <x:f>E84*F84*G84/1073741824</x:f>
        <x:v>0.1318359375</x:v>
      </x:c>
      <x:c r="K84" s="33" t="n">
        <x:f>J84/I84</x:f>
        <x:v>0.004119873046875</x:v>
      </x:c>
      <x:c r="L84" s="29"/>
      <x:c r="M84" s="29"/>
      <x:c r="N84" s="29"/>
      <x:c r="O84" s="29"/>
      <x:c r="P84" s="29"/>
    </x:row>
    <x:row r="85" ht="30" customHeight="1">
      <x:c r="A85" s="29" t="str">
        <x:v>DSpark Shared</x:v>
      </x:c>
      <x:c r="B85" s="40" t="str">
        <x:v>mtp.N.ffn.shared_experts.w2.weight</x:v>
      </x:c>
      <x:c r="C85" s="29" t="str">
        <x:v>[5120, 2304]</x:v>
      </x:c>
      <x:c r="D85" s="29" t="str">
        <x:v>FP8 E4M3</x:v>
      </x:c>
      <x:c r="E85" s="31" t="n">
        <x:v>1</x:v>
      </x:c>
      <x:c r="F85" s="32" t="n">
        <x:v>3</x:v>
      </x:c>
      <x:c r="G85" s="32" t="n">
        <x:v>11796480</x:v>
      </x:c>
      <x:c r="H85" s="32" t="str">
        <x:v>SP 复制 / 非 SP TP</x:v>
      </x:c>
      <x:c r="I85" s="32" t="n">
        <x:f>IF('Decode'!$P$13&lt;&gt;0,1,'Decode'!$P$12)</x:f>
        <x:v>1</x:v>
      </x:c>
      <x:c r="J85" s="33" t="n">
        <x:f>E85*F85*G85/1073741824</x:f>
        <x:v>0.032958984375</x:v>
      </x:c>
      <x:c r="K85" s="33" t="n">
        <x:f>J85/I85</x:f>
        <x:v>0.032958984375</x:v>
      </x:c>
      <x:c r="L85" s="29"/>
      <x:c r="M85" s="29"/>
      <x:c r="N85" s="29"/>
      <x:c r="O85" s="29"/>
      <x:c r="P85" s="29"/>
    </x:row>
    <x:row r="86" ht="30" customHeight="1">
      <x:c r="A86" s="29" t="str">
        <x:v>DSpark Shared</x:v>
      </x:c>
      <x:c r="B86" s="40" t="str">
        <x:v>mtp.N.ffn.shared_experts.w2.scale</x:v>
      </x:c>
      <x:c r="C86" s="29" t="str">
        <x:v>[160, 72]</x:v>
      </x:c>
      <x:c r="D86" s="29" t="str">
        <x:v>E8M0</x:v>
      </x:c>
      <x:c r="E86" s="31" t="n">
        <x:v>1</x:v>
      </x:c>
      <x:c r="F86" s="32" t="n">
        <x:v>3</x:v>
      </x:c>
      <x:c r="G86" s="32" t="n">
        <x:v>11520</x:v>
      </x:c>
      <x:c r="H86" s="32" t="str">
        <x:v>SP 复制 / 非 SP TP</x:v>
      </x:c>
      <x:c r="I86" s="32" t="n">
        <x:f>IF('Decode'!$P$13&lt;&gt;0,1,'Decode'!$P$12)</x:f>
        <x:v>1</x:v>
      </x:c>
      <x:c r="J86" s="33" t="n">
        <x:f>E86*F86*G86/1073741824</x:f>
        <x:v>0.00003218650817871094</x:v>
      </x:c>
      <x:c r="K86" s="33" t="n">
        <x:f>J86/I86</x:f>
        <x:v>0.00003218650817871094</x:v>
      </x:c>
      <x:c r="L86" s="29"/>
      <x:c r="M86" s="29"/>
      <x:c r="N86" s="29"/>
      <x:c r="O86" s="29"/>
      <x:c r="P86" s="29"/>
    </x:row>
    <x:row r="87" ht="30" customHeight="1">
      <x:c r="A87" s="29" t="str">
        <x:v>DSpark HC</x:v>
      </x:c>
      <x:c r="B87" s="40" t="str">
        <x:v>mtp.N.hc_attn_fn</x:v>
      </x:c>
      <x:c r="C87" s="29" t="str">
        <x:v>[24, 20480]</x:v>
      </x:c>
      <x:c r="D87" s="29" t="str">
        <x:v>F32</x:v>
      </x:c>
      <x:c r="E87" s="31" t="n">
        <x:v>4</x:v>
      </x:c>
      <x:c r="F87" s="32" t="n">
        <x:v>3</x:v>
      </x:c>
      <x:c r="G87" s="32" t="n">
        <x:v>491520</x:v>
      </x:c>
      <x:c r="H87" s="32" t="str">
        <x:v>Replicated</x:v>
      </x:c>
      <x:c r="I87" s="32" t="n">
        <x:f>1</x:f>
        <x:v>1</x:v>
      </x:c>
      <x:c r="J87" s="33" t="n">
        <x:f>E87*F87*G87/1073741824</x:f>
        <x:v>0.0054931640625</x:v>
      </x:c>
      <x:c r="K87" s="33" t="n">
        <x:f>J87/I87</x:f>
        <x:v>0.0054931640625</x:v>
      </x:c>
      <x:c r="L87" s="29"/>
      <x:c r="M87" s="29"/>
      <x:c r="N87" s="29"/>
      <x:c r="O87" s="29"/>
      <x:c r="P87" s="29"/>
    </x:row>
    <x:row r="88" ht="30" customHeight="1">
      <x:c r="A88" s="29" t="str">
        <x:v>DSpark HC</x:v>
      </x:c>
      <x:c r="B88" s="40" t="str">
        <x:v>mtp.N.hc_attn_base</x:v>
      </x:c>
      <x:c r="C88" s="29" t="str">
        <x:v>[24]</x:v>
      </x:c>
      <x:c r="D88" s="29" t="str">
        <x:v>F32</x:v>
      </x:c>
      <x:c r="E88" s="31" t="n">
        <x:v>4</x:v>
      </x:c>
      <x:c r="F88" s="32" t="n">
        <x:v>3</x:v>
      </x:c>
      <x:c r="G88" s="32" t="n">
        <x:v>24</x:v>
      </x:c>
      <x:c r="H88" s="32" t="str">
        <x:v>Replicated</x:v>
      </x:c>
      <x:c r="I88" s="32" t="n">
        <x:f>1</x:f>
        <x:v>1</x:v>
      </x:c>
      <x:c r="J88" s="33" t="n">
        <x:f>E88*F88*G88/1073741824</x:f>
        <x:v>2.682209014892578e-7</x:v>
      </x:c>
      <x:c r="K88" s="33" t="n">
        <x:f>J88/I88</x:f>
        <x:v>2.682209014892578e-7</x:v>
      </x:c>
      <x:c r="L88" s="29"/>
      <x:c r="M88" s="29"/>
      <x:c r="N88" s="29"/>
      <x:c r="O88" s="29"/>
      <x:c r="P88" s="29"/>
    </x:row>
    <x:row r="89" ht="30" customHeight="1">
      <x:c r="A89" s="29" t="str">
        <x:v>DSpark HC</x:v>
      </x:c>
      <x:c r="B89" s="40" t="str">
        <x:v>mtp.N.hc_attn_scale</x:v>
      </x:c>
      <x:c r="C89" s="29" t="str">
        <x:v>[3]</x:v>
      </x:c>
      <x:c r="D89" s="29" t="str">
        <x:v>F32</x:v>
      </x:c>
      <x:c r="E89" s="31" t="n">
        <x:v>4</x:v>
      </x:c>
      <x:c r="F89" s="32" t="n">
        <x:v>3</x:v>
      </x:c>
      <x:c r="G89" s="32" t="n">
        <x:v>3</x:v>
      </x:c>
      <x:c r="H89" s="32" t="str">
        <x:v>Replicated</x:v>
      </x:c>
      <x:c r="I89" s="32" t="n">
        <x:f>1</x:f>
        <x:v>1</x:v>
      </x:c>
      <x:c r="J89" s="33" t="n">
        <x:f>E89*F89*G89/1073741824</x:f>
        <x:v>3.3527612686157227e-8</x:v>
      </x:c>
      <x:c r="K89" s="33" t="n">
        <x:f>J89/I89</x:f>
        <x:v>3.3527612686157227e-8</x:v>
      </x:c>
      <x:c r="L89" s="29"/>
      <x:c r="M89" s="29"/>
      <x:c r="N89" s="29"/>
      <x:c r="O89" s="29"/>
      <x:c r="P89" s="29"/>
    </x:row>
    <x:row r="90" ht="30" customHeight="1">
      <x:c r="A90" s="29" t="str">
        <x:v>DSpark HC</x:v>
      </x:c>
      <x:c r="B90" s="40" t="str">
        <x:v>mtp.N.hc_ffn_fn</x:v>
      </x:c>
      <x:c r="C90" s="29" t="str">
        <x:v>[24, 20480]</x:v>
      </x:c>
      <x:c r="D90" s="29" t="str">
        <x:v>F32</x:v>
      </x:c>
      <x:c r="E90" s="31" t="n">
        <x:v>4</x:v>
      </x:c>
      <x:c r="F90" s="32" t="n">
        <x:v>3</x:v>
      </x:c>
      <x:c r="G90" s="32" t="n">
        <x:v>491520</x:v>
      </x:c>
      <x:c r="H90" s="32" t="str">
        <x:v>Replicated</x:v>
      </x:c>
      <x:c r="I90" s="32" t="n">
        <x:f>1</x:f>
        <x:v>1</x:v>
      </x:c>
      <x:c r="J90" s="33" t="n">
        <x:f>E90*F90*G90/1073741824</x:f>
        <x:v>0.0054931640625</x:v>
      </x:c>
      <x:c r="K90" s="33" t="n">
        <x:f>J90/I90</x:f>
        <x:v>0.0054931640625</x:v>
      </x:c>
      <x:c r="L90" s="29"/>
      <x:c r="M90" s="29"/>
      <x:c r="N90" s="29"/>
      <x:c r="O90" s="29"/>
      <x:c r="P90" s="29"/>
    </x:row>
    <x:row r="91" ht="30" customHeight="1">
      <x:c r="A91" s="29" t="str">
        <x:v>DSpark HC</x:v>
      </x:c>
      <x:c r="B91" s="40" t="str">
        <x:v>mtp.N.hc_ffn_base</x:v>
      </x:c>
      <x:c r="C91" s="29" t="str">
        <x:v>[24]</x:v>
      </x:c>
      <x:c r="D91" s="29" t="str">
        <x:v>F32</x:v>
      </x:c>
      <x:c r="E91" s="31" t="n">
        <x:v>4</x:v>
      </x:c>
      <x:c r="F91" s="32" t="n">
        <x:v>3</x:v>
      </x:c>
      <x:c r="G91" s="32" t="n">
        <x:v>24</x:v>
      </x:c>
      <x:c r="H91" s="32" t="str">
        <x:v>Replicated</x:v>
      </x:c>
      <x:c r="I91" s="32" t="n">
        <x:f>1</x:f>
        <x:v>1</x:v>
      </x:c>
      <x:c r="J91" s="33" t="n">
        <x:f>E91*F91*G91/1073741824</x:f>
        <x:v>2.682209014892578e-7</x:v>
      </x:c>
      <x:c r="K91" s="33" t="n">
        <x:f>J91/I91</x:f>
        <x:v>2.682209014892578e-7</x:v>
      </x:c>
      <x:c r="L91" s="29"/>
      <x:c r="M91" s="29"/>
      <x:c r="N91" s="29"/>
      <x:c r="O91" s="29"/>
      <x:c r="P91" s="29"/>
    </x:row>
    <x:row r="92" ht="30" customHeight="1">
      <x:c r="A92" s="29" t="str">
        <x:v>DSpark HC</x:v>
      </x:c>
      <x:c r="B92" s="40" t="str">
        <x:v>mtp.N.hc_ffn_scale</x:v>
      </x:c>
      <x:c r="C92" s="29" t="str">
        <x:v>[3]</x:v>
      </x:c>
      <x:c r="D92" s="29" t="str">
        <x:v>F32</x:v>
      </x:c>
      <x:c r="E92" s="31" t="n">
        <x:v>4</x:v>
      </x:c>
      <x:c r="F92" s="32" t="n">
        <x:v>3</x:v>
      </x:c>
      <x:c r="G92" s="32" t="n">
        <x:v>3</x:v>
      </x:c>
      <x:c r="H92" s="32" t="str">
        <x:v>Replicated</x:v>
      </x:c>
      <x:c r="I92" s="32" t="n">
        <x:f>1</x:f>
        <x:v>1</x:v>
      </x:c>
      <x:c r="J92" s="33" t="n">
        <x:f>E92*F92*G92/1073741824</x:f>
        <x:v>3.3527612686157227e-8</x:v>
      </x:c>
      <x:c r="K92" s="33" t="n">
        <x:f>J92/I92</x:f>
        <x:v>3.3527612686157227e-8</x:v>
      </x:c>
      <x:c r="L92" s="29"/>
      <x:c r="M92" s="29"/>
      <x:c r="N92" s="29"/>
      <x:c r="O92" s="29"/>
      <x:c r="P92" s="29"/>
    </x:row>
    <x:row r="93" ht="30" customHeight="1">
      <x:c r="A93" s="29" t="str">
        <x:v>DSpark Input</x:v>
      </x:c>
      <x:c r="B93" s="40" t="str">
        <x:v>mtp.N.main_proj.weight</x:v>
      </x:c>
      <x:c r="C93" s="29" t="str">
        <x:v>[5120, 15360]</x:v>
      </x:c>
      <x:c r="D93" s="29" t="str">
        <x:v>FP8 E4M3</x:v>
      </x:c>
      <x:c r="E93" s="31" t="n">
        <x:v>1</x:v>
      </x:c>
      <x:c r="F93" s="32" t="n">
        <x:v>1</x:v>
      </x:c>
      <x:c r="G93" s="32" t="n">
        <x:v>78643200</x:v>
      </x:c>
      <x:c r="H93" s="32" t="str">
        <x:v>TP</x:v>
      </x:c>
      <x:c r="I93" s="32" t="n">
        <x:f>'Decode'!$P$12</x:f>
        <x:v>1</x:v>
      </x:c>
      <x:c r="J93" s="33" t="n">
        <x:f>E93*F93*G93/1073741824</x:f>
        <x:v>0.0732421875</x:v>
      </x:c>
      <x:c r="K93" s="33" t="n">
        <x:f>J93/I93</x:f>
        <x:v>0.0732421875</x:v>
      </x:c>
      <x:c r="L93" s="29"/>
      <x:c r="M93" s="29"/>
      <x:c r="N93" s="29"/>
      <x:c r="O93" s="29"/>
      <x:c r="P93" s="29"/>
    </x:row>
    <x:row r="94" ht="30" customHeight="1">
      <x:c r="A94" s="29" t="str">
        <x:v>DSpark Input</x:v>
      </x:c>
      <x:c r="B94" s="40" t="str">
        <x:v>mtp.N.main_proj.scale</x:v>
      </x:c>
      <x:c r="C94" s="29" t="str">
        <x:v>[160, 480]</x:v>
      </x:c>
      <x:c r="D94" s="29" t="str">
        <x:v>E8M0</x:v>
      </x:c>
      <x:c r="E94" s="31" t="n">
        <x:v>1</x:v>
      </x:c>
      <x:c r="F94" s="32" t="n">
        <x:v>1</x:v>
      </x:c>
      <x:c r="G94" s="32" t="n">
        <x:v>76800</x:v>
      </x:c>
      <x:c r="H94" s="32" t="str">
        <x:v>TP</x:v>
      </x:c>
      <x:c r="I94" s="32" t="n">
        <x:f>'Decode'!$P$12</x:f>
        <x:v>1</x:v>
      </x:c>
      <x:c r="J94" s="33" t="n">
        <x:f>E94*F94*G94/1073741824</x:f>
        <x:v>0.00007152557373046875</x:v>
      </x:c>
      <x:c r="K94" s="33" t="n">
        <x:f>J94/I94</x:f>
        <x:v>0.00007152557373046875</x:v>
      </x:c>
      <x:c r="L94" s="29"/>
      <x:c r="M94" s="29"/>
      <x:c r="N94" s="29"/>
      <x:c r="O94" s="29"/>
      <x:c r="P94" s="29"/>
    </x:row>
    <x:row r="95" ht="30" customHeight="1">
      <x:c r="A95" s="29" t="str">
        <x:v>DSpark Norm</x:v>
      </x:c>
      <x:c r="B95" s="40" t="str">
        <x:v>mtp.N.main_norm.weight</x:v>
      </x:c>
      <x:c r="C95" s="29" t="str">
        <x:v>[5120]</x:v>
      </x:c>
      <x:c r="D95" s="29" t="str">
        <x:v>BF16</x:v>
      </x:c>
      <x:c r="E95" s="31" t="n">
        <x:v>2</x:v>
      </x:c>
      <x:c r="F95" s="32" t="n">
        <x:v>1</x:v>
      </x:c>
      <x:c r="G95" s="32" t="n">
        <x:v>5120</x:v>
      </x:c>
      <x:c r="H95" s="32" t="str">
        <x:v>Replicated</x:v>
      </x:c>
      <x:c r="I95" s="32" t="n">
        <x:f>1</x:f>
        <x:v>1</x:v>
      </x:c>
      <x:c r="J95" s="33" t="n">
        <x:f>E95*F95*G95/1073741824</x:f>
        <x:v>0.0000095367431640625</x:v>
      </x:c>
      <x:c r="K95" s="33" t="n">
        <x:f>J95/I95</x:f>
        <x:v>0.0000095367431640625</x:v>
      </x:c>
      <x:c r="L95" s="29"/>
      <x:c r="M95" s="29"/>
      <x:c r="N95" s="29"/>
      <x:c r="O95" s="29"/>
      <x:c r="P95" s="29"/>
    </x:row>
    <x:row r="96" ht="30" customHeight="1">
      <x:c r="A96" s="29" t="str">
        <x:v>DSpark Norm</x:v>
      </x:c>
      <x:c r="B96" s="40" t="str">
        <x:v>mtp.N.norm.weight</x:v>
      </x:c>
      <x:c r="C96" s="29" t="str">
        <x:v>[5120]</x:v>
      </x:c>
      <x:c r="D96" s="29" t="str">
        <x:v>BF16</x:v>
      </x:c>
      <x:c r="E96" s="31" t="n">
        <x:v>2</x:v>
      </x:c>
      <x:c r="F96" s="32" t="n">
        <x:v>1</x:v>
      </x:c>
      <x:c r="G96" s="32" t="n">
        <x:v>5120</x:v>
      </x:c>
      <x:c r="H96" s="32" t="str">
        <x:v>Replicated</x:v>
      </x:c>
      <x:c r="I96" s="32" t="n">
        <x:f>1</x:f>
        <x:v>1</x:v>
      </x:c>
      <x:c r="J96" s="33" t="n">
        <x:f>E96*F96*G96/1073741824</x:f>
        <x:v>0.0000095367431640625</x:v>
      </x:c>
      <x:c r="K96" s="33" t="n">
        <x:f>J96/I96</x:f>
        <x:v>0.0000095367431640625</x:v>
      </x:c>
      <x:c r="L96" s="29"/>
      <x:c r="M96" s="29"/>
      <x:c r="N96" s="29"/>
      <x:c r="O96" s="29"/>
      <x:c r="P96" s="29"/>
    </x:row>
    <x:row r="97" ht="30" customHeight="1">
      <x:c r="A97" s="29" t="str">
        <x:v>DSpark Markov</x:v>
      </x:c>
      <x:c r="B97" s="40" t="str">
        <x:v>mtp.N.markov_head.embed.weight</x:v>
      </x:c>
      <x:c r="C97" s="29" t="str">
        <x:v>[129280, 256]</x:v>
      </x:c>
      <x:c r="D97" s="29" t="str">
        <x:v>BF16</x:v>
      </x:c>
      <x:c r="E97" s="31" t="n">
        <x:v>2</x:v>
      </x:c>
      <x:c r="F97" s="32" t="n">
        <x:v>1</x:v>
      </x:c>
      <x:c r="G97" s="32" t="n">
        <x:v>33095680</x:v>
      </x:c>
      <x:c r="H97" s="32" t="str">
        <x:v>Embedding TP</x:v>
      </x:c>
      <x:c r="I97" s="32" t="n">
        <x:f>IF('Decode'!$P$21&gt;0,'Decode'!$P$21,'Decode'!$P$12)</x:f>
        <x:v>1</x:v>
      </x:c>
      <x:c r="J97" s="33" t="n">
        <x:f>E97*F97*G97/1073741824</x:f>
        <x:v>0.0616455078125</x:v>
      </x:c>
      <x:c r="K97" s="33" t="n">
        <x:f>J97/I97</x:f>
        <x:v>0.0616455078125</x:v>
      </x:c>
      <x:c r="L97" s="29"/>
      <x:c r="M97" s="29"/>
      <x:c r="N97" s="29"/>
      <x:c r="O97" s="29"/>
      <x:c r="P97" s="29"/>
    </x:row>
    <x:row r="98" ht="30" customHeight="1">
      <x:c r="A98" s="29" t="str">
        <x:v>DSpark Markov</x:v>
      </x:c>
      <x:c r="B98" s="40" t="str">
        <x:v>mtp.N.markov_head.head.weight</x:v>
      </x:c>
      <x:c r="C98" s="29" t="str">
        <x:v>[129280, 256]</x:v>
      </x:c>
      <x:c r="D98" s="29" t="str">
        <x:v>BF16</x:v>
      </x:c>
      <x:c r="E98" s="31" t="n">
        <x:v>2</x:v>
      </x:c>
      <x:c r="F98" s="32" t="n">
        <x:v>1</x:v>
      </x:c>
      <x:c r="G98" s="32" t="n">
        <x:v>33095680</x:v>
      </x:c>
      <x:c r="H98" s="32" t="str">
        <x:v>LM Head TP</x:v>
      </x:c>
      <x:c r="I98" s="32" t="n">
        <x:f>IF('Decode'!$P$20&gt;0,'Decode'!$P$20,'Decode'!$P$12)</x:f>
        <x:v>1</x:v>
      </x:c>
      <x:c r="J98" s="33" t="n">
        <x:f>E98*F98*G98/1073741824</x:f>
        <x:v>0.0616455078125</x:v>
      </x:c>
      <x:c r="K98" s="33" t="n">
        <x:f>J98/I98</x:f>
        <x:v>0.0616455078125</x:v>
      </x:c>
      <x:c r="L98" s="29"/>
      <x:c r="M98" s="29"/>
      <x:c r="N98" s="29"/>
      <x:c r="O98" s="29"/>
      <x:c r="P98" s="29"/>
    </x:row>
    <x:row r="99" ht="30" customHeight="1">
      <x:c r="A99" s="29" t="str">
        <x:v>DSpark Confidence</x:v>
      </x:c>
      <x:c r="B99" s="40" t="str">
        <x:v>mtp.N.confidence_head.proj.weight</x:v>
      </x:c>
      <x:c r="C99" s="29" t="str">
        <x:v>[1, 5376]</x:v>
      </x:c>
      <x:c r="D99" s="29" t="str">
        <x:v>BF16</x:v>
      </x:c>
      <x:c r="E99" s="31" t="n">
        <x:v>2</x:v>
      </x:c>
      <x:c r="F99" s="32" t="n">
        <x:v>1</x:v>
      </x:c>
      <x:c r="G99" s="32" t="n">
        <x:v>5376</x:v>
      </x:c>
      <x:c r="H99" s="32" t="str">
        <x:v>Replicated</x:v>
      </x:c>
      <x:c r="I99" s="32" t="n">
        <x:f>1</x:f>
        <x:v>1</x:v>
      </x:c>
      <x:c r="J99" s="33" t="n">
        <x:f>E99*F99*G99/1073741824</x:f>
        <x:v>0.000010013580322265625</x:v>
      </x:c>
      <x:c r="K99" s="33" t="n">
        <x:f>J99/I99</x:f>
        <x:v>0.000010013580322265625</x:v>
      </x:c>
      <x:c r="L99" s="29"/>
      <x:c r="M99" s="29"/>
      <x:c r="N99" s="29"/>
      <x:c r="O99" s="29"/>
      <x:c r="P99" s="29"/>
    </x:row>
    <x:row r="100" ht="30" customHeight="1">
      <x:c r="A100" s="29" t="str">
        <x:v>Image Tokens</x:v>
      </x:c>
      <x:c r="B100" s="40" t="str">
        <x:v>image_start</x:v>
      </x:c>
      <x:c r="C100" s="29" t="str">
        <x:v>[5120]</x:v>
      </x:c>
      <x:c r="D100" s="29" t="str">
        <x:v>BF16</x:v>
      </x:c>
      <x:c r="E100" s="31" t="n">
        <x:v>2</x:v>
      </x:c>
      <x:c r="F100" s="32" t="n">
        <x:v>1</x:v>
      </x:c>
      <x:c r="G100" s="32" t="n">
        <x:v>5120</x:v>
      </x:c>
      <x:c r="H100" s="32" t="str">
        <x:v>Replicated</x:v>
      </x:c>
      <x:c r="I100" s="32" t="n">
        <x:f>1</x:f>
        <x:v>1</x:v>
      </x:c>
      <x:c r="J100" s="33" t="n">
        <x:f>E100*F100*G100/1073741824</x:f>
        <x:v>0.0000095367431640625</x:v>
      </x:c>
      <x:c r="K100" s="33" t="n">
        <x:f>J100/I100</x:f>
        <x:v>0.0000095367431640625</x:v>
      </x:c>
      <x:c r="L100" s="29"/>
      <x:c r="M100" s="29"/>
      <x:c r="N100" s="29"/>
      <x:c r="O100" s="29"/>
      <x:c r="P100" s="29"/>
    </x:row>
    <x:row r="101" ht="30" customHeight="1">
      <x:c r="A101" s="29" t="str">
        <x:v>Image Tokens</x:v>
      </x:c>
      <x:c r="B101" s="40" t="str">
        <x:v>image_end</x:v>
      </x:c>
      <x:c r="C101" s="29" t="str">
        <x:v>[5120]</x:v>
      </x:c>
      <x:c r="D101" s="29" t="str">
        <x:v>BF16</x:v>
      </x:c>
      <x:c r="E101" s="31" t="n">
        <x:v>2</x:v>
      </x:c>
      <x:c r="F101" s="32" t="n">
        <x:v>1</x:v>
      </x:c>
      <x:c r="G101" s="32" t="n">
        <x:v>5120</x:v>
      </x:c>
      <x:c r="H101" s="32" t="str">
        <x:v>Replicated</x:v>
      </x:c>
      <x:c r="I101" s="32" t="n">
        <x:f>1</x:f>
        <x:v>1</x:v>
      </x:c>
      <x:c r="J101" s="33" t="n">
        <x:f>E101*F101*G101/1073741824</x:f>
        <x:v>0.0000095367431640625</x:v>
      </x:c>
      <x:c r="K101" s="33" t="n">
        <x:f>J101/I101</x:f>
        <x:v>0.0000095367431640625</x:v>
      </x:c>
      <x:c r="L101" s="29"/>
      <x:c r="M101" s="29"/>
      <x:c r="N101" s="29"/>
      <x:c r="O101" s="29"/>
      <x:c r="P101" s="29"/>
    </x:row>
    <x:row r="102" ht="30" customHeight="1">
      <x:c r="A102" s="29" t="str">
        <x:v>Image Tokens</x:v>
      </x:c>
      <x:c r="B102" s="40" t="str">
        <x:v>image_newline</x:v>
      </x:c>
      <x:c r="C102" s="29" t="str">
        <x:v>[5120]</x:v>
      </x:c>
      <x:c r="D102" s="29" t="str">
        <x:v>BF16</x:v>
      </x:c>
      <x:c r="E102" s="31" t="n">
        <x:v>2</x:v>
      </x:c>
      <x:c r="F102" s="32" t="n">
        <x:v>1</x:v>
      </x:c>
      <x:c r="G102" s="32" t="n">
        <x:v>5120</x:v>
      </x:c>
      <x:c r="H102" s="32" t="str">
        <x:v>Replicated</x:v>
      </x:c>
      <x:c r="I102" s="32" t="n">
        <x:f>1</x:f>
        <x:v>1</x:v>
      </x:c>
      <x:c r="J102" s="33" t="n">
        <x:f>E102*F102*G102/1073741824</x:f>
        <x:v>0.0000095367431640625</x:v>
      </x:c>
      <x:c r="K102" s="33" t="n">
        <x:f>J102/I102</x:f>
        <x:v>0.0000095367431640625</x:v>
      </x:c>
      <x:c r="L102" s="29"/>
      <x:c r="M102" s="29"/>
      <x:c r="N102" s="29"/>
      <x:c r="O102" s="29"/>
      <x:c r="P102" s="29"/>
    </x:row>
    <x:row r="103" ht="30" customHeight="1">
      <x:c r="A103" s="29" t="str">
        <x:v>Vision</x:v>
      </x:c>
      <x:c r="B103" s="40" t="str">
        <x:v>vision.patch_embed.proj.weight</x:v>
      </x:c>
      <x:c r="C103" s="29" t="str">
        <x:v>[1024, 588]</x:v>
      </x:c>
      <x:c r="D103" s="29" t="str">
        <x:v>BF16</x:v>
      </x:c>
      <x:c r="E103" s="31" t="n">
        <x:v>2</x:v>
      </x:c>
      <x:c r="F103" s="32" t="n">
        <x:v>1</x:v>
      </x:c>
      <x:c r="G103" s="32" t="n">
        <x:v>602112</x:v>
      </x:c>
      <x:c r="H103" s="32" t="str">
        <x:v>Replicated</x:v>
      </x:c>
      <x:c r="I103" s="32" t="n">
        <x:f>1</x:f>
        <x:v>1</x:v>
      </x:c>
      <x:c r="J103" s="33" t="n">
        <x:f>E103*F103*G103/1073741824</x:f>
        <x:v>0.00112152099609375</x:v>
      </x:c>
      <x:c r="K103" s="33" t="n">
        <x:f>J103/I103</x:f>
        <x:v>0.00112152099609375</x:v>
      </x:c>
      <x:c r="L103" s="29"/>
      <x:c r="M103" s="29"/>
      <x:c r="N103" s="29"/>
      <x:c r="O103" s="29"/>
      <x:c r="P103" s="29"/>
    </x:row>
    <x:row r="104" ht="30" customHeight="1">
      <x:c r="A104" s="29" t="str">
        <x:v>Vision</x:v>
      </x:c>
      <x:c r="B104" s="40" t="str">
        <x:v>vision.patch_embed.proj.bias</x:v>
      </x:c>
      <x:c r="C104" s="29" t="str">
        <x:v>[1024]</x:v>
      </x:c>
      <x:c r="D104" s="29" t="str">
        <x:v>BF16</x:v>
      </x:c>
      <x:c r="E104" s="31" t="n">
        <x:v>2</x:v>
      </x:c>
      <x:c r="F104" s="32" t="n">
        <x:v>1</x:v>
      </x:c>
      <x:c r="G104" s="32" t="n">
        <x:v>1024</x:v>
      </x:c>
      <x:c r="H104" s="32" t="str">
        <x:v>Replicated</x:v>
      </x:c>
      <x:c r="I104" s="32" t="n">
        <x:f>1</x:f>
        <x:v>1</x:v>
      </x:c>
      <x:c r="J104" s="33" t="n">
        <x:f>E104*F104*G104/1073741824</x:f>
        <x:v>0.0000019073486328125</x:v>
      </x:c>
      <x:c r="K104" s="33" t="n">
        <x:f>J104/I104</x:f>
        <x:v>0.0000019073486328125</x:v>
      </x:c>
      <x:c r="L104" s="29"/>
      <x:c r="M104" s="29"/>
      <x:c r="N104" s="29"/>
      <x:c r="O104" s="29"/>
      <x:c r="P104" s="29"/>
    </x:row>
    <x:row r="105" ht="30" customHeight="1">
      <x:c r="A105" s="29" t="str">
        <x:v>Vision</x:v>
      </x:c>
      <x:c r="B105" s="40" t="str">
        <x:v>vision.blocks.N.attn.wqkv.weight</x:v>
      </x:c>
      <x:c r="C105" s="29" t="str">
        <x:v>[3072, 1024]</x:v>
      </x:c>
      <x:c r="D105" s="29" t="str">
        <x:v>BF16</x:v>
      </x:c>
      <x:c r="E105" s="31" t="n">
        <x:v>2</x:v>
      </x:c>
      <x:c r="F105" s="32" t="n">
        <x:v>32</x:v>
      </x:c>
      <x:c r="G105" s="32" t="n">
        <x:v>3145728</x:v>
      </x:c>
      <x:c r="H105" s="32" t="str">
        <x:v>Replicated</x:v>
      </x:c>
      <x:c r="I105" s="32" t="n">
        <x:f>1</x:f>
        <x:v>1</x:v>
      </x:c>
      <x:c r="J105" s="33" t="n">
        <x:f>E105*F105*G105/1073741824</x:f>
        <x:v>0.1875</x:v>
      </x:c>
      <x:c r="K105" s="33" t="n">
        <x:f>J105/I105</x:f>
        <x:v>0.1875</x:v>
      </x:c>
      <x:c r="L105" s="29"/>
      <x:c r="M105" s="29"/>
      <x:c r="N105" s="29"/>
      <x:c r="O105" s="29"/>
      <x:c r="P105" s="29"/>
    </x:row>
    <x:row r="106" ht="30" customHeight="1">
      <x:c r="A106" s="29" t="str">
        <x:v>Vision</x:v>
      </x:c>
      <x:c r="B106" s="40" t="str">
        <x:v>vision.blocks.N.attn.wqkv.bias</x:v>
      </x:c>
      <x:c r="C106" s="29" t="str">
        <x:v>[3072]</x:v>
      </x:c>
      <x:c r="D106" s="29" t="str">
        <x:v>BF16</x:v>
      </x:c>
      <x:c r="E106" s="31" t="n">
        <x:v>2</x:v>
      </x:c>
      <x:c r="F106" s="32" t="n">
        <x:v>32</x:v>
      </x:c>
      <x:c r="G106" s="32" t="n">
        <x:v>3072</x:v>
      </x:c>
      <x:c r="H106" s="32" t="str">
        <x:v>Replicated</x:v>
      </x:c>
      <x:c r="I106" s="32" t="n">
        <x:f>1</x:f>
        <x:v>1</x:v>
      </x:c>
      <x:c r="J106" s="33" t="n">
        <x:f>E106*F106*G106/1073741824</x:f>
        <x:v>0.00018310546875</x:v>
      </x:c>
      <x:c r="K106" s="33" t="n">
        <x:f>J106/I106</x:f>
        <x:v>0.00018310546875</x:v>
      </x:c>
      <x:c r="L106" s="29"/>
      <x:c r="M106" s="29"/>
      <x:c r="N106" s="29"/>
      <x:c r="O106" s="29"/>
      <x:c r="P106" s="29"/>
    </x:row>
    <x:row r="107" ht="30" customHeight="1">
      <x:c r="A107" s="29" t="str">
        <x:v>Vision</x:v>
      </x:c>
      <x:c r="B107" s="40" t="str">
        <x:v>vision.blocks.N.attn.wo.weight</x:v>
      </x:c>
      <x:c r="C107" s="29" t="str">
        <x:v>[1024, 1024]</x:v>
      </x:c>
      <x:c r="D107" s="29" t="str">
        <x:v>BF16</x:v>
      </x:c>
      <x:c r="E107" s="31" t="n">
        <x:v>2</x:v>
      </x:c>
      <x:c r="F107" s="32" t="n">
        <x:v>32</x:v>
      </x:c>
      <x:c r="G107" s="32" t="n">
        <x:v>1048576</x:v>
      </x:c>
      <x:c r="H107" s="32" t="str">
        <x:v>Replicated</x:v>
      </x:c>
      <x:c r="I107" s="32" t="n">
        <x:f>1</x:f>
        <x:v>1</x:v>
      </x:c>
      <x:c r="J107" s="33" t="n">
        <x:f>E107*F107*G107/1073741824</x:f>
        <x:v>0.0625</x:v>
      </x:c>
      <x:c r="K107" s="33" t="n">
        <x:f>J107/I107</x:f>
        <x:v>0.0625</x:v>
      </x:c>
      <x:c r="L107" s="29"/>
      <x:c r="M107" s="29"/>
      <x:c r="N107" s="29"/>
      <x:c r="O107" s="29"/>
      <x:c r="P107" s="29"/>
    </x:row>
    <x:row r="108" ht="30" customHeight="1">
      <x:c r="A108" s="29" t="str">
        <x:v>Vision</x:v>
      </x:c>
      <x:c r="B108" s="40" t="str">
        <x:v>vision.blocks.N.attn.wo.bias</x:v>
      </x:c>
      <x:c r="C108" s="29" t="str">
        <x:v>[1024]</x:v>
      </x:c>
      <x:c r="D108" s="29" t="str">
        <x:v>BF16</x:v>
      </x:c>
      <x:c r="E108" s="31" t="n">
        <x:v>2</x:v>
      </x:c>
      <x:c r="F108" s="32" t="n">
        <x:v>32</x:v>
      </x:c>
      <x:c r="G108" s="32" t="n">
        <x:v>1024</x:v>
      </x:c>
      <x:c r="H108" s="32" t="str">
        <x:v>Replicated</x:v>
      </x:c>
      <x:c r="I108" s="32" t="n">
        <x:f>1</x:f>
        <x:v>1</x:v>
      </x:c>
      <x:c r="J108" s="33" t="n">
        <x:f>E108*F108*G108/1073741824</x:f>
        <x:v>0.00006103515625</x:v>
      </x:c>
      <x:c r="K108" s="33" t="n">
        <x:f>J108/I108</x:f>
        <x:v>0.00006103515625</x:v>
      </x:c>
      <x:c r="L108" s="29"/>
      <x:c r="M108" s="29"/>
      <x:c r="N108" s="29"/>
      <x:c r="O108" s="29"/>
      <x:c r="P108" s="29"/>
    </x:row>
    <x:row r="109" ht="30" customHeight="1">
      <x:c r="A109" s="29" t="str">
        <x:v>Vision</x:v>
      </x:c>
      <x:c r="B109" s="40" t="str">
        <x:v>vision.blocks.N.mlp.w1.weight</x:v>
      </x:c>
      <x:c r="C109" s="29" t="str">
        <x:v>[5632, 1024]</x:v>
      </x:c>
      <x:c r="D109" s="29" t="str">
        <x:v>BF16</x:v>
      </x:c>
      <x:c r="E109" s="31" t="n">
        <x:v>2</x:v>
      </x:c>
      <x:c r="F109" s="32" t="n">
        <x:v>32</x:v>
      </x:c>
      <x:c r="G109" s="32" t="n">
        <x:v>5767168</x:v>
      </x:c>
      <x:c r="H109" s="32" t="str">
        <x:v>Replicated</x:v>
      </x:c>
      <x:c r="I109" s="32" t="n">
        <x:f>1</x:f>
        <x:v>1</x:v>
      </x:c>
      <x:c r="J109" s="33" t="n">
        <x:f>E109*F109*G109/1073741824</x:f>
        <x:v>0.34375</x:v>
      </x:c>
      <x:c r="K109" s="33" t="n">
        <x:f>J109/I109</x:f>
        <x:v>0.34375</x:v>
      </x:c>
      <x:c r="L109" s="29"/>
      <x:c r="M109" s="29"/>
      <x:c r="N109" s="29"/>
      <x:c r="O109" s="29"/>
      <x:c r="P109" s="29"/>
    </x:row>
    <x:row r="110" ht="30" customHeight="1">
      <x:c r="A110" s="29" t="str">
        <x:v>Vision</x:v>
      </x:c>
      <x:c r="B110" s="40" t="str">
        <x:v>vision.blocks.N.mlp.w2.weight</x:v>
      </x:c>
      <x:c r="C110" s="29" t="str">
        <x:v>[1024, 2816]</x:v>
      </x:c>
      <x:c r="D110" s="29" t="str">
        <x:v>BF16</x:v>
      </x:c>
      <x:c r="E110" s="31" t="n">
        <x:v>2</x:v>
      </x:c>
      <x:c r="F110" s="32" t="n">
        <x:v>32</x:v>
      </x:c>
      <x:c r="G110" s="32" t="n">
        <x:v>2883584</x:v>
      </x:c>
      <x:c r="H110" s="32" t="str">
        <x:v>Replicated</x:v>
      </x:c>
      <x:c r="I110" s="32" t="n">
        <x:f>1</x:f>
        <x:v>1</x:v>
      </x:c>
      <x:c r="J110" s="33" t="n">
        <x:f>E110*F110*G110/1073741824</x:f>
        <x:v>0.171875</x:v>
      </x:c>
      <x:c r="K110" s="33" t="n">
        <x:f>J110/I110</x:f>
        <x:v>0.171875</x:v>
      </x:c>
      <x:c r="L110" s="29"/>
      <x:c r="M110" s="29"/>
      <x:c r="N110" s="29"/>
      <x:c r="O110" s="29"/>
      <x:c r="P110" s="29"/>
    </x:row>
    <x:row r="111" ht="30" customHeight="1">
      <x:c r="A111" s="29" t="str">
        <x:v>Vision</x:v>
      </x:c>
      <x:c r="B111" s="40" t="str">
        <x:v>vision.blocks.N.norm1.weight</x:v>
      </x:c>
      <x:c r="C111" s="29" t="str">
        <x:v>[1024]</x:v>
      </x:c>
      <x:c r="D111" s="29" t="str">
        <x:v>BF16</x:v>
      </x:c>
      <x:c r="E111" s="31" t="n">
        <x:v>2</x:v>
      </x:c>
      <x:c r="F111" s="32" t="n">
        <x:v>32</x:v>
      </x:c>
      <x:c r="G111" s="32" t="n">
        <x:v>1024</x:v>
      </x:c>
      <x:c r="H111" s="32" t="str">
        <x:v>Replicated</x:v>
      </x:c>
      <x:c r="I111" s="32" t="n">
        <x:f>1</x:f>
        <x:v>1</x:v>
      </x:c>
      <x:c r="J111" s="33" t="n">
        <x:f>E111*F111*G111/1073741824</x:f>
        <x:v>0.00006103515625</x:v>
      </x:c>
      <x:c r="K111" s="33" t="n">
        <x:f>J111/I111</x:f>
        <x:v>0.00006103515625</x:v>
      </x:c>
      <x:c r="L111" s="29"/>
      <x:c r="M111" s="29"/>
      <x:c r="N111" s="29"/>
      <x:c r="O111" s="29"/>
      <x:c r="P111" s="29"/>
    </x:row>
    <x:row r="112" ht="30" customHeight="1">
      <x:c r="A112" s="29" t="str">
        <x:v>Vision</x:v>
      </x:c>
      <x:c r="B112" s="40" t="str">
        <x:v>vision.blocks.N.norm2.weight</x:v>
      </x:c>
      <x:c r="C112" s="29" t="str">
        <x:v>[1024]</x:v>
      </x:c>
      <x:c r="D112" s="29" t="str">
        <x:v>BF16</x:v>
      </x:c>
      <x:c r="E112" s="31" t="n">
        <x:v>2</x:v>
      </x:c>
      <x:c r="F112" s="32" t="n">
        <x:v>32</x:v>
      </x:c>
      <x:c r="G112" s="32" t="n">
        <x:v>1024</x:v>
      </x:c>
      <x:c r="H112" s="32" t="str">
        <x:v>Replicated</x:v>
      </x:c>
      <x:c r="I112" s="32" t="n">
        <x:f>1</x:f>
        <x:v>1</x:v>
      </x:c>
      <x:c r="J112" s="33" t="n">
        <x:f>E112*F112*G112/1073741824</x:f>
        <x:v>0.00006103515625</x:v>
      </x:c>
      <x:c r="K112" s="33" t="n">
        <x:f>J112/I112</x:f>
        <x:v>0.00006103515625</x:v>
      </x:c>
      <x:c r="L112" s="29"/>
      <x:c r="M112" s="29"/>
      <x:c r="N112" s="29"/>
      <x:c r="O112" s="29"/>
      <x:c r="P112" s="29"/>
    </x:row>
    <x:row r="113" ht="30" customHeight="1">
      <x:c r="A113" s="29" t="str">
        <x:v>Vision</x:v>
      </x:c>
      <x:c r="B113" s="40" t="str">
        <x:v>vision.norm.weight</x:v>
      </x:c>
      <x:c r="C113" s="29" t="str">
        <x:v>[1024]</x:v>
      </x:c>
      <x:c r="D113" s="29" t="str">
        <x:v>BF16</x:v>
      </x:c>
      <x:c r="E113" s="31" t="n">
        <x:v>2</x:v>
      </x:c>
      <x:c r="F113" s="32" t="n">
        <x:v>1</x:v>
      </x:c>
      <x:c r="G113" s="32" t="n">
        <x:v>1024</x:v>
      </x:c>
      <x:c r="H113" s="32" t="str">
        <x:v>Replicated</x:v>
      </x:c>
      <x:c r="I113" s="32" t="n">
        <x:f>1</x:f>
        <x:v>1</x:v>
      </x:c>
      <x:c r="J113" s="33" t="n">
        <x:f>E113*F113*G113/1073741824</x:f>
        <x:v>0.0000019073486328125</x:v>
      </x:c>
      <x:c r="K113" s="33" t="n">
        <x:f>J113/I113</x:f>
        <x:v>0.0000019073486328125</x:v>
      </x:c>
      <x:c r="L113" s="29"/>
      <x:c r="M113" s="29"/>
      <x:c r="N113" s="29"/>
      <x:c r="O113" s="29"/>
      <x:c r="P113" s="29"/>
    </x:row>
    <x:row r="114" ht="30" customHeight="1">
      <x:c r="A114" s="29" t="str">
        <x:v>Aligner</x:v>
      </x:c>
      <x:c r="B114" s="40" t="str">
        <x:v>aligner.w1.weight</x:v>
      </x:c>
      <x:c r="C114" s="29" t="str">
        <x:v>[5120, 9216]</x:v>
      </x:c>
      <x:c r="D114" s="29" t="str">
        <x:v>BF16</x:v>
      </x:c>
      <x:c r="E114" s="31" t="n">
        <x:v>2</x:v>
      </x:c>
      <x:c r="F114" s="32" t="n">
        <x:v>1</x:v>
      </x:c>
      <x:c r="G114" s="32" t="n">
        <x:v>47185920</x:v>
      </x:c>
      <x:c r="H114" s="32" t="str">
        <x:v>Replicated</x:v>
      </x:c>
      <x:c r="I114" s="32" t="n">
        <x:f>1</x:f>
        <x:v>1</x:v>
      </x:c>
      <x:c r="J114" s="33" t="n">
        <x:f>E114*F114*G114/1073741824</x:f>
        <x:v>0.087890625</x:v>
      </x:c>
      <x:c r="K114" s="33" t="n">
        <x:f>J114/I114</x:f>
        <x:v>0.087890625</x:v>
      </x:c>
      <x:c r="L114" s="29"/>
      <x:c r="M114" s="29"/>
      <x:c r="N114" s="29"/>
      <x:c r="O114" s="29"/>
      <x:c r="P114" s="29"/>
    </x:row>
    <x:row r="115" ht="30" customHeight="1">
      <x:c r="A115" s="29" t="str">
        <x:v>Aligner</x:v>
      </x:c>
      <x:c r="B115" s="40" t="str">
        <x:v>aligner.w1.bias</x:v>
      </x:c>
      <x:c r="C115" s="29" t="str">
        <x:v>[5120]</x:v>
      </x:c>
      <x:c r="D115" s="29" t="str">
        <x:v>BF16</x:v>
      </x:c>
      <x:c r="E115" s="31" t="n">
        <x:v>2</x:v>
      </x:c>
      <x:c r="F115" s="32" t="n">
        <x:v>1</x:v>
      </x:c>
      <x:c r="G115" s="32" t="n">
        <x:v>5120</x:v>
      </x:c>
      <x:c r="H115" s="32" t="str">
        <x:v>Replicated</x:v>
      </x:c>
      <x:c r="I115" s="32" t="n">
        <x:f>1</x:f>
        <x:v>1</x:v>
      </x:c>
      <x:c r="J115" s="33" t="n">
        <x:f>E115*F115*G115/1073741824</x:f>
        <x:v>0.0000095367431640625</x:v>
      </x:c>
      <x:c r="K115" s="33" t="n">
        <x:f>J115/I115</x:f>
        <x:v>0.0000095367431640625</x:v>
      </x:c>
      <x:c r="L115" s="29"/>
      <x:c r="M115" s="29"/>
      <x:c r="N115" s="29"/>
      <x:c r="O115" s="29"/>
      <x:c r="P115" s="29"/>
    </x:row>
    <x:row r="116" ht="30" customHeight="1">
      <x:c r="A116" s="29" t="str">
        <x:v>Aligner</x:v>
      </x:c>
      <x:c r="B116" s="40" t="str">
        <x:v>aligner.w2.weight</x:v>
      </x:c>
      <x:c r="C116" s="29" t="str">
        <x:v>[5120, 5120]</x:v>
      </x:c>
      <x:c r="D116" s="29" t="str">
        <x:v>BF16</x:v>
      </x:c>
      <x:c r="E116" s="31" t="n">
        <x:v>2</x:v>
      </x:c>
      <x:c r="F116" s="32" t="n">
        <x:v>1</x:v>
      </x:c>
      <x:c r="G116" s="32" t="n">
        <x:v>26214400</x:v>
      </x:c>
      <x:c r="H116" s="32" t="str">
        <x:v>Replicated</x:v>
      </x:c>
      <x:c r="I116" s="32" t="n">
        <x:f>1</x:f>
        <x:v>1</x:v>
      </x:c>
      <x:c r="J116" s="33" t="n">
        <x:f>E116*F116*G116/1073741824</x:f>
        <x:v>0.048828125</x:v>
      </x:c>
      <x:c r="K116" s="33" t="n">
        <x:f>J116/I116</x:f>
        <x:v>0.048828125</x:v>
      </x:c>
      <x:c r="L116" s="29"/>
      <x:c r="M116" s="29"/>
      <x:c r="N116" s="29"/>
      <x:c r="O116" s="29"/>
      <x:c r="P116" s="29"/>
    </x:row>
    <x:row r="117" ht="30" customHeight="1">
      <x:c r="A117" s="29" t="str">
        <x:v>Aligner</x:v>
      </x:c>
      <x:c r="B117" s="40" t="str">
        <x:v>aligner.w2.bias</x:v>
      </x:c>
      <x:c r="C117" s="29" t="str">
        <x:v>[5120]</x:v>
      </x:c>
      <x:c r="D117" s="29" t="str">
        <x:v>BF16</x:v>
      </x:c>
      <x:c r="E117" s="31" t="n">
        <x:v>2</x:v>
      </x:c>
      <x:c r="F117" s="32" t="n">
        <x:v>1</x:v>
      </x:c>
      <x:c r="G117" s="32" t="n">
        <x:v>5120</x:v>
      </x:c>
      <x:c r="H117" s="32" t="str">
        <x:v>Replicated</x:v>
      </x:c>
      <x:c r="I117" s="32" t="n">
        <x:f>1</x:f>
        <x:v>1</x:v>
      </x:c>
      <x:c r="J117" s="33" t="n">
        <x:f>E117*F117*G117/1073741824</x:f>
        <x:v>0.0000095367431640625</x:v>
      </x:c>
      <x:c r="K117" s="33" t="n">
        <x:f>J117/I117</x:f>
        <x:v>0.0000095367431640625</x:v>
      </x:c>
      <x:c r="L117" s="29"/>
      <x:c r="M117" s="29"/>
      <x:c r="N117" s="29"/>
      <x:c r="O117" s="29"/>
      <x:c r="P117" s="29"/>
    </x:row>
    <x:row r="118" ht="30" customHeight="1">
      <x:c r="A118" s="38" t="str">
        <x:v>合计</x:v>
      </x:c>
      <x:c r="B118" s="41"/>
      <x:c r="C118" s="38"/>
      <x:c r="D118" s="38"/>
      <x:c r="E118" s="38"/>
      <x:c r="F118" s="38"/>
      <x:c r="G118" s="38"/>
      <x:c r="H118" s="38"/>
      <x:c r="I118" s="38"/>
      <x:c r="J118" s="39" t="n">
        <x:f>SUM(J2:J117)</x:f>
        <x:v>475.2408927306533</x:v>
      </x:c>
      <x:c r="K118" s="39" t="n">
        <x:f>SUM(K2:K117)</x:f>
        <x:v>42.95761079527438</x:v>
      </x:c>
      <x:c r="L118" s="29"/>
      <x:c r="M118" s="29"/>
      <x:c r="N118" s="29"/>
      <x:c r="O118" s="29"/>
      <x:c r="P118" s="29"/>
    </x:row>
    <x:row r="119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</x:row>
    <x:row r="120" ht="42" customHeight="1">
      <x:c r="A120" s="18" t="str">
        <x:v>并行策略</x:v>
      </x:c>
      <x:c r="B120" s="18" t="str">
        <x:v>模块</x:v>
      </x:c>
      <x:c r="C120" s="18" t="str">
        <x:v>通信位置</x:v>
      </x:c>
      <x:c r="D120" s="18" t="str">
        <x:v>Collective</x:v>
      </x:c>
      <x:c r="E120" s="18" t="str">
        <x:v>输入/跨 Rank 期望元素</x:v>
      </x:c>
      <x:c r="F120" s="18" t="str">
        <x:v>字节/元素</x:v>
      </x:c>
      <x:c r="G120" s="18" t="str">
        <x:v>通信组大小</x:v>
      </x:c>
      <x:c r="H120" s="18" t="str">
        <x:v>次数/Step</x:v>
      </x:c>
      <x:c r="I120" s="18" t="str">
        <x:v>本 Rank 载荷 MiB/次</x:v>
      </x:c>
      <x:c r="J120" s="18" t="str">
        <x:v>Rank 平均发送 MiB/次</x:v>
      </x:c>
      <x:c r="K120" s="18" t="str">
        <x:v>Rank 平均发送 MiB/Step</x:v>
      </x:c>
      <x:c r="L120" s="18" t="str">
        <x:v>通信组建模发送 MiB/Step</x:v>
      </x:c>
      <x:c r="M120" s="29"/>
      <x:c r="N120" s="29"/>
      <x:c r="O120" s="29"/>
      <x:c r="P120" s="29"/>
    </x:row>
    <x:row r="121">
      <x:c r="A121" s="29" t="str">
        <x:v>SP</x:v>
      </x:c>
      <x:c r="B121" s="29" t="str">
        <x:v>Attention</x:v>
      </x:c>
      <x:c r="C121" s="29" t="str">
        <x:v>逐层输入</x:v>
      </x:c>
      <x:c r="D121" s="29" t="str">
        <x:v>Ring AllGather</x:v>
      </x:c>
      <x:c r="E121" s="32" t="n">
        <x:f>ROUNDUP('Decode'!$P$7/'Decode'!$P$12,0)*5120</x:f>
        <x:v>655360</x:v>
      </x:c>
      <x:c r="F121" s="32" t="n">
        <x:f>'Decode'!$P$28</x:f>
        <x:v>2</x:v>
      </x:c>
      <x:c r="G121" s="32" t="n">
        <x:f>'Decode'!$P$12</x:f>
        <x:v>1</x:v>
      </x:c>
      <x:c r="H121" s="32" t="n">
        <x:f>40*'Decode'!$P$13</x:f>
        <x:v>0</x:v>
      </x:c>
      <x:c r="I121" s="33" t="n">
        <x:f>E121*F121/1048576</x:f>
        <x:v>1.25</x:v>
      </x:c>
      <x:c r="J121" s="33" t="n">
        <x:f>I121*(IF(G121&gt;1,G121-1,0))</x:f>
        <x:v>0</x:v>
      </x:c>
      <x:c r="K121" s="33" t="n">
        <x:f>J121*H121</x:f>
        <x:v>0</x:v>
      </x:c>
      <x:c r="L121" s="33" t="n">
        <x:f>K121*G121</x:f>
        <x:v>0</x:v>
      </x:c>
      <x:c r="M121" s="29"/>
      <x:c r="N121" s="29"/>
      <x:c r="O121" s="29"/>
      <x:c r="P121" s="29"/>
    </x:row>
    <x:row r="122">
      <x:c r="A122" s="29" t="str">
        <x:v>DSA CP</x:v>
      </x:c>
      <x:c r="B122" s="29" t="str">
        <x:v>Attention</x:v>
      </x:c>
      <x:c r="C122" s="29" t="str">
        <x:v>Token/Head 交换</x:v>
      </x:c>
      <x:c r="D122" s="29" t="str">
        <x:v>Equal-split AllToAll</x:v>
      </x:c>
      <x:c r="E122" s="32" t="n">
        <x:f>ROUNDUP('Decode'!$P$7/'Decode'!$P$12,0)*32768</x:f>
        <x:v>4194304</x:v>
      </x:c>
      <x:c r="F122" s="32" t="n">
        <x:f>'Decode'!$P$28</x:f>
        <x:v>2</x:v>
      </x:c>
      <x:c r="G122" s="32" t="n">
        <x:f>'Decode'!$P$12</x:f>
        <x:v>1</x:v>
      </x:c>
      <x:c r="H122" s="32" t="n">
        <x:f>40*'Decode'!$P$25</x:f>
        <x:v>0</x:v>
      </x:c>
      <x:c r="I122" s="33" t="n">
        <x:f>E122*F122/1048576</x:f>
        <x:v>8</x:v>
      </x:c>
      <x:c r="J122" s="33" t="n">
        <x:f>I122*(IF(G122&gt;1,(G122-1)/G122,0))</x:f>
        <x:v>0</x:v>
      </x:c>
      <x:c r="K122" s="33" t="n">
        <x:f>J122*H122</x:f>
        <x:v>0</x:v>
      </x:c>
      <x:c r="L122" s="33" t="n">
        <x:f>K122*G122</x:f>
        <x:v>0</x:v>
      </x:c>
      <x:c r="M122" s="29"/>
      <x:c r="N122" s="29"/>
      <x:c r="O122" s="29"/>
      <x:c r="P122" s="29"/>
    </x:row>
    <x:row r="123">
      <x:c r="A123" s="29" t="str">
        <x:v>SP</x:v>
      </x:c>
      <x:c r="B123" s="29" t="str">
        <x:v>Attention</x:v>
      </x:c>
      <x:c r="C123" s="29" t="str">
        <x:v>O Proj 后</x:v>
      </x:c>
      <x:c r="D123" s="29" t="str">
        <x:v>Ring ReduceScatter</x:v>
      </x:c>
      <x:c r="E123" s="32" t="n">
        <x:f>(ROUNDUP('Decode'!$P$7/'Decode'!$P$12,0)*'Decode'!$P$12)*5120</x:f>
        <x:v>655360</x:v>
      </x:c>
      <x:c r="F123" s="32" t="n">
        <x:f>'Decode'!$P$28</x:f>
        <x:v>2</x:v>
      </x:c>
      <x:c r="G123" s="32" t="n">
        <x:f>'Decode'!$P$12</x:f>
        <x:v>1</x:v>
      </x:c>
      <x:c r="H123" s="32" t="n">
        <x:f>40*'Decode'!$P$13</x:f>
        <x:v>0</x:v>
      </x:c>
      <x:c r="I123" s="33" t="n">
        <x:f>E123*F123/1048576</x:f>
        <x:v>1.25</x:v>
      </x:c>
      <x:c r="J123" s="33" t="n">
        <x:f>I123*(IF(G123&gt;1,(G123-1)/G123,0))</x:f>
        <x:v>0</x:v>
      </x:c>
      <x:c r="K123" s="33" t="n">
        <x:f>J123*H123</x:f>
        <x:v>0</x:v>
      </x:c>
      <x:c r="L123" s="33" t="n">
        <x:f>K123*G123</x:f>
        <x:v>0</x:v>
      </x:c>
      <x:c r="M123" s="29"/>
      <x:c r="N123" s="29"/>
      <x:c r="O123" s="29"/>
      <x:c r="P123" s="29"/>
    </x:row>
    <x:row r="124">
      <x:c r="A124" s="29" t="str">
        <x:v>Attention TP</x:v>
      </x:c>
      <x:c r="B124" s="29" t="str">
        <x:v>Attention</x:v>
      </x:c>
      <x:c r="C124" s="29" t="str">
        <x:v>非 SP 输出</x:v>
      </x:c>
      <x:c r="D124" s="29" t="str">
        <x:v>Ring AllReduce</x:v>
      </x:c>
      <x:c r="E124" s="32" t="n">
        <x:f>'Decode'!$P$7*5120</x:f>
        <x:v>655360</x:v>
      </x:c>
      <x:c r="F124" s="32" t="n">
        <x:f>'Decode'!$P$28</x:f>
        <x:v>2</x:v>
      </x:c>
      <x:c r="G124" s="32" t="n">
        <x:f>'Decode'!$P$12</x:f>
        <x:v>1</x:v>
      </x:c>
      <x:c r="H124" s="32" t="n">
        <x:f>40*(1-'Decode'!$P$13)</x:f>
        <x:v>40</x:v>
      </x:c>
      <x:c r="I124" s="33" t="n">
        <x:f>E124*F124/1048576</x:f>
        <x:v>1.25</x:v>
      </x:c>
      <x:c r="J124" s="33" t="n">
        <x:f>I124*(IF(G124&gt;1,2*(G124-1)/G124,0))</x:f>
        <x:v>0</x:v>
      </x:c>
      <x:c r="K124" s="33" t="n">
        <x:f>J124*H124</x:f>
        <x:v>0</x:v>
      </x:c>
      <x:c r="L124" s="33" t="n">
        <x:f>K124*G124</x:f>
        <x:v>0</x:v>
      </x:c>
      <x:c r="M124" s="29"/>
      <x:c r="N124" s="29"/>
      <x:c r="O124" s="29"/>
      <x:c r="P124" s="29"/>
    </x:row>
    <x:row r="125">
      <x:c r="A125" s="29" t="str">
        <x:v>SP</x:v>
      </x:c>
      <x:c r="B125" s="29" t="str">
        <x:v>Model Output</x:v>
      </x:c>
      <x:c r="C125" s="29" t="str">
        <x:v>最终 Hidden</x:v>
      </x:c>
      <x:c r="D125" s="29" t="str">
        <x:v>Ring AllGather</x:v>
      </x:c>
      <x:c r="E125" s="32" t="n">
        <x:f>ROUNDUP('Decode'!$P$7/'Decode'!$P$12,0)*5120</x:f>
        <x:v>655360</x:v>
      </x:c>
      <x:c r="F125" s="32" t="n">
        <x:f>'Decode'!$P$28</x:f>
        <x:v>2</x:v>
      </x:c>
      <x:c r="G125" s="32" t="n">
        <x:f>'Decode'!$P$12</x:f>
        <x:v>1</x:v>
      </x:c>
      <x:c r="H125" s="32" t="n">
        <x:f>'Decode'!$P$13</x:f>
        <x:v>0</x:v>
      </x:c>
      <x:c r="I125" s="33" t="n">
        <x:f>E125*F125/1048576</x:f>
        <x:v>1.25</x:v>
      </x:c>
      <x:c r="J125" s="33" t="n">
        <x:f>I125*(IF(G125&gt;1,G125-1,0))</x:f>
        <x:v>0</x:v>
      </x:c>
      <x:c r="K125" s="33" t="n">
        <x:f>J125*H125</x:f>
        <x:v>0</x:v>
      </x:c>
      <x:c r="L125" s="33" t="n">
        <x:f>K125*G125</x:f>
        <x:v>0</x:v>
      </x:c>
      <x:c r="M125" s="29"/>
      <x:c r="N125" s="29"/>
      <x:c r="O125" s="29"/>
      <x:c r="P125" s="29"/>
    </x:row>
    <x:row r="126">
      <x:c r="A126" s="29" t="str">
        <x:v>EP 期望</x:v>
      </x:c>
      <x:c r="B126" s="29" t="str">
        <x:v>MoE Hidden</x:v>
      </x:c>
      <x:c r="C126" s="29" t="str">
        <x:v>Dispatch 仅 Hidden</x:v>
      </x:c>
      <x:c r="D126" s="29" t="str">
        <x:v>AllToAllV（跨 Rank 发送）</x:v>
      </x:c>
      <x:c r="E126" s="32" t="n">
        <x:f>ROUNDUP('Decode'!$P$7/'Decode'!$P$12,0)*5120*6*'Decode'!$P$32</x:f>
        <x:v>3809280</x:v>
      </x:c>
      <x:c r="F126" s="32" t="n">
        <x:f>'Decode'!$P$39</x:f>
        <x:v>2</x:v>
      </x:c>
      <x:c r="G126" s="32" t="n">
        <x:f>'Decode'!$P$14</x:f>
        <x:v>32</x:v>
      </x:c>
      <x:c r="H126" s="32" t="n">
        <x:f>40</x:f>
        <x:v>40</x:v>
      </x:c>
      <x:c r="I126" s="33" t="n">
        <x:f>E126*F126/1048576</x:f>
        <x:v>7.265625</x:v>
      </x:c>
      <x:c r="J126" s="33" t="n">
        <x:f>I126*(IF(G126&gt;1,1,0))</x:f>
        <x:v>7.265625</x:v>
      </x:c>
      <x:c r="K126" s="33" t="n">
        <x:f>J126*H126</x:f>
        <x:v>290.625</x:v>
      </x:c>
      <x:c r="L126" s="33" t="n">
        <x:f>K126*G126</x:f>
        <x:v>9300</x:v>
      </x:c>
      <x:c r="M126" s="29"/>
      <x:c r="N126" s="29"/>
      <x:c r="O126" s="29"/>
      <x:c r="P126" s="29"/>
    </x:row>
    <x:row r="127">
      <x:c r="A127" s="29" t="str">
        <x:v>EP 期望</x:v>
      </x:c>
      <x:c r="B127" s="29" t="str">
        <x:v>MoE Hidden</x:v>
      </x:c>
      <x:c r="C127" s="29" t="str">
        <x:v>Combine 仅 Hidden</x:v>
      </x:c>
      <x:c r="D127" s="29" t="str">
        <x:v>AllToAllV（跨 Rank 发送）</x:v>
      </x:c>
      <x:c r="E127" s="32" t="n">
        <x:f>ROUNDUP('Decode'!$P$7/'Decode'!$P$12,0)*5120*6*'Decode'!$P$32</x:f>
        <x:v>3809280</x:v>
      </x:c>
      <x:c r="F127" s="32" t="n">
        <x:f>'Decode'!$P$40</x:f>
        <x:v>2</x:v>
      </x:c>
      <x:c r="G127" s="32" t="n">
        <x:f>'Decode'!$P$14</x:f>
        <x:v>32</x:v>
      </x:c>
      <x:c r="H127" s="32" t="n">
        <x:f>40</x:f>
        <x:v>40</x:v>
      </x:c>
      <x:c r="I127" s="33" t="n">
        <x:f>E127*F127/1048576</x:f>
        <x:v>7.265625</x:v>
      </x:c>
      <x:c r="J127" s="33" t="n">
        <x:f>I127*(IF(G127&gt;1,1,0))</x:f>
        <x:v>7.265625</x:v>
      </x:c>
      <x:c r="K127" s="33" t="n">
        <x:f>J127*H127</x:f>
        <x:v>290.625</x:v>
      </x:c>
      <x:c r="L127" s="33" t="n">
        <x:f>K127*G127</x:f>
        <x:v>9300</x:v>
      </x:c>
      <x:c r="M127" s="29"/>
      <x:c r="N127" s="29"/>
      <x:c r="O127" s="29"/>
      <x:c r="P127" s="29"/>
    </x:row>
    <x:row r="128">
      <x:c r="A128" s="29" t="str">
        <x:v>Engram</x:v>
      </x:c>
      <x:c r="B128" s="29" t="str">
        <x:v>Node Metadata</x:v>
      </x:c>
      <x:c r="C128" s="29" t="str">
        <x:v>两表合并 Counts</x:v>
      </x:c>
      <x:c r="D128" s="29" t="str">
        <x:v>Ring AllGather</x:v>
      </x:c>
      <x:c r="E128" s="32" t="n">
        <x:f>2*('Decode'!$P$37+1)</x:f>
        <x:v>18</x:v>
      </x:c>
      <x:c r="F128" s="32" t="n">
        <x:f>8</x:f>
        <x:v>8</x:v>
      </x:c>
      <x:c r="G128" s="32" t="n">
        <x:f>'Decode'!$P$37</x:f>
        <x:v>8</x:v>
      </x:c>
      <x:c r="H128" s="32" t="n">
        <x:f>'Decode'!$P$38</x:f>
        <x:v>1</x:v>
      </x:c>
      <x:c r="I128" s="33" t="n">
        <x:f>E128*F128/1048576</x:f>
        <x:v>0.0001373291015625</x:v>
      </x:c>
      <x:c r="J128" s="33" t="n">
        <x:f>I128*(IF(G128&gt;1,G128-1,0))</x:f>
        <x:v>0.0009613037109375</x:v>
      </x:c>
      <x:c r="K128" s="33" t="n">
        <x:f>J128*H128</x:f>
        <x:v>0.0009613037109375</x:v>
      </x:c>
      <x:c r="L128" s="33" t="n">
        <x:f>K128*G128</x:f>
        <x:v>0.0076904296875</x:v>
      </x:c>
      <x:c r="M128" s="29"/>
      <x:c r="N128" s="29"/>
      <x:c r="O128" s="29"/>
      <x:c r="P128" s="29"/>
    </x:row>
    <x:row r="129">
      <x:c r="A129" s="29" t="str">
        <x:v>Engram 期望</x:v>
      </x:c>
      <x:c r="B129" s="29" t="str">
        <x:v>Node IDs</x:v>
      </x:c>
      <x:c r="C129" s="29" t="str">
        <x:v>均匀 Owner 路由</x:v>
      </x:c>
      <x:c r="D129" s="29" t="str">
        <x:v>AllToAllV（跨 Rank 发送）</x:v>
      </x:c>
      <x:c r="E129" s="32" t="n">
        <x:f>('Decode'!$P$7*24*2)/'Decode'!$P$12*('Decode'!$P$37-1)/'Decode'!$P$37</x:f>
        <x:v>5376</x:v>
      </x:c>
      <x:c r="F129" s="32" t="n">
        <x:f>8</x:f>
        <x:v>8</x:v>
      </x:c>
      <x:c r="G129" s="32" t="n">
        <x:f>'Decode'!$P$37</x:f>
        <x:v>8</x:v>
      </x:c>
      <x:c r="H129" s="32" t="n">
        <x:f>'Decode'!$P$38</x:f>
        <x:v>1</x:v>
      </x:c>
      <x:c r="I129" s="33" t="n">
        <x:f>E129*F129/1048576</x:f>
        <x:v>0.041015625</x:v>
      </x:c>
      <x:c r="J129" s="33" t="n">
        <x:f>I129*(IF(G129&gt;1,1,0))</x:f>
        <x:v>0.041015625</x:v>
      </x:c>
      <x:c r="K129" s="33" t="n">
        <x:f>J129*H129</x:f>
        <x:v>0.041015625</x:v>
      </x:c>
      <x:c r="L129" s="33" t="n">
        <x:f>K129*G129</x:f>
        <x:v>0.328125</x:v>
      </x:c>
      <x:c r="M129" s="29"/>
      <x:c r="N129" s="29"/>
      <x:c r="O129" s="29"/>
      <x:c r="P129" s="29"/>
    </x:row>
    <x:row r="130">
      <x:c r="A130" s="29" t="str">
        <x:v>Engram 期望</x:v>
      </x:c>
      <x:c r="B130" s="29" t="str">
        <x:v>Node Responses</x:v>
      </x:c>
      <x:c r="C130" s="29" t="str">
        <x:v>反向 BF16 返回</x:v>
      </x:c>
      <x:c r="D130" s="29" t="str">
        <x:v>AllToAllV（跨 Rank 发送）</x:v>
      </x:c>
      <x:c r="E130" s="32" t="n">
        <x:f>('Decode'!$P$7*24*2)/'Decode'!$P$12*('Decode'!$P$37-1)/'Decode'!$P$37*256</x:f>
        <x:v>1376256</x:v>
      </x:c>
      <x:c r="F130" s="32" t="n">
        <x:f>2</x:f>
        <x:v>2</x:v>
      </x:c>
      <x:c r="G130" s="32" t="n">
        <x:f>'Decode'!$P$37</x:f>
        <x:v>8</x:v>
      </x:c>
      <x:c r="H130" s="32" t="n">
        <x:f>'Decode'!$P$38</x:f>
        <x:v>1</x:v>
      </x:c>
      <x:c r="I130" s="33" t="n">
        <x:f>E130*F130/1048576</x:f>
        <x:v>2.625</x:v>
      </x:c>
      <x:c r="J130" s="33" t="n">
        <x:f>I130*(IF(G130&gt;1,1,0))</x:f>
        <x:v>2.625</x:v>
      </x:c>
      <x:c r="K130" s="33" t="n">
        <x:f>J130*H130</x:f>
        <x:v>2.625</x:v>
      </x:c>
      <x:c r="L130" s="33" t="n">
        <x:f>K130*G130</x:f>
        <x:v>21</x:v>
      </x:c>
      <x:c r="M130" s="29"/>
      <x:c r="N130" s="29"/>
      <x:c r="O130" s="29"/>
      <x:c r="P130" s="29"/>
    </x:row>
    <x:row r="131">
      <x:c r="A131" s="29" t="str">
        <x:v>Engram</x:v>
      </x:c>
      <x:c r="B131" s="29" t="str">
        <x:v>TP Lookup</x:v>
      </x:c>
      <x:c r="C131" s="29" t="str">
        <x:v>两表合并广播</x:v>
      </x:c>
      <x:c r="D131" s="29" t="str">
        <x:v>Tree Broadcast（Rank 均值）</x:v>
      </x:c>
      <x:c r="E131" s="32" t="n">
        <x:f>('Decode'!$P$7*24*2)*256</x:f>
        <x:v>1572864</x:v>
      </x:c>
      <x:c r="F131" s="32" t="n">
        <x:f>2</x:f>
        <x:v>2</x:v>
      </x:c>
      <x:c r="G131" s="32" t="n">
        <x:f>'Decode'!$P$12</x:f>
        <x:v>1</x:v>
      </x:c>
      <x:c r="H131" s="32" t="n">
        <x:f>'Decode'!$P$38</x:f>
        <x:v>1</x:v>
      </x:c>
      <x:c r="I131" s="33" t="n">
        <x:f>E131*F131/1048576</x:f>
        <x:v>3</x:v>
      </x:c>
      <x:c r="J131" s="33" t="n">
        <x:f>I131*(IF(G131&gt;1,(G131-1)/G131,0))</x:f>
        <x:v>0</x:v>
      </x:c>
      <x:c r="K131" s="33" t="n">
        <x:f>J131*H131</x:f>
        <x:v>0</x:v>
      </x:c>
      <x:c r="L131" s="33" t="n">
        <x:f>K131*G131</x:f>
        <x:v>0</x:v>
      </x:c>
      <x:c r="M131" s="29"/>
      <x:c r="N131" s="29"/>
      <x:c r="O131" s="29"/>
      <x:c r="P131" s="29"/>
    </x:row>
    <x:row r="132">
      <x:c r="A132" s="38" t="str">
        <x:v>所列事件平均 Rank 合计</x:v>
      </x:c>
      <x:c r="B132" s="38"/>
      <x:c r="C132" s="38"/>
      <x:c r="D132" s="38"/>
      <x:c r="E132" s="38"/>
      <x:c r="F132" s="38"/>
      <x:c r="G132" s="38"/>
      <x:c r="H132" s="38"/>
      <x:c r="I132" s="39"/>
      <x:c r="J132" s="39"/>
      <x:c r="K132" s="39" t="n">
        <x:f>SUM(K121:K131)</x:f>
        <x:v>583.9169769287109</x:v>
      </x:c>
      <x:c r="L132" s="39"/>
      <x:c r="M132" s="29"/>
      <x:c r="N132" s="29"/>
      <x:c r="O132" s="29"/>
      <x:c r="P132" s="29"/>
    </x:row>
    <x:row r="135" ht="15" customHeight="1">
      <x:c r="A135" s="38" t="str">
        <x:v>PD 带宽争用耗时评估</x:v>
      </x:c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</x:row>
    <x:row r="136" ht="15" customHeight="1">
      <x:c r="A136" s="29" t="str">
        <x:v>Decode 当前表参数；100 GB/s 为归一化示例。所列事件的带宽项，不等于完整 forward 耗时。</x:v>
      </x:c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</x:row>
    <x:row r="137" ht="30" customHeight="1">
      <x:c r="A137" s="66" t="str">
        <x:v>带宽降幅</x:v>
      </x:c>
      <x:c r="B137" s="66" t="str">
        <x:v>输入</x:v>
      </x:c>
      <x:c r="C137" s="66" t="str">
        <x:v>争用覆盖率</x:v>
      </x:c>
      <x:c r="D137" s="66" t="str">
        <x:v>输入</x:v>
      </x:c>
      <x:c r="E137" s="66" t="str">
        <x:v>基线 forward ms</x:v>
      </x:c>
      <x:c r="F137" s="66" t="str">
        <x:v>实测输入</x:v>
      </x:c>
      <x:c r="G137" s="66" t="str">
        <x:v>默认带宽 GB/s</x:v>
      </x:c>
      <x:c r="H137" s="66" t="str">
        <x:v>输入</x:v>
      </x:c>
      <x:c r="I137" s="29"/>
      <x:c r="J137" s="29"/>
      <x:c r="K137" s="29"/>
      <x:c r="L137" s="29"/>
    </x:row>
    <x:row r="138" ht="15" customHeight="1">
      <x:c r="A138" s="29"/>
      <x:c r="B138" s="67" t="n">
        <x:v>0.1</x:v>
      </x:c>
      <x:c r="C138" s="29"/>
      <x:c r="D138" s="67" t="n">
        <x:v>1</x:v>
      </x:c>
      <x:c r="E138" s="29"/>
      <x:c r="F138" s="68"/>
      <x:c r="G138" s="29"/>
      <x:c r="H138" s="35" t="n">
        <x:v>100</x:v>
      </x:c>
      <x:c r="I138" s="29"/>
      <x:c r="J138" s="29"/>
      <x:c r="K138" s="29"/>
      <x:c r="L138" s="29"/>
    </x:row>
    <x:row r="139" ht="30" customHeight="1">
      <x:c r="A139" s="66" t="str">
        <x:v>通信基线 ms</x:v>
      </x:c>
      <x:c r="B139" s="66" t="str">
        <x:v>结果</x:v>
      </x:c>
      <x:c r="C139" s="66" t="str">
        <x:v>通信争用后 ms</x:v>
      </x:c>
      <x:c r="D139" s="66" t="str">
        <x:v>结果</x:v>
      </x:c>
      <x:c r="E139" s="66" t="str">
        <x:v>forward 增量 ms</x:v>
      </x:c>
      <x:c r="F139" s="66" t="str">
        <x:v>结果</x:v>
      </x:c>
      <x:c r="G139" s="66" t="str">
        <x:v>forward 新耗时 ms</x:v>
      </x:c>
      <x:c r="H139" s="66" t="str">
        <x:v>结果</x:v>
      </x:c>
      <x:c r="I139" s="66" t="str">
        <x:v>forward 增幅</x:v>
      </x:c>
      <x:c r="J139" s="66" t="str">
        <x:v>结果</x:v>
      </x:c>
      <x:c r="K139" s="66" t="str">
        <x:v>输入状态</x:v>
      </x:c>
      <x:c r="L139" s="66" t="str">
        <x:v>状态</x:v>
      </x:c>
    </x:row>
    <x:row r="140" ht="15" customHeight="1">
      <x:c r="A140" s="53"/>
      <x:c r="B140" s="53" t="n">
        <x:f>SUM(G144:G155)</x:f>
        <x:v>6.44184048</x:v>
      </x:c>
      <x:c r="C140" s="53"/>
      <x:c r="D140" s="53" t="n">
        <x:f>SUM(H144:H155)</x:f>
        <x:v>7.157600533333333</x:v>
      </x:c>
      <x:c r="E140" s="53"/>
      <x:c r="F140" s="53" t="n">
        <x:f>SUM(K144:K155)</x:f>
        <x:v>0.7157600533333335</x:v>
      </x:c>
      <x:c r="G140" s="53"/>
      <x:c r="H140" s="53" t="str">
        <x:f>IF(AND(ISNUMBER($F$138),$F$138&gt;0,$F$138&gt;=SUMPRODUCT(G144:G155,J144:J155)),$F$138+F140,"")</x:f>
      </x:c>
      <x:c r="I140" s="53"/>
      <x:c r="J140" s="54" t="str">
        <x:f>IF(AND(ISNUMBER($F$138),$F$138&gt;0,$F$138&gt;=SUMPRODUCT(G144:G155,J144:J155)),F140/$F$138,"")</x:f>
      </x:c>
      <x:c r="K140" s="53"/>
      <x:c r="L140" s="53" t="str">
        <x:f>IF($F$138="","待填基线",IF(AND(ISNUMBER($F$138),$F$138&gt;0,$F$138&gt;=SUMPRODUCT(G144:G155,J144:J155)),"已填基线","基线/暴露不一致"))</x:f>
        <x:v>待填基线</x:v>
      </x:c>
    </x:row>
    <x:row r="141" ht="15" customHeight="1">
      <x:c r="A141" s="29" t="str">
        <x:v>共享比例=0 表示独立链路；暴露系数=0 表示增量完全隐藏。默认均为 1，降幅只作用于带宽项。</x:v>
      </x:c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</x:row>
    <x:row r="142" ht="15" customHeight="1">
      <x:c r="A142" s="29" t="str">
        <x:v>KV 字节按源码张量布局计算；计算口径见 analysis/PD-MINUTE.md。</x:v>
      </x:c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</x:row>
    <x:row r="143" ht="30" customHeight="1">
      <x:c r="A143" s="66" t="str">
        <x:v>并行域</x:v>
      </x:c>
      <x:c r="B143" s="66" t="str">
        <x:v>模块</x:v>
      </x:c>
      <x:c r="C143" s="66" t="str">
        <x:v>通信事件</x:v>
      </x:c>
      <x:c r="D143" s="66" t="str">
        <x:v>GB/Rank/Step</x:v>
      </x:c>
      <x:c r="E143" s="66" t="str">
        <x:v>有效带宽 GB/s</x:v>
      </x:c>
      <x:c r="F143" s="66" t="str">
        <x:v>共享比例</x:v>
      </x:c>
      <x:c r="G143" s="66" t="str">
        <x:v>基线带宽项 ms</x:v>
      </x:c>
      <x:c r="H143" s="66" t="str">
        <x:v>争用后带宽项 ms</x:v>
      </x:c>
      <x:c r="I143" s="66" t="str">
        <x:v>通信增量 ms</x:v>
      </x:c>
      <x:c r="J143" s="66" t="str">
        <x:v>暴露系数</x:v>
      </x:c>
      <x:c r="K143" s="66" t="str">
        <x:v>forward 增量 ms</x:v>
      </x:c>
      <x:c r="L143" s="66" t="str">
        <x:v>公式口径</x:v>
      </x:c>
    </x:row>
    <x:row r="144" ht="15" customHeight="1">
      <x:c r="A144" s="29" t="str">
        <x:v>SP</x:v>
      </x:c>
      <x:c r="B144" s="29" t="str">
        <x:v>Attention</x:v>
      </x:c>
      <x:c r="C144" s="29" t="str">
        <x:v>逐层输入</x:v>
      </x:c>
      <x:c r="D144" s="33" t="n">
        <x:f>(K121*2^20)/1e9</x:f>
        <x:v>0</x:v>
      </x:c>
      <x:c r="E144" s="69" t="n">
        <x:f>$H$138</x:f>
        <x:v>100</x:v>
      </x:c>
      <x:c r="F144" s="63" t="n">
        <x:v>1</x:v>
      </x:c>
      <x:c r="G144" s="33" t="n">
        <x:f>IF(AND(ISNUMBER(E144),E144&gt;0,ISNUMBER($B$138),$B$138&gt;=0,$B$138&lt;1,ISNUMBER($D$138),$D$138&gt;=0,$D$138&lt;=1,ISNUMBER(F144),F144&gt;=0,F144&lt;=1,ISNUMBER(J144),J144&gt;=0,J144&lt;=1),D144/E144*1000,NA())</x:f>
        <x:v>0</x:v>
      </x:c>
      <x:c r="H144" s="33" t="n">
        <x:f>G144+I144</x:f>
        <x:v>0</x:v>
      </x:c>
      <x:c r="I144" s="33" t="n">
        <x:f>G144*F144*$D$138*$B$138/(1-$B$138)</x:f>
        <x:v>0</x:v>
      </x:c>
      <x:c r="J144" s="63" t="n">
        <x:v>1</x:v>
      </x:c>
      <x:c r="K144" s="33" t="n">
        <x:f>I144*J144</x:f>
        <x:v>0</x:v>
      </x:c>
      <x:c r="L144" s="29" t="str">
        <x:v>原通信行 121</x:v>
      </x:c>
    </x:row>
    <x:row r="145" ht="15" customHeight="1">
      <x:c r="A145" s="29" t="str">
        <x:v>DSA CP</x:v>
      </x:c>
      <x:c r="B145" s="29" t="str">
        <x:v>Attention</x:v>
      </x:c>
      <x:c r="C145" s="29" t="str">
        <x:v>Token/Head 交换</x:v>
      </x:c>
      <x:c r="D145" s="33" t="n">
        <x:f>(K122*2^20)/1e9</x:f>
        <x:v>0</x:v>
      </x:c>
      <x:c r="E145" s="69" t="n">
        <x:f>$H$138</x:f>
        <x:v>100</x:v>
      </x:c>
      <x:c r="F145" s="63" t="n">
        <x:v>1</x:v>
      </x:c>
      <x:c r="G145" s="33" t="n">
        <x:f>IF(AND(ISNUMBER(E145),E145&gt;0,ISNUMBER($B$138),$B$138&gt;=0,$B$138&lt;1,ISNUMBER($D$138),$D$138&gt;=0,$D$138&lt;=1,ISNUMBER(F145),F145&gt;=0,F145&lt;=1,ISNUMBER(J145),J145&gt;=0,J145&lt;=1),D145/E145*1000,NA())</x:f>
        <x:v>0</x:v>
      </x:c>
      <x:c r="H145" s="33" t="n">
        <x:f>G145+I145</x:f>
        <x:v>0</x:v>
      </x:c>
      <x:c r="I145" s="33" t="n">
        <x:f>G145*F145*$D$138*$B$138/(1-$B$138)</x:f>
        <x:v>0</x:v>
      </x:c>
      <x:c r="J145" s="63" t="n">
        <x:v>1</x:v>
      </x:c>
      <x:c r="K145" s="33" t="n">
        <x:f>I145*J145</x:f>
        <x:v>0</x:v>
      </x:c>
      <x:c r="L145" s="29" t="str">
        <x:v>原通信行 122</x:v>
      </x:c>
    </x:row>
    <x:row r="146" ht="15" customHeight="1">
      <x:c r="A146" s="29" t="str">
        <x:v>SP</x:v>
      </x:c>
      <x:c r="B146" s="29" t="str">
        <x:v>Attention</x:v>
      </x:c>
      <x:c r="C146" s="29" t="str">
        <x:v>O Proj 后</x:v>
      </x:c>
      <x:c r="D146" s="33" t="n">
        <x:f>(K123*2^20)/1e9</x:f>
        <x:v>0</x:v>
      </x:c>
      <x:c r="E146" s="69" t="n">
        <x:f>$H$138</x:f>
        <x:v>100</x:v>
      </x:c>
      <x:c r="F146" s="63" t="n">
        <x:v>1</x:v>
      </x:c>
      <x:c r="G146" s="33" t="n">
        <x:f>IF(AND(ISNUMBER(E146),E146&gt;0,ISNUMBER($B$138),$B$138&gt;=0,$B$138&lt;1,ISNUMBER($D$138),$D$138&gt;=0,$D$138&lt;=1,ISNUMBER(F146),F146&gt;=0,F146&lt;=1,ISNUMBER(J146),J146&gt;=0,J146&lt;=1),D146/E146*1000,NA())</x:f>
        <x:v>0</x:v>
      </x:c>
      <x:c r="H146" s="33" t="n">
        <x:f>G146+I146</x:f>
        <x:v>0</x:v>
      </x:c>
      <x:c r="I146" s="33" t="n">
        <x:f>G146*F146*$D$138*$B$138/(1-$B$138)</x:f>
        <x:v>0</x:v>
      </x:c>
      <x:c r="J146" s="63" t="n">
        <x:v>1</x:v>
      </x:c>
      <x:c r="K146" s="33" t="n">
        <x:f>I146*J146</x:f>
        <x:v>0</x:v>
      </x:c>
      <x:c r="L146" s="29" t="str">
        <x:v>原通信行 123</x:v>
      </x:c>
    </x:row>
    <x:row r="147" ht="15" customHeight="1">
      <x:c r="A147" s="29" t="str">
        <x:v>Attention TP</x:v>
      </x:c>
      <x:c r="B147" s="29" t="str">
        <x:v>Attention</x:v>
      </x:c>
      <x:c r="C147" s="29" t="str">
        <x:v>非 SP 输出</x:v>
      </x:c>
      <x:c r="D147" s="33" t="n">
        <x:f>(K124*2^20)/1e9</x:f>
        <x:v>0</x:v>
      </x:c>
      <x:c r="E147" s="69" t="n">
        <x:f>$H$138</x:f>
        <x:v>100</x:v>
      </x:c>
      <x:c r="F147" s="63" t="n">
        <x:v>1</x:v>
      </x:c>
      <x:c r="G147" s="33" t="n">
        <x:f>IF(AND(ISNUMBER(E147),E147&gt;0,ISNUMBER($B$138),$B$138&gt;=0,$B$138&lt;1,ISNUMBER($D$138),$D$138&gt;=0,$D$138&lt;=1,ISNUMBER(F147),F147&gt;=0,F147&lt;=1,ISNUMBER(J147),J147&gt;=0,J147&lt;=1),D147/E147*1000,NA())</x:f>
        <x:v>0</x:v>
      </x:c>
      <x:c r="H147" s="33" t="n">
        <x:f>G147+I147</x:f>
        <x:v>0</x:v>
      </x:c>
      <x:c r="I147" s="33" t="n">
        <x:f>G147*F147*$D$138*$B$138/(1-$B$138)</x:f>
        <x:v>0</x:v>
      </x:c>
      <x:c r="J147" s="63" t="n">
        <x:v>1</x:v>
      </x:c>
      <x:c r="K147" s="33" t="n">
        <x:f>I147*J147</x:f>
        <x:v>0</x:v>
      </x:c>
      <x:c r="L147" s="29" t="str">
        <x:v>原通信行 124</x:v>
      </x:c>
    </x:row>
    <x:row r="148" ht="15" customHeight="1">
      <x:c r="A148" s="29" t="str">
        <x:v>SP</x:v>
      </x:c>
      <x:c r="B148" s="29" t="str">
        <x:v>Model Output</x:v>
      </x:c>
      <x:c r="C148" s="29" t="str">
        <x:v>最终 Hidden</x:v>
      </x:c>
      <x:c r="D148" s="33" t="n">
        <x:f>(K125*2^20)/1e9</x:f>
        <x:v>0</x:v>
      </x:c>
      <x:c r="E148" s="69" t="n">
        <x:f>$H$138</x:f>
        <x:v>100</x:v>
      </x:c>
      <x:c r="F148" s="63" t="n">
        <x:v>1</x:v>
      </x:c>
      <x:c r="G148" s="33" t="n">
        <x:f>IF(AND(ISNUMBER(E148),E148&gt;0,ISNUMBER($B$138),$B$138&gt;=0,$B$138&lt;1,ISNUMBER($D$138),$D$138&gt;=0,$D$138&lt;=1,ISNUMBER(F148),F148&gt;=0,F148&lt;=1,ISNUMBER(J148),J148&gt;=0,J148&lt;=1),D148/E148*1000,NA())</x:f>
        <x:v>0</x:v>
      </x:c>
      <x:c r="H148" s="33" t="n">
        <x:f>G148+I148</x:f>
        <x:v>0</x:v>
      </x:c>
      <x:c r="I148" s="33" t="n">
        <x:f>G148*F148*$D$138*$B$138/(1-$B$138)</x:f>
        <x:v>0</x:v>
      </x:c>
      <x:c r="J148" s="63" t="n">
        <x:v>1</x:v>
      </x:c>
      <x:c r="K148" s="33" t="n">
        <x:f>I148*J148</x:f>
        <x:v>0</x:v>
      </x:c>
      <x:c r="L148" s="29" t="str">
        <x:v>原通信行 125</x:v>
      </x:c>
    </x:row>
    <x:row r="149" ht="15" customHeight="1">
      <x:c r="A149" s="29" t="str">
        <x:v>EP 期望</x:v>
      </x:c>
      <x:c r="B149" s="29" t="str">
        <x:v>MoE Hidden</x:v>
      </x:c>
      <x:c r="C149" s="29" t="str">
        <x:v>MC2 FullMesh Dispatch</x:v>
      </x:c>
      <x:c r="D149" s="33" t="n">
        <x:f>(IF(F126=2,E126/5120*H126*(ROUNDUP((ROUNDUP(5120*F126/32,0)*32+32)/480,0)*512),NA()))/1e9</x:f>
        <x:v>0.33521664</x:v>
      </x:c>
      <x:c r="E149" s="69" t="n">
        <x:f>$H$138</x:f>
        <x:v>100</x:v>
      </x:c>
      <x:c r="F149" s="63" t="n">
        <x:v>1</x:v>
      </x:c>
      <x:c r="G149" s="33" t="n">
        <x:f>IF(AND(ISNUMBER(E149),E149&gt;0,ISNUMBER($B$138),$B$138&gt;=0,$B$138&lt;1,ISNUMBER($D$138),$D$138&gt;=0,$D$138&lt;=1,ISNUMBER(F149),F149&gt;=0,F149&lt;=1,ISNUMBER(J149),J149&gt;=0,J149&lt;=1),D149/E149*1000,NA())</x:f>
        <x:v>3.3521664</x:v>
      </x:c>
      <x:c r="H149" s="33" t="n">
        <x:f>G149+I149</x:f>
        <x:v>3.7246293333333336</x:v>
      </x:c>
      <x:c r="I149" s="33" t="n">
        <x:f>G149*F149*$D$138*$B$138/(1-$B$138)</x:f>
        <x:v>0.3724629333333334</x:v>
      </x:c>
      <x:c r="J149" s="63" t="n">
        <x:v>1</x:v>
      </x:c>
      <x:c r="K149" s="33" t="n">
        <x:f>I149*J149</x:f>
        <x:v>0.3724629333333334</x:v>
      </x:c>
      <x:c r="L149" s="29" t="str">
        <x:v>原通信行 126</x:v>
      </x:c>
    </x:row>
    <x:row r="150" ht="15" customHeight="1">
      <x:c r="A150" s="29" t="str">
        <x:v>EP 期望</x:v>
      </x:c>
      <x:c r="B150" s="29" t="str">
        <x:v>MoE Hidden</x:v>
      </x:c>
      <x:c r="C150" s="29" t="str">
        <x:v>MC2 Combine + flags</x:v>
      </x:c>
      <x:c r="D150" s="33" t="n">
        <x:f>(IF(F127=2,K127*2^20+E127/5120*H127*32,NA()))/1e9</x:f>
        <x:v>0.30569472</x:v>
      </x:c>
      <x:c r="E150" s="69" t="n">
        <x:f>$H$138</x:f>
        <x:v>100</x:v>
      </x:c>
      <x:c r="F150" s="63" t="n">
        <x:v>1</x:v>
      </x:c>
      <x:c r="G150" s="33" t="n">
        <x:f>IF(AND(ISNUMBER(E150),E150&gt;0,ISNUMBER($B$138),$B$138&gt;=0,$B$138&lt;1,ISNUMBER($D$138),$D$138&gt;=0,$D$138&lt;=1,ISNUMBER(F150),F150&gt;=0,F150&lt;=1,ISNUMBER(J150),J150&gt;=0,J150&lt;=1),D150/E150*1000,NA())</x:f>
        <x:v>3.0569471999999998</x:v>
      </x:c>
      <x:c r="H150" s="33" t="n">
        <x:f>G150+I150</x:f>
        <x:v>3.3966079999999996</x:v>
      </x:c>
      <x:c r="I150" s="33" t="n">
        <x:f>G150*F150*$D$138*$B$138/(1-$B$138)</x:f>
        <x:v>0.3396608</x:v>
      </x:c>
      <x:c r="J150" s="63" t="n">
        <x:v>1</x:v>
      </x:c>
      <x:c r="K150" s="33" t="n">
        <x:f>I150*J150</x:f>
        <x:v>0.3396608</x:v>
      </x:c>
      <x:c r="L150" s="29" t="str">
        <x:v>原通信行 127</x:v>
      </x:c>
    </x:row>
    <x:row r="151" ht="15" customHeight="1">
      <x:c r="A151" s="29" t="str">
        <x:v>Engram</x:v>
      </x:c>
      <x:c r="B151" s="29" t="str">
        <x:v>Node Metadata</x:v>
      </x:c>
      <x:c r="C151" s="29" t="str">
        <x:v>两表合并 Counts</x:v>
      </x:c>
      <x:c r="D151" s="33" t="n">
        <x:f>(K128*2^20)/1e9</x:f>
        <x:v>0.000001008</x:v>
      </x:c>
      <x:c r="E151" s="69" t="n">
        <x:f>$H$138</x:f>
        <x:v>100</x:v>
      </x:c>
      <x:c r="F151" s="63" t="n">
        <x:v>1</x:v>
      </x:c>
      <x:c r="G151" s="33" t="n">
        <x:f>IF(AND(ISNUMBER(E151),E151&gt;0,ISNUMBER($B$138),$B$138&gt;=0,$B$138&lt;1,ISNUMBER($D$138),$D$138&gt;=0,$D$138&lt;=1,ISNUMBER(F151),F151&gt;=0,F151&lt;=1,ISNUMBER(J151),J151&gt;=0,J151&lt;=1),D151/E151*1000,NA())</x:f>
        <x:v>0.00001008</x:v>
      </x:c>
      <x:c r="H151" s="33" t="n">
        <x:f>G151+I151</x:f>
        <x:v>0.0000112</x:v>
      </x:c>
      <x:c r="I151" s="33" t="n">
        <x:f>G151*F151*$D$138*$B$138/(1-$B$138)</x:f>
        <x:v>0.00000112</x:v>
      </x:c>
      <x:c r="J151" s="63" t="n">
        <x:v>1</x:v>
      </x:c>
      <x:c r="K151" s="33" t="n">
        <x:f>I151*J151</x:f>
        <x:v>0.00000112</x:v>
      </x:c>
      <x:c r="L151" s="29" t="str">
        <x:v>原通信行 128</x:v>
      </x:c>
    </x:row>
    <x:row r="152" ht="15" customHeight="1">
      <x:c r="A152" s="29" t="str">
        <x:v>Engram 期望</x:v>
      </x:c>
      <x:c r="B152" s="29" t="str">
        <x:v>Node IDs</x:v>
      </x:c>
      <x:c r="C152" s="29" t="str">
        <x:v>均匀 Owner 路由</x:v>
      </x:c>
      <x:c r="D152" s="33" t="n">
        <x:f>(K129*2^20)/1e9</x:f>
        <x:v>0.000043008</x:v>
      </x:c>
      <x:c r="E152" s="69" t="n">
        <x:f>$H$138</x:f>
        <x:v>100</x:v>
      </x:c>
      <x:c r="F152" s="63" t="n">
        <x:v>1</x:v>
      </x:c>
      <x:c r="G152" s="33" t="n">
        <x:f>IF(AND(ISNUMBER(E152),E152&gt;0,ISNUMBER($B$138),$B$138&gt;=0,$B$138&lt;1,ISNUMBER($D$138),$D$138&gt;=0,$D$138&lt;=1,ISNUMBER(F152),F152&gt;=0,F152&lt;=1,ISNUMBER(J152),J152&gt;=0,J152&lt;=1),D152/E152*1000,NA())</x:f>
        <x:v>0.00043008</x:v>
      </x:c>
      <x:c r="H152" s="33" t="n">
        <x:f>G152+I152</x:f>
        <x:v>0.00047786666666666666</x:v>
      </x:c>
      <x:c r="I152" s="33" t="n">
        <x:f>G152*F152*$D$138*$B$138/(1-$B$138)</x:f>
        <x:v>0.000047786666666666674</x:v>
      </x:c>
      <x:c r="J152" s="63" t="n">
        <x:v>1</x:v>
      </x:c>
      <x:c r="K152" s="33" t="n">
        <x:f>I152*J152</x:f>
        <x:v>0.000047786666666666674</x:v>
      </x:c>
      <x:c r="L152" s="29" t="str">
        <x:v>原通信行 129</x:v>
      </x:c>
    </x:row>
    <x:row r="153" ht="15" customHeight="1">
      <x:c r="A153" s="29" t="str">
        <x:v>Engram 期望</x:v>
      </x:c>
      <x:c r="B153" s="29" t="str">
        <x:v>Node Responses</x:v>
      </x:c>
      <x:c r="C153" s="29" t="str">
        <x:v>反向 BF16 返回</x:v>
      </x:c>
      <x:c r="D153" s="33" t="n">
        <x:f>(K130*2^20)/1e9</x:f>
        <x:v>0.002752512</x:v>
      </x:c>
      <x:c r="E153" s="69" t="n">
        <x:f>$H$138</x:f>
        <x:v>100</x:v>
      </x:c>
      <x:c r="F153" s="63" t="n">
        <x:v>1</x:v>
      </x:c>
      <x:c r="G153" s="33" t="n">
        <x:f>IF(AND(ISNUMBER(E153),E153&gt;0,ISNUMBER($B$138),$B$138&gt;=0,$B$138&lt;1,ISNUMBER($D$138),$D$138&gt;=0,$D$138&lt;=1,ISNUMBER(F153),F153&gt;=0,F153&lt;=1,ISNUMBER(J153),J153&gt;=0,J153&lt;=1),D153/E153*1000,NA())</x:f>
        <x:v>0.02752512</x:v>
      </x:c>
      <x:c r="H153" s="33" t="n">
        <x:f>G153+I153</x:f>
        <x:v>0.030583466666666666</x:v>
      </x:c>
      <x:c r="I153" s="33" t="n">
        <x:f>G153*F153*$D$138*$B$138/(1-$B$138)</x:f>
        <x:v>0.003058346666666667</x:v>
      </x:c>
      <x:c r="J153" s="63" t="n">
        <x:v>1</x:v>
      </x:c>
      <x:c r="K153" s="33" t="n">
        <x:f>I153*J153</x:f>
        <x:v>0.003058346666666667</x:v>
      </x:c>
      <x:c r="L153" s="29" t="str">
        <x:v>原通信行 130</x:v>
      </x:c>
    </x:row>
    <x:row r="154" ht="15" customHeight="1">
      <x:c r="A154" s="29" t="str">
        <x:v>Engram</x:v>
      </x:c>
      <x:c r="B154" s="29" t="str">
        <x:v>TP Lookup</x:v>
      </x:c>
      <x:c r="C154" s="29" t="str">
        <x:v>两表合并广播</x:v>
      </x:c>
      <x:c r="D154" s="33" t="n">
        <x:f>(K131*2^20)/1e9</x:f>
        <x:v>0</x:v>
      </x:c>
      <x:c r="E154" s="69" t="n">
        <x:f>$H$138</x:f>
        <x:v>100</x:v>
      </x:c>
      <x:c r="F154" s="63" t="n">
        <x:v>1</x:v>
      </x:c>
      <x:c r="G154" s="33" t="n">
        <x:f>IF(AND(ISNUMBER(E154),E154&gt;0,ISNUMBER($B$138),$B$138&gt;=0,$B$138&lt;1,ISNUMBER($D$138),$D$138&gt;=0,$D$138&lt;=1,ISNUMBER(F154),F154&gt;=0,F154&lt;=1,ISNUMBER(J154),J154&gt;=0,J154&lt;=1),D154/E154*1000,NA())</x:f>
        <x:v>0</x:v>
      </x:c>
      <x:c r="H154" s="33" t="n">
        <x:f>G154+I154</x:f>
        <x:v>0</x:v>
      </x:c>
      <x:c r="I154" s="33" t="n">
        <x:f>G154*F154*$D$138*$B$138/(1-$B$138)</x:f>
        <x:v>0</x:v>
      </x:c>
      <x:c r="J154" s="63" t="n">
        <x:v>1</x:v>
      </x:c>
      <x:c r="K154" s="33" t="n">
        <x:f>I154*J154</x:f>
        <x:v>0</x:v>
      </x:c>
      <x:c r="L154" s="29" t="str">
        <x:v>原通信行 131</x:v>
      </x:c>
    </x:row>
    <x:row r="155" ht="15" customHeight="1">
      <x:c r="A155" s="29" t="str">
        <x:v>EP</x:v>
      </x:c>
      <x:c r="B155" s="29" t="str">
        <x:v>MoE 计数</x:v>
      </x:c>
      <x:c r="C155" s="29" t="str">
        <x:v>MC2 count 写入</x:v>
      </x:c>
      <x:c r="D155" s="33" t="n">
        <x:f>(IF(E126=0,0,H126*ROUNDUP(384/G126,0)*(G126-1)*32))/1e9</x:f>
        <x:v>0.00047616</x:v>
      </x:c>
      <x:c r="E155" s="69" t="n">
        <x:f>$H$138</x:f>
        <x:v>100</x:v>
      </x:c>
      <x:c r="F155" s="63" t="n">
        <x:v>1</x:v>
      </x:c>
      <x:c r="G155" s="33" t="n">
        <x:f>IF(AND(ISNUMBER(E155),E155&gt;0,ISNUMBER($B$138),$B$138&gt;=0,$B$138&lt;1,ISNUMBER($D$138),$D$138&gt;=0,$D$138&lt;=1,ISNUMBER(F155),F155&gt;=0,F155&lt;=1,ISNUMBER(J155),J155&gt;=0,J155&lt;=1),D155/E155*1000,NA())</x:f>
        <x:v>0.0047616</x:v>
      </x:c>
      <x:c r="H155" s="33" t="n">
        <x:f>G155+I155</x:f>
        <x:v>0.0052906666666666675</x:v>
      </x:c>
      <x:c r="I155" s="33" t="n">
        <x:f>G155*F155*$D$138*$B$138/(1-$B$138)</x:f>
        <x:v>0.0005290666666666667</x:v>
      </x:c>
      <x:c r="J155" s="63" t="n">
        <x:v>1</x:v>
      </x:c>
      <x:c r="K155" s="33" t="n">
        <x:f>I155*J155</x:f>
        <x:v>0.0005290666666666667</x:v>
      </x:c>
      <x:c r="L155" s="29" t="str">
        <x:v>额外控制量</x:v>
      </x:c>
    </x:row>
    <x:row r="156" ht="15" customHeight="1">
      <x:c r="A156" s="38" t="str">
        <x:v>所列事件串行相加</x:v>
      </x:c>
      <x:c r="B156" s="38"/>
      <x:c r="C156" s="38"/>
      <x:c r="D156" s="39" t="n">
        <x:f>SUM(D144:D155)</x:f>
        <x:v>0.6441840480000001</x:v>
      </x:c>
      <x:c r="E156" s="38"/>
      <x:c r="F156" s="38"/>
      <x:c r="G156" s="39" t="n">
        <x:f>SUM(G144:G155)</x:f>
        <x:v>6.44184048</x:v>
      </x:c>
      <x:c r="H156" s="39" t="n">
        <x:f>SUM(H144:H155)</x:f>
        <x:v>7.157600533333333</x:v>
      </x:c>
      <x:c r="I156" s="39" t="n">
        <x:f>SUM(I144:I155)</x:f>
        <x:v>0.7157600533333335</x:v>
      </x:c>
      <x:c r="J156" s="38"/>
      <x:c r="K156" s="39" t="n">
        <x:f>SUM(K144:K155)</x:f>
        <x:v>0.7157600533333335</x:v>
      </x:c>
      <x:c r="L156" s="38"/>
    </x:row>
  </x:sheetData>
  <x:mergeCells>
    <x:mergeCell ref="O56:P56"/>
    <x:mergeCell ref="O57:P57"/>
    <x:mergeCell ref="O58:P58"/>
    <x:mergeCell ref="O59:P59"/>
    <x:mergeCell ref="O60:P60"/>
    <x:mergeCell ref="O61:P61"/>
    <x:mergeCell ref="O62:P62"/>
    <x:mergeCell ref="O63:P63"/>
    <x:mergeCell ref="O64:P64"/>
  </x:mergeCells>
  <x:conditionalFormatting sqref="L140:L140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2" customHeight="1">
      <x:c r="A1" s="29"/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</x:row>
    <x:row r="2" ht="22" customHeight="1">
      <x:c r="A2" s="46" t="str">
        <x:v>PD KV 传输：一分钟内的 Decode 通信暴露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</x:row>
    <x:row r="3" ht="22" customHeight="1">
      <x:c r="A3" s="29" t="str">
        <x:v>稳态相位平均估算。每层以等长 EP 通信段建模；未使用逐层 profiling，次数可为小数。</x:v>
      </x:c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</x:row>
    <x:row r="4" ht="22" customHeight="1">
      <x:c r="A4" s="29"/>
      <x:c r="B4" s="29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</x:row>
    <x:row r="5" ht="34" customHeight="1">
      <x:c r="A5" s="29" t="str">
        <x:v>每 P DP 请求数</x:v>
      </x:c>
      <x:c r="B5" s="71" t="n">
        <x:v>16</x:v>
      </x:c>
      <x:c r="C5" s="29"/>
      <x:c r="D5" s="29"/>
      <x:c r="E5" s="40" t="str">
        <x:v>P deployment
count</x:v>
      </x:c>
      <x:c r="F5" s="71" t="n">
        <x:v>1</x:v>
      </x:c>
      <x:c r="G5" s="29"/>
      <x:c r="H5" s="29"/>
      <x:c r="I5" s="40" t="str">
        <x:v>D deployment
count</x:v>
      </x:c>
      <x:c r="J5" s="71" t="n">
        <x:v>1</x:v>
      </x:c>
      <x:c r="K5" s="29"/>
      <x:c r="L5" s="29"/>
      <x:c r="M5" s="29" t="str">
        <x:v>KV 带宽 GB/s</x:v>
      </x:c>
      <x:c r="N5" s="72" t="n">
        <x:v>4800</x:v>
      </x:c>
      <x:c r="O5" s="29"/>
      <x:c r="P5" s="29"/>
      <x:c r="Q5" s="29"/>
      <x:c r="R5" s="29"/>
      <x:c r="S5" s="29"/>
      <x:c r="T5" s="29"/>
      <x:c r="U5" s="29"/>
      <x:c r="V5" s="29"/>
      <x:c r="W5" s="29"/>
      <x:c r="X5" s="29"/>
    </x:row>
    <x:row r="6" ht="22" customHeight="1">
      <x:c r="A6" s="29"/>
      <x:c r="B6" s="29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</x:row>
    <x:row r="7" ht="22" customHeight="1">
      <x:c r="A7" s="29" t="str">
        <x:v>D tokens/DP/步</x:v>
      </x:c>
      <x:c r="B7" s="71" t="n">
        <x:v>128</x:v>
      </x:c>
      <x:c r="C7" s="29"/>
      <x:c r="D7" s="29"/>
      <x:c r="E7" s="29" t="str">
        <x:v>产出 tokens/步</x:v>
      </x:c>
      <x:c r="F7" s="72" t="n">
        <x:v>1</x:v>
      </x:c>
      <x:c r="G7" s="29"/>
      <x:c r="H7" s="29"/>
      <x:c r="I7" s="29" t="str">
        <x:v>窗口内带宽降幅</x:v>
      </x:c>
      <x:c r="J7" s="73" t="n">
        <x:v>0.1</x:v>
      </x:c>
      <x:c r="K7" s="29"/>
      <x:c r="L7" s="29"/>
      <x:c r="M7" s="29" t="str">
        <x:v>EP 带宽 GB/s</x:v>
      </x:c>
      <x:c r="N7" s="72" t="n">
        <x:v>4800</x:v>
      </x:c>
      <x:c r="O7" s="29"/>
      <x:c r="P7" s="29"/>
      <x:c r="Q7" s="29"/>
      <x:c r="R7" s="29"/>
      <x:c r="S7" s="29"/>
      <x:c r="T7" s="29"/>
      <x:c r="U7" s="29"/>
      <x:c r="V7" s="29"/>
      <x:c r="W7" s="29"/>
      <x:c r="X7" s="29"/>
    </x:row>
    <x:row r="8" ht="22" customHeight="1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</x:row>
    <x:row r="9" ht="34" customHeight="1">
      <x:c r="A9" s="40" t="str">
        <x:v>KV bursts
per interval</x:v>
      </x:c>
      <x:c r="B9" s="71" t="n">
        <x:v>1</x:v>
      </x:c>
      <x:c r="C9" s="29"/>
      <x:c r="D9" s="29"/>
      <x:c r="E9" s="40" t="str">
        <x:v>EP shared
resource fraction</x:v>
      </x:c>
      <x:c r="F9" s="73" t="n">
        <x:v>1</x:v>
      </x:c>
      <x:c r="G9" s="29"/>
      <x:c r="H9" s="29"/>
      <x:c r="I9" s="40" t="str">
        <x:v>EP exposed
comm fraction</x:v>
      </x:c>
      <x:c r="J9" s="73" t="n">
        <x:v>1</x:v>
      </x:c>
      <x:c r="K9" s="29"/>
      <x:c r="L9" s="29"/>
      <x:c r="M9" s="29" t="str">
        <x:v>KV block tokens</x:v>
      </x:c>
      <x:c r="N9" s="71" t="n">
        <x:v>128</x:v>
      </x:c>
      <x:c r="O9" s="29"/>
      <x:c r="P9" s="29"/>
      <x:c r="Q9" s="29"/>
      <x:c r="R9" s="29"/>
      <x:c r="S9" s="29"/>
      <x:c r="T9" s="29"/>
      <x:c r="U9" s="29"/>
      <x:c r="V9" s="29"/>
      <x:c r="W9" s="29"/>
      <x:c r="X9" s="29"/>
    </x:row>
    <x:row r="10" ht="22" customHeight="1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</x:row>
    <x:row r="11" ht="22" customHeight="1">
      <x:c r="A11" s="29" t="str">
        <x:v>Conv 额外 slots</x:v>
      </x:c>
      <x:c r="B11" s="71" t="n">
        <x:v>7</x:v>
      </x:c>
      <x:c r="C11" s="29"/>
      <x:c r="D11" s="29" t="str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</x:row>
    <x:row r="12" ht="22" customHeight="1">
      <x:c r="A12" s="29" t="str">
        <x:v>P = Prefill，D = Decode。通常只需修改带宽、请求数和 TTFT/TPOT；附加假设可保持默认。</x:v>
      </x:c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</x:row>
    <x:row r="13" ht="22" customHeight="1">
      <x:c r="A13" s="29" t="str">
        <x:v>Total overhead 表示基线 60 秒工作量的额外耗时；TTFT 在这里作为 KV 批次到达间隔。</x:v>
      </x:c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</x:row>
    <x:row r="14" ht="42" customHeight="1">
      <x:c r="A14" s="78" t="str">
        <x:v>输入场景</x:v>
      </x:c>
      <x:c r="B14" s="78" t="str">
        <x:v>输入 tokens</x:v>
      </x:c>
      <x:c r="C14" s="78" t="str">
        <x:v>TTFT / 周期 s</x:v>
      </x:c>
      <x:c r="D14" s="78" t="str"/>
      <x:c r="E14" s="78" t="str">
        <x:v>TPOT 档位</x:v>
      </x:c>
      <x:c r="F14" s="78" t="str">
        <x:v>TPOT ms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</x:row>
    <x:row r="15" ht="22" customHeight="1">
      <x:c r="A15" s="29" t="str">
        <x:v>16K</x:v>
      </x:c>
      <x:c r="B15" s="71" t="n">
        <x:v>16384</x:v>
      </x:c>
      <x:c r="C15" s="72" t="n">
        <x:v>4</x:v>
      </x:c>
      <x:c r="D15" s="29"/>
      <x:c r="E15" s="29" t="n">
        <x:v>1</x:v>
      </x:c>
      <x:c r="F15" s="72" t="n">
        <x:v>5</x:v>
      </x:c>
      <x:c r="G15" s="29"/>
      <x:c r="H15" s="84" t="str">
        <x:v>Default: P = D = 1; KV bursts = 1; shared / exposed fractions = 100%.</x:v>
      </x:c>
      <x:c r="I15" s="84"/>
      <x:c r="J15" s="84"/>
      <x:c r="K15" s="84"/>
      <x:c r="L15" s="84"/>
      <x:c r="M15" s="84"/>
      <x:c r="N15" s="84"/>
      <x:c r="O15" s="84"/>
      <x:c r="P15" s="84"/>
      <x:c r="Q15" s="84"/>
      <x:c r="R15" s="84"/>
      <x:c r="S15" s="84"/>
      <x:c r="T15" s="84"/>
      <x:c r="U15" s="84"/>
      <x:c r="V15" s="29"/>
      <x:c r="W15" s="29"/>
      <x:c r="X15" s="29"/>
    </x:row>
    <x:row r="16" ht="22" customHeight="1">
      <x:c r="A16" s="29" t="str">
        <x:v>256K</x:v>
      </x:c>
      <x:c r="B16" s="71" t="n">
        <x:v>262144</x:v>
      </x:c>
      <x:c r="C16" s="72" t="n">
        <x:v>20</x:v>
      </x:c>
      <x:c r="D16" s="29"/>
      <x:c r="E16" s="29" t="n">
        <x:v>2</x:v>
      </x:c>
      <x:c r="F16" s="72" t="n">
        <x:v>10</x:v>
      </x:c>
      <x:c r="G16" s="29"/>
      <x:c r="H16" s="84" t="str">
        <x:v>Deployment count：完整 EP 部署的套数；EP32 每套 32 卡，EP256 每套 256 卡。</x:v>
      </x:c>
      <x:c r="I16" s="84"/>
      <x:c r="J16" s="84"/>
      <x:c r="K16" s="84"/>
      <x:c r="L16" s="84"/>
      <x:c r="M16" s="84"/>
      <x:c r="N16" s="84"/>
      <x:c r="O16" s="84"/>
      <x:c r="P16" s="84"/>
      <x:c r="Q16" s="84"/>
      <x:c r="R16" s="84"/>
      <x:c r="S16" s="84"/>
      <x:c r="T16" s="84"/>
      <x:c r="U16" s="84"/>
      <x:c r="V16" s="29"/>
      <x:c r="W16" s="29"/>
      <x:c r="X16" s="29"/>
    </x:row>
    <x:row r="17" ht="22" customHeight="1">
      <x:c r="A17" s="29" t="str">
        <x:v>1M</x:v>
      </x:c>
      <x:c r="B17" s="71" t="n">
        <x:v>1048576</x:v>
      </x:c>
      <x:c r="C17" s="72" t="n">
        <x:v>60</x:v>
      </x:c>
      <x:c r="D17" s="29"/>
      <x:c r="E17" s="29" t="n">
        <x:v>3</x:v>
      </x:c>
      <x:c r="F17" s="72" t="n">
        <x:v>20</x:v>
      </x:c>
      <x:c r="G17" s="29"/>
      <x:c r="H17" s="84" t="str">
        <x:v>Shared resource fraction：通信中与 KV 竞争同一资源的比例。100% = 全部；0% = 资源独立。</x:v>
      </x:c>
      <x:c r="I17" s="84"/>
      <x:c r="J17" s="84"/>
      <x:c r="K17" s="84"/>
      <x:c r="L17" s="84"/>
      <x:c r="M17" s="84"/>
      <x:c r="N17" s="84"/>
      <x:c r="O17" s="84"/>
      <x:c r="P17" s="84"/>
      <x:c r="Q17" s="84"/>
      <x:c r="R17" s="84"/>
      <x:c r="S17" s="84"/>
      <x:c r="T17" s="84"/>
      <x:c r="U17" s="84"/>
      <x:c r="V17" s="29"/>
      <x:c r="W17" s="29"/>
      <x:c r="X17" s="29"/>
    </x:row>
    <x:row r="18" ht="22" customHeight="1">
      <x:c r="A18" s="29"/>
      <x:c r="B18" s="29"/>
      <x:c r="C18" s="29"/>
      <x:c r="D18" s="29"/>
      <x:c r="E18" s="29" t="n">
        <x:v>4</x:v>
      </x:c>
      <x:c r="F18" s="72" t="n">
        <x:v>30</x:v>
      </x:c>
      <x:c r="G18" s="29"/>
      <x:c r="H18" s="84" t="str">
        <x:v>Exposed communication fraction：通信增时最终计入 forward 的比例；被计算遮住的部分不计入。</x:v>
      </x:c>
      <x:c r="I18" s="84"/>
      <x:c r="J18" s="84"/>
      <x:c r="K18" s="84"/>
      <x:c r="L18" s="84"/>
      <x:c r="M18" s="84"/>
      <x:c r="N18" s="84"/>
      <x:c r="O18" s="84"/>
      <x:c r="P18" s="84"/>
      <x:c r="Q18" s="84"/>
      <x:c r="R18" s="84"/>
      <x:c r="S18" s="84"/>
      <x:c r="T18" s="84"/>
      <x:c r="U18" s="84"/>
      <x:c r="V18" s="29"/>
      <x:c r="W18" s="29"/>
      <x:c r="X18" s="29"/>
    </x:row>
    <x:row r="19" ht="22" customHeight="1">
      <x:c r="A19" s="29"/>
      <x:c r="B19" s="29"/>
      <x:c r="C19" s="29"/>
      <x:c r="D19" s="29"/>
      <x:c r="E19" s="29"/>
      <x:c r="F19" s="29"/>
      <x:c r="G19" s="29"/>
      <x:c r="H19" s="84" t="str">
        <x:v>KV bursts per interval：一批 KV 均分成 m 次、等间隔发送；m = 2 时每次一半，总量不变。</x:v>
      </x:c>
      <x:c r="I19" s="84"/>
      <x:c r="J19" s="84"/>
      <x:c r="K19" s="84"/>
      <x:c r="L19" s="84"/>
      <x:c r="M19" s="84"/>
      <x:c r="N19" s="84"/>
      <x:c r="O19" s="84"/>
      <x:c r="P19" s="84"/>
      <x:c r="Q19" s="84"/>
      <x:c r="R19" s="84"/>
      <x:c r="S19" s="84"/>
      <x:c r="T19" s="84"/>
      <x:c r="U19" s="84"/>
      <x:c r="V19" s="29"/>
      <x:c r="W19" s="29"/>
      <x:c r="X19" s="29"/>
    </x:row>
    <x:row r="20" ht="22" customHeight="1">
      <x:c r="A20" s="29"/>
      <x:c r="B20" s="29"/>
      <x:c r="C20" s="29"/>
      <x:c r="D20" s="29"/>
      <x:c r="E20" s="29"/>
      <x:c r="F20" s="29"/>
      <x:c r="G20" s="29"/>
      <x:c r="H20" s="84" t="str">
        <x:v>Temporal overlap 由 KV 窗口自动计算；没有 profiling 时，不必另猜 shared / exposed 两个比例。</x:v>
      </x:c>
      <x:c r="I20" s="84"/>
      <x:c r="J20" s="84"/>
      <x:c r="K20" s="84"/>
      <x:c r="L20" s="84"/>
      <x:c r="M20" s="84"/>
      <x:c r="N20" s="84"/>
      <x:c r="O20" s="84"/>
      <x:c r="P20" s="84"/>
      <x:c r="Q20" s="84"/>
      <x:c r="R20" s="84"/>
      <x:c r="S20" s="84"/>
      <x:c r="T20" s="84"/>
      <x:c r="U20" s="84"/>
      <x:c r="V20" s="29"/>
      <x:c r="W20" s="29"/>
      <x:c r="X20" s="29"/>
    </x:row>
    <x:row r="21" ht="22" customHeight="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</x:row>
    <x:row r="22" ht="42" customHeight="1">
      <x:c r="A22" s="78" t="str">
        <x:v>模型</x:v>
      </x:c>
      <x:c r="B22" s="78" t="str">
        <x:v>EP</x:v>
      </x:c>
      <x:c r="C22" s="78" t="str">
        <x:v>P TP</x:v>
      </x:c>
      <x:c r="D22" s="78" t="str">
        <x:v>D TP</x:v>
      </x:c>
      <x:c r="E22" s="78" t="str">
        <x:v>MoE 层数</x:v>
      </x:c>
      <x:c r="F22" s="78" t="str">
        <x:v>Hidden</x:v>
      </x:c>
      <x:c r="G22" s="78" t="str">
        <x:v>TopK</x:v>
      </x:c>
      <x:c r="H22" s="78" t="str">
        <x:v>逻辑专家数</x:v>
      </x:c>
      <x:c r="I22" s="78" t="str">
        <x:v>EP GB/s 输入</x:v>
      </x:c>
      <x:c r="J22" s="78" t="str">
        <x:v>KV GB/s 输入</x:v>
      </x:c>
      <x:c r="K22" s="78" t="str">
        <x:v>D tokens/DP/步</x:v>
      </x:c>
      <x:c r="L22" s="78" t="str">
        <x:v>产出 tokens/步</x:v>
      </x:c>
      <x:c r="M22" s="18" t="str">
        <x:v>EP shared
resource fraction</x:v>
      </x:c>
      <x:c r="N22" s="18" t="str">
        <x:v>EP exposed
comm fraction</x:v>
      </x:c>
      <x:c r="O22" s="78" t="str">
        <x:v>配置条件</x:v>
      </x:c>
      <x:c r="P22" s="29"/>
      <x:c r="Q22" s="29"/>
      <x:c r="R22" s="29"/>
      <x:c r="S22" s="29"/>
      <x:c r="T22" s="29"/>
      <x:c r="U22" s="29"/>
      <x:c r="V22" s="29"/>
      <x:c r="W22" s="29"/>
      <x:c r="X22" s="29"/>
    </x:row>
    <x:row r="23" ht="22" customHeight="1">
      <x:c r="A23" s="29" t="str">
        <x:v>DS V4.1 Flash</x:v>
      </x:c>
      <x:c r="B23" s="29" t="n">
        <x:v>32</x:v>
      </x:c>
      <x:c r="C23" s="29" t="n">
        <x:v>8</x:v>
      </x:c>
      <x:c r="D23" s="29" t="n">
        <x:v>1</x:v>
      </x:c>
      <x:c r="E23" s="29" t="n">
        <x:v>40</x:v>
      </x:c>
      <x:c r="F23" s="29" t="n">
        <x:v>5120</x:v>
      </x:c>
      <x:c r="G23" s="29" t="n">
        <x:v>6</x:v>
      </x:c>
      <x:c r="H23" s="29" t="n">
        <x:v>384</x:v>
      </x:c>
      <x:c r="I23" s="70" t="n">
        <x:f>$N$7</x:f>
        <x:v>4800</x:v>
      </x:c>
      <x:c r="J23" s="70" t="n">
        <x:f>$N$5</x:f>
        <x:v>4800</x:v>
      </x:c>
      <x:c r="K23" s="70" t="n">
        <x:f>$B$7</x:f>
        <x:v>128</x:v>
      </x:c>
      <x:c r="L23" s="70" t="n">
        <x:f>$F$7</x:f>
        <x:v>1</x:v>
      </x:c>
      <x:c r="M23" s="73" t="n">
        <x:f>$F$9</x:f>
        <x:v>1</x:v>
      </x:c>
      <x:c r="N23" s="73" t="n">
        <x:f>$J$9</x:f>
        <x:v>1</x:v>
      </x:c>
      <x:c r="O23" s="29" t="str"/>
      <x:c r="P23" s="29"/>
      <x:c r="Q23" s="29"/>
      <x:c r="R23" s="29"/>
      <x:c r="S23" s="29"/>
      <x:c r="T23" s="29"/>
      <x:c r="U23" s="29"/>
      <x:c r="V23" s="29"/>
      <x:c r="W23" s="29"/>
      <x:c r="X23" s="29"/>
    </x:row>
    <x:row r="24" ht="22" customHeight="1">
      <x:c r="A24" s="29" t="str">
        <x:v>DS V4.1 Flash</x:v>
      </x:c>
      <x:c r="B24" s="29" t="n">
        <x:v>256</x:v>
      </x:c>
      <x:c r="C24" s="29" t="n">
        <x:v>8</x:v>
      </x:c>
      <x:c r="D24" s="29" t="n">
        <x:v>1</x:v>
      </x:c>
      <x:c r="E24" s="29" t="n">
        <x:v>40</x:v>
      </x:c>
      <x:c r="F24" s="29" t="n">
        <x:v>5120</x:v>
      </x:c>
      <x:c r="G24" s="29" t="n">
        <x:v>6</x:v>
      </x:c>
      <x:c r="H24" s="29" t="n">
        <x:v>384</x:v>
      </x:c>
      <x:c r="I24" s="70" t="n">
        <x:f>$N$7</x:f>
        <x:v>4800</x:v>
      </x:c>
      <x:c r="J24" s="70" t="n">
        <x:f>$N$5</x:f>
        <x:v>4800</x:v>
      </x:c>
      <x:c r="K24" s="70" t="n">
        <x:f>$B$7</x:f>
        <x:v>128</x:v>
      </x:c>
      <x:c r="L24" s="70" t="n">
        <x:f>$F$7</x:f>
        <x:v>1</x:v>
      </x:c>
      <x:c r="M24" s="73" t="n">
        <x:f>$F$9</x:f>
        <x:v>1</x:v>
      </x:c>
      <x:c r="N24" s="73" t="n">
        <x:f>$J$9</x:f>
        <x:v>1</x:v>
      </x:c>
      <x:c r="O24" s="29" t="str">
        <x:v>需 128 个冗余专家槽</x:v>
      </x:c>
      <x:c r="P24" s="29"/>
      <x:c r="Q24" s="29"/>
      <x:c r="R24" s="29"/>
      <x:c r="S24" s="29"/>
      <x:c r="T24" s="29"/>
      <x:c r="U24" s="29"/>
      <x:c r="V24" s="29"/>
      <x:c r="W24" s="29"/>
      <x:c r="X24" s="29"/>
    </x:row>
    <x:row r="25" ht="22" customHeight="1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</x:row>
    <x:row r="26" ht="22" customHeight="1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</x:row>
    <x:row r="27" ht="22" customHeight="1">
      <x:c r="A27" s="38" t="str">
        <x:v>TPOT × 输入场景 × EP：稳态每分钟结果</x:v>
      </x:c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</x:row>
    <x:row r="28" ht="22" customHeight="1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</x:row>
    <x:row r="29" ht="42" customHeight="1">
      <x:c r="A29" s="78" t="str">
        <x:v>模型</x:v>
      </x:c>
      <x:c r="B29" s="78" t="str">
        <x:v>EP</x:v>
      </x:c>
      <x:c r="C29" s="78" t="str">
        <x:v>输入 tokens</x:v>
      </x:c>
      <x:c r="D29" s="78" t="str">
        <x:v>周期 s</x:v>
      </x:c>
      <x:c r="E29" s="78" t="str">
        <x:v>TPOT ms</x:v>
      </x:c>
      <x:c r="F29" s="78" t="str">
        <x:v>KV 窗口 次/min</x:v>
      </x:c>
      <x:c r="G29" s="78" t="str">
        <x:v>KV 窗口 ms/次</x:v>
      </x:c>
      <x:c r="H29" s="78" t="str">
        <x:v>重叠 FW 次/min</x:v>
      </x:c>
      <x:c r="I29" s="78" t="str">
        <x:v>全 EP FW 次/min</x:v>
      </x:c>
      <x:c r="J29" s="78" t="str">
        <x:v>部分 EP FW 次/min</x:v>
      </x:c>
      <x:c r="K29" s="78" t="str">
        <x:v>重叠层调用 次/min</x:v>
      </x:c>
      <x:c r="L29" s="18" t="str">
        <x:v>Total overhead
ms/60s</x:v>
      </x:c>
      <x:c r="M29" s="78" t="str">
        <x:v>平均 TPOT 增量 μs</x:v>
      </x:c>
      <x:c r="N29" s="78" t="str">
        <x:v>TPOT 增幅 ppm</x:v>
      </x:c>
      <x:c r="O29" s="78" t="str">
        <x:v>结果条件</x:v>
      </x:c>
      <x:c r="P29" s="78" t="str">
        <x:v>最低 EP GB/s</x:v>
      </x:c>
      <x:c r="Q29" s="29"/>
      <x:c r="R29" s="29"/>
      <x:c r="S29" s="29"/>
      <x:c r="T29" s="29"/>
      <x:c r="U29" s="29"/>
      <x:c r="V29" s="29"/>
      <x:c r="W29" s="29"/>
      <x:c r="X29" s="29"/>
    </x:row>
    <x:row r="30" ht="22" customHeight="1">
      <x:c r="A30" s="29" t="str">
        <x:f>A23</x:f>
        <x:v>DS V4.1 Flash</x:v>
      </x:c>
      <x:c r="B30" s="29" t="n">
        <x:f>B23</x:f>
        <x:v>32</x:v>
      </x:c>
      <x:c r="C30" s="79" t="n">
        <x:f>$B$15</x:f>
        <x:v>16384</x:v>
      </x:c>
      <x:c r="D30" s="29" t="n">
        <x:f>$C$15</x:f>
        <x:v>4</x:v>
      </x:c>
      <x:c r="E30" s="29" t="n">
        <x:f>$F$15</x:f>
        <x:v>5</x:v>
      </x:c>
      <x:c r="F30" s="80" t="n">
        <x:f>IF(A60,60000/L60,"")</x:f>
        <x:v>15</x:v>
      </x:c>
      <x:c r="G30" s="80" t="n">
        <x:f>K60</x:f>
        <x:v>0.02422784</x:v>
      </x:c>
      <x:c r="H30" s="80" t="n">
        <x:f>IF(W60="估算",U60*R60,"")</x:f>
        <x:v>3.3082080000013114</x:v>
      </x:c>
      <x:c r="I30" s="80" t="n">
        <x:f>IF(W60="估算",U60*S60,"")</x:f>
        <x:v>0</x:v>
      </x:c>
      <x:c r="J30" s="80" t="n">
        <x:f>IF(W60="估算",U60*MAX(0,R60-S60),"")</x:f>
        <x:v>3.3082080000013114</x:v>
      </x:c>
      <x:c r="K30" s="80" t="n">
        <x:f>IF(W60="估算",IF(OR(O60=0,K60=0),0,U60*E23*MIN(1,(K60+P60)/L60)),"")</x:f>
        <x:v>3.308208</x:v>
      </x:c>
      <x:c r="L30" s="33" t="n">
        <x:f>IF(W60="估算",V60,"")</x:f>
        <x:v>0.0010708611972693335</x:v>
      </x:c>
      <x:c r="M30" s="33" t="n">
        <x:f>IF(W60="估算",E30*V60/60,"")</x:f>
        <x:v>0.00008923843310577779</x:v>
      </x:c>
      <x:c r="N30" s="33" t="n">
        <x:f>IF(W60="估算",V60/60000*1e6,"")</x:f>
        <x:v>0.01784768662115556</x:v>
      </x:c>
      <x:c r="O30" s="29" t="str">
        <x:f>IF(W60="估算","",W60)</x:f>
      </x:c>
      <x:c r="P30" s="53" t="n">
        <x:f>Q60</x:f>
        <x:v>128.277504</x:v>
      </x:c>
      <x:c r="Q30" s="29"/>
      <x:c r="R30" s="29"/>
      <x:c r="S30" s="29"/>
      <x:c r="T30" s="29"/>
      <x:c r="U30" s="29"/>
      <x:c r="V30" s="29"/>
      <x:c r="W30" s="29"/>
      <x:c r="X30" s="29"/>
    </x:row>
    <x:row r="31" ht="22" customHeight="1">
      <x:c r="A31" s="29" t="str">
        <x:f>A23</x:f>
        <x:v>DS V4.1 Flash</x:v>
      </x:c>
      <x:c r="B31" s="29" t="n">
        <x:f>B23</x:f>
        <x:v>32</x:v>
      </x:c>
      <x:c r="C31" s="79" t="n">
        <x:f>$B$15</x:f>
        <x:v>16384</x:v>
      </x:c>
      <x:c r="D31" s="29" t="n">
        <x:f>$C$15</x:f>
        <x:v>4</x:v>
      </x:c>
      <x:c r="E31" s="29" t="n">
        <x:f>$F$16</x:f>
        <x:v>10</x:v>
      </x:c>
      <x:c r="F31" s="80" t="n">
        <x:f>IF(A61,60000/L61,"")</x:f>
        <x:v>15</x:v>
      </x:c>
      <x:c r="G31" s="80" t="n">
        <x:f>K61</x:f>
        <x:v>0.02422784</x:v>
      </x:c>
      <x:c r="H31" s="80" t="n">
        <x:f>IF(W61="估算",U61*R61,"")</x:f>
        <x:v>1.6541040000006557</x:v>
      </x:c>
      <x:c r="I31" s="80" t="n">
        <x:f>IF(W61="估算",U61*S61,"")</x:f>
        <x:v>0</x:v>
      </x:c>
      <x:c r="J31" s="80" t="n">
        <x:f>IF(W61="估算",U61*MAX(0,R61-S61),"")</x:f>
        <x:v>1.6541040000006557</x:v>
      </x:c>
      <x:c r="K31" s="80" t="n">
        <x:f>IF(W61="估算",IF(OR(O61=0,K61=0),0,U61*E23*MIN(1,(K61+P61)/L61)),"")</x:f>
        <x:v>1.654104</x:v>
      </x:c>
      <x:c r="L31" s="33" t="n">
        <x:f>IF(W61="估算",V61,"")</x:f>
        <x:v>0.0005354305986346667</x:v>
      </x:c>
      <x:c r="M31" s="33" t="n">
        <x:f>IF(W61="估算",E31*V61/60,"")</x:f>
        <x:v>0.00008923843310577779</x:v>
      </x:c>
      <x:c r="N31" s="33" t="n">
        <x:f>IF(W61="估算",V61/60000*1e6,"")</x:f>
        <x:v>0.00892384331057778</x:v>
      </x:c>
      <x:c r="O31" s="29" t="str">
        <x:f>IF(W61="估算","",W61)</x:f>
      </x:c>
      <x:c r="P31" s="53" t="n">
        <x:f>Q61</x:f>
        <x:v>64.138752</x:v>
      </x:c>
      <x:c r="Q31" s="29"/>
      <x:c r="R31" s="29"/>
      <x:c r="S31" s="29"/>
      <x:c r="T31" s="29"/>
      <x:c r="U31" s="29"/>
      <x:c r="V31" s="29"/>
      <x:c r="W31" s="29"/>
      <x:c r="X31" s="29"/>
    </x:row>
    <x:row r="32" ht="22" customHeight="1">
      <x:c r="A32" s="29" t="str">
        <x:f>A23</x:f>
        <x:v>DS V4.1 Flash</x:v>
      </x:c>
      <x:c r="B32" s="29" t="n">
        <x:f>B23</x:f>
        <x:v>32</x:v>
      </x:c>
      <x:c r="C32" s="79" t="n">
        <x:f>$B$15</x:f>
        <x:v>16384</x:v>
      </x:c>
      <x:c r="D32" s="29" t="n">
        <x:f>$C$15</x:f>
        <x:v>4</x:v>
      </x:c>
      <x:c r="E32" s="29" t="n">
        <x:f>$F$17</x:f>
        <x:v>20</x:v>
      </x:c>
      <x:c r="F32" s="80" t="n">
        <x:f>IF(A62,60000/L62,"")</x:f>
        <x:v>15</x:v>
      </x:c>
      <x:c r="G32" s="80" t="n">
        <x:f>K62</x:f>
        <x:v>0.02422784</x:v>
      </x:c>
      <x:c r="H32" s="80" t="n">
        <x:f>IF(W62="估算",U62*R62,"")</x:f>
        <x:v>0.8270520000003279</x:v>
      </x:c>
      <x:c r="I32" s="80" t="n">
        <x:f>IF(W62="估算",U62*S62,"")</x:f>
        <x:v>0</x:v>
      </x:c>
      <x:c r="J32" s="80" t="n">
        <x:f>IF(W62="估算",U62*MAX(0,R62-S62),"")</x:f>
        <x:v>0.8270520000003279</x:v>
      </x:c>
      <x:c r="K32" s="80" t="n">
        <x:f>IF(W62="估算",IF(OR(O62=0,K62=0),0,U62*E23*MIN(1,(K62+P62)/L62)),"")</x:f>
        <x:v>0.827052</x:v>
      </x:c>
      <x:c r="L32" s="33" t="n">
        <x:f>IF(W62="估算",V62,"")</x:f>
        <x:v>0.00026771529931733336</x:v>
      </x:c>
      <x:c r="M32" s="33" t="n">
        <x:f>IF(W62="估算",E32*V62/60,"")</x:f>
        <x:v>0.00008923843310577779</x:v>
      </x:c>
      <x:c r="N32" s="33" t="n">
        <x:f>IF(W62="估算",V62/60000*1e6,"")</x:f>
        <x:v>0.00446192165528889</x:v>
      </x:c>
      <x:c r="O32" s="29" t="str">
        <x:f>IF(W62="估算","",W62)</x:f>
      </x:c>
      <x:c r="P32" s="53" t="n">
        <x:f>Q62</x:f>
        <x:v>32.069376</x:v>
      </x:c>
      <x:c r="Q32" s="29"/>
      <x:c r="R32" s="29"/>
      <x:c r="S32" s="29"/>
      <x:c r="T32" s="29"/>
      <x:c r="U32" s="29"/>
      <x:c r="V32" s="29"/>
      <x:c r="W32" s="29"/>
      <x:c r="X32" s="29"/>
    </x:row>
    <x:row r="33" ht="22" customHeight="1">
      <x:c r="A33" s="29" t="str">
        <x:f>A23</x:f>
        <x:v>DS V4.1 Flash</x:v>
      </x:c>
      <x:c r="B33" s="29" t="n">
        <x:f>B23</x:f>
        <x:v>32</x:v>
      </x:c>
      <x:c r="C33" s="79" t="n">
        <x:f>$B$15</x:f>
        <x:v>16384</x:v>
      </x:c>
      <x:c r="D33" s="29" t="n">
        <x:f>$C$15</x:f>
        <x:v>4</x:v>
      </x:c>
      <x:c r="E33" s="29" t="n">
        <x:f>$F$18</x:f>
        <x:v>30</x:v>
      </x:c>
      <x:c r="F33" s="80" t="n">
        <x:f>IF(A63,60000/L63,"")</x:f>
        <x:v>15</x:v>
      </x:c>
      <x:c r="G33" s="80" t="n">
        <x:f>K63</x:f>
        <x:v>0.02422784</x:v>
      </x:c>
      <x:c r="H33" s="80" t="n">
        <x:f>IF(W63="估算",U63*R63,"")</x:f>
        <x:v>0.5513680000002186</x:v>
      </x:c>
      <x:c r="I33" s="80" t="n">
        <x:f>IF(W63="估算",U63*S63,"")</x:f>
        <x:v>0</x:v>
      </x:c>
      <x:c r="J33" s="80" t="n">
        <x:f>IF(W63="估算",U63*MAX(0,R63-S63),"")</x:f>
        <x:v>0.5513680000002186</x:v>
      </x:c>
      <x:c r="K33" s="80" t="n">
        <x:f>IF(W63="估算",IF(OR(O63=0,K63=0),0,U63*E23*MIN(1,(K63+P63)/L63)),"")</x:f>
        <x:v>0.551368</x:v>
      </x:c>
      <x:c r="L33" s="33" t="n">
        <x:f>IF(W63="估算",V63,"")</x:f>
        <x:v>0.00017847686621155556</x:v>
      </x:c>
      <x:c r="M33" s="33" t="n">
        <x:f>IF(W63="估算",E33*V63/60,"")</x:f>
        <x:v>0.00008923843310577778</x:v>
      </x:c>
      <x:c r="N33" s="33" t="n">
        <x:f>IF(W63="估算",V63/60000*1e6,"")</x:f>
        <x:v>0.0029746144368592593</x:v>
      </x:c>
      <x:c r="O33" s="29" t="str">
        <x:f>IF(W63="估算","",W63)</x:f>
      </x:c>
      <x:c r="P33" s="53" t="n">
        <x:f>Q63</x:f>
        <x:v>21.379584</x:v>
      </x:c>
      <x:c r="Q33" s="29"/>
      <x:c r="R33" s="29"/>
      <x:c r="S33" s="29"/>
      <x:c r="T33" s="29"/>
      <x:c r="U33" s="29"/>
      <x:c r="V33" s="29"/>
      <x:c r="W33" s="29"/>
      <x:c r="X33" s="29"/>
    </x:row>
    <x:row r="34" ht="22" customHeight="1">
      <x:c r="A34" s="29" t="str">
        <x:f>A23</x:f>
        <x:v>DS V4.1 Flash</x:v>
      </x:c>
      <x:c r="B34" s="29" t="n">
        <x:f>B23</x:f>
        <x:v>32</x:v>
      </x:c>
      <x:c r="C34" s="79" t="n">
        <x:f>$B$16</x:f>
        <x:v>262144</x:v>
      </x:c>
      <x:c r="D34" s="29" t="n">
        <x:f>$C$16</x:f>
        <x:v>20</x:v>
      </x:c>
      <x:c r="E34" s="29" t="n">
        <x:f>$F$15</x:f>
        <x:v>5</x:v>
      </x:c>
      <x:c r="F34" s="80" t="n">
        <x:f>IF(A64,60000/L64,"")</x:f>
        <x:v>3</x:v>
      </x:c>
      <x:c r="G34" s="80" t="n">
        <x:f>K64</x:f>
        <x:v>0.31965184</x:v>
      </x:c>
      <x:c r="H34" s="80" t="n">
        <x:f>IF(W64="估算",U64*R64,"")</x:f>
        <x:v>3.11879544000071</x:v>
      </x:c>
      <x:c r="I34" s="80" t="n">
        <x:f>IF(W64="估算",U64*S64,"")</x:f>
        <x:v>0</x:v>
      </x:c>
      <x:c r="J34" s="80" t="n">
        <x:f>IF(W64="估算",U64*MAX(0,R64-S64),"")</x:f>
        <x:v>3.11879544000071</x:v>
      </x:c>
      <x:c r="K34" s="80" t="n">
        <x:f>IF(W64="估算",IF(OR(O64=0,K64=0),0,U64*E23*MIN(1,(K64+P64)/L64)),"")</x:f>
        <x:v>7.7518176</x:v>
      </x:c>
      <x:c r="L34" s="33" t="n">
        <x:f>IF(W64="估算",V64,"")</x:f>
        <x:v>0.0028458564992938674</x:v>
      </x:c>
      <x:c r="M34" s="33" t="n">
        <x:f>IF(W64="估算",E34*V64/60,"")</x:f>
        <x:v>0.00023715470827448894</x:v>
      </x:c>
      <x:c r="N34" s="33" t="n">
        <x:f>IF(W64="估算",V64/60000*1e6,"")</x:f>
        <x:v>0.04743094165489779</x:v>
      </x:c>
      <x:c r="O34" s="29" t="str">
        <x:f>IF(W64="估算","",W64)</x:f>
      </x:c>
      <x:c r="P34" s="53" t="n">
        <x:f>Q64</x:f>
        <x:v>128.277504</x:v>
      </x:c>
      <x:c r="Q34" s="29"/>
      <x:c r="R34" s="29"/>
      <x:c r="S34" s="29"/>
      <x:c r="T34" s="29"/>
      <x:c r="U34" s="29"/>
      <x:c r="V34" s="29"/>
      <x:c r="W34" s="29"/>
      <x:c r="X34" s="29"/>
    </x:row>
    <x:row r="35" ht="22" customHeight="1">
      <x:c r="A35" s="29" t="str">
        <x:f>A23</x:f>
        <x:v>DS V4.1 Flash</x:v>
      </x:c>
      <x:c r="B35" s="29" t="n">
        <x:f>B23</x:f>
        <x:v>32</x:v>
      </x:c>
      <x:c r="C35" s="79" t="n">
        <x:f>$B$16</x:f>
        <x:v>262144</x:v>
      </x:c>
      <x:c r="D35" s="29" t="n">
        <x:f>$C$16</x:f>
        <x:v>20</x:v>
      </x:c>
      <x:c r="E35" s="29" t="n">
        <x:f>$F$16</x:f>
        <x:v>10</x:v>
      </x:c>
      <x:c r="F35" s="80" t="n">
        <x:f>IF(A65,60000/L65,"")</x:f>
        <x:v>3</x:v>
      </x:c>
      <x:c r="G35" s="80" t="n">
        <x:f>K65</x:f>
        <x:v>0.31965184</x:v>
      </x:c>
      <x:c r="H35" s="80" t="n">
        <x:f>IF(W65="估算",U65*R65,"")</x:f>
        <x:v>3.0218977200002772</x:v>
      </x:c>
      <x:c r="I35" s="80" t="n">
        <x:f>IF(W65="估算",U65*S65,"")</x:f>
        <x:v>0</x:v>
      </x:c>
      <x:c r="J35" s="80" t="n">
        <x:f>IF(W65="估算",U65*MAX(0,R65-S65),"")</x:f>
        <x:v>3.0218977200002772</x:v>
      </x:c>
      <x:c r="K35" s="80" t="n">
        <x:f>IF(W65="估算",IF(OR(O65=0,K65=0),0,U65*E23*MIN(1,(K65+P65)/L65)),"")</x:f>
        <x:v>3.8759088</x:v>
      </x:c>
      <x:c r="L35" s="33" t="n">
        <x:f>IF(W65="估算",V65,"")</x:f>
        <x:v>0.0014229282496469337</x:v>
      </x:c>
      <x:c r="M35" s="33" t="n">
        <x:f>IF(W65="估算",E35*V65/60,"")</x:f>
        <x:v>0.00023715470827448894</x:v>
      </x:c>
      <x:c r="N35" s="33" t="n">
        <x:f>IF(W65="估算",V65/60000*1e6,"")</x:f>
        <x:v>0.023715470827448897</x:v>
      </x:c>
      <x:c r="O35" s="29" t="str">
        <x:f>IF(W65="估算","",W65)</x:f>
      </x:c>
      <x:c r="P35" s="53" t="n">
        <x:f>Q65</x:f>
        <x:v>64.138752</x:v>
      </x:c>
      <x:c r="Q35" s="29"/>
      <x:c r="R35" s="29"/>
      <x:c r="S35" s="29"/>
      <x:c r="T35" s="29"/>
      <x:c r="U35" s="29"/>
      <x:c r="V35" s="29"/>
      <x:c r="W35" s="29"/>
      <x:c r="X35" s="29"/>
    </x:row>
    <x:row r="36" ht="22" customHeight="1">
      <x:c r="A36" s="29" t="str">
        <x:f>A23</x:f>
        <x:v>DS V4.1 Flash</x:v>
      </x:c>
      <x:c r="B36" s="29" t="n">
        <x:f>B23</x:f>
        <x:v>32</x:v>
      </x:c>
      <x:c r="C36" s="79" t="n">
        <x:f>$B$16</x:f>
        <x:v>262144</x:v>
      </x:c>
      <x:c r="D36" s="29" t="n">
        <x:f>$C$16</x:f>
        <x:v>20</x:v>
      </x:c>
      <x:c r="E36" s="29" t="n">
        <x:f>$F$17</x:f>
        <x:v>20</x:v>
      </x:c>
      <x:c r="F36" s="80" t="n">
        <x:f>IF(A66,60000/L66,"")</x:f>
        <x:v>3</x:v>
      </x:c>
      <x:c r="G36" s="80" t="n">
        <x:f>K66</x:f>
        <x:v>0.31965184</x:v>
      </x:c>
      <x:c r="H36" s="80" t="n">
        <x:f>IF(W66="估算",U66*R66,"")</x:f>
        <x:v>1.937954399999997</x:v>
      </x:c>
      <x:c r="I36" s="80" t="n">
        <x:f>IF(W66="估算",U66*S66,"")</x:f>
        <x:v>0</x:v>
      </x:c>
      <x:c r="J36" s="80" t="n">
        <x:f>IF(W66="估算",U66*MAX(0,R66-S66),"")</x:f>
        <x:v>1.937954399999997</x:v>
      </x:c>
      <x:c r="K36" s="80" t="n">
        <x:f>IF(W66="估算",IF(OR(O66=0,K66=0),0,U66*E23*MIN(1,(K66+P66)/L66)),"")</x:f>
        <x:v>1.9379544</x:v>
      </x:c>
      <x:c r="L36" s="33" t="n">
        <x:f>IF(W66="估算",V66,"")</x:f>
        <x:v>0.0007114641248234669</x:v>
      </x:c>
      <x:c r="M36" s="33" t="n">
        <x:f>IF(W66="估算",E36*V66/60,"")</x:f>
        <x:v>0.00023715470827448894</x:v>
      </x:c>
      <x:c r="N36" s="33" t="n">
        <x:f>IF(W66="估算",V66/60000*1e6,"")</x:f>
        <x:v>0.011857735413724448</x:v>
      </x:c>
      <x:c r="O36" s="29" t="str">
        <x:f>IF(W66="估算","",W66)</x:f>
      </x:c>
      <x:c r="P36" s="53" t="n">
        <x:f>Q66</x:f>
        <x:v>32.069376</x:v>
      </x:c>
      <x:c r="Q36" s="29"/>
      <x:c r="R36" s="29"/>
      <x:c r="S36" s="29"/>
      <x:c r="T36" s="29"/>
      <x:c r="U36" s="29"/>
      <x:c r="V36" s="29"/>
      <x:c r="W36" s="29"/>
      <x:c r="X36" s="29"/>
    </x:row>
    <x:row r="37" ht="22" customHeight="1">
      <x:c r="A37" s="29" t="str">
        <x:f>A23</x:f>
        <x:v>DS V4.1 Flash</x:v>
      </x:c>
      <x:c r="B37" s="29" t="n">
        <x:f>B23</x:f>
        <x:v>32</x:v>
      </x:c>
      <x:c r="C37" s="79" t="n">
        <x:f>$B$16</x:f>
        <x:v>262144</x:v>
      </x:c>
      <x:c r="D37" s="29" t="n">
        <x:f>$C$16</x:f>
        <x:v>20</x:v>
      </x:c>
      <x:c r="E37" s="29" t="n">
        <x:f>$F$18</x:f>
        <x:v>30</x:v>
      </x:c>
      <x:c r="F37" s="80" t="n">
        <x:f>IF(A67,60000/L67,"")</x:f>
        <x:v>3</x:v>
      </x:c>
      <x:c r="G37" s="80" t="n">
        <x:f>K67</x:f>
        <x:v>0.31965184</x:v>
      </x:c>
      <x:c r="H37" s="80" t="n">
        <x:f>IF(W67="估算",U67*R67,"")</x:f>
        <x:v>1.291969599999998</x:v>
      </x:c>
      <x:c r="I37" s="80" t="n">
        <x:f>IF(W67="估算",U67*S67,"")</x:f>
        <x:v>0</x:v>
      </x:c>
      <x:c r="J37" s="80" t="n">
        <x:f>IF(W67="估算",U67*MAX(0,R67-S67),"")</x:f>
        <x:v>1.291969599999998</x:v>
      </x:c>
      <x:c r="K37" s="80" t="n">
        <x:f>IF(W67="估算",IF(OR(O67=0,K67=0),0,U67*E23*MIN(1,(K67+P67)/L67)),"")</x:f>
        <x:v>1.2919696</x:v>
      </x:c>
      <x:c r="L37" s="33" t="n">
        <x:f>IF(W67="估算",V67,"")</x:f>
        <x:v>0.0004743094165489779</x:v>
      </x:c>
      <x:c r="M37" s="33" t="n">
        <x:f>IF(W67="估算",E37*V67/60,"")</x:f>
        <x:v>0.00023715470827448894</x:v>
      </x:c>
      <x:c r="N37" s="33" t="n">
        <x:f>IF(W67="估算",V67/60000*1e6,"")</x:f>
        <x:v>0.007905156942482965</x:v>
      </x:c>
      <x:c r="O37" s="29" t="str">
        <x:f>IF(W67="估算","",W67)</x:f>
      </x:c>
      <x:c r="P37" s="53" t="n">
        <x:f>Q67</x:f>
        <x:v>21.379584</x:v>
      </x:c>
      <x:c r="Q37" s="29"/>
      <x:c r="R37" s="29"/>
      <x:c r="S37" s="29"/>
      <x:c r="T37" s="29"/>
      <x:c r="U37" s="29"/>
      <x:c r="V37" s="29"/>
      <x:c r="W37" s="29"/>
      <x:c r="X37" s="29"/>
    </x:row>
    <x:row r="38" ht="22" customHeight="1">
      <x:c r="A38" s="29" t="str">
        <x:f>A23</x:f>
        <x:v>DS V4.1 Flash</x:v>
      </x:c>
      <x:c r="B38" s="29" t="n">
        <x:f>B23</x:f>
        <x:v>32</x:v>
      </x:c>
      <x:c r="C38" s="79" t="n">
        <x:f>$B$17</x:f>
        <x:v>1048576</x:v>
      </x:c>
      <x:c r="D38" s="29" t="n">
        <x:f>$C$17</x:f>
        <x:v>60</x:v>
      </x:c>
      <x:c r="E38" s="29" t="n">
        <x:f>$F$15</x:f>
        <x:v>5</x:v>
      </x:c>
      <x:c r="F38" s="80" t="n">
        <x:f>IF(A68,60000/L68,"")</x:f>
        <x:v>1</x:v>
      </x:c>
      <x:c r="G38" s="80" t="n">
        <x:f>K68</x:f>
        <x:v>1.26500864</x:v>
      </x:c>
      <x:c r="H38" s="80" t="n">
        <x:f>IF(W68="估算",U68*R68,"")</x:f>
        <x:v>1.2286698400005847</x:v>
      </x:c>
      <x:c r="I38" s="80" t="n">
        <x:f>IF(W68="估算",U68*S68,"")</x:f>
        <x:v>0</x:v>
      </x:c>
      <x:c r="J38" s="80" t="n">
        <x:f>IF(W68="估算",U68*MAX(0,R68-S68),"")</x:f>
        <x:v>1.2286698400005847</x:v>
      </x:c>
      <x:c r="K38" s="80" t="n">
        <x:f>IF(W68="估算",IF(OR(O68=0,K68=0),0,U68*E23*MIN(1,(K68+P68)/L68)),"")</x:f>
        <x:v>10.1467936</x:v>
      </x:c>
      <x:c r="L38" s="33" t="n">
        <x:f>IF(W68="估算",V68,"")</x:f>
        <x:v>0.003755748710260623</x:v>
      </x:c>
      <x:c r="M38" s="33" t="n">
        <x:f>IF(W68="估算",E38*V68/60,"")</x:f>
        <x:v>0.00031297905918838527</x:v>
      </x:c>
      <x:c r="N38" s="33" t="n">
        <x:f>IF(W68="估算",V68/60000*1e6,"")</x:f>
        <x:v>0.06259581183767705</x:v>
      </x:c>
      <x:c r="O38" s="29" t="str">
        <x:f>IF(W68="估算","",W68)</x:f>
      </x:c>
      <x:c r="P38" s="53" t="n">
        <x:f>Q68</x:f>
        <x:v>128.277504</x:v>
      </x:c>
      <x:c r="Q38" s="29"/>
      <x:c r="R38" s="29"/>
      <x:c r="S38" s="29"/>
      <x:c r="T38" s="29"/>
      <x:c r="U38" s="29"/>
      <x:c r="V38" s="29"/>
      <x:c r="W38" s="29"/>
      <x:c r="X38" s="29"/>
    </x:row>
    <x:row r="39" ht="22" customHeight="1">
      <x:c r="A39" s="29" t="str">
        <x:f>A23</x:f>
        <x:v>DS V4.1 Flash</x:v>
      </x:c>
      <x:c r="B39" s="29" t="n">
        <x:f>B23</x:f>
        <x:v>32</x:v>
      </x:c>
      <x:c r="C39" s="79" t="n">
        <x:f>$B$17</x:f>
        <x:v>1048576</x:v>
      </x:c>
      <x:c r="D39" s="29" t="n">
        <x:f>$C$17</x:f>
        <x:v>60</x:v>
      </x:c>
      <x:c r="E39" s="29" t="n">
        <x:f>$F$16</x:f>
        <x:v>10</x:v>
      </x:c>
      <x:c r="F39" s="80" t="n">
        <x:f>IF(A69,60000/L69,"")</x:f>
        <x:v>1</x:v>
      </x:c>
      <x:c r="G39" s="80" t="n">
        <x:f>K69</x:f>
        <x:v>1.26500864</x:v>
      </x:c>
      <x:c r="H39" s="80" t="n">
        <x:f>IF(W69="估算",U69*R69,"")</x:f>
        <x:v>1.1018349199998223</x:v>
      </x:c>
      <x:c r="I39" s="80" t="n">
        <x:f>IF(W69="估算",U69*S69,"")</x:f>
        <x:v>0</x:v>
      </x:c>
      <x:c r="J39" s="80" t="n">
        <x:f>IF(W69="估算",U69*MAX(0,R69-S69),"")</x:f>
        <x:v>1.1018349199998223</x:v>
      </x:c>
      <x:c r="K39" s="80" t="n">
        <x:f>IF(W69="估算",IF(OR(O69=0,K69=0),0,U69*E23*MIN(1,(K69+P69)/L69)),"")</x:f>
        <x:v>5.0733968</x:v>
      </x:c>
      <x:c r="L39" s="33" t="n">
        <x:f>IF(W69="估算",V69,"")</x:f>
        <x:v>0.0018778743551303115</x:v>
      </x:c>
      <x:c r="M39" s="33" t="n">
        <x:f>IF(W69="估算",E39*V69/60,"")</x:f>
        <x:v>0.00031297905918838527</x:v>
      </x:c>
      <x:c r="N39" s="33" t="n">
        <x:f>IF(W69="估算",V69/60000*1e6,"")</x:f>
        <x:v>0.03129790591883853</x:v>
      </x:c>
      <x:c r="O39" s="29" t="str">
        <x:f>IF(W69="估算","",W69)</x:f>
      </x:c>
      <x:c r="P39" s="53" t="n">
        <x:f>Q69</x:f>
        <x:v>64.138752</x:v>
      </x:c>
      <x:c r="Q39" s="29"/>
      <x:c r="R39" s="29"/>
      <x:c r="S39" s="29"/>
      <x:c r="T39" s="29"/>
      <x:c r="U39" s="29"/>
      <x:c r="V39" s="29"/>
      <x:c r="W39" s="29"/>
      <x:c r="X39" s="29"/>
    </x:row>
    <x:row r="40" ht="22" customHeight="1">
      <x:c r="A40" s="29" t="str">
        <x:f>A23</x:f>
        <x:v>DS V4.1 Flash</x:v>
      </x:c>
      <x:c r="B40" s="29" t="n">
        <x:f>B23</x:f>
        <x:v>32</x:v>
      </x:c>
      <x:c r="C40" s="79" t="n">
        <x:f>$B$17</x:f>
        <x:v>1048576</x:v>
      </x:c>
      <x:c r="D40" s="29" t="n">
        <x:f>$C$17</x:f>
        <x:v>60</x:v>
      </x:c>
      <x:c r="E40" s="29" t="n">
        <x:f>$F$17</x:f>
        <x:v>20</x:v>
      </x:c>
      <x:c r="F40" s="80" t="n">
        <x:f>IF(A70,60000/L70,"")</x:f>
        <x:v>1</x:v>
      </x:c>
      <x:c r="G40" s="80" t="n">
        <x:f>K70</x:f>
        <x:v>1.26500864</x:v>
      </x:c>
      <x:c r="H40" s="80" t="n">
        <x:f>IF(W70="估算",U70*R70,"")</x:f>
        <x:v>1.0384174600001073</x:v>
      </x:c>
      <x:c r="I40" s="80" t="n">
        <x:f>IF(W70="估算",U70*S70,"")</x:f>
        <x:v>0</x:v>
      </x:c>
      <x:c r="J40" s="80" t="n">
        <x:f>IF(W70="估算",U70*MAX(0,R70-S70),"")</x:f>
        <x:v>1.0384174600001073</x:v>
      </x:c>
      <x:c r="K40" s="80" t="n">
        <x:f>IF(W70="估算",IF(OR(O70=0,K70=0),0,U70*E23*MIN(1,(K70+P70)/L70)),"")</x:f>
        <x:v>2.5366984</x:v>
      </x:c>
      <x:c r="L40" s="33" t="n">
        <x:f>IF(W70="估算",V70,"")</x:f>
        <x:v>0.0009389371775651558</x:v>
      </x:c>
      <x:c r="M40" s="33" t="n">
        <x:f>IF(W70="估算",E40*V70/60,"")</x:f>
        <x:v>0.00031297905918838527</x:v>
      </x:c>
      <x:c r="N40" s="33" t="n">
        <x:f>IF(W70="估算",V70/60000*1e6,"")</x:f>
        <x:v>0.015648952959419263</x:v>
      </x:c>
      <x:c r="O40" s="29" t="str">
        <x:f>IF(W70="估算","",W70)</x:f>
      </x:c>
      <x:c r="P40" s="53" t="n">
        <x:f>Q70</x:f>
        <x:v>32.069376</x:v>
      </x:c>
      <x:c r="Q40" s="29"/>
      <x:c r="R40" s="29"/>
      <x:c r="S40" s="29"/>
      <x:c r="T40" s="29"/>
      <x:c r="U40" s="29"/>
      <x:c r="V40" s="29"/>
      <x:c r="W40" s="29"/>
      <x:c r="X40" s="29"/>
    </x:row>
    <x:row r="41" ht="22" customHeight="1">
      <x:c r="A41" s="29" t="str">
        <x:f>A23</x:f>
        <x:v>DS V4.1 Flash</x:v>
      </x:c>
      <x:c r="B41" s="29" t="n">
        <x:f>B23</x:f>
        <x:v>32</x:v>
      </x:c>
      <x:c r="C41" s="79" t="n">
        <x:f>$B$17</x:f>
        <x:v>1048576</x:v>
      </x:c>
      <x:c r="D41" s="29" t="n">
        <x:f>$C$17</x:f>
        <x:v>60</x:v>
      </x:c>
      <x:c r="E41" s="29" t="n">
        <x:f>$F$18</x:f>
        <x:v>30</x:v>
      </x:c>
      <x:c r="F41" s="80" t="n">
        <x:f>IF(A71,60000/L71,"")</x:f>
        <x:v>1</x:v>
      </x:c>
      <x:c r="G41" s="80" t="n">
        <x:f>K71</x:f>
        <x:v>1.26500864</x:v>
      </x:c>
      <x:c r="H41" s="80" t="n">
        <x:f>IF(W71="估算",U71*R71,"")</x:f>
        <x:v>1.0172783066666469</x:v>
      </x:c>
      <x:c r="I41" s="80" t="n">
        <x:f>IF(W71="估算",U71*S71,"")</x:f>
        <x:v>0</x:v>
      </x:c>
      <x:c r="J41" s="80" t="n">
        <x:f>IF(W71="估算",U71*MAX(0,R71-S71),"")</x:f>
        <x:v>1.0172783066666469</x:v>
      </x:c>
      <x:c r="K41" s="80" t="n">
        <x:f>IF(W71="估算",IF(OR(O71=0,K71=0),0,U71*E23*MIN(1,(K71+P71)/L71)),"")</x:f>
        <x:v>1.6911322666666666</x:v>
      </x:c>
      <x:c r="L41" s="33" t="n">
        <x:f>IF(W71="估算",V71,"")</x:f>
        <x:v>0.0006259581183767704</x:v>
      </x:c>
      <x:c r="M41" s="33" t="n">
        <x:f>IF(W71="估算",E41*V71/60,"")</x:f>
        <x:v>0.00031297905918838527</x:v>
      </x:c>
      <x:c r="N41" s="33" t="n">
        <x:f>IF(W71="估算",V71/60000*1e6,"")</x:f>
        <x:v>0.010432635306279508</x:v>
      </x:c>
      <x:c r="O41" s="29" t="str">
        <x:f>IF(W71="估算","",W71)</x:f>
      </x:c>
      <x:c r="P41" s="53" t="n">
        <x:f>Q71</x:f>
        <x:v>21.379584</x:v>
      </x:c>
      <x:c r="Q41" s="29"/>
      <x:c r="R41" s="29"/>
      <x:c r="S41" s="29"/>
      <x:c r="T41" s="29"/>
      <x:c r="U41" s="29"/>
      <x:c r="V41" s="29"/>
      <x:c r="W41" s="29"/>
      <x:c r="X41" s="29"/>
    </x:row>
    <x:row r="42" ht="22" customHeight="1">
      <x:c r="A42" s="29" t="str">
        <x:f>A24</x:f>
        <x:v>DS V4.1 Flash</x:v>
      </x:c>
      <x:c r="B42" s="29" t="n">
        <x:f>B24</x:f>
        <x:v>256</x:v>
      </x:c>
      <x:c r="C42" s="79" t="n">
        <x:f>$B$15</x:f>
        <x:v>16384</x:v>
      </x:c>
      <x:c r="D42" s="29" t="n">
        <x:f>$C$15</x:f>
        <x:v>4</x:v>
      </x:c>
      <x:c r="E42" s="29" t="n">
        <x:f>$F$15</x:f>
        <x:v>5</x:v>
      </x:c>
      <x:c r="F42" s="80" t="n">
        <x:f>IF(A72,60000/L72,"")</x:f>
        <x:v>15</x:v>
      </x:c>
      <x:c r="G42" s="80" t="n">
        <x:f>K72</x:f>
        <x:v>0.02422784</x:v>
      </x:c>
      <x:c r="H42" s="80" t="n">
        <x:f>IF(W72="估算",U72*R72,"")</x:f>
        <x:v>3.3196248000000317</x:v>
      </x:c>
      <x:c r="I42" s="80" t="n">
        <x:f>IF(W72="估算",U72*S72,"")</x:f>
        <x:v>0</x:v>
      </x:c>
      <x:c r="J42" s="80" t="n">
        <x:f>IF(W72="估算",U72*MAX(0,R72-S72),"")</x:f>
        <x:v>3.3196248000000317</x:v>
      </x:c>
      <x:c r="K42" s="80" t="n">
        <x:f>IF(W72="估算",IF(OR(O72=0,K72=0),0,U72*E24*MIN(1,(K72+P72)/L72)),"")</x:f>
        <x:v>3.3196248</x:v>
      </x:c>
      <x:c r="L42" s="33" t="n">
        <x:f>IF(W72="估算",V72,"")</x:f>
        <x:v>0.0011011174692548149</x:v>
      </x:c>
      <x:c r="M42" s="33" t="n">
        <x:f>IF(W72="估算",E42*V72/60,"")</x:f>
        <x:v>0.00009175978910456792</x:v>
      </x:c>
      <x:c r="N42" s="33" t="n">
        <x:f>IF(W72="估算",V72/60000*1e6,"")</x:f>
        <x:v>0.018351957820913582</x:v>
      </x:c>
      <x:c r="O42" s="29" t="str">
        <x:f>IF(W72="估算","",W72)</x:f>
      </x:c>
      <x:c r="P42" s="53" t="n">
        <x:f>Q72</x:f>
        <x:v>131.93088</x:v>
      </x:c>
      <x:c r="Q42" s="29"/>
      <x:c r="R42" s="29"/>
      <x:c r="S42" s="29"/>
      <x:c r="T42" s="29"/>
      <x:c r="U42" s="29"/>
      <x:c r="V42" s="29"/>
      <x:c r="W42" s="29"/>
      <x:c r="X42" s="29"/>
    </x:row>
    <x:row r="43" ht="22" customHeight="1">
      <x:c r="A43" s="29" t="str">
        <x:f>A24</x:f>
        <x:v>DS V4.1 Flash</x:v>
      </x:c>
      <x:c r="B43" s="29" t="n">
        <x:f>B24</x:f>
        <x:v>256</x:v>
      </x:c>
      <x:c r="C43" s="79" t="n">
        <x:f>$B$15</x:f>
        <x:v>16384</x:v>
      </x:c>
      <x:c r="D43" s="29" t="n">
        <x:f>$C$15</x:f>
        <x:v>4</x:v>
      </x:c>
      <x:c r="E43" s="29" t="n">
        <x:f>$F$16</x:f>
        <x:v>10</x:v>
      </x:c>
      <x:c r="F43" s="80" t="n">
        <x:f>IF(A73,60000/L73,"")</x:f>
        <x:v>15</x:v>
      </x:c>
      <x:c r="G43" s="80" t="n">
        <x:f>K73</x:f>
        <x:v>0.02422784</x:v>
      </x:c>
      <x:c r="H43" s="80" t="n">
        <x:f>IF(W73="估算",U73*R73,"")</x:f>
        <x:v>1.6598124000000158</x:v>
      </x:c>
      <x:c r="I43" s="80" t="n">
        <x:f>IF(W73="估算",U73*S73,"")</x:f>
        <x:v>0</x:v>
      </x:c>
      <x:c r="J43" s="80" t="n">
        <x:f>IF(W73="估算",U73*MAX(0,R73-S73),"")</x:f>
        <x:v>1.6598124000000158</x:v>
      </x:c>
      <x:c r="K43" s="80" t="n">
        <x:f>IF(W73="估算",IF(OR(O73=0,K73=0),0,U73*E24*MIN(1,(K73+P73)/L73)),"")</x:f>
        <x:v>1.6598124</x:v>
      </x:c>
      <x:c r="L43" s="33" t="n">
        <x:f>IF(W73="估算",V73,"")</x:f>
        <x:v>0.0005505587346274074</x:v>
      </x:c>
      <x:c r="M43" s="33" t="n">
        <x:f>IF(W73="估算",E43*V73/60,"")</x:f>
        <x:v>0.00009175978910456792</x:v>
      </x:c>
      <x:c r="N43" s="33" t="n">
        <x:f>IF(W73="估算",V73/60000*1e6,"")</x:f>
        <x:v>0.009175978910456791</x:v>
      </x:c>
      <x:c r="O43" s="29" t="str">
        <x:f>IF(W73="估算","",W73)</x:f>
      </x:c>
      <x:c r="P43" s="53" t="n">
        <x:f>Q73</x:f>
        <x:v>65.96544</x:v>
      </x:c>
      <x:c r="Q43" s="29"/>
      <x:c r="R43" s="29"/>
      <x:c r="S43" s="29"/>
      <x:c r="T43" s="29"/>
      <x:c r="U43" s="29"/>
      <x:c r="V43" s="29"/>
      <x:c r="W43" s="29"/>
      <x:c r="X43" s="29"/>
    </x:row>
    <x:row r="44" ht="22" customHeight="1">
      <x:c r="A44" s="29" t="str">
        <x:f>A24</x:f>
        <x:v>DS V4.1 Flash</x:v>
      </x:c>
      <x:c r="B44" s="29" t="n">
        <x:f>B24</x:f>
        <x:v>256</x:v>
      </x:c>
      <x:c r="C44" s="79" t="n">
        <x:f>$B$15</x:f>
        <x:v>16384</x:v>
      </x:c>
      <x:c r="D44" s="29" t="n">
        <x:f>$C$15</x:f>
        <x:v>4</x:v>
      </x:c>
      <x:c r="E44" s="29" t="n">
        <x:f>$F$17</x:f>
        <x:v>20</x:v>
      </x:c>
      <x:c r="F44" s="80" t="n">
        <x:f>IF(A74,60000/L74,"")</x:f>
        <x:v>15</x:v>
      </x:c>
      <x:c r="G44" s="80" t="n">
        <x:f>K74</x:f>
        <x:v>0.02422784</x:v>
      </x:c>
      <x:c r="H44" s="80" t="n">
        <x:f>IF(W74="估算",U74*R74,"")</x:f>
        <x:v>0.8299062000000079</x:v>
      </x:c>
      <x:c r="I44" s="80" t="n">
        <x:f>IF(W74="估算",U74*S74,"")</x:f>
        <x:v>0</x:v>
      </x:c>
      <x:c r="J44" s="80" t="n">
        <x:f>IF(W74="估算",U74*MAX(0,R74-S74),"")</x:f>
        <x:v>0.8299062000000079</x:v>
      </x:c>
      <x:c r="K44" s="80" t="n">
        <x:f>IF(W74="估算",IF(OR(O74=0,K74=0),0,U74*E24*MIN(1,(K74+P74)/L74)),"")</x:f>
        <x:v>0.8299062</x:v>
      </x:c>
      <x:c r="L44" s="33" t="n">
        <x:f>IF(W74="估算",V74,"")</x:f>
        <x:v>0.0002752793673137037</x:v>
      </x:c>
      <x:c r="M44" s="33" t="n">
        <x:f>IF(W74="估算",E44*V74/60,"")</x:f>
        <x:v>0.00009175978910456792</x:v>
      </x:c>
      <x:c r="N44" s="33" t="n">
        <x:f>IF(W74="估算",V74/60000*1e6,"")</x:f>
        <x:v>0.0045879894552283956</x:v>
      </x:c>
      <x:c r="O44" s="29" t="str">
        <x:f>IF(W74="估算","",W74)</x:f>
      </x:c>
      <x:c r="P44" s="53" t="n">
        <x:f>Q74</x:f>
        <x:v>32.98272</x:v>
      </x:c>
      <x:c r="Q44" s="29"/>
      <x:c r="R44" s="29"/>
      <x:c r="S44" s="29"/>
      <x:c r="T44" s="29"/>
      <x:c r="U44" s="29"/>
      <x:c r="V44" s="29"/>
      <x:c r="W44" s="29"/>
      <x:c r="X44" s="29"/>
    </x:row>
    <x:row r="45" ht="22" customHeight="1">
      <x:c r="A45" s="29" t="str">
        <x:f>A24</x:f>
        <x:v>DS V4.1 Flash</x:v>
      </x:c>
      <x:c r="B45" s="29" t="n">
        <x:f>B24</x:f>
        <x:v>256</x:v>
      </x:c>
      <x:c r="C45" s="79" t="n">
        <x:f>$B$15</x:f>
        <x:v>16384</x:v>
      </x:c>
      <x:c r="D45" s="29" t="n">
        <x:f>$C$15</x:f>
        <x:v>4</x:v>
      </x:c>
      <x:c r="E45" s="29" t="n">
        <x:f>$F$18</x:f>
        <x:v>30</x:v>
      </x:c>
      <x:c r="F45" s="80" t="n">
        <x:f>IF(A75,60000/L75,"")</x:f>
        <x:v>15</x:v>
      </x:c>
      <x:c r="G45" s="80" t="n">
        <x:f>K75</x:f>
        <x:v>0.02422784</x:v>
      </x:c>
      <x:c r="H45" s="80" t="n">
        <x:f>IF(W75="估算",U75*R75,"")</x:f>
        <x:v>0.5532708000000053</x:v>
      </x:c>
      <x:c r="I45" s="80" t="n">
        <x:f>IF(W75="估算",U75*S75,"")</x:f>
        <x:v>0</x:v>
      </x:c>
      <x:c r="J45" s="80" t="n">
        <x:f>IF(W75="估算",U75*MAX(0,R75-S75),"")</x:f>
        <x:v>0.5532708000000053</x:v>
      </x:c>
      <x:c r="K45" s="80" t="n">
        <x:f>IF(W75="估算",IF(OR(O75=0,K75=0),0,U75*E24*MIN(1,(K75+P75)/L75)),"")</x:f>
        <x:v>0.5532708</x:v>
      </x:c>
      <x:c r="L45" s="33" t="n">
        <x:f>IF(W75="估算",V75,"")</x:f>
        <x:v>0.0001835195782091358</x:v>
      </x:c>
      <x:c r="M45" s="33" t="n">
        <x:f>IF(W75="估算",E45*V75/60,"")</x:f>
        <x:v>0.0000917597891045679</x:v>
      </x:c>
      <x:c r="N45" s="33" t="n">
        <x:f>IF(W75="估算",V75/60000*1e6,"")</x:f>
        <x:v>0.00305865963681893</x:v>
      </x:c>
      <x:c r="O45" s="29" t="str">
        <x:f>IF(W75="估算","",W75)</x:f>
      </x:c>
      <x:c r="P45" s="53" t="n">
        <x:f>Q75</x:f>
        <x:v>21.98848</x:v>
      </x:c>
      <x:c r="Q45" s="29"/>
      <x:c r="R45" s="29"/>
      <x:c r="S45" s="29"/>
      <x:c r="T45" s="29"/>
      <x:c r="U45" s="29"/>
      <x:c r="V45" s="29"/>
      <x:c r="W45" s="29"/>
      <x:c r="X45" s="29"/>
    </x:row>
    <x:row r="46" ht="22" customHeight="1">
      <x:c r="A46" s="29" t="str">
        <x:f>A24</x:f>
        <x:v>DS V4.1 Flash</x:v>
      </x:c>
      <x:c r="B46" s="29" t="n">
        <x:f>B24</x:f>
        <x:v>256</x:v>
      </x:c>
      <x:c r="C46" s="79" t="n">
        <x:f>$B$16</x:f>
        <x:v>262144</x:v>
      </x:c>
      <x:c r="D46" s="29" t="n">
        <x:f>$C$16</x:f>
        <x:v>20</x:v>
      </x:c>
      <x:c r="E46" s="29" t="n">
        <x:f>$F$15</x:f>
        <x:v>5</x:v>
      </x:c>
      <x:c r="F46" s="80" t="n">
        <x:f>IF(A76,60000/L76,"")</x:f>
        <x:v>3</x:v>
      </x:c>
      <x:c r="G46" s="80" t="n">
        <x:f>K76</x:f>
        <x:v>0.31965184</x:v>
      </x:c>
      <x:c r="H46" s="80" t="n">
        <x:f>IF(W76="估算",U76*R76,"")</x:f>
        <x:v>3.1188525240009035</x:v>
      </x:c>
      <x:c r="I46" s="80" t="n">
        <x:f>IF(W76="估算",U76*S76,"")</x:f>
        <x:v>0</x:v>
      </x:c>
      <x:c r="J46" s="80" t="n">
        <x:f>IF(W76="估算",U76*MAX(0,R76-S76),"")</x:f>
        <x:v>3.1188525240009035</x:v>
      </x:c>
      <x:c r="K46" s="80" t="n">
        <x:f>IF(W76="估算",IF(OR(O76=0,K76=0),0,U76*E24*MIN(1,(K76+P76)/L76)),"")</x:f>
        <x:v>7.75410096</x:v>
      </x:c>
      <x:c r="L46" s="33" t="n">
        <x:f>IF(W76="估算",V76,"")</x:f>
        <x:v>0.002926858791984297</x:v>
      </x:c>
      <x:c r="M46" s="33" t="n">
        <x:f>IF(W76="估算",E46*V76/60,"")</x:f>
        <x:v>0.00024390489933202473</x:v>
      </x:c>
      <x:c r="N46" s="33" t="n">
        <x:f>IF(W76="估算",V76/60000*1e6,"")</x:f>
        <x:v>0.04878097986640494</x:v>
      </x:c>
      <x:c r="O46" s="29" t="str">
        <x:f>IF(W76="估算","",W76)</x:f>
      </x:c>
      <x:c r="P46" s="53" t="n">
        <x:f>Q76</x:f>
        <x:v>131.93088</x:v>
      </x:c>
      <x:c r="Q46" s="29"/>
      <x:c r="R46" s="29"/>
      <x:c r="S46" s="29"/>
      <x:c r="T46" s="29"/>
      <x:c r="U46" s="29"/>
      <x:c r="V46" s="29"/>
      <x:c r="W46" s="29"/>
      <x:c r="X46" s="29"/>
    </x:row>
    <x:row r="47" ht="22" customHeight="1">
      <x:c r="A47" s="29" t="str">
        <x:f>A24</x:f>
        <x:v>DS V4.1 Flash</x:v>
      </x:c>
      <x:c r="B47" s="29" t="n">
        <x:f>B24</x:f>
        <x:v>256</x:v>
      </x:c>
      <x:c r="C47" s="79" t="n">
        <x:f>$B$16</x:f>
        <x:v>262144</x:v>
      </x:c>
      <x:c r="D47" s="29" t="n">
        <x:f>$C$16</x:f>
        <x:v>20</x:v>
      </x:c>
      <x:c r="E47" s="29" t="n">
        <x:f>$F$16</x:f>
        <x:v>10</x:v>
      </x:c>
      <x:c r="F47" s="80" t="n">
        <x:f>IF(A77,60000/L77,"")</x:f>
        <x:v>3</x:v>
      </x:c>
      <x:c r="G47" s="80" t="n">
        <x:f>K77</x:f>
        <x:v>0.31965184</x:v>
      </x:c>
      <x:c r="H47" s="80" t="n">
        <x:f>IF(W77="估算",U77*R77,"")</x:f>
        <x:v>3.021926262000374</x:v>
      </x:c>
      <x:c r="I47" s="80" t="n">
        <x:f>IF(W77="估算",U77*S77,"")</x:f>
        <x:v>0</x:v>
      </x:c>
      <x:c r="J47" s="80" t="n">
        <x:f>IF(W77="估算",U77*MAX(0,R77-S77),"")</x:f>
        <x:v>3.021926262000374</x:v>
      </x:c>
      <x:c r="K47" s="80" t="n">
        <x:f>IF(W77="估算",IF(OR(O77=0,K77=0),0,U77*E24*MIN(1,(K77+P77)/L77)),"")</x:f>
        <x:v>3.87705048</x:v>
      </x:c>
      <x:c r="L47" s="33" t="n">
        <x:f>IF(W77="估算",V77,"")</x:f>
        <x:v>0.0014634293959921484</x:v>
      </x:c>
      <x:c r="M47" s="33" t="n">
        <x:f>IF(W77="估算",E47*V77/60,"")</x:f>
        <x:v>0.00024390489933202473</x:v>
      </x:c>
      <x:c r="N47" s="33" t="n">
        <x:f>IF(W77="估算",V77/60000*1e6,"")</x:f>
        <x:v>0.02439048993320247</x:v>
      </x:c>
      <x:c r="O47" s="29" t="str">
        <x:f>IF(W77="估算","",W77)</x:f>
      </x:c>
      <x:c r="P47" s="53" t="n">
        <x:f>Q77</x:f>
        <x:v>65.96544</x:v>
      </x:c>
      <x:c r="Q47" s="29"/>
      <x:c r="R47" s="29"/>
      <x:c r="S47" s="29"/>
      <x:c r="T47" s="29"/>
      <x:c r="U47" s="29"/>
      <x:c r="V47" s="29"/>
      <x:c r="W47" s="29"/>
      <x:c r="X47" s="29"/>
    </x:row>
    <x:row r="48" ht="22" customHeight="1">
      <x:c r="A48" s="29" t="str">
        <x:f>A24</x:f>
        <x:v>DS V4.1 Flash</x:v>
      </x:c>
      <x:c r="B48" s="29" t="n">
        <x:f>B24</x:f>
        <x:v>256</x:v>
      </x:c>
      <x:c r="C48" s="79" t="n">
        <x:f>$B$16</x:f>
        <x:v>262144</x:v>
      </x:c>
      <x:c r="D48" s="29" t="n">
        <x:f>$C$16</x:f>
        <x:v>20</x:v>
      </x:c>
      <x:c r="E48" s="29" t="n">
        <x:f>$F$17</x:f>
        <x:v>20</x:v>
      </x:c>
      <x:c r="F48" s="80" t="n">
        <x:f>IF(A78,60000/L78,"")</x:f>
        <x:v>3</x:v>
      </x:c>
      <x:c r="G48" s="80" t="n">
        <x:f>K78</x:f>
        <x:v>0.31965184</x:v>
      </x:c>
      <x:c r="H48" s="80" t="n">
        <x:f>IF(W78="估算",U78*R78,"")</x:f>
        <x:v>1.9385252400002662</x:v>
      </x:c>
      <x:c r="I48" s="80" t="n">
        <x:f>IF(W78="估算",U78*S78,"")</x:f>
        <x:v>0</x:v>
      </x:c>
      <x:c r="J48" s="80" t="n">
        <x:f>IF(W78="估算",U78*MAX(0,R78-S78),"")</x:f>
        <x:v>1.9385252400002662</x:v>
      </x:c>
      <x:c r="K48" s="80" t="n">
        <x:f>IF(W78="估算",IF(OR(O78=0,K78=0),0,U78*E24*MIN(1,(K78+P78)/L78)),"")</x:f>
        <x:v>1.93852524</x:v>
      </x:c>
      <x:c r="L48" s="33" t="n">
        <x:f>IF(W78="估算",V78,"")</x:f>
        <x:v>0.0007317146979960742</x:v>
      </x:c>
      <x:c r="M48" s="33" t="n">
        <x:f>IF(W78="估算",E48*V78/60,"")</x:f>
        <x:v>0.00024390489933202473</x:v>
      </x:c>
      <x:c r="N48" s="33" t="n">
        <x:f>IF(W78="估算",V78/60000*1e6,"")</x:f>
        <x:v>0.012195244966601236</x:v>
      </x:c>
      <x:c r="O48" s="29" t="str">
        <x:f>IF(W78="估算","",W78)</x:f>
      </x:c>
      <x:c r="P48" s="53" t="n">
        <x:f>Q78</x:f>
        <x:v>32.98272</x:v>
      </x:c>
      <x:c r="Q48" s="29"/>
      <x:c r="R48" s="29"/>
      <x:c r="S48" s="29"/>
      <x:c r="T48" s="29"/>
      <x:c r="U48" s="29"/>
      <x:c r="V48" s="29"/>
      <x:c r="W48" s="29"/>
      <x:c r="X48" s="29"/>
    </x:row>
    <x:row r="49" ht="22" customHeight="1">
      <x:c r="A49" s="29" t="str">
        <x:f>A24</x:f>
        <x:v>DS V4.1 Flash</x:v>
      </x:c>
      <x:c r="B49" s="29" t="n">
        <x:f>B24</x:f>
        <x:v>256</x:v>
      </x:c>
      <x:c r="C49" s="79" t="n">
        <x:f>$B$16</x:f>
        <x:v>262144</x:v>
      </x:c>
      <x:c r="D49" s="29" t="n">
        <x:f>$C$16</x:f>
        <x:v>20</x:v>
      </x:c>
      <x:c r="E49" s="29" t="n">
        <x:f>$F$18</x:f>
        <x:v>30</x:v>
      </x:c>
      <x:c r="F49" s="80" t="n">
        <x:f>IF(A79,60000/L79,"")</x:f>
        <x:v>3</x:v>
      </x:c>
      <x:c r="G49" s="80" t="n">
        <x:f>K79</x:f>
        <x:v>0.31965184</x:v>
      </x:c>
      <x:c r="H49" s="80" t="n">
        <x:f>IF(W79="估算",U79*R79,"")</x:f>
        <x:v>1.2923501600001774</x:v>
      </x:c>
      <x:c r="I49" s="80" t="n">
        <x:f>IF(W79="估算",U79*S79,"")</x:f>
        <x:v>0</x:v>
      </x:c>
      <x:c r="J49" s="80" t="n">
        <x:f>IF(W79="估算",U79*MAX(0,R79-S79),"")</x:f>
        <x:v>1.2923501600001774</x:v>
      </x:c>
      <x:c r="K49" s="80" t="n">
        <x:f>IF(W79="估算",IF(OR(O79=0,K79=0),0,U79*E24*MIN(1,(K79+P79)/L79)),"")</x:f>
        <x:v>1.29235016</x:v>
      </x:c>
      <x:c r="L49" s="33" t="n">
        <x:f>IF(W79="估算",V79,"")</x:f>
        <x:v>0.0004878097986640494</x:v>
      </x:c>
      <x:c r="M49" s="33" t="n">
        <x:f>IF(W79="估算",E49*V79/60,"")</x:f>
        <x:v>0.0002439048993320247</x:v>
      </x:c>
      <x:c r="N49" s="33" t="n">
        <x:f>IF(W79="估算",V79/60000*1e6,"")</x:f>
        <x:v>0.008130163311067489</x:v>
      </x:c>
      <x:c r="O49" s="29" t="str">
        <x:f>IF(W79="估算","",W79)</x:f>
      </x:c>
      <x:c r="P49" s="53" t="n">
        <x:f>Q79</x:f>
        <x:v>21.98848</x:v>
      </x:c>
      <x:c r="Q49" s="29"/>
      <x:c r="R49" s="29"/>
      <x:c r="S49" s="29"/>
      <x:c r="T49" s="29"/>
      <x:c r="U49" s="29"/>
      <x:c r="V49" s="29"/>
      <x:c r="W49" s="29"/>
      <x:c r="X49" s="29"/>
    </x:row>
    <x:row r="50" ht="22" customHeight="1">
      <x:c r="A50" s="29" t="str">
        <x:f>A24</x:f>
        <x:v>DS V4.1 Flash</x:v>
      </x:c>
      <x:c r="B50" s="29" t="n">
        <x:f>B24</x:f>
        <x:v>256</x:v>
      </x:c>
      <x:c r="C50" s="79" t="n">
        <x:f>$B$17</x:f>
        <x:v>1048576</x:v>
      </x:c>
      <x:c r="D50" s="29" t="n">
        <x:f>$C$17</x:f>
        <x:v>60</x:v>
      </x:c>
      <x:c r="E50" s="29" t="n">
        <x:f>$F$15</x:f>
        <x:v>5</x:v>
      </x:c>
      <x:c r="F50" s="80" t="n">
        <x:f>IF(A80,60000/L80,"")</x:f>
        <x:v>1</x:v>
      </x:c>
      <x:c r="G50" s="80" t="n">
        <x:f>K80</x:f>
        <x:v>1.26500864</x:v>
      </x:c>
      <x:c r="H50" s="80" t="n">
        <x:f>IF(W80="估算",U80*R80,"")</x:f>
        <x:v>1.228688867999761</x:v>
      </x:c>
      <x:c r="I50" s="80" t="n">
        <x:f>IF(W80="估算",U80*S80,"")</x:f>
        <x:v>0</x:v>
      </x:c>
      <x:c r="J50" s="80" t="n">
        <x:f>IF(W80="估算",U80*MAX(0,R80-S80),"")</x:f>
        <x:v>1.228688867999761</x:v>
      </x:c>
      <x:c r="K50" s="80" t="n">
        <x:f>IF(W80="估算",IF(OR(O80=0,K80=0),0,U80*E24*MIN(1,(K80+P80)/L80)),"")</x:f>
        <x:v>10.14755472</x:v>
      </x:c>
      <x:c r="L50" s="33" t="n">
        <x:f>IF(W80="估算",V80,"")</x:f>
        <x:v>0.0038626972486703213</x:v>
      </x:c>
      <x:c r="M50" s="33" t="n">
        <x:f>IF(W80="估算",E50*V80/60,"")</x:f>
        <x:v>0.0003218914373891935</x:v>
      </x:c>
      <x:c r="N50" s="33" t="n">
        <x:f>IF(W80="估算",V80/60000*1e6,"")</x:f>
        <x:v>0.06437828747783869</x:v>
      </x:c>
      <x:c r="O50" s="29" t="str">
        <x:f>IF(W80="估算","",W80)</x:f>
      </x:c>
      <x:c r="P50" s="53" t="n">
        <x:f>Q80</x:f>
        <x:v>131.93088</x:v>
      </x:c>
      <x:c r="Q50" s="29"/>
      <x:c r="R50" s="29"/>
      <x:c r="S50" s="29"/>
      <x:c r="T50" s="29"/>
      <x:c r="U50" s="29"/>
      <x:c r="V50" s="29"/>
      <x:c r="W50" s="29"/>
      <x:c r="X50" s="29"/>
    </x:row>
    <x:row r="51" ht="22" customHeight="1">
      <x:c r="A51" s="29" t="str">
        <x:f>A24</x:f>
        <x:v>DS V4.1 Flash</x:v>
      </x:c>
      <x:c r="B51" s="29" t="n">
        <x:f>B24</x:f>
        <x:v>256</x:v>
      </x:c>
      <x:c r="C51" s="79" t="n">
        <x:f>$B$17</x:f>
        <x:v>1048576</x:v>
      </x:c>
      <x:c r="D51" s="29" t="n">
        <x:f>$C$17</x:f>
        <x:v>60</x:v>
      </x:c>
      <x:c r="E51" s="29" t="n">
        <x:f>$F$16</x:f>
        <x:v>10</x:v>
      </x:c>
      <x:c r="F51" s="80" t="n">
        <x:f>IF(A81,60000/L81,"")</x:f>
        <x:v>1</x:v>
      </x:c>
      <x:c r="G51" s="80" t="n">
        <x:f>K81</x:f>
        <x:v>1.26500864</x:v>
      </x:c>
      <x:c r="H51" s="80" t="n">
        <x:f>IF(W81="估算",U81*R81,"")</x:f>
        <x:v>1.1018444340000766</x:v>
      </x:c>
      <x:c r="I51" s="80" t="n">
        <x:f>IF(W81="估算",U81*S81,"")</x:f>
        <x:v>0</x:v>
      </x:c>
      <x:c r="J51" s="80" t="n">
        <x:f>IF(W81="估算",U81*MAX(0,R81-S81),"")</x:f>
        <x:v>1.1018444340000766</x:v>
      </x:c>
      <x:c r="K51" s="80" t="n">
        <x:f>IF(W81="估算",IF(OR(O81=0,K81=0),0,U81*E24*MIN(1,(K81+P81)/L81)),"")</x:f>
        <x:v>5.07377736</x:v>
      </x:c>
      <x:c r="L51" s="33" t="n">
        <x:f>IF(W81="估算",V81,"")</x:f>
        <x:v>0.0019313486243351607</x:v>
      </x:c>
      <x:c r="M51" s="33" t="n">
        <x:f>IF(W81="估算",E51*V81/60,"")</x:f>
        <x:v>0.0003218914373891935</x:v>
      </x:c>
      <x:c r="N51" s="33" t="n">
        <x:f>IF(W81="估算",V81/60000*1e6,"")</x:f>
        <x:v>0.032189143738919346</x:v>
      </x:c>
      <x:c r="O51" s="29" t="str">
        <x:f>IF(W81="估算","",W81)</x:f>
      </x:c>
      <x:c r="P51" s="53" t="n">
        <x:f>Q81</x:f>
        <x:v>65.96544</x:v>
      </x:c>
      <x:c r="Q51" s="29"/>
      <x:c r="R51" s="29"/>
      <x:c r="S51" s="29"/>
      <x:c r="T51" s="29"/>
      <x:c r="U51" s="29"/>
      <x:c r="V51" s="29"/>
      <x:c r="W51" s="29"/>
      <x:c r="X51" s="29"/>
    </x:row>
    <x:row r="52" ht="22" customHeight="1">
      <x:c r="A52" s="29" t="str">
        <x:f>A24</x:f>
        <x:v>DS V4.1 Flash</x:v>
      </x:c>
      <x:c r="B52" s="29" t="n">
        <x:f>B24</x:f>
        <x:v>256</x:v>
      </x:c>
      <x:c r="C52" s="79" t="n">
        <x:f>$B$17</x:f>
        <x:v>1048576</x:v>
      </x:c>
      <x:c r="D52" s="29" t="n">
        <x:f>$C$17</x:f>
        <x:v>60</x:v>
      </x:c>
      <x:c r="E52" s="29" t="n">
        <x:f>$F$17</x:f>
        <x:v>20</x:v>
      </x:c>
      <x:c r="F52" s="80" t="n">
        <x:f>IF(A82,60000/L82,"")</x:f>
        <x:v>1</x:v>
      </x:c>
      <x:c r="G52" s="80" t="n">
        <x:f>K82</x:f>
        <x:v>1.26500864</x:v>
      </x:c>
      <x:c r="H52" s="80" t="n">
        <x:f>IF(W82="估算",U82*R82,"")</x:f>
        <x:v>1.0384222169999013</x:v>
      </x:c>
      <x:c r="I52" s="80" t="n">
        <x:f>IF(W82="估算",U82*S82,"")</x:f>
        <x:v>0</x:v>
      </x:c>
      <x:c r="J52" s="80" t="n">
        <x:f>IF(W82="估算",U82*MAX(0,R82-S82),"")</x:f>
        <x:v>1.0384222169999013</x:v>
      </x:c>
      <x:c r="K52" s="80" t="n">
        <x:f>IF(W82="估算",IF(OR(O82=0,K82=0),0,U82*E24*MIN(1,(K82+P82)/L82)),"")</x:f>
        <x:v>2.53688868</x:v>
      </x:c>
      <x:c r="L52" s="33" t="n">
        <x:f>IF(W82="估算",V82,"")</x:f>
        <x:v>0.0009656743121675803</x:v>
      </x:c>
      <x:c r="M52" s="33" t="n">
        <x:f>IF(W82="估算",E52*V82/60,"")</x:f>
        <x:v>0.0003218914373891935</x:v>
      </x:c>
      <x:c r="N52" s="33" t="n">
        <x:f>IF(W82="估算",V82/60000*1e6,"")</x:f>
        <x:v>0.016094571869459673</x:v>
      </x:c>
      <x:c r="O52" s="29" t="str">
        <x:f>IF(W82="估算","",W82)</x:f>
      </x:c>
      <x:c r="P52" s="53" t="n">
        <x:f>Q82</x:f>
        <x:v>32.98272</x:v>
      </x:c>
      <x:c r="Q52" s="29"/>
      <x:c r="R52" s="29"/>
      <x:c r="S52" s="29"/>
      <x:c r="T52" s="29"/>
      <x:c r="U52" s="29"/>
      <x:c r="V52" s="29"/>
      <x:c r="W52" s="29"/>
      <x:c r="X52" s="29"/>
    </x:row>
    <x:row r="53" ht="22" customHeight="1">
      <x:c r="A53" s="29" t="str">
        <x:f>A24</x:f>
        <x:v>DS V4.1 Flash</x:v>
      </x:c>
      <x:c r="B53" s="29" t="n">
        <x:f>B24</x:f>
        <x:v>256</x:v>
      </x:c>
      <x:c r="C53" s="79" t="n">
        <x:f>$B$17</x:f>
        <x:v>1048576</x:v>
      </x:c>
      <x:c r="D53" s="29" t="n">
        <x:f>$C$17</x:f>
        <x:v>60</x:v>
      </x:c>
      <x:c r="E53" s="29" t="n">
        <x:f>$F$18</x:f>
        <x:v>30</x:v>
      </x:c>
      <x:c r="F53" s="80" t="n">
        <x:f>IF(A83,60000/L83,"")</x:f>
        <x:v>1</x:v>
      </x:c>
      <x:c r="G53" s="80" t="n">
        <x:f>K83</x:f>
        <x:v>1.26500864</x:v>
      </x:c>
      <x:c r="H53" s="80" t="n">
        <x:f>IF(W83="估算",U83*R83,"")</x:f>
        <x:v>1.017281478000065</x:v>
      </x:c>
      <x:c r="I53" s="80" t="n">
        <x:f>IF(W83="估算",U83*S83,"")</x:f>
        <x:v>0</x:v>
      </x:c>
      <x:c r="J53" s="80" t="n">
        <x:f>IF(W83="估算",U83*MAX(0,R83-S83),"")</x:f>
        <x:v>1.017281478000065</x:v>
      </x:c>
      <x:c r="K53" s="80" t="n">
        <x:f>IF(W83="估算",IF(OR(O83=0,K83=0),0,U83*E24*MIN(1,(K83+P83)/L83)),"")</x:f>
        <x:v>1.6912591200000002</x:v>
      </x:c>
      <x:c r="L53" s="33" t="n">
        <x:f>IF(W83="估算",V83,"")</x:f>
        <x:v>0.0006437828747783869</x:v>
      </x:c>
      <x:c r="M53" s="33" t="n">
        <x:f>IF(W83="估算",E53*V83/60,"")</x:f>
        <x:v>0.0003218914373891934</x:v>
      </x:c>
      <x:c r="N53" s="33" t="n">
        <x:f>IF(W83="估算",V83/60000*1e6,"")</x:f>
        <x:v>0.01072971457963978</x:v>
      </x:c>
      <x:c r="O53" s="29" t="str">
        <x:f>IF(W83="估算","",W83)</x:f>
      </x:c>
      <x:c r="P53" s="53" t="n">
        <x:f>Q83</x:f>
        <x:v>21.98848</x:v>
      </x:c>
      <x:c r="Q53" s="29"/>
      <x:c r="R53" s="29"/>
      <x:c r="S53" s="29"/>
      <x:c r="T53" s="29"/>
      <x:c r="U53" s="29"/>
      <x:c r="V53" s="29"/>
      <x:c r="W53" s="29"/>
      <x:c r="X53" s="29"/>
    </x:row>
    <x:row r="54" ht="22" customHeight="1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</x:row>
    <x:row r="55" ht="22" customHeight="1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</x:row>
    <x:row r="56" ht="22" customHeight="1">
      <x:c r="A56" s="29" t="str">
        <x:v>统计单位为一个 D DP 副本的 forward。EP 内各 Rank 并行，不能再把 forward 次数乘 EP。</x:v>
      </x:c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</x:row>
    <x:row r="57" ht="22" customHeight="1">
      <x:c r="A57" s="29" t="str">
        <x:v>交接请求总数、每 D DP 请求数、KV 占用和完整计算见下表。全 EP / 部分 EP 是基线窗口交集分类。</x:v>
      </x:c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</x:row>
    <x:row r="58" ht="22" customHeight="1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</x:row>
    <x:row r="59" ht="42" customHeight="1">
      <x:c r="A59" s="78" t="str">
        <x:v>输入有效</x:v>
      </x:c>
      <x:c r="B59" s="78" t="str">
        <x:v>周期 ms</x:v>
      </x:c>
      <x:c r="C59" s="78" t="str">
        <x:v>步间隔 ms</x:v>
      </x:c>
      <x:c r="D59" s="78" t="str">
        <x:v>取 GiB/请求</x:v>
      </x:c>
      <x:c r="E59" s="78" t="str">
        <x:v>P DP/组</x:v>
      </x:c>
      <x:c r="F59" s="78" t="str">
        <x:v>D DP/组</x:v>
      </x:c>
      <x:c r="G59" s="78" t="str">
        <x:v>全系统请求交接/min</x:v>
      </x:c>
      <x:c r="H59" s="78" t="str">
        <x:v>每 D DP 请求/min</x:v>
      </x:c>
      <x:c r="I59" s="78" t="str">
        <x:v>P Rank GiB/窗口</x:v>
      </x:c>
      <x:c r="J59" s="78" t="str">
        <x:v>D Rank GiB/窗口</x:v>
      </x:c>
      <x:c r="K59" s="78" t="str">
        <x:v>KV 窗口 ms</x:v>
      </x:c>
      <x:c r="L59" s="78" t="str">
        <x:v>KV 间隔 ms</x:v>
      </x:c>
      <x:c r="M59" s="78" t="str">
        <x:v>KV 负载率</x:v>
      </x:c>
      <x:c r="N59" s="78" t="str">
        <x:v>EP GB/Rank/步</x:v>
      </x:c>
      <x:c r="O59" s="78" t="str">
        <x:v>EP 带宽项 ms</x:v>
      </x:c>
      <x:c r="P59" s="78" t="str">
        <x:v>每层 EP 段 ms</x:v>
      </x:c>
      <x:c r="Q59" s="78" t="str">
        <x:v>最低 EP GB/s</x:v>
      </x:c>
      <x:c r="R59" s="78" t="str">
        <x:v>FW 重叠概率</x:v>
      </x:c>
      <x:c r="S59" s="78" t="str">
        <x:v>全 EP 概率</x:v>
      </x:c>
      <x:c r="T59" s="78" t="str">
        <x:v>每层平均增时 ms</x:v>
      </x:c>
      <x:c r="U59" s="78" t="str">
        <x:v>基线 FW/min</x:v>
      </x:c>
      <x:c r="V59" s="18" t="str">
        <x:v>Total overhead
ms/60s</x:v>
      </x:c>
      <x:c r="W59" s="78" t="str">
        <x:v>输入 / 调度状态</x:v>
      </x:c>
      <x:c r="X59" s="78" t="str">
        <x:v>等效全通信 FW/min</x:v>
      </x:c>
    </x:row>
    <x:row r="60" ht="22" customHeight="1">
      <x:c r="A6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</x:f>
        <x:v>1</x:v>
      </x:c>
      <x:c r="B60" s="81" t="n">
        <x:f>IF(A60,D30*1000,"")</x:f>
        <x:v>4000</x:v>
      </x:c>
      <x:c r="C60" s="81" t="n">
        <x:f>IF(A60,E30*L23,"")</x:f>
        <x:v>5</x:v>
      </x:c>
      <x:c r="D60" s="81" t="n">
        <x:f>IF(A60,M96,"")</x:f>
        <x:v>0.0541534423828125</x:v>
      </x:c>
      <x:c r="E60" s="81" t="n">
        <x:f>IF(A60,B23/C23,"")</x:f>
        <x:v>4</x:v>
      </x:c>
      <x:c r="F60" s="81" t="n">
        <x:f>IF(A60,B23/D23,"")</x:f>
        <x:v>32</x:v>
      </x:c>
      <x:c r="G60" s="81" t="n">
        <x:f>IF(A60,$F$5*E60*$B$5*60000/B60,"")</x:f>
        <x:v>960</x:v>
      </x:c>
      <x:c r="H60" s="81" t="n">
        <x:f>IF(A60,G60/($J$5*F60),"")</x:f>
        <x:v>30</x:v>
      </x:c>
      <x:c r="I60" s="81" t="n">
        <x:f>IF(A60,$B$5*D60/C23/$B$9,"")</x:f>
        <x:v>0.108306884765625</x:v>
      </x:c>
      <x:c r="J60" s="81" t="n">
        <x:f>IF(A60,I60*$F$5/$J$5,"")</x:f>
        <x:v>0.108306884765625</x:v>
      </x:c>
      <x:c r="K60" s="81" t="n">
        <x:f>IF(A60,MAX(I60,J60)*2^30/(J23*1e6),"")</x:f>
        <x:v>0.02422784</x:v>
      </x:c>
      <x:c r="L60" s="81" t="n">
        <x:f>IF(A60,B60/$B$9,"")</x:f>
        <x:v>4000</x:v>
      </x:c>
      <x:c r="M60" s="82" t="n">
        <x:f>IF(A60,K60/L60,"")</x:f>
        <x:v>0.00000605696</x:v>
      </x:c>
      <x:c r="N60" s="81" t="n">
        <x:f>IF(A60,(E23*ROUNDUP(K23/D23,0)*G23*(B23-1)/B23*(ROUNDUP((ROUNDUP(F23*2/32,0)*32+32)/480,0)*512+F23*2+32)+E23*ROUNDUP(H23/B23,0)*(B23-1)*32)/1e9,"")</x:f>
        <x:v>0.64138752</x:v>
      </x:c>
      <x:c r="O60" s="81" t="n">
        <x:f>IF(A60,N60*1000/I23,"")</x:f>
        <x:v>0.1336224</x:v>
      </x:c>
      <x:c r="P60" s="81" t="n">
        <x:f>IF(A60,O60/E23,"")</x:f>
        <x:v>0.0033405600000000002</x:v>
      </x:c>
      <x:c r="Q60" s="81" t="n">
        <x:f>IF(A60,N60*1000/C60,"")</x:f>
        <x:v>128.277504</x:v>
      </x:c>
      <x:c r="R60" s="81" t="n">
        <x:f>IF(W60="估算",IF(OR(K60=0,O60=0),0,1-((E23-1)*MAX(0,(C60-O60)/E23-(K60))+MAX(0,L60-((E23-1)*C60/E23+P60)-(K60)))/L60),"")</x:f>
        <x:v>0.0002756840000001093</x:v>
      </x:c>
      <x:c r="S60" s="81" t="n">
        <x:f>IF(W60="估算",IF(O60=0,0,MAX(0,1-(1-((E23-1)*MAX(0,(C60-O60)/E23-(L60-K60))+MAX(0,L60-((E23-1)*C60/E23+P60)-(L60-K60)))/L60))),"")</x:f>
        <x:v>0</x:v>
      </x:c>
      <x:c r="T60" s="81" t="n">
        <x:f>IF(W60="估算",IF(OR(P60=0,K60=0,$J$7=0),0,IF(P60&lt;=(1-$J$7)*K60,$J$7*P60*K60/(1-$J$7)-$J$7^2*P60^2/(2*(1-$J$7)^2),$J$7*P60*K60+$J$7^2*K60^2/2)/L60),"")</x:f>
        <x:v>2.2309608276444445e-9</x:v>
      </x:c>
      <x:c r="U60" s="81" t="n">
        <x:f>IF(A60,60000/C60,"")</x:f>
        <x:v>12000</x:v>
      </x:c>
      <x:c r="V60" s="81" t="n">
        <x:f>IF(W60="估算",U60*E23*T60*M23*N23,"")</x:f>
        <x:v>0.0010708611972693335</x:v>
      </x:c>
      <x:c r="W60" s="81" t="str">
        <x:f>IF(NOT(A60),"输入无效",IF(K60&gt;=L60,"KV 超载",IF(O60&gt;C60+1e-9,"TPOT 不自洽",IF(OR(C60&gt;L60,P60&gt;L60-K60),"需时序仿真","估算"))))</x:f>
        <x:v>估算</x:v>
      </x:c>
      <x:c r="X60" s="81" t="n">
        <x:f>IF(W60="估算",U60*M60,"")</x:f>
        <x:v>0.07268352</x:v>
      </x:c>
    </x:row>
    <x:row r="61" ht="22" customHeight="1">
      <x:c r="A6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</x:f>
        <x:v>1</x:v>
      </x:c>
      <x:c r="B61" s="81" t="n">
        <x:f>IF(A61,D31*1000,"")</x:f>
        <x:v>4000</x:v>
      </x:c>
      <x:c r="C61" s="81" t="n">
        <x:f>IF(A61,E31*L23,"")</x:f>
        <x:v>10</x:v>
      </x:c>
      <x:c r="D61" s="81" t="n">
        <x:f>IF(A61,M96,"")</x:f>
        <x:v>0.0541534423828125</x:v>
      </x:c>
      <x:c r="E61" s="81" t="n">
        <x:f>IF(A61,B23/C23,"")</x:f>
        <x:v>4</x:v>
      </x:c>
      <x:c r="F61" s="81" t="n">
        <x:f>IF(A61,B23/D23,"")</x:f>
        <x:v>32</x:v>
      </x:c>
      <x:c r="G61" s="81" t="n">
        <x:f>IF(A61,$F$5*E61*$B$5*60000/B61,"")</x:f>
        <x:v>960</x:v>
      </x:c>
      <x:c r="H61" s="81" t="n">
        <x:f>IF(A61,G61/($J$5*F61),"")</x:f>
        <x:v>30</x:v>
      </x:c>
      <x:c r="I61" s="81" t="n">
        <x:f>IF(A61,$B$5*D61/C23/$B$9,"")</x:f>
        <x:v>0.108306884765625</x:v>
      </x:c>
      <x:c r="J61" s="81" t="n">
        <x:f>IF(A61,I61*$F$5/$J$5,"")</x:f>
        <x:v>0.108306884765625</x:v>
      </x:c>
      <x:c r="K61" s="81" t="n">
        <x:f>IF(A61,MAX(I61,J61)*2^30/(J23*1e6),"")</x:f>
        <x:v>0.02422784</x:v>
      </x:c>
      <x:c r="L61" s="81" t="n">
        <x:f>IF(A61,B61/$B$9,"")</x:f>
        <x:v>4000</x:v>
      </x:c>
      <x:c r="M61" s="82" t="n">
        <x:f>IF(A61,K61/L61,"")</x:f>
        <x:v>0.00000605696</x:v>
      </x:c>
      <x:c r="N61" s="81" t="n">
        <x:f>IF(A61,(E23*ROUNDUP(K23/D23,0)*G23*(B23-1)/B23*(ROUNDUP((ROUNDUP(F23*2/32,0)*32+32)/480,0)*512+F23*2+32)+E23*ROUNDUP(H23/B23,0)*(B23-1)*32)/1e9,"")</x:f>
        <x:v>0.64138752</x:v>
      </x:c>
      <x:c r="O61" s="81" t="n">
        <x:f>IF(A61,N61*1000/I23,"")</x:f>
        <x:v>0.1336224</x:v>
      </x:c>
      <x:c r="P61" s="81" t="n">
        <x:f>IF(A61,O61/E23,"")</x:f>
        <x:v>0.0033405600000000002</x:v>
      </x:c>
      <x:c r="Q61" s="81" t="n">
        <x:f>IF(A61,N61*1000/C61,"")</x:f>
        <x:v>64.138752</x:v>
      </x:c>
      <x:c r="R61" s="81" t="n">
        <x:f>IF(W61="估算",IF(OR(K61=0,O61=0),0,1-((E23-1)*MAX(0,(C61-O61)/E23-(K61))+MAX(0,L61-((E23-1)*C61/E23+P61)-(K61)))/L61),"")</x:f>
        <x:v>0.0002756840000001093</x:v>
      </x:c>
      <x:c r="S61" s="81" t="n">
        <x:f>IF(W61="估算",IF(O61=0,0,MAX(0,1-(1-((E23-1)*MAX(0,(C61-O61)/E23-(L61-K61))+MAX(0,L61-((E23-1)*C61/E23+P61)-(L61-K61)))/L61))),"")</x:f>
        <x:v>0</x:v>
      </x:c>
      <x:c r="T61" s="81" t="n">
        <x:f>IF(W61="估算",IF(OR(P61=0,K61=0,$J$7=0),0,IF(P61&lt;=(1-$J$7)*K61,$J$7*P61*K61/(1-$J$7)-$J$7^2*P61^2/(2*(1-$J$7)^2),$J$7*P61*K61+$J$7^2*K61^2/2)/L61),"")</x:f>
        <x:v>2.2309608276444445e-9</x:v>
      </x:c>
      <x:c r="U61" s="81" t="n">
        <x:f>IF(A61,60000/C61,"")</x:f>
        <x:v>6000</x:v>
      </x:c>
      <x:c r="V61" s="81" t="n">
        <x:f>IF(W61="估算",U61*E23*T61*M23*N23,"")</x:f>
        <x:v>0.0005354305986346667</x:v>
      </x:c>
      <x:c r="W61" s="81" t="str">
        <x:f>IF(NOT(A61),"输入无效",IF(K61&gt;=L61,"KV 超载",IF(O61&gt;C61+1e-9,"TPOT 不自洽",IF(OR(C61&gt;L61,P61&gt;L61-K61),"需时序仿真","估算"))))</x:f>
        <x:v>估算</x:v>
      </x:c>
      <x:c r="X61" s="81" t="n">
        <x:f>IF(W61="估算",U61*M61,"")</x:f>
        <x:v>0.03634176</x:v>
      </x:c>
    </x:row>
    <x:row r="62" ht="22" customHeight="1">
      <x:c r="A62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</x:f>
        <x:v>1</x:v>
      </x:c>
      <x:c r="B62" s="81" t="n">
        <x:f>IF(A62,D32*1000,"")</x:f>
        <x:v>4000</x:v>
      </x:c>
      <x:c r="C62" s="81" t="n">
        <x:f>IF(A62,E32*L23,"")</x:f>
        <x:v>20</x:v>
      </x:c>
      <x:c r="D62" s="81" t="n">
        <x:f>IF(A62,M96,"")</x:f>
        <x:v>0.0541534423828125</x:v>
      </x:c>
      <x:c r="E62" s="81" t="n">
        <x:f>IF(A62,B23/C23,"")</x:f>
        <x:v>4</x:v>
      </x:c>
      <x:c r="F62" s="81" t="n">
        <x:f>IF(A62,B23/D23,"")</x:f>
        <x:v>32</x:v>
      </x:c>
      <x:c r="G62" s="81" t="n">
        <x:f>IF(A62,$F$5*E62*$B$5*60000/B62,"")</x:f>
        <x:v>960</x:v>
      </x:c>
      <x:c r="H62" s="81" t="n">
        <x:f>IF(A62,G62/($J$5*F62),"")</x:f>
        <x:v>30</x:v>
      </x:c>
      <x:c r="I62" s="81" t="n">
        <x:f>IF(A62,$B$5*D62/C23/$B$9,"")</x:f>
        <x:v>0.108306884765625</x:v>
      </x:c>
      <x:c r="J62" s="81" t="n">
        <x:f>IF(A62,I62*$F$5/$J$5,"")</x:f>
        <x:v>0.108306884765625</x:v>
      </x:c>
      <x:c r="K62" s="81" t="n">
        <x:f>IF(A62,MAX(I62,J62)*2^30/(J23*1e6),"")</x:f>
        <x:v>0.02422784</x:v>
      </x:c>
      <x:c r="L62" s="81" t="n">
        <x:f>IF(A62,B62/$B$9,"")</x:f>
        <x:v>4000</x:v>
      </x:c>
      <x:c r="M62" s="82" t="n">
        <x:f>IF(A62,K62/L62,"")</x:f>
        <x:v>0.00000605696</x:v>
      </x:c>
      <x:c r="N62" s="81" t="n">
        <x:f>IF(A62,(E23*ROUNDUP(K23/D23,0)*G23*(B23-1)/B23*(ROUNDUP((ROUNDUP(F23*2/32,0)*32+32)/480,0)*512+F23*2+32)+E23*ROUNDUP(H23/B23,0)*(B23-1)*32)/1e9,"")</x:f>
        <x:v>0.64138752</x:v>
      </x:c>
      <x:c r="O62" s="81" t="n">
        <x:f>IF(A62,N62*1000/I23,"")</x:f>
        <x:v>0.1336224</x:v>
      </x:c>
      <x:c r="P62" s="81" t="n">
        <x:f>IF(A62,O62/E23,"")</x:f>
        <x:v>0.0033405600000000002</x:v>
      </x:c>
      <x:c r="Q62" s="81" t="n">
        <x:f>IF(A62,N62*1000/C62,"")</x:f>
        <x:v>32.069376</x:v>
      </x:c>
      <x:c r="R62" s="81" t="n">
        <x:f>IF(W62="估算",IF(OR(K62=0,O62=0),0,1-((E23-1)*MAX(0,(C62-O62)/E23-(K62))+MAX(0,L62-((E23-1)*C62/E23+P62)-(K62)))/L62),"")</x:f>
        <x:v>0.0002756840000001093</x:v>
      </x:c>
      <x:c r="S62" s="81" t="n">
        <x:f>IF(W62="估算",IF(O62=0,0,MAX(0,1-(1-((E23-1)*MAX(0,(C62-O62)/E23-(L62-K62))+MAX(0,L62-((E23-1)*C62/E23+P62)-(L62-K62)))/L62))),"")</x:f>
        <x:v>0</x:v>
      </x:c>
      <x:c r="T62" s="81" t="n">
        <x:f>IF(W62="估算",IF(OR(P62=0,K62=0,$J$7=0),0,IF(P62&lt;=(1-$J$7)*K62,$J$7*P62*K62/(1-$J$7)-$J$7^2*P62^2/(2*(1-$J$7)^2),$J$7*P62*K62+$J$7^2*K62^2/2)/L62),"")</x:f>
        <x:v>2.2309608276444445e-9</x:v>
      </x:c>
      <x:c r="U62" s="81" t="n">
        <x:f>IF(A62,60000/C62,"")</x:f>
        <x:v>3000</x:v>
      </x:c>
      <x:c r="V62" s="81" t="n">
        <x:f>IF(W62="估算",U62*E23*T62*M23*N23,"")</x:f>
        <x:v>0.00026771529931733336</x:v>
      </x:c>
      <x:c r="W62" s="81" t="str">
        <x:f>IF(NOT(A62),"输入无效",IF(K62&gt;=L62,"KV 超载",IF(O62&gt;C62+1e-9,"TPOT 不自洽",IF(OR(C62&gt;L62,P62&gt;L62-K62),"需时序仿真","估算"))))</x:f>
        <x:v>估算</x:v>
      </x:c>
      <x:c r="X62" s="81" t="n">
        <x:f>IF(W62="估算",U62*M62,"")</x:f>
        <x:v>0.01817088</x:v>
      </x:c>
    </x:row>
    <x:row r="63" ht="22" customHeight="1">
      <x:c r="A63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</x:f>
        <x:v>1</x:v>
      </x:c>
      <x:c r="B63" s="81" t="n">
        <x:f>IF(A63,D33*1000,"")</x:f>
        <x:v>4000</x:v>
      </x:c>
      <x:c r="C63" s="81" t="n">
        <x:f>IF(A63,E33*L23,"")</x:f>
        <x:v>30</x:v>
      </x:c>
      <x:c r="D63" s="81" t="n">
        <x:f>IF(A63,M96,"")</x:f>
        <x:v>0.0541534423828125</x:v>
      </x:c>
      <x:c r="E63" s="81" t="n">
        <x:f>IF(A63,B23/C23,"")</x:f>
        <x:v>4</x:v>
      </x:c>
      <x:c r="F63" s="81" t="n">
        <x:f>IF(A63,B23/D23,"")</x:f>
        <x:v>32</x:v>
      </x:c>
      <x:c r="G63" s="81" t="n">
        <x:f>IF(A63,$F$5*E63*$B$5*60000/B63,"")</x:f>
        <x:v>960</x:v>
      </x:c>
      <x:c r="H63" s="81" t="n">
        <x:f>IF(A63,G63/($J$5*F63),"")</x:f>
        <x:v>30</x:v>
      </x:c>
      <x:c r="I63" s="81" t="n">
        <x:f>IF(A63,$B$5*D63/C23/$B$9,"")</x:f>
        <x:v>0.108306884765625</x:v>
      </x:c>
      <x:c r="J63" s="81" t="n">
        <x:f>IF(A63,I63*$F$5/$J$5,"")</x:f>
        <x:v>0.108306884765625</x:v>
      </x:c>
      <x:c r="K63" s="81" t="n">
        <x:f>IF(A63,MAX(I63,J63)*2^30/(J23*1e6),"")</x:f>
        <x:v>0.02422784</x:v>
      </x:c>
      <x:c r="L63" s="81" t="n">
        <x:f>IF(A63,B63/$B$9,"")</x:f>
        <x:v>4000</x:v>
      </x:c>
      <x:c r="M63" s="82" t="n">
        <x:f>IF(A63,K63/L63,"")</x:f>
        <x:v>0.00000605696</x:v>
      </x:c>
      <x:c r="N63" s="81" t="n">
        <x:f>IF(A63,(E23*ROUNDUP(K23/D23,0)*G23*(B23-1)/B23*(ROUNDUP((ROUNDUP(F23*2/32,0)*32+32)/480,0)*512+F23*2+32)+E23*ROUNDUP(H23/B23,0)*(B23-1)*32)/1e9,"")</x:f>
        <x:v>0.64138752</x:v>
      </x:c>
      <x:c r="O63" s="81" t="n">
        <x:f>IF(A63,N63*1000/I23,"")</x:f>
        <x:v>0.1336224</x:v>
      </x:c>
      <x:c r="P63" s="81" t="n">
        <x:f>IF(A63,O63/E23,"")</x:f>
        <x:v>0.0033405600000000002</x:v>
      </x:c>
      <x:c r="Q63" s="81" t="n">
        <x:f>IF(A63,N63*1000/C63,"")</x:f>
        <x:v>21.379584</x:v>
      </x:c>
      <x:c r="R63" s="81" t="n">
        <x:f>IF(W63="估算",IF(OR(K63=0,O63=0),0,1-((E23-1)*MAX(0,(C63-O63)/E23-(K63))+MAX(0,L63-((E23-1)*C63/E23+P63)-(K63)))/L63),"")</x:f>
        <x:v>0.0002756840000001093</x:v>
      </x:c>
      <x:c r="S63" s="81" t="n">
        <x:f>IF(W63="估算",IF(O63=0,0,MAX(0,1-(1-((E23-1)*MAX(0,(C63-O63)/E23-(L63-K63))+MAX(0,L63-((E23-1)*C63/E23+P63)-(L63-K63)))/L63))),"")</x:f>
        <x:v>0</x:v>
      </x:c>
      <x:c r="T63" s="81" t="n">
        <x:f>IF(W63="估算",IF(OR(P63=0,K63=0,$J$7=0),0,IF(P63&lt;=(1-$J$7)*K63,$J$7*P63*K63/(1-$J$7)-$J$7^2*P63^2/(2*(1-$J$7)^2),$J$7*P63*K63+$J$7^2*K63^2/2)/L63),"")</x:f>
        <x:v>2.2309608276444445e-9</x:v>
      </x:c>
      <x:c r="U63" s="81" t="n">
        <x:f>IF(A63,60000/C63,"")</x:f>
        <x:v>2000</x:v>
      </x:c>
      <x:c r="V63" s="81" t="n">
        <x:f>IF(W63="估算",U63*E23*T63*M23*N23,"")</x:f>
        <x:v>0.00017847686621155556</x:v>
      </x:c>
      <x:c r="W63" s="81" t="str">
        <x:f>IF(NOT(A63),"输入无效",IF(K63&gt;=L63,"KV 超载",IF(O63&gt;C63+1e-9,"TPOT 不自洽",IF(OR(C63&gt;L63,P63&gt;L63-K63),"需时序仿真","估算"))))</x:f>
        <x:v>估算</x:v>
      </x:c>
      <x:c r="X63" s="81" t="n">
        <x:f>IF(W63="估算",U63*M63,"")</x:f>
        <x:v>0.01211392</x:v>
      </x:c>
    </x:row>
    <x:row r="64" ht="22" customHeight="1">
      <x:c r="A64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</x:f>
        <x:v>1</x:v>
      </x:c>
      <x:c r="B64" s="81" t="n">
        <x:f>IF(A64,D34*1000,"")</x:f>
        <x:v>20000</x:v>
      </x:c>
      <x:c r="C64" s="81" t="n">
        <x:f>IF(A64,E34*L23,"")</x:f>
        <x:v>5</x:v>
      </x:c>
      <x:c r="D64" s="81" t="n">
        <x:f>IF(A64,M103,"")</x:f>
        <x:v>0.7144775390625</x:v>
      </x:c>
      <x:c r="E64" s="81" t="n">
        <x:f>IF(A64,B23/C23,"")</x:f>
        <x:v>4</x:v>
      </x:c>
      <x:c r="F64" s="81" t="n">
        <x:f>IF(A64,B23/D23,"")</x:f>
        <x:v>32</x:v>
      </x:c>
      <x:c r="G64" s="81" t="n">
        <x:f>IF(A64,$F$5*E64*$B$5*60000/B64,"")</x:f>
        <x:v>192</x:v>
      </x:c>
      <x:c r="H64" s="81" t="n">
        <x:f>IF(A64,G64/($J$5*F64),"")</x:f>
        <x:v>6</x:v>
      </x:c>
      <x:c r="I64" s="81" t="n">
        <x:f>IF(A64,$B$5*D64/C23/$B$9,"")</x:f>
        <x:v>1.428955078125</x:v>
      </x:c>
      <x:c r="J64" s="81" t="n">
        <x:f>IF(A64,I64*$F$5/$J$5,"")</x:f>
        <x:v>1.428955078125</x:v>
      </x:c>
      <x:c r="K64" s="81" t="n">
        <x:f>IF(A64,MAX(I64,J64)*2^30/(J23*1e6),"")</x:f>
        <x:v>0.31965184</x:v>
      </x:c>
      <x:c r="L64" s="81" t="n">
        <x:f>IF(A64,B64/$B$9,"")</x:f>
        <x:v>20000</x:v>
      </x:c>
      <x:c r="M64" s="82" t="n">
        <x:f>IF(A64,K64/L64,"")</x:f>
        <x:v>0.000015982592</x:v>
      </x:c>
      <x:c r="N64" s="81" t="n">
        <x:f>IF(A64,(E23*ROUNDUP(K23/D23,0)*G23*(B23-1)/B23*(ROUNDUP((ROUNDUP(F23*2/32,0)*32+32)/480,0)*512+F23*2+32)+E23*ROUNDUP(H23/B23,0)*(B23-1)*32)/1e9,"")</x:f>
        <x:v>0.64138752</x:v>
      </x:c>
      <x:c r="O64" s="81" t="n">
        <x:f>IF(A64,N64*1000/I23,"")</x:f>
        <x:v>0.1336224</x:v>
      </x:c>
      <x:c r="P64" s="81" t="n">
        <x:f>IF(A64,O64/E23,"")</x:f>
        <x:v>0.0033405600000000002</x:v>
      </x:c>
      <x:c r="Q64" s="81" t="n">
        <x:f>IF(A64,N64*1000/C64,"")</x:f>
        <x:v>128.277504</x:v>
      </x:c>
      <x:c r="R64" s="81" t="n">
        <x:f>IF(W64="估算",IF(OR(K64=0,O64=0),0,1-((E23-1)*MAX(0,(C64-O64)/E23-(K64))+MAX(0,L64-((E23-1)*C64/E23+P64)-(K64)))/L64),"")</x:f>
        <x:v>0.00025989962000005917</x:v>
      </x:c>
      <x:c r="S64" s="81" t="n">
        <x:f>IF(W64="估算",IF(O64=0,0,MAX(0,1-(1-((E23-1)*MAX(0,(C64-O64)/E23-(L64-K64))+MAX(0,L64-((E23-1)*C64/E23+P64)-(L64-K64)))/L64))),"")</x:f>
        <x:v>0</x:v>
      </x:c>
      <x:c r="T64" s="81" t="n">
        <x:f>IF(W64="估算",IF(OR(P64=0,K64=0,$J$7=0),0,IF(P64&lt;=(1-$J$7)*K64,$J$7*P64*K64/(1-$J$7)-$J$7^2*P64^2/(2*(1-$J$7)^2),$J$7*P64*K64+$J$7^2*K64^2/2)/L64),"")</x:f>
        <x:v>5.928867706862224e-9</x:v>
      </x:c>
      <x:c r="U64" s="81" t="n">
        <x:f>IF(A64,60000/C64,"")</x:f>
        <x:v>12000</x:v>
      </x:c>
      <x:c r="V64" s="81" t="n">
        <x:f>IF(W64="估算",U64*E23*T64*M23*N23,"")</x:f>
        <x:v>0.0028458564992938674</x:v>
      </x:c>
      <x:c r="W64" s="81" t="str">
        <x:f>IF(NOT(A64),"输入无效",IF(K64&gt;=L64,"KV 超载",IF(O64&gt;C64+1e-9,"TPOT 不自洽",IF(OR(C64&gt;L64,P64&gt;L64-K64),"需时序仿真","估算"))))</x:f>
        <x:v>估算</x:v>
      </x:c>
      <x:c r="X64" s="81" t="n">
        <x:f>IF(W64="估算",U64*M64,"")</x:f>
        <x:v>0.191791104</x:v>
      </x:c>
    </x:row>
    <x:row r="65" ht="22" customHeight="1">
      <x:c r="A65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</x:f>
        <x:v>1</x:v>
      </x:c>
      <x:c r="B65" s="81" t="n">
        <x:f>IF(A65,D35*1000,"")</x:f>
        <x:v>20000</x:v>
      </x:c>
      <x:c r="C65" s="81" t="n">
        <x:f>IF(A65,E35*L23,"")</x:f>
        <x:v>10</x:v>
      </x:c>
      <x:c r="D65" s="81" t="n">
        <x:f>IF(A65,M103,"")</x:f>
        <x:v>0.7144775390625</x:v>
      </x:c>
      <x:c r="E65" s="81" t="n">
        <x:f>IF(A65,B23/C23,"")</x:f>
        <x:v>4</x:v>
      </x:c>
      <x:c r="F65" s="81" t="n">
        <x:f>IF(A65,B23/D23,"")</x:f>
        <x:v>32</x:v>
      </x:c>
      <x:c r="G65" s="81" t="n">
        <x:f>IF(A65,$F$5*E65*$B$5*60000/B65,"")</x:f>
        <x:v>192</x:v>
      </x:c>
      <x:c r="H65" s="81" t="n">
        <x:f>IF(A65,G65/($J$5*F65),"")</x:f>
        <x:v>6</x:v>
      </x:c>
      <x:c r="I65" s="81" t="n">
        <x:f>IF(A65,$B$5*D65/C23/$B$9,"")</x:f>
        <x:v>1.428955078125</x:v>
      </x:c>
      <x:c r="J65" s="81" t="n">
        <x:f>IF(A65,I65*$F$5/$J$5,"")</x:f>
        <x:v>1.428955078125</x:v>
      </x:c>
      <x:c r="K65" s="81" t="n">
        <x:f>IF(A65,MAX(I65,J65)*2^30/(J23*1e6),"")</x:f>
        <x:v>0.31965184</x:v>
      </x:c>
      <x:c r="L65" s="81" t="n">
        <x:f>IF(A65,B65/$B$9,"")</x:f>
        <x:v>20000</x:v>
      </x:c>
      <x:c r="M65" s="82" t="n">
        <x:f>IF(A65,K65/L65,"")</x:f>
        <x:v>0.000015982592</x:v>
      </x:c>
      <x:c r="N65" s="81" t="n">
        <x:f>IF(A65,(E23*ROUNDUP(K23/D23,0)*G23*(B23-1)/B23*(ROUNDUP((ROUNDUP(F23*2/32,0)*32+32)/480,0)*512+F23*2+32)+E23*ROUNDUP(H23/B23,0)*(B23-1)*32)/1e9,"")</x:f>
        <x:v>0.64138752</x:v>
      </x:c>
      <x:c r="O65" s="81" t="n">
        <x:f>IF(A65,N65*1000/I23,"")</x:f>
        <x:v>0.1336224</x:v>
      </x:c>
      <x:c r="P65" s="81" t="n">
        <x:f>IF(A65,O65/E23,"")</x:f>
        <x:v>0.0033405600000000002</x:v>
      </x:c>
      <x:c r="Q65" s="81" t="n">
        <x:f>IF(A65,N65*1000/C65,"")</x:f>
        <x:v>64.138752</x:v>
      </x:c>
      <x:c r="R65" s="81" t="n">
        <x:f>IF(W65="估算",IF(OR(K65=0,O65=0),0,1-((E23-1)*MAX(0,(C65-O65)/E23-(K65))+MAX(0,L65-((E23-1)*C65/E23+P65)-(K65)))/L65),"")</x:f>
        <x:v>0.0005036496200000462</x:v>
      </x:c>
      <x:c r="S65" s="81" t="n">
        <x:f>IF(W65="估算",IF(O65=0,0,MAX(0,1-(1-((E23-1)*MAX(0,(C65-O65)/E23-(L65-K65))+MAX(0,L65-((E23-1)*C65/E23+P65)-(L65-K65)))/L65))),"")</x:f>
        <x:v>0</x:v>
      </x:c>
      <x:c r="T65" s="81" t="n">
        <x:f>IF(W65="估算",IF(OR(P65=0,K65=0,$J$7=0),0,IF(P65&lt;=(1-$J$7)*K65,$J$7*P65*K65/(1-$J$7)-$J$7^2*P65^2/(2*(1-$J$7)^2),$J$7*P65*K65+$J$7^2*K65^2/2)/L65),"")</x:f>
        <x:v>5.928867706862224e-9</x:v>
      </x:c>
      <x:c r="U65" s="81" t="n">
        <x:f>IF(A65,60000/C65,"")</x:f>
        <x:v>6000</x:v>
      </x:c>
      <x:c r="V65" s="81" t="n">
        <x:f>IF(W65="估算",U65*E23*T65*M23*N23,"")</x:f>
        <x:v>0.0014229282496469337</x:v>
      </x:c>
      <x:c r="W65" s="81" t="str">
        <x:f>IF(NOT(A65),"输入无效",IF(K65&gt;=L65,"KV 超载",IF(O65&gt;C65+1e-9,"TPOT 不自洽",IF(OR(C65&gt;L65,P65&gt;L65-K65),"需时序仿真","估算"))))</x:f>
        <x:v>估算</x:v>
      </x:c>
      <x:c r="X65" s="81" t="n">
        <x:f>IF(W65="估算",U65*M65,"")</x:f>
        <x:v>0.095895552</x:v>
      </x:c>
    </x:row>
    <x:row r="66" ht="22" customHeight="1">
      <x:c r="A66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</x:f>
        <x:v>1</x:v>
      </x:c>
      <x:c r="B66" s="81" t="n">
        <x:f>IF(A66,D36*1000,"")</x:f>
        <x:v>20000</x:v>
      </x:c>
      <x:c r="C66" s="81" t="n">
        <x:f>IF(A66,E36*L23,"")</x:f>
        <x:v>20</x:v>
      </x:c>
      <x:c r="D66" s="81" t="n">
        <x:f>IF(A66,M103,"")</x:f>
        <x:v>0.7144775390625</x:v>
      </x:c>
      <x:c r="E66" s="81" t="n">
        <x:f>IF(A66,B23/C23,"")</x:f>
        <x:v>4</x:v>
      </x:c>
      <x:c r="F66" s="81" t="n">
        <x:f>IF(A66,B23/D23,"")</x:f>
        <x:v>32</x:v>
      </x:c>
      <x:c r="G66" s="81" t="n">
        <x:f>IF(A66,$F$5*E66*$B$5*60000/B66,"")</x:f>
        <x:v>192</x:v>
      </x:c>
      <x:c r="H66" s="81" t="n">
        <x:f>IF(A66,G66/($J$5*F66),"")</x:f>
        <x:v>6</x:v>
      </x:c>
      <x:c r="I66" s="81" t="n">
        <x:f>IF(A66,$B$5*D66/C23/$B$9,"")</x:f>
        <x:v>1.428955078125</x:v>
      </x:c>
      <x:c r="J66" s="81" t="n">
        <x:f>IF(A66,I66*$F$5/$J$5,"")</x:f>
        <x:v>1.428955078125</x:v>
      </x:c>
      <x:c r="K66" s="81" t="n">
        <x:f>IF(A66,MAX(I66,J66)*2^30/(J23*1e6),"")</x:f>
        <x:v>0.31965184</x:v>
      </x:c>
      <x:c r="L66" s="81" t="n">
        <x:f>IF(A66,B66/$B$9,"")</x:f>
        <x:v>20000</x:v>
      </x:c>
      <x:c r="M66" s="82" t="n">
        <x:f>IF(A66,K66/L66,"")</x:f>
        <x:v>0.000015982592</x:v>
      </x:c>
      <x:c r="N66" s="81" t="n">
        <x:f>IF(A66,(E23*ROUNDUP(K23/D23,0)*G23*(B23-1)/B23*(ROUNDUP((ROUNDUP(F23*2/32,0)*32+32)/480,0)*512+F23*2+32)+E23*ROUNDUP(H23/B23,0)*(B23-1)*32)/1e9,"")</x:f>
        <x:v>0.64138752</x:v>
      </x:c>
      <x:c r="O66" s="81" t="n">
        <x:f>IF(A66,N66*1000/I23,"")</x:f>
        <x:v>0.1336224</x:v>
      </x:c>
      <x:c r="P66" s="81" t="n">
        <x:f>IF(A66,O66/E23,"")</x:f>
        <x:v>0.0033405600000000002</x:v>
      </x:c>
      <x:c r="Q66" s="81" t="n">
        <x:f>IF(A66,N66*1000/C66,"")</x:f>
        <x:v>32.069376</x:v>
      </x:c>
      <x:c r="R66" s="81" t="n">
        <x:f>IF(W66="估算",IF(OR(K66=0,O66=0),0,1-((E23-1)*MAX(0,(C66-O66)/E23-(K66))+MAX(0,L66-((E23-1)*C66/E23+P66)-(K66)))/L66),"")</x:f>
        <x:v>0.000645984799999999</x:v>
      </x:c>
      <x:c r="S66" s="81" t="n">
        <x:f>IF(W66="估算",IF(O66=0,0,MAX(0,1-(1-((E23-1)*MAX(0,(C66-O66)/E23-(L66-K66))+MAX(0,L66-((E23-1)*C66/E23+P66)-(L66-K66)))/L66))),"")</x:f>
        <x:v>0</x:v>
      </x:c>
      <x:c r="T66" s="81" t="n">
        <x:f>IF(W66="估算",IF(OR(P66=0,K66=0,$J$7=0),0,IF(P66&lt;=(1-$J$7)*K66,$J$7*P66*K66/(1-$J$7)-$J$7^2*P66^2/(2*(1-$J$7)^2),$J$7*P66*K66+$J$7^2*K66^2/2)/L66),"")</x:f>
        <x:v>5.928867706862224e-9</x:v>
      </x:c>
      <x:c r="U66" s="81" t="n">
        <x:f>IF(A66,60000/C66,"")</x:f>
        <x:v>3000</x:v>
      </x:c>
      <x:c r="V66" s="81" t="n">
        <x:f>IF(W66="估算",U66*E23*T66*M23*N23,"")</x:f>
        <x:v>0.0007114641248234669</x:v>
      </x:c>
      <x:c r="W66" s="81" t="str">
        <x:f>IF(NOT(A66),"输入无效",IF(K66&gt;=L66,"KV 超载",IF(O66&gt;C66+1e-9,"TPOT 不自洽",IF(OR(C66&gt;L66,P66&gt;L66-K66),"需时序仿真","估算"))))</x:f>
        <x:v>估算</x:v>
      </x:c>
      <x:c r="X66" s="81" t="n">
        <x:f>IF(W66="估算",U66*M66,"")</x:f>
        <x:v>0.047947776</x:v>
      </x:c>
    </x:row>
    <x:row r="67" ht="22" customHeight="1">
      <x:c r="A67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</x:f>
        <x:v>1</x:v>
      </x:c>
      <x:c r="B67" s="81" t="n">
        <x:f>IF(A67,D37*1000,"")</x:f>
        <x:v>20000</x:v>
      </x:c>
      <x:c r="C67" s="81" t="n">
        <x:f>IF(A67,E37*L23,"")</x:f>
        <x:v>30</x:v>
      </x:c>
      <x:c r="D67" s="81" t="n">
        <x:f>IF(A67,M103,"")</x:f>
        <x:v>0.7144775390625</x:v>
      </x:c>
      <x:c r="E67" s="81" t="n">
        <x:f>IF(A67,B23/C23,"")</x:f>
        <x:v>4</x:v>
      </x:c>
      <x:c r="F67" s="81" t="n">
        <x:f>IF(A67,B23/D23,"")</x:f>
        <x:v>32</x:v>
      </x:c>
      <x:c r="G67" s="81" t="n">
        <x:f>IF(A67,$F$5*E67*$B$5*60000/B67,"")</x:f>
        <x:v>192</x:v>
      </x:c>
      <x:c r="H67" s="81" t="n">
        <x:f>IF(A67,G67/($J$5*F67),"")</x:f>
        <x:v>6</x:v>
      </x:c>
      <x:c r="I67" s="81" t="n">
        <x:f>IF(A67,$B$5*D67/C23/$B$9,"")</x:f>
        <x:v>1.428955078125</x:v>
      </x:c>
      <x:c r="J67" s="81" t="n">
        <x:f>IF(A67,I67*$F$5/$J$5,"")</x:f>
        <x:v>1.428955078125</x:v>
      </x:c>
      <x:c r="K67" s="81" t="n">
        <x:f>IF(A67,MAX(I67,J67)*2^30/(J23*1e6),"")</x:f>
        <x:v>0.31965184</x:v>
      </x:c>
      <x:c r="L67" s="81" t="n">
        <x:f>IF(A67,B67/$B$9,"")</x:f>
        <x:v>20000</x:v>
      </x:c>
      <x:c r="M67" s="82" t="n">
        <x:f>IF(A67,K67/L67,"")</x:f>
        <x:v>0.000015982592</x:v>
      </x:c>
      <x:c r="N67" s="81" t="n">
        <x:f>IF(A67,(E23*ROUNDUP(K23/D23,0)*G23*(B23-1)/B23*(ROUNDUP((ROUNDUP(F23*2/32,0)*32+32)/480,0)*512+F23*2+32)+E23*ROUNDUP(H23/B23,0)*(B23-1)*32)/1e9,"")</x:f>
        <x:v>0.64138752</x:v>
      </x:c>
      <x:c r="O67" s="81" t="n">
        <x:f>IF(A67,N67*1000/I23,"")</x:f>
        <x:v>0.1336224</x:v>
      </x:c>
      <x:c r="P67" s="81" t="n">
        <x:f>IF(A67,O67/E23,"")</x:f>
        <x:v>0.0033405600000000002</x:v>
      </x:c>
      <x:c r="Q67" s="81" t="n">
        <x:f>IF(A67,N67*1000/C67,"")</x:f>
        <x:v>21.379584</x:v>
      </x:c>
      <x:c r="R67" s="81" t="n">
        <x:f>IF(W67="估算",IF(OR(K67=0,O67=0),0,1-((E23-1)*MAX(0,(C67-O67)/E23-(K67))+MAX(0,L67-((E23-1)*C67/E23+P67)-(K67)))/L67),"")</x:f>
        <x:v>0.000645984799999999</x:v>
      </x:c>
      <x:c r="S67" s="81" t="n">
        <x:f>IF(W67="估算",IF(O67=0,0,MAX(0,1-(1-((E23-1)*MAX(0,(C67-O67)/E23-(L67-K67))+MAX(0,L67-((E23-1)*C67/E23+P67)-(L67-K67)))/L67))),"")</x:f>
        <x:v>0</x:v>
      </x:c>
      <x:c r="T67" s="81" t="n">
        <x:f>IF(W67="估算",IF(OR(P67=0,K67=0,$J$7=0),0,IF(P67&lt;=(1-$J$7)*K67,$J$7*P67*K67/(1-$J$7)-$J$7^2*P67^2/(2*(1-$J$7)^2),$J$7*P67*K67+$J$7^2*K67^2/2)/L67),"")</x:f>
        <x:v>5.928867706862224e-9</x:v>
      </x:c>
      <x:c r="U67" s="81" t="n">
        <x:f>IF(A67,60000/C67,"")</x:f>
        <x:v>2000</x:v>
      </x:c>
      <x:c r="V67" s="81" t="n">
        <x:f>IF(W67="估算",U67*E23*T67*M23*N23,"")</x:f>
        <x:v>0.0004743094165489779</x:v>
      </x:c>
      <x:c r="W67" s="81" t="str">
        <x:f>IF(NOT(A67),"输入无效",IF(K67&gt;=L67,"KV 超载",IF(O67&gt;C67+1e-9,"TPOT 不自洽",IF(OR(C67&gt;L67,P67&gt;L67-K67),"需时序仿真","估算"))))</x:f>
        <x:v>估算</x:v>
      </x:c>
      <x:c r="X67" s="81" t="n">
        <x:f>IF(W67="估算",U67*M67,"")</x:f>
        <x:v>0.031965184</x:v>
      </x:c>
    </x:row>
    <x:row r="68" ht="22" customHeight="1">
      <x:c r="A68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</x:f>
        <x:v>1</x:v>
      </x:c>
      <x:c r="B68" s="81" t="n">
        <x:f>IF(A68,D38*1000,"")</x:f>
        <x:v>60000</x:v>
      </x:c>
      <x:c r="C68" s="81" t="n">
        <x:f>IF(A68,E38*L23,"")</x:f>
        <x:v>5</x:v>
      </x:c>
      <x:c r="D68" s="81" t="n">
        <x:f>IF(A68,M110,"")</x:f>
        <x:v>2.8275146484375</x:v>
      </x:c>
      <x:c r="E68" s="81" t="n">
        <x:f>IF(A68,B23/C23,"")</x:f>
        <x:v>4</x:v>
      </x:c>
      <x:c r="F68" s="81" t="n">
        <x:f>IF(A68,B23/D23,"")</x:f>
        <x:v>32</x:v>
      </x:c>
      <x:c r="G68" s="81" t="n">
        <x:f>IF(A68,$F$5*E68*$B$5*60000/B68,"")</x:f>
        <x:v>64</x:v>
      </x:c>
      <x:c r="H68" s="81" t="n">
        <x:f>IF(A68,G68/($J$5*F68),"")</x:f>
        <x:v>2</x:v>
      </x:c>
      <x:c r="I68" s="81" t="n">
        <x:f>IF(A68,$B$5*D68/C23/$B$9,"")</x:f>
        <x:v>5.655029296875</x:v>
      </x:c>
      <x:c r="J68" s="81" t="n">
        <x:f>IF(A68,I68*$F$5/$J$5,"")</x:f>
        <x:v>5.655029296875</x:v>
      </x:c>
      <x:c r="K68" s="81" t="n">
        <x:f>IF(A68,MAX(I68,J68)*2^30/(J23*1e6),"")</x:f>
        <x:v>1.26500864</x:v>
      </x:c>
      <x:c r="L68" s="81" t="n">
        <x:f>IF(A68,B68/$B$9,"")</x:f>
        <x:v>60000</x:v>
      </x:c>
      <x:c r="M68" s="82" t="n">
        <x:f>IF(A68,K68/L68,"")</x:f>
        <x:v>0.000021083477333333333</x:v>
      </x:c>
      <x:c r="N68" s="81" t="n">
        <x:f>IF(A68,(E23*ROUNDUP(K23/D23,0)*G23*(B23-1)/B23*(ROUNDUP((ROUNDUP(F23*2/32,0)*32+32)/480,0)*512+F23*2+32)+E23*ROUNDUP(H23/B23,0)*(B23-1)*32)/1e9,"")</x:f>
        <x:v>0.64138752</x:v>
      </x:c>
      <x:c r="O68" s="81" t="n">
        <x:f>IF(A68,N68*1000/I23,"")</x:f>
        <x:v>0.1336224</x:v>
      </x:c>
      <x:c r="P68" s="81" t="n">
        <x:f>IF(A68,O68/E23,"")</x:f>
        <x:v>0.0033405600000000002</x:v>
      </x:c>
      <x:c r="Q68" s="81" t="n">
        <x:f>IF(A68,N68*1000/C68,"")</x:f>
        <x:v>128.277504</x:v>
      </x:c>
      <x:c r="R68" s="81" t="n">
        <x:f>IF(W68="估算",IF(OR(K68=0,O68=0),0,1-((E23-1)*MAX(0,(C68-O68)/E23-(K68))+MAX(0,L68-((E23-1)*C68/E23+P68)-(K68)))/L68),"")</x:f>
        <x:v>0.00010238915333338205</x:v>
      </x:c>
      <x:c r="S68" s="81" t="n">
        <x:f>IF(W68="估算",IF(O68=0,0,MAX(0,1-(1-((E23-1)*MAX(0,(C68-O68)/E23-(L68-K68))+MAX(0,L68-((E23-1)*C68/E23+P68)-(L68-K68)))/L68))),"")</x:f>
        <x:v>0</x:v>
      </x:c>
      <x:c r="T68" s="81" t="n">
        <x:f>IF(W68="估算",IF(OR(P68=0,K68=0,$J$7=0),0,IF(P68&lt;=(1-$J$7)*K68,$J$7*P68*K68/(1-$J$7)-$J$7^2*P68^2/(2*(1-$J$7)^2),$J$7*P68*K68+$J$7^2*K68^2/2)/L68),"")</x:f>
        <x:v>7.824476479709631e-9</x:v>
      </x:c>
      <x:c r="U68" s="81" t="n">
        <x:f>IF(A68,60000/C68,"")</x:f>
        <x:v>12000</x:v>
      </x:c>
      <x:c r="V68" s="81" t="n">
        <x:f>IF(W68="估算",U68*E23*T68*M23*N23,"")</x:f>
        <x:v>0.003755748710260623</x:v>
      </x:c>
      <x:c r="W68" s="81" t="str">
        <x:f>IF(NOT(A68),"输入无效",IF(K68&gt;=L68,"KV 超载",IF(O68&gt;C68+1e-9,"TPOT 不自洽",IF(OR(C68&gt;L68,P68&gt;L68-K68),"需时序仿真","估算"))))</x:f>
        <x:v>估算</x:v>
      </x:c>
      <x:c r="X68" s="81" t="n">
        <x:f>IF(W68="估算",U68*M68,"")</x:f>
        <x:v>0.253001728</x:v>
      </x:c>
    </x:row>
    <x:row r="69" ht="22" customHeight="1">
      <x:c r="A69" s="29" t="b">
        <x:f>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</x:f>
        <x:v>1</x:v>
      </x:c>
      <x:c r="B69" s="81" t="n">
        <x:f>IF(A69,D39*1000,"")</x:f>
        <x:v>60000</x:v>
      </x:c>
      <x:c r="C69" s="81" t="n">
        <x:f>IF(A69,E39*L23,"")</x:f>
        <x:v>10</x:v>
      </x:c>
      <x:c r="D69" s="81" t="n">
        <x:f>IF(A69,M110,"")</x:f>
        <x:v>2.8275146484375</x:v>
      </x:c>
      <x:c r="E69" s="81" t="n">
        <x:f>IF(A69,B23/C23,"")</x:f>
        <x:v>4</x:v>
      </x:c>
      <x:c r="F69" s="81" t="n">
        <x:f>IF(A69,B23/D23,"")</x:f>
        <x:v>32</x:v>
      </x:c>
      <x:c r="G69" s="81" t="n">
        <x:f>IF(A69,$F$5*E69*$B$5*60000/B69,"")</x:f>
        <x:v>64</x:v>
      </x:c>
      <x:c r="H69" s="81" t="n">
        <x:f>IF(A69,G69/($J$5*F69),"")</x:f>
        <x:v>2</x:v>
      </x:c>
      <x:c r="I69" s="81" t="n">
        <x:f>IF(A69,$B$5*D69/C23/$B$9,"")</x:f>
        <x:v>5.655029296875</x:v>
      </x:c>
      <x:c r="J69" s="81" t="n">
        <x:f>IF(A69,I69*$F$5/$J$5,"")</x:f>
        <x:v>5.655029296875</x:v>
      </x:c>
      <x:c r="K69" s="81" t="n">
        <x:f>IF(A69,MAX(I69,J69)*2^30/(J23*1e6),"")</x:f>
        <x:v>1.26500864</x:v>
      </x:c>
      <x:c r="L69" s="81" t="n">
        <x:f>IF(A69,B69/$B$9,"")</x:f>
        <x:v>60000</x:v>
      </x:c>
      <x:c r="M69" s="82" t="n">
        <x:f>IF(A69,K69/L69,"")</x:f>
        <x:v>0.000021083477333333333</x:v>
      </x:c>
      <x:c r="N69" s="81" t="n">
        <x:f>IF(A69,(E23*ROUNDUP(K23/D23,0)*G23*(B23-1)/B23*(ROUNDUP((ROUNDUP(F23*2/32,0)*32+32)/480,0)*512+F23*2+32)+E23*ROUNDUP(H23/B23,0)*(B23-1)*32)/1e9,"")</x:f>
        <x:v>0.64138752</x:v>
      </x:c>
      <x:c r="O69" s="81" t="n">
        <x:f>IF(A69,N69*1000/I23,"")</x:f>
        <x:v>0.1336224</x:v>
      </x:c>
      <x:c r="P69" s="81" t="n">
        <x:f>IF(A69,O69/E23,"")</x:f>
        <x:v>0.0033405600000000002</x:v>
      </x:c>
      <x:c r="Q69" s="81" t="n">
        <x:f>IF(A69,N69*1000/C69,"")</x:f>
        <x:v>64.138752</x:v>
      </x:c>
      <x:c r="R69" s="81" t="n">
        <x:f>IF(W69="估算",IF(OR(K69=0,O69=0),0,1-((E23-1)*MAX(0,(C69-O69)/E23-(K69))+MAX(0,L69-((E23-1)*C69/E23+P69)-(K69)))/L69),"")</x:f>
        <x:v>0.00018363915333330372</x:v>
      </x:c>
      <x:c r="S69" s="81" t="n">
        <x:f>IF(W69="估算",IF(O69=0,0,MAX(0,1-(1-((E23-1)*MAX(0,(C69-O69)/E23-(L69-K69))+MAX(0,L69-((E23-1)*C69/E23+P69)-(L69-K69)))/L69))),"")</x:f>
        <x:v>0</x:v>
      </x:c>
      <x:c r="T69" s="81" t="n">
        <x:f>IF(W69="估算",IF(OR(P69=0,K69=0,$J$7=0),0,IF(P69&lt;=(1-$J$7)*K69,$J$7*P69*K69/(1-$J$7)-$J$7^2*P69^2/(2*(1-$J$7)^2),$J$7*P69*K69+$J$7^2*K69^2/2)/L69),"")</x:f>
        <x:v>7.824476479709631e-9</x:v>
      </x:c>
      <x:c r="U69" s="81" t="n">
        <x:f>IF(A69,60000/C69,"")</x:f>
        <x:v>6000</x:v>
      </x:c>
      <x:c r="V69" s="81" t="n">
        <x:f>IF(W69="估算",U69*E23*T69*M23*N23,"")</x:f>
        <x:v>0.0018778743551303115</x:v>
      </x:c>
      <x:c r="W69" s="81" t="str">
        <x:f>IF(NOT(A69),"输入无效",IF(K69&gt;=L69,"KV 超载",IF(O69&gt;C69+1e-9,"TPOT 不自洽",IF(OR(C69&gt;L69,P69&gt;L69-K69),"需时序仿真","估算"))))</x:f>
        <x:v>估算</x:v>
      </x:c>
      <x:c r="X69" s="81" t="n">
        <x:f>IF(W69="估算",U69*M69,"")</x:f>
        <x:v>0.126500864</x:v>
      </x:c>
    </x:row>
    <x:row r="70" ht="22" customHeight="1">
      <x:c r="A70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70" s="81" t="n">
        <x:f>IF(A70,D40*1000,"")</x:f>
        <x:v>60000</x:v>
      </x:c>
      <x:c r="C70" s="81" t="n">
        <x:f>IF(A70,E40*L23,"")</x:f>
        <x:v>20</x:v>
      </x:c>
      <x:c r="D70" s="81" t="n">
        <x:f>IF(A70,M110,"")</x:f>
        <x:v>2.8275146484375</x:v>
      </x:c>
      <x:c r="E70" s="81" t="n">
        <x:f>IF(A70,B23/C23,"")</x:f>
        <x:v>4</x:v>
      </x:c>
      <x:c r="F70" s="81" t="n">
        <x:f>IF(A70,B23/D23,"")</x:f>
        <x:v>32</x:v>
      </x:c>
      <x:c r="G70" s="81" t="n">
        <x:f>IF(A70,$F$5*E70*$B$5*60000/B70,"")</x:f>
        <x:v>64</x:v>
      </x:c>
      <x:c r="H70" s="81" t="n">
        <x:f>IF(A70,G70/($J$5*F70),"")</x:f>
        <x:v>2</x:v>
      </x:c>
      <x:c r="I70" s="81" t="n">
        <x:f>IF(A70,$B$5*D70/C23/$B$9,"")</x:f>
        <x:v>5.655029296875</x:v>
      </x:c>
      <x:c r="J70" s="81" t="n">
        <x:f>IF(A70,I70*$F$5/$J$5,"")</x:f>
        <x:v>5.655029296875</x:v>
      </x:c>
      <x:c r="K70" s="81" t="n">
        <x:f>IF(A70,MAX(I70,J70)*2^30/(J23*1e6),"")</x:f>
        <x:v>1.26500864</x:v>
      </x:c>
      <x:c r="L70" s="81" t="n">
        <x:f>IF(A70,B70/$B$9,"")</x:f>
        <x:v>60000</x:v>
      </x:c>
      <x:c r="M70" s="82" t="n">
        <x:f>IF(A70,K70/L70,"")</x:f>
        <x:v>0.000021083477333333333</x:v>
      </x:c>
      <x:c r="N70" s="81" t="n">
        <x:f>IF(A70,(E23*ROUNDUP(K23/D23,0)*G23*(B23-1)/B23*(ROUNDUP((ROUNDUP(F23*2/32,0)*32+32)/480,0)*512+F23*2+32)+E23*ROUNDUP(H23/B23,0)*(B23-1)*32)/1e9,"")</x:f>
        <x:v>0.64138752</x:v>
      </x:c>
      <x:c r="O70" s="81" t="n">
        <x:f>IF(A70,N70*1000/I23,"")</x:f>
        <x:v>0.1336224</x:v>
      </x:c>
      <x:c r="P70" s="81" t="n">
        <x:f>IF(A70,O70/E23,"")</x:f>
        <x:v>0.0033405600000000002</x:v>
      </x:c>
      <x:c r="Q70" s="81" t="n">
        <x:f>IF(A70,N70*1000/C70,"")</x:f>
        <x:v>32.069376</x:v>
      </x:c>
      <x:c r="R70" s="81" t="n">
        <x:f>IF(W70="估算",IF(OR(K70=0,O70=0),0,1-((E23-1)*MAX(0,(C70-O70)/E23-(K70))+MAX(0,L70-((E23-1)*C70/E23+P70)-(K70)))/L70),"")</x:f>
        <x:v>0.0003461391533333691</x:v>
      </x:c>
      <x:c r="S70" s="81" t="n">
        <x:f>IF(W70="估算",IF(O70=0,0,MAX(0,1-(1-((E23-1)*MAX(0,(C70-O70)/E23-(L70-K70))+MAX(0,L70-((E23-1)*C70/E23+P70)-(L70-K70)))/L70))),"")</x:f>
        <x:v>0</x:v>
      </x:c>
      <x:c r="T70" s="81" t="n">
        <x:f>IF(W70="估算",IF(OR(P70=0,K70=0,$J$7=0),0,IF(P70&lt;=(1-$J$7)*K70,$J$7*P70*K70/(1-$J$7)-$J$7^2*P70^2/(2*(1-$J$7)^2),$J$7*P70*K70+$J$7^2*K70^2/2)/L70),"")</x:f>
        <x:v>7.824476479709631e-9</x:v>
      </x:c>
      <x:c r="U70" s="81" t="n">
        <x:f>IF(A70,60000/C70,"")</x:f>
        <x:v>3000</x:v>
      </x:c>
      <x:c r="V70" s="81" t="n">
        <x:f>IF(W70="估算",U70*E23*T70*M23*N23,"")</x:f>
        <x:v>0.0009389371775651558</x:v>
      </x:c>
      <x:c r="W70" s="81" t="str">
        <x:f>IF(NOT(A70),"输入无效",IF(K70&gt;=L70,"KV 超载",IF(O70&gt;C70+1e-9,"TPOT 不自洽",IF(OR(C70&gt;L70,P70&gt;L70-K70),"需时序仿真","估算"))))</x:f>
        <x:v>估算</x:v>
      </x:c>
      <x:c r="X70" s="81" t="n">
        <x:f>IF(W70="估算",U70*M70,"")</x:f>
        <x:v>0.063250432</x:v>
      </x:c>
    </x:row>
    <x:row r="71" ht="22" customHeight="1">
      <x:c r="A71" s="29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71" s="81" t="n">
        <x:f>IF(A71,D41*1000,"")</x:f>
        <x:v>60000</x:v>
      </x:c>
      <x:c r="C71" s="81" t="n">
        <x:f>IF(A71,E41*L23,"")</x:f>
        <x:v>30</x:v>
      </x:c>
      <x:c r="D71" s="81" t="n">
        <x:f>IF(A71,M110,"")</x:f>
        <x:v>2.8275146484375</x:v>
      </x:c>
      <x:c r="E71" s="81" t="n">
        <x:f>IF(A71,B23/C23,"")</x:f>
        <x:v>4</x:v>
      </x:c>
      <x:c r="F71" s="81" t="n">
        <x:f>IF(A71,B23/D23,"")</x:f>
        <x:v>32</x:v>
      </x:c>
      <x:c r="G71" s="81" t="n">
        <x:f>IF(A71,$F$5*E71*$B$5*60000/B71,"")</x:f>
        <x:v>64</x:v>
      </x:c>
      <x:c r="H71" s="81" t="n">
        <x:f>IF(A71,G71/($J$5*F71),"")</x:f>
        <x:v>2</x:v>
      </x:c>
      <x:c r="I71" s="81" t="n">
        <x:f>IF(A71,$B$5*D71/C23/$B$9,"")</x:f>
        <x:v>5.655029296875</x:v>
      </x:c>
      <x:c r="J71" s="81" t="n">
        <x:f>IF(A71,I71*$F$5/$J$5,"")</x:f>
        <x:v>5.655029296875</x:v>
      </x:c>
      <x:c r="K71" s="81" t="n">
        <x:f>IF(A71,MAX(I71,J71)*2^30/(J23*1e6),"")</x:f>
        <x:v>1.26500864</x:v>
      </x:c>
      <x:c r="L71" s="81" t="n">
        <x:f>IF(A71,B71/$B$9,"")</x:f>
        <x:v>60000</x:v>
      </x:c>
      <x:c r="M71" s="82" t="n">
        <x:f>IF(A71,K71/L71,"")</x:f>
        <x:v>0.000021083477333333333</x:v>
      </x:c>
      <x:c r="N71" s="81" t="n">
        <x:f>IF(A71,(E23*ROUNDUP(K23/D23,0)*G23*(B23-1)/B23*(ROUNDUP((ROUNDUP(F23*2/32,0)*32+32)/480,0)*512+F23*2+32)+E23*ROUNDUP(H23/B23,0)*(B23-1)*32)/1e9,"")</x:f>
        <x:v>0.64138752</x:v>
      </x:c>
      <x:c r="O71" s="81" t="n">
        <x:f>IF(A71,N71*1000/I23,"")</x:f>
        <x:v>0.1336224</x:v>
      </x:c>
      <x:c r="P71" s="81" t="n">
        <x:f>IF(A71,O71/E23,"")</x:f>
        <x:v>0.0033405600000000002</x:v>
      </x:c>
      <x:c r="Q71" s="81" t="n">
        <x:f>IF(A71,N71*1000/C71,"")</x:f>
        <x:v>21.379584</x:v>
      </x:c>
      <x:c r="R71" s="81" t="n">
        <x:f>IF(W71="估算",IF(OR(K71=0,O71=0),0,1-((E23-1)*MAX(0,(C71-O71)/E23-(K71))+MAX(0,L71-((E23-1)*C71/E23+P71)-(K71)))/L71),"")</x:f>
        <x:v>0.0005086391533333234</x:v>
      </x:c>
      <x:c r="S71" s="81" t="n">
        <x:f>IF(W71="估算",IF(O71=0,0,MAX(0,1-(1-((E23-1)*MAX(0,(C71-O71)/E23-(L71-K71))+MAX(0,L71-((E23-1)*C71/E23+P71)-(L71-K71)))/L71))),"")</x:f>
        <x:v>0</x:v>
      </x:c>
      <x:c r="T71" s="81" t="n">
        <x:f>IF(W71="估算",IF(OR(P71=0,K71=0,$J$7=0),0,IF(P71&lt;=(1-$J$7)*K71,$J$7*P71*K71/(1-$J$7)-$J$7^2*P71^2/(2*(1-$J$7)^2),$J$7*P71*K71+$J$7^2*K71^2/2)/L71),"")</x:f>
        <x:v>7.824476479709631e-9</x:v>
      </x:c>
      <x:c r="U71" s="81" t="n">
        <x:f>IF(A71,60000/C71,"")</x:f>
        <x:v>2000</x:v>
      </x:c>
      <x:c r="V71" s="81" t="n">
        <x:f>IF(W71="估算",U71*E23*T71*M23*N23,"")</x:f>
        <x:v>0.0006259581183767704</x:v>
      </x:c>
      <x:c r="W71" s="81" t="str">
        <x:f>IF(NOT(A71),"输入无效",IF(K71&gt;=L71,"KV 超载",IF(O71&gt;C71+1e-9,"TPOT 不自洽",IF(OR(C71&gt;L71,P71&gt;L71-K71),"需时序仿真","估算"))))</x:f>
        <x:v>估算</x:v>
      </x:c>
      <x:c r="X71" s="81" t="n">
        <x:f>IF(W71="估算",U71*M71,"")</x:f>
        <x:v>0.042166954666666666</x:v>
      </x:c>
    </x:row>
    <x:row r="72" ht="22" customHeight="1">
      <x:c r="A7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</x:f>
        <x:v>1</x:v>
      </x:c>
      <x:c r="B72" s="81" t="n">
        <x:f>IF(A72,D42*1000,"")</x:f>
        <x:v>4000</x:v>
      </x:c>
      <x:c r="C72" s="81" t="n">
        <x:f>IF(A72,E42*L24,"")</x:f>
        <x:v>5</x:v>
      </x:c>
      <x:c r="D72" s="81" t="n">
        <x:f>IF(A72,M96,"")</x:f>
        <x:v>0.0541534423828125</x:v>
      </x:c>
      <x:c r="E72" s="81" t="n">
        <x:f>IF(A72,B24/C24,"")</x:f>
        <x:v>32</x:v>
      </x:c>
      <x:c r="F72" s="81" t="n">
        <x:f>IF(A72,B24/D24,"")</x:f>
        <x:v>256</x:v>
      </x:c>
      <x:c r="G72" s="81" t="n">
        <x:f>IF(A72,$F$5*E72*$B$5*60000/B72,"")</x:f>
        <x:v>7680</x:v>
      </x:c>
      <x:c r="H72" s="81" t="n">
        <x:f>IF(A72,G72/($J$5*F72),"")</x:f>
        <x:v>30</x:v>
      </x:c>
      <x:c r="I72" s="81" t="n">
        <x:f>IF(A72,$B$5*D72/C24/$B$9,"")</x:f>
        <x:v>0.108306884765625</x:v>
      </x:c>
      <x:c r="J72" s="81" t="n">
        <x:f>IF(A72,I72*$F$5/$J$5,"")</x:f>
        <x:v>0.108306884765625</x:v>
      </x:c>
      <x:c r="K72" s="81" t="n">
        <x:f>IF(A72,MAX(I72,J72)*2^30/(J24*1e6),"")</x:f>
        <x:v>0.02422784</x:v>
      </x:c>
      <x:c r="L72" s="81" t="n">
        <x:f>IF(A72,B72/$B$9,"")</x:f>
        <x:v>4000</x:v>
      </x:c>
      <x:c r="M72" s="82" t="n">
        <x:f>IF(A72,K72/L72,"")</x:f>
        <x:v>0.00000605696</x:v>
      </x:c>
      <x:c r="N72" s="81" t="n">
        <x:f>IF(A72,(E24*ROUNDUP(K24/D24,0)*G24*(B24-1)/B24*(ROUNDUP((ROUNDUP(F24*2/32,0)*32+32)/480,0)*512+F24*2+32)+E24*ROUNDUP(H24/B24,0)*(B24-1)*32)/1e9,"")</x:f>
        <x:v>0.6596544</x:v>
      </x:c>
      <x:c r="O72" s="81" t="n">
        <x:f>IF(A72,N72*1000/I24,"")</x:f>
        <x:v>0.137428</x:v>
      </x:c>
      <x:c r="P72" s="81" t="n">
        <x:f>IF(A72,O72/E24,"")</x:f>
        <x:v>0.0034357</x:v>
      </x:c>
      <x:c r="Q72" s="81" t="n">
        <x:f>IF(A72,N72*1000/C72,"")</x:f>
        <x:v>131.93088</x:v>
      </x:c>
      <x:c r="R72" s="81" t="n">
        <x:f>IF(W72="估算",IF(OR(K72=0,O72=0),0,1-((E24-1)*MAX(0,(C72-O72)/E24-(K72))+MAX(0,L72-((E24-1)*C72/E24+P72)-(K72)))/L72),"")</x:f>
        <x:v>0.00027663540000000264</x:v>
      </x:c>
      <x:c r="S72" s="81" t="n">
        <x:f>IF(W72="估算",IF(O72=0,0,MAX(0,1-(1-((E24-1)*MAX(0,(C72-O72)/E24-(L72-K72))+MAX(0,L72-((E24-1)*C72/E24+P72)-(L72-K72)))/L72))),"")</x:f>
        <x:v>0</x:v>
      </x:c>
      <x:c r="T72" s="81" t="n">
        <x:f>IF(W72="估算",IF(OR(P72=0,K72=0,$J$7=0),0,IF(P72&lt;=(1-$J$7)*K72,$J$7*P72*K72/(1-$J$7)-$J$7^2*P72^2/(2*(1-$J$7)^2),$J$7*P72*K72+$J$7^2*K72^2/2)/L72),"")</x:f>
        <x:v>2.2939947276141977e-9</x:v>
      </x:c>
      <x:c r="U72" s="81" t="n">
        <x:f>IF(A72,60000/C72,"")</x:f>
        <x:v>12000</x:v>
      </x:c>
      <x:c r="V72" s="81" t="n">
        <x:f>IF(W72="估算",U72*E24*T72*M24*N24,"")</x:f>
        <x:v>0.0011011174692548149</x:v>
      </x:c>
      <x:c r="W72" s="81" t="str">
        <x:f>IF(NOT(A72),"输入无效",IF(K72&gt;=L72,"KV 超载",IF(O72&gt;C72+1e-9,"TPOT 不自洽",IF(OR(C72&gt;L72,P72&gt;L72-K72),"需时序仿真","估算"))))</x:f>
        <x:v>估算</x:v>
      </x:c>
      <x:c r="X72" s="81" t="n">
        <x:f>IF(W72="估算",U72*M72,"")</x:f>
        <x:v>0.07268352</x:v>
      </x:c>
    </x:row>
    <x:row r="73" ht="22" customHeight="1">
      <x:c r="A7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</x:f>
        <x:v>1</x:v>
      </x:c>
      <x:c r="B73" s="81" t="n">
        <x:f>IF(A73,D43*1000,"")</x:f>
        <x:v>4000</x:v>
      </x:c>
      <x:c r="C73" s="81" t="n">
        <x:f>IF(A73,E43*L24,"")</x:f>
        <x:v>10</x:v>
      </x:c>
      <x:c r="D73" s="81" t="n">
        <x:f>IF(A73,M96,"")</x:f>
        <x:v>0.0541534423828125</x:v>
      </x:c>
      <x:c r="E73" s="81" t="n">
        <x:f>IF(A73,B24/C24,"")</x:f>
        <x:v>32</x:v>
      </x:c>
      <x:c r="F73" s="81" t="n">
        <x:f>IF(A73,B24/D24,"")</x:f>
        <x:v>256</x:v>
      </x:c>
      <x:c r="G73" s="81" t="n">
        <x:f>IF(A73,$F$5*E73*$B$5*60000/B73,"")</x:f>
        <x:v>7680</x:v>
      </x:c>
      <x:c r="H73" s="81" t="n">
        <x:f>IF(A73,G73/($J$5*F73),"")</x:f>
        <x:v>30</x:v>
      </x:c>
      <x:c r="I73" s="81" t="n">
        <x:f>IF(A73,$B$5*D73/C24/$B$9,"")</x:f>
        <x:v>0.108306884765625</x:v>
      </x:c>
      <x:c r="J73" s="81" t="n">
        <x:f>IF(A73,I73*$F$5/$J$5,"")</x:f>
        <x:v>0.108306884765625</x:v>
      </x:c>
      <x:c r="K73" s="81" t="n">
        <x:f>IF(A73,MAX(I73,J73)*2^30/(J24*1e6),"")</x:f>
        <x:v>0.02422784</x:v>
      </x:c>
      <x:c r="L73" s="81" t="n">
        <x:f>IF(A73,B73/$B$9,"")</x:f>
        <x:v>4000</x:v>
      </x:c>
      <x:c r="M73" s="82" t="n">
        <x:f>IF(A73,K73/L73,"")</x:f>
        <x:v>0.00000605696</x:v>
      </x:c>
      <x:c r="N73" s="81" t="n">
        <x:f>IF(A73,(E24*ROUNDUP(K24/D24,0)*G24*(B24-1)/B24*(ROUNDUP((ROUNDUP(F24*2/32,0)*32+32)/480,0)*512+F24*2+32)+E24*ROUNDUP(H24/B24,0)*(B24-1)*32)/1e9,"")</x:f>
        <x:v>0.6596544</x:v>
      </x:c>
      <x:c r="O73" s="81" t="n">
        <x:f>IF(A73,N73*1000/I24,"")</x:f>
        <x:v>0.137428</x:v>
      </x:c>
      <x:c r="P73" s="81" t="n">
        <x:f>IF(A73,O73/E24,"")</x:f>
        <x:v>0.0034357</x:v>
      </x:c>
      <x:c r="Q73" s="81" t="n">
        <x:f>IF(A73,N73*1000/C73,"")</x:f>
        <x:v>65.96544</x:v>
      </x:c>
      <x:c r="R73" s="81" t="n">
        <x:f>IF(W73="估算",IF(OR(K73=0,O73=0),0,1-((E24-1)*MAX(0,(C73-O73)/E24-(K73))+MAX(0,L73-((E24-1)*C73/E24+P73)-(K73)))/L73),"")</x:f>
        <x:v>0.00027663540000000264</x:v>
      </x:c>
      <x:c r="S73" s="81" t="n">
        <x:f>IF(W73="估算",IF(O73=0,0,MAX(0,1-(1-((E24-1)*MAX(0,(C73-O73)/E24-(L73-K73))+MAX(0,L73-((E24-1)*C73/E24+P73)-(L73-K73)))/L73))),"")</x:f>
        <x:v>0</x:v>
      </x:c>
      <x:c r="T73" s="81" t="n">
        <x:f>IF(W73="估算",IF(OR(P73=0,K73=0,$J$7=0),0,IF(P73&lt;=(1-$J$7)*K73,$J$7*P73*K73/(1-$J$7)-$J$7^2*P73^2/(2*(1-$J$7)^2),$J$7*P73*K73+$J$7^2*K73^2/2)/L73),"")</x:f>
        <x:v>2.2939947276141977e-9</x:v>
      </x:c>
      <x:c r="U73" s="81" t="n">
        <x:f>IF(A73,60000/C73,"")</x:f>
        <x:v>6000</x:v>
      </x:c>
      <x:c r="V73" s="81" t="n">
        <x:f>IF(W73="估算",U73*E24*T73*M24*N24,"")</x:f>
        <x:v>0.0005505587346274074</x:v>
      </x:c>
      <x:c r="W73" s="81" t="str">
        <x:f>IF(NOT(A73),"输入无效",IF(K73&gt;=L73,"KV 超载",IF(O73&gt;C73+1e-9,"TPOT 不自洽",IF(OR(C73&gt;L73,P73&gt;L73-K73),"需时序仿真","估算"))))</x:f>
        <x:v>估算</x:v>
      </x:c>
      <x:c r="X73" s="81" t="n">
        <x:f>IF(W73="估算",U73*M73,"")</x:f>
        <x:v>0.03634176</x:v>
      </x:c>
    </x:row>
    <x:row r="74" ht="22" customHeight="1">
      <x:c r="A74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</x:f>
        <x:v>1</x:v>
      </x:c>
      <x:c r="B74" s="81" t="n">
        <x:f>IF(A74,D44*1000,"")</x:f>
        <x:v>4000</x:v>
      </x:c>
      <x:c r="C74" s="81" t="n">
        <x:f>IF(A74,E44*L24,"")</x:f>
        <x:v>20</x:v>
      </x:c>
      <x:c r="D74" s="81" t="n">
        <x:f>IF(A74,M96,"")</x:f>
        <x:v>0.0541534423828125</x:v>
      </x:c>
      <x:c r="E74" s="81" t="n">
        <x:f>IF(A74,B24/C24,"")</x:f>
        <x:v>32</x:v>
      </x:c>
      <x:c r="F74" s="81" t="n">
        <x:f>IF(A74,B24/D24,"")</x:f>
        <x:v>256</x:v>
      </x:c>
      <x:c r="G74" s="81" t="n">
        <x:f>IF(A74,$F$5*E74*$B$5*60000/B74,"")</x:f>
        <x:v>7680</x:v>
      </x:c>
      <x:c r="H74" s="81" t="n">
        <x:f>IF(A74,G74/($J$5*F74),"")</x:f>
        <x:v>30</x:v>
      </x:c>
      <x:c r="I74" s="81" t="n">
        <x:f>IF(A74,$B$5*D74/C24/$B$9,"")</x:f>
        <x:v>0.108306884765625</x:v>
      </x:c>
      <x:c r="J74" s="81" t="n">
        <x:f>IF(A74,I74*$F$5/$J$5,"")</x:f>
        <x:v>0.108306884765625</x:v>
      </x:c>
      <x:c r="K74" s="81" t="n">
        <x:f>IF(A74,MAX(I74,J74)*2^30/(J24*1e6),"")</x:f>
        <x:v>0.02422784</x:v>
      </x:c>
      <x:c r="L74" s="81" t="n">
        <x:f>IF(A74,B74/$B$9,"")</x:f>
        <x:v>4000</x:v>
      </x:c>
      <x:c r="M74" s="82" t="n">
        <x:f>IF(A74,K74/L74,"")</x:f>
        <x:v>0.00000605696</x:v>
      </x:c>
      <x:c r="N74" s="81" t="n">
        <x:f>IF(A74,(E24*ROUNDUP(K24/D24,0)*G24*(B24-1)/B24*(ROUNDUP((ROUNDUP(F24*2/32,0)*32+32)/480,0)*512+F24*2+32)+E24*ROUNDUP(H24/B24,0)*(B24-1)*32)/1e9,"")</x:f>
        <x:v>0.6596544</x:v>
      </x:c>
      <x:c r="O74" s="81" t="n">
        <x:f>IF(A74,N74*1000/I24,"")</x:f>
        <x:v>0.137428</x:v>
      </x:c>
      <x:c r="P74" s="81" t="n">
        <x:f>IF(A74,O74/E24,"")</x:f>
        <x:v>0.0034357</x:v>
      </x:c>
      <x:c r="Q74" s="81" t="n">
        <x:f>IF(A74,N74*1000/C74,"")</x:f>
        <x:v>32.98272</x:v>
      </x:c>
      <x:c r="R74" s="81" t="n">
        <x:f>IF(W74="估算",IF(OR(K74=0,O74=0),0,1-((E24-1)*MAX(0,(C74-O74)/E24-(K74))+MAX(0,L74-((E24-1)*C74/E24+P74)-(K74)))/L74),"")</x:f>
        <x:v>0.00027663540000000264</x:v>
      </x:c>
      <x:c r="S74" s="81" t="n">
        <x:f>IF(W74="估算",IF(O74=0,0,MAX(0,1-(1-((E24-1)*MAX(0,(C74-O74)/E24-(L74-K74))+MAX(0,L74-((E24-1)*C74/E24+P74)-(L74-K74)))/L74))),"")</x:f>
        <x:v>0</x:v>
      </x:c>
      <x:c r="T74" s="81" t="n">
        <x:f>IF(W74="估算",IF(OR(P74=0,K74=0,$J$7=0),0,IF(P74&lt;=(1-$J$7)*K74,$J$7*P74*K74/(1-$J$7)-$J$7^2*P74^2/(2*(1-$J$7)^2),$J$7*P74*K74+$J$7^2*K74^2/2)/L74),"")</x:f>
        <x:v>2.2939947276141977e-9</x:v>
      </x:c>
      <x:c r="U74" s="81" t="n">
        <x:f>IF(A74,60000/C74,"")</x:f>
        <x:v>3000</x:v>
      </x:c>
      <x:c r="V74" s="81" t="n">
        <x:f>IF(W74="估算",U74*E24*T74*M24*N24,"")</x:f>
        <x:v>0.0002752793673137037</x:v>
      </x:c>
      <x:c r="W74" s="81" t="str">
        <x:f>IF(NOT(A74),"输入无效",IF(K74&gt;=L74,"KV 超载",IF(O74&gt;C74+1e-9,"TPOT 不自洽",IF(OR(C74&gt;L74,P74&gt;L74-K74),"需时序仿真","估算"))))</x:f>
        <x:v>估算</x:v>
      </x:c>
      <x:c r="X74" s="81" t="n">
        <x:f>IF(W74="估算",U74*M74,"")</x:f>
        <x:v>0.01817088</x:v>
      </x:c>
    </x:row>
    <x:row r="75" ht="22" customHeight="1">
      <x:c r="A75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</x:f>
        <x:v>1</x:v>
      </x:c>
      <x:c r="B75" s="81" t="n">
        <x:f>IF(A75,D45*1000,"")</x:f>
        <x:v>4000</x:v>
      </x:c>
      <x:c r="C75" s="81" t="n">
        <x:f>IF(A75,E45*L24,"")</x:f>
        <x:v>30</x:v>
      </x:c>
      <x:c r="D75" s="81" t="n">
        <x:f>IF(A75,M96,"")</x:f>
        <x:v>0.0541534423828125</x:v>
      </x:c>
      <x:c r="E75" s="81" t="n">
        <x:f>IF(A75,B24/C24,"")</x:f>
        <x:v>32</x:v>
      </x:c>
      <x:c r="F75" s="81" t="n">
        <x:f>IF(A75,B24/D24,"")</x:f>
        <x:v>256</x:v>
      </x:c>
      <x:c r="G75" s="81" t="n">
        <x:f>IF(A75,$F$5*E75*$B$5*60000/B75,"")</x:f>
        <x:v>7680</x:v>
      </x:c>
      <x:c r="H75" s="81" t="n">
        <x:f>IF(A75,G75/($J$5*F75),"")</x:f>
        <x:v>30</x:v>
      </x:c>
      <x:c r="I75" s="81" t="n">
        <x:f>IF(A75,$B$5*D75/C24/$B$9,"")</x:f>
        <x:v>0.108306884765625</x:v>
      </x:c>
      <x:c r="J75" s="81" t="n">
        <x:f>IF(A75,I75*$F$5/$J$5,"")</x:f>
        <x:v>0.108306884765625</x:v>
      </x:c>
      <x:c r="K75" s="81" t="n">
        <x:f>IF(A75,MAX(I75,J75)*2^30/(J24*1e6),"")</x:f>
        <x:v>0.02422784</x:v>
      </x:c>
      <x:c r="L75" s="81" t="n">
        <x:f>IF(A75,B75/$B$9,"")</x:f>
        <x:v>4000</x:v>
      </x:c>
      <x:c r="M75" s="82" t="n">
        <x:f>IF(A75,K75/L75,"")</x:f>
        <x:v>0.00000605696</x:v>
      </x:c>
      <x:c r="N75" s="81" t="n">
        <x:f>IF(A75,(E24*ROUNDUP(K24/D24,0)*G24*(B24-1)/B24*(ROUNDUP((ROUNDUP(F24*2/32,0)*32+32)/480,0)*512+F24*2+32)+E24*ROUNDUP(H24/B24,0)*(B24-1)*32)/1e9,"")</x:f>
        <x:v>0.6596544</x:v>
      </x:c>
      <x:c r="O75" s="81" t="n">
        <x:f>IF(A75,N75*1000/I24,"")</x:f>
        <x:v>0.137428</x:v>
      </x:c>
      <x:c r="P75" s="81" t="n">
        <x:f>IF(A75,O75/E24,"")</x:f>
        <x:v>0.0034357</x:v>
      </x:c>
      <x:c r="Q75" s="81" t="n">
        <x:f>IF(A75,N75*1000/C75,"")</x:f>
        <x:v>21.98848</x:v>
      </x:c>
      <x:c r="R75" s="81" t="n">
        <x:f>IF(W75="估算",IF(OR(K75=0,O75=0),0,1-((E24-1)*MAX(0,(C75-O75)/E24-(K75))+MAX(0,L75-((E24-1)*C75/E24+P75)-(K75)))/L75),"")</x:f>
        <x:v>0.00027663540000000264</x:v>
      </x:c>
      <x:c r="S75" s="81" t="n">
        <x:f>IF(W75="估算",IF(O75=0,0,MAX(0,1-(1-((E24-1)*MAX(0,(C75-O75)/E24-(L75-K75))+MAX(0,L75-((E24-1)*C75/E24+P75)-(L75-K75)))/L75))),"")</x:f>
        <x:v>0</x:v>
      </x:c>
      <x:c r="T75" s="81" t="n">
        <x:f>IF(W75="估算",IF(OR(P75=0,K75=0,$J$7=0),0,IF(P75&lt;=(1-$J$7)*K75,$J$7*P75*K75/(1-$J$7)-$J$7^2*P75^2/(2*(1-$J$7)^2),$J$7*P75*K75+$J$7^2*K75^2/2)/L75),"")</x:f>
        <x:v>2.2939947276141977e-9</x:v>
      </x:c>
      <x:c r="U75" s="81" t="n">
        <x:f>IF(A75,60000/C75,"")</x:f>
        <x:v>2000</x:v>
      </x:c>
      <x:c r="V75" s="81" t="n">
        <x:f>IF(W75="估算",U75*E24*T75*M24*N24,"")</x:f>
        <x:v>0.0001835195782091358</x:v>
      </x:c>
      <x:c r="W75" s="81" t="str">
        <x:f>IF(NOT(A75),"输入无效",IF(K75&gt;=L75,"KV 超载",IF(O75&gt;C75+1e-9,"TPOT 不自洽",IF(OR(C75&gt;L75,P75&gt;L75-K75),"需时序仿真","估算"))))</x:f>
        <x:v>估算</x:v>
      </x:c>
      <x:c r="X75" s="81" t="n">
        <x:f>IF(W75="估算",U75*M75,"")</x:f>
        <x:v>0.01211392</x:v>
      </x:c>
    </x:row>
    <x:row r="76" ht="22" customHeight="1">
      <x:c r="A76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</x:f>
        <x:v>1</x:v>
      </x:c>
      <x:c r="B76" s="81" t="n">
        <x:f>IF(A76,D46*1000,"")</x:f>
        <x:v>20000</x:v>
      </x:c>
      <x:c r="C76" s="81" t="n">
        <x:f>IF(A76,E46*L24,"")</x:f>
        <x:v>5</x:v>
      </x:c>
      <x:c r="D76" s="81" t="n">
        <x:f>IF(A76,M103,"")</x:f>
        <x:v>0.7144775390625</x:v>
      </x:c>
      <x:c r="E76" s="81" t="n">
        <x:f>IF(A76,B24/C24,"")</x:f>
        <x:v>32</x:v>
      </x:c>
      <x:c r="F76" s="81" t="n">
        <x:f>IF(A76,B24/D24,"")</x:f>
        <x:v>256</x:v>
      </x:c>
      <x:c r="G76" s="81" t="n">
        <x:f>IF(A76,$F$5*E76*$B$5*60000/B76,"")</x:f>
        <x:v>1536</x:v>
      </x:c>
      <x:c r="H76" s="81" t="n">
        <x:f>IF(A76,G76/($J$5*F76),"")</x:f>
        <x:v>6</x:v>
      </x:c>
      <x:c r="I76" s="81" t="n">
        <x:f>IF(A76,$B$5*D76/C24/$B$9,"")</x:f>
        <x:v>1.428955078125</x:v>
      </x:c>
      <x:c r="J76" s="81" t="n">
        <x:f>IF(A76,I76*$F$5/$J$5,"")</x:f>
        <x:v>1.428955078125</x:v>
      </x:c>
      <x:c r="K76" s="81" t="n">
        <x:f>IF(A76,MAX(I76,J76)*2^30/(J24*1e6),"")</x:f>
        <x:v>0.31965184</x:v>
      </x:c>
      <x:c r="L76" s="81" t="n">
        <x:f>IF(A76,B76/$B$9,"")</x:f>
        <x:v>20000</x:v>
      </x:c>
      <x:c r="M76" s="82" t="n">
        <x:f>IF(A76,K76/L76,"")</x:f>
        <x:v>0.000015982592</x:v>
      </x:c>
      <x:c r="N76" s="81" t="n">
        <x:f>IF(A76,(E24*ROUNDUP(K24/D24,0)*G24*(B24-1)/B24*(ROUNDUP((ROUNDUP(F24*2/32,0)*32+32)/480,0)*512+F24*2+32)+E24*ROUNDUP(H24/B24,0)*(B24-1)*32)/1e9,"")</x:f>
        <x:v>0.6596544</x:v>
      </x:c>
      <x:c r="O76" s="81" t="n">
        <x:f>IF(A76,N76*1000/I24,"")</x:f>
        <x:v>0.137428</x:v>
      </x:c>
      <x:c r="P76" s="81" t="n">
        <x:f>IF(A76,O76/E24,"")</x:f>
        <x:v>0.0034357</x:v>
      </x:c>
      <x:c r="Q76" s="81" t="n">
        <x:f>IF(A76,N76*1000/C76,"")</x:f>
        <x:v>131.93088</x:v>
      </x:c>
      <x:c r="R76" s="81" t="n">
        <x:f>IF(W76="估算",IF(OR(K76=0,O76=0),0,1-((E24-1)*MAX(0,(C76-O76)/E24-(K76))+MAX(0,L76-((E24-1)*C76/E24+P76)-(K76)))/L76),"")</x:f>
        <x:v>0.0002599043770000753</x:v>
      </x:c>
      <x:c r="S76" s="81" t="n">
        <x:f>IF(W76="估算",IF(O76=0,0,MAX(0,1-(1-((E24-1)*MAX(0,(C76-O76)/E24-(L76-K76))+MAX(0,L76-((E24-1)*C76/E24+P76)-(L76-K76)))/L76))),"")</x:f>
        <x:v>0</x:v>
      </x:c>
      <x:c r="T76" s="81" t="n">
        <x:f>IF(W76="估算",IF(OR(P76=0,K76=0,$J$7=0),0,IF(P76&lt;=(1-$J$7)*K76,$J$7*P76*K76/(1-$J$7)-$J$7^2*P76^2/(2*(1-$J$7)^2),$J$7*P76*K76+$J$7^2*K76^2/2)/L76),"")</x:f>
        <x:v>6.097622483300618e-9</x:v>
      </x:c>
      <x:c r="U76" s="81" t="n">
        <x:f>IF(A76,60000/C76,"")</x:f>
        <x:v>12000</x:v>
      </x:c>
      <x:c r="V76" s="81" t="n">
        <x:f>IF(W76="估算",U76*E24*T76*M24*N24,"")</x:f>
        <x:v>0.002926858791984297</x:v>
      </x:c>
      <x:c r="W76" s="81" t="str">
        <x:f>IF(NOT(A76),"输入无效",IF(K76&gt;=L76,"KV 超载",IF(O76&gt;C76+1e-9,"TPOT 不自洽",IF(OR(C76&gt;L76,P76&gt;L76-K76),"需时序仿真","估算"))))</x:f>
        <x:v>估算</x:v>
      </x:c>
      <x:c r="X76" s="81" t="n">
        <x:f>IF(W76="估算",U76*M76,"")</x:f>
        <x:v>0.191791104</x:v>
      </x:c>
    </x:row>
    <x:row r="77" ht="22" customHeight="1">
      <x:c r="A77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</x:f>
        <x:v>1</x:v>
      </x:c>
      <x:c r="B77" s="81" t="n">
        <x:f>IF(A77,D47*1000,"")</x:f>
        <x:v>20000</x:v>
      </x:c>
      <x:c r="C77" s="81" t="n">
        <x:f>IF(A77,E47*L24,"")</x:f>
        <x:v>10</x:v>
      </x:c>
      <x:c r="D77" s="81" t="n">
        <x:f>IF(A77,M103,"")</x:f>
        <x:v>0.7144775390625</x:v>
      </x:c>
      <x:c r="E77" s="81" t="n">
        <x:f>IF(A77,B24/C24,"")</x:f>
        <x:v>32</x:v>
      </x:c>
      <x:c r="F77" s="81" t="n">
        <x:f>IF(A77,B24/D24,"")</x:f>
        <x:v>256</x:v>
      </x:c>
      <x:c r="G77" s="81" t="n">
        <x:f>IF(A77,$F$5*E77*$B$5*60000/B77,"")</x:f>
        <x:v>1536</x:v>
      </x:c>
      <x:c r="H77" s="81" t="n">
        <x:f>IF(A77,G77/($J$5*F77),"")</x:f>
        <x:v>6</x:v>
      </x:c>
      <x:c r="I77" s="81" t="n">
        <x:f>IF(A77,$B$5*D77/C24/$B$9,"")</x:f>
        <x:v>1.428955078125</x:v>
      </x:c>
      <x:c r="J77" s="81" t="n">
        <x:f>IF(A77,I77*$F$5/$J$5,"")</x:f>
        <x:v>1.428955078125</x:v>
      </x:c>
      <x:c r="K77" s="81" t="n">
        <x:f>IF(A77,MAX(I77,J77)*2^30/(J24*1e6),"")</x:f>
        <x:v>0.31965184</x:v>
      </x:c>
      <x:c r="L77" s="81" t="n">
        <x:f>IF(A77,B77/$B$9,"")</x:f>
        <x:v>20000</x:v>
      </x:c>
      <x:c r="M77" s="82" t="n">
        <x:f>IF(A77,K77/L77,"")</x:f>
        <x:v>0.000015982592</x:v>
      </x:c>
      <x:c r="N77" s="81" t="n">
        <x:f>IF(A77,(E24*ROUNDUP(K24/D24,0)*G24*(B24-1)/B24*(ROUNDUP((ROUNDUP(F24*2/32,0)*32+32)/480,0)*512+F24*2+32)+E24*ROUNDUP(H24/B24,0)*(B24-1)*32)/1e9,"")</x:f>
        <x:v>0.6596544</x:v>
      </x:c>
      <x:c r="O77" s="81" t="n">
        <x:f>IF(A77,N77*1000/I24,"")</x:f>
        <x:v>0.137428</x:v>
      </x:c>
      <x:c r="P77" s="81" t="n">
        <x:f>IF(A77,O77/E24,"")</x:f>
        <x:v>0.0034357</x:v>
      </x:c>
      <x:c r="Q77" s="81" t="n">
        <x:f>IF(A77,N77*1000/C77,"")</x:f>
        <x:v>65.96544</x:v>
      </x:c>
      <x:c r="R77" s="81" t="n">
        <x:f>IF(W77="估算",IF(OR(K77=0,O77=0),0,1-((E24-1)*MAX(0,(C77-O77)/E24-(K77))+MAX(0,L77-((E24-1)*C77/E24+P77)-(K77)))/L77),"")</x:f>
        <x:v>0.0005036543770000623</x:v>
      </x:c>
      <x:c r="S77" s="81" t="n">
        <x:f>IF(W77="估算",IF(O77=0,0,MAX(0,1-(1-((E24-1)*MAX(0,(C77-O77)/E24-(L77-K77))+MAX(0,L77-((E24-1)*C77/E24+P77)-(L77-K77)))/L77))),"")</x:f>
        <x:v>0</x:v>
      </x:c>
      <x:c r="T77" s="81" t="n">
        <x:f>IF(W77="估算",IF(OR(P77=0,K77=0,$J$7=0),0,IF(P77&lt;=(1-$J$7)*K77,$J$7*P77*K77/(1-$J$7)-$J$7^2*P77^2/(2*(1-$J$7)^2),$J$7*P77*K77+$J$7^2*K77^2/2)/L77),"")</x:f>
        <x:v>6.097622483300618e-9</x:v>
      </x:c>
      <x:c r="U77" s="81" t="n">
        <x:f>IF(A77,60000/C77,"")</x:f>
        <x:v>6000</x:v>
      </x:c>
      <x:c r="V77" s="81" t="n">
        <x:f>IF(W77="估算",U77*E24*T77*M24*N24,"")</x:f>
        <x:v>0.0014634293959921484</x:v>
      </x:c>
      <x:c r="W77" s="81" t="str">
        <x:f>IF(NOT(A77),"输入无效",IF(K77&gt;=L77,"KV 超载",IF(O77&gt;C77+1e-9,"TPOT 不自洽",IF(OR(C77&gt;L77,P77&gt;L77-K77),"需时序仿真","估算"))))</x:f>
        <x:v>估算</x:v>
      </x:c>
      <x:c r="X77" s="81" t="n">
        <x:f>IF(W77="估算",U77*M77,"")</x:f>
        <x:v>0.095895552</x:v>
      </x:c>
    </x:row>
    <x:row r="78" ht="22" customHeight="1">
      <x:c r="A78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</x:f>
        <x:v>1</x:v>
      </x:c>
      <x:c r="B78" s="81" t="n">
        <x:f>IF(A78,D48*1000,"")</x:f>
        <x:v>20000</x:v>
      </x:c>
      <x:c r="C78" s="81" t="n">
        <x:f>IF(A78,E48*L24,"")</x:f>
        <x:v>20</x:v>
      </x:c>
      <x:c r="D78" s="81" t="n">
        <x:f>IF(A78,M103,"")</x:f>
        <x:v>0.7144775390625</x:v>
      </x:c>
      <x:c r="E78" s="81" t="n">
        <x:f>IF(A78,B24/C24,"")</x:f>
        <x:v>32</x:v>
      </x:c>
      <x:c r="F78" s="81" t="n">
        <x:f>IF(A78,B24/D24,"")</x:f>
        <x:v>256</x:v>
      </x:c>
      <x:c r="G78" s="81" t="n">
        <x:f>IF(A78,$F$5*E78*$B$5*60000/B78,"")</x:f>
        <x:v>1536</x:v>
      </x:c>
      <x:c r="H78" s="81" t="n">
        <x:f>IF(A78,G78/($J$5*F78),"")</x:f>
        <x:v>6</x:v>
      </x:c>
      <x:c r="I78" s="81" t="n">
        <x:f>IF(A78,$B$5*D78/C24/$B$9,"")</x:f>
        <x:v>1.428955078125</x:v>
      </x:c>
      <x:c r="J78" s="81" t="n">
        <x:f>IF(A78,I78*$F$5/$J$5,"")</x:f>
        <x:v>1.428955078125</x:v>
      </x:c>
      <x:c r="K78" s="81" t="n">
        <x:f>IF(A78,MAX(I78,J78)*2^30/(J24*1e6),"")</x:f>
        <x:v>0.31965184</x:v>
      </x:c>
      <x:c r="L78" s="81" t="n">
        <x:f>IF(A78,B78/$B$9,"")</x:f>
        <x:v>20000</x:v>
      </x:c>
      <x:c r="M78" s="82" t="n">
        <x:f>IF(A78,K78/L78,"")</x:f>
        <x:v>0.000015982592</x:v>
      </x:c>
      <x:c r="N78" s="81" t="n">
        <x:f>IF(A78,(E24*ROUNDUP(K24/D24,0)*G24*(B24-1)/B24*(ROUNDUP((ROUNDUP(F24*2/32,0)*32+32)/480,0)*512+F24*2+32)+E24*ROUNDUP(H24/B24,0)*(B24-1)*32)/1e9,"")</x:f>
        <x:v>0.6596544</x:v>
      </x:c>
      <x:c r="O78" s="81" t="n">
        <x:f>IF(A78,N78*1000/I24,"")</x:f>
        <x:v>0.137428</x:v>
      </x:c>
      <x:c r="P78" s="81" t="n">
        <x:f>IF(A78,O78/E24,"")</x:f>
        <x:v>0.0034357</x:v>
      </x:c>
      <x:c r="Q78" s="81" t="n">
        <x:f>IF(A78,N78*1000/C78,"")</x:f>
        <x:v>32.98272</x:v>
      </x:c>
      <x:c r="R78" s="81" t="n">
        <x:f>IF(W78="估算",IF(OR(K78=0,O78=0),0,1-((E24-1)*MAX(0,(C78-O78)/E24-(K78))+MAX(0,L78-((E24-1)*C78/E24+P78)-(K78)))/L78),"")</x:f>
        <x:v>0.0006461750800000887</x:v>
      </x:c>
      <x:c r="S78" s="81" t="n">
        <x:f>IF(W78="估算",IF(O78=0,0,MAX(0,1-(1-((E24-1)*MAX(0,(C78-O78)/E24-(L78-K78))+MAX(0,L78-((E24-1)*C78/E24+P78)-(L78-K78)))/L78))),"")</x:f>
        <x:v>0</x:v>
      </x:c>
      <x:c r="T78" s="81" t="n">
        <x:f>IF(W78="估算",IF(OR(P78=0,K78=0,$J$7=0),0,IF(P78&lt;=(1-$J$7)*K78,$J$7*P78*K78/(1-$J$7)-$J$7^2*P78^2/(2*(1-$J$7)^2),$J$7*P78*K78+$J$7^2*K78^2/2)/L78),"")</x:f>
        <x:v>6.097622483300618e-9</x:v>
      </x:c>
      <x:c r="U78" s="81" t="n">
        <x:f>IF(A78,60000/C78,"")</x:f>
        <x:v>3000</x:v>
      </x:c>
      <x:c r="V78" s="81" t="n">
        <x:f>IF(W78="估算",U78*E24*T78*M24*N24,"")</x:f>
        <x:v>0.0007317146979960742</x:v>
      </x:c>
      <x:c r="W78" s="81" t="str">
        <x:f>IF(NOT(A78),"输入无效",IF(K78&gt;=L78,"KV 超载",IF(O78&gt;C78+1e-9,"TPOT 不自洽",IF(OR(C78&gt;L78,P78&gt;L78-K78),"需时序仿真","估算"))))</x:f>
        <x:v>估算</x:v>
      </x:c>
      <x:c r="X78" s="81" t="n">
        <x:f>IF(W78="估算",U78*M78,"")</x:f>
        <x:v>0.047947776</x:v>
      </x:c>
    </x:row>
    <x:row r="79" ht="22" customHeight="1">
      <x:c r="A79" s="29" t="b">
        <x:f>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</x:f>
        <x:v>1</x:v>
      </x:c>
      <x:c r="B79" s="81" t="n">
        <x:f>IF(A79,D49*1000,"")</x:f>
        <x:v>20000</x:v>
      </x:c>
      <x:c r="C79" s="81" t="n">
        <x:f>IF(A79,E49*L24,"")</x:f>
        <x:v>30</x:v>
      </x:c>
      <x:c r="D79" s="81" t="n">
        <x:f>IF(A79,M103,"")</x:f>
        <x:v>0.7144775390625</x:v>
      </x:c>
      <x:c r="E79" s="81" t="n">
        <x:f>IF(A79,B24/C24,"")</x:f>
        <x:v>32</x:v>
      </x:c>
      <x:c r="F79" s="81" t="n">
        <x:f>IF(A79,B24/D24,"")</x:f>
        <x:v>256</x:v>
      </x:c>
      <x:c r="G79" s="81" t="n">
        <x:f>IF(A79,$F$5*E79*$B$5*60000/B79,"")</x:f>
        <x:v>1536</x:v>
      </x:c>
      <x:c r="H79" s="81" t="n">
        <x:f>IF(A79,G79/($J$5*F79),"")</x:f>
        <x:v>6</x:v>
      </x:c>
      <x:c r="I79" s="81" t="n">
        <x:f>IF(A79,$B$5*D79/C24/$B$9,"")</x:f>
        <x:v>1.428955078125</x:v>
      </x:c>
      <x:c r="J79" s="81" t="n">
        <x:f>IF(A79,I79*$F$5/$J$5,"")</x:f>
        <x:v>1.428955078125</x:v>
      </x:c>
      <x:c r="K79" s="81" t="n">
        <x:f>IF(A79,MAX(I79,J79)*2^30/(J24*1e6),"")</x:f>
        <x:v>0.31965184</x:v>
      </x:c>
      <x:c r="L79" s="81" t="n">
        <x:f>IF(A79,B79/$B$9,"")</x:f>
        <x:v>20000</x:v>
      </x:c>
      <x:c r="M79" s="82" t="n">
        <x:f>IF(A79,K79/L79,"")</x:f>
        <x:v>0.000015982592</x:v>
      </x:c>
      <x:c r="N79" s="81" t="n">
        <x:f>IF(A79,(E24*ROUNDUP(K24/D24,0)*G24*(B24-1)/B24*(ROUNDUP((ROUNDUP(F24*2/32,0)*32+32)/480,0)*512+F24*2+32)+E24*ROUNDUP(H24/B24,0)*(B24-1)*32)/1e9,"")</x:f>
        <x:v>0.6596544</x:v>
      </x:c>
      <x:c r="O79" s="81" t="n">
        <x:f>IF(A79,N79*1000/I24,"")</x:f>
        <x:v>0.137428</x:v>
      </x:c>
      <x:c r="P79" s="81" t="n">
        <x:f>IF(A79,O79/E24,"")</x:f>
        <x:v>0.0034357</x:v>
      </x:c>
      <x:c r="Q79" s="81" t="n">
        <x:f>IF(A79,N79*1000/C79,"")</x:f>
        <x:v>21.98848</x:v>
      </x:c>
      <x:c r="R79" s="81" t="n">
        <x:f>IF(W79="估算",IF(OR(K79=0,O79=0),0,1-((E24-1)*MAX(0,(C79-O79)/E24-(K79))+MAX(0,L79-((E24-1)*C79/E24+P79)-(K79)))/L79),"")</x:f>
        <x:v>0.0006461750800000887</x:v>
      </x:c>
      <x:c r="S79" s="81" t="n">
        <x:f>IF(W79="估算",IF(O79=0,0,MAX(0,1-(1-((E24-1)*MAX(0,(C79-O79)/E24-(L79-K79))+MAX(0,L79-((E24-1)*C79/E24+P79)-(L79-K79)))/L79))),"")</x:f>
        <x:v>0</x:v>
      </x:c>
      <x:c r="T79" s="81" t="n">
        <x:f>IF(W79="估算",IF(OR(P79=0,K79=0,$J$7=0),0,IF(P79&lt;=(1-$J$7)*K79,$J$7*P79*K79/(1-$J$7)-$J$7^2*P79^2/(2*(1-$J$7)^2),$J$7*P79*K79+$J$7^2*K79^2/2)/L79),"")</x:f>
        <x:v>6.097622483300618e-9</x:v>
      </x:c>
      <x:c r="U79" s="81" t="n">
        <x:f>IF(A79,60000/C79,"")</x:f>
        <x:v>2000</x:v>
      </x:c>
      <x:c r="V79" s="81" t="n">
        <x:f>IF(W79="估算",U79*E24*T79*M24*N24,"")</x:f>
        <x:v>0.0004878097986640494</x:v>
      </x:c>
      <x:c r="W79" s="81" t="str">
        <x:f>IF(NOT(A79),"输入无效",IF(K79&gt;=L79,"KV 超载",IF(O79&gt;C79+1e-9,"TPOT 不自洽",IF(OR(C79&gt;L79,P79&gt;L79-K79),"需时序仿真","估算"))))</x:f>
        <x:v>估算</x:v>
      </x:c>
      <x:c r="X79" s="81" t="n">
        <x:f>IF(W79="估算",U79*M79,"")</x:f>
        <x:v>0.031965184</x:v>
      </x:c>
    </x:row>
    <x:row r="80" ht="22" customHeight="1">
      <x:c r="A80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</x:f>
        <x:v>1</x:v>
      </x:c>
      <x:c r="B80" s="81" t="n">
        <x:f>IF(A80,D50*1000,"")</x:f>
        <x:v>60000</x:v>
      </x:c>
      <x:c r="C80" s="81" t="n">
        <x:f>IF(A80,E50*L24,"")</x:f>
        <x:v>5</x:v>
      </x:c>
      <x:c r="D80" s="81" t="n">
        <x:f>IF(A80,M110,"")</x:f>
        <x:v>2.8275146484375</x:v>
      </x:c>
      <x:c r="E80" s="81" t="n">
        <x:f>IF(A80,B24/C24,"")</x:f>
        <x:v>32</x:v>
      </x:c>
      <x:c r="F80" s="81" t="n">
        <x:f>IF(A80,B24/D24,"")</x:f>
        <x:v>256</x:v>
      </x:c>
      <x:c r="G80" s="81" t="n">
        <x:f>IF(A80,$F$5*E80*$B$5*60000/B80,"")</x:f>
        <x:v>512</x:v>
      </x:c>
      <x:c r="H80" s="81" t="n">
        <x:f>IF(A80,G80/($J$5*F80),"")</x:f>
        <x:v>2</x:v>
      </x:c>
      <x:c r="I80" s="81" t="n">
        <x:f>IF(A80,$B$5*D80/C24/$B$9,"")</x:f>
        <x:v>5.655029296875</x:v>
      </x:c>
      <x:c r="J80" s="81" t="n">
        <x:f>IF(A80,I80*$F$5/$J$5,"")</x:f>
        <x:v>5.655029296875</x:v>
      </x:c>
      <x:c r="K80" s="81" t="n">
        <x:f>IF(A80,MAX(I80,J80)*2^30/(J24*1e6),"")</x:f>
        <x:v>1.26500864</x:v>
      </x:c>
      <x:c r="L80" s="81" t="n">
        <x:f>IF(A80,B80/$B$9,"")</x:f>
        <x:v>60000</x:v>
      </x:c>
      <x:c r="M80" s="82" t="n">
        <x:f>IF(A80,K80/L80,"")</x:f>
        <x:v>0.000021083477333333333</x:v>
      </x:c>
      <x:c r="N80" s="81" t="n">
        <x:f>IF(A80,(E24*ROUNDUP(K24/D24,0)*G24*(B24-1)/B24*(ROUNDUP((ROUNDUP(F24*2/32,0)*32+32)/480,0)*512+F24*2+32)+E24*ROUNDUP(H24/B24,0)*(B24-1)*32)/1e9,"")</x:f>
        <x:v>0.6596544</x:v>
      </x:c>
      <x:c r="O80" s="81" t="n">
        <x:f>IF(A80,N80*1000/I24,"")</x:f>
        <x:v>0.137428</x:v>
      </x:c>
      <x:c r="P80" s="81" t="n">
        <x:f>IF(A80,O80/E24,"")</x:f>
        <x:v>0.0034357</x:v>
      </x:c>
      <x:c r="Q80" s="81" t="n">
        <x:f>IF(A80,N80*1000/C80,"")</x:f>
        <x:v>131.93088</x:v>
      </x:c>
      <x:c r="R80" s="81" t="n">
        <x:f>IF(W80="估算",IF(OR(K80=0,O80=0),0,1-((E24-1)*MAX(0,(C80-O80)/E24-(K80))+MAX(0,L80-((E24-1)*C80/E24+P80)-(K80)))/L80),"")</x:f>
        <x:v>0.00010239073899998008</x:v>
      </x:c>
      <x:c r="S80" s="81" t="n">
        <x:f>IF(W80="估算",IF(O80=0,0,MAX(0,1-(1-((E24-1)*MAX(0,(C80-O80)/E24-(L80-K80))+MAX(0,L80-((E24-1)*C80/E24+P80)-(L80-K80)))/L80))),"")</x:f>
        <x:v>0</x:v>
      </x:c>
      <x:c r="T80" s="81" t="n">
        <x:f>IF(W80="估算",IF(OR(P80=0,K80=0,$J$7=0),0,IF(P80&lt;=(1-$J$7)*K80,$J$7*P80*K80/(1-$J$7)-$J$7^2*P80^2/(2*(1-$J$7)^2),$J$7*P80*K80+$J$7^2*K80^2/2)/L80),"")</x:f>
        <x:v>8.047285934729836e-9</x:v>
      </x:c>
      <x:c r="U80" s="81" t="n">
        <x:f>IF(A80,60000/C80,"")</x:f>
        <x:v>12000</x:v>
      </x:c>
      <x:c r="V80" s="81" t="n">
        <x:f>IF(W80="估算",U80*E24*T80*M24*N24,"")</x:f>
        <x:v>0.0038626972486703213</x:v>
      </x:c>
      <x:c r="W80" s="81" t="str">
        <x:f>IF(NOT(A80),"输入无效",IF(K80&gt;=L80,"KV 超载",IF(O80&gt;C80+1e-9,"TPOT 不自洽",IF(OR(C80&gt;L80,P80&gt;L80-K80),"需时序仿真","估算"))))</x:f>
        <x:v>估算</x:v>
      </x:c>
      <x:c r="X80" s="81" t="n">
        <x:f>IF(W80="估算",U80*M80,"")</x:f>
        <x:v>0.253001728</x:v>
      </x:c>
    </x:row>
    <x:row r="81" ht="22" customHeight="1">
      <x:c r="A81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</x:f>
        <x:v>1</x:v>
      </x:c>
      <x:c r="B81" s="81" t="n">
        <x:f>IF(A81,D51*1000,"")</x:f>
        <x:v>60000</x:v>
      </x:c>
      <x:c r="C81" s="81" t="n">
        <x:f>IF(A81,E51*L24,"")</x:f>
        <x:v>10</x:v>
      </x:c>
      <x:c r="D81" s="81" t="n">
        <x:f>IF(A81,M110,"")</x:f>
        <x:v>2.8275146484375</x:v>
      </x:c>
      <x:c r="E81" s="81" t="n">
        <x:f>IF(A81,B24/C24,"")</x:f>
        <x:v>32</x:v>
      </x:c>
      <x:c r="F81" s="81" t="n">
        <x:f>IF(A81,B24/D24,"")</x:f>
        <x:v>256</x:v>
      </x:c>
      <x:c r="G81" s="81" t="n">
        <x:f>IF(A81,$F$5*E81*$B$5*60000/B81,"")</x:f>
        <x:v>512</x:v>
      </x:c>
      <x:c r="H81" s="81" t="n">
        <x:f>IF(A81,G81/($J$5*F81),"")</x:f>
        <x:v>2</x:v>
      </x:c>
      <x:c r="I81" s="81" t="n">
        <x:f>IF(A81,$B$5*D81/C24/$B$9,"")</x:f>
        <x:v>5.655029296875</x:v>
      </x:c>
      <x:c r="J81" s="81" t="n">
        <x:f>IF(A81,I81*$F$5/$J$5,"")</x:f>
        <x:v>5.655029296875</x:v>
      </x:c>
      <x:c r="K81" s="81" t="n">
        <x:f>IF(A81,MAX(I81,J81)*2^30/(J24*1e6),"")</x:f>
        <x:v>1.26500864</x:v>
      </x:c>
      <x:c r="L81" s="81" t="n">
        <x:f>IF(A81,B81/$B$9,"")</x:f>
        <x:v>60000</x:v>
      </x:c>
      <x:c r="M81" s="82" t="n">
        <x:f>IF(A81,K81/L81,"")</x:f>
        <x:v>0.000021083477333333333</x:v>
      </x:c>
      <x:c r="N81" s="81" t="n">
        <x:f>IF(A81,(E24*ROUNDUP(K24/D24,0)*G24*(B24-1)/B24*(ROUNDUP((ROUNDUP(F24*2/32,0)*32+32)/480,0)*512+F24*2+32)+E24*ROUNDUP(H24/B24,0)*(B24-1)*32)/1e9,"")</x:f>
        <x:v>0.6596544</x:v>
      </x:c>
      <x:c r="O81" s="81" t="n">
        <x:f>IF(A81,N81*1000/I24,"")</x:f>
        <x:v>0.137428</x:v>
      </x:c>
      <x:c r="P81" s="81" t="n">
        <x:f>IF(A81,O81/E24,"")</x:f>
        <x:v>0.0034357</x:v>
      </x:c>
      <x:c r="Q81" s="81" t="n">
        <x:f>IF(A81,N81*1000/C81,"")</x:f>
        <x:v>65.96544</x:v>
      </x:c>
      <x:c r="R81" s="81" t="n">
        <x:f>IF(W81="估算",IF(OR(K81=0,O81=0),0,1-((E24-1)*MAX(0,(C81-O81)/E24-(K81))+MAX(0,L81-((E24-1)*C81/E24+P81)-(K81)))/L81),"")</x:f>
        <x:v>0.00018364073900001276</x:v>
      </x:c>
      <x:c r="S81" s="81" t="n">
        <x:f>IF(W81="估算",IF(O81=0,0,MAX(0,1-(1-((E24-1)*MAX(0,(C81-O81)/E24-(L81-K81))+MAX(0,L81-((E24-1)*C81/E24+P81)-(L81-K81)))/L81))),"")</x:f>
        <x:v>0</x:v>
      </x:c>
      <x:c r="T81" s="81" t="n">
        <x:f>IF(W81="估算",IF(OR(P81=0,K81=0,$J$7=0),0,IF(P81&lt;=(1-$J$7)*K81,$J$7*P81*K81/(1-$J$7)-$J$7^2*P81^2/(2*(1-$J$7)^2),$J$7*P81*K81+$J$7^2*K81^2/2)/L81),"")</x:f>
        <x:v>8.047285934729836e-9</x:v>
      </x:c>
      <x:c r="U81" s="81" t="n">
        <x:f>IF(A81,60000/C81,"")</x:f>
        <x:v>6000</x:v>
      </x:c>
      <x:c r="V81" s="81" t="n">
        <x:f>IF(W81="估算",U81*E24*T81*M24*N24,"")</x:f>
        <x:v>0.0019313486243351607</x:v>
      </x:c>
      <x:c r="W81" s="81" t="str">
        <x:f>IF(NOT(A81),"输入无效",IF(K81&gt;=L81,"KV 超载",IF(O81&gt;C81+1e-9,"TPOT 不自洽",IF(OR(C81&gt;L81,P81&gt;L81-K81),"需时序仿真","估算"))))</x:f>
        <x:v>估算</x:v>
      </x:c>
      <x:c r="X81" s="81" t="n">
        <x:f>IF(W81="估算",U81*M81,"")</x:f>
        <x:v>0.126500864</x:v>
      </x:c>
    </x:row>
    <x:row r="82" ht="22" customHeight="1">
      <x:c r="A82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82" s="81" t="n">
        <x:f>IF(A82,D52*1000,"")</x:f>
        <x:v>60000</x:v>
      </x:c>
      <x:c r="C82" s="81" t="n">
        <x:f>IF(A82,E52*L24,"")</x:f>
        <x:v>20</x:v>
      </x:c>
      <x:c r="D82" s="81" t="n">
        <x:f>IF(A82,M110,"")</x:f>
        <x:v>2.8275146484375</x:v>
      </x:c>
      <x:c r="E82" s="81" t="n">
        <x:f>IF(A82,B24/C24,"")</x:f>
        <x:v>32</x:v>
      </x:c>
      <x:c r="F82" s="81" t="n">
        <x:f>IF(A82,B24/D24,"")</x:f>
        <x:v>256</x:v>
      </x:c>
      <x:c r="G82" s="81" t="n">
        <x:f>IF(A82,$F$5*E82*$B$5*60000/B82,"")</x:f>
        <x:v>512</x:v>
      </x:c>
      <x:c r="H82" s="81" t="n">
        <x:f>IF(A82,G82/($J$5*F82),"")</x:f>
        <x:v>2</x:v>
      </x:c>
      <x:c r="I82" s="81" t="n">
        <x:f>IF(A82,$B$5*D82/C24/$B$9,"")</x:f>
        <x:v>5.655029296875</x:v>
      </x:c>
      <x:c r="J82" s="81" t="n">
        <x:f>IF(A82,I82*$F$5/$J$5,"")</x:f>
        <x:v>5.655029296875</x:v>
      </x:c>
      <x:c r="K82" s="81" t="n">
        <x:f>IF(A82,MAX(I82,J82)*2^30/(J24*1e6),"")</x:f>
        <x:v>1.26500864</x:v>
      </x:c>
      <x:c r="L82" s="81" t="n">
        <x:f>IF(A82,B82/$B$9,"")</x:f>
        <x:v>60000</x:v>
      </x:c>
      <x:c r="M82" s="82" t="n">
        <x:f>IF(A82,K82/L82,"")</x:f>
        <x:v>0.000021083477333333333</x:v>
      </x:c>
      <x:c r="N82" s="81" t="n">
        <x:f>IF(A82,(E24*ROUNDUP(K24/D24,0)*G24*(B24-1)/B24*(ROUNDUP((ROUNDUP(F24*2/32,0)*32+32)/480,0)*512+F24*2+32)+E24*ROUNDUP(H24/B24,0)*(B24-1)*32)/1e9,"")</x:f>
        <x:v>0.6596544</x:v>
      </x:c>
      <x:c r="O82" s="81" t="n">
        <x:f>IF(A82,N82*1000/I24,"")</x:f>
        <x:v>0.137428</x:v>
      </x:c>
      <x:c r="P82" s="81" t="n">
        <x:f>IF(A82,O82/E24,"")</x:f>
        <x:v>0.0034357</x:v>
      </x:c>
      <x:c r="Q82" s="81" t="n">
        <x:f>IF(A82,N82*1000/C82,"")</x:f>
        <x:v>32.98272</x:v>
      </x:c>
      <x:c r="R82" s="81" t="n">
        <x:f>IF(W82="估算",IF(OR(K82=0,O82=0),0,1-((E24-1)*MAX(0,(C82-O82)/E24-(K82))+MAX(0,L82-((E24-1)*C82/E24+P82)-(K82)))/L82),"")</x:f>
        <x:v>0.0003461407389999671</x:v>
      </x:c>
      <x:c r="S82" s="81" t="n">
        <x:f>IF(W82="估算",IF(O82=0,0,MAX(0,1-(1-((E24-1)*MAX(0,(C82-O82)/E24-(L82-K82))+MAX(0,L82-((E24-1)*C82/E24+P82)-(L82-K82)))/L82))),"")</x:f>
        <x:v>0</x:v>
      </x:c>
      <x:c r="T82" s="81" t="n">
        <x:f>IF(W82="估算",IF(OR(P82=0,K82=0,$J$7=0),0,IF(P82&lt;=(1-$J$7)*K82,$J$7*P82*K82/(1-$J$7)-$J$7^2*P82^2/(2*(1-$J$7)^2),$J$7*P82*K82+$J$7^2*K82^2/2)/L82),"")</x:f>
        <x:v>8.047285934729836e-9</x:v>
      </x:c>
      <x:c r="U82" s="81" t="n">
        <x:f>IF(A82,60000/C82,"")</x:f>
        <x:v>3000</x:v>
      </x:c>
      <x:c r="V82" s="81" t="n">
        <x:f>IF(W82="估算",U82*E24*T82*M24*N24,"")</x:f>
        <x:v>0.0009656743121675803</x:v>
      </x:c>
      <x:c r="W82" s="81" t="str">
        <x:f>IF(NOT(A82),"输入无效",IF(K82&gt;=L82,"KV 超载",IF(O82&gt;C82+1e-9,"TPOT 不自洽",IF(OR(C82&gt;L82,P82&gt;L82-K82),"需时序仿真","估算"))))</x:f>
        <x:v>估算</x:v>
      </x:c>
      <x:c r="X82" s="81" t="n">
        <x:f>IF(W82="估算",U82*M82,"")</x:f>
        <x:v>0.063250432</x:v>
      </x:c>
    </x:row>
    <x:row r="83" ht="22" customHeight="1">
      <x:c r="A83" s="29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83" s="81" t="n">
        <x:f>IF(A83,D53*1000,"")</x:f>
        <x:v>60000</x:v>
      </x:c>
      <x:c r="C83" s="81" t="n">
        <x:f>IF(A83,E53*L24,"")</x:f>
        <x:v>30</x:v>
      </x:c>
      <x:c r="D83" s="81" t="n">
        <x:f>IF(A83,M110,"")</x:f>
        <x:v>2.8275146484375</x:v>
      </x:c>
      <x:c r="E83" s="81" t="n">
        <x:f>IF(A83,B24/C24,"")</x:f>
        <x:v>32</x:v>
      </x:c>
      <x:c r="F83" s="81" t="n">
        <x:f>IF(A83,B24/D24,"")</x:f>
        <x:v>256</x:v>
      </x:c>
      <x:c r="G83" s="81" t="n">
        <x:f>IF(A83,$F$5*E83*$B$5*60000/B83,"")</x:f>
        <x:v>512</x:v>
      </x:c>
      <x:c r="H83" s="81" t="n">
        <x:f>IF(A83,G83/($J$5*F83),"")</x:f>
        <x:v>2</x:v>
      </x:c>
      <x:c r="I83" s="81" t="n">
        <x:f>IF(A83,$B$5*D83/C24/$B$9,"")</x:f>
        <x:v>5.655029296875</x:v>
      </x:c>
      <x:c r="J83" s="81" t="n">
        <x:f>IF(A83,I83*$F$5/$J$5,"")</x:f>
        <x:v>5.655029296875</x:v>
      </x:c>
      <x:c r="K83" s="81" t="n">
        <x:f>IF(A83,MAX(I83,J83)*2^30/(J24*1e6),"")</x:f>
        <x:v>1.26500864</x:v>
      </x:c>
      <x:c r="L83" s="81" t="n">
        <x:f>IF(A83,B83/$B$9,"")</x:f>
        <x:v>60000</x:v>
      </x:c>
      <x:c r="M83" s="82" t="n">
        <x:f>IF(A83,K83/L83,"")</x:f>
        <x:v>0.000021083477333333333</x:v>
      </x:c>
      <x:c r="N83" s="81" t="n">
        <x:f>IF(A83,(E24*ROUNDUP(K24/D24,0)*G24*(B24-1)/B24*(ROUNDUP((ROUNDUP(F24*2/32,0)*32+32)/480,0)*512+F24*2+32)+E24*ROUNDUP(H24/B24,0)*(B24-1)*32)/1e9,"")</x:f>
        <x:v>0.6596544</x:v>
      </x:c>
      <x:c r="O83" s="81" t="n">
        <x:f>IF(A83,N83*1000/I24,"")</x:f>
        <x:v>0.137428</x:v>
      </x:c>
      <x:c r="P83" s="81" t="n">
        <x:f>IF(A83,O83/E24,"")</x:f>
        <x:v>0.0034357</x:v>
      </x:c>
      <x:c r="Q83" s="81" t="n">
        <x:f>IF(A83,N83*1000/C83,"")</x:f>
        <x:v>21.98848</x:v>
      </x:c>
      <x:c r="R83" s="81" t="n">
        <x:f>IF(W83="估算",IF(OR(K83=0,O83=0),0,1-((E24-1)*MAX(0,(C83-O83)/E24-(K83))+MAX(0,L83-((E24-1)*C83/E24+P83)-(K83)))/L83),"")</x:f>
        <x:v>0.0005086407390000325</x:v>
      </x:c>
      <x:c r="S83" s="81" t="n">
        <x:f>IF(W83="估算",IF(O83=0,0,MAX(0,1-(1-((E24-1)*MAX(0,(C83-O83)/E24-(L83-K83))+MAX(0,L83-((E24-1)*C83/E24+P83)-(L83-K83)))/L83))),"")</x:f>
        <x:v>0</x:v>
      </x:c>
      <x:c r="T83" s="81" t="n">
        <x:f>IF(W83="估算",IF(OR(P83=0,K83=0,$J$7=0),0,IF(P83&lt;=(1-$J$7)*K83,$J$7*P83*K83/(1-$J$7)-$J$7^2*P83^2/(2*(1-$J$7)^2),$J$7*P83*K83+$J$7^2*K83^2/2)/L83),"")</x:f>
        <x:v>8.047285934729836e-9</x:v>
      </x:c>
      <x:c r="U83" s="81" t="n">
        <x:f>IF(A83,60000/C83,"")</x:f>
        <x:v>2000</x:v>
      </x:c>
      <x:c r="V83" s="81" t="n">
        <x:f>IF(W83="估算",U83*E24*T83*M24*N24,"")</x:f>
        <x:v>0.0006437828747783869</x:v>
      </x:c>
      <x:c r="W83" s="81" t="str">
        <x:f>IF(NOT(A83),"输入无效",IF(K83&gt;=L83,"KV 超载",IF(O83&gt;C83+1e-9,"TPOT 不自洽",IF(OR(C83&gt;L83,P83&gt;L83-K83),"需时序仿真","估算"))))</x:f>
        <x:v>估算</x:v>
      </x:c>
      <x:c r="X83" s="81" t="n">
        <x:f>IF(W83="估算",U83*M83,"")</x:f>
        <x:v>0.042166954666666666</x:v>
      </x:c>
    </x:row>
    <x:row r="84" ht="22" customHeight="1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</x:row>
    <x:row r="85" ht="22" customHeight="1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</x:row>
    <x:row r="86" ht="22" customHeight="1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</x:row>
    <x:row r="87" ht="22" customHeight="1">
      <x:c r="A87" s="29" t="str">
        <x:v>KV 组件：输入长度变化时重新计算生成、保留和迁移字节</x:v>
      </x:c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</x:row>
    <x:row r="88" ht="22" customHeight="1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</x:row>
    <x:row r="89" ht="42" customHeight="1">
      <x:c r="A89" s="78" t="str">
        <x:v>模型</x:v>
      </x:c>
      <x:c r="B89" s="78" t="str">
        <x:v>输入 tokens</x:v>
      </x:c>
      <x:c r="C89" s="78" t="str">
        <x:v>组件</x:v>
      </x:c>
      <x:c r="D89" s="78" t="str">
        <x:v>层数</x:v>
      </x:c>
      <x:c r="E89" s="78" t="str">
        <x:v>B/行/Rank</x:v>
      </x:c>
      <x:c r="F89" s="78" t="str">
        <x:v>P 副本</x:v>
      </x:c>
      <x:c r="G89" s="78" t="str">
        <x:v>D 副本</x:v>
      </x:c>
      <x:c r="H89" s="78" t="str">
        <x:v>生成行</x:v>
      </x:c>
      <x:c r="I89" s="78" t="str">
        <x:v>保留行</x:v>
      </x:c>
      <x:c r="J89" s="78" t="str">
        <x:v>取行</x:v>
      </x:c>
      <x:c r="K89" s="78" t="str">
        <x:v>生成 GiB</x:v>
      </x:c>
      <x:c r="L89" s="78" t="str">
        <x:v>保留 GiB</x:v>
      </x:c>
      <x:c r="M89" s="78" t="str">
        <x:v>取 GiB</x:v>
      </x:c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</x:row>
    <x:row r="90" ht="45" customHeight="1">
      <x:c r="A90" s="29" t="str">
        <x:v>DS V4.1 Flash</x:v>
      </x:c>
      <x:c r="B90" s="29" t="n">
        <x:f>$B$15</x:f>
        <x:v>16384</x:v>
      </x:c>
      <x:c r="C90" s="40" t="str">
        <x:v>SWA KV / BF16</x:v>
      </x:c>
      <x:c r="D90" s="29" t="n">
        <x:v>40</x:v>
      </x:c>
      <x:c r="E90" s="29" t="n">
        <x:v>1024</x:v>
      </x:c>
      <x:c r="F90" s="29" t="n">
        <x:v>8</x:v>
      </x:c>
      <x:c r="G90" s="29" t="n">
        <x:v>1</x:v>
      </x:c>
      <x:c r="H90" s="29" t="n">
        <x:f>IF(AND(ISNUMBER($B$15),$B$15&gt;=2,MOD($B$15,1)=0,OR($N$9=32,$N$9=64,$N$9=128),ISNUMBER($B$11),$B$11&gt;=0,MOD($B$11,1)=0),$B$15,"")</x:f>
        <x:v>16384</x:v>
      </x:c>
      <x:c r="I90" s="29" t="n">
        <x:f>IF(AND(ISNUMBER($B$15),$B$15&gt;=2,MOD($B$15,1)=0,OR($N$9=32,$N$9=64,$N$9=128),ISNUMBER($B$11),$B$11&gt;=0,MOD($B$11,1)=0),MIN($B$15,128),"")</x:f>
        <x:v>128</x:v>
      </x:c>
      <x:c r="J90" s="29" t="n">
        <x:f>IF(AND(ISNUMBER($B$15),$B$15&gt;=2,MOD($B$15,1)=0,OR($N$9=32,$N$9=64,$N$9=128),ISNUMBER($B$11),$B$11&gt;=0,MOD($B$11,1)=0),MIN(ROUNDUP($B$15/$N$9,0),ROUNDUP(128/$N$9,0)+1)*$N$9,"")</x:f>
        <x:v>256</x:v>
      </x:c>
      <x:c r="K90" s="81" t="n">
        <x:f>IF(AND(ISNUMBER($B$15),$B$15&gt;=2,MOD($B$15,1)=0,OR($N$9=32,$N$9=64,$N$9=128),ISNUMBER($B$11),$B$11&gt;=0,MOD($B$11,1)=0),D90*E90*F90*H90/2^30,"")</x:f>
        <x:v>5</x:v>
      </x:c>
      <x:c r="L90" s="81" t="n">
        <x:f>IF(AND(ISNUMBER($B$15),$B$15&gt;=2,MOD($B$15,1)=0,OR($N$9=32,$N$9=64,$N$9=128),ISNUMBER($B$11),$B$11&gt;=0,MOD($B$11,1)=0),D90*E90*F90*I90/2^30,"")</x:f>
        <x:v>0.0390625</x:v>
      </x:c>
      <x:c r="M90" s="81" t="n">
        <x:f>IF(AND(ISNUMBER($B$15),$B$15&gt;=2,MOD($B$15,1)=0,OR($N$9=32,$N$9=64,$N$9=128),ISNUMBER($B$11),$B$11&gt;=0,MOD($B$11,1)=0),D90*E90*G90*J90/2^30,"")</x:f>
        <x:v>0.009765625</x:v>
      </x:c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</x:row>
    <x:row r="91" ht="45" customHeight="1">
      <x:c r="A91" s="29" t="str">
        <x:v>DS V4.1 Flash</x:v>
      </x:c>
      <x:c r="B91" s="29" t="n">
        <x:f>$B$15</x:f>
        <x:v>16384</x:v>
      </x:c>
      <x:c r="C91" s="40" t="str">
        <x:v>C2 shared KV / BF16</x:v>
      </x:c>
      <x:c r="D91" s="29" t="n">
        <x:v>3</x:v>
      </x:c>
      <x:c r="E91" s="29" t="n">
        <x:v>1024</x:v>
      </x:c>
      <x:c r="F91" s="29" t="n">
        <x:v>8</x:v>
      </x:c>
      <x:c r="G91" s="29" t="n">
        <x:v>1</x:v>
      </x:c>
      <x:c r="H91" s="29" t="n">
        <x:f>IF(AND(ISNUMBER($B$15),$B$15&gt;=2,MOD($B$15,1)=0,OR($N$9=32,$N$9=64,$N$9=128),ISNUMBER($B$11),$B$11&gt;=0,MOD($B$11,1)=0),INT($B$15/2),"")</x:f>
        <x:v>8192</x:v>
      </x:c>
      <x:c r="I91" s="29" t="n">
        <x:f>IF(AND(ISNUMBER($B$15),$B$15&gt;=2,MOD($B$15,1)=0,OR($N$9=32,$N$9=64,$N$9=128),ISNUMBER($B$11),$B$11&gt;=0,MOD($B$11,1)=0),INT($B$15/2),"")</x:f>
        <x:v>8192</x:v>
      </x:c>
      <x:c r="J91" s="29" t="n">
        <x:f>IF(AND(ISNUMBER($B$15),$B$15&gt;=2,MOD($B$15,1)=0,OR($N$9=32,$N$9=64,$N$9=128),ISNUMBER($B$11),$B$11&gt;=0,MOD($B$11,1)=0),ROUNDUP(INT($B$15/2)/($N$9/2),0)*($N$9/2),"")</x:f>
        <x:v>8192</x:v>
      </x:c>
      <x:c r="K91" s="81" t="n">
        <x:f>IF(AND(ISNUMBER($B$15),$B$15&gt;=2,MOD($B$15,1)=0,OR($N$9=32,$N$9=64,$N$9=128),ISNUMBER($B$11),$B$11&gt;=0,MOD($B$11,1)=0),D91*E91*F91*H91/2^30,"")</x:f>
        <x:v>0.1875</x:v>
      </x:c>
      <x:c r="L91" s="81" t="n">
        <x:f>IF(AND(ISNUMBER($B$15),$B$15&gt;=2,MOD($B$15,1)=0,OR($N$9=32,$N$9=64,$N$9=128),ISNUMBER($B$11),$B$11&gt;=0,MOD($B$11,1)=0),D91*E91*F91*I91/2^30,"")</x:f>
        <x:v>0.1875</x:v>
      </x:c>
      <x:c r="M91" s="81" t="n">
        <x:f>IF(AND(ISNUMBER($B$15),$B$15&gt;=2,MOD($B$15,1)=0,OR($N$9=32,$N$9=64,$N$9=128),ISNUMBER($B$11),$B$11&gt;=0,MOD($B$11,1)=0),D91*E91*G91*J91/2^30,"")</x:f>
        <x:v>0.0234375</x:v>
      </x:c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</x:row>
    <x:row r="92" ht="45" customHeight="1">
      <x:c r="A92" s="29" t="str">
        <x:v>DS V4.1 Flash</x:v>
      </x:c>
      <x:c r="B92" s="29" t="n">
        <x:f>$B$15</x:f>
        <x:v>16384</x:v>
      </x:c>
      <x:c r="C92" s="40" t="str">
        <x:v>C2 shared Indexer / INT8 + FP16 scale</x:v>
      </x:c>
      <x:c r="D92" s="29" t="n">
        <x:v>3</x:v>
      </x:c>
      <x:c r="E92" s="29" t="n">
        <x:v>130</x:v>
      </x:c>
      <x:c r="F92" s="29" t="n">
        <x:v>8</x:v>
      </x:c>
      <x:c r="G92" s="29" t="n">
        <x:v>1</x:v>
      </x:c>
      <x:c r="H92" s="29" t="n">
        <x:f>IF(AND(ISNUMBER($B$15),$B$15&gt;=2,MOD($B$15,1)=0,OR($N$9=32,$N$9=64,$N$9=128),ISNUMBER($B$11),$B$11&gt;=0,MOD($B$11,1)=0),INT($B$15/2),"")</x:f>
        <x:v>8192</x:v>
      </x:c>
      <x:c r="I92" s="29" t="n">
        <x:f>IF(AND(ISNUMBER($B$15),$B$15&gt;=2,MOD($B$15,1)=0,OR($N$9=32,$N$9=64,$N$9=128),ISNUMBER($B$11),$B$11&gt;=0,MOD($B$11,1)=0),INT($B$15/2),"")</x:f>
        <x:v>8192</x:v>
      </x:c>
      <x:c r="J92" s="29" t="n">
        <x:f>IF(AND(ISNUMBER($B$15),$B$15&gt;=2,MOD($B$15,1)=0,OR($N$9=32,$N$9=64,$N$9=128),ISNUMBER($B$11),$B$11&gt;=0,MOD($B$11,1)=0),ROUNDUP(INT($B$15/2)/($N$9/2),0)*($N$9/2),"")</x:f>
        <x:v>8192</x:v>
      </x:c>
      <x:c r="K92" s="81" t="n">
        <x:f>IF(AND(ISNUMBER($B$15),$B$15&gt;=2,MOD($B$15,1)=0,OR($N$9=32,$N$9=64,$N$9=128),ISNUMBER($B$11),$B$11&gt;=0,MOD($B$11,1)=0),D92*E92*F92*H92/2^30,"")</x:f>
        <x:v>0.0238037109375</x:v>
      </x:c>
      <x:c r="L92" s="81" t="n">
        <x:f>IF(AND(ISNUMBER($B$15),$B$15&gt;=2,MOD($B$15,1)=0,OR($N$9=32,$N$9=64,$N$9=128),ISNUMBER($B$11),$B$11&gt;=0,MOD($B$11,1)=0),D92*E92*F92*I92/2^30,"")</x:f>
        <x:v>0.0238037109375</x:v>
      </x:c>
      <x:c r="M92" s="81" t="n">
        <x:f>IF(AND(ISNUMBER($B$15),$B$15&gt;=2,MOD($B$15,1)=0,OR($N$9=32,$N$9=64,$N$9=128),ISNUMBER($B$11),$B$11&gt;=0,MOD($B$11,1)=0),D92*E92*G92*J92/2^30,"")</x:f>
        <x:v>0.0029754638671875</x:v>
      </x:c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</x:row>
    <x:row r="93" ht="45" customHeight="1">
      <x:c r="A93" s="29" t="str">
        <x:v>DS V4.1 Flash</x:v>
      </x:c>
      <x:c r="B93" s="29" t="n">
        <x:f>$B$15</x:f>
        <x:v>16384</x:v>
      </x:c>
      <x:c r="C93" s="40" t="str">
        <x:v>C1 shared KV / BF16</x:v>
      </x:c>
      <x:c r="D93" s="29" t="n">
        <x:v>1</x:v>
      </x:c>
      <x:c r="E93" s="29" t="n">
        <x:v>1024</x:v>
      </x:c>
      <x:c r="F93" s="29" t="n">
        <x:v>8</x:v>
      </x:c>
      <x:c r="G93" s="29" t="n">
        <x:v>1</x:v>
      </x:c>
      <x:c r="H93" s="29" t="n">
        <x:f>IF(AND(ISNUMBER($B$15),$B$15&gt;=2,MOD($B$15,1)=0,OR($N$9=32,$N$9=64,$N$9=128),ISNUMBER($B$11),$B$11&gt;=0,MOD($B$11,1)=0),INT($B$15/1),"")</x:f>
        <x:v>16384</x:v>
      </x:c>
      <x:c r="I93" s="29" t="n">
        <x:f>IF(AND(ISNUMBER($B$15),$B$15&gt;=2,MOD($B$15,1)=0,OR($N$9=32,$N$9=64,$N$9=128),ISNUMBER($B$11),$B$11&gt;=0,MOD($B$11,1)=0),INT($B$15/1),"")</x:f>
        <x:v>16384</x:v>
      </x:c>
      <x:c r="J93" s="29" t="n">
        <x:f>IF(AND(ISNUMBER($B$15),$B$15&gt;=2,MOD($B$15,1)=0,OR($N$9=32,$N$9=64,$N$9=128),ISNUMBER($B$11),$B$11&gt;=0,MOD($B$11,1)=0),ROUNDUP(INT($B$15/1)/($N$9/1),0)*($N$9/1),"")</x:f>
        <x:v>16384</x:v>
      </x:c>
      <x:c r="K93" s="81" t="n">
        <x:f>IF(AND(ISNUMBER($B$15),$B$15&gt;=2,MOD($B$15,1)=0,OR($N$9=32,$N$9=64,$N$9=128),ISNUMBER($B$11),$B$11&gt;=0,MOD($B$11,1)=0),D93*E93*F93*H93/2^30,"")</x:f>
        <x:v>0.125</x:v>
      </x:c>
      <x:c r="L93" s="81" t="n">
        <x:f>IF(AND(ISNUMBER($B$15),$B$15&gt;=2,MOD($B$15,1)=0,OR($N$9=32,$N$9=64,$N$9=128),ISNUMBER($B$11),$B$11&gt;=0,MOD($B$11,1)=0),D93*E93*F93*I93/2^30,"")</x:f>
        <x:v>0.125</x:v>
      </x:c>
      <x:c r="M93" s="81" t="n">
        <x:f>IF(AND(ISNUMBER($B$15),$B$15&gt;=2,MOD($B$15,1)=0,OR($N$9=32,$N$9=64,$N$9=128),ISNUMBER($B$11),$B$11&gt;=0,MOD($B$11,1)=0),D93*E93*G93*J93/2^30,"")</x:f>
        <x:v>0.015625</x:v>
      </x:c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</x:row>
    <x:row r="94" ht="45" customHeight="1">
      <x:c r="A94" s="29" t="str">
        <x:v>DS V4.1 Flash</x:v>
      </x:c>
      <x:c r="B94" s="29" t="n">
        <x:f>$B$15</x:f>
        <x:v>16384</x:v>
      </x:c>
      <x:c r="C94" s="40" t="str">
        <x:v>C1 shared Indexer / INT8 + FP16 scale</x:v>
      </x:c>
      <x:c r="D94" s="29" t="n">
        <x:v>1</x:v>
      </x:c>
      <x:c r="E94" s="29" t="n">
        <x:v>130</x:v>
      </x:c>
      <x:c r="F94" s="29" t="n">
        <x:v>8</x:v>
      </x:c>
      <x:c r="G94" s="29" t="n">
        <x:v>1</x:v>
      </x:c>
      <x:c r="H94" s="29" t="n">
        <x:f>IF(AND(ISNUMBER($B$15),$B$15&gt;=2,MOD($B$15,1)=0,OR($N$9=32,$N$9=64,$N$9=128),ISNUMBER($B$11),$B$11&gt;=0,MOD($B$11,1)=0),INT($B$15/1),"")</x:f>
        <x:v>16384</x:v>
      </x:c>
      <x:c r="I94" s="29" t="n">
        <x:f>IF(AND(ISNUMBER($B$15),$B$15&gt;=2,MOD($B$15,1)=0,OR($N$9=32,$N$9=64,$N$9=128),ISNUMBER($B$11),$B$11&gt;=0,MOD($B$11,1)=0),INT($B$15/1),"")</x:f>
        <x:v>16384</x:v>
      </x:c>
      <x:c r="J94" s="29" t="n">
        <x:f>IF(AND(ISNUMBER($B$15),$B$15&gt;=2,MOD($B$15,1)=0,OR($N$9=32,$N$9=64,$N$9=128),ISNUMBER($B$11),$B$11&gt;=0,MOD($B$11,1)=0),ROUNDUP(INT($B$15/1)/($N$9/1),0)*($N$9/1),"")</x:f>
        <x:v>16384</x:v>
      </x:c>
      <x:c r="K94" s="81" t="n">
        <x:f>IF(AND(ISNUMBER($B$15),$B$15&gt;=2,MOD($B$15,1)=0,OR($N$9=32,$N$9=64,$N$9=128),ISNUMBER($B$11),$B$11&gt;=0,MOD($B$11,1)=0),D94*E94*F94*H94/2^30,"")</x:f>
        <x:v>0.015869140625</x:v>
      </x:c>
      <x:c r="L94" s="81" t="n">
        <x:f>IF(AND(ISNUMBER($B$15),$B$15&gt;=2,MOD($B$15,1)=0,OR($N$9=32,$N$9=64,$N$9=128),ISNUMBER($B$11),$B$11&gt;=0,MOD($B$11,1)=0),D94*E94*F94*I94/2^30,"")</x:f>
        <x:v>0.015869140625</x:v>
      </x:c>
      <x:c r="M94" s="81" t="n">
        <x:f>IF(AND(ISNUMBER($B$15),$B$15&gt;=2,MOD($B$15,1)=0,OR($N$9=32,$N$9=64,$N$9=128),ISNUMBER($B$11),$B$11&gt;=0,MOD($B$11,1)=0),D94*E94*G94*J94/2^30,"")</x:f>
        <x:v>0.001983642578125</x:v>
      </x:c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</x:row>
    <x:row r="95" ht="45" customHeight="1">
      <x:c r="A95" s="29" t="str">
        <x:v>DS V4.1 Flash</x:v>
      </x:c>
      <x:c r="B95" s="29" t="n">
        <x:f>$B$15</x:f>
        <x:v>16384</x:v>
      </x:c>
      <x:c r="C95" s="40" t="str">
        <x:v>C2 circular ring / FP32 KV+score</x:v>
      </x:c>
      <x:c r="D95" s="29" t="n">
        <x:v>3</x:v>
      </x:c>
      <x:c r="E95" s="29" t="n">
        <x:v>4096</x:v>
      </x:c>
      <x:c r="F95" s="29" t="n">
        <x:v>8</x:v>
      </x:c>
      <x:c r="G95" s="29" t="n">
        <x:v>1</x:v>
      </x:c>
      <x:c r="H95" s="29" t="n">
        <x:f>IF(AND(ISNUMBER($B$15),$B$15&gt;=2,MOD($B$15,1)=0,OR($N$9=32,$N$9=64,$N$9=128),ISNUMBER($B$11),$B$11&gt;=0,MOD($B$11,1)=0),MIN($B$15,32),"")</x:f>
        <x:v>32</x:v>
      </x:c>
      <x:c r="I95" s="29" t="n">
        <x:f>IF(AND(ISNUMBER($B$15),$B$15&gt;=2,MOD($B$15,1)=0,OR($N$9=32,$N$9=64,$N$9=128),ISNUMBER($B$11),$B$11&gt;=0,MOD($B$11,1)=0),MIN($B$15,32),"")</x:f>
        <x:v>32</x:v>
      </x:c>
      <x:c r="J95" s="29" t="n">
        <x:f>IF(AND(ISNUMBER($B$15),$B$15&gt;=2,MOD($B$15,1)=0,OR($N$9=32,$N$9=64,$N$9=128),ISNUMBER($B$11),$B$11&gt;=0,MOD($B$11,1)=0),32,"")</x:f>
        <x:v>32</x:v>
      </x:c>
      <x:c r="K95" s="81" t="n">
        <x:f>IF(AND(ISNUMBER($B$15),$B$15&gt;=2,MOD($B$15,1)=0,OR($N$9=32,$N$9=64,$N$9=128),ISNUMBER($B$11),$B$11&gt;=0,MOD($B$11,1)=0),D95*E95*F95*H95/2^30,"")</x:f>
        <x:v>0.0029296875</x:v>
      </x:c>
      <x:c r="L95" s="81" t="n">
        <x:f>IF(AND(ISNUMBER($B$15),$B$15&gt;=2,MOD($B$15,1)=0,OR($N$9=32,$N$9=64,$N$9=128),ISNUMBER($B$11),$B$11&gt;=0,MOD($B$11,1)=0),D95*E95*F95*I95/2^30,"")</x:f>
        <x:v>0.0029296875</x:v>
      </x:c>
      <x:c r="M95" s="81" t="n">
        <x:f>IF(AND(ISNUMBER($B$15),$B$15&gt;=2,MOD($B$15,1)=0,OR($N$9=32,$N$9=64,$N$9=128),ISNUMBER($B$11),$B$11&gt;=0,MOD($B$11,1)=0),D95*E95*G95*J95/2^30,"")</x:f>
        <x:v>0.0003662109375</x:v>
      </x:c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</x:row>
    <x:row r="96" ht="45" customHeight="1">
      <x:c r="A96" s="38" t="str">
        <x:v>DS V4.1 Flash</x:v>
      </x:c>
      <x:c r="B96" s="38" t="n">
        <x:f>$B$15</x:f>
        <x:v>16384</x:v>
      </x:c>
      <x:c r="C96" s="41" t="str">
        <x:v>每请求合计</x:v>
      </x:c>
      <x:c r="D96" s="38"/>
      <x:c r="E96" s="38"/>
      <x:c r="F96" s="38"/>
      <x:c r="G96" s="38"/>
      <x:c r="H96" s="38"/>
      <x:c r="I96" s="38"/>
      <x:c r="J96" s="38"/>
      <x:c r="K96" s="83" t="n">
        <x:f>SUM(K90:K95)</x:f>
        <x:v>5.3551025390625</x:v>
      </x:c>
      <x:c r="L96" s="83" t="n">
        <x:f>SUM(L90:L95)</x:f>
        <x:v>0.3941650390625</x:v>
      </x:c>
      <x:c r="M96" s="83" t="n">
        <x:f>SUM(M90:M95)</x:f>
        <x:v>0.0541534423828125</x:v>
      </x:c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</x:row>
    <x:row r="97" ht="45" customHeight="1">
      <x:c r="A97" s="29" t="str">
        <x:v>DS V4.1 Flash</x:v>
      </x:c>
      <x:c r="B97" s="29" t="n">
        <x:f>$B$16</x:f>
        <x:v>262144</x:v>
      </x:c>
      <x:c r="C97" s="40" t="str">
        <x:v>SWA KV / BF16</x:v>
      </x:c>
      <x:c r="D97" s="29" t="n">
        <x:v>40</x:v>
      </x:c>
      <x:c r="E97" s="29" t="n">
        <x:v>1024</x:v>
      </x:c>
      <x:c r="F97" s="29" t="n">
        <x:v>8</x:v>
      </x:c>
      <x:c r="G97" s="29" t="n">
        <x:v>1</x:v>
      </x:c>
      <x:c r="H97" s="29" t="n">
        <x:f>IF(AND(ISNUMBER($B$16),$B$16&gt;=2,MOD($B$16,1)=0,OR($N$9=32,$N$9=64,$N$9=128),ISNUMBER($B$11),$B$11&gt;=0,MOD($B$11,1)=0),$B$16,"")</x:f>
        <x:v>262144</x:v>
      </x:c>
      <x:c r="I97" s="29" t="n">
        <x:f>IF(AND(ISNUMBER($B$16),$B$16&gt;=2,MOD($B$16,1)=0,OR($N$9=32,$N$9=64,$N$9=128),ISNUMBER($B$11),$B$11&gt;=0,MOD($B$11,1)=0),MIN($B$16,128),"")</x:f>
        <x:v>128</x:v>
      </x:c>
      <x:c r="J97" s="29" t="n">
        <x:f>IF(AND(ISNUMBER($B$16),$B$16&gt;=2,MOD($B$16,1)=0,OR($N$9=32,$N$9=64,$N$9=128),ISNUMBER($B$11),$B$11&gt;=0,MOD($B$11,1)=0),MIN(ROUNDUP($B$16/$N$9,0),ROUNDUP(128/$N$9,0)+1)*$N$9,"")</x:f>
        <x:v>256</x:v>
      </x:c>
      <x:c r="K97" s="81" t="n">
        <x:f>IF(AND(ISNUMBER($B$16),$B$16&gt;=2,MOD($B$16,1)=0,OR($N$9=32,$N$9=64,$N$9=128),ISNUMBER($B$11),$B$11&gt;=0,MOD($B$11,1)=0),D97*E97*F97*H97/2^30,"")</x:f>
        <x:v>80</x:v>
      </x:c>
      <x:c r="L97" s="81" t="n">
        <x:f>IF(AND(ISNUMBER($B$16),$B$16&gt;=2,MOD($B$16,1)=0,OR($N$9=32,$N$9=64,$N$9=128),ISNUMBER($B$11),$B$11&gt;=0,MOD($B$11,1)=0),D97*E97*F97*I97/2^30,"")</x:f>
        <x:v>0.0390625</x:v>
      </x:c>
      <x:c r="M97" s="81" t="n">
        <x:f>IF(AND(ISNUMBER($B$16),$B$16&gt;=2,MOD($B$16,1)=0,OR($N$9=32,$N$9=64,$N$9=128),ISNUMBER($B$11),$B$11&gt;=0,MOD($B$11,1)=0),D97*E97*G97*J97/2^30,"")</x:f>
        <x:v>0.009765625</x:v>
      </x:c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</x:row>
    <x:row r="98" ht="45" customHeight="1">
      <x:c r="A98" s="29" t="str">
        <x:v>DS V4.1 Flash</x:v>
      </x:c>
      <x:c r="B98" s="29" t="n">
        <x:f>$B$16</x:f>
        <x:v>262144</x:v>
      </x:c>
      <x:c r="C98" s="40" t="str">
        <x:v>C2 shared KV / BF16</x:v>
      </x:c>
      <x:c r="D98" s="29" t="n">
        <x:v>3</x:v>
      </x:c>
      <x:c r="E98" s="29" t="n">
        <x:v>1024</x:v>
      </x:c>
      <x:c r="F98" s="29" t="n">
        <x:v>8</x:v>
      </x:c>
      <x:c r="G98" s="29" t="n">
        <x:v>1</x:v>
      </x:c>
      <x:c r="H98" s="29" t="n">
        <x:f>IF(AND(ISNUMBER($B$16),$B$16&gt;=2,MOD($B$16,1)=0,OR($N$9=32,$N$9=64,$N$9=128),ISNUMBER($B$11),$B$11&gt;=0,MOD($B$11,1)=0),INT($B$16/2),"")</x:f>
        <x:v>131072</x:v>
      </x:c>
      <x:c r="I98" s="29" t="n">
        <x:f>IF(AND(ISNUMBER($B$16),$B$16&gt;=2,MOD($B$16,1)=0,OR($N$9=32,$N$9=64,$N$9=128),ISNUMBER($B$11),$B$11&gt;=0,MOD($B$11,1)=0),INT($B$16/2),"")</x:f>
        <x:v>131072</x:v>
      </x:c>
      <x:c r="J98" s="29" t="n">
        <x:f>IF(AND(ISNUMBER($B$16),$B$16&gt;=2,MOD($B$16,1)=0,OR($N$9=32,$N$9=64,$N$9=128),ISNUMBER($B$11),$B$11&gt;=0,MOD($B$11,1)=0),ROUNDUP(INT($B$16/2)/($N$9/2),0)*($N$9/2),"")</x:f>
        <x:v>131072</x:v>
      </x:c>
      <x:c r="K98" s="81" t="n">
        <x:f>IF(AND(ISNUMBER($B$16),$B$16&gt;=2,MOD($B$16,1)=0,OR($N$9=32,$N$9=64,$N$9=128),ISNUMBER($B$11),$B$11&gt;=0,MOD($B$11,1)=0),D98*E98*F98*H98/2^30,"")</x:f>
        <x:v>3</x:v>
      </x:c>
      <x:c r="L98" s="81" t="n">
        <x:f>IF(AND(ISNUMBER($B$16),$B$16&gt;=2,MOD($B$16,1)=0,OR($N$9=32,$N$9=64,$N$9=128),ISNUMBER($B$11),$B$11&gt;=0,MOD($B$11,1)=0),D98*E98*F98*I98/2^30,"")</x:f>
        <x:v>3</x:v>
      </x:c>
      <x:c r="M98" s="81" t="n">
        <x:f>IF(AND(ISNUMBER($B$16),$B$16&gt;=2,MOD($B$16,1)=0,OR($N$9=32,$N$9=64,$N$9=128),ISNUMBER($B$11),$B$11&gt;=0,MOD($B$11,1)=0),D98*E98*G98*J98/2^30,"")</x:f>
        <x:v>0.375</x:v>
      </x:c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</x:row>
    <x:row r="99" ht="45" customHeight="1">
      <x:c r="A99" s="29" t="str">
        <x:v>DS V4.1 Flash</x:v>
      </x:c>
      <x:c r="B99" s="29" t="n">
        <x:f>$B$16</x:f>
        <x:v>262144</x:v>
      </x:c>
      <x:c r="C99" s="40" t="str">
        <x:v>C2 shared Indexer / INT8 + FP16 scale</x:v>
      </x:c>
      <x:c r="D99" s="29" t="n">
        <x:v>3</x:v>
      </x:c>
      <x:c r="E99" s="29" t="n">
        <x:v>130</x:v>
      </x:c>
      <x:c r="F99" s="29" t="n">
        <x:v>8</x:v>
      </x:c>
      <x:c r="G99" s="29" t="n">
        <x:v>1</x:v>
      </x:c>
      <x:c r="H99" s="29" t="n">
        <x:f>IF(AND(ISNUMBER($B$16),$B$16&gt;=2,MOD($B$16,1)=0,OR($N$9=32,$N$9=64,$N$9=128),ISNUMBER($B$11),$B$11&gt;=0,MOD($B$11,1)=0),INT($B$16/2),"")</x:f>
        <x:v>131072</x:v>
      </x:c>
      <x:c r="I99" s="29" t="n">
        <x:f>IF(AND(ISNUMBER($B$16),$B$16&gt;=2,MOD($B$16,1)=0,OR($N$9=32,$N$9=64,$N$9=128),ISNUMBER($B$11),$B$11&gt;=0,MOD($B$11,1)=0),INT($B$16/2),"")</x:f>
        <x:v>131072</x:v>
      </x:c>
      <x:c r="J99" s="29" t="n">
        <x:f>IF(AND(ISNUMBER($B$16),$B$16&gt;=2,MOD($B$16,1)=0,OR($N$9=32,$N$9=64,$N$9=128),ISNUMBER($B$11),$B$11&gt;=0,MOD($B$11,1)=0),ROUNDUP(INT($B$16/2)/($N$9/2),0)*($N$9/2),"")</x:f>
        <x:v>131072</x:v>
      </x:c>
      <x:c r="K99" s="81" t="n">
        <x:f>IF(AND(ISNUMBER($B$16),$B$16&gt;=2,MOD($B$16,1)=0,OR($N$9=32,$N$9=64,$N$9=128),ISNUMBER($B$11),$B$11&gt;=0,MOD($B$11,1)=0),D99*E99*F99*H99/2^30,"")</x:f>
        <x:v>0.380859375</x:v>
      </x:c>
      <x:c r="L99" s="81" t="n">
        <x:f>IF(AND(ISNUMBER($B$16),$B$16&gt;=2,MOD($B$16,1)=0,OR($N$9=32,$N$9=64,$N$9=128),ISNUMBER($B$11),$B$11&gt;=0,MOD($B$11,1)=0),D99*E99*F99*I99/2^30,"")</x:f>
        <x:v>0.380859375</x:v>
      </x:c>
      <x:c r="M99" s="81" t="n">
        <x:f>IF(AND(ISNUMBER($B$16),$B$16&gt;=2,MOD($B$16,1)=0,OR($N$9=32,$N$9=64,$N$9=128),ISNUMBER($B$11),$B$11&gt;=0,MOD($B$11,1)=0),D99*E99*G99*J99/2^30,"")</x:f>
        <x:v>0.047607421875</x:v>
      </x:c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</x:row>
    <x:row r="100" ht="45" customHeight="1">
      <x:c r="A100" s="29" t="str">
        <x:v>DS V4.1 Flash</x:v>
      </x:c>
      <x:c r="B100" s="29" t="n">
        <x:f>$B$16</x:f>
        <x:v>262144</x:v>
      </x:c>
      <x:c r="C100" s="40" t="str">
        <x:v>C1 shared KV / BF16</x:v>
      </x:c>
      <x:c r="D100" s="29" t="n">
        <x:v>1</x:v>
      </x:c>
      <x:c r="E100" s="29" t="n">
        <x:v>1024</x:v>
      </x:c>
      <x:c r="F100" s="29" t="n">
        <x:v>8</x:v>
      </x:c>
      <x:c r="G100" s="29" t="n">
        <x:v>1</x:v>
      </x:c>
      <x:c r="H100" s="29" t="n">
        <x:f>IF(AND(ISNUMBER($B$16),$B$16&gt;=2,MOD($B$16,1)=0,OR($N$9=32,$N$9=64,$N$9=128),ISNUMBER($B$11),$B$11&gt;=0,MOD($B$11,1)=0),INT($B$16/1),"")</x:f>
        <x:v>262144</x:v>
      </x:c>
      <x:c r="I100" s="29" t="n">
        <x:f>IF(AND(ISNUMBER($B$16),$B$16&gt;=2,MOD($B$16,1)=0,OR($N$9=32,$N$9=64,$N$9=128),ISNUMBER($B$11),$B$11&gt;=0,MOD($B$11,1)=0),INT($B$16/1),"")</x:f>
        <x:v>262144</x:v>
      </x:c>
      <x:c r="J100" s="29" t="n">
        <x:f>IF(AND(ISNUMBER($B$16),$B$16&gt;=2,MOD($B$16,1)=0,OR($N$9=32,$N$9=64,$N$9=128),ISNUMBER($B$11),$B$11&gt;=0,MOD($B$11,1)=0),ROUNDUP(INT($B$16/1)/($N$9/1),0)*($N$9/1),"")</x:f>
        <x:v>262144</x:v>
      </x:c>
      <x:c r="K100" s="81" t="n">
        <x:f>IF(AND(ISNUMBER($B$16),$B$16&gt;=2,MOD($B$16,1)=0,OR($N$9=32,$N$9=64,$N$9=128),ISNUMBER($B$11),$B$11&gt;=0,MOD($B$11,1)=0),D100*E100*F100*H100/2^30,"")</x:f>
        <x:v>2</x:v>
      </x:c>
      <x:c r="L100" s="81" t="n">
        <x:f>IF(AND(ISNUMBER($B$16),$B$16&gt;=2,MOD($B$16,1)=0,OR($N$9=32,$N$9=64,$N$9=128),ISNUMBER($B$11),$B$11&gt;=0,MOD($B$11,1)=0),D100*E100*F100*I100/2^30,"")</x:f>
        <x:v>2</x:v>
      </x:c>
      <x:c r="M100" s="81" t="n">
        <x:f>IF(AND(ISNUMBER($B$16),$B$16&gt;=2,MOD($B$16,1)=0,OR($N$9=32,$N$9=64,$N$9=128),ISNUMBER($B$11),$B$11&gt;=0,MOD($B$11,1)=0),D100*E100*G100*J100/2^30,"")</x:f>
        <x:v>0.25</x:v>
      </x:c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</x:row>
    <x:row r="101" ht="45" customHeight="1">
      <x:c r="A101" s="29" t="str">
        <x:v>DS V4.1 Flash</x:v>
      </x:c>
      <x:c r="B101" s="29" t="n">
        <x:f>$B$16</x:f>
        <x:v>262144</x:v>
      </x:c>
      <x:c r="C101" s="40" t="str">
        <x:v>C1 shared Indexer / INT8 + FP16 scale</x:v>
      </x:c>
      <x:c r="D101" s="29" t="n">
        <x:v>1</x:v>
      </x:c>
      <x:c r="E101" s="29" t="n">
        <x:v>130</x:v>
      </x:c>
      <x:c r="F101" s="29" t="n">
        <x:v>8</x:v>
      </x:c>
      <x:c r="G101" s="29" t="n">
        <x:v>1</x:v>
      </x:c>
      <x:c r="H101" s="29" t="n">
        <x:f>IF(AND(ISNUMBER($B$16),$B$16&gt;=2,MOD($B$16,1)=0,OR($N$9=32,$N$9=64,$N$9=128),ISNUMBER($B$11),$B$11&gt;=0,MOD($B$11,1)=0),INT($B$16/1),"")</x:f>
        <x:v>262144</x:v>
      </x:c>
      <x:c r="I101" s="29" t="n">
        <x:f>IF(AND(ISNUMBER($B$16),$B$16&gt;=2,MOD($B$16,1)=0,OR($N$9=32,$N$9=64,$N$9=128),ISNUMBER($B$11),$B$11&gt;=0,MOD($B$11,1)=0),INT($B$16/1),"")</x:f>
        <x:v>262144</x:v>
      </x:c>
      <x:c r="J101" s="29" t="n">
        <x:f>IF(AND(ISNUMBER($B$16),$B$16&gt;=2,MOD($B$16,1)=0,OR($N$9=32,$N$9=64,$N$9=128),ISNUMBER($B$11),$B$11&gt;=0,MOD($B$11,1)=0),ROUNDUP(INT($B$16/1)/($N$9/1),0)*($N$9/1),"")</x:f>
        <x:v>262144</x:v>
      </x:c>
      <x:c r="K101" s="81" t="n">
        <x:f>IF(AND(ISNUMBER($B$16),$B$16&gt;=2,MOD($B$16,1)=0,OR($N$9=32,$N$9=64,$N$9=128),ISNUMBER($B$11),$B$11&gt;=0,MOD($B$11,1)=0),D101*E101*F101*H101/2^30,"")</x:f>
        <x:v>0.25390625</x:v>
      </x:c>
      <x:c r="L101" s="81" t="n">
        <x:f>IF(AND(ISNUMBER($B$16),$B$16&gt;=2,MOD($B$16,1)=0,OR($N$9=32,$N$9=64,$N$9=128),ISNUMBER($B$11),$B$11&gt;=0,MOD($B$11,1)=0),D101*E101*F101*I101/2^30,"")</x:f>
        <x:v>0.25390625</x:v>
      </x:c>
      <x:c r="M101" s="81" t="n">
        <x:f>IF(AND(ISNUMBER($B$16),$B$16&gt;=2,MOD($B$16,1)=0,OR($N$9=32,$N$9=64,$N$9=128),ISNUMBER($B$11),$B$11&gt;=0,MOD($B$11,1)=0),D101*E101*G101*J101/2^30,"")</x:f>
        <x:v>0.03173828125</x:v>
      </x:c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</x:row>
    <x:row r="102" ht="45" customHeight="1">
      <x:c r="A102" s="29" t="str">
        <x:v>DS V4.1 Flash</x:v>
      </x:c>
      <x:c r="B102" s="29" t="n">
        <x:f>$B$16</x:f>
        <x:v>262144</x:v>
      </x:c>
      <x:c r="C102" s="40" t="str">
        <x:v>C2 circular ring / FP32 KV+score</x:v>
      </x:c>
      <x:c r="D102" s="29" t="n">
        <x:v>3</x:v>
      </x:c>
      <x:c r="E102" s="29" t="n">
        <x:v>4096</x:v>
      </x:c>
      <x:c r="F102" s="29" t="n">
        <x:v>8</x:v>
      </x:c>
      <x:c r="G102" s="29" t="n">
        <x:v>1</x:v>
      </x:c>
      <x:c r="H102" s="29" t="n">
        <x:f>IF(AND(ISNUMBER($B$16),$B$16&gt;=2,MOD($B$16,1)=0,OR($N$9=32,$N$9=64,$N$9=128),ISNUMBER($B$11),$B$11&gt;=0,MOD($B$11,1)=0),MIN($B$16,32),"")</x:f>
        <x:v>32</x:v>
      </x:c>
      <x:c r="I102" s="29" t="n">
        <x:f>IF(AND(ISNUMBER($B$16),$B$16&gt;=2,MOD($B$16,1)=0,OR($N$9=32,$N$9=64,$N$9=128),ISNUMBER($B$11),$B$11&gt;=0,MOD($B$11,1)=0),MIN($B$16,32),"")</x:f>
        <x:v>32</x:v>
      </x:c>
      <x:c r="J102" s="29" t="n">
        <x:f>IF(AND(ISNUMBER($B$16),$B$16&gt;=2,MOD($B$16,1)=0,OR($N$9=32,$N$9=64,$N$9=128),ISNUMBER($B$11),$B$11&gt;=0,MOD($B$11,1)=0),32,"")</x:f>
        <x:v>32</x:v>
      </x:c>
      <x:c r="K102" s="81" t="n">
        <x:f>IF(AND(ISNUMBER($B$16),$B$16&gt;=2,MOD($B$16,1)=0,OR($N$9=32,$N$9=64,$N$9=128),ISNUMBER($B$11),$B$11&gt;=0,MOD($B$11,1)=0),D102*E102*F102*H102/2^30,"")</x:f>
        <x:v>0.0029296875</x:v>
      </x:c>
      <x:c r="L102" s="81" t="n">
        <x:f>IF(AND(ISNUMBER($B$16),$B$16&gt;=2,MOD($B$16,1)=0,OR($N$9=32,$N$9=64,$N$9=128),ISNUMBER($B$11),$B$11&gt;=0,MOD($B$11,1)=0),D102*E102*F102*I102/2^30,"")</x:f>
        <x:v>0.0029296875</x:v>
      </x:c>
      <x:c r="M102" s="81" t="n">
        <x:f>IF(AND(ISNUMBER($B$16),$B$16&gt;=2,MOD($B$16,1)=0,OR($N$9=32,$N$9=64,$N$9=128),ISNUMBER($B$11),$B$11&gt;=0,MOD($B$11,1)=0),D102*E102*G102*J102/2^30,"")</x:f>
        <x:v>0.0003662109375</x:v>
      </x:c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</x:row>
    <x:row r="103" ht="45" customHeight="1">
      <x:c r="A103" s="38" t="str">
        <x:v>DS V4.1 Flash</x:v>
      </x:c>
      <x:c r="B103" s="38" t="n">
        <x:f>$B$16</x:f>
        <x:v>262144</x:v>
      </x:c>
      <x:c r="C103" s="41" t="str">
        <x:v>每请求合计</x:v>
      </x:c>
      <x:c r="D103" s="38"/>
      <x:c r="E103" s="38"/>
      <x:c r="F103" s="38"/>
      <x:c r="G103" s="38"/>
      <x:c r="H103" s="38"/>
      <x:c r="I103" s="38"/>
      <x:c r="J103" s="38"/>
      <x:c r="K103" s="83" t="n">
        <x:f>SUM(K97:K102)</x:f>
        <x:v>85.6376953125</x:v>
      </x:c>
      <x:c r="L103" s="83" t="n">
        <x:f>SUM(L97:L102)</x:f>
        <x:v>5.6767578125</x:v>
      </x:c>
      <x:c r="M103" s="83" t="n">
        <x:f>SUM(M97:M102)</x:f>
        <x:v>0.7144775390625</x:v>
      </x:c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</x:row>
    <x:row r="104" ht="45" customHeight="1">
      <x:c r="A104" s="29" t="str">
        <x:v>DS V4.1 Flash</x:v>
      </x:c>
      <x:c r="B104" s="29" t="n">
        <x:f>$B$17</x:f>
        <x:v>1048576</x:v>
      </x:c>
      <x:c r="C104" s="40" t="str">
        <x:v>SWA KV / BF16</x:v>
      </x:c>
      <x:c r="D104" s="29" t="n">
        <x:v>40</x:v>
      </x:c>
      <x:c r="E104" s="29" t="n">
        <x:v>1024</x:v>
      </x:c>
      <x:c r="F104" s="29" t="n">
        <x:v>8</x:v>
      </x:c>
      <x:c r="G104" s="29" t="n">
        <x:v>1</x:v>
      </x:c>
      <x:c r="H104" s="29" t="n">
        <x:f>IF(AND(ISNUMBER($B$17),$B$17&gt;=2,MOD($B$17,1)=0,OR($N$9=32,$N$9=64,$N$9=128),ISNUMBER($B$11),$B$11&gt;=0,MOD($B$11,1)=0),$B$17,"")</x:f>
        <x:v>1048576</x:v>
      </x:c>
      <x:c r="I104" s="29" t="n">
        <x:f>IF(AND(ISNUMBER($B$17),$B$17&gt;=2,MOD($B$17,1)=0,OR($N$9=32,$N$9=64,$N$9=128),ISNUMBER($B$11),$B$11&gt;=0,MOD($B$11,1)=0),MIN($B$17,128),"")</x:f>
        <x:v>128</x:v>
      </x:c>
      <x:c r="J104" s="29" t="n">
        <x:f>IF(AND(ISNUMBER($B$17),$B$17&gt;=2,MOD($B$17,1)=0,OR($N$9=32,$N$9=64,$N$9=128),ISNUMBER($B$11),$B$11&gt;=0,MOD($B$11,1)=0),MIN(ROUNDUP($B$17/$N$9,0),ROUNDUP(128/$N$9,0)+1)*$N$9,"")</x:f>
        <x:v>256</x:v>
      </x:c>
      <x:c r="K104" s="81" t="n">
        <x:f>IF(AND(ISNUMBER($B$17),$B$17&gt;=2,MOD($B$17,1)=0,OR($N$9=32,$N$9=64,$N$9=128),ISNUMBER($B$11),$B$11&gt;=0,MOD($B$11,1)=0),D104*E104*F104*H104/2^30,"")</x:f>
        <x:v>320</x:v>
      </x:c>
      <x:c r="L104" s="81" t="n">
        <x:f>IF(AND(ISNUMBER($B$17),$B$17&gt;=2,MOD($B$17,1)=0,OR($N$9=32,$N$9=64,$N$9=128),ISNUMBER($B$11),$B$11&gt;=0,MOD($B$11,1)=0),D104*E104*F104*I104/2^30,"")</x:f>
        <x:v>0.0390625</x:v>
      </x:c>
      <x:c r="M104" s="81" t="n">
        <x:f>IF(AND(ISNUMBER($B$17),$B$17&gt;=2,MOD($B$17,1)=0,OR($N$9=32,$N$9=64,$N$9=128),ISNUMBER($B$11),$B$11&gt;=0,MOD($B$11,1)=0),D104*E104*G104*J104/2^30,"")</x:f>
        <x:v>0.009765625</x:v>
      </x:c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</x:row>
    <x:row r="105" ht="45" customHeight="1">
      <x:c r="A105" s="29" t="str">
        <x:v>DS V4.1 Flash</x:v>
      </x:c>
      <x:c r="B105" s="29" t="n">
        <x:f>$B$17</x:f>
        <x:v>1048576</x:v>
      </x:c>
      <x:c r="C105" s="40" t="str">
        <x:v>C2 shared KV / BF16</x:v>
      </x:c>
      <x:c r="D105" s="29" t="n">
        <x:v>3</x:v>
      </x:c>
      <x:c r="E105" s="29" t="n">
        <x:v>1024</x:v>
      </x:c>
      <x:c r="F105" s="29" t="n">
        <x:v>8</x:v>
      </x:c>
      <x:c r="G105" s="29" t="n">
        <x:v>1</x:v>
      </x:c>
      <x:c r="H105" s="29" t="n">
        <x:f>IF(AND(ISNUMBER($B$17),$B$17&gt;=2,MOD($B$17,1)=0,OR($N$9=32,$N$9=64,$N$9=128),ISNUMBER($B$11),$B$11&gt;=0,MOD($B$11,1)=0),INT($B$17/2),"")</x:f>
        <x:v>524288</x:v>
      </x:c>
      <x:c r="I105" s="29" t="n">
        <x:f>IF(AND(ISNUMBER($B$17),$B$17&gt;=2,MOD($B$17,1)=0,OR($N$9=32,$N$9=64,$N$9=128),ISNUMBER($B$11),$B$11&gt;=0,MOD($B$11,1)=0),INT($B$17/2),"")</x:f>
        <x:v>524288</x:v>
      </x:c>
      <x:c r="J105" s="29" t="n">
        <x:f>IF(AND(ISNUMBER($B$17),$B$17&gt;=2,MOD($B$17,1)=0,OR($N$9=32,$N$9=64,$N$9=128),ISNUMBER($B$11),$B$11&gt;=0,MOD($B$11,1)=0),ROUNDUP(INT($B$17/2)/($N$9/2),0)*($N$9/2),"")</x:f>
        <x:v>524288</x:v>
      </x:c>
      <x:c r="K105" s="81" t="n">
        <x:f>IF(AND(ISNUMBER($B$17),$B$17&gt;=2,MOD($B$17,1)=0,OR($N$9=32,$N$9=64,$N$9=128),ISNUMBER($B$11),$B$11&gt;=0,MOD($B$11,1)=0),D105*E105*F105*H105/2^30,"")</x:f>
        <x:v>12</x:v>
      </x:c>
      <x:c r="L105" s="81" t="n">
        <x:f>IF(AND(ISNUMBER($B$17),$B$17&gt;=2,MOD($B$17,1)=0,OR($N$9=32,$N$9=64,$N$9=128),ISNUMBER($B$11),$B$11&gt;=0,MOD($B$11,1)=0),D105*E105*F105*I105/2^30,"")</x:f>
        <x:v>12</x:v>
      </x:c>
      <x:c r="M105" s="81" t="n">
        <x:f>IF(AND(ISNUMBER($B$17),$B$17&gt;=2,MOD($B$17,1)=0,OR($N$9=32,$N$9=64,$N$9=128),ISNUMBER($B$11),$B$11&gt;=0,MOD($B$11,1)=0),D105*E105*G105*J105/2^30,"")</x:f>
        <x:v>1.5</x:v>
      </x:c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</x:row>
    <x:row r="106" ht="45" customHeight="1">
      <x:c r="A106" s="29" t="str">
        <x:v>DS V4.1 Flash</x:v>
      </x:c>
      <x:c r="B106" s="29" t="n">
        <x:f>$B$17</x:f>
        <x:v>1048576</x:v>
      </x:c>
      <x:c r="C106" s="40" t="str">
        <x:v>C2 shared Indexer / INT8 + FP16 scale</x:v>
      </x:c>
      <x:c r="D106" s="29" t="n">
        <x:v>3</x:v>
      </x:c>
      <x:c r="E106" s="29" t="n">
        <x:v>130</x:v>
      </x:c>
      <x:c r="F106" s="29" t="n">
        <x:v>8</x:v>
      </x:c>
      <x:c r="G106" s="29" t="n">
        <x:v>1</x:v>
      </x:c>
      <x:c r="H106" s="29" t="n">
        <x:f>IF(AND(ISNUMBER($B$17),$B$17&gt;=2,MOD($B$17,1)=0,OR($N$9=32,$N$9=64,$N$9=128),ISNUMBER($B$11),$B$11&gt;=0,MOD($B$11,1)=0),INT($B$17/2),"")</x:f>
        <x:v>524288</x:v>
      </x:c>
      <x:c r="I106" s="29" t="n">
        <x:f>IF(AND(ISNUMBER($B$17),$B$17&gt;=2,MOD($B$17,1)=0,OR($N$9=32,$N$9=64,$N$9=128),ISNUMBER($B$11),$B$11&gt;=0,MOD($B$11,1)=0),INT($B$17/2),"")</x:f>
        <x:v>524288</x:v>
      </x:c>
      <x:c r="J106" s="29" t="n">
        <x:f>IF(AND(ISNUMBER($B$17),$B$17&gt;=2,MOD($B$17,1)=0,OR($N$9=32,$N$9=64,$N$9=128),ISNUMBER($B$11),$B$11&gt;=0,MOD($B$11,1)=0),ROUNDUP(INT($B$17/2)/($N$9/2),0)*($N$9/2),"")</x:f>
        <x:v>524288</x:v>
      </x:c>
      <x:c r="K106" s="81" t="n">
        <x:f>IF(AND(ISNUMBER($B$17),$B$17&gt;=2,MOD($B$17,1)=0,OR($N$9=32,$N$9=64,$N$9=128),ISNUMBER($B$11),$B$11&gt;=0,MOD($B$11,1)=0),D106*E106*F106*H106/2^30,"")</x:f>
        <x:v>1.5234375</x:v>
      </x:c>
      <x:c r="L106" s="81" t="n">
        <x:f>IF(AND(ISNUMBER($B$17),$B$17&gt;=2,MOD($B$17,1)=0,OR($N$9=32,$N$9=64,$N$9=128),ISNUMBER($B$11),$B$11&gt;=0,MOD($B$11,1)=0),D106*E106*F106*I106/2^30,"")</x:f>
        <x:v>1.5234375</x:v>
      </x:c>
      <x:c r="M106" s="81" t="n">
        <x:f>IF(AND(ISNUMBER($B$17),$B$17&gt;=2,MOD($B$17,1)=0,OR($N$9=32,$N$9=64,$N$9=128),ISNUMBER($B$11),$B$11&gt;=0,MOD($B$11,1)=0),D106*E106*G106*J106/2^30,"")</x:f>
        <x:v>0.1904296875</x:v>
      </x:c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</x:row>
    <x:row r="107" ht="45" customHeight="1">
      <x:c r="A107" s="29" t="str">
        <x:v>DS V4.1 Flash</x:v>
      </x:c>
      <x:c r="B107" s="29" t="n">
        <x:f>$B$17</x:f>
        <x:v>1048576</x:v>
      </x:c>
      <x:c r="C107" s="40" t="str">
        <x:v>C1 shared KV / BF16</x:v>
      </x:c>
      <x:c r="D107" s="29" t="n">
        <x:v>1</x:v>
      </x:c>
      <x:c r="E107" s="29" t="n">
        <x:v>1024</x:v>
      </x:c>
      <x:c r="F107" s="29" t="n">
        <x:v>8</x:v>
      </x:c>
      <x:c r="G107" s="29" t="n">
        <x:v>1</x:v>
      </x:c>
      <x:c r="H107" s="29" t="n">
        <x:f>IF(AND(ISNUMBER($B$17),$B$17&gt;=2,MOD($B$17,1)=0,OR($N$9=32,$N$9=64,$N$9=128),ISNUMBER($B$11),$B$11&gt;=0,MOD($B$11,1)=0),INT($B$17/1),"")</x:f>
        <x:v>1048576</x:v>
      </x:c>
      <x:c r="I107" s="29" t="n">
        <x:f>IF(AND(ISNUMBER($B$17),$B$17&gt;=2,MOD($B$17,1)=0,OR($N$9=32,$N$9=64,$N$9=128),ISNUMBER($B$11),$B$11&gt;=0,MOD($B$11,1)=0),INT($B$17/1),"")</x:f>
        <x:v>1048576</x:v>
      </x:c>
      <x:c r="J107" s="29" t="n">
        <x:f>IF(AND(ISNUMBER($B$17),$B$17&gt;=2,MOD($B$17,1)=0,OR($N$9=32,$N$9=64,$N$9=128),ISNUMBER($B$11),$B$11&gt;=0,MOD($B$11,1)=0),ROUNDUP(INT($B$17/1)/($N$9/1),0)*($N$9/1),"")</x:f>
        <x:v>1048576</x:v>
      </x:c>
      <x:c r="K107" s="81" t="n">
        <x:f>IF(AND(ISNUMBER($B$17),$B$17&gt;=2,MOD($B$17,1)=0,OR($N$9=32,$N$9=64,$N$9=128),ISNUMBER($B$11),$B$11&gt;=0,MOD($B$11,1)=0),D107*E107*F107*H107/2^30,"")</x:f>
        <x:v>8</x:v>
      </x:c>
      <x:c r="L107" s="81" t="n">
        <x:f>IF(AND(ISNUMBER($B$17),$B$17&gt;=2,MOD($B$17,1)=0,OR($N$9=32,$N$9=64,$N$9=128),ISNUMBER($B$11),$B$11&gt;=0,MOD($B$11,1)=0),D107*E107*F107*I107/2^30,"")</x:f>
        <x:v>8</x:v>
      </x:c>
      <x:c r="M107" s="81" t="n">
        <x:f>IF(AND(ISNUMBER($B$17),$B$17&gt;=2,MOD($B$17,1)=0,OR($N$9=32,$N$9=64,$N$9=128),ISNUMBER($B$11),$B$11&gt;=0,MOD($B$11,1)=0),D107*E107*G107*J107/2^30,"")</x:f>
        <x:v>1</x:v>
      </x:c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</x:row>
    <x:row r="108" ht="45" customHeight="1">
      <x:c r="A108" s="29" t="str">
        <x:v>DS V4.1 Flash</x:v>
      </x:c>
      <x:c r="B108" s="29" t="n">
        <x:f>$B$17</x:f>
        <x:v>1048576</x:v>
      </x:c>
      <x:c r="C108" s="40" t="str">
        <x:v>C1 shared Indexer / INT8 + FP16 scale</x:v>
      </x:c>
      <x:c r="D108" s="29" t="n">
        <x:v>1</x:v>
      </x:c>
      <x:c r="E108" s="29" t="n">
        <x:v>130</x:v>
      </x:c>
      <x:c r="F108" s="29" t="n">
        <x:v>8</x:v>
      </x:c>
      <x:c r="G108" s="29" t="n">
        <x:v>1</x:v>
      </x:c>
      <x:c r="H108" s="29" t="n">
        <x:f>IF(AND(ISNUMBER($B$17),$B$17&gt;=2,MOD($B$17,1)=0,OR($N$9=32,$N$9=64,$N$9=128),ISNUMBER($B$11),$B$11&gt;=0,MOD($B$11,1)=0),INT($B$17/1),"")</x:f>
        <x:v>1048576</x:v>
      </x:c>
      <x:c r="I108" s="29" t="n">
        <x:f>IF(AND(ISNUMBER($B$17),$B$17&gt;=2,MOD($B$17,1)=0,OR($N$9=32,$N$9=64,$N$9=128),ISNUMBER($B$11),$B$11&gt;=0,MOD($B$11,1)=0),INT($B$17/1),"")</x:f>
        <x:v>1048576</x:v>
      </x:c>
      <x:c r="J108" s="29" t="n">
        <x:f>IF(AND(ISNUMBER($B$17),$B$17&gt;=2,MOD($B$17,1)=0,OR($N$9=32,$N$9=64,$N$9=128),ISNUMBER($B$11),$B$11&gt;=0,MOD($B$11,1)=0),ROUNDUP(INT($B$17/1)/($N$9/1),0)*($N$9/1),"")</x:f>
        <x:v>1048576</x:v>
      </x:c>
      <x:c r="K108" s="81" t="n">
        <x:f>IF(AND(ISNUMBER($B$17),$B$17&gt;=2,MOD($B$17,1)=0,OR($N$9=32,$N$9=64,$N$9=128),ISNUMBER($B$11),$B$11&gt;=0,MOD($B$11,1)=0),D108*E108*F108*H108/2^30,"")</x:f>
        <x:v>1.015625</x:v>
      </x:c>
      <x:c r="L108" s="81" t="n">
        <x:f>IF(AND(ISNUMBER($B$17),$B$17&gt;=2,MOD($B$17,1)=0,OR($N$9=32,$N$9=64,$N$9=128),ISNUMBER($B$11),$B$11&gt;=0,MOD($B$11,1)=0),D108*E108*F108*I108/2^30,"")</x:f>
        <x:v>1.015625</x:v>
      </x:c>
      <x:c r="M108" s="81" t="n">
        <x:f>IF(AND(ISNUMBER($B$17),$B$17&gt;=2,MOD($B$17,1)=0,OR($N$9=32,$N$9=64,$N$9=128),ISNUMBER($B$11),$B$11&gt;=0,MOD($B$11,1)=0),D108*E108*G108*J108/2^30,"")</x:f>
        <x:v>0.126953125</x:v>
      </x:c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</x:row>
    <x:row r="109" ht="45" customHeight="1">
      <x:c r="A109" s="29" t="str">
        <x:v>DS V4.1 Flash</x:v>
      </x:c>
      <x:c r="B109" s="29" t="n">
        <x:f>$B$17</x:f>
        <x:v>1048576</x:v>
      </x:c>
      <x:c r="C109" s="40" t="str">
        <x:v>C2 circular ring / FP32 KV+score</x:v>
      </x:c>
      <x:c r="D109" s="29" t="n">
        <x:v>3</x:v>
      </x:c>
      <x:c r="E109" s="29" t="n">
        <x:v>4096</x:v>
      </x:c>
      <x:c r="F109" s="29" t="n">
        <x:v>8</x:v>
      </x:c>
      <x:c r="G109" s="29" t="n">
        <x:v>1</x:v>
      </x:c>
      <x:c r="H109" s="29" t="n">
        <x:f>IF(AND(ISNUMBER($B$17),$B$17&gt;=2,MOD($B$17,1)=0,OR($N$9=32,$N$9=64,$N$9=128),ISNUMBER($B$11),$B$11&gt;=0,MOD($B$11,1)=0),MIN($B$17,32),"")</x:f>
        <x:v>32</x:v>
      </x:c>
      <x:c r="I109" s="29" t="n">
        <x:f>IF(AND(ISNUMBER($B$17),$B$17&gt;=2,MOD($B$17,1)=0,OR($N$9=32,$N$9=64,$N$9=128),ISNUMBER($B$11),$B$11&gt;=0,MOD($B$11,1)=0),MIN($B$17,32),"")</x:f>
        <x:v>32</x:v>
      </x:c>
      <x:c r="J109" s="29" t="n">
        <x:f>IF(AND(ISNUMBER($B$17),$B$17&gt;=2,MOD($B$17,1)=0,OR($N$9=32,$N$9=64,$N$9=128),ISNUMBER($B$11),$B$11&gt;=0,MOD($B$11,1)=0),32,"")</x:f>
        <x:v>32</x:v>
      </x:c>
      <x:c r="K109" s="81" t="n">
        <x:f>IF(AND(ISNUMBER($B$17),$B$17&gt;=2,MOD($B$17,1)=0,OR($N$9=32,$N$9=64,$N$9=128),ISNUMBER($B$11),$B$11&gt;=0,MOD($B$11,1)=0),D109*E109*F109*H109/2^30,"")</x:f>
        <x:v>0.0029296875</x:v>
      </x:c>
      <x:c r="L109" s="81" t="n">
        <x:f>IF(AND(ISNUMBER($B$17),$B$17&gt;=2,MOD($B$17,1)=0,OR($N$9=32,$N$9=64,$N$9=128),ISNUMBER($B$11),$B$11&gt;=0,MOD($B$11,1)=0),D109*E109*F109*I109/2^30,"")</x:f>
        <x:v>0.0029296875</x:v>
      </x:c>
      <x:c r="M109" s="81" t="n">
        <x:f>IF(AND(ISNUMBER($B$17),$B$17&gt;=2,MOD($B$17,1)=0,OR($N$9=32,$N$9=64,$N$9=128),ISNUMBER($B$11),$B$11&gt;=0,MOD($B$11,1)=0),D109*E109*G109*J109/2^30,"")</x:f>
        <x:v>0.0003662109375</x:v>
      </x:c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</x:row>
    <x:row r="110" ht="45" customHeight="1">
      <x:c r="A110" s="38" t="str">
        <x:v>DS V4.1 Flash</x:v>
      </x:c>
      <x:c r="B110" s="38" t="n">
        <x:f>$B$17</x:f>
        <x:v>1048576</x:v>
      </x:c>
      <x:c r="C110" s="41" t="str">
        <x:v>每请求合计</x:v>
      </x:c>
      <x:c r="D110" s="38"/>
      <x:c r="E110" s="38"/>
      <x:c r="F110" s="38"/>
      <x:c r="G110" s="38"/>
      <x:c r="H110" s="38"/>
      <x:c r="I110" s="38"/>
      <x:c r="J110" s="38"/>
      <x:c r="K110" s="83" t="n">
        <x:f>SUM(K104:K109)</x:f>
        <x:v>342.5419921875</x:v>
      </x:c>
      <x:c r="L110" s="83" t="n">
        <x:f>SUM(L104:L109)</x:f>
        <x:v>22.5810546875</x:v>
      </x:c>
      <x:c r="M110" s="83" t="n">
        <x:f>SUM(M104:M109)</x:f>
        <x:v>2.8275146484375</x:v>
      </x:c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</x:row>
    <x:row r="111" ht="45" customHeight="1">
      <x:c r="A111" s="29"/>
      <x:c r="B111" s="29"/>
      <x:c r="C111" s="40"/>
      <x:c r="D111" s="29"/>
      <x:c r="E111" s="29"/>
      <x:c r="F111" s="29"/>
      <x:c r="G111" s="29"/>
      <x:c r="H111" s="29"/>
      <x:c r="I111" s="29"/>
      <x:c r="J111" s="29"/>
      <x:c r="K111" s="81"/>
      <x:c r="L111" s="81"/>
      <x:c r="M111" s="81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</x:row>
    <x:row r="112" ht="22" customHeight="1">
      <x:c r="A112" s="29"/>
      <x:c r="B112" s="29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</x:row>
    <x:row r="113" ht="22" customHeight="1">
      <x:c r="A113" s="29"/>
      <x:c r="B113" s="29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</x:row>
    <x:row r="114" ht="22" customHeight="1">
      <x:c r="A114" s="29" t="str">
        <x:v>来源：库内 config.json、analysis/KV-EP-SPECS.md、analysis/PD-MINUTE.md。</x:v>
      </x:c>
      <x:c r="B114" s="29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</x:row>
    <x:row r="115" ht="22" customHeight="1">
      <x:c r="A115" s="29" t="str">
        <x:v>MC2：A3 FullMesh BF16；均衡路由。未计 TP / Attention / Engram、通信启动和真实排队，未复现 NPU 实测。</x:v>
      </x:c>
      <x:c r="B115" s="29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</x:row>
    <x:row r="116" ht="22" customHeight="1">
      <x:c r="A116" s="29"/>
      <x:c r="B116" s="29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</x:row>
    <x:row r="117" ht="22" customHeight="1">
      <x:c r="A117" s="29"/>
      <x:c r="B117" s="29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</x:row>
    <x:row r="118" ht="22" customHeight="1">
      <x:c r="A118" s="29"/>
      <x:c r="B118" s="29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</x:row>
    <x:row r="119" ht="22" customHeight="1">
      <x:c r="A119" s="29"/>
      <x:c r="B119" s="29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</x:row>
    <x:row r="120" ht="22" customHeight="1">
      <x:c r="A120" s="29"/>
      <x:c r="B120" s="29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</x:row>
    <x:row r="121" ht="22" customHeight="1">
      <x:c r="A121" s="29"/>
      <x:c r="B121" s="29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</x:row>
    <x:row r="122" ht="22" customHeight="1">
      <x:c r="A122" s="29"/>
      <x:c r="B122" s="29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</x:row>
    <x:row r="123" ht="22" customHeight="1">
      <x:c r="A123" s="29"/>
      <x:c r="B123" s="29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</x:row>
    <x:row r="124" ht="22" customHeight="1">
      <x:c r="A124" s="29"/>
      <x:c r="B124" s="29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</x:row>
    <x:row r="125" ht="22" customHeight="1">
      <x:c r="A125" s="29"/>
      <x:c r="B125" s="29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</x:row>
    <x:row r="126" ht="22" customHeight="1">
      <x:c r="A126" s="29"/>
      <x:c r="B126" s="29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</x:row>
    <x:row r="127" ht="22" customHeight="1">
      <x:c r="A127" s="29"/>
      <x:c r="B127" s="29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</x:row>
    <x:row r="128" ht="22" customHeight="1">
      <x:c r="A128" s="29"/>
      <x:c r="B128" s="29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</x:row>
    <x:row r="129" ht="22" customHeight="1">
      <x:c r="A129" s="29"/>
      <x:c r="B129" s="29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</x:row>
    <x:row r="130" ht="22" customHeight="1">
      <x:c r="A130" s="29"/>
      <x:c r="B130" s="29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</x:row>
    <x:row r="131" ht="22" customHeight="1">
      <x:c r="A131" s="29"/>
      <x:c r="B131" s="29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</x:row>
    <x:row r="132" ht="22" customHeight="1">
      <x:c r="A132" s="29"/>
      <x:c r="B132" s="29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</x:row>
    <x:row r="133" ht="22" customHeight="1">
      <x:c r="A133" s="29"/>
      <x:c r="B133" s="29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</x:row>
    <x:row r="134" ht="22" customHeight="1">
      <x:c r="A134" s="29"/>
      <x:c r="B134" s="29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</x:row>
    <x:row r="135" ht="22" customHeight="1">
      <x:c r="A135" s="29"/>
      <x:c r="B135" s="29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</x:row>
    <x:row r="136" ht="22" customHeight="1">
      <x:c r="A136" s="29"/>
      <x:c r="B136" s="29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</x:row>
    <x:row r="137" ht="22" customHeight="1">
      <x:c r="A137" s="29"/>
      <x:c r="B137" s="29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</x:row>
    <x:row r="138" ht="22" customHeight="1">
      <x:c r="A138" s="29"/>
      <x:c r="B138" s="29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</x:row>
    <x:row r="139" ht="22" customHeight="1">
      <x:c r="A139" s="29"/>
      <x:c r="B139" s="29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</x:row>
    <x:row r="140" ht="22" customHeight="1">
      <x:c r="A140" s="29"/>
      <x:c r="B140" s="29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</x:row>
    <x:row r="141" ht="22" customHeight="1">
      <x:c r="A141" s="29"/>
      <x:c r="B141" s="29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</x:row>
    <x:row r="142" ht="22" customHeight="1">
      <x:c r="A142" s="29"/>
      <x:c r="B142" s="29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</x:row>
    <x:row r="143" ht="22" customHeight="1">
      <x:c r="A143" s="29"/>
      <x:c r="B143" s="29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</x:row>
    <x:row r="144" ht="22" customHeight="1">
      <x:c r="A144" s="29"/>
      <x:c r="B144" s="29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</x:row>
    <x:row r="145" ht="22" customHeight="1">
      <x:c r="A145" s="29"/>
      <x:c r="B145" s="29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</x:row>
    <x:row r="146" ht="22" customHeight="1">
      <x:c r="A146" s="29"/>
      <x:c r="B146" s="29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</x:row>
    <x:row r="147" ht="22" customHeight="1">
      <x:c r="A147" s="29"/>
      <x:c r="B147" s="29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</x:row>
    <x:row r="148" ht="22" customHeight="1">
      <x:c r="A148" s="29"/>
      <x:c r="B148" s="29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</x:row>
    <x:row r="149" ht="22" customHeight="1">
      <x:c r="A149" s="29"/>
      <x:c r="B149" s="29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</x:row>
    <x:row r="150" ht="22" customHeight="1">
      <x:c r="A150" s="29"/>
      <x:c r="B150" s="29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</x:row>
    <x:row r="151" ht="22" customHeight="1">
      <x:c r="A151" s="29"/>
      <x:c r="B151" s="29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</x:row>
    <x:row r="152" ht="22" customHeight="1">
      <x:c r="A152" s="29"/>
      <x:c r="B152" s="29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</x:row>
    <x:row r="153" ht="22" customHeight="1">
      <x:c r="A153" s="29"/>
      <x:c r="B153" s="29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</x:row>
    <x:row r="154" ht="22" customHeight="1">
      <x:c r="A154" s="29"/>
      <x:c r="B154" s="29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</x:row>
    <x:row r="155" ht="22" customHeight="1">
      <x:c r="A155" s="29"/>
      <x:c r="B155" s="29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</x:row>
    <x:row r="156" ht="22" customHeight="1">
      <x:c r="A156" s="29"/>
      <x:c r="B156" s="29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</x:row>
    <x:row r="157" ht="22" customHeight="1">
      <x:c r="A157" s="29"/>
      <x:c r="B157" s="29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</x:row>
    <x:row r="158" ht="22" customHeight="1">
      <x:c r="A158" s="29"/>
      <x:c r="B158" s="29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</x:row>
    <x:row r="159" ht="22" customHeight="1">
      <x:c r="A159" s="29"/>
      <x:c r="B159" s="29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</x:row>
    <x:row r="160" ht="22" customHeight="1">
      <x:c r="A160" s="29"/>
      <x:c r="B160" s="29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</x:row>
    <x:row r="161" ht="22" customHeight="1">
      <x:c r="A161" s="29"/>
      <x:c r="B161" s="29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</x:row>
    <x:row r="162" ht="22" customHeight="1">
      <x:c r="A162" s="29"/>
      <x:c r="B162" s="29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</x:row>
    <x:row r="163" ht="22" customHeight="1">
      <x:c r="A163" s="29"/>
      <x:c r="B163" s="29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</x:row>
    <x:row r="164" ht="22" customHeight="1">
      <x:c r="A164" s="29"/>
      <x:c r="B164" s="29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</x:row>
    <x:row r="165" ht="22" customHeight="1">
      <x:c r="A165" s="29"/>
      <x:c r="B165" s="29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</x:row>
    <x:row r="166" ht="22" customHeight="1">
      <x:c r="A166" s="29"/>
      <x:c r="B166" s="29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</x:row>
    <x:row r="167" ht="22" customHeight="1">
      <x:c r="A167" s="29"/>
      <x:c r="B167" s="29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</x:row>
    <x:row r="168" ht="22" customHeight="1">
      <x:c r="A168" s="29"/>
      <x:c r="B168" s="29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</x:row>
    <x:row r="169" ht="22" customHeight="1">
      <x:c r="A169" s="29"/>
      <x:c r="B169" s="29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</x:row>
    <x:row r="170" ht="22" customHeight="1">
      <x:c r="A170" s="29"/>
      <x:c r="B170" s="29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</x:row>
    <x:row r="171" ht="22" customHeight="1">
      <x:c r="A171" s="29"/>
      <x:c r="B171" s="29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</x:row>
    <x:row r="172" ht="22" customHeight="1">
      <x:c r="A172" s="29"/>
      <x:c r="B172" s="29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</x:row>
    <x:row r="173" ht="22" customHeight="1">
      <x:c r="A173" s="29"/>
      <x:c r="B173" s="29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</x:row>
    <x:row r="174" ht="22" customHeight="1">
      <x:c r="A174" s="29"/>
      <x:c r="B174" s="29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</x:row>
    <x:row r="175" ht="22" customHeight="1">
      <x:c r="A175" s="29"/>
      <x:c r="B175" s="29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</x:row>
    <x:row r="176" ht="22" customHeight="1">
      <x:c r="A176" s="29"/>
      <x:c r="B176" s="29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</x:row>
    <x:row r="177" ht="22" customHeight="1">
      <x:c r="A177" s="29"/>
      <x:c r="B177" s="29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</x:row>
    <x:row r="178" ht="22" customHeight="1">
      <x:c r="A178" s="29"/>
      <x:c r="B178" s="29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</x:row>
    <x:row r="179" ht="22" customHeight="1">
      <x:c r="A179" s="29"/>
      <x:c r="B179" s="29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</x:row>
    <x:row r="180" ht="22" customHeight="1">
      <x:c r="A180" s="29"/>
      <x:c r="B180" s="29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</x:row>
    <x:row r="181" ht="22" customHeight="1">
      <x:c r="A181" s="29"/>
      <x:c r="B181" s="29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</x:row>
    <x:row r="182" ht="22" customHeight="1">
      <x:c r="A182" s="29"/>
      <x:c r="B182" s="29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</x:row>
    <x:row r="183" ht="22" customHeight="1">
      <x:c r="A183" s="29"/>
      <x:c r="B183" s="29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</x:row>
    <x:row r="184" ht="22" customHeight="1">
      <x:c r="A184" s="29"/>
      <x:c r="B184" s="29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</x:row>
    <x:row r="185" ht="22" customHeight="1">
      <x:c r="A185" s="29"/>
      <x:c r="B185" s="29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</x:row>
    <x:row r="186" ht="22" customHeight="1">
      <x:c r="A186" s="29"/>
      <x:c r="B186" s="29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</x:row>
    <x:row r="187" ht="22" customHeight="1">
      <x:c r="A187" s="29"/>
      <x:c r="B187" s="29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</x:row>
    <x:row r="188" ht="22" customHeight="1">
      <x:c r="A188" s="29"/>
      <x:c r="B188" s="29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</x:row>
    <x:row r="189" ht="22" customHeight="1">
      <x:c r="A189" s="29"/>
      <x:c r="B189" s="29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</x:row>
    <x:row r="190" ht="22" customHeight="1">
      <x:c r="A190" s="29"/>
      <x:c r="B190" s="29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</x:row>
    <x:row r="191" ht="22" customHeight="1">
      <x:c r="A191" s="29"/>
      <x:c r="B191" s="29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</x:row>
    <x:row r="192" ht="22" customHeight="1">
      <x:c r="A192" s="29"/>
      <x:c r="B192" s="29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</x:row>
    <x:row r="193" ht="22" customHeight="1">
      <x:c r="A193" s="29"/>
      <x:c r="B193" s="29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</x:row>
    <x:row r="194" ht="22" customHeight="1">
      <x:c r="A194" s="29"/>
      <x:c r="B194" s="29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</x:row>
    <x:row r="195" ht="22" customHeight="1">
      <x:c r="A195" s="29"/>
      <x:c r="B195" s="29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</x:row>
    <x:row r="196" ht="22" customHeight="1">
      <x:c r="A196" s="29"/>
      <x:c r="B196" s="29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</x:row>
    <x:row r="197" ht="22" customHeight="1">
      <x:c r="A197" s="29"/>
      <x:c r="B197" s="29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</x:row>
    <x:row r="198" ht="22" customHeight="1">
      <x:c r="A198" s="29"/>
      <x:c r="B198" s="29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</x:row>
    <x:row r="199" ht="22" customHeight="1">
      <x:c r="A199" s="29"/>
      <x:c r="B199" s="29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</x:row>
    <x:row r="200" ht="22" customHeight="1">
      <x:c r="A200" s="29"/>
      <x:c r="B200" s="29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</x:row>
    <x:row r="201" ht="22" customHeight="1">
      <x:c r="A201" s="29"/>
      <x:c r="B201" s="29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</x:row>
    <x:row r="202" ht="22" customHeight="1">
      <x:c r="A202" s="29"/>
      <x:c r="B202" s="29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</x:row>
    <x:row r="203" ht="22" customHeight="1">
      <x:c r="A203" s="29"/>
      <x:c r="B203" s="29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</x:row>
    <x:row r="204" ht="22" customHeight="1">
      <x:c r="A204" s="29"/>
      <x:c r="B204" s="29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</x:row>
    <x:row r="205" ht="22" customHeight="1">
      <x:c r="A205" s="29"/>
      <x:c r="B205" s="29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</x:row>
    <x:row r="206" ht="22" customHeight="1">
      <x:c r="A206" s="29"/>
      <x:c r="B206" s="29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</x:row>
    <x:row r="207" ht="22" customHeight="1">
      <x:c r="A207" s="29"/>
      <x:c r="B207" s="29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</x:row>
    <x:row r="208" ht="22" customHeight="1">
      <x:c r="A208" s="29"/>
      <x:c r="B208" s="29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</x:row>
    <x:row r="209" ht="22" customHeight="1">
      <x:c r="A209" s="29"/>
      <x:c r="B209" s="29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</x:row>
    <x:row r="210" ht="22" customHeight="1">
      <x:c r="A210" s="29"/>
      <x:c r="B210" s="29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</x:row>
    <x:row r="211" ht="22" customHeight="1">
      <x:c r="A211" s="29"/>
      <x:c r="B211" s="29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</x:row>
    <x:row r="212" ht="22" customHeight="1">
      <x:c r="A212" s="29"/>
      <x:c r="B212" s="29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</x:row>
    <x:row r="213" ht="22" customHeight="1">
      <x:c r="A213" s="29"/>
      <x:c r="B213" s="29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</x:row>
    <x:row r="214" ht="22" customHeight="1">
      <x:c r="A214" s="29"/>
      <x:c r="B214" s="29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</x:row>
    <x:row r="215" ht="22" customHeight="1">
      <x:c r="A215" s="29"/>
      <x:c r="B215" s="29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</x:row>
    <x:row r="216" ht="22" customHeight="1">
      <x:c r="A216" s="29"/>
      <x:c r="B216" s="29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</x:row>
    <x:row r="217" ht="22" customHeight="1">
      <x:c r="A217" s="29"/>
      <x:c r="B217" s="29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</x:row>
    <x:row r="218" ht="22" customHeight="1">
      <x:c r="A218" s="29"/>
      <x:c r="B218" s="29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</x:row>
    <x:row r="219" ht="22" customHeight="1">
      <x:c r="A219" s="29"/>
      <x:c r="B219" s="29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</x:row>
    <x:row r="220" ht="22" customHeight="1">
      <x:c r="A220" s="29"/>
      <x:c r="B220" s="29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</x:row>
    <x:row r="221" ht="22" customHeight="1">
      <x:c r="A221" s="29"/>
      <x:c r="B221" s="29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</x:row>
    <x:row r="222" ht="22" customHeight="1">
      <x:c r="A222" s="29"/>
      <x:c r="B222" s="29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</x:row>
    <x:row r="223" ht="22" customHeight="1">
      <x:c r="A223" s="29"/>
      <x:c r="B223" s="29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</x:row>
    <x:row r="224" ht="22" customHeight="1">
      <x:c r="A224" s="29"/>
      <x:c r="B224" s="29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</x:row>
    <x:row r="225" ht="22" customHeight="1">
      <x:c r="A225" s="29"/>
      <x:c r="B225" s="29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</x:row>
    <x:row r="226" ht="22" customHeight="1">
      <x:c r="A226" s="29"/>
      <x:c r="B226" s="29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</x:row>
    <x:row r="227" ht="22" customHeight="1">
      <x:c r="A227" s="29"/>
      <x:c r="B227" s="29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</x:row>
    <x:row r="228" ht="22" customHeight="1">
      <x:c r="A228" s="29"/>
      <x:c r="B228" s="29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</x:row>
    <x:row r="229" ht="22" customHeight="1">
      <x:c r="A229" s="29"/>
      <x:c r="B229" s="29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</x:row>
    <x:row r="230" ht="22" customHeight="1">
      <x:c r="A230" s="29"/>
      <x:c r="B230" s="29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</x:row>
    <x:row r="231" ht="22" customHeight="1">
      <x:c r="A231" s="29"/>
      <x:c r="B231" s="29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</x:row>
    <x:row r="232" ht="22" customHeight="1">
      <x:c r="A232" s="29"/>
      <x:c r="B232" s="29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</x:row>
    <x:row r="233" ht="22" customHeight="1">
      <x:c r="A233" s="29"/>
      <x:c r="B233" s="29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</x:row>
    <x:row r="234" ht="22" customHeight="1">
      <x:c r="A234" s="29"/>
      <x:c r="B234" s="29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</x:row>
    <x:row r="235" ht="22" customHeight="1">
      <x:c r="A235" s="29"/>
      <x:c r="B235" s="29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</x:row>
    <x:row r="236" ht="22" customHeight="1">
      <x:c r="A236" s="29"/>
      <x:c r="B236" s="29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</x:row>
    <x:row r="237" ht="22" customHeight="1">
      <x:c r="A237" s="29"/>
      <x:c r="B237" s="29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</x:row>
    <x:row r="238" ht="22" customHeight="1">
      <x:c r="A238" s="29"/>
      <x:c r="B238" s="29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</x:row>
    <x:row r="239" ht="22" customHeight="1">
      <x:c r="A239" s="29"/>
      <x:c r="B239" s="29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</x:row>
    <x:row r="240" ht="22" customHeight="1">
      <x:c r="A240" s="29"/>
      <x:c r="B240" s="29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</x:row>
    <x:row r="241" ht="22" customHeight="1">
      <x:c r="A241" s="29"/>
      <x:c r="B241" s="29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</x:row>
    <x:row r="242" ht="22" customHeight="1">
      <x:c r="A242" s="29"/>
      <x:c r="B242" s="29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</x:row>
    <x:row r="243" ht="22" customHeight="1">
      <x:c r="A243" s="29"/>
      <x:c r="B243" s="29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</x:row>
    <x:row r="244" ht="22" customHeight="1">
      <x:c r="A244" s="29"/>
      <x:c r="B244" s="29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</x:row>
    <x:row r="245" ht="22" customHeight="1">
      <x:c r="A245" s="29"/>
      <x:c r="B245" s="29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</x:row>
    <x:row r="246" ht="22" customHeight="1">
      <x:c r="A246" s="29"/>
      <x:c r="B246" s="29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</x:row>
    <x:row r="247" ht="22" customHeight="1">
      <x:c r="A247" s="29"/>
      <x:c r="B247" s="29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</x:row>
    <x:row r="248" ht="22" customHeight="1">
      <x:c r="A248" s="29"/>
      <x:c r="B248" s="29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</x:row>
    <x:row r="249" ht="22" customHeight="1">
      <x:c r="A249" s="29"/>
      <x:c r="B249" s="29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</x:row>
    <x:row r="250" ht="22" customHeight="1">
      <x:c r="A250" s="29"/>
      <x:c r="B250" s="29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</x:row>
    <x:row r="251" ht="22" customHeight="1">
      <x:c r="A251" s="29"/>
      <x:c r="B251" s="29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</x:row>
    <x:row r="252" ht="22" customHeight="1">
      <x:c r="A252" s="29"/>
      <x:c r="B252" s="29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</x:row>
    <x:row r="253" ht="22" customHeight="1">
      <x:c r="A253" s="29"/>
      <x:c r="B253" s="29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</x:row>
    <x:row r="254" ht="22" customHeight="1">
      <x:c r="A254" s="29"/>
      <x:c r="B254" s="29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</x:row>
    <x:row r="255" ht="22" customHeight="1">
      <x:c r="A255" s="29"/>
      <x:c r="B255" s="29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</x:row>
    <x:row r="256" ht="22" customHeight="1">
      <x:c r="A256" s="29"/>
      <x:c r="B256" s="29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</x:row>
    <x:row r="257" ht="22" customHeight="1">
      <x:c r="A257" s="29"/>
      <x:c r="B257" s="29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</x:row>
    <x:row r="258" ht="22" customHeight="1">
      <x:c r="A258" s="29"/>
      <x:c r="B258" s="29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</x:row>
    <x:row r="259" ht="22" customHeight="1">
      <x:c r="A259" s="29"/>
      <x:c r="B259" s="29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</x:row>
    <x:row r="260" ht="22" customHeight="1">
      <x:c r="A260" s="29"/>
      <x:c r="B260" s="29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</x:row>
    <x:row r="261" ht="22" customHeight="1">
      <x:c r="A261" s="29"/>
      <x:c r="B261" s="29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</x:row>
    <x:row r="262" ht="22" customHeight="1">
      <x:c r="A262" s="29"/>
      <x:c r="B262" s="29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</x:row>
    <x:row r="263" ht="22" customHeight="1">
      <x:c r="A263" s="29"/>
      <x:c r="B263" s="29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</x:row>
    <x:row r="264" ht="22" customHeight="1">
      <x:c r="A264" s="29"/>
      <x:c r="B264" s="29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</x:row>
    <x:row r="265" ht="22" customHeight="1">
      <x:c r="A265" s="29"/>
      <x:c r="B265" s="29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</x:row>
    <x:row r="266" ht="22" customHeight="1">
      <x:c r="A266" s="29"/>
      <x:c r="B266" s="29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</x:row>
    <x:row r="267" ht="22" customHeight="1">
      <x:c r="A267" s="29"/>
      <x:c r="B267" s="29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</x:row>
    <x:row r="268" ht="22" customHeight="1">
      <x:c r="A268" s="29"/>
      <x:c r="B268" s="29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</x:row>
    <x:row r="269" ht="22" customHeight="1">
      <x:c r="A269" s="29"/>
      <x:c r="B269" s="29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</x:row>
    <x:row r="270" ht="22" customHeight="1">
      <x:c r="A270" s="29"/>
      <x:c r="B270" s="29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</x:row>
    <x:row r="271" ht="22" customHeight="1">
      <x:c r="A271" s="29"/>
      <x:c r="B271" s="29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</x:row>
    <x:row r="272" ht="22" customHeight="1">
      <x:c r="A272" s="29"/>
      <x:c r="B272" s="29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</x:row>
    <x:row r="273" ht="22" customHeight="1">
      <x:c r="A273" s="29"/>
      <x:c r="B273" s="29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</x:row>
    <x:row r="274" ht="22" customHeight="1">
      <x:c r="A274" s="29"/>
      <x:c r="B274" s="29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</x:row>
    <x:row r="275" ht="22" customHeight="1">
      <x:c r="A275" s="29"/>
      <x:c r="B275" s="29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</x:row>
    <x:row r="276" ht="22" customHeight="1">
      <x:c r="A276" s="29"/>
      <x:c r="B276" s="29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</x:row>
    <x:row r="277" ht="22" customHeight="1">
      <x:c r="A277" s="29"/>
      <x:c r="B277" s="29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</x:row>
    <x:row r="278" ht="22" customHeight="1">
      <x:c r="A278" s="29"/>
      <x:c r="B278" s="29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</x:row>
    <x:row r="279" ht="22" customHeight="1">
      <x:c r="A279" s="29"/>
      <x:c r="B279" s="29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</x:row>
    <x:row r="280" ht="22" customHeight="1">
      <x:c r="A280" s="29"/>
      <x:c r="B280" s="29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</x:row>
    <x:row r="281" ht="22" customHeight="1">
      <x:c r="A281" s="29"/>
      <x:c r="B281" s="29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</x:row>
    <x:row r="282" ht="22" customHeight="1">
      <x:c r="A282" s="29"/>
      <x:c r="B282" s="29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</x:row>
    <x:row r="283" ht="22" customHeight="1">
      <x:c r="A283" s="29"/>
      <x:c r="B283" s="29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</x:row>
    <x:row r="284" ht="22" customHeight="1">
      <x:c r="A284" s="29"/>
      <x:c r="B284" s="29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</x:row>
    <x:row r="285" ht="22" customHeight="1">
      <x:c r="A285" s="29"/>
      <x:c r="B285" s="29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</x:row>
    <x:row r="286" ht="22" customHeight="1">
      <x:c r="A286" s="29"/>
      <x:c r="B286" s="29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</x:row>
    <x:row r="287" ht="22" customHeight="1">
      <x:c r="A287" s="29"/>
      <x:c r="B287" s="29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</x:row>
    <x:row r="288" ht="22" customHeight="1">
      <x:c r="A288" s="29"/>
      <x:c r="B288" s="29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</x:row>
    <x:row r="289" ht="22" customHeight="1">
      <x:c r="A289" s="29"/>
      <x:c r="B289" s="29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</x:row>
    <x:row r="290" ht="22" customHeight="1">
      <x:c r="A290" s="29"/>
      <x:c r="B290" s="29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</x:row>
    <x:row r="291" ht="22" customHeight="1">
      <x:c r="A291" s="29"/>
      <x:c r="B291" s="29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</x:row>
    <x:row r="292" ht="22" customHeight="1">
      <x:c r="A292" s="29"/>
      <x:c r="B292" s="29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</x:row>
    <x:row r="293" ht="22" customHeight="1">
      <x:c r="A293" s="29"/>
      <x:c r="B293" s="29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</x:row>
    <x:row r="294" ht="22" customHeight="1">
      <x:c r="A294" s="29"/>
      <x:c r="B294" s="29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</x:row>
    <x:row r="295" ht="22" customHeight="1">
      <x:c r="A295" s="29"/>
      <x:c r="B295" s="29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</x:row>
    <x:row r="296" ht="22" customHeight="1">
      <x:c r="A296" s="29"/>
      <x:c r="B296" s="29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</x:row>
    <x:row r="297" ht="22" customHeight="1">
      <x:c r="A297" s="29"/>
      <x:c r="B297" s="29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</x:row>
    <x:row r="298" ht="22" customHeight="1">
      <x:c r="A298" s="29"/>
      <x:c r="B298" s="29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</x:row>
    <x:row r="299" ht="22" customHeight="1">
      <x:c r="A299" s="29"/>
      <x:c r="B299" s="29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</x:row>
    <x:row r="300" ht="22" customHeight="1">
      <x:c r="A300" s="29"/>
      <x:c r="B300" s="29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</x:row>
    <x:row r="301" ht="22" customHeight="1">
      <x:c r="A301" s="29"/>
      <x:c r="B301" s="29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</x:row>
    <x:row r="302" ht="22" customHeight="1">
      <x:c r="A302" s="29"/>
      <x:c r="B302" s="29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</x:row>
    <x:row r="303" ht="22" customHeight="1">
      <x:c r="A303" s="29"/>
      <x:c r="B303" s="29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</x:row>
    <x:row r="304" ht="22" customHeight="1">
      <x:c r="A304" s="29"/>
      <x:c r="B304" s="29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</x:row>
    <x:row r="305" ht="22" customHeight="1">
      <x:c r="A305" s="29"/>
      <x:c r="B305" s="29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</x:row>
    <x:row r="306" ht="22" customHeight="1">
      <x:c r="A306" s="29"/>
      <x:c r="B306" s="29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</x:row>
    <x:row r="307" ht="22" customHeight="1">
      <x:c r="A307" s="29"/>
      <x:c r="B307" s="29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</x:row>
    <x:row r="308" ht="22" customHeight="1">
      <x:c r="A308" s="29"/>
      <x:c r="B308" s="29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</x:row>
    <x:row r="309" ht="22" customHeight="1">
      <x:c r="A309" s="29"/>
      <x:c r="B309" s="29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</x:row>
    <x:row r="310" ht="22" customHeight="1">
      <x:c r="A310" s="29"/>
      <x:c r="B310" s="29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</x:row>
    <x:row r="311" ht="22" customHeight="1">
      <x:c r="A311" s="29"/>
      <x:c r="B311" s="29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</x:row>
    <x:row r="312" ht="22" customHeight="1">
      <x:c r="A312" s="29"/>
      <x:c r="B312" s="29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</x:row>
    <x:row r="313" ht="22" customHeight="1">
      <x:c r="A313" s="29"/>
      <x:c r="B313" s="29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</x:row>
    <x:row r="314" ht="22" customHeight="1">
      <x:c r="A314" s="29"/>
      <x:c r="B314" s="29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</x:row>
    <x:row r="315" ht="22" customHeight="1">
      <x:c r="A315" s="29"/>
      <x:c r="B315" s="29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</x:row>
    <x:row r="316" ht="22" customHeight="1">
      <x:c r="A316" s="29"/>
      <x:c r="B316" s="29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</x:row>
    <x:row r="317" ht="22" customHeight="1">
      <x:c r="A317" s="29"/>
      <x:c r="B317" s="29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</x:row>
    <x:row r="318" ht="22" customHeight="1">
      <x:c r="A318" s="29"/>
      <x:c r="B318" s="29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</x:row>
    <x:row r="319" ht="22" customHeight="1">
      <x:c r="A319" s="29"/>
      <x:c r="B319" s="29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</x:row>
    <x:row r="320" ht="22" customHeight="1">
      <x:c r="A320" s="29"/>
      <x:c r="B320" s="29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</x:row>
    <x:row r="321" ht="22" customHeight="1">
      <x:c r="A321" s="29"/>
      <x:c r="B321" s="29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</x:row>
    <x:row r="322" ht="22" customHeight="1">
      <x:c r="A322" s="29"/>
      <x:c r="B322" s="29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</x:row>
    <x:row r="323" ht="22" customHeight="1">
      <x:c r="A323" s="29"/>
      <x:c r="B323" s="29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</x:row>
    <x:row r="324" ht="22" customHeight="1">
      <x:c r="A324" s="29"/>
      <x:c r="B324" s="29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</x:row>
    <x:row r="325" ht="22" customHeight="1">
      <x:c r="A325" s="29"/>
      <x:c r="B325" s="29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</x:row>
    <x:row r="326" ht="22" customHeight="1">
      <x:c r="A326" s="29"/>
      <x:c r="B326" s="29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</x:row>
    <x:row r="327" ht="22" customHeight="1">
      <x:c r="A327" s="29"/>
      <x:c r="B327" s="29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</x:row>
    <x:row r="328" ht="22" customHeight="1">
      <x:c r="A328" s="29"/>
      <x:c r="B328" s="29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</x:row>
    <x:row r="329" ht="22" customHeight="1">
      <x:c r="A329" s="29"/>
      <x:c r="B329" s="29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