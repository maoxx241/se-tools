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44c0b45a2446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1d9b7ffae8a34ab1"/>
    <x:sheet xmlns:r="http://schemas.openxmlformats.org/officeDocument/2006/relationships" name="Decode" sheetId="2" r:id="R212b10e90e2142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6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sz val="10"/>
      <x:color rgb="FF666666"/>
      <x:name val="Arial"/>
    </x:font>
    <x:font>
      <x:b/>
      <x:sz val="14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bbdcff4aeb4d7b" /><Relationship Type="http://schemas.openxmlformats.org/officeDocument/2006/relationships/theme" Target="/xl/theme/theme1.xml" Id="Rfc21185783554531" /><Relationship Type="http://schemas.openxmlformats.org/officeDocument/2006/relationships/sharedStrings" Target="/xl/sharedStrings.xml" Id="Rb765e5cf79814e67" /><Relationship Type="http://schemas.openxmlformats.org/officeDocument/2006/relationships/worksheet" Target="/xl/worksheets/sheet1.xml" Id="R1d9b7ffae8a34ab1" /><Relationship Type="http://schemas.openxmlformats.org/officeDocument/2006/relationships/worksheet" Target="/xl/worksheets/sheet2.xml" Id="R212b10e90e2142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IF('Prefill'!$P$21&gt;0,'Prefill'!$P$21,'Prefill'!$P$12)</x:f>
        <x:v>8</x:v>
      </x:c>
      <x:c r="J2" s="33" t="n">
        <x:f>E2*F2*G2/1073741824</x:f>
        <x:v>1.23291015625</x:v>
      </x:c>
      <x:c r="K2" s="33" t="n">
        <x:f>J2/I2</x:f>
        <x:v>0.15411376953125</x:v>
      </x:c>
      <x:c r="L2" s="29"/>
      <x:c r="M2" s="29"/>
      <x:c r="N2" s="29"/>
      <x:c r="O2" s="34" t="str">
        <x:v>max_num_batched_tokens</x:v>
      </x:c>
      <x:c r="P2" s="35" t="n">
        <x:v>16384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IF('Prefill'!$P$20&gt;0,'Prefill'!$P$20,'Prefill'!$P$12)</x:f>
        <x:v>8</x:v>
      </x:c>
      <x:c r="J3" s="33" t="n">
        <x:f>E3*F3*G3/1073741824</x:f>
        <x:v>1.23291015625</x:v>
      </x:c>
      <x:c r="K3" s="33" t="n">
        <x:f>J3/I3</x:f>
        <x:v>0.15411376953125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IF('Prefill'!$P$25&lt;&gt;0,1,'Prefill'!$P$12)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MIN($P$2,$P$3*$P$4)</x:f>
        <x:v>16384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IF('Prefill'!$P$25&lt;&gt;0,1,'Prefill'!$P$12)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MIN($P$3,$P$7)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IF('Prefill'!$P$25&lt;&gt;0,1,'Prefill'!$P$12)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4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'Prefill'!$P$12</x:f>
        <x:v>8</x:v>
      </x:c>
      <x:c r="J12" s="33" t="n">
        <x:f>E12*F12*G12/1073741824</x:f>
        <x:v>1.25</x:v>
      </x:c>
      <x:c r="K12" s="33" t="n">
        <x:f>J12/I12</x:f>
        <x:v>0.15625</x:v>
      </x:c>
      <x:c r="L12" s="29"/>
      <x:c r="M12" s="29"/>
      <x:c r="N12" s="29"/>
      <x:c r="O12" s="34" t="str">
        <x:v>TP</x:v>
      </x:c>
      <x:c r="P12" s="35" t="n">
        <x:v>8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'Prefill'!$P$12</x:f>
        <x:v>8</x:v>
      </x:c>
      <x:c r="J13" s="33" t="n">
        <x:f>E13*F13*G13/1073741824</x:f>
        <x:v>0.001220703125</x:v>
      </x:c>
      <x:c r="K13" s="33" t="n">
        <x:f>J13/I13</x:f>
        <x:v>0.000152587890625</x:v>
      </x:c>
      <x:c r="L13" s="29"/>
      <x:c r="M13" s="29"/>
      <x:c r="N13" s="29"/>
      <x:c r="O13" s="34" t="str">
        <x:v>SP（0/1）</x:v>
      </x:c>
      <x:c r="P13" s="35" t="n">
        <x:v>1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'Prefill'!$P$12</x:f>
        <x:v>8</x:v>
      </x:c>
      <x:c r="J14" s="33" t="n">
        <x:f>E14*F14*G14/1073741824</x:f>
        <x:v>1.5625</x:v>
      </x:c>
      <x:c r="K14" s="33" t="n">
        <x:f>J14/I14</x:f>
        <x:v>0.1953125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'Prefill'!$P$12</x:f>
        <x:v>8</x:v>
      </x:c>
      <x:c r="J15" s="33" t="n">
        <x:f>E15*F15*G15/1073741824</x:f>
        <x:v>0.00152587890625</x:v>
      </x:c>
      <x:c r="K15" s="33" t="n">
        <x:f>J15/I15</x:f>
        <x:v>0.00019073486328125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'Prefill'!$P$14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'Prefill'!$P$14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IF('Prefill'!$P$13&lt;&gt;0,1,'Prefill'!$P$12)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1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IF('Prefill'!$P$13&lt;&gt;0,1,'Prefill'!$P$12)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'Prefill'!$P$14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'Prefill'!$P$14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IF('Prefill'!$P$13&lt;&gt;0,1,'Prefill'!$P$12)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IF('Prefill'!$P$13&lt;&gt;0,1,'Prefill'!$P$12)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'Prefill'!$P$14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'Prefill'!$P$14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IF('Prefill'!$P$13&lt;&gt;0,1,'Prefill'!$P$12)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IF('Prefill'!$P$13&lt;&gt;0,1,'Prefill'!$P$12)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'Prefill'!$P$37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(3*INT('Prefill'!$P$4/2)+'Prefill'!$P$4)*(512*2+128+2)*'Prefill'!$P$41/2^30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'Prefill'!$P$37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40*MIN('Prefill'!$P$4,128)*512*2*'Prefill'!$P$41/2^30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'Prefill'!$P$37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IF('Prefill'!$P$4&gt;0,3*32*1024*4*'Prefill'!$P$41/2^30,0)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'Prefill'!$P$37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768022850*256*2/'Prefill'!$P$37/2^30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768022850*(256+8*4)/'Prefill'!$P$37/2^30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768022850*(256+8)/'Prefill'!$P$37/2^30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IF('Prefill'!$P$25&lt;&gt;0,1,'Prefill'!$P$12)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IF('Prefill'!$P$25&lt;&gt;0,1,'Prefill'!$P$12)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IF('Prefill'!$P$25&lt;&gt;0,1,'Prefill'!$P$12)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'Prefill'!$P$12</x:f>
        <x:v>8</x:v>
      </x:c>
      <x:c r="J64" s="33" t="n">
        <x:f>E64*F64*G64/1073741824</x:f>
        <x:v>0.09375</x:v>
      </x:c>
      <x:c r="K64" s="33" t="n">
        <x:f>J64/I64</x:f>
        <x:v>0.01171875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'Prefill'!$P$12</x:f>
        <x:v>8</x:v>
      </x:c>
      <x:c r="J65" s="33" t="n">
        <x:f>E65*F65*G65/1073741824</x:f>
        <x:v>0.000091552734375</x:v>
      </x:c>
      <x:c r="K65" s="33" t="n">
        <x:f>J65/I65</x:f>
        <x:v>0.000011444091796875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'Prefill'!$P$12</x:f>
        <x:v>8</x:v>
      </x:c>
      <x:c r="J66" s="33" t="n">
        <x:f>E66*F66*G66/1073741824</x:f>
        <x:v>0.1171875</x:v>
      </x:c>
      <x:c r="K66" s="33" t="n">
        <x:f>J66/I66</x:f>
        <x:v>0.0146484375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'Prefill'!$P$12</x:f>
        <x:v>8</x:v>
      </x:c>
      <x:c r="J67" s="33" t="n">
        <x:f>E67*F67*G67/1073741824</x:f>
        <x:v>0.00011444091796875</x:v>
      </x:c>
      <x:c r="K67" s="33" t="n">
        <x:f>J67/I67</x:f>
        <x:v>0.00001430511474609375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'Prefill'!$P$14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'Prefill'!$P$14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IF('Prefill'!$P$13&lt;&gt;0,1,'Prefill'!$P$12)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IF('Prefill'!$P$13&lt;&gt;0,1,'Prefill'!$P$12)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'Prefill'!$P$14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'Prefill'!$P$14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IF('Prefill'!$P$13&lt;&gt;0,1,'Prefill'!$P$12)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IF('Prefill'!$P$13&lt;&gt;0,1,'Prefill'!$P$12)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'Prefill'!$P$14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'Prefill'!$P$14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IF('Prefill'!$P$13&lt;&gt;0,1,'Prefill'!$P$12)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IF('Prefill'!$P$13&lt;&gt;0,1,'Prefill'!$P$12)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'Prefill'!$P$12</x:f>
        <x:v>8</x:v>
      </x:c>
      <x:c r="J93" s="33" t="n">
        <x:f>E93*F93*G93/1073741824</x:f>
        <x:v>0.0732421875</x:v>
      </x:c>
      <x:c r="K93" s="33" t="n">
        <x:f>J93/I93</x:f>
        <x:v>0.0091552734375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'Prefill'!$P$12</x:f>
        <x:v>8</x:v>
      </x:c>
      <x:c r="J94" s="33" t="n">
        <x:f>E94*F94*G94/1073741824</x:f>
        <x:v>0.00007152557373046875</x:v>
      </x:c>
      <x:c r="K94" s="33" t="n">
        <x:f>J94/I94</x:f>
        <x:v>0.000008940696716308594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IF('Prefill'!$P$21&gt;0,'Prefill'!$P$21,'Prefill'!$P$12)</x:f>
        <x:v>8</x:v>
      </x:c>
      <x:c r="J97" s="33" t="n">
        <x:f>E97*F97*G97/1073741824</x:f>
        <x:v>0.0616455078125</x:v>
      </x:c>
      <x:c r="K97" s="33" t="n">
        <x:f>J97/I97</x:f>
        <x:v>0.0077056884765625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IF('Prefill'!$P$20&gt;0,'Prefill'!$P$20,'Prefill'!$P$12)</x:f>
        <x:v>8</x:v>
      </x:c>
      <x:c r="J98" s="33" t="n">
        <x:f>E98*F98*G98/1073741824</x:f>
        <x:v>0.0616455078125</x:v>
      </x:c>
      <x:c r="K98" s="33" t="n">
        <x:f>J98/I98</x:f>
        <x:v>0.0077056884765625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37.97989756800234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ROUNDUP('Prefill'!$P$7/'Prefill'!$P$12,0)*5120</x:f>
        <x:v>10485760</x:v>
      </x:c>
      <x:c r="F121" s="32" t="n">
        <x:f>'Prefill'!$P$28</x:f>
        <x:v>2</x:v>
      </x:c>
      <x:c r="G121" s="32" t="n">
        <x:f>'Prefill'!$P$12</x:f>
        <x:v>8</x:v>
      </x:c>
      <x:c r="H121" s="32" t="n">
        <x:f>40*'Prefill'!$P$13</x:f>
        <x:v>40</x:v>
      </x:c>
      <x:c r="I121" s="33" t="n">
        <x:f>E121*F121/1048576</x:f>
        <x:v>20</x:v>
      </x:c>
      <x:c r="J121" s="33" t="n">
        <x:f>I121*(IF(G121&gt;1,G121-1,0))</x:f>
        <x:v>140</x:v>
      </x:c>
      <x:c r="K121" s="33" t="n">
        <x:f>J121*H121</x:f>
        <x:v>5600</x:v>
      </x:c>
      <x:c r="L121" s="33" t="n">
        <x:f>K121*G121</x:f>
        <x:v>44800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ROUNDUP('Prefill'!$P$7/'Prefill'!$P$12,0)*32768</x:f>
        <x:v>67108864</x:v>
      </x:c>
      <x:c r="F122" s="32" t="n">
        <x:f>'Prefill'!$P$28</x:f>
        <x:v>2</x:v>
      </x:c>
      <x:c r="G122" s="32" t="n">
        <x:f>'Prefill'!$P$12</x:f>
        <x:v>8</x:v>
      </x:c>
      <x:c r="H122" s="32" t="n">
        <x:f>40*'Prefill'!$P$25</x:f>
        <x:v>40</x:v>
      </x:c>
      <x:c r="I122" s="33" t="n">
        <x:f>E122*F122/1048576</x:f>
        <x:v>128</x:v>
      </x:c>
      <x:c r="J122" s="33" t="n">
        <x:f>I122*(IF(G122&gt;1,(G122-1)/G122,0))</x:f>
        <x:v>112</x:v>
      </x:c>
      <x:c r="K122" s="33" t="n">
        <x:f>J122*H122</x:f>
        <x:v>4480</x:v>
      </x:c>
      <x:c r="L122" s="33" t="n">
        <x:f>K122*G122</x:f>
        <x:v>35840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(ROUNDUP('Prefill'!$P$7/'Prefill'!$P$12,0)*'Prefill'!$P$12)*5120</x:f>
        <x:v>83886080</x:v>
      </x:c>
      <x:c r="F123" s="32" t="n">
        <x:f>'Prefill'!$P$28</x:f>
        <x:v>2</x:v>
      </x:c>
      <x:c r="G123" s="32" t="n">
        <x:f>'Prefill'!$P$12</x:f>
        <x:v>8</x:v>
      </x:c>
      <x:c r="H123" s="32" t="n">
        <x:f>40*'Prefill'!$P$13</x:f>
        <x:v>40</x:v>
      </x:c>
      <x:c r="I123" s="33" t="n">
        <x:f>E123*F123/1048576</x:f>
        <x:v>160</x:v>
      </x:c>
      <x:c r="J123" s="33" t="n">
        <x:f>I123*(IF(G123&gt;1,(G123-1)/G123,0))</x:f>
        <x:v>140</x:v>
      </x:c>
      <x:c r="K123" s="33" t="n">
        <x:f>J123*H123</x:f>
        <x:v>5600</x:v>
      </x:c>
      <x:c r="L123" s="33" t="n">
        <x:f>K123*G123</x:f>
        <x:v>44800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'Prefill'!$P$7*5120</x:f>
        <x:v>83886080</x:v>
      </x:c>
      <x:c r="F124" s="32" t="n">
        <x:f>'Prefill'!$P$28</x:f>
        <x:v>2</x:v>
      </x:c>
      <x:c r="G124" s="32" t="n">
        <x:f>'Prefill'!$P$12</x:f>
        <x:v>8</x:v>
      </x:c>
      <x:c r="H124" s="32" t="n">
        <x:f>40*(1-'Prefill'!$P$13)</x:f>
        <x:v>0</x:v>
      </x:c>
      <x:c r="I124" s="33" t="n">
        <x:f>E124*F124/1048576</x:f>
        <x:v>160</x:v>
      </x:c>
      <x:c r="J124" s="33" t="n">
        <x:f>I124*(IF(G124&gt;1,2*(G124-1)/G124,0))</x:f>
        <x:v>280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ROUNDUP('Prefill'!$P$7/'Prefill'!$P$12,0)*5120</x:f>
        <x:v>10485760</x:v>
      </x:c>
      <x:c r="F125" s="32" t="n">
        <x:f>'Prefill'!$P$28</x:f>
        <x:v>2</x:v>
      </x:c>
      <x:c r="G125" s="32" t="n">
        <x:f>'Prefill'!$P$12</x:f>
        <x:v>8</x:v>
      </x:c>
      <x:c r="H125" s="32" t="n">
        <x:f>'Prefill'!$P$13</x:f>
        <x:v>1</x:v>
      </x:c>
      <x:c r="I125" s="33" t="n">
        <x:f>E125*F125/1048576</x:f>
        <x:v>20</x:v>
      </x:c>
      <x:c r="J125" s="33" t="n">
        <x:f>I125*(IF(G125&gt;1,G125-1,0))</x:f>
        <x:v>140</x:v>
      </x:c>
      <x:c r="K125" s="33" t="n">
        <x:f>J125*H125</x:f>
        <x:v>140</x:v>
      </x:c>
      <x:c r="L125" s="33" t="n">
        <x:f>K125*G125</x:f>
        <x:v>1120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ROUNDUP('Prefill'!$P$7/'Prefill'!$P$12,0)*5120*6*'Prefill'!$P$32</x:f>
        <x:v>60948480</x:v>
      </x:c>
      <x:c r="F126" s="32" t="n">
        <x:f>'Prefill'!$P$39</x:f>
        <x:v>2</x:v>
      </x:c>
      <x:c r="G126" s="32" t="n">
        <x:f>'Prefill'!$P$14</x:f>
        <x:v>32</x:v>
      </x:c>
      <x:c r="H126" s="32" t="n">
        <x:f>40</x:f>
        <x:v>40</x:v>
      </x:c>
      <x:c r="I126" s="33" t="n">
        <x:f>E126*F126/1048576</x:f>
        <x:v>116.25</x:v>
      </x:c>
      <x:c r="J126" s="33" t="n">
        <x:f>I126*(IF(G126&gt;1,1,0))</x:f>
        <x:v>116.25</x:v>
      </x:c>
      <x:c r="K126" s="33" t="n">
        <x:f>J126*H126</x:f>
        <x:v>4650</x:v>
      </x:c>
      <x:c r="L126" s="33" t="n">
        <x:f>K126*G126</x:f>
        <x:v>148800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ROUNDUP('Prefill'!$P$7/'Prefill'!$P$12,0)*5120*6*'Prefill'!$P$32</x:f>
        <x:v>60948480</x:v>
      </x:c>
      <x:c r="F127" s="32" t="n">
        <x:f>'Prefill'!$P$40</x:f>
        <x:v>2</x:v>
      </x:c>
      <x:c r="G127" s="32" t="n">
        <x:f>'Prefill'!$P$14</x:f>
        <x:v>32</x:v>
      </x:c>
      <x:c r="H127" s="32" t="n">
        <x:f>40</x:f>
        <x:v>40</x:v>
      </x:c>
      <x:c r="I127" s="33" t="n">
        <x:f>E127*F127/1048576</x:f>
        <x:v>116.25</x:v>
      </x:c>
      <x:c r="J127" s="33" t="n">
        <x:f>I127*(IF(G127&gt;1,1,0))</x:f>
        <x:v>116.25</x:v>
      </x:c>
      <x:c r="K127" s="33" t="n">
        <x:f>J127*H127</x:f>
        <x:v>4650</x:v>
      </x:c>
      <x:c r="L127" s="33" t="n">
        <x:f>K127*G127</x:f>
        <x:v>148800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2*('Prefill'!$P$37+1)</x:f>
        <x:v>18</x:v>
      </x:c>
      <x:c r="F128" s="32" t="n">
        <x:f>8</x:f>
        <x:v>8</x:v>
      </x:c>
      <x:c r="G128" s="32" t="n">
        <x:f>'Prefill'!$P$37</x:f>
        <x:v>8</x:v>
      </x:c>
      <x:c r="H128" s="32" t="n">
        <x:f>'Prefill'!$P$38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('Prefill'!$P$7*24*2)/'Prefill'!$P$12*('Prefill'!$P$37-1)/'Prefill'!$P$37</x:f>
        <x:v>86016</x:v>
      </x:c>
      <x:c r="F129" s="32" t="n">
        <x:f>8</x:f>
        <x:v>8</x:v>
      </x:c>
      <x:c r="G129" s="32" t="n">
        <x:f>'Prefill'!$P$37</x:f>
        <x:v>8</x:v>
      </x:c>
      <x:c r="H129" s="32" t="n">
        <x:f>'Prefill'!$P$38</x:f>
        <x:v>1</x:v>
      </x:c>
      <x:c r="I129" s="33" t="n">
        <x:f>E129*F129/1048576</x:f>
        <x:v>0.65625</x:v>
      </x:c>
      <x:c r="J129" s="33" t="n">
        <x:f>I129*(IF(G129&gt;1,1,0))</x:f>
        <x:v>0.65625</x:v>
      </x:c>
      <x:c r="K129" s="33" t="n">
        <x:f>J129*H129</x:f>
        <x:v>0.65625</x:v>
      </x:c>
      <x:c r="L129" s="33" t="n">
        <x:f>K129*G129</x:f>
        <x:v>5.25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('Prefill'!$P$7*24*2)/'Prefill'!$P$12*('Prefill'!$P$37-1)/'Prefill'!$P$37*256</x:f>
        <x:v>22020096</x:v>
      </x:c>
      <x:c r="F130" s="32" t="n">
        <x:f>2</x:f>
        <x:v>2</x:v>
      </x:c>
      <x:c r="G130" s="32" t="n">
        <x:f>'Prefill'!$P$37</x:f>
        <x:v>8</x:v>
      </x:c>
      <x:c r="H130" s="32" t="n">
        <x:f>'Prefill'!$P$38</x:f>
        <x:v>1</x:v>
      </x:c>
      <x:c r="I130" s="33" t="n">
        <x:f>E130*F130/1048576</x:f>
        <x:v>42</x:v>
      </x:c>
      <x:c r="J130" s="33" t="n">
        <x:f>I130*(IF(G130&gt;1,1,0))</x:f>
        <x:v>42</x:v>
      </x:c>
      <x:c r="K130" s="33" t="n">
        <x:f>J130*H130</x:f>
        <x:v>42</x:v>
      </x:c>
      <x:c r="L130" s="33" t="n">
        <x:f>K130*G130</x:f>
        <x:v>336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('Prefill'!$P$7*24*2)*256</x:f>
        <x:v>201326592</x:v>
      </x:c>
      <x:c r="F131" s="32" t="n">
        <x:f>2</x:f>
        <x:v>2</x:v>
      </x:c>
      <x:c r="G131" s="32" t="n">
        <x:f>'Prefill'!$P$12</x:f>
        <x:v>8</x:v>
      </x:c>
      <x:c r="H131" s="32" t="n">
        <x:f>'Prefill'!$P$38</x:f>
        <x:v>1</x:v>
      </x:c>
      <x:c r="I131" s="33" t="n">
        <x:f>E131*F131/1048576</x:f>
        <x:v>384</x:v>
      </x:c>
      <x:c r="J131" s="33" t="n">
        <x:f>I131*(IF(G131&gt;1,(G131-1)/G131,0))</x:f>
        <x:v>336</x:v>
      </x:c>
      <x:c r="K131" s="33" t="n">
        <x:f>J131*H131</x:f>
        <x:v>336</x:v>
      </x:c>
      <x:c r="L131" s="33" t="n">
        <x:f>K131*G131</x:f>
        <x:v>2688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25498.65721130371</x:v>
      </x:c>
      <x:c r="L132" s="39"/>
      <x:c r="M132" s="29"/>
      <x:c r="N132" s="29"/>
      <x:c r="O132" s="29"/>
      <x:c r="P132" s="29"/>
    </x:row>
    <x:row r="135" ht="23" customHeight="1">
      <x:c r="A135" s="46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23" customHeight="1">
      <x:c r="A136" s="29" t="str">
        <x:v>Prefill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8" customHeight="1">
      <x:c r="A137" s="49" t="str">
        <x:v>带宽降幅</x:v>
      </x:c>
      <x:c r="B137" s="49" t="str">
        <x:v>输入</x:v>
      </x:c>
      <x:c r="C137" s="49" t="str">
        <x:v>争用覆盖率</x:v>
      </x:c>
      <x:c r="D137" s="49" t="str">
        <x:v>输入</x:v>
      </x:c>
      <x:c r="E137" s="49" t="str">
        <x:v>基线 forward ms</x:v>
      </x:c>
      <x:c r="F137" s="49" t="str">
        <x:v>实测输入</x:v>
      </x:c>
      <x:c r="G137" s="49" t="str">
        <x:v>默认带宽 GB/s</x:v>
      </x:c>
      <x:c r="H137" s="49" t="str">
        <x:v>输入</x:v>
      </x:c>
      <x:c r="I137" s="29"/>
      <x:c r="J137" s="29"/>
      <x:c r="K137" s="29"/>
      <x:c r="L137" s="29"/>
    </x:row>
    <x:row r="138" ht="23" customHeight="1">
      <x:c r="A138" s="29"/>
      <x:c r="B138" s="51" t="n">
        <x:v>0.1</x:v>
      </x:c>
      <x:c r="C138" s="29"/>
      <x:c r="D138" s="51" t="n">
        <x:v>1</x:v>
      </x:c>
      <x:c r="E138" s="29"/>
      <x:c r="F138" s="52"/>
      <x:c r="G138" s="29"/>
      <x:c r="H138" s="52" t="n">
        <x:v>100</x:v>
      </x:c>
      <x:c r="I138" s="29"/>
      <x:c r="J138" s="29"/>
      <x:c r="K138" s="29"/>
      <x:c r="L138" s="29"/>
    </x:row>
    <x:row r="139" ht="38" customHeight="1">
      <x:c r="A139" s="49" t="str">
        <x:v>通信基线 ms</x:v>
      </x:c>
      <x:c r="B139" s="49" t="str">
        <x:v>结果</x:v>
      </x:c>
      <x:c r="C139" s="49" t="str">
        <x:v>通信争用后 ms</x:v>
      </x:c>
      <x:c r="D139" s="49" t="str">
        <x:v>结果</x:v>
      </x:c>
      <x:c r="E139" s="49" t="str">
        <x:v>forward 增量 ms</x:v>
      </x:c>
      <x:c r="F139" s="49" t="str">
        <x:v>结果</x:v>
      </x:c>
      <x:c r="G139" s="49" t="str">
        <x:v>forward 新耗时 ms</x:v>
      </x:c>
      <x:c r="H139" s="49" t="str">
        <x:v>结果</x:v>
      </x:c>
      <x:c r="I139" s="49" t="str">
        <x:v>forward 增幅</x:v>
      </x:c>
      <x:c r="J139" s="49" t="str">
        <x:v>结果</x:v>
      </x:c>
      <x:c r="K139" s="49" t="str">
        <x:v>输入状态</x:v>
      </x:c>
      <x:c r="L139" s="49" t="str">
        <x:v>状态</x:v>
      </x:c>
    </x:row>
    <x:row r="140" ht="23" customHeight="1">
      <x:c r="A140" s="53"/>
      <x:c r="B140" s="53" t="n">
        <x:f>SUM(G144:G155)</x:f>
        <x:v>267.39184624</x:v>
      </x:c>
      <x:c r="C140" s="53"/>
      <x:c r="D140" s="53" t="n">
        <x:f>SUM(H144:H155)</x:f>
        <x:v>297.1020513777778</x:v>
      </x:c>
      <x:c r="E140" s="53"/>
      <x:c r="F140" s="53" t="n">
        <x:f>SUM(K144:K155)</x:f>
        <x:v>29.710205137777784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23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23" customHeight="1">
      <x:c r="A142" s="29" t="str">
        <x:v>V4.1 为 PD 条件评估；旧 KV 规划与新 main 的端到端迁移可用性未在本次验证。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8" customHeight="1">
      <x:c r="A143" s="49" t="str">
        <x:v>并行域</x:v>
      </x:c>
      <x:c r="B143" s="49" t="str">
        <x:v>模块</x:v>
      </x:c>
      <x:c r="C143" s="49" t="str">
        <x:v>通信事件</x:v>
      </x:c>
      <x:c r="D143" s="49" t="str">
        <x:v>GB/Rank/Step</x:v>
      </x:c>
      <x:c r="E143" s="49" t="str">
        <x:v>有效带宽 GB/s</x:v>
      </x:c>
      <x:c r="F143" s="49" t="str">
        <x:v>共享比例</x:v>
      </x:c>
      <x:c r="G143" s="49" t="str">
        <x:v>基线带宽项 ms</x:v>
      </x:c>
      <x:c r="H143" s="49" t="str">
        <x:v>争用后带宽项 ms</x:v>
      </x:c>
      <x:c r="I143" s="49" t="str">
        <x:v>通信增量 ms</x:v>
      </x:c>
      <x:c r="J143" s="49" t="str">
        <x:v>暴露系数</x:v>
      </x:c>
      <x:c r="K143" s="49" t="str">
        <x:v>forward 增量 ms</x:v>
      </x:c>
      <x:c r="L143" s="49" t="str">
        <x:v>公式口径</x:v>
      </x:c>
    </x:row>
    <x:row r="144" ht="23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5.8720256</x:v>
      </x:c>
      <x:c r="E144" s="55" t="n">
        <x:f>$H$138</x:f>
        <x:v>100</x:v>
      </x:c>
      <x:c r="F144" s="56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58.720256</x:v>
      </x:c>
      <x:c r="H144" s="33" t="n">
        <x:f>G144+I144</x:f>
        <x:v>65.24472888888889</x:v>
      </x:c>
      <x:c r="I144" s="33" t="n">
        <x:f>G144*F144*$D$138*$B$138/(1-$B$138)</x:f>
        <x:v>6.524472888888889</x:v>
      </x:c>
      <x:c r="J144" s="56" t="n">
        <x:v>1</x:v>
      </x:c>
      <x:c r="K144" s="33" t="n">
        <x:f>I144*J144</x:f>
        <x:v>6.524472888888889</x:v>
      </x:c>
      <x:c r="L144" s="29" t="str">
        <x:v>原通信行 121</x:v>
      </x:c>
    </x:row>
    <x:row r="145" ht="23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4.69762048</x:v>
      </x:c>
      <x:c r="E145" s="55" t="n">
        <x:f>$H$138</x:f>
        <x:v>100</x:v>
      </x:c>
      <x:c r="F145" s="56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46.976204800000005</x:v>
      </x:c>
      <x:c r="H145" s="33" t="n">
        <x:f>G145+I145</x:f>
        <x:v>52.19578311111112</x:v>
      </x:c>
      <x:c r="I145" s="33" t="n">
        <x:f>G145*F145*$D$138*$B$138/(1-$B$138)</x:f>
        <x:v>5.219578311111111</x:v>
      </x:c>
      <x:c r="J145" s="56" t="n">
        <x:v>1</x:v>
      </x:c>
      <x:c r="K145" s="33" t="n">
        <x:f>I145*J145</x:f>
        <x:v>5.219578311111111</x:v>
      </x:c>
      <x:c r="L145" s="29" t="str">
        <x:v>原通信行 122</x:v>
      </x:c>
    </x:row>
    <x:row r="146" ht="23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5.8720256</x:v>
      </x:c>
      <x:c r="E146" s="55" t="n">
        <x:f>$H$138</x:f>
        <x:v>100</x:v>
      </x:c>
      <x:c r="F146" s="56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58.720256</x:v>
      </x:c>
      <x:c r="H146" s="33" t="n">
        <x:f>G146+I146</x:f>
        <x:v>65.24472888888889</x:v>
      </x:c>
      <x:c r="I146" s="33" t="n">
        <x:f>G146*F146*$D$138*$B$138/(1-$B$138)</x:f>
        <x:v>6.524472888888889</x:v>
      </x:c>
      <x:c r="J146" s="56" t="n">
        <x:v>1</x:v>
      </x:c>
      <x:c r="K146" s="33" t="n">
        <x:f>I146*J146</x:f>
        <x:v>6.524472888888889</x:v>
      </x:c>
      <x:c r="L146" s="29" t="str">
        <x:v>原通信行 123</x:v>
      </x:c>
    </x:row>
    <x:row r="147" ht="23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55" t="n">
        <x:f>$H$138</x:f>
        <x:v>100</x:v>
      </x:c>
      <x:c r="F147" s="56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56" t="n">
        <x:v>1</x:v>
      </x:c>
      <x:c r="K147" s="33" t="n">
        <x:f>I147*J147</x:f>
        <x:v>0</x:v>
      </x:c>
      <x:c r="L147" s="29" t="str">
        <x:v>原通信行 124</x:v>
      </x:c>
    </x:row>
    <x:row r="148" ht="23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0.14680064</x:v>
      </x:c>
      <x:c r="E148" s="55" t="n">
        <x:f>$H$138</x:f>
        <x:v>100</x:v>
      </x:c>
      <x:c r="F148" s="56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1.4680064000000002</x:v>
      </x:c>
      <x:c r="H148" s="33" t="n">
        <x:f>G148+I148</x:f>
        <x:v>1.6311182222222225</x:v>
      </x:c>
      <x:c r="I148" s="33" t="n">
        <x:f>G148*F148*$D$138*$B$138/(1-$B$138)</x:f>
        <x:v>0.16311182222222223</x:v>
      </x:c>
      <x:c r="J148" s="56" t="n">
        <x:v>1</x:v>
      </x:c>
      <x:c r="K148" s="33" t="n">
        <x:f>I148*J148</x:f>
        <x:v>0.16311182222222223</x:v>
      </x:c>
      <x:c r="L148" s="29" t="str">
        <x:v>原通信行 125</x:v>
      </x:c>
    </x:row>
    <x:row r="149" ht="23" customHeight="1">
      <x:c r="A149" s="29" t="str">
        <x:v>EP 期望</x:v>
      </x:c>
      <x:c r="B149" s="29" t="str">
        <x:v>MoE Hidden</x:v>
      </x:c>
      <x:c r="C149" s="29" t="str">
        <x:v>Dispatch 仅 Hidden</x:v>
      </x:c>
      <x:c r="D149" s="33" t="n">
        <x:f>(K126*2^20)/1e9</x:f>
        <x:v>4.8758784</x:v>
      </x:c>
      <x:c r="E149" s="55" t="n">
        <x:f>$H$138</x:f>
        <x:v>100</x:v>
      </x:c>
      <x:c r="F149" s="56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48.758784000000006</x:v>
      </x:c>
      <x:c r="H149" s="33" t="n">
        <x:f>G149+I149</x:f>
        <x:v>54.17642666666667</x:v>
      </x:c>
      <x:c r="I149" s="33" t="n">
        <x:f>G149*F149*$D$138*$B$138/(1-$B$138)</x:f>
        <x:v>5.417642666666668</x:v>
      </x:c>
      <x:c r="J149" s="56" t="n">
        <x:v>1</x:v>
      </x:c>
      <x:c r="K149" s="33" t="n">
        <x:f>I149*J149</x:f>
        <x:v>5.417642666666668</x:v>
      </x:c>
      <x:c r="L149" s="29" t="str">
        <x:v>原通信行 126</x:v>
      </x:c>
    </x:row>
    <x:row r="150" ht="23" customHeight="1">
      <x:c r="A150" s="29" t="str">
        <x:v>EP 期望</x:v>
      </x:c>
      <x:c r="B150" s="29" t="str">
        <x:v>MoE Hidden</x:v>
      </x:c>
      <x:c r="C150" s="29" t="str">
        <x:v>Combine 仅 Hidden</x:v>
      </x:c>
      <x:c r="D150" s="33" t="n">
        <x:f>(K127*2^20)/1e9</x:f>
        <x:v>4.8758784</x:v>
      </x:c>
      <x:c r="E150" s="55" t="n">
        <x:f>$H$138</x:f>
        <x:v>100</x:v>
      </x:c>
      <x:c r="F150" s="56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48.758784000000006</x:v>
      </x:c>
      <x:c r="H150" s="33" t="n">
        <x:f>G150+I150</x:f>
        <x:v>54.17642666666667</x:v>
      </x:c>
      <x:c r="I150" s="33" t="n">
        <x:f>G150*F150*$D$138*$B$138/(1-$B$138)</x:f>
        <x:v>5.417642666666668</x:v>
      </x:c>
      <x:c r="J150" s="56" t="n">
        <x:v>1</x:v>
      </x:c>
      <x:c r="K150" s="33" t="n">
        <x:f>I150*J150</x:f>
        <x:v>5.417642666666668</x:v>
      </x:c>
      <x:c r="L150" s="29" t="str">
        <x:v>原通信行 127</x:v>
      </x:c>
    </x:row>
    <x:row r="151" ht="23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55" t="n">
        <x:f>$H$138</x:f>
        <x:v>100</x:v>
      </x:c>
      <x:c r="F151" s="56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56" t="n">
        <x:v>1</x:v>
      </x:c>
      <x:c r="K151" s="33" t="n">
        <x:f>I151*J151</x:f>
        <x:v>0.00000112</x:v>
      </x:c>
      <x:c r="L151" s="29" t="str">
        <x:v>原通信行 128</x:v>
      </x:c>
    </x:row>
    <x:row r="152" ht="23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0.000688128</x:v>
      </x:c>
      <x:c r="E152" s="55" t="n">
        <x:f>$H$138</x:f>
        <x:v>100</x:v>
      </x:c>
      <x:c r="F152" s="56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0.00688128</x:v>
      </x:c>
      <x:c r="H152" s="33" t="n">
        <x:f>G152+I152</x:f>
        <x:v>0.007645866666666667</x:v>
      </x:c>
      <x:c r="I152" s="33" t="n">
        <x:f>G152*F152*$D$138*$B$138/(1-$B$138)</x:f>
        <x:v>0.0007645866666666668</x:v>
      </x:c>
      <x:c r="J152" s="56" t="n">
        <x:v>1</x:v>
      </x:c>
      <x:c r="K152" s="33" t="n">
        <x:f>I152*J152</x:f>
        <x:v>0.0007645866666666668</x:v>
      </x:c>
      <x:c r="L152" s="29" t="str">
        <x:v>原通信行 129</x:v>
      </x:c>
    </x:row>
    <x:row r="153" ht="23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0.044040192</x:v>
      </x:c>
      <x:c r="E153" s="55" t="n">
        <x:f>$H$138</x:f>
        <x:v>100</x:v>
      </x:c>
      <x:c r="F153" s="56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0.44040192</x:v>
      </x:c>
      <x:c r="H153" s="33" t="n">
        <x:f>G153+I153</x:f>
        <x:v>0.48933546666666666</x:v>
      </x:c>
      <x:c r="I153" s="33" t="n">
        <x:f>G153*F153*$D$138*$B$138/(1-$B$138)</x:f>
        <x:v>0.048933546666666675</x:v>
      </x:c>
      <x:c r="J153" s="56" t="n">
        <x:v>1</x:v>
      </x:c>
      <x:c r="K153" s="33" t="n">
        <x:f>I153*J153</x:f>
        <x:v>0.048933546666666675</x:v>
      </x:c>
      <x:c r="L153" s="29" t="str">
        <x:v>原通信行 130</x:v>
      </x:c>
    </x:row>
    <x:row r="154" ht="23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0.352321536</x:v>
      </x:c>
      <x:c r="E154" s="55" t="n">
        <x:f>$H$138</x:f>
        <x:v>100</x:v>
      </x:c>
      <x:c r="F154" s="56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3.52321536</x:v>
      </x:c>
      <x:c r="H154" s="33" t="n">
        <x:f>G154+I154</x:f>
        <x:v>3.9146837333333333</x:v>
      </x:c>
      <x:c r="I154" s="33" t="n">
        <x:f>G154*F154*$D$138*$B$138/(1-$B$138)</x:f>
        <x:v>0.3914683733333334</x:v>
      </x:c>
      <x:c r="J154" s="56" t="n">
        <x:v>1</x:v>
      </x:c>
      <x:c r="K154" s="33" t="n">
        <x:f>I154*J154</x:f>
        <x:v>0.3914683733333334</x:v>
      </x:c>
      <x:c r="L154" s="29" t="str">
        <x:v>原通信行 131</x:v>
      </x:c>
    </x:row>
    <x:row r="155" ht="23" customHeight="1">
      <x:c r="A155" s="29" t="str">
        <x:v>EP</x:v>
      </x:c>
      <x:c r="B155" s="29" t="str">
        <x:v>MoE 计数</x:v>
      </x:c>
      <x:c r="C155" s="29" t="str">
        <x:v>直方图 Ring AG</x:v>
      </x:c>
      <x:c r="D155" s="33" t="n">
        <x:f>(IF(E126=0,0,H126*ROUNDUP(384/G126,0)*G126*4*(G126-1)))/1e9</x:f>
        <x:v>0.00190464</x:v>
      </x:c>
      <x:c r="E155" s="55" t="n">
        <x:f>$H$138</x:f>
        <x:v>100</x:v>
      </x:c>
      <x:c r="F155" s="56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0.0190464</x:v>
      </x:c>
      <x:c r="H155" s="33" t="n">
        <x:f>G155+I155</x:f>
        <x:v>0.02116266666666667</x:v>
      </x:c>
      <x:c r="I155" s="33" t="n">
        <x:f>G155*F155*$D$138*$B$138/(1-$B$138)</x:f>
        <x:v>0.0021162666666666666</x:v>
      </x:c>
      <x:c r="J155" s="56" t="n">
        <x:v>1</x:v>
      </x:c>
      <x:c r="K155" s="33" t="n">
        <x:f>I155*J155</x:f>
        <x:v>0.0021162666666666666</x:v>
      </x:c>
      <x:c r="L155" s="29" t="str">
        <x:v>额外控制量</x:v>
      </x:c>
    </x:row>
    <x:row r="156" ht="23" customHeight="1">
      <x:c r="A156" s="57" t="str">
        <x:v>所列事件串行相加</x:v>
      </x:c>
      <x:c r="B156" s="57"/>
      <x:c r="C156" s="57"/>
      <x:c r="D156" s="58" t="n">
        <x:f>SUM(D144:D155)</x:f>
        <x:v>26.739184624000004</x:v>
      </x:c>
      <x:c r="E156" s="58"/>
      <x:c r="F156" s="57"/>
      <x:c r="G156" s="58" t="n">
        <x:f>SUM(G144:G155)</x:f>
        <x:v>267.39184624</x:v>
      </x:c>
      <x:c r="H156" s="58" t="n">
        <x:f>SUM(H144:H155)</x:f>
        <x:v>297.1020513777778</x:v>
      </x:c>
      <x:c r="I156" s="58" t="n">
        <x:f>SUM(I144:I155)</x:f>
        <x:v>29.710205137777784</x:v>
      </x:c>
      <x:c r="J156" s="57"/>
      <x:c r="K156" s="58" t="n">
        <x:f>SUM(K144:K155)</x:f>
        <x:v>29.710205137777784</x:v>
      </x:c>
      <x:c r="L156" s="57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IF('Decode'!$P$21&gt;0,'Decode'!$P$21,'Decode'!$P$12)</x:f>
        <x:v>1</x:v>
      </x:c>
      <x:c r="J2" s="33" t="n">
        <x:f>E2*F2*G2/1073741824</x:f>
        <x:v>1.23291015625</x:v>
      </x:c>
      <x:c r="K2" s="33" t="n">
        <x:f>J2/I2</x:f>
        <x:v>1.23291015625</x:v>
      </x:c>
      <x:c r="L2" s="29"/>
      <x:c r="M2" s="29"/>
      <x:c r="N2" s="29"/>
      <x:c r="O2" s="34" t="str">
        <x:v>max_num_batched_tokens</x:v>
      </x:c>
      <x:c r="P2" s="35" t="n">
        <x:v>128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IF('Decode'!$P$20&gt;0,'Decode'!$P$20,'Decode'!$P$12)</x:f>
        <x:v>1</x:v>
      </x:c>
      <x:c r="J3" s="33" t="n">
        <x:f>E3*F3*G3/1073741824</x:f>
        <x:v>1.23291015625</x:v>
      </x:c>
      <x:c r="K3" s="33" t="n">
        <x:f>J3/I3</x:f>
        <x:v>1.23291015625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IF('Decode'!$P$25&lt;&gt;0,1,'Decode'!$P$12)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MIN($P$2,$P$3*($P$6+1))</x:f>
        <x:v>128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IF('Decode'!$P$25&lt;&gt;0,1,'Decode'!$P$12)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MIN($P$7,$P$3*($P$6+1))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IF('Decode'!$P$25&lt;&gt;0,1,'Decode'!$P$12)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32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'Decode'!$P$12</x:f>
        <x:v>1</x:v>
      </x:c>
      <x:c r="J12" s="33" t="n">
        <x:f>E12*F12*G12/1073741824</x:f>
        <x:v>1.25</x:v>
      </x:c>
      <x:c r="K12" s="33" t="n">
        <x:f>J12/I12</x:f>
        <x:v>1.25</x:v>
      </x:c>
      <x:c r="L12" s="29"/>
      <x:c r="M12" s="29"/>
      <x:c r="N12" s="29"/>
      <x:c r="O12" s="34" t="str">
        <x:v>TP</x:v>
      </x:c>
      <x:c r="P12" s="35" t="n">
        <x:v>1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'Decode'!$P$12</x:f>
        <x:v>1</x:v>
      </x:c>
      <x:c r="J13" s="33" t="n">
        <x:f>E13*F13*G13/1073741824</x:f>
        <x:v>0.001220703125</x:v>
      </x:c>
      <x:c r="K13" s="33" t="n">
        <x:f>J13/I13</x:f>
        <x:v>0.001220703125</x:v>
      </x:c>
      <x:c r="L13" s="29"/>
      <x:c r="M13" s="29"/>
      <x:c r="N13" s="29"/>
      <x:c r="O13" s="34" t="str">
        <x:v>SP（0/1）</x:v>
      </x:c>
      <x:c r="P13" s="35" t="n">
        <x:v>0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'Decode'!$P$12</x:f>
        <x:v>1</x:v>
      </x:c>
      <x:c r="J14" s="33" t="n">
        <x:f>E14*F14*G14/1073741824</x:f>
        <x:v>1.5625</x:v>
      </x:c>
      <x:c r="K14" s="33" t="n">
        <x:f>J14/I14</x:f>
        <x:v>1.5625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'Decode'!$P$12</x:f>
        <x:v>1</x:v>
      </x:c>
      <x:c r="J15" s="33" t="n">
        <x:f>E15*F15*G15/1073741824</x:f>
        <x:v>0.00152587890625</x:v>
      </x:c>
      <x:c r="K15" s="33" t="n">
        <x:f>J15/I15</x:f>
        <x:v>0.00152587890625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'Decode'!$P$14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'Decode'!$P$14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IF('Decode'!$P$13&lt;&gt;0,1,'Decode'!$P$12)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0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IF('Decode'!$P$13&lt;&gt;0,1,'Decode'!$P$12)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'Decode'!$P$14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'Decode'!$P$14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IF('Decode'!$P$13&lt;&gt;0,1,'Decode'!$P$12)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IF('Decode'!$P$13&lt;&gt;0,1,'Decode'!$P$12)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'Decode'!$P$14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'Decode'!$P$14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IF('Decode'!$P$13&lt;&gt;0,1,'Decode'!$P$12)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IF('Decode'!$P$13&lt;&gt;0,1,'Decode'!$P$12)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'Decode'!$P$37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(3*INT('Decode'!$P$4/2)+'Decode'!$P$4)*(512*2+128+2)*'Decode'!$P$41/2^30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'Decode'!$P$37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40*MIN('Decode'!$P$4,128)*512*2*'Decode'!$P$41/2^30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'Decode'!$P$37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IF('Decode'!$P$4&gt;0,3*32*1024*4*'Decode'!$P$41/2^30,0)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'Decode'!$P$37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768022850*256*2/'Decode'!$P$37/2^30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768022850*(256+8*4)/'Decode'!$P$37/2^30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768022850*(256+8)/'Decode'!$P$37/2^30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IF('Decode'!$P$25&lt;&gt;0,1,'Decode'!$P$12)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IF('Decode'!$P$25&lt;&gt;0,1,'Decode'!$P$12)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IF('Decode'!$P$25&lt;&gt;0,1,'Decode'!$P$12)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'Decode'!$P$12</x:f>
        <x:v>1</x:v>
      </x:c>
      <x:c r="J64" s="33" t="n">
        <x:f>E64*F64*G64/1073741824</x:f>
        <x:v>0.09375</x:v>
      </x:c>
      <x:c r="K64" s="33" t="n">
        <x:f>J64/I64</x:f>
        <x:v>0.09375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'Decode'!$P$12</x:f>
        <x:v>1</x:v>
      </x:c>
      <x:c r="J65" s="33" t="n">
        <x:f>E65*F65*G65/1073741824</x:f>
        <x:v>0.000091552734375</x:v>
      </x:c>
      <x:c r="K65" s="33" t="n">
        <x:f>J65/I65</x:f>
        <x:v>0.000091552734375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'Decode'!$P$12</x:f>
        <x:v>1</x:v>
      </x:c>
      <x:c r="J66" s="33" t="n">
        <x:f>E66*F66*G66/1073741824</x:f>
        <x:v>0.1171875</x:v>
      </x:c>
      <x:c r="K66" s="33" t="n">
        <x:f>J66/I66</x:f>
        <x:v>0.1171875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'Decode'!$P$12</x:f>
        <x:v>1</x:v>
      </x:c>
      <x:c r="J67" s="33" t="n">
        <x:f>E67*F67*G67/1073741824</x:f>
        <x:v>0.00011444091796875</x:v>
      </x:c>
      <x:c r="K67" s="33" t="n">
        <x:f>J67/I67</x:f>
        <x:v>0.00011444091796875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'Decode'!$P$14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'Decode'!$P$14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IF('Decode'!$P$13&lt;&gt;0,1,'Decode'!$P$12)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IF('Decode'!$P$13&lt;&gt;0,1,'Decode'!$P$12)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'Decode'!$P$14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'Decode'!$P$14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IF('Decode'!$P$13&lt;&gt;0,1,'Decode'!$P$12)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IF('Decode'!$P$13&lt;&gt;0,1,'Decode'!$P$12)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'Decode'!$P$14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'Decode'!$P$14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IF('Decode'!$P$13&lt;&gt;0,1,'Decode'!$P$12)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IF('Decode'!$P$13&lt;&gt;0,1,'Decode'!$P$12)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'Decode'!$P$12</x:f>
        <x:v>1</x:v>
      </x:c>
      <x:c r="J93" s="33" t="n">
        <x:f>E93*F93*G93/1073741824</x:f>
        <x:v>0.0732421875</x:v>
      </x:c>
      <x:c r="K93" s="33" t="n">
        <x:f>J93/I93</x:f>
        <x:v>0.0732421875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'Decode'!$P$12</x:f>
        <x:v>1</x:v>
      </x:c>
      <x:c r="J94" s="33" t="n">
        <x:f>E94*F94*G94/1073741824</x:f>
        <x:v>0.00007152557373046875</x:v>
      </x:c>
      <x:c r="K94" s="33" t="n">
        <x:f>J94/I94</x:f>
        <x:v>0.00007152557373046875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IF('Decode'!$P$21&gt;0,'Decode'!$P$21,'Decode'!$P$12)</x:f>
        <x:v>1</x:v>
      </x:c>
      <x:c r="J97" s="33" t="n">
        <x:f>E97*F97*G97/1073741824</x:f>
        <x:v>0.0616455078125</x:v>
      </x:c>
      <x:c r="K97" s="33" t="n">
        <x:f>J97/I97</x:f>
        <x:v>0.0616455078125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IF('Decode'!$P$20&gt;0,'Decode'!$P$20,'Decode'!$P$12)</x:f>
        <x:v>1</x:v>
      </x:c>
      <x:c r="J98" s="33" t="n">
        <x:f>E98*F98*G98/1073741824</x:f>
        <x:v>0.0616455078125</x:v>
      </x:c>
      <x:c r="K98" s="33" t="n">
        <x:f>J98/I98</x:f>
        <x:v>0.0616455078125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42.95761079527438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ROUNDUP('Decode'!$P$7/'Decode'!$P$12,0)*5120</x:f>
        <x:v>655360</x:v>
      </x:c>
      <x:c r="F121" s="32" t="n">
        <x:f>'Decode'!$P$28</x:f>
        <x:v>2</x:v>
      </x:c>
      <x:c r="G121" s="32" t="n">
        <x:f>'Decode'!$P$12</x:f>
        <x:v>1</x:v>
      </x:c>
      <x:c r="H121" s="32" t="n">
        <x:f>40*'Decode'!$P$13</x:f>
        <x:v>0</x:v>
      </x:c>
      <x:c r="I121" s="33" t="n">
        <x:f>E121*F121/1048576</x:f>
        <x:v>1.25</x:v>
      </x:c>
      <x:c r="J121" s="33" t="n">
        <x:f>I121*(IF(G121&gt;1,G121-1,0))</x:f>
        <x:v>0</x:v>
      </x:c>
      <x:c r="K121" s="33" t="n">
        <x:f>J121*H121</x:f>
        <x:v>0</x:v>
      </x:c>
      <x:c r="L121" s="33" t="n">
        <x:f>K121*G121</x:f>
        <x:v>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ROUNDUP('Decode'!$P$7/'Decode'!$P$12,0)*32768</x:f>
        <x:v>4194304</x:v>
      </x:c>
      <x:c r="F122" s="32" t="n">
        <x:f>'Decode'!$P$28</x:f>
        <x:v>2</x:v>
      </x:c>
      <x:c r="G122" s="32" t="n">
        <x:f>'Decode'!$P$12</x:f>
        <x:v>1</x:v>
      </x:c>
      <x:c r="H122" s="32" t="n">
        <x:f>40*'Decode'!$P$25</x:f>
        <x:v>0</x:v>
      </x:c>
      <x:c r="I122" s="33" t="n">
        <x:f>E122*F122/1048576</x:f>
        <x:v>8</x:v>
      </x:c>
      <x:c r="J122" s="33" t="n">
        <x:f>I122*(IF(G122&gt;1,(G122-1)/G122,0))</x:f>
        <x:v>0</x:v>
      </x:c>
      <x:c r="K122" s="33" t="n">
        <x:f>J122*H122</x:f>
        <x:v>0</x:v>
      </x:c>
      <x:c r="L122" s="33" t="n">
        <x:f>K122*G122</x:f>
        <x:v>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(ROUNDUP('Decode'!$P$7/'Decode'!$P$12,0)*'Decode'!$P$12)*5120</x:f>
        <x:v>655360</x:v>
      </x:c>
      <x:c r="F123" s="32" t="n">
        <x:f>'Decode'!$P$28</x:f>
        <x:v>2</x:v>
      </x:c>
      <x:c r="G123" s="32" t="n">
        <x:f>'Decode'!$P$12</x:f>
        <x:v>1</x:v>
      </x:c>
      <x:c r="H123" s="32" t="n">
        <x:f>40*'Decode'!$P$13</x:f>
        <x:v>0</x:v>
      </x:c>
      <x:c r="I123" s="33" t="n">
        <x:f>E123*F123/1048576</x:f>
        <x:v>1.25</x:v>
      </x:c>
      <x:c r="J123" s="33" t="n">
        <x:f>I123*(IF(G123&gt;1,(G123-1)/G123,0))</x:f>
        <x:v>0</x:v>
      </x:c>
      <x:c r="K123" s="33" t="n">
        <x:f>J123*H123</x:f>
        <x:v>0</x:v>
      </x:c>
      <x:c r="L123" s="33" t="n">
        <x:f>K123*G123</x:f>
        <x:v>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'Decode'!$P$7*5120</x:f>
        <x:v>655360</x:v>
      </x:c>
      <x:c r="F124" s="32" t="n">
        <x:f>'Decode'!$P$28</x:f>
        <x:v>2</x:v>
      </x:c>
      <x:c r="G124" s="32" t="n">
        <x:f>'Decode'!$P$12</x:f>
        <x:v>1</x:v>
      </x:c>
      <x:c r="H124" s="32" t="n">
        <x:f>40*(1-'Decode'!$P$13)</x:f>
        <x:v>40</x:v>
      </x:c>
      <x:c r="I124" s="33" t="n">
        <x:f>E124*F124/1048576</x:f>
        <x:v>1.25</x:v>
      </x:c>
      <x:c r="J124" s="33" t="n">
        <x:f>I124*(IF(G124&gt;1,2*(G124-1)/G124,0))</x:f>
        <x:v>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ROUNDUP('Decode'!$P$7/'Decode'!$P$12,0)*5120</x:f>
        <x:v>655360</x:v>
      </x:c>
      <x:c r="F125" s="32" t="n">
        <x:f>'Decode'!$P$28</x:f>
        <x:v>2</x:v>
      </x:c>
      <x:c r="G125" s="32" t="n">
        <x:f>'Decode'!$P$12</x:f>
        <x:v>1</x:v>
      </x:c>
      <x:c r="H125" s="32" t="n">
        <x:f>'Decode'!$P$13</x:f>
        <x:v>0</x:v>
      </x:c>
      <x:c r="I125" s="33" t="n">
        <x:f>E125*F125/1048576</x:f>
        <x:v>1.25</x:v>
      </x:c>
      <x:c r="J125" s="33" t="n">
        <x:f>I125*(IF(G125&gt;1,G125-1,0))</x:f>
        <x:v>0</x:v>
      </x:c>
      <x:c r="K125" s="33" t="n">
        <x:f>J125*H125</x:f>
        <x:v>0</x:v>
      </x:c>
      <x:c r="L125" s="33" t="n">
        <x:f>K125*G125</x:f>
        <x:v>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ROUNDUP('Decode'!$P$7/'Decode'!$P$12,0)*5120*6*'Decode'!$P$32</x:f>
        <x:v>3809280</x:v>
      </x:c>
      <x:c r="F126" s="32" t="n">
        <x:f>'Decode'!$P$39</x:f>
        <x:v>2</x:v>
      </x:c>
      <x:c r="G126" s="32" t="n">
        <x:f>'Decode'!$P$14</x:f>
        <x:v>32</x:v>
      </x:c>
      <x:c r="H126" s="32" t="n">
        <x:f>40</x:f>
        <x:v>40</x:v>
      </x:c>
      <x:c r="I126" s="33" t="n">
        <x:f>E126*F126/1048576</x:f>
        <x:v>7.265625</x:v>
      </x:c>
      <x:c r="J126" s="33" t="n">
        <x:f>I126*(IF(G126&gt;1,1,0))</x:f>
        <x:v>7.265625</x:v>
      </x:c>
      <x:c r="K126" s="33" t="n">
        <x:f>J126*H126</x:f>
        <x:v>290.625</x:v>
      </x:c>
      <x:c r="L126" s="33" t="n">
        <x:f>K126*G126</x:f>
        <x:v>9300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ROUNDUP('Decode'!$P$7/'Decode'!$P$12,0)*5120*6*'Decode'!$P$32</x:f>
        <x:v>3809280</x:v>
      </x:c>
      <x:c r="F127" s="32" t="n">
        <x:f>'Decode'!$P$40</x:f>
        <x:v>2</x:v>
      </x:c>
      <x:c r="G127" s="32" t="n">
        <x:f>'Decode'!$P$14</x:f>
        <x:v>32</x:v>
      </x:c>
      <x:c r="H127" s="32" t="n">
        <x:f>40</x:f>
        <x:v>40</x:v>
      </x:c>
      <x:c r="I127" s="33" t="n">
        <x:f>E127*F127/1048576</x:f>
        <x:v>7.265625</x:v>
      </x:c>
      <x:c r="J127" s="33" t="n">
        <x:f>I127*(IF(G127&gt;1,1,0))</x:f>
        <x:v>7.265625</x:v>
      </x:c>
      <x:c r="K127" s="33" t="n">
        <x:f>J127*H127</x:f>
        <x:v>290.625</x:v>
      </x:c>
      <x:c r="L127" s="33" t="n">
        <x:f>K127*G127</x:f>
        <x:v>9300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2*('Decode'!$P$37+1)</x:f>
        <x:v>18</x:v>
      </x:c>
      <x:c r="F128" s="32" t="n">
        <x:f>8</x:f>
        <x:v>8</x:v>
      </x:c>
      <x:c r="G128" s="32" t="n">
        <x:f>'Decode'!$P$37</x:f>
        <x:v>8</x:v>
      </x:c>
      <x:c r="H128" s="32" t="n">
        <x:f>'Decode'!$P$38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('Decode'!$P$7*24*2)/'Decode'!$P$12*('Decode'!$P$37-1)/'Decode'!$P$37</x:f>
        <x:v>5376</x:v>
      </x:c>
      <x:c r="F129" s="32" t="n">
        <x:f>8</x:f>
        <x:v>8</x:v>
      </x:c>
      <x:c r="G129" s="32" t="n">
        <x:f>'Decode'!$P$37</x:f>
        <x:v>8</x:v>
      </x:c>
      <x:c r="H129" s="32" t="n">
        <x:f>'Decode'!$P$38</x:f>
        <x:v>1</x:v>
      </x:c>
      <x:c r="I129" s="33" t="n">
        <x:f>E129*F129/1048576</x:f>
        <x:v>0.041015625</x:v>
      </x:c>
      <x:c r="J129" s="33" t="n">
        <x:f>I129*(IF(G129&gt;1,1,0))</x:f>
        <x:v>0.041015625</x:v>
      </x:c>
      <x:c r="K129" s="33" t="n">
        <x:f>J129*H129</x:f>
        <x:v>0.041015625</x:v>
      </x:c>
      <x:c r="L129" s="33" t="n">
        <x:f>K129*G129</x:f>
        <x:v>0.328125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('Decode'!$P$7*24*2)/'Decode'!$P$12*('Decode'!$P$37-1)/'Decode'!$P$37*256</x:f>
        <x:v>1376256</x:v>
      </x:c>
      <x:c r="F130" s="32" t="n">
        <x:f>2</x:f>
        <x:v>2</x:v>
      </x:c>
      <x:c r="G130" s="32" t="n">
        <x:f>'Decode'!$P$37</x:f>
        <x:v>8</x:v>
      </x:c>
      <x:c r="H130" s="32" t="n">
        <x:f>'Decode'!$P$38</x:f>
        <x:v>1</x:v>
      </x:c>
      <x:c r="I130" s="33" t="n">
        <x:f>E130*F130/1048576</x:f>
        <x:v>2.625</x:v>
      </x:c>
      <x:c r="J130" s="33" t="n">
        <x:f>I130*(IF(G130&gt;1,1,0))</x:f>
        <x:v>2.625</x:v>
      </x:c>
      <x:c r="K130" s="33" t="n">
        <x:f>J130*H130</x:f>
        <x:v>2.625</x:v>
      </x:c>
      <x:c r="L130" s="33" t="n">
        <x:f>K130*G130</x:f>
        <x:v>21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('Decode'!$P$7*24*2)*256</x:f>
        <x:v>1572864</x:v>
      </x:c>
      <x:c r="F131" s="32" t="n">
        <x:f>2</x:f>
        <x:v>2</x:v>
      </x:c>
      <x:c r="G131" s="32" t="n">
        <x:f>'Decode'!$P$12</x:f>
        <x:v>1</x:v>
      </x:c>
      <x:c r="H131" s="32" t="n">
        <x:f>'Decode'!$P$38</x:f>
        <x:v>1</x:v>
      </x:c>
      <x:c r="I131" s="33" t="n">
        <x:f>E131*F131/1048576</x:f>
        <x:v>3</x:v>
      </x:c>
      <x:c r="J131" s="33" t="n">
        <x:f>I131*(IF(G131&gt;1,(G131-1)/G131,0))</x:f>
        <x:v>0</x:v>
      </x:c>
      <x:c r="K131" s="33" t="n">
        <x:f>J131*H131</x:f>
        <x:v>0</x:v>
      </x:c>
      <x:c r="L131" s="33" t="n">
        <x:f>K131*G131</x:f>
        <x:v>0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583.9169769287109</x:v>
      </x:c>
      <x:c r="L132" s="39"/>
      <x:c r="M132" s="29"/>
      <x:c r="N132" s="29"/>
      <x:c r="O132" s="29"/>
      <x:c r="P132" s="29"/>
    </x:row>
    <x:row r="135" ht="23" customHeight="1">
      <x:c r="A135" s="46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23" customHeight="1">
      <x:c r="A136" s="29" t="str">
        <x:v>Decode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8" customHeight="1">
      <x:c r="A137" s="49" t="str">
        <x:v>带宽降幅</x:v>
      </x:c>
      <x:c r="B137" s="49" t="str">
        <x:v>输入</x:v>
      </x:c>
      <x:c r="C137" s="49" t="str">
        <x:v>争用覆盖率</x:v>
      </x:c>
      <x:c r="D137" s="49" t="str">
        <x:v>输入</x:v>
      </x:c>
      <x:c r="E137" s="49" t="str">
        <x:v>基线 forward ms</x:v>
      </x:c>
      <x:c r="F137" s="49" t="str">
        <x:v>实测输入</x:v>
      </x:c>
      <x:c r="G137" s="49" t="str">
        <x:v>默认带宽 GB/s</x:v>
      </x:c>
      <x:c r="H137" s="49" t="str">
        <x:v>输入</x:v>
      </x:c>
      <x:c r="I137" s="29"/>
      <x:c r="J137" s="29"/>
      <x:c r="K137" s="29"/>
      <x:c r="L137" s="29"/>
    </x:row>
    <x:row r="138" ht="23" customHeight="1">
      <x:c r="A138" s="29"/>
      <x:c r="B138" s="51" t="n">
        <x:v>0.1</x:v>
      </x:c>
      <x:c r="C138" s="29"/>
      <x:c r="D138" s="51" t="n">
        <x:v>1</x:v>
      </x:c>
      <x:c r="E138" s="29"/>
      <x:c r="F138" s="52"/>
      <x:c r="G138" s="29"/>
      <x:c r="H138" s="52" t="n">
        <x:v>100</x:v>
      </x:c>
      <x:c r="I138" s="29"/>
      <x:c r="J138" s="29"/>
      <x:c r="K138" s="29"/>
      <x:c r="L138" s="29"/>
    </x:row>
    <x:row r="139" ht="38" customHeight="1">
      <x:c r="A139" s="49" t="str">
        <x:v>通信基线 ms</x:v>
      </x:c>
      <x:c r="B139" s="49" t="str">
        <x:v>结果</x:v>
      </x:c>
      <x:c r="C139" s="49" t="str">
        <x:v>通信争用后 ms</x:v>
      </x:c>
      <x:c r="D139" s="49" t="str">
        <x:v>结果</x:v>
      </x:c>
      <x:c r="E139" s="49" t="str">
        <x:v>forward 增量 ms</x:v>
      </x:c>
      <x:c r="F139" s="49" t="str">
        <x:v>结果</x:v>
      </x:c>
      <x:c r="G139" s="49" t="str">
        <x:v>forward 新耗时 ms</x:v>
      </x:c>
      <x:c r="H139" s="49" t="str">
        <x:v>结果</x:v>
      </x:c>
      <x:c r="I139" s="49" t="str">
        <x:v>forward 增幅</x:v>
      </x:c>
      <x:c r="J139" s="49" t="str">
        <x:v>结果</x:v>
      </x:c>
      <x:c r="K139" s="49" t="str">
        <x:v>输入状态</x:v>
      </x:c>
      <x:c r="L139" s="49" t="str">
        <x:v>状态</x:v>
      </x:c>
    </x:row>
    <x:row r="140" ht="23" customHeight="1">
      <x:c r="A140" s="53"/>
      <x:c r="B140" s="53" t="n">
        <x:f>SUM(G144:G155)</x:f>
        <x:v>6.44184048</x:v>
      </x:c>
      <x:c r="C140" s="53"/>
      <x:c r="D140" s="53" t="n">
        <x:f>SUM(H144:H155)</x:f>
        <x:v>7.157600533333333</x:v>
      </x:c>
      <x:c r="E140" s="53"/>
      <x:c r="F140" s="53" t="n">
        <x:f>SUM(K144:K155)</x:f>
        <x:v>0.7157600533333335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23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23" customHeight="1">
      <x:c r="A142" s="29" t="str">
        <x:v>V4.1 为 PD 条件评估；旧 KV 规划与新 main 的端到端迁移可用性未在本次验证。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8" customHeight="1">
      <x:c r="A143" s="49" t="str">
        <x:v>并行域</x:v>
      </x:c>
      <x:c r="B143" s="49" t="str">
        <x:v>模块</x:v>
      </x:c>
      <x:c r="C143" s="49" t="str">
        <x:v>通信事件</x:v>
      </x:c>
      <x:c r="D143" s="49" t="str">
        <x:v>GB/Rank/Step</x:v>
      </x:c>
      <x:c r="E143" s="49" t="str">
        <x:v>有效带宽 GB/s</x:v>
      </x:c>
      <x:c r="F143" s="49" t="str">
        <x:v>共享比例</x:v>
      </x:c>
      <x:c r="G143" s="49" t="str">
        <x:v>基线带宽项 ms</x:v>
      </x:c>
      <x:c r="H143" s="49" t="str">
        <x:v>争用后带宽项 ms</x:v>
      </x:c>
      <x:c r="I143" s="49" t="str">
        <x:v>通信增量 ms</x:v>
      </x:c>
      <x:c r="J143" s="49" t="str">
        <x:v>暴露系数</x:v>
      </x:c>
      <x:c r="K143" s="49" t="str">
        <x:v>forward 增量 ms</x:v>
      </x:c>
      <x:c r="L143" s="49" t="str">
        <x:v>公式口径</x:v>
      </x:c>
    </x:row>
    <x:row r="144" ht="23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0</x:v>
      </x:c>
      <x:c r="E144" s="55" t="n">
        <x:f>$H$138</x:f>
        <x:v>100</x:v>
      </x:c>
      <x:c r="F144" s="56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0</x:v>
      </x:c>
      <x:c r="H144" s="33" t="n">
        <x:f>G144+I144</x:f>
        <x:v>0</x:v>
      </x:c>
      <x:c r="I144" s="33" t="n">
        <x:f>G144*F144*$D$138*$B$138/(1-$B$138)</x:f>
        <x:v>0</x:v>
      </x:c>
      <x:c r="J144" s="56" t="n">
        <x:v>1</x:v>
      </x:c>
      <x:c r="K144" s="33" t="n">
        <x:f>I144*J144</x:f>
        <x:v>0</x:v>
      </x:c>
      <x:c r="L144" s="29" t="str">
        <x:v>原通信行 121</x:v>
      </x:c>
    </x:row>
    <x:row r="145" ht="23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0</x:v>
      </x:c>
      <x:c r="E145" s="55" t="n">
        <x:f>$H$138</x:f>
        <x:v>100</x:v>
      </x:c>
      <x:c r="F145" s="56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3" t="n">
        <x:f>G145+I145</x:f>
        <x:v>0</x:v>
      </x:c>
      <x:c r="I145" s="33" t="n">
        <x:f>G145*F145*$D$138*$B$138/(1-$B$138)</x:f>
        <x:v>0</x:v>
      </x:c>
      <x:c r="J145" s="56" t="n">
        <x:v>1</x:v>
      </x:c>
      <x:c r="K145" s="33" t="n">
        <x:f>I145*J145</x:f>
        <x:v>0</x:v>
      </x:c>
      <x:c r="L145" s="29" t="str">
        <x:v>原通信行 122</x:v>
      </x:c>
    </x:row>
    <x:row r="146" ht="23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0</x:v>
      </x:c>
      <x:c r="E146" s="55" t="n">
        <x:f>$H$138</x:f>
        <x:v>100</x:v>
      </x:c>
      <x:c r="F146" s="56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3" t="n">
        <x:f>G146+I146</x:f>
        <x:v>0</x:v>
      </x:c>
      <x:c r="I146" s="33" t="n">
        <x:f>G146*F146*$D$138*$B$138/(1-$B$138)</x:f>
        <x:v>0</x:v>
      </x:c>
      <x:c r="J146" s="56" t="n">
        <x:v>1</x:v>
      </x:c>
      <x:c r="K146" s="33" t="n">
        <x:f>I146*J146</x:f>
        <x:v>0</x:v>
      </x:c>
      <x:c r="L146" s="29" t="str">
        <x:v>原通信行 123</x:v>
      </x:c>
    </x:row>
    <x:row r="147" ht="23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55" t="n">
        <x:f>$H$138</x:f>
        <x:v>100</x:v>
      </x:c>
      <x:c r="F147" s="56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56" t="n">
        <x:v>1</x:v>
      </x:c>
      <x:c r="K147" s="33" t="n">
        <x:f>I147*J147</x:f>
        <x:v>0</x:v>
      </x:c>
      <x:c r="L147" s="29" t="str">
        <x:v>原通信行 124</x:v>
      </x:c>
    </x:row>
    <x:row r="148" ht="23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</x:v>
      </x:c>
      <x:c r="E148" s="55" t="n">
        <x:f>$H$138</x:f>
        <x:v>100</x:v>
      </x:c>
      <x:c r="F148" s="56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0</x:v>
      </x:c>
      <x:c r="H148" s="33" t="n">
        <x:f>G148+I148</x:f>
        <x:v>0</x:v>
      </x:c>
      <x:c r="I148" s="33" t="n">
        <x:f>G148*F148*$D$138*$B$138/(1-$B$138)</x:f>
        <x:v>0</x:v>
      </x:c>
      <x:c r="J148" s="56" t="n">
        <x:v>1</x:v>
      </x:c>
      <x:c r="K148" s="33" t="n">
        <x:f>I148*J148</x:f>
        <x:v>0</x:v>
      </x:c>
      <x:c r="L148" s="29" t="str">
        <x:v>原通信行 125</x:v>
      </x:c>
    </x:row>
    <x:row r="149" ht="23" customHeight="1">
      <x:c r="A149" s="29" t="str">
        <x:v>EP 期望</x:v>
      </x:c>
      <x:c r="B149" s="29" t="str">
        <x:v>MoE Hidden</x:v>
      </x:c>
      <x:c r="C149" s="29" t="str">
        <x:v>MC2 FullMesh Dispatch</x:v>
      </x:c>
      <x:c r="D149" s="33" t="n">
        <x:f>(IF(F126=2,E126/5120*H126*(ROUNDUP((ROUNDUP(5120*F126/32,0)*32+32)/480,0)*512),NA()))/1e9</x:f>
        <x:v>0.33521664</x:v>
      </x:c>
      <x:c r="E149" s="55" t="n">
        <x:f>$H$138</x:f>
        <x:v>100</x:v>
      </x:c>
      <x:c r="F149" s="56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3.3521664</x:v>
      </x:c>
      <x:c r="H149" s="33" t="n">
        <x:f>G149+I149</x:f>
        <x:v>3.7246293333333336</x:v>
      </x:c>
      <x:c r="I149" s="33" t="n">
        <x:f>G149*F149*$D$138*$B$138/(1-$B$138)</x:f>
        <x:v>0.3724629333333334</x:v>
      </x:c>
      <x:c r="J149" s="56" t="n">
        <x:v>1</x:v>
      </x:c>
      <x:c r="K149" s="33" t="n">
        <x:f>I149*J149</x:f>
        <x:v>0.3724629333333334</x:v>
      </x:c>
      <x:c r="L149" s="29" t="str">
        <x:v>原通信行 126</x:v>
      </x:c>
    </x:row>
    <x:row r="150" ht="23" customHeight="1">
      <x:c r="A150" s="29" t="str">
        <x:v>EP 期望</x:v>
      </x:c>
      <x:c r="B150" s="29" t="str">
        <x:v>MoE Hidden</x:v>
      </x:c>
      <x:c r="C150" s="29" t="str">
        <x:v>MC2 Combine + flags</x:v>
      </x:c>
      <x:c r="D150" s="33" t="n">
        <x:f>(IF(F127=2,K127*2^20+E127/5120*H127*32,NA()))/1e9</x:f>
        <x:v>0.30569472</x:v>
      </x:c>
      <x:c r="E150" s="55" t="n">
        <x:f>$H$138</x:f>
        <x:v>100</x:v>
      </x:c>
      <x:c r="F150" s="56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3.0569471999999998</x:v>
      </x:c>
      <x:c r="H150" s="33" t="n">
        <x:f>G150+I150</x:f>
        <x:v>3.3966079999999996</x:v>
      </x:c>
      <x:c r="I150" s="33" t="n">
        <x:f>G150*F150*$D$138*$B$138/(1-$B$138)</x:f>
        <x:v>0.3396608</x:v>
      </x:c>
      <x:c r="J150" s="56" t="n">
        <x:v>1</x:v>
      </x:c>
      <x:c r="K150" s="33" t="n">
        <x:f>I150*J150</x:f>
        <x:v>0.3396608</x:v>
      </x:c>
      <x:c r="L150" s="29" t="str">
        <x:v>原通信行 127</x:v>
      </x:c>
    </x:row>
    <x:row r="151" ht="23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55" t="n">
        <x:f>$H$138</x:f>
        <x:v>100</x:v>
      </x:c>
      <x:c r="F151" s="56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56" t="n">
        <x:v>1</x:v>
      </x:c>
      <x:c r="K151" s="33" t="n">
        <x:f>I151*J151</x:f>
        <x:v>0.00000112</x:v>
      </x:c>
      <x:c r="L151" s="29" t="str">
        <x:v>原通信行 128</x:v>
      </x:c>
    </x:row>
    <x:row r="152" ht="23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0.000043008</x:v>
      </x:c>
      <x:c r="E152" s="55" t="n">
        <x:f>$H$138</x:f>
        <x:v>100</x:v>
      </x:c>
      <x:c r="F152" s="56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0.00043008</x:v>
      </x:c>
      <x:c r="H152" s="33" t="n">
        <x:f>G152+I152</x:f>
        <x:v>0.00047786666666666666</x:v>
      </x:c>
      <x:c r="I152" s="33" t="n">
        <x:f>G152*F152*$D$138*$B$138/(1-$B$138)</x:f>
        <x:v>0.000047786666666666674</x:v>
      </x:c>
      <x:c r="J152" s="56" t="n">
        <x:v>1</x:v>
      </x:c>
      <x:c r="K152" s="33" t="n">
        <x:f>I152*J152</x:f>
        <x:v>0.000047786666666666674</x:v>
      </x:c>
      <x:c r="L152" s="29" t="str">
        <x:v>原通信行 129</x:v>
      </x:c>
    </x:row>
    <x:row r="153" ht="23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0.002752512</x:v>
      </x:c>
      <x:c r="E153" s="55" t="n">
        <x:f>$H$138</x:f>
        <x:v>100</x:v>
      </x:c>
      <x:c r="F153" s="56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0.02752512</x:v>
      </x:c>
      <x:c r="H153" s="33" t="n">
        <x:f>G153+I153</x:f>
        <x:v>0.030583466666666666</x:v>
      </x:c>
      <x:c r="I153" s="33" t="n">
        <x:f>G153*F153*$D$138*$B$138/(1-$B$138)</x:f>
        <x:v>0.003058346666666667</x:v>
      </x:c>
      <x:c r="J153" s="56" t="n">
        <x:v>1</x:v>
      </x:c>
      <x:c r="K153" s="33" t="n">
        <x:f>I153*J153</x:f>
        <x:v>0.003058346666666667</x:v>
      </x:c>
      <x:c r="L153" s="29" t="str">
        <x:v>原通信行 130</x:v>
      </x:c>
    </x:row>
    <x:row r="154" ht="23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</x:v>
      </x:c>
      <x:c r="E154" s="55" t="n">
        <x:f>$H$138</x:f>
        <x:v>100</x:v>
      </x:c>
      <x:c r="F154" s="56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3" t="n">
        <x:f>G154+I154</x:f>
        <x:v>0</x:v>
      </x:c>
      <x:c r="I154" s="33" t="n">
        <x:f>G154*F154*$D$138*$B$138/(1-$B$138)</x:f>
        <x:v>0</x:v>
      </x:c>
      <x:c r="J154" s="56" t="n">
        <x:v>1</x:v>
      </x:c>
      <x:c r="K154" s="33" t="n">
        <x:f>I154*J154</x:f>
        <x:v>0</x:v>
      </x:c>
      <x:c r="L154" s="29" t="str">
        <x:v>原通信行 131</x:v>
      </x:c>
    </x:row>
    <x:row r="155" ht="23" customHeight="1">
      <x:c r="A155" s="29" t="str">
        <x:v>EP</x:v>
      </x:c>
      <x:c r="B155" s="29" t="str">
        <x:v>MoE 计数</x:v>
      </x:c>
      <x:c r="C155" s="29" t="str">
        <x:v>MC2 count 写入</x:v>
      </x:c>
      <x:c r="D155" s="33" t="n">
        <x:f>(IF(E126=0,0,H126*ROUNDUP(384/G126,0)*(G126-1)*32))/1e9</x:f>
        <x:v>0.00047616</x:v>
      </x:c>
      <x:c r="E155" s="55" t="n">
        <x:f>$H$138</x:f>
        <x:v>100</x:v>
      </x:c>
      <x:c r="F155" s="56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0.0047616</x:v>
      </x:c>
      <x:c r="H155" s="33" t="n">
        <x:f>G155+I155</x:f>
        <x:v>0.0052906666666666675</x:v>
      </x:c>
      <x:c r="I155" s="33" t="n">
        <x:f>G155*F155*$D$138*$B$138/(1-$B$138)</x:f>
        <x:v>0.0005290666666666667</x:v>
      </x:c>
      <x:c r="J155" s="56" t="n">
        <x:v>1</x:v>
      </x:c>
      <x:c r="K155" s="33" t="n">
        <x:f>I155*J155</x:f>
        <x:v>0.0005290666666666667</x:v>
      </x:c>
      <x:c r="L155" s="29" t="str">
        <x:v>额外控制量</x:v>
      </x:c>
    </x:row>
    <x:row r="156" ht="23" customHeight="1">
      <x:c r="A156" s="57" t="str">
        <x:v>所列事件串行相加</x:v>
      </x:c>
      <x:c r="B156" s="57"/>
      <x:c r="C156" s="57"/>
      <x:c r="D156" s="58" t="n">
        <x:f>SUM(D144:D155)</x:f>
        <x:v>0.6441840480000001</x:v>
      </x:c>
      <x:c r="E156" s="58"/>
      <x:c r="F156" s="57"/>
      <x:c r="G156" s="58" t="n">
        <x:f>SUM(G144:G155)</x:f>
        <x:v>6.44184048</x:v>
      </x:c>
      <x:c r="H156" s="58" t="n">
        <x:f>SUM(H144:H155)</x:f>
        <x:v>7.157600533333333</x:v>
      </x:c>
      <x:c r="I156" s="58" t="n">
        <x:f>SUM(I144:I155)</x:f>
        <x:v>0.7157600533333335</x:v>
      </x:c>
      <x:c r="J156" s="57"/>
      <x:c r="K156" s="58" t="n">
        <x:f>SUM(K144:K155)</x:f>
        <x:v>0.7157600533333335</x:v>
      </x:c>
      <x:c r="L156" s="57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1" priority="1" operator="containsText" text="不一致"/>
  </x:conditionalFormatting>
  <x:pageMargins left="0.7" right="0.7" top="0.75" bottom="0.75" header="0.3" footer="0.3"/>
</x:worksheet>
</file>