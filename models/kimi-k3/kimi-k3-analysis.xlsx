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dc4b9eb159648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fill" sheetId="1" r:id="Rcf5e61380727478b"/>
    <x:sheet xmlns:r="http://schemas.openxmlformats.org/officeDocument/2006/relationships" name="Decode" sheetId="2" r:id="R791602ac6613447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.##"/>
    <x:numFmt numFmtId="201" formatCode="0.0000"/>
    <x:numFmt numFmtId="202" formatCode="#,##0.####"/>
    <x:numFmt numFmtId="203" formatCode="0.000000"/>
    <x:numFmt numFmtId="204" formatCode="0.0%"/>
    <x:numFmt numFmtId="205" formatCode="0.000"/>
    <x:numFmt numFmtId="206" formatCode="0.00%"/>
    <x:numFmt numFmtId="207" formatCode="0%"/>
  </x:numFmts>
  <x:fonts count="5">
    <x:font>
      <x:sz val="11"/>
      <x:name val="Carlito"/>
    </x:font>
    <x:font>
      <x:b/>
      <x:sz val="10"/>
      <x:color rgb="FF000000"/>
      <x:name val="Arial"/>
    </x:font>
    <x:font>
      <x:b/>
      <x:sz val="11"/>
      <x:name val="Carlito"/>
    </x:font>
    <x:font>
      <x:sz val="10"/>
      <x:color rgb="FF000000"/>
      <x:name val="Arial"/>
    </x:font>
    <x:font>
      <x:b/>
      <x:sz val="14"/>
      <x:color rgb="FF000000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200" fontId="0" fillId="3" borderId="2" xfId="0" applyNumberFormat="1" applyFont="1" applyFill="1" applyBorder="1"/>
    <x:xf numFmtId="0" fontId="0" fillId="4" borderId="2" xfId="0" applyNumberFormat="1" applyFont="1" applyFill="1" applyBorder="1"/>
    <x:xf numFmtId="200" fontId="0" fillId="4" borderId="2" xfId="0" applyNumberFormat="1" applyFont="1" applyFill="1" applyBorder="1"/>
    <x:xf numFmtId="201" fontId="0" fillId="4" borderId="2" xfId="0" applyNumberFormat="1" applyFont="1" applyFill="1" applyBorder="1"/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202" fontId="0" fillId="3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203" fontId="2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202" fontId="3" fillId="3" borderId="0" xfId="0" applyNumberFormat="1" applyFont="1" applyFill="1" applyBorder="1"/>
    <x:xf numFmtId="202" fontId="3" fillId="0" borderId="0" xfId="0" applyNumberFormat="1" applyFont="1" applyFill="1" applyBorder="1"/>
    <x:xf numFmtId="203" fontId="3" fillId="0" borderId="0" xfId="0" applyNumberFormat="1" applyFont="1" applyFill="1" applyBorder="1"/>
    <x:xf numFmtId="0" fontId="3" fillId="0" borderId="2" xfId="0" applyNumberFormat="1" applyFont="1" applyFill="1" applyBorder="1"/>
    <x:xf numFmtId="200" fontId="3" fillId="3" borderId="2" xfId="0" applyNumberFormat="1" applyFont="1" applyFill="1" applyBorder="1"/>
    <x:xf numFmtId="200" fontId="3" fillId="4" borderId="2" xfId="0" applyNumberFormat="1" applyFont="1" applyFill="1" applyBorder="1"/>
    <x:xf numFmtId="0" fontId="3" fillId="3" borderId="2" xfId="0" applyNumberFormat="1" applyFont="1" applyFill="1" applyBorder="1"/>
    <x:xf numFmtId="201" fontId="3" fillId="4" borderId="2" xfId="0" applyNumberFormat="1" applyFont="1" applyFill="1" applyBorder="1"/>
    <x:xf numFmtId="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202" fontId="3" fillId="3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0" fontId="3" fillId="0" borderId="2" xfId="0" applyNumberFormat="1" applyFont="1" applyFill="1" applyBorder="1" applyAlignment="1">
      <x:alignment vertical="center"/>
    </x:xf>
    <x:xf numFmtId="200" fontId="3" fillId="3" borderId="2" xfId="0" applyNumberFormat="1" applyFont="1" applyFill="1" applyBorder="1" applyAlignment="1">
      <x:alignment vertical="center"/>
    </x:xf>
    <x:xf numFmtId="200" fontId="3" fillId="4" borderId="2" xfId="0" applyNumberFormat="1" applyFont="1" applyFill="1" applyBorder="1" applyAlignment="1">
      <x:alignment vertical="center"/>
    </x:xf>
    <x:xf numFmtId="0" fontId="3" fillId="3" borderId="2" xfId="0" applyNumberFormat="1" applyFont="1" applyFill="1" applyBorder="1" applyAlignment="1">
      <x:alignment vertical="center"/>
    </x:xf>
    <x:xf numFmtId="201" fontId="3" fillId="4" borderId="2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4" fontId="3" fillId="0" borderId="0" xfId="0" applyNumberFormat="1" applyFont="1" applyFill="1" applyBorder="1" applyAlignment="1">
      <x:alignment vertical="center"/>
    </x:xf>
    <x:xf numFmtId="204" fontId="3" fillId="6" borderId="0" xfId="0" applyNumberFormat="1" applyFont="1" applyFill="1" applyBorder="1" applyAlignment="1">
      <x:alignment vertical="center"/>
    </x:xf>
    <x:xf numFmtId="0" fontId="3" fillId="6" borderId="0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3" fontId="3" fillId="6" borderId="0" xfId="0" applyNumberFormat="1" applyFont="1" applyFill="1" applyBorder="1" applyAlignment="1">
      <x:alignment vertical="center"/>
    </x:xf>
    <x:xf numFmtId="207" fontId="3" fillId="6" borderId="0" xfId="0" applyNumberFormat="1" applyFont="1" applyFill="1" applyBorder="1" applyAlignment="1">
      <x:alignment vertical="center"/>
    </x:xf>
    <x:xf numFmtId="0" fontId="3" fillId="7" borderId="0" xfId="0" applyNumberFormat="1" applyFont="1" applyFill="1" applyBorder="1" applyAlignment="1">
      <x:alignment vertical="center"/>
    </x:xf>
    <x:xf numFmtId="203" fontId="3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204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203" fontId="3" fillId="3" borderId="0" xfId="0" applyNumberFormat="1" applyFont="1" applyFill="1" applyBorder="1" applyAlignment="1">
      <x:alignment vertical="center"/>
    </x:xf>
    <x:xf numFmtId="207" fontId="3" fillId="3" borderId="0" xfId="0" applyNumberFormat="1" applyFont="1" applyFill="1" applyBorder="1" applyAlignment="1">
      <x:alignment vertical="center"/>
    </x:xf>
    <x:xf numFmtId="0" fontId="1" fillId="8" borderId="0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vertic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204" fontId="3" fillId="3" borderId="2" xfId="0" applyNumberFormat="1" applyFont="1" applyFill="1" applyBorder="1" applyAlignment="1">
      <x:alignment vertical="center"/>
    </x:xf>
    <x:xf numFmtId="200" fontId="3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color rgb="FFA32020"/>
      </x:font>
      <x:fill>
        <x:patternFill>
          <x:bgColor rgb="FFFDE9E7"/>
        </x:patternFill>
      </x:fill>
    </x:dxf>
    <x:dxf>
      <x:font>
        <x:color rgb="FFA3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cf83f0386f4eed" /><Relationship Type="http://schemas.openxmlformats.org/officeDocument/2006/relationships/theme" Target="/xl/theme/theme1.xml" Id="Re71c8beb7a2c4233" /><Relationship Type="http://schemas.openxmlformats.org/officeDocument/2006/relationships/sharedStrings" Target="/xl/sharedStrings.xml" Id="Rac7e0064aea9419f" /><Relationship Type="http://schemas.openxmlformats.org/officeDocument/2006/relationships/worksheet" Target="/xl/worksheets/sheet1.xml" Id="Rcf5e61380727478b" /><Relationship Type="http://schemas.openxmlformats.org/officeDocument/2006/relationships/worksheet" Target="/xl/worksheets/sheet2.xml" Id="R791602ac6613447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IF('Prefill'!$P$21&gt;0,'Prefill'!$P$21,'Prefill'!$P$12)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IF('Prefill'!$P$20&gt;0,'Prefill'!$P$20,'Prefill'!$P$12)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0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MIN($P$2,$P$3*$P$4)</x:f>
        <x:v>8192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MIN($P$3,$P$7)</x:f>
        <x:v>128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'Prefill'!$P$12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'Prefill'!$P$12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'Prefill'!$P$12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 t="str">
        <x:v>PCP（1 表示关闭）</x:v>
      </x:c>
      <x:c r="P15" s="36" t="n">
        <x:v>1</x:v>
      </x:c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/>
      <x:c r="P16" s="35"/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'Prefill'!$P$14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'Prefill'!$P$14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'Prefill'!$P$14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'Prefill'!$P$14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'Prefill'!$P$14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'Prefill'!$P$14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IF('Prefill'!$P$17="TP",'Prefill'!$P$18,1)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IF('Prefill'!$P$17="TP",'Prefill'!$P$18,1)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IF('Prefill'!$P$17="TP",'Prefill'!$P$18,1)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'Prefill'!$P$12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'Prefill'!$P$12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'Prefill'!$P$12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'Prefill'!$P$12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'Prefill'!$P$12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'Prefill'!$P$12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'Prefill'!$P$12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'Prefill'!$P$12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'Prefill'!$P$12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'Prefill'!$P$12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'Prefill'!$P$12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IF('Prefill'!$P$19&gt;0,'Prefill'!$P$19,'Prefill'!$P$12)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'Prefill'!$P$12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'Prefill'!$P$12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'Prefill'!$P$7*7168</x:f>
        <x:v>58720256</x:v>
      </x:c>
      <x:c r="F65" s="33" t="n">
        <x:f>'Prefill'!$P$28</x:f>
        <x:v>2</x:v>
      </x:c>
      <x:c r="G65" s="33" t="n">
        <x:f>IF('Prefill'!$P$21&gt;0,'Prefill'!$P$21,'Prefill'!$P$12)</x:f>
        <x:v>8</x:v>
      </x:c>
      <x:c r="H65" s="33" t="n">
        <x:f>IF(AND(IF('Prefill'!$P$21&gt;0,'Prefill'!$P$21,'Prefill'!$P$12)&gt;1,'Prefill'!$P$24=0),1,0)</x:f>
        <x:v>1</x:v>
      </x:c>
      <x:c r="I65" s="34" t="n">
        <x:f>E65*F65/1048576</x:f>
        <x:v>112</x:v>
      </x:c>
      <x:c r="J65" s="34" t="n">
        <x:f>I65*(IF(G65&gt;1,2*(G65-1)/G65,0))</x:f>
        <x:v>196</x:v>
      </x:c>
      <x:c r="K65" s="34" t="n">
        <x:f>J65*H65</x:f>
        <x:v>196</x:v>
      </x:c>
      <x:c r="L65" s="34" t="n">
        <x:f>K65*G65</x:f>
        <x:v>1568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'Prefill'!$P$7</x:f>
        <x:v>8192</x:v>
      </x:c>
      <x:c r="F66" s="33" t="n">
        <x:f>'Prefill'!$P$30</x:f>
        <x:v>8</x:v>
      </x:c>
      <x:c r="G66" s="33" t="n">
        <x:f>IF('Prefill'!$P$21&gt;0,'Prefill'!$P$21,'Prefill'!$P$12)</x:f>
        <x:v>8</x:v>
      </x:c>
      <x:c r="H66" s="33" t="n">
        <x:f>IF(AND(IF('Prefill'!$P$21&gt;0,'Prefill'!$P$21,'Prefill'!$P$12)&gt;1,'Prefill'!$P$24&lt;&gt;0),1,0)</x:f>
        <x:v>0</x:v>
      </x:c>
      <x:c r="I66" s="34" t="n">
        <x:f>E66*F66/1048576</x:f>
        <x:v>0.0625</x:v>
      </x:c>
      <x:c r="J66" s="34" t="n">
        <x:f>I66*(IF(G66&gt;1,G66-1,0))</x:f>
        <x:v>0.4375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'Prefill'!$P$7*IF('Prefill'!$P$21&gt;0,'Prefill'!$P$21,'Prefill'!$P$12)*7168</x:f>
        <x:v>469762048</x:v>
      </x:c>
      <x:c r="F67" s="33" t="n">
        <x:f>'Prefill'!$P$28</x:f>
        <x:v>2</x:v>
      </x:c>
      <x:c r="G67" s="33" t="n">
        <x:f>IF('Prefill'!$P$21&gt;0,'Prefill'!$P$21,'Prefill'!$P$12)</x:f>
        <x:v>8</x:v>
      </x:c>
      <x:c r="H67" s="33" t="n">
        <x:f>IF(AND(IF('Prefill'!$P$21&gt;0,'Prefill'!$P$21,'Prefill'!$P$12)&gt;1,'Prefill'!$P$24&lt;&gt;0),1,0)</x:f>
        <x:v>0</x:v>
      </x:c>
      <x:c r="I67" s="34" t="n">
        <x:f>E67*F67/1048576</x:f>
        <x:v>896</x:v>
      </x:c>
      <x:c r="J67" s="34" t="n">
        <x:f>I67*(IF(G67&gt;1,(G67-1)/G67,0))</x:f>
        <x:v>784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((ROUNDUP('Prefill'!$P$7/'Prefill'!$P$12,0)*'Prefill'!$P$12)/'Prefill'!$P$12)*7168</x:f>
        <x:v>7340032</x:v>
      </x:c>
      <x:c r="F68" s="33" t="n">
        <x:f>'Prefill'!$P$28</x:f>
        <x:v>2</x:v>
      </x:c>
      <x:c r="G68" s="33" t="n">
        <x:f>'Prefill'!$P$12</x:f>
        <x:v>8</x:v>
      </x:c>
      <x:c r="H68" s="33" t="n">
        <x:f>93*IF(AND('Prefill'!$P$13&lt;&gt;0,'Prefill'!$P$12&gt;1,'Prefill'!$P$22=0),1,0)</x:f>
        <x:v>93</x:v>
      </x:c>
      <x:c r="I68" s="34" t="n">
        <x:f>E68*F68/1048576</x:f>
        <x:v>14</x:v>
      </x:c>
      <x:c r="J68" s="34" t="n">
        <x:f>I68*(IF(G68&gt;1,G68-1,0))</x:f>
        <x:v>98</x:v>
      </x:c>
      <x:c r="K68" s="34" t="n">
        <x:f>J68*H68</x:f>
        <x:v>9114</x:v>
      </x:c>
      <x:c r="L68" s="34" t="n">
        <x:f>K68*G68</x:f>
        <x:v>72912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(ROUNDUP('Prefill'!$P$7/'Prefill'!$P$12,0)*'Prefill'!$P$12)*7168</x:f>
        <x:v>58720256</x:v>
      </x:c>
      <x:c r="F69" s="33" t="n">
        <x:f>'Prefill'!$P$28</x:f>
        <x:v>2</x:v>
      </x:c>
      <x:c r="G69" s="33" t="n">
        <x:f>'Prefill'!$P$12</x:f>
        <x:v>8</x:v>
      </x:c>
      <x:c r="H69" s="33" t="n">
        <x:f>93*IF(AND('Prefill'!$P$13&lt;&gt;0,'Prefill'!$P$12&gt;1,'Prefill'!$P$22=0),1,0)</x:f>
        <x:v>93</x:v>
      </x:c>
      <x:c r="I69" s="34" t="n">
        <x:f>E69*F69/1048576</x:f>
        <x:v>112</x:v>
      </x:c>
      <x:c r="J69" s="34" t="n">
        <x:f>I69*(IF(G69&gt;1,(G69-1)/G69,0))</x:f>
        <x:v>98</x:v>
      </x:c>
      <x:c r="K69" s="34" t="n">
        <x:f>J69*H69</x:f>
        <x:v>9114</x:v>
      </x:c>
      <x:c r="L69" s="34" t="n">
        <x:f>K69*G69</x:f>
        <x:v>72912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'Prefill'!$P$7*7168</x:f>
        <x:v>58720256</x:v>
      </x:c>
      <x:c r="F70" s="33" t="n">
        <x:f>'Prefill'!$P$28</x:f>
        <x:v>2</x:v>
      </x:c>
      <x:c r="G70" s="33" t="n">
        <x:f>IF('Prefill'!$P$19&gt;0,'Prefill'!$P$19,'Prefill'!$P$12)</x:f>
        <x:v>8</x:v>
      </x:c>
      <x:c r="H70" s="33" t="n">
        <x:f>93*IF(AND('Prefill'!$P$13=0,IF('Prefill'!$P$19&gt;0,'Prefill'!$P$19,'Prefill'!$P$12)&gt;1,'Prefill'!$P$22=0),1,0)</x:f>
        <x:v>0</x:v>
      </x:c>
      <x:c r="I70" s="34" t="n">
        <x:f>E70*F70/1048576</x:f>
        <x:v>112</x:v>
      </x:c>
      <x:c r="J70" s="34" t="n">
        <x:f>I70*(IF(G70&gt;1,2*(G70-1)/G70,0))</x:f>
        <x:v>196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'Prefill'!$P$7*12288</x:f>
        <x:v>100663296</x:v>
      </x:c>
      <x:c r="F71" s="33" t="n">
        <x:f>'Prefill'!$P$28</x:f>
        <x:v>2</x:v>
      </x:c>
      <x:c r="G71" s="33" t="n">
        <x:f>IF('Prefill'!$P$19&gt;0,'Prefill'!$P$19,'Prefill'!$P$12)</x:f>
        <x:v>8</x:v>
      </x:c>
      <x:c r="H71" s="33" t="n">
        <x:f>93*IF(AND(IF('Prefill'!$P$19&gt;0,'Prefill'!$P$19,'Prefill'!$P$12)&gt;1,'Prefill'!$P$22&lt;&gt;0),1,0)</x:f>
        <x:v>0</x:v>
      </x:c>
      <x:c r="I71" s="34" t="n">
        <x:f>E71*F71/1048576</x:f>
        <x:v>192</x:v>
      </x:c>
      <x:c r="J71" s="34" t="n">
        <x:f>I71*(IF(G71&gt;1,(G71-1)/G71,0))</x:f>
        <x:v>168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'Prefill'!$P$7*IF('Prefill'!$P$19&gt;0,'Prefill'!$P$19,'Prefill'!$P$12)*7168</x:f>
        <x:v>469762048</x:v>
      </x:c>
      <x:c r="F72" s="33" t="n">
        <x:f>'Prefill'!$P$28</x:f>
        <x:v>2</x:v>
      </x:c>
      <x:c r="G72" s="33" t="n">
        <x:f>IF('Prefill'!$P$19&gt;0,'Prefill'!$P$19,'Prefill'!$P$12)</x:f>
        <x:v>8</x:v>
      </x:c>
      <x:c r="H72" s="33" t="n">
        <x:f>93*IF(AND(IF('Prefill'!$P$19&gt;0,'Prefill'!$P$19,'Prefill'!$P$12)&gt;1,'Prefill'!$P$22&lt;&gt;0),1,0)</x:f>
        <x:v>0</x:v>
      </x:c>
      <x:c r="I72" s="34" t="n">
        <x:f>E72*F72/1048576</x:f>
        <x:v>896</x:v>
      </x:c>
      <x:c r="J72" s="34" t="n">
        <x:f>I72*(IF(G72&gt;1,(G72-1)/G72,0))</x:f>
        <x:v>784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IF('Prefill'!$P$13&lt;&gt;0,((ROUNDUP('Prefill'!$P$7/'Prefill'!$P$12,0)*'Prefill'!$P$12)/'Prefill'!$P$12),'Prefill'!$P$7)*7168</x:f>
        <x:v>7340032</x:v>
      </x:c>
      <x:c r="F73" s="33" t="n">
        <x:f>'Prefill'!$P$28</x:f>
        <x:v>2</x:v>
      </x:c>
      <x:c r="G73" s="33" t="n">
        <x:f>'Prefill'!$P$12</x:f>
        <x:v>8</x:v>
      </x:c>
      <x:c r="H73" s="33" t="n">
        <x:f>1*IF('Prefill'!$P$12&gt;1,1,0)</x:f>
        <x:v>1</x:v>
      </x:c>
      <x:c r="I73" s="34" t="n">
        <x:f>E73*F73/1048576</x:f>
        <x:v>14</x:v>
      </x:c>
      <x:c r="J73" s="34" t="n">
        <x:f>I73*(IF(G73&gt;1,2*(G73-1)/G73,0))</x:f>
        <x:v>24.5</x:v>
      </x:c>
      <x:c r="K73" s="34" t="n">
        <x:f>J73*H73</x:f>
        <x:v>24.5</x:v>
      </x:c>
      <x:c r="L73" s="34" t="n">
        <x:f>K73*G73</x:f>
        <x:v>196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IF('Prefill'!$P$13&lt;&gt;0,((ROUNDUP('Prefill'!$P$7/'Prefill'!$P$12,0)*'Prefill'!$P$12)/'Prefill'!$P$12),'Prefill'!$P$7)*16*'Prefill'!$P$32*7168</x:f>
        <x:v>102760448</x:v>
      </x:c>
      <x:c r="F74" s="33" t="n">
        <x:f>'Prefill'!$P$28</x:f>
        <x:v>2</x:v>
      </x:c>
      <x:c r="G74" s="33" t="n">
        <x:f>'Prefill'!$P$14</x:f>
        <x:v>8</x:v>
      </x:c>
      <x:c r="H74" s="33" t="n">
        <x:f>92*IF('Prefill'!$P$14&gt;1,1,0)</x:f>
        <x:v>92</x:v>
      </x:c>
      <x:c r="I74" s="34" t="n">
        <x:f>E74*F74/1048576</x:f>
        <x:v>196</x:v>
      </x:c>
      <x:c r="J74" s="34" t="n">
        <x:f>I74*(1)</x:f>
        <x:v>196</x:v>
      </x:c>
      <x:c r="K74" s="34" t="n">
        <x:f>J74*H74</x:f>
        <x:v>18032</x:v>
      </x:c>
      <x:c r="L74" s="34" t="n">
        <x:f>K74*G74</x:f>
        <x:v>144256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IF('Prefill'!$P$13&lt;&gt;0,((ROUNDUP('Prefill'!$P$7/'Prefill'!$P$12,0)*'Prefill'!$P$12)/'Prefill'!$P$12),'Prefill'!$P$7)*16*'Prefill'!$P$32*7168</x:f>
        <x:v>102760448</x:v>
      </x:c>
      <x:c r="F75" s="33" t="n">
        <x:f>'Prefill'!$P$28</x:f>
        <x:v>2</x:v>
      </x:c>
      <x:c r="G75" s="33" t="n">
        <x:f>'Prefill'!$P$14</x:f>
        <x:v>8</x:v>
      </x:c>
      <x:c r="H75" s="33" t="n">
        <x:f>92*IF('Prefill'!$P$14&gt;1,1,0)</x:f>
        <x:v>92</x:v>
      </x:c>
      <x:c r="I75" s="34" t="n">
        <x:f>E75*F75/1048576</x:f>
        <x:v>196</x:v>
      </x:c>
      <x:c r="J75" s="34" t="n">
        <x:f>I75*(1)</x:f>
        <x:v>196</x:v>
      </x:c>
      <x:c r="K75" s="34" t="n">
        <x:f>J75*H75</x:f>
        <x:v>18032</x:v>
      </x:c>
      <x:c r="L75" s="34" t="n">
        <x:f>K75*G75</x:f>
        <x:v>144256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'Prefill'!$P$7*7168</x:f>
        <x:v>58720256</x:v>
      </x:c>
      <x:c r="F76" s="33" t="n">
        <x:f>'Prefill'!$P$28</x:f>
        <x:v>2</x:v>
      </x:c>
      <x:c r="G76" s="33" t="n">
        <x:f>'Prefill'!$P$11</x:f>
        <x:v>1</x:v>
      </x:c>
      <x:c r="H76" s="33" t="n">
        <x:f>92*IF(AND('Prefill'!$P$11&gt;1,'Prefill'!$P$14=1),1,0)</x:f>
        <x:v>0</x:v>
      </x:c>
      <x:c r="I76" s="34" t="n">
        <x:f>E76*F76/1048576</x:f>
        <x:v>112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'Prefill'!$P$7*896</x:f>
        <x:v>7340032</x:v>
      </x:c>
      <x:c r="F77" s="33" t="n">
        <x:f>'Prefill'!$P$28</x:f>
        <x:v>2</x:v>
      </x:c>
      <x:c r="G77" s="33" t="n">
        <x:f>'Prefill'!$P$11</x:f>
        <x:v>1</x:v>
      </x:c>
      <x:c r="H77" s="33" t="n">
        <x:f>92*IF(AND('Prefill'!$P$11&gt;1,'Prefill'!$P$14=1),1,0)</x:f>
        <x:v>0</x:v>
      </x:c>
      <x:c r="I77" s="34" t="n">
        <x:f>E77*F77/1048576</x:f>
        <x:v>14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'Prefill'!$P$7*'Prefill'!$P$11*7168</x:f>
        <x:v>58720256</x:v>
      </x:c>
      <x:c r="F78" s="33" t="n">
        <x:f>'Prefill'!$P$28</x:f>
        <x:v>2</x:v>
      </x:c>
      <x:c r="G78" s="33" t="n">
        <x:f>'Prefill'!$P$11</x:f>
        <x:v>1</x:v>
      </x:c>
      <x:c r="H78" s="33" t="n">
        <x:f>92*IF(AND('Prefill'!$P$11&gt;1,'Prefill'!$P$14=1),1,0)</x:f>
        <x:v>0</x:v>
      </x:c>
      <x:c r="I78" s="34" t="n">
        <x:f>E78*F78/1048576</x:f>
        <x:v>112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((ROUNDUP('Prefill'!$P$7/'Prefill'!$P$12,0)*'Prefill'!$P$12)/'Prefill'!$P$12)*7168</x:f>
        <x:v>7340032</x:v>
      </x:c>
      <x:c r="F79" s="33" t="n">
        <x:f>'Prefill'!$P$28</x:f>
        <x:v>2</x:v>
      </x:c>
      <x:c r="G79" s="33" t="n">
        <x:f>IF('Prefill'!$P$17="TP",'Prefill'!$P$18,1)</x:f>
        <x:v>8</x:v>
      </x:c>
      <x:c r="H79" s="33" t="n">
        <x:f>92*IF(AND('Prefill'!$P$17="TP",IF('Prefill'!$P$17="TP",'Prefill'!$P$18,1)&gt;1,'Prefill'!$P$13&lt;&gt;0),1,0)</x:f>
        <x:v>92</x:v>
      </x:c>
      <x:c r="I79" s="34" t="n">
        <x:f>E79*F79/1048576</x:f>
        <x:v>14</x:v>
      </x:c>
      <x:c r="J79" s="34" t="n">
        <x:f>I79*(IF(G79&gt;1,G79-1,0))</x:f>
        <x:v>98</x:v>
      </x:c>
      <x:c r="K79" s="34" t="n">
        <x:f>J79*H79</x:f>
        <x:v>9016</x:v>
      </x:c>
      <x:c r="L79" s="34" t="n">
        <x:f>K79*G79</x:f>
        <x:v>72128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(ROUNDUP('Prefill'!$P$7/'Prefill'!$P$12,0)*'Prefill'!$P$12)*7168</x:f>
        <x:v>58720256</x:v>
      </x:c>
      <x:c r="F80" s="33" t="n">
        <x:f>'Prefill'!$P$28</x:f>
        <x:v>2</x:v>
      </x:c>
      <x:c r="G80" s="33" t="n">
        <x:f>IF('Prefill'!$P$17="TP",'Prefill'!$P$18,1)</x:f>
        <x:v>8</x:v>
      </x:c>
      <x:c r="H80" s="33" t="n">
        <x:f>92*IF(AND('Prefill'!$P$17="TP",IF('Prefill'!$P$17="TP",'Prefill'!$P$18,1)&gt;1,'Prefill'!$P$13&lt;&gt;0),1,0)</x:f>
        <x:v>92</x:v>
      </x:c>
      <x:c r="I80" s="34" t="n">
        <x:f>E80*F80/1048576</x:f>
        <x:v>112</x:v>
      </x:c>
      <x:c r="J80" s="34" t="n">
        <x:f>I80*(IF(G80&gt;1,(G80-1)/G80,0))</x:f>
        <x:v>98</x:v>
      </x:c>
      <x:c r="K80" s="34" t="n">
        <x:f>J80*H80</x:f>
        <x:v>9016</x:v>
      </x:c>
      <x:c r="L80" s="34" t="n">
        <x:f>K80*G80</x:f>
        <x:v>72128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'Prefill'!$P$7*7168</x:f>
        <x:v>58720256</x:v>
      </x:c>
      <x:c r="F81" s="33" t="n">
        <x:f>'Prefill'!$P$28</x:f>
        <x:v>2</x:v>
      </x:c>
      <x:c r="G81" s="33" t="n">
        <x:f>IF('Prefill'!$P$17="TP",'Prefill'!$P$18,1)</x:f>
        <x:v>8</x:v>
      </x:c>
      <x:c r="H81" s="33" t="n">
        <x:f>92*IF(AND('Prefill'!$P$17="TP",IF('Prefill'!$P$17="TP",'Prefill'!$P$18,1)&gt;1,'Prefill'!$P$13=0),1,0)</x:f>
        <x:v>0</x:v>
      </x:c>
      <x:c r="I81" s="34" t="n">
        <x:f>E81*F81/1048576</x:f>
        <x:v>112</x:v>
      </x:c>
      <x:c r="J81" s="34" t="n">
        <x:f>I81*(IF(G81&gt;1,2*(G81-1)/G81,0))</x:f>
        <x:v>196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PCP</x:v>
      </x:c>
      <x:c r="B82" s="30" t="str">
        <x:v>MoE</x:v>
      </x:c>
      <x:c r="C82" s="30" t="str">
        <x:v>Hidden 输入</x:v>
      </x:c>
      <x:c r="D82" s="30" t="str">
        <x:v>Ring AllGather</x:v>
      </x:c>
      <x:c r="E82" s="33" t="n">
        <x:f>((ROUNDUP('Prefill'!$P$7/'Prefill'!$P$15,0)*'Prefill'!$P$15)/'Prefill'!$P$15)*7168</x:f>
        <x:v>58720256</x:v>
      </x:c>
      <x:c r="F82" s="33" t="n">
        <x:f>'Prefill'!$P$28</x:f>
        <x:v>2</x:v>
      </x:c>
      <x:c r="G82" s="33" t="n">
        <x:f>'Prefill'!$P$15</x:f>
        <x:v>1</x:v>
      </x:c>
      <x:c r="H82" s="33" t="n">
        <x:f>92*IF('Prefill'!$P$15&gt;1,1,0)</x:f>
        <x:v>0</x:v>
      </x:c>
      <x:c r="I82" s="34" t="n">
        <x:f>E82*F82/1048576</x:f>
        <x:v>112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PCP</x:v>
      </x:c>
      <x:c r="B83" s="30" t="str">
        <x:v>MoE Router</x:v>
      </x:c>
      <x:c r="C83" s="30" t="str">
        <x:v>Router Logits</x:v>
      </x:c>
      <x:c r="D83" s="30" t="str">
        <x:v>Ring AllGather</x:v>
      </x:c>
      <x:c r="E83" s="33" t="n">
        <x:f>((ROUNDUP('Prefill'!$P$7/'Prefill'!$P$15,0)*'Prefill'!$P$15)/'Prefill'!$P$15)*896</x:f>
        <x:v>7340032</x:v>
      </x:c>
      <x:c r="F83" s="33" t="n">
        <x:f>'Prefill'!$P$28</x:f>
        <x:v>2</x:v>
      </x:c>
      <x:c r="G83" s="33" t="n">
        <x:f>'Prefill'!$P$15</x:f>
        <x:v>1</x:v>
      </x:c>
      <x:c r="H83" s="33" t="n">
        <x:f>92*IF('Prefill'!$P$15&gt;1,1,0)</x:f>
        <x:v>0</x:v>
      </x:c>
      <x:c r="I83" s="34" t="n">
        <x:f>E83*F83/1048576</x:f>
        <x:v>14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PCP</x:v>
      </x:c>
      <x:c r="B84" s="30" t="str">
        <x:v>MoE</x:v>
      </x:c>
      <x:c r="C84" s="30" t="str">
        <x:v>Routed Expert 输出</x:v>
      </x:c>
      <x:c r="D84" s="30" t="str">
        <x:v>Ring ReduceScatter</x:v>
      </x:c>
      <x:c r="E84" s="33" t="n">
        <x:f>(ROUNDUP('Prefill'!$P$7/'Prefill'!$P$15,0)*'Prefill'!$P$15)*7168</x:f>
        <x:v>58720256</x:v>
      </x:c>
      <x:c r="F84" s="33" t="n">
        <x:f>'Prefill'!$P$28</x:f>
        <x:v>2</x:v>
      </x:c>
      <x:c r="G84" s="33" t="n">
        <x:f>'Prefill'!$P$15</x:f>
        <x:v>1</x:v>
      </x:c>
      <x:c r="H84" s="33" t="n">
        <x:f>92*IF('Prefill'!$P$15&gt;1,1,0)</x:f>
        <x:v>0</x:v>
      </x:c>
      <x:c r="I84" s="34" t="n">
        <x:f>E84*F84/1048576</x:f>
        <x:v>112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PCP</x:v>
      </x:c>
      <x:c r="B85" s="30" t="str">
        <x:v>Attention KV</x:v>
      </x:c>
      <x:c r="C85" s="30" t="str">
        <x:v>KV Cache 写入前</x:v>
      </x:c>
      <x:c r="D85" s="30" t="str">
        <x:v>Ring AllGather</x:v>
      </x:c>
      <x:c r="E85" s="33" t="n">
        <x:f>((ROUNDUP('Prefill'!$P$7/'Prefill'!$P$15,0)*'Prefill'!$P$15)/'Prefill'!$P$15)*576</x:f>
        <x:v>4718592</x:v>
      </x:c>
      <x:c r="F85" s="33" t="n">
        <x:f>'Prefill'!$P$28</x:f>
        <x:v>2</x:v>
      </x:c>
      <x:c r="G85" s="33" t="n">
        <x:f>'Prefill'!$P$15</x:f>
        <x:v>1</x:v>
      </x:c>
      <x:c r="H85" s="33" t="n">
        <x:f>93*IF('Prefill'!$P$15&gt;1,1,0)</x:f>
        <x:v>0</x:v>
      </x:c>
      <x:c r="I85" s="34" t="n">
        <x:f>E85*F85/1048576</x:f>
        <x:v>9</x:v>
      </x:c>
      <x:c r="J85" s="34" t="n">
        <x:f>I85*(IF(G85&gt;1,G85-1,0))</x:f>
        <x:v>0</x:v>
      </x:c>
      <x:c r="K85" s="34" t="n">
        <x:f>J85*H85</x:f>
        <x:v>0</x:v>
      </x:c>
      <x:c r="L85" s="34" t="n">
        <x:f>K85*G85</x:f>
        <x:v>0</x:v>
      </x:c>
      <x:c r="M85" s="30"/>
      <x:c r="N85" s="30"/>
      <x:c r="O85" s="30"/>
      <x:c r="P85" s="30"/>
    </x:row>
    <x:row r="86">
      <x:c r="A86" s="30" t="str">
        <x:v>SP</x:v>
      </x:c>
      <x:c r="B86" s="30" t="str">
        <x:v>Model Output</x:v>
      </x:c>
      <x:c r="C86" s="30" t="str">
        <x:v>Final Norm 后</x:v>
      </x:c>
      <x:c r="D86" s="30" t="str">
        <x:v>Ring AllGather</x:v>
      </x:c>
      <x:c r="E86" s="33" t="n">
        <x:f>((ROUNDUP('Prefill'!$P$7/'Prefill'!$P$12,0)*'Prefill'!$P$12)/'Prefill'!$P$12)*7168</x:f>
        <x:v>7340032</x:v>
      </x:c>
      <x:c r="F86" s="33" t="n">
        <x:f>'Prefill'!$P$28</x:f>
        <x:v>2</x:v>
      </x:c>
      <x:c r="G86" s="33" t="n">
        <x:f>'Prefill'!$P$12</x:f>
        <x:v>8</x:v>
      </x:c>
      <x:c r="H86" s="33" t="n">
        <x:f>IF(AND('Prefill'!$P$13&lt;&gt;0,'Prefill'!$P$12&gt;1),1,0)</x:f>
        <x:v>1</x:v>
      </x:c>
      <x:c r="I86" s="34" t="n">
        <x:f>E86*F86/1048576</x:f>
        <x:v>14</x:v>
      </x:c>
      <x:c r="J86" s="34" t="n">
        <x:f>I86*(IF(G86&gt;1,G86-1,0))</x:f>
        <x:v>98</x:v>
      </x:c>
      <x:c r="K86" s="34" t="n">
        <x:f>J86*H86</x:f>
        <x:v>98</x:v>
      </x:c>
      <x:c r="L86" s="34" t="n">
        <x:f>K86*G86</x:f>
        <x:v>784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完整 Logits</x:v>
      </x:c>
      <x:c r="D87" s="30" t="str">
        <x:v>Ring AllGather</x:v>
      </x:c>
      <x:c r="E87" s="33" t="n">
        <x:f>'Prefill'!$P$8*163840/IF('Prefill'!$P$20&gt;0,'Prefill'!$P$20,'Prefill'!$P$12)</x:f>
        <x:v>2621440</x:v>
      </x:c>
      <x:c r="F87" s="33" t="n">
        <x:f>'Prefill'!$P$28</x:f>
        <x:v>2</x:v>
      </x:c>
      <x:c r="G87" s="33" t="n">
        <x:f>IF('Prefill'!$P$20&gt;0,'Prefill'!$P$20,'Prefill'!$P$12)</x:f>
        <x:v>8</x:v>
      </x:c>
      <x:c r="H87" s="33" t="n">
        <x:f>IF(AND(IF('Prefill'!$P$20&gt;0,'Prefill'!$P$20,'Prefill'!$P$12)&gt;1,'Prefill'!$P$23=0,'Prefill'!$P$33=0),1,0)</x:f>
        <x:v>0</x:v>
      </x:c>
      <x:c r="I87" s="34" t="n">
        <x:f>E87*F87/1048576</x:f>
        <x:v>5</x:v>
      </x:c>
      <x:c r="J87" s="34" t="n">
        <x:f>I87*(IF(G87&gt;1,G87-1,0))</x:f>
        <x:v>35</x:v>
      </x:c>
      <x:c r="K87" s="34" t="n">
        <x:f>J87*H87</x:f>
        <x:v>0</x:v>
      </x:c>
      <x:c r="L87" s="34" t="n">
        <x:f>K87*G87</x:f>
        <x:v>0</x:v>
      </x:c>
      <x:c r="M87" s="30"/>
      <x:c r="N87" s="30"/>
      <x:c r="O87" s="30"/>
      <x:c r="P87" s="30"/>
    </x:row>
    <x:row r="88">
      <x:c r="A88" s="30" t="str">
        <x:v>LM Head TP</x:v>
      </x:c>
      <x:c r="B88" s="30" t="str">
        <x:v>LM Head</x:v>
      </x:c>
      <x:c r="C88" s="30" t="str">
        <x:v>Reduce Sample</x:v>
      </x:c>
      <x:c r="D88" s="30" t="str">
        <x:v>Ring AllGather</x:v>
      </x:c>
      <x:c r="E88" s="33" t="n">
        <x:f>'Prefill'!$P$8*'Prefill'!$P$34</x:f>
        <x:v>32768</x:v>
      </x:c>
      <x:c r="F88" s="33" t="n">
        <x:f>('Prefill'!$P$28+'Prefill'!$P$31)</x:f>
        <x:v>6</x:v>
      </x:c>
      <x:c r="G88" s="33" t="n">
        <x:f>IF('Prefill'!$P$20&gt;0,'Prefill'!$P$20,'Prefill'!$P$12)</x:f>
        <x:v>8</x:v>
      </x:c>
      <x:c r="H88" s="33" t="n">
        <x:f>IF(AND(IF('Prefill'!$P$20&gt;0,'Prefill'!$P$20,'Prefill'!$P$12)&gt;1,'Prefill'!$P$23=0,'Prefill'!$P$33&lt;&gt;0),1,0)</x:f>
        <x:v>1</x:v>
      </x:c>
      <x:c r="I88" s="34" t="n">
        <x:f>E88*F88/1048576</x:f>
        <x:v>0.1875</x:v>
      </x:c>
      <x:c r="J88" s="34" t="n">
        <x:f>I88*(IF(G88&gt;1,G88-1,0))</x:f>
        <x:v>1.3125</x:v>
      </x:c>
      <x:c r="K88" s="34" t="n">
        <x:f>J88*H88</x:f>
        <x:v>1.3125</x:v>
      </x:c>
      <x:c r="L88" s="34" t="n">
        <x:f>K88*G88</x:f>
        <x:v>10.5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Hidden 输入</x:v>
      </x:c>
      <x:c r="D89" s="30" t="str">
        <x:v>Ring AllGather</x:v>
      </x:c>
      <x:c r="E89" s="33" t="n">
        <x:f>'Prefill'!$P$8*7168</x:f>
        <x:v>917504</x:v>
      </x:c>
      <x:c r="F89" s="33" t="n">
        <x:f>'Prefill'!$P$28</x:f>
        <x:v>2</x:v>
      </x:c>
      <x:c r="G89" s="33" t="n">
        <x:f>IF('Prefill'!$P$20&gt;0,'Prefill'!$P$20,'Prefill'!$P$12)</x:f>
        <x:v>8</x:v>
      </x:c>
      <x:c r="H89" s="33" t="n">
        <x:f>IF(AND(IF('Prefill'!$P$20&gt;0,'Prefill'!$P$20,'Prefill'!$P$12)&gt;1,'Prefill'!$P$23&lt;&gt;0),1,0)</x:f>
        <x:v>0</x:v>
      </x:c>
      <x:c r="I89" s="34" t="n">
        <x:f>E89*F89/1048576</x:f>
        <x:v>1.75</x:v>
      </x:c>
      <x:c r="J89" s="34" t="n">
        <x:f>I89*(IF(G89&gt;1,G89-1,0))</x:f>
        <x:v>12.25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完整 Logits</x:v>
      </x:c>
      <x:c r="D90" s="30" t="str">
        <x:v>Equal-split AllToAll</x:v>
      </x:c>
      <x:c r="E90" s="33" t="n">
        <x:f>'Prefill'!$P$8*163840</x:f>
        <x:v>20971520</x:v>
      </x:c>
      <x:c r="F90" s="33" t="n">
        <x:f>'Prefill'!$P$28</x:f>
        <x:v>2</x:v>
      </x:c>
      <x:c r="G90" s="33" t="n">
        <x:f>IF('Prefill'!$P$20&gt;0,'Prefill'!$P$20,'Prefill'!$P$12)</x:f>
        <x:v>8</x:v>
      </x:c>
      <x:c r="H90" s="33" t="n">
        <x:f>IF(AND(IF('Prefill'!$P$20&gt;0,'Prefill'!$P$20,'Prefill'!$P$12)&gt;1,'Prefill'!$P$23&lt;&gt;0,'Prefill'!$P$33=0),1,0)</x:f>
        <x:v>0</x:v>
      </x:c>
      <x:c r="I90" s="34" t="n">
        <x:f>E90*F90/1048576</x:f>
        <x:v>40</x:v>
      </x:c>
      <x:c r="J90" s="34" t="n">
        <x:f>I90*(IF(G90&gt;1,(G90-1)/G90,0))</x:f>
        <x:v>35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30" t="str">
        <x:v>Fine LM Head TP</x:v>
      </x:c>
      <x:c r="B91" s="30" t="str">
        <x:v>LM Head</x:v>
      </x:c>
      <x:c r="C91" s="30" t="str">
        <x:v>Reduce Sample</x:v>
      </x:c>
      <x:c r="D91" s="30" t="str">
        <x:v>Ring AllGather</x:v>
      </x:c>
      <x:c r="E91" s="33" t="n">
        <x:f>'Prefill'!$P$8*'Prefill'!$P$34</x:f>
        <x:v>32768</x:v>
      </x:c>
      <x:c r="F91" s="33" t="n">
        <x:f>('Prefill'!$P$28+'Prefill'!$P$31)</x:f>
        <x:v>6</x:v>
      </x:c>
      <x:c r="G91" s="33" t="n">
        <x:f>IF('Prefill'!$P$20&gt;0,'Prefill'!$P$20,'Prefill'!$P$12)</x:f>
        <x:v>8</x:v>
      </x:c>
      <x:c r="H91" s="33" t="n">
        <x:f>IF(AND(IF('Prefill'!$P$20&gt;0,'Prefill'!$P$20,'Prefill'!$P$12)&gt;1,'Prefill'!$P$23&lt;&gt;0,'Prefill'!$P$33&lt;&gt;0),1,0)</x:f>
        <x:v>0</x:v>
      </x:c>
      <x:c r="I91" s="34" t="n">
        <x:f>E91*F91/1048576</x:f>
        <x:v>0.1875</x:v>
      </x:c>
      <x:c r="J91" s="34" t="n">
        <x:f>I91*(IF(G91&gt;1,G91-1,0))</x:f>
        <x:v>1.3125</x:v>
      </x:c>
      <x:c r="K91" s="34" t="n">
        <x:f>J91*H91</x:f>
        <x:v>0</x:v>
      </x:c>
      <x:c r="L91" s="34" t="n">
        <x:f>K91*G91</x:f>
        <x:v>0</x:v>
      </x:c>
      <x:c r="M91" s="30"/>
      <x:c r="N91" s="30"/>
      <x:c r="O91" s="30"/>
      <x:c r="P91" s="30"/>
    </x:row>
    <x:row r="92">
      <x:c r="A92" s="40" t="str">
        <x:v>合计</x:v>
      </x:c>
      <x:c r="B92" s="40"/>
      <x:c r="C92" s="40"/>
      <x:c r="D92" s="40"/>
      <x:c r="E92" s="40"/>
      <x:c r="F92" s="40"/>
      <x:c r="G92" s="40"/>
      <x:c r="H92" s="40"/>
      <x:c r="I92" s="41"/>
      <x:c r="J92" s="41"/>
      <x:c r="K92" s="41" t="n">
        <x:f>SUM(K65:K91)</x:f>
        <x:v>72643.8125</x:v>
      </x:c>
      <x:c r="L92" s="41" t="n">
        <x:f>SUM(L65:L91)</x:f>
        <x:v>581150.5</x:v>
      </x:c>
      <x:c r="M92" s="30"/>
      <x:c r="N92" s="30"/>
      <x:c r="O92" s="30"/>
      <x:c r="P92" s="30"/>
    </x:row>
    <x:row r="95" ht="15" customHeight="1">
      <x:c r="A95" s="40" t="str">
        <x:v>PD 带宽争用耗时评估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15" customHeight="1">
      <x:c r="A96" s="30" t="str">
        <x:v>Prefill 当前表参数；100 GB/s 为归一化示例。所列事件的带宽项，不等于完整 forward 耗时。</x:v>
      </x:c>
      <x:c r="B96" s="30"/>
      <x:c r="C96" s="30"/>
      <x:c r="D96" s="30"/>
      <x:c r="E96" s="30"/>
      <x:c r="F96" s="30"/>
      <x:c r="G96" s="30"/>
      <x:c r="H96" s="30"/>
      <x:c r="I96" s="30"/>
      <x:c r="J96" s="30"/>
      <x:c r="K96" s="30"/>
      <x:c r="L96" s="30"/>
    </x:row>
    <x:row r="97" ht="30" customHeight="1">
      <x:c r="A97" s="62" t="str">
        <x:v>带宽降幅</x:v>
      </x:c>
      <x:c r="B97" s="62" t="str">
        <x:v>输入</x:v>
      </x:c>
      <x:c r="C97" s="62" t="str">
        <x:v>争用覆盖率</x:v>
      </x:c>
      <x:c r="D97" s="62" t="str">
        <x:v>输入</x:v>
      </x:c>
      <x:c r="E97" s="62" t="str">
        <x:v>基线 forward ms</x:v>
      </x:c>
      <x:c r="F97" s="62" t="str">
        <x:v>实测输入</x:v>
      </x:c>
      <x:c r="G97" s="62" t="str">
        <x:v>默认带宽 GB/s</x:v>
      </x:c>
      <x:c r="H97" s="62" t="str">
        <x:v>输入</x:v>
      </x:c>
      <x:c r="I97" s="30"/>
      <x:c r="J97" s="30"/>
      <x:c r="K97" s="30"/>
      <x:c r="L97" s="30"/>
    </x:row>
    <x:row r="98" ht="15" customHeight="1">
      <x:c r="A98" s="30"/>
      <x:c r="B98" s="63" t="n">
        <x:v>0.1</x:v>
      </x:c>
      <x:c r="C98" s="30"/>
      <x:c r="D98" s="63" t="n">
        <x:v>1</x:v>
      </x:c>
      <x:c r="E98" s="30"/>
      <x:c r="F98" s="38"/>
      <x:c r="G98" s="30"/>
      <x:c r="H98" s="36" t="n">
        <x:v>100</x:v>
      </x:c>
      <x:c r="I98" s="30"/>
      <x:c r="J98" s="30"/>
      <x:c r="K98" s="30"/>
      <x:c r="L98" s="30"/>
    </x:row>
    <x:row r="99" ht="30" customHeight="1">
      <x:c r="A99" s="62" t="str">
        <x:v>通信基线 ms</x:v>
      </x:c>
      <x:c r="B99" s="62" t="str">
        <x:v>结果</x:v>
      </x:c>
      <x:c r="C99" s="62" t="str">
        <x:v>通信争用后 ms</x:v>
      </x:c>
      <x:c r="D99" s="62" t="str">
        <x:v>结果</x:v>
      </x:c>
      <x:c r="E99" s="62" t="str">
        <x:v>forward 增量 ms</x:v>
      </x:c>
      <x:c r="F99" s="62" t="str">
        <x:v>结果</x:v>
      </x:c>
      <x:c r="G99" s="62" t="str">
        <x:v>forward 新耗时 ms</x:v>
      </x:c>
      <x:c r="H99" s="62" t="str">
        <x:v>结果</x:v>
      </x:c>
      <x:c r="I99" s="62" t="str">
        <x:v>forward 增幅</x:v>
      </x:c>
      <x:c r="J99" s="62" t="str">
        <x:v>结果</x:v>
      </x:c>
      <x:c r="K99" s="62" t="str">
        <x:v>输入状态</x:v>
      </x:c>
      <x:c r="L99" s="62" t="str">
        <x:v>状态</x:v>
      </x:c>
    </x:row>
    <x:row r="100" ht="15" customHeight="1">
      <x:c r="A100" s="49"/>
      <x:c r="B100" s="49" t="n">
        <x:f>SUM(G104:G131)</x:f>
        <x:v>761.74866432</x:v>
      </x:c>
      <x:c r="C100" s="49"/>
      <x:c r="D100" s="49" t="n">
        <x:f>SUM(H104:H131)</x:f>
        <x:v>846.3874048</x:v>
      </x:c>
      <x:c r="E100" s="49"/>
      <x:c r="F100" s="49" t="n">
        <x:f>SUM(K104:K131)</x:f>
        <x:v>84.63874048000001</x:v>
      </x:c>
      <x:c r="G100" s="49"/>
      <x:c r="H100" s="49" t="str">
        <x:f>IF(AND(ISNUMBER($F$98),$F$98&gt;0,$F$98&gt;=SUMPRODUCT(G104:G131,J104:J131)),$F$98+F100,"")</x:f>
      </x:c>
      <x:c r="I100" s="49"/>
      <x:c r="J100" s="50" t="str">
        <x:f>IF(AND(ISNUMBER($F$98),$F$98&gt;0,$F$98&gt;=SUMPRODUCT(G104:G131,J104:J131)),F100/$F$98,"")</x:f>
      </x:c>
      <x:c r="K100" s="49"/>
      <x:c r="L100" s="49" t="str">
        <x:f>IF($F$98="","待填基线",IF(AND(ISNUMBER($F$98),$F$98&gt;0,$F$98&gt;=SUMPRODUCT(G104:G131,J104:J131)),"已填基线","基线/暴露不一致"))</x:f>
        <x:v>待填基线</x:v>
      </x:c>
    </x:row>
    <x:row r="101" ht="15" customHeight="1">
      <x:c r="A101" s="30" t="str">
        <x:v>共享比例=0 表示独立链路；暴露系数=0 表示增量完全隐藏。默认均为 1，降幅只作用于带宽项。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15" customHeight="1">
      <x:c r="A102" s="30" t="str">
        <x:v>P: AllToAllV + 4 B 计数 Ring；D: A3 BF16 MC2 FullMesh。每事件带宽按端点发送量定义。</x:v>
      </x:c>
      <x:c r="B102" s="30"/>
      <x:c r="C102" s="30"/>
      <x:c r="D102" s="30"/>
      <x:c r="E102" s="30"/>
      <x:c r="F102" s="30"/>
      <x:c r="G102" s="30"/>
      <x:c r="H102" s="30"/>
      <x:c r="I102" s="30"/>
      <x:c r="J102" s="30"/>
      <x:c r="K102" s="30"/>
      <x:c r="L102" s="30"/>
    </x:row>
    <x:row r="103" ht="30" customHeight="1">
      <x:c r="A103" s="62" t="str">
        <x:v>并行域</x:v>
      </x:c>
      <x:c r="B103" s="62" t="str">
        <x:v>模块</x:v>
      </x:c>
      <x:c r="C103" s="62" t="str">
        <x:v>通信事件</x:v>
      </x:c>
      <x:c r="D103" s="62" t="str">
        <x:v>GB/Rank/Step</x:v>
      </x:c>
      <x:c r="E103" s="62" t="str">
        <x:v>有效带宽 GB/s</x:v>
      </x:c>
      <x:c r="F103" s="62" t="str">
        <x:v>共享比例</x:v>
      </x:c>
      <x:c r="G103" s="62" t="str">
        <x:v>基线带宽项 ms</x:v>
      </x:c>
      <x:c r="H103" s="62" t="str">
        <x:v>争用后带宽项 ms</x:v>
      </x:c>
      <x:c r="I103" s="62" t="str">
        <x:v>通信增量 ms</x:v>
      </x:c>
      <x:c r="J103" s="62" t="str">
        <x:v>暴露系数</x:v>
      </x:c>
      <x:c r="K103" s="62" t="str">
        <x:v>forward 增量 ms</x:v>
      </x:c>
      <x:c r="L103" s="62" t="str">
        <x:v>公式口径</x:v>
      </x:c>
    </x:row>
    <x:row r="104" ht="15" customHeight="1">
      <x:c r="A104" s="30" t="str">
        <x:v>Embedding TP</x:v>
      </x:c>
      <x:c r="B104" s="30" t="str">
        <x:v>Embedding</x:v>
      </x:c>
      <x:c r="C104" s="30" t="str">
        <x:v>标准 TP 输出</x:v>
      </x:c>
      <x:c r="D104" s="34" t="n">
        <x:f>(K65*2^20)/1e9</x:f>
        <x:v>0.205520896</x:v>
      </x:c>
      <x:c r="E104" s="64" t="n">
        <x:f>$H$98</x:f>
        <x:v>100</x:v>
      </x:c>
      <x:c r="F104" s="59" t="n">
        <x:v>1</x:v>
      </x:c>
      <x:c r="G104" s="34" t="n">
        <x:f>IF(AND(ISNUMBER(E104),E104&gt;0,ISNUMBER($B$98),$B$98&gt;=0,$B$98&lt;1,ISNUMBER($D$98),$D$98&gt;=0,$D$98&lt;=1,ISNUMBER(F104),F104&gt;=0,F104&lt;=1,ISNUMBER(J104),J104&gt;=0,J104&lt;=1),D104/E104*1000,NA())</x:f>
        <x:v>2.0552089600000003</x:v>
      </x:c>
      <x:c r="H104" s="34" t="n">
        <x:f>G104+I104</x:f>
        <x:v>2.2835655111111115</x:v>
      </x:c>
      <x:c r="I104" s="34" t="n">
        <x:f>G104*F104*$D$98*$B$98/(1-$B$98)</x:f>
        <x:v>0.22835655111111114</x:v>
      </x:c>
      <x:c r="J104" s="59" t="n">
        <x:v>1</x:v>
      </x:c>
      <x:c r="K104" s="34" t="n">
        <x:f>I104*J104</x:f>
        <x:v>0.22835655111111114</x:v>
      </x:c>
      <x:c r="L104" s="30" t="str">
        <x:v>原通信行 65</x:v>
      </x:c>
    </x:row>
    <x:row r="105" ht="15" customHeight="1">
      <x:c r="A105" s="30" t="str">
        <x:v>Embedding TP</x:v>
      </x:c>
      <x:c r="B105" s="30" t="str">
        <x:v>Embedding</x:v>
      </x:c>
      <x:c r="C105" s="30" t="str">
        <x:v>Fine TP Token ID</x:v>
      </x:c>
      <x:c r="D105" s="34" t="n">
        <x:f>(K66*2^20)/1e9</x:f>
        <x:v>0</x:v>
      </x:c>
      <x:c r="E105" s="64" t="n">
        <x:f>$H$98</x:f>
        <x:v>100</x:v>
      </x:c>
      <x:c r="F105" s="59" t="n">
        <x:v>1</x:v>
      </x:c>
      <x:c r="G105" s="34" t="n">
        <x:f>IF(AND(ISNUMBER(E105),E105&gt;0,ISNUMBER($B$98),$B$98&gt;=0,$B$98&lt;1,ISNUMBER($D$98),$D$98&gt;=0,$D$98&lt;=1,ISNUMBER(F105),F105&gt;=0,F105&lt;=1,ISNUMBER(J105),J105&gt;=0,J105&lt;=1),D105/E105*1000,NA())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G105*F105*$D$98*$B$98/(1-$B$98)</x:f>
        <x:v>0</x:v>
      </x:c>
      <x:c r="J105" s="59" t="n">
        <x:v>1</x:v>
      </x:c>
      <x:c r="K105" s="34" t="n">
        <x:f>I105*J105</x:f>
        <x:v>0</x:v>
      </x:c>
      <x:c r="L105" s="30" t="str">
        <x:v>原通信行 66</x:v>
      </x:c>
    </x:row>
    <x:row r="106" ht="15" customHeight="1">
      <x:c r="A106" s="30" t="str">
        <x:v>Embedding TP</x:v>
      </x:c>
      <x:c r="B106" s="30" t="str">
        <x:v>Embedding</x:v>
      </x:c>
      <x:c r="C106" s="30" t="str">
        <x:v>Fine TP Hidden</x:v>
      </x:c>
      <x:c r="D106" s="34" t="n">
        <x:f>(K67*2^20)/1e9</x:f>
        <x:v>0</x:v>
      </x:c>
      <x:c r="E106" s="64" t="n">
        <x:f>$H$98</x:f>
        <x:v>100</x:v>
      </x:c>
      <x:c r="F106" s="59" t="n">
        <x:v>1</x:v>
      </x:c>
      <x:c r="G106" s="34" t="n">
        <x:f>IF(AND(ISNUMBER(E106),E106&gt;0,ISNUMBER($B$98),$B$98&gt;=0,$B$98&lt;1,ISNUMBER($D$98),$D$98&gt;=0,$D$98&lt;=1,ISNUMBER(F106),F106&gt;=0,F106&lt;=1,ISNUMBER(J106),J106&gt;=0,J106&lt;=1),D106/E106*1000,NA())</x:f>
        <x:v>0</x:v>
      </x:c>
      <x:c r="H106" s="34" t="n">
        <x:f>G106+I106</x:f>
        <x:v>0</x:v>
      </x:c>
      <x:c r="I106" s="34" t="n">
        <x:f>G106*F106*$D$98*$B$98/(1-$B$98)</x:f>
        <x:v>0</x:v>
      </x:c>
      <x:c r="J106" s="59" t="n">
        <x:v>1</x:v>
      </x:c>
      <x:c r="K106" s="34" t="n">
        <x:f>I106*J106</x:f>
        <x:v>0</x:v>
      </x:c>
      <x:c r="L106" s="30" t="str">
        <x:v>原通信行 67</x:v>
      </x:c>
    </x:row>
    <x:row r="107" ht="15" customHeight="1">
      <x:c r="A107" s="30" t="str">
        <x:v>SP</x:v>
      </x:c>
      <x:c r="B107" s="30" t="str">
        <x:v>Attention</x:v>
      </x:c>
      <x:c r="C107" s="30" t="str">
        <x:v>Attention 前</x:v>
      </x:c>
      <x:c r="D107" s="34" t="n">
        <x:f>(K68*2^20)/1e9</x:f>
        <x:v>9.556721664</x:v>
      </x:c>
      <x:c r="E107" s="64" t="n">
        <x:f>$H$98</x:f>
        <x:v>100</x:v>
      </x:c>
      <x:c r="F107" s="59" t="n">
        <x:v>1</x:v>
      </x:c>
      <x:c r="G107" s="34" t="n">
        <x:f>IF(AND(ISNUMBER(E107),E107&gt;0,ISNUMBER($B$98),$B$98&gt;=0,$B$98&lt;1,ISNUMBER($D$98),$D$98&gt;=0,$D$98&lt;=1,ISNUMBER(F107),F107&gt;=0,F107&lt;=1,ISNUMBER(J107),J107&gt;=0,J107&lt;=1),D107/E107*1000,NA())</x:f>
        <x:v>95.56721664</x:v>
      </x:c>
      <x:c r="H107" s="34" t="n">
        <x:f>G107+I107</x:f>
        <x:v>106.18579626666667</x:v>
      </x:c>
      <x:c r="I107" s="34" t="n">
        <x:f>G107*F107*$D$98*$B$98/(1-$B$98)</x:f>
        <x:v>10.618579626666666</x:v>
      </x:c>
      <x:c r="J107" s="59" t="n">
        <x:v>1</x:v>
      </x:c>
      <x:c r="K107" s="34" t="n">
        <x:f>I107*J107</x:f>
        <x:v>10.618579626666666</x:v>
      </x:c>
      <x:c r="L107" s="30" t="str">
        <x:v>原通信行 68</x:v>
      </x:c>
    </x:row>
    <x:row r="108" ht="15" customHeight="1">
      <x:c r="A108" s="30" t="str">
        <x:v>SP</x:v>
      </x:c>
      <x:c r="B108" s="30" t="str">
        <x:v>Attention</x:v>
      </x:c>
      <x:c r="C108" s="30" t="str">
        <x:v>O Proj 后</x:v>
      </x:c>
      <x:c r="D108" s="34" t="n">
        <x:f>(K69*2^20)/1e9</x:f>
        <x:v>9.556721664</x:v>
      </x:c>
      <x:c r="E108" s="64" t="n">
        <x:f>$H$98</x:f>
        <x:v>100</x:v>
      </x:c>
      <x:c r="F108" s="59" t="n">
        <x:v>1</x:v>
      </x:c>
      <x:c r="G108" s="34" t="n">
        <x:f>IF(AND(ISNUMBER(E108),E108&gt;0,ISNUMBER($B$98),$B$98&gt;=0,$B$98&lt;1,ISNUMBER($D$98),$D$98&gt;=0,$D$98&lt;=1,ISNUMBER(F108),F108&gt;=0,F108&lt;=1,ISNUMBER(J108),J108&gt;=0,J108&lt;=1),D108/E108*1000,NA())</x:f>
        <x:v>95.56721664</x:v>
      </x:c>
      <x:c r="H108" s="34" t="n">
        <x:f>G108+I108</x:f>
        <x:v>106.18579626666667</x:v>
      </x:c>
      <x:c r="I108" s="34" t="n">
        <x:f>G108*F108*$D$98*$B$98/(1-$B$98)</x:f>
        <x:v>10.618579626666666</x:v>
      </x:c>
      <x:c r="J108" s="59" t="n">
        <x:v>1</x:v>
      </x:c>
      <x:c r="K108" s="34" t="n">
        <x:f>I108*J108</x:f>
        <x:v>10.618579626666666</x:v>
      </x:c>
      <x:c r="L108" s="30" t="str">
        <x:v>原通信行 69</x:v>
      </x:c>
    </x:row>
    <x:row r="109" ht="15" customHeight="1">
      <x:c r="A109" s="30" t="str">
        <x:v>O Proj TP</x:v>
      </x:c>
      <x:c r="B109" s="30" t="str">
        <x:v>Attention</x:v>
      </x:c>
      <x:c r="C109" s="30" t="str">
        <x:v>非 SP 标准 TP</x:v>
      </x:c>
      <x:c r="D109" s="34" t="n">
        <x:f>(K70*2^20)/1e9</x:f>
        <x:v>0</x:v>
      </x:c>
      <x:c r="E109" s="64" t="n">
        <x:f>$H$98</x:f>
        <x:v>100</x:v>
      </x:c>
      <x:c r="F109" s="59" t="n">
        <x:v>1</x:v>
      </x:c>
      <x:c r="G109" s="34" t="n">
        <x:f>IF(AND(ISNUMBER(E109),E109&gt;0,ISNUMBER($B$98),$B$98&gt;=0,$B$98&lt;1,ISNUMBER($D$98),$D$98&gt;=0,$D$98&lt;=1,ISNUMBER(F109),F109&gt;=0,F109&lt;=1,ISNUMBER(J109),J109&gt;=0,J109&lt;=1),D109/E109*1000,NA())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G109*F109*$D$98*$B$98/(1-$B$98)</x:f>
        <x:v>0</x:v>
      </x:c>
      <x:c r="J109" s="59" t="n">
        <x:v>1</x:v>
      </x:c>
      <x:c r="K109" s="34" t="n">
        <x:f>I109*J109</x:f>
        <x:v>0</x:v>
      </x:c>
      <x:c r="L109" s="30" t="str">
        <x:v>原通信行 70</x:v>
      </x:c>
    </x:row>
    <x:row r="110" ht="15" customHeight="1">
      <x:c r="A110" s="30" t="str">
        <x:v>Fine O TP</x:v>
      </x:c>
      <x:c r="B110" s="30" t="str">
        <x:v>Attention</x:v>
      </x:c>
      <x:c r="C110" s="30" t="str">
        <x:v>O Proj 输入</x:v>
      </x:c>
      <x:c r="D110" s="34" t="n">
        <x:f>(K71*2^20)/1e9</x:f>
        <x:v>0</x:v>
      </x:c>
      <x:c r="E110" s="64" t="n">
        <x:f>$H$98</x:f>
        <x:v>100</x:v>
      </x:c>
      <x:c r="F110" s="59" t="n">
        <x:v>1</x:v>
      </x:c>
      <x:c r="G110" s="34" t="n">
        <x:f>IF(AND(ISNUMBER(E110),E110&gt;0,ISNUMBER($B$98),$B$98&gt;=0,$B$98&lt;1,ISNUMBER($D$98),$D$98&gt;=0,$D$98&lt;=1,ISNUMBER(F110),F110&gt;=0,F110&lt;=1,ISNUMBER(J110),J110&gt;=0,J110&lt;=1),D110/E110*1000,NA())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G110*F110*$D$98*$B$98/(1-$B$98)</x:f>
        <x:v>0</x:v>
      </x:c>
      <x:c r="J110" s="59" t="n">
        <x:v>1</x:v>
      </x:c>
      <x:c r="K110" s="34" t="n">
        <x:f>I110*J110</x:f>
        <x:v>0</x:v>
      </x:c>
      <x:c r="L110" s="30" t="str">
        <x:v>原通信行 71</x:v>
      </x:c>
    </x:row>
    <x:row r="111" ht="15" customHeight="1">
      <x:c r="A111" s="30" t="str">
        <x:v>Fine O TP</x:v>
      </x:c>
      <x:c r="B111" s="30" t="str">
        <x:v>Attention</x:v>
      </x:c>
      <x:c r="C111" s="30" t="str">
        <x:v>O Proj 输出</x:v>
      </x:c>
      <x:c r="D111" s="34" t="n">
        <x:f>(K72*2^20)/1e9</x:f>
        <x:v>0</x:v>
      </x:c>
      <x:c r="E111" s="64" t="n">
        <x:f>$H$98</x:f>
        <x:v>100</x:v>
      </x:c>
      <x:c r="F111" s="59" t="n">
        <x:v>1</x:v>
      </x:c>
      <x:c r="G111" s="34" t="n">
        <x:f>IF(AND(ISNUMBER(E111),E111&gt;0,ISNUMBER($B$98),$B$98&gt;=0,$B$98&lt;1,ISNUMBER($D$98),$D$98&gt;=0,$D$98&lt;=1,ISNUMBER(F111),F111&gt;=0,F111&lt;=1,ISNUMBER(J111),J111&gt;=0,J111&lt;=1),D111/E111*1000,NA())</x:f>
        <x:v>0</x:v>
      </x:c>
      <x:c r="H111" s="34" t="n">
        <x:f>G111+I111</x:f>
        <x:v>0</x:v>
      </x:c>
      <x:c r="I111" s="34" t="n">
        <x:f>G111*F111*$D$98*$B$98/(1-$B$98)</x:f>
        <x:v>0</x:v>
      </x:c>
      <x:c r="J111" s="59" t="n">
        <x:v>1</x:v>
      </x:c>
      <x:c r="K111" s="34" t="n">
        <x:f>I111*J111</x:f>
        <x:v>0</x:v>
      </x:c>
      <x:c r="L111" s="30" t="str">
        <x:v>原通信行 72</x:v>
      </x:c>
    </x:row>
    <x:row r="112" ht="15" customHeight="1">
      <x:c r="A112" s="30" t="str">
        <x:v>SP</x:v>
      </x:c>
      <x:c r="B112" s="30" t="str">
        <x:v>Dense MLP</x:v>
      </x:c>
      <x:c r="C112" s="30" t="str">
        <x:v>Down Proj 输出</x:v>
      </x:c>
      <x:c r="D112" s="34" t="n">
        <x:f>(K73*2^20)/1e9</x:f>
        <x:v>0.025690112</x:v>
      </x:c>
      <x:c r="E112" s="64" t="n">
        <x:f>$H$98</x:f>
        <x:v>100</x:v>
      </x:c>
      <x:c r="F112" s="59" t="n">
        <x:v>1</x:v>
      </x:c>
      <x:c r="G112" s="34" t="n">
        <x:f>IF(AND(ISNUMBER(E112),E112&gt;0,ISNUMBER($B$98),$B$98&gt;=0,$B$98&lt;1,ISNUMBER($D$98),$D$98&gt;=0,$D$98&lt;=1,ISNUMBER(F112),F112&gt;=0,F112&lt;=1,ISNUMBER(J112),J112&gt;=0,J112&lt;=1),D112/E112*1000,NA())</x:f>
        <x:v>0.25690112000000004</x:v>
      </x:c>
      <x:c r="H112" s="34" t="n">
        <x:f>G112+I112</x:f>
        <x:v>0.28544568888888894</x:v>
      </x:c>
      <x:c r="I112" s="34" t="n">
        <x:f>G112*F112*$D$98*$B$98/(1-$B$98)</x:f>
        <x:v>0.028544568888888892</x:v>
      </x:c>
      <x:c r="J112" s="59" t="n">
        <x:v>1</x:v>
      </x:c>
      <x:c r="K112" s="34" t="n">
        <x:f>I112*J112</x:f>
        <x:v>0.028544568888888892</x:v>
      </x:c>
      <x:c r="L112" s="30" t="str">
        <x:v>原通信行 73</x:v>
      </x:c>
    </x:row>
    <x:row r="113" ht="15" customHeight="1">
      <x:c r="A113" s="30" t="str">
        <x:v>EP</x:v>
      </x:c>
      <x:c r="B113" s="30" t="str">
        <x:v>Routed Experts</x:v>
      </x:c>
      <x:c r="C113" s="30" t="str">
        <x:v>Dispatch Hidden</x:v>
      </x:c>
      <x:c r="D113" s="34" t="n">
        <x:f>(K74*2^20)/1e9</x:f>
        <x:v>18.907922432</x:v>
      </x:c>
      <x:c r="E113" s="64" t="n">
        <x:f>$H$98</x:f>
        <x:v>100</x:v>
      </x:c>
      <x:c r="F113" s="59" t="n">
        <x:v>1</x:v>
      </x:c>
      <x:c r="G113" s="34" t="n">
        <x:f>IF(AND(ISNUMBER(E113),E113&gt;0,ISNUMBER($B$98),$B$98&gt;=0,$B$98&lt;1,ISNUMBER($D$98),$D$98&gt;=0,$D$98&lt;=1,ISNUMBER(F113),F113&gt;=0,F113&lt;=1,ISNUMBER(J113),J113&gt;=0,J113&lt;=1),D113/E113*1000,NA())</x:f>
        <x:v>189.07922431999998</x:v>
      </x:c>
      <x:c r="H113" s="34" t="n">
        <x:f>G113+I113</x:f>
        <x:v>210.0880270222222</x:v>
      </x:c>
      <x:c r="I113" s="34" t="n">
        <x:f>G113*F113*$D$98*$B$98/(1-$B$98)</x:f>
        <x:v>21.008802702222223</x:v>
      </x:c>
      <x:c r="J113" s="59" t="n">
        <x:v>1</x:v>
      </x:c>
      <x:c r="K113" s="34" t="n">
        <x:f>I113*J113</x:f>
        <x:v>21.008802702222223</x:v>
      </x:c>
      <x:c r="L113" s="30" t="str">
        <x:v>原通信行 74</x:v>
      </x:c>
    </x:row>
    <x:row r="114" ht="15" customHeight="1">
      <x:c r="A114" s="30" t="str">
        <x:v>EP</x:v>
      </x:c>
      <x:c r="B114" s="30" t="str">
        <x:v>Routed Experts</x:v>
      </x:c>
      <x:c r="C114" s="30" t="str">
        <x:v>Combine Hidden</x:v>
      </x:c>
      <x:c r="D114" s="34" t="n">
        <x:f>(K75*2^20)/1e9</x:f>
        <x:v>18.907922432</x:v>
      </x:c>
      <x:c r="E114" s="64" t="n">
        <x:f>$H$98</x:f>
        <x:v>100</x:v>
      </x:c>
      <x:c r="F114" s="59" t="n">
        <x:v>1</x:v>
      </x:c>
      <x:c r="G114" s="34" t="n">
        <x:f>IF(AND(ISNUMBER(E114),E114&gt;0,ISNUMBER($B$98),$B$98&gt;=0,$B$98&lt;1,ISNUMBER($D$98),$D$98&gt;=0,$D$98&lt;=1,ISNUMBER(F114),F114&gt;=0,F114&lt;=1,ISNUMBER(J114),J114&gt;=0,J114&lt;=1),D114/E114*1000,NA())</x:f>
        <x:v>189.07922431999998</x:v>
      </x:c>
      <x:c r="H114" s="34" t="n">
        <x:f>G114+I114</x:f>
        <x:v>210.0880270222222</x:v>
      </x:c>
      <x:c r="I114" s="34" t="n">
        <x:f>G114*F114*$D$98*$B$98/(1-$B$98)</x:f>
        <x:v>21.008802702222223</x:v>
      </x:c>
      <x:c r="J114" s="59" t="n">
        <x:v>1</x:v>
      </x:c>
      <x:c r="K114" s="34" t="n">
        <x:f>I114*J114</x:f>
        <x:v>21.008802702222223</x:v>
      </x:c>
      <x:c r="L114" s="30" t="str">
        <x:v>原通信行 75</x:v>
      </x:c>
    </x:row>
    <x:row r="115" ht="15" customHeight="1">
      <x:c r="A115" s="30" t="str">
        <x:v>DP</x:v>
      </x:c>
      <x:c r="B115" s="30" t="str">
        <x:v>MoE</x:v>
      </x:c>
      <x:c r="C115" s="30" t="str">
        <x:v>Hidden 输入</x:v>
      </x:c>
      <x:c r="D115" s="34" t="n">
        <x:f>(K76*2^20)/1e9</x:f>
        <x:v>0</x:v>
      </x:c>
      <x:c r="E115" s="64" t="n">
        <x:f>$H$98</x:f>
        <x:v>100</x:v>
      </x:c>
      <x:c r="F115" s="59" t="n">
        <x:v>1</x:v>
      </x:c>
      <x:c r="G115" s="34" t="n">
        <x:f>IF(AND(ISNUMBER(E115),E115&gt;0,ISNUMBER($B$98),$B$98&gt;=0,$B$98&lt;1,ISNUMBER($D$98),$D$98&gt;=0,$D$98&lt;=1,ISNUMBER(F115),F115&gt;=0,F115&lt;=1,ISNUMBER(J115),J115&gt;=0,J115&lt;=1),D115/E115*1000,NA())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G115*F115*$D$98*$B$98/(1-$B$98)</x:f>
        <x:v>0</x:v>
      </x:c>
      <x:c r="J115" s="59" t="n">
        <x:v>1</x:v>
      </x:c>
      <x:c r="K115" s="34" t="n">
        <x:f>I115*J115</x:f>
        <x:v>0</x:v>
      </x:c>
      <x:c r="L115" s="30" t="str">
        <x:v>原通信行 76</x:v>
      </x:c>
    </x:row>
    <x:row r="116" ht="15" customHeight="1">
      <x:c r="A116" s="30" t="str">
        <x:v>DP</x:v>
      </x:c>
      <x:c r="B116" s="30" t="str">
        <x:v>MoE Router</x:v>
      </x:c>
      <x:c r="C116" s="30" t="str">
        <x:v>Router Logits</x:v>
      </x:c>
      <x:c r="D116" s="34" t="n">
        <x:f>(K77*2^20)/1e9</x:f>
        <x:v>0</x:v>
      </x:c>
      <x:c r="E116" s="64" t="n">
        <x:f>$H$98</x:f>
        <x:v>100</x:v>
      </x:c>
      <x:c r="F116" s="59" t="n">
        <x:v>1</x:v>
      </x:c>
      <x:c r="G116" s="34" t="n">
        <x:f>IF(AND(ISNUMBER(E116),E116&gt;0,ISNUMBER($B$98),$B$98&gt;=0,$B$98&lt;1,ISNUMBER($D$98),$D$98&gt;=0,$D$98&lt;=1,ISNUMBER(F116),F116&gt;=0,F116&lt;=1,ISNUMBER(J116),J116&gt;=0,J116&lt;=1),D116/E116*1000,NA())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G116*F116*$D$98*$B$98/(1-$B$98)</x:f>
        <x:v>0</x:v>
      </x:c>
      <x:c r="J116" s="59" t="n">
        <x:v>1</x:v>
      </x:c>
      <x:c r="K116" s="34" t="n">
        <x:f>I116*J116</x:f>
        <x:v>0</x:v>
      </x:c>
      <x:c r="L116" s="30" t="str">
        <x:v>原通信行 77</x:v>
      </x:c>
    </x:row>
    <x:row r="117" ht="15" customHeight="1">
      <x:c r="A117" s="30" t="str">
        <x:v>DP</x:v>
      </x:c>
      <x:c r="B117" s="30" t="str">
        <x:v>MoE</x:v>
      </x:c>
      <x:c r="C117" s="30" t="str">
        <x:v>Routed Expert 输出</x:v>
      </x:c>
      <x:c r="D117" s="34" t="n">
        <x:f>(K78*2^20)/1e9</x:f>
        <x:v>0</x:v>
      </x:c>
      <x:c r="E117" s="64" t="n">
        <x:f>$H$98</x:f>
        <x:v>100</x:v>
      </x:c>
      <x:c r="F117" s="59" t="n">
        <x:v>1</x:v>
      </x:c>
      <x:c r="G117" s="34" t="n">
        <x:f>IF(AND(ISNUMBER(E117),E117&gt;0,ISNUMBER($B$98),$B$98&gt;=0,$B$98&lt;1,ISNUMBER($D$98),$D$98&gt;=0,$D$98&lt;=1,ISNUMBER(F117),F117&gt;=0,F117&lt;=1,ISNUMBER(J117),J117&gt;=0,J117&lt;=1),D117/E117*1000,NA())</x:f>
        <x:v>0</x:v>
      </x:c>
      <x:c r="H117" s="34" t="n">
        <x:f>G117+I117</x:f>
        <x:v>0</x:v>
      </x:c>
      <x:c r="I117" s="34" t="n">
        <x:f>G117*F117*$D$98*$B$98/(1-$B$98)</x:f>
        <x:v>0</x:v>
      </x:c>
      <x:c r="J117" s="59" t="n">
        <x:v>1</x:v>
      </x:c>
      <x:c r="K117" s="34" t="n">
        <x:f>I117*J117</x:f>
        <x:v>0</x:v>
      </x:c>
      <x:c r="L117" s="30" t="str">
        <x:v>原通信行 78</x:v>
      </x:c>
    </x:row>
    <x:row r="118" ht="15" customHeight="1">
      <x:c r="A118" s="30" t="str">
        <x:v>共享专家 TP</x:v>
      </x:c>
      <x:c r="B118" s="30" t="str">
        <x:v>Shared Experts</x:v>
      </x:c>
      <x:c r="C118" s="30" t="str">
        <x:v>SP 输入</x:v>
      </x:c>
      <x:c r="D118" s="34" t="n">
        <x:f>(K79*2^20)/1e9</x:f>
        <x:v>9.453961216</x:v>
      </x:c>
      <x:c r="E118" s="64" t="n">
        <x:f>$H$98</x:f>
        <x:v>100</x:v>
      </x:c>
      <x:c r="F118" s="59" t="n">
        <x:v>1</x:v>
      </x:c>
      <x:c r="G118" s="34" t="n">
        <x:f>IF(AND(ISNUMBER(E118),E118&gt;0,ISNUMBER($B$98),$B$98&gt;=0,$B$98&lt;1,ISNUMBER($D$98),$D$98&gt;=0,$D$98&lt;=1,ISNUMBER(F118),F118&gt;=0,F118&lt;=1,ISNUMBER(J118),J118&gt;=0,J118&lt;=1),D118/E118*1000,NA())</x:f>
        <x:v>94.53961215999999</x:v>
      </x:c>
      <x:c r="H118" s="34" t="n">
        <x:f>G118+I118</x:f>
        <x:v>105.0440135111111</x:v>
      </x:c>
      <x:c r="I118" s="34" t="n">
        <x:f>G118*F118*$D$98*$B$98/(1-$B$98)</x:f>
        <x:v>10.504401351111111</x:v>
      </x:c>
      <x:c r="J118" s="59" t="n">
        <x:v>1</x:v>
      </x:c>
      <x:c r="K118" s="34" t="n">
        <x:f>I118*J118</x:f>
        <x:v>10.504401351111111</x:v>
      </x:c>
      <x:c r="L118" s="30" t="str">
        <x:v>原通信行 79</x:v>
      </x:c>
    </x:row>
    <x:row r="119" ht="15" customHeight="1">
      <x:c r="A119" s="30" t="str">
        <x:v>共享专家 TP</x:v>
      </x:c>
      <x:c r="B119" s="30" t="str">
        <x:v>Shared Experts</x:v>
      </x:c>
      <x:c r="C119" s="30" t="str">
        <x:v>SP 输出</x:v>
      </x:c>
      <x:c r="D119" s="34" t="n">
        <x:f>(K80*2^20)/1e9</x:f>
        <x:v>9.453961216</x:v>
      </x:c>
      <x:c r="E119" s="64" t="n">
        <x:f>$H$98</x:f>
        <x:v>100</x:v>
      </x:c>
      <x:c r="F119" s="59" t="n">
        <x:v>1</x:v>
      </x:c>
      <x:c r="G119" s="34" t="n">
        <x:f>IF(AND(ISNUMBER(E119),E119&gt;0,ISNUMBER($B$98),$B$98&gt;=0,$B$98&lt;1,ISNUMBER($D$98),$D$98&gt;=0,$D$98&lt;=1,ISNUMBER(F119),F119&gt;=0,F119&lt;=1,ISNUMBER(J119),J119&gt;=0,J119&lt;=1),D119/E119*1000,NA())</x:f>
        <x:v>94.53961215999999</x:v>
      </x:c>
      <x:c r="H119" s="34" t="n">
        <x:f>G119+I119</x:f>
        <x:v>105.0440135111111</x:v>
      </x:c>
      <x:c r="I119" s="34" t="n">
        <x:f>G119*F119*$D$98*$B$98/(1-$B$98)</x:f>
        <x:v>10.504401351111111</x:v>
      </x:c>
      <x:c r="J119" s="59" t="n">
        <x:v>1</x:v>
      </x:c>
      <x:c r="K119" s="34" t="n">
        <x:f>I119*J119</x:f>
        <x:v>10.504401351111111</x:v>
      </x:c>
      <x:c r="L119" s="30" t="str">
        <x:v>原通信行 80</x:v>
      </x:c>
    </x:row>
    <x:row r="120" ht="15" customHeight="1">
      <x:c r="A120" s="30" t="str">
        <x:v>共享专家 TP</x:v>
      </x:c>
      <x:c r="B120" s="30" t="str">
        <x:v>Shared Experts</x:v>
      </x:c>
      <x:c r="C120" s="30" t="str">
        <x:v>非 SP 输出</x:v>
      </x:c>
      <x:c r="D120" s="34" t="n">
        <x:f>(K81*2^20)/1e9</x:f>
        <x:v>0</x:v>
      </x:c>
      <x:c r="E120" s="64" t="n">
        <x:f>$H$98</x:f>
        <x:v>100</x:v>
      </x:c>
      <x:c r="F120" s="59" t="n">
        <x:v>1</x:v>
      </x:c>
      <x:c r="G120" s="34" t="n">
        <x:f>IF(AND(ISNUMBER(E120),E120&gt;0,ISNUMBER($B$98),$B$98&gt;=0,$B$98&lt;1,ISNUMBER($D$98),$D$98&gt;=0,$D$98&lt;=1,ISNUMBER(F120),F120&gt;=0,F120&lt;=1,ISNUMBER(J120),J120&gt;=0,J120&lt;=1),D120/E120*1000,NA())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G120*F120*$D$98*$B$98/(1-$B$98)</x:f>
        <x:v>0</x:v>
      </x:c>
      <x:c r="J120" s="59" t="n">
        <x:v>1</x:v>
      </x:c>
      <x:c r="K120" s="34" t="n">
        <x:f>I120*J120</x:f>
        <x:v>0</x:v>
      </x:c>
      <x:c r="L120" s="30" t="str">
        <x:v>原通信行 81</x:v>
      </x:c>
    </x:row>
    <x:row r="121" ht="15" customHeight="1">
      <x:c r="A121" s="30" t="str">
        <x:v>PCP</x:v>
      </x:c>
      <x:c r="B121" s="30" t="str">
        <x:v>MoE</x:v>
      </x:c>
      <x:c r="C121" s="30" t="str">
        <x:v>Hidden 输入</x:v>
      </x:c>
      <x:c r="D121" s="34" t="n">
        <x:f>(K82*2^20)/1e9</x:f>
        <x:v>0</x:v>
      </x:c>
      <x:c r="E121" s="64" t="n">
        <x:f>$H$98</x:f>
        <x:v>100</x:v>
      </x:c>
      <x:c r="F121" s="59" t="n">
        <x:v>1</x:v>
      </x:c>
      <x:c r="G121" s="34" t="n">
        <x:f>IF(AND(ISNUMBER(E121),E121&gt;0,ISNUMBER($B$98),$B$98&gt;=0,$B$98&lt;1,ISNUMBER($D$98),$D$98&gt;=0,$D$98&lt;=1,ISNUMBER(F121),F121&gt;=0,F121&lt;=1,ISNUMBER(J121),J121&gt;=0,J121&lt;=1),D121/E121*1000,NA())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G121*F121*$D$98*$B$98/(1-$B$98)</x:f>
        <x:v>0</x:v>
      </x:c>
      <x:c r="J121" s="59" t="n">
        <x:v>1</x:v>
      </x:c>
      <x:c r="K121" s="34" t="n">
        <x:f>I121*J121</x:f>
        <x:v>0</x:v>
      </x:c>
      <x:c r="L121" s="30" t="str">
        <x:v>原通信行 82</x:v>
      </x:c>
    </x:row>
    <x:row r="122" ht="15" customHeight="1">
      <x:c r="A122" s="30" t="str">
        <x:v>PCP</x:v>
      </x:c>
      <x:c r="B122" s="30" t="str">
        <x:v>MoE Router</x:v>
      </x:c>
      <x:c r="C122" s="30" t="str">
        <x:v>Router Logits</x:v>
      </x:c>
      <x:c r="D122" s="34" t="n">
        <x:f>(K83*2^20)/1e9</x:f>
        <x:v>0</x:v>
      </x:c>
      <x:c r="E122" s="64" t="n">
        <x:f>$H$98</x:f>
        <x:v>100</x:v>
      </x:c>
      <x:c r="F122" s="59" t="n">
        <x:v>1</x:v>
      </x:c>
      <x:c r="G122" s="34" t="n">
        <x:f>IF(AND(ISNUMBER(E122),E122&gt;0,ISNUMBER($B$98),$B$98&gt;=0,$B$98&lt;1,ISNUMBER($D$98),$D$98&gt;=0,$D$98&lt;=1,ISNUMBER(F122),F122&gt;=0,F122&lt;=1,ISNUMBER(J122),J122&gt;=0,J122&lt;=1),D122/E122*1000,NA())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G122*F122*$D$98*$B$98/(1-$B$98)</x:f>
        <x:v>0</x:v>
      </x:c>
      <x:c r="J122" s="59" t="n">
        <x:v>1</x:v>
      </x:c>
      <x:c r="K122" s="34" t="n">
        <x:f>I122*J122</x:f>
        <x:v>0</x:v>
      </x:c>
      <x:c r="L122" s="30" t="str">
        <x:v>原通信行 83</x:v>
      </x:c>
    </x:row>
    <x:row r="123" ht="15" customHeight="1">
      <x:c r="A123" s="30" t="str">
        <x:v>PCP</x:v>
      </x:c>
      <x:c r="B123" s="30" t="str">
        <x:v>MoE</x:v>
      </x:c>
      <x:c r="C123" s="30" t="str">
        <x:v>Routed Expert 输出</x:v>
      </x:c>
      <x:c r="D123" s="34" t="n">
        <x:f>(K84*2^20)/1e9</x:f>
        <x:v>0</x:v>
      </x:c>
      <x:c r="E123" s="64" t="n">
        <x:f>$H$98</x:f>
        <x:v>100</x:v>
      </x:c>
      <x:c r="F123" s="59" t="n">
        <x:v>1</x:v>
      </x:c>
      <x:c r="G123" s="34" t="n">
        <x:f>IF(AND(ISNUMBER(E123),E123&gt;0,ISNUMBER($B$98),$B$98&gt;=0,$B$98&lt;1,ISNUMBER($D$98),$D$98&gt;=0,$D$98&lt;=1,ISNUMBER(F123),F123&gt;=0,F123&lt;=1,ISNUMBER(J123),J123&gt;=0,J123&lt;=1),D123/E123*1000,NA())</x:f>
        <x:v>0</x:v>
      </x:c>
      <x:c r="H123" s="34" t="n">
        <x:f>G123+I123</x:f>
        <x:v>0</x:v>
      </x:c>
      <x:c r="I123" s="34" t="n">
        <x:f>G123*F123*$D$98*$B$98/(1-$B$98)</x:f>
        <x:v>0</x:v>
      </x:c>
      <x:c r="J123" s="59" t="n">
        <x:v>1</x:v>
      </x:c>
      <x:c r="K123" s="34" t="n">
        <x:f>I123*J123</x:f>
        <x:v>0</x:v>
      </x:c>
      <x:c r="L123" s="30" t="str">
        <x:v>原通信行 84</x:v>
      </x:c>
    </x:row>
    <x:row r="124" ht="15" customHeight="1">
      <x:c r="A124" s="30" t="str">
        <x:v>PCP</x:v>
      </x:c>
      <x:c r="B124" s="30" t="str">
        <x:v>Attention KV</x:v>
      </x:c>
      <x:c r="C124" s="30" t="str">
        <x:v>KV Cache 写入前</x:v>
      </x:c>
      <x:c r="D124" s="34" t="n">
        <x:f>(K85*2^20)/1e9</x:f>
        <x:v>0</x:v>
      </x:c>
      <x:c r="E124" s="64" t="n">
        <x:f>$H$98</x:f>
        <x:v>100</x:v>
      </x:c>
      <x:c r="F124" s="59" t="n">
        <x:v>1</x:v>
      </x:c>
      <x:c r="G124" s="34" t="n">
        <x:f>IF(AND(ISNUMBER(E124),E124&gt;0,ISNUMBER($B$98),$B$98&gt;=0,$B$98&lt;1,ISNUMBER($D$98),$D$98&gt;=0,$D$98&lt;=1,ISNUMBER(F124),F124&gt;=0,F124&lt;=1,ISNUMBER(J124),J124&gt;=0,J124&lt;=1),D124/E124*1000,NA())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G124*F124*$D$98*$B$98/(1-$B$98)</x:f>
        <x:v>0</x:v>
      </x:c>
      <x:c r="J124" s="59" t="n">
        <x:v>1</x:v>
      </x:c>
      <x:c r="K124" s="34" t="n">
        <x:f>I124*J124</x:f>
        <x:v>0</x:v>
      </x:c>
      <x:c r="L124" s="30" t="str">
        <x:v>原通信行 85</x:v>
      </x:c>
    </x:row>
    <x:row r="125" ht="15" customHeight="1">
      <x:c r="A125" s="30" t="str">
        <x:v>SP</x:v>
      </x:c>
      <x:c r="B125" s="30" t="str">
        <x:v>Model Output</x:v>
      </x:c>
      <x:c r="C125" s="30" t="str">
        <x:v>Final Norm 后</x:v>
      </x:c>
      <x:c r="D125" s="34" t="n">
        <x:f>(K86*2^20)/1e9</x:f>
        <x:v>0.102760448</x:v>
      </x:c>
      <x:c r="E125" s="64" t="n">
        <x:f>$H$98</x:f>
        <x:v>100</x:v>
      </x:c>
      <x:c r="F125" s="59" t="n">
        <x:v>1</x:v>
      </x:c>
      <x:c r="G125" s="34" t="n">
        <x:f>IF(AND(ISNUMBER(E125),E125&gt;0,ISNUMBER($B$98),$B$98&gt;=0,$B$98&lt;1,ISNUMBER($D$98),$D$98&gt;=0,$D$98&lt;=1,ISNUMBER(F125),F125&gt;=0,F125&lt;=1,ISNUMBER(J125),J125&gt;=0,J125&lt;=1),D125/E125*1000,NA())</x:f>
        <x:v>1.0276044800000002</x:v>
      </x:c>
      <x:c r="H125" s="34" t="n">
        <x:f>G125+I125</x:f>
        <x:v>1.1417827555555558</x:v>
      </x:c>
      <x:c r="I125" s="34" t="n">
        <x:f>G125*F125*$D$98*$B$98/(1-$B$98)</x:f>
        <x:v>0.11417827555555557</x:v>
      </x:c>
      <x:c r="J125" s="59" t="n">
        <x:v>1</x:v>
      </x:c>
      <x:c r="K125" s="34" t="n">
        <x:f>I125*J125</x:f>
        <x:v>0.11417827555555557</x:v>
      </x:c>
      <x:c r="L125" s="30" t="str">
        <x:v>原通信行 86</x:v>
      </x:c>
    </x:row>
    <x:row r="126" ht="15" customHeight="1">
      <x:c r="A126" s="30" t="str">
        <x:v>LM Head TP</x:v>
      </x:c>
      <x:c r="B126" s="30" t="str">
        <x:v>LM Head</x:v>
      </x:c>
      <x:c r="C126" s="30" t="str">
        <x:v>完整 Logits</x:v>
      </x:c>
      <x:c r="D126" s="34" t="n">
        <x:f>(K87*2^20)/1e9</x:f>
        <x:v>0</x:v>
      </x:c>
      <x:c r="E126" s="64" t="n">
        <x:f>$H$98</x:f>
        <x:v>100</x:v>
      </x:c>
      <x:c r="F126" s="59" t="n">
        <x:v>1</x:v>
      </x:c>
      <x:c r="G126" s="34" t="n">
        <x:f>IF(AND(ISNUMBER(E126),E126&gt;0,ISNUMBER($B$98),$B$98&gt;=0,$B$98&lt;1,ISNUMBER($D$98),$D$98&gt;=0,$D$98&lt;=1,ISNUMBER(F126),F126&gt;=0,F126&lt;=1,ISNUMBER(J126),J126&gt;=0,J126&lt;=1),D126/E126*1000,NA())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G126*F126*$D$98*$B$98/(1-$B$98)</x:f>
        <x:v>0</x:v>
      </x:c>
      <x:c r="J126" s="59" t="n">
        <x:v>1</x:v>
      </x:c>
      <x:c r="K126" s="34" t="n">
        <x:f>I126*J126</x:f>
        <x:v>0</x:v>
      </x:c>
      <x:c r="L126" s="30" t="str">
        <x:v>原通信行 87</x:v>
      </x:c>
    </x:row>
    <x:row r="127" ht="15" customHeight="1">
      <x:c r="A127" s="30" t="str">
        <x:v>LM Head TP</x:v>
      </x:c>
      <x:c r="B127" s="30" t="str">
        <x:v>LM Head</x:v>
      </x:c>
      <x:c r="C127" s="30" t="str">
        <x:v>Reduce Sample</x:v>
      </x:c>
      <x:c r="D127" s="34" t="n">
        <x:f>(K88*2^20)/1e9</x:f>
        <x:v>0.001376256</x:v>
      </x:c>
      <x:c r="E127" s="64" t="n">
        <x:f>$H$98</x:f>
        <x:v>100</x:v>
      </x:c>
      <x:c r="F127" s="59" t="n">
        <x:v>1</x:v>
      </x:c>
      <x:c r="G127" s="34" t="n">
        <x:f>IF(AND(ISNUMBER(E127),E127&gt;0,ISNUMBER($B$98),$B$98&gt;=0,$B$98&lt;1,ISNUMBER($D$98),$D$98&gt;=0,$D$98&lt;=1,ISNUMBER(F127),F127&gt;=0,F127&lt;=1,ISNUMBER(J127),J127&gt;=0,J127&lt;=1),D127/E127*1000,NA())</x:f>
        <x:v>0.01376256</x:v>
      </x:c>
      <x:c r="H127" s="34" t="n">
        <x:f>G127+I127</x:f>
        <x:v>0.015291733333333333</x:v>
      </x:c>
      <x:c r="I127" s="34" t="n">
        <x:f>G127*F127*$D$98*$B$98/(1-$B$98)</x:f>
        <x:v>0.0015291733333333336</x:v>
      </x:c>
      <x:c r="J127" s="59" t="n">
        <x:v>1</x:v>
      </x:c>
      <x:c r="K127" s="34" t="n">
        <x:f>I127*J127</x:f>
        <x:v>0.0015291733333333336</x:v>
      </x:c>
      <x:c r="L127" s="30" t="str">
        <x:v>原通信行 88</x:v>
      </x:c>
    </x:row>
    <x:row r="128" ht="15" customHeight="1">
      <x:c r="A128" s="30" t="str">
        <x:v>Fine LM Head TP</x:v>
      </x:c>
      <x:c r="B128" s="30" t="str">
        <x:v>LM Head</x:v>
      </x:c>
      <x:c r="C128" s="30" t="str">
        <x:v>Hidden 输入</x:v>
      </x:c>
      <x:c r="D128" s="34" t="n">
        <x:f>(K89*2^20)/1e9</x:f>
        <x:v>0</x:v>
      </x:c>
      <x:c r="E128" s="64" t="n">
        <x:f>$H$98</x:f>
        <x:v>100</x:v>
      </x:c>
      <x:c r="F128" s="59" t="n">
        <x:v>1</x:v>
      </x:c>
      <x:c r="G128" s="34" t="n">
        <x:f>IF(AND(ISNUMBER(E128),E128&gt;0,ISNUMBER($B$98),$B$98&gt;=0,$B$98&lt;1,ISNUMBER($D$98),$D$98&gt;=0,$D$98&lt;=1,ISNUMBER(F128),F128&gt;=0,F128&lt;=1,ISNUMBER(J128),J128&gt;=0,J128&lt;=1),D128/E128*1000,NA())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G128*F128*$D$98*$B$98/(1-$B$98)</x:f>
        <x:v>0</x:v>
      </x:c>
      <x:c r="J128" s="59" t="n">
        <x:v>1</x:v>
      </x:c>
      <x:c r="K128" s="34" t="n">
        <x:f>I128*J128</x:f>
        <x:v>0</x:v>
      </x:c>
      <x:c r="L128" s="30" t="str">
        <x:v>原通信行 89</x:v>
      </x:c>
    </x:row>
    <x:row r="129" ht="15" customHeight="1">
      <x:c r="A129" s="30" t="str">
        <x:v>Fine LM Head TP</x:v>
      </x:c>
      <x:c r="B129" s="30" t="str">
        <x:v>LM Head</x:v>
      </x:c>
      <x:c r="C129" s="30" t="str">
        <x:v>完整 Logits</x:v>
      </x:c>
      <x:c r="D129" s="34" t="n">
        <x:f>(K90*2^20)/1e9</x:f>
        <x:v>0</x:v>
      </x:c>
      <x:c r="E129" s="64" t="n">
        <x:f>$H$98</x:f>
        <x:v>100</x:v>
      </x:c>
      <x:c r="F129" s="59" t="n">
        <x:v>1</x:v>
      </x:c>
      <x:c r="G129" s="34" t="n">
        <x:f>IF(AND(ISNUMBER(E129),E129&gt;0,ISNUMBER($B$98),$B$98&gt;=0,$B$98&lt;1,ISNUMBER($D$98),$D$98&gt;=0,$D$98&lt;=1,ISNUMBER(F129),F129&gt;=0,F129&lt;=1,ISNUMBER(J129),J129&gt;=0,J129&lt;=1),D129/E129*1000,NA())</x:f>
        <x:v>0</x:v>
      </x:c>
      <x:c r="H129" s="34" t="n">
        <x:f>G129+I129</x:f>
        <x:v>0</x:v>
      </x:c>
      <x:c r="I129" s="34" t="n">
        <x:f>G129*F129*$D$98*$B$98/(1-$B$98)</x:f>
        <x:v>0</x:v>
      </x:c>
      <x:c r="J129" s="59" t="n">
        <x:v>1</x:v>
      </x:c>
      <x:c r="K129" s="34" t="n">
        <x:f>I129*J129</x:f>
        <x:v>0</x:v>
      </x:c>
      <x:c r="L129" s="30" t="str">
        <x:v>原通信行 90</x:v>
      </x:c>
    </x:row>
    <x:row r="130" ht="15" customHeight="1">
      <x:c r="A130" s="30" t="str">
        <x:v>Fine LM Head TP</x:v>
      </x:c>
      <x:c r="B130" s="30" t="str">
        <x:v>LM Head</x:v>
      </x:c>
      <x:c r="C130" s="30" t="str">
        <x:v>Reduce Sample</x:v>
      </x:c>
      <x:c r="D130" s="34" t="n">
        <x:f>(K91*2^20)/1e9</x:f>
        <x:v>0</x:v>
      </x:c>
      <x:c r="E130" s="64" t="n">
        <x:f>$H$98</x:f>
        <x:v>100</x:v>
      </x:c>
      <x:c r="F130" s="59" t="n">
        <x:v>1</x:v>
      </x:c>
      <x:c r="G130" s="34" t="n">
        <x:f>IF(AND(ISNUMBER(E130),E130&gt;0,ISNUMBER($B$98),$B$98&gt;=0,$B$98&lt;1,ISNUMBER($D$98),$D$98&gt;=0,$D$98&lt;=1,ISNUMBER(F130),F130&gt;=0,F130&lt;=1,ISNUMBER(J130),J130&gt;=0,J130&lt;=1),D130/E130*1000,NA())</x:f>
        <x:v>0</x:v>
      </x:c>
      <x:c r="H130" s="34" t="n">
        <x:f>G130+I130</x:f>
        <x:v>0</x:v>
      </x:c>
      <x:c r="I130" s="34" t="n">
        <x:f>G130*F130*$D$98*$B$98/(1-$B$98)</x:f>
        <x:v>0</x:v>
      </x:c>
      <x:c r="J130" s="59" t="n">
        <x:v>1</x:v>
      </x:c>
      <x:c r="K130" s="34" t="n">
        <x:f>I130*J130</x:f>
        <x:v>0</x:v>
      </x:c>
      <x:c r="L130" s="30" t="str">
        <x:v>原通信行 91</x:v>
      </x:c>
    </x:row>
    <x:row r="131" ht="15" customHeight="1">
      <x:c r="A131" s="30" t="str">
        <x:v>EP</x:v>
      </x:c>
      <x:c r="B131" s="30" t="str">
        <x:v>MoE 计数</x:v>
      </x:c>
      <x:c r="C131" s="30" t="str">
        <x:v>直方图 Ring AG</x:v>
      </x:c>
      <x:c r="D131" s="34" t="n">
        <x:f>(IF(E74=0,0,H74*ROUNDUP(896/G74,0)*G74*4*(G74-1)))/1e9</x:f>
        <x:v>0.002308096</x:v>
      </x:c>
      <x:c r="E131" s="64" t="n">
        <x:f>$H$98</x:f>
        <x:v>100</x:v>
      </x:c>
      <x:c r="F131" s="59" t="n">
        <x:v>1</x:v>
      </x:c>
      <x:c r="G131" s="34" t="n">
        <x:f>IF(AND(ISNUMBER(E131),E131&gt;0,ISNUMBER($B$98),$B$98&gt;=0,$B$98&lt;1,ISNUMBER($D$98),$D$98&gt;=0,$D$98&lt;=1,ISNUMBER(F131),F131&gt;=0,F131&lt;=1,ISNUMBER(J131),J131&gt;=0,J131&lt;=1),D131/E131*1000,NA())</x:f>
        <x:v>0.023080959999999998</x:v>
      </x:c>
      <x:c r="H131" s="34" t="n">
        <x:f>G131+I131</x:f>
        <x:v>0.02564551111111111</x:v>
      </x:c>
      <x:c r="I131" s="34" t="n">
        <x:f>G131*F131*$D$98*$B$98/(1-$B$98)</x:f>
        <x:v>0.002564551111111111</x:v>
      </x:c>
      <x:c r="J131" s="59" t="n">
        <x:v>1</x:v>
      </x:c>
      <x:c r="K131" s="34" t="n">
        <x:f>I131*J131</x:f>
        <x:v>0.002564551111111111</x:v>
      </x:c>
      <x:c r="L131" s="30" t="str">
        <x:v>额外控制量</x:v>
      </x:c>
    </x:row>
    <x:row r="132" ht="15" customHeight="1">
      <x:c r="A132" s="40" t="str">
        <x:v>所列事件串行相加</x:v>
      </x:c>
      <x:c r="B132" s="40"/>
      <x:c r="C132" s="40"/>
      <x:c r="D132" s="41" t="n">
        <x:f>SUM(D104:D131)</x:f>
        <x:v>76.17486643199999</x:v>
      </x:c>
      <x:c r="E132" s="40"/>
      <x:c r="F132" s="40"/>
      <x:c r="G132" s="41" t="n">
        <x:f>SUM(G104:G131)</x:f>
        <x:v>761.74866432</x:v>
      </x:c>
      <x:c r="H132" s="41" t="n">
        <x:f>SUM(H104:H131)</x:f>
        <x:v>846.3874048</x:v>
      </x:c>
      <x:c r="I132" s="41" t="n">
        <x:f>SUM(I104:I131)</x:f>
        <x:v>84.63874048000001</x:v>
      </x:c>
      <x:c r="J132" s="40"/>
      <x:c r="K132" s="41" t="n">
        <x:f>SUM(K104:K131)</x:f>
        <x:v>84.63874048000001</x:v>
      </x:c>
      <x:c r="L132" s="40"/>
    </x:row>
  </x:sheetData>
  <x:conditionalFormatting sqref="L100:L100">
    <x:cfRule type="containsText" dxfId="0" priority="1" operator="containsText" text="不一致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24" hidden="0" customWidth="1"/>
    <x:col min="4" max="4" width="15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20" hidden="0" customWidth="1"/>
    <x:col min="11" max="11" width="20" hidden="0" customWidth="1"/>
    <x:col min="12" max="12" width="20" hidden="0" customWidth="1"/>
    <x:col min="13" max="13" width="3" hidden="0" customWidth="1"/>
    <x:col min="14" max="14" width="3" hidden="0" customWidth="1"/>
    <x:col min="15" max="15" width="34" hidden="0" customWidth="1"/>
    <x:col min="16" max="16" width="18" hidden="0" customWidth="1"/>
  </x:cols>
  <x:sheetData>
    <x:row r="1" ht="30" customHeight="1">
      <x:c r="A1" s="18" t="str">
        <x:v>模块</x:v>
      </x:c>
      <x:c r="B1" s="18" t="str">
        <x:v>权重 / Tensor</x:v>
      </x:c>
      <x:c r="C1" s="18" t="str">
        <x:v>shape</x:v>
      </x:c>
      <x:c r="D1" s="18" t="str">
        <x:v>dtype</x:v>
      </x:c>
      <x:c r="E1" s="18" t="str">
        <x:v>字节/元素</x:v>
      </x:c>
      <x:c r="F1" s="18" t="str">
        <x:v>数量</x:v>
      </x:c>
      <x:c r="G1" s="18" t="str">
        <x:v>单个 Tensor 元素数</x:v>
      </x:c>
      <x:c r="H1" s="18" t="str">
        <x:v>切分方式</x:v>
      </x:c>
      <x:c r="I1" s="18" t="str">
        <x:v>切分份数</x:v>
      </x:c>
      <x:c r="J1" s="18" t="str">
        <x:v>总权重 GiB</x:v>
      </x:c>
      <x:c r="K1" s="18" t="str">
        <x:v>单 Rank 权重 GiB</x:v>
      </x:c>
      <x:c r="L1" s="30"/>
      <x:c r="M1" s="30"/>
      <x:c r="N1" s="30"/>
      <x:c r="O1" s="31" t="str">
        <x:v>请求参数</x:v>
      </x:c>
      <x:c r="P1" s="31"/>
    </x:row>
    <x:row r="2">
      <x:c r="A2" s="30" t="str">
        <x:v>Embedding</x:v>
      </x:c>
      <x:c r="B2" s="30" t="str">
        <x:v>model.embed_tokens.weight</x:v>
      </x:c>
      <x:c r="C2" s="30" t="str">
        <x:v>[163840, 7168]</x:v>
      </x:c>
      <x:c r="D2" s="30" t="str">
        <x:v>BF16</x:v>
      </x:c>
      <x:c r="E2" s="32" t="n">
        <x:v>2</x:v>
      </x:c>
      <x:c r="F2" s="33" t="n">
        <x:v>1</x:v>
      </x:c>
      <x:c r="G2" s="33" t="n">
        <x:v>1174405120</x:v>
      </x:c>
      <x:c r="H2" s="33" t="str">
        <x:v>Embedding TP</x:v>
      </x:c>
      <x:c r="I2" s="33" t="n">
        <x:f>IF('Decode'!$P$21&gt;0,'Decode'!$P$21,'Decode'!$P$12)</x:f>
        <x:v>8</x:v>
      </x:c>
      <x:c r="J2" s="34" t="n">
        <x:f>E2*F2*G2/1073741824</x:f>
        <x:v>2.1875</x:v>
      </x:c>
      <x:c r="K2" s="34" t="n">
        <x:f>J2/I2</x:f>
        <x:v>0.2734375</x:v>
      </x:c>
      <x:c r="L2" s="30"/>
      <x:c r="M2" s="30"/>
      <x:c r="N2" s="30"/>
      <x:c r="O2" s="35" t="str">
        <x:v>max_num_batched_tokens</x:v>
      </x:c>
      <x:c r="P2" s="36" t="n">
        <x:v>8192</x:v>
      </x:c>
    </x:row>
    <x:row r="3">
      <x:c r="A3" s="30" t="str">
        <x:v>LM Head</x:v>
      </x:c>
      <x:c r="B3" s="30" t="str">
        <x:v>lm_head.weight</x:v>
      </x:c>
      <x:c r="C3" s="30" t="str">
        <x:v>[163840, 7168]</x:v>
      </x:c>
      <x:c r="D3" s="30" t="str">
        <x:v>BF16</x:v>
      </x:c>
      <x:c r="E3" s="32" t="n">
        <x:v>2</x:v>
      </x:c>
      <x:c r="F3" s="33" t="n">
        <x:v>1</x:v>
      </x:c>
      <x:c r="G3" s="33" t="n">
        <x:v>1174405120</x:v>
      </x:c>
      <x:c r="H3" s="33" t="str">
        <x:v>LM Head TP</x:v>
      </x:c>
      <x:c r="I3" s="33" t="n">
        <x:f>IF('Decode'!$P$20&gt;0,'Decode'!$P$20,'Decode'!$P$12)</x:f>
        <x:v>8</x:v>
      </x:c>
      <x:c r="J3" s="34" t="n">
        <x:f>E3*F3*G3/1073741824</x:f>
        <x:v>2.1875</x:v>
      </x:c>
      <x:c r="K3" s="34" t="n">
        <x:f>J3/I3</x:f>
        <x:v>0.2734375</x:v>
      </x:c>
      <x:c r="L3" s="30"/>
      <x:c r="M3" s="30"/>
      <x:c r="N3" s="30"/>
      <x:c r="O3" s="35" t="str">
        <x:v>max_num_seqs</x:v>
      </x:c>
      <x:c r="P3" s="36" t="n">
        <x:v>128</x:v>
      </x:c>
    </x:row>
    <x:row r="4">
      <x:c r="A4" s="30" t="str">
        <x:v>Backbone</x:v>
      </x:c>
      <x:c r="B4" s="30" t="str">
        <x:v>model.norm.weight</x:v>
      </x:c>
      <x:c r="C4" s="30" t="str">
        <x:v>[7168]</x:v>
      </x:c>
      <x:c r="D4" s="30" t="str">
        <x:v>BF16</x:v>
      </x:c>
      <x:c r="E4" s="32" t="n">
        <x:v>2</x:v>
      </x:c>
      <x:c r="F4" s="33" t="n">
        <x:v>1</x:v>
      </x:c>
      <x:c r="G4" s="33" t="n">
        <x:v>7168</x:v>
      </x:c>
      <x:c r="H4" s="33" t="str">
        <x:v>Replicated</x:v>
      </x:c>
      <x:c r="I4" s="33" t="n">
        <x:f>1</x:f>
        <x:v>1</x:v>
      </x:c>
      <x:c r="J4" s="34" t="n">
        <x:f>E4*F4*G4/1073741824</x:f>
        <x:v>0.0000133514404296875</x:v>
      </x:c>
      <x:c r="K4" s="34" t="n">
        <x:f>J4/I4</x:f>
        <x:v>0.0000133514404296875</x:v>
      </x:c>
      <x:c r="L4" s="30"/>
      <x:c r="M4" s="30"/>
      <x:c r="N4" s="30"/>
      <x:c r="O4" s="35" t="str">
        <x:v>平均输入 Token 数</x:v>
      </x:c>
      <x:c r="P4" s="36" t="n">
        <x:v>4096</x:v>
      </x:c>
    </x:row>
    <x:row r="5">
      <x:c r="A5" s="30" t="str">
        <x:v>Backbone</x:v>
      </x:c>
      <x:c r="B5" s="30" t="str">
        <x:v>input_layernorm.weight</x:v>
      </x:c>
      <x:c r="C5" s="30" t="str">
        <x:v>[7168]</x:v>
      </x:c>
      <x:c r="D5" s="30" t="str">
        <x:v>BF16</x:v>
      </x:c>
      <x:c r="E5" s="32" t="n">
        <x:v>2</x:v>
      </x:c>
      <x:c r="F5" s="33" t="n">
        <x:v>93</x:v>
      </x:c>
      <x:c r="G5" s="33" t="n">
        <x:v>7168</x:v>
      </x:c>
      <x:c r="H5" s="33" t="str">
        <x:v>Replicated</x:v>
      </x:c>
      <x:c r="I5" s="33" t="n">
        <x:f>1</x:f>
        <x:v>1</x:v>
      </x:c>
      <x:c r="J5" s="34" t="n">
        <x:f>E5*F5*G5/1073741824</x:f>
        <x:v>0.0012416839599609375</x:v>
      </x:c>
      <x:c r="K5" s="34" t="n">
        <x:f>J5/I5</x:f>
        <x:v>0.0012416839599609375</x:v>
      </x:c>
      <x:c r="L5" s="30"/>
      <x:c r="M5" s="30"/>
      <x:c r="N5" s="30"/>
      <x:c r="O5" s="35" t="str">
        <x:v>平均输出 Token 数</x:v>
      </x:c>
      <x:c r="P5" s="36" t="n">
        <x:v>1024</x:v>
      </x:c>
    </x:row>
    <x:row r="6">
      <x:c r="A6" s="30" t="str">
        <x:v>Backbone</x:v>
      </x:c>
      <x:c r="B6" s="30" t="str">
        <x:v>post_attention_layernorm.weight</x:v>
      </x:c>
      <x:c r="C6" s="30" t="str">
        <x:v>[7168]</x:v>
      </x:c>
      <x:c r="D6" s="30" t="str">
        <x:v>BF16</x:v>
      </x:c>
      <x:c r="E6" s="32" t="n">
        <x:v>2</x:v>
      </x:c>
      <x:c r="F6" s="33" t="n">
        <x:v>93</x:v>
      </x:c>
      <x:c r="G6" s="33" t="n">
        <x:v>7168</x:v>
      </x:c>
      <x:c r="H6" s="33" t="str">
        <x:v>Replicated</x:v>
      </x:c>
      <x:c r="I6" s="33" t="n">
        <x:f>1</x:f>
        <x:v>1</x:v>
      </x:c>
      <x:c r="J6" s="34" t="n">
        <x:f>E6*F6*G6/1073741824</x:f>
        <x:v>0.0012416839599609375</x:v>
      </x:c>
      <x:c r="K6" s="34" t="n">
        <x:f>J6/I6</x:f>
        <x:v>0.0012416839599609375</x:v>
      </x:c>
      <x:c r="L6" s="30"/>
      <x:c r="M6" s="30"/>
      <x:c r="N6" s="30"/>
      <x:c r="O6" s="35" t="str">
        <x:v>投机采样步数</x:v>
      </x:c>
      <x:c r="P6" s="36" t="n">
        <x:v>7</x:v>
      </x:c>
    </x:row>
    <x:row r="7">
      <x:c r="A7" s="30" t="str">
        <x:v>Backbone</x:v>
      </x:c>
      <x:c r="B7" s="30" t="str">
        <x:v>self_attention_res_norm.weight</x:v>
      </x:c>
      <x:c r="C7" s="30" t="str">
        <x:v>[7168]</x:v>
      </x:c>
      <x:c r="D7" s="30" t="str">
        <x:v>BF16</x:v>
      </x:c>
      <x:c r="E7" s="32" t="n">
        <x:v>2</x:v>
      </x:c>
      <x:c r="F7" s="33" t="n">
        <x:v>93</x:v>
      </x:c>
      <x:c r="G7" s="33" t="n">
        <x:v>7168</x:v>
      </x:c>
      <x:c r="H7" s="33" t="str">
        <x:v>Replicated</x:v>
      </x:c>
      <x:c r="I7" s="33" t="n">
        <x:f>1</x:f>
        <x:v>1</x:v>
      </x:c>
      <x:c r="J7" s="34" t="n">
        <x:f>E7*F7*G7/1073741824</x:f>
        <x:v>0.0012416839599609375</x:v>
      </x:c>
      <x:c r="K7" s="34" t="n">
        <x:f>J7/I7</x:f>
        <x:v>0.0012416839599609375</x:v>
      </x:c>
      <x:c r="L7" s="30"/>
      <x:c r="M7" s="30"/>
      <x:c r="N7" s="30"/>
      <x:c r="O7" s="35" t="str">
        <x:v>当前 Step Token 数</x:v>
      </x:c>
      <x:c r="P7" s="37" t="n">
        <x:f>MIN($P$2,$P$3*($P$6+1))</x:f>
        <x:v>1024</x:v>
      </x:c>
    </x:row>
    <x:row r="8">
      <x:c r="A8" s="30" t="str">
        <x:v>Backbone</x:v>
      </x:c>
      <x:c r="B8" s="30" t="str">
        <x:v>self_attention_res_proj.weight</x:v>
      </x:c>
      <x:c r="C8" s="30" t="str">
        <x:v>[1, 7168]</x:v>
      </x:c>
      <x:c r="D8" s="30" t="str">
        <x:v>BF16</x:v>
      </x:c>
      <x:c r="E8" s="32" t="n">
        <x:v>2</x:v>
      </x:c>
      <x:c r="F8" s="33" t="n">
        <x:v>93</x:v>
      </x:c>
      <x:c r="G8" s="33" t="n">
        <x:v>7168</x:v>
      </x:c>
      <x:c r="H8" s="33" t="str">
        <x:v>Replicated</x:v>
      </x:c>
      <x:c r="I8" s="33" t="n">
        <x:f>1</x:f>
        <x:v>1</x:v>
      </x:c>
      <x:c r="J8" s="34" t="n">
        <x:f>E8*F8*G8/1073741824</x:f>
        <x:v>0.0012416839599609375</x:v>
      </x:c>
      <x:c r="K8" s="34" t="n">
        <x:f>J8/I8</x:f>
        <x:v>0.0012416839599609375</x:v>
      </x:c>
      <x:c r="L8" s="30"/>
      <x:c r="M8" s="30"/>
      <x:c r="N8" s="30"/>
      <x:c r="O8" s="35" t="str">
        <x:v>本 Step 采样行数</x:v>
      </x:c>
      <x:c r="P8" s="37" t="n">
        <x:f>MIN($P$7,$P$3*($P$6+1))</x:f>
        <x:v>1024</x:v>
      </x:c>
    </x:row>
    <x:row r="9">
      <x:c r="A9" s="30" t="str">
        <x:v>Backbone</x:v>
      </x:c>
      <x:c r="B9" s="30" t="str">
        <x:v>mlp_res_norm.weight</x:v>
      </x:c>
      <x:c r="C9" s="30" t="str">
        <x:v>[7168]</x:v>
      </x:c>
      <x:c r="D9" s="30" t="str">
        <x:v>BF16</x:v>
      </x:c>
      <x:c r="E9" s="32" t="n">
        <x:v>2</x:v>
      </x:c>
      <x:c r="F9" s="33" t="n">
        <x:v>93</x:v>
      </x:c>
      <x:c r="G9" s="33" t="n">
        <x:v>7168</x:v>
      </x:c>
      <x:c r="H9" s="33" t="str">
        <x:v>Replicated</x:v>
      </x:c>
      <x:c r="I9" s="33" t="n">
        <x:f>1</x:f>
        <x:v>1</x:v>
      </x:c>
      <x:c r="J9" s="34" t="n">
        <x:f>E9*F9*G9/1073741824</x:f>
        <x:v>0.0012416839599609375</x:v>
      </x:c>
      <x:c r="K9" s="34" t="n">
        <x:f>J9/I9</x:f>
        <x:v>0.0012416839599609375</x:v>
      </x:c>
      <x:c r="L9" s="30"/>
      <x:c r="M9" s="30"/>
      <x:c r="N9" s="30"/>
      <x:c r="O9" s="30"/>
      <x:c r="P9" s="30"/>
    </x:row>
    <x:row r="10">
      <x:c r="A10" s="30" t="str">
        <x:v>Backbone</x:v>
      </x:c>
      <x:c r="B10" s="30" t="str">
        <x:v>mlp_res_proj.weight</x:v>
      </x:c>
      <x:c r="C10" s="30" t="str">
        <x:v>[1, 7168]</x:v>
      </x:c>
      <x:c r="D10" s="30" t="str">
        <x:v>BF16</x:v>
      </x:c>
      <x:c r="E10" s="32" t="n">
        <x:v>2</x:v>
      </x:c>
      <x:c r="F10" s="33" t="n">
        <x:v>93</x:v>
      </x:c>
      <x:c r="G10" s="33" t="n">
        <x:v>7168</x:v>
      </x:c>
      <x:c r="H10" s="33" t="str">
        <x:v>Replicated</x:v>
      </x:c>
      <x:c r="I10" s="33" t="n">
        <x:f>1</x:f>
        <x:v>1</x:v>
      </x:c>
      <x:c r="J10" s="34" t="n">
        <x:f>E10*F10*G10/1073741824</x:f>
        <x:v>0.0012416839599609375</x:v>
      </x:c>
      <x:c r="K10" s="34" t="n">
        <x:f>J10/I10</x:f>
        <x:v>0.0012416839599609375</x:v>
      </x:c>
      <x:c r="L10" s="30"/>
      <x:c r="M10" s="30"/>
      <x:c r="N10" s="30"/>
      <x:c r="O10" s="31" t="str">
        <x:v>并行策略</x:v>
      </x:c>
      <x:c r="P10" s="31"/>
    </x:row>
    <x:row r="11">
      <x:c r="A11" s="30" t="str">
        <x:v>Backbone</x:v>
      </x:c>
      <x:c r="B11" s="30" t="str">
        <x:v>output_attn_res_norm.weight</x:v>
      </x:c>
      <x:c r="C11" s="30" t="str">
        <x:v>[7168]</x:v>
      </x:c>
      <x:c r="D11" s="30" t="str">
        <x:v>BF16</x:v>
      </x:c>
      <x:c r="E11" s="32" t="n">
        <x:v>2</x:v>
      </x:c>
      <x:c r="F11" s="33" t="n">
        <x:v>1</x:v>
      </x:c>
      <x:c r="G11" s="33" t="n">
        <x:v>7168</x:v>
      </x:c>
      <x:c r="H11" s="33" t="str">
        <x:v>Replicated</x:v>
      </x:c>
      <x:c r="I11" s="33" t="n">
        <x:f>1</x:f>
        <x:v>1</x:v>
      </x:c>
      <x:c r="J11" s="34" t="n">
        <x:f>E11*F11*G11/1073741824</x:f>
        <x:v>0.0000133514404296875</x:v>
      </x:c>
      <x:c r="K11" s="34" t="n">
        <x:f>J11/I11</x:f>
        <x:v>0.0000133514404296875</x:v>
      </x:c>
      <x:c r="L11" s="30"/>
      <x:c r="M11" s="30"/>
      <x:c r="N11" s="30"/>
      <x:c r="O11" s="35" t="str">
        <x:v>DP</x:v>
      </x:c>
      <x:c r="P11" s="36" t="n">
        <x:v>1</x:v>
      </x:c>
    </x:row>
    <x:row r="12">
      <x:c r="A12" s="30" t="str">
        <x:v>Backbone</x:v>
      </x:c>
      <x:c r="B12" s="30" t="str">
        <x:v>output_attn_res_proj.weight</x:v>
      </x:c>
      <x:c r="C12" s="30" t="str">
        <x:v>[1, 7168]</x:v>
      </x:c>
      <x:c r="D12" s="30" t="str">
        <x:v>BF16</x:v>
      </x:c>
      <x:c r="E12" s="32" t="n">
        <x:v>2</x:v>
      </x:c>
      <x:c r="F12" s="33" t="n">
        <x:v>1</x:v>
      </x:c>
      <x:c r="G12" s="33" t="n">
        <x:v>7168</x:v>
      </x:c>
      <x:c r="H12" s="33" t="str">
        <x:v>Replicated</x:v>
      </x:c>
      <x:c r="I12" s="33" t="n">
        <x:f>1</x:f>
        <x:v>1</x:v>
      </x:c>
      <x:c r="J12" s="34" t="n">
        <x:f>E12*F12*G12/1073741824</x:f>
        <x:v>0.0000133514404296875</x:v>
      </x:c>
      <x:c r="K12" s="34" t="n">
        <x:f>J12/I12</x:f>
        <x:v>0.0000133514404296875</x:v>
      </x:c>
      <x:c r="L12" s="30"/>
      <x:c r="M12" s="30"/>
      <x:c r="N12" s="30"/>
      <x:c r="O12" s="35" t="str">
        <x:v>TP</x:v>
      </x:c>
      <x:c r="P12" s="36" t="n">
        <x:v>8</x:v>
      </x:c>
    </x:row>
    <x:row r="13">
      <x:c r="A13" s="30" t="str">
        <x:v>Dense MLP</x:v>
      </x:c>
      <x:c r="B13" s="30" t="str">
        <x:v>mlp.gate_proj.weight</x:v>
      </x:c>
      <x:c r="C13" s="30" t="str">
        <x:v>[33792, 7168]</x:v>
      </x:c>
      <x:c r="D13" s="30" t="str">
        <x:v>BF16</x:v>
      </x:c>
      <x:c r="E13" s="32" t="n">
        <x:v>2</x:v>
      </x:c>
      <x:c r="F13" s="33" t="n">
        <x:v>1</x:v>
      </x:c>
      <x:c r="G13" s="33" t="n">
        <x:v>242221056</x:v>
      </x:c>
      <x:c r="H13" s="33" t="str">
        <x:v>TP</x:v>
      </x:c>
      <x:c r="I13" s="33" t="n">
        <x:f>'Decode'!$P$12</x:f>
        <x:v>8</x:v>
      </x:c>
      <x:c r="J13" s="34" t="n">
        <x:f>E13*F13*G13/1073741824</x:f>
        <x:v>0.451171875</x:v>
      </x:c>
      <x:c r="K13" s="34" t="n">
        <x:f>J13/I13</x:f>
        <x:v>0.056396484375</x:v>
      </x:c>
      <x:c r="L13" s="30"/>
      <x:c r="M13" s="30"/>
      <x:c r="N13" s="30"/>
      <x:c r="O13" s="35" t="str">
        <x:v>SP（0/1）</x:v>
      </x:c>
      <x:c r="P13" s="36" t="n">
        <x:v>1</x:v>
      </x:c>
    </x:row>
    <x:row r="14">
      <x:c r="A14" s="30" t="str">
        <x:v>Dense MLP</x:v>
      </x:c>
      <x:c r="B14" s="30" t="str">
        <x:v>mlp.up_proj.weight</x:v>
      </x:c>
      <x:c r="C14" s="30" t="str">
        <x:v>[33792, 7168]</x:v>
      </x:c>
      <x:c r="D14" s="30" t="str">
        <x:v>BF16</x:v>
      </x:c>
      <x:c r="E14" s="32" t="n">
        <x:v>2</x:v>
      </x:c>
      <x:c r="F14" s="33" t="n">
        <x:v>1</x:v>
      </x:c>
      <x:c r="G14" s="33" t="n">
        <x:v>242221056</x:v>
      </x:c>
      <x:c r="H14" s="33" t="str">
        <x:v>TP</x:v>
      </x:c>
      <x:c r="I14" s="33" t="n">
        <x:f>'Decode'!$P$12</x:f>
        <x:v>8</x:v>
      </x:c>
      <x:c r="J14" s="34" t="n">
        <x:f>E14*F14*G14/1073741824</x:f>
        <x:v>0.451171875</x:v>
      </x:c>
      <x:c r="K14" s="34" t="n">
        <x:f>J14/I14</x:f>
        <x:v>0.056396484375</x:v>
      </x:c>
      <x:c r="L14" s="30"/>
      <x:c r="M14" s="30"/>
      <x:c r="N14" s="30"/>
      <x:c r="O14" s="35" t="str">
        <x:v>EP</x:v>
      </x:c>
      <x:c r="P14" s="36" t="n">
        <x:v>8</x:v>
      </x:c>
    </x:row>
    <x:row r="15">
      <x:c r="A15" s="30" t="str">
        <x:v>Dense MLP</x:v>
      </x:c>
      <x:c r="B15" s="30" t="str">
        <x:v>mlp.down_proj.weight</x:v>
      </x:c>
      <x:c r="C15" s="30" t="str">
        <x:v>[7168, 33792]</x:v>
      </x:c>
      <x:c r="D15" s="30" t="str">
        <x:v>BF16</x:v>
      </x:c>
      <x:c r="E15" s="32" t="n">
        <x:v>2</x:v>
      </x:c>
      <x:c r="F15" s="33" t="n">
        <x:v>1</x:v>
      </x:c>
      <x:c r="G15" s="33" t="n">
        <x:v>242221056</x:v>
      </x:c>
      <x:c r="H15" s="33" t="str">
        <x:v>TP</x:v>
      </x:c>
      <x:c r="I15" s="33" t="n">
        <x:f>'Decode'!$P$12</x:f>
        <x:v>8</x:v>
      </x:c>
      <x:c r="J15" s="34" t="n">
        <x:f>E15*F15*G15/1073741824</x:f>
        <x:v>0.451171875</x:v>
      </x:c>
      <x:c r="K15" s="34" t="n">
        <x:f>J15/I15</x:f>
        <x:v>0.056396484375</x:v>
      </x:c>
      <x:c r="L15" s="30"/>
      <x:c r="M15" s="30"/>
      <x:c r="N15" s="30"/>
      <x:c r="O15" s="35"/>
      <x:c r="P15" s="35"/>
    </x:row>
    <x:row r="16">
      <x:c r="A16" s="30" t="str">
        <x:v>MoE Router</x:v>
      </x:c>
      <x:c r="B16" s="30" t="str">
        <x:v>block_sparse_moe.gate.weight</x:v>
      </x:c>
      <x:c r="C16" s="30" t="str">
        <x:v>[896, 7168]</x:v>
      </x:c>
      <x:c r="D16" s="30" t="str">
        <x:v>BF16</x:v>
      </x:c>
      <x:c r="E16" s="32" t="n">
        <x:v>2</x:v>
      </x:c>
      <x:c r="F16" s="33" t="n">
        <x:v>92</x:v>
      </x:c>
      <x:c r="G16" s="33" t="n">
        <x:v>6422528</x:v>
      </x:c>
      <x:c r="H16" s="33" t="str">
        <x:v>Replicated</x:v>
      </x:c>
      <x:c r="I16" s="33" t="n">
        <x:f>1</x:f>
        <x:v>1</x:v>
      </x:c>
      <x:c r="J16" s="34" t="n">
        <x:f>E16*F16*G16/1073741824</x:f>
        <x:v>1.1005859375</x:v>
      </x:c>
      <x:c r="K16" s="34" t="n">
        <x:f>J16/I16</x:f>
        <x:v>1.1005859375</x:v>
      </x:c>
      <x:c r="L16" s="30"/>
      <x:c r="M16" s="30"/>
      <x:c r="N16" s="30"/>
      <x:c r="O16" s="35" t="str">
        <x:v>DCP（1 表示关闭）</x:v>
      </x:c>
      <x:c r="P16" s="36" t="n">
        <x:v>1</x:v>
      </x:c>
    </x:row>
    <x:row r="17">
      <x:c r="A17" s="30" t="str">
        <x:v>MoE Router</x:v>
      </x:c>
      <x:c r="B17" s="30" t="str">
        <x:v>block_sparse_moe.gate.e_score_correction_bias</x:v>
      </x:c>
      <x:c r="C17" s="30" t="str">
        <x:v>[896]</x:v>
      </x:c>
      <x:c r="D17" s="30" t="str">
        <x:v>F32</x:v>
      </x:c>
      <x:c r="E17" s="32" t="n">
        <x:v>4</x:v>
      </x:c>
      <x:c r="F17" s="33" t="n">
        <x:v>92</x:v>
      </x:c>
      <x:c r="G17" s="33" t="n">
        <x:v>896</x:v>
      </x:c>
      <x:c r="H17" s="33" t="str">
        <x:v>Replicated</x:v>
      </x:c>
      <x:c r="I17" s="33" t="n">
        <x:f>1</x:f>
        <x:v>1</x:v>
      </x:c>
      <x:c r="J17" s="34" t="n">
        <x:f>E17*F17*G17/1073741824</x:f>
        <x:v>0.0003070831298828125</x:v>
      </x:c>
      <x:c r="K17" s="34" t="n">
        <x:f>J17/I17</x:f>
        <x:v>0.0003070831298828125</x:v>
      </x:c>
      <x:c r="L17" s="30"/>
      <x:c r="M17" s="30"/>
      <x:c r="N17" s="30"/>
      <x:c r="O17" s="35" t="str">
        <x:v>共享专家并行方式</x:v>
      </x:c>
      <x:c r="P17" s="38" t="str">
        <x:v>TP</x:v>
      </x:c>
    </x:row>
    <x:row r="18">
      <x:c r="A18" s="30" t="str">
        <x:v>Latent MoE</x:v>
      </x:c>
      <x:c r="B18" s="30" t="str">
        <x:v>routed_expert_up_proj.weight</x:v>
      </x:c>
      <x:c r="C18" s="30" t="str">
        <x:v>[7168, 3584]</x:v>
      </x:c>
      <x:c r="D18" s="30" t="str">
        <x:v>BF16</x:v>
      </x:c>
      <x:c r="E18" s="32" t="n">
        <x:v>2</x:v>
      </x:c>
      <x:c r="F18" s="33" t="n">
        <x:v>92</x:v>
      </x:c>
      <x:c r="G18" s="33" t="n">
        <x:v>25690112</x:v>
      </x:c>
      <x:c r="H18" s="33" t="str">
        <x:v>Replicated</x:v>
      </x:c>
      <x:c r="I18" s="33" t="n">
        <x:f>1</x:f>
        <x:v>1</x:v>
      </x:c>
      <x:c r="J18" s="34" t="n">
        <x:f>E18*F18*G18/1073741824</x:f>
        <x:v>4.40234375</x:v>
      </x:c>
      <x:c r="K18" s="34" t="n">
        <x:f>J18/I18</x:f>
        <x:v>4.40234375</x:v>
      </x:c>
      <x:c r="L18" s="30"/>
      <x:c r="M18" s="30"/>
      <x:c r="N18" s="30"/>
      <x:c r="O18" s="35" t="str">
        <x:v>共享专家 TP</x:v>
      </x:c>
      <x:c r="P18" s="36" t="n">
        <x:v>8</x:v>
      </x:c>
    </x:row>
    <x:row r="19">
      <x:c r="A19" s="30" t="str">
        <x:v>Latent MoE</x:v>
      </x:c>
      <x:c r="B19" s="30" t="str">
        <x:v>routed_expert_norm.weight</x:v>
      </x:c>
      <x:c r="C19" s="30" t="str">
        <x:v>[3584]</x:v>
      </x:c>
      <x:c r="D19" s="30" t="str">
        <x:v>BF16</x:v>
      </x:c>
      <x:c r="E19" s="32" t="n">
        <x:v>2</x:v>
      </x:c>
      <x:c r="F19" s="33" t="n">
        <x:v>92</x:v>
      </x:c>
      <x:c r="G19" s="33" t="n">
        <x:v>3584</x:v>
      </x:c>
      <x:c r="H19" s="33" t="str">
        <x:v>Replicated</x:v>
      </x:c>
      <x:c r="I19" s="33" t="n">
        <x:f>1</x:f>
        <x:v>1</x:v>
      </x:c>
      <x:c r="J19" s="34" t="n">
        <x:f>E19*F19*G19/1073741824</x:f>
        <x:v>0.000614166259765625</x:v>
      </x:c>
      <x:c r="K19" s="34" t="n">
        <x:f>J19/I19</x:f>
        <x:v>0.000614166259765625</x:v>
      </x:c>
      <x:c r="L19" s="30"/>
      <x:c r="M19" s="30"/>
      <x:c r="N19" s="30"/>
      <x:c r="O19" s="35" t="str">
        <x:v>O Proj TP（0 表示使用 TP）</x:v>
      </x:c>
      <x:c r="P19" s="36" t="n">
        <x:v>0</x:v>
      </x:c>
    </x:row>
    <x:row r="20">
      <x:c r="A20" s="30" t="str">
        <x:v>Latent MoE</x:v>
      </x:c>
      <x:c r="B20" s="30" t="str">
        <x:v>routed_expert_down_proj.weight</x:v>
      </x:c>
      <x:c r="C20" s="30" t="str">
        <x:v>[3584, 7168]</x:v>
      </x:c>
      <x:c r="D20" s="30" t="str">
        <x:v>BF16</x:v>
      </x:c>
      <x:c r="E20" s="32" t="n">
        <x:v>2</x:v>
      </x:c>
      <x:c r="F20" s="33" t="n">
        <x:v>92</x:v>
      </x:c>
      <x:c r="G20" s="33" t="n">
        <x:v>25690112</x:v>
      </x:c>
      <x:c r="H20" s="33" t="str">
        <x:v>Replicated</x:v>
      </x:c>
      <x:c r="I20" s="33" t="n">
        <x:f>1</x:f>
        <x:v>1</x:v>
      </x:c>
      <x:c r="J20" s="34" t="n">
        <x:f>E20*F20*G20/1073741824</x:f>
        <x:v>4.40234375</x:v>
      </x:c>
      <x:c r="K20" s="34" t="n">
        <x:f>J20/I20</x:f>
        <x:v>4.40234375</x:v>
      </x:c>
      <x:c r="L20" s="30"/>
      <x:c r="M20" s="30"/>
      <x:c r="N20" s="30"/>
      <x:c r="O20" s="35" t="str">
        <x:v>LM Head TP（0 表示使用 TP）</x:v>
      </x:c>
      <x:c r="P20" s="36" t="n">
        <x:v>0</x:v>
      </x:c>
    </x:row>
    <x:row r="21">
      <x:c r="A21" s="30" t="str">
        <x:v>Routed Experts</x:v>
      </x:c>
      <x:c r="B21" s="30" t="str">
        <x:v>experts.w1.weight</x:v>
      </x:c>
      <x:c r="C21" s="30" t="str">
        <x:v>[3072, 3584]</x:v>
      </x:c>
      <x:c r="D21" s="30" t="str">
        <x:v>FP4</x:v>
      </x:c>
      <x:c r="E21" s="32" t="n">
        <x:v>0.5</x:v>
      </x:c>
      <x:c r="F21" s="33" t="n">
        <x:v>82432</x:v>
      </x:c>
      <x:c r="G21" s="33" t="n">
        <x:v>11010048</x:v>
      </x:c>
      <x:c r="H21" s="33" t="str">
        <x:v>EP</x:v>
      </x:c>
      <x:c r="I21" s="33" t="n">
        <x:f>'Decode'!$P$14</x:f>
        <x:v>8</x:v>
      </x:c>
      <x:c r="J21" s="34" t="n">
        <x:f>E21*F21*G21/1073741824</x:f>
        <x:v>422.625</x:v>
      </x:c>
      <x:c r="K21" s="34" t="n">
        <x:f>J21/I21</x:f>
        <x:v>52.828125</x:v>
      </x:c>
      <x:c r="L21" s="30"/>
      <x:c r="M21" s="30"/>
      <x:c r="N21" s="30"/>
      <x:c r="O21" s="35" t="str">
        <x:v>Embedding TP（0 表示使用 TP）</x:v>
      </x:c>
      <x:c r="P21" s="36" t="n">
        <x:v>0</x:v>
      </x:c>
    </x:row>
    <x:row r="22">
      <x:c r="A22" s="30" t="str">
        <x:v>Routed Experts</x:v>
      </x:c>
      <x:c r="B22" s="30" t="str">
        <x:v>experts.w1.weight_scale</x:v>
      </x:c>
      <x:c r="C22" s="30" t="str">
        <x:v>[3072, 112]</x:v>
      </x:c>
      <x:c r="D22" s="30" t="str">
        <x:v>E8M0</x:v>
      </x:c>
      <x:c r="E22" s="32" t="n">
        <x:v>1</x:v>
      </x:c>
      <x:c r="F22" s="33" t="n">
        <x:v>82432</x:v>
      </x:c>
      <x:c r="G22" s="33" t="n">
        <x:v>344064</x:v>
      </x:c>
      <x:c r="H22" s="33" t="str">
        <x:v>EP</x:v>
      </x:c>
      <x:c r="I22" s="33" t="n">
        <x:f>'Decode'!$P$14</x:f>
        <x:v>8</x:v>
      </x:c>
      <x:c r="J22" s="34" t="n">
        <x:f>E22*F22*G22/1073741824</x:f>
        <x:v>26.4140625</x:v>
      </x:c>
      <x:c r="K22" s="34" t="n">
        <x:f>J22/I22</x:f>
        <x:v>3.3017578125</x:v>
      </x:c>
      <x:c r="L22" s="30"/>
      <x:c r="M22" s="30"/>
      <x:c r="N22" s="30"/>
      <x:c r="O22" s="35" t="str">
        <x:v>Fine O TP（0/1）</x:v>
      </x:c>
      <x:c r="P22" s="36" t="n">
        <x:v>0</x:v>
      </x:c>
    </x:row>
    <x:row r="23">
      <x:c r="A23" s="30" t="str">
        <x:v>Routed Experts</x:v>
      </x:c>
      <x:c r="B23" s="30" t="str">
        <x:v>experts.w3.weight</x:v>
      </x:c>
      <x:c r="C23" s="30" t="str">
        <x:v>[3072, 3584]</x:v>
      </x:c>
      <x:c r="D23" s="30" t="str">
        <x:v>FP4</x:v>
      </x:c>
      <x:c r="E23" s="32" t="n">
        <x:v>0.5</x:v>
      </x:c>
      <x:c r="F23" s="33" t="n">
        <x:v>82432</x:v>
      </x:c>
      <x:c r="G23" s="33" t="n">
        <x:v>11010048</x:v>
      </x:c>
      <x:c r="H23" s="33" t="str">
        <x:v>EP</x:v>
      </x:c>
      <x:c r="I23" s="33" t="n">
        <x:f>'Decode'!$P$14</x:f>
        <x:v>8</x:v>
      </x:c>
      <x:c r="J23" s="34" t="n">
        <x:f>E23*F23*G23/1073741824</x:f>
        <x:v>422.625</x:v>
      </x:c>
      <x:c r="K23" s="34" t="n">
        <x:f>J23/I23</x:f>
        <x:v>52.828125</x:v>
      </x:c>
      <x:c r="L23" s="30"/>
      <x:c r="M23" s="30"/>
      <x:c r="N23" s="30"/>
      <x:c r="O23" s="35" t="str">
        <x:v>Fine LM Head TP（0/1）</x:v>
      </x:c>
      <x:c r="P23" s="36" t="n">
        <x:v>0</x:v>
      </x:c>
    </x:row>
    <x:row r="24">
      <x:c r="A24" s="30" t="str">
        <x:v>Routed Experts</x:v>
      </x:c>
      <x:c r="B24" s="30" t="str">
        <x:v>experts.w3.weight_scale</x:v>
      </x:c>
      <x:c r="C24" s="30" t="str">
        <x:v>[3072, 112]</x:v>
      </x:c>
      <x:c r="D24" s="30" t="str">
        <x:v>E8M0</x:v>
      </x:c>
      <x:c r="E24" s="32" t="n">
        <x:v>1</x:v>
      </x:c>
      <x:c r="F24" s="33" t="n">
        <x:v>82432</x:v>
      </x:c>
      <x:c r="G24" s="33" t="n">
        <x:v>344064</x:v>
      </x:c>
      <x:c r="H24" s="33" t="str">
        <x:v>EP</x:v>
      </x:c>
      <x:c r="I24" s="33" t="n">
        <x:f>'Decode'!$P$14</x:f>
        <x:v>8</x:v>
      </x:c>
      <x:c r="J24" s="34" t="n">
        <x:f>E24*F24*G24/1073741824</x:f>
        <x:v>26.4140625</x:v>
      </x:c>
      <x:c r="K24" s="34" t="n">
        <x:f>J24/I24</x:f>
        <x:v>3.3017578125</x:v>
      </x:c>
      <x:c r="L24" s="30"/>
      <x:c r="M24" s="30"/>
      <x:c r="N24" s="30"/>
      <x:c r="O24" s="35" t="str">
        <x:v>Fine Embedding TP（0/1）</x:v>
      </x:c>
      <x:c r="P24" s="36" t="n">
        <x:v>0</x:v>
      </x:c>
    </x:row>
    <x:row r="25">
      <x:c r="A25" s="30" t="str">
        <x:v>Routed Experts</x:v>
      </x:c>
      <x:c r="B25" s="30" t="str">
        <x:v>experts.w2.weight</x:v>
      </x:c>
      <x:c r="C25" s="30" t="str">
        <x:v>[3584, 3072]</x:v>
      </x:c>
      <x:c r="D25" s="30" t="str">
        <x:v>FP4</x:v>
      </x:c>
      <x:c r="E25" s="32" t="n">
        <x:v>0.5</x:v>
      </x:c>
      <x:c r="F25" s="33" t="n">
        <x:v>82432</x:v>
      </x:c>
      <x:c r="G25" s="33" t="n">
        <x:v>11010048</x:v>
      </x:c>
      <x:c r="H25" s="33" t="str">
        <x:v>EP</x:v>
      </x:c>
      <x:c r="I25" s="33" t="n">
        <x:f>'Decode'!$P$14</x:f>
        <x:v>8</x:v>
      </x:c>
      <x:c r="J25" s="34" t="n">
        <x:f>E25*F25*G25/1073741824</x:f>
        <x:v>422.625</x:v>
      </x:c>
      <x:c r="K25" s="34" t="n">
        <x:f>J25/I25</x:f>
        <x:v>52.828125</x:v>
      </x:c>
      <x:c r="L25" s="30"/>
      <x:c r="M25" s="30"/>
      <x:c r="N25" s="30"/>
      <x:c r="O25" s="30"/>
      <x:c r="P25" s="30"/>
    </x:row>
    <x:row r="26">
      <x:c r="A26" s="30" t="str">
        <x:v>Routed Experts</x:v>
      </x:c>
      <x:c r="B26" s="30" t="str">
        <x:v>experts.w2.weight_scale</x:v>
      </x:c>
      <x:c r="C26" s="30" t="str">
        <x:v>[3584, 96]</x:v>
      </x:c>
      <x:c r="D26" s="30" t="str">
        <x:v>E8M0</x:v>
      </x:c>
      <x:c r="E26" s="32" t="n">
        <x:v>1</x:v>
      </x:c>
      <x:c r="F26" s="33" t="n">
        <x:v>82432</x:v>
      </x:c>
      <x:c r="G26" s="33" t="n">
        <x:v>344064</x:v>
      </x:c>
      <x:c r="H26" s="33" t="str">
        <x:v>EP</x:v>
      </x:c>
      <x:c r="I26" s="33" t="n">
        <x:f>'Decode'!$P$14</x:f>
        <x:v>8</x:v>
      </x:c>
      <x:c r="J26" s="34" t="n">
        <x:f>E26*F26*G26/1073741824</x:f>
        <x:v>26.4140625</x:v>
      </x:c>
      <x:c r="K26" s="34" t="n">
        <x:f>J26/I26</x:f>
        <x:v>3.3017578125</x:v>
      </x:c>
      <x:c r="L26" s="30"/>
      <x:c r="M26" s="30"/>
      <x:c r="N26" s="30"/>
      <x:c r="O26" s="30"/>
      <x:c r="P26" s="30"/>
    </x:row>
    <x:row r="27">
      <x:c r="A27" s="30" t="str">
        <x:v>Shared Experts</x:v>
      </x:c>
      <x:c r="B27" s="30" t="str">
        <x:v>shared_experts.gate_proj.weight</x:v>
      </x:c>
      <x:c r="C27" s="30" t="str">
        <x:v>[6144, 7168]</x:v>
      </x:c>
      <x:c r="D27" s="30" t="str">
        <x:v>BF16</x:v>
      </x:c>
      <x:c r="E27" s="32" t="n">
        <x:v>2</x:v>
      </x:c>
      <x:c r="F27" s="33" t="n">
        <x:v>92</x:v>
      </x:c>
      <x:c r="G27" s="33" t="n">
        <x:v>44040192</x:v>
      </x:c>
      <x:c r="H27" s="33" t="str">
        <x:v>共享专家 TP/DP</x:v>
      </x:c>
      <x:c r="I27" s="33" t="n">
        <x:f>IF('Decode'!$P$17="TP",'Decode'!$P$18,1)</x:f>
        <x:v>8</x:v>
      </x:c>
      <x:c r="J27" s="34" t="n">
        <x:f>E27*F27*G27/1073741824</x:f>
        <x:v>7.546875</x:v>
      </x:c>
      <x:c r="K27" s="34" t="n">
        <x:f>J27/I27</x:f>
        <x:v>0.943359375</x:v>
      </x:c>
      <x:c r="L27" s="30"/>
      <x:c r="M27" s="30"/>
      <x:c r="N27" s="30"/>
      <x:c r="O27" s="31" t="str">
        <x:v>通信参数</x:v>
      </x:c>
      <x:c r="P27" s="31"/>
    </x:row>
    <x:row r="28">
      <x:c r="A28" s="30" t="str">
        <x:v>Shared Experts</x:v>
      </x:c>
      <x:c r="B28" s="30" t="str">
        <x:v>shared_experts.up_proj.weight</x:v>
      </x:c>
      <x:c r="C28" s="30" t="str">
        <x:v>[6144, 7168]</x:v>
      </x:c>
      <x:c r="D28" s="30" t="str">
        <x:v>BF16</x:v>
      </x:c>
      <x:c r="E28" s="32" t="n">
        <x:v>2</x:v>
      </x:c>
      <x:c r="F28" s="33" t="n">
        <x:v>92</x:v>
      </x:c>
      <x:c r="G28" s="33" t="n">
        <x:v>44040192</x:v>
      </x:c>
      <x:c r="H28" s="33" t="str">
        <x:v>共享专家 TP/DP</x:v>
      </x:c>
      <x:c r="I28" s="33" t="n">
        <x:f>IF('Decode'!$P$17="TP",'Decode'!$P$18,1)</x:f>
        <x:v>8</x:v>
      </x:c>
      <x:c r="J28" s="34" t="n">
        <x:f>E28*F28*G28/1073741824</x:f>
        <x:v>7.546875</x:v>
      </x:c>
      <x:c r="K28" s="34" t="n">
        <x:f>J28/I28</x:f>
        <x:v>0.943359375</x:v>
      </x:c>
      <x:c r="L28" s="30"/>
      <x:c r="M28" s="30"/>
      <x:c r="N28" s="30"/>
      <x:c r="O28" s="35" t="str">
        <x:v>激活字节/元素</x:v>
      </x:c>
      <x:c r="P28" s="36" t="n">
        <x:v>2</x:v>
      </x:c>
    </x:row>
    <x:row r="29">
      <x:c r="A29" s="30" t="str">
        <x:v>Shared Experts</x:v>
      </x:c>
      <x:c r="B29" s="30" t="str">
        <x:v>shared_experts.down_proj.weight</x:v>
      </x:c>
      <x:c r="C29" s="30" t="str">
        <x:v>[7168, 6144]</x:v>
      </x:c>
      <x:c r="D29" s="30" t="str">
        <x:v>BF16</x:v>
      </x:c>
      <x:c r="E29" s="32" t="n">
        <x:v>2</x:v>
      </x:c>
      <x:c r="F29" s="33" t="n">
        <x:v>92</x:v>
      </x:c>
      <x:c r="G29" s="33" t="n">
        <x:v>44040192</x:v>
      </x:c>
      <x:c r="H29" s="33" t="str">
        <x:v>共享专家 TP/DP</x:v>
      </x:c>
      <x:c r="I29" s="33" t="n">
        <x:f>IF('Decode'!$P$17="TP",'Decode'!$P$18,1)</x:f>
        <x:v>8</x:v>
      </x:c>
      <x:c r="J29" s="34" t="n">
        <x:f>E29*F29*G29/1073741824</x:f>
        <x:v>7.546875</x:v>
      </x:c>
      <x:c r="K29" s="34" t="n">
        <x:f>J29/I29</x:f>
        <x:v>0.943359375</x:v>
      </x:c>
      <x:c r="L29" s="30"/>
      <x:c r="M29" s="30"/>
      <x:c r="N29" s="30"/>
      <x:c r="O29" s="35" t="str">
        <x:v>LSE 字节/元素</x:v>
      </x:c>
      <x:c r="P29" s="36" t="n">
        <x:v>4</x:v>
      </x:c>
    </x:row>
    <x:row r="30">
      <x:c r="A30" s="30" t="str">
        <x:v>KDA</x:v>
      </x:c>
      <x:c r="B30" s="30" t="str">
        <x:v>q_proj.weight</x:v>
      </x:c>
      <x:c r="C30" s="30" t="str">
        <x:v>[12288, 7168]</x:v>
      </x:c>
      <x:c r="D30" s="30" t="str">
        <x:v>BF16</x:v>
      </x:c>
      <x:c r="E30" s="32" t="n">
        <x:v>2</x:v>
      </x:c>
      <x:c r="F30" s="33" t="n">
        <x:v>69</x:v>
      </x:c>
      <x:c r="G30" s="33" t="n">
        <x:v>88080384</x:v>
      </x:c>
      <x:c r="H30" s="33" t="str">
        <x:v>TP</x:v>
      </x:c>
      <x:c r="I30" s="33" t="n">
        <x:f>'Decode'!$P$12</x:f>
        <x:v>8</x:v>
      </x:c>
      <x:c r="J30" s="34" t="n">
        <x:f>E30*F30*G30/1073741824</x:f>
        <x:v>11.3203125</x:v>
      </x:c>
      <x:c r="K30" s="34" t="n">
        <x:f>J30/I30</x:f>
        <x:v>1.4150390625</x:v>
      </x:c>
      <x:c r="L30" s="30"/>
      <x:c r="M30" s="30"/>
      <x:c r="N30" s="30"/>
      <x:c r="O30" s="35" t="str">
        <x:v>Token ID 字节/元素</x:v>
      </x:c>
      <x:c r="P30" s="36" t="n">
        <x:v>8</x:v>
      </x:c>
    </x:row>
    <x:row r="31">
      <x:c r="A31" s="30" t="str">
        <x:v>KDA</x:v>
      </x:c>
      <x:c r="B31" s="30" t="str">
        <x:v>k_proj.weight</x:v>
      </x:c>
      <x:c r="C31" s="30" t="str">
        <x:v>[12288, 7168]</x:v>
      </x:c>
      <x:c r="D31" s="30" t="str">
        <x:v>BF16</x:v>
      </x:c>
      <x:c r="E31" s="32" t="n">
        <x:v>2</x:v>
      </x:c>
      <x:c r="F31" s="33" t="n">
        <x:v>69</x:v>
      </x:c>
      <x:c r="G31" s="33" t="n">
        <x:v>88080384</x:v>
      </x:c>
      <x:c r="H31" s="33" t="str">
        <x:v>TP</x:v>
      </x:c>
      <x:c r="I31" s="33" t="n">
        <x:f>'Decode'!$P$12</x:f>
        <x:v>8</x:v>
      </x:c>
      <x:c r="J31" s="34" t="n">
        <x:f>E31*F31*G31/1073741824</x:f>
        <x:v>11.3203125</x:v>
      </x:c>
      <x:c r="K31" s="34" t="n">
        <x:f>J31/I31</x:f>
        <x:v>1.4150390625</x:v>
      </x:c>
      <x:c r="L31" s="30"/>
      <x:c r="M31" s="30"/>
      <x:c r="N31" s="30"/>
      <x:c r="O31" s="35" t="str">
        <x:v>Index 字节/元素</x:v>
      </x:c>
      <x:c r="P31" s="36" t="n">
        <x:v>4</x:v>
      </x:c>
    </x:row>
    <x:row r="32">
      <x:c r="A32" s="30" t="str">
        <x:v>KDA</x:v>
      </x:c>
      <x:c r="B32" s="30" t="str">
        <x:v>v_proj.weight</x:v>
      </x:c>
      <x:c r="C32" s="30" t="str">
        <x:v>[12288, 7168]</x:v>
      </x:c>
      <x:c r="D32" s="30" t="str">
        <x:v>BF16</x:v>
      </x:c>
      <x:c r="E32" s="32" t="n">
        <x:v>2</x:v>
      </x:c>
      <x:c r="F32" s="33" t="n">
        <x:v>69</x:v>
      </x:c>
      <x:c r="G32" s="33" t="n">
        <x:v>88080384</x:v>
      </x:c>
      <x:c r="H32" s="33" t="str">
        <x:v>TP</x:v>
      </x:c>
      <x:c r="I32" s="33" t="n">
        <x:f>'Decode'!$P$12</x:f>
        <x:v>8</x:v>
      </x:c>
      <x:c r="J32" s="34" t="n">
        <x:f>E32*F32*G32/1073741824</x:f>
        <x:v>11.3203125</x:v>
      </x:c>
      <x:c r="K32" s="34" t="n">
        <x:f>J32/I32</x:f>
        <x:v>1.4150390625</x:v>
      </x:c>
      <x:c r="L32" s="30"/>
      <x:c r="M32" s="30"/>
      <x:c r="N32" s="30"/>
      <x:c r="O32" s="35" t="str">
        <x:v>跨 EP Rank 路由比例</x:v>
      </x:c>
      <x:c r="P32" s="39" t="n">
        <x:f>IF($P$14&gt;1,($P$14-1)/$P$14,0)</x:f>
        <x:v>0.875</x:v>
      </x:c>
    </x:row>
    <x:row r="33">
      <x:c r="A33" s="30" t="str">
        <x:v>KDA</x:v>
      </x:c>
      <x:c r="B33" s="30" t="str">
        <x:v>g_proj.weight</x:v>
      </x:c>
      <x:c r="C33" s="30" t="str">
        <x:v>[12288, 7168]</x:v>
      </x:c>
      <x:c r="D33" s="30" t="str">
        <x:v>BF16</x:v>
      </x:c>
      <x:c r="E33" s="32" t="n">
        <x:v>2</x:v>
      </x:c>
      <x:c r="F33" s="33" t="n">
        <x:v>93</x:v>
      </x:c>
      <x:c r="G33" s="33" t="n">
        <x:v>88080384</x:v>
      </x:c>
      <x:c r="H33" s="33" t="str">
        <x:v>TP</x:v>
      </x:c>
      <x:c r="I33" s="33" t="n">
        <x:f>'Decode'!$P$12</x:f>
        <x:v>8</x:v>
      </x:c>
      <x:c r="J33" s="34" t="n">
        <x:f>E33*F33*G33/1073741824</x:f>
        <x:v>15.2578125</x:v>
      </x:c>
      <x:c r="K33" s="34" t="n">
        <x:f>J33/I33</x:f>
        <x:v>1.9072265625</x:v>
      </x:c>
      <x:c r="L33" s="30"/>
      <x:c r="M33" s="30"/>
      <x:c r="N33" s="30"/>
      <x:c r="O33" s="35" t="str">
        <x:v>Reduce Sample（0/1）</x:v>
      </x:c>
      <x:c r="P33" s="36" t="n">
        <x:v>1</x:v>
      </x:c>
    </x:row>
    <x:row r="34">
      <x:c r="A34" s="30" t="str">
        <x:v>KDA</x:v>
      </x:c>
      <x:c r="B34" s="30" t="str">
        <x:v>b_proj.weight</x:v>
      </x:c>
      <x:c r="C34" s="30" t="str">
        <x:v>[96, 7168]</x:v>
      </x:c>
      <x:c r="D34" s="30" t="str">
        <x:v>BF16</x:v>
      </x:c>
      <x:c r="E34" s="32" t="n">
        <x:v>2</x:v>
      </x:c>
      <x:c r="F34" s="33" t="n">
        <x:v>69</x:v>
      </x:c>
      <x:c r="G34" s="33" t="n">
        <x:v>688128</x:v>
      </x:c>
      <x:c r="H34" s="33" t="str">
        <x:v>TP</x:v>
      </x:c>
      <x:c r="I34" s="33" t="n">
        <x:f>'Decode'!$P$12</x:f>
        <x:v>8</x:v>
      </x:c>
      <x:c r="J34" s="34" t="n">
        <x:f>E34*F34*G34/1073741824</x:f>
        <x:v>0.08843994140625</x:v>
      </x:c>
      <x:c r="K34" s="34" t="n">
        <x:f>J34/I34</x:f>
        <x:v>0.01105499267578125</x:v>
      </x:c>
      <x:c r="L34" s="30"/>
      <x:c r="M34" s="30"/>
      <x:c r="N34" s="30"/>
      <x:c r="O34" s="35" t="str">
        <x:v>Reduce Sample K</x:v>
      </x:c>
      <x:c r="P34" s="36" t="n">
        <x:v>256</x:v>
      </x:c>
    </x:row>
    <x:row r="35">
      <x:c r="A35" s="30" t="str">
        <x:v>KDA</x:v>
      </x:c>
      <x:c r="B35" s="30" t="str">
        <x:v>f_a_proj.weight</x:v>
      </x:c>
      <x:c r="C35" s="30" t="str">
        <x:v>[128, 7168]</x:v>
      </x:c>
      <x:c r="D35" s="30" t="str">
        <x:v>BF16</x:v>
      </x:c>
      <x:c r="E35" s="32" t="n">
        <x:v>2</x:v>
      </x:c>
      <x:c r="F35" s="33" t="n">
        <x:v>69</x:v>
      </x:c>
      <x:c r="G35" s="33" t="n">
        <x:v>917504</x:v>
      </x:c>
      <x:c r="H35" s="33" t="str">
        <x:v>Replicated</x:v>
      </x:c>
      <x:c r="I35" s="33" t="n">
        <x:f>1</x:f>
        <x:v>1</x:v>
      </x:c>
      <x:c r="J35" s="34" t="n">
        <x:f>E35*F35*G35/1073741824</x:f>
        <x:v>0.117919921875</x:v>
      </x:c>
      <x:c r="K35" s="34" t="n">
        <x:f>J35/I35</x:f>
        <x:v>0.117919921875</x:v>
      </x:c>
      <x:c r="L35" s="30"/>
      <x:c r="M35" s="30"/>
      <x:c r="N35" s="30"/>
      <x:c r="O35" s="30"/>
      <x:c r="P35" s="30"/>
    </x:row>
    <x:row r="36">
      <x:c r="A36" s="30" t="str">
        <x:v>KDA</x:v>
      </x:c>
      <x:c r="B36" s="30" t="str">
        <x:v>f_b_proj.weight</x:v>
      </x:c>
      <x:c r="C36" s="30" t="str">
        <x:v>[12288, 128]</x:v>
      </x:c>
      <x:c r="D36" s="30" t="str">
        <x:v>BF16</x:v>
      </x:c>
      <x:c r="E36" s="32" t="n">
        <x:v>2</x:v>
      </x:c>
      <x:c r="F36" s="33" t="n">
        <x:v>69</x:v>
      </x:c>
      <x:c r="G36" s="33" t="n">
        <x:v>1572864</x:v>
      </x:c>
      <x:c r="H36" s="33" t="str">
        <x:v>TP</x:v>
      </x:c>
      <x:c r="I36" s="33" t="n">
        <x:f>'Decode'!$P$12</x:f>
        <x:v>8</x:v>
      </x:c>
      <x:c r="J36" s="34" t="n">
        <x:f>E36*F36*G36/1073741824</x:f>
        <x:v>0.2021484375</x:v>
      </x:c>
      <x:c r="K36" s="34" t="n">
        <x:f>J36/I36</x:f>
        <x:v>0.0252685546875</x:v>
      </x:c>
      <x:c r="L36" s="30"/>
      <x:c r="M36" s="30"/>
      <x:c r="N36" s="30"/>
      <x:c r="O36" s="30"/>
      <x:c r="P36" s="30"/>
    </x:row>
    <x:row r="37">
      <x:c r="A37" s="30" t="str">
        <x:v>KDA</x:v>
      </x:c>
      <x:c r="B37" s="30" t="str">
        <x:v>q_conv1d.weight</x:v>
      </x:c>
      <x:c r="C37" s="30" t="str">
        <x:v>[12288, 1, 4]</x:v>
      </x:c>
      <x:c r="D37" s="30" t="str">
        <x:v>F32</x:v>
      </x:c>
      <x:c r="E37" s="32" t="n">
        <x:v>4</x:v>
      </x:c>
      <x:c r="F37" s="33" t="n">
        <x:v>69</x:v>
      </x:c>
      <x:c r="G37" s="33" t="n">
        <x:v>49152</x:v>
      </x:c>
      <x:c r="H37" s="33" t="str">
        <x:v>TP</x:v>
      </x:c>
      <x:c r="I37" s="33" t="n">
        <x:f>'Decode'!$P$12</x:f>
        <x:v>8</x:v>
      </x:c>
      <x:c r="J37" s="34" t="n">
        <x:f>E37*F37*G37/1073741824</x:f>
        <x:v>0.01263427734375</x:v>
      </x:c>
      <x:c r="K37" s="34" t="n">
        <x:f>J37/I37</x:f>
        <x:v>0.00157928466796875</x:v>
      </x:c>
      <x:c r="L37" s="30"/>
      <x:c r="M37" s="30"/>
      <x:c r="N37" s="30"/>
      <x:c r="O37" s="30"/>
      <x:c r="P37" s="30"/>
    </x:row>
    <x:row r="38">
      <x:c r="A38" s="30" t="str">
        <x:v>KDA</x:v>
      </x:c>
      <x:c r="B38" s="30" t="str">
        <x:v>k_conv1d.weight</x:v>
      </x:c>
      <x:c r="C38" s="30" t="str">
        <x:v>[12288, 1, 4]</x:v>
      </x:c>
      <x:c r="D38" s="30" t="str">
        <x:v>F32</x:v>
      </x:c>
      <x:c r="E38" s="32" t="n">
        <x:v>4</x:v>
      </x:c>
      <x:c r="F38" s="33" t="n">
        <x:v>69</x:v>
      </x:c>
      <x:c r="G38" s="33" t="n">
        <x:v>49152</x:v>
      </x:c>
      <x:c r="H38" s="33" t="str">
        <x:v>TP</x:v>
      </x:c>
      <x:c r="I38" s="33" t="n">
        <x:f>'Decode'!$P$12</x:f>
        <x:v>8</x:v>
      </x:c>
      <x:c r="J38" s="34" t="n">
        <x:f>E38*F38*G38/1073741824</x:f>
        <x:v>0.01263427734375</x:v>
      </x:c>
      <x:c r="K38" s="34" t="n">
        <x:f>J38/I38</x:f>
        <x:v>0.00157928466796875</x:v>
      </x:c>
      <x:c r="L38" s="30"/>
      <x:c r="M38" s="30"/>
      <x:c r="N38" s="30"/>
      <x:c r="O38" s="30"/>
      <x:c r="P38" s="30"/>
    </x:row>
    <x:row r="39">
      <x:c r="A39" s="30" t="str">
        <x:v>KDA</x:v>
      </x:c>
      <x:c r="B39" s="30" t="str">
        <x:v>v_conv1d.weight</x:v>
      </x:c>
      <x:c r="C39" s="30" t="str">
        <x:v>[12288, 1, 4]</x:v>
      </x:c>
      <x:c r="D39" s="30" t="str">
        <x:v>F32</x:v>
      </x:c>
      <x:c r="E39" s="32" t="n">
        <x:v>4</x:v>
      </x:c>
      <x:c r="F39" s="33" t="n">
        <x:v>69</x:v>
      </x:c>
      <x:c r="G39" s="33" t="n">
        <x:v>49152</x:v>
      </x:c>
      <x:c r="H39" s="33" t="str">
        <x:v>TP</x:v>
      </x:c>
      <x:c r="I39" s="33" t="n">
        <x:f>'Decode'!$P$12</x:f>
        <x:v>8</x:v>
      </x:c>
      <x:c r="J39" s="34" t="n">
        <x:f>E39*F39*G39/1073741824</x:f>
        <x:v>0.01263427734375</x:v>
      </x:c>
      <x:c r="K39" s="34" t="n">
        <x:f>J39/I39</x:f>
        <x:v>0.00157928466796875</x:v>
      </x:c>
      <x:c r="L39" s="30"/>
      <x:c r="M39" s="30"/>
      <x:c r="N39" s="30"/>
      <x:c r="O39" s="30"/>
      <x:c r="P39" s="30"/>
    </x:row>
    <x:row r="40">
      <x:c r="A40" s="30" t="str">
        <x:v>KDA</x:v>
      </x:c>
      <x:c r="B40" s="30" t="str">
        <x:v>A_log</x:v>
      </x:c>
      <x:c r="C40" s="30" t="str">
        <x:v>[128]</x:v>
      </x:c>
      <x:c r="D40" s="30" t="str">
        <x:v>F32</x:v>
      </x:c>
      <x:c r="E40" s="32" t="n">
        <x:v>4</x:v>
      </x:c>
      <x:c r="F40" s="33" t="n">
        <x:v>69</x:v>
      </x:c>
      <x:c r="G40" s="33" t="n">
        <x:v>128</x:v>
      </x:c>
      <x:c r="H40" s="33" t="str">
        <x:v>TP</x:v>
      </x:c>
      <x:c r="I40" s="33" t="n">
        <x:f>'Decode'!$P$12</x:f>
        <x:v>8</x:v>
      </x:c>
      <x:c r="J40" s="34" t="n">
        <x:f>E40*F40*G40/1073741824</x:f>
        <x:v>0.000032901763916015625</x:v>
      </x:c>
      <x:c r="K40" s="34" t="n">
        <x:f>J40/I40</x:f>
        <x:v>0.000004112720489501953</x:v>
      </x:c>
      <x:c r="L40" s="30"/>
      <x:c r="M40" s="30"/>
      <x:c r="N40" s="30"/>
      <x:c r="O40" s="30"/>
      <x:c r="P40" s="30"/>
    </x:row>
    <x:row r="41">
      <x:c r="A41" s="30" t="str">
        <x:v>KDA</x:v>
      </x:c>
      <x:c r="B41" s="30" t="str">
        <x:v>dt_bias</x:v>
      </x:c>
      <x:c r="C41" s="30" t="str">
        <x:v>[12288]</x:v>
      </x:c>
      <x:c r="D41" s="30" t="str">
        <x:v>F32</x:v>
      </x:c>
      <x:c r="E41" s="32" t="n">
        <x:v>4</x:v>
      </x:c>
      <x:c r="F41" s="33" t="n">
        <x:v>69</x:v>
      </x:c>
      <x:c r="G41" s="33" t="n">
        <x:v>12288</x:v>
      </x:c>
      <x:c r="H41" s="33" t="str">
        <x:v>TP</x:v>
      </x:c>
      <x:c r="I41" s="33" t="n">
        <x:f>'Decode'!$P$12</x:f>
        <x:v>8</x:v>
      </x:c>
      <x:c r="J41" s="34" t="n">
        <x:f>E41*F41*G41/1073741824</x:f>
        <x:v>0.0031585693359375</x:v>
      </x:c>
      <x:c r="K41" s="34" t="n">
        <x:f>J41/I41</x:f>
        <x:v>0.0003948211669921875</x:v>
      </x:c>
      <x:c r="L41" s="30"/>
      <x:c r="M41" s="30"/>
      <x:c r="N41" s="30"/>
      <x:c r="O41" s="30"/>
      <x:c r="P41" s="30"/>
    </x:row>
    <x:row r="42">
      <x:c r="A42" s="30" t="str">
        <x:v>KDA</x:v>
      </x:c>
      <x:c r="B42" s="30" t="str">
        <x:v>o_norm.weight</x:v>
      </x:c>
      <x:c r="C42" s="30" t="str">
        <x:v>[128]</x:v>
      </x:c>
      <x:c r="D42" s="30" t="str">
        <x:v>F32</x:v>
      </x:c>
      <x:c r="E42" s="32" t="n">
        <x:v>4</x:v>
      </x:c>
      <x:c r="F42" s="33" t="n">
        <x:v>69</x:v>
      </x:c>
      <x:c r="G42" s="33" t="n">
        <x:v>128</x:v>
      </x:c>
      <x:c r="H42" s="33" t="str">
        <x:v>Replicated</x:v>
      </x:c>
      <x:c r="I42" s="33" t="n">
        <x:f>1</x:f>
        <x:v>1</x:v>
      </x:c>
      <x:c r="J42" s="34" t="n">
        <x:f>E42*F42*G42/1073741824</x:f>
        <x:v>0.000032901763916015625</x:v>
      </x:c>
      <x:c r="K42" s="34" t="n">
        <x:f>J42/I42</x:f>
        <x:v>0.000032901763916015625</x:v>
      </x:c>
      <x:c r="L42" s="30"/>
      <x:c r="M42" s="30"/>
      <x:c r="N42" s="30"/>
      <x:c r="O42" s="30"/>
      <x:c r="P42" s="30"/>
    </x:row>
    <x:row r="43">
      <x:c r="A43" s="30" t="str">
        <x:v>Attention</x:v>
      </x:c>
      <x:c r="B43" s="30" t="str">
        <x:v>o_proj.weight</x:v>
      </x:c>
      <x:c r="C43" s="30" t="str">
        <x:v>[7168, 12288]</x:v>
      </x:c>
      <x:c r="D43" s="30" t="str">
        <x:v>BF16</x:v>
      </x:c>
      <x:c r="E43" s="32" t="n">
        <x:v>2</x:v>
      </x:c>
      <x:c r="F43" s="33" t="n">
        <x:v>93</x:v>
      </x:c>
      <x:c r="G43" s="33" t="n">
        <x:v>88080384</x:v>
      </x:c>
      <x:c r="H43" s="33" t="str">
        <x:v>O Proj TP</x:v>
      </x:c>
      <x:c r="I43" s="33" t="n">
        <x:f>IF('Decode'!$P$19&gt;0,'Decode'!$P$19,'Decode'!$P$12)</x:f>
        <x:v>8</x:v>
      </x:c>
      <x:c r="J43" s="34" t="n">
        <x:f>E43*F43*G43/1073741824</x:f>
        <x:v>15.2578125</x:v>
      </x:c>
      <x:c r="K43" s="34" t="n">
        <x:f>J43/I43</x:f>
        <x:v>1.9072265625</x:v>
      </x:c>
      <x:c r="L43" s="30"/>
      <x:c r="M43" s="30"/>
      <x:c r="N43" s="30"/>
      <x:c r="O43" s="30"/>
      <x:c r="P43" s="30"/>
    </x:row>
    <x:row r="44">
      <x:c r="A44" s="30" t="str">
        <x:v>MLA</x:v>
      </x:c>
      <x:c r="B44" s="30" t="str">
        <x:v>q_a_proj.weight</x:v>
      </x:c>
      <x:c r="C44" s="30" t="str">
        <x:v>[1536, 7168]</x:v>
      </x:c>
      <x:c r="D44" s="30" t="str">
        <x:v>BF16</x:v>
      </x:c>
      <x:c r="E44" s="32" t="n">
        <x:v>2</x:v>
      </x:c>
      <x:c r="F44" s="33" t="n">
        <x:v>24</x:v>
      </x:c>
      <x:c r="G44" s="33" t="n">
        <x:v>11010048</x:v>
      </x:c>
      <x:c r="H44" s="33" t="str">
        <x:v>Replicated</x:v>
      </x:c>
      <x:c r="I44" s="33" t="n">
        <x:f>1</x:f>
        <x:v>1</x:v>
      </x:c>
      <x:c r="J44" s="34" t="n">
        <x:f>E44*F44*G44/1073741824</x:f>
        <x:v>0.4921875</x:v>
      </x:c>
      <x:c r="K44" s="34" t="n">
        <x:f>J44/I44</x:f>
        <x:v>0.4921875</x:v>
      </x:c>
      <x:c r="L44" s="30"/>
      <x:c r="M44" s="30"/>
      <x:c r="N44" s="30"/>
      <x:c r="O44" s="30"/>
      <x:c r="P44" s="30"/>
    </x:row>
    <x:row r="45">
      <x:c r="A45" s="30" t="str">
        <x:v>MLA</x:v>
      </x:c>
      <x:c r="B45" s="30" t="str">
        <x:v>q_a_layernorm.weight</x:v>
      </x:c>
      <x:c r="C45" s="30" t="str">
        <x:v>[1536]</x:v>
      </x:c>
      <x:c r="D45" s="30" t="str">
        <x:v>BF16</x:v>
      </x:c>
      <x:c r="E45" s="32" t="n">
        <x:v>2</x:v>
      </x:c>
      <x:c r="F45" s="33" t="n">
        <x:v>24</x:v>
      </x:c>
      <x:c r="G45" s="33" t="n">
        <x:v>1536</x:v>
      </x:c>
      <x:c r="H45" s="33" t="str">
        <x:v>Replicated</x:v>
      </x:c>
      <x:c r="I45" s="33" t="n">
        <x:f>1</x:f>
        <x:v>1</x:v>
      </x:c>
      <x:c r="J45" s="34" t="n">
        <x:f>E45*F45*G45/1073741824</x:f>
        <x:v>0.00006866455078125</x:v>
      </x:c>
      <x:c r="K45" s="34" t="n">
        <x:f>J45/I45</x:f>
        <x:v>0.00006866455078125</x:v>
      </x:c>
      <x:c r="L45" s="30"/>
      <x:c r="M45" s="30"/>
      <x:c r="N45" s="30"/>
      <x:c r="O45" s="30"/>
      <x:c r="P45" s="30"/>
    </x:row>
    <x:row r="46">
      <x:c r="A46" s="30" t="str">
        <x:v>MLA</x:v>
      </x:c>
      <x:c r="B46" s="30" t="str">
        <x:v>q_b_proj.weight</x:v>
      </x:c>
      <x:c r="C46" s="30" t="str">
        <x:v>[18432, 1536]</x:v>
      </x:c>
      <x:c r="D46" s="30" t="str">
        <x:v>BF16</x:v>
      </x:c>
      <x:c r="E46" s="32" t="n">
        <x:v>2</x:v>
      </x:c>
      <x:c r="F46" s="33" t="n">
        <x:v>24</x:v>
      </x:c>
      <x:c r="G46" s="33" t="n">
        <x:v>28311552</x:v>
      </x:c>
      <x:c r="H46" s="33" t="str">
        <x:v>TP</x:v>
      </x:c>
      <x:c r="I46" s="33" t="n">
        <x:f>'Decode'!$P$12</x:f>
        <x:v>8</x:v>
      </x:c>
      <x:c r="J46" s="34" t="n">
        <x:f>E46*F46*G46/1073741824</x:f>
        <x:v>1.265625</x:v>
      </x:c>
      <x:c r="K46" s="34" t="n">
        <x:f>J46/I46</x:f>
        <x:v>0.158203125</x:v>
      </x:c>
      <x:c r="L46" s="30"/>
      <x:c r="M46" s="30"/>
      <x:c r="N46" s="30"/>
      <x:c r="O46" s="30"/>
      <x:c r="P46" s="30"/>
    </x:row>
    <x:row r="47">
      <x:c r="A47" s="30" t="str">
        <x:v>MLA</x:v>
      </x:c>
      <x:c r="B47" s="30" t="str">
        <x:v>kv_a_proj_with_mqa.weight</x:v>
      </x:c>
      <x:c r="C47" s="30" t="str">
        <x:v>[576, 7168]</x:v>
      </x:c>
      <x:c r="D47" s="30" t="str">
        <x:v>BF16</x:v>
      </x:c>
      <x:c r="E47" s="32" t="n">
        <x:v>2</x:v>
      </x:c>
      <x:c r="F47" s="33" t="n">
        <x:v>24</x:v>
      </x:c>
      <x:c r="G47" s="33" t="n">
        <x:v>4128768</x:v>
      </x:c>
      <x:c r="H47" s="33" t="str">
        <x:v>Replicated</x:v>
      </x:c>
      <x:c r="I47" s="33" t="n">
        <x:f>1</x:f>
        <x:v>1</x:v>
      </x:c>
      <x:c r="J47" s="34" t="n">
        <x:f>E47*F47*G47/1073741824</x:f>
        <x:v>0.1845703125</x:v>
      </x:c>
      <x:c r="K47" s="34" t="n">
        <x:f>J47/I47</x:f>
        <x:v>0.1845703125</x:v>
      </x:c>
      <x:c r="L47" s="30"/>
      <x:c r="M47" s="30"/>
      <x:c r="N47" s="30"/>
      <x:c r="O47" s="30"/>
      <x:c r="P47" s="30"/>
    </x:row>
    <x:row r="48">
      <x:c r="A48" s="30" t="str">
        <x:v>MLA</x:v>
      </x:c>
      <x:c r="B48" s="30" t="str">
        <x:v>kv_a_layernorm.weight</x:v>
      </x:c>
      <x:c r="C48" s="30" t="str">
        <x:v>[512]</x:v>
      </x:c>
      <x:c r="D48" s="30" t="str">
        <x:v>BF16</x:v>
      </x:c>
      <x:c r="E48" s="32" t="n">
        <x:v>2</x:v>
      </x:c>
      <x:c r="F48" s="33" t="n">
        <x:v>24</x:v>
      </x:c>
      <x:c r="G48" s="33" t="n">
        <x:v>512</x:v>
      </x:c>
      <x:c r="H48" s="33" t="str">
        <x:v>Replicated</x:v>
      </x:c>
      <x:c r="I48" s="33" t="n">
        <x:f>1</x:f>
        <x:v>1</x:v>
      </x:c>
      <x:c r="J48" s="34" t="n">
        <x:f>E48*F48*G48/1073741824</x:f>
        <x:v>0.00002288818359375</x:v>
      </x:c>
      <x:c r="K48" s="34" t="n">
        <x:f>J48/I48</x:f>
        <x:v>0.00002288818359375</x:v>
      </x:c>
      <x:c r="L48" s="30"/>
      <x:c r="M48" s="30"/>
      <x:c r="N48" s="30"/>
      <x:c r="O48" s="30"/>
      <x:c r="P48" s="30"/>
    </x:row>
    <x:row r="49">
      <x:c r="A49" s="30" t="str">
        <x:v>MLA</x:v>
      </x:c>
      <x:c r="B49" s="30" t="str">
        <x:v>kv_b_proj.weight</x:v>
      </x:c>
      <x:c r="C49" s="30" t="str">
        <x:v>[24576, 512]</x:v>
      </x:c>
      <x:c r="D49" s="30" t="str">
        <x:v>BF16</x:v>
      </x:c>
      <x:c r="E49" s="32" t="n">
        <x:v>2</x:v>
      </x:c>
      <x:c r="F49" s="33" t="n">
        <x:v>24</x:v>
      </x:c>
      <x:c r="G49" s="33" t="n">
        <x:v>12582912</x:v>
      </x:c>
      <x:c r="H49" s="33" t="str">
        <x:v>TP</x:v>
      </x:c>
      <x:c r="I49" s="33" t="n">
        <x:f>'Decode'!$P$12</x:f>
        <x:v>8</x:v>
      </x:c>
      <x:c r="J49" s="34" t="n">
        <x:f>E49*F49*G49/1073741824</x:f>
        <x:v>0.5625</x:v>
      </x:c>
      <x:c r="K49" s="34" t="n">
        <x:f>J49/I49</x:f>
        <x:v>0.0703125</x:v>
      </x:c>
      <x:c r="L49" s="30"/>
      <x:c r="M49" s="30"/>
      <x:c r="N49" s="30"/>
      <x:c r="O49" s="30"/>
      <x:c r="P49" s="30"/>
    </x:row>
    <x:row r="50">
      <x:c r="A50" s="30" t="str">
        <x:v>Vision</x:v>
      </x:c>
      <x:c r="B50" s="30" t="str">
        <x:v>patch_embed.proj.weight</x:v>
      </x:c>
      <x:c r="C50" s="30" t="str">
        <x:v>[1024, 3, 14, 14]</x:v>
      </x:c>
      <x:c r="D50" s="30" t="str">
        <x:v>BF16</x:v>
      </x:c>
      <x:c r="E50" s="32" t="n">
        <x:v>2</x:v>
      </x:c>
      <x:c r="F50" s="33" t="n">
        <x:v>1</x:v>
      </x:c>
      <x:c r="G50" s="33" t="n">
        <x:v>602112</x:v>
      </x:c>
      <x:c r="H50" s="33" t="str">
        <x:v>Replicated</x:v>
      </x:c>
      <x:c r="I50" s="33" t="n">
        <x:f>1</x:f>
        <x:v>1</x:v>
      </x:c>
      <x:c r="J50" s="34" t="n">
        <x:f>E50*F50*G50/1073741824</x:f>
        <x:v>0.00112152099609375</x:v>
      </x:c>
      <x:c r="K50" s="34" t="n">
        <x:f>J50/I50</x:f>
        <x:v>0.00112152099609375</x:v>
      </x:c>
      <x:c r="L50" s="30"/>
      <x:c r="M50" s="30"/>
      <x:c r="N50" s="30"/>
      <x:c r="O50" s="30"/>
      <x:c r="P50" s="30"/>
    </x:row>
    <x:row r="51">
      <x:c r="A51" s="30" t="str">
        <x:v>Vision</x:v>
      </x:c>
      <x:c r="B51" s="30" t="str">
        <x:v>patch_embed.pos_emb.weight</x:v>
      </x:c>
      <x:c r="C51" s="30" t="str">
        <x:v>[64, 64, 1024]</x:v>
      </x:c>
      <x:c r="D51" s="30" t="str">
        <x:v>BF16</x:v>
      </x:c>
      <x:c r="E51" s="32" t="n">
        <x:v>2</x:v>
      </x:c>
      <x:c r="F51" s="33" t="n">
        <x:v>1</x:v>
      </x:c>
      <x:c r="G51" s="33" t="n">
        <x:v>4194304</x:v>
      </x:c>
      <x:c r="H51" s="33" t="str">
        <x:v>Replicated</x:v>
      </x:c>
      <x:c r="I51" s="33" t="n">
        <x:f>1</x:f>
        <x:v>1</x:v>
      </x:c>
      <x:c r="J51" s="34" t="n">
        <x:f>E51*F51*G51/1073741824</x:f>
        <x:v>0.0078125</x:v>
      </x:c>
      <x:c r="K51" s="34" t="n">
        <x:f>J51/I51</x:f>
        <x:v>0.0078125</x:v>
      </x:c>
      <x:c r="L51" s="30"/>
      <x:c r="M51" s="30"/>
      <x:c r="N51" s="30"/>
      <x:c r="O51" s="30"/>
      <x:c r="P51" s="30"/>
    </x:row>
    <x:row r="52">
      <x:c r="A52" s="30" t="str">
        <x:v>Vision</x:v>
      </x:c>
      <x:c r="B52" s="30" t="str">
        <x:v>encoder.wqkv.weight</x:v>
      </x:c>
      <x:c r="C52" s="30" t="str">
        <x:v>[4608, 1024]</x:v>
      </x:c>
      <x:c r="D52" s="30" t="str">
        <x:v>BF16</x:v>
      </x:c>
      <x:c r="E52" s="32" t="n">
        <x:v>2</x:v>
      </x:c>
      <x:c r="F52" s="33" t="n">
        <x:v>27</x:v>
      </x:c>
      <x:c r="G52" s="33" t="n">
        <x:v>4718592</x:v>
      </x:c>
      <x:c r="H52" s="33" t="str">
        <x:v>Replicated</x:v>
      </x:c>
      <x:c r="I52" s="33" t="n">
        <x:f>1</x:f>
        <x:v>1</x:v>
      </x:c>
      <x:c r="J52" s="34" t="n">
        <x:f>E52*F52*G52/1073741824</x:f>
        <x:v>0.2373046875</x:v>
      </x:c>
      <x:c r="K52" s="34" t="n">
        <x:f>J52/I52</x:f>
        <x:v>0.2373046875</x:v>
      </x:c>
      <x:c r="L52" s="30"/>
      <x:c r="M52" s="30"/>
      <x:c r="N52" s="30"/>
      <x:c r="O52" s="30"/>
      <x:c r="P52" s="30"/>
    </x:row>
    <x:row r="53">
      <x:c r="A53" s="30" t="str">
        <x:v>Vision</x:v>
      </x:c>
      <x:c r="B53" s="30" t="str">
        <x:v>encoder.wo.weight</x:v>
      </x:c>
      <x:c r="C53" s="30" t="str">
        <x:v>[1024, 1536]</x:v>
      </x:c>
      <x:c r="D53" s="30" t="str">
        <x:v>BF16</x:v>
      </x:c>
      <x:c r="E53" s="32" t="n">
        <x:v>2</x:v>
      </x:c>
      <x:c r="F53" s="33" t="n">
        <x:v>27</x:v>
      </x:c>
      <x:c r="G53" s="33" t="n">
        <x:v>1572864</x:v>
      </x:c>
      <x:c r="H53" s="33" t="str">
        <x:v>Replicated</x:v>
      </x:c>
      <x:c r="I53" s="33" t="n">
        <x:f>1</x:f>
        <x:v>1</x:v>
      </x:c>
      <x:c r="J53" s="34" t="n">
        <x:f>E53*F53*G53/1073741824</x:f>
        <x:v>0.0791015625</x:v>
      </x:c>
      <x:c r="K53" s="34" t="n">
        <x:f>J53/I53</x:f>
        <x:v>0.0791015625</x:v>
      </x:c>
      <x:c r="L53" s="30"/>
      <x:c r="M53" s="30"/>
      <x:c r="N53" s="30"/>
      <x:c r="O53" s="30"/>
      <x:c r="P53" s="30"/>
    </x:row>
    <x:row r="54">
      <x:c r="A54" s="30" t="str">
        <x:v>Vision</x:v>
      </x:c>
      <x:c r="B54" s="30" t="str">
        <x:v>encoder.mlp.fc0.weight</x:v>
      </x:c>
      <x:c r="C54" s="30" t="str">
        <x:v>[4096, 1024]</x:v>
      </x:c>
      <x:c r="D54" s="30" t="str">
        <x:v>BF16</x:v>
      </x:c>
      <x:c r="E54" s="32" t="n">
        <x:v>2</x:v>
      </x:c>
      <x:c r="F54" s="33" t="n">
        <x:v>27</x:v>
      </x:c>
      <x:c r="G54" s="33" t="n">
        <x:v>4194304</x:v>
      </x:c>
      <x:c r="H54" s="33" t="str">
        <x:v>Replicated</x:v>
      </x:c>
      <x:c r="I54" s="33" t="n">
        <x:f>1</x:f>
        <x:v>1</x:v>
      </x:c>
      <x:c r="J54" s="34" t="n">
        <x:f>E54*F54*G54/1073741824</x:f>
        <x:v>0.2109375</x:v>
      </x:c>
      <x:c r="K54" s="34" t="n">
        <x:f>J54/I54</x:f>
        <x:v>0.2109375</x:v>
      </x:c>
      <x:c r="L54" s="30"/>
      <x:c r="M54" s="30"/>
      <x:c r="N54" s="30"/>
      <x:c r="O54" s="30"/>
      <x:c r="P54" s="30"/>
    </x:row>
    <x:row r="55">
      <x:c r="A55" s="30" t="str">
        <x:v>Vision</x:v>
      </x:c>
      <x:c r="B55" s="30" t="str">
        <x:v>encoder.mlp.fc1.weight</x:v>
      </x:c>
      <x:c r="C55" s="30" t="str">
        <x:v>[1024, 4096]</x:v>
      </x:c>
      <x:c r="D55" s="30" t="str">
        <x:v>BF16</x:v>
      </x:c>
      <x:c r="E55" s="32" t="n">
        <x:v>2</x:v>
      </x:c>
      <x:c r="F55" s="33" t="n">
        <x:v>27</x:v>
      </x:c>
      <x:c r="G55" s="33" t="n">
        <x:v>4194304</x:v>
      </x:c>
      <x:c r="H55" s="33" t="str">
        <x:v>Replicated</x:v>
      </x:c>
      <x:c r="I55" s="33" t="n">
        <x:f>1</x:f>
        <x:v>1</x:v>
      </x:c>
      <x:c r="J55" s="34" t="n">
        <x:f>E55*F55*G55/1073741824</x:f>
        <x:v>0.2109375</x:v>
      </x:c>
      <x:c r="K55" s="34" t="n">
        <x:f>J55/I55</x:f>
        <x:v>0.2109375</x:v>
      </x:c>
      <x:c r="L55" s="30"/>
      <x:c r="M55" s="30"/>
      <x:c r="N55" s="30"/>
      <x:c r="O55" s="30"/>
      <x:c r="P55" s="30"/>
    </x:row>
    <x:row r="56">
      <x:c r="A56" s="30" t="str">
        <x:v>Vision</x:v>
      </x:c>
      <x:c r="B56" s="30" t="str">
        <x:v>encoder.norm0.weight</x:v>
      </x:c>
      <x:c r="C56" s="30" t="str">
        <x:v>[1024]</x:v>
      </x:c>
      <x:c r="D56" s="30" t="str">
        <x:v>BF16</x:v>
      </x:c>
      <x:c r="E56" s="32" t="n">
        <x:v>2</x:v>
      </x:c>
      <x:c r="F56" s="33" t="n">
        <x:v>27</x:v>
      </x:c>
      <x:c r="G56" s="33" t="n">
        <x:v>1024</x:v>
      </x:c>
      <x:c r="H56" s="33" t="str">
        <x:v>Replicated</x:v>
      </x:c>
      <x:c r="I56" s="33" t="n">
        <x:f>1</x:f>
        <x:v>1</x:v>
      </x:c>
      <x:c r="J56" s="34" t="n">
        <x:f>E56*F56*G56/1073741824</x:f>
        <x:v>0.0000514984130859375</x:v>
      </x:c>
      <x:c r="K56" s="34" t="n">
        <x:f>J56/I56</x:f>
        <x:v>0.0000514984130859375</x:v>
      </x:c>
      <x:c r="L56" s="30"/>
      <x:c r="M56" s="30"/>
      <x:c r="N56" s="30"/>
      <x:c r="O56" s="30"/>
      <x:c r="P56" s="30"/>
    </x:row>
    <x:row r="57">
      <x:c r="A57" s="30" t="str">
        <x:v>Vision</x:v>
      </x:c>
      <x:c r="B57" s="30" t="str">
        <x:v>encoder.norm1.weight</x:v>
      </x:c>
      <x:c r="C57" s="30" t="str">
        <x:v>[1024]</x:v>
      </x:c>
      <x:c r="D57" s="30" t="str">
        <x:v>BF16</x:v>
      </x:c>
      <x:c r="E57" s="32" t="n">
        <x:v>2</x:v>
      </x:c>
      <x:c r="F57" s="33" t="n">
        <x:v>27</x:v>
      </x:c>
      <x:c r="G57" s="33" t="n">
        <x:v>1024</x:v>
      </x:c>
      <x:c r="H57" s="33" t="str">
        <x:v>Replicated</x:v>
      </x:c>
      <x:c r="I57" s="33" t="n">
        <x:f>1</x:f>
        <x:v>1</x:v>
      </x:c>
      <x:c r="J57" s="34" t="n">
        <x:f>E57*F57*G57/1073741824</x:f>
        <x:v>0.0000514984130859375</x:v>
      </x:c>
      <x:c r="K57" s="34" t="n">
        <x:f>J57/I57</x:f>
        <x:v>0.0000514984130859375</x:v>
      </x:c>
      <x:c r="L57" s="30"/>
      <x:c r="M57" s="30"/>
      <x:c r="N57" s="30"/>
      <x:c r="O57" s="30"/>
      <x:c r="P57" s="30"/>
    </x:row>
    <x:row r="58">
      <x:c r="A58" s="30" t="str">
        <x:v>Vision</x:v>
      </x:c>
      <x:c r="B58" s="30" t="str">
        <x:v>final_layernorm.weight</x:v>
      </x:c>
      <x:c r="C58" s="30" t="str">
        <x:v>[1024]</x:v>
      </x:c>
      <x:c r="D58" s="30" t="str">
        <x:v>BF16</x:v>
      </x:c>
      <x:c r="E58" s="32" t="n">
        <x:v>2</x:v>
      </x:c>
      <x:c r="F58" s="33" t="n">
        <x:v>1</x:v>
      </x:c>
      <x:c r="G58" s="33" t="n">
        <x:v>1024</x:v>
      </x:c>
      <x:c r="H58" s="33" t="str">
        <x:v>Replicated</x:v>
      </x:c>
      <x:c r="I58" s="33" t="n">
        <x:f>1</x:f>
        <x:v>1</x:v>
      </x:c>
      <x:c r="J58" s="34" t="n">
        <x:f>E58*F58*G58/1073741824</x:f>
        <x:v>0.0000019073486328125</x:v>
      </x:c>
      <x:c r="K58" s="34" t="n">
        <x:f>J58/I58</x:f>
        <x:v>0.0000019073486328125</x:v>
      </x:c>
      <x:c r="L58" s="30"/>
      <x:c r="M58" s="30"/>
      <x:c r="N58" s="30"/>
      <x:c r="O58" s="30"/>
      <x:c r="P58" s="30"/>
    </x:row>
    <x:row r="59">
      <x:c r="A59" s="30" t="str">
        <x:v>MM Projector</x:v>
      </x:c>
      <x:c r="B59" s="30" t="str">
        <x:v>proj.0.weight</x:v>
      </x:c>
      <x:c r="C59" s="30" t="str">
        <x:v>[4096, 4096]</x:v>
      </x:c>
      <x:c r="D59" s="30" t="str">
        <x:v>BF16</x:v>
      </x:c>
      <x:c r="E59" s="32" t="n">
        <x:v>2</x:v>
      </x:c>
      <x:c r="F59" s="33" t="n">
        <x:v>1</x:v>
      </x:c>
      <x:c r="G59" s="33" t="n">
        <x:v>16777216</x:v>
      </x:c>
      <x:c r="H59" s="33" t="str">
        <x:v>Replicated</x:v>
      </x:c>
      <x:c r="I59" s="33" t="n">
        <x:f>1</x:f>
        <x:v>1</x:v>
      </x:c>
      <x:c r="J59" s="34" t="n">
        <x:f>E59*F59*G59/1073741824</x:f>
        <x:v>0.03125</x:v>
      </x:c>
      <x:c r="K59" s="34" t="n">
        <x:f>J59/I59</x:f>
        <x:v>0.03125</x:v>
      </x:c>
      <x:c r="L59" s="30"/>
      <x:c r="M59" s="30"/>
      <x:c r="N59" s="30"/>
      <x:c r="O59" s="30"/>
      <x:c r="P59" s="30"/>
    </x:row>
    <x:row r="60">
      <x:c r="A60" s="30" t="str">
        <x:v>MM Projector</x:v>
      </x:c>
      <x:c r="B60" s="30" t="str">
        <x:v>proj.2.weight</x:v>
      </x:c>
      <x:c r="C60" s="30" t="str">
        <x:v>[7168, 4096]</x:v>
      </x:c>
      <x:c r="D60" s="30" t="str">
        <x:v>BF16</x:v>
      </x:c>
      <x:c r="E60" s="32" t="n">
        <x:v>2</x:v>
      </x:c>
      <x:c r="F60" s="33" t="n">
        <x:v>1</x:v>
      </x:c>
      <x:c r="G60" s="33" t="n">
        <x:v>29360128</x:v>
      </x:c>
      <x:c r="H60" s="33" t="str">
        <x:v>Replicated</x:v>
      </x:c>
      <x:c r="I60" s="33" t="n">
        <x:f>1</x:f>
        <x:v>1</x:v>
      </x:c>
      <x:c r="J60" s="34" t="n">
        <x:f>E60*F60*G60/1073741824</x:f>
        <x:v>0.0546875</x:v>
      </x:c>
      <x:c r="K60" s="34" t="n">
        <x:f>J60/I60</x:f>
        <x:v>0.0546875</x:v>
      </x:c>
      <x:c r="L60" s="30"/>
      <x:c r="M60" s="30"/>
      <x:c r="N60" s="30"/>
      <x:c r="O60" s="30"/>
      <x:c r="P60" s="30"/>
    </x:row>
    <x:row r="61">
      <x:c r="A61" s="30" t="str">
        <x:v>MM Projector</x:v>
      </x:c>
      <x:c r="B61" s="30" t="str">
        <x:v>post_norm.weight</x:v>
      </x:c>
      <x:c r="C61" s="30" t="str">
        <x:v>[7168]</x:v>
      </x:c>
      <x:c r="D61" s="30" t="str">
        <x:v>BF16</x:v>
      </x:c>
      <x:c r="E61" s="32" t="n">
        <x:v>2</x:v>
      </x:c>
      <x:c r="F61" s="33" t="n">
        <x:v>1</x:v>
      </x:c>
      <x:c r="G61" s="33" t="n">
        <x:v>7168</x:v>
      </x:c>
      <x:c r="H61" s="33" t="str">
        <x:v>Replicated</x:v>
      </x:c>
      <x:c r="I61" s="33" t="n">
        <x:f>1</x:f>
        <x:v>1</x:v>
      </x:c>
      <x:c r="J61" s="34" t="n">
        <x:f>E61*F61*G61/1073741824</x:f>
        <x:v>0.0000133514404296875</x:v>
      </x:c>
      <x:c r="K61" s="34" t="n">
        <x:f>J61/I61</x:f>
        <x:v>0.0000133514404296875</x:v>
      </x:c>
      <x:c r="L61" s="30"/>
      <x:c r="M61" s="30"/>
      <x:c r="N61" s="30"/>
      <x:c r="O61" s="30"/>
      <x:c r="P61" s="30"/>
    </x:row>
    <x:row r="62">
      <x:c r="A62" s="40" t="str">
        <x:v>合计</x:v>
      </x:c>
      <x:c r="B62" s="40"/>
      <x:c r="C62" s="40"/>
      <x:c r="D62" s="40"/>
      <x:c r="E62" s="40"/>
      <x:c r="F62" s="40"/>
      <x:c r="G62" s="40"/>
      <x:c r="H62" s="40"/>
      <x:c r="I62" s="40"/>
      <x:c r="J62" s="41" t="n">
        <x:f>SUM(J2:J61)</x:f>
        <x:v>1453.6644563674927</x:v>
      </x:c>
      <x:c r="K62" s="41" t="n">
        <x:f>SUM(K2:K61)</x:f>
        <x:v>191.807095348835</x:v>
      </x:c>
      <x:c r="L62" s="30"/>
      <x:c r="M62" s="30"/>
      <x:c r="N62" s="30"/>
      <x:c r="O62" s="30"/>
      <x:c r="P62" s="30"/>
    </x:row>
    <x:row r="63">
      <x:c r="A63" s="30"/>
      <x:c r="B63" s="30"/>
      <x:c r="C63" s="30"/>
      <x:c r="D63" s="30"/>
      <x:c r="E63" s="30"/>
      <x:c r="F63" s="30"/>
      <x:c r="G63" s="30"/>
      <x:c r="H63" s="30"/>
      <x:c r="I63" s="30"/>
      <x:c r="J63" s="30"/>
      <x:c r="K63" s="30"/>
      <x:c r="L63" s="30"/>
      <x:c r="M63" s="30"/>
      <x:c r="N63" s="30"/>
      <x:c r="O63" s="30"/>
      <x:c r="P63" s="30"/>
    </x:row>
    <x:row r="64" ht="30" customHeight="1">
      <x:c r="A64" s="18" t="str">
        <x:v>并行策略</x:v>
      </x:c>
      <x:c r="B64" s="18" t="str">
        <x:v>模块</x:v>
      </x:c>
      <x:c r="C64" s="18" t="str">
        <x:v>通信位置</x:v>
      </x:c>
      <x:c r="D64" s="18" t="str">
        <x:v>Collective</x:v>
      </x:c>
      <x:c r="E64" s="18" t="str">
        <x:v>本 Rank 输入元素/次</x:v>
      </x:c>
      <x:c r="F64" s="18" t="str">
        <x:v>字节/元素</x:v>
      </x:c>
      <x:c r="G64" s="18" t="str">
        <x:v>通信组大小</x:v>
      </x:c>
      <x:c r="H64" s="18" t="str">
        <x:v>次数/Step</x:v>
      </x:c>
      <x:c r="I64" s="18" t="str">
        <x:v>有效负载 MiB/次</x:v>
      </x:c>
      <x:c r="J64" s="18" t="str">
        <x:v>单 Rank 发送 MiB/次</x:v>
      </x:c>
      <x:c r="K64" s="18" t="str">
        <x:v>单 Rank 发送 MiB/Step</x:v>
      </x:c>
      <x:c r="L64" s="18" t="str">
        <x:v>通信组发送 MiB/Step</x:v>
      </x:c>
      <x:c r="M64" s="30"/>
      <x:c r="N64" s="30"/>
      <x:c r="O64" s="30"/>
      <x:c r="P64" s="30"/>
    </x:row>
    <x:row r="65">
      <x:c r="A65" s="30" t="str">
        <x:v>Embedding TP</x:v>
      </x:c>
      <x:c r="B65" s="30" t="str">
        <x:v>Embedding</x:v>
      </x:c>
      <x:c r="C65" s="30" t="str">
        <x:v>标准 TP 输出</x:v>
      </x:c>
      <x:c r="D65" s="30" t="str">
        <x:v>Ring AllReduce</x:v>
      </x:c>
      <x:c r="E65" s="33" t="n">
        <x:f>'Decode'!$P$7*7168</x:f>
        <x:v>7340032</x:v>
      </x:c>
      <x:c r="F65" s="33" t="n">
        <x:f>'Decode'!$P$28</x:f>
        <x:v>2</x:v>
      </x:c>
      <x:c r="G65" s="33" t="n">
        <x:f>IF('Decode'!$P$21&gt;0,'Decode'!$P$21,'Decode'!$P$12)</x:f>
        <x:v>8</x:v>
      </x:c>
      <x:c r="H65" s="33" t="n">
        <x:f>IF(AND(IF('Decode'!$P$21&gt;0,'Decode'!$P$21,'Decode'!$P$12)&gt;1,'Decode'!$P$24=0),1,0)</x:f>
        <x:v>1</x:v>
      </x:c>
      <x:c r="I65" s="34" t="n">
        <x:f>E65*F65/1048576</x:f>
        <x:v>14</x:v>
      </x:c>
      <x:c r="J65" s="34" t="n">
        <x:f>I65*(IF(G65&gt;1,2*(G65-1)/G65,0))</x:f>
        <x:v>24.5</x:v>
      </x:c>
      <x:c r="K65" s="34" t="n">
        <x:f>J65*H65</x:f>
        <x:v>24.5</x:v>
      </x:c>
      <x:c r="L65" s="34" t="n">
        <x:f>K65*G65</x:f>
        <x:v>196</x:v>
      </x:c>
      <x:c r="M65" s="30"/>
      <x:c r="N65" s="30"/>
      <x:c r="O65" s="30"/>
      <x:c r="P65" s="30"/>
    </x:row>
    <x:row r="66">
      <x:c r="A66" s="30" t="str">
        <x:v>Embedding TP</x:v>
      </x:c>
      <x:c r="B66" s="30" t="str">
        <x:v>Embedding</x:v>
      </x:c>
      <x:c r="C66" s="30" t="str">
        <x:v>Fine TP Token ID</x:v>
      </x:c>
      <x:c r="D66" s="30" t="str">
        <x:v>Ring AllGather</x:v>
      </x:c>
      <x:c r="E66" s="33" t="n">
        <x:f>'Decode'!$P$7</x:f>
        <x:v>1024</x:v>
      </x:c>
      <x:c r="F66" s="33" t="n">
        <x:f>'Decode'!$P$30</x:f>
        <x:v>8</x:v>
      </x:c>
      <x:c r="G66" s="33" t="n">
        <x:f>IF('Decode'!$P$21&gt;0,'Decode'!$P$21,'Decode'!$P$12)</x:f>
        <x:v>8</x:v>
      </x:c>
      <x:c r="H66" s="33" t="n">
        <x:f>IF(AND(IF('Decode'!$P$21&gt;0,'Decode'!$P$21,'Decode'!$P$12)&gt;1,'Decode'!$P$24&lt;&gt;0),1,0)</x:f>
        <x:v>0</x:v>
      </x:c>
      <x:c r="I66" s="34" t="n">
        <x:f>E66*F66/1048576</x:f>
        <x:v>0.0078125</x:v>
      </x:c>
      <x:c r="J66" s="34" t="n">
        <x:f>I66*(IF(G66&gt;1,G66-1,0))</x:f>
        <x:v>0.0546875</x:v>
      </x:c>
      <x:c r="K66" s="34" t="n">
        <x:f>J66*H66</x:f>
        <x:v>0</x:v>
      </x:c>
      <x:c r="L66" s="34" t="n">
        <x:f>K66*G66</x:f>
        <x:v>0</x:v>
      </x:c>
      <x:c r="M66" s="30"/>
      <x:c r="N66" s="30"/>
      <x:c r="O66" s="30"/>
      <x:c r="P66" s="30"/>
    </x:row>
    <x:row r="67">
      <x:c r="A67" s="30" t="str">
        <x:v>Embedding TP</x:v>
      </x:c>
      <x:c r="B67" s="30" t="str">
        <x:v>Embedding</x:v>
      </x:c>
      <x:c r="C67" s="30" t="str">
        <x:v>Fine TP Hidden</x:v>
      </x:c>
      <x:c r="D67" s="30" t="str">
        <x:v>Ring ReduceScatter</x:v>
      </x:c>
      <x:c r="E67" s="33" t="n">
        <x:f>'Decode'!$P$7*IF('Decode'!$P$21&gt;0,'Decode'!$P$21,'Decode'!$P$12)*7168</x:f>
        <x:v>58720256</x:v>
      </x:c>
      <x:c r="F67" s="33" t="n">
        <x:f>'Decode'!$P$28</x:f>
        <x:v>2</x:v>
      </x:c>
      <x:c r="G67" s="33" t="n">
        <x:f>IF('Decode'!$P$21&gt;0,'Decode'!$P$21,'Decode'!$P$12)</x:f>
        <x:v>8</x:v>
      </x:c>
      <x:c r="H67" s="33" t="n">
        <x:f>IF(AND(IF('Decode'!$P$21&gt;0,'Decode'!$P$21,'Decode'!$P$12)&gt;1,'Decode'!$P$24&lt;&gt;0),1,0)</x:f>
        <x:v>0</x:v>
      </x:c>
      <x:c r="I67" s="34" t="n">
        <x:f>E67*F67/1048576</x:f>
        <x:v>112</x:v>
      </x:c>
      <x:c r="J67" s="34" t="n">
        <x:f>I67*(IF(G67&gt;1,(G67-1)/G67,0))</x:f>
        <x:v>98</x:v>
      </x:c>
      <x:c r="K67" s="34" t="n">
        <x:f>J67*H67</x:f>
        <x:v>0</x:v>
      </x:c>
      <x:c r="L67" s="34" t="n">
        <x:f>K67*G67</x:f>
        <x:v>0</x:v>
      </x:c>
      <x:c r="M67" s="30"/>
      <x:c r="N67" s="30"/>
      <x:c r="O67" s="30"/>
      <x:c r="P67" s="30"/>
    </x:row>
    <x:row r="68">
      <x:c r="A68" s="30" t="str">
        <x:v>SP</x:v>
      </x:c>
      <x:c r="B68" s="30" t="str">
        <x:v>Attention</x:v>
      </x:c>
      <x:c r="C68" s="30" t="str">
        <x:v>Attention 前</x:v>
      </x:c>
      <x:c r="D68" s="30" t="str">
        <x:v>Ring AllGather</x:v>
      </x:c>
      <x:c r="E68" s="33" t="n">
        <x:f>((ROUNDUP('Decode'!$P$7/'Decode'!$P$12,0)*'Decode'!$P$12)/'Decode'!$P$12)*7168</x:f>
        <x:v>917504</x:v>
      </x:c>
      <x:c r="F68" s="33" t="n">
        <x:f>'Decode'!$P$28</x:f>
        <x:v>2</x:v>
      </x:c>
      <x:c r="G68" s="33" t="n">
        <x:f>'Decode'!$P$12</x:f>
        <x:v>8</x:v>
      </x:c>
      <x:c r="H68" s="33" t="n">
        <x:f>93*IF(AND('Decode'!$P$13&lt;&gt;0,'Decode'!$P$12&gt;1,'Decode'!$P$22=0),1,0)</x:f>
        <x:v>93</x:v>
      </x:c>
      <x:c r="I68" s="34" t="n">
        <x:f>E68*F68/1048576</x:f>
        <x:v>1.75</x:v>
      </x:c>
      <x:c r="J68" s="34" t="n">
        <x:f>I68*(IF(G68&gt;1,G68-1,0))</x:f>
        <x:v>12.25</x:v>
      </x:c>
      <x:c r="K68" s="34" t="n">
        <x:f>J68*H68</x:f>
        <x:v>1139.25</x:v>
      </x:c>
      <x:c r="L68" s="34" t="n">
        <x:f>K68*G68</x:f>
        <x:v>9114</x:v>
      </x:c>
      <x:c r="M68" s="30"/>
      <x:c r="N68" s="30"/>
      <x:c r="O68" s="30"/>
      <x:c r="P68" s="30"/>
    </x:row>
    <x:row r="69">
      <x:c r="A69" s="30" t="str">
        <x:v>SP</x:v>
      </x:c>
      <x:c r="B69" s="30" t="str">
        <x:v>Attention</x:v>
      </x:c>
      <x:c r="C69" s="30" t="str">
        <x:v>O Proj 后</x:v>
      </x:c>
      <x:c r="D69" s="30" t="str">
        <x:v>Ring ReduceScatter</x:v>
      </x:c>
      <x:c r="E69" s="33" t="n">
        <x:f>(ROUNDUP('Decode'!$P$7/'Decode'!$P$12,0)*'Decode'!$P$12)*7168</x:f>
        <x:v>7340032</x:v>
      </x:c>
      <x:c r="F69" s="33" t="n">
        <x:f>'Decode'!$P$28</x:f>
        <x:v>2</x:v>
      </x:c>
      <x:c r="G69" s="33" t="n">
        <x:f>'Decode'!$P$12</x:f>
        <x:v>8</x:v>
      </x:c>
      <x:c r="H69" s="33" t="n">
        <x:f>93*IF(AND('Decode'!$P$13&lt;&gt;0,'Decode'!$P$12&gt;1,'Decode'!$P$22=0),1,0)</x:f>
        <x:v>93</x:v>
      </x:c>
      <x:c r="I69" s="34" t="n">
        <x:f>E69*F69/1048576</x:f>
        <x:v>14</x:v>
      </x:c>
      <x:c r="J69" s="34" t="n">
        <x:f>I69*(IF(G69&gt;1,(G69-1)/G69,0))</x:f>
        <x:v>12.25</x:v>
      </x:c>
      <x:c r="K69" s="34" t="n">
        <x:f>J69*H69</x:f>
        <x:v>1139.25</x:v>
      </x:c>
      <x:c r="L69" s="34" t="n">
        <x:f>K69*G69</x:f>
        <x:v>9114</x:v>
      </x:c>
      <x:c r="M69" s="30"/>
      <x:c r="N69" s="30"/>
      <x:c r="O69" s="30"/>
      <x:c r="P69" s="30"/>
    </x:row>
    <x:row r="70">
      <x:c r="A70" s="30" t="str">
        <x:v>O Proj TP</x:v>
      </x:c>
      <x:c r="B70" s="30" t="str">
        <x:v>Attention</x:v>
      </x:c>
      <x:c r="C70" s="30" t="str">
        <x:v>非 SP 标准 TP</x:v>
      </x:c>
      <x:c r="D70" s="30" t="str">
        <x:v>Ring AllReduce</x:v>
      </x:c>
      <x:c r="E70" s="33" t="n">
        <x:f>'Decode'!$P$7*7168</x:f>
        <x:v>7340032</x:v>
      </x:c>
      <x:c r="F70" s="33" t="n">
        <x:f>'Decode'!$P$28</x:f>
        <x:v>2</x:v>
      </x:c>
      <x:c r="G70" s="33" t="n">
        <x:f>IF('Decode'!$P$19&gt;0,'Decode'!$P$19,'Decode'!$P$12)</x:f>
        <x:v>8</x:v>
      </x:c>
      <x:c r="H70" s="33" t="n">
        <x:f>93*IF(AND('Decode'!$P$13=0,IF('Decode'!$P$19&gt;0,'Decode'!$P$19,'Decode'!$P$12)&gt;1,'Decode'!$P$22=0),1,0)</x:f>
        <x:v>0</x:v>
      </x:c>
      <x:c r="I70" s="34" t="n">
        <x:f>E70*F70/1048576</x:f>
        <x:v>14</x:v>
      </x:c>
      <x:c r="J70" s="34" t="n">
        <x:f>I70*(IF(G70&gt;1,2*(G70-1)/G70,0))</x:f>
        <x:v>24.5</x:v>
      </x:c>
      <x:c r="K70" s="34" t="n">
        <x:f>J70*H70</x:f>
        <x:v>0</x:v>
      </x:c>
      <x:c r="L70" s="34" t="n">
        <x:f>K70*G70</x:f>
        <x:v>0</x:v>
      </x:c>
      <x:c r="M70" s="30"/>
      <x:c r="N70" s="30"/>
      <x:c r="O70" s="30"/>
      <x:c r="P70" s="30"/>
    </x:row>
    <x:row r="71">
      <x:c r="A71" s="30" t="str">
        <x:v>Fine O TP</x:v>
      </x:c>
      <x:c r="B71" s="30" t="str">
        <x:v>Attention</x:v>
      </x:c>
      <x:c r="C71" s="30" t="str">
        <x:v>O Proj 输入</x:v>
      </x:c>
      <x:c r="D71" s="30" t="str">
        <x:v>Equal-split AllToAll</x:v>
      </x:c>
      <x:c r="E71" s="33" t="n">
        <x:f>'Decode'!$P$7*12288</x:f>
        <x:v>12582912</x:v>
      </x:c>
      <x:c r="F71" s="33" t="n">
        <x:f>'Decode'!$P$28</x:f>
        <x:v>2</x:v>
      </x:c>
      <x:c r="G71" s="33" t="n">
        <x:f>IF('Decode'!$P$19&gt;0,'Decode'!$P$19,'Decode'!$P$12)</x:f>
        <x:v>8</x:v>
      </x:c>
      <x:c r="H71" s="33" t="n">
        <x:f>93*IF(AND(IF('Decode'!$P$19&gt;0,'Decode'!$P$19,'Decode'!$P$12)&gt;1,'Decode'!$P$22&lt;&gt;0),1,0)</x:f>
        <x:v>0</x:v>
      </x:c>
      <x:c r="I71" s="34" t="n">
        <x:f>E71*F71/1048576</x:f>
        <x:v>24</x:v>
      </x:c>
      <x:c r="J71" s="34" t="n">
        <x:f>I71*(IF(G71&gt;1,(G71-1)/G71,0))</x:f>
        <x:v>21</x:v>
      </x:c>
      <x:c r="K71" s="34" t="n">
        <x:f>J71*H71</x:f>
        <x:v>0</x:v>
      </x:c>
      <x:c r="L71" s="34" t="n">
        <x:f>K71*G71</x:f>
        <x:v>0</x:v>
      </x:c>
      <x:c r="M71" s="30"/>
      <x:c r="N71" s="30"/>
      <x:c r="O71" s="30"/>
      <x:c r="P71" s="30"/>
    </x:row>
    <x:row r="72">
      <x:c r="A72" s="30" t="str">
        <x:v>Fine O TP</x:v>
      </x:c>
      <x:c r="B72" s="30" t="str">
        <x:v>Attention</x:v>
      </x:c>
      <x:c r="C72" s="30" t="str">
        <x:v>O Proj 输出</x:v>
      </x:c>
      <x:c r="D72" s="30" t="str">
        <x:v>Ring ReduceScatter</x:v>
      </x:c>
      <x:c r="E72" s="33" t="n">
        <x:f>'Decode'!$P$7*IF('Decode'!$P$19&gt;0,'Decode'!$P$19,'Decode'!$P$12)*7168</x:f>
        <x:v>58720256</x:v>
      </x:c>
      <x:c r="F72" s="33" t="n">
        <x:f>'Decode'!$P$28</x:f>
        <x:v>2</x:v>
      </x:c>
      <x:c r="G72" s="33" t="n">
        <x:f>IF('Decode'!$P$19&gt;0,'Decode'!$P$19,'Decode'!$P$12)</x:f>
        <x:v>8</x:v>
      </x:c>
      <x:c r="H72" s="33" t="n">
        <x:f>93*IF(AND(IF('Decode'!$P$19&gt;0,'Decode'!$P$19,'Decode'!$P$12)&gt;1,'Decode'!$P$22&lt;&gt;0),1,0)</x:f>
        <x:v>0</x:v>
      </x:c>
      <x:c r="I72" s="34" t="n">
        <x:f>E72*F72/1048576</x:f>
        <x:v>112</x:v>
      </x:c>
      <x:c r="J72" s="34" t="n">
        <x:f>I72*(IF(G72&gt;1,(G72-1)/G72,0))</x:f>
        <x:v>98</x:v>
      </x:c>
      <x:c r="K72" s="34" t="n">
        <x:f>J72*H72</x:f>
        <x:v>0</x:v>
      </x:c>
      <x:c r="L72" s="34" t="n">
        <x:f>K72*G72</x:f>
        <x:v>0</x:v>
      </x:c>
      <x:c r="M72" s="30"/>
      <x:c r="N72" s="30"/>
      <x:c r="O72" s="30"/>
      <x:c r="P72" s="30"/>
    </x:row>
    <x:row r="73">
      <x:c r="A73" s="30" t="str">
        <x:v>SP</x:v>
      </x:c>
      <x:c r="B73" s="30" t="str">
        <x:v>Dense MLP</x:v>
      </x:c>
      <x:c r="C73" s="30" t="str">
        <x:v>Down Proj 输出</x:v>
      </x:c>
      <x:c r="D73" s="30" t="str">
        <x:v>Ring AllReduce</x:v>
      </x:c>
      <x:c r="E73" s="33" t="n">
        <x:f>IF('Decode'!$P$13&lt;&gt;0,((ROUNDUP('Decode'!$P$7/'Decode'!$P$12,0)*'Decode'!$P$12)/'Decode'!$P$12),'Decode'!$P$7)*7168</x:f>
        <x:v>917504</x:v>
      </x:c>
      <x:c r="F73" s="33" t="n">
        <x:f>'Decode'!$P$28</x:f>
        <x:v>2</x:v>
      </x:c>
      <x:c r="G73" s="33" t="n">
        <x:f>'Decode'!$P$12</x:f>
        <x:v>8</x:v>
      </x:c>
      <x:c r="H73" s="33" t="n">
        <x:f>1*IF('Decode'!$P$12&gt;1,1,0)</x:f>
        <x:v>1</x:v>
      </x:c>
      <x:c r="I73" s="34" t="n">
        <x:f>E73*F73/1048576</x:f>
        <x:v>1.75</x:v>
      </x:c>
      <x:c r="J73" s="34" t="n">
        <x:f>I73*(IF(G73&gt;1,2*(G73-1)/G73,0))</x:f>
        <x:v>3.0625</x:v>
      </x:c>
      <x:c r="K73" s="34" t="n">
        <x:f>J73*H73</x:f>
        <x:v>3.0625</x:v>
      </x:c>
      <x:c r="L73" s="34" t="n">
        <x:f>K73*G73</x:f>
        <x:v>24.5</x:v>
      </x:c>
      <x:c r="M73" s="30"/>
      <x:c r="N73" s="30"/>
      <x:c r="O73" s="30"/>
      <x:c r="P73" s="30"/>
    </x:row>
    <x:row r="74">
      <x:c r="A74" s="30" t="str">
        <x:v>EP</x:v>
      </x:c>
      <x:c r="B74" s="30" t="str">
        <x:v>Routed Experts</x:v>
      </x:c>
      <x:c r="C74" s="30" t="str">
        <x:v>Dispatch Hidden</x:v>
      </x:c>
      <x:c r="D74" s="30" t="str">
        <x:v>AllToAllV（跨 Rank 发送）</x:v>
      </x:c>
      <x:c r="E74" s="33" t="n">
        <x:f>IF('Decode'!$P$13&lt;&gt;0,((ROUNDUP('Decode'!$P$7/'Decode'!$P$12,0)*'Decode'!$P$12)/'Decode'!$P$12),'Decode'!$P$7)*16*'Decode'!$P$32*7168</x:f>
        <x:v>12845056</x:v>
      </x:c>
      <x:c r="F74" s="33" t="n">
        <x:f>'Decode'!$P$28</x:f>
        <x:v>2</x:v>
      </x:c>
      <x:c r="G74" s="33" t="n">
        <x:f>'Decode'!$P$14</x:f>
        <x:v>8</x:v>
      </x:c>
      <x:c r="H74" s="33" t="n">
        <x:f>92*IF('Decode'!$P$14&gt;1,1,0)</x:f>
        <x:v>92</x:v>
      </x:c>
      <x:c r="I74" s="34" t="n">
        <x:f>E74*F74/1048576</x:f>
        <x:v>24.5</x:v>
      </x:c>
      <x:c r="J74" s="34" t="n">
        <x:f>I74*(1)</x:f>
        <x:v>24.5</x:v>
      </x:c>
      <x:c r="K74" s="34" t="n">
        <x:f>J74*H74</x:f>
        <x:v>2254</x:v>
      </x:c>
      <x:c r="L74" s="34" t="n">
        <x:f>K74*G74</x:f>
        <x:v>18032</x:v>
      </x:c>
      <x:c r="M74" s="30"/>
      <x:c r="N74" s="30"/>
      <x:c r="O74" s="30"/>
      <x:c r="P74" s="30"/>
    </x:row>
    <x:row r="75">
      <x:c r="A75" s="30" t="str">
        <x:v>EP</x:v>
      </x:c>
      <x:c r="B75" s="30" t="str">
        <x:v>Routed Experts</x:v>
      </x:c>
      <x:c r="C75" s="30" t="str">
        <x:v>Combine Hidden</x:v>
      </x:c>
      <x:c r="D75" s="30" t="str">
        <x:v>AllToAllV（跨 Rank 发送）</x:v>
      </x:c>
      <x:c r="E75" s="33" t="n">
        <x:f>IF('Decode'!$P$13&lt;&gt;0,((ROUNDUP('Decode'!$P$7/'Decode'!$P$12,0)*'Decode'!$P$12)/'Decode'!$P$12),'Decode'!$P$7)*16*'Decode'!$P$32*7168</x:f>
        <x:v>12845056</x:v>
      </x:c>
      <x:c r="F75" s="33" t="n">
        <x:f>'Decode'!$P$28</x:f>
        <x:v>2</x:v>
      </x:c>
      <x:c r="G75" s="33" t="n">
        <x:f>'Decode'!$P$14</x:f>
        <x:v>8</x:v>
      </x:c>
      <x:c r="H75" s="33" t="n">
        <x:f>92*IF('Decode'!$P$14&gt;1,1,0)</x:f>
        <x:v>92</x:v>
      </x:c>
      <x:c r="I75" s="34" t="n">
        <x:f>E75*F75/1048576</x:f>
        <x:v>24.5</x:v>
      </x:c>
      <x:c r="J75" s="34" t="n">
        <x:f>I75*(1)</x:f>
        <x:v>24.5</x:v>
      </x:c>
      <x:c r="K75" s="34" t="n">
        <x:f>J75*H75</x:f>
        <x:v>2254</x:v>
      </x:c>
      <x:c r="L75" s="34" t="n">
        <x:f>K75*G75</x:f>
        <x:v>18032</x:v>
      </x:c>
      <x:c r="M75" s="30"/>
      <x:c r="N75" s="30"/>
      <x:c r="O75" s="30"/>
      <x:c r="P75" s="30"/>
    </x:row>
    <x:row r="76">
      <x:c r="A76" s="30" t="str">
        <x:v>DP</x:v>
      </x:c>
      <x:c r="B76" s="30" t="str">
        <x:v>MoE</x:v>
      </x:c>
      <x:c r="C76" s="30" t="str">
        <x:v>Hidden 输入</x:v>
      </x:c>
      <x:c r="D76" s="30" t="str">
        <x:v>Ring AllGather</x:v>
      </x:c>
      <x:c r="E76" s="33" t="n">
        <x:f>'Decode'!$P$7*7168</x:f>
        <x:v>7340032</x:v>
      </x:c>
      <x:c r="F76" s="33" t="n">
        <x:f>'Decode'!$P$28</x:f>
        <x:v>2</x:v>
      </x:c>
      <x:c r="G76" s="33" t="n">
        <x:f>'Decode'!$P$11</x:f>
        <x:v>1</x:v>
      </x:c>
      <x:c r="H76" s="33" t="n">
        <x:f>92*IF(AND('Decode'!$P$11&gt;1,'Decode'!$P$14=1),1,0)</x:f>
        <x:v>0</x:v>
      </x:c>
      <x:c r="I76" s="34" t="n">
        <x:f>E76*F76/1048576</x:f>
        <x:v>14</x:v>
      </x:c>
      <x:c r="J76" s="34" t="n">
        <x:f>I76*(IF(G76&gt;1,G76-1,0))</x:f>
        <x:v>0</x:v>
      </x:c>
      <x:c r="K76" s="34" t="n">
        <x:f>J76*H76</x:f>
        <x:v>0</x:v>
      </x:c>
      <x:c r="L76" s="34" t="n">
        <x:f>K76*G76</x:f>
        <x:v>0</x:v>
      </x:c>
      <x:c r="M76" s="30"/>
      <x:c r="N76" s="30"/>
      <x:c r="O76" s="30"/>
      <x:c r="P76" s="30"/>
    </x:row>
    <x:row r="77">
      <x:c r="A77" s="30" t="str">
        <x:v>DP</x:v>
      </x:c>
      <x:c r="B77" s="30" t="str">
        <x:v>MoE Router</x:v>
      </x:c>
      <x:c r="C77" s="30" t="str">
        <x:v>Router Logits</x:v>
      </x:c>
      <x:c r="D77" s="30" t="str">
        <x:v>Ring AllGather</x:v>
      </x:c>
      <x:c r="E77" s="33" t="n">
        <x:f>'Decode'!$P$7*896</x:f>
        <x:v>917504</x:v>
      </x:c>
      <x:c r="F77" s="33" t="n">
        <x:f>'Decode'!$P$28</x:f>
        <x:v>2</x:v>
      </x:c>
      <x:c r="G77" s="33" t="n">
        <x:f>'Decode'!$P$11</x:f>
        <x:v>1</x:v>
      </x:c>
      <x:c r="H77" s="33" t="n">
        <x:f>92*IF(AND('Decode'!$P$11&gt;1,'Decode'!$P$14=1),1,0)</x:f>
        <x:v>0</x:v>
      </x:c>
      <x:c r="I77" s="34" t="n">
        <x:f>E77*F77/1048576</x:f>
        <x:v>1.75</x:v>
      </x:c>
      <x:c r="J77" s="34" t="n">
        <x:f>I77*(IF(G77&gt;1,G77-1,0))</x:f>
        <x:v>0</x:v>
      </x:c>
      <x:c r="K77" s="34" t="n">
        <x:f>J77*H77</x:f>
        <x:v>0</x:v>
      </x:c>
      <x:c r="L77" s="34" t="n">
        <x:f>K77*G77</x:f>
        <x:v>0</x:v>
      </x:c>
      <x:c r="M77" s="30"/>
      <x:c r="N77" s="30"/>
      <x:c r="O77" s="30"/>
      <x:c r="P77" s="30"/>
    </x:row>
    <x:row r="78">
      <x:c r="A78" s="30" t="str">
        <x:v>DP</x:v>
      </x:c>
      <x:c r="B78" s="30" t="str">
        <x:v>MoE</x:v>
      </x:c>
      <x:c r="C78" s="30" t="str">
        <x:v>Routed Expert 输出</x:v>
      </x:c>
      <x:c r="D78" s="30" t="str">
        <x:v>Ring ReduceScatter</x:v>
      </x:c>
      <x:c r="E78" s="33" t="n">
        <x:f>'Decode'!$P$7*'Decode'!$P$11*7168</x:f>
        <x:v>7340032</x:v>
      </x:c>
      <x:c r="F78" s="33" t="n">
        <x:f>'Decode'!$P$28</x:f>
        <x:v>2</x:v>
      </x:c>
      <x:c r="G78" s="33" t="n">
        <x:f>'Decode'!$P$11</x:f>
        <x:v>1</x:v>
      </x:c>
      <x:c r="H78" s="33" t="n">
        <x:f>92*IF(AND('Decode'!$P$11&gt;1,'Decode'!$P$14=1),1,0)</x:f>
        <x:v>0</x:v>
      </x:c>
      <x:c r="I78" s="34" t="n">
        <x:f>E78*F78/1048576</x:f>
        <x:v>14</x:v>
      </x:c>
      <x:c r="J78" s="34" t="n">
        <x:f>I78*(IF(G78&gt;1,(G78-1)/G78,0))</x:f>
        <x:v>0</x:v>
      </x:c>
      <x:c r="K78" s="34" t="n">
        <x:f>J78*H78</x:f>
        <x:v>0</x:v>
      </x:c>
      <x:c r="L78" s="34" t="n">
        <x:f>K78*G78</x:f>
        <x:v>0</x:v>
      </x:c>
      <x:c r="M78" s="30"/>
      <x:c r="N78" s="30"/>
      <x:c r="O78" s="30"/>
      <x:c r="P78" s="30"/>
    </x:row>
    <x:row r="79">
      <x:c r="A79" s="30" t="str">
        <x:v>共享专家 TP</x:v>
      </x:c>
      <x:c r="B79" s="30" t="str">
        <x:v>Shared Experts</x:v>
      </x:c>
      <x:c r="C79" s="30" t="str">
        <x:v>SP 输入</x:v>
      </x:c>
      <x:c r="D79" s="30" t="str">
        <x:v>Ring AllGather</x:v>
      </x:c>
      <x:c r="E79" s="33" t="n">
        <x:f>((ROUNDUP('Decode'!$P$7/'Decode'!$P$12,0)*'Decode'!$P$12)/'Decode'!$P$12)*7168</x:f>
        <x:v>917504</x:v>
      </x:c>
      <x:c r="F79" s="33" t="n">
        <x:f>'Decode'!$P$28</x:f>
        <x:v>2</x:v>
      </x:c>
      <x:c r="G79" s="33" t="n">
        <x:f>IF('Decode'!$P$17="TP",'Decode'!$P$18,1)</x:f>
        <x:v>8</x:v>
      </x:c>
      <x:c r="H79" s="33" t="n">
        <x:f>92*IF(AND('Decode'!$P$17="TP",IF('Decode'!$P$17="TP",'Decode'!$P$18,1)&gt;1,'Decode'!$P$13&lt;&gt;0),1,0)</x:f>
        <x:v>92</x:v>
      </x:c>
      <x:c r="I79" s="34" t="n">
        <x:f>E79*F79/1048576</x:f>
        <x:v>1.75</x:v>
      </x:c>
      <x:c r="J79" s="34" t="n">
        <x:f>I79*(IF(G79&gt;1,G79-1,0))</x:f>
        <x:v>12.25</x:v>
      </x:c>
      <x:c r="K79" s="34" t="n">
        <x:f>J79*H79</x:f>
        <x:v>1127</x:v>
      </x:c>
      <x:c r="L79" s="34" t="n">
        <x:f>K79*G79</x:f>
        <x:v>9016</x:v>
      </x:c>
      <x:c r="M79" s="30"/>
      <x:c r="N79" s="30"/>
      <x:c r="O79" s="30"/>
      <x:c r="P79" s="30"/>
    </x:row>
    <x:row r="80">
      <x:c r="A80" s="30" t="str">
        <x:v>共享专家 TP</x:v>
      </x:c>
      <x:c r="B80" s="30" t="str">
        <x:v>Shared Experts</x:v>
      </x:c>
      <x:c r="C80" s="30" t="str">
        <x:v>SP 输出</x:v>
      </x:c>
      <x:c r="D80" s="30" t="str">
        <x:v>Ring ReduceScatter</x:v>
      </x:c>
      <x:c r="E80" s="33" t="n">
        <x:f>(ROUNDUP('Decode'!$P$7/'Decode'!$P$12,0)*'Decode'!$P$12)*7168</x:f>
        <x:v>7340032</x:v>
      </x:c>
      <x:c r="F80" s="33" t="n">
        <x:f>'Decode'!$P$28</x:f>
        <x:v>2</x:v>
      </x:c>
      <x:c r="G80" s="33" t="n">
        <x:f>IF('Decode'!$P$17="TP",'Decode'!$P$18,1)</x:f>
        <x:v>8</x:v>
      </x:c>
      <x:c r="H80" s="33" t="n">
        <x:f>92*IF(AND('Decode'!$P$17="TP",IF('Decode'!$P$17="TP",'Decode'!$P$18,1)&gt;1,'Decode'!$P$13&lt;&gt;0),1,0)</x:f>
        <x:v>92</x:v>
      </x:c>
      <x:c r="I80" s="34" t="n">
        <x:f>E80*F80/1048576</x:f>
        <x:v>14</x:v>
      </x:c>
      <x:c r="J80" s="34" t="n">
        <x:f>I80*(IF(G80&gt;1,(G80-1)/G80,0))</x:f>
        <x:v>12.25</x:v>
      </x:c>
      <x:c r="K80" s="34" t="n">
        <x:f>J80*H80</x:f>
        <x:v>1127</x:v>
      </x:c>
      <x:c r="L80" s="34" t="n">
        <x:f>K80*G80</x:f>
        <x:v>9016</x:v>
      </x:c>
      <x:c r="M80" s="30"/>
      <x:c r="N80" s="30"/>
      <x:c r="O80" s="30"/>
      <x:c r="P80" s="30"/>
    </x:row>
    <x:row r="81">
      <x:c r="A81" s="30" t="str">
        <x:v>共享专家 TP</x:v>
      </x:c>
      <x:c r="B81" s="30" t="str">
        <x:v>Shared Experts</x:v>
      </x:c>
      <x:c r="C81" s="30" t="str">
        <x:v>非 SP 输出</x:v>
      </x:c>
      <x:c r="D81" s="30" t="str">
        <x:v>Ring AllReduce</x:v>
      </x:c>
      <x:c r="E81" s="33" t="n">
        <x:f>'Decode'!$P$7*7168</x:f>
        <x:v>7340032</x:v>
      </x:c>
      <x:c r="F81" s="33" t="n">
        <x:f>'Decode'!$P$28</x:f>
        <x:v>2</x:v>
      </x:c>
      <x:c r="G81" s="33" t="n">
        <x:f>IF('Decode'!$P$17="TP",'Decode'!$P$18,1)</x:f>
        <x:v>8</x:v>
      </x:c>
      <x:c r="H81" s="33" t="n">
        <x:f>92*IF(AND('Decode'!$P$17="TP",IF('Decode'!$P$17="TP",'Decode'!$P$18,1)&gt;1,'Decode'!$P$13=0),1,0)</x:f>
        <x:v>0</x:v>
      </x:c>
      <x:c r="I81" s="34" t="n">
        <x:f>E81*F81/1048576</x:f>
        <x:v>14</x:v>
      </x:c>
      <x:c r="J81" s="34" t="n">
        <x:f>I81*(IF(G81&gt;1,2*(G81-1)/G81,0))</x:f>
        <x:v>24.5</x:v>
      </x:c>
      <x:c r="K81" s="34" t="n">
        <x:f>J81*H81</x:f>
        <x:v>0</x:v>
      </x:c>
      <x:c r="L81" s="34" t="n">
        <x:f>K81*G81</x:f>
        <x:v>0</x:v>
      </x:c>
      <x:c r="M81" s="30"/>
      <x:c r="N81" s="30"/>
      <x:c r="O81" s="30"/>
      <x:c r="P81" s="30"/>
    </x:row>
    <x:row r="82">
      <x:c r="A82" s="30" t="str">
        <x:v>DCP</x:v>
      </x:c>
      <x:c r="B82" s="30" t="str">
        <x:v>Attention</x:v>
      </x:c>
      <x:c r="C82" s="30" t="str">
        <x:v>Query</x:v>
      </x:c>
      <x:c r="D82" s="30" t="str">
        <x:v>Ring AllGather</x:v>
      </x:c>
      <x:c r="E82" s="33" t="n">
        <x:f>'Decode'!$P$7*(96/'Decode'!$P$12)*128</x:f>
        <x:v>1572864</x:v>
      </x:c>
      <x:c r="F82" s="33" t="n">
        <x:f>'Decode'!$P$28</x:f>
        <x:v>2</x:v>
      </x:c>
      <x:c r="G82" s="33" t="n">
        <x:f>'Decode'!$P$16</x:f>
        <x:v>1</x:v>
      </x:c>
      <x:c r="H82" s="33" t="n">
        <x:f>24*IF('Decode'!$P$16&gt;1,1,0)</x:f>
        <x:v>0</x:v>
      </x:c>
      <x:c r="I82" s="34" t="n">
        <x:f>E82*F82/1048576</x:f>
        <x:v>3</x:v>
      </x:c>
      <x:c r="J82" s="34" t="n">
        <x:f>I82*(IF(G82&gt;1,G82-1,0))</x:f>
        <x:v>0</x:v>
      </x:c>
      <x:c r="K82" s="34" t="n">
        <x:f>J82*H82</x:f>
        <x:v>0</x:v>
      </x:c>
      <x:c r="L82" s="34" t="n">
        <x:f>K82*G82</x:f>
        <x:v>0</x:v>
      </x:c>
      <x:c r="M82" s="30"/>
      <x:c r="N82" s="30"/>
      <x:c r="O82" s="30"/>
      <x:c r="P82" s="30"/>
    </x:row>
    <x:row r="83">
      <x:c r="A83" s="30" t="str">
        <x:v>DCP</x:v>
      </x:c>
      <x:c r="B83" s="30" t="str">
        <x:v>Attention</x:v>
      </x:c>
      <x:c r="C83" s="30" t="str">
        <x:v>LSE</x:v>
      </x:c>
      <x:c r="D83" s="30" t="str">
        <x:v>Ring AllGather</x:v>
      </x:c>
      <x:c r="E83" s="33" t="n">
        <x:f>'Decode'!$P$7*(96*'Decode'!$P$16/'Decode'!$P$12)</x:f>
        <x:v>12288</x:v>
      </x:c>
      <x:c r="F83" s="33" t="n">
        <x:f>'Decode'!$P$29</x:f>
        <x:v>4</x:v>
      </x:c>
      <x:c r="G83" s="33" t="n">
        <x:f>'Decode'!$P$16</x:f>
        <x:v>1</x:v>
      </x:c>
      <x:c r="H83" s="33" t="n">
        <x:f>24*IF('Decode'!$P$16&gt;1,1,0)</x:f>
        <x:v>0</x:v>
      </x:c>
      <x:c r="I83" s="34" t="n">
        <x:f>E83*F83/1048576</x:f>
        <x:v>0.046875</x:v>
      </x:c>
      <x:c r="J83" s="34" t="n">
        <x:f>I83*(IF(G83&gt;1,G83-1,0))</x:f>
        <x:v>0</x:v>
      </x:c>
      <x:c r="K83" s="34" t="n">
        <x:f>J83*H83</x:f>
        <x:v>0</x:v>
      </x:c>
      <x:c r="L83" s="34" t="n">
        <x:f>K83*G83</x:f>
        <x:v>0</x:v>
      </x:c>
      <x:c r="M83" s="30"/>
      <x:c r="N83" s="30"/>
      <x:c r="O83" s="30"/>
      <x:c r="P83" s="30"/>
    </x:row>
    <x:row r="84">
      <x:c r="A84" s="30" t="str">
        <x:v>DCP</x:v>
      </x:c>
      <x:c r="B84" s="30" t="str">
        <x:v>Attention</x:v>
      </x:c>
      <x:c r="C84" s="30" t="str">
        <x:v>Attention 输出</x:v>
      </x:c>
      <x:c r="D84" s="30" t="str">
        <x:v>Ring ReduceScatter</x:v>
      </x:c>
      <x:c r="E84" s="33" t="n">
        <x:f>'Decode'!$P$7*(96*'Decode'!$P$16/'Decode'!$P$12)*128</x:f>
        <x:v>1572864</x:v>
      </x:c>
      <x:c r="F84" s="33" t="n">
        <x:f>'Decode'!$P$28</x:f>
        <x:v>2</x:v>
      </x:c>
      <x:c r="G84" s="33" t="n">
        <x:f>'Decode'!$P$16</x:f>
        <x:v>1</x:v>
      </x:c>
      <x:c r="H84" s="33" t="n">
        <x:f>24*IF('Decode'!$P$16&gt;1,1,0)</x:f>
        <x:v>0</x:v>
      </x:c>
      <x:c r="I84" s="34" t="n">
        <x:f>E84*F84/1048576</x:f>
        <x:v>3</x:v>
      </x:c>
      <x:c r="J84" s="34" t="n">
        <x:f>I84*(IF(G84&gt;1,(G84-1)/G84,0))</x:f>
        <x:v>0</x:v>
      </x:c>
      <x:c r="K84" s="34" t="n">
        <x:f>J84*H84</x:f>
        <x:v>0</x:v>
      </x:c>
      <x:c r="L84" s="34" t="n">
        <x:f>K84*G84</x:f>
        <x:v>0</x:v>
      </x:c>
      <x:c r="M84" s="30"/>
      <x:c r="N84" s="30"/>
      <x:c r="O84" s="30"/>
      <x:c r="P84" s="30"/>
    </x:row>
    <x:row r="85">
      <x:c r="A85" s="30" t="str">
        <x:v>SP</x:v>
      </x:c>
      <x:c r="B85" s="30" t="str">
        <x:v>Model Output</x:v>
      </x:c>
      <x:c r="C85" s="30" t="str">
        <x:v>Final Norm 后</x:v>
      </x:c>
      <x:c r="D85" s="30" t="str">
        <x:v>Ring AllGather</x:v>
      </x:c>
      <x:c r="E85" s="33" t="n">
        <x:f>((ROUNDUP('Decode'!$P$7/'Decode'!$P$12,0)*'Decode'!$P$12)/'Decode'!$P$12)*7168</x:f>
        <x:v>917504</x:v>
      </x:c>
      <x:c r="F85" s="33" t="n">
        <x:f>'Decode'!$P$28</x:f>
        <x:v>2</x:v>
      </x:c>
      <x:c r="G85" s="33" t="n">
        <x:f>'Decode'!$P$12</x:f>
        <x:v>8</x:v>
      </x:c>
      <x:c r="H85" s="33" t="n">
        <x:f>IF(AND('Decode'!$P$13&lt;&gt;0,'Decode'!$P$12&gt;1),1,0)</x:f>
        <x:v>1</x:v>
      </x:c>
      <x:c r="I85" s="34" t="n">
        <x:f>E85*F85/1048576</x:f>
        <x:v>1.75</x:v>
      </x:c>
      <x:c r="J85" s="34" t="n">
        <x:f>I85*(IF(G85&gt;1,G85-1,0))</x:f>
        <x:v>12.25</x:v>
      </x:c>
      <x:c r="K85" s="34" t="n">
        <x:f>J85*H85</x:f>
        <x:v>12.25</x:v>
      </x:c>
      <x:c r="L85" s="34" t="n">
        <x:f>K85*G85</x:f>
        <x:v>98</x:v>
      </x:c>
      <x:c r="M85" s="30"/>
      <x:c r="N85" s="30"/>
      <x:c r="O85" s="30"/>
      <x:c r="P85" s="30"/>
    </x:row>
    <x:row r="86">
      <x:c r="A86" s="30" t="str">
        <x:v>LM Head TP</x:v>
      </x:c>
      <x:c r="B86" s="30" t="str">
        <x:v>LM Head</x:v>
      </x:c>
      <x:c r="C86" s="30" t="str">
        <x:v>完整 Logits</x:v>
      </x:c>
      <x:c r="D86" s="30" t="str">
        <x:v>Ring AllGather</x:v>
      </x:c>
      <x:c r="E86" s="33" t="n">
        <x:f>'Decode'!$P$8*163840/IF('Decode'!$P$20&gt;0,'Decode'!$P$20,'Decode'!$P$12)</x:f>
        <x:v>20971520</x:v>
      </x:c>
      <x:c r="F86" s="33" t="n">
        <x:f>'Decode'!$P$28</x:f>
        <x:v>2</x:v>
      </x:c>
      <x:c r="G86" s="33" t="n">
        <x:f>IF('Decode'!$P$20&gt;0,'Decode'!$P$20,'Decode'!$P$12)</x:f>
        <x:v>8</x:v>
      </x:c>
      <x:c r="H86" s="33" t="n">
        <x:f>IF(AND(IF('Decode'!$P$20&gt;0,'Decode'!$P$20,'Decode'!$P$12)&gt;1,'Decode'!$P$23=0,'Decode'!$P$33=0),1,0)</x:f>
        <x:v>0</x:v>
      </x:c>
      <x:c r="I86" s="34" t="n">
        <x:f>E86*F86/1048576</x:f>
        <x:v>40</x:v>
      </x:c>
      <x:c r="J86" s="34" t="n">
        <x:f>I86*(IF(G86&gt;1,G86-1,0))</x:f>
        <x:v>280</x:v>
      </x:c>
      <x:c r="K86" s="34" t="n">
        <x:f>J86*H86</x:f>
        <x:v>0</x:v>
      </x:c>
      <x:c r="L86" s="34" t="n">
        <x:f>K86*G86</x:f>
        <x:v>0</x:v>
      </x:c>
      <x:c r="M86" s="30"/>
      <x:c r="N86" s="30"/>
      <x:c r="O86" s="30"/>
      <x:c r="P86" s="30"/>
    </x:row>
    <x:row r="87">
      <x:c r="A87" s="30" t="str">
        <x:v>LM Head TP</x:v>
      </x:c>
      <x:c r="B87" s="30" t="str">
        <x:v>LM Head</x:v>
      </x:c>
      <x:c r="C87" s="30" t="str">
        <x:v>Reduce Sample</x:v>
      </x:c>
      <x:c r="D87" s="30" t="str">
        <x:v>Ring AllGather</x:v>
      </x:c>
      <x:c r="E87" s="33" t="n">
        <x:f>'Decode'!$P$8*'Decode'!$P$34</x:f>
        <x:v>262144</x:v>
      </x:c>
      <x:c r="F87" s="33" t="n">
        <x:f>('Decode'!$P$28+'Decode'!$P$31)</x:f>
        <x:v>6</x:v>
      </x:c>
      <x:c r="G87" s="33" t="n">
        <x:f>IF('Decode'!$P$20&gt;0,'Decode'!$P$20,'Decode'!$P$12)</x:f>
        <x:v>8</x:v>
      </x:c>
      <x:c r="H87" s="33" t="n">
        <x:f>IF(AND(IF('Decode'!$P$20&gt;0,'Decode'!$P$20,'Decode'!$P$12)&gt;1,'Decode'!$P$23=0,'Decode'!$P$33&lt;&gt;0),1,0)</x:f>
        <x:v>1</x:v>
      </x:c>
      <x:c r="I87" s="34" t="n">
        <x:f>E87*F87/1048576</x:f>
        <x:v>1.5</x:v>
      </x:c>
      <x:c r="J87" s="34" t="n">
        <x:f>I87*(IF(G87&gt;1,G87-1,0))</x:f>
        <x:v>10.5</x:v>
      </x:c>
      <x:c r="K87" s="34" t="n">
        <x:f>J87*H87</x:f>
        <x:v>10.5</x:v>
      </x:c>
      <x:c r="L87" s="34" t="n">
        <x:f>K87*G87</x:f>
        <x:v>84</x:v>
      </x:c>
      <x:c r="M87" s="30"/>
      <x:c r="N87" s="30"/>
      <x:c r="O87" s="30"/>
      <x:c r="P87" s="30"/>
    </x:row>
    <x:row r="88">
      <x:c r="A88" s="30" t="str">
        <x:v>Fine LM Head TP</x:v>
      </x:c>
      <x:c r="B88" s="30" t="str">
        <x:v>LM Head</x:v>
      </x:c>
      <x:c r="C88" s="30" t="str">
        <x:v>Hidden 输入</x:v>
      </x:c>
      <x:c r="D88" s="30" t="str">
        <x:v>Ring AllGather</x:v>
      </x:c>
      <x:c r="E88" s="33" t="n">
        <x:f>'Decode'!$P$8*7168</x:f>
        <x:v>7340032</x:v>
      </x:c>
      <x:c r="F88" s="33" t="n">
        <x:f>'Decode'!$P$28</x:f>
        <x:v>2</x:v>
      </x:c>
      <x:c r="G88" s="33" t="n">
        <x:f>IF('Decode'!$P$20&gt;0,'Decode'!$P$20,'Decode'!$P$12)</x:f>
        <x:v>8</x:v>
      </x:c>
      <x:c r="H88" s="33" t="n">
        <x:f>IF(AND(IF('Decode'!$P$20&gt;0,'Decode'!$P$20,'Decode'!$P$12)&gt;1,'Decode'!$P$23&lt;&gt;0),1,0)</x:f>
        <x:v>0</x:v>
      </x:c>
      <x:c r="I88" s="34" t="n">
        <x:f>E88*F88/1048576</x:f>
        <x:v>14</x:v>
      </x:c>
      <x:c r="J88" s="34" t="n">
        <x:f>I88*(IF(G88&gt;1,G88-1,0))</x:f>
        <x:v>98</x:v>
      </x:c>
      <x:c r="K88" s="34" t="n">
        <x:f>J88*H88</x:f>
        <x:v>0</x:v>
      </x:c>
      <x:c r="L88" s="34" t="n">
        <x:f>K88*G88</x:f>
        <x:v>0</x:v>
      </x:c>
      <x:c r="M88" s="30"/>
      <x:c r="N88" s="30"/>
      <x:c r="O88" s="30"/>
      <x:c r="P88" s="30"/>
    </x:row>
    <x:row r="89">
      <x:c r="A89" s="30" t="str">
        <x:v>Fine LM Head TP</x:v>
      </x:c>
      <x:c r="B89" s="30" t="str">
        <x:v>LM Head</x:v>
      </x:c>
      <x:c r="C89" s="30" t="str">
        <x:v>完整 Logits</x:v>
      </x:c>
      <x:c r="D89" s="30" t="str">
        <x:v>Equal-split AllToAll</x:v>
      </x:c>
      <x:c r="E89" s="33" t="n">
        <x:f>'Decode'!$P$8*163840</x:f>
        <x:v>167772160</x:v>
      </x:c>
      <x:c r="F89" s="33" t="n">
        <x:f>'Decode'!$P$28</x:f>
        <x:v>2</x:v>
      </x:c>
      <x:c r="G89" s="33" t="n">
        <x:f>IF('Decode'!$P$20&gt;0,'Decode'!$P$20,'Decode'!$P$12)</x:f>
        <x:v>8</x:v>
      </x:c>
      <x:c r="H89" s="33" t="n">
        <x:f>IF(AND(IF('Decode'!$P$20&gt;0,'Decode'!$P$20,'Decode'!$P$12)&gt;1,'Decode'!$P$23&lt;&gt;0,'Decode'!$P$33=0),1,0)</x:f>
        <x:v>0</x:v>
      </x:c>
      <x:c r="I89" s="34" t="n">
        <x:f>E89*F89/1048576</x:f>
        <x:v>320</x:v>
      </x:c>
      <x:c r="J89" s="34" t="n">
        <x:f>I89*(IF(G89&gt;1,(G89-1)/G89,0))</x:f>
        <x:v>280</x:v>
      </x:c>
      <x:c r="K89" s="34" t="n">
        <x:f>J89*H89</x:f>
        <x:v>0</x:v>
      </x:c>
      <x:c r="L89" s="34" t="n">
        <x:f>K89*G89</x:f>
        <x:v>0</x:v>
      </x:c>
      <x:c r="M89" s="30"/>
      <x:c r="N89" s="30"/>
      <x:c r="O89" s="30"/>
      <x:c r="P89" s="30"/>
    </x:row>
    <x:row r="90">
      <x:c r="A90" s="30" t="str">
        <x:v>Fine LM Head TP</x:v>
      </x:c>
      <x:c r="B90" s="30" t="str">
        <x:v>LM Head</x:v>
      </x:c>
      <x:c r="C90" s="30" t="str">
        <x:v>Reduce Sample</x:v>
      </x:c>
      <x:c r="D90" s="30" t="str">
        <x:v>Ring AllGather</x:v>
      </x:c>
      <x:c r="E90" s="33" t="n">
        <x:f>'Decode'!$P$8*'Decode'!$P$34</x:f>
        <x:v>262144</x:v>
      </x:c>
      <x:c r="F90" s="33" t="n">
        <x:f>('Decode'!$P$28+'Decode'!$P$31)</x:f>
        <x:v>6</x:v>
      </x:c>
      <x:c r="G90" s="33" t="n">
        <x:f>IF('Decode'!$P$20&gt;0,'Decode'!$P$20,'Decode'!$P$12)</x:f>
        <x:v>8</x:v>
      </x:c>
      <x:c r="H90" s="33" t="n">
        <x:f>IF(AND(IF('Decode'!$P$20&gt;0,'Decode'!$P$20,'Decode'!$P$12)&gt;1,'Decode'!$P$23&lt;&gt;0,'Decode'!$P$33&lt;&gt;0),1,0)</x:f>
        <x:v>0</x:v>
      </x:c>
      <x:c r="I90" s="34" t="n">
        <x:f>E90*F90/1048576</x:f>
        <x:v>1.5</x:v>
      </x:c>
      <x:c r="J90" s="34" t="n">
        <x:f>I90*(IF(G90&gt;1,G90-1,0))</x:f>
        <x:v>10.5</x:v>
      </x:c>
      <x:c r="K90" s="34" t="n">
        <x:f>J90*H90</x:f>
        <x:v>0</x:v>
      </x:c>
      <x:c r="L90" s="34" t="n">
        <x:f>K90*G90</x:f>
        <x:v>0</x:v>
      </x:c>
      <x:c r="M90" s="30"/>
      <x:c r="N90" s="30"/>
      <x:c r="O90" s="30"/>
      <x:c r="P90" s="30"/>
    </x:row>
    <x:row r="91">
      <x:c r="A91" s="40" t="str">
        <x:v>合计</x:v>
      </x:c>
      <x:c r="B91" s="40"/>
      <x:c r="C91" s="40"/>
      <x:c r="D91" s="40"/>
      <x:c r="E91" s="40"/>
      <x:c r="F91" s="40"/>
      <x:c r="G91" s="40"/>
      <x:c r="H91" s="40"/>
      <x:c r="I91" s="41"/>
      <x:c r="J91" s="41"/>
      <x:c r="K91" s="41" t="n">
        <x:f>SUM(K65:K90)</x:f>
        <x:v>9090.8125</x:v>
      </x:c>
      <x:c r="L91" s="41" t="n">
        <x:f>SUM(L65:L90)</x:f>
        <x:v>72726.5</x:v>
      </x:c>
      <x:c r="M91" s="30"/>
      <x:c r="N91" s="30"/>
      <x:c r="O91" s="30"/>
      <x:c r="P91" s="30"/>
    </x:row>
    <x:row r="94" ht="15" customHeight="1">
      <x:c r="A94" s="40" t="str">
        <x:v>PD 带宽争用耗时评估</x:v>
      </x:c>
      <x:c r="B94" s="30"/>
      <x:c r="C94" s="30"/>
      <x:c r="D94" s="30"/>
      <x:c r="E94" s="30"/>
      <x:c r="F94" s="30"/>
      <x:c r="G94" s="30"/>
      <x:c r="H94" s="30"/>
      <x:c r="I94" s="30"/>
      <x:c r="J94" s="30"/>
      <x:c r="K94" s="30"/>
      <x:c r="L94" s="30"/>
    </x:row>
    <x:row r="95" ht="15" customHeight="1">
      <x:c r="A95" s="30" t="str">
        <x:v>Decode 当前表参数；100 GB/s 为归一化示例。所列事件的带宽项，不等于完整 forward 耗时。</x:v>
      </x:c>
      <x:c r="B95" s="30"/>
      <x:c r="C95" s="30"/>
      <x:c r="D95" s="30"/>
      <x:c r="E95" s="30"/>
      <x:c r="F95" s="30"/>
      <x:c r="G95" s="30"/>
      <x:c r="H95" s="30"/>
      <x:c r="I95" s="30"/>
      <x:c r="J95" s="30"/>
      <x:c r="K95" s="30"/>
      <x:c r="L95" s="30"/>
    </x:row>
    <x:row r="96" ht="30" customHeight="1">
      <x:c r="A96" s="62" t="str">
        <x:v>带宽降幅</x:v>
      </x:c>
      <x:c r="B96" s="62" t="str">
        <x:v>输入</x:v>
      </x:c>
      <x:c r="C96" s="62" t="str">
        <x:v>争用覆盖率</x:v>
      </x:c>
      <x:c r="D96" s="62" t="str">
        <x:v>输入</x:v>
      </x:c>
      <x:c r="E96" s="62" t="str">
        <x:v>基线 forward ms</x:v>
      </x:c>
      <x:c r="F96" s="62" t="str">
        <x:v>实测输入</x:v>
      </x:c>
      <x:c r="G96" s="62" t="str">
        <x:v>默认带宽 GB/s</x:v>
      </x:c>
      <x:c r="H96" s="62" t="str">
        <x:v>输入</x:v>
      </x:c>
      <x:c r="I96" s="30"/>
      <x:c r="J96" s="30"/>
      <x:c r="K96" s="30"/>
      <x:c r="L96" s="30"/>
    </x:row>
    <x:row r="97" ht="15" customHeight="1">
      <x:c r="A97" s="30"/>
      <x:c r="B97" s="63" t="n">
        <x:v>0.1</x:v>
      </x:c>
      <x:c r="C97" s="30"/>
      <x:c r="D97" s="63" t="n">
        <x:v>1</x:v>
      </x:c>
      <x:c r="E97" s="30"/>
      <x:c r="F97" s="38"/>
      <x:c r="G97" s="30"/>
      <x:c r="H97" s="36" t="n">
        <x:v>100</x:v>
      </x:c>
      <x:c r="I97" s="30"/>
      <x:c r="J97" s="30"/>
      <x:c r="K97" s="30"/>
      <x:c r="L97" s="30"/>
    </x:row>
    <x:row r="98" ht="30" customHeight="1">
      <x:c r="A98" s="62" t="str">
        <x:v>通信基线 ms</x:v>
      </x:c>
      <x:c r="B98" s="62" t="str">
        <x:v>结果</x:v>
      </x:c>
      <x:c r="C98" s="62" t="str">
        <x:v>通信争用后 ms</x:v>
      </x:c>
      <x:c r="D98" s="62" t="str">
        <x:v>结果</x:v>
      </x:c>
      <x:c r="E98" s="62" t="str">
        <x:v>forward 增量 ms</x:v>
      </x:c>
      <x:c r="F98" s="62" t="str">
        <x:v>结果</x:v>
      </x:c>
      <x:c r="G98" s="62" t="str">
        <x:v>forward 新耗时 ms</x:v>
      </x:c>
      <x:c r="H98" s="62" t="str">
        <x:v>结果</x:v>
      </x:c>
      <x:c r="I98" s="62" t="str">
        <x:v>forward 增幅</x:v>
      </x:c>
      <x:c r="J98" s="62" t="str">
        <x:v>结果</x:v>
      </x:c>
      <x:c r="K98" s="62" t="str">
        <x:v>输入状态</x:v>
      </x:c>
      <x:c r="L98" s="62" t="str">
        <x:v>状态</x:v>
      </x:c>
    </x:row>
    <x:row r="99" ht="15" customHeight="1">
      <x:c r="A99" s="49"/>
      <x:c r="B99" s="49" t="n">
        <x:f>SUM(G103:G129)</x:f>
        <x:v>97.08812288</x:v>
      </x:c>
      <x:c r="C99" s="49"/>
      <x:c r="D99" s="49" t="n">
        <x:f>SUM(H103:H129)</x:f>
        <x:v>107.87569208888888</x:v>
      </x:c>
      <x:c r="E99" s="49"/>
      <x:c r="F99" s="49" t="n">
        <x:f>SUM(K103:K129)</x:f>
        <x:v>10.787569208888891</x:v>
      </x:c>
      <x:c r="G99" s="49"/>
      <x:c r="H99" s="49" t="str">
        <x:f>IF(AND(ISNUMBER($F$97),$F$97&gt;0,$F$97&gt;=SUMPRODUCT(G103:G129,J103:J129)),$F$97+F99,"")</x:f>
      </x:c>
      <x:c r="I99" s="49"/>
      <x:c r="J99" s="50" t="str">
        <x:f>IF(AND(ISNUMBER($F$97),$F$97&gt;0,$F$97&gt;=SUMPRODUCT(G103:G129,J103:J129)),F99/$F$97,"")</x:f>
      </x:c>
      <x:c r="K99" s="49"/>
      <x:c r="L99" s="49" t="str">
        <x:f>IF($F$97="","待填基线",IF(AND(ISNUMBER($F$97),$F$97&gt;0,$F$97&gt;=SUMPRODUCT(G103:G129,J103:J129)),"已填基线","基线/暴露不一致"))</x:f>
        <x:v>待填基线</x:v>
      </x:c>
    </x:row>
    <x:row r="100" ht="15" customHeight="1">
      <x:c r="A100" s="30" t="str">
        <x:v>共享比例=0 表示独立链路；暴露系数=0 表示增量完全隐藏。默认均为 1，降幅只作用于带宽项。</x:v>
      </x:c>
      <x:c r="B100" s="30"/>
      <x:c r="C100" s="30"/>
      <x:c r="D100" s="30"/>
      <x:c r="E100" s="30"/>
      <x:c r="F100" s="30"/>
      <x:c r="G100" s="30"/>
      <x:c r="H100" s="30"/>
      <x:c r="I100" s="30"/>
      <x:c r="J100" s="30"/>
      <x:c r="K100" s="30"/>
      <x:c r="L100" s="30"/>
    </x:row>
    <x:row r="101" ht="15" customHeight="1">
      <x:c r="A101" s="30" t="str">
        <x:v>P: AllToAllV + 4 B 计数 Ring；D: A3 BF16 MC2 FullMesh。每事件带宽按端点发送量定义。</x:v>
      </x:c>
      <x:c r="B101" s="30"/>
      <x:c r="C101" s="30"/>
      <x:c r="D101" s="30"/>
      <x:c r="E101" s="30"/>
      <x:c r="F101" s="30"/>
      <x:c r="G101" s="30"/>
      <x:c r="H101" s="30"/>
      <x:c r="I101" s="30"/>
      <x:c r="J101" s="30"/>
      <x:c r="K101" s="30"/>
      <x:c r="L101" s="30"/>
    </x:row>
    <x:row r="102" ht="30" customHeight="1">
      <x:c r="A102" s="62" t="str">
        <x:v>并行域</x:v>
      </x:c>
      <x:c r="B102" s="62" t="str">
        <x:v>模块</x:v>
      </x:c>
      <x:c r="C102" s="62" t="str">
        <x:v>通信事件</x:v>
      </x:c>
      <x:c r="D102" s="62" t="str">
        <x:v>GB/Rank/Step</x:v>
      </x:c>
      <x:c r="E102" s="62" t="str">
        <x:v>有效带宽 GB/s</x:v>
      </x:c>
      <x:c r="F102" s="62" t="str">
        <x:v>共享比例</x:v>
      </x:c>
      <x:c r="G102" s="62" t="str">
        <x:v>基线带宽项 ms</x:v>
      </x:c>
      <x:c r="H102" s="62" t="str">
        <x:v>争用后带宽项 ms</x:v>
      </x:c>
      <x:c r="I102" s="62" t="str">
        <x:v>通信增量 ms</x:v>
      </x:c>
      <x:c r="J102" s="62" t="str">
        <x:v>暴露系数</x:v>
      </x:c>
      <x:c r="K102" s="62" t="str">
        <x:v>forward 增量 ms</x:v>
      </x:c>
      <x:c r="L102" s="62" t="str">
        <x:v>公式口径</x:v>
      </x:c>
    </x:row>
    <x:row r="103" ht="15" customHeight="1">
      <x:c r="A103" s="30" t="str">
        <x:v>Embedding TP</x:v>
      </x:c>
      <x:c r="B103" s="30" t="str">
        <x:v>Embedding</x:v>
      </x:c>
      <x:c r="C103" s="30" t="str">
        <x:v>标准 TP 输出</x:v>
      </x:c>
      <x:c r="D103" s="34" t="n">
        <x:f>(K65*2^20)/1e9</x:f>
        <x:v>0.025690112</x:v>
      </x:c>
      <x:c r="E103" s="64" t="n">
        <x:f>$H$97</x:f>
        <x:v>100</x:v>
      </x:c>
      <x:c r="F103" s="59" t="n">
        <x:v>1</x:v>
      </x:c>
      <x:c r="G103" s="34" t="n">
        <x:f>IF(AND(ISNUMBER(E103),E103&gt;0,ISNUMBER($B$97),$B$97&gt;=0,$B$97&lt;1,ISNUMBER($D$97),$D$97&gt;=0,$D$97&lt;=1,ISNUMBER(F103),F103&gt;=0,F103&lt;=1,ISNUMBER(J103),J103&gt;=0,J103&lt;=1),D103/E103*1000,NA())</x:f>
        <x:v>0.25690112000000004</x:v>
      </x:c>
      <x:c r="H103" s="34" t="n">
        <x:f>G103+I103</x:f>
        <x:v>0.28544568888888894</x:v>
      </x:c>
      <x:c r="I103" s="34" t="n">
        <x:f>G103*F103*$D$97*$B$97/(1-$B$97)</x:f>
        <x:v>0.028544568888888892</x:v>
      </x:c>
      <x:c r="J103" s="59" t="n">
        <x:v>1</x:v>
      </x:c>
      <x:c r="K103" s="34" t="n">
        <x:f>I103*J103</x:f>
        <x:v>0.028544568888888892</x:v>
      </x:c>
      <x:c r="L103" s="30" t="str">
        <x:v>原通信行 65</x:v>
      </x:c>
    </x:row>
    <x:row r="104" ht="15" customHeight="1">
      <x:c r="A104" s="30" t="str">
        <x:v>Embedding TP</x:v>
      </x:c>
      <x:c r="B104" s="30" t="str">
        <x:v>Embedding</x:v>
      </x:c>
      <x:c r="C104" s="30" t="str">
        <x:v>Fine TP Token ID</x:v>
      </x:c>
      <x:c r="D104" s="34" t="n">
        <x:f>(K66*2^20)/1e9</x:f>
        <x:v>0</x:v>
      </x:c>
      <x:c r="E104" s="64" t="n">
        <x:f>$H$97</x:f>
        <x:v>100</x:v>
      </x:c>
      <x:c r="F104" s="59" t="n">
        <x:v>1</x:v>
      </x:c>
      <x:c r="G104" s="34" t="n">
        <x:f>IF(AND(ISNUMBER(E104),E104&gt;0,ISNUMBER($B$97),$B$97&gt;=0,$B$97&lt;1,ISNUMBER($D$97),$D$97&gt;=0,$D$97&lt;=1,ISNUMBER(F104),F104&gt;=0,F104&lt;=1,ISNUMBER(J104),J104&gt;=0,J104&lt;=1),D104/E104*1000,NA())</x:f>
        <x:v>0</x:v>
      </x:c>
      <x:c r="H104" s="34" t="n">
        <x:f>G104+I104</x:f>
        <x:v>0</x:v>
      </x:c>
      <x:c r="I104" s="34" t="n">
        <x:f>G104*F104*$D$97*$B$97/(1-$B$97)</x:f>
        <x:v>0</x:v>
      </x:c>
      <x:c r="J104" s="59" t="n">
        <x:v>1</x:v>
      </x:c>
      <x:c r="K104" s="34" t="n">
        <x:f>I104*J104</x:f>
        <x:v>0</x:v>
      </x:c>
      <x:c r="L104" s="30" t="str">
        <x:v>原通信行 66</x:v>
      </x:c>
    </x:row>
    <x:row r="105" ht="15" customHeight="1">
      <x:c r="A105" s="30" t="str">
        <x:v>Embedding TP</x:v>
      </x:c>
      <x:c r="B105" s="30" t="str">
        <x:v>Embedding</x:v>
      </x:c>
      <x:c r="C105" s="30" t="str">
        <x:v>Fine TP Hidden</x:v>
      </x:c>
      <x:c r="D105" s="34" t="n">
        <x:f>(K67*2^20)/1e9</x:f>
        <x:v>0</x:v>
      </x:c>
      <x:c r="E105" s="64" t="n">
        <x:f>$H$97</x:f>
        <x:v>100</x:v>
      </x:c>
      <x:c r="F105" s="59" t="n">
        <x:v>1</x:v>
      </x:c>
      <x:c r="G105" s="34" t="n">
        <x:f>IF(AND(ISNUMBER(E105),E105&gt;0,ISNUMBER($B$97),$B$97&gt;=0,$B$97&lt;1,ISNUMBER($D$97),$D$97&gt;=0,$D$97&lt;=1,ISNUMBER(F105),F105&gt;=0,F105&lt;=1,ISNUMBER(J105),J105&gt;=0,J105&lt;=1),D105/E105*1000,NA())</x:f>
        <x:v>0</x:v>
      </x:c>
      <x:c r="H105" s="34" t="n">
        <x:f>G105+I105</x:f>
        <x:v>0</x:v>
      </x:c>
      <x:c r="I105" s="34" t="n">
        <x:f>G105*F105*$D$97*$B$97/(1-$B$97)</x:f>
        <x:v>0</x:v>
      </x:c>
      <x:c r="J105" s="59" t="n">
        <x:v>1</x:v>
      </x:c>
      <x:c r="K105" s="34" t="n">
        <x:f>I105*J105</x:f>
        <x:v>0</x:v>
      </x:c>
      <x:c r="L105" s="30" t="str">
        <x:v>原通信行 67</x:v>
      </x:c>
    </x:row>
    <x:row r="106" ht="15" customHeight="1">
      <x:c r="A106" s="30" t="str">
        <x:v>SP</x:v>
      </x:c>
      <x:c r="B106" s="30" t="str">
        <x:v>Attention</x:v>
      </x:c>
      <x:c r="C106" s="30" t="str">
        <x:v>Attention 前</x:v>
      </x:c>
      <x:c r="D106" s="34" t="n">
        <x:f>(K68*2^20)/1e9</x:f>
        <x:v>1.194590208</x:v>
      </x:c>
      <x:c r="E106" s="64" t="n">
        <x:f>$H$97</x:f>
        <x:v>100</x:v>
      </x:c>
      <x:c r="F106" s="59" t="n">
        <x:v>1</x:v>
      </x:c>
      <x:c r="G106" s="34" t="n">
        <x:f>IF(AND(ISNUMBER(E106),E106&gt;0,ISNUMBER($B$97),$B$97&gt;=0,$B$97&lt;1,ISNUMBER($D$97),$D$97&gt;=0,$D$97&lt;=1,ISNUMBER(F106),F106&gt;=0,F106&lt;=1,ISNUMBER(J106),J106&gt;=0,J106&lt;=1),D106/E106*1000,NA())</x:f>
        <x:v>11.94590208</x:v>
      </x:c>
      <x:c r="H106" s="34" t="n">
        <x:f>G106+I106</x:f>
        <x:v>13.273224533333334</x:v>
      </x:c>
      <x:c r="I106" s="34" t="n">
        <x:f>G106*F106*$D$97*$B$97/(1-$B$97)</x:f>
        <x:v>1.3273224533333332</x:v>
      </x:c>
      <x:c r="J106" s="59" t="n">
        <x:v>1</x:v>
      </x:c>
      <x:c r="K106" s="34" t="n">
        <x:f>I106*J106</x:f>
        <x:v>1.3273224533333332</x:v>
      </x:c>
      <x:c r="L106" s="30" t="str">
        <x:v>原通信行 68</x:v>
      </x:c>
    </x:row>
    <x:row r="107" ht="15" customHeight="1">
      <x:c r="A107" s="30" t="str">
        <x:v>SP</x:v>
      </x:c>
      <x:c r="B107" s="30" t="str">
        <x:v>Attention</x:v>
      </x:c>
      <x:c r="C107" s="30" t="str">
        <x:v>O Proj 后</x:v>
      </x:c>
      <x:c r="D107" s="34" t="n">
        <x:f>(K69*2^20)/1e9</x:f>
        <x:v>1.194590208</x:v>
      </x:c>
      <x:c r="E107" s="64" t="n">
        <x:f>$H$97</x:f>
        <x:v>100</x:v>
      </x:c>
      <x:c r="F107" s="59" t="n">
        <x:v>1</x:v>
      </x:c>
      <x:c r="G107" s="34" t="n">
        <x:f>IF(AND(ISNUMBER(E107),E107&gt;0,ISNUMBER($B$97),$B$97&gt;=0,$B$97&lt;1,ISNUMBER($D$97),$D$97&gt;=0,$D$97&lt;=1,ISNUMBER(F107),F107&gt;=0,F107&lt;=1,ISNUMBER(J107),J107&gt;=0,J107&lt;=1),D107/E107*1000,NA())</x:f>
        <x:v>11.94590208</x:v>
      </x:c>
      <x:c r="H107" s="34" t="n">
        <x:f>G107+I107</x:f>
        <x:v>13.273224533333334</x:v>
      </x:c>
      <x:c r="I107" s="34" t="n">
        <x:f>G107*F107*$D$97*$B$97/(1-$B$97)</x:f>
        <x:v>1.3273224533333332</x:v>
      </x:c>
      <x:c r="J107" s="59" t="n">
        <x:v>1</x:v>
      </x:c>
      <x:c r="K107" s="34" t="n">
        <x:f>I107*J107</x:f>
        <x:v>1.3273224533333332</x:v>
      </x:c>
      <x:c r="L107" s="30" t="str">
        <x:v>原通信行 69</x:v>
      </x:c>
    </x:row>
    <x:row r="108" ht="15" customHeight="1">
      <x:c r="A108" s="30" t="str">
        <x:v>O Proj TP</x:v>
      </x:c>
      <x:c r="B108" s="30" t="str">
        <x:v>Attention</x:v>
      </x:c>
      <x:c r="C108" s="30" t="str">
        <x:v>非 SP 标准 TP</x:v>
      </x:c>
      <x:c r="D108" s="34" t="n">
        <x:f>(K70*2^20)/1e9</x:f>
        <x:v>0</x:v>
      </x:c>
      <x:c r="E108" s="64" t="n">
        <x:f>$H$97</x:f>
        <x:v>100</x:v>
      </x:c>
      <x:c r="F108" s="59" t="n">
        <x:v>1</x:v>
      </x:c>
      <x:c r="G108" s="34" t="n">
        <x:f>IF(AND(ISNUMBER(E108),E108&gt;0,ISNUMBER($B$97),$B$97&gt;=0,$B$97&lt;1,ISNUMBER($D$97),$D$97&gt;=0,$D$97&lt;=1,ISNUMBER(F108),F108&gt;=0,F108&lt;=1,ISNUMBER(J108),J108&gt;=0,J108&lt;=1),D108/E108*1000,NA())</x:f>
        <x:v>0</x:v>
      </x:c>
      <x:c r="H108" s="34" t="n">
        <x:f>G108+I108</x:f>
        <x:v>0</x:v>
      </x:c>
      <x:c r="I108" s="34" t="n">
        <x:f>G108*F108*$D$97*$B$97/(1-$B$97)</x:f>
        <x:v>0</x:v>
      </x:c>
      <x:c r="J108" s="59" t="n">
        <x:v>1</x:v>
      </x:c>
      <x:c r="K108" s="34" t="n">
        <x:f>I108*J108</x:f>
        <x:v>0</x:v>
      </x:c>
      <x:c r="L108" s="30" t="str">
        <x:v>原通信行 70</x:v>
      </x:c>
    </x:row>
    <x:row r="109" ht="15" customHeight="1">
      <x:c r="A109" s="30" t="str">
        <x:v>Fine O TP</x:v>
      </x:c>
      <x:c r="B109" s="30" t="str">
        <x:v>Attention</x:v>
      </x:c>
      <x:c r="C109" s="30" t="str">
        <x:v>O Proj 输入</x:v>
      </x:c>
      <x:c r="D109" s="34" t="n">
        <x:f>(K71*2^20)/1e9</x:f>
        <x:v>0</x:v>
      </x:c>
      <x:c r="E109" s="64" t="n">
        <x:f>$H$97</x:f>
        <x:v>100</x:v>
      </x:c>
      <x:c r="F109" s="59" t="n">
        <x:v>1</x:v>
      </x:c>
      <x:c r="G109" s="34" t="n">
        <x:f>IF(AND(ISNUMBER(E109),E109&gt;0,ISNUMBER($B$97),$B$97&gt;=0,$B$97&lt;1,ISNUMBER($D$97),$D$97&gt;=0,$D$97&lt;=1,ISNUMBER(F109),F109&gt;=0,F109&lt;=1,ISNUMBER(J109),J109&gt;=0,J109&lt;=1),D109/E109*1000,NA())</x:f>
        <x:v>0</x:v>
      </x:c>
      <x:c r="H109" s="34" t="n">
        <x:f>G109+I109</x:f>
        <x:v>0</x:v>
      </x:c>
      <x:c r="I109" s="34" t="n">
        <x:f>G109*F109*$D$97*$B$97/(1-$B$97)</x:f>
        <x:v>0</x:v>
      </x:c>
      <x:c r="J109" s="59" t="n">
        <x:v>1</x:v>
      </x:c>
      <x:c r="K109" s="34" t="n">
        <x:f>I109*J109</x:f>
        <x:v>0</x:v>
      </x:c>
      <x:c r="L109" s="30" t="str">
        <x:v>原通信行 71</x:v>
      </x:c>
    </x:row>
    <x:row r="110" ht="15" customHeight="1">
      <x:c r="A110" s="30" t="str">
        <x:v>Fine O TP</x:v>
      </x:c>
      <x:c r="B110" s="30" t="str">
        <x:v>Attention</x:v>
      </x:c>
      <x:c r="C110" s="30" t="str">
        <x:v>O Proj 输出</x:v>
      </x:c>
      <x:c r="D110" s="34" t="n">
        <x:f>(K72*2^20)/1e9</x:f>
        <x:v>0</x:v>
      </x:c>
      <x:c r="E110" s="64" t="n">
        <x:f>$H$97</x:f>
        <x:v>100</x:v>
      </x:c>
      <x:c r="F110" s="59" t="n">
        <x:v>1</x:v>
      </x:c>
      <x:c r="G110" s="34" t="n">
        <x:f>IF(AND(ISNUMBER(E110),E110&gt;0,ISNUMBER($B$97),$B$97&gt;=0,$B$97&lt;1,ISNUMBER($D$97),$D$97&gt;=0,$D$97&lt;=1,ISNUMBER(F110),F110&gt;=0,F110&lt;=1,ISNUMBER(J110),J110&gt;=0,J110&lt;=1),D110/E110*1000,NA())</x:f>
        <x:v>0</x:v>
      </x:c>
      <x:c r="H110" s="34" t="n">
        <x:f>G110+I110</x:f>
        <x:v>0</x:v>
      </x:c>
      <x:c r="I110" s="34" t="n">
        <x:f>G110*F110*$D$97*$B$97/(1-$B$97)</x:f>
        <x:v>0</x:v>
      </x:c>
      <x:c r="J110" s="59" t="n">
        <x:v>1</x:v>
      </x:c>
      <x:c r="K110" s="34" t="n">
        <x:f>I110*J110</x:f>
        <x:v>0</x:v>
      </x:c>
      <x:c r="L110" s="30" t="str">
        <x:v>原通信行 72</x:v>
      </x:c>
    </x:row>
    <x:row r="111" ht="15" customHeight="1">
      <x:c r="A111" s="30" t="str">
        <x:v>SP</x:v>
      </x:c>
      <x:c r="B111" s="30" t="str">
        <x:v>Dense MLP</x:v>
      </x:c>
      <x:c r="C111" s="30" t="str">
        <x:v>Down Proj 输出</x:v>
      </x:c>
      <x:c r="D111" s="34" t="n">
        <x:f>(K73*2^20)/1e9</x:f>
        <x:v>0.003211264</x:v>
      </x:c>
      <x:c r="E111" s="64" t="n">
        <x:f>$H$97</x:f>
        <x:v>100</x:v>
      </x:c>
      <x:c r="F111" s="59" t="n">
        <x:v>1</x:v>
      </x:c>
      <x:c r="G111" s="34" t="n">
        <x:f>IF(AND(ISNUMBER(E111),E111&gt;0,ISNUMBER($B$97),$B$97&gt;=0,$B$97&lt;1,ISNUMBER($D$97),$D$97&gt;=0,$D$97&lt;=1,ISNUMBER(F111),F111&gt;=0,F111&lt;=1,ISNUMBER(J111),J111&gt;=0,J111&lt;=1),D111/E111*1000,NA())</x:f>
        <x:v>0.032112640000000005</x:v>
      </x:c>
      <x:c r="H111" s="34" t="n">
        <x:f>G111+I111</x:f>
        <x:v>0.03568071111111112</x:v>
      </x:c>
      <x:c r="I111" s="34" t="n">
        <x:f>G111*F111*$D$97*$B$97/(1-$B$97)</x:f>
        <x:v>0.0035680711111111115</x:v>
      </x:c>
      <x:c r="J111" s="59" t="n">
        <x:v>1</x:v>
      </x:c>
      <x:c r="K111" s="34" t="n">
        <x:f>I111*J111</x:f>
        <x:v>0.0035680711111111115</x:v>
      </x:c>
      <x:c r="L111" s="30" t="str">
        <x:v>原通信行 73</x:v>
      </x:c>
    </x:row>
    <x:row r="112" ht="15" customHeight="1">
      <x:c r="A112" s="30" t="str">
        <x:v>EP</x:v>
      </x:c>
      <x:c r="B112" s="30" t="str">
        <x:v>Routed Experts</x:v>
      </x:c>
      <x:c r="C112" s="30" t="str">
        <x:v>MC2 FullMesh Dispatch</x:v>
      </x:c>
      <x:c r="D112" s="34" t="n">
        <x:f>(IF(F74=2,E74/7168*H74*(ROUNDUP((ROUNDUP(7168*F74/32,0)*32+32)/480,0)*512),NA()))/1e9</x:f>
        <x:v>2.53231104</x:v>
      </x:c>
      <x:c r="E112" s="64" t="n">
        <x:f>$H$97</x:f>
        <x:v>100</x:v>
      </x:c>
      <x:c r="F112" s="59" t="n">
        <x:v>1</x:v>
      </x:c>
      <x:c r="G112" s="34" t="n">
        <x:f>IF(AND(ISNUMBER(E112),E112&gt;0,ISNUMBER($B$97),$B$97&gt;=0,$B$97&lt;1,ISNUMBER($D$97),$D$97&gt;=0,$D$97&lt;=1,ISNUMBER(F112),F112&gt;=0,F112&lt;=1,ISNUMBER(J112),J112&gt;=0,J112&lt;=1),D112/E112*1000,NA())</x:f>
        <x:v>25.3231104</x:v>
      </x:c>
      <x:c r="H112" s="34" t="n">
        <x:f>G112+I112</x:f>
        <x:v>28.136789333333333</x:v>
      </x:c>
      <x:c r="I112" s="34" t="n">
        <x:f>G112*F112*$D$97*$B$97/(1-$B$97)</x:f>
        <x:v>2.8136789333333336</x:v>
      </x:c>
      <x:c r="J112" s="59" t="n">
        <x:v>1</x:v>
      </x:c>
      <x:c r="K112" s="34" t="n">
        <x:f>I112*J112</x:f>
        <x:v>2.8136789333333336</x:v>
      </x:c>
      <x:c r="L112" s="30" t="str">
        <x:v>原通信行 74</x:v>
      </x:c>
    </x:row>
    <x:row r="113" ht="15" customHeight="1">
      <x:c r="A113" s="30" t="str">
        <x:v>EP</x:v>
      </x:c>
      <x:c r="B113" s="30" t="str">
        <x:v>Routed Experts</x:v>
      </x:c>
      <x:c r="C113" s="30" t="str">
        <x:v>MC2 Combine + flags</x:v>
      </x:c>
      <x:c r="D113" s="34" t="n">
        <x:f>(IF(F75=2,K75*2^20+E75/7168*H75*32,NA()))/1e9</x:f>
        <x:v>2.368765952</x:v>
      </x:c>
      <x:c r="E113" s="64" t="n">
        <x:f>$H$97</x:f>
        <x:v>100</x:v>
      </x:c>
      <x:c r="F113" s="59" t="n">
        <x:v>1</x:v>
      </x:c>
      <x:c r="G113" s="34" t="n">
        <x:f>IF(AND(ISNUMBER(E113),E113&gt;0,ISNUMBER($B$97),$B$97&gt;=0,$B$97&lt;1,ISNUMBER($D$97),$D$97&gt;=0,$D$97&lt;=1,ISNUMBER(F113),F113&gt;=0,F113&lt;=1,ISNUMBER(J113),J113&gt;=0,J113&lt;=1),D113/E113*1000,NA())</x:f>
        <x:v>23.68765952</x:v>
      </x:c>
      <x:c r="H113" s="34" t="n">
        <x:f>G113+I113</x:f>
        <x:v>26.31962168888889</x:v>
      </x:c>
      <x:c r="I113" s="34" t="n">
        <x:f>G113*F113*$D$97*$B$97/(1-$B$97)</x:f>
        <x:v>2.631962168888889</x:v>
      </x:c>
      <x:c r="J113" s="59" t="n">
        <x:v>1</x:v>
      </x:c>
      <x:c r="K113" s="34" t="n">
        <x:f>I113*J113</x:f>
        <x:v>2.631962168888889</x:v>
      </x:c>
      <x:c r="L113" s="30" t="str">
        <x:v>原通信行 75</x:v>
      </x:c>
    </x:row>
    <x:row r="114" ht="15" customHeight="1">
      <x:c r="A114" s="30" t="str">
        <x:v>DP</x:v>
      </x:c>
      <x:c r="B114" s="30" t="str">
        <x:v>MoE</x:v>
      </x:c>
      <x:c r="C114" s="30" t="str">
        <x:v>Hidden 输入</x:v>
      </x:c>
      <x:c r="D114" s="34" t="n">
        <x:f>(K76*2^20)/1e9</x:f>
        <x:v>0</x:v>
      </x:c>
      <x:c r="E114" s="64" t="n">
        <x:f>$H$97</x:f>
        <x:v>100</x:v>
      </x:c>
      <x:c r="F114" s="59" t="n">
        <x:v>1</x:v>
      </x:c>
      <x:c r="G114" s="34" t="n">
        <x:f>IF(AND(ISNUMBER(E114),E114&gt;0,ISNUMBER($B$97),$B$97&gt;=0,$B$97&lt;1,ISNUMBER($D$97),$D$97&gt;=0,$D$97&lt;=1,ISNUMBER(F114),F114&gt;=0,F114&lt;=1,ISNUMBER(J114),J114&gt;=0,J114&lt;=1),D114/E114*1000,NA())</x:f>
        <x:v>0</x:v>
      </x:c>
      <x:c r="H114" s="34" t="n">
        <x:f>G114+I114</x:f>
        <x:v>0</x:v>
      </x:c>
      <x:c r="I114" s="34" t="n">
        <x:f>G114*F114*$D$97*$B$97/(1-$B$97)</x:f>
        <x:v>0</x:v>
      </x:c>
      <x:c r="J114" s="59" t="n">
        <x:v>1</x:v>
      </x:c>
      <x:c r="K114" s="34" t="n">
        <x:f>I114*J114</x:f>
        <x:v>0</x:v>
      </x:c>
      <x:c r="L114" s="30" t="str">
        <x:v>原通信行 76</x:v>
      </x:c>
    </x:row>
    <x:row r="115" ht="15" customHeight="1">
      <x:c r="A115" s="30" t="str">
        <x:v>DP</x:v>
      </x:c>
      <x:c r="B115" s="30" t="str">
        <x:v>MoE Router</x:v>
      </x:c>
      <x:c r="C115" s="30" t="str">
        <x:v>Router Logits</x:v>
      </x:c>
      <x:c r="D115" s="34" t="n">
        <x:f>(K77*2^20)/1e9</x:f>
        <x:v>0</x:v>
      </x:c>
      <x:c r="E115" s="64" t="n">
        <x:f>$H$97</x:f>
        <x:v>100</x:v>
      </x:c>
      <x:c r="F115" s="59" t="n">
        <x:v>1</x:v>
      </x:c>
      <x:c r="G115" s="34" t="n">
        <x:f>IF(AND(ISNUMBER(E115),E115&gt;0,ISNUMBER($B$97),$B$97&gt;=0,$B$97&lt;1,ISNUMBER($D$97),$D$97&gt;=0,$D$97&lt;=1,ISNUMBER(F115),F115&gt;=0,F115&lt;=1,ISNUMBER(J115),J115&gt;=0,J115&lt;=1),D115/E115*1000,NA())</x:f>
        <x:v>0</x:v>
      </x:c>
      <x:c r="H115" s="34" t="n">
        <x:f>G115+I115</x:f>
        <x:v>0</x:v>
      </x:c>
      <x:c r="I115" s="34" t="n">
        <x:f>G115*F115*$D$97*$B$97/(1-$B$97)</x:f>
        <x:v>0</x:v>
      </x:c>
      <x:c r="J115" s="59" t="n">
        <x:v>1</x:v>
      </x:c>
      <x:c r="K115" s="34" t="n">
        <x:f>I115*J115</x:f>
        <x:v>0</x:v>
      </x:c>
      <x:c r="L115" s="30" t="str">
        <x:v>原通信行 77</x:v>
      </x:c>
    </x:row>
    <x:row r="116" ht="15" customHeight="1">
      <x:c r="A116" s="30" t="str">
        <x:v>DP</x:v>
      </x:c>
      <x:c r="B116" s="30" t="str">
        <x:v>MoE</x:v>
      </x:c>
      <x:c r="C116" s="30" t="str">
        <x:v>Routed Expert 输出</x:v>
      </x:c>
      <x:c r="D116" s="34" t="n">
        <x:f>(K78*2^20)/1e9</x:f>
        <x:v>0</x:v>
      </x:c>
      <x:c r="E116" s="64" t="n">
        <x:f>$H$97</x:f>
        <x:v>100</x:v>
      </x:c>
      <x:c r="F116" s="59" t="n">
        <x:v>1</x:v>
      </x:c>
      <x:c r="G116" s="34" t="n">
        <x:f>IF(AND(ISNUMBER(E116),E116&gt;0,ISNUMBER($B$97),$B$97&gt;=0,$B$97&lt;1,ISNUMBER($D$97),$D$97&gt;=0,$D$97&lt;=1,ISNUMBER(F116),F116&gt;=0,F116&lt;=1,ISNUMBER(J116),J116&gt;=0,J116&lt;=1),D116/E116*1000,NA())</x:f>
        <x:v>0</x:v>
      </x:c>
      <x:c r="H116" s="34" t="n">
        <x:f>G116+I116</x:f>
        <x:v>0</x:v>
      </x:c>
      <x:c r="I116" s="34" t="n">
        <x:f>G116*F116*$D$97*$B$97/(1-$B$97)</x:f>
        <x:v>0</x:v>
      </x:c>
      <x:c r="J116" s="59" t="n">
        <x:v>1</x:v>
      </x:c>
      <x:c r="K116" s="34" t="n">
        <x:f>I116*J116</x:f>
        <x:v>0</x:v>
      </x:c>
      <x:c r="L116" s="30" t="str">
        <x:v>原通信行 78</x:v>
      </x:c>
    </x:row>
    <x:row r="117" ht="15" customHeight="1">
      <x:c r="A117" s="30" t="str">
        <x:v>共享专家 TP</x:v>
      </x:c>
      <x:c r="B117" s="30" t="str">
        <x:v>Shared Experts</x:v>
      </x:c>
      <x:c r="C117" s="30" t="str">
        <x:v>SP 输入</x:v>
      </x:c>
      <x:c r="D117" s="34" t="n">
        <x:f>(K79*2^20)/1e9</x:f>
        <x:v>1.181745152</x:v>
      </x:c>
      <x:c r="E117" s="64" t="n">
        <x:f>$H$97</x:f>
        <x:v>100</x:v>
      </x:c>
      <x:c r="F117" s="59" t="n">
        <x:v>1</x:v>
      </x:c>
      <x:c r="G117" s="34" t="n">
        <x:f>IF(AND(ISNUMBER(E117),E117&gt;0,ISNUMBER($B$97),$B$97&gt;=0,$B$97&lt;1,ISNUMBER($D$97),$D$97&gt;=0,$D$97&lt;=1,ISNUMBER(F117),F117&gt;=0,F117&lt;=1,ISNUMBER(J117),J117&gt;=0,J117&lt;=1),D117/E117*1000,NA())</x:f>
        <x:v>11.817451519999999</x:v>
      </x:c>
      <x:c r="H117" s="34" t="n">
        <x:f>G117+I117</x:f>
        <x:v>13.130501688888888</x:v>
      </x:c>
      <x:c r="I117" s="34" t="n">
        <x:f>G117*F117*$D$97*$B$97/(1-$B$97)</x:f>
        <x:v>1.313050168888889</x:v>
      </x:c>
      <x:c r="J117" s="59" t="n">
        <x:v>1</x:v>
      </x:c>
      <x:c r="K117" s="34" t="n">
        <x:f>I117*J117</x:f>
        <x:v>1.313050168888889</x:v>
      </x:c>
      <x:c r="L117" s="30" t="str">
        <x:v>原通信行 79</x:v>
      </x:c>
    </x:row>
    <x:row r="118" ht="15" customHeight="1">
      <x:c r="A118" s="30" t="str">
        <x:v>共享专家 TP</x:v>
      </x:c>
      <x:c r="B118" s="30" t="str">
        <x:v>Shared Experts</x:v>
      </x:c>
      <x:c r="C118" s="30" t="str">
        <x:v>SP 输出</x:v>
      </x:c>
      <x:c r="D118" s="34" t="n">
        <x:f>(K80*2^20)/1e9</x:f>
        <x:v>1.181745152</x:v>
      </x:c>
      <x:c r="E118" s="64" t="n">
        <x:f>$H$97</x:f>
        <x:v>100</x:v>
      </x:c>
      <x:c r="F118" s="59" t="n">
        <x:v>1</x:v>
      </x:c>
      <x:c r="G118" s="34" t="n">
        <x:f>IF(AND(ISNUMBER(E118),E118&gt;0,ISNUMBER($B$97),$B$97&gt;=0,$B$97&lt;1,ISNUMBER($D$97),$D$97&gt;=0,$D$97&lt;=1,ISNUMBER(F118),F118&gt;=0,F118&lt;=1,ISNUMBER(J118),J118&gt;=0,J118&lt;=1),D118/E118*1000,NA())</x:f>
        <x:v>11.817451519999999</x:v>
      </x:c>
      <x:c r="H118" s="34" t="n">
        <x:f>G118+I118</x:f>
        <x:v>13.130501688888888</x:v>
      </x:c>
      <x:c r="I118" s="34" t="n">
        <x:f>G118*F118*$D$97*$B$97/(1-$B$97)</x:f>
        <x:v>1.313050168888889</x:v>
      </x:c>
      <x:c r="J118" s="59" t="n">
        <x:v>1</x:v>
      </x:c>
      <x:c r="K118" s="34" t="n">
        <x:f>I118*J118</x:f>
        <x:v>1.313050168888889</x:v>
      </x:c>
      <x:c r="L118" s="30" t="str">
        <x:v>原通信行 80</x:v>
      </x:c>
    </x:row>
    <x:row r="119" ht="15" customHeight="1">
      <x:c r="A119" s="30" t="str">
        <x:v>共享专家 TP</x:v>
      </x:c>
      <x:c r="B119" s="30" t="str">
        <x:v>Shared Experts</x:v>
      </x:c>
      <x:c r="C119" s="30" t="str">
        <x:v>非 SP 输出</x:v>
      </x:c>
      <x:c r="D119" s="34" t="n">
        <x:f>(K81*2^20)/1e9</x:f>
        <x:v>0</x:v>
      </x:c>
      <x:c r="E119" s="64" t="n">
        <x:f>$H$97</x:f>
        <x:v>100</x:v>
      </x:c>
      <x:c r="F119" s="59" t="n">
        <x:v>1</x:v>
      </x:c>
      <x:c r="G119" s="34" t="n">
        <x:f>IF(AND(ISNUMBER(E119),E119&gt;0,ISNUMBER($B$97),$B$97&gt;=0,$B$97&lt;1,ISNUMBER($D$97),$D$97&gt;=0,$D$97&lt;=1,ISNUMBER(F119),F119&gt;=0,F119&lt;=1,ISNUMBER(J119),J119&gt;=0,J119&lt;=1),D119/E119*1000,NA())</x:f>
        <x:v>0</x:v>
      </x:c>
      <x:c r="H119" s="34" t="n">
        <x:f>G119+I119</x:f>
        <x:v>0</x:v>
      </x:c>
      <x:c r="I119" s="34" t="n">
        <x:f>G119*F119*$D$97*$B$97/(1-$B$97)</x:f>
        <x:v>0</x:v>
      </x:c>
      <x:c r="J119" s="59" t="n">
        <x:v>1</x:v>
      </x:c>
      <x:c r="K119" s="34" t="n">
        <x:f>I119*J119</x:f>
        <x:v>0</x:v>
      </x:c>
      <x:c r="L119" s="30" t="str">
        <x:v>原通信行 81</x:v>
      </x:c>
    </x:row>
    <x:row r="120" ht="15" customHeight="1">
      <x:c r="A120" s="30" t="str">
        <x:v>DCP</x:v>
      </x:c>
      <x:c r="B120" s="30" t="str">
        <x:v>Attention</x:v>
      </x:c>
      <x:c r="C120" s="30" t="str">
        <x:v>Query</x:v>
      </x:c>
      <x:c r="D120" s="34" t="n">
        <x:f>(K82*2^20)/1e9</x:f>
        <x:v>0</x:v>
      </x:c>
      <x:c r="E120" s="64" t="n">
        <x:f>$H$97</x:f>
        <x:v>100</x:v>
      </x:c>
      <x:c r="F120" s="59" t="n">
        <x:v>1</x:v>
      </x:c>
      <x:c r="G120" s="34" t="n">
        <x:f>IF(AND(ISNUMBER(E120),E120&gt;0,ISNUMBER($B$97),$B$97&gt;=0,$B$97&lt;1,ISNUMBER($D$97),$D$97&gt;=0,$D$97&lt;=1,ISNUMBER(F120),F120&gt;=0,F120&lt;=1,ISNUMBER(J120),J120&gt;=0,J120&lt;=1),D120/E120*1000,NA())</x:f>
        <x:v>0</x:v>
      </x:c>
      <x:c r="H120" s="34" t="n">
        <x:f>G120+I120</x:f>
        <x:v>0</x:v>
      </x:c>
      <x:c r="I120" s="34" t="n">
        <x:f>G120*F120*$D$97*$B$97/(1-$B$97)</x:f>
        <x:v>0</x:v>
      </x:c>
      <x:c r="J120" s="59" t="n">
        <x:v>1</x:v>
      </x:c>
      <x:c r="K120" s="34" t="n">
        <x:f>I120*J120</x:f>
        <x:v>0</x:v>
      </x:c>
      <x:c r="L120" s="30" t="str">
        <x:v>原通信行 82</x:v>
      </x:c>
    </x:row>
    <x:row r="121" ht="15" customHeight="1">
      <x:c r="A121" s="30" t="str">
        <x:v>DCP</x:v>
      </x:c>
      <x:c r="B121" s="30" t="str">
        <x:v>Attention</x:v>
      </x:c>
      <x:c r="C121" s="30" t="str">
        <x:v>LSE</x:v>
      </x:c>
      <x:c r="D121" s="34" t="n">
        <x:f>(K83*2^20)/1e9</x:f>
        <x:v>0</x:v>
      </x:c>
      <x:c r="E121" s="64" t="n">
        <x:f>$H$97</x:f>
        <x:v>100</x:v>
      </x:c>
      <x:c r="F121" s="59" t="n">
        <x:v>1</x:v>
      </x:c>
      <x:c r="G121" s="34" t="n">
        <x:f>IF(AND(ISNUMBER(E121),E121&gt;0,ISNUMBER($B$97),$B$97&gt;=0,$B$97&lt;1,ISNUMBER($D$97),$D$97&gt;=0,$D$97&lt;=1,ISNUMBER(F121),F121&gt;=0,F121&lt;=1,ISNUMBER(J121),J121&gt;=0,J121&lt;=1),D121/E121*1000,NA())</x:f>
        <x:v>0</x:v>
      </x:c>
      <x:c r="H121" s="34" t="n">
        <x:f>G121+I121</x:f>
        <x:v>0</x:v>
      </x:c>
      <x:c r="I121" s="34" t="n">
        <x:f>G121*F121*$D$97*$B$97/(1-$B$97)</x:f>
        <x:v>0</x:v>
      </x:c>
      <x:c r="J121" s="59" t="n">
        <x:v>1</x:v>
      </x:c>
      <x:c r="K121" s="34" t="n">
        <x:f>I121*J121</x:f>
        <x:v>0</x:v>
      </x:c>
      <x:c r="L121" s="30" t="str">
        <x:v>原通信行 83</x:v>
      </x:c>
    </x:row>
    <x:row r="122" ht="15" customHeight="1">
      <x:c r="A122" s="30" t="str">
        <x:v>DCP</x:v>
      </x:c>
      <x:c r="B122" s="30" t="str">
        <x:v>Attention</x:v>
      </x:c>
      <x:c r="C122" s="30" t="str">
        <x:v>Attention 输出</x:v>
      </x:c>
      <x:c r="D122" s="34" t="n">
        <x:f>(K84*2^20)/1e9</x:f>
        <x:v>0</x:v>
      </x:c>
      <x:c r="E122" s="64" t="n">
        <x:f>$H$97</x:f>
        <x:v>100</x:v>
      </x:c>
      <x:c r="F122" s="59" t="n">
        <x:v>1</x:v>
      </x:c>
      <x:c r="G122" s="34" t="n">
        <x:f>IF(AND(ISNUMBER(E122),E122&gt;0,ISNUMBER($B$97),$B$97&gt;=0,$B$97&lt;1,ISNUMBER($D$97),$D$97&gt;=0,$D$97&lt;=1,ISNUMBER(F122),F122&gt;=0,F122&lt;=1,ISNUMBER(J122),J122&gt;=0,J122&lt;=1),D122/E122*1000,NA())</x:f>
        <x:v>0</x:v>
      </x:c>
      <x:c r="H122" s="34" t="n">
        <x:f>G122+I122</x:f>
        <x:v>0</x:v>
      </x:c>
      <x:c r="I122" s="34" t="n">
        <x:f>G122*F122*$D$97*$B$97/(1-$B$97)</x:f>
        <x:v>0</x:v>
      </x:c>
      <x:c r="J122" s="59" t="n">
        <x:v>1</x:v>
      </x:c>
      <x:c r="K122" s="34" t="n">
        <x:f>I122*J122</x:f>
        <x:v>0</x:v>
      </x:c>
      <x:c r="L122" s="30" t="str">
        <x:v>原通信行 84</x:v>
      </x:c>
    </x:row>
    <x:row r="123" ht="15" customHeight="1">
      <x:c r="A123" s="30" t="str">
        <x:v>SP</x:v>
      </x:c>
      <x:c r="B123" s="30" t="str">
        <x:v>Model Output</x:v>
      </x:c>
      <x:c r="C123" s="30" t="str">
        <x:v>Final Norm 后</x:v>
      </x:c>
      <x:c r="D123" s="34" t="n">
        <x:f>(K85*2^20)/1e9</x:f>
        <x:v>0.012845056</x:v>
      </x:c>
      <x:c r="E123" s="64" t="n">
        <x:f>$H$97</x:f>
        <x:v>100</x:v>
      </x:c>
      <x:c r="F123" s="59" t="n">
        <x:v>1</x:v>
      </x:c>
      <x:c r="G123" s="34" t="n">
        <x:f>IF(AND(ISNUMBER(E123),E123&gt;0,ISNUMBER($B$97),$B$97&gt;=0,$B$97&lt;1,ISNUMBER($D$97),$D$97&gt;=0,$D$97&lt;=1,ISNUMBER(F123),F123&gt;=0,F123&lt;=1,ISNUMBER(J123),J123&gt;=0,J123&lt;=1),D123/E123*1000,NA())</x:f>
        <x:v>0.12845056000000002</x:v>
      </x:c>
      <x:c r="H123" s="34" t="n">
        <x:f>G123+I123</x:f>
        <x:v>0.14272284444444447</x:v>
      </x:c>
      <x:c r="I123" s="34" t="n">
        <x:f>G123*F123*$D$97*$B$97/(1-$B$97)</x:f>
        <x:v>0.014272284444444446</x:v>
      </x:c>
      <x:c r="J123" s="59" t="n">
        <x:v>1</x:v>
      </x:c>
      <x:c r="K123" s="34" t="n">
        <x:f>I123*J123</x:f>
        <x:v>0.014272284444444446</x:v>
      </x:c>
      <x:c r="L123" s="30" t="str">
        <x:v>原通信行 85</x:v>
      </x:c>
    </x:row>
    <x:row r="124" ht="15" customHeight="1">
      <x:c r="A124" s="30" t="str">
        <x:v>LM Head TP</x:v>
      </x:c>
      <x:c r="B124" s="30" t="str">
        <x:v>LM Head</x:v>
      </x:c>
      <x:c r="C124" s="30" t="str">
        <x:v>完整 Logits</x:v>
      </x:c>
      <x:c r="D124" s="34" t="n">
        <x:f>(K86*2^20)/1e9</x:f>
        <x:v>0</x:v>
      </x:c>
      <x:c r="E124" s="64" t="n">
        <x:f>$H$97</x:f>
        <x:v>100</x:v>
      </x:c>
      <x:c r="F124" s="59" t="n">
        <x:v>1</x:v>
      </x:c>
      <x:c r="G124" s="34" t="n">
        <x:f>IF(AND(ISNUMBER(E124),E124&gt;0,ISNUMBER($B$97),$B$97&gt;=0,$B$97&lt;1,ISNUMBER($D$97),$D$97&gt;=0,$D$97&lt;=1,ISNUMBER(F124),F124&gt;=0,F124&lt;=1,ISNUMBER(J124),J124&gt;=0,J124&lt;=1),D124/E124*1000,NA())</x:f>
        <x:v>0</x:v>
      </x:c>
      <x:c r="H124" s="34" t="n">
        <x:f>G124+I124</x:f>
        <x:v>0</x:v>
      </x:c>
      <x:c r="I124" s="34" t="n">
        <x:f>G124*F124*$D$97*$B$97/(1-$B$97)</x:f>
        <x:v>0</x:v>
      </x:c>
      <x:c r="J124" s="59" t="n">
        <x:v>1</x:v>
      </x:c>
      <x:c r="K124" s="34" t="n">
        <x:f>I124*J124</x:f>
        <x:v>0</x:v>
      </x:c>
      <x:c r="L124" s="30" t="str">
        <x:v>原通信行 86</x:v>
      </x:c>
    </x:row>
    <x:row r="125" ht="15" customHeight="1">
      <x:c r="A125" s="30" t="str">
        <x:v>LM Head TP</x:v>
      </x:c>
      <x:c r="B125" s="30" t="str">
        <x:v>LM Head</x:v>
      </x:c>
      <x:c r="C125" s="30" t="str">
        <x:v>Reduce Sample</x:v>
      </x:c>
      <x:c r="D125" s="34" t="n">
        <x:f>(K87*2^20)/1e9</x:f>
        <x:v>0.011010048</x:v>
      </x:c>
      <x:c r="E125" s="64" t="n">
        <x:f>$H$97</x:f>
        <x:v>100</x:v>
      </x:c>
      <x:c r="F125" s="59" t="n">
        <x:v>1</x:v>
      </x:c>
      <x:c r="G125" s="34" t="n">
        <x:f>IF(AND(ISNUMBER(E125),E125&gt;0,ISNUMBER($B$97),$B$97&gt;=0,$B$97&lt;1,ISNUMBER($D$97),$D$97&gt;=0,$D$97&lt;=1,ISNUMBER(F125),F125&gt;=0,F125&lt;=1,ISNUMBER(J125),J125&gt;=0,J125&lt;=1),D125/E125*1000,NA())</x:f>
        <x:v>0.11010048</x:v>
      </x:c>
      <x:c r="H125" s="34" t="n">
        <x:f>G125+I125</x:f>
        <x:v>0.12233386666666667</x:v>
      </x:c>
      <x:c r="I125" s="34" t="n">
        <x:f>G125*F125*$D$97*$B$97/(1-$B$97)</x:f>
        <x:v>0.012233386666666669</x:v>
      </x:c>
      <x:c r="J125" s="59" t="n">
        <x:v>1</x:v>
      </x:c>
      <x:c r="K125" s="34" t="n">
        <x:f>I125*J125</x:f>
        <x:v>0.012233386666666669</x:v>
      </x:c>
      <x:c r="L125" s="30" t="str">
        <x:v>原通信行 87</x:v>
      </x:c>
    </x:row>
    <x:row r="126" ht="15" customHeight="1">
      <x:c r="A126" s="30" t="str">
        <x:v>Fine LM Head TP</x:v>
      </x:c>
      <x:c r="B126" s="30" t="str">
        <x:v>LM Head</x:v>
      </x:c>
      <x:c r="C126" s="30" t="str">
        <x:v>Hidden 输入</x:v>
      </x:c>
      <x:c r="D126" s="34" t="n">
        <x:f>(K88*2^20)/1e9</x:f>
        <x:v>0</x:v>
      </x:c>
      <x:c r="E126" s="64" t="n">
        <x:f>$H$97</x:f>
        <x:v>100</x:v>
      </x:c>
      <x:c r="F126" s="59" t="n">
        <x:v>1</x:v>
      </x:c>
      <x:c r="G126" s="34" t="n">
        <x:f>IF(AND(ISNUMBER(E126),E126&gt;0,ISNUMBER($B$97),$B$97&gt;=0,$B$97&lt;1,ISNUMBER($D$97),$D$97&gt;=0,$D$97&lt;=1,ISNUMBER(F126),F126&gt;=0,F126&lt;=1,ISNUMBER(J126),J126&gt;=0,J126&lt;=1),D126/E126*1000,NA())</x:f>
        <x:v>0</x:v>
      </x:c>
      <x:c r="H126" s="34" t="n">
        <x:f>G126+I126</x:f>
        <x:v>0</x:v>
      </x:c>
      <x:c r="I126" s="34" t="n">
        <x:f>G126*F126*$D$97*$B$97/(1-$B$97)</x:f>
        <x:v>0</x:v>
      </x:c>
      <x:c r="J126" s="59" t="n">
        <x:v>1</x:v>
      </x:c>
      <x:c r="K126" s="34" t="n">
        <x:f>I126*J126</x:f>
        <x:v>0</x:v>
      </x:c>
      <x:c r="L126" s="30" t="str">
        <x:v>原通信行 88</x:v>
      </x:c>
    </x:row>
    <x:row r="127" ht="15" customHeight="1">
      <x:c r="A127" s="30" t="str">
        <x:v>Fine LM Head TP</x:v>
      </x:c>
      <x:c r="B127" s="30" t="str">
        <x:v>LM Head</x:v>
      </x:c>
      <x:c r="C127" s="30" t="str">
        <x:v>完整 Logits</x:v>
      </x:c>
      <x:c r="D127" s="34" t="n">
        <x:f>(K89*2^20)/1e9</x:f>
        <x:v>0</x:v>
      </x:c>
      <x:c r="E127" s="64" t="n">
        <x:f>$H$97</x:f>
        <x:v>100</x:v>
      </x:c>
      <x:c r="F127" s="59" t="n">
        <x:v>1</x:v>
      </x:c>
      <x:c r="G127" s="34" t="n">
        <x:f>IF(AND(ISNUMBER(E127),E127&gt;0,ISNUMBER($B$97),$B$97&gt;=0,$B$97&lt;1,ISNUMBER($D$97),$D$97&gt;=0,$D$97&lt;=1,ISNUMBER(F127),F127&gt;=0,F127&lt;=1,ISNUMBER(J127),J127&gt;=0,J127&lt;=1),D127/E127*1000,NA())</x:f>
        <x:v>0</x:v>
      </x:c>
      <x:c r="H127" s="34" t="n">
        <x:f>G127+I127</x:f>
        <x:v>0</x:v>
      </x:c>
      <x:c r="I127" s="34" t="n">
        <x:f>G127*F127*$D$97*$B$97/(1-$B$97)</x:f>
        <x:v>0</x:v>
      </x:c>
      <x:c r="J127" s="59" t="n">
        <x:v>1</x:v>
      </x:c>
      <x:c r="K127" s="34" t="n">
        <x:f>I127*J127</x:f>
        <x:v>0</x:v>
      </x:c>
      <x:c r="L127" s="30" t="str">
        <x:v>原通信行 89</x:v>
      </x:c>
    </x:row>
    <x:row r="128" ht="15" customHeight="1">
      <x:c r="A128" s="30" t="str">
        <x:v>Fine LM Head TP</x:v>
      </x:c>
      <x:c r="B128" s="30" t="str">
        <x:v>LM Head</x:v>
      </x:c>
      <x:c r="C128" s="30" t="str">
        <x:v>Reduce Sample</x:v>
      </x:c>
      <x:c r="D128" s="34" t="n">
        <x:f>(K90*2^20)/1e9</x:f>
        <x:v>0</x:v>
      </x:c>
      <x:c r="E128" s="64" t="n">
        <x:f>$H$97</x:f>
        <x:v>100</x:v>
      </x:c>
      <x:c r="F128" s="59" t="n">
        <x:v>1</x:v>
      </x:c>
      <x:c r="G128" s="34" t="n">
        <x:f>IF(AND(ISNUMBER(E128),E128&gt;0,ISNUMBER($B$97),$B$97&gt;=0,$B$97&lt;1,ISNUMBER($D$97),$D$97&gt;=0,$D$97&lt;=1,ISNUMBER(F128),F128&gt;=0,F128&lt;=1,ISNUMBER(J128),J128&gt;=0,J128&lt;=1),D128/E128*1000,NA())</x:f>
        <x:v>0</x:v>
      </x:c>
      <x:c r="H128" s="34" t="n">
        <x:f>G128+I128</x:f>
        <x:v>0</x:v>
      </x:c>
      <x:c r="I128" s="34" t="n">
        <x:f>G128*F128*$D$97*$B$97/(1-$B$97)</x:f>
        <x:v>0</x:v>
      </x:c>
      <x:c r="J128" s="59" t="n">
        <x:v>1</x:v>
      </x:c>
      <x:c r="K128" s="34" t="n">
        <x:f>I128*J128</x:f>
        <x:v>0</x:v>
      </x:c>
      <x:c r="L128" s="30" t="str">
        <x:v>原通信行 90</x:v>
      </x:c>
    </x:row>
    <x:row r="129" ht="15" customHeight="1">
      <x:c r="A129" s="30" t="str">
        <x:v>EP</x:v>
      </x:c>
      <x:c r="B129" s="30" t="str">
        <x:v>MoE 计数</x:v>
      </x:c>
      <x:c r="C129" s="30" t="str">
        <x:v>MC2 count 写入</x:v>
      </x:c>
      <x:c r="D129" s="34" t="n">
        <x:f>(IF(E74=0,0,H74*ROUNDUP(896/G74,0)*(G74-1)*32))/1e9</x:f>
        <x:v>0.002308096</x:v>
      </x:c>
      <x:c r="E129" s="64" t="n">
        <x:f>$H$97</x:f>
        <x:v>100</x:v>
      </x:c>
      <x:c r="F129" s="59" t="n">
        <x:v>1</x:v>
      </x:c>
      <x:c r="G129" s="34" t="n">
        <x:f>IF(AND(ISNUMBER(E129),E129&gt;0,ISNUMBER($B$97),$B$97&gt;=0,$B$97&lt;1,ISNUMBER($D$97),$D$97&gt;=0,$D$97&lt;=1,ISNUMBER(F129),F129&gt;=0,F129&lt;=1,ISNUMBER(J129),J129&gt;=0,J129&lt;=1),D129/E129*1000,NA())</x:f>
        <x:v>0.023080959999999998</x:v>
      </x:c>
      <x:c r="H129" s="34" t="n">
        <x:f>G129+I129</x:f>
        <x:v>0.02564551111111111</x:v>
      </x:c>
      <x:c r="I129" s="34" t="n">
        <x:f>G129*F129*$D$97*$B$97/(1-$B$97)</x:f>
        <x:v>0.002564551111111111</x:v>
      </x:c>
      <x:c r="J129" s="59" t="n">
        <x:v>1</x:v>
      </x:c>
      <x:c r="K129" s="34" t="n">
        <x:f>I129*J129</x:f>
        <x:v>0.002564551111111111</x:v>
      </x:c>
      <x:c r="L129" s="30" t="str">
        <x:v>额外控制量</x:v>
      </x:c>
    </x:row>
    <x:row r="130" ht="15" customHeight="1">
      <x:c r="A130" s="40" t="str">
        <x:v>所列事件串行相加</x:v>
      </x:c>
      <x:c r="B130" s="40"/>
      <x:c r="C130" s="40"/>
      <x:c r="D130" s="41" t="n">
        <x:f>SUM(D103:D129)</x:f>
        <x:v>9.708812287999999</x:v>
      </x:c>
      <x:c r="E130" s="40"/>
      <x:c r="F130" s="40"/>
      <x:c r="G130" s="41" t="n">
        <x:f>SUM(G103:G129)</x:f>
        <x:v>97.08812288</x:v>
      </x:c>
      <x:c r="H130" s="41" t="n">
        <x:f>SUM(H103:H129)</x:f>
        <x:v>107.87569208888888</x:v>
      </x:c>
      <x:c r="I130" s="41" t="n">
        <x:f>SUM(I103:I129)</x:f>
        <x:v>10.787569208888891</x:v>
      </x:c>
      <x:c r="J130" s="40"/>
      <x:c r="K130" s="41" t="n">
        <x:f>SUM(K103:K129)</x:f>
        <x:v>10.787569208888891</x:v>
      </x:c>
      <x:c r="L130" s="40"/>
    </x:row>
  </x:sheetData>
  <x:conditionalFormatting sqref="L99:L99">
    <x:cfRule type="containsText" dxfId="1" priority="1" operator="containsText" text="不一致"/>
  </x:conditionalFormatting>
  <x:pageMargins left="0.7" right="0.7" top="0.75" bottom="0.75" header="0.3" footer="0.3"/>
</x:worksheet>
</file>