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ebc03bf8d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664a75646e524fc9"/>
    <x:sheet xmlns:r="http://schemas.openxmlformats.org/officeDocument/2006/relationships" name="Decode" sheetId="2" r:id="R514238e05ae44d85"/>
    <x:sheet xmlns:r="http://schemas.openxmlformats.org/officeDocument/2006/relationships" name="分钟场景" sheetId="3" r:id="R2f27702405a9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0.##"/>
    <x:numFmt numFmtId="201" formatCode="0.0000"/>
    <x:numFmt numFmtId="202" formatCode="#,##0.####"/>
    <x:numFmt numFmtId="203" formatCode="0.000000"/>
    <x:numFmt numFmtId="204" formatCode="0.0%"/>
    <x:numFmt numFmtId="205" formatCode="0.000"/>
    <x:numFmt numFmtId="206" formatCode="0.00%"/>
    <x:numFmt numFmtId="207" formatCode="0%"/>
    <x:numFmt numFmtId="208" formatCode="#,##0"/>
    <x:numFmt numFmtId="209" formatCode="#,##0.00"/>
    <x:numFmt numFmtId="210" formatCode="#,##0.000"/>
    <x:numFmt numFmtId="211" formatCode="#,##0.000000"/>
    <x:numFmt numFmtId="212" formatCode="0.000000%"/>
    <x:numFmt numFmtId="213" formatCode="0.00000000%"/>
    <x:numFmt numFmtId="214" formatCode="[=0]0.000000%;[&lt;0.00000001]&quot;&lt;0.000001%&quot;;0.000000%"/>
  </x:numFmts>
  <x:fonts count="7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8EEF5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D9E1F2"/>
      </x:patternFill>
    </x:fill>
    <x:fill>
      <x:patternFill patternType="solid">
        <x:fgColor rgb="FFD9E2F3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201" fontId="3" fillId="4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/>
    </x:xf>
    <x:xf numFmtId="204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3" fontId="3" fillId="6" borderId="0" xfId="0" applyNumberFormat="1" applyFont="1" applyFill="1" applyBorder="1" applyAlignment="1">
      <x:alignment vertical="center"/>
    </x:xf>
    <x:xf numFmtId="207" fontId="3" fillId="6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203" fontId="3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4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7" fontId="3" fillId="3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204" fontId="3" fillId="3" borderId="2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208" fontId="3" fillId="9" borderId="0" xfId="0" applyNumberFormat="1" applyFont="1" applyFill="1" applyBorder="1" applyAlignment="1">
      <x:alignment vertical="center"/>
    </x:xf>
    <x:xf numFmtId="209" fontId="3" fillId="9" borderId="0" xfId="0" applyNumberFormat="1" applyFont="1" applyFill="1" applyBorder="1" applyAlignment="1">
      <x:alignment vertical="center"/>
    </x:xf>
    <x:xf numFmtId="204" fontId="3" fillId="9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208" fontId="3" fillId="0" borderId="0" xfId="0" applyNumberFormat="1" applyFont="1" applyFill="1" applyBorder="1" applyAlignment="1">
      <x:alignment vertical="center"/>
    </x:xf>
    <x:xf numFmtId="210" fontId="3" fillId="0" borderId="0" xfId="0" applyNumberFormat="1" applyFont="1" applyFill="1" applyBorder="1" applyAlignment="1">
      <x:alignment vertical="center"/>
    </x:xf>
    <x:xf numFmtId="211" fontId="3" fillId="0" borderId="0" xfId="0" applyNumberFormat="1" applyFont="1" applyFill="1" applyBorder="1" applyAlignment="1">
      <x:alignment vertical="center"/>
    </x:xf>
    <x:xf numFmtId="212" fontId="3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9" fontId="3" fillId="0" borderId="0" xfId="0" applyNumberFormat="1" applyFont="1" applyFill="1" applyBorder="1" applyAlignment="1">
      <x:alignment vertical="center"/>
    </x:xf>
    <x:xf numFmtId="209" fontId="3" fillId="11" borderId="0" xfId="0" applyNumberFormat="1" applyFont="1" applyFill="1" applyBorder="1" applyAlignment="1">
      <x:alignment vertical="center"/>
    </x:xf>
    <x:xf numFmtId="209" fontId="3" fillId="11" borderId="2" xfId="0" applyNumberFormat="1" applyFont="1" applyFill="1" applyBorder="1" applyAlignment="1">
      <x:alignment vertical="center"/>
    </x:xf>
    <x:xf numFmtId="204" fontId="3" fillId="11" borderId="0" xfId="0" applyNumberFormat="1" applyFont="1" applyFill="1" applyBorder="1" applyAlignment="1">
      <x:alignment vertical="center"/>
    </x:xf>
    <x:xf numFmtId="204" fontId="3" fillId="11" borderId="2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5" fillId="12" borderId="1" xfId="0" applyNumberFormat="1" applyFont="1" applyFill="1" applyBorder="1" applyAlignment="1">
      <x:alignment vertical="center"/>
    </x:xf>
    <x:xf numFmtId="0" fontId="5" fillId="12" borderId="1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horizontal="center" wrapText="1"/>
    </x:xf>
    <x:xf numFmtId="209" fontId="6" fillId="11" borderId="2" xfId="0" applyNumberFormat="1" applyFont="1" applyFill="1" applyBorder="1" applyAlignment="1">
      <x:alignment vertical="center"/>
    </x:xf>
    <x:xf numFmtId="204" fontId="6" fillId="11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3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 wrapText="0"/>
    </x:xf>
    <x:xf numFmtId="0" fontId="3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" fillId="13" borderId="1" xfId="0" applyNumberFormat="1" applyFont="1" applyFill="1" applyBorder="1" applyAlignment="1">
      <x:alignment vertical="center"/>
    </x:xf>
    <x:xf numFmtId="0" fontId="1" fillId="13" borderId="1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horizontal="center" vertical="center" wrapText="1"/>
    </x:xf>
    <x:xf numFmtId="213" fontId="3" fillId="0" borderId="0" xfId="0" applyNumberFormat="1" applyFont="1" applyFill="1" applyBorder="1" applyAlignment="1">
      <x:alignment vertical="center"/>
    </x:xf>
    <x:xf numFmtId="0" fontId="1" fillId="14" borderId="1" xfId="0" applyNumberFormat="1" applyFont="1" applyFill="1" applyBorder="1" applyAlignment="1">
      <x:alignment horizontal="center" vertical="center" wrapText="1"/>
    </x:xf>
    <x:xf numFmtId="214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671a235b04220" /><Relationship Type="http://schemas.openxmlformats.org/officeDocument/2006/relationships/theme" Target="/xl/theme/theme1.xml" Id="R216951c04bcf44d4" /><Relationship Type="http://schemas.openxmlformats.org/officeDocument/2006/relationships/sharedStrings" Target="/xl/sharedStrings.xml" Id="Rf0adc328b0b74d2a" /><Relationship Type="http://schemas.openxmlformats.org/officeDocument/2006/relationships/worksheet" Target="/xl/worksheets/sheet1.xml" Id="R664a75646e524fc9" /><Relationship Type="http://schemas.openxmlformats.org/officeDocument/2006/relationships/worksheet" Target="/xl/worksheets/sheet2.xml" Id="R514238e05ae44d85" /><Relationship Type="http://schemas.openxmlformats.org/officeDocument/2006/relationships/worksheet" Target="/xl/worksheets/sheet3.xml" Id="R2f27702405a9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[163840, 7168]</x:v>
      </x:c>
      <x:c r="D2" s="30" t="str">
        <x:v>BF16</x:v>
      </x:c>
      <x:c r="E2" s="32" t="n">
        <x:v>2</x:v>
      </x:c>
      <x:c r="F2" s="33" t="n">
        <x:v>1</x:v>
      </x:c>
      <x:c r="G2" s="33" t="n">
        <x:v>1174405120</x:v>
      </x:c>
      <x:c r="H2" s="33" t="str">
        <x:v>Embedding TP</x:v>
      </x:c>
      <x:c r="I2" s="33" t="n">
        <x:f>IF('Prefill'!$P$21&gt;0,'Prefill'!$P$21,'Prefill'!$P$12)</x:f>
        <x:v>8</x:v>
      </x:c>
      <x:c r="J2" s="34" t="n">
        <x:f>E2*F2*G2/1073741824</x:f>
        <x:v>2.1875</x:v>
      </x:c>
      <x:c r="K2" s="34" t="n">
        <x:f>J2/I2</x:f>
        <x:v>0.2734375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[163840, 7168]</x:v>
      </x:c>
      <x:c r="D3" s="30" t="str">
        <x:v>BF16</x:v>
      </x:c>
      <x:c r="E3" s="32" t="n">
        <x:v>2</x:v>
      </x:c>
      <x:c r="F3" s="33" t="n">
        <x:v>1</x:v>
      </x:c>
      <x:c r="G3" s="33" t="n">
        <x:v>1174405120</x:v>
      </x:c>
      <x:c r="H3" s="33" t="str">
        <x:v>LM Head TP</x:v>
      </x:c>
      <x:c r="I3" s="33" t="n">
        <x:f>IF('Prefill'!$P$20&gt;0,'Prefill'!$P$20,'Prefill'!$P$12)</x:f>
        <x:v>8</x:v>
      </x:c>
      <x:c r="J3" s="34" t="n">
        <x:f>E3*F3*G3/1073741824</x:f>
        <x:v>2.1875</x:v>
      </x:c>
      <x:c r="K3" s="34" t="n">
        <x:f>J3/I3</x:f>
        <x:v>0.2734375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[7168]</x:v>
      </x:c>
      <x:c r="D4" s="30" t="str">
        <x:v>BF16</x:v>
      </x:c>
      <x:c r="E4" s="32" t="n">
        <x:v>2</x:v>
      </x:c>
      <x:c r="F4" s="33" t="n">
        <x:v>1</x:v>
      </x:c>
      <x:c r="G4" s="33" t="n">
        <x:v>7168</x:v>
      </x:c>
      <x:c r="H4" s="33" t="str">
        <x:v>Replicated</x:v>
      </x:c>
      <x:c r="I4" s="33" t="n">
        <x:f>1</x:f>
        <x:v>1</x:v>
      </x:c>
      <x:c r="J4" s="34" t="n">
        <x:f>E4*F4*G4/1073741824</x:f>
        <x:v>0.0000133514404296875</x:v>
      </x:c>
      <x:c r="K4" s="34" t="n">
        <x:f>J4/I4</x:f>
        <x:v>0.0000133514404296875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[7168]</x:v>
      </x:c>
      <x:c r="D5" s="30" t="str">
        <x:v>BF16</x:v>
      </x:c>
      <x:c r="E5" s="32" t="n">
        <x:v>2</x:v>
      </x:c>
      <x:c r="F5" s="33" t="n">
        <x:v>93</x:v>
      </x:c>
      <x:c r="G5" s="33" t="n">
        <x:v>7168</x:v>
      </x:c>
      <x:c r="H5" s="33" t="str">
        <x:v>Replicated</x:v>
      </x:c>
      <x:c r="I5" s="33" t="n">
        <x:f>1</x:f>
        <x:v>1</x:v>
      </x:c>
      <x:c r="J5" s="34" t="n">
        <x:f>E5*F5*G5/1073741824</x:f>
        <x:v>0.0012416839599609375</x:v>
      </x:c>
      <x:c r="K5" s="34" t="n">
        <x:f>J5/I5</x:f>
        <x:v>0.0012416839599609375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[7168]</x:v>
      </x:c>
      <x:c r="D6" s="30" t="str">
        <x:v>BF16</x:v>
      </x:c>
      <x:c r="E6" s="32" t="n">
        <x:v>2</x:v>
      </x:c>
      <x:c r="F6" s="33" t="n">
        <x:v>93</x:v>
      </x:c>
      <x:c r="G6" s="33" t="n">
        <x:v>7168</x:v>
      </x:c>
      <x:c r="H6" s="33" t="str">
        <x:v>Replicated</x:v>
      </x:c>
      <x:c r="I6" s="33" t="n">
        <x:f>1</x:f>
        <x:v>1</x:v>
      </x:c>
      <x:c r="J6" s="34" t="n">
        <x:f>E6*F6*G6/1073741824</x:f>
        <x:v>0.0012416839599609375</x:v>
      </x:c>
      <x:c r="K6" s="34" t="n">
        <x:f>J6/I6</x:f>
        <x:v>0.0012416839599609375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Backbone</x:v>
      </x:c>
      <x:c r="B7" s="30" t="str">
        <x:v>self_attention_res_norm.weight</x:v>
      </x:c>
      <x:c r="C7" s="30" t="str">
        <x:v>[7168]</x:v>
      </x:c>
      <x:c r="D7" s="30" t="str">
        <x:v>BF16</x:v>
      </x:c>
      <x:c r="E7" s="32" t="n">
        <x:v>2</x:v>
      </x:c>
      <x:c r="F7" s="33" t="n">
        <x:v>93</x:v>
      </x:c>
      <x:c r="G7" s="33" t="n">
        <x:v>7168</x:v>
      </x:c>
      <x:c r="H7" s="33" t="str">
        <x:v>Replicated</x:v>
      </x:c>
      <x:c r="I7" s="33" t="n">
        <x:f>1</x:f>
        <x:v>1</x:v>
      </x:c>
      <x:c r="J7" s="34" t="n">
        <x:f>E7*F7*G7/1073741824</x:f>
        <x:v>0.0012416839599609375</x:v>
      </x:c>
      <x:c r="K7" s="34" t="n">
        <x:f>J7/I7</x:f>
        <x:v>0.0012416839599609375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Backbone</x:v>
      </x:c>
      <x:c r="B8" s="30" t="str">
        <x:v>self_attention_res_proj.weight</x:v>
      </x:c>
      <x:c r="C8" s="30" t="str">
        <x:v>[1, 7168]</x:v>
      </x:c>
      <x:c r="D8" s="30" t="str">
        <x:v>BF16</x:v>
      </x:c>
      <x:c r="E8" s="32" t="n">
        <x:v>2</x:v>
      </x:c>
      <x:c r="F8" s="33" t="n">
        <x:v>93</x:v>
      </x:c>
      <x:c r="G8" s="33" t="n">
        <x:v>7168</x:v>
      </x:c>
      <x:c r="H8" s="33" t="str">
        <x:v>Replicated</x:v>
      </x:c>
      <x:c r="I8" s="33" t="n">
        <x:f>1</x:f>
        <x:v>1</x:v>
      </x:c>
      <x:c r="J8" s="34" t="n">
        <x:f>E8*F8*G8/1073741824</x:f>
        <x:v>0.0012416839599609375</x:v>
      </x:c>
      <x:c r="K8" s="34" t="n">
        <x:f>J8/I8</x:f>
        <x:v>0.0012416839599609375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Backbone</x:v>
      </x:c>
      <x:c r="B9" s="30" t="str">
        <x:v>mlp_res_norm.weight</x:v>
      </x:c>
      <x:c r="C9" s="30" t="str">
        <x:v>[7168]</x:v>
      </x:c>
      <x:c r="D9" s="30" t="str">
        <x:v>BF16</x:v>
      </x:c>
      <x:c r="E9" s="32" t="n">
        <x:v>2</x:v>
      </x:c>
      <x:c r="F9" s="33" t="n">
        <x:v>93</x:v>
      </x:c>
      <x:c r="G9" s="33" t="n">
        <x:v>7168</x:v>
      </x:c>
      <x:c r="H9" s="33" t="str">
        <x:v>Replicated</x:v>
      </x:c>
      <x:c r="I9" s="33" t="n">
        <x:f>1</x:f>
        <x:v>1</x:v>
      </x:c>
      <x:c r="J9" s="34" t="n">
        <x:f>E9*F9*G9/1073741824</x:f>
        <x:v>0.0012416839599609375</x:v>
      </x:c>
      <x:c r="K9" s="34" t="n">
        <x:f>J9/I9</x:f>
        <x:v>0.0012416839599609375</x:v>
      </x:c>
      <x:c r="L9" s="30"/>
      <x:c r="M9" s="30"/>
      <x:c r="N9" s="30"/>
      <x:c r="O9" s="30"/>
      <x:c r="P9" s="30"/>
    </x:row>
    <x:row r="10">
      <x:c r="A10" s="30" t="str">
        <x:v>Backbone</x:v>
      </x:c>
      <x:c r="B10" s="30" t="str">
        <x:v>mlp_res_proj.weight</x:v>
      </x:c>
      <x:c r="C10" s="30" t="str">
        <x:v>[1, 7168]</x:v>
      </x:c>
      <x:c r="D10" s="30" t="str">
        <x:v>BF16</x:v>
      </x:c>
      <x:c r="E10" s="32" t="n">
        <x:v>2</x:v>
      </x:c>
      <x:c r="F10" s="33" t="n">
        <x:v>93</x:v>
      </x:c>
      <x:c r="G10" s="33" t="n">
        <x:v>7168</x:v>
      </x:c>
      <x:c r="H10" s="33" t="str">
        <x:v>Replicated</x:v>
      </x:c>
      <x:c r="I10" s="33" t="n">
        <x:f>1</x:f>
        <x:v>1</x:v>
      </x:c>
      <x:c r="J10" s="34" t="n">
        <x:f>E10*F10*G10/1073741824</x:f>
        <x:v>0.0012416839599609375</x:v>
      </x:c>
      <x:c r="K10" s="34" t="n">
        <x:f>J10/I10</x:f>
        <x:v>0.0012416839599609375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Backbone</x:v>
      </x:c>
      <x:c r="B11" s="30" t="str">
        <x:v>output_attn_res_norm.weight</x:v>
      </x:c>
      <x:c r="C11" s="30" t="str">
        <x:v>[7168]</x:v>
      </x:c>
      <x:c r="D11" s="30" t="str">
        <x:v>BF16</x:v>
      </x:c>
      <x:c r="E11" s="32" t="n">
        <x:v>2</x:v>
      </x:c>
      <x:c r="F11" s="33" t="n">
        <x:v>1</x:v>
      </x:c>
      <x:c r="G11" s="33" t="n">
        <x:v>7168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0.0000133514404296875</x:v>
      </x:c>
      <x:c r="K11" s="34" t="n">
        <x:f>J11/I11</x:f>
        <x:v>0.0000133514404296875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Backbone</x:v>
      </x:c>
      <x:c r="B12" s="30" t="str">
        <x:v>output_attn_res_proj.weight</x:v>
      </x:c>
      <x:c r="C12" s="30" t="str">
        <x:v>[1, 7168]</x:v>
      </x:c>
      <x:c r="D12" s="30" t="str">
        <x:v>BF16</x:v>
      </x:c>
      <x:c r="E12" s="32" t="n">
        <x:v>2</x:v>
      </x:c>
      <x:c r="F12" s="33" t="n">
        <x:v>1</x:v>
      </x:c>
      <x:c r="G12" s="33" t="n">
        <x:v>7168</x:v>
      </x:c>
      <x:c r="H12" s="33" t="str">
        <x:v>Replicated</x:v>
      </x:c>
      <x:c r="I12" s="33" t="n">
        <x:f>1</x:f>
        <x:v>1</x:v>
      </x:c>
      <x:c r="J12" s="34" t="n">
        <x:f>E12*F12*G12/1073741824</x:f>
        <x:v>0.0000133514404296875</x:v>
      </x:c>
      <x:c r="K12" s="34" t="n">
        <x:f>J12/I12</x:f>
        <x:v>0.0000133514404296875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Dense MLP</x:v>
      </x:c>
      <x:c r="B13" s="30" t="str">
        <x:v>mlp.gate_proj.weight</x:v>
      </x:c>
      <x:c r="C13" s="30" t="str">
        <x:v>[33792, 7168]</x:v>
      </x:c>
      <x:c r="D13" s="30" t="str">
        <x:v>BF16</x:v>
      </x:c>
      <x:c r="E13" s="32" t="n">
        <x:v>2</x:v>
      </x:c>
      <x:c r="F13" s="33" t="n">
        <x:v>1</x:v>
      </x:c>
      <x:c r="G13" s="33" t="n">
        <x:v>242221056</x:v>
      </x:c>
      <x:c r="H13" s="33" t="str">
        <x:v>TP</x:v>
      </x:c>
      <x:c r="I13" s="33" t="n">
        <x:f>'Prefill'!$P$12</x:f>
        <x:v>8</x:v>
      </x:c>
      <x:c r="J13" s="34" t="n">
        <x:f>E13*F13*G13/1073741824</x:f>
        <x:v>0.451171875</x:v>
      </x:c>
      <x:c r="K13" s="34" t="n">
        <x:f>J13/I13</x:f>
        <x:v>0.056396484375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Dense MLP</x:v>
      </x:c>
      <x:c r="B14" s="30" t="str">
        <x:v>mlp.up_proj.weight</x:v>
      </x:c>
      <x:c r="C14" s="30" t="str">
        <x:v>[33792, 7168]</x:v>
      </x:c>
      <x:c r="D14" s="30" t="str">
        <x:v>BF16</x:v>
      </x:c>
      <x:c r="E14" s="32" t="n">
        <x:v>2</x:v>
      </x:c>
      <x:c r="F14" s="33" t="n">
        <x:v>1</x:v>
      </x:c>
      <x:c r="G14" s="33" t="n">
        <x:v>242221056</x:v>
      </x:c>
      <x:c r="H14" s="33" t="str">
        <x:v>TP</x:v>
      </x:c>
      <x:c r="I14" s="33" t="n">
        <x:f>'Prefill'!$P$12</x:f>
        <x:v>8</x:v>
      </x:c>
      <x:c r="J14" s="34" t="n">
        <x:f>E14*F14*G14/1073741824</x:f>
        <x:v>0.451171875</x:v>
      </x:c>
      <x:c r="K14" s="34" t="n">
        <x:f>J14/I14</x:f>
        <x:v>0.056396484375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Dense MLP</x:v>
      </x:c>
      <x:c r="B15" s="30" t="str">
        <x:v>mlp.down_proj.weight</x:v>
      </x:c>
      <x:c r="C15" s="30" t="str">
        <x:v>[7168, 33792]</x:v>
      </x:c>
      <x:c r="D15" s="30" t="str">
        <x:v>BF16</x:v>
      </x:c>
      <x:c r="E15" s="32" t="n">
        <x:v>2</x:v>
      </x:c>
      <x:c r="F15" s="33" t="n">
        <x:v>1</x:v>
      </x:c>
      <x:c r="G15" s="33" t="n">
        <x:v>242221056</x:v>
      </x:c>
      <x:c r="H15" s="33" t="str">
        <x:v>TP</x:v>
      </x:c>
      <x:c r="I15" s="33" t="n">
        <x:f>'Prefill'!$P$12</x:f>
        <x:v>8</x:v>
      </x:c>
      <x:c r="J15" s="34" t="n">
        <x:f>E15*F15*G15/1073741824</x:f>
        <x:v>0.451171875</x:v>
      </x:c>
      <x:c r="K15" s="34" t="n">
        <x:f>J15/I15</x:f>
        <x:v>0.056396484375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MoE Router</x:v>
      </x:c>
      <x:c r="B16" s="30" t="str">
        <x:v>block_sparse_moe.gate.weight</x:v>
      </x:c>
      <x:c r="C16" s="30" t="str">
        <x:v>[896, 7168]</x:v>
      </x:c>
      <x:c r="D16" s="30" t="str">
        <x:v>BF16</x:v>
      </x:c>
      <x:c r="E16" s="32" t="n">
        <x:v>2</x:v>
      </x:c>
      <x:c r="F16" s="33" t="n">
        <x:v>92</x:v>
      </x:c>
      <x:c r="G16" s="33" t="n">
        <x:v>6422528</x:v>
      </x:c>
      <x:c r="H16" s="33" t="str">
        <x:v>Replicated</x:v>
      </x:c>
      <x:c r="I16" s="33" t="n">
        <x:f>1</x:f>
        <x:v>1</x:v>
      </x:c>
      <x:c r="J16" s="34" t="n">
        <x:f>E16*F16*G16/1073741824</x:f>
        <x:v>1.1005859375</x:v>
      </x:c>
      <x:c r="K16" s="34" t="n">
        <x:f>J16/I16</x:f>
        <x:v>1.1005859375</x:v>
      </x:c>
      <x:c r="L16" s="30"/>
      <x:c r="M16" s="30"/>
      <x:c r="N16" s="30"/>
      <x:c r="O16" s="35"/>
      <x:c r="P16" s="35"/>
    </x:row>
    <x:row r="17">
      <x:c r="A17" s="30" t="str">
        <x:v>MoE Router</x:v>
      </x:c>
      <x:c r="B17" s="30" t="str">
        <x:v>block_sparse_moe.gate.e_score_correction_bias</x:v>
      </x:c>
      <x:c r="C17" s="30" t="str">
        <x:v>[896]</x:v>
      </x:c>
      <x:c r="D17" s="30" t="str">
        <x:v>F32</x:v>
      </x:c>
      <x:c r="E17" s="32" t="n">
        <x:v>4</x:v>
      </x:c>
      <x:c r="F17" s="33" t="n">
        <x:v>92</x:v>
      </x:c>
      <x:c r="G17" s="33" t="n">
        <x:v>896</x:v>
      </x:c>
      <x:c r="H17" s="33" t="str">
        <x:v>Replicated</x:v>
      </x:c>
      <x:c r="I17" s="33" t="n">
        <x:f>1</x:f>
        <x:v>1</x:v>
      </x:c>
      <x:c r="J17" s="34" t="n">
        <x:f>E17*F17*G17/1073741824</x:f>
        <x:v>0.0003070831298828125</x:v>
      </x:c>
      <x:c r="K17" s="34" t="n">
        <x:f>J17/I17</x:f>
        <x:v>0.0003070831298828125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Latent MoE</x:v>
      </x:c>
      <x:c r="B18" s="30" t="str">
        <x:v>routed_expert_up_proj.weight</x:v>
      </x:c>
      <x:c r="C18" s="30" t="str">
        <x:v>[7168, 3584]</x:v>
      </x:c>
      <x:c r="D18" s="30" t="str">
        <x:v>BF16</x:v>
      </x:c>
      <x:c r="E18" s="32" t="n">
        <x:v>2</x:v>
      </x:c>
      <x:c r="F18" s="33" t="n">
        <x:v>92</x:v>
      </x:c>
      <x:c r="G18" s="33" t="n">
        <x:v>25690112</x:v>
      </x:c>
      <x:c r="H18" s="33" t="str">
        <x:v>Replicated</x:v>
      </x:c>
      <x:c r="I18" s="33" t="n">
        <x:f>1</x:f>
        <x:v>1</x:v>
      </x:c>
      <x:c r="J18" s="34" t="n">
        <x:f>E18*F18*G18/1073741824</x:f>
        <x:v>4.40234375</x:v>
      </x:c>
      <x:c r="K18" s="34" t="n">
        <x:f>J18/I18</x:f>
        <x:v>4.40234375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Latent MoE</x:v>
      </x:c>
      <x:c r="B19" s="30" t="str">
        <x:v>routed_expert_norm.weight</x:v>
      </x:c>
      <x:c r="C19" s="30" t="str">
        <x:v>[3584]</x:v>
      </x:c>
      <x:c r="D19" s="30" t="str">
        <x:v>BF16</x:v>
      </x:c>
      <x:c r="E19" s="32" t="n">
        <x:v>2</x:v>
      </x:c>
      <x:c r="F19" s="33" t="n">
        <x:v>92</x:v>
      </x:c>
      <x:c r="G19" s="33" t="n">
        <x:v>3584</x:v>
      </x:c>
      <x:c r="H19" s="33" t="str">
        <x:v>Replicated</x:v>
      </x:c>
      <x:c r="I19" s="33" t="n">
        <x:f>1</x:f>
        <x:v>1</x:v>
      </x:c>
      <x:c r="J19" s="34" t="n">
        <x:f>E19*F19*G19/1073741824</x:f>
        <x:v>0.000614166259765625</x:v>
      </x:c>
      <x:c r="K19" s="34" t="n">
        <x:f>J19/I19</x:f>
        <x:v>0.000614166259765625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Latent MoE</x:v>
      </x:c>
      <x:c r="B20" s="30" t="str">
        <x:v>routed_expert_down_proj.weight</x:v>
      </x:c>
      <x:c r="C20" s="30" t="str">
        <x:v>[3584, 7168]</x:v>
      </x:c>
      <x:c r="D20" s="30" t="str">
        <x:v>BF16</x:v>
      </x:c>
      <x:c r="E20" s="32" t="n">
        <x:v>2</x:v>
      </x:c>
      <x:c r="F20" s="33" t="n">
        <x:v>92</x:v>
      </x:c>
      <x:c r="G20" s="33" t="n">
        <x:v>25690112</x:v>
      </x:c>
      <x:c r="H20" s="33" t="str">
        <x:v>Replicated</x:v>
      </x:c>
      <x:c r="I20" s="33" t="n">
        <x:f>1</x:f>
        <x:v>1</x:v>
      </x:c>
      <x:c r="J20" s="34" t="n">
        <x:f>E20*F20*G20/1073741824</x:f>
        <x:v>4.40234375</x:v>
      </x:c>
      <x:c r="K20" s="34" t="n">
        <x:f>J20/I20</x:f>
        <x:v>4.40234375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Routed Experts</x:v>
      </x:c>
      <x:c r="B21" s="30" t="str">
        <x:v>experts.w1.weight</x:v>
      </x:c>
      <x:c r="C21" s="30" t="str">
        <x:v>[3072, 3584]</x:v>
      </x:c>
      <x:c r="D21" s="30" t="str">
        <x:v>FP4</x:v>
      </x:c>
      <x:c r="E21" s="32" t="n">
        <x:v>0.5</x:v>
      </x:c>
      <x:c r="F21" s="33" t="n">
        <x:v>82432</x:v>
      </x:c>
      <x:c r="G21" s="33" t="n">
        <x:v>11010048</x:v>
      </x:c>
      <x:c r="H21" s="33" t="str">
        <x:v>EP</x:v>
      </x:c>
      <x:c r="I21" s="33" t="n">
        <x:f>'Prefill'!$P$14</x:f>
        <x:v>8</x:v>
      </x:c>
      <x:c r="J21" s="34" t="n">
        <x:f>E21*F21*G21/1073741824</x:f>
        <x:v>422.625</x:v>
      </x:c>
      <x:c r="K21" s="34" t="n">
        <x:f>J21/I21</x:f>
        <x:v>52.828125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Routed Experts</x:v>
      </x:c>
      <x:c r="B22" s="30" t="str">
        <x:v>experts.w1.weight_scale</x:v>
      </x:c>
      <x:c r="C22" s="30" t="str">
        <x:v>[3072, 112]</x:v>
      </x:c>
      <x:c r="D22" s="30" t="str">
        <x:v>E8M0</x:v>
      </x:c>
      <x:c r="E22" s="32" t="n">
        <x:v>1</x:v>
      </x:c>
      <x:c r="F22" s="33" t="n">
        <x:v>82432</x:v>
      </x:c>
      <x:c r="G22" s="33" t="n">
        <x:v>344064</x:v>
      </x:c>
      <x:c r="H22" s="33" t="str">
        <x:v>EP</x:v>
      </x:c>
      <x:c r="I22" s="33" t="n">
        <x:f>'Prefill'!$P$14</x:f>
        <x:v>8</x:v>
      </x:c>
      <x:c r="J22" s="34" t="n">
        <x:f>E22*F22*G22/1073741824</x:f>
        <x:v>26.4140625</x:v>
      </x:c>
      <x:c r="K22" s="34" t="n">
        <x:f>J22/I22</x:f>
        <x:v>3.3017578125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Routed Experts</x:v>
      </x:c>
      <x:c r="B23" s="30" t="str">
        <x:v>experts.w3.weight</x:v>
      </x:c>
      <x:c r="C23" s="30" t="str">
        <x:v>[3072, 3584]</x:v>
      </x:c>
      <x:c r="D23" s="30" t="str">
        <x:v>FP4</x:v>
      </x:c>
      <x:c r="E23" s="32" t="n">
        <x:v>0.5</x:v>
      </x:c>
      <x:c r="F23" s="33" t="n">
        <x:v>82432</x:v>
      </x:c>
      <x:c r="G23" s="33" t="n">
        <x:v>11010048</x:v>
      </x:c>
      <x:c r="H23" s="33" t="str">
        <x:v>EP</x:v>
      </x:c>
      <x:c r="I23" s="33" t="n">
        <x:f>'Prefill'!$P$14</x:f>
        <x:v>8</x:v>
      </x:c>
      <x:c r="J23" s="34" t="n">
        <x:f>E23*F23*G23/1073741824</x:f>
        <x:v>422.625</x:v>
      </x:c>
      <x:c r="K23" s="34" t="n">
        <x:f>J23/I23</x:f>
        <x:v>52.828125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Routed Experts</x:v>
      </x:c>
      <x:c r="B24" s="30" t="str">
        <x:v>experts.w3.weight_scale</x:v>
      </x:c>
      <x:c r="C24" s="30" t="str">
        <x:v>[3072, 112]</x:v>
      </x:c>
      <x:c r="D24" s="30" t="str">
        <x:v>E8M0</x:v>
      </x:c>
      <x:c r="E24" s="32" t="n">
        <x:v>1</x:v>
      </x:c>
      <x:c r="F24" s="33" t="n">
        <x:v>82432</x:v>
      </x:c>
      <x:c r="G24" s="33" t="n">
        <x:v>344064</x:v>
      </x:c>
      <x:c r="H24" s="33" t="str">
        <x:v>EP</x:v>
      </x:c>
      <x:c r="I24" s="33" t="n">
        <x:f>'Prefill'!$P$14</x:f>
        <x:v>8</x:v>
      </x:c>
      <x:c r="J24" s="34" t="n">
        <x:f>E24*F24*G24/1073741824</x:f>
        <x:v>26.4140625</x:v>
      </x:c>
      <x:c r="K24" s="34" t="n">
        <x:f>J24/I24</x:f>
        <x:v>3.3017578125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Routed Experts</x:v>
      </x:c>
      <x:c r="B25" s="30" t="str">
        <x:v>experts.w2.weight</x:v>
      </x:c>
      <x:c r="C25" s="30" t="str">
        <x:v>[3584, 3072]</x:v>
      </x:c>
      <x:c r="D25" s="30" t="str">
        <x:v>FP4</x:v>
      </x:c>
      <x:c r="E25" s="32" t="n">
        <x:v>0.5</x:v>
      </x:c>
      <x:c r="F25" s="33" t="n">
        <x:v>82432</x:v>
      </x:c>
      <x:c r="G25" s="33" t="n">
        <x:v>11010048</x:v>
      </x:c>
      <x:c r="H25" s="33" t="str">
        <x:v>EP</x:v>
      </x:c>
      <x:c r="I25" s="33" t="n">
        <x:f>'Prefill'!$P$14</x:f>
        <x:v>8</x:v>
      </x:c>
      <x:c r="J25" s="34" t="n">
        <x:f>E25*F25*G25/1073741824</x:f>
        <x:v>422.625</x:v>
      </x:c>
      <x:c r="K25" s="34" t="n">
        <x:f>J25/I25</x:f>
        <x:v>52.828125</x:v>
      </x:c>
      <x:c r="L25" s="30"/>
      <x:c r="M25" s="30"/>
      <x:c r="N25" s="30"/>
      <x:c r="O25" s="30"/>
      <x:c r="P25" s="30"/>
    </x:row>
    <x:row r="26">
      <x:c r="A26" s="30" t="str">
        <x:v>Routed Experts</x:v>
      </x:c>
      <x:c r="B26" s="30" t="str">
        <x:v>experts.w2.weight_scale</x:v>
      </x:c>
      <x:c r="C26" s="30" t="str">
        <x:v>[3584, 96]</x:v>
      </x:c>
      <x:c r="D26" s="30" t="str">
        <x:v>E8M0</x:v>
      </x:c>
      <x:c r="E26" s="32" t="n">
        <x:v>1</x:v>
      </x:c>
      <x:c r="F26" s="33" t="n">
        <x:v>82432</x:v>
      </x:c>
      <x:c r="G26" s="33" t="n">
        <x:v>344064</x:v>
      </x:c>
      <x:c r="H26" s="33" t="str">
        <x:v>EP</x:v>
      </x:c>
      <x:c r="I26" s="33" t="n">
        <x:f>'Prefill'!$P$14</x:f>
        <x:v>8</x:v>
      </x:c>
      <x:c r="J26" s="34" t="n">
        <x:f>E26*F26*G26/1073741824</x:f>
        <x:v>26.4140625</x:v>
      </x:c>
      <x:c r="K26" s="34" t="n">
        <x:f>J26/I26</x:f>
        <x:v>3.3017578125</x:v>
      </x:c>
      <x:c r="L26" s="30"/>
      <x:c r="M26" s="30"/>
      <x:c r="N26" s="30"/>
      <x:c r="O26" s="30"/>
      <x:c r="P26" s="30"/>
    </x:row>
    <x:row r="27">
      <x:c r="A27" s="30" t="str">
        <x:v>Shared Experts</x:v>
      </x:c>
      <x:c r="B27" s="30" t="str">
        <x:v>shared_experts.gate_proj.weight</x:v>
      </x:c>
      <x:c r="C27" s="30" t="str">
        <x:v>[6144, 7168]</x:v>
      </x:c>
      <x:c r="D27" s="30" t="str">
        <x:v>BF16</x:v>
      </x:c>
      <x:c r="E27" s="32" t="n">
        <x:v>2</x:v>
      </x:c>
      <x:c r="F27" s="33" t="n">
        <x:v>92</x:v>
      </x:c>
      <x:c r="G27" s="33" t="n">
        <x:v>44040192</x:v>
      </x:c>
      <x:c r="H27" s="33" t="str">
        <x:v>共享专家 TP/DP</x:v>
      </x:c>
      <x:c r="I27" s="33" t="n">
        <x:f>IF('Prefill'!$P$17="TP",'Prefill'!$P$18,1)</x:f>
        <x:v>8</x:v>
      </x:c>
      <x:c r="J27" s="34" t="n">
        <x:f>E27*F27*G27/1073741824</x:f>
        <x:v>7.546875</x:v>
      </x:c>
      <x:c r="K27" s="34" t="n">
        <x:f>J27/I27</x:f>
        <x:v>0.943359375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Shared Experts</x:v>
      </x:c>
      <x:c r="B28" s="30" t="str">
        <x:v>shared_experts.up_proj.weight</x:v>
      </x:c>
      <x:c r="C28" s="30" t="str">
        <x:v>[6144, 7168]</x:v>
      </x:c>
      <x:c r="D28" s="30" t="str">
        <x:v>BF16</x:v>
      </x:c>
      <x:c r="E28" s="32" t="n">
        <x:v>2</x:v>
      </x:c>
      <x:c r="F28" s="33" t="n">
        <x:v>92</x:v>
      </x:c>
      <x:c r="G28" s="33" t="n">
        <x:v>44040192</x:v>
      </x:c>
      <x:c r="H28" s="33" t="str">
        <x:v>共享专家 TP/DP</x:v>
      </x:c>
      <x:c r="I28" s="33" t="n">
        <x:f>IF('Prefill'!$P$17="TP",'Prefill'!$P$18,1)</x:f>
        <x:v>8</x:v>
      </x:c>
      <x:c r="J28" s="34" t="n">
        <x:f>E28*F28*G28/1073741824</x:f>
        <x:v>7.546875</x:v>
      </x:c>
      <x:c r="K28" s="34" t="n">
        <x:f>J28/I28</x:f>
        <x:v>0.943359375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Shared Experts</x:v>
      </x:c>
      <x:c r="B29" s="30" t="str">
        <x:v>shared_experts.down_proj.weight</x:v>
      </x:c>
      <x:c r="C29" s="30" t="str">
        <x:v>[7168, 6144]</x:v>
      </x:c>
      <x:c r="D29" s="30" t="str">
        <x:v>BF16</x:v>
      </x:c>
      <x:c r="E29" s="32" t="n">
        <x:v>2</x:v>
      </x:c>
      <x:c r="F29" s="33" t="n">
        <x:v>92</x:v>
      </x:c>
      <x:c r="G29" s="33" t="n">
        <x:v>44040192</x:v>
      </x:c>
      <x:c r="H29" s="33" t="str">
        <x:v>共享专家 TP/DP</x:v>
      </x:c>
      <x:c r="I29" s="33" t="n">
        <x:f>IF('Prefill'!$P$17="TP",'Prefill'!$P$18,1)</x:f>
        <x:v>8</x:v>
      </x:c>
      <x:c r="J29" s="34" t="n">
        <x:f>E29*F29*G29/1073741824</x:f>
        <x:v>7.546875</x:v>
      </x:c>
      <x:c r="K29" s="34" t="n">
        <x:f>J29/I29</x:f>
        <x:v>0.943359375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KDA</x:v>
      </x:c>
      <x:c r="B30" s="30" t="str">
        <x:v>q_proj.weight</x:v>
      </x:c>
      <x:c r="C30" s="30" t="str">
        <x:v>[12288, 7168]</x:v>
      </x:c>
      <x:c r="D30" s="30" t="str">
        <x:v>BF16</x:v>
      </x:c>
      <x:c r="E30" s="32" t="n">
        <x:v>2</x:v>
      </x:c>
      <x:c r="F30" s="33" t="n">
        <x:v>69</x:v>
      </x:c>
      <x:c r="G30" s="33" t="n">
        <x:v>88080384</x:v>
      </x:c>
      <x:c r="H30" s="33" t="str">
        <x:v>TP</x:v>
      </x:c>
      <x:c r="I30" s="33" t="n">
        <x:f>'Prefill'!$P$12</x:f>
        <x:v>8</x:v>
      </x:c>
      <x:c r="J30" s="34" t="n">
        <x:f>E30*F30*G30/1073741824</x:f>
        <x:v>11.3203125</x:v>
      </x:c>
      <x:c r="K30" s="34" t="n">
        <x:f>J30/I30</x:f>
        <x:v>1.4150390625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KDA</x:v>
      </x:c>
      <x:c r="B31" s="30" t="str">
        <x:v>k_proj.weight</x:v>
      </x:c>
      <x:c r="C31" s="30" t="str">
        <x:v>[12288, 7168]</x:v>
      </x:c>
      <x:c r="D31" s="30" t="str">
        <x:v>BF16</x:v>
      </x:c>
      <x:c r="E31" s="32" t="n">
        <x:v>2</x:v>
      </x:c>
      <x:c r="F31" s="33" t="n">
        <x:v>69</x:v>
      </x:c>
      <x:c r="G31" s="33" t="n">
        <x:v>88080384</x:v>
      </x:c>
      <x:c r="H31" s="33" t="str">
        <x:v>TP</x:v>
      </x:c>
      <x:c r="I31" s="33" t="n">
        <x:f>'Prefill'!$P$12</x:f>
        <x:v>8</x:v>
      </x:c>
      <x:c r="J31" s="34" t="n">
        <x:f>E31*F31*G31/1073741824</x:f>
        <x:v>11.3203125</x:v>
      </x:c>
      <x:c r="K31" s="34" t="n">
        <x:f>J31/I31</x:f>
        <x:v>1.4150390625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KDA</x:v>
      </x:c>
      <x:c r="B32" s="30" t="str">
        <x:v>v_proj.weight</x:v>
      </x:c>
      <x:c r="C32" s="30" t="str">
        <x:v>[12288, 7168]</x:v>
      </x:c>
      <x:c r="D32" s="30" t="str">
        <x:v>BF16</x:v>
      </x:c>
      <x:c r="E32" s="32" t="n">
        <x:v>2</x:v>
      </x:c>
      <x:c r="F32" s="33" t="n">
        <x:v>69</x:v>
      </x:c>
      <x:c r="G32" s="33" t="n">
        <x:v>88080384</x:v>
      </x:c>
      <x:c r="H32" s="33" t="str">
        <x:v>TP</x:v>
      </x:c>
      <x:c r="I32" s="33" t="n">
        <x:f>'Prefill'!$P$12</x:f>
        <x:v>8</x:v>
      </x:c>
      <x:c r="J32" s="34" t="n">
        <x:f>E32*F32*G32/1073741824</x:f>
        <x:v>11.3203125</x:v>
      </x:c>
      <x:c r="K32" s="34" t="n">
        <x:f>J32/I32</x:f>
        <x:v>1.4150390625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KDA</x:v>
      </x:c>
      <x:c r="B33" s="30" t="str">
        <x:v>g_proj.weight</x:v>
      </x:c>
      <x:c r="C33" s="30" t="str">
        <x:v>[12288, 7168]</x:v>
      </x:c>
      <x:c r="D33" s="30" t="str">
        <x:v>BF16</x:v>
      </x:c>
      <x:c r="E33" s="32" t="n">
        <x:v>2</x:v>
      </x:c>
      <x:c r="F33" s="33" t="n">
        <x:v>93</x:v>
      </x:c>
      <x:c r="G33" s="33" t="n">
        <x:v>88080384</x:v>
      </x:c>
      <x:c r="H33" s="33" t="str">
        <x:v>TP</x:v>
      </x:c>
      <x:c r="I33" s="33" t="n">
        <x:f>'Prefill'!$P$12</x:f>
        <x:v>8</x:v>
      </x:c>
      <x:c r="J33" s="34" t="n">
        <x:f>E33*F33*G33/1073741824</x:f>
        <x:v>15.2578125</x:v>
      </x:c>
      <x:c r="K33" s="34" t="n">
        <x:f>J33/I33</x:f>
        <x:v>1.9072265625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KDA</x:v>
      </x:c>
      <x:c r="B34" s="30" t="str">
        <x:v>b_proj.weight</x:v>
      </x:c>
      <x:c r="C34" s="30" t="str">
        <x:v>[96, 7168]</x:v>
      </x:c>
      <x:c r="D34" s="30" t="str">
        <x:v>BF16</x:v>
      </x:c>
      <x:c r="E34" s="32" t="n">
        <x:v>2</x:v>
      </x:c>
      <x:c r="F34" s="33" t="n">
        <x:v>69</x:v>
      </x:c>
      <x:c r="G34" s="33" t="n">
        <x:v>688128</x:v>
      </x:c>
      <x:c r="H34" s="33" t="str">
        <x:v>TP</x:v>
      </x:c>
      <x:c r="I34" s="33" t="n">
        <x:f>'Prefill'!$P$12</x:f>
        <x:v>8</x:v>
      </x:c>
      <x:c r="J34" s="34" t="n">
        <x:f>E34*F34*G34/1073741824</x:f>
        <x:v>0.08843994140625</x:v>
      </x:c>
      <x:c r="K34" s="34" t="n">
        <x:f>J34/I34</x:f>
        <x:v>0.01105499267578125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KDA</x:v>
      </x:c>
      <x:c r="B35" s="30" t="str">
        <x:v>f_a_proj.weight</x:v>
      </x:c>
      <x:c r="C35" s="30" t="str">
        <x:v>[128, 7168]</x:v>
      </x:c>
      <x:c r="D35" s="30" t="str">
        <x:v>BF16</x:v>
      </x:c>
      <x:c r="E35" s="32" t="n">
        <x:v>2</x:v>
      </x:c>
      <x:c r="F35" s="33" t="n">
        <x:v>69</x:v>
      </x:c>
      <x:c r="G35" s="33" t="n">
        <x:v>917504</x:v>
      </x:c>
      <x:c r="H35" s="33" t="str">
        <x:v>Replicated</x:v>
      </x:c>
      <x:c r="I35" s="33" t="n">
        <x:f>1</x:f>
        <x:v>1</x:v>
      </x:c>
      <x:c r="J35" s="34" t="n">
        <x:f>E35*F35*G35/1073741824</x:f>
        <x:v>0.117919921875</x:v>
      </x:c>
      <x:c r="K35" s="34" t="n">
        <x:f>J35/I35</x:f>
        <x:v>0.117919921875</x:v>
      </x:c>
      <x:c r="L35" s="30"/>
      <x:c r="M35" s="30"/>
      <x:c r="N35" s="30"/>
      <x:c r="O35" s="30"/>
      <x:c r="P35" s="30"/>
    </x:row>
    <x:row r="36">
      <x:c r="A36" s="30" t="str">
        <x:v>KDA</x:v>
      </x:c>
      <x:c r="B36" s="30" t="str">
        <x:v>f_b_proj.weight</x:v>
      </x:c>
      <x:c r="C36" s="30" t="str">
        <x:v>[12288, 128]</x:v>
      </x:c>
      <x:c r="D36" s="30" t="str">
        <x:v>BF16</x:v>
      </x:c>
      <x:c r="E36" s="32" t="n">
        <x:v>2</x:v>
      </x:c>
      <x:c r="F36" s="33" t="n">
        <x:v>69</x:v>
      </x:c>
      <x:c r="G36" s="33" t="n">
        <x:v>1572864</x:v>
      </x:c>
      <x:c r="H36" s="33" t="str">
        <x:v>TP</x:v>
      </x:c>
      <x:c r="I36" s="33" t="n">
        <x:f>'Prefill'!$P$12</x:f>
        <x:v>8</x:v>
      </x:c>
      <x:c r="J36" s="34" t="n">
        <x:f>E36*F36*G36/1073741824</x:f>
        <x:v>0.2021484375</x:v>
      </x:c>
      <x:c r="K36" s="34" t="n">
        <x:f>J36/I36</x:f>
        <x:v>0.0252685546875</x:v>
      </x:c>
      <x:c r="L36" s="30"/>
      <x:c r="M36" s="30"/>
      <x:c r="N36" s="30"/>
      <x:c r="O36" s="30"/>
      <x:c r="P36" s="30"/>
    </x:row>
    <x:row r="37">
      <x:c r="A37" s="30" t="str">
        <x:v>KDA</x:v>
      </x:c>
      <x:c r="B37" s="30" t="str">
        <x:v>q_conv1d.weight</x:v>
      </x:c>
      <x:c r="C37" s="30" t="str">
        <x:v>[12288, 1, 4]</x:v>
      </x:c>
      <x:c r="D37" s="30" t="str">
        <x:v>F32</x:v>
      </x:c>
      <x:c r="E37" s="32" t="n">
        <x:v>4</x:v>
      </x:c>
      <x:c r="F37" s="33" t="n">
        <x:v>69</x:v>
      </x:c>
      <x:c r="G37" s="33" t="n">
        <x:v>49152</x:v>
      </x:c>
      <x:c r="H37" s="33" t="str">
        <x:v>TP</x:v>
      </x:c>
      <x:c r="I37" s="33" t="n">
        <x:f>'Prefill'!$P$12</x:f>
        <x:v>8</x:v>
      </x:c>
      <x:c r="J37" s="34" t="n">
        <x:f>E37*F37*G37/1073741824</x:f>
        <x:v>0.01263427734375</x:v>
      </x:c>
      <x:c r="K37" s="34" t="n">
        <x:f>J37/I37</x:f>
        <x:v>0.00157928466796875</x:v>
      </x:c>
      <x:c r="L37" s="30"/>
      <x:c r="M37" s="30"/>
      <x:c r="N37" s="30"/>
      <x:c r="O37" s="30"/>
      <x:c r="P37" s="30"/>
    </x:row>
    <x:row r="38">
      <x:c r="A38" s="30" t="str">
        <x:v>KDA</x:v>
      </x:c>
      <x:c r="B38" s="30" t="str">
        <x:v>k_conv1d.weight</x:v>
      </x:c>
      <x:c r="C38" s="30" t="str">
        <x:v>[12288, 1, 4]</x:v>
      </x:c>
      <x:c r="D38" s="30" t="str">
        <x:v>F32</x:v>
      </x:c>
      <x:c r="E38" s="32" t="n">
        <x:v>4</x:v>
      </x:c>
      <x:c r="F38" s="33" t="n">
        <x:v>69</x:v>
      </x:c>
      <x:c r="G38" s="33" t="n">
        <x:v>49152</x:v>
      </x:c>
      <x:c r="H38" s="33" t="str">
        <x:v>TP</x:v>
      </x:c>
      <x:c r="I38" s="33" t="n">
        <x:f>'Prefill'!$P$12</x:f>
        <x:v>8</x:v>
      </x:c>
      <x:c r="J38" s="34" t="n">
        <x:f>E38*F38*G38/1073741824</x:f>
        <x:v>0.01263427734375</x:v>
      </x:c>
      <x:c r="K38" s="34" t="n">
        <x:f>J38/I38</x:f>
        <x:v>0.00157928466796875</x:v>
      </x:c>
      <x:c r="L38" s="30"/>
      <x:c r="M38" s="30"/>
      <x:c r="N38" s="30"/>
      <x:c r="O38" s="30"/>
      <x:c r="P38" s="30"/>
    </x:row>
    <x:row r="39">
      <x:c r="A39" s="30" t="str">
        <x:v>KDA</x:v>
      </x:c>
      <x:c r="B39" s="30" t="str">
        <x:v>v_conv1d.weight</x:v>
      </x:c>
      <x:c r="C39" s="30" t="str">
        <x:v>[12288, 1, 4]</x:v>
      </x:c>
      <x:c r="D39" s="30" t="str">
        <x:v>F32</x:v>
      </x:c>
      <x:c r="E39" s="32" t="n">
        <x:v>4</x:v>
      </x:c>
      <x:c r="F39" s="33" t="n">
        <x:v>69</x:v>
      </x:c>
      <x:c r="G39" s="33" t="n">
        <x:v>49152</x:v>
      </x:c>
      <x:c r="H39" s="33" t="str">
        <x:v>TP</x:v>
      </x:c>
      <x:c r="I39" s="33" t="n">
        <x:f>'Prefill'!$P$12</x:f>
        <x:v>8</x:v>
      </x:c>
      <x:c r="J39" s="34" t="n">
        <x:f>E39*F39*G39/1073741824</x:f>
        <x:v>0.01263427734375</x:v>
      </x:c>
      <x:c r="K39" s="34" t="n">
        <x:f>J39/I39</x:f>
        <x:v>0.00157928466796875</x:v>
      </x:c>
      <x:c r="L39" s="30"/>
      <x:c r="M39" s="30"/>
      <x:c r="N39" s="30"/>
      <x:c r="O39" s="30"/>
      <x:c r="P39" s="30"/>
    </x:row>
    <x:row r="40">
      <x:c r="A40" s="30" t="str">
        <x:v>KDA</x:v>
      </x:c>
      <x:c r="B40" s="30" t="str">
        <x:v>A_log</x:v>
      </x:c>
      <x:c r="C40" s="30" t="str">
        <x:v>[128]</x:v>
      </x:c>
      <x:c r="D40" s="30" t="str">
        <x:v>F32</x:v>
      </x:c>
      <x:c r="E40" s="32" t="n">
        <x:v>4</x:v>
      </x:c>
      <x:c r="F40" s="33" t="n">
        <x:v>69</x:v>
      </x:c>
      <x:c r="G40" s="33" t="n">
        <x:v>128</x:v>
      </x:c>
      <x:c r="H40" s="33" t="str">
        <x:v>TP</x:v>
      </x:c>
      <x:c r="I40" s="33" t="n">
        <x:f>'Prefill'!$P$12</x:f>
        <x:v>8</x:v>
      </x:c>
      <x:c r="J40" s="34" t="n">
        <x:f>E40*F40*G40/1073741824</x:f>
        <x:v>0.000032901763916015625</x:v>
      </x:c>
      <x:c r="K40" s="34" t="n">
        <x:f>J40/I40</x:f>
        <x:v>0.000004112720489501953</x:v>
      </x:c>
      <x:c r="L40" s="30"/>
      <x:c r="M40" s="30"/>
      <x:c r="N40" s="30"/>
      <x:c r="O40" s="30"/>
      <x:c r="P40" s="30"/>
    </x:row>
    <x:row r="41">
      <x:c r="A41" s="30" t="str">
        <x:v>KDA</x:v>
      </x:c>
      <x:c r="B41" s="30" t="str">
        <x:v>dt_bias</x:v>
      </x:c>
      <x:c r="C41" s="30" t="str">
        <x:v>[12288]</x:v>
      </x:c>
      <x:c r="D41" s="30" t="str">
        <x:v>F32</x:v>
      </x:c>
      <x:c r="E41" s="32" t="n">
        <x:v>4</x:v>
      </x:c>
      <x:c r="F41" s="33" t="n">
        <x:v>69</x:v>
      </x:c>
      <x:c r="G41" s="33" t="n">
        <x:v>12288</x:v>
      </x:c>
      <x:c r="H41" s="33" t="str">
        <x:v>TP</x:v>
      </x:c>
      <x:c r="I41" s="33" t="n">
        <x:f>'Prefill'!$P$12</x:f>
        <x:v>8</x:v>
      </x:c>
      <x:c r="J41" s="34" t="n">
        <x:f>E41*F41*G41/1073741824</x:f>
        <x:v>0.0031585693359375</x:v>
      </x:c>
      <x:c r="K41" s="34" t="n">
        <x:f>J41/I41</x:f>
        <x:v>0.0003948211669921875</x:v>
      </x:c>
      <x:c r="L41" s="30"/>
      <x:c r="M41" s="30"/>
      <x:c r="N41" s="30"/>
      <x:c r="O41" s="30"/>
      <x:c r="P41" s="30"/>
    </x:row>
    <x:row r="42">
      <x:c r="A42" s="30" t="str">
        <x:v>KDA</x:v>
      </x:c>
      <x:c r="B42" s="30" t="str">
        <x:v>o_norm.weight</x:v>
      </x:c>
      <x:c r="C42" s="30" t="str">
        <x:v>[128]</x:v>
      </x:c>
      <x:c r="D42" s="30" t="str">
        <x:v>F32</x:v>
      </x:c>
      <x:c r="E42" s="32" t="n">
        <x:v>4</x:v>
      </x:c>
      <x:c r="F42" s="33" t="n">
        <x:v>69</x:v>
      </x:c>
      <x:c r="G42" s="33" t="n">
        <x:v>128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0.000032901763916015625</x:v>
      </x:c>
      <x:c r="K42" s="34" t="n">
        <x:f>J42/I42</x:f>
        <x:v>0.000032901763916015625</x:v>
      </x:c>
      <x:c r="L42" s="30"/>
      <x:c r="M42" s="30"/>
      <x:c r="N42" s="30"/>
      <x:c r="O42" s="30"/>
      <x:c r="P42" s="30"/>
    </x:row>
    <x:row r="43">
      <x:c r="A43" s="30" t="str">
        <x:v>Attention</x:v>
      </x:c>
      <x:c r="B43" s="30" t="str">
        <x:v>o_proj.weight</x:v>
      </x:c>
      <x:c r="C43" s="30" t="str">
        <x:v>[7168, 12288]</x:v>
      </x:c>
      <x:c r="D43" s="30" t="str">
        <x:v>BF16</x:v>
      </x:c>
      <x:c r="E43" s="32" t="n">
        <x:v>2</x:v>
      </x:c>
      <x:c r="F43" s="33" t="n">
        <x:v>93</x:v>
      </x:c>
      <x:c r="G43" s="33" t="n">
        <x:v>88080384</x:v>
      </x:c>
      <x:c r="H43" s="33" t="str">
        <x:v>O Proj TP</x:v>
      </x:c>
      <x:c r="I43" s="33" t="n">
        <x:f>IF('Prefill'!$P$19&gt;0,'Prefill'!$P$19,'Prefill'!$P$12)</x:f>
        <x:v>8</x:v>
      </x:c>
      <x:c r="J43" s="34" t="n">
        <x:f>E43*F43*G43/1073741824</x:f>
        <x:v>15.2578125</x:v>
      </x:c>
      <x:c r="K43" s="34" t="n">
        <x:f>J43/I43</x:f>
        <x:v>1.9072265625</x:v>
      </x:c>
      <x:c r="L43" s="30"/>
      <x:c r="M43" s="30"/>
      <x:c r="N43" s="30"/>
      <x:c r="O43" s="30"/>
      <x:c r="P43" s="30"/>
    </x:row>
    <x:row r="44">
      <x:c r="A44" s="30" t="str">
        <x:v>MLA</x:v>
      </x:c>
      <x:c r="B44" s="30" t="str">
        <x:v>q_a_proj.weight</x:v>
      </x:c>
      <x:c r="C44" s="30" t="str">
        <x:v>[1536, 7168]</x:v>
      </x:c>
      <x:c r="D44" s="30" t="str">
        <x:v>BF16</x:v>
      </x:c>
      <x:c r="E44" s="32" t="n">
        <x:v>2</x:v>
      </x:c>
      <x:c r="F44" s="33" t="n">
        <x:v>24</x:v>
      </x:c>
      <x:c r="G44" s="33" t="n">
        <x:v>11010048</x:v>
      </x:c>
      <x:c r="H44" s="33" t="str">
        <x:v>Replicated</x:v>
      </x:c>
      <x:c r="I44" s="33" t="n">
        <x:f>1</x:f>
        <x:v>1</x:v>
      </x:c>
      <x:c r="J44" s="34" t="n">
        <x:f>E44*F44*G44/1073741824</x:f>
        <x:v>0.4921875</x:v>
      </x:c>
      <x:c r="K44" s="34" t="n">
        <x:f>J44/I44</x:f>
        <x:v>0.4921875</x:v>
      </x:c>
      <x:c r="L44" s="30"/>
      <x:c r="M44" s="30"/>
      <x:c r="N44" s="30"/>
      <x:c r="O44" s="30"/>
      <x:c r="P44" s="30"/>
    </x:row>
    <x:row r="45">
      <x:c r="A45" s="30" t="str">
        <x:v>MLA</x:v>
      </x:c>
      <x:c r="B45" s="30" t="str">
        <x:v>q_a_layernorm.weight</x:v>
      </x:c>
      <x:c r="C45" s="30" t="str">
        <x:v>[1536]</x:v>
      </x:c>
      <x:c r="D45" s="30" t="str">
        <x:v>BF16</x:v>
      </x:c>
      <x:c r="E45" s="32" t="n">
        <x:v>2</x:v>
      </x:c>
      <x:c r="F45" s="33" t="n">
        <x:v>24</x:v>
      </x:c>
      <x:c r="G45" s="33" t="n">
        <x:v>1536</x:v>
      </x:c>
      <x:c r="H45" s="33" t="str">
        <x:v>Replicated</x:v>
      </x:c>
      <x:c r="I45" s="33" t="n">
        <x:f>1</x:f>
        <x:v>1</x:v>
      </x:c>
      <x:c r="J45" s="34" t="n">
        <x:f>E45*F45*G45/1073741824</x:f>
        <x:v>0.00006866455078125</x:v>
      </x:c>
      <x:c r="K45" s="34" t="n">
        <x:f>J45/I45</x:f>
        <x:v>0.00006866455078125</x:v>
      </x:c>
      <x:c r="L45" s="30"/>
      <x:c r="M45" s="30"/>
      <x:c r="N45" s="30"/>
      <x:c r="O45" s="30"/>
      <x:c r="P45" s="30"/>
    </x:row>
    <x:row r="46">
      <x:c r="A46" s="30" t="str">
        <x:v>MLA</x:v>
      </x:c>
      <x:c r="B46" s="30" t="str">
        <x:v>q_b_proj.weight</x:v>
      </x:c>
      <x:c r="C46" s="30" t="str">
        <x:v>[18432, 1536]</x:v>
      </x:c>
      <x:c r="D46" s="30" t="str">
        <x:v>BF16</x:v>
      </x:c>
      <x:c r="E46" s="32" t="n">
        <x:v>2</x:v>
      </x:c>
      <x:c r="F46" s="33" t="n">
        <x:v>24</x:v>
      </x:c>
      <x:c r="G46" s="33" t="n">
        <x:v>28311552</x:v>
      </x:c>
      <x:c r="H46" s="33" t="str">
        <x:v>TP</x:v>
      </x:c>
      <x:c r="I46" s="33" t="n">
        <x:f>'Prefill'!$P$12</x:f>
        <x:v>8</x:v>
      </x:c>
      <x:c r="J46" s="34" t="n">
        <x:f>E46*F46*G46/1073741824</x:f>
        <x:v>1.265625</x:v>
      </x:c>
      <x:c r="K46" s="34" t="n">
        <x:f>J46/I46</x:f>
        <x:v>0.158203125</x:v>
      </x:c>
      <x:c r="L46" s="30"/>
      <x:c r="M46" s="30"/>
      <x:c r="N46" s="30"/>
      <x:c r="O46" s="30"/>
      <x:c r="P46" s="30"/>
    </x:row>
    <x:row r="47">
      <x:c r="A47" s="30" t="str">
        <x:v>MLA</x:v>
      </x:c>
      <x:c r="B47" s="30" t="str">
        <x:v>kv_a_proj_with_mqa.weight</x:v>
      </x:c>
      <x:c r="C47" s="30" t="str">
        <x:v>[576, 7168]</x:v>
      </x:c>
      <x:c r="D47" s="30" t="str">
        <x:v>BF16</x:v>
      </x:c>
      <x:c r="E47" s="32" t="n">
        <x:v>2</x:v>
      </x:c>
      <x:c r="F47" s="33" t="n">
        <x:v>24</x:v>
      </x:c>
      <x:c r="G47" s="33" t="n">
        <x:v>4128768</x:v>
      </x:c>
      <x:c r="H47" s="33" t="str">
        <x:v>Replicated</x:v>
      </x:c>
      <x:c r="I47" s="33" t="n">
        <x:f>1</x:f>
        <x:v>1</x:v>
      </x:c>
      <x:c r="J47" s="34" t="n">
        <x:f>E47*F47*G47/1073741824</x:f>
        <x:v>0.1845703125</x:v>
      </x:c>
      <x:c r="K47" s="34" t="n">
        <x:f>J47/I47</x:f>
        <x:v>0.1845703125</x:v>
      </x:c>
      <x:c r="L47" s="30"/>
      <x:c r="M47" s="30"/>
      <x:c r="N47" s="30"/>
      <x:c r="O47" s="30"/>
      <x:c r="P47" s="30"/>
    </x:row>
    <x:row r="48">
      <x:c r="A48" s="30" t="str">
        <x:v>MLA</x:v>
      </x:c>
      <x:c r="B48" s="30" t="str">
        <x:v>kv_a_layernorm.weight</x:v>
      </x:c>
      <x:c r="C48" s="30" t="str">
        <x:v>[512]</x:v>
      </x:c>
      <x:c r="D48" s="30" t="str">
        <x:v>BF16</x:v>
      </x:c>
      <x:c r="E48" s="32" t="n">
        <x:v>2</x:v>
      </x:c>
      <x:c r="F48" s="33" t="n">
        <x:v>24</x:v>
      </x:c>
      <x:c r="G48" s="33" t="n">
        <x:v>512</x:v>
      </x:c>
      <x:c r="H48" s="33" t="str">
        <x:v>Replicated</x:v>
      </x:c>
      <x:c r="I48" s="33" t="n">
        <x:f>1</x:f>
        <x:v>1</x:v>
      </x:c>
      <x:c r="J48" s="34" t="n">
        <x:f>E48*F48*G48/1073741824</x:f>
        <x:v>0.00002288818359375</x:v>
      </x:c>
      <x:c r="K48" s="34" t="n">
        <x:f>J48/I48</x:f>
        <x:v>0.00002288818359375</x:v>
      </x:c>
      <x:c r="L48" s="30"/>
      <x:c r="M48" s="30"/>
      <x:c r="N48" s="30"/>
      <x:c r="O48" s="30"/>
      <x:c r="P48" s="30"/>
    </x:row>
    <x:row r="49">
      <x:c r="A49" s="30" t="str">
        <x:v>MLA</x:v>
      </x:c>
      <x:c r="B49" s="30" t="str">
        <x:v>kv_b_proj.weight</x:v>
      </x:c>
      <x:c r="C49" s="30" t="str">
        <x:v>[24576, 512]</x:v>
      </x:c>
      <x:c r="D49" s="30" t="str">
        <x:v>BF16</x:v>
      </x:c>
      <x:c r="E49" s="32" t="n">
        <x:v>2</x:v>
      </x:c>
      <x:c r="F49" s="33" t="n">
        <x:v>24</x:v>
      </x:c>
      <x:c r="G49" s="33" t="n">
        <x:v>12582912</x:v>
      </x:c>
      <x:c r="H49" s="33" t="str">
        <x:v>TP</x:v>
      </x:c>
      <x:c r="I49" s="33" t="n">
        <x:f>'Prefill'!$P$12</x:f>
        <x:v>8</x:v>
      </x:c>
      <x:c r="J49" s="34" t="n">
        <x:f>E49*F49*G49/1073741824</x:f>
        <x:v>0.5625</x:v>
      </x:c>
      <x:c r="K49" s="34" t="n">
        <x:f>J49/I49</x:f>
        <x:v>0.0703125</x:v>
      </x:c>
      <x:c r="L49" s="30"/>
      <x:c r="M49" s="30"/>
      <x:c r="N49" s="30"/>
      <x:c r="O49" s="30"/>
      <x:c r="P49" s="30"/>
    </x:row>
    <x:row r="50">
      <x:c r="A50" s="30" t="str">
        <x:v>Vision</x:v>
      </x:c>
      <x:c r="B50" s="30" t="str">
        <x:v>patch_embed.proj.weight</x:v>
      </x:c>
      <x:c r="C50" s="30" t="str">
        <x:v>[1024, 3, 14, 14]</x:v>
      </x:c>
      <x:c r="D50" s="30" t="str">
        <x:v>BF16</x:v>
      </x:c>
      <x:c r="E50" s="32" t="n">
        <x:v>2</x:v>
      </x:c>
      <x:c r="F50" s="33" t="n">
        <x:v>1</x:v>
      </x:c>
      <x:c r="G50" s="33" t="n">
        <x:v>602112</x:v>
      </x:c>
      <x:c r="H50" s="33" t="str">
        <x:v>Replicated</x:v>
      </x:c>
      <x:c r="I50" s="33" t="n">
        <x:f>1</x:f>
        <x:v>1</x:v>
      </x:c>
      <x:c r="J50" s="34" t="n">
        <x:f>E50*F50*G50/1073741824</x:f>
        <x:v>0.00112152099609375</x:v>
      </x:c>
      <x:c r="K50" s="34" t="n">
        <x:f>J50/I50</x:f>
        <x:v>0.00112152099609375</x:v>
      </x:c>
      <x:c r="L50" s="30"/>
      <x:c r="M50" s="30"/>
      <x:c r="N50" s="30"/>
      <x:c r="O50" s="30"/>
      <x:c r="P50" s="30"/>
    </x:row>
    <x:row r="51">
      <x:c r="A51" s="30" t="str">
        <x:v>Vision</x:v>
      </x:c>
      <x:c r="B51" s="30" t="str">
        <x:v>patch_embed.pos_emb.weight</x:v>
      </x:c>
      <x:c r="C51" s="30" t="str">
        <x:v>[64, 64, 1024]</x:v>
      </x:c>
      <x:c r="D51" s="30" t="str">
        <x:v>BF16</x:v>
      </x:c>
      <x:c r="E51" s="32" t="n">
        <x:v>2</x:v>
      </x:c>
      <x:c r="F51" s="33" t="n">
        <x:v>1</x:v>
      </x:c>
      <x:c r="G51" s="33" t="n">
        <x:v>4194304</x:v>
      </x:c>
      <x:c r="H51" s="33" t="str">
        <x:v>Replicated</x:v>
      </x:c>
      <x:c r="I51" s="33" t="n">
        <x:f>1</x:f>
        <x:v>1</x:v>
      </x:c>
      <x:c r="J51" s="34" t="n">
        <x:f>E51*F51*G51/1073741824</x:f>
        <x:v>0.0078125</x:v>
      </x:c>
      <x:c r="K51" s="34" t="n">
        <x:f>J51/I51</x:f>
        <x:v>0.0078125</x:v>
      </x:c>
      <x:c r="L51" s="30"/>
      <x:c r="M51" s="30"/>
      <x:c r="N51" s="30"/>
      <x:c r="O51" s="30"/>
      <x:c r="P51" s="30"/>
    </x:row>
    <x:row r="52">
      <x:c r="A52" s="30" t="str">
        <x:v>Vision</x:v>
      </x:c>
      <x:c r="B52" s="30" t="str">
        <x:v>encoder.wqkv.weight</x:v>
      </x:c>
      <x:c r="C52" s="30" t="str">
        <x:v>[4608, 1024]</x:v>
      </x:c>
      <x:c r="D52" s="30" t="str">
        <x:v>BF16</x:v>
      </x:c>
      <x:c r="E52" s="32" t="n">
        <x:v>2</x:v>
      </x:c>
      <x:c r="F52" s="33" t="n">
        <x:v>27</x:v>
      </x:c>
      <x:c r="G52" s="33" t="n">
        <x:v>4718592</x:v>
      </x:c>
      <x:c r="H52" s="33" t="str">
        <x:v>Replicated</x:v>
      </x:c>
      <x:c r="I52" s="33" t="n">
        <x:f>1</x:f>
        <x:v>1</x:v>
      </x:c>
      <x:c r="J52" s="34" t="n">
        <x:f>E52*F52*G52/1073741824</x:f>
        <x:v>0.2373046875</x:v>
      </x:c>
      <x:c r="K52" s="34" t="n">
        <x:f>J52/I52</x:f>
        <x:v>0.2373046875</x:v>
      </x:c>
      <x:c r="L52" s="30"/>
      <x:c r="M52" s="30"/>
      <x:c r="N52" s="30"/>
      <x:c r="O52" s="30"/>
      <x:c r="P52" s="30"/>
    </x:row>
    <x:row r="53">
      <x:c r="A53" s="30" t="str">
        <x:v>Vision</x:v>
      </x:c>
      <x:c r="B53" s="30" t="str">
        <x:v>encoder.wo.weight</x:v>
      </x:c>
      <x:c r="C53" s="30" t="str">
        <x:v>[1024, 1536]</x:v>
      </x:c>
      <x:c r="D53" s="30" t="str">
        <x:v>BF16</x:v>
      </x:c>
      <x:c r="E53" s="32" t="n">
        <x:v>2</x:v>
      </x:c>
      <x:c r="F53" s="33" t="n">
        <x:v>27</x:v>
      </x:c>
      <x:c r="G53" s="33" t="n">
        <x:v>1572864</x:v>
      </x:c>
      <x:c r="H53" s="33" t="str">
        <x:v>Replicated</x:v>
      </x:c>
      <x:c r="I53" s="33" t="n">
        <x:f>1</x:f>
        <x:v>1</x:v>
      </x:c>
      <x:c r="J53" s="34" t="n">
        <x:f>E53*F53*G53/1073741824</x:f>
        <x:v>0.0791015625</x:v>
      </x:c>
      <x:c r="K53" s="34" t="n">
        <x:f>J53/I53</x:f>
        <x:v>0.0791015625</x:v>
      </x:c>
      <x:c r="L53" s="30"/>
      <x:c r="M53" s="30"/>
      <x:c r="N53" s="30"/>
      <x:c r="O53" s="30"/>
      <x:c r="P53" s="30"/>
    </x:row>
    <x:row r="54">
      <x:c r="A54" s="30" t="str">
        <x:v>Vision</x:v>
      </x:c>
      <x:c r="B54" s="30" t="str">
        <x:v>encoder.mlp.fc0.weight</x:v>
      </x:c>
      <x:c r="C54" s="30" t="str">
        <x:v>[4096, 1024]</x:v>
      </x:c>
      <x:c r="D54" s="30" t="str">
        <x:v>BF16</x:v>
      </x:c>
      <x:c r="E54" s="32" t="n">
        <x:v>2</x:v>
      </x:c>
      <x:c r="F54" s="33" t="n">
        <x:v>27</x:v>
      </x:c>
      <x:c r="G54" s="33" t="n">
        <x:v>4194304</x:v>
      </x:c>
      <x:c r="H54" s="33" t="str">
        <x:v>Replicated</x:v>
      </x:c>
      <x:c r="I54" s="33" t="n">
        <x:f>1</x:f>
        <x:v>1</x:v>
      </x:c>
      <x:c r="J54" s="34" t="n">
        <x:f>E54*F54*G54/1073741824</x:f>
        <x:v>0.2109375</x:v>
      </x:c>
      <x:c r="K54" s="34" t="n">
        <x:f>J54/I54</x:f>
        <x:v>0.2109375</x:v>
      </x:c>
      <x:c r="L54" s="30"/>
      <x:c r="M54" s="30"/>
      <x:c r="N54" s="30"/>
      <x:c r="O54" s="30"/>
      <x:c r="P54" s="30"/>
    </x:row>
    <x:row r="55">
      <x:c r="A55" s="30" t="str">
        <x:v>Vision</x:v>
      </x:c>
      <x:c r="B55" s="30" t="str">
        <x:v>encoder.mlp.fc1.weight</x:v>
      </x:c>
      <x:c r="C55" s="30" t="str">
        <x:v>[1024, 4096]</x:v>
      </x:c>
      <x:c r="D55" s="30" t="str">
        <x:v>BF16</x:v>
      </x:c>
      <x:c r="E55" s="32" t="n">
        <x:v>2</x:v>
      </x:c>
      <x:c r="F55" s="33" t="n">
        <x:v>27</x:v>
      </x:c>
      <x:c r="G55" s="33" t="n">
        <x:v>4194304</x:v>
      </x:c>
      <x:c r="H55" s="33" t="str">
        <x:v>Replicated</x:v>
      </x:c>
      <x:c r="I55" s="33" t="n">
        <x:f>1</x:f>
        <x:v>1</x:v>
      </x:c>
      <x:c r="J55" s="34" t="n">
        <x:f>E55*F55*G55/1073741824</x:f>
        <x:v>0.2109375</x:v>
      </x:c>
      <x:c r="K55" s="34" t="n">
        <x:f>J55/I55</x:f>
        <x:v>0.2109375</x:v>
      </x:c>
      <x:c r="L55" s="30"/>
      <x:c r="M55" s="30"/>
      <x:c r="N55" s="30"/>
      <x:c r="O55" s="30"/>
      <x:c r="P55" s="30"/>
    </x:row>
    <x:row r="56">
      <x:c r="A56" s="30" t="str">
        <x:v>Vision</x:v>
      </x:c>
      <x:c r="B56" s="30" t="str">
        <x:v>encoder.norm0.weight</x:v>
      </x:c>
      <x:c r="C56" s="30" t="str">
        <x:v>[1024]</x:v>
      </x:c>
      <x:c r="D56" s="30" t="str">
        <x:v>BF16</x:v>
      </x:c>
      <x:c r="E56" s="32" t="n">
        <x:v>2</x:v>
      </x:c>
      <x:c r="F56" s="33" t="n">
        <x:v>27</x:v>
      </x:c>
      <x:c r="G56" s="33" t="n">
        <x:v>1024</x:v>
      </x:c>
      <x:c r="H56" s="33" t="str">
        <x:v>Replicated</x:v>
      </x:c>
      <x:c r="I56" s="33" t="n">
        <x:f>1</x:f>
        <x:v>1</x:v>
      </x:c>
      <x:c r="J56" s="34" t="n">
        <x:f>E56*F56*G56/1073741824</x:f>
        <x:v>0.0000514984130859375</x:v>
      </x:c>
      <x:c r="K56" s="34" t="n">
        <x:f>J56/I56</x:f>
        <x:v>0.0000514984130859375</x:v>
      </x:c>
      <x:c r="L56" s="30"/>
      <x:c r="M56" s="30"/>
      <x:c r="N56" s="30"/>
      <x:c r="O56" s="30"/>
      <x:c r="P56" s="30"/>
    </x:row>
    <x:row r="57">
      <x:c r="A57" s="30" t="str">
        <x:v>Vision</x:v>
      </x:c>
      <x:c r="B57" s="30" t="str">
        <x:v>encoder.norm1.weight</x:v>
      </x:c>
      <x:c r="C57" s="30" t="str">
        <x:v>[1024]</x:v>
      </x:c>
      <x:c r="D57" s="30" t="str">
        <x:v>BF16</x:v>
      </x:c>
      <x:c r="E57" s="32" t="n">
        <x:v>2</x:v>
      </x:c>
      <x:c r="F57" s="33" t="n">
        <x:v>27</x:v>
      </x:c>
      <x:c r="G57" s="33" t="n">
        <x:v>1024</x:v>
      </x:c>
      <x:c r="H57" s="33" t="str">
        <x:v>Replicated</x:v>
      </x:c>
      <x:c r="I57" s="33" t="n">
        <x:f>1</x:f>
        <x:v>1</x:v>
      </x:c>
      <x:c r="J57" s="34" t="n">
        <x:f>E57*F57*G57/1073741824</x:f>
        <x:v>0.0000514984130859375</x:v>
      </x:c>
      <x:c r="K57" s="34" t="n">
        <x:f>J57/I57</x:f>
        <x:v>0.0000514984130859375</x:v>
      </x:c>
      <x:c r="L57" s="30"/>
      <x:c r="M57" s="30"/>
      <x:c r="N57" s="30"/>
      <x:c r="O57" s="30"/>
      <x:c r="P57" s="30"/>
    </x:row>
    <x:row r="58">
      <x:c r="A58" s="30" t="str">
        <x:v>Vision</x:v>
      </x:c>
      <x:c r="B58" s="30" t="str">
        <x:v>final_layernorm.weight</x:v>
      </x:c>
      <x:c r="C58" s="30" t="str">
        <x:v>[1024]</x:v>
      </x:c>
      <x:c r="D58" s="30" t="str">
        <x:v>BF16</x:v>
      </x:c>
      <x:c r="E58" s="32" t="n">
        <x:v>2</x:v>
      </x:c>
      <x:c r="F58" s="33" t="n">
        <x:v>1</x:v>
      </x:c>
      <x:c r="G58" s="33" t="n">
        <x:v>1024</x:v>
      </x:c>
      <x:c r="H58" s="33" t="str">
        <x:v>Replicated</x:v>
      </x:c>
      <x:c r="I58" s="33" t="n">
        <x:f>1</x:f>
        <x:v>1</x:v>
      </x:c>
      <x:c r="J58" s="34" t="n">
        <x:f>E58*F58*G58/1073741824</x:f>
        <x:v>0.0000019073486328125</x:v>
      </x:c>
      <x:c r="K58" s="34" t="n">
        <x:f>J58/I58</x:f>
        <x:v>0.0000019073486328125</x:v>
      </x:c>
      <x:c r="L58" s="30"/>
      <x:c r="M58" s="30"/>
      <x:c r="N58" s="30"/>
      <x:c r="O58" s="30"/>
      <x:c r="P58" s="30"/>
    </x:row>
    <x:row r="59">
      <x:c r="A59" s="30" t="str">
        <x:v>MM Projector</x:v>
      </x:c>
      <x:c r="B59" s="30" t="str">
        <x:v>proj.0.weight</x:v>
      </x:c>
      <x:c r="C59" s="30" t="str">
        <x:v>[4096, 4096]</x:v>
      </x:c>
      <x:c r="D59" s="30" t="str">
        <x:v>BF16</x:v>
      </x:c>
      <x:c r="E59" s="32" t="n">
        <x:v>2</x:v>
      </x:c>
      <x:c r="F59" s="33" t="n">
        <x:v>1</x:v>
      </x:c>
      <x:c r="G59" s="33" t="n">
        <x:v>16777216</x:v>
      </x:c>
      <x:c r="H59" s="33" t="str">
        <x:v>Replicated</x:v>
      </x:c>
      <x:c r="I59" s="33" t="n">
        <x:f>1</x:f>
        <x:v>1</x:v>
      </x:c>
      <x:c r="J59" s="34" t="n">
        <x:f>E59*F59*G59/1073741824</x:f>
        <x:v>0.03125</x:v>
      </x:c>
      <x:c r="K59" s="34" t="n">
        <x:f>J59/I59</x:f>
        <x:v>0.03125</x:v>
      </x:c>
      <x:c r="L59" s="30"/>
      <x:c r="M59" s="30"/>
      <x:c r="N59" s="30"/>
      <x:c r="O59" s="30"/>
      <x:c r="P59" s="30"/>
    </x:row>
    <x:row r="60">
      <x:c r="A60" s="30" t="str">
        <x:v>MM Projector</x:v>
      </x:c>
      <x:c r="B60" s="30" t="str">
        <x:v>proj.2.weight</x:v>
      </x:c>
      <x:c r="C60" s="30" t="str">
        <x:v>[7168, 4096]</x:v>
      </x:c>
      <x:c r="D60" s="30" t="str">
        <x:v>BF16</x:v>
      </x:c>
      <x:c r="E60" s="32" t="n">
        <x:v>2</x:v>
      </x:c>
      <x:c r="F60" s="33" t="n">
        <x:v>1</x:v>
      </x:c>
      <x:c r="G60" s="33" t="n">
        <x:v>29360128</x:v>
      </x:c>
      <x:c r="H60" s="33" t="str">
        <x:v>Replicated</x:v>
      </x:c>
      <x:c r="I60" s="33" t="n">
        <x:f>1</x:f>
        <x:v>1</x:v>
      </x:c>
      <x:c r="J60" s="34" t="n">
        <x:f>E60*F60*G60/1073741824</x:f>
        <x:v>0.0546875</x:v>
      </x:c>
      <x:c r="K60" s="34" t="n">
        <x:f>J60/I60</x:f>
        <x:v>0.0546875</x:v>
      </x:c>
      <x:c r="L60" s="30"/>
      <x:c r="M60" s="30"/>
      <x:c r="N60" s="30"/>
      <x:c r="O60" s="30"/>
      <x:c r="P60" s="30"/>
    </x:row>
    <x:row r="61">
      <x:c r="A61" s="30" t="str">
        <x:v>MM Projector</x:v>
      </x:c>
      <x:c r="B61" s="30" t="str">
        <x:v>post_norm.weight</x:v>
      </x:c>
      <x:c r="C61" s="30" t="str">
        <x:v>[7168]</x:v>
      </x:c>
      <x:c r="D61" s="30" t="str">
        <x:v>BF16</x:v>
      </x:c>
      <x:c r="E61" s="32" t="n">
        <x:v>2</x:v>
      </x:c>
      <x:c r="F61" s="33" t="n">
        <x:v>1</x:v>
      </x:c>
      <x:c r="G61" s="33" t="n">
        <x:v>7168</x:v>
      </x:c>
      <x:c r="H61" s="33" t="str">
        <x:v>Replicated</x:v>
      </x:c>
      <x:c r="I61" s="33" t="n">
        <x:f>1</x:f>
        <x:v>1</x:v>
      </x:c>
      <x:c r="J61" s="34" t="n">
        <x:f>E61*F61*G61/1073741824</x:f>
        <x:v>0.0000133514404296875</x:v>
      </x:c>
      <x:c r="K61" s="34" t="n">
        <x:f>J61/I61</x:f>
        <x:v>0.0000133514404296875</x:v>
      </x:c>
      <x:c r="L61" s="30"/>
      <x:c r="M61" s="30"/>
      <x:c r="N61" s="30"/>
      <x:c r="O61" s="30"/>
      <x:c r="P61" s="30"/>
    </x:row>
    <x:row r="62">
      <x:c r="A62" s="40" t="str">
        <x:v>合计</x:v>
      </x:c>
      <x:c r="B62" s="40"/>
      <x:c r="C62" s="40"/>
      <x:c r="D62" s="40"/>
      <x:c r="E62" s="40"/>
      <x:c r="F62" s="40"/>
      <x:c r="G62" s="40"/>
      <x:c r="H62" s="40"/>
      <x:c r="I62" s="40"/>
      <x:c r="J62" s="41" t="n">
        <x:f>SUM(J2:J61)</x:f>
        <x:v>1453.6644563674927</x:v>
      </x:c>
      <x:c r="K62" s="41" t="n">
        <x:f>SUM(K2:K61)</x:f>
        <x:v>191.807095348835</x:v>
      </x:c>
      <x:c r="L62" s="30"/>
      <x:c r="M62" s="30"/>
      <x:c r="N62" s="30"/>
      <x:c r="O62" s="30"/>
      <x:c r="P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</x:row>
    <x:row r="64" ht="30" customHeight="1">
      <x:c r="A64" s="18" t="str">
        <x:v>并行策略</x:v>
      </x:c>
      <x:c r="B64" s="18" t="str">
        <x:v>模块</x:v>
      </x:c>
      <x:c r="C64" s="18" t="str">
        <x:v>通信位置</x:v>
      </x:c>
      <x:c r="D64" s="18" t="str">
        <x:v>Collective</x:v>
      </x:c>
      <x:c r="E64" s="18" t="str">
        <x:v>本 Rank 输入元素/次</x:v>
      </x:c>
      <x:c r="F64" s="18" t="str">
        <x:v>字节/元素</x:v>
      </x:c>
      <x:c r="G64" s="18" t="str">
        <x:v>通信组大小</x:v>
      </x:c>
      <x:c r="H64" s="18" t="str">
        <x:v>次数/Step</x:v>
      </x:c>
      <x:c r="I64" s="18" t="str">
        <x:v>有效负载 MiB/次</x:v>
      </x:c>
      <x:c r="J64" s="18" t="str">
        <x:v>单 Rank 发送 MiB/次</x:v>
      </x:c>
      <x:c r="K64" s="18" t="str">
        <x:v>单 Rank 发送 MiB/Step</x:v>
      </x:c>
      <x:c r="L64" s="18" t="str">
        <x:v>通信组发送 MiB/Step</x:v>
      </x:c>
      <x:c r="M64" s="30"/>
      <x:c r="N64" s="30"/>
      <x:c r="O64" s="30"/>
      <x:c r="P64" s="30"/>
    </x:row>
    <x:row r="65">
      <x:c r="A65" s="30" t="str">
        <x:v>Embedding TP</x:v>
      </x:c>
      <x:c r="B65" s="30" t="str">
        <x:v>Embedding</x:v>
      </x:c>
      <x:c r="C65" s="30" t="str">
        <x:v>标准 TP 输出</x:v>
      </x:c>
      <x:c r="D65" s="30" t="str">
        <x:v>Ring AllReduce</x:v>
      </x:c>
      <x:c r="E65" s="33" t="n">
        <x:f>'Prefill'!$P$7*7168</x:f>
        <x:v>58720256</x:v>
      </x:c>
      <x:c r="F65" s="33" t="n">
        <x:f>'Prefill'!$P$28</x:f>
        <x:v>2</x:v>
      </x:c>
      <x:c r="G65" s="33" t="n">
        <x:f>IF('Prefill'!$P$21&gt;0,'Prefill'!$P$21,'Prefill'!$P$12)</x:f>
        <x:v>8</x:v>
      </x:c>
      <x:c r="H65" s="33" t="n">
        <x:f>IF(AND(IF('Prefill'!$P$21&gt;0,'Prefill'!$P$21,'Prefill'!$P$12)&gt;1,'Prefill'!$P$24=0),1,0)</x:f>
        <x:v>1</x:v>
      </x:c>
      <x:c r="I65" s="34" t="n">
        <x:f>E65*F65/1048576</x:f>
        <x:v>112</x:v>
      </x:c>
      <x:c r="J65" s="34" t="n">
        <x:f>I65*(IF(G65&gt;1,2*(G65-1)/G65,0))</x:f>
        <x:v>196</x:v>
      </x:c>
      <x:c r="K65" s="34" t="n">
        <x:f>J65*H65</x:f>
        <x:v>196</x:v>
      </x:c>
      <x:c r="L65" s="34" t="n">
        <x:f>K65*G65</x:f>
        <x:v>1568</x:v>
      </x:c>
      <x:c r="M65" s="30"/>
      <x:c r="N65" s="30"/>
      <x:c r="O65" s="30"/>
      <x:c r="P65" s="30"/>
    </x:row>
    <x:row r="66">
      <x:c r="A66" s="30" t="str">
        <x:v>Embedding TP</x:v>
      </x:c>
      <x:c r="B66" s="30" t="str">
        <x:v>Embedding</x:v>
      </x:c>
      <x:c r="C66" s="30" t="str">
        <x:v>Fine TP Token ID</x:v>
      </x:c>
      <x:c r="D66" s="30" t="str">
        <x:v>Ring AllGather</x:v>
      </x:c>
      <x:c r="E66" s="33" t="n">
        <x:f>'Prefill'!$P$7</x:f>
        <x:v>8192</x:v>
      </x:c>
      <x:c r="F66" s="33" t="n">
        <x:f>'Prefill'!$P$30</x:f>
        <x:v>8</x:v>
      </x:c>
      <x:c r="G66" s="33" t="n">
        <x:f>IF('Prefill'!$P$21&gt;0,'Prefill'!$P$21,'Prefill'!$P$12)</x:f>
        <x:v>8</x:v>
      </x:c>
      <x:c r="H66" s="33" t="n">
        <x:f>IF(AND(IF('Prefill'!$P$21&gt;0,'Prefill'!$P$21,'Prefill'!$P$12)&gt;1,'Prefill'!$P$24&lt;&gt;0),1,0)</x:f>
        <x:v>0</x:v>
      </x:c>
      <x:c r="I66" s="34" t="n">
        <x:f>E66*F66/1048576</x:f>
        <x:v>0.0625</x:v>
      </x:c>
      <x:c r="J66" s="34" t="n">
        <x:f>I66*(IF(G66&gt;1,G66-1,0))</x:f>
        <x:v>0.4375</x:v>
      </x:c>
      <x:c r="K66" s="34" t="n">
        <x:f>J66*H66</x:f>
        <x:v>0</x:v>
      </x:c>
      <x:c r="L66" s="34" t="n">
        <x:f>K66*G66</x:f>
        <x:v>0</x:v>
      </x:c>
      <x:c r="M66" s="30"/>
      <x:c r="N66" s="30"/>
      <x:c r="O66" s="30"/>
      <x:c r="P66" s="30"/>
    </x:row>
    <x:row r="67">
      <x:c r="A67" s="30" t="str">
        <x:v>Embedding TP</x:v>
      </x:c>
      <x:c r="B67" s="30" t="str">
        <x:v>Embedding</x:v>
      </x:c>
      <x:c r="C67" s="30" t="str">
        <x:v>Fine TP Hidden</x:v>
      </x:c>
      <x:c r="D67" s="30" t="str">
        <x:v>Ring ReduceScatter</x:v>
      </x:c>
      <x:c r="E67" s="33" t="n">
        <x:f>'Prefill'!$P$7*IF('Prefill'!$P$21&gt;0,'Prefill'!$P$21,'Prefill'!$P$12)*7168</x:f>
        <x:v>469762048</x:v>
      </x:c>
      <x:c r="F67" s="33" t="n">
        <x:f>'Prefill'!$P$28</x:f>
        <x:v>2</x:v>
      </x:c>
      <x:c r="G67" s="33" t="n">
        <x:f>IF('Prefill'!$P$21&gt;0,'Prefill'!$P$21,'Prefill'!$P$12)</x:f>
        <x:v>8</x:v>
      </x:c>
      <x:c r="H67" s="33" t="n">
        <x:f>IF(AND(IF('Prefill'!$P$21&gt;0,'Prefill'!$P$21,'Prefill'!$P$12)&gt;1,'Prefill'!$P$24&lt;&gt;0),1,0)</x:f>
        <x:v>0</x:v>
      </x:c>
      <x:c r="I67" s="34" t="n">
        <x:f>E67*F67/1048576</x:f>
        <x:v>896</x:v>
      </x:c>
      <x:c r="J67" s="34" t="n">
        <x:f>I67*(IF(G67&gt;1,(G67-1)/G67,0))</x:f>
        <x:v>784</x:v>
      </x:c>
      <x:c r="K67" s="34" t="n">
        <x:f>J67*H67</x:f>
        <x:v>0</x:v>
      </x:c>
      <x:c r="L67" s="34" t="n">
        <x:f>K67*G67</x:f>
        <x:v>0</x:v>
      </x:c>
      <x:c r="M67" s="30"/>
      <x:c r="N67" s="30"/>
      <x:c r="O67" s="30"/>
      <x:c r="P67" s="30"/>
    </x:row>
    <x:row r="68">
      <x:c r="A68" s="30" t="str">
        <x:v>SP</x:v>
      </x:c>
      <x:c r="B68" s="30" t="str">
        <x:v>Attention</x:v>
      </x:c>
      <x:c r="C68" s="30" t="str">
        <x:v>Attention 前</x:v>
      </x:c>
      <x:c r="D68" s="30" t="str">
        <x:v>Ring AllGather</x:v>
      </x:c>
      <x:c r="E68" s="33" t="n">
        <x:f>((ROUNDUP('Prefill'!$P$7/'Prefill'!$P$12,0)*'Prefill'!$P$12)/'Prefill'!$P$12)*7168</x:f>
        <x:v>7340032</x:v>
      </x:c>
      <x:c r="F68" s="33" t="n">
        <x:f>'Prefill'!$P$28</x:f>
        <x:v>2</x:v>
      </x:c>
      <x:c r="G68" s="33" t="n">
        <x:f>'Prefill'!$P$12</x:f>
        <x:v>8</x:v>
      </x:c>
      <x:c r="H68" s="33" t="n">
        <x:f>93*IF(AND('Prefill'!$P$13&lt;&gt;0,'Prefill'!$P$12&gt;1,'Prefill'!$P$22=0),1,0)</x:f>
        <x:v>93</x:v>
      </x:c>
      <x:c r="I68" s="34" t="n">
        <x:f>E68*F68/1048576</x:f>
        <x:v>14</x:v>
      </x:c>
      <x:c r="J68" s="34" t="n">
        <x:f>I68*(IF(G68&gt;1,G68-1,0))</x:f>
        <x:v>98</x:v>
      </x:c>
      <x:c r="K68" s="34" t="n">
        <x:f>J68*H68</x:f>
        <x:v>9114</x:v>
      </x:c>
      <x:c r="L68" s="34" t="n">
        <x:f>K68*G68</x:f>
        <x:v>72912</x:v>
      </x:c>
      <x:c r="M68" s="30"/>
      <x:c r="N68" s="30"/>
      <x:c r="O68" s="30"/>
      <x:c r="P68" s="30"/>
    </x:row>
    <x:row r="69">
      <x:c r="A69" s="30" t="str">
        <x:v>SP</x:v>
      </x:c>
      <x:c r="B69" s="30" t="str">
        <x:v>Attention</x:v>
      </x:c>
      <x:c r="C69" s="30" t="str">
        <x:v>O Proj 后</x:v>
      </x:c>
      <x:c r="D69" s="30" t="str">
        <x:v>Ring ReduceScatter</x:v>
      </x:c>
      <x:c r="E69" s="33" t="n">
        <x:f>(ROUNDUP('Prefill'!$P$7/'Prefill'!$P$12,0)*'Prefill'!$P$12)*7168</x:f>
        <x:v>58720256</x:v>
      </x:c>
      <x:c r="F69" s="33" t="n">
        <x:f>'Prefill'!$P$28</x:f>
        <x:v>2</x:v>
      </x:c>
      <x:c r="G69" s="33" t="n">
        <x:f>'Prefill'!$P$12</x:f>
        <x:v>8</x:v>
      </x:c>
      <x:c r="H69" s="33" t="n">
        <x:f>93*IF(AND('Prefill'!$P$13&lt;&gt;0,'Prefill'!$P$12&gt;1,'Prefill'!$P$22=0),1,0)</x:f>
        <x:v>93</x:v>
      </x:c>
      <x:c r="I69" s="34" t="n">
        <x:f>E69*F69/1048576</x:f>
        <x:v>112</x:v>
      </x:c>
      <x:c r="J69" s="34" t="n">
        <x:f>I69*(IF(G69&gt;1,(G69-1)/G69,0))</x:f>
        <x:v>98</x:v>
      </x:c>
      <x:c r="K69" s="34" t="n">
        <x:f>J69*H69</x:f>
        <x:v>9114</x:v>
      </x:c>
      <x:c r="L69" s="34" t="n">
        <x:f>K69*G69</x:f>
        <x:v>72912</x:v>
      </x:c>
      <x:c r="M69" s="30"/>
      <x:c r="N69" s="30"/>
      <x:c r="O69" s="30"/>
      <x:c r="P69" s="30"/>
    </x:row>
    <x:row r="70">
      <x:c r="A70" s="30" t="str">
        <x:v>O Proj TP</x:v>
      </x:c>
      <x:c r="B70" s="30" t="str">
        <x:v>Attention</x:v>
      </x:c>
      <x:c r="C70" s="30" t="str">
        <x:v>非 SP 标准 TP</x:v>
      </x:c>
      <x:c r="D70" s="30" t="str">
        <x:v>Ring AllReduce</x:v>
      </x:c>
      <x:c r="E70" s="33" t="n">
        <x:f>'Prefill'!$P$7*7168</x:f>
        <x:v>58720256</x:v>
      </x:c>
      <x:c r="F70" s="33" t="n">
        <x:f>'Prefill'!$P$28</x:f>
        <x:v>2</x:v>
      </x:c>
      <x:c r="G70" s="33" t="n">
        <x:f>IF('Prefill'!$P$19&gt;0,'Prefill'!$P$19,'Prefill'!$P$12)</x:f>
        <x:v>8</x:v>
      </x:c>
      <x:c r="H70" s="33" t="n">
        <x:f>93*IF(AND('Prefill'!$P$13=0,IF('Prefill'!$P$19&gt;0,'Prefill'!$P$19,'Prefill'!$P$12)&gt;1,'Prefill'!$P$22=0),1,0)</x:f>
        <x:v>0</x:v>
      </x:c>
      <x:c r="I70" s="34" t="n">
        <x:f>E70*F70/1048576</x:f>
        <x:v>112</x:v>
      </x:c>
      <x:c r="J70" s="34" t="n">
        <x:f>I70*(IF(G70&gt;1,2*(G70-1)/G70,0))</x:f>
        <x:v>196</x:v>
      </x:c>
      <x:c r="K70" s="34" t="n">
        <x:f>J70*H70</x:f>
        <x:v>0</x:v>
      </x:c>
      <x:c r="L70" s="34" t="n">
        <x:f>K70*G70</x:f>
        <x:v>0</x:v>
      </x:c>
      <x:c r="M70" s="30"/>
      <x:c r="N70" s="30"/>
      <x:c r="O70" s="30"/>
      <x:c r="P70" s="30"/>
    </x:row>
    <x:row r="71">
      <x:c r="A71" s="30" t="str">
        <x:v>Fine O TP</x:v>
      </x:c>
      <x:c r="B71" s="30" t="str">
        <x:v>Attention</x:v>
      </x:c>
      <x:c r="C71" s="30" t="str">
        <x:v>O Proj 输入</x:v>
      </x:c>
      <x:c r="D71" s="30" t="str">
        <x:v>Equal-split AllToAll</x:v>
      </x:c>
      <x:c r="E71" s="33" t="n">
        <x:f>'Prefill'!$P$7*12288</x:f>
        <x:v>100663296</x:v>
      </x:c>
      <x:c r="F71" s="33" t="n">
        <x:f>'Prefill'!$P$28</x:f>
        <x:v>2</x:v>
      </x:c>
      <x:c r="G71" s="33" t="n">
        <x:f>IF('Prefill'!$P$19&gt;0,'Prefill'!$P$19,'Prefill'!$P$12)</x:f>
        <x:v>8</x:v>
      </x:c>
      <x:c r="H71" s="33" t="n">
        <x:f>93*IF(AND(IF('Prefill'!$P$19&gt;0,'Prefill'!$P$19,'Prefill'!$P$12)&gt;1,'Prefill'!$P$22&lt;&gt;0),1,0)</x:f>
        <x:v>0</x:v>
      </x:c>
      <x:c r="I71" s="34" t="n">
        <x:f>E71*F71/1048576</x:f>
        <x:v>192</x:v>
      </x:c>
      <x:c r="J71" s="34" t="n">
        <x:f>I71*(IF(G71&gt;1,(G71-1)/G71,0))</x:f>
        <x:v>168</x:v>
      </x:c>
      <x:c r="K71" s="34" t="n">
        <x:f>J71*H71</x:f>
        <x:v>0</x:v>
      </x:c>
      <x:c r="L71" s="34" t="n">
        <x:f>K71*G71</x:f>
        <x:v>0</x:v>
      </x:c>
      <x:c r="M71" s="30"/>
      <x:c r="N71" s="30"/>
      <x:c r="O71" s="30"/>
      <x:c r="P71" s="30"/>
    </x:row>
    <x:row r="72">
      <x:c r="A72" s="30" t="str">
        <x:v>Fine O TP</x:v>
      </x:c>
      <x:c r="B72" s="30" t="str">
        <x:v>Attention</x:v>
      </x:c>
      <x:c r="C72" s="30" t="str">
        <x:v>O Proj 输出</x:v>
      </x:c>
      <x:c r="D72" s="30" t="str">
        <x:v>Ring ReduceScatter</x:v>
      </x:c>
      <x:c r="E72" s="33" t="n">
        <x:f>'Prefill'!$P$7*IF('Prefill'!$P$19&gt;0,'Prefill'!$P$19,'Prefill'!$P$12)*7168</x:f>
        <x:v>469762048</x:v>
      </x:c>
      <x:c r="F72" s="33" t="n">
        <x:f>'Prefill'!$P$28</x:f>
        <x:v>2</x:v>
      </x:c>
      <x:c r="G72" s="33" t="n">
        <x:f>IF('Prefill'!$P$19&gt;0,'Prefill'!$P$19,'Prefill'!$P$12)</x:f>
        <x:v>8</x:v>
      </x:c>
      <x:c r="H72" s="33" t="n">
        <x:f>93*IF(AND(IF('Prefill'!$P$19&gt;0,'Prefill'!$P$19,'Prefill'!$P$12)&gt;1,'Prefill'!$P$22&lt;&gt;0),1,0)</x:f>
        <x:v>0</x:v>
      </x:c>
      <x:c r="I72" s="34" t="n">
        <x:f>E72*F72/1048576</x:f>
        <x:v>896</x:v>
      </x:c>
      <x:c r="J72" s="34" t="n">
        <x:f>I72*(IF(G72&gt;1,(G72-1)/G72,0))</x:f>
        <x:v>784</x:v>
      </x:c>
      <x:c r="K72" s="34" t="n">
        <x:f>J72*H72</x:f>
        <x:v>0</x:v>
      </x:c>
      <x:c r="L72" s="34" t="n">
        <x:f>K72*G72</x:f>
        <x:v>0</x:v>
      </x:c>
      <x:c r="M72" s="30"/>
      <x:c r="N72" s="30"/>
      <x:c r="O72" s="30"/>
      <x:c r="P72" s="30"/>
    </x:row>
    <x:row r="73">
      <x:c r="A73" s="30" t="str">
        <x:v>SP</x:v>
      </x:c>
      <x:c r="B73" s="30" t="str">
        <x:v>Dense MLP</x:v>
      </x:c>
      <x:c r="C73" s="30" t="str">
        <x:v>Down Proj 输出</x:v>
      </x:c>
      <x:c r="D73" s="30" t="str">
        <x:v>Ring AllReduce</x:v>
      </x:c>
      <x:c r="E73" s="33" t="n">
        <x:f>IF('Prefill'!$P$13&lt;&gt;0,((ROUNDUP('Prefill'!$P$7/'Prefill'!$P$12,0)*'Prefill'!$P$12)/'Prefill'!$P$12),'Prefill'!$P$7)*7168</x:f>
        <x:v>7340032</x:v>
      </x:c>
      <x:c r="F73" s="33" t="n">
        <x:f>'Prefill'!$P$28</x:f>
        <x:v>2</x:v>
      </x:c>
      <x:c r="G73" s="33" t="n">
        <x:f>'Prefill'!$P$12</x:f>
        <x:v>8</x:v>
      </x:c>
      <x:c r="H73" s="33" t="n">
        <x:f>1*IF('Prefill'!$P$12&gt;1,1,0)</x:f>
        <x:v>1</x:v>
      </x:c>
      <x:c r="I73" s="34" t="n">
        <x:f>E73*F73/1048576</x:f>
        <x:v>14</x:v>
      </x:c>
      <x:c r="J73" s="34" t="n">
        <x:f>I73*(IF(G73&gt;1,2*(G73-1)/G73,0))</x:f>
        <x:v>24.5</x:v>
      </x:c>
      <x:c r="K73" s="34" t="n">
        <x:f>J73*H73</x:f>
        <x:v>24.5</x:v>
      </x:c>
      <x:c r="L73" s="34" t="n">
        <x:f>K73*G73</x:f>
        <x:v>196</x:v>
      </x:c>
      <x:c r="M73" s="30"/>
      <x:c r="N73" s="30"/>
      <x:c r="O73" s="30"/>
      <x:c r="P73" s="30"/>
    </x:row>
    <x:row r="74">
      <x:c r="A74" s="30" t="str">
        <x:v>EP</x:v>
      </x:c>
      <x:c r="B74" s="30" t="str">
        <x:v>Routed Experts</x:v>
      </x:c>
      <x:c r="C74" s="30" t="str">
        <x:v>Dispatch Hidden</x:v>
      </x:c>
      <x:c r="D74" s="30" t="str">
        <x:v>AllToAllV（跨 Rank 发送）</x:v>
      </x:c>
      <x:c r="E74" s="33" t="n">
        <x:f>IF('Prefill'!$P$13&lt;&gt;0,((ROUNDUP('Prefill'!$P$7/'Prefill'!$P$12,0)*'Prefill'!$P$12)/'Prefill'!$P$12),'Prefill'!$P$7)*16*'Prefill'!$P$32*7168</x:f>
        <x:v>102760448</x:v>
      </x:c>
      <x:c r="F74" s="33" t="n">
        <x:f>'Prefill'!$P$28</x:f>
        <x:v>2</x:v>
      </x:c>
      <x:c r="G74" s="33" t="n">
        <x:f>'Prefill'!$P$14</x:f>
        <x:v>8</x:v>
      </x:c>
      <x:c r="H74" s="33" t="n">
        <x:f>92*IF('Prefill'!$P$14&gt;1,1,0)</x:f>
        <x:v>92</x:v>
      </x:c>
      <x:c r="I74" s="34" t="n">
        <x:f>E74*F74/1048576</x:f>
        <x:v>196</x:v>
      </x:c>
      <x:c r="J74" s="34" t="n">
        <x:f>I74*(1)</x:f>
        <x:v>196</x:v>
      </x:c>
      <x:c r="K74" s="34" t="n">
        <x:f>J74*H74</x:f>
        <x:v>18032</x:v>
      </x:c>
      <x:c r="L74" s="34" t="n">
        <x:f>K74*G74</x:f>
        <x:v>144256</x:v>
      </x:c>
      <x:c r="M74" s="30"/>
      <x:c r="N74" s="30"/>
      <x:c r="O74" s="30"/>
      <x:c r="P74" s="30"/>
    </x:row>
    <x:row r="75">
      <x:c r="A75" s="30" t="str">
        <x:v>EP</x:v>
      </x:c>
      <x:c r="B75" s="30" t="str">
        <x:v>Routed Experts</x:v>
      </x:c>
      <x:c r="C75" s="30" t="str">
        <x:v>Combine Hidden</x:v>
      </x:c>
      <x:c r="D75" s="30" t="str">
        <x:v>AllToAllV（跨 Rank 发送）</x:v>
      </x:c>
      <x:c r="E75" s="33" t="n">
        <x:f>IF('Prefill'!$P$13&lt;&gt;0,((ROUNDUP('Prefill'!$P$7/'Prefill'!$P$12,0)*'Prefill'!$P$12)/'Prefill'!$P$12),'Prefill'!$P$7)*16*'Prefill'!$P$32*7168</x:f>
        <x:v>102760448</x:v>
      </x:c>
      <x:c r="F75" s="33" t="n">
        <x:f>'Prefill'!$P$28</x:f>
        <x:v>2</x:v>
      </x:c>
      <x:c r="G75" s="33" t="n">
        <x:f>'Prefill'!$P$14</x:f>
        <x:v>8</x:v>
      </x:c>
      <x:c r="H75" s="33" t="n">
        <x:f>92*IF('Prefill'!$P$14&gt;1,1,0)</x:f>
        <x:v>92</x:v>
      </x:c>
      <x:c r="I75" s="34" t="n">
        <x:f>E75*F75/1048576</x:f>
        <x:v>196</x:v>
      </x:c>
      <x:c r="J75" s="34" t="n">
        <x:f>I75*(1)</x:f>
        <x:v>196</x:v>
      </x:c>
      <x:c r="K75" s="34" t="n">
        <x:f>J75*H75</x:f>
        <x:v>18032</x:v>
      </x:c>
      <x:c r="L75" s="34" t="n">
        <x:f>K75*G75</x:f>
        <x:v>144256</x:v>
      </x:c>
      <x:c r="M75" s="30"/>
      <x:c r="N75" s="30"/>
      <x:c r="O75" s="30"/>
      <x:c r="P75" s="30"/>
    </x:row>
    <x:row r="76">
      <x:c r="A76" s="30" t="str">
        <x:v>DP</x:v>
      </x:c>
      <x:c r="B76" s="30" t="str">
        <x:v>MoE</x:v>
      </x:c>
      <x:c r="C76" s="30" t="str">
        <x:v>Hidden 输入</x:v>
      </x:c>
      <x:c r="D76" s="30" t="str">
        <x:v>Ring AllGather</x:v>
      </x:c>
      <x:c r="E76" s="33" t="n">
        <x:f>'Prefill'!$P$7*7168</x:f>
        <x:v>58720256</x:v>
      </x:c>
      <x:c r="F76" s="33" t="n">
        <x:f>'Prefill'!$P$28</x:f>
        <x:v>2</x:v>
      </x:c>
      <x:c r="G76" s="33" t="n">
        <x:f>'Prefill'!$P$11</x:f>
        <x:v>1</x:v>
      </x:c>
      <x:c r="H76" s="33" t="n">
        <x:f>92*IF(AND('Prefill'!$P$11&gt;1,'Prefill'!$P$14=1),1,0)</x:f>
        <x:v>0</x:v>
      </x:c>
      <x:c r="I76" s="34" t="n">
        <x:f>E76*F76/1048576</x:f>
        <x:v>112</x:v>
      </x:c>
      <x:c r="J76" s="34" t="n">
        <x:f>I76*(IF(G76&gt;1,G76-1,0))</x:f>
        <x:v>0</x:v>
      </x:c>
      <x:c r="K76" s="34" t="n">
        <x:f>J76*H76</x:f>
        <x:v>0</x:v>
      </x:c>
      <x:c r="L76" s="34" t="n">
        <x:f>K76*G76</x:f>
        <x:v>0</x:v>
      </x:c>
      <x:c r="M76" s="30"/>
      <x:c r="N76" s="30"/>
      <x:c r="O76" s="30"/>
      <x:c r="P76" s="30"/>
    </x:row>
    <x:row r="77">
      <x:c r="A77" s="30" t="str">
        <x:v>DP</x:v>
      </x:c>
      <x:c r="B77" s="30" t="str">
        <x:v>MoE Router</x:v>
      </x:c>
      <x:c r="C77" s="30" t="str">
        <x:v>Router Logits</x:v>
      </x:c>
      <x:c r="D77" s="30" t="str">
        <x:v>Ring AllGather</x:v>
      </x:c>
      <x:c r="E77" s="33" t="n">
        <x:f>'Prefill'!$P$7*896</x:f>
        <x:v>7340032</x:v>
      </x:c>
      <x:c r="F77" s="33" t="n">
        <x:f>'Prefill'!$P$28</x:f>
        <x:v>2</x:v>
      </x:c>
      <x:c r="G77" s="33" t="n">
        <x:f>'Prefill'!$P$11</x:f>
        <x:v>1</x:v>
      </x:c>
      <x:c r="H77" s="33" t="n">
        <x:f>92*IF(AND('Prefill'!$P$11&gt;1,'Prefill'!$P$14=1),1,0)</x:f>
        <x:v>0</x:v>
      </x:c>
      <x:c r="I77" s="34" t="n">
        <x:f>E77*F77/1048576</x:f>
        <x:v>14</x:v>
      </x:c>
      <x:c r="J77" s="34" t="n">
        <x:f>I77*(IF(G77&gt;1,G77-1,0))</x:f>
        <x:v>0</x:v>
      </x:c>
      <x:c r="K77" s="34" t="n">
        <x:f>J77*H77</x:f>
        <x:v>0</x:v>
      </x:c>
      <x:c r="L77" s="34" t="n">
        <x:f>K77*G77</x:f>
        <x:v>0</x:v>
      </x:c>
      <x:c r="M77" s="30"/>
      <x:c r="N77" s="30"/>
      <x:c r="O77" s="30"/>
      <x:c r="P77" s="30"/>
    </x:row>
    <x:row r="78">
      <x:c r="A78" s="30" t="str">
        <x:v>DP</x:v>
      </x:c>
      <x:c r="B78" s="30" t="str">
        <x:v>MoE</x:v>
      </x:c>
      <x:c r="C78" s="30" t="str">
        <x:v>Routed Expert 输出</x:v>
      </x:c>
      <x:c r="D78" s="30" t="str">
        <x:v>Ring ReduceScatter</x:v>
      </x:c>
      <x:c r="E78" s="33" t="n">
        <x:f>'Prefill'!$P$7*'Prefill'!$P$11*7168</x:f>
        <x:v>58720256</x:v>
      </x:c>
      <x:c r="F78" s="33" t="n">
        <x:f>'Prefill'!$P$28</x:f>
        <x:v>2</x:v>
      </x:c>
      <x:c r="G78" s="33" t="n">
        <x:f>'Prefill'!$P$11</x:f>
        <x:v>1</x:v>
      </x:c>
      <x:c r="H78" s="33" t="n">
        <x:f>92*IF(AND('Prefill'!$P$11&gt;1,'Prefill'!$P$14=1),1,0)</x:f>
        <x:v>0</x:v>
      </x:c>
      <x:c r="I78" s="34" t="n">
        <x:f>E78*F78/1048576</x:f>
        <x:v>112</x:v>
      </x:c>
      <x:c r="J78" s="34" t="n">
        <x:f>I78*(IF(G78&gt;1,(G78-1)/G78,0))</x:f>
        <x:v>0</x:v>
      </x:c>
      <x:c r="K78" s="34" t="n">
        <x:f>J78*H78</x:f>
        <x:v>0</x:v>
      </x:c>
      <x:c r="L78" s="34" t="n">
        <x:f>K78*G78</x:f>
        <x:v>0</x:v>
      </x:c>
      <x:c r="M78" s="30"/>
      <x:c r="N78" s="30"/>
      <x:c r="O78" s="30"/>
      <x:c r="P78" s="30"/>
    </x:row>
    <x:row r="79">
      <x:c r="A79" s="30" t="str">
        <x:v>共享专家 TP</x:v>
      </x:c>
      <x:c r="B79" s="30" t="str">
        <x:v>Shared Experts</x:v>
      </x:c>
      <x:c r="C79" s="30" t="str">
        <x:v>SP 输入</x:v>
      </x:c>
      <x:c r="D79" s="30" t="str">
        <x:v>Ring AllGather</x:v>
      </x:c>
      <x:c r="E79" s="33" t="n">
        <x:f>((ROUNDUP('Prefill'!$P$7/'Prefill'!$P$12,0)*'Prefill'!$P$12)/'Prefill'!$P$12)*7168</x:f>
        <x:v>7340032</x:v>
      </x:c>
      <x:c r="F79" s="33" t="n">
        <x:f>'Prefill'!$P$28</x:f>
        <x:v>2</x:v>
      </x:c>
      <x:c r="G79" s="33" t="n">
        <x:f>IF('Prefill'!$P$17="TP",'Prefill'!$P$18,1)</x:f>
        <x:v>8</x:v>
      </x:c>
      <x:c r="H79" s="33" t="n">
        <x:f>92*IF(AND('Prefill'!$P$17="TP",IF('Prefill'!$P$17="TP",'Prefill'!$P$18,1)&gt;1,'Prefill'!$P$13&lt;&gt;0),1,0)</x:f>
        <x:v>92</x:v>
      </x:c>
      <x:c r="I79" s="34" t="n">
        <x:f>E79*F79/1048576</x:f>
        <x:v>14</x:v>
      </x:c>
      <x:c r="J79" s="34" t="n">
        <x:f>I79*(IF(G79&gt;1,G79-1,0))</x:f>
        <x:v>98</x:v>
      </x:c>
      <x:c r="K79" s="34" t="n">
        <x:f>J79*H79</x:f>
        <x:v>9016</x:v>
      </x:c>
      <x:c r="L79" s="34" t="n">
        <x:f>K79*G79</x:f>
        <x:v>72128</x:v>
      </x:c>
      <x:c r="M79" s="30"/>
      <x:c r="N79" s="30"/>
      <x:c r="O79" s="30"/>
      <x:c r="P79" s="30"/>
    </x:row>
    <x:row r="80">
      <x:c r="A80" s="30" t="str">
        <x:v>共享专家 TP</x:v>
      </x:c>
      <x:c r="B80" s="30" t="str">
        <x:v>Shared Experts</x:v>
      </x:c>
      <x:c r="C80" s="30" t="str">
        <x:v>SP 输出</x:v>
      </x:c>
      <x:c r="D80" s="30" t="str">
        <x:v>Ring ReduceScatter</x:v>
      </x:c>
      <x:c r="E80" s="33" t="n">
        <x:f>(ROUNDUP('Prefill'!$P$7/'Prefill'!$P$12,0)*'Prefill'!$P$12)*7168</x:f>
        <x:v>58720256</x:v>
      </x:c>
      <x:c r="F80" s="33" t="n">
        <x:f>'Prefill'!$P$28</x:f>
        <x:v>2</x:v>
      </x:c>
      <x:c r="G80" s="33" t="n">
        <x:f>IF('Prefill'!$P$17="TP",'Prefill'!$P$18,1)</x:f>
        <x:v>8</x:v>
      </x:c>
      <x:c r="H80" s="33" t="n">
        <x:f>92*IF(AND('Prefill'!$P$17="TP",IF('Prefill'!$P$17="TP",'Prefill'!$P$18,1)&gt;1,'Prefill'!$P$13&lt;&gt;0),1,0)</x:f>
        <x:v>92</x:v>
      </x:c>
      <x:c r="I80" s="34" t="n">
        <x:f>E80*F80/1048576</x:f>
        <x:v>112</x:v>
      </x:c>
      <x:c r="J80" s="34" t="n">
        <x:f>I80*(IF(G80&gt;1,(G80-1)/G80,0))</x:f>
        <x:v>98</x:v>
      </x:c>
      <x:c r="K80" s="34" t="n">
        <x:f>J80*H80</x:f>
        <x:v>9016</x:v>
      </x:c>
      <x:c r="L80" s="34" t="n">
        <x:f>K80*G80</x:f>
        <x:v>72128</x:v>
      </x:c>
      <x:c r="M80" s="30"/>
      <x:c r="N80" s="30"/>
      <x:c r="O80" s="30"/>
      <x:c r="P80" s="30"/>
    </x:row>
    <x:row r="81">
      <x:c r="A81" s="30" t="str">
        <x:v>共享专家 TP</x:v>
      </x:c>
      <x:c r="B81" s="30" t="str">
        <x:v>Shared Experts</x:v>
      </x:c>
      <x:c r="C81" s="30" t="str">
        <x:v>非 SP 输出</x:v>
      </x:c>
      <x:c r="D81" s="30" t="str">
        <x:v>Ring AllReduce</x:v>
      </x:c>
      <x:c r="E81" s="33" t="n">
        <x:f>'Prefill'!$P$7*7168</x:f>
        <x:v>58720256</x:v>
      </x:c>
      <x:c r="F81" s="33" t="n">
        <x:f>'Prefill'!$P$28</x:f>
        <x:v>2</x:v>
      </x:c>
      <x:c r="G81" s="33" t="n">
        <x:f>IF('Prefill'!$P$17="TP",'Prefill'!$P$18,1)</x:f>
        <x:v>8</x:v>
      </x:c>
      <x:c r="H81" s="33" t="n">
        <x:f>92*IF(AND('Prefill'!$P$17="TP",IF('Prefill'!$P$17="TP",'Prefill'!$P$18,1)&gt;1,'Prefill'!$P$13=0),1,0)</x:f>
        <x:v>0</x:v>
      </x:c>
      <x:c r="I81" s="34" t="n">
        <x:f>E81*F81/1048576</x:f>
        <x:v>112</x:v>
      </x:c>
      <x:c r="J81" s="34" t="n">
        <x:f>I81*(IF(G81&gt;1,2*(G81-1)/G81,0))</x:f>
        <x:v>196</x:v>
      </x:c>
      <x:c r="K81" s="34" t="n">
        <x:f>J81*H81</x:f>
        <x:v>0</x:v>
      </x:c>
      <x:c r="L81" s="34" t="n">
        <x:f>K81*G81</x:f>
        <x:v>0</x:v>
      </x:c>
      <x:c r="M81" s="30"/>
      <x:c r="N81" s="30"/>
      <x:c r="O81" s="30"/>
      <x:c r="P81" s="30"/>
    </x:row>
    <x:row r="82">
      <x:c r="A82" s="30" t="str">
        <x:v>PCP</x:v>
      </x:c>
      <x:c r="B82" s="30" t="str">
        <x:v>MoE</x:v>
      </x:c>
      <x:c r="C82" s="30" t="str">
        <x:v>Hidden 输入</x:v>
      </x:c>
      <x:c r="D82" s="30" t="str">
        <x:v>Ring AllGather</x:v>
      </x:c>
      <x:c r="E82" s="33" t="n">
        <x:f>((ROUNDUP('Prefill'!$P$7/'Prefill'!$P$15,0)*'Prefill'!$P$15)/'Prefill'!$P$15)*7168</x:f>
        <x:v>58720256</x:v>
      </x:c>
      <x:c r="F82" s="33" t="n">
        <x:f>'Prefill'!$P$28</x:f>
        <x:v>2</x:v>
      </x:c>
      <x:c r="G82" s="33" t="n">
        <x:f>'Prefill'!$P$15</x:f>
        <x:v>1</x:v>
      </x:c>
      <x:c r="H82" s="33" t="n">
        <x:f>92*IF('Prefill'!$P$15&gt;1,1,0)</x:f>
        <x:v>0</x:v>
      </x:c>
      <x:c r="I82" s="34" t="n">
        <x:f>E82*F82/1048576</x:f>
        <x:v>112</x:v>
      </x:c>
      <x:c r="J82" s="34" t="n">
        <x:f>I82*(IF(G82&gt;1,G82-1,0))</x:f>
        <x:v>0</x:v>
      </x:c>
      <x:c r="K82" s="34" t="n">
        <x:f>J82*H82</x:f>
        <x:v>0</x:v>
      </x:c>
      <x:c r="L82" s="34" t="n">
        <x:f>K82*G82</x:f>
        <x:v>0</x:v>
      </x:c>
      <x:c r="M82" s="30"/>
      <x:c r="N82" s="30"/>
      <x:c r="O82" s="30"/>
      <x:c r="P82" s="30"/>
    </x:row>
    <x:row r="83">
      <x:c r="A83" s="30" t="str">
        <x:v>PCP</x:v>
      </x:c>
      <x:c r="B83" s="30" t="str">
        <x:v>MoE Router</x:v>
      </x:c>
      <x:c r="C83" s="30" t="str">
        <x:v>Router Logits</x:v>
      </x:c>
      <x:c r="D83" s="30" t="str">
        <x:v>Ring AllGather</x:v>
      </x:c>
      <x:c r="E83" s="33" t="n">
        <x:f>((ROUNDUP('Prefill'!$P$7/'Prefill'!$P$15,0)*'Prefill'!$P$15)/'Prefill'!$P$15)*896</x:f>
        <x:v>7340032</x:v>
      </x:c>
      <x:c r="F83" s="33" t="n">
        <x:f>'Prefill'!$P$28</x:f>
        <x:v>2</x:v>
      </x:c>
      <x:c r="G83" s="33" t="n">
        <x:f>'Prefill'!$P$15</x:f>
        <x:v>1</x:v>
      </x:c>
      <x:c r="H83" s="33" t="n">
        <x:f>92*IF('Prefill'!$P$15&gt;1,1,0)</x:f>
        <x:v>0</x:v>
      </x:c>
      <x:c r="I83" s="34" t="n">
        <x:f>E83*F83/1048576</x:f>
        <x:v>14</x:v>
      </x:c>
      <x:c r="J83" s="34" t="n">
        <x:f>I83*(IF(G83&gt;1,G83-1,0))</x:f>
        <x:v>0</x:v>
      </x:c>
      <x:c r="K83" s="34" t="n">
        <x:f>J83*H83</x:f>
        <x:v>0</x:v>
      </x:c>
      <x:c r="L83" s="34" t="n">
        <x:f>K83*G83</x:f>
        <x:v>0</x:v>
      </x:c>
      <x:c r="M83" s="30"/>
      <x:c r="N83" s="30"/>
      <x:c r="O83" s="30"/>
      <x:c r="P83" s="30"/>
    </x:row>
    <x:row r="84">
      <x:c r="A84" s="30" t="str">
        <x:v>PCP</x:v>
      </x:c>
      <x:c r="B84" s="30" t="str">
        <x:v>MoE</x:v>
      </x:c>
      <x:c r="C84" s="30" t="str">
        <x:v>Routed Expert 输出</x:v>
      </x:c>
      <x:c r="D84" s="30" t="str">
        <x:v>Ring ReduceScatter</x:v>
      </x:c>
      <x:c r="E84" s="33" t="n">
        <x:f>(ROUNDUP('Prefill'!$P$7/'Prefill'!$P$15,0)*'Prefill'!$P$15)*7168</x:f>
        <x:v>58720256</x:v>
      </x:c>
      <x:c r="F84" s="33" t="n">
        <x:f>'Prefill'!$P$28</x:f>
        <x:v>2</x:v>
      </x:c>
      <x:c r="G84" s="33" t="n">
        <x:f>'Prefill'!$P$15</x:f>
        <x:v>1</x:v>
      </x:c>
      <x:c r="H84" s="33" t="n">
        <x:f>92*IF('Prefill'!$P$15&gt;1,1,0)</x:f>
        <x:v>0</x:v>
      </x:c>
      <x:c r="I84" s="34" t="n">
        <x:f>E84*F84/1048576</x:f>
        <x:v>112</x:v>
      </x:c>
      <x:c r="J84" s="34" t="n">
        <x:f>I84*(IF(G84&gt;1,(G84-1)/G84,0))</x:f>
        <x:v>0</x:v>
      </x:c>
      <x:c r="K84" s="34" t="n">
        <x:f>J84*H84</x:f>
        <x:v>0</x:v>
      </x:c>
      <x:c r="L84" s="34" t="n">
        <x:f>K84*G84</x:f>
        <x:v>0</x:v>
      </x:c>
      <x:c r="M84" s="30"/>
      <x:c r="N84" s="30"/>
      <x:c r="O84" s="30"/>
      <x:c r="P84" s="30"/>
    </x:row>
    <x:row r="85">
      <x:c r="A85" s="30" t="str">
        <x:v>PCP</x:v>
      </x:c>
      <x:c r="B85" s="30" t="str">
        <x:v>Attention KV</x:v>
      </x:c>
      <x:c r="C85" s="30" t="str">
        <x:v>KV Cache 写入前</x:v>
      </x:c>
      <x:c r="D85" s="30" t="str">
        <x:v>Ring AllGather</x:v>
      </x:c>
      <x:c r="E85" s="33" t="n">
        <x:f>((ROUNDUP('Prefill'!$P$7/'Prefill'!$P$15,0)*'Prefill'!$P$15)/'Prefill'!$P$15)*576</x:f>
        <x:v>4718592</x:v>
      </x:c>
      <x:c r="F85" s="33" t="n">
        <x:f>'Prefill'!$P$28</x:f>
        <x:v>2</x:v>
      </x:c>
      <x:c r="G85" s="33" t="n">
        <x:f>'Prefill'!$P$15</x:f>
        <x:v>1</x:v>
      </x:c>
      <x:c r="H85" s="33" t="n">
        <x:f>93*IF('Prefill'!$P$15&gt;1,1,0)</x:f>
        <x:v>0</x:v>
      </x:c>
      <x:c r="I85" s="34" t="n">
        <x:f>E85*F85/1048576</x:f>
        <x:v>9</x:v>
      </x:c>
      <x:c r="J85" s="34" t="n">
        <x:f>I85*(IF(G85&gt;1,G85-1,0))</x:f>
        <x:v>0</x:v>
      </x:c>
      <x:c r="K85" s="34" t="n">
        <x:f>J85*H85</x:f>
        <x:v>0</x:v>
      </x:c>
      <x:c r="L85" s="34" t="n">
        <x:f>K85*G85</x:f>
        <x:v>0</x:v>
      </x:c>
      <x:c r="M85" s="30"/>
      <x:c r="N85" s="30"/>
      <x:c r="O85" s="30"/>
      <x:c r="P85" s="30"/>
    </x:row>
    <x:row r="86">
      <x:c r="A86" s="30" t="str">
        <x:v>SP</x:v>
      </x:c>
      <x:c r="B86" s="30" t="str">
        <x:v>Model Output</x:v>
      </x:c>
      <x:c r="C86" s="30" t="str">
        <x:v>Final Norm 后</x:v>
      </x:c>
      <x:c r="D86" s="30" t="str">
        <x:v>Ring AllGather</x:v>
      </x:c>
      <x:c r="E86" s="33" t="n">
        <x:f>((ROUNDUP('Prefill'!$P$7/'Prefill'!$P$12,0)*'Prefill'!$P$12)/'Prefill'!$P$12)*7168</x:f>
        <x:v>7340032</x:v>
      </x:c>
      <x:c r="F86" s="33" t="n">
        <x:f>'Prefill'!$P$28</x:f>
        <x:v>2</x:v>
      </x:c>
      <x:c r="G86" s="33" t="n">
        <x:f>'Prefill'!$P$12</x:f>
        <x:v>8</x:v>
      </x:c>
      <x:c r="H86" s="33" t="n">
        <x:f>IF(AND('Prefill'!$P$13&lt;&gt;0,'Prefill'!$P$12&gt;1),1,0)</x:f>
        <x:v>1</x:v>
      </x:c>
      <x:c r="I86" s="34" t="n">
        <x:f>E86*F86/1048576</x:f>
        <x:v>14</x:v>
      </x:c>
      <x:c r="J86" s="34" t="n">
        <x:f>I86*(IF(G86&gt;1,G86-1,0))</x:f>
        <x:v>98</x:v>
      </x:c>
      <x:c r="K86" s="34" t="n">
        <x:f>J86*H86</x:f>
        <x:v>98</x:v>
      </x:c>
      <x:c r="L86" s="34" t="n">
        <x:f>K86*G86</x:f>
        <x:v>784</x:v>
      </x:c>
      <x:c r="M86" s="30"/>
      <x:c r="N86" s="30"/>
      <x:c r="O86" s="30"/>
      <x:c r="P86" s="30"/>
    </x:row>
    <x:row r="87">
      <x:c r="A87" s="30" t="str">
        <x:v>LM Head TP</x:v>
      </x:c>
      <x:c r="B87" s="30" t="str">
        <x:v>LM Head</x:v>
      </x:c>
      <x:c r="C87" s="30" t="str">
        <x:v>完整 Logits</x:v>
      </x:c>
      <x:c r="D87" s="30" t="str">
        <x:v>Ring AllGather</x:v>
      </x:c>
      <x:c r="E87" s="33" t="n">
        <x:f>'Prefill'!$P$8*163840/IF('Prefill'!$P$20&gt;0,'Prefill'!$P$20,'Prefill'!$P$12)</x:f>
        <x:v>2621440</x:v>
      </x:c>
      <x:c r="F87" s="33" t="n">
        <x:f>'Prefill'!$P$28</x:f>
        <x:v>2</x:v>
      </x:c>
      <x:c r="G87" s="33" t="n">
        <x:f>IF('Prefill'!$P$20&gt;0,'Prefill'!$P$20,'Prefill'!$P$12)</x:f>
        <x:v>8</x:v>
      </x:c>
      <x:c r="H87" s="33" t="n">
        <x:f>IF(AND(IF('Prefill'!$P$20&gt;0,'Prefill'!$P$20,'Prefill'!$P$12)&gt;1,'Prefill'!$P$23=0,'Prefill'!$P$33=0),1,0)</x:f>
        <x:v>0</x:v>
      </x:c>
      <x:c r="I87" s="34" t="n">
        <x:f>E87*F87/1048576</x:f>
        <x:v>5</x:v>
      </x:c>
      <x:c r="J87" s="34" t="n">
        <x:f>I87*(IF(G87&gt;1,G87-1,0))</x:f>
        <x:v>35</x:v>
      </x:c>
      <x:c r="K87" s="34" t="n">
        <x:f>J87*H87</x:f>
        <x:v>0</x:v>
      </x:c>
      <x:c r="L87" s="34" t="n">
        <x:f>K87*G87</x:f>
        <x:v>0</x:v>
      </x:c>
      <x:c r="M87" s="30"/>
      <x:c r="N87" s="30"/>
      <x:c r="O87" s="30"/>
      <x:c r="P87" s="30"/>
    </x:row>
    <x:row r="88">
      <x:c r="A88" s="30" t="str">
        <x:v>LM Head TP</x:v>
      </x:c>
      <x:c r="B88" s="30" t="str">
        <x:v>LM Head</x:v>
      </x:c>
      <x:c r="C88" s="30" t="str">
        <x:v>Reduce Sample</x:v>
      </x:c>
      <x:c r="D88" s="30" t="str">
        <x:v>Ring AllGather</x:v>
      </x:c>
      <x:c r="E88" s="33" t="n">
        <x:f>'Prefill'!$P$8*'Prefill'!$P$34</x:f>
        <x:v>32768</x:v>
      </x:c>
      <x:c r="F88" s="33" t="n">
        <x:f>('Prefill'!$P$28+'Prefill'!$P$31)</x:f>
        <x:v>6</x:v>
      </x:c>
      <x:c r="G88" s="33" t="n">
        <x:f>IF('Prefill'!$P$20&gt;0,'Prefill'!$P$20,'Prefill'!$P$12)</x:f>
        <x:v>8</x:v>
      </x:c>
      <x:c r="H88" s="33" t="n">
        <x:f>IF(AND(IF('Prefill'!$P$20&gt;0,'Prefill'!$P$20,'Prefill'!$P$12)&gt;1,'Prefill'!$P$23=0,'Prefill'!$P$33&lt;&gt;0),1,0)</x:f>
        <x:v>1</x:v>
      </x:c>
      <x:c r="I88" s="34" t="n">
        <x:f>E88*F88/1048576</x:f>
        <x:v>0.1875</x:v>
      </x:c>
      <x:c r="J88" s="34" t="n">
        <x:f>I88*(IF(G88&gt;1,G88-1,0))</x:f>
        <x:v>1.3125</x:v>
      </x:c>
      <x:c r="K88" s="34" t="n">
        <x:f>J88*H88</x:f>
        <x:v>1.3125</x:v>
      </x:c>
      <x:c r="L88" s="34" t="n">
        <x:f>K88*G88</x:f>
        <x:v>10.5</x:v>
      </x:c>
      <x:c r="M88" s="30"/>
      <x:c r="N88" s="30"/>
      <x:c r="O88" s="30"/>
      <x:c r="P88" s="30"/>
    </x:row>
    <x:row r="89">
      <x:c r="A89" s="30" t="str">
        <x:v>Fine LM Head TP</x:v>
      </x:c>
      <x:c r="B89" s="30" t="str">
        <x:v>LM Head</x:v>
      </x:c>
      <x:c r="C89" s="30" t="str">
        <x:v>Hidden 输入</x:v>
      </x:c>
      <x:c r="D89" s="30" t="str">
        <x:v>Ring AllGather</x:v>
      </x:c>
      <x:c r="E89" s="33" t="n">
        <x:f>'Prefill'!$P$8*7168</x:f>
        <x:v>917504</x:v>
      </x:c>
      <x:c r="F89" s="33" t="n">
        <x:f>'Prefill'!$P$28</x:f>
        <x:v>2</x:v>
      </x:c>
      <x:c r="G89" s="33" t="n">
        <x:f>IF('Prefill'!$P$20&gt;0,'Prefill'!$P$20,'Prefill'!$P$12)</x:f>
        <x:v>8</x:v>
      </x:c>
      <x:c r="H89" s="33" t="n">
        <x:f>IF(AND(IF('Prefill'!$P$20&gt;0,'Prefill'!$P$20,'Prefill'!$P$12)&gt;1,'Prefill'!$P$23&lt;&gt;0),1,0)</x:f>
        <x:v>0</x:v>
      </x:c>
      <x:c r="I89" s="34" t="n">
        <x:f>E89*F89/1048576</x:f>
        <x:v>1.75</x:v>
      </x:c>
      <x:c r="J89" s="34" t="n">
        <x:f>I89*(IF(G89&gt;1,G89-1,0))</x:f>
        <x:v>12.25</x:v>
      </x:c>
      <x:c r="K89" s="34" t="n">
        <x:f>J89*H89</x:f>
        <x:v>0</x:v>
      </x:c>
      <x:c r="L89" s="34" t="n">
        <x:f>K89*G89</x:f>
        <x:v>0</x:v>
      </x:c>
      <x:c r="M89" s="30"/>
      <x:c r="N89" s="30"/>
      <x:c r="O89" s="30"/>
      <x:c r="P89" s="30"/>
    </x:row>
    <x:row r="90">
      <x:c r="A90" s="30" t="str">
        <x:v>Fine LM Head TP</x:v>
      </x:c>
      <x:c r="B90" s="30" t="str">
        <x:v>LM Head</x:v>
      </x:c>
      <x:c r="C90" s="30" t="str">
        <x:v>完整 Logits</x:v>
      </x:c>
      <x:c r="D90" s="30" t="str">
        <x:v>Equal-split AllToAll</x:v>
      </x:c>
      <x:c r="E90" s="33" t="n">
        <x:f>'Prefill'!$P$8*163840</x:f>
        <x:v>20971520</x:v>
      </x:c>
      <x:c r="F90" s="33" t="n">
        <x:f>'Prefill'!$P$28</x:f>
        <x:v>2</x:v>
      </x:c>
      <x:c r="G90" s="33" t="n">
        <x:f>IF('Prefill'!$P$20&gt;0,'Prefill'!$P$20,'Prefill'!$P$12)</x:f>
        <x:v>8</x:v>
      </x:c>
      <x:c r="H90" s="33" t="n">
        <x:f>IF(AND(IF('Prefill'!$P$20&gt;0,'Prefill'!$P$20,'Prefill'!$P$12)&gt;1,'Prefill'!$P$23&lt;&gt;0,'Prefill'!$P$33=0),1,0)</x:f>
        <x:v>0</x:v>
      </x:c>
      <x:c r="I90" s="34" t="n">
        <x:f>E90*F90/1048576</x:f>
        <x:v>40</x:v>
      </x:c>
      <x:c r="J90" s="34" t="n">
        <x:f>I90*(IF(G90&gt;1,(G90-1)/G90,0))</x:f>
        <x:v>35</x:v>
      </x:c>
      <x:c r="K90" s="34" t="n">
        <x:f>J90*H90</x:f>
        <x:v>0</x:v>
      </x:c>
      <x:c r="L90" s="34" t="n">
        <x:f>K90*G90</x:f>
        <x:v>0</x:v>
      </x:c>
      <x:c r="M90" s="30"/>
      <x:c r="N90" s="30"/>
      <x:c r="O90" s="30"/>
      <x:c r="P90" s="30"/>
    </x:row>
    <x:row r="91">
      <x:c r="A91" s="30" t="str">
        <x:v>Fine LM Head TP</x:v>
      </x:c>
      <x:c r="B91" s="30" t="str">
        <x:v>LM Head</x:v>
      </x:c>
      <x:c r="C91" s="30" t="str">
        <x:v>Reduce Sample</x:v>
      </x:c>
      <x:c r="D91" s="30" t="str">
        <x:v>Ring AllGather</x:v>
      </x:c>
      <x:c r="E91" s="33" t="n">
        <x:f>'Prefill'!$P$8*'Prefill'!$P$34</x:f>
        <x:v>32768</x:v>
      </x:c>
      <x:c r="F91" s="33" t="n">
        <x:f>('Prefill'!$P$28+'Prefill'!$P$31)</x:f>
        <x:v>6</x:v>
      </x:c>
      <x:c r="G91" s="33" t="n">
        <x:f>IF('Prefill'!$P$20&gt;0,'Prefill'!$P$20,'Prefill'!$P$12)</x:f>
        <x:v>8</x:v>
      </x:c>
      <x:c r="H91" s="33" t="n">
        <x:f>IF(AND(IF('Prefill'!$P$20&gt;0,'Prefill'!$P$20,'Prefill'!$P$12)&gt;1,'Prefill'!$P$23&lt;&gt;0,'Prefill'!$P$33&lt;&gt;0),1,0)</x:f>
        <x:v>0</x:v>
      </x:c>
      <x:c r="I91" s="34" t="n">
        <x:f>E91*F91/1048576</x:f>
        <x:v>0.1875</x:v>
      </x:c>
      <x:c r="J91" s="34" t="n">
        <x:f>I91*(IF(G91&gt;1,G91-1,0))</x:f>
        <x:v>1.3125</x:v>
      </x:c>
      <x:c r="K91" s="34" t="n">
        <x:f>J91*H91</x:f>
        <x:v>0</x:v>
      </x:c>
      <x:c r="L91" s="34" t="n">
        <x:f>K91*G91</x:f>
        <x:v>0</x:v>
      </x:c>
      <x:c r="M91" s="30"/>
      <x:c r="N91" s="30"/>
      <x:c r="O91" s="30"/>
      <x:c r="P91" s="30"/>
    </x:row>
    <x:row r="92">
      <x:c r="A92" s="40" t="str">
        <x:v>合计</x:v>
      </x:c>
      <x:c r="B92" s="40"/>
      <x:c r="C92" s="40"/>
      <x:c r="D92" s="40"/>
      <x:c r="E92" s="40"/>
      <x:c r="F92" s="40"/>
      <x:c r="G92" s="40"/>
      <x:c r="H92" s="40"/>
      <x:c r="I92" s="41"/>
      <x:c r="J92" s="41"/>
      <x:c r="K92" s="41" t="n">
        <x:f>SUM(K65:K91)</x:f>
        <x:v>72643.8125</x:v>
      </x:c>
      <x:c r="L92" s="41" t="n">
        <x:f>SUM(L65:L91)</x:f>
        <x:v>581150.5</x:v>
      </x:c>
      <x:c r="M92" s="30"/>
      <x:c r="N92" s="30"/>
      <x:c r="O92" s="30"/>
      <x:c r="P92" s="30"/>
    </x:row>
    <x:row r="95" ht="15" customHeight="1">
      <x:c r="A95" s="40" t="str">
        <x:v>PD 带宽争用耗时评估</x:v>
      </x:c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</x:row>
    <x:row r="96" ht="15" customHeight="1">
      <x:c r="A96" s="30" t="str">
        <x:v>Prefill 当前表参数；100 GB/s 为归一化示例。所列事件的带宽项，不等于完整 forward 耗时。</x:v>
      </x:c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</x:row>
    <x:row r="97" ht="30" customHeight="1">
      <x:c r="A97" s="62" t="str">
        <x:v>带宽降幅</x:v>
      </x:c>
      <x:c r="B97" s="62" t="str">
        <x:v>输入</x:v>
      </x:c>
      <x:c r="C97" s="62" t="str">
        <x:v>争用覆盖率</x:v>
      </x:c>
      <x:c r="D97" s="62" t="str">
        <x:v>输入</x:v>
      </x:c>
      <x:c r="E97" s="62" t="str">
        <x:v>基线 forward ms</x:v>
      </x:c>
      <x:c r="F97" s="62" t="str">
        <x:v>实测输入</x:v>
      </x:c>
      <x:c r="G97" s="62" t="str">
        <x:v>默认带宽 GB/s</x:v>
      </x:c>
      <x:c r="H97" s="62" t="str">
        <x:v>输入</x:v>
      </x:c>
      <x:c r="I97" s="30"/>
      <x:c r="J97" s="30"/>
      <x:c r="K97" s="30"/>
      <x:c r="L97" s="30"/>
    </x:row>
    <x:row r="98" ht="15" customHeight="1">
      <x:c r="A98" s="30"/>
      <x:c r="B98" s="63" t="n">
        <x:v>0.1</x:v>
      </x:c>
      <x:c r="C98" s="30"/>
      <x:c r="D98" s="63" t="n">
        <x:v>1</x:v>
      </x:c>
      <x:c r="E98" s="30"/>
      <x:c r="F98" s="38"/>
      <x:c r="G98" s="30"/>
      <x:c r="H98" s="36" t="n">
        <x:v>100</x:v>
      </x:c>
      <x:c r="I98" s="30"/>
      <x:c r="J98" s="30"/>
      <x:c r="K98" s="30"/>
      <x:c r="L98" s="30"/>
    </x:row>
    <x:row r="99" ht="30" customHeight="1">
      <x:c r="A99" s="62" t="str">
        <x:v>通信基线 ms</x:v>
      </x:c>
      <x:c r="B99" s="62" t="str">
        <x:v>结果</x:v>
      </x:c>
      <x:c r="C99" s="62" t="str">
        <x:v>通信争用后 ms</x:v>
      </x:c>
      <x:c r="D99" s="62" t="str">
        <x:v>结果</x:v>
      </x:c>
      <x:c r="E99" s="62" t="str">
        <x:v>forward 增量 ms</x:v>
      </x:c>
      <x:c r="F99" s="62" t="str">
        <x:v>结果</x:v>
      </x:c>
      <x:c r="G99" s="62" t="str">
        <x:v>forward 新耗时 ms</x:v>
      </x:c>
      <x:c r="H99" s="62" t="str">
        <x:v>结果</x:v>
      </x:c>
      <x:c r="I99" s="62" t="str">
        <x:v>forward 增幅</x:v>
      </x:c>
      <x:c r="J99" s="62" t="str">
        <x:v>结果</x:v>
      </x:c>
      <x:c r="K99" s="62" t="str">
        <x:v>输入状态</x:v>
      </x:c>
      <x:c r="L99" s="62" t="str">
        <x:v>状态</x:v>
      </x:c>
    </x:row>
    <x:row r="100" ht="15" customHeight="1">
      <x:c r="A100" s="49"/>
      <x:c r="B100" s="49" t="n">
        <x:f>SUM(G104:G131)</x:f>
        <x:v>761.74866432</x:v>
      </x:c>
      <x:c r="C100" s="49"/>
      <x:c r="D100" s="49" t="n">
        <x:f>SUM(H104:H131)</x:f>
        <x:v>846.3874048</x:v>
      </x:c>
      <x:c r="E100" s="49"/>
      <x:c r="F100" s="49" t="n">
        <x:f>SUM(K104:K131)</x:f>
        <x:v>84.63874048000001</x:v>
      </x:c>
      <x:c r="G100" s="49"/>
      <x:c r="H100" s="49" t="str">
        <x:f>IF(AND(ISNUMBER($F$98),$F$98&gt;0,$F$98&gt;=SUMPRODUCT(G104:G131,J104:J131)),$F$98+F100,"")</x:f>
      </x:c>
      <x:c r="I100" s="49"/>
      <x:c r="J100" s="50" t="str">
        <x:f>IF(AND(ISNUMBER($F$98),$F$98&gt;0,$F$98&gt;=SUMPRODUCT(G104:G131,J104:J131)),F100/$F$98,"")</x:f>
      </x:c>
      <x:c r="K100" s="49"/>
      <x:c r="L100" s="49" t="str">
        <x:f>IF($F$98="","待填基线",IF(AND(ISNUMBER($F$98),$F$98&gt;0,$F$98&gt;=SUMPRODUCT(G104:G131,J104:J131)),"已填基线","基线/暴露不一致"))</x:f>
        <x:v>待填基线</x:v>
      </x:c>
    </x:row>
    <x:row r="101" ht="15" customHeight="1">
      <x:c r="A101" s="30" t="str">
        <x:v>共享比例=0 表示独立链路；暴露系数=0 表示增量完全隐藏。默认均为 1，降幅只作用于带宽项。</x:v>
      </x:c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</x:row>
    <x:row r="102" ht="15" customHeight="1">
      <x:c r="A102" s="30" t="str">
        <x:v>P: AllToAllV + 4 B 计数 Ring；D: A3 BF16 MC2 FullMesh。每事件带宽按端点发送量定义。</x:v>
      </x:c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</x:row>
    <x:row r="103" ht="30" customHeight="1">
      <x:c r="A103" s="62" t="str">
        <x:v>并行域</x:v>
      </x:c>
      <x:c r="B103" s="62" t="str">
        <x:v>模块</x:v>
      </x:c>
      <x:c r="C103" s="62" t="str">
        <x:v>通信事件</x:v>
      </x:c>
      <x:c r="D103" s="62" t="str">
        <x:v>GB/Rank/Step</x:v>
      </x:c>
      <x:c r="E103" s="62" t="str">
        <x:v>有效带宽 GB/s</x:v>
      </x:c>
      <x:c r="F103" s="62" t="str">
        <x:v>共享比例</x:v>
      </x:c>
      <x:c r="G103" s="62" t="str">
        <x:v>基线带宽项 ms</x:v>
      </x:c>
      <x:c r="H103" s="62" t="str">
        <x:v>争用后带宽项 ms</x:v>
      </x:c>
      <x:c r="I103" s="62" t="str">
        <x:v>通信增量 ms</x:v>
      </x:c>
      <x:c r="J103" s="62" t="str">
        <x:v>暴露系数</x:v>
      </x:c>
      <x:c r="K103" s="62" t="str">
        <x:v>forward 增量 ms</x:v>
      </x:c>
      <x:c r="L103" s="62" t="str">
        <x:v>公式口径</x:v>
      </x:c>
    </x:row>
    <x:row r="104" ht="15" customHeight="1">
      <x:c r="A104" s="30" t="str">
        <x:v>Embedding TP</x:v>
      </x:c>
      <x:c r="B104" s="30" t="str">
        <x:v>Embedding</x:v>
      </x:c>
      <x:c r="C104" s="30" t="str">
        <x:v>标准 TP 输出</x:v>
      </x:c>
      <x:c r="D104" s="34" t="n">
        <x:f>(K65*2^20)/1e9</x:f>
        <x:v>0.205520896</x:v>
      </x:c>
      <x:c r="E104" s="64" t="n">
        <x:f>$H$98</x:f>
        <x:v>100</x:v>
      </x:c>
      <x:c r="F104" s="59" t="n">
        <x:v>1</x:v>
      </x:c>
      <x:c r="G104" s="34" t="n">
        <x:f>IF(AND(ISNUMBER(E104),E104&gt;0,ISNUMBER($B$98),$B$98&gt;=0,$B$98&lt;1,ISNUMBER($D$98),$D$98&gt;=0,$D$98&lt;=1,ISNUMBER(F104),F104&gt;=0,F104&lt;=1,ISNUMBER(J104),J104&gt;=0,J104&lt;=1),D104/E104*1000,NA())</x:f>
        <x:v>2.0552089600000003</x:v>
      </x:c>
      <x:c r="H104" s="34" t="n">
        <x:f>G104+I104</x:f>
        <x:v>2.2835655111111115</x:v>
      </x:c>
      <x:c r="I104" s="34" t="n">
        <x:f>G104*F104*$D$98*$B$98/(1-$B$98)</x:f>
        <x:v>0.22835655111111114</x:v>
      </x:c>
      <x:c r="J104" s="59" t="n">
        <x:v>1</x:v>
      </x:c>
      <x:c r="K104" s="34" t="n">
        <x:f>I104*J104</x:f>
        <x:v>0.22835655111111114</x:v>
      </x:c>
      <x:c r="L104" s="30" t="str">
        <x:v>原通信行 65</x:v>
      </x:c>
    </x:row>
    <x:row r="105" ht="15" customHeight="1">
      <x:c r="A105" s="30" t="str">
        <x:v>Embedding TP</x:v>
      </x:c>
      <x:c r="B105" s="30" t="str">
        <x:v>Embedding</x:v>
      </x:c>
      <x:c r="C105" s="30" t="str">
        <x:v>Fine TP Token ID</x:v>
      </x:c>
      <x:c r="D105" s="34" t="n">
        <x:f>(K66*2^20)/1e9</x:f>
        <x:v>0</x:v>
      </x:c>
      <x:c r="E105" s="64" t="n">
        <x:f>$H$98</x:f>
        <x:v>100</x:v>
      </x:c>
      <x:c r="F105" s="59" t="n">
        <x:v>1</x:v>
      </x:c>
      <x:c r="G105" s="34" t="n">
        <x:f>IF(AND(ISNUMBER(E105),E105&gt;0,ISNUMBER($B$98),$B$98&gt;=0,$B$98&lt;1,ISNUMBER($D$98),$D$98&gt;=0,$D$98&lt;=1,ISNUMBER(F105),F105&gt;=0,F105&lt;=1,ISNUMBER(J105),J105&gt;=0,J105&lt;=1),D105/E105*1000,NA())</x:f>
        <x:v>0</x:v>
      </x:c>
      <x:c r="H105" s="34" t="n">
        <x:f>G105+I105</x:f>
        <x:v>0</x:v>
      </x:c>
      <x:c r="I105" s="34" t="n">
        <x:f>G105*F105*$D$98*$B$98/(1-$B$98)</x:f>
        <x:v>0</x:v>
      </x:c>
      <x:c r="J105" s="59" t="n">
        <x:v>1</x:v>
      </x:c>
      <x:c r="K105" s="34" t="n">
        <x:f>I105*J105</x:f>
        <x:v>0</x:v>
      </x:c>
      <x:c r="L105" s="30" t="str">
        <x:v>原通信行 66</x:v>
      </x:c>
    </x:row>
    <x:row r="106" ht="15" customHeight="1">
      <x:c r="A106" s="30" t="str">
        <x:v>Embedding TP</x:v>
      </x:c>
      <x:c r="B106" s="30" t="str">
        <x:v>Embedding</x:v>
      </x:c>
      <x:c r="C106" s="30" t="str">
        <x:v>Fine TP Hidden</x:v>
      </x:c>
      <x:c r="D106" s="34" t="n">
        <x:f>(K67*2^20)/1e9</x:f>
        <x:v>0</x:v>
      </x:c>
      <x:c r="E106" s="64" t="n">
        <x:f>$H$98</x:f>
        <x:v>100</x:v>
      </x:c>
      <x:c r="F106" s="59" t="n">
        <x:v>1</x:v>
      </x:c>
      <x:c r="G106" s="34" t="n">
        <x:f>IF(AND(ISNUMBER(E106),E106&gt;0,ISNUMBER($B$98),$B$98&gt;=0,$B$98&lt;1,ISNUMBER($D$98),$D$98&gt;=0,$D$98&lt;=1,ISNUMBER(F106),F106&gt;=0,F106&lt;=1,ISNUMBER(J106),J106&gt;=0,J106&lt;=1),D106/E106*1000,NA())</x:f>
        <x:v>0</x:v>
      </x:c>
      <x:c r="H106" s="34" t="n">
        <x:f>G106+I106</x:f>
        <x:v>0</x:v>
      </x:c>
      <x:c r="I106" s="34" t="n">
        <x:f>G106*F106*$D$98*$B$98/(1-$B$98)</x:f>
        <x:v>0</x:v>
      </x:c>
      <x:c r="J106" s="59" t="n">
        <x:v>1</x:v>
      </x:c>
      <x:c r="K106" s="34" t="n">
        <x:f>I106*J106</x:f>
        <x:v>0</x:v>
      </x:c>
      <x:c r="L106" s="30" t="str">
        <x:v>原通信行 67</x:v>
      </x:c>
    </x:row>
    <x:row r="107" ht="15" customHeight="1">
      <x:c r="A107" s="30" t="str">
        <x:v>SP</x:v>
      </x:c>
      <x:c r="B107" s="30" t="str">
        <x:v>Attention</x:v>
      </x:c>
      <x:c r="C107" s="30" t="str">
        <x:v>Attention 前</x:v>
      </x:c>
      <x:c r="D107" s="34" t="n">
        <x:f>(K68*2^20)/1e9</x:f>
        <x:v>9.556721664</x:v>
      </x:c>
      <x:c r="E107" s="64" t="n">
        <x:f>$H$98</x:f>
        <x:v>100</x:v>
      </x:c>
      <x:c r="F107" s="59" t="n">
        <x:v>1</x:v>
      </x:c>
      <x:c r="G107" s="34" t="n">
        <x:f>IF(AND(ISNUMBER(E107),E107&gt;0,ISNUMBER($B$98),$B$98&gt;=0,$B$98&lt;1,ISNUMBER($D$98),$D$98&gt;=0,$D$98&lt;=1,ISNUMBER(F107),F107&gt;=0,F107&lt;=1,ISNUMBER(J107),J107&gt;=0,J107&lt;=1),D107/E107*1000,NA())</x:f>
        <x:v>95.56721664</x:v>
      </x:c>
      <x:c r="H107" s="34" t="n">
        <x:f>G107+I107</x:f>
        <x:v>106.18579626666667</x:v>
      </x:c>
      <x:c r="I107" s="34" t="n">
        <x:f>G107*F107*$D$98*$B$98/(1-$B$98)</x:f>
        <x:v>10.618579626666666</x:v>
      </x:c>
      <x:c r="J107" s="59" t="n">
        <x:v>1</x:v>
      </x:c>
      <x:c r="K107" s="34" t="n">
        <x:f>I107*J107</x:f>
        <x:v>10.618579626666666</x:v>
      </x:c>
      <x:c r="L107" s="30" t="str">
        <x:v>原通信行 68</x:v>
      </x:c>
    </x:row>
    <x:row r="108" ht="15" customHeight="1">
      <x:c r="A108" s="30" t="str">
        <x:v>SP</x:v>
      </x:c>
      <x:c r="B108" s="30" t="str">
        <x:v>Attention</x:v>
      </x:c>
      <x:c r="C108" s="30" t="str">
        <x:v>O Proj 后</x:v>
      </x:c>
      <x:c r="D108" s="34" t="n">
        <x:f>(K69*2^20)/1e9</x:f>
        <x:v>9.556721664</x:v>
      </x:c>
      <x:c r="E108" s="64" t="n">
        <x:f>$H$98</x:f>
        <x:v>100</x:v>
      </x:c>
      <x:c r="F108" s="59" t="n">
        <x:v>1</x:v>
      </x:c>
      <x:c r="G108" s="34" t="n">
        <x:f>IF(AND(ISNUMBER(E108),E108&gt;0,ISNUMBER($B$98),$B$98&gt;=0,$B$98&lt;1,ISNUMBER($D$98),$D$98&gt;=0,$D$98&lt;=1,ISNUMBER(F108),F108&gt;=0,F108&lt;=1,ISNUMBER(J108),J108&gt;=0,J108&lt;=1),D108/E108*1000,NA())</x:f>
        <x:v>95.56721664</x:v>
      </x:c>
      <x:c r="H108" s="34" t="n">
        <x:f>G108+I108</x:f>
        <x:v>106.18579626666667</x:v>
      </x:c>
      <x:c r="I108" s="34" t="n">
        <x:f>G108*F108*$D$98*$B$98/(1-$B$98)</x:f>
        <x:v>10.618579626666666</x:v>
      </x:c>
      <x:c r="J108" s="59" t="n">
        <x:v>1</x:v>
      </x:c>
      <x:c r="K108" s="34" t="n">
        <x:f>I108*J108</x:f>
        <x:v>10.618579626666666</x:v>
      </x:c>
      <x:c r="L108" s="30" t="str">
        <x:v>原通信行 69</x:v>
      </x:c>
    </x:row>
    <x:row r="109" ht="15" customHeight="1">
      <x:c r="A109" s="30" t="str">
        <x:v>O Proj TP</x:v>
      </x:c>
      <x:c r="B109" s="30" t="str">
        <x:v>Attention</x:v>
      </x:c>
      <x:c r="C109" s="30" t="str">
        <x:v>非 SP 标准 TP</x:v>
      </x:c>
      <x:c r="D109" s="34" t="n">
        <x:f>(K70*2^20)/1e9</x:f>
        <x:v>0</x:v>
      </x:c>
      <x:c r="E109" s="64" t="n">
        <x:f>$H$98</x:f>
        <x:v>100</x:v>
      </x:c>
      <x:c r="F109" s="59" t="n">
        <x:v>1</x:v>
      </x:c>
      <x:c r="G109" s="34" t="n">
        <x:f>IF(AND(ISNUMBER(E109),E109&gt;0,ISNUMBER($B$98),$B$98&gt;=0,$B$98&lt;1,ISNUMBER($D$98),$D$98&gt;=0,$D$98&lt;=1,ISNUMBER(F109),F109&gt;=0,F109&lt;=1,ISNUMBER(J109),J109&gt;=0,J109&lt;=1),D109/E109*1000,NA())</x:f>
        <x:v>0</x:v>
      </x:c>
      <x:c r="H109" s="34" t="n">
        <x:f>G109+I109</x:f>
        <x:v>0</x:v>
      </x:c>
      <x:c r="I109" s="34" t="n">
        <x:f>G109*F109*$D$98*$B$98/(1-$B$98)</x:f>
        <x:v>0</x:v>
      </x:c>
      <x:c r="J109" s="59" t="n">
        <x:v>1</x:v>
      </x:c>
      <x:c r="K109" s="34" t="n">
        <x:f>I109*J109</x:f>
        <x:v>0</x:v>
      </x:c>
      <x:c r="L109" s="30" t="str">
        <x:v>原通信行 70</x:v>
      </x:c>
    </x:row>
    <x:row r="110" ht="15" customHeight="1">
      <x:c r="A110" s="30" t="str">
        <x:v>Fine O TP</x:v>
      </x:c>
      <x:c r="B110" s="30" t="str">
        <x:v>Attention</x:v>
      </x:c>
      <x:c r="C110" s="30" t="str">
        <x:v>O Proj 输入</x:v>
      </x:c>
      <x:c r="D110" s="34" t="n">
        <x:f>(K71*2^20)/1e9</x:f>
        <x:v>0</x:v>
      </x:c>
      <x:c r="E110" s="64" t="n">
        <x:f>$H$98</x:f>
        <x:v>100</x:v>
      </x:c>
      <x:c r="F110" s="59" t="n">
        <x:v>1</x:v>
      </x:c>
      <x:c r="G110" s="34" t="n">
        <x:f>IF(AND(ISNUMBER(E110),E110&gt;0,ISNUMBER($B$98),$B$98&gt;=0,$B$98&lt;1,ISNUMBER($D$98),$D$98&gt;=0,$D$98&lt;=1,ISNUMBER(F110),F110&gt;=0,F110&lt;=1,ISNUMBER(J110),J110&gt;=0,J110&lt;=1),D110/E110*1000,NA())</x:f>
        <x:v>0</x:v>
      </x:c>
      <x:c r="H110" s="34" t="n">
        <x:f>G110+I110</x:f>
        <x:v>0</x:v>
      </x:c>
      <x:c r="I110" s="34" t="n">
        <x:f>G110*F110*$D$98*$B$98/(1-$B$98)</x:f>
        <x:v>0</x:v>
      </x:c>
      <x:c r="J110" s="59" t="n">
        <x:v>1</x:v>
      </x:c>
      <x:c r="K110" s="34" t="n">
        <x:f>I110*J110</x:f>
        <x:v>0</x:v>
      </x:c>
      <x:c r="L110" s="30" t="str">
        <x:v>原通信行 71</x:v>
      </x:c>
    </x:row>
    <x:row r="111" ht="15" customHeight="1">
      <x:c r="A111" s="30" t="str">
        <x:v>Fine O TP</x:v>
      </x:c>
      <x:c r="B111" s="30" t="str">
        <x:v>Attention</x:v>
      </x:c>
      <x:c r="C111" s="30" t="str">
        <x:v>O Proj 输出</x:v>
      </x:c>
      <x:c r="D111" s="34" t="n">
        <x:f>(K72*2^20)/1e9</x:f>
        <x:v>0</x:v>
      </x:c>
      <x:c r="E111" s="64" t="n">
        <x:f>$H$98</x:f>
        <x:v>100</x:v>
      </x:c>
      <x:c r="F111" s="59" t="n">
        <x:v>1</x:v>
      </x:c>
      <x:c r="G111" s="34" t="n">
        <x:f>IF(AND(ISNUMBER(E111),E111&gt;0,ISNUMBER($B$98),$B$98&gt;=0,$B$98&lt;1,ISNUMBER($D$98),$D$98&gt;=0,$D$98&lt;=1,ISNUMBER(F111),F111&gt;=0,F111&lt;=1,ISNUMBER(J111),J111&gt;=0,J111&lt;=1),D111/E111*1000,NA())</x:f>
        <x:v>0</x:v>
      </x:c>
      <x:c r="H111" s="34" t="n">
        <x:f>G111+I111</x:f>
        <x:v>0</x:v>
      </x:c>
      <x:c r="I111" s="34" t="n">
        <x:f>G111*F111*$D$98*$B$98/(1-$B$98)</x:f>
        <x:v>0</x:v>
      </x:c>
      <x:c r="J111" s="59" t="n">
        <x:v>1</x:v>
      </x:c>
      <x:c r="K111" s="34" t="n">
        <x:f>I111*J111</x:f>
        <x:v>0</x:v>
      </x:c>
      <x:c r="L111" s="30" t="str">
        <x:v>原通信行 72</x:v>
      </x:c>
    </x:row>
    <x:row r="112" ht="15" customHeight="1">
      <x:c r="A112" s="30" t="str">
        <x:v>SP</x:v>
      </x:c>
      <x:c r="B112" s="30" t="str">
        <x:v>Dense MLP</x:v>
      </x:c>
      <x:c r="C112" s="30" t="str">
        <x:v>Down Proj 输出</x:v>
      </x:c>
      <x:c r="D112" s="34" t="n">
        <x:f>(K73*2^20)/1e9</x:f>
        <x:v>0.025690112</x:v>
      </x:c>
      <x:c r="E112" s="64" t="n">
        <x:f>$H$98</x:f>
        <x:v>100</x:v>
      </x:c>
      <x:c r="F112" s="59" t="n">
        <x:v>1</x:v>
      </x:c>
      <x:c r="G112" s="34" t="n">
        <x:f>IF(AND(ISNUMBER(E112),E112&gt;0,ISNUMBER($B$98),$B$98&gt;=0,$B$98&lt;1,ISNUMBER($D$98),$D$98&gt;=0,$D$98&lt;=1,ISNUMBER(F112),F112&gt;=0,F112&lt;=1,ISNUMBER(J112),J112&gt;=0,J112&lt;=1),D112/E112*1000,NA())</x:f>
        <x:v>0.25690112000000004</x:v>
      </x:c>
      <x:c r="H112" s="34" t="n">
        <x:f>G112+I112</x:f>
        <x:v>0.28544568888888894</x:v>
      </x:c>
      <x:c r="I112" s="34" t="n">
        <x:f>G112*F112*$D$98*$B$98/(1-$B$98)</x:f>
        <x:v>0.028544568888888892</x:v>
      </x:c>
      <x:c r="J112" s="59" t="n">
        <x:v>1</x:v>
      </x:c>
      <x:c r="K112" s="34" t="n">
        <x:f>I112*J112</x:f>
        <x:v>0.028544568888888892</x:v>
      </x:c>
      <x:c r="L112" s="30" t="str">
        <x:v>原通信行 73</x:v>
      </x:c>
    </x:row>
    <x:row r="113" ht="15" customHeight="1">
      <x:c r="A113" s="30" t="str">
        <x:v>EP</x:v>
      </x:c>
      <x:c r="B113" s="30" t="str">
        <x:v>Routed Experts</x:v>
      </x:c>
      <x:c r="C113" s="30" t="str">
        <x:v>Dispatch Hidden</x:v>
      </x:c>
      <x:c r="D113" s="34" t="n">
        <x:f>(K74*2^20)/1e9</x:f>
        <x:v>18.907922432</x:v>
      </x:c>
      <x:c r="E113" s="64" t="n">
        <x:f>$H$98</x:f>
        <x:v>100</x:v>
      </x:c>
      <x:c r="F113" s="59" t="n">
        <x:v>1</x:v>
      </x:c>
      <x:c r="G113" s="34" t="n">
        <x:f>IF(AND(ISNUMBER(E113),E113&gt;0,ISNUMBER($B$98),$B$98&gt;=0,$B$98&lt;1,ISNUMBER($D$98),$D$98&gt;=0,$D$98&lt;=1,ISNUMBER(F113),F113&gt;=0,F113&lt;=1,ISNUMBER(J113),J113&gt;=0,J113&lt;=1),D113/E113*1000,NA())</x:f>
        <x:v>189.07922431999998</x:v>
      </x:c>
      <x:c r="H113" s="34" t="n">
        <x:f>G113+I113</x:f>
        <x:v>210.0880270222222</x:v>
      </x:c>
      <x:c r="I113" s="34" t="n">
        <x:f>G113*F113*$D$98*$B$98/(1-$B$98)</x:f>
        <x:v>21.008802702222223</x:v>
      </x:c>
      <x:c r="J113" s="59" t="n">
        <x:v>1</x:v>
      </x:c>
      <x:c r="K113" s="34" t="n">
        <x:f>I113*J113</x:f>
        <x:v>21.008802702222223</x:v>
      </x:c>
      <x:c r="L113" s="30" t="str">
        <x:v>原通信行 74</x:v>
      </x:c>
    </x:row>
    <x:row r="114" ht="15" customHeight="1">
      <x:c r="A114" s="30" t="str">
        <x:v>EP</x:v>
      </x:c>
      <x:c r="B114" s="30" t="str">
        <x:v>Routed Experts</x:v>
      </x:c>
      <x:c r="C114" s="30" t="str">
        <x:v>Combine Hidden</x:v>
      </x:c>
      <x:c r="D114" s="34" t="n">
        <x:f>(K75*2^20)/1e9</x:f>
        <x:v>18.907922432</x:v>
      </x:c>
      <x:c r="E114" s="64" t="n">
        <x:f>$H$98</x:f>
        <x:v>100</x:v>
      </x:c>
      <x:c r="F114" s="59" t="n">
        <x:v>1</x:v>
      </x:c>
      <x:c r="G114" s="34" t="n">
        <x:f>IF(AND(ISNUMBER(E114),E114&gt;0,ISNUMBER($B$98),$B$98&gt;=0,$B$98&lt;1,ISNUMBER($D$98),$D$98&gt;=0,$D$98&lt;=1,ISNUMBER(F114),F114&gt;=0,F114&lt;=1,ISNUMBER(J114),J114&gt;=0,J114&lt;=1),D114/E114*1000,NA())</x:f>
        <x:v>189.07922431999998</x:v>
      </x:c>
      <x:c r="H114" s="34" t="n">
        <x:f>G114+I114</x:f>
        <x:v>210.0880270222222</x:v>
      </x:c>
      <x:c r="I114" s="34" t="n">
        <x:f>G114*F114*$D$98*$B$98/(1-$B$98)</x:f>
        <x:v>21.008802702222223</x:v>
      </x:c>
      <x:c r="J114" s="59" t="n">
        <x:v>1</x:v>
      </x:c>
      <x:c r="K114" s="34" t="n">
        <x:f>I114*J114</x:f>
        <x:v>21.008802702222223</x:v>
      </x:c>
      <x:c r="L114" s="30" t="str">
        <x:v>原通信行 75</x:v>
      </x:c>
    </x:row>
    <x:row r="115" ht="15" customHeight="1">
      <x:c r="A115" s="30" t="str">
        <x:v>DP</x:v>
      </x:c>
      <x:c r="B115" s="30" t="str">
        <x:v>MoE</x:v>
      </x:c>
      <x:c r="C115" s="30" t="str">
        <x:v>Hidden 输入</x:v>
      </x:c>
      <x:c r="D115" s="34" t="n">
        <x:f>(K76*2^20)/1e9</x:f>
        <x:v>0</x:v>
      </x:c>
      <x:c r="E115" s="64" t="n">
        <x:f>$H$98</x:f>
        <x:v>100</x:v>
      </x:c>
      <x:c r="F115" s="59" t="n">
        <x:v>1</x:v>
      </x:c>
      <x:c r="G115" s="34" t="n">
        <x:f>IF(AND(ISNUMBER(E115),E115&gt;0,ISNUMBER($B$98),$B$98&gt;=0,$B$98&lt;1,ISNUMBER($D$98),$D$98&gt;=0,$D$98&lt;=1,ISNUMBER(F115),F115&gt;=0,F115&lt;=1,ISNUMBER(J115),J115&gt;=0,J115&lt;=1),D115/E115*1000,NA())</x:f>
        <x:v>0</x:v>
      </x:c>
      <x:c r="H115" s="34" t="n">
        <x:f>G115+I115</x:f>
        <x:v>0</x:v>
      </x:c>
      <x:c r="I115" s="34" t="n">
        <x:f>G115*F115*$D$98*$B$98/(1-$B$98)</x:f>
        <x:v>0</x:v>
      </x:c>
      <x:c r="J115" s="59" t="n">
        <x:v>1</x:v>
      </x:c>
      <x:c r="K115" s="34" t="n">
        <x:f>I115*J115</x:f>
        <x:v>0</x:v>
      </x:c>
      <x:c r="L115" s="30" t="str">
        <x:v>原通信行 76</x:v>
      </x:c>
    </x:row>
    <x:row r="116" ht="15" customHeight="1">
      <x:c r="A116" s="30" t="str">
        <x:v>DP</x:v>
      </x:c>
      <x:c r="B116" s="30" t="str">
        <x:v>MoE Router</x:v>
      </x:c>
      <x:c r="C116" s="30" t="str">
        <x:v>Router Logits</x:v>
      </x:c>
      <x:c r="D116" s="34" t="n">
        <x:f>(K77*2^20)/1e9</x:f>
        <x:v>0</x:v>
      </x:c>
      <x:c r="E116" s="64" t="n">
        <x:f>$H$98</x:f>
        <x:v>100</x:v>
      </x:c>
      <x:c r="F116" s="59" t="n">
        <x:v>1</x:v>
      </x:c>
      <x:c r="G116" s="34" t="n">
        <x:f>IF(AND(ISNUMBER(E116),E116&gt;0,ISNUMBER($B$98),$B$98&gt;=0,$B$98&lt;1,ISNUMBER($D$98),$D$98&gt;=0,$D$98&lt;=1,ISNUMBER(F116),F116&gt;=0,F116&lt;=1,ISNUMBER(J116),J116&gt;=0,J116&lt;=1),D116/E116*1000,NA())</x:f>
        <x:v>0</x:v>
      </x:c>
      <x:c r="H116" s="34" t="n">
        <x:f>G116+I116</x:f>
        <x:v>0</x:v>
      </x:c>
      <x:c r="I116" s="34" t="n">
        <x:f>G116*F116*$D$98*$B$98/(1-$B$98)</x:f>
        <x:v>0</x:v>
      </x:c>
      <x:c r="J116" s="59" t="n">
        <x:v>1</x:v>
      </x:c>
      <x:c r="K116" s="34" t="n">
        <x:f>I116*J116</x:f>
        <x:v>0</x:v>
      </x:c>
      <x:c r="L116" s="30" t="str">
        <x:v>原通信行 77</x:v>
      </x:c>
    </x:row>
    <x:row r="117" ht="15" customHeight="1">
      <x:c r="A117" s="30" t="str">
        <x:v>DP</x:v>
      </x:c>
      <x:c r="B117" s="30" t="str">
        <x:v>MoE</x:v>
      </x:c>
      <x:c r="C117" s="30" t="str">
        <x:v>Routed Expert 输出</x:v>
      </x:c>
      <x:c r="D117" s="34" t="n">
        <x:f>(K78*2^20)/1e9</x:f>
        <x:v>0</x:v>
      </x:c>
      <x:c r="E117" s="64" t="n">
        <x:f>$H$98</x:f>
        <x:v>100</x:v>
      </x:c>
      <x:c r="F117" s="59" t="n">
        <x:v>1</x:v>
      </x:c>
      <x:c r="G117" s="34" t="n">
        <x:f>IF(AND(ISNUMBER(E117),E117&gt;0,ISNUMBER($B$98),$B$98&gt;=0,$B$98&lt;1,ISNUMBER($D$98),$D$98&gt;=0,$D$98&lt;=1,ISNUMBER(F117),F117&gt;=0,F117&lt;=1,ISNUMBER(J117),J117&gt;=0,J117&lt;=1),D117/E117*1000,NA())</x:f>
        <x:v>0</x:v>
      </x:c>
      <x:c r="H117" s="34" t="n">
        <x:f>G117+I117</x:f>
        <x:v>0</x:v>
      </x:c>
      <x:c r="I117" s="34" t="n">
        <x:f>G117*F117*$D$98*$B$98/(1-$B$98)</x:f>
        <x:v>0</x:v>
      </x:c>
      <x:c r="J117" s="59" t="n">
        <x:v>1</x:v>
      </x:c>
      <x:c r="K117" s="34" t="n">
        <x:f>I117*J117</x:f>
        <x:v>0</x:v>
      </x:c>
      <x:c r="L117" s="30" t="str">
        <x:v>原通信行 78</x:v>
      </x:c>
    </x:row>
    <x:row r="118" ht="15" customHeight="1">
      <x:c r="A118" s="30" t="str">
        <x:v>共享专家 TP</x:v>
      </x:c>
      <x:c r="B118" s="30" t="str">
        <x:v>Shared Experts</x:v>
      </x:c>
      <x:c r="C118" s="30" t="str">
        <x:v>SP 输入</x:v>
      </x:c>
      <x:c r="D118" s="34" t="n">
        <x:f>(K79*2^20)/1e9</x:f>
        <x:v>9.453961216</x:v>
      </x:c>
      <x:c r="E118" s="64" t="n">
        <x:f>$H$98</x:f>
        <x:v>100</x:v>
      </x:c>
      <x:c r="F118" s="59" t="n">
        <x:v>1</x:v>
      </x:c>
      <x:c r="G118" s="34" t="n">
        <x:f>IF(AND(ISNUMBER(E118),E118&gt;0,ISNUMBER($B$98),$B$98&gt;=0,$B$98&lt;1,ISNUMBER($D$98),$D$98&gt;=0,$D$98&lt;=1,ISNUMBER(F118),F118&gt;=0,F118&lt;=1,ISNUMBER(J118),J118&gt;=0,J118&lt;=1),D118/E118*1000,NA())</x:f>
        <x:v>94.53961215999999</x:v>
      </x:c>
      <x:c r="H118" s="34" t="n">
        <x:f>G118+I118</x:f>
        <x:v>105.0440135111111</x:v>
      </x:c>
      <x:c r="I118" s="34" t="n">
        <x:f>G118*F118*$D$98*$B$98/(1-$B$98)</x:f>
        <x:v>10.504401351111111</x:v>
      </x:c>
      <x:c r="J118" s="59" t="n">
        <x:v>1</x:v>
      </x:c>
      <x:c r="K118" s="34" t="n">
        <x:f>I118*J118</x:f>
        <x:v>10.504401351111111</x:v>
      </x:c>
      <x:c r="L118" s="30" t="str">
        <x:v>原通信行 79</x:v>
      </x:c>
    </x:row>
    <x:row r="119" ht="15" customHeight="1">
      <x:c r="A119" s="30" t="str">
        <x:v>共享专家 TP</x:v>
      </x:c>
      <x:c r="B119" s="30" t="str">
        <x:v>Shared Experts</x:v>
      </x:c>
      <x:c r="C119" s="30" t="str">
        <x:v>SP 输出</x:v>
      </x:c>
      <x:c r="D119" s="34" t="n">
        <x:f>(K80*2^20)/1e9</x:f>
        <x:v>9.453961216</x:v>
      </x:c>
      <x:c r="E119" s="64" t="n">
        <x:f>$H$98</x:f>
        <x:v>100</x:v>
      </x:c>
      <x:c r="F119" s="59" t="n">
        <x:v>1</x:v>
      </x:c>
      <x:c r="G119" s="34" t="n">
        <x:f>IF(AND(ISNUMBER(E119),E119&gt;0,ISNUMBER($B$98),$B$98&gt;=0,$B$98&lt;1,ISNUMBER($D$98),$D$98&gt;=0,$D$98&lt;=1,ISNUMBER(F119),F119&gt;=0,F119&lt;=1,ISNUMBER(J119),J119&gt;=0,J119&lt;=1),D119/E119*1000,NA())</x:f>
        <x:v>94.53961215999999</x:v>
      </x:c>
      <x:c r="H119" s="34" t="n">
        <x:f>G119+I119</x:f>
        <x:v>105.0440135111111</x:v>
      </x:c>
      <x:c r="I119" s="34" t="n">
        <x:f>G119*F119*$D$98*$B$98/(1-$B$98)</x:f>
        <x:v>10.504401351111111</x:v>
      </x:c>
      <x:c r="J119" s="59" t="n">
        <x:v>1</x:v>
      </x:c>
      <x:c r="K119" s="34" t="n">
        <x:f>I119*J119</x:f>
        <x:v>10.504401351111111</x:v>
      </x:c>
      <x:c r="L119" s="30" t="str">
        <x:v>原通信行 80</x:v>
      </x:c>
    </x:row>
    <x:row r="120" ht="15" customHeight="1">
      <x:c r="A120" s="30" t="str">
        <x:v>共享专家 TP</x:v>
      </x:c>
      <x:c r="B120" s="30" t="str">
        <x:v>Shared Experts</x:v>
      </x:c>
      <x:c r="C120" s="30" t="str">
        <x:v>非 SP 输出</x:v>
      </x:c>
      <x:c r="D120" s="34" t="n">
        <x:f>(K81*2^20)/1e9</x:f>
        <x:v>0</x:v>
      </x:c>
      <x:c r="E120" s="64" t="n">
        <x:f>$H$98</x:f>
        <x:v>100</x:v>
      </x:c>
      <x:c r="F120" s="59" t="n">
        <x:v>1</x:v>
      </x:c>
      <x:c r="G120" s="34" t="n">
        <x:f>IF(AND(ISNUMBER(E120),E120&gt;0,ISNUMBER($B$98),$B$98&gt;=0,$B$98&lt;1,ISNUMBER($D$98),$D$98&gt;=0,$D$98&lt;=1,ISNUMBER(F120),F120&gt;=0,F120&lt;=1,ISNUMBER(J120),J120&gt;=0,J120&lt;=1),D120/E120*1000,NA())</x:f>
        <x:v>0</x:v>
      </x:c>
      <x:c r="H120" s="34" t="n">
        <x:f>G120+I120</x:f>
        <x:v>0</x:v>
      </x:c>
      <x:c r="I120" s="34" t="n">
        <x:f>G120*F120*$D$98*$B$98/(1-$B$98)</x:f>
        <x:v>0</x:v>
      </x:c>
      <x:c r="J120" s="59" t="n">
        <x:v>1</x:v>
      </x:c>
      <x:c r="K120" s="34" t="n">
        <x:f>I120*J120</x:f>
        <x:v>0</x:v>
      </x:c>
      <x:c r="L120" s="30" t="str">
        <x:v>原通信行 81</x:v>
      </x:c>
    </x:row>
    <x:row r="121" ht="15" customHeight="1">
      <x:c r="A121" s="30" t="str">
        <x:v>PCP</x:v>
      </x:c>
      <x:c r="B121" s="30" t="str">
        <x:v>MoE</x:v>
      </x:c>
      <x:c r="C121" s="30" t="str">
        <x:v>Hidden 输入</x:v>
      </x:c>
      <x:c r="D121" s="34" t="n">
        <x:f>(K82*2^20)/1e9</x:f>
        <x:v>0</x:v>
      </x:c>
      <x:c r="E121" s="64" t="n">
        <x:f>$H$98</x:f>
        <x:v>100</x:v>
      </x:c>
      <x:c r="F121" s="59" t="n">
        <x:v>1</x:v>
      </x:c>
      <x:c r="G121" s="34" t="n">
        <x:f>IF(AND(ISNUMBER(E121),E121&gt;0,ISNUMBER($B$98),$B$98&gt;=0,$B$98&lt;1,ISNUMBER($D$98),$D$98&gt;=0,$D$98&lt;=1,ISNUMBER(F121),F121&gt;=0,F121&lt;=1,ISNUMBER(J121),J121&gt;=0,J121&lt;=1),D121/E121*1000,NA())</x:f>
        <x:v>0</x:v>
      </x:c>
      <x:c r="H121" s="34" t="n">
        <x:f>G121+I121</x:f>
        <x:v>0</x:v>
      </x:c>
      <x:c r="I121" s="34" t="n">
        <x:f>G121*F121*$D$98*$B$98/(1-$B$98)</x:f>
        <x:v>0</x:v>
      </x:c>
      <x:c r="J121" s="59" t="n">
        <x:v>1</x:v>
      </x:c>
      <x:c r="K121" s="34" t="n">
        <x:f>I121*J121</x:f>
        <x:v>0</x:v>
      </x:c>
      <x:c r="L121" s="30" t="str">
        <x:v>原通信行 82</x:v>
      </x:c>
    </x:row>
    <x:row r="122" ht="15" customHeight="1">
      <x:c r="A122" s="30" t="str">
        <x:v>PCP</x:v>
      </x:c>
      <x:c r="B122" s="30" t="str">
        <x:v>MoE Router</x:v>
      </x:c>
      <x:c r="C122" s="30" t="str">
        <x:v>Router Logits</x:v>
      </x:c>
      <x:c r="D122" s="34" t="n">
        <x:f>(K83*2^20)/1e9</x:f>
        <x:v>0</x:v>
      </x:c>
      <x:c r="E122" s="64" t="n">
        <x:f>$H$98</x:f>
        <x:v>100</x:v>
      </x:c>
      <x:c r="F122" s="59" t="n">
        <x:v>1</x:v>
      </x:c>
      <x:c r="G122" s="34" t="n">
        <x:f>IF(AND(ISNUMBER(E122),E122&gt;0,ISNUMBER($B$98),$B$98&gt;=0,$B$98&lt;1,ISNUMBER($D$98),$D$98&gt;=0,$D$98&lt;=1,ISNUMBER(F122),F122&gt;=0,F122&lt;=1,ISNUMBER(J122),J122&gt;=0,J122&lt;=1),D122/E122*1000,NA())</x:f>
        <x:v>0</x:v>
      </x:c>
      <x:c r="H122" s="34" t="n">
        <x:f>G122+I122</x:f>
        <x:v>0</x:v>
      </x:c>
      <x:c r="I122" s="34" t="n">
        <x:f>G122*F122*$D$98*$B$98/(1-$B$98)</x:f>
        <x:v>0</x:v>
      </x:c>
      <x:c r="J122" s="59" t="n">
        <x:v>1</x:v>
      </x:c>
      <x:c r="K122" s="34" t="n">
        <x:f>I122*J122</x:f>
        <x:v>0</x:v>
      </x:c>
      <x:c r="L122" s="30" t="str">
        <x:v>原通信行 83</x:v>
      </x:c>
    </x:row>
    <x:row r="123" ht="15" customHeight="1">
      <x:c r="A123" s="30" t="str">
        <x:v>PCP</x:v>
      </x:c>
      <x:c r="B123" s="30" t="str">
        <x:v>MoE</x:v>
      </x:c>
      <x:c r="C123" s="30" t="str">
        <x:v>Routed Expert 输出</x:v>
      </x:c>
      <x:c r="D123" s="34" t="n">
        <x:f>(K84*2^20)/1e9</x:f>
        <x:v>0</x:v>
      </x:c>
      <x:c r="E123" s="64" t="n">
        <x:f>$H$98</x:f>
        <x:v>100</x:v>
      </x:c>
      <x:c r="F123" s="59" t="n">
        <x:v>1</x:v>
      </x:c>
      <x:c r="G123" s="34" t="n">
        <x:f>IF(AND(ISNUMBER(E123),E123&gt;0,ISNUMBER($B$98),$B$98&gt;=0,$B$98&lt;1,ISNUMBER($D$98),$D$98&gt;=0,$D$98&lt;=1,ISNUMBER(F123),F123&gt;=0,F123&lt;=1,ISNUMBER(J123),J123&gt;=0,J123&lt;=1),D123/E123*1000,NA())</x:f>
        <x:v>0</x:v>
      </x:c>
      <x:c r="H123" s="34" t="n">
        <x:f>G123+I123</x:f>
        <x:v>0</x:v>
      </x:c>
      <x:c r="I123" s="34" t="n">
        <x:f>G123*F123*$D$98*$B$98/(1-$B$98)</x:f>
        <x:v>0</x:v>
      </x:c>
      <x:c r="J123" s="59" t="n">
        <x:v>1</x:v>
      </x:c>
      <x:c r="K123" s="34" t="n">
        <x:f>I123*J123</x:f>
        <x:v>0</x:v>
      </x:c>
      <x:c r="L123" s="30" t="str">
        <x:v>原通信行 84</x:v>
      </x:c>
    </x:row>
    <x:row r="124" ht="15" customHeight="1">
      <x:c r="A124" s="30" t="str">
        <x:v>PCP</x:v>
      </x:c>
      <x:c r="B124" s="30" t="str">
        <x:v>Attention KV</x:v>
      </x:c>
      <x:c r="C124" s="30" t="str">
        <x:v>KV Cache 写入前</x:v>
      </x:c>
      <x:c r="D124" s="34" t="n">
        <x:f>(K85*2^20)/1e9</x:f>
        <x:v>0</x:v>
      </x:c>
      <x:c r="E124" s="64" t="n">
        <x:f>$H$98</x:f>
        <x:v>100</x:v>
      </x:c>
      <x:c r="F124" s="59" t="n">
        <x:v>1</x:v>
      </x:c>
      <x:c r="G124" s="34" t="n">
        <x:f>IF(AND(ISNUMBER(E124),E124&gt;0,ISNUMBER($B$98),$B$98&gt;=0,$B$98&lt;1,ISNUMBER($D$98),$D$98&gt;=0,$D$98&lt;=1,ISNUMBER(F124),F124&gt;=0,F124&lt;=1,ISNUMBER(J124),J124&gt;=0,J124&lt;=1),D124/E124*1000,NA())</x:f>
        <x:v>0</x:v>
      </x:c>
      <x:c r="H124" s="34" t="n">
        <x:f>G124+I124</x:f>
        <x:v>0</x:v>
      </x:c>
      <x:c r="I124" s="34" t="n">
        <x:f>G124*F124*$D$98*$B$98/(1-$B$98)</x:f>
        <x:v>0</x:v>
      </x:c>
      <x:c r="J124" s="59" t="n">
        <x:v>1</x:v>
      </x:c>
      <x:c r="K124" s="34" t="n">
        <x:f>I124*J124</x:f>
        <x:v>0</x:v>
      </x:c>
      <x:c r="L124" s="30" t="str">
        <x:v>原通信行 85</x:v>
      </x:c>
    </x:row>
    <x:row r="125" ht="15" customHeight="1">
      <x:c r="A125" s="30" t="str">
        <x:v>SP</x:v>
      </x:c>
      <x:c r="B125" s="30" t="str">
        <x:v>Model Output</x:v>
      </x:c>
      <x:c r="C125" s="30" t="str">
        <x:v>Final Norm 后</x:v>
      </x:c>
      <x:c r="D125" s="34" t="n">
        <x:f>(K86*2^20)/1e9</x:f>
        <x:v>0.102760448</x:v>
      </x:c>
      <x:c r="E125" s="64" t="n">
        <x:f>$H$98</x:f>
        <x:v>100</x:v>
      </x:c>
      <x:c r="F125" s="59" t="n">
        <x:v>1</x:v>
      </x:c>
      <x:c r="G125" s="34" t="n">
        <x:f>IF(AND(ISNUMBER(E125),E125&gt;0,ISNUMBER($B$98),$B$98&gt;=0,$B$98&lt;1,ISNUMBER($D$98),$D$98&gt;=0,$D$98&lt;=1,ISNUMBER(F125),F125&gt;=0,F125&lt;=1,ISNUMBER(J125),J125&gt;=0,J125&lt;=1),D125/E125*1000,NA())</x:f>
        <x:v>1.0276044800000002</x:v>
      </x:c>
      <x:c r="H125" s="34" t="n">
        <x:f>G125+I125</x:f>
        <x:v>1.1417827555555558</x:v>
      </x:c>
      <x:c r="I125" s="34" t="n">
        <x:f>G125*F125*$D$98*$B$98/(1-$B$98)</x:f>
        <x:v>0.11417827555555557</x:v>
      </x:c>
      <x:c r="J125" s="59" t="n">
        <x:v>1</x:v>
      </x:c>
      <x:c r="K125" s="34" t="n">
        <x:f>I125*J125</x:f>
        <x:v>0.11417827555555557</x:v>
      </x:c>
      <x:c r="L125" s="30" t="str">
        <x:v>原通信行 86</x:v>
      </x:c>
    </x:row>
    <x:row r="126" ht="15" customHeight="1">
      <x:c r="A126" s="30" t="str">
        <x:v>LM Head TP</x:v>
      </x:c>
      <x:c r="B126" s="30" t="str">
        <x:v>LM Head</x:v>
      </x:c>
      <x:c r="C126" s="30" t="str">
        <x:v>完整 Logits</x:v>
      </x:c>
      <x:c r="D126" s="34" t="n">
        <x:f>(K87*2^20)/1e9</x:f>
        <x:v>0</x:v>
      </x:c>
      <x:c r="E126" s="64" t="n">
        <x:f>$H$98</x:f>
        <x:v>100</x:v>
      </x:c>
      <x:c r="F126" s="59" t="n">
        <x:v>1</x:v>
      </x:c>
      <x:c r="G126" s="34" t="n">
        <x:f>IF(AND(ISNUMBER(E126),E126&gt;0,ISNUMBER($B$98),$B$98&gt;=0,$B$98&lt;1,ISNUMBER($D$98),$D$98&gt;=0,$D$98&lt;=1,ISNUMBER(F126),F126&gt;=0,F126&lt;=1,ISNUMBER(J126),J126&gt;=0,J126&lt;=1),D126/E126*1000,NA())</x:f>
        <x:v>0</x:v>
      </x:c>
      <x:c r="H126" s="34" t="n">
        <x:f>G126+I126</x:f>
        <x:v>0</x:v>
      </x:c>
      <x:c r="I126" s="34" t="n">
        <x:f>G126*F126*$D$98*$B$98/(1-$B$98)</x:f>
        <x:v>0</x:v>
      </x:c>
      <x:c r="J126" s="59" t="n">
        <x:v>1</x:v>
      </x:c>
      <x:c r="K126" s="34" t="n">
        <x:f>I126*J126</x:f>
        <x:v>0</x:v>
      </x:c>
      <x:c r="L126" s="30" t="str">
        <x:v>原通信行 87</x:v>
      </x:c>
    </x:row>
    <x:row r="127" ht="15" customHeight="1">
      <x:c r="A127" s="30" t="str">
        <x:v>LM Head TP</x:v>
      </x:c>
      <x:c r="B127" s="30" t="str">
        <x:v>LM Head</x:v>
      </x:c>
      <x:c r="C127" s="30" t="str">
        <x:v>Reduce Sample</x:v>
      </x:c>
      <x:c r="D127" s="34" t="n">
        <x:f>(K88*2^20)/1e9</x:f>
        <x:v>0.001376256</x:v>
      </x:c>
      <x:c r="E127" s="64" t="n">
        <x:f>$H$98</x:f>
        <x:v>100</x:v>
      </x:c>
      <x:c r="F127" s="59" t="n">
        <x:v>1</x:v>
      </x:c>
      <x:c r="G127" s="34" t="n">
        <x:f>IF(AND(ISNUMBER(E127),E127&gt;0,ISNUMBER($B$98),$B$98&gt;=0,$B$98&lt;1,ISNUMBER($D$98),$D$98&gt;=0,$D$98&lt;=1,ISNUMBER(F127),F127&gt;=0,F127&lt;=1,ISNUMBER(J127),J127&gt;=0,J127&lt;=1),D127/E127*1000,NA())</x:f>
        <x:v>0.01376256</x:v>
      </x:c>
      <x:c r="H127" s="34" t="n">
        <x:f>G127+I127</x:f>
        <x:v>0.015291733333333333</x:v>
      </x:c>
      <x:c r="I127" s="34" t="n">
        <x:f>G127*F127*$D$98*$B$98/(1-$B$98)</x:f>
        <x:v>0.0015291733333333336</x:v>
      </x:c>
      <x:c r="J127" s="59" t="n">
        <x:v>1</x:v>
      </x:c>
      <x:c r="K127" s="34" t="n">
        <x:f>I127*J127</x:f>
        <x:v>0.0015291733333333336</x:v>
      </x:c>
      <x:c r="L127" s="30" t="str">
        <x:v>原通信行 88</x:v>
      </x:c>
    </x:row>
    <x:row r="128" ht="15" customHeight="1">
      <x:c r="A128" s="30" t="str">
        <x:v>Fine LM Head TP</x:v>
      </x:c>
      <x:c r="B128" s="30" t="str">
        <x:v>LM Head</x:v>
      </x:c>
      <x:c r="C128" s="30" t="str">
        <x:v>Hidden 输入</x:v>
      </x:c>
      <x:c r="D128" s="34" t="n">
        <x:f>(K89*2^20)/1e9</x:f>
        <x:v>0</x:v>
      </x:c>
      <x:c r="E128" s="64" t="n">
        <x:f>$H$98</x:f>
        <x:v>100</x:v>
      </x:c>
      <x:c r="F128" s="59" t="n">
        <x:v>1</x:v>
      </x:c>
      <x:c r="G128" s="34" t="n">
        <x:f>IF(AND(ISNUMBER(E128),E128&gt;0,ISNUMBER($B$98),$B$98&gt;=0,$B$98&lt;1,ISNUMBER($D$98),$D$98&gt;=0,$D$98&lt;=1,ISNUMBER(F128),F128&gt;=0,F128&lt;=1,ISNUMBER(J128),J128&gt;=0,J128&lt;=1),D128/E128*1000,NA())</x:f>
        <x:v>0</x:v>
      </x:c>
      <x:c r="H128" s="34" t="n">
        <x:f>G128+I128</x:f>
        <x:v>0</x:v>
      </x:c>
      <x:c r="I128" s="34" t="n">
        <x:f>G128*F128*$D$98*$B$98/(1-$B$98)</x:f>
        <x:v>0</x:v>
      </x:c>
      <x:c r="J128" s="59" t="n">
        <x:v>1</x:v>
      </x:c>
      <x:c r="K128" s="34" t="n">
        <x:f>I128*J128</x:f>
        <x:v>0</x:v>
      </x:c>
      <x:c r="L128" s="30" t="str">
        <x:v>原通信行 89</x:v>
      </x:c>
    </x:row>
    <x:row r="129" ht="15" customHeight="1">
      <x:c r="A129" s="30" t="str">
        <x:v>Fine LM Head TP</x:v>
      </x:c>
      <x:c r="B129" s="30" t="str">
        <x:v>LM Head</x:v>
      </x:c>
      <x:c r="C129" s="30" t="str">
        <x:v>完整 Logits</x:v>
      </x:c>
      <x:c r="D129" s="34" t="n">
        <x:f>(K90*2^20)/1e9</x:f>
        <x:v>0</x:v>
      </x:c>
      <x:c r="E129" s="64" t="n">
        <x:f>$H$98</x:f>
        <x:v>100</x:v>
      </x:c>
      <x:c r="F129" s="59" t="n">
        <x:v>1</x:v>
      </x:c>
      <x:c r="G129" s="34" t="n">
        <x:f>IF(AND(ISNUMBER(E129),E129&gt;0,ISNUMBER($B$98),$B$98&gt;=0,$B$98&lt;1,ISNUMBER($D$98),$D$98&gt;=0,$D$98&lt;=1,ISNUMBER(F129),F129&gt;=0,F129&lt;=1,ISNUMBER(J129),J129&gt;=0,J129&lt;=1),D129/E129*1000,NA())</x:f>
        <x:v>0</x:v>
      </x:c>
      <x:c r="H129" s="34" t="n">
        <x:f>G129+I129</x:f>
        <x:v>0</x:v>
      </x:c>
      <x:c r="I129" s="34" t="n">
        <x:f>G129*F129*$D$98*$B$98/(1-$B$98)</x:f>
        <x:v>0</x:v>
      </x:c>
      <x:c r="J129" s="59" t="n">
        <x:v>1</x:v>
      </x:c>
      <x:c r="K129" s="34" t="n">
        <x:f>I129*J129</x:f>
        <x:v>0</x:v>
      </x:c>
      <x:c r="L129" s="30" t="str">
        <x:v>原通信行 90</x:v>
      </x:c>
    </x:row>
    <x:row r="130" ht="15" customHeight="1">
      <x:c r="A130" s="30" t="str">
        <x:v>Fine LM Head TP</x:v>
      </x:c>
      <x:c r="B130" s="30" t="str">
        <x:v>LM Head</x:v>
      </x:c>
      <x:c r="C130" s="30" t="str">
        <x:v>Reduce Sample</x:v>
      </x:c>
      <x:c r="D130" s="34" t="n">
        <x:f>(K91*2^20)/1e9</x:f>
        <x:v>0</x:v>
      </x:c>
      <x:c r="E130" s="64" t="n">
        <x:f>$H$98</x:f>
        <x:v>100</x:v>
      </x:c>
      <x:c r="F130" s="59" t="n">
        <x:v>1</x:v>
      </x:c>
      <x:c r="G130" s="34" t="n">
        <x:f>IF(AND(ISNUMBER(E130),E130&gt;0,ISNUMBER($B$98),$B$98&gt;=0,$B$98&lt;1,ISNUMBER($D$98),$D$98&gt;=0,$D$98&lt;=1,ISNUMBER(F130),F130&gt;=0,F130&lt;=1,ISNUMBER(J130),J130&gt;=0,J130&lt;=1),D130/E130*1000,NA())</x:f>
        <x:v>0</x:v>
      </x:c>
      <x:c r="H130" s="34" t="n">
        <x:f>G130+I130</x:f>
        <x:v>0</x:v>
      </x:c>
      <x:c r="I130" s="34" t="n">
        <x:f>G130*F130*$D$98*$B$98/(1-$B$98)</x:f>
        <x:v>0</x:v>
      </x:c>
      <x:c r="J130" s="59" t="n">
        <x:v>1</x:v>
      </x:c>
      <x:c r="K130" s="34" t="n">
        <x:f>I130*J130</x:f>
        <x:v>0</x:v>
      </x:c>
      <x:c r="L130" s="30" t="str">
        <x:v>原通信行 91</x:v>
      </x:c>
    </x:row>
    <x:row r="131" ht="15" customHeight="1">
      <x:c r="A131" s="30" t="str">
        <x:v>EP</x:v>
      </x:c>
      <x:c r="B131" s="30" t="str">
        <x:v>MoE 计数</x:v>
      </x:c>
      <x:c r="C131" s="30" t="str">
        <x:v>直方图 Ring AG</x:v>
      </x:c>
      <x:c r="D131" s="34" t="n">
        <x:f>(IF(E74=0,0,H74*ROUNDUP(896/G74,0)*G74*4*(G74-1)))/1e9</x:f>
        <x:v>0.002308096</x:v>
      </x:c>
      <x:c r="E131" s="64" t="n">
        <x:f>$H$98</x:f>
        <x:v>100</x:v>
      </x:c>
      <x:c r="F131" s="59" t="n">
        <x:v>1</x:v>
      </x:c>
      <x:c r="G131" s="34" t="n">
        <x:f>IF(AND(ISNUMBER(E131),E131&gt;0,ISNUMBER($B$98),$B$98&gt;=0,$B$98&lt;1,ISNUMBER($D$98),$D$98&gt;=0,$D$98&lt;=1,ISNUMBER(F131),F131&gt;=0,F131&lt;=1,ISNUMBER(J131),J131&gt;=0,J131&lt;=1),D131/E131*1000,NA())</x:f>
        <x:v>0.023080959999999998</x:v>
      </x:c>
      <x:c r="H131" s="34" t="n">
        <x:f>G131+I131</x:f>
        <x:v>0.02564551111111111</x:v>
      </x:c>
      <x:c r="I131" s="34" t="n">
        <x:f>G131*F131*$D$98*$B$98/(1-$B$98)</x:f>
        <x:v>0.002564551111111111</x:v>
      </x:c>
      <x:c r="J131" s="59" t="n">
        <x:v>1</x:v>
      </x:c>
      <x:c r="K131" s="34" t="n">
        <x:f>I131*J131</x:f>
        <x:v>0.002564551111111111</x:v>
      </x:c>
      <x:c r="L131" s="30" t="str">
        <x:v>额外控制量</x:v>
      </x:c>
    </x:row>
    <x:row r="132" ht="15" customHeight="1">
      <x:c r="A132" s="40" t="str">
        <x:v>所列事件串行相加</x:v>
      </x:c>
      <x:c r="B132" s="40"/>
      <x:c r="C132" s="40"/>
      <x:c r="D132" s="41" t="n">
        <x:f>SUM(D104:D131)</x:f>
        <x:v>76.17486643199999</x:v>
      </x:c>
      <x:c r="E132" s="40"/>
      <x:c r="F132" s="40"/>
      <x:c r="G132" s="41" t="n">
        <x:f>SUM(G104:G131)</x:f>
        <x:v>761.74866432</x:v>
      </x:c>
      <x:c r="H132" s="41" t="n">
        <x:f>SUM(H104:H131)</x:f>
        <x:v>846.3874048</x:v>
      </x:c>
      <x:c r="I132" s="41" t="n">
        <x:f>SUM(I104:I131)</x:f>
        <x:v>84.63874048000001</x:v>
      </x:c>
      <x:c r="J132" s="40"/>
      <x:c r="K132" s="41" t="n">
        <x:f>SUM(K104:K131)</x:f>
        <x:v>84.63874048000001</x:v>
      </x:c>
      <x:c r="L132" s="40"/>
    </x:row>
  </x:sheetData>
  <x:conditionalFormatting sqref="L100:L100">
    <x:cfRule type="containsText" dxfId="0" priority="1" operator="containsText" text="不一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[163840, 7168]</x:v>
      </x:c>
      <x:c r="D2" s="30" t="str">
        <x:v>BF16</x:v>
      </x:c>
      <x:c r="E2" s="32" t="n">
        <x:v>2</x:v>
      </x:c>
      <x:c r="F2" s="33" t="n">
        <x:v>1</x:v>
      </x:c>
      <x:c r="G2" s="33" t="n">
        <x:v>1174405120</x:v>
      </x:c>
      <x:c r="H2" s="33" t="str">
        <x:v>Embedding TP</x:v>
      </x:c>
      <x:c r="I2" s="33" t="n">
        <x:f>IF('Decode'!$P$21&gt;0,'Decode'!$P$21,'Decode'!$P$12)</x:f>
        <x:v>8</x:v>
      </x:c>
      <x:c r="J2" s="34" t="n">
        <x:f>E2*F2*G2/1073741824</x:f>
        <x:v>2.1875</x:v>
      </x:c>
      <x:c r="K2" s="34" t="n">
        <x:f>J2/I2</x:f>
        <x:v>0.2734375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[163840, 7168]</x:v>
      </x:c>
      <x:c r="D3" s="30" t="str">
        <x:v>BF16</x:v>
      </x:c>
      <x:c r="E3" s="32" t="n">
        <x:v>2</x:v>
      </x:c>
      <x:c r="F3" s="33" t="n">
        <x:v>1</x:v>
      </x:c>
      <x:c r="G3" s="33" t="n">
        <x:v>1174405120</x:v>
      </x:c>
      <x:c r="H3" s="33" t="str">
        <x:v>LM Head TP</x:v>
      </x:c>
      <x:c r="I3" s="33" t="n">
        <x:f>IF('Decode'!$P$20&gt;0,'Decode'!$P$20,'Decode'!$P$12)</x:f>
        <x:v>8</x:v>
      </x:c>
      <x:c r="J3" s="34" t="n">
        <x:f>E3*F3*G3/1073741824</x:f>
        <x:v>2.1875</x:v>
      </x:c>
      <x:c r="K3" s="34" t="n">
        <x:f>J3/I3</x:f>
        <x:v>0.2734375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[7168]</x:v>
      </x:c>
      <x:c r="D4" s="30" t="str">
        <x:v>BF16</x:v>
      </x:c>
      <x:c r="E4" s="32" t="n">
        <x:v>2</x:v>
      </x:c>
      <x:c r="F4" s="33" t="n">
        <x:v>1</x:v>
      </x:c>
      <x:c r="G4" s="33" t="n">
        <x:v>7168</x:v>
      </x:c>
      <x:c r="H4" s="33" t="str">
        <x:v>Replicated</x:v>
      </x:c>
      <x:c r="I4" s="33" t="n">
        <x:f>1</x:f>
        <x:v>1</x:v>
      </x:c>
      <x:c r="J4" s="34" t="n">
        <x:f>E4*F4*G4/1073741824</x:f>
        <x:v>0.0000133514404296875</x:v>
      </x:c>
      <x:c r="K4" s="34" t="n">
        <x:f>J4/I4</x:f>
        <x:v>0.0000133514404296875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[7168]</x:v>
      </x:c>
      <x:c r="D5" s="30" t="str">
        <x:v>BF16</x:v>
      </x:c>
      <x:c r="E5" s="32" t="n">
        <x:v>2</x:v>
      </x:c>
      <x:c r="F5" s="33" t="n">
        <x:v>93</x:v>
      </x:c>
      <x:c r="G5" s="33" t="n">
        <x:v>7168</x:v>
      </x:c>
      <x:c r="H5" s="33" t="str">
        <x:v>Replicated</x:v>
      </x:c>
      <x:c r="I5" s="33" t="n">
        <x:f>1</x:f>
        <x:v>1</x:v>
      </x:c>
      <x:c r="J5" s="34" t="n">
        <x:f>E5*F5*G5/1073741824</x:f>
        <x:v>0.0012416839599609375</x:v>
      </x:c>
      <x:c r="K5" s="34" t="n">
        <x:f>J5/I5</x:f>
        <x:v>0.0012416839599609375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[7168]</x:v>
      </x:c>
      <x:c r="D6" s="30" t="str">
        <x:v>BF16</x:v>
      </x:c>
      <x:c r="E6" s="32" t="n">
        <x:v>2</x:v>
      </x:c>
      <x:c r="F6" s="33" t="n">
        <x:v>93</x:v>
      </x:c>
      <x:c r="G6" s="33" t="n">
        <x:v>7168</x:v>
      </x:c>
      <x:c r="H6" s="33" t="str">
        <x:v>Replicated</x:v>
      </x:c>
      <x:c r="I6" s="33" t="n">
        <x:f>1</x:f>
        <x:v>1</x:v>
      </x:c>
      <x:c r="J6" s="34" t="n">
        <x:f>E6*F6*G6/1073741824</x:f>
        <x:v>0.0012416839599609375</x:v>
      </x:c>
      <x:c r="K6" s="34" t="n">
        <x:f>J6/I6</x:f>
        <x:v>0.0012416839599609375</x:v>
      </x:c>
      <x:c r="L6" s="30"/>
      <x:c r="M6" s="30"/>
      <x:c r="N6" s="30"/>
      <x:c r="O6" s="35" t="str">
        <x:v>投机采样步数</x:v>
      </x:c>
      <x:c r="P6" s="36" t="n">
        <x:v>7</x:v>
      </x:c>
    </x:row>
    <x:row r="7">
      <x:c r="A7" s="30" t="str">
        <x:v>Backbone</x:v>
      </x:c>
      <x:c r="B7" s="30" t="str">
        <x:v>self_attention_res_norm.weight</x:v>
      </x:c>
      <x:c r="C7" s="30" t="str">
        <x:v>[7168]</x:v>
      </x:c>
      <x:c r="D7" s="30" t="str">
        <x:v>BF16</x:v>
      </x:c>
      <x:c r="E7" s="32" t="n">
        <x:v>2</x:v>
      </x:c>
      <x:c r="F7" s="33" t="n">
        <x:v>93</x:v>
      </x:c>
      <x:c r="G7" s="33" t="n">
        <x:v>7168</x:v>
      </x:c>
      <x:c r="H7" s="33" t="str">
        <x:v>Replicated</x:v>
      </x:c>
      <x:c r="I7" s="33" t="n">
        <x:f>1</x:f>
        <x:v>1</x:v>
      </x:c>
      <x:c r="J7" s="34" t="n">
        <x:f>E7*F7*G7/1073741824</x:f>
        <x:v>0.0012416839599609375</x:v>
      </x:c>
      <x:c r="K7" s="34" t="n">
        <x:f>J7/I7</x:f>
        <x:v>0.0012416839599609375</x:v>
      </x:c>
      <x:c r="L7" s="30"/>
      <x:c r="M7" s="30"/>
      <x:c r="N7" s="30"/>
      <x:c r="O7" s="35" t="str">
        <x:v>当前 Step Token 数</x:v>
      </x:c>
      <x:c r="P7" s="37" t="n">
        <x:f>MIN($P$2,$P$3*($P$6+1))</x:f>
        <x:v>1024</x:v>
      </x:c>
    </x:row>
    <x:row r="8">
      <x:c r="A8" s="30" t="str">
        <x:v>Backbone</x:v>
      </x:c>
      <x:c r="B8" s="30" t="str">
        <x:v>self_attention_res_proj.weight</x:v>
      </x:c>
      <x:c r="C8" s="30" t="str">
        <x:v>[1, 7168]</x:v>
      </x:c>
      <x:c r="D8" s="30" t="str">
        <x:v>BF16</x:v>
      </x:c>
      <x:c r="E8" s="32" t="n">
        <x:v>2</x:v>
      </x:c>
      <x:c r="F8" s="33" t="n">
        <x:v>93</x:v>
      </x:c>
      <x:c r="G8" s="33" t="n">
        <x:v>7168</x:v>
      </x:c>
      <x:c r="H8" s="33" t="str">
        <x:v>Replicated</x:v>
      </x:c>
      <x:c r="I8" s="33" t="n">
        <x:f>1</x:f>
        <x:v>1</x:v>
      </x:c>
      <x:c r="J8" s="34" t="n">
        <x:f>E8*F8*G8/1073741824</x:f>
        <x:v>0.0012416839599609375</x:v>
      </x:c>
      <x:c r="K8" s="34" t="n">
        <x:f>J8/I8</x:f>
        <x:v>0.0012416839599609375</x:v>
      </x:c>
      <x:c r="L8" s="30"/>
      <x:c r="M8" s="30"/>
      <x:c r="N8" s="30"/>
      <x:c r="O8" s="35" t="str">
        <x:v>本 Step 采样行数</x:v>
      </x:c>
      <x:c r="P8" s="37" t="n">
        <x:f>MIN($P$7,$P$3*($P$6+1))</x:f>
        <x:v>1024</x:v>
      </x:c>
    </x:row>
    <x:row r="9">
      <x:c r="A9" s="30" t="str">
        <x:v>Backbone</x:v>
      </x:c>
      <x:c r="B9" s="30" t="str">
        <x:v>mlp_res_norm.weight</x:v>
      </x:c>
      <x:c r="C9" s="30" t="str">
        <x:v>[7168]</x:v>
      </x:c>
      <x:c r="D9" s="30" t="str">
        <x:v>BF16</x:v>
      </x:c>
      <x:c r="E9" s="32" t="n">
        <x:v>2</x:v>
      </x:c>
      <x:c r="F9" s="33" t="n">
        <x:v>93</x:v>
      </x:c>
      <x:c r="G9" s="33" t="n">
        <x:v>7168</x:v>
      </x:c>
      <x:c r="H9" s="33" t="str">
        <x:v>Replicated</x:v>
      </x:c>
      <x:c r="I9" s="33" t="n">
        <x:f>1</x:f>
        <x:v>1</x:v>
      </x:c>
      <x:c r="J9" s="34" t="n">
        <x:f>E9*F9*G9/1073741824</x:f>
        <x:v>0.0012416839599609375</x:v>
      </x:c>
      <x:c r="K9" s="34" t="n">
        <x:f>J9/I9</x:f>
        <x:v>0.0012416839599609375</x:v>
      </x:c>
      <x:c r="L9" s="30"/>
      <x:c r="M9" s="30"/>
      <x:c r="N9" s="30"/>
      <x:c r="O9" s="30"/>
      <x:c r="P9" s="30"/>
    </x:row>
    <x:row r="10">
      <x:c r="A10" s="30" t="str">
        <x:v>Backbone</x:v>
      </x:c>
      <x:c r="B10" s="30" t="str">
        <x:v>mlp_res_proj.weight</x:v>
      </x:c>
      <x:c r="C10" s="30" t="str">
        <x:v>[1, 7168]</x:v>
      </x:c>
      <x:c r="D10" s="30" t="str">
        <x:v>BF16</x:v>
      </x:c>
      <x:c r="E10" s="32" t="n">
        <x:v>2</x:v>
      </x:c>
      <x:c r="F10" s="33" t="n">
        <x:v>93</x:v>
      </x:c>
      <x:c r="G10" s="33" t="n">
        <x:v>7168</x:v>
      </x:c>
      <x:c r="H10" s="33" t="str">
        <x:v>Replicated</x:v>
      </x:c>
      <x:c r="I10" s="33" t="n">
        <x:f>1</x:f>
        <x:v>1</x:v>
      </x:c>
      <x:c r="J10" s="34" t="n">
        <x:f>E10*F10*G10/1073741824</x:f>
        <x:v>0.0012416839599609375</x:v>
      </x:c>
      <x:c r="K10" s="34" t="n">
        <x:f>J10/I10</x:f>
        <x:v>0.0012416839599609375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Backbone</x:v>
      </x:c>
      <x:c r="B11" s="30" t="str">
        <x:v>output_attn_res_norm.weight</x:v>
      </x:c>
      <x:c r="C11" s="30" t="str">
        <x:v>[7168]</x:v>
      </x:c>
      <x:c r="D11" s="30" t="str">
        <x:v>BF16</x:v>
      </x:c>
      <x:c r="E11" s="32" t="n">
        <x:v>2</x:v>
      </x:c>
      <x:c r="F11" s="33" t="n">
        <x:v>1</x:v>
      </x:c>
      <x:c r="G11" s="33" t="n">
        <x:v>7168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0.0000133514404296875</x:v>
      </x:c>
      <x:c r="K11" s="34" t="n">
        <x:f>J11/I11</x:f>
        <x:v>0.0000133514404296875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Backbone</x:v>
      </x:c>
      <x:c r="B12" s="30" t="str">
        <x:v>output_attn_res_proj.weight</x:v>
      </x:c>
      <x:c r="C12" s="30" t="str">
        <x:v>[1, 7168]</x:v>
      </x:c>
      <x:c r="D12" s="30" t="str">
        <x:v>BF16</x:v>
      </x:c>
      <x:c r="E12" s="32" t="n">
        <x:v>2</x:v>
      </x:c>
      <x:c r="F12" s="33" t="n">
        <x:v>1</x:v>
      </x:c>
      <x:c r="G12" s="33" t="n">
        <x:v>7168</x:v>
      </x:c>
      <x:c r="H12" s="33" t="str">
        <x:v>Replicated</x:v>
      </x:c>
      <x:c r="I12" s="33" t="n">
        <x:f>1</x:f>
        <x:v>1</x:v>
      </x:c>
      <x:c r="J12" s="34" t="n">
        <x:f>E12*F12*G12/1073741824</x:f>
        <x:v>0.0000133514404296875</x:v>
      </x:c>
      <x:c r="K12" s="34" t="n">
        <x:f>J12/I12</x:f>
        <x:v>0.0000133514404296875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Dense MLP</x:v>
      </x:c>
      <x:c r="B13" s="30" t="str">
        <x:v>mlp.gate_proj.weight</x:v>
      </x:c>
      <x:c r="C13" s="30" t="str">
        <x:v>[33792, 7168]</x:v>
      </x:c>
      <x:c r="D13" s="30" t="str">
        <x:v>BF16</x:v>
      </x:c>
      <x:c r="E13" s="32" t="n">
        <x:v>2</x:v>
      </x:c>
      <x:c r="F13" s="33" t="n">
        <x:v>1</x:v>
      </x:c>
      <x:c r="G13" s="33" t="n">
        <x:v>242221056</x:v>
      </x:c>
      <x:c r="H13" s="33" t="str">
        <x:v>TP</x:v>
      </x:c>
      <x:c r="I13" s="33" t="n">
        <x:f>'Decode'!$P$12</x:f>
        <x:v>8</x:v>
      </x:c>
      <x:c r="J13" s="34" t="n">
        <x:f>E13*F13*G13/1073741824</x:f>
        <x:v>0.451171875</x:v>
      </x:c>
      <x:c r="K13" s="34" t="n">
        <x:f>J13/I13</x:f>
        <x:v>0.056396484375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Dense MLP</x:v>
      </x:c>
      <x:c r="B14" s="30" t="str">
        <x:v>mlp.up_proj.weight</x:v>
      </x:c>
      <x:c r="C14" s="30" t="str">
        <x:v>[33792, 7168]</x:v>
      </x:c>
      <x:c r="D14" s="30" t="str">
        <x:v>BF16</x:v>
      </x:c>
      <x:c r="E14" s="32" t="n">
        <x:v>2</x:v>
      </x:c>
      <x:c r="F14" s="33" t="n">
        <x:v>1</x:v>
      </x:c>
      <x:c r="G14" s="33" t="n">
        <x:v>242221056</x:v>
      </x:c>
      <x:c r="H14" s="33" t="str">
        <x:v>TP</x:v>
      </x:c>
      <x:c r="I14" s="33" t="n">
        <x:f>'Decode'!$P$12</x:f>
        <x:v>8</x:v>
      </x:c>
      <x:c r="J14" s="34" t="n">
        <x:f>E14*F14*G14/1073741824</x:f>
        <x:v>0.451171875</x:v>
      </x:c>
      <x:c r="K14" s="34" t="n">
        <x:f>J14/I14</x:f>
        <x:v>0.056396484375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Dense MLP</x:v>
      </x:c>
      <x:c r="B15" s="30" t="str">
        <x:v>mlp.down_proj.weight</x:v>
      </x:c>
      <x:c r="C15" s="30" t="str">
        <x:v>[7168, 33792]</x:v>
      </x:c>
      <x:c r="D15" s="30" t="str">
        <x:v>BF16</x:v>
      </x:c>
      <x:c r="E15" s="32" t="n">
        <x:v>2</x:v>
      </x:c>
      <x:c r="F15" s="33" t="n">
        <x:v>1</x:v>
      </x:c>
      <x:c r="G15" s="33" t="n">
        <x:v>242221056</x:v>
      </x:c>
      <x:c r="H15" s="33" t="str">
        <x:v>TP</x:v>
      </x:c>
      <x:c r="I15" s="33" t="n">
        <x:f>'Decode'!$P$12</x:f>
        <x:v>8</x:v>
      </x:c>
      <x:c r="J15" s="34" t="n">
        <x:f>E15*F15*G15/1073741824</x:f>
        <x:v>0.451171875</x:v>
      </x:c>
      <x:c r="K15" s="34" t="n">
        <x:f>J15/I15</x:f>
        <x:v>0.056396484375</x:v>
      </x:c>
      <x:c r="L15" s="30"/>
      <x:c r="M15" s="30"/>
      <x:c r="N15" s="30"/>
      <x:c r="O15" s="35"/>
      <x:c r="P15" s="35"/>
    </x:row>
    <x:row r="16">
      <x:c r="A16" s="30" t="str">
        <x:v>MoE Router</x:v>
      </x:c>
      <x:c r="B16" s="30" t="str">
        <x:v>block_sparse_moe.gate.weight</x:v>
      </x:c>
      <x:c r="C16" s="30" t="str">
        <x:v>[896, 7168]</x:v>
      </x:c>
      <x:c r="D16" s="30" t="str">
        <x:v>BF16</x:v>
      </x:c>
      <x:c r="E16" s="32" t="n">
        <x:v>2</x:v>
      </x:c>
      <x:c r="F16" s="33" t="n">
        <x:v>92</x:v>
      </x:c>
      <x:c r="G16" s="33" t="n">
        <x:v>6422528</x:v>
      </x:c>
      <x:c r="H16" s="33" t="str">
        <x:v>Replicated</x:v>
      </x:c>
      <x:c r="I16" s="33" t="n">
        <x:f>1</x:f>
        <x:v>1</x:v>
      </x:c>
      <x:c r="J16" s="34" t="n">
        <x:f>E16*F16*G16/1073741824</x:f>
        <x:v>1.1005859375</x:v>
      </x:c>
      <x:c r="K16" s="34" t="n">
        <x:f>J16/I16</x:f>
        <x:v>1.1005859375</x:v>
      </x:c>
      <x:c r="L16" s="30"/>
      <x:c r="M16" s="30"/>
      <x:c r="N16" s="30"/>
      <x:c r="O16" s="35" t="str">
        <x:v>DCP（1 表示关闭）</x:v>
      </x:c>
      <x:c r="P16" s="36" t="n">
        <x:v>1</x:v>
      </x:c>
    </x:row>
    <x:row r="17">
      <x:c r="A17" s="30" t="str">
        <x:v>MoE Router</x:v>
      </x:c>
      <x:c r="B17" s="30" t="str">
        <x:v>block_sparse_moe.gate.e_score_correction_bias</x:v>
      </x:c>
      <x:c r="C17" s="30" t="str">
        <x:v>[896]</x:v>
      </x:c>
      <x:c r="D17" s="30" t="str">
        <x:v>F32</x:v>
      </x:c>
      <x:c r="E17" s="32" t="n">
        <x:v>4</x:v>
      </x:c>
      <x:c r="F17" s="33" t="n">
        <x:v>92</x:v>
      </x:c>
      <x:c r="G17" s="33" t="n">
        <x:v>896</x:v>
      </x:c>
      <x:c r="H17" s="33" t="str">
        <x:v>Replicated</x:v>
      </x:c>
      <x:c r="I17" s="33" t="n">
        <x:f>1</x:f>
        <x:v>1</x:v>
      </x:c>
      <x:c r="J17" s="34" t="n">
        <x:f>E17*F17*G17/1073741824</x:f>
        <x:v>0.0003070831298828125</x:v>
      </x:c>
      <x:c r="K17" s="34" t="n">
        <x:f>J17/I17</x:f>
        <x:v>0.0003070831298828125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Latent MoE</x:v>
      </x:c>
      <x:c r="B18" s="30" t="str">
        <x:v>routed_expert_up_proj.weight</x:v>
      </x:c>
      <x:c r="C18" s="30" t="str">
        <x:v>[7168, 3584]</x:v>
      </x:c>
      <x:c r="D18" s="30" t="str">
        <x:v>BF16</x:v>
      </x:c>
      <x:c r="E18" s="32" t="n">
        <x:v>2</x:v>
      </x:c>
      <x:c r="F18" s="33" t="n">
        <x:v>92</x:v>
      </x:c>
      <x:c r="G18" s="33" t="n">
        <x:v>25690112</x:v>
      </x:c>
      <x:c r="H18" s="33" t="str">
        <x:v>Replicated</x:v>
      </x:c>
      <x:c r="I18" s="33" t="n">
        <x:f>1</x:f>
        <x:v>1</x:v>
      </x:c>
      <x:c r="J18" s="34" t="n">
        <x:f>E18*F18*G18/1073741824</x:f>
        <x:v>4.40234375</x:v>
      </x:c>
      <x:c r="K18" s="34" t="n">
        <x:f>J18/I18</x:f>
        <x:v>4.40234375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Latent MoE</x:v>
      </x:c>
      <x:c r="B19" s="30" t="str">
        <x:v>routed_expert_norm.weight</x:v>
      </x:c>
      <x:c r="C19" s="30" t="str">
        <x:v>[3584]</x:v>
      </x:c>
      <x:c r="D19" s="30" t="str">
        <x:v>BF16</x:v>
      </x:c>
      <x:c r="E19" s="32" t="n">
        <x:v>2</x:v>
      </x:c>
      <x:c r="F19" s="33" t="n">
        <x:v>92</x:v>
      </x:c>
      <x:c r="G19" s="33" t="n">
        <x:v>3584</x:v>
      </x:c>
      <x:c r="H19" s="33" t="str">
        <x:v>Replicated</x:v>
      </x:c>
      <x:c r="I19" s="33" t="n">
        <x:f>1</x:f>
        <x:v>1</x:v>
      </x:c>
      <x:c r="J19" s="34" t="n">
        <x:f>E19*F19*G19/1073741824</x:f>
        <x:v>0.000614166259765625</x:v>
      </x:c>
      <x:c r="K19" s="34" t="n">
        <x:f>J19/I19</x:f>
        <x:v>0.000614166259765625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Latent MoE</x:v>
      </x:c>
      <x:c r="B20" s="30" t="str">
        <x:v>routed_expert_down_proj.weight</x:v>
      </x:c>
      <x:c r="C20" s="30" t="str">
        <x:v>[3584, 7168]</x:v>
      </x:c>
      <x:c r="D20" s="30" t="str">
        <x:v>BF16</x:v>
      </x:c>
      <x:c r="E20" s="32" t="n">
        <x:v>2</x:v>
      </x:c>
      <x:c r="F20" s="33" t="n">
        <x:v>92</x:v>
      </x:c>
      <x:c r="G20" s="33" t="n">
        <x:v>25690112</x:v>
      </x:c>
      <x:c r="H20" s="33" t="str">
        <x:v>Replicated</x:v>
      </x:c>
      <x:c r="I20" s="33" t="n">
        <x:f>1</x:f>
        <x:v>1</x:v>
      </x:c>
      <x:c r="J20" s="34" t="n">
        <x:f>E20*F20*G20/1073741824</x:f>
        <x:v>4.40234375</x:v>
      </x:c>
      <x:c r="K20" s="34" t="n">
        <x:f>J20/I20</x:f>
        <x:v>4.40234375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Routed Experts</x:v>
      </x:c>
      <x:c r="B21" s="30" t="str">
        <x:v>experts.w1.weight</x:v>
      </x:c>
      <x:c r="C21" s="30" t="str">
        <x:v>[3072, 3584]</x:v>
      </x:c>
      <x:c r="D21" s="30" t="str">
        <x:v>FP4</x:v>
      </x:c>
      <x:c r="E21" s="32" t="n">
        <x:v>0.5</x:v>
      </x:c>
      <x:c r="F21" s="33" t="n">
        <x:v>82432</x:v>
      </x:c>
      <x:c r="G21" s="33" t="n">
        <x:v>11010048</x:v>
      </x:c>
      <x:c r="H21" s="33" t="str">
        <x:v>EP</x:v>
      </x:c>
      <x:c r="I21" s="33" t="n">
        <x:f>'Decode'!$P$14</x:f>
        <x:v>8</x:v>
      </x:c>
      <x:c r="J21" s="34" t="n">
        <x:f>E21*F21*G21/1073741824</x:f>
        <x:v>422.625</x:v>
      </x:c>
      <x:c r="K21" s="34" t="n">
        <x:f>J21/I21</x:f>
        <x:v>52.828125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Routed Experts</x:v>
      </x:c>
      <x:c r="B22" s="30" t="str">
        <x:v>experts.w1.weight_scale</x:v>
      </x:c>
      <x:c r="C22" s="30" t="str">
        <x:v>[3072, 112]</x:v>
      </x:c>
      <x:c r="D22" s="30" t="str">
        <x:v>E8M0</x:v>
      </x:c>
      <x:c r="E22" s="32" t="n">
        <x:v>1</x:v>
      </x:c>
      <x:c r="F22" s="33" t="n">
        <x:v>82432</x:v>
      </x:c>
      <x:c r="G22" s="33" t="n">
        <x:v>344064</x:v>
      </x:c>
      <x:c r="H22" s="33" t="str">
        <x:v>EP</x:v>
      </x:c>
      <x:c r="I22" s="33" t="n">
        <x:f>'Decode'!$P$14</x:f>
        <x:v>8</x:v>
      </x:c>
      <x:c r="J22" s="34" t="n">
        <x:f>E22*F22*G22/1073741824</x:f>
        <x:v>26.4140625</x:v>
      </x:c>
      <x:c r="K22" s="34" t="n">
        <x:f>J22/I22</x:f>
        <x:v>3.3017578125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Routed Experts</x:v>
      </x:c>
      <x:c r="B23" s="30" t="str">
        <x:v>experts.w3.weight</x:v>
      </x:c>
      <x:c r="C23" s="30" t="str">
        <x:v>[3072, 3584]</x:v>
      </x:c>
      <x:c r="D23" s="30" t="str">
        <x:v>FP4</x:v>
      </x:c>
      <x:c r="E23" s="32" t="n">
        <x:v>0.5</x:v>
      </x:c>
      <x:c r="F23" s="33" t="n">
        <x:v>82432</x:v>
      </x:c>
      <x:c r="G23" s="33" t="n">
        <x:v>11010048</x:v>
      </x:c>
      <x:c r="H23" s="33" t="str">
        <x:v>EP</x:v>
      </x:c>
      <x:c r="I23" s="33" t="n">
        <x:f>'Decode'!$P$14</x:f>
        <x:v>8</x:v>
      </x:c>
      <x:c r="J23" s="34" t="n">
        <x:f>E23*F23*G23/1073741824</x:f>
        <x:v>422.625</x:v>
      </x:c>
      <x:c r="K23" s="34" t="n">
        <x:f>J23/I23</x:f>
        <x:v>52.828125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Routed Experts</x:v>
      </x:c>
      <x:c r="B24" s="30" t="str">
        <x:v>experts.w3.weight_scale</x:v>
      </x:c>
      <x:c r="C24" s="30" t="str">
        <x:v>[3072, 112]</x:v>
      </x:c>
      <x:c r="D24" s="30" t="str">
        <x:v>E8M0</x:v>
      </x:c>
      <x:c r="E24" s="32" t="n">
        <x:v>1</x:v>
      </x:c>
      <x:c r="F24" s="33" t="n">
        <x:v>82432</x:v>
      </x:c>
      <x:c r="G24" s="33" t="n">
        <x:v>344064</x:v>
      </x:c>
      <x:c r="H24" s="33" t="str">
        <x:v>EP</x:v>
      </x:c>
      <x:c r="I24" s="33" t="n">
        <x:f>'Decode'!$P$14</x:f>
        <x:v>8</x:v>
      </x:c>
      <x:c r="J24" s="34" t="n">
        <x:f>E24*F24*G24/1073741824</x:f>
        <x:v>26.4140625</x:v>
      </x:c>
      <x:c r="K24" s="34" t="n">
        <x:f>J24/I24</x:f>
        <x:v>3.3017578125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Routed Experts</x:v>
      </x:c>
      <x:c r="B25" s="30" t="str">
        <x:v>experts.w2.weight</x:v>
      </x:c>
      <x:c r="C25" s="30" t="str">
        <x:v>[3584, 3072]</x:v>
      </x:c>
      <x:c r="D25" s="30" t="str">
        <x:v>FP4</x:v>
      </x:c>
      <x:c r="E25" s="32" t="n">
        <x:v>0.5</x:v>
      </x:c>
      <x:c r="F25" s="33" t="n">
        <x:v>82432</x:v>
      </x:c>
      <x:c r="G25" s="33" t="n">
        <x:v>11010048</x:v>
      </x:c>
      <x:c r="H25" s="33" t="str">
        <x:v>EP</x:v>
      </x:c>
      <x:c r="I25" s="33" t="n">
        <x:f>'Decode'!$P$14</x:f>
        <x:v>8</x:v>
      </x:c>
      <x:c r="J25" s="34" t="n">
        <x:f>E25*F25*G25/1073741824</x:f>
        <x:v>422.625</x:v>
      </x:c>
      <x:c r="K25" s="34" t="n">
        <x:f>J25/I25</x:f>
        <x:v>52.828125</x:v>
      </x:c>
      <x:c r="L25" s="30"/>
      <x:c r="M25" s="30"/>
      <x:c r="N25" s="30"/>
      <x:c r="O25" s="30"/>
      <x:c r="P25" s="30"/>
    </x:row>
    <x:row r="26">
      <x:c r="A26" s="30" t="str">
        <x:v>Routed Experts</x:v>
      </x:c>
      <x:c r="B26" s="30" t="str">
        <x:v>experts.w2.weight_scale</x:v>
      </x:c>
      <x:c r="C26" s="30" t="str">
        <x:v>[3584, 96]</x:v>
      </x:c>
      <x:c r="D26" s="30" t="str">
        <x:v>E8M0</x:v>
      </x:c>
      <x:c r="E26" s="32" t="n">
        <x:v>1</x:v>
      </x:c>
      <x:c r="F26" s="33" t="n">
        <x:v>82432</x:v>
      </x:c>
      <x:c r="G26" s="33" t="n">
        <x:v>344064</x:v>
      </x:c>
      <x:c r="H26" s="33" t="str">
        <x:v>EP</x:v>
      </x:c>
      <x:c r="I26" s="33" t="n">
        <x:f>'Decode'!$P$14</x:f>
        <x:v>8</x:v>
      </x:c>
      <x:c r="J26" s="34" t="n">
        <x:f>E26*F26*G26/1073741824</x:f>
        <x:v>26.4140625</x:v>
      </x:c>
      <x:c r="K26" s="34" t="n">
        <x:f>J26/I26</x:f>
        <x:v>3.3017578125</x:v>
      </x:c>
      <x:c r="L26" s="30"/>
      <x:c r="M26" s="30"/>
      <x:c r="N26" s="30"/>
      <x:c r="O26" s="30"/>
      <x:c r="P26" s="30"/>
    </x:row>
    <x:row r="27">
      <x:c r="A27" s="30" t="str">
        <x:v>Shared Experts</x:v>
      </x:c>
      <x:c r="B27" s="30" t="str">
        <x:v>shared_experts.gate_proj.weight</x:v>
      </x:c>
      <x:c r="C27" s="30" t="str">
        <x:v>[6144, 7168]</x:v>
      </x:c>
      <x:c r="D27" s="30" t="str">
        <x:v>BF16</x:v>
      </x:c>
      <x:c r="E27" s="32" t="n">
        <x:v>2</x:v>
      </x:c>
      <x:c r="F27" s="33" t="n">
        <x:v>92</x:v>
      </x:c>
      <x:c r="G27" s="33" t="n">
        <x:v>44040192</x:v>
      </x:c>
      <x:c r="H27" s="33" t="str">
        <x:v>共享专家 TP/DP</x:v>
      </x:c>
      <x:c r="I27" s="33" t="n">
        <x:f>IF('Decode'!$P$17="TP",'Decode'!$P$18,1)</x:f>
        <x:v>8</x:v>
      </x:c>
      <x:c r="J27" s="34" t="n">
        <x:f>E27*F27*G27/1073741824</x:f>
        <x:v>7.546875</x:v>
      </x:c>
      <x:c r="K27" s="34" t="n">
        <x:f>J27/I27</x:f>
        <x:v>0.943359375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Shared Experts</x:v>
      </x:c>
      <x:c r="B28" s="30" t="str">
        <x:v>shared_experts.up_proj.weight</x:v>
      </x:c>
      <x:c r="C28" s="30" t="str">
        <x:v>[6144, 7168]</x:v>
      </x:c>
      <x:c r="D28" s="30" t="str">
        <x:v>BF16</x:v>
      </x:c>
      <x:c r="E28" s="32" t="n">
        <x:v>2</x:v>
      </x:c>
      <x:c r="F28" s="33" t="n">
        <x:v>92</x:v>
      </x:c>
      <x:c r="G28" s="33" t="n">
        <x:v>44040192</x:v>
      </x:c>
      <x:c r="H28" s="33" t="str">
        <x:v>共享专家 TP/DP</x:v>
      </x:c>
      <x:c r="I28" s="33" t="n">
        <x:f>IF('Decode'!$P$17="TP",'Decode'!$P$18,1)</x:f>
        <x:v>8</x:v>
      </x:c>
      <x:c r="J28" s="34" t="n">
        <x:f>E28*F28*G28/1073741824</x:f>
        <x:v>7.546875</x:v>
      </x:c>
      <x:c r="K28" s="34" t="n">
        <x:f>J28/I28</x:f>
        <x:v>0.943359375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Shared Experts</x:v>
      </x:c>
      <x:c r="B29" s="30" t="str">
        <x:v>shared_experts.down_proj.weight</x:v>
      </x:c>
      <x:c r="C29" s="30" t="str">
        <x:v>[7168, 6144]</x:v>
      </x:c>
      <x:c r="D29" s="30" t="str">
        <x:v>BF16</x:v>
      </x:c>
      <x:c r="E29" s="32" t="n">
        <x:v>2</x:v>
      </x:c>
      <x:c r="F29" s="33" t="n">
        <x:v>92</x:v>
      </x:c>
      <x:c r="G29" s="33" t="n">
        <x:v>44040192</x:v>
      </x:c>
      <x:c r="H29" s="33" t="str">
        <x:v>共享专家 TP/DP</x:v>
      </x:c>
      <x:c r="I29" s="33" t="n">
        <x:f>IF('Decode'!$P$17="TP",'Decode'!$P$18,1)</x:f>
        <x:v>8</x:v>
      </x:c>
      <x:c r="J29" s="34" t="n">
        <x:f>E29*F29*G29/1073741824</x:f>
        <x:v>7.546875</x:v>
      </x:c>
      <x:c r="K29" s="34" t="n">
        <x:f>J29/I29</x:f>
        <x:v>0.943359375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KDA</x:v>
      </x:c>
      <x:c r="B30" s="30" t="str">
        <x:v>q_proj.weight</x:v>
      </x:c>
      <x:c r="C30" s="30" t="str">
        <x:v>[12288, 7168]</x:v>
      </x:c>
      <x:c r="D30" s="30" t="str">
        <x:v>BF16</x:v>
      </x:c>
      <x:c r="E30" s="32" t="n">
        <x:v>2</x:v>
      </x:c>
      <x:c r="F30" s="33" t="n">
        <x:v>69</x:v>
      </x:c>
      <x:c r="G30" s="33" t="n">
        <x:v>88080384</x:v>
      </x:c>
      <x:c r="H30" s="33" t="str">
        <x:v>TP</x:v>
      </x:c>
      <x:c r="I30" s="33" t="n">
        <x:f>'Decode'!$P$12</x:f>
        <x:v>8</x:v>
      </x:c>
      <x:c r="J30" s="34" t="n">
        <x:f>E30*F30*G30/1073741824</x:f>
        <x:v>11.3203125</x:v>
      </x:c>
      <x:c r="K30" s="34" t="n">
        <x:f>J30/I30</x:f>
        <x:v>1.4150390625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KDA</x:v>
      </x:c>
      <x:c r="B31" s="30" t="str">
        <x:v>k_proj.weight</x:v>
      </x:c>
      <x:c r="C31" s="30" t="str">
        <x:v>[12288, 7168]</x:v>
      </x:c>
      <x:c r="D31" s="30" t="str">
        <x:v>BF16</x:v>
      </x:c>
      <x:c r="E31" s="32" t="n">
        <x:v>2</x:v>
      </x:c>
      <x:c r="F31" s="33" t="n">
        <x:v>69</x:v>
      </x:c>
      <x:c r="G31" s="33" t="n">
        <x:v>88080384</x:v>
      </x:c>
      <x:c r="H31" s="33" t="str">
        <x:v>TP</x:v>
      </x:c>
      <x:c r="I31" s="33" t="n">
        <x:f>'Decode'!$P$12</x:f>
        <x:v>8</x:v>
      </x:c>
      <x:c r="J31" s="34" t="n">
        <x:f>E31*F31*G31/1073741824</x:f>
        <x:v>11.3203125</x:v>
      </x:c>
      <x:c r="K31" s="34" t="n">
        <x:f>J31/I31</x:f>
        <x:v>1.4150390625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KDA</x:v>
      </x:c>
      <x:c r="B32" s="30" t="str">
        <x:v>v_proj.weight</x:v>
      </x:c>
      <x:c r="C32" s="30" t="str">
        <x:v>[12288, 7168]</x:v>
      </x:c>
      <x:c r="D32" s="30" t="str">
        <x:v>BF16</x:v>
      </x:c>
      <x:c r="E32" s="32" t="n">
        <x:v>2</x:v>
      </x:c>
      <x:c r="F32" s="33" t="n">
        <x:v>69</x:v>
      </x:c>
      <x:c r="G32" s="33" t="n">
        <x:v>88080384</x:v>
      </x:c>
      <x:c r="H32" s="33" t="str">
        <x:v>TP</x:v>
      </x:c>
      <x:c r="I32" s="33" t="n">
        <x:f>'Decode'!$P$12</x:f>
        <x:v>8</x:v>
      </x:c>
      <x:c r="J32" s="34" t="n">
        <x:f>E32*F32*G32/1073741824</x:f>
        <x:v>11.3203125</x:v>
      </x:c>
      <x:c r="K32" s="34" t="n">
        <x:f>J32/I32</x:f>
        <x:v>1.4150390625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KDA</x:v>
      </x:c>
      <x:c r="B33" s="30" t="str">
        <x:v>g_proj.weight</x:v>
      </x:c>
      <x:c r="C33" s="30" t="str">
        <x:v>[12288, 7168]</x:v>
      </x:c>
      <x:c r="D33" s="30" t="str">
        <x:v>BF16</x:v>
      </x:c>
      <x:c r="E33" s="32" t="n">
        <x:v>2</x:v>
      </x:c>
      <x:c r="F33" s="33" t="n">
        <x:v>93</x:v>
      </x:c>
      <x:c r="G33" s="33" t="n">
        <x:v>88080384</x:v>
      </x:c>
      <x:c r="H33" s="33" t="str">
        <x:v>TP</x:v>
      </x:c>
      <x:c r="I33" s="33" t="n">
        <x:f>'Decode'!$P$12</x:f>
        <x:v>8</x:v>
      </x:c>
      <x:c r="J33" s="34" t="n">
        <x:f>E33*F33*G33/1073741824</x:f>
        <x:v>15.2578125</x:v>
      </x:c>
      <x:c r="K33" s="34" t="n">
        <x:f>J33/I33</x:f>
        <x:v>1.9072265625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KDA</x:v>
      </x:c>
      <x:c r="B34" s="30" t="str">
        <x:v>b_proj.weight</x:v>
      </x:c>
      <x:c r="C34" s="30" t="str">
        <x:v>[96, 7168]</x:v>
      </x:c>
      <x:c r="D34" s="30" t="str">
        <x:v>BF16</x:v>
      </x:c>
      <x:c r="E34" s="32" t="n">
        <x:v>2</x:v>
      </x:c>
      <x:c r="F34" s="33" t="n">
        <x:v>69</x:v>
      </x:c>
      <x:c r="G34" s="33" t="n">
        <x:v>688128</x:v>
      </x:c>
      <x:c r="H34" s="33" t="str">
        <x:v>TP</x:v>
      </x:c>
      <x:c r="I34" s="33" t="n">
        <x:f>'Decode'!$P$12</x:f>
        <x:v>8</x:v>
      </x:c>
      <x:c r="J34" s="34" t="n">
        <x:f>E34*F34*G34/1073741824</x:f>
        <x:v>0.08843994140625</x:v>
      </x:c>
      <x:c r="K34" s="34" t="n">
        <x:f>J34/I34</x:f>
        <x:v>0.01105499267578125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KDA</x:v>
      </x:c>
      <x:c r="B35" s="30" t="str">
        <x:v>f_a_proj.weight</x:v>
      </x:c>
      <x:c r="C35" s="30" t="str">
        <x:v>[128, 7168]</x:v>
      </x:c>
      <x:c r="D35" s="30" t="str">
        <x:v>BF16</x:v>
      </x:c>
      <x:c r="E35" s="32" t="n">
        <x:v>2</x:v>
      </x:c>
      <x:c r="F35" s="33" t="n">
        <x:v>69</x:v>
      </x:c>
      <x:c r="G35" s="33" t="n">
        <x:v>917504</x:v>
      </x:c>
      <x:c r="H35" s="33" t="str">
        <x:v>Replicated</x:v>
      </x:c>
      <x:c r="I35" s="33" t="n">
        <x:f>1</x:f>
        <x:v>1</x:v>
      </x:c>
      <x:c r="J35" s="34" t="n">
        <x:f>E35*F35*G35/1073741824</x:f>
        <x:v>0.117919921875</x:v>
      </x:c>
      <x:c r="K35" s="34" t="n">
        <x:f>J35/I35</x:f>
        <x:v>0.117919921875</x:v>
      </x:c>
      <x:c r="L35" s="30"/>
      <x:c r="M35" s="30"/>
      <x:c r="N35" s="30"/>
      <x:c r="O35" s="30"/>
      <x:c r="P35" s="30"/>
    </x:row>
    <x:row r="36">
      <x:c r="A36" s="30" t="str">
        <x:v>KDA</x:v>
      </x:c>
      <x:c r="B36" s="30" t="str">
        <x:v>f_b_proj.weight</x:v>
      </x:c>
      <x:c r="C36" s="30" t="str">
        <x:v>[12288, 128]</x:v>
      </x:c>
      <x:c r="D36" s="30" t="str">
        <x:v>BF16</x:v>
      </x:c>
      <x:c r="E36" s="32" t="n">
        <x:v>2</x:v>
      </x:c>
      <x:c r="F36" s="33" t="n">
        <x:v>69</x:v>
      </x:c>
      <x:c r="G36" s="33" t="n">
        <x:v>1572864</x:v>
      </x:c>
      <x:c r="H36" s="33" t="str">
        <x:v>TP</x:v>
      </x:c>
      <x:c r="I36" s="33" t="n">
        <x:f>'Decode'!$P$12</x:f>
        <x:v>8</x:v>
      </x:c>
      <x:c r="J36" s="34" t="n">
        <x:f>E36*F36*G36/1073741824</x:f>
        <x:v>0.2021484375</x:v>
      </x:c>
      <x:c r="K36" s="34" t="n">
        <x:f>J36/I36</x:f>
        <x:v>0.0252685546875</x:v>
      </x:c>
      <x:c r="L36" s="30"/>
      <x:c r="M36" s="30"/>
      <x:c r="N36" s="30"/>
      <x:c r="O36" s="30"/>
      <x:c r="P36" s="30"/>
    </x:row>
    <x:row r="37">
      <x:c r="A37" s="30" t="str">
        <x:v>KDA</x:v>
      </x:c>
      <x:c r="B37" s="30" t="str">
        <x:v>q_conv1d.weight</x:v>
      </x:c>
      <x:c r="C37" s="30" t="str">
        <x:v>[12288, 1, 4]</x:v>
      </x:c>
      <x:c r="D37" s="30" t="str">
        <x:v>F32</x:v>
      </x:c>
      <x:c r="E37" s="32" t="n">
        <x:v>4</x:v>
      </x:c>
      <x:c r="F37" s="33" t="n">
        <x:v>69</x:v>
      </x:c>
      <x:c r="G37" s="33" t="n">
        <x:v>49152</x:v>
      </x:c>
      <x:c r="H37" s="33" t="str">
        <x:v>TP</x:v>
      </x:c>
      <x:c r="I37" s="33" t="n">
        <x:f>'Decode'!$P$12</x:f>
        <x:v>8</x:v>
      </x:c>
      <x:c r="J37" s="34" t="n">
        <x:f>E37*F37*G37/1073741824</x:f>
        <x:v>0.01263427734375</x:v>
      </x:c>
      <x:c r="K37" s="34" t="n">
        <x:f>J37/I37</x:f>
        <x:v>0.00157928466796875</x:v>
      </x:c>
      <x:c r="L37" s="30"/>
      <x:c r="M37" s="30"/>
      <x:c r="N37" s="30"/>
      <x:c r="O37" s="30"/>
      <x:c r="P37" s="30"/>
    </x:row>
    <x:row r="38">
      <x:c r="A38" s="30" t="str">
        <x:v>KDA</x:v>
      </x:c>
      <x:c r="B38" s="30" t="str">
        <x:v>k_conv1d.weight</x:v>
      </x:c>
      <x:c r="C38" s="30" t="str">
        <x:v>[12288, 1, 4]</x:v>
      </x:c>
      <x:c r="D38" s="30" t="str">
        <x:v>F32</x:v>
      </x:c>
      <x:c r="E38" s="32" t="n">
        <x:v>4</x:v>
      </x:c>
      <x:c r="F38" s="33" t="n">
        <x:v>69</x:v>
      </x:c>
      <x:c r="G38" s="33" t="n">
        <x:v>49152</x:v>
      </x:c>
      <x:c r="H38" s="33" t="str">
        <x:v>TP</x:v>
      </x:c>
      <x:c r="I38" s="33" t="n">
        <x:f>'Decode'!$P$12</x:f>
        <x:v>8</x:v>
      </x:c>
      <x:c r="J38" s="34" t="n">
        <x:f>E38*F38*G38/1073741824</x:f>
        <x:v>0.01263427734375</x:v>
      </x:c>
      <x:c r="K38" s="34" t="n">
        <x:f>J38/I38</x:f>
        <x:v>0.00157928466796875</x:v>
      </x:c>
      <x:c r="L38" s="30"/>
      <x:c r="M38" s="30"/>
      <x:c r="N38" s="30"/>
      <x:c r="O38" s="30"/>
      <x:c r="P38" s="30"/>
    </x:row>
    <x:row r="39">
      <x:c r="A39" s="30" t="str">
        <x:v>KDA</x:v>
      </x:c>
      <x:c r="B39" s="30" t="str">
        <x:v>v_conv1d.weight</x:v>
      </x:c>
      <x:c r="C39" s="30" t="str">
        <x:v>[12288, 1, 4]</x:v>
      </x:c>
      <x:c r="D39" s="30" t="str">
        <x:v>F32</x:v>
      </x:c>
      <x:c r="E39" s="32" t="n">
        <x:v>4</x:v>
      </x:c>
      <x:c r="F39" s="33" t="n">
        <x:v>69</x:v>
      </x:c>
      <x:c r="G39" s="33" t="n">
        <x:v>49152</x:v>
      </x:c>
      <x:c r="H39" s="33" t="str">
        <x:v>TP</x:v>
      </x:c>
      <x:c r="I39" s="33" t="n">
        <x:f>'Decode'!$P$12</x:f>
        <x:v>8</x:v>
      </x:c>
      <x:c r="J39" s="34" t="n">
        <x:f>E39*F39*G39/1073741824</x:f>
        <x:v>0.01263427734375</x:v>
      </x:c>
      <x:c r="K39" s="34" t="n">
        <x:f>J39/I39</x:f>
        <x:v>0.00157928466796875</x:v>
      </x:c>
      <x:c r="L39" s="30"/>
      <x:c r="M39" s="30"/>
      <x:c r="N39" s="30"/>
      <x:c r="O39" s="30"/>
      <x:c r="P39" s="30"/>
    </x:row>
    <x:row r="40">
      <x:c r="A40" s="30" t="str">
        <x:v>KDA</x:v>
      </x:c>
      <x:c r="B40" s="30" t="str">
        <x:v>A_log</x:v>
      </x:c>
      <x:c r="C40" s="30" t="str">
        <x:v>[128]</x:v>
      </x:c>
      <x:c r="D40" s="30" t="str">
        <x:v>F32</x:v>
      </x:c>
      <x:c r="E40" s="32" t="n">
        <x:v>4</x:v>
      </x:c>
      <x:c r="F40" s="33" t="n">
        <x:v>69</x:v>
      </x:c>
      <x:c r="G40" s="33" t="n">
        <x:v>128</x:v>
      </x:c>
      <x:c r="H40" s="33" t="str">
        <x:v>TP</x:v>
      </x:c>
      <x:c r="I40" s="33" t="n">
        <x:f>'Decode'!$P$12</x:f>
        <x:v>8</x:v>
      </x:c>
      <x:c r="J40" s="34" t="n">
        <x:f>E40*F40*G40/1073741824</x:f>
        <x:v>0.000032901763916015625</x:v>
      </x:c>
      <x:c r="K40" s="34" t="n">
        <x:f>J40/I40</x:f>
        <x:v>0.000004112720489501953</x:v>
      </x:c>
      <x:c r="L40" s="30"/>
      <x:c r="M40" s="30"/>
      <x:c r="N40" s="30"/>
      <x:c r="O40" s="30"/>
      <x:c r="P40" s="30"/>
    </x:row>
    <x:row r="41">
      <x:c r="A41" s="30" t="str">
        <x:v>KDA</x:v>
      </x:c>
      <x:c r="B41" s="30" t="str">
        <x:v>dt_bias</x:v>
      </x:c>
      <x:c r="C41" s="30" t="str">
        <x:v>[12288]</x:v>
      </x:c>
      <x:c r="D41" s="30" t="str">
        <x:v>F32</x:v>
      </x:c>
      <x:c r="E41" s="32" t="n">
        <x:v>4</x:v>
      </x:c>
      <x:c r="F41" s="33" t="n">
        <x:v>69</x:v>
      </x:c>
      <x:c r="G41" s="33" t="n">
        <x:v>12288</x:v>
      </x:c>
      <x:c r="H41" s="33" t="str">
        <x:v>TP</x:v>
      </x:c>
      <x:c r="I41" s="33" t="n">
        <x:f>'Decode'!$P$12</x:f>
        <x:v>8</x:v>
      </x:c>
      <x:c r="J41" s="34" t="n">
        <x:f>E41*F41*G41/1073741824</x:f>
        <x:v>0.0031585693359375</x:v>
      </x:c>
      <x:c r="K41" s="34" t="n">
        <x:f>J41/I41</x:f>
        <x:v>0.0003948211669921875</x:v>
      </x:c>
      <x:c r="L41" s="30"/>
      <x:c r="M41" s="30"/>
      <x:c r="N41" s="30"/>
      <x:c r="O41" s="30"/>
      <x:c r="P41" s="30"/>
    </x:row>
    <x:row r="42">
      <x:c r="A42" s="30" t="str">
        <x:v>KDA</x:v>
      </x:c>
      <x:c r="B42" s="30" t="str">
        <x:v>o_norm.weight</x:v>
      </x:c>
      <x:c r="C42" s="30" t="str">
        <x:v>[128]</x:v>
      </x:c>
      <x:c r="D42" s="30" t="str">
        <x:v>F32</x:v>
      </x:c>
      <x:c r="E42" s="32" t="n">
        <x:v>4</x:v>
      </x:c>
      <x:c r="F42" s="33" t="n">
        <x:v>69</x:v>
      </x:c>
      <x:c r="G42" s="33" t="n">
        <x:v>128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0.000032901763916015625</x:v>
      </x:c>
      <x:c r="K42" s="34" t="n">
        <x:f>J42/I42</x:f>
        <x:v>0.000032901763916015625</x:v>
      </x:c>
      <x:c r="L42" s="30"/>
      <x:c r="M42" s="30"/>
      <x:c r="N42" s="30"/>
      <x:c r="O42" s="30"/>
      <x:c r="P42" s="30"/>
    </x:row>
    <x:row r="43">
      <x:c r="A43" s="30" t="str">
        <x:v>Attention</x:v>
      </x:c>
      <x:c r="B43" s="30" t="str">
        <x:v>o_proj.weight</x:v>
      </x:c>
      <x:c r="C43" s="30" t="str">
        <x:v>[7168, 12288]</x:v>
      </x:c>
      <x:c r="D43" s="30" t="str">
        <x:v>BF16</x:v>
      </x:c>
      <x:c r="E43" s="32" t="n">
        <x:v>2</x:v>
      </x:c>
      <x:c r="F43" s="33" t="n">
        <x:v>93</x:v>
      </x:c>
      <x:c r="G43" s="33" t="n">
        <x:v>88080384</x:v>
      </x:c>
      <x:c r="H43" s="33" t="str">
        <x:v>O Proj TP</x:v>
      </x:c>
      <x:c r="I43" s="33" t="n">
        <x:f>IF('Decode'!$P$19&gt;0,'Decode'!$P$19,'Decode'!$P$12)</x:f>
        <x:v>8</x:v>
      </x:c>
      <x:c r="J43" s="34" t="n">
        <x:f>E43*F43*G43/1073741824</x:f>
        <x:v>15.2578125</x:v>
      </x:c>
      <x:c r="K43" s="34" t="n">
        <x:f>J43/I43</x:f>
        <x:v>1.9072265625</x:v>
      </x:c>
      <x:c r="L43" s="30"/>
      <x:c r="M43" s="30"/>
      <x:c r="N43" s="30"/>
      <x:c r="O43" s="30"/>
      <x:c r="P43" s="30"/>
    </x:row>
    <x:row r="44">
      <x:c r="A44" s="30" t="str">
        <x:v>MLA</x:v>
      </x:c>
      <x:c r="B44" s="30" t="str">
        <x:v>q_a_proj.weight</x:v>
      </x:c>
      <x:c r="C44" s="30" t="str">
        <x:v>[1536, 7168]</x:v>
      </x:c>
      <x:c r="D44" s="30" t="str">
        <x:v>BF16</x:v>
      </x:c>
      <x:c r="E44" s="32" t="n">
        <x:v>2</x:v>
      </x:c>
      <x:c r="F44" s="33" t="n">
        <x:v>24</x:v>
      </x:c>
      <x:c r="G44" s="33" t="n">
        <x:v>11010048</x:v>
      </x:c>
      <x:c r="H44" s="33" t="str">
        <x:v>Replicated</x:v>
      </x:c>
      <x:c r="I44" s="33" t="n">
        <x:f>1</x:f>
        <x:v>1</x:v>
      </x:c>
      <x:c r="J44" s="34" t="n">
        <x:f>E44*F44*G44/1073741824</x:f>
        <x:v>0.4921875</x:v>
      </x:c>
      <x:c r="K44" s="34" t="n">
        <x:f>J44/I44</x:f>
        <x:v>0.4921875</x:v>
      </x:c>
      <x:c r="L44" s="30"/>
      <x:c r="M44" s="30"/>
      <x:c r="N44" s="30"/>
      <x:c r="O44" s="30"/>
      <x:c r="P44" s="30"/>
    </x:row>
    <x:row r="45">
      <x:c r="A45" s="30" t="str">
        <x:v>MLA</x:v>
      </x:c>
      <x:c r="B45" s="30" t="str">
        <x:v>q_a_layernorm.weight</x:v>
      </x:c>
      <x:c r="C45" s="30" t="str">
        <x:v>[1536]</x:v>
      </x:c>
      <x:c r="D45" s="30" t="str">
        <x:v>BF16</x:v>
      </x:c>
      <x:c r="E45" s="32" t="n">
        <x:v>2</x:v>
      </x:c>
      <x:c r="F45" s="33" t="n">
        <x:v>24</x:v>
      </x:c>
      <x:c r="G45" s="33" t="n">
        <x:v>1536</x:v>
      </x:c>
      <x:c r="H45" s="33" t="str">
        <x:v>Replicated</x:v>
      </x:c>
      <x:c r="I45" s="33" t="n">
        <x:f>1</x:f>
        <x:v>1</x:v>
      </x:c>
      <x:c r="J45" s="34" t="n">
        <x:f>E45*F45*G45/1073741824</x:f>
        <x:v>0.00006866455078125</x:v>
      </x:c>
      <x:c r="K45" s="34" t="n">
        <x:f>J45/I45</x:f>
        <x:v>0.00006866455078125</x:v>
      </x:c>
      <x:c r="L45" s="30"/>
      <x:c r="M45" s="30"/>
      <x:c r="N45" s="30"/>
      <x:c r="O45" s="30"/>
      <x:c r="P45" s="30"/>
    </x:row>
    <x:row r="46">
      <x:c r="A46" s="30" t="str">
        <x:v>MLA</x:v>
      </x:c>
      <x:c r="B46" s="30" t="str">
        <x:v>q_b_proj.weight</x:v>
      </x:c>
      <x:c r="C46" s="30" t="str">
        <x:v>[18432, 1536]</x:v>
      </x:c>
      <x:c r="D46" s="30" t="str">
        <x:v>BF16</x:v>
      </x:c>
      <x:c r="E46" s="32" t="n">
        <x:v>2</x:v>
      </x:c>
      <x:c r="F46" s="33" t="n">
        <x:v>24</x:v>
      </x:c>
      <x:c r="G46" s="33" t="n">
        <x:v>28311552</x:v>
      </x:c>
      <x:c r="H46" s="33" t="str">
        <x:v>TP</x:v>
      </x:c>
      <x:c r="I46" s="33" t="n">
        <x:f>'Decode'!$P$12</x:f>
        <x:v>8</x:v>
      </x:c>
      <x:c r="J46" s="34" t="n">
        <x:f>E46*F46*G46/1073741824</x:f>
        <x:v>1.265625</x:v>
      </x:c>
      <x:c r="K46" s="34" t="n">
        <x:f>J46/I46</x:f>
        <x:v>0.158203125</x:v>
      </x:c>
      <x:c r="L46" s="30"/>
      <x:c r="M46" s="30"/>
      <x:c r="N46" s="30"/>
      <x:c r="O46" s="30"/>
      <x:c r="P46" s="30"/>
    </x:row>
    <x:row r="47">
      <x:c r="A47" s="30" t="str">
        <x:v>MLA</x:v>
      </x:c>
      <x:c r="B47" s="30" t="str">
        <x:v>kv_a_proj_with_mqa.weight</x:v>
      </x:c>
      <x:c r="C47" s="30" t="str">
        <x:v>[576, 7168]</x:v>
      </x:c>
      <x:c r="D47" s="30" t="str">
        <x:v>BF16</x:v>
      </x:c>
      <x:c r="E47" s="32" t="n">
        <x:v>2</x:v>
      </x:c>
      <x:c r="F47" s="33" t="n">
        <x:v>24</x:v>
      </x:c>
      <x:c r="G47" s="33" t="n">
        <x:v>4128768</x:v>
      </x:c>
      <x:c r="H47" s="33" t="str">
        <x:v>Replicated</x:v>
      </x:c>
      <x:c r="I47" s="33" t="n">
        <x:f>1</x:f>
        <x:v>1</x:v>
      </x:c>
      <x:c r="J47" s="34" t="n">
        <x:f>E47*F47*G47/1073741824</x:f>
        <x:v>0.1845703125</x:v>
      </x:c>
      <x:c r="K47" s="34" t="n">
        <x:f>J47/I47</x:f>
        <x:v>0.1845703125</x:v>
      </x:c>
      <x:c r="L47" s="30"/>
      <x:c r="M47" s="30"/>
      <x:c r="N47" s="30"/>
      <x:c r="O47" s="30"/>
      <x:c r="P47" s="30"/>
    </x:row>
    <x:row r="48">
      <x:c r="A48" s="30" t="str">
        <x:v>MLA</x:v>
      </x:c>
      <x:c r="B48" s="30" t="str">
        <x:v>kv_a_layernorm.weight</x:v>
      </x:c>
      <x:c r="C48" s="30" t="str">
        <x:v>[512]</x:v>
      </x:c>
      <x:c r="D48" s="30" t="str">
        <x:v>BF16</x:v>
      </x:c>
      <x:c r="E48" s="32" t="n">
        <x:v>2</x:v>
      </x:c>
      <x:c r="F48" s="33" t="n">
        <x:v>24</x:v>
      </x:c>
      <x:c r="G48" s="33" t="n">
        <x:v>512</x:v>
      </x:c>
      <x:c r="H48" s="33" t="str">
        <x:v>Replicated</x:v>
      </x:c>
      <x:c r="I48" s="33" t="n">
        <x:f>1</x:f>
        <x:v>1</x:v>
      </x:c>
      <x:c r="J48" s="34" t="n">
        <x:f>E48*F48*G48/1073741824</x:f>
        <x:v>0.00002288818359375</x:v>
      </x:c>
      <x:c r="K48" s="34" t="n">
        <x:f>J48/I48</x:f>
        <x:v>0.00002288818359375</x:v>
      </x:c>
      <x:c r="L48" s="30"/>
      <x:c r="M48" s="30"/>
      <x:c r="N48" s="30"/>
      <x:c r="O48" s="30"/>
      <x:c r="P48" s="30"/>
    </x:row>
    <x:row r="49">
      <x:c r="A49" s="30" t="str">
        <x:v>MLA</x:v>
      </x:c>
      <x:c r="B49" s="30" t="str">
        <x:v>kv_b_proj.weight</x:v>
      </x:c>
      <x:c r="C49" s="30" t="str">
        <x:v>[24576, 512]</x:v>
      </x:c>
      <x:c r="D49" s="30" t="str">
        <x:v>BF16</x:v>
      </x:c>
      <x:c r="E49" s="32" t="n">
        <x:v>2</x:v>
      </x:c>
      <x:c r="F49" s="33" t="n">
        <x:v>24</x:v>
      </x:c>
      <x:c r="G49" s="33" t="n">
        <x:v>12582912</x:v>
      </x:c>
      <x:c r="H49" s="33" t="str">
        <x:v>TP</x:v>
      </x:c>
      <x:c r="I49" s="33" t="n">
        <x:f>'Decode'!$P$12</x:f>
        <x:v>8</x:v>
      </x:c>
      <x:c r="J49" s="34" t="n">
        <x:f>E49*F49*G49/1073741824</x:f>
        <x:v>0.5625</x:v>
      </x:c>
      <x:c r="K49" s="34" t="n">
        <x:f>J49/I49</x:f>
        <x:v>0.0703125</x:v>
      </x:c>
      <x:c r="L49" s="30"/>
      <x:c r="M49" s="30"/>
      <x:c r="N49" s="30"/>
      <x:c r="O49" s="30"/>
      <x:c r="P49" s="30"/>
    </x:row>
    <x:row r="50">
      <x:c r="A50" s="30" t="str">
        <x:v>Vision</x:v>
      </x:c>
      <x:c r="B50" s="30" t="str">
        <x:v>patch_embed.proj.weight</x:v>
      </x:c>
      <x:c r="C50" s="30" t="str">
        <x:v>[1024, 3, 14, 14]</x:v>
      </x:c>
      <x:c r="D50" s="30" t="str">
        <x:v>BF16</x:v>
      </x:c>
      <x:c r="E50" s="32" t="n">
        <x:v>2</x:v>
      </x:c>
      <x:c r="F50" s="33" t="n">
        <x:v>1</x:v>
      </x:c>
      <x:c r="G50" s="33" t="n">
        <x:v>602112</x:v>
      </x:c>
      <x:c r="H50" s="33" t="str">
        <x:v>Replicated</x:v>
      </x:c>
      <x:c r="I50" s="33" t="n">
        <x:f>1</x:f>
        <x:v>1</x:v>
      </x:c>
      <x:c r="J50" s="34" t="n">
        <x:f>E50*F50*G50/1073741824</x:f>
        <x:v>0.00112152099609375</x:v>
      </x:c>
      <x:c r="K50" s="34" t="n">
        <x:f>J50/I50</x:f>
        <x:v>0.00112152099609375</x:v>
      </x:c>
      <x:c r="L50" s="30"/>
      <x:c r="M50" s="30"/>
      <x:c r="N50" s="30"/>
      <x:c r="O50" s="30"/>
      <x:c r="P50" s="30"/>
    </x:row>
    <x:row r="51">
      <x:c r="A51" s="30" t="str">
        <x:v>Vision</x:v>
      </x:c>
      <x:c r="B51" s="30" t="str">
        <x:v>patch_embed.pos_emb.weight</x:v>
      </x:c>
      <x:c r="C51" s="30" t="str">
        <x:v>[64, 64, 1024]</x:v>
      </x:c>
      <x:c r="D51" s="30" t="str">
        <x:v>BF16</x:v>
      </x:c>
      <x:c r="E51" s="32" t="n">
        <x:v>2</x:v>
      </x:c>
      <x:c r="F51" s="33" t="n">
        <x:v>1</x:v>
      </x:c>
      <x:c r="G51" s="33" t="n">
        <x:v>4194304</x:v>
      </x:c>
      <x:c r="H51" s="33" t="str">
        <x:v>Replicated</x:v>
      </x:c>
      <x:c r="I51" s="33" t="n">
        <x:f>1</x:f>
        <x:v>1</x:v>
      </x:c>
      <x:c r="J51" s="34" t="n">
        <x:f>E51*F51*G51/1073741824</x:f>
        <x:v>0.0078125</x:v>
      </x:c>
      <x:c r="K51" s="34" t="n">
        <x:f>J51/I51</x:f>
        <x:v>0.0078125</x:v>
      </x:c>
      <x:c r="L51" s="30"/>
      <x:c r="M51" s="30"/>
      <x:c r="N51" s="30"/>
      <x:c r="O51" s="30"/>
      <x:c r="P51" s="30"/>
    </x:row>
    <x:row r="52">
      <x:c r="A52" s="30" t="str">
        <x:v>Vision</x:v>
      </x:c>
      <x:c r="B52" s="30" t="str">
        <x:v>encoder.wqkv.weight</x:v>
      </x:c>
      <x:c r="C52" s="30" t="str">
        <x:v>[4608, 1024]</x:v>
      </x:c>
      <x:c r="D52" s="30" t="str">
        <x:v>BF16</x:v>
      </x:c>
      <x:c r="E52" s="32" t="n">
        <x:v>2</x:v>
      </x:c>
      <x:c r="F52" s="33" t="n">
        <x:v>27</x:v>
      </x:c>
      <x:c r="G52" s="33" t="n">
        <x:v>4718592</x:v>
      </x:c>
      <x:c r="H52" s="33" t="str">
        <x:v>Replicated</x:v>
      </x:c>
      <x:c r="I52" s="33" t="n">
        <x:f>1</x:f>
        <x:v>1</x:v>
      </x:c>
      <x:c r="J52" s="34" t="n">
        <x:f>E52*F52*G52/1073741824</x:f>
        <x:v>0.2373046875</x:v>
      </x:c>
      <x:c r="K52" s="34" t="n">
        <x:f>J52/I52</x:f>
        <x:v>0.2373046875</x:v>
      </x:c>
      <x:c r="L52" s="30"/>
      <x:c r="M52" s="30"/>
      <x:c r="N52" s="30"/>
      <x:c r="O52" s="30"/>
      <x:c r="P52" s="30"/>
    </x:row>
    <x:row r="53">
      <x:c r="A53" s="30" t="str">
        <x:v>Vision</x:v>
      </x:c>
      <x:c r="B53" s="30" t="str">
        <x:v>encoder.wo.weight</x:v>
      </x:c>
      <x:c r="C53" s="30" t="str">
        <x:v>[1024, 1536]</x:v>
      </x:c>
      <x:c r="D53" s="30" t="str">
        <x:v>BF16</x:v>
      </x:c>
      <x:c r="E53" s="32" t="n">
        <x:v>2</x:v>
      </x:c>
      <x:c r="F53" s="33" t="n">
        <x:v>27</x:v>
      </x:c>
      <x:c r="G53" s="33" t="n">
        <x:v>1572864</x:v>
      </x:c>
      <x:c r="H53" s="33" t="str">
        <x:v>Replicated</x:v>
      </x:c>
      <x:c r="I53" s="33" t="n">
        <x:f>1</x:f>
        <x:v>1</x:v>
      </x:c>
      <x:c r="J53" s="34" t="n">
        <x:f>E53*F53*G53/1073741824</x:f>
        <x:v>0.0791015625</x:v>
      </x:c>
      <x:c r="K53" s="34" t="n">
        <x:f>J53/I53</x:f>
        <x:v>0.0791015625</x:v>
      </x:c>
      <x:c r="L53" s="30"/>
      <x:c r="M53" s="30"/>
      <x:c r="N53" s="30"/>
      <x:c r="O53" s="30"/>
      <x:c r="P53" s="30"/>
    </x:row>
    <x:row r="54">
      <x:c r="A54" s="30" t="str">
        <x:v>Vision</x:v>
      </x:c>
      <x:c r="B54" s="30" t="str">
        <x:v>encoder.mlp.fc0.weight</x:v>
      </x:c>
      <x:c r="C54" s="30" t="str">
        <x:v>[4096, 1024]</x:v>
      </x:c>
      <x:c r="D54" s="30" t="str">
        <x:v>BF16</x:v>
      </x:c>
      <x:c r="E54" s="32" t="n">
        <x:v>2</x:v>
      </x:c>
      <x:c r="F54" s="33" t="n">
        <x:v>27</x:v>
      </x:c>
      <x:c r="G54" s="33" t="n">
        <x:v>4194304</x:v>
      </x:c>
      <x:c r="H54" s="33" t="str">
        <x:v>Replicated</x:v>
      </x:c>
      <x:c r="I54" s="33" t="n">
        <x:f>1</x:f>
        <x:v>1</x:v>
      </x:c>
      <x:c r="J54" s="34" t="n">
        <x:f>E54*F54*G54/1073741824</x:f>
        <x:v>0.2109375</x:v>
      </x:c>
      <x:c r="K54" s="34" t="n">
        <x:f>J54/I54</x:f>
        <x:v>0.2109375</x:v>
      </x:c>
      <x:c r="L54" s="30"/>
      <x:c r="M54" s="30"/>
      <x:c r="N54" s="30"/>
      <x:c r="O54" s="30"/>
      <x:c r="P54" s="30"/>
    </x:row>
    <x:row r="55">
      <x:c r="A55" s="30" t="str">
        <x:v>Vision</x:v>
      </x:c>
      <x:c r="B55" s="30" t="str">
        <x:v>encoder.mlp.fc1.weight</x:v>
      </x:c>
      <x:c r="C55" s="30" t="str">
        <x:v>[1024, 4096]</x:v>
      </x:c>
      <x:c r="D55" s="30" t="str">
        <x:v>BF16</x:v>
      </x:c>
      <x:c r="E55" s="32" t="n">
        <x:v>2</x:v>
      </x:c>
      <x:c r="F55" s="33" t="n">
        <x:v>27</x:v>
      </x:c>
      <x:c r="G55" s="33" t="n">
        <x:v>4194304</x:v>
      </x:c>
      <x:c r="H55" s="33" t="str">
        <x:v>Replicated</x:v>
      </x:c>
      <x:c r="I55" s="33" t="n">
        <x:f>1</x:f>
        <x:v>1</x:v>
      </x:c>
      <x:c r="J55" s="34" t="n">
        <x:f>E55*F55*G55/1073741824</x:f>
        <x:v>0.2109375</x:v>
      </x:c>
      <x:c r="K55" s="34" t="n">
        <x:f>J55/I55</x:f>
        <x:v>0.2109375</x:v>
      </x:c>
      <x:c r="L55" s="30"/>
      <x:c r="M55" s="30"/>
      <x:c r="N55" s="30"/>
      <x:c r="O55" s="30"/>
      <x:c r="P55" s="30"/>
    </x:row>
    <x:row r="56">
      <x:c r="A56" s="30" t="str">
        <x:v>Vision</x:v>
      </x:c>
      <x:c r="B56" s="30" t="str">
        <x:v>encoder.norm0.weight</x:v>
      </x:c>
      <x:c r="C56" s="30" t="str">
        <x:v>[1024]</x:v>
      </x:c>
      <x:c r="D56" s="30" t="str">
        <x:v>BF16</x:v>
      </x:c>
      <x:c r="E56" s="32" t="n">
        <x:v>2</x:v>
      </x:c>
      <x:c r="F56" s="33" t="n">
        <x:v>27</x:v>
      </x:c>
      <x:c r="G56" s="33" t="n">
        <x:v>1024</x:v>
      </x:c>
      <x:c r="H56" s="33" t="str">
        <x:v>Replicated</x:v>
      </x:c>
      <x:c r="I56" s="33" t="n">
        <x:f>1</x:f>
        <x:v>1</x:v>
      </x:c>
      <x:c r="J56" s="34" t="n">
        <x:f>E56*F56*G56/1073741824</x:f>
        <x:v>0.0000514984130859375</x:v>
      </x:c>
      <x:c r="K56" s="34" t="n">
        <x:f>J56/I56</x:f>
        <x:v>0.0000514984130859375</x:v>
      </x:c>
      <x:c r="L56" s="30"/>
      <x:c r="M56" s="30"/>
      <x:c r="N56" s="30"/>
      <x:c r="O56" s="30"/>
      <x:c r="P56" s="30"/>
    </x:row>
    <x:row r="57">
      <x:c r="A57" s="30" t="str">
        <x:v>Vision</x:v>
      </x:c>
      <x:c r="B57" s="30" t="str">
        <x:v>encoder.norm1.weight</x:v>
      </x:c>
      <x:c r="C57" s="30" t="str">
        <x:v>[1024]</x:v>
      </x:c>
      <x:c r="D57" s="30" t="str">
        <x:v>BF16</x:v>
      </x:c>
      <x:c r="E57" s="32" t="n">
        <x:v>2</x:v>
      </x:c>
      <x:c r="F57" s="33" t="n">
        <x:v>27</x:v>
      </x:c>
      <x:c r="G57" s="33" t="n">
        <x:v>1024</x:v>
      </x:c>
      <x:c r="H57" s="33" t="str">
        <x:v>Replicated</x:v>
      </x:c>
      <x:c r="I57" s="33" t="n">
        <x:f>1</x:f>
        <x:v>1</x:v>
      </x:c>
      <x:c r="J57" s="34" t="n">
        <x:f>E57*F57*G57/1073741824</x:f>
        <x:v>0.0000514984130859375</x:v>
      </x:c>
      <x:c r="K57" s="34" t="n">
        <x:f>J57/I57</x:f>
        <x:v>0.0000514984130859375</x:v>
      </x:c>
      <x:c r="L57" s="30"/>
      <x:c r="M57" s="30"/>
      <x:c r="N57" s="30"/>
      <x:c r="O57" s="30"/>
      <x:c r="P57" s="30"/>
    </x:row>
    <x:row r="58">
      <x:c r="A58" s="30" t="str">
        <x:v>Vision</x:v>
      </x:c>
      <x:c r="B58" s="30" t="str">
        <x:v>final_layernorm.weight</x:v>
      </x:c>
      <x:c r="C58" s="30" t="str">
        <x:v>[1024]</x:v>
      </x:c>
      <x:c r="D58" s="30" t="str">
        <x:v>BF16</x:v>
      </x:c>
      <x:c r="E58" s="32" t="n">
        <x:v>2</x:v>
      </x:c>
      <x:c r="F58" s="33" t="n">
        <x:v>1</x:v>
      </x:c>
      <x:c r="G58" s="33" t="n">
        <x:v>1024</x:v>
      </x:c>
      <x:c r="H58" s="33" t="str">
        <x:v>Replicated</x:v>
      </x:c>
      <x:c r="I58" s="33" t="n">
        <x:f>1</x:f>
        <x:v>1</x:v>
      </x:c>
      <x:c r="J58" s="34" t="n">
        <x:f>E58*F58*G58/1073741824</x:f>
        <x:v>0.0000019073486328125</x:v>
      </x:c>
      <x:c r="K58" s="34" t="n">
        <x:f>J58/I58</x:f>
        <x:v>0.0000019073486328125</x:v>
      </x:c>
      <x:c r="L58" s="30"/>
      <x:c r="M58" s="30"/>
      <x:c r="N58" s="30"/>
      <x:c r="O58" s="30"/>
      <x:c r="P58" s="30"/>
    </x:row>
    <x:row r="59">
      <x:c r="A59" s="30" t="str">
        <x:v>MM Projector</x:v>
      </x:c>
      <x:c r="B59" s="30" t="str">
        <x:v>proj.0.weight</x:v>
      </x:c>
      <x:c r="C59" s="30" t="str">
        <x:v>[4096, 4096]</x:v>
      </x:c>
      <x:c r="D59" s="30" t="str">
        <x:v>BF16</x:v>
      </x:c>
      <x:c r="E59" s="32" t="n">
        <x:v>2</x:v>
      </x:c>
      <x:c r="F59" s="33" t="n">
        <x:v>1</x:v>
      </x:c>
      <x:c r="G59" s="33" t="n">
        <x:v>16777216</x:v>
      </x:c>
      <x:c r="H59" s="33" t="str">
        <x:v>Replicated</x:v>
      </x:c>
      <x:c r="I59" s="33" t="n">
        <x:f>1</x:f>
        <x:v>1</x:v>
      </x:c>
      <x:c r="J59" s="34" t="n">
        <x:f>E59*F59*G59/1073741824</x:f>
        <x:v>0.03125</x:v>
      </x:c>
      <x:c r="K59" s="34" t="n">
        <x:f>J59/I59</x:f>
        <x:v>0.03125</x:v>
      </x:c>
      <x:c r="L59" s="30"/>
      <x:c r="M59" s="30"/>
      <x:c r="N59" s="30"/>
      <x:c r="O59" s="30"/>
      <x:c r="P59" s="30"/>
    </x:row>
    <x:row r="60">
      <x:c r="A60" s="30" t="str">
        <x:v>MM Projector</x:v>
      </x:c>
      <x:c r="B60" s="30" t="str">
        <x:v>proj.2.weight</x:v>
      </x:c>
      <x:c r="C60" s="30" t="str">
        <x:v>[7168, 4096]</x:v>
      </x:c>
      <x:c r="D60" s="30" t="str">
        <x:v>BF16</x:v>
      </x:c>
      <x:c r="E60" s="32" t="n">
        <x:v>2</x:v>
      </x:c>
      <x:c r="F60" s="33" t="n">
        <x:v>1</x:v>
      </x:c>
      <x:c r="G60" s="33" t="n">
        <x:v>29360128</x:v>
      </x:c>
      <x:c r="H60" s="33" t="str">
        <x:v>Replicated</x:v>
      </x:c>
      <x:c r="I60" s="33" t="n">
        <x:f>1</x:f>
        <x:v>1</x:v>
      </x:c>
      <x:c r="J60" s="34" t="n">
        <x:f>E60*F60*G60/1073741824</x:f>
        <x:v>0.0546875</x:v>
      </x:c>
      <x:c r="K60" s="34" t="n">
        <x:f>J60/I60</x:f>
        <x:v>0.0546875</x:v>
      </x:c>
      <x:c r="L60" s="30"/>
      <x:c r="M60" s="30"/>
      <x:c r="N60" s="30"/>
      <x:c r="O60" s="30"/>
      <x:c r="P60" s="30"/>
    </x:row>
    <x:row r="61">
      <x:c r="A61" s="30" t="str">
        <x:v>MM Projector</x:v>
      </x:c>
      <x:c r="B61" s="30" t="str">
        <x:v>post_norm.weight</x:v>
      </x:c>
      <x:c r="C61" s="30" t="str">
        <x:v>[7168]</x:v>
      </x:c>
      <x:c r="D61" s="30" t="str">
        <x:v>BF16</x:v>
      </x:c>
      <x:c r="E61" s="32" t="n">
        <x:v>2</x:v>
      </x:c>
      <x:c r="F61" s="33" t="n">
        <x:v>1</x:v>
      </x:c>
      <x:c r="G61" s="33" t="n">
        <x:v>7168</x:v>
      </x:c>
      <x:c r="H61" s="33" t="str">
        <x:v>Replicated</x:v>
      </x:c>
      <x:c r="I61" s="33" t="n">
        <x:f>1</x:f>
        <x:v>1</x:v>
      </x:c>
      <x:c r="J61" s="34" t="n">
        <x:f>E61*F61*G61/1073741824</x:f>
        <x:v>0.0000133514404296875</x:v>
      </x:c>
      <x:c r="K61" s="34" t="n">
        <x:f>J61/I61</x:f>
        <x:v>0.0000133514404296875</x:v>
      </x:c>
      <x:c r="L61" s="30"/>
      <x:c r="M61" s="30"/>
      <x:c r="N61" s="30"/>
      <x:c r="O61" s="30"/>
      <x:c r="P61" s="30"/>
    </x:row>
    <x:row r="62">
      <x:c r="A62" s="40" t="str">
        <x:v>合计</x:v>
      </x:c>
      <x:c r="B62" s="40"/>
      <x:c r="C62" s="40"/>
      <x:c r="D62" s="40"/>
      <x:c r="E62" s="40"/>
      <x:c r="F62" s="40"/>
      <x:c r="G62" s="40"/>
      <x:c r="H62" s="40"/>
      <x:c r="I62" s="40"/>
      <x:c r="J62" s="41" t="n">
        <x:f>SUM(J2:J61)</x:f>
        <x:v>1453.6644563674927</x:v>
      </x:c>
      <x:c r="K62" s="41" t="n">
        <x:f>SUM(K2:K61)</x:f>
        <x:v>191.807095348835</x:v>
      </x:c>
      <x:c r="L62" s="30"/>
      <x:c r="M62" s="30"/>
      <x:c r="N62" s="30"/>
      <x:c r="O62" s="30"/>
      <x:c r="P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</x:row>
    <x:row r="64" ht="30" customHeight="1">
      <x:c r="A64" s="18" t="str">
        <x:v>并行策略</x:v>
      </x:c>
      <x:c r="B64" s="18" t="str">
        <x:v>模块</x:v>
      </x:c>
      <x:c r="C64" s="18" t="str">
        <x:v>通信位置</x:v>
      </x:c>
      <x:c r="D64" s="18" t="str">
        <x:v>Collective</x:v>
      </x:c>
      <x:c r="E64" s="18" t="str">
        <x:v>本 Rank 输入元素/次</x:v>
      </x:c>
      <x:c r="F64" s="18" t="str">
        <x:v>字节/元素</x:v>
      </x:c>
      <x:c r="G64" s="18" t="str">
        <x:v>通信组大小</x:v>
      </x:c>
      <x:c r="H64" s="18" t="str">
        <x:v>次数/Step</x:v>
      </x:c>
      <x:c r="I64" s="18" t="str">
        <x:v>有效负载 MiB/次</x:v>
      </x:c>
      <x:c r="J64" s="18" t="str">
        <x:v>单 Rank 发送 MiB/次</x:v>
      </x:c>
      <x:c r="K64" s="18" t="str">
        <x:v>单 Rank 发送 MiB/Step</x:v>
      </x:c>
      <x:c r="L64" s="18" t="str">
        <x:v>通信组发送 MiB/Step</x:v>
      </x:c>
      <x:c r="M64" s="30"/>
      <x:c r="N64" s="30"/>
      <x:c r="O64" s="30"/>
      <x:c r="P64" s="30"/>
    </x:row>
    <x:row r="65">
      <x:c r="A65" s="30" t="str">
        <x:v>Embedding TP</x:v>
      </x:c>
      <x:c r="B65" s="30" t="str">
        <x:v>Embedding</x:v>
      </x:c>
      <x:c r="C65" s="30" t="str">
        <x:v>标准 TP 输出</x:v>
      </x:c>
      <x:c r="D65" s="30" t="str">
        <x:v>Ring AllReduce</x:v>
      </x:c>
      <x:c r="E65" s="33" t="n">
        <x:f>'Decode'!$P$7*7168</x:f>
        <x:v>7340032</x:v>
      </x:c>
      <x:c r="F65" s="33" t="n">
        <x:f>'Decode'!$P$28</x:f>
        <x:v>2</x:v>
      </x:c>
      <x:c r="G65" s="33" t="n">
        <x:f>IF('Decode'!$P$21&gt;0,'Decode'!$P$21,'Decode'!$P$12)</x:f>
        <x:v>8</x:v>
      </x:c>
      <x:c r="H65" s="33" t="n">
        <x:f>IF(AND(IF('Decode'!$P$21&gt;0,'Decode'!$P$21,'Decode'!$P$12)&gt;1,'Decode'!$P$24=0),1,0)</x:f>
        <x:v>1</x:v>
      </x:c>
      <x:c r="I65" s="34" t="n">
        <x:f>E65*F65/1048576</x:f>
        <x:v>14</x:v>
      </x:c>
      <x:c r="J65" s="34" t="n">
        <x:f>I65*(IF(G65&gt;1,2*(G65-1)/G65,0))</x:f>
        <x:v>24.5</x:v>
      </x:c>
      <x:c r="K65" s="34" t="n">
        <x:f>J65*H65</x:f>
        <x:v>24.5</x:v>
      </x:c>
      <x:c r="L65" s="34" t="n">
        <x:f>K65*G65</x:f>
        <x:v>196</x:v>
      </x:c>
      <x:c r="M65" s="30"/>
      <x:c r="N65" s="30"/>
      <x:c r="O65" s="30"/>
      <x:c r="P65" s="30"/>
    </x:row>
    <x:row r="66">
      <x:c r="A66" s="30" t="str">
        <x:v>Embedding TP</x:v>
      </x:c>
      <x:c r="B66" s="30" t="str">
        <x:v>Embedding</x:v>
      </x:c>
      <x:c r="C66" s="30" t="str">
        <x:v>Fine TP Token ID</x:v>
      </x:c>
      <x:c r="D66" s="30" t="str">
        <x:v>Ring AllGather</x:v>
      </x:c>
      <x:c r="E66" s="33" t="n">
        <x:f>'Decode'!$P$7</x:f>
        <x:v>1024</x:v>
      </x:c>
      <x:c r="F66" s="33" t="n">
        <x:f>'Decode'!$P$30</x:f>
        <x:v>8</x:v>
      </x:c>
      <x:c r="G66" s="33" t="n">
        <x:f>IF('Decode'!$P$21&gt;0,'Decode'!$P$21,'Decode'!$P$12)</x:f>
        <x:v>8</x:v>
      </x:c>
      <x:c r="H66" s="33" t="n">
        <x:f>IF(AND(IF('Decode'!$P$21&gt;0,'Decode'!$P$21,'Decode'!$P$12)&gt;1,'Decode'!$P$24&lt;&gt;0),1,0)</x:f>
        <x:v>0</x:v>
      </x:c>
      <x:c r="I66" s="34" t="n">
        <x:f>E66*F66/1048576</x:f>
        <x:v>0.0078125</x:v>
      </x:c>
      <x:c r="J66" s="34" t="n">
        <x:f>I66*(IF(G66&gt;1,G66-1,0))</x:f>
        <x:v>0.0546875</x:v>
      </x:c>
      <x:c r="K66" s="34" t="n">
        <x:f>J66*H66</x:f>
        <x:v>0</x:v>
      </x:c>
      <x:c r="L66" s="34" t="n">
        <x:f>K66*G66</x:f>
        <x:v>0</x:v>
      </x:c>
      <x:c r="M66" s="30"/>
      <x:c r="N66" s="30"/>
      <x:c r="O66" s="30"/>
      <x:c r="P66" s="30"/>
    </x:row>
    <x:row r="67">
      <x:c r="A67" s="30" t="str">
        <x:v>Embedding TP</x:v>
      </x:c>
      <x:c r="B67" s="30" t="str">
        <x:v>Embedding</x:v>
      </x:c>
      <x:c r="C67" s="30" t="str">
        <x:v>Fine TP Hidden</x:v>
      </x:c>
      <x:c r="D67" s="30" t="str">
        <x:v>Ring ReduceScatter</x:v>
      </x:c>
      <x:c r="E67" s="33" t="n">
        <x:f>'Decode'!$P$7*IF('Decode'!$P$21&gt;0,'Decode'!$P$21,'Decode'!$P$12)*7168</x:f>
        <x:v>58720256</x:v>
      </x:c>
      <x:c r="F67" s="33" t="n">
        <x:f>'Decode'!$P$28</x:f>
        <x:v>2</x:v>
      </x:c>
      <x:c r="G67" s="33" t="n">
        <x:f>IF('Decode'!$P$21&gt;0,'Decode'!$P$21,'Decode'!$P$12)</x:f>
        <x:v>8</x:v>
      </x:c>
      <x:c r="H67" s="33" t="n">
        <x:f>IF(AND(IF('Decode'!$P$21&gt;0,'Decode'!$P$21,'Decode'!$P$12)&gt;1,'Decode'!$P$24&lt;&gt;0),1,0)</x:f>
        <x:v>0</x:v>
      </x:c>
      <x:c r="I67" s="34" t="n">
        <x:f>E67*F67/1048576</x:f>
        <x:v>112</x:v>
      </x:c>
      <x:c r="J67" s="34" t="n">
        <x:f>I67*(IF(G67&gt;1,(G67-1)/G67,0))</x:f>
        <x:v>98</x:v>
      </x:c>
      <x:c r="K67" s="34" t="n">
        <x:f>J67*H67</x:f>
        <x:v>0</x:v>
      </x:c>
      <x:c r="L67" s="34" t="n">
        <x:f>K67*G67</x:f>
        <x:v>0</x:v>
      </x:c>
      <x:c r="M67" s="30"/>
      <x:c r="N67" s="30"/>
      <x:c r="O67" s="30"/>
      <x:c r="P67" s="30"/>
    </x:row>
    <x:row r="68">
      <x:c r="A68" s="30" t="str">
        <x:v>SP</x:v>
      </x:c>
      <x:c r="B68" s="30" t="str">
        <x:v>Attention</x:v>
      </x:c>
      <x:c r="C68" s="30" t="str">
        <x:v>Attention 前</x:v>
      </x:c>
      <x:c r="D68" s="30" t="str">
        <x:v>Ring AllGather</x:v>
      </x:c>
      <x:c r="E68" s="33" t="n">
        <x:f>((ROUNDUP('Decode'!$P$7/'Decode'!$P$12,0)*'Decode'!$P$12)/'Decode'!$P$12)*7168</x:f>
        <x:v>917504</x:v>
      </x:c>
      <x:c r="F68" s="33" t="n">
        <x:f>'Decode'!$P$28</x:f>
        <x:v>2</x:v>
      </x:c>
      <x:c r="G68" s="33" t="n">
        <x:f>'Decode'!$P$12</x:f>
        <x:v>8</x:v>
      </x:c>
      <x:c r="H68" s="33" t="n">
        <x:f>93*IF(AND('Decode'!$P$13&lt;&gt;0,'Decode'!$P$12&gt;1,'Decode'!$P$22=0),1,0)</x:f>
        <x:v>93</x:v>
      </x:c>
      <x:c r="I68" s="34" t="n">
        <x:f>E68*F68/1048576</x:f>
        <x:v>1.75</x:v>
      </x:c>
      <x:c r="J68" s="34" t="n">
        <x:f>I68*(IF(G68&gt;1,G68-1,0))</x:f>
        <x:v>12.25</x:v>
      </x:c>
      <x:c r="K68" s="34" t="n">
        <x:f>J68*H68</x:f>
        <x:v>1139.25</x:v>
      </x:c>
      <x:c r="L68" s="34" t="n">
        <x:f>K68*G68</x:f>
        <x:v>9114</x:v>
      </x:c>
      <x:c r="M68" s="30"/>
      <x:c r="N68" s="30"/>
      <x:c r="O68" s="30"/>
      <x:c r="P68" s="30"/>
    </x:row>
    <x:row r="69">
      <x:c r="A69" s="30" t="str">
        <x:v>SP</x:v>
      </x:c>
      <x:c r="B69" s="30" t="str">
        <x:v>Attention</x:v>
      </x:c>
      <x:c r="C69" s="30" t="str">
        <x:v>O Proj 后</x:v>
      </x:c>
      <x:c r="D69" s="30" t="str">
        <x:v>Ring ReduceScatter</x:v>
      </x:c>
      <x:c r="E69" s="33" t="n">
        <x:f>(ROUNDUP('Decode'!$P$7/'Decode'!$P$12,0)*'Decode'!$P$12)*7168</x:f>
        <x:v>7340032</x:v>
      </x:c>
      <x:c r="F69" s="33" t="n">
        <x:f>'Decode'!$P$28</x:f>
        <x:v>2</x:v>
      </x:c>
      <x:c r="G69" s="33" t="n">
        <x:f>'Decode'!$P$12</x:f>
        <x:v>8</x:v>
      </x:c>
      <x:c r="H69" s="33" t="n">
        <x:f>93*IF(AND('Decode'!$P$13&lt;&gt;0,'Decode'!$P$12&gt;1,'Decode'!$P$22=0),1,0)</x:f>
        <x:v>93</x:v>
      </x:c>
      <x:c r="I69" s="34" t="n">
        <x:f>E69*F69/1048576</x:f>
        <x:v>14</x:v>
      </x:c>
      <x:c r="J69" s="34" t="n">
        <x:f>I69*(IF(G69&gt;1,(G69-1)/G69,0))</x:f>
        <x:v>12.25</x:v>
      </x:c>
      <x:c r="K69" s="34" t="n">
        <x:f>J69*H69</x:f>
        <x:v>1139.25</x:v>
      </x:c>
      <x:c r="L69" s="34" t="n">
        <x:f>K69*G69</x:f>
        <x:v>9114</x:v>
      </x:c>
      <x:c r="M69" s="30"/>
      <x:c r="N69" s="30"/>
      <x:c r="O69" s="30"/>
      <x:c r="P69" s="30"/>
    </x:row>
    <x:row r="70">
      <x:c r="A70" s="30" t="str">
        <x:v>O Proj TP</x:v>
      </x:c>
      <x:c r="B70" s="30" t="str">
        <x:v>Attention</x:v>
      </x:c>
      <x:c r="C70" s="30" t="str">
        <x:v>非 SP 标准 TP</x:v>
      </x:c>
      <x:c r="D70" s="30" t="str">
        <x:v>Ring AllReduce</x:v>
      </x:c>
      <x:c r="E70" s="33" t="n">
        <x:f>'Decode'!$P$7*7168</x:f>
        <x:v>7340032</x:v>
      </x:c>
      <x:c r="F70" s="33" t="n">
        <x:f>'Decode'!$P$28</x:f>
        <x:v>2</x:v>
      </x:c>
      <x:c r="G70" s="33" t="n">
        <x:f>IF('Decode'!$P$19&gt;0,'Decode'!$P$19,'Decode'!$P$12)</x:f>
        <x:v>8</x:v>
      </x:c>
      <x:c r="H70" s="33" t="n">
        <x:f>93*IF(AND('Decode'!$P$13=0,IF('Decode'!$P$19&gt;0,'Decode'!$P$19,'Decode'!$P$12)&gt;1,'Decode'!$P$22=0),1,0)</x:f>
        <x:v>0</x:v>
      </x:c>
      <x:c r="I70" s="34" t="n">
        <x:f>E70*F70/1048576</x:f>
        <x:v>14</x:v>
      </x:c>
      <x:c r="J70" s="34" t="n">
        <x:f>I70*(IF(G70&gt;1,2*(G70-1)/G70,0))</x:f>
        <x:v>24.5</x:v>
      </x:c>
      <x:c r="K70" s="34" t="n">
        <x:f>J70*H70</x:f>
        <x:v>0</x:v>
      </x:c>
      <x:c r="L70" s="34" t="n">
        <x:f>K70*G70</x:f>
        <x:v>0</x:v>
      </x:c>
      <x:c r="M70" s="30"/>
      <x:c r="N70" s="30"/>
      <x:c r="O70" s="30"/>
      <x:c r="P70" s="30"/>
    </x:row>
    <x:row r="71">
      <x:c r="A71" s="30" t="str">
        <x:v>Fine O TP</x:v>
      </x:c>
      <x:c r="B71" s="30" t="str">
        <x:v>Attention</x:v>
      </x:c>
      <x:c r="C71" s="30" t="str">
        <x:v>O Proj 输入</x:v>
      </x:c>
      <x:c r="D71" s="30" t="str">
        <x:v>Equal-split AllToAll</x:v>
      </x:c>
      <x:c r="E71" s="33" t="n">
        <x:f>'Decode'!$P$7*12288</x:f>
        <x:v>12582912</x:v>
      </x:c>
      <x:c r="F71" s="33" t="n">
        <x:f>'Decode'!$P$28</x:f>
        <x:v>2</x:v>
      </x:c>
      <x:c r="G71" s="33" t="n">
        <x:f>IF('Decode'!$P$19&gt;0,'Decode'!$P$19,'Decode'!$P$12)</x:f>
        <x:v>8</x:v>
      </x:c>
      <x:c r="H71" s="33" t="n">
        <x:f>93*IF(AND(IF('Decode'!$P$19&gt;0,'Decode'!$P$19,'Decode'!$P$12)&gt;1,'Decode'!$P$22&lt;&gt;0),1,0)</x:f>
        <x:v>0</x:v>
      </x:c>
      <x:c r="I71" s="34" t="n">
        <x:f>E71*F71/1048576</x:f>
        <x:v>24</x:v>
      </x:c>
      <x:c r="J71" s="34" t="n">
        <x:f>I71*(IF(G71&gt;1,(G71-1)/G71,0))</x:f>
        <x:v>21</x:v>
      </x:c>
      <x:c r="K71" s="34" t="n">
        <x:f>J71*H71</x:f>
        <x:v>0</x:v>
      </x:c>
      <x:c r="L71" s="34" t="n">
        <x:f>K71*G71</x:f>
        <x:v>0</x:v>
      </x:c>
      <x:c r="M71" s="30"/>
      <x:c r="N71" s="30"/>
      <x:c r="O71" s="30"/>
      <x:c r="P71" s="30"/>
    </x:row>
    <x:row r="72">
      <x:c r="A72" s="30" t="str">
        <x:v>Fine O TP</x:v>
      </x:c>
      <x:c r="B72" s="30" t="str">
        <x:v>Attention</x:v>
      </x:c>
      <x:c r="C72" s="30" t="str">
        <x:v>O Proj 输出</x:v>
      </x:c>
      <x:c r="D72" s="30" t="str">
        <x:v>Ring ReduceScatter</x:v>
      </x:c>
      <x:c r="E72" s="33" t="n">
        <x:f>'Decode'!$P$7*IF('Decode'!$P$19&gt;0,'Decode'!$P$19,'Decode'!$P$12)*7168</x:f>
        <x:v>58720256</x:v>
      </x:c>
      <x:c r="F72" s="33" t="n">
        <x:f>'Decode'!$P$28</x:f>
        <x:v>2</x:v>
      </x:c>
      <x:c r="G72" s="33" t="n">
        <x:f>IF('Decode'!$P$19&gt;0,'Decode'!$P$19,'Decode'!$P$12)</x:f>
        <x:v>8</x:v>
      </x:c>
      <x:c r="H72" s="33" t="n">
        <x:f>93*IF(AND(IF('Decode'!$P$19&gt;0,'Decode'!$P$19,'Decode'!$P$12)&gt;1,'Decode'!$P$22&lt;&gt;0),1,0)</x:f>
        <x:v>0</x:v>
      </x:c>
      <x:c r="I72" s="34" t="n">
        <x:f>E72*F72/1048576</x:f>
        <x:v>112</x:v>
      </x:c>
      <x:c r="J72" s="34" t="n">
        <x:f>I72*(IF(G72&gt;1,(G72-1)/G72,0))</x:f>
        <x:v>98</x:v>
      </x:c>
      <x:c r="K72" s="34" t="n">
        <x:f>J72*H72</x:f>
        <x:v>0</x:v>
      </x:c>
      <x:c r="L72" s="34" t="n">
        <x:f>K72*G72</x:f>
        <x:v>0</x:v>
      </x:c>
      <x:c r="M72" s="30"/>
      <x:c r="N72" s="30"/>
      <x:c r="O72" s="30"/>
      <x:c r="P72" s="30"/>
    </x:row>
    <x:row r="73">
      <x:c r="A73" s="30" t="str">
        <x:v>SP</x:v>
      </x:c>
      <x:c r="B73" s="30" t="str">
        <x:v>Dense MLP</x:v>
      </x:c>
      <x:c r="C73" s="30" t="str">
        <x:v>Down Proj 输出</x:v>
      </x:c>
      <x:c r="D73" s="30" t="str">
        <x:v>Ring AllReduce</x:v>
      </x:c>
      <x:c r="E73" s="33" t="n">
        <x:f>IF('Decode'!$P$13&lt;&gt;0,((ROUNDUP('Decode'!$P$7/'Decode'!$P$12,0)*'Decode'!$P$12)/'Decode'!$P$12),'Decode'!$P$7)*7168</x:f>
        <x:v>917504</x:v>
      </x:c>
      <x:c r="F73" s="33" t="n">
        <x:f>'Decode'!$P$28</x:f>
        <x:v>2</x:v>
      </x:c>
      <x:c r="G73" s="33" t="n">
        <x:f>'Decode'!$P$12</x:f>
        <x:v>8</x:v>
      </x:c>
      <x:c r="H73" s="33" t="n">
        <x:f>1*IF('Decode'!$P$12&gt;1,1,0)</x:f>
        <x:v>1</x:v>
      </x:c>
      <x:c r="I73" s="34" t="n">
        <x:f>E73*F73/1048576</x:f>
        <x:v>1.75</x:v>
      </x:c>
      <x:c r="J73" s="34" t="n">
        <x:f>I73*(IF(G73&gt;1,2*(G73-1)/G73,0))</x:f>
        <x:v>3.0625</x:v>
      </x:c>
      <x:c r="K73" s="34" t="n">
        <x:f>J73*H73</x:f>
        <x:v>3.0625</x:v>
      </x:c>
      <x:c r="L73" s="34" t="n">
        <x:f>K73*G73</x:f>
        <x:v>24.5</x:v>
      </x:c>
      <x:c r="M73" s="30"/>
      <x:c r="N73" s="30"/>
      <x:c r="O73" s="30"/>
      <x:c r="P73" s="30"/>
    </x:row>
    <x:row r="74">
      <x:c r="A74" s="30" t="str">
        <x:v>EP</x:v>
      </x:c>
      <x:c r="B74" s="30" t="str">
        <x:v>Routed Experts</x:v>
      </x:c>
      <x:c r="C74" s="30" t="str">
        <x:v>Dispatch Hidden</x:v>
      </x:c>
      <x:c r="D74" s="30" t="str">
        <x:v>AllToAllV（跨 Rank 发送）</x:v>
      </x:c>
      <x:c r="E74" s="33" t="n">
        <x:f>IF('Decode'!$P$13&lt;&gt;0,((ROUNDUP('Decode'!$P$7/'Decode'!$P$12,0)*'Decode'!$P$12)/'Decode'!$P$12),'Decode'!$P$7)*16*'Decode'!$P$32*7168</x:f>
        <x:v>12845056</x:v>
      </x:c>
      <x:c r="F74" s="33" t="n">
        <x:f>'Decode'!$P$28</x:f>
        <x:v>2</x:v>
      </x:c>
      <x:c r="G74" s="33" t="n">
        <x:f>'Decode'!$P$14</x:f>
        <x:v>8</x:v>
      </x:c>
      <x:c r="H74" s="33" t="n">
        <x:f>92*IF('Decode'!$P$14&gt;1,1,0)</x:f>
        <x:v>92</x:v>
      </x:c>
      <x:c r="I74" s="34" t="n">
        <x:f>E74*F74/1048576</x:f>
        <x:v>24.5</x:v>
      </x:c>
      <x:c r="J74" s="34" t="n">
        <x:f>I74*(1)</x:f>
        <x:v>24.5</x:v>
      </x:c>
      <x:c r="K74" s="34" t="n">
        <x:f>J74*H74</x:f>
        <x:v>2254</x:v>
      </x:c>
      <x:c r="L74" s="34" t="n">
        <x:f>K74*G74</x:f>
        <x:v>18032</x:v>
      </x:c>
      <x:c r="M74" s="30"/>
      <x:c r="N74" s="30"/>
      <x:c r="O74" s="30"/>
      <x:c r="P74" s="30"/>
    </x:row>
    <x:row r="75">
      <x:c r="A75" s="30" t="str">
        <x:v>EP</x:v>
      </x:c>
      <x:c r="B75" s="30" t="str">
        <x:v>Routed Experts</x:v>
      </x:c>
      <x:c r="C75" s="30" t="str">
        <x:v>Combine Hidden</x:v>
      </x:c>
      <x:c r="D75" s="30" t="str">
        <x:v>AllToAllV（跨 Rank 发送）</x:v>
      </x:c>
      <x:c r="E75" s="33" t="n">
        <x:f>IF('Decode'!$P$13&lt;&gt;0,((ROUNDUP('Decode'!$P$7/'Decode'!$P$12,0)*'Decode'!$P$12)/'Decode'!$P$12),'Decode'!$P$7)*16*'Decode'!$P$32*7168</x:f>
        <x:v>12845056</x:v>
      </x:c>
      <x:c r="F75" s="33" t="n">
        <x:f>'Decode'!$P$28</x:f>
        <x:v>2</x:v>
      </x:c>
      <x:c r="G75" s="33" t="n">
        <x:f>'Decode'!$P$14</x:f>
        <x:v>8</x:v>
      </x:c>
      <x:c r="H75" s="33" t="n">
        <x:f>92*IF('Decode'!$P$14&gt;1,1,0)</x:f>
        <x:v>92</x:v>
      </x:c>
      <x:c r="I75" s="34" t="n">
        <x:f>E75*F75/1048576</x:f>
        <x:v>24.5</x:v>
      </x:c>
      <x:c r="J75" s="34" t="n">
        <x:f>I75*(1)</x:f>
        <x:v>24.5</x:v>
      </x:c>
      <x:c r="K75" s="34" t="n">
        <x:f>J75*H75</x:f>
        <x:v>2254</x:v>
      </x:c>
      <x:c r="L75" s="34" t="n">
        <x:f>K75*G75</x:f>
        <x:v>18032</x:v>
      </x:c>
      <x:c r="M75" s="30"/>
      <x:c r="N75" s="30"/>
      <x:c r="O75" s="30"/>
      <x:c r="P75" s="30"/>
    </x:row>
    <x:row r="76">
      <x:c r="A76" s="30" t="str">
        <x:v>DP</x:v>
      </x:c>
      <x:c r="B76" s="30" t="str">
        <x:v>MoE</x:v>
      </x:c>
      <x:c r="C76" s="30" t="str">
        <x:v>Hidden 输入</x:v>
      </x:c>
      <x:c r="D76" s="30" t="str">
        <x:v>Ring AllGather</x:v>
      </x:c>
      <x:c r="E76" s="33" t="n">
        <x:f>'Decode'!$P$7*7168</x:f>
        <x:v>7340032</x:v>
      </x:c>
      <x:c r="F76" s="33" t="n">
        <x:f>'Decode'!$P$28</x:f>
        <x:v>2</x:v>
      </x:c>
      <x:c r="G76" s="33" t="n">
        <x:f>'Decode'!$P$11</x:f>
        <x:v>1</x:v>
      </x:c>
      <x:c r="H76" s="33" t="n">
        <x:f>92*IF(AND('Decode'!$P$11&gt;1,'Decode'!$P$14=1),1,0)</x:f>
        <x:v>0</x:v>
      </x:c>
      <x:c r="I76" s="34" t="n">
        <x:f>E76*F76/1048576</x:f>
        <x:v>14</x:v>
      </x:c>
      <x:c r="J76" s="34" t="n">
        <x:f>I76*(IF(G76&gt;1,G76-1,0))</x:f>
        <x:v>0</x:v>
      </x:c>
      <x:c r="K76" s="34" t="n">
        <x:f>J76*H76</x:f>
        <x:v>0</x:v>
      </x:c>
      <x:c r="L76" s="34" t="n">
        <x:f>K76*G76</x:f>
        <x:v>0</x:v>
      </x:c>
      <x:c r="M76" s="30"/>
      <x:c r="N76" s="30"/>
      <x:c r="O76" s="30"/>
      <x:c r="P76" s="30"/>
    </x:row>
    <x:row r="77">
      <x:c r="A77" s="30" t="str">
        <x:v>DP</x:v>
      </x:c>
      <x:c r="B77" s="30" t="str">
        <x:v>MoE Router</x:v>
      </x:c>
      <x:c r="C77" s="30" t="str">
        <x:v>Router Logits</x:v>
      </x:c>
      <x:c r="D77" s="30" t="str">
        <x:v>Ring AllGather</x:v>
      </x:c>
      <x:c r="E77" s="33" t="n">
        <x:f>'Decode'!$P$7*896</x:f>
        <x:v>917504</x:v>
      </x:c>
      <x:c r="F77" s="33" t="n">
        <x:f>'Decode'!$P$28</x:f>
        <x:v>2</x:v>
      </x:c>
      <x:c r="G77" s="33" t="n">
        <x:f>'Decode'!$P$11</x:f>
        <x:v>1</x:v>
      </x:c>
      <x:c r="H77" s="33" t="n">
        <x:f>92*IF(AND('Decode'!$P$11&gt;1,'Decode'!$P$14=1),1,0)</x:f>
        <x:v>0</x:v>
      </x:c>
      <x:c r="I77" s="34" t="n">
        <x:f>E77*F77/1048576</x:f>
        <x:v>1.75</x:v>
      </x:c>
      <x:c r="J77" s="34" t="n">
        <x:f>I77*(IF(G77&gt;1,G77-1,0))</x:f>
        <x:v>0</x:v>
      </x:c>
      <x:c r="K77" s="34" t="n">
        <x:f>J77*H77</x:f>
        <x:v>0</x:v>
      </x:c>
      <x:c r="L77" s="34" t="n">
        <x:f>K77*G77</x:f>
        <x:v>0</x:v>
      </x:c>
      <x:c r="M77" s="30"/>
      <x:c r="N77" s="30"/>
      <x:c r="O77" s="30"/>
      <x:c r="P77" s="30"/>
    </x:row>
    <x:row r="78">
      <x:c r="A78" s="30" t="str">
        <x:v>DP</x:v>
      </x:c>
      <x:c r="B78" s="30" t="str">
        <x:v>MoE</x:v>
      </x:c>
      <x:c r="C78" s="30" t="str">
        <x:v>Routed Expert 输出</x:v>
      </x:c>
      <x:c r="D78" s="30" t="str">
        <x:v>Ring ReduceScatter</x:v>
      </x:c>
      <x:c r="E78" s="33" t="n">
        <x:f>'Decode'!$P$7*'Decode'!$P$11*7168</x:f>
        <x:v>7340032</x:v>
      </x:c>
      <x:c r="F78" s="33" t="n">
        <x:f>'Decode'!$P$28</x:f>
        <x:v>2</x:v>
      </x:c>
      <x:c r="G78" s="33" t="n">
        <x:f>'Decode'!$P$11</x:f>
        <x:v>1</x:v>
      </x:c>
      <x:c r="H78" s="33" t="n">
        <x:f>92*IF(AND('Decode'!$P$11&gt;1,'Decode'!$P$14=1),1,0)</x:f>
        <x:v>0</x:v>
      </x:c>
      <x:c r="I78" s="34" t="n">
        <x:f>E78*F78/1048576</x:f>
        <x:v>14</x:v>
      </x:c>
      <x:c r="J78" s="34" t="n">
        <x:f>I78*(IF(G78&gt;1,(G78-1)/G78,0))</x:f>
        <x:v>0</x:v>
      </x:c>
      <x:c r="K78" s="34" t="n">
        <x:f>J78*H78</x:f>
        <x:v>0</x:v>
      </x:c>
      <x:c r="L78" s="34" t="n">
        <x:f>K78*G78</x:f>
        <x:v>0</x:v>
      </x:c>
      <x:c r="M78" s="30"/>
      <x:c r="N78" s="30"/>
      <x:c r="O78" s="30"/>
      <x:c r="P78" s="30"/>
    </x:row>
    <x:row r="79">
      <x:c r="A79" s="30" t="str">
        <x:v>共享专家 TP</x:v>
      </x:c>
      <x:c r="B79" s="30" t="str">
        <x:v>Shared Experts</x:v>
      </x:c>
      <x:c r="C79" s="30" t="str">
        <x:v>SP 输入</x:v>
      </x:c>
      <x:c r="D79" s="30" t="str">
        <x:v>Ring AllGather</x:v>
      </x:c>
      <x:c r="E79" s="33" t="n">
        <x:f>((ROUNDUP('Decode'!$P$7/'Decode'!$P$12,0)*'Decode'!$P$12)/'Decode'!$P$12)*7168</x:f>
        <x:v>917504</x:v>
      </x:c>
      <x:c r="F79" s="33" t="n">
        <x:f>'Decode'!$P$28</x:f>
        <x:v>2</x:v>
      </x:c>
      <x:c r="G79" s="33" t="n">
        <x:f>IF('Decode'!$P$17="TP",'Decode'!$P$18,1)</x:f>
        <x:v>8</x:v>
      </x:c>
      <x:c r="H79" s="33" t="n">
        <x:f>92*IF(AND('Decode'!$P$17="TP",IF('Decode'!$P$17="TP",'Decode'!$P$18,1)&gt;1,'Decode'!$P$13&lt;&gt;0),1,0)</x:f>
        <x:v>92</x:v>
      </x:c>
      <x:c r="I79" s="34" t="n">
        <x:f>E79*F79/1048576</x:f>
        <x:v>1.75</x:v>
      </x:c>
      <x:c r="J79" s="34" t="n">
        <x:f>I79*(IF(G79&gt;1,G79-1,0))</x:f>
        <x:v>12.25</x:v>
      </x:c>
      <x:c r="K79" s="34" t="n">
        <x:f>J79*H79</x:f>
        <x:v>1127</x:v>
      </x:c>
      <x:c r="L79" s="34" t="n">
        <x:f>K79*G79</x:f>
        <x:v>9016</x:v>
      </x:c>
      <x:c r="M79" s="30"/>
      <x:c r="N79" s="30"/>
      <x:c r="O79" s="30"/>
      <x:c r="P79" s="30"/>
    </x:row>
    <x:row r="80">
      <x:c r="A80" s="30" t="str">
        <x:v>共享专家 TP</x:v>
      </x:c>
      <x:c r="B80" s="30" t="str">
        <x:v>Shared Experts</x:v>
      </x:c>
      <x:c r="C80" s="30" t="str">
        <x:v>SP 输出</x:v>
      </x:c>
      <x:c r="D80" s="30" t="str">
        <x:v>Ring ReduceScatter</x:v>
      </x:c>
      <x:c r="E80" s="33" t="n">
        <x:f>(ROUNDUP('Decode'!$P$7/'Decode'!$P$12,0)*'Decode'!$P$12)*7168</x:f>
        <x:v>7340032</x:v>
      </x:c>
      <x:c r="F80" s="33" t="n">
        <x:f>'Decode'!$P$28</x:f>
        <x:v>2</x:v>
      </x:c>
      <x:c r="G80" s="33" t="n">
        <x:f>IF('Decode'!$P$17="TP",'Decode'!$P$18,1)</x:f>
        <x:v>8</x:v>
      </x:c>
      <x:c r="H80" s="33" t="n">
        <x:f>92*IF(AND('Decode'!$P$17="TP",IF('Decode'!$P$17="TP",'Decode'!$P$18,1)&gt;1,'Decode'!$P$13&lt;&gt;0),1,0)</x:f>
        <x:v>92</x:v>
      </x:c>
      <x:c r="I80" s="34" t="n">
        <x:f>E80*F80/1048576</x:f>
        <x:v>14</x:v>
      </x:c>
      <x:c r="J80" s="34" t="n">
        <x:f>I80*(IF(G80&gt;1,(G80-1)/G80,0))</x:f>
        <x:v>12.25</x:v>
      </x:c>
      <x:c r="K80" s="34" t="n">
        <x:f>J80*H80</x:f>
        <x:v>1127</x:v>
      </x:c>
      <x:c r="L80" s="34" t="n">
        <x:f>K80*G80</x:f>
        <x:v>9016</x:v>
      </x:c>
      <x:c r="M80" s="30"/>
      <x:c r="N80" s="30"/>
      <x:c r="O80" s="30"/>
      <x:c r="P80" s="30"/>
    </x:row>
    <x:row r="81">
      <x:c r="A81" s="30" t="str">
        <x:v>共享专家 TP</x:v>
      </x:c>
      <x:c r="B81" s="30" t="str">
        <x:v>Shared Experts</x:v>
      </x:c>
      <x:c r="C81" s="30" t="str">
        <x:v>非 SP 输出</x:v>
      </x:c>
      <x:c r="D81" s="30" t="str">
        <x:v>Ring AllReduce</x:v>
      </x:c>
      <x:c r="E81" s="33" t="n">
        <x:f>'Decode'!$P$7*7168</x:f>
        <x:v>7340032</x:v>
      </x:c>
      <x:c r="F81" s="33" t="n">
        <x:f>'Decode'!$P$28</x:f>
        <x:v>2</x:v>
      </x:c>
      <x:c r="G81" s="33" t="n">
        <x:f>IF('Decode'!$P$17="TP",'Decode'!$P$18,1)</x:f>
        <x:v>8</x:v>
      </x:c>
      <x:c r="H81" s="33" t="n">
        <x:f>92*IF(AND('Decode'!$P$17="TP",IF('Decode'!$P$17="TP",'Decode'!$P$18,1)&gt;1,'Decode'!$P$13=0),1,0)</x:f>
        <x:v>0</x:v>
      </x:c>
      <x:c r="I81" s="34" t="n">
        <x:f>E81*F81/1048576</x:f>
        <x:v>14</x:v>
      </x:c>
      <x:c r="J81" s="34" t="n">
        <x:f>I81*(IF(G81&gt;1,2*(G81-1)/G81,0))</x:f>
        <x:v>24.5</x:v>
      </x:c>
      <x:c r="K81" s="34" t="n">
        <x:f>J81*H81</x:f>
        <x:v>0</x:v>
      </x:c>
      <x:c r="L81" s="34" t="n">
        <x:f>K81*G81</x:f>
        <x:v>0</x:v>
      </x:c>
      <x:c r="M81" s="30"/>
      <x:c r="N81" s="30"/>
      <x:c r="O81" s="30"/>
      <x:c r="P81" s="30"/>
    </x:row>
    <x:row r="82">
      <x:c r="A82" s="30" t="str">
        <x:v>DCP</x:v>
      </x:c>
      <x:c r="B82" s="30" t="str">
        <x:v>Attention</x:v>
      </x:c>
      <x:c r="C82" s="30" t="str">
        <x:v>Query</x:v>
      </x:c>
      <x:c r="D82" s="30" t="str">
        <x:v>Ring AllGather</x:v>
      </x:c>
      <x:c r="E82" s="33" t="n">
        <x:f>'Decode'!$P$7*(96/'Decode'!$P$12)*128</x:f>
        <x:v>1572864</x:v>
      </x:c>
      <x:c r="F82" s="33" t="n">
        <x:f>'Decode'!$P$28</x:f>
        <x:v>2</x:v>
      </x:c>
      <x:c r="G82" s="33" t="n">
        <x:f>'Decode'!$P$16</x:f>
        <x:v>1</x:v>
      </x:c>
      <x:c r="H82" s="33" t="n">
        <x:f>24*IF('Decode'!$P$16&gt;1,1,0)</x:f>
        <x:v>0</x:v>
      </x:c>
      <x:c r="I82" s="34" t="n">
        <x:f>E82*F82/1048576</x:f>
        <x:v>3</x:v>
      </x:c>
      <x:c r="J82" s="34" t="n">
        <x:f>I82*(IF(G82&gt;1,G82-1,0))</x:f>
        <x:v>0</x:v>
      </x:c>
      <x:c r="K82" s="34" t="n">
        <x:f>J82*H82</x:f>
        <x:v>0</x:v>
      </x:c>
      <x:c r="L82" s="34" t="n">
        <x:f>K82*G82</x:f>
        <x:v>0</x:v>
      </x:c>
      <x:c r="M82" s="30"/>
      <x:c r="N82" s="30"/>
      <x:c r="O82" s="30"/>
      <x:c r="P82" s="30"/>
    </x:row>
    <x:row r="83">
      <x:c r="A83" s="30" t="str">
        <x:v>DCP</x:v>
      </x:c>
      <x:c r="B83" s="30" t="str">
        <x:v>Attention</x:v>
      </x:c>
      <x:c r="C83" s="30" t="str">
        <x:v>LSE</x:v>
      </x:c>
      <x:c r="D83" s="30" t="str">
        <x:v>Ring AllGather</x:v>
      </x:c>
      <x:c r="E83" s="33" t="n">
        <x:f>'Decode'!$P$7*(96*'Decode'!$P$16/'Decode'!$P$12)</x:f>
        <x:v>12288</x:v>
      </x:c>
      <x:c r="F83" s="33" t="n">
        <x:f>'Decode'!$P$29</x:f>
        <x:v>4</x:v>
      </x:c>
      <x:c r="G83" s="33" t="n">
        <x:f>'Decode'!$P$16</x:f>
        <x:v>1</x:v>
      </x:c>
      <x:c r="H83" s="33" t="n">
        <x:f>24*IF('Decode'!$P$16&gt;1,1,0)</x:f>
        <x:v>0</x:v>
      </x:c>
      <x:c r="I83" s="34" t="n">
        <x:f>E83*F83/1048576</x:f>
        <x:v>0.046875</x:v>
      </x:c>
      <x:c r="J83" s="34" t="n">
        <x:f>I83*(IF(G83&gt;1,G83-1,0))</x:f>
        <x:v>0</x:v>
      </x:c>
      <x:c r="K83" s="34" t="n">
        <x:f>J83*H83</x:f>
        <x:v>0</x:v>
      </x:c>
      <x:c r="L83" s="34" t="n">
        <x:f>K83*G83</x:f>
        <x:v>0</x:v>
      </x:c>
      <x:c r="M83" s="30"/>
      <x:c r="N83" s="30"/>
      <x:c r="O83" s="30"/>
      <x:c r="P83" s="30"/>
    </x:row>
    <x:row r="84">
      <x:c r="A84" s="30" t="str">
        <x:v>DCP</x:v>
      </x:c>
      <x:c r="B84" s="30" t="str">
        <x:v>Attention</x:v>
      </x:c>
      <x:c r="C84" s="30" t="str">
        <x:v>Attention 输出</x:v>
      </x:c>
      <x:c r="D84" s="30" t="str">
        <x:v>Ring ReduceScatter</x:v>
      </x:c>
      <x:c r="E84" s="33" t="n">
        <x:f>'Decode'!$P$7*(96*'Decode'!$P$16/'Decode'!$P$12)*128</x:f>
        <x:v>1572864</x:v>
      </x:c>
      <x:c r="F84" s="33" t="n">
        <x:f>'Decode'!$P$28</x:f>
        <x:v>2</x:v>
      </x:c>
      <x:c r="G84" s="33" t="n">
        <x:f>'Decode'!$P$16</x:f>
        <x:v>1</x:v>
      </x:c>
      <x:c r="H84" s="33" t="n">
        <x:f>24*IF('Decode'!$P$16&gt;1,1,0)</x:f>
        <x:v>0</x:v>
      </x:c>
      <x:c r="I84" s="34" t="n">
        <x:f>E84*F84/1048576</x:f>
        <x:v>3</x:v>
      </x:c>
      <x:c r="J84" s="34" t="n">
        <x:f>I84*(IF(G84&gt;1,(G84-1)/G84,0))</x:f>
        <x:v>0</x:v>
      </x:c>
      <x:c r="K84" s="34" t="n">
        <x:f>J84*H84</x:f>
        <x:v>0</x:v>
      </x:c>
      <x:c r="L84" s="34" t="n">
        <x:f>K84*G84</x:f>
        <x:v>0</x:v>
      </x:c>
      <x:c r="M84" s="30"/>
      <x:c r="N84" s="30"/>
      <x:c r="O84" s="30"/>
      <x:c r="P84" s="30"/>
    </x:row>
    <x:row r="85">
      <x:c r="A85" s="30" t="str">
        <x:v>SP</x:v>
      </x:c>
      <x:c r="B85" s="30" t="str">
        <x:v>Model Output</x:v>
      </x:c>
      <x:c r="C85" s="30" t="str">
        <x:v>Final Norm 后</x:v>
      </x:c>
      <x:c r="D85" s="30" t="str">
        <x:v>Ring AllGather</x:v>
      </x:c>
      <x:c r="E85" s="33" t="n">
        <x:f>((ROUNDUP('Decode'!$P$7/'Decode'!$P$12,0)*'Decode'!$P$12)/'Decode'!$P$12)*7168</x:f>
        <x:v>917504</x:v>
      </x:c>
      <x:c r="F85" s="33" t="n">
        <x:f>'Decode'!$P$28</x:f>
        <x:v>2</x:v>
      </x:c>
      <x:c r="G85" s="33" t="n">
        <x:f>'Decode'!$P$12</x:f>
        <x:v>8</x:v>
      </x:c>
      <x:c r="H85" s="33" t="n">
        <x:f>IF(AND('Decode'!$P$13&lt;&gt;0,'Decode'!$P$12&gt;1),1,0)</x:f>
        <x:v>1</x:v>
      </x:c>
      <x:c r="I85" s="34" t="n">
        <x:f>E85*F85/1048576</x:f>
        <x:v>1.75</x:v>
      </x:c>
      <x:c r="J85" s="34" t="n">
        <x:f>I85*(IF(G85&gt;1,G85-1,0))</x:f>
        <x:v>12.25</x:v>
      </x:c>
      <x:c r="K85" s="34" t="n">
        <x:f>J85*H85</x:f>
        <x:v>12.25</x:v>
      </x:c>
      <x:c r="L85" s="34" t="n">
        <x:f>K85*G85</x:f>
        <x:v>98</x:v>
      </x:c>
      <x:c r="M85" s="30"/>
      <x:c r="N85" s="30"/>
      <x:c r="O85" s="30"/>
      <x:c r="P85" s="30"/>
    </x:row>
    <x:row r="86">
      <x:c r="A86" s="30" t="str">
        <x:v>LM Head TP</x:v>
      </x:c>
      <x:c r="B86" s="30" t="str">
        <x:v>LM Head</x:v>
      </x:c>
      <x:c r="C86" s="30" t="str">
        <x:v>完整 Logits</x:v>
      </x:c>
      <x:c r="D86" s="30" t="str">
        <x:v>Ring AllGather</x:v>
      </x:c>
      <x:c r="E86" s="33" t="n">
        <x:f>'Decode'!$P$8*163840/IF('Decode'!$P$20&gt;0,'Decode'!$P$20,'Decode'!$P$12)</x:f>
        <x:v>20971520</x:v>
      </x:c>
      <x:c r="F86" s="33" t="n">
        <x:f>'Decode'!$P$28</x:f>
        <x:v>2</x:v>
      </x:c>
      <x:c r="G86" s="33" t="n">
        <x:f>IF('Decode'!$P$20&gt;0,'Decode'!$P$20,'Decode'!$P$12)</x:f>
        <x:v>8</x:v>
      </x:c>
      <x:c r="H86" s="33" t="n">
        <x:f>IF(AND(IF('Decode'!$P$20&gt;0,'Decode'!$P$20,'Decode'!$P$12)&gt;1,'Decode'!$P$23=0,'Decode'!$P$33=0),1,0)</x:f>
        <x:v>0</x:v>
      </x:c>
      <x:c r="I86" s="34" t="n">
        <x:f>E86*F86/1048576</x:f>
        <x:v>40</x:v>
      </x:c>
      <x:c r="J86" s="34" t="n">
        <x:f>I86*(IF(G86&gt;1,G86-1,0))</x:f>
        <x:v>280</x:v>
      </x:c>
      <x:c r="K86" s="34" t="n">
        <x:f>J86*H86</x:f>
        <x:v>0</x:v>
      </x:c>
      <x:c r="L86" s="34" t="n">
        <x:f>K86*G86</x:f>
        <x:v>0</x:v>
      </x:c>
      <x:c r="M86" s="30"/>
      <x:c r="N86" s="30"/>
      <x:c r="O86" s="30"/>
      <x:c r="P86" s="30"/>
    </x:row>
    <x:row r="87">
      <x:c r="A87" s="30" t="str">
        <x:v>LM Head TP</x:v>
      </x:c>
      <x:c r="B87" s="30" t="str">
        <x:v>LM Head</x:v>
      </x:c>
      <x:c r="C87" s="30" t="str">
        <x:v>Reduce Sample</x:v>
      </x:c>
      <x:c r="D87" s="30" t="str">
        <x:v>Ring AllGather</x:v>
      </x:c>
      <x:c r="E87" s="33" t="n">
        <x:f>'Decode'!$P$8*'Decode'!$P$34</x:f>
        <x:v>262144</x:v>
      </x:c>
      <x:c r="F87" s="33" t="n">
        <x:f>('Decode'!$P$28+'Decode'!$P$31)</x:f>
        <x:v>6</x:v>
      </x:c>
      <x:c r="G87" s="33" t="n">
        <x:f>IF('Decode'!$P$20&gt;0,'Decode'!$P$20,'Decode'!$P$12)</x:f>
        <x:v>8</x:v>
      </x:c>
      <x:c r="H87" s="33" t="n">
        <x:f>IF(AND(IF('Decode'!$P$20&gt;0,'Decode'!$P$20,'Decode'!$P$12)&gt;1,'Decode'!$P$23=0,'Decode'!$P$33&lt;&gt;0),1,0)</x:f>
        <x:v>1</x:v>
      </x:c>
      <x:c r="I87" s="34" t="n">
        <x:f>E87*F87/1048576</x:f>
        <x:v>1.5</x:v>
      </x:c>
      <x:c r="J87" s="34" t="n">
        <x:f>I87*(IF(G87&gt;1,G87-1,0))</x:f>
        <x:v>10.5</x:v>
      </x:c>
      <x:c r="K87" s="34" t="n">
        <x:f>J87*H87</x:f>
        <x:v>10.5</x:v>
      </x:c>
      <x:c r="L87" s="34" t="n">
        <x:f>K87*G87</x:f>
        <x:v>84</x:v>
      </x:c>
      <x:c r="M87" s="30"/>
      <x:c r="N87" s="30"/>
      <x:c r="O87" s="30"/>
      <x:c r="P87" s="30"/>
    </x:row>
    <x:row r="88">
      <x:c r="A88" s="30" t="str">
        <x:v>Fine LM Head TP</x:v>
      </x:c>
      <x:c r="B88" s="30" t="str">
        <x:v>LM Head</x:v>
      </x:c>
      <x:c r="C88" s="30" t="str">
        <x:v>Hidden 输入</x:v>
      </x:c>
      <x:c r="D88" s="30" t="str">
        <x:v>Ring AllGather</x:v>
      </x:c>
      <x:c r="E88" s="33" t="n">
        <x:f>'Decode'!$P$8*7168</x:f>
        <x:v>7340032</x:v>
      </x:c>
      <x:c r="F88" s="33" t="n">
        <x:f>'Decode'!$P$28</x:f>
        <x:v>2</x:v>
      </x:c>
      <x:c r="G88" s="33" t="n">
        <x:f>IF('Decode'!$P$20&gt;0,'Decode'!$P$20,'Decode'!$P$12)</x:f>
        <x:v>8</x:v>
      </x:c>
      <x:c r="H88" s="33" t="n">
        <x:f>IF(AND(IF('Decode'!$P$20&gt;0,'Decode'!$P$20,'Decode'!$P$12)&gt;1,'Decode'!$P$23&lt;&gt;0),1,0)</x:f>
        <x:v>0</x:v>
      </x:c>
      <x:c r="I88" s="34" t="n">
        <x:f>E88*F88/1048576</x:f>
        <x:v>14</x:v>
      </x:c>
      <x:c r="J88" s="34" t="n">
        <x:f>I88*(IF(G88&gt;1,G88-1,0))</x:f>
        <x:v>98</x:v>
      </x:c>
      <x:c r="K88" s="34" t="n">
        <x:f>J88*H88</x:f>
        <x:v>0</x:v>
      </x:c>
      <x:c r="L88" s="34" t="n">
        <x:f>K88*G88</x:f>
        <x:v>0</x:v>
      </x:c>
      <x:c r="M88" s="30"/>
      <x:c r="N88" s="30"/>
      <x:c r="O88" s="30"/>
      <x:c r="P88" s="30"/>
    </x:row>
    <x:row r="89">
      <x:c r="A89" s="30" t="str">
        <x:v>Fine LM Head TP</x:v>
      </x:c>
      <x:c r="B89" s="30" t="str">
        <x:v>LM Head</x:v>
      </x:c>
      <x:c r="C89" s="30" t="str">
        <x:v>完整 Logits</x:v>
      </x:c>
      <x:c r="D89" s="30" t="str">
        <x:v>Equal-split AllToAll</x:v>
      </x:c>
      <x:c r="E89" s="33" t="n">
        <x:f>'Decode'!$P$8*163840</x:f>
        <x:v>167772160</x:v>
      </x:c>
      <x:c r="F89" s="33" t="n">
        <x:f>'Decode'!$P$28</x:f>
        <x:v>2</x:v>
      </x:c>
      <x:c r="G89" s="33" t="n">
        <x:f>IF('Decode'!$P$20&gt;0,'Decode'!$P$20,'Decode'!$P$12)</x:f>
        <x:v>8</x:v>
      </x:c>
      <x:c r="H89" s="33" t="n">
        <x:f>IF(AND(IF('Decode'!$P$20&gt;0,'Decode'!$P$20,'Decode'!$P$12)&gt;1,'Decode'!$P$23&lt;&gt;0,'Decode'!$P$33=0),1,0)</x:f>
        <x:v>0</x:v>
      </x:c>
      <x:c r="I89" s="34" t="n">
        <x:f>E89*F89/1048576</x:f>
        <x:v>320</x:v>
      </x:c>
      <x:c r="J89" s="34" t="n">
        <x:f>I89*(IF(G89&gt;1,(G89-1)/G89,0))</x:f>
        <x:v>280</x:v>
      </x:c>
      <x:c r="K89" s="34" t="n">
        <x:f>J89*H89</x:f>
        <x:v>0</x:v>
      </x:c>
      <x:c r="L89" s="34" t="n">
        <x:f>K89*G89</x:f>
        <x:v>0</x:v>
      </x:c>
      <x:c r="M89" s="30"/>
      <x:c r="N89" s="30"/>
      <x:c r="O89" s="30"/>
      <x:c r="P89" s="30"/>
    </x:row>
    <x:row r="90">
      <x:c r="A90" s="30" t="str">
        <x:v>Fine LM Head TP</x:v>
      </x:c>
      <x:c r="B90" s="30" t="str">
        <x:v>LM Head</x:v>
      </x:c>
      <x:c r="C90" s="30" t="str">
        <x:v>Reduce Sample</x:v>
      </x:c>
      <x:c r="D90" s="30" t="str">
        <x:v>Ring AllGather</x:v>
      </x:c>
      <x:c r="E90" s="33" t="n">
        <x:f>'Decode'!$P$8*'Decode'!$P$34</x:f>
        <x:v>262144</x:v>
      </x:c>
      <x:c r="F90" s="33" t="n">
        <x:f>('Decode'!$P$28+'Decode'!$P$31)</x:f>
        <x:v>6</x:v>
      </x:c>
      <x:c r="G90" s="33" t="n">
        <x:f>IF('Decode'!$P$20&gt;0,'Decode'!$P$20,'Decode'!$P$12)</x:f>
        <x:v>8</x:v>
      </x:c>
      <x:c r="H90" s="33" t="n">
        <x:f>IF(AND(IF('Decode'!$P$20&gt;0,'Decode'!$P$20,'Decode'!$P$12)&gt;1,'Decode'!$P$23&lt;&gt;0,'Decode'!$P$33&lt;&gt;0),1,0)</x:f>
        <x:v>0</x:v>
      </x:c>
      <x:c r="I90" s="34" t="n">
        <x:f>E90*F90/1048576</x:f>
        <x:v>1.5</x:v>
      </x:c>
      <x:c r="J90" s="34" t="n">
        <x:f>I90*(IF(G90&gt;1,G90-1,0))</x:f>
        <x:v>10.5</x:v>
      </x:c>
      <x:c r="K90" s="34" t="n">
        <x:f>J90*H90</x:f>
        <x:v>0</x:v>
      </x:c>
      <x:c r="L90" s="34" t="n">
        <x:f>K90*G90</x:f>
        <x:v>0</x:v>
      </x:c>
      <x:c r="M90" s="30"/>
      <x:c r="N90" s="30"/>
      <x:c r="O90" s="30"/>
      <x:c r="P90" s="30"/>
    </x:row>
    <x:row r="91">
      <x:c r="A91" s="40" t="str">
        <x:v>合计</x:v>
      </x:c>
      <x:c r="B91" s="40"/>
      <x:c r="C91" s="40"/>
      <x:c r="D91" s="40"/>
      <x:c r="E91" s="40"/>
      <x:c r="F91" s="40"/>
      <x:c r="G91" s="40"/>
      <x:c r="H91" s="40"/>
      <x:c r="I91" s="41"/>
      <x:c r="J91" s="41"/>
      <x:c r="K91" s="41" t="n">
        <x:f>SUM(K65:K90)</x:f>
        <x:v>9090.8125</x:v>
      </x:c>
      <x:c r="L91" s="41" t="n">
        <x:f>SUM(L65:L90)</x:f>
        <x:v>72726.5</x:v>
      </x:c>
      <x:c r="M91" s="30"/>
      <x:c r="N91" s="30"/>
      <x:c r="O91" s="30"/>
      <x:c r="P91" s="30"/>
    </x:row>
    <x:row r="94" ht="15" customHeight="1">
      <x:c r="A94" s="40" t="str">
        <x:v>PD 带宽争用耗时评估</x:v>
      </x:c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</x:row>
    <x:row r="95" ht="15" customHeight="1">
      <x:c r="A95" s="30" t="str">
        <x:v>Decode 当前表参数；100 GB/s 为归一化示例。所列事件的带宽项，不等于完整 forward 耗时。</x:v>
      </x:c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</x:row>
    <x:row r="96" ht="30" customHeight="1">
      <x:c r="A96" s="62" t="str">
        <x:v>带宽降幅</x:v>
      </x:c>
      <x:c r="B96" s="62" t="str">
        <x:v>输入</x:v>
      </x:c>
      <x:c r="C96" s="62" t="str">
        <x:v>争用覆盖率</x:v>
      </x:c>
      <x:c r="D96" s="62" t="str">
        <x:v>输入</x:v>
      </x:c>
      <x:c r="E96" s="62" t="str">
        <x:v>基线 forward ms</x:v>
      </x:c>
      <x:c r="F96" s="62" t="str">
        <x:v>实测输入</x:v>
      </x:c>
      <x:c r="G96" s="62" t="str">
        <x:v>默认带宽 GB/s</x:v>
      </x:c>
      <x:c r="H96" s="62" t="str">
        <x:v>输入</x:v>
      </x:c>
      <x:c r="I96" s="30"/>
      <x:c r="J96" s="30"/>
      <x:c r="K96" s="30"/>
      <x:c r="L96" s="30"/>
    </x:row>
    <x:row r="97" ht="15" customHeight="1">
      <x:c r="A97" s="30"/>
      <x:c r="B97" s="63" t="n">
        <x:v>0.1</x:v>
      </x:c>
      <x:c r="C97" s="30"/>
      <x:c r="D97" s="63" t="n">
        <x:v>1</x:v>
      </x:c>
      <x:c r="E97" s="30"/>
      <x:c r="F97" s="38"/>
      <x:c r="G97" s="30"/>
      <x:c r="H97" s="36" t="n">
        <x:v>100</x:v>
      </x:c>
      <x:c r="I97" s="30"/>
      <x:c r="J97" s="30"/>
      <x:c r="K97" s="30"/>
      <x:c r="L97" s="30"/>
    </x:row>
    <x:row r="98" ht="30" customHeight="1">
      <x:c r="A98" s="62" t="str">
        <x:v>通信基线 ms</x:v>
      </x:c>
      <x:c r="B98" s="62" t="str">
        <x:v>结果</x:v>
      </x:c>
      <x:c r="C98" s="62" t="str">
        <x:v>通信争用后 ms</x:v>
      </x:c>
      <x:c r="D98" s="62" t="str">
        <x:v>结果</x:v>
      </x:c>
      <x:c r="E98" s="62" t="str">
        <x:v>forward 增量 ms</x:v>
      </x:c>
      <x:c r="F98" s="62" t="str">
        <x:v>结果</x:v>
      </x:c>
      <x:c r="G98" s="62" t="str">
        <x:v>forward 新耗时 ms</x:v>
      </x:c>
      <x:c r="H98" s="62" t="str">
        <x:v>结果</x:v>
      </x:c>
      <x:c r="I98" s="62" t="str">
        <x:v>forward 增幅</x:v>
      </x:c>
      <x:c r="J98" s="62" t="str">
        <x:v>结果</x:v>
      </x:c>
      <x:c r="K98" s="62" t="str">
        <x:v>输入状态</x:v>
      </x:c>
      <x:c r="L98" s="62" t="str">
        <x:v>状态</x:v>
      </x:c>
    </x:row>
    <x:row r="99" ht="15" customHeight="1">
      <x:c r="A99" s="49"/>
      <x:c r="B99" s="49" t="n">
        <x:f>SUM(G103:G129)</x:f>
        <x:v>97.08812288</x:v>
      </x:c>
      <x:c r="C99" s="49"/>
      <x:c r="D99" s="49" t="n">
        <x:f>SUM(H103:H129)</x:f>
        <x:v>107.87569208888888</x:v>
      </x:c>
      <x:c r="E99" s="49"/>
      <x:c r="F99" s="49" t="n">
        <x:f>SUM(K103:K129)</x:f>
        <x:v>10.787569208888891</x:v>
      </x:c>
      <x:c r="G99" s="49"/>
      <x:c r="H99" s="49" t="str">
        <x:f>IF(AND(ISNUMBER($F$97),$F$97&gt;0,$F$97&gt;=SUMPRODUCT(G103:G129,J103:J129)),$F$97+F99,"")</x:f>
      </x:c>
      <x:c r="I99" s="49"/>
      <x:c r="J99" s="50" t="str">
        <x:f>IF(AND(ISNUMBER($F$97),$F$97&gt;0,$F$97&gt;=SUMPRODUCT(G103:G129,J103:J129)),F99/$F$97,"")</x:f>
      </x:c>
      <x:c r="K99" s="49"/>
      <x:c r="L99" s="49" t="str">
        <x:f>IF($F$97="","待填基线",IF(AND(ISNUMBER($F$97),$F$97&gt;0,$F$97&gt;=SUMPRODUCT(G103:G129,J103:J129)),"已填基线","基线/暴露不一致"))</x:f>
        <x:v>待填基线</x:v>
      </x:c>
    </x:row>
    <x:row r="100" ht="15" customHeight="1">
      <x:c r="A100" s="30" t="str">
        <x:v>共享比例=0 表示独立链路；暴露系数=0 表示增量完全隐藏。默认均为 1，降幅只作用于带宽项。</x:v>
      </x:c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</x:row>
    <x:row r="101" ht="15" customHeight="1">
      <x:c r="A101" s="30" t="str">
        <x:v>P: AllToAllV + 4 B 计数 Ring；D: A3 BF16 MC2 FullMesh。每事件带宽按端点发送量定义。</x:v>
      </x:c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</x:row>
    <x:row r="102" ht="30" customHeight="1">
      <x:c r="A102" s="62" t="str">
        <x:v>并行域</x:v>
      </x:c>
      <x:c r="B102" s="62" t="str">
        <x:v>模块</x:v>
      </x:c>
      <x:c r="C102" s="62" t="str">
        <x:v>通信事件</x:v>
      </x:c>
      <x:c r="D102" s="62" t="str">
        <x:v>GB/Rank/Step</x:v>
      </x:c>
      <x:c r="E102" s="62" t="str">
        <x:v>有效带宽 GB/s</x:v>
      </x:c>
      <x:c r="F102" s="62" t="str">
        <x:v>共享比例</x:v>
      </x:c>
      <x:c r="G102" s="62" t="str">
        <x:v>基线带宽项 ms</x:v>
      </x:c>
      <x:c r="H102" s="62" t="str">
        <x:v>争用后带宽项 ms</x:v>
      </x:c>
      <x:c r="I102" s="62" t="str">
        <x:v>通信增量 ms</x:v>
      </x:c>
      <x:c r="J102" s="62" t="str">
        <x:v>暴露系数</x:v>
      </x:c>
      <x:c r="K102" s="62" t="str">
        <x:v>forward 增量 ms</x:v>
      </x:c>
      <x:c r="L102" s="62" t="str">
        <x:v>公式口径</x:v>
      </x:c>
    </x:row>
    <x:row r="103" ht="15" customHeight="1">
      <x:c r="A103" s="30" t="str">
        <x:v>Embedding TP</x:v>
      </x:c>
      <x:c r="B103" s="30" t="str">
        <x:v>Embedding</x:v>
      </x:c>
      <x:c r="C103" s="30" t="str">
        <x:v>标准 TP 输出</x:v>
      </x:c>
      <x:c r="D103" s="34" t="n">
        <x:f>(K65*2^20)/1e9</x:f>
        <x:v>0.025690112</x:v>
      </x:c>
      <x:c r="E103" s="64" t="n">
        <x:f>$H$97</x:f>
        <x:v>100</x:v>
      </x:c>
      <x:c r="F103" s="59" t="n">
        <x:v>1</x:v>
      </x:c>
      <x:c r="G103" s="34" t="n">
        <x:f>IF(AND(ISNUMBER(E103),E103&gt;0,ISNUMBER($B$97),$B$97&gt;=0,$B$97&lt;1,ISNUMBER($D$97),$D$97&gt;=0,$D$97&lt;=1,ISNUMBER(F103),F103&gt;=0,F103&lt;=1,ISNUMBER(J103),J103&gt;=0,J103&lt;=1),D103/E103*1000,NA())</x:f>
        <x:v>0.25690112000000004</x:v>
      </x:c>
      <x:c r="H103" s="34" t="n">
        <x:f>G103+I103</x:f>
        <x:v>0.28544568888888894</x:v>
      </x:c>
      <x:c r="I103" s="34" t="n">
        <x:f>G103*F103*$D$97*$B$97/(1-$B$97)</x:f>
        <x:v>0.028544568888888892</x:v>
      </x:c>
      <x:c r="J103" s="59" t="n">
        <x:v>1</x:v>
      </x:c>
      <x:c r="K103" s="34" t="n">
        <x:f>I103*J103</x:f>
        <x:v>0.028544568888888892</x:v>
      </x:c>
      <x:c r="L103" s="30" t="str">
        <x:v>原通信行 65</x:v>
      </x:c>
    </x:row>
    <x:row r="104" ht="15" customHeight="1">
      <x:c r="A104" s="30" t="str">
        <x:v>Embedding TP</x:v>
      </x:c>
      <x:c r="B104" s="30" t="str">
        <x:v>Embedding</x:v>
      </x:c>
      <x:c r="C104" s="30" t="str">
        <x:v>Fine TP Token ID</x:v>
      </x:c>
      <x:c r="D104" s="34" t="n">
        <x:f>(K66*2^20)/1e9</x:f>
        <x:v>0</x:v>
      </x:c>
      <x:c r="E104" s="64" t="n">
        <x:f>$H$97</x:f>
        <x:v>100</x:v>
      </x:c>
      <x:c r="F104" s="59" t="n">
        <x:v>1</x:v>
      </x:c>
      <x:c r="G104" s="34" t="n">
        <x:f>IF(AND(ISNUMBER(E104),E104&gt;0,ISNUMBER($B$97),$B$97&gt;=0,$B$97&lt;1,ISNUMBER($D$97),$D$97&gt;=0,$D$97&lt;=1,ISNUMBER(F104),F104&gt;=0,F104&lt;=1,ISNUMBER(J104),J104&gt;=0,J104&lt;=1),D104/E104*1000,NA())</x:f>
        <x:v>0</x:v>
      </x:c>
      <x:c r="H104" s="34" t="n">
        <x:f>G104+I104</x:f>
        <x:v>0</x:v>
      </x:c>
      <x:c r="I104" s="34" t="n">
        <x:f>G104*F104*$D$97*$B$97/(1-$B$97)</x:f>
        <x:v>0</x:v>
      </x:c>
      <x:c r="J104" s="59" t="n">
        <x:v>1</x:v>
      </x:c>
      <x:c r="K104" s="34" t="n">
        <x:f>I104*J104</x:f>
        <x:v>0</x:v>
      </x:c>
      <x:c r="L104" s="30" t="str">
        <x:v>原通信行 66</x:v>
      </x:c>
    </x:row>
    <x:row r="105" ht="15" customHeight="1">
      <x:c r="A105" s="30" t="str">
        <x:v>Embedding TP</x:v>
      </x:c>
      <x:c r="B105" s="30" t="str">
        <x:v>Embedding</x:v>
      </x:c>
      <x:c r="C105" s="30" t="str">
        <x:v>Fine TP Hidden</x:v>
      </x:c>
      <x:c r="D105" s="34" t="n">
        <x:f>(K67*2^20)/1e9</x:f>
        <x:v>0</x:v>
      </x:c>
      <x:c r="E105" s="64" t="n">
        <x:f>$H$97</x:f>
        <x:v>100</x:v>
      </x:c>
      <x:c r="F105" s="59" t="n">
        <x:v>1</x:v>
      </x:c>
      <x:c r="G105" s="34" t="n">
        <x:f>IF(AND(ISNUMBER(E105),E105&gt;0,ISNUMBER($B$97),$B$97&gt;=0,$B$97&lt;1,ISNUMBER($D$97),$D$97&gt;=0,$D$97&lt;=1,ISNUMBER(F105),F105&gt;=0,F105&lt;=1,ISNUMBER(J105),J105&gt;=0,J105&lt;=1),D105/E105*1000,NA())</x:f>
        <x:v>0</x:v>
      </x:c>
      <x:c r="H105" s="34" t="n">
        <x:f>G105+I105</x:f>
        <x:v>0</x:v>
      </x:c>
      <x:c r="I105" s="34" t="n">
        <x:f>G105*F105*$D$97*$B$97/(1-$B$97)</x:f>
        <x:v>0</x:v>
      </x:c>
      <x:c r="J105" s="59" t="n">
        <x:v>1</x:v>
      </x:c>
      <x:c r="K105" s="34" t="n">
        <x:f>I105*J105</x:f>
        <x:v>0</x:v>
      </x:c>
      <x:c r="L105" s="30" t="str">
        <x:v>原通信行 67</x:v>
      </x:c>
    </x:row>
    <x:row r="106" ht="15" customHeight="1">
      <x:c r="A106" s="30" t="str">
        <x:v>SP</x:v>
      </x:c>
      <x:c r="B106" s="30" t="str">
        <x:v>Attention</x:v>
      </x:c>
      <x:c r="C106" s="30" t="str">
        <x:v>Attention 前</x:v>
      </x:c>
      <x:c r="D106" s="34" t="n">
        <x:f>(K68*2^20)/1e9</x:f>
        <x:v>1.194590208</x:v>
      </x:c>
      <x:c r="E106" s="64" t="n">
        <x:f>$H$97</x:f>
        <x:v>100</x:v>
      </x:c>
      <x:c r="F106" s="59" t="n">
        <x:v>1</x:v>
      </x:c>
      <x:c r="G106" s="34" t="n">
        <x:f>IF(AND(ISNUMBER(E106),E106&gt;0,ISNUMBER($B$97),$B$97&gt;=0,$B$97&lt;1,ISNUMBER($D$97),$D$97&gt;=0,$D$97&lt;=1,ISNUMBER(F106),F106&gt;=0,F106&lt;=1,ISNUMBER(J106),J106&gt;=0,J106&lt;=1),D106/E106*1000,NA())</x:f>
        <x:v>11.94590208</x:v>
      </x:c>
      <x:c r="H106" s="34" t="n">
        <x:f>G106+I106</x:f>
        <x:v>13.273224533333334</x:v>
      </x:c>
      <x:c r="I106" s="34" t="n">
        <x:f>G106*F106*$D$97*$B$97/(1-$B$97)</x:f>
        <x:v>1.3273224533333332</x:v>
      </x:c>
      <x:c r="J106" s="59" t="n">
        <x:v>1</x:v>
      </x:c>
      <x:c r="K106" s="34" t="n">
        <x:f>I106*J106</x:f>
        <x:v>1.3273224533333332</x:v>
      </x:c>
      <x:c r="L106" s="30" t="str">
        <x:v>原通信行 68</x:v>
      </x:c>
    </x:row>
    <x:row r="107" ht="15" customHeight="1">
      <x:c r="A107" s="30" t="str">
        <x:v>SP</x:v>
      </x:c>
      <x:c r="B107" s="30" t="str">
        <x:v>Attention</x:v>
      </x:c>
      <x:c r="C107" s="30" t="str">
        <x:v>O Proj 后</x:v>
      </x:c>
      <x:c r="D107" s="34" t="n">
        <x:f>(K69*2^20)/1e9</x:f>
        <x:v>1.194590208</x:v>
      </x:c>
      <x:c r="E107" s="64" t="n">
        <x:f>$H$97</x:f>
        <x:v>100</x:v>
      </x:c>
      <x:c r="F107" s="59" t="n">
        <x:v>1</x:v>
      </x:c>
      <x:c r="G107" s="34" t="n">
        <x:f>IF(AND(ISNUMBER(E107),E107&gt;0,ISNUMBER($B$97),$B$97&gt;=0,$B$97&lt;1,ISNUMBER($D$97),$D$97&gt;=0,$D$97&lt;=1,ISNUMBER(F107),F107&gt;=0,F107&lt;=1,ISNUMBER(J107),J107&gt;=0,J107&lt;=1),D107/E107*1000,NA())</x:f>
        <x:v>11.94590208</x:v>
      </x:c>
      <x:c r="H107" s="34" t="n">
        <x:f>G107+I107</x:f>
        <x:v>13.273224533333334</x:v>
      </x:c>
      <x:c r="I107" s="34" t="n">
        <x:f>G107*F107*$D$97*$B$97/(1-$B$97)</x:f>
        <x:v>1.3273224533333332</x:v>
      </x:c>
      <x:c r="J107" s="59" t="n">
        <x:v>1</x:v>
      </x:c>
      <x:c r="K107" s="34" t="n">
        <x:f>I107*J107</x:f>
        <x:v>1.3273224533333332</x:v>
      </x:c>
      <x:c r="L107" s="30" t="str">
        <x:v>原通信行 69</x:v>
      </x:c>
    </x:row>
    <x:row r="108" ht="15" customHeight="1">
      <x:c r="A108" s="30" t="str">
        <x:v>O Proj TP</x:v>
      </x:c>
      <x:c r="B108" s="30" t="str">
        <x:v>Attention</x:v>
      </x:c>
      <x:c r="C108" s="30" t="str">
        <x:v>非 SP 标准 TP</x:v>
      </x:c>
      <x:c r="D108" s="34" t="n">
        <x:f>(K70*2^20)/1e9</x:f>
        <x:v>0</x:v>
      </x:c>
      <x:c r="E108" s="64" t="n">
        <x:f>$H$97</x:f>
        <x:v>100</x:v>
      </x:c>
      <x:c r="F108" s="59" t="n">
        <x:v>1</x:v>
      </x:c>
      <x:c r="G108" s="34" t="n">
        <x:f>IF(AND(ISNUMBER(E108),E108&gt;0,ISNUMBER($B$97),$B$97&gt;=0,$B$97&lt;1,ISNUMBER($D$97),$D$97&gt;=0,$D$97&lt;=1,ISNUMBER(F108),F108&gt;=0,F108&lt;=1,ISNUMBER(J108),J108&gt;=0,J108&lt;=1),D108/E108*1000,NA())</x:f>
        <x:v>0</x:v>
      </x:c>
      <x:c r="H108" s="34" t="n">
        <x:f>G108+I108</x:f>
        <x:v>0</x:v>
      </x:c>
      <x:c r="I108" s="34" t="n">
        <x:f>G108*F108*$D$97*$B$97/(1-$B$97)</x:f>
        <x:v>0</x:v>
      </x:c>
      <x:c r="J108" s="59" t="n">
        <x:v>1</x:v>
      </x:c>
      <x:c r="K108" s="34" t="n">
        <x:f>I108*J108</x:f>
        <x:v>0</x:v>
      </x:c>
      <x:c r="L108" s="30" t="str">
        <x:v>原通信行 70</x:v>
      </x:c>
    </x:row>
    <x:row r="109" ht="15" customHeight="1">
      <x:c r="A109" s="30" t="str">
        <x:v>Fine O TP</x:v>
      </x:c>
      <x:c r="B109" s="30" t="str">
        <x:v>Attention</x:v>
      </x:c>
      <x:c r="C109" s="30" t="str">
        <x:v>O Proj 输入</x:v>
      </x:c>
      <x:c r="D109" s="34" t="n">
        <x:f>(K71*2^20)/1e9</x:f>
        <x:v>0</x:v>
      </x:c>
      <x:c r="E109" s="64" t="n">
        <x:f>$H$97</x:f>
        <x:v>100</x:v>
      </x:c>
      <x:c r="F109" s="59" t="n">
        <x:v>1</x:v>
      </x:c>
      <x:c r="G109" s="34" t="n">
        <x:f>IF(AND(ISNUMBER(E109),E109&gt;0,ISNUMBER($B$97),$B$97&gt;=0,$B$97&lt;1,ISNUMBER($D$97),$D$97&gt;=0,$D$97&lt;=1,ISNUMBER(F109),F109&gt;=0,F109&lt;=1,ISNUMBER(J109),J109&gt;=0,J109&lt;=1),D109/E109*1000,NA())</x:f>
        <x:v>0</x:v>
      </x:c>
      <x:c r="H109" s="34" t="n">
        <x:f>G109+I109</x:f>
        <x:v>0</x:v>
      </x:c>
      <x:c r="I109" s="34" t="n">
        <x:f>G109*F109*$D$97*$B$97/(1-$B$97)</x:f>
        <x:v>0</x:v>
      </x:c>
      <x:c r="J109" s="59" t="n">
        <x:v>1</x:v>
      </x:c>
      <x:c r="K109" s="34" t="n">
        <x:f>I109*J109</x:f>
        <x:v>0</x:v>
      </x:c>
      <x:c r="L109" s="30" t="str">
        <x:v>原通信行 71</x:v>
      </x:c>
    </x:row>
    <x:row r="110" ht="15" customHeight="1">
      <x:c r="A110" s="30" t="str">
        <x:v>Fine O TP</x:v>
      </x:c>
      <x:c r="B110" s="30" t="str">
        <x:v>Attention</x:v>
      </x:c>
      <x:c r="C110" s="30" t="str">
        <x:v>O Proj 输出</x:v>
      </x:c>
      <x:c r="D110" s="34" t="n">
        <x:f>(K72*2^20)/1e9</x:f>
        <x:v>0</x:v>
      </x:c>
      <x:c r="E110" s="64" t="n">
        <x:f>$H$97</x:f>
        <x:v>100</x:v>
      </x:c>
      <x:c r="F110" s="59" t="n">
        <x:v>1</x:v>
      </x:c>
      <x:c r="G110" s="34" t="n">
        <x:f>IF(AND(ISNUMBER(E110),E110&gt;0,ISNUMBER($B$97),$B$97&gt;=0,$B$97&lt;1,ISNUMBER($D$97),$D$97&gt;=0,$D$97&lt;=1,ISNUMBER(F110),F110&gt;=0,F110&lt;=1,ISNUMBER(J110),J110&gt;=0,J110&lt;=1),D110/E110*1000,NA())</x:f>
        <x:v>0</x:v>
      </x:c>
      <x:c r="H110" s="34" t="n">
        <x:f>G110+I110</x:f>
        <x:v>0</x:v>
      </x:c>
      <x:c r="I110" s="34" t="n">
        <x:f>G110*F110*$D$97*$B$97/(1-$B$97)</x:f>
        <x:v>0</x:v>
      </x:c>
      <x:c r="J110" s="59" t="n">
        <x:v>1</x:v>
      </x:c>
      <x:c r="K110" s="34" t="n">
        <x:f>I110*J110</x:f>
        <x:v>0</x:v>
      </x:c>
      <x:c r="L110" s="30" t="str">
        <x:v>原通信行 72</x:v>
      </x:c>
    </x:row>
    <x:row r="111" ht="15" customHeight="1">
      <x:c r="A111" s="30" t="str">
        <x:v>SP</x:v>
      </x:c>
      <x:c r="B111" s="30" t="str">
        <x:v>Dense MLP</x:v>
      </x:c>
      <x:c r="C111" s="30" t="str">
        <x:v>Down Proj 输出</x:v>
      </x:c>
      <x:c r="D111" s="34" t="n">
        <x:f>(K73*2^20)/1e9</x:f>
        <x:v>0.003211264</x:v>
      </x:c>
      <x:c r="E111" s="64" t="n">
        <x:f>$H$97</x:f>
        <x:v>100</x:v>
      </x:c>
      <x:c r="F111" s="59" t="n">
        <x:v>1</x:v>
      </x:c>
      <x:c r="G111" s="34" t="n">
        <x:f>IF(AND(ISNUMBER(E111),E111&gt;0,ISNUMBER($B$97),$B$97&gt;=0,$B$97&lt;1,ISNUMBER($D$97),$D$97&gt;=0,$D$97&lt;=1,ISNUMBER(F111),F111&gt;=0,F111&lt;=1,ISNUMBER(J111),J111&gt;=0,J111&lt;=1),D111/E111*1000,NA())</x:f>
        <x:v>0.032112640000000005</x:v>
      </x:c>
      <x:c r="H111" s="34" t="n">
        <x:f>G111+I111</x:f>
        <x:v>0.03568071111111112</x:v>
      </x:c>
      <x:c r="I111" s="34" t="n">
        <x:f>G111*F111*$D$97*$B$97/(1-$B$97)</x:f>
        <x:v>0.0035680711111111115</x:v>
      </x:c>
      <x:c r="J111" s="59" t="n">
        <x:v>1</x:v>
      </x:c>
      <x:c r="K111" s="34" t="n">
        <x:f>I111*J111</x:f>
        <x:v>0.0035680711111111115</x:v>
      </x:c>
      <x:c r="L111" s="30" t="str">
        <x:v>原通信行 73</x:v>
      </x:c>
    </x:row>
    <x:row r="112" ht="15" customHeight="1">
      <x:c r="A112" s="30" t="str">
        <x:v>EP</x:v>
      </x:c>
      <x:c r="B112" s="30" t="str">
        <x:v>Routed Experts</x:v>
      </x:c>
      <x:c r="C112" s="30" t="str">
        <x:v>MC2 FullMesh Dispatch</x:v>
      </x:c>
      <x:c r="D112" s="34" t="n">
        <x:f>(IF(F74=2,E74/7168*H74*(ROUNDUP((ROUNDUP(7168*F74/32,0)*32+32)/480,0)*512),NA()))/1e9</x:f>
        <x:v>2.53231104</x:v>
      </x:c>
      <x:c r="E112" s="64" t="n">
        <x:f>$H$97</x:f>
        <x:v>100</x:v>
      </x:c>
      <x:c r="F112" s="59" t="n">
        <x:v>1</x:v>
      </x:c>
      <x:c r="G112" s="34" t="n">
        <x:f>IF(AND(ISNUMBER(E112),E112&gt;0,ISNUMBER($B$97),$B$97&gt;=0,$B$97&lt;1,ISNUMBER($D$97),$D$97&gt;=0,$D$97&lt;=1,ISNUMBER(F112),F112&gt;=0,F112&lt;=1,ISNUMBER(J112),J112&gt;=0,J112&lt;=1),D112/E112*1000,NA())</x:f>
        <x:v>25.3231104</x:v>
      </x:c>
      <x:c r="H112" s="34" t="n">
        <x:f>G112+I112</x:f>
        <x:v>28.136789333333333</x:v>
      </x:c>
      <x:c r="I112" s="34" t="n">
        <x:f>G112*F112*$D$97*$B$97/(1-$B$97)</x:f>
        <x:v>2.8136789333333336</x:v>
      </x:c>
      <x:c r="J112" s="59" t="n">
        <x:v>1</x:v>
      </x:c>
      <x:c r="K112" s="34" t="n">
        <x:f>I112*J112</x:f>
        <x:v>2.8136789333333336</x:v>
      </x:c>
      <x:c r="L112" s="30" t="str">
        <x:v>原通信行 74</x:v>
      </x:c>
    </x:row>
    <x:row r="113" ht="15" customHeight="1">
      <x:c r="A113" s="30" t="str">
        <x:v>EP</x:v>
      </x:c>
      <x:c r="B113" s="30" t="str">
        <x:v>Routed Experts</x:v>
      </x:c>
      <x:c r="C113" s="30" t="str">
        <x:v>MC2 Combine + flags</x:v>
      </x:c>
      <x:c r="D113" s="34" t="n">
        <x:f>(IF(F75=2,K75*2^20+E75/7168*H75*32,NA()))/1e9</x:f>
        <x:v>2.368765952</x:v>
      </x:c>
      <x:c r="E113" s="64" t="n">
        <x:f>$H$97</x:f>
        <x:v>100</x:v>
      </x:c>
      <x:c r="F113" s="59" t="n">
        <x:v>1</x:v>
      </x:c>
      <x:c r="G113" s="34" t="n">
        <x:f>IF(AND(ISNUMBER(E113),E113&gt;0,ISNUMBER($B$97),$B$97&gt;=0,$B$97&lt;1,ISNUMBER($D$97),$D$97&gt;=0,$D$97&lt;=1,ISNUMBER(F113),F113&gt;=0,F113&lt;=1,ISNUMBER(J113),J113&gt;=0,J113&lt;=1),D113/E113*1000,NA())</x:f>
        <x:v>23.68765952</x:v>
      </x:c>
      <x:c r="H113" s="34" t="n">
        <x:f>G113+I113</x:f>
        <x:v>26.31962168888889</x:v>
      </x:c>
      <x:c r="I113" s="34" t="n">
        <x:f>G113*F113*$D$97*$B$97/(1-$B$97)</x:f>
        <x:v>2.631962168888889</x:v>
      </x:c>
      <x:c r="J113" s="59" t="n">
        <x:v>1</x:v>
      </x:c>
      <x:c r="K113" s="34" t="n">
        <x:f>I113*J113</x:f>
        <x:v>2.631962168888889</x:v>
      </x:c>
      <x:c r="L113" s="30" t="str">
        <x:v>原通信行 75</x:v>
      </x:c>
    </x:row>
    <x:row r="114" ht="15" customHeight="1">
      <x:c r="A114" s="30" t="str">
        <x:v>DP</x:v>
      </x:c>
      <x:c r="B114" s="30" t="str">
        <x:v>MoE</x:v>
      </x:c>
      <x:c r="C114" s="30" t="str">
        <x:v>Hidden 输入</x:v>
      </x:c>
      <x:c r="D114" s="34" t="n">
        <x:f>(K76*2^20)/1e9</x:f>
        <x:v>0</x:v>
      </x:c>
      <x:c r="E114" s="64" t="n">
        <x:f>$H$97</x:f>
        <x:v>100</x:v>
      </x:c>
      <x:c r="F114" s="59" t="n">
        <x:v>1</x:v>
      </x:c>
      <x:c r="G114" s="34" t="n">
        <x:f>IF(AND(ISNUMBER(E114),E114&gt;0,ISNUMBER($B$97),$B$97&gt;=0,$B$97&lt;1,ISNUMBER($D$97),$D$97&gt;=0,$D$97&lt;=1,ISNUMBER(F114),F114&gt;=0,F114&lt;=1,ISNUMBER(J114),J114&gt;=0,J114&lt;=1),D114/E114*1000,NA())</x:f>
        <x:v>0</x:v>
      </x:c>
      <x:c r="H114" s="34" t="n">
        <x:f>G114+I114</x:f>
        <x:v>0</x:v>
      </x:c>
      <x:c r="I114" s="34" t="n">
        <x:f>G114*F114*$D$97*$B$97/(1-$B$97)</x:f>
        <x:v>0</x:v>
      </x:c>
      <x:c r="J114" s="59" t="n">
        <x:v>1</x:v>
      </x:c>
      <x:c r="K114" s="34" t="n">
        <x:f>I114*J114</x:f>
        <x:v>0</x:v>
      </x:c>
      <x:c r="L114" s="30" t="str">
        <x:v>原通信行 76</x:v>
      </x:c>
    </x:row>
    <x:row r="115" ht="15" customHeight="1">
      <x:c r="A115" s="30" t="str">
        <x:v>DP</x:v>
      </x:c>
      <x:c r="B115" s="30" t="str">
        <x:v>MoE Router</x:v>
      </x:c>
      <x:c r="C115" s="30" t="str">
        <x:v>Router Logits</x:v>
      </x:c>
      <x:c r="D115" s="34" t="n">
        <x:f>(K77*2^20)/1e9</x:f>
        <x:v>0</x:v>
      </x:c>
      <x:c r="E115" s="64" t="n">
        <x:f>$H$97</x:f>
        <x:v>100</x:v>
      </x:c>
      <x:c r="F115" s="59" t="n">
        <x:v>1</x:v>
      </x:c>
      <x:c r="G115" s="34" t="n">
        <x:f>IF(AND(ISNUMBER(E115),E115&gt;0,ISNUMBER($B$97),$B$97&gt;=0,$B$97&lt;1,ISNUMBER($D$97),$D$97&gt;=0,$D$97&lt;=1,ISNUMBER(F115),F115&gt;=0,F115&lt;=1,ISNUMBER(J115),J115&gt;=0,J115&lt;=1),D115/E115*1000,NA())</x:f>
        <x:v>0</x:v>
      </x:c>
      <x:c r="H115" s="34" t="n">
        <x:f>G115+I115</x:f>
        <x:v>0</x:v>
      </x:c>
      <x:c r="I115" s="34" t="n">
        <x:f>G115*F115*$D$97*$B$97/(1-$B$97)</x:f>
        <x:v>0</x:v>
      </x:c>
      <x:c r="J115" s="59" t="n">
        <x:v>1</x:v>
      </x:c>
      <x:c r="K115" s="34" t="n">
        <x:f>I115*J115</x:f>
        <x:v>0</x:v>
      </x:c>
      <x:c r="L115" s="30" t="str">
        <x:v>原通信行 77</x:v>
      </x:c>
    </x:row>
    <x:row r="116" ht="15" customHeight="1">
      <x:c r="A116" s="30" t="str">
        <x:v>DP</x:v>
      </x:c>
      <x:c r="B116" s="30" t="str">
        <x:v>MoE</x:v>
      </x:c>
      <x:c r="C116" s="30" t="str">
        <x:v>Routed Expert 输出</x:v>
      </x:c>
      <x:c r="D116" s="34" t="n">
        <x:f>(K78*2^20)/1e9</x:f>
        <x:v>0</x:v>
      </x:c>
      <x:c r="E116" s="64" t="n">
        <x:f>$H$97</x:f>
        <x:v>100</x:v>
      </x:c>
      <x:c r="F116" s="59" t="n">
        <x:v>1</x:v>
      </x:c>
      <x:c r="G116" s="34" t="n">
        <x:f>IF(AND(ISNUMBER(E116),E116&gt;0,ISNUMBER($B$97),$B$97&gt;=0,$B$97&lt;1,ISNUMBER($D$97),$D$97&gt;=0,$D$97&lt;=1,ISNUMBER(F116),F116&gt;=0,F116&lt;=1,ISNUMBER(J116),J116&gt;=0,J116&lt;=1),D116/E116*1000,NA())</x:f>
        <x:v>0</x:v>
      </x:c>
      <x:c r="H116" s="34" t="n">
        <x:f>G116+I116</x:f>
        <x:v>0</x:v>
      </x:c>
      <x:c r="I116" s="34" t="n">
        <x:f>G116*F116*$D$97*$B$97/(1-$B$97)</x:f>
        <x:v>0</x:v>
      </x:c>
      <x:c r="J116" s="59" t="n">
        <x:v>1</x:v>
      </x:c>
      <x:c r="K116" s="34" t="n">
        <x:f>I116*J116</x:f>
        <x:v>0</x:v>
      </x:c>
      <x:c r="L116" s="30" t="str">
        <x:v>原通信行 78</x:v>
      </x:c>
    </x:row>
    <x:row r="117" ht="15" customHeight="1">
      <x:c r="A117" s="30" t="str">
        <x:v>共享专家 TP</x:v>
      </x:c>
      <x:c r="B117" s="30" t="str">
        <x:v>Shared Experts</x:v>
      </x:c>
      <x:c r="C117" s="30" t="str">
        <x:v>SP 输入</x:v>
      </x:c>
      <x:c r="D117" s="34" t="n">
        <x:f>(K79*2^20)/1e9</x:f>
        <x:v>1.181745152</x:v>
      </x:c>
      <x:c r="E117" s="64" t="n">
        <x:f>$H$97</x:f>
        <x:v>100</x:v>
      </x:c>
      <x:c r="F117" s="59" t="n">
        <x:v>1</x:v>
      </x:c>
      <x:c r="G117" s="34" t="n">
        <x:f>IF(AND(ISNUMBER(E117),E117&gt;0,ISNUMBER($B$97),$B$97&gt;=0,$B$97&lt;1,ISNUMBER($D$97),$D$97&gt;=0,$D$97&lt;=1,ISNUMBER(F117),F117&gt;=0,F117&lt;=1,ISNUMBER(J117),J117&gt;=0,J117&lt;=1),D117/E117*1000,NA())</x:f>
        <x:v>11.817451519999999</x:v>
      </x:c>
      <x:c r="H117" s="34" t="n">
        <x:f>G117+I117</x:f>
        <x:v>13.130501688888888</x:v>
      </x:c>
      <x:c r="I117" s="34" t="n">
        <x:f>G117*F117*$D$97*$B$97/(1-$B$97)</x:f>
        <x:v>1.313050168888889</x:v>
      </x:c>
      <x:c r="J117" s="59" t="n">
        <x:v>1</x:v>
      </x:c>
      <x:c r="K117" s="34" t="n">
        <x:f>I117*J117</x:f>
        <x:v>1.313050168888889</x:v>
      </x:c>
      <x:c r="L117" s="30" t="str">
        <x:v>原通信行 79</x:v>
      </x:c>
    </x:row>
    <x:row r="118" ht="15" customHeight="1">
      <x:c r="A118" s="30" t="str">
        <x:v>共享专家 TP</x:v>
      </x:c>
      <x:c r="B118" s="30" t="str">
        <x:v>Shared Experts</x:v>
      </x:c>
      <x:c r="C118" s="30" t="str">
        <x:v>SP 输出</x:v>
      </x:c>
      <x:c r="D118" s="34" t="n">
        <x:f>(K80*2^20)/1e9</x:f>
        <x:v>1.181745152</x:v>
      </x:c>
      <x:c r="E118" s="64" t="n">
        <x:f>$H$97</x:f>
        <x:v>100</x:v>
      </x:c>
      <x:c r="F118" s="59" t="n">
        <x:v>1</x:v>
      </x:c>
      <x:c r="G118" s="34" t="n">
        <x:f>IF(AND(ISNUMBER(E118),E118&gt;0,ISNUMBER($B$97),$B$97&gt;=0,$B$97&lt;1,ISNUMBER($D$97),$D$97&gt;=0,$D$97&lt;=1,ISNUMBER(F118),F118&gt;=0,F118&lt;=1,ISNUMBER(J118),J118&gt;=0,J118&lt;=1),D118/E118*1000,NA())</x:f>
        <x:v>11.817451519999999</x:v>
      </x:c>
      <x:c r="H118" s="34" t="n">
        <x:f>G118+I118</x:f>
        <x:v>13.130501688888888</x:v>
      </x:c>
      <x:c r="I118" s="34" t="n">
        <x:f>G118*F118*$D$97*$B$97/(1-$B$97)</x:f>
        <x:v>1.313050168888889</x:v>
      </x:c>
      <x:c r="J118" s="59" t="n">
        <x:v>1</x:v>
      </x:c>
      <x:c r="K118" s="34" t="n">
        <x:f>I118*J118</x:f>
        <x:v>1.313050168888889</x:v>
      </x:c>
      <x:c r="L118" s="30" t="str">
        <x:v>原通信行 80</x:v>
      </x:c>
    </x:row>
    <x:row r="119" ht="15" customHeight="1">
      <x:c r="A119" s="30" t="str">
        <x:v>共享专家 TP</x:v>
      </x:c>
      <x:c r="B119" s="30" t="str">
        <x:v>Shared Experts</x:v>
      </x:c>
      <x:c r="C119" s="30" t="str">
        <x:v>非 SP 输出</x:v>
      </x:c>
      <x:c r="D119" s="34" t="n">
        <x:f>(K81*2^20)/1e9</x:f>
        <x:v>0</x:v>
      </x:c>
      <x:c r="E119" s="64" t="n">
        <x:f>$H$97</x:f>
        <x:v>100</x:v>
      </x:c>
      <x:c r="F119" s="59" t="n">
        <x:v>1</x:v>
      </x:c>
      <x:c r="G119" s="34" t="n">
        <x:f>IF(AND(ISNUMBER(E119),E119&gt;0,ISNUMBER($B$97),$B$97&gt;=0,$B$97&lt;1,ISNUMBER($D$97),$D$97&gt;=0,$D$97&lt;=1,ISNUMBER(F119),F119&gt;=0,F119&lt;=1,ISNUMBER(J119),J119&gt;=0,J119&lt;=1),D119/E119*1000,NA())</x:f>
        <x:v>0</x:v>
      </x:c>
      <x:c r="H119" s="34" t="n">
        <x:f>G119+I119</x:f>
        <x:v>0</x:v>
      </x:c>
      <x:c r="I119" s="34" t="n">
        <x:f>G119*F119*$D$97*$B$97/(1-$B$97)</x:f>
        <x:v>0</x:v>
      </x:c>
      <x:c r="J119" s="59" t="n">
        <x:v>1</x:v>
      </x:c>
      <x:c r="K119" s="34" t="n">
        <x:f>I119*J119</x:f>
        <x:v>0</x:v>
      </x:c>
      <x:c r="L119" s="30" t="str">
        <x:v>原通信行 81</x:v>
      </x:c>
    </x:row>
    <x:row r="120" ht="15" customHeight="1">
      <x:c r="A120" s="30" t="str">
        <x:v>DCP</x:v>
      </x:c>
      <x:c r="B120" s="30" t="str">
        <x:v>Attention</x:v>
      </x:c>
      <x:c r="C120" s="30" t="str">
        <x:v>Query</x:v>
      </x:c>
      <x:c r="D120" s="34" t="n">
        <x:f>(K82*2^20)/1e9</x:f>
        <x:v>0</x:v>
      </x:c>
      <x:c r="E120" s="64" t="n">
        <x:f>$H$97</x:f>
        <x:v>100</x:v>
      </x:c>
      <x:c r="F120" s="59" t="n">
        <x:v>1</x:v>
      </x:c>
      <x:c r="G120" s="34" t="n">
        <x:f>IF(AND(ISNUMBER(E120),E120&gt;0,ISNUMBER($B$97),$B$97&gt;=0,$B$97&lt;1,ISNUMBER($D$97),$D$97&gt;=0,$D$97&lt;=1,ISNUMBER(F120),F120&gt;=0,F120&lt;=1,ISNUMBER(J120),J120&gt;=0,J120&lt;=1),D120/E120*1000,NA())</x:f>
        <x:v>0</x:v>
      </x:c>
      <x:c r="H120" s="34" t="n">
        <x:f>G120+I120</x:f>
        <x:v>0</x:v>
      </x:c>
      <x:c r="I120" s="34" t="n">
        <x:f>G120*F120*$D$97*$B$97/(1-$B$97)</x:f>
        <x:v>0</x:v>
      </x:c>
      <x:c r="J120" s="59" t="n">
        <x:v>1</x:v>
      </x:c>
      <x:c r="K120" s="34" t="n">
        <x:f>I120*J120</x:f>
        <x:v>0</x:v>
      </x:c>
      <x:c r="L120" s="30" t="str">
        <x:v>原通信行 82</x:v>
      </x:c>
    </x:row>
    <x:row r="121" ht="15" customHeight="1">
      <x:c r="A121" s="30" t="str">
        <x:v>DCP</x:v>
      </x:c>
      <x:c r="B121" s="30" t="str">
        <x:v>Attention</x:v>
      </x:c>
      <x:c r="C121" s="30" t="str">
        <x:v>LSE</x:v>
      </x:c>
      <x:c r="D121" s="34" t="n">
        <x:f>(K83*2^20)/1e9</x:f>
        <x:v>0</x:v>
      </x:c>
      <x:c r="E121" s="64" t="n">
        <x:f>$H$97</x:f>
        <x:v>100</x:v>
      </x:c>
      <x:c r="F121" s="59" t="n">
        <x:v>1</x:v>
      </x:c>
      <x:c r="G121" s="34" t="n">
        <x:f>IF(AND(ISNUMBER(E121),E121&gt;0,ISNUMBER($B$97),$B$97&gt;=0,$B$97&lt;1,ISNUMBER($D$97),$D$97&gt;=0,$D$97&lt;=1,ISNUMBER(F121),F121&gt;=0,F121&lt;=1,ISNUMBER(J121),J121&gt;=0,J121&lt;=1),D121/E121*1000,NA())</x:f>
        <x:v>0</x:v>
      </x:c>
      <x:c r="H121" s="34" t="n">
        <x:f>G121+I121</x:f>
        <x:v>0</x:v>
      </x:c>
      <x:c r="I121" s="34" t="n">
        <x:f>G121*F121*$D$97*$B$97/(1-$B$97)</x:f>
        <x:v>0</x:v>
      </x:c>
      <x:c r="J121" s="59" t="n">
        <x:v>1</x:v>
      </x:c>
      <x:c r="K121" s="34" t="n">
        <x:f>I121*J121</x:f>
        <x:v>0</x:v>
      </x:c>
      <x:c r="L121" s="30" t="str">
        <x:v>原通信行 83</x:v>
      </x:c>
    </x:row>
    <x:row r="122" ht="15" customHeight="1">
      <x:c r="A122" s="30" t="str">
        <x:v>DCP</x:v>
      </x:c>
      <x:c r="B122" s="30" t="str">
        <x:v>Attention</x:v>
      </x:c>
      <x:c r="C122" s="30" t="str">
        <x:v>Attention 输出</x:v>
      </x:c>
      <x:c r="D122" s="34" t="n">
        <x:f>(K84*2^20)/1e9</x:f>
        <x:v>0</x:v>
      </x:c>
      <x:c r="E122" s="64" t="n">
        <x:f>$H$97</x:f>
        <x:v>100</x:v>
      </x:c>
      <x:c r="F122" s="59" t="n">
        <x:v>1</x:v>
      </x:c>
      <x:c r="G122" s="34" t="n">
        <x:f>IF(AND(ISNUMBER(E122),E122&gt;0,ISNUMBER($B$97),$B$97&gt;=0,$B$97&lt;1,ISNUMBER($D$97),$D$97&gt;=0,$D$97&lt;=1,ISNUMBER(F122),F122&gt;=0,F122&lt;=1,ISNUMBER(J122),J122&gt;=0,J122&lt;=1),D122/E122*1000,NA())</x:f>
        <x:v>0</x:v>
      </x:c>
      <x:c r="H122" s="34" t="n">
        <x:f>G122+I122</x:f>
        <x:v>0</x:v>
      </x:c>
      <x:c r="I122" s="34" t="n">
        <x:f>G122*F122*$D$97*$B$97/(1-$B$97)</x:f>
        <x:v>0</x:v>
      </x:c>
      <x:c r="J122" s="59" t="n">
        <x:v>1</x:v>
      </x:c>
      <x:c r="K122" s="34" t="n">
        <x:f>I122*J122</x:f>
        <x:v>0</x:v>
      </x:c>
      <x:c r="L122" s="30" t="str">
        <x:v>原通信行 84</x:v>
      </x:c>
    </x:row>
    <x:row r="123" ht="15" customHeight="1">
      <x:c r="A123" s="30" t="str">
        <x:v>SP</x:v>
      </x:c>
      <x:c r="B123" s="30" t="str">
        <x:v>Model Output</x:v>
      </x:c>
      <x:c r="C123" s="30" t="str">
        <x:v>Final Norm 后</x:v>
      </x:c>
      <x:c r="D123" s="34" t="n">
        <x:f>(K85*2^20)/1e9</x:f>
        <x:v>0.012845056</x:v>
      </x:c>
      <x:c r="E123" s="64" t="n">
        <x:f>$H$97</x:f>
        <x:v>100</x:v>
      </x:c>
      <x:c r="F123" s="59" t="n">
        <x:v>1</x:v>
      </x:c>
      <x:c r="G123" s="34" t="n">
        <x:f>IF(AND(ISNUMBER(E123),E123&gt;0,ISNUMBER($B$97),$B$97&gt;=0,$B$97&lt;1,ISNUMBER($D$97),$D$97&gt;=0,$D$97&lt;=1,ISNUMBER(F123),F123&gt;=0,F123&lt;=1,ISNUMBER(J123),J123&gt;=0,J123&lt;=1),D123/E123*1000,NA())</x:f>
        <x:v>0.12845056000000002</x:v>
      </x:c>
      <x:c r="H123" s="34" t="n">
        <x:f>G123+I123</x:f>
        <x:v>0.14272284444444447</x:v>
      </x:c>
      <x:c r="I123" s="34" t="n">
        <x:f>G123*F123*$D$97*$B$97/(1-$B$97)</x:f>
        <x:v>0.014272284444444446</x:v>
      </x:c>
      <x:c r="J123" s="59" t="n">
        <x:v>1</x:v>
      </x:c>
      <x:c r="K123" s="34" t="n">
        <x:f>I123*J123</x:f>
        <x:v>0.014272284444444446</x:v>
      </x:c>
      <x:c r="L123" s="30" t="str">
        <x:v>原通信行 85</x:v>
      </x:c>
    </x:row>
    <x:row r="124" ht="15" customHeight="1">
      <x:c r="A124" s="30" t="str">
        <x:v>LM Head TP</x:v>
      </x:c>
      <x:c r="B124" s="30" t="str">
        <x:v>LM Head</x:v>
      </x:c>
      <x:c r="C124" s="30" t="str">
        <x:v>完整 Logits</x:v>
      </x:c>
      <x:c r="D124" s="34" t="n">
        <x:f>(K86*2^20)/1e9</x:f>
        <x:v>0</x:v>
      </x:c>
      <x:c r="E124" s="64" t="n">
        <x:f>$H$97</x:f>
        <x:v>100</x:v>
      </x:c>
      <x:c r="F124" s="59" t="n">
        <x:v>1</x:v>
      </x:c>
      <x:c r="G124" s="34" t="n">
        <x:f>IF(AND(ISNUMBER(E124),E124&gt;0,ISNUMBER($B$97),$B$97&gt;=0,$B$97&lt;1,ISNUMBER($D$97),$D$97&gt;=0,$D$97&lt;=1,ISNUMBER(F124),F124&gt;=0,F124&lt;=1,ISNUMBER(J124),J124&gt;=0,J124&lt;=1),D124/E124*1000,NA())</x:f>
        <x:v>0</x:v>
      </x:c>
      <x:c r="H124" s="34" t="n">
        <x:f>G124+I124</x:f>
        <x:v>0</x:v>
      </x:c>
      <x:c r="I124" s="34" t="n">
        <x:f>G124*F124*$D$97*$B$97/(1-$B$97)</x:f>
        <x:v>0</x:v>
      </x:c>
      <x:c r="J124" s="59" t="n">
        <x:v>1</x:v>
      </x:c>
      <x:c r="K124" s="34" t="n">
        <x:f>I124*J124</x:f>
        <x:v>0</x:v>
      </x:c>
      <x:c r="L124" s="30" t="str">
        <x:v>原通信行 86</x:v>
      </x:c>
    </x:row>
    <x:row r="125" ht="15" customHeight="1">
      <x:c r="A125" s="30" t="str">
        <x:v>LM Head TP</x:v>
      </x:c>
      <x:c r="B125" s="30" t="str">
        <x:v>LM Head</x:v>
      </x:c>
      <x:c r="C125" s="30" t="str">
        <x:v>Reduce Sample</x:v>
      </x:c>
      <x:c r="D125" s="34" t="n">
        <x:f>(K87*2^20)/1e9</x:f>
        <x:v>0.011010048</x:v>
      </x:c>
      <x:c r="E125" s="64" t="n">
        <x:f>$H$97</x:f>
        <x:v>100</x:v>
      </x:c>
      <x:c r="F125" s="59" t="n">
        <x:v>1</x:v>
      </x:c>
      <x:c r="G125" s="34" t="n">
        <x:f>IF(AND(ISNUMBER(E125),E125&gt;0,ISNUMBER($B$97),$B$97&gt;=0,$B$97&lt;1,ISNUMBER($D$97),$D$97&gt;=0,$D$97&lt;=1,ISNUMBER(F125),F125&gt;=0,F125&lt;=1,ISNUMBER(J125),J125&gt;=0,J125&lt;=1),D125/E125*1000,NA())</x:f>
        <x:v>0.11010048</x:v>
      </x:c>
      <x:c r="H125" s="34" t="n">
        <x:f>G125+I125</x:f>
        <x:v>0.12233386666666667</x:v>
      </x:c>
      <x:c r="I125" s="34" t="n">
        <x:f>G125*F125*$D$97*$B$97/(1-$B$97)</x:f>
        <x:v>0.012233386666666669</x:v>
      </x:c>
      <x:c r="J125" s="59" t="n">
        <x:v>1</x:v>
      </x:c>
      <x:c r="K125" s="34" t="n">
        <x:f>I125*J125</x:f>
        <x:v>0.012233386666666669</x:v>
      </x:c>
      <x:c r="L125" s="30" t="str">
        <x:v>原通信行 87</x:v>
      </x:c>
    </x:row>
    <x:row r="126" ht="15" customHeight="1">
      <x:c r="A126" s="30" t="str">
        <x:v>Fine LM Head TP</x:v>
      </x:c>
      <x:c r="B126" s="30" t="str">
        <x:v>LM Head</x:v>
      </x:c>
      <x:c r="C126" s="30" t="str">
        <x:v>Hidden 输入</x:v>
      </x:c>
      <x:c r="D126" s="34" t="n">
        <x:f>(K88*2^20)/1e9</x:f>
        <x:v>0</x:v>
      </x:c>
      <x:c r="E126" s="64" t="n">
        <x:f>$H$97</x:f>
        <x:v>100</x:v>
      </x:c>
      <x:c r="F126" s="59" t="n">
        <x:v>1</x:v>
      </x:c>
      <x:c r="G126" s="34" t="n">
        <x:f>IF(AND(ISNUMBER(E126),E126&gt;0,ISNUMBER($B$97),$B$97&gt;=0,$B$97&lt;1,ISNUMBER($D$97),$D$97&gt;=0,$D$97&lt;=1,ISNUMBER(F126),F126&gt;=0,F126&lt;=1,ISNUMBER(J126),J126&gt;=0,J126&lt;=1),D126/E126*1000,NA())</x:f>
        <x:v>0</x:v>
      </x:c>
      <x:c r="H126" s="34" t="n">
        <x:f>G126+I126</x:f>
        <x:v>0</x:v>
      </x:c>
      <x:c r="I126" s="34" t="n">
        <x:f>G126*F126*$D$97*$B$97/(1-$B$97)</x:f>
        <x:v>0</x:v>
      </x:c>
      <x:c r="J126" s="59" t="n">
        <x:v>1</x:v>
      </x:c>
      <x:c r="K126" s="34" t="n">
        <x:f>I126*J126</x:f>
        <x:v>0</x:v>
      </x:c>
      <x:c r="L126" s="30" t="str">
        <x:v>原通信行 88</x:v>
      </x:c>
    </x:row>
    <x:row r="127" ht="15" customHeight="1">
      <x:c r="A127" s="30" t="str">
        <x:v>Fine LM Head TP</x:v>
      </x:c>
      <x:c r="B127" s="30" t="str">
        <x:v>LM Head</x:v>
      </x:c>
      <x:c r="C127" s="30" t="str">
        <x:v>完整 Logits</x:v>
      </x:c>
      <x:c r="D127" s="34" t="n">
        <x:f>(K89*2^20)/1e9</x:f>
        <x:v>0</x:v>
      </x:c>
      <x:c r="E127" s="64" t="n">
        <x:f>$H$97</x:f>
        <x:v>100</x:v>
      </x:c>
      <x:c r="F127" s="59" t="n">
        <x:v>1</x:v>
      </x:c>
      <x:c r="G127" s="34" t="n">
        <x:f>IF(AND(ISNUMBER(E127),E127&gt;0,ISNUMBER($B$97),$B$97&gt;=0,$B$97&lt;1,ISNUMBER($D$97),$D$97&gt;=0,$D$97&lt;=1,ISNUMBER(F127),F127&gt;=0,F127&lt;=1,ISNUMBER(J127),J127&gt;=0,J127&lt;=1),D127/E127*1000,NA())</x:f>
        <x:v>0</x:v>
      </x:c>
      <x:c r="H127" s="34" t="n">
        <x:f>G127+I127</x:f>
        <x:v>0</x:v>
      </x:c>
      <x:c r="I127" s="34" t="n">
        <x:f>G127*F127*$D$97*$B$97/(1-$B$97)</x:f>
        <x:v>0</x:v>
      </x:c>
      <x:c r="J127" s="59" t="n">
        <x:v>1</x:v>
      </x:c>
      <x:c r="K127" s="34" t="n">
        <x:f>I127*J127</x:f>
        <x:v>0</x:v>
      </x:c>
      <x:c r="L127" s="30" t="str">
        <x:v>原通信行 89</x:v>
      </x:c>
    </x:row>
    <x:row r="128" ht="15" customHeight="1">
      <x:c r="A128" s="30" t="str">
        <x:v>Fine LM Head TP</x:v>
      </x:c>
      <x:c r="B128" s="30" t="str">
        <x:v>LM Head</x:v>
      </x:c>
      <x:c r="C128" s="30" t="str">
        <x:v>Reduce Sample</x:v>
      </x:c>
      <x:c r="D128" s="34" t="n">
        <x:f>(K90*2^20)/1e9</x:f>
        <x:v>0</x:v>
      </x:c>
      <x:c r="E128" s="64" t="n">
        <x:f>$H$97</x:f>
        <x:v>100</x:v>
      </x:c>
      <x:c r="F128" s="59" t="n">
        <x:v>1</x:v>
      </x:c>
      <x:c r="G128" s="34" t="n">
        <x:f>IF(AND(ISNUMBER(E128),E128&gt;0,ISNUMBER($B$97),$B$97&gt;=0,$B$97&lt;1,ISNUMBER($D$97),$D$97&gt;=0,$D$97&lt;=1,ISNUMBER(F128),F128&gt;=0,F128&lt;=1,ISNUMBER(J128),J128&gt;=0,J128&lt;=1),D128/E128*1000,NA())</x:f>
        <x:v>0</x:v>
      </x:c>
      <x:c r="H128" s="34" t="n">
        <x:f>G128+I128</x:f>
        <x:v>0</x:v>
      </x:c>
      <x:c r="I128" s="34" t="n">
        <x:f>G128*F128*$D$97*$B$97/(1-$B$97)</x:f>
        <x:v>0</x:v>
      </x:c>
      <x:c r="J128" s="59" t="n">
        <x:v>1</x:v>
      </x:c>
      <x:c r="K128" s="34" t="n">
        <x:f>I128*J128</x:f>
        <x:v>0</x:v>
      </x:c>
      <x:c r="L128" s="30" t="str">
        <x:v>原通信行 90</x:v>
      </x:c>
    </x:row>
    <x:row r="129" ht="15" customHeight="1">
      <x:c r="A129" s="30" t="str">
        <x:v>EP</x:v>
      </x:c>
      <x:c r="B129" s="30" t="str">
        <x:v>MoE 计数</x:v>
      </x:c>
      <x:c r="C129" s="30" t="str">
        <x:v>MC2 count 写入</x:v>
      </x:c>
      <x:c r="D129" s="34" t="n">
        <x:f>(IF(E74=0,0,H74*ROUNDUP(896/G74,0)*(G74-1)*32))/1e9</x:f>
        <x:v>0.002308096</x:v>
      </x:c>
      <x:c r="E129" s="64" t="n">
        <x:f>$H$97</x:f>
        <x:v>100</x:v>
      </x:c>
      <x:c r="F129" s="59" t="n">
        <x:v>1</x:v>
      </x:c>
      <x:c r="G129" s="34" t="n">
        <x:f>IF(AND(ISNUMBER(E129),E129&gt;0,ISNUMBER($B$97),$B$97&gt;=0,$B$97&lt;1,ISNUMBER($D$97),$D$97&gt;=0,$D$97&lt;=1,ISNUMBER(F129),F129&gt;=0,F129&lt;=1,ISNUMBER(J129),J129&gt;=0,J129&lt;=1),D129/E129*1000,NA())</x:f>
        <x:v>0.023080959999999998</x:v>
      </x:c>
      <x:c r="H129" s="34" t="n">
        <x:f>G129+I129</x:f>
        <x:v>0.02564551111111111</x:v>
      </x:c>
      <x:c r="I129" s="34" t="n">
        <x:f>G129*F129*$D$97*$B$97/(1-$B$97)</x:f>
        <x:v>0.002564551111111111</x:v>
      </x:c>
      <x:c r="J129" s="59" t="n">
        <x:v>1</x:v>
      </x:c>
      <x:c r="K129" s="34" t="n">
        <x:f>I129*J129</x:f>
        <x:v>0.002564551111111111</x:v>
      </x:c>
      <x:c r="L129" s="30" t="str">
        <x:v>额外控制量</x:v>
      </x:c>
    </x:row>
    <x:row r="130" ht="15" customHeight="1">
      <x:c r="A130" s="40" t="str">
        <x:v>所列事件串行相加</x:v>
      </x:c>
      <x:c r="B130" s="40"/>
      <x:c r="C130" s="40"/>
      <x:c r="D130" s="41" t="n">
        <x:f>SUM(D103:D129)</x:f>
        <x:v>9.708812287999999</x:v>
      </x:c>
      <x:c r="E130" s="40"/>
      <x:c r="F130" s="40"/>
      <x:c r="G130" s="41" t="n">
        <x:f>SUM(G103:G129)</x:f>
        <x:v>97.08812288</x:v>
      </x:c>
      <x:c r="H130" s="41" t="n">
        <x:f>SUM(H103:H129)</x:f>
        <x:v>107.87569208888888</x:v>
      </x:c>
      <x:c r="I130" s="41" t="n">
        <x:f>SUM(I103:I129)</x:f>
        <x:v>10.787569208888891</x:v>
      </x:c>
      <x:c r="J130" s="40"/>
      <x:c r="K130" s="41" t="n">
        <x:f>SUM(K103:K129)</x:f>
        <x:v>10.787569208888891</x:v>
      </x:c>
      <x:c r="L130" s="40"/>
    </x:row>
  </x:sheetData>
  <x:conditionalFormatting sqref="L99:L99">
    <x:cfRule type="containsText" dxfId="1" priority="1" operator="containsText" text="不一致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E2F3"/>
  </x:sheetPr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0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21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</x:cols>
  <x:sheetData>
    <x:row r="1" ht="22" customHeight="1">
      <x:c r="A1" s="30"/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</x:row>
    <x:row r="2" ht="22" customHeight="1">
      <x:c r="A2" s="42" t="str">
        <x:v>PD KV 传输：一分钟内的 Decode 通信暴露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</x:row>
    <x:row r="3" ht="22" customHeight="1">
      <x:c r="A3" s="30" t="str">
        <x:v>按层分布等效 EP、TP 通信段，次数按一分钟统计。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 ht="22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</x:row>
    <x:row r="5" ht="34" customHeight="1">
      <x:c r="A5" s="30" t="str">
        <x:v>每 P DP 请求数</x:v>
      </x:c>
      <x:c r="B5" s="66" t="n">
        <x:v>16</x:v>
      </x:c>
      <x:c r="C5" s="30"/>
      <x:c r="D5" s="30"/>
      <x:c r="E5" s="79" t="str">
        <x:v>P deployment
count</x:v>
      </x:c>
      <x:c r="F5" s="66" t="n">
        <x:v>1</x:v>
      </x:c>
      <x:c r="G5" s="30"/>
      <x:c r="H5" s="30"/>
      <x:c r="I5" s="79" t="str">
        <x:v>D deployment
count</x:v>
      </x:c>
      <x:c r="J5" s="66" t="n">
        <x:v>1</x:v>
      </x:c>
      <x:c r="K5" s="30"/>
      <x:c r="L5" s="30"/>
      <x:c r="M5" s="30" t="str">
        <x:v>KV 带宽 GB/s</x:v>
      </x:c>
      <x:c r="N5" s="67" t="n">
        <x:v>4800</x:v>
      </x:c>
      <x:c r="O5" s="30"/>
      <x:c r="P5" s="30"/>
      <x:c r="Q5" s="30"/>
      <x:c r="R5" s="30"/>
      <x:c r="S5" s="30"/>
      <x:c r="T5" s="30"/>
      <x:c r="U5" s="30"/>
      <x:c r="V5" s="30"/>
      <x:c r="W5" s="30"/>
      <x:c r="X5" s="30"/>
    </x:row>
    <x:row r="6" ht="22" customHeight="1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</x:row>
    <x:row r="7" ht="22" customHeight="1">
      <x:c r="A7" s="30" t="str">
        <x:v>D tokens/DP/步</x:v>
      </x:c>
      <x:c r="B7" s="66" t="n">
        <x:v>128</x:v>
      </x:c>
      <x:c r="C7" s="30"/>
      <x:c r="D7" s="30"/>
      <x:c r="E7" s="30" t="str">
        <x:v>产出 tokens/步</x:v>
      </x:c>
      <x:c r="F7" s="67" t="n">
        <x:v>1</x:v>
      </x:c>
      <x:c r="G7" s="30"/>
      <x:c r="H7" s="30"/>
      <x:c r="I7" s="30" t="str">
        <x:v>窗口内带宽降幅</x:v>
      </x:c>
      <x:c r="J7" s="68" t="n">
        <x:v>0.1</x:v>
      </x:c>
      <x:c r="K7" s="30"/>
      <x:c r="L7" s="30"/>
      <x:c r="M7" s="30" t="str">
        <x:v>EP 带宽 GB/s</x:v>
      </x:c>
      <x:c r="N7" s="67" t="n">
        <x:v>4800</x:v>
      </x:c>
      <x:c r="O7" s="30"/>
      <x:c r="P7" s="30"/>
      <x:c r="Q7" s="30"/>
      <x:c r="R7" s="30"/>
      <x:c r="S7" s="30"/>
      <x:c r="T7" s="30"/>
      <x:c r="U7" s="30"/>
      <x:c r="V7" s="30"/>
      <x:c r="W7" s="30"/>
      <x:c r="X7" s="30"/>
    </x:row>
    <x:row r="8" ht="22" customHeight="1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</x:row>
    <x:row r="9" ht="34" customHeight="1">
      <x:c r="A9" s="79" t="str">
        <x:v>KV bursts
per interval</x:v>
      </x:c>
      <x:c r="B9" s="66" t="n">
        <x:v>1</x:v>
      </x:c>
      <x:c r="C9" s="30"/>
      <x:c r="D9" s="30"/>
      <x:c r="E9" s="79" t="str">
        <x:v>EP shared
resource fraction</x:v>
      </x:c>
      <x:c r="F9" s="68" t="n">
        <x:v>1</x:v>
      </x:c>
      <x:c r="G9" s="30"/>
      <x:c r="H9" s="30"/>
      <x:c r="I9" s="79" t="str">
        <x:v>EP exposed
comm fraction</x:v>
      </x:c>
      <x:c r="J9" s="68" t="n">
        <x:v>1</x:v>
      </x:c>
      <x:c r="K9" s="30"/>
      <x:c r="L9" s="30"/>
      <x:c r="M9" s="30" t="str">
        <x:v>KV block tokens</x:v>
      </x:c>
      <x:c r="N9" s="66" t="n">
        <x:v>128</x:v>
      </x:c>
      <x:c r="O9" s="30"/>
      <x:c r="P9" s="30"/>
      <x:c r="Q9" s="30"/>
      <x:c r="R9" s="30"/>
      <x:c r="S9" s="30"/>
      <x:c r="T9" s="30"/>
      <x:c r="U9" s="30"/>
      <x:c r="V9" s="30"/>
      <x:c r="W9" s="30"/>
      <x:c r="X9" s="30"/>
    </x:row>
    <x:row r="10" ht="22" customHeight="1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</x:row>
    <x:row r="11" ht="34" customHeight="1">
      <x:c r="A11" s="30" t="str">
        <x:v>Conv 额外 slots</x:v>
      </x:c>
      <x:c r="B11" s="66" t="n">
        <x:v>7</x:v>
      </x:c>
      <x:c r="C11" s="30"/>
      <x:c r="D11" s="30" t="str"/>
      <x:c r="E11" s="30" t="str">
        <x:v>TP 带宽 GB/s</x:v>
      </x:c>
      <x:c r="F11" s="83" t="n">
        <x:v>4800</x:v>
      </x:c>
      <x:c r="G11" s="30"/>
      <x:c r="H11" s="30"/>
      <x:c r="I11" s="79" t="str">
        <x:v>TP shared
resource fraction</x:v>
      </x:c>
      <x:c r="J11" s="85" t="n">
        <x:v>1</x:v>
      </x:c>
      <x:c r="K11" s="30"/>
      <x:c r="L11" s="30"/>
      <x:c r="M11" s="79" t="str">
        <x:v>TP exposed
comm fraction</x:v>
      </x:c>
      <x:c r="N11" s="85" t="n">
        <x:v>1</x:v>
      </x:c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</x:row>
    <x:row r="12" ht="22" customHeight="1">
      <x:c r="A12" s="30" t="str">
        <x:v>P = Prefill，D = Decode。通常只需修改带宽、请求数和 TTFT/TPOT；附加假设可保持默认。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</x:row>
    <x:row r="13" ht="22" customHeight="1">
      <x:c r="A13" s="30" t="str">
        <x:v>Total overhead 表示基线 60 秒工作量的额外耗时；TTFT 在这里作为 KV 批次到达间隔。</x:v>
      </x:c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</x:row>
    <x:row r="14" ht="42" customHeight="1">
      <x:c r="A14" s="73" t="str">
        <x:v>输入场景</x:v>
      </x:c>
      <x:c r="B14" s="73" t="str">
        <x:v>输入 tokens</x:v>
      </x:c>
      <x:c r="C14" s="73" t="str">
        <x:v>TTFT / 周期 s</x:v>
      </x:c>
      <x:c r="D14" s="73" t="str"/>
      <x:c r="E14" s="73" t="str">
        <x:v>TPOT 档位</x:v>
      </x:c>
      <x:c r="F14" s="73" t="str">
        <x:v>TPOT ms</x:v>
      </x:c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</x:row>
    <x:row r="15" ht="22" customHeight="1">
      <x:c r="A15" s="30" t="str">
        <x:v>16K</x:v>
      </x:c>
      <x:c r="B15" s="66" t="n">
        <x:v>16384</x:v>
      </x:c>
      <x:c r="C15" s="67" t="n">
        <x:v>4</x:v>
      </x:c>
      <x:c r="D15" s="30"/>
      <x:c r="E15" s="30" t="n">
        <x:v>1</x:v>
      </x:c>
      <x:c r="F15" s="67" t="n">
        <x:v>5</x:v>
      </x:c>
      <x:c r="G15" s="30"/>
      <x:c r="H15" s="104" t="str">
        <x:v>Default: P = D = 1; KV bursts = 1; shared / exposed fractions = 100%.</x:v>
      </x:c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30"/>
      <x:c r="W15" s="30"/>
      <x:c r="X15" s="30"/>
    </x:row>
    <x:row r="16" ht="22" customHeight="1">
      <x:c r="A16" s="30" t="str">
        <x:v>256K</x:v>
      </x:c>
      <x:c r="B16" s="66" t="n">
        <x:v>262144</x:v>
      </x:c>
      <x:c r="C16" s="67" t="n">
        <x:v>20</x:v>
      </x:c>
      <x:c r="D16" s="30"/>
      <x:c r="E16" s="30" t="n">
        <x:v>2</x:v>
      </x:c>
      <x:c r="F16" s="67" t="n">
        <x:v>10</x:v>
      </x:c>
      <x:c r="G16" s="30"/>
      <x:c r="H16" s="104" t="str">
        <x:v>Deployment count：完整 EP 部署的套数；EP32 每套 32 卡，EP256 每套 256 卡。</x:v>
      </x:c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30"/>
      <x:c r="W16" s="30"/>
      <x:c r="X16" s="30"/>
    </x:row>
    <x:row r="17" ht="22" customHeight="1">
      <x:c r="A17" s="30" t="str">
        <x:v>1M</x:v>
      </x:c>
      <x:c r="B17" s="66" t="n">
        <x:v>1048576</x:v>
      </x:c>
      <x:c r="C17" s="67" t="n">
        <x:v>60</x:v>
      </x:c>
      <x:c r="D17" s="30"/>
      <x:c r="E17" s="30" t="n">
        <x:v>3</x:v>
      </x:c>
      <x:c r="F17" s="67" t="n">
        <x:v>20</x:v>
      </x:c>
      <x:c r="G17" s="30"/>
      <x:c r="H17" s="104" t="str">
        <x:v>Shared resource fraction：通信中与 KV 竞争同一资源的比例。100% = 全部；0% = 资源独立。</x:v>
      </x:c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30"/>
      <x:c r="W17" s="30"/>
      <x:c r="X17" s="30"/>
    </x:row>
    <x:row r="18" ht="22" customHeight="1">
      <x:c r="A18" s="30"/>
      <x:c r="B18" s="30"/>
      <x:c r="C18" s="30"/>
      <x:c r="D18" s="30"/>
      <x:c r="E18" s="30" t="n">
        <x:v>4</x:v>
      </x:c>
      <x:c r="F18" s="67" t="n">
        <x:v>30</x:v>
      </x:c>
      <x:c r="G18" s="30"/>
      <x:c r="H18" s="104" t="str">
        <x:v>Exposed communication fraction：通信增时最终计入 forward 的比例；被计算遮住的部分不计入。</x:v>
      </x:c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30"/>
      <x:c r="W18" s="30"/>
      <x:c r="X18" s="30"/>
    </x:row>
    <x:row r="19" ht="22" customHeight="1">
      <x:c r="A19" s="30"/>
      <x:c r="B19" s="30"/>
      <x:c r="C19" s="30"/>
      <x:c r="D19" s="30"/>
      <x:c r="E19" s="30"/>
      <x:c r="F19" s="30"/>
      <x:c r="G19" s="30"/>
      <x:c r="H19" s="104" t="str">
        <x:v>KV bursts per interval：一批 KV 均分成 m 次、等间隔发送；m = 2 时每次一半，总量不变。</x:v>
      </x:c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30"/>
      <x:c r="W19" s="30"/>
      <x:c r="X19" s="30"/>
    </x:row>
    <x:row r="20" ht="22" customHeight="1">
      <x:c r="A20" s="30"/>
      <x:c r="B20" s="30"/>
      <x:c r="C20" s="30"/>
      <x:c r="D20" s="30"/>
      <x:c r="E20" s="30"/>
      <x:c r="F20" s="30"/>
      <x:c r="G20" s="30"/>
      <x:c r="H20" s="104" t="str">
        <x:v>Temporal overlap 由 KV 窗口自动计算；没有 profiling 时，不必另猜 shared / exposed 两个比例。</x:v>
      </x:c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30"/>
      <x:c r="W20" s="30"/>
      <x:c r="X20" s="30"/>
    </x:row>
    <x:row r="21" ht="22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</x:row>
    <x:row r="22" ht="42" customHeight="1">
      <x:c r="A22" s="73" t="str">
        <x:v>模型</x:v>
      </x:c>
      <x:c r="B22" s="73" t="str">
        <x:v>EP</x:v>
      </x:c>
      <x:c r="C22" s="73" t="str">
        <x:v>P TP</x:v>
      </x:c>
      <x:c r="D22" s="73" t="str">
        <x:v>D TP</x:v>
      </x:c>
      <x:c r="E22" s="73" t="str">
        <x:v>MoE 层数</x:v>
      </x:c>
      <x:c r="F22" s="73" t="str">
        <x:v>Hidden</x:v>
      </x:c>
      <x:c r="G22" s="73" t="str">
        <x:v>TopK</x:v>
      </x:c>
      <x:c r="H22" s="73" t="str">
        <x:v>逻辑专家数</x:v>
      </x:c>
      <x:c r="I22" s="73" t="str">
        <x:v>EP GB/s 输入</x:v>
      </x:c>
      <x:c r="J22" s="73" t="str">
        <x:v>KV GB/s 输入</x:v>
      </x:c>
      <x:c r="K22" s="73" t="str">
        <x:v>D tokens/DP/步</x:v>
      </x:c>
      <x:c r="L22" s="73" t="str">
        <x:v>产出 tokens/步</x:v>
      </x:c>
      <x:c r="M22" s="18" t="str">
        <x:v>EP shared
resource fraction</x:v>
      </x:c>
      <x:c r="N22" s="18" t="str">
        <x:v>EP exposed
comm fraction</x:v>
      </x:c>
      <x:c r="O22" s="73" t="str">
        <x:v>配置条件</x:v>
      </x:c>
      <x:c r="P22" s="90" t="str">
        <x:v>TP GB/s 输入</x:v>
      </x:c>
      <x:c r="Q22" s="90" t="str">
        <x:v>TP shared
resource fraction</x:v>
      </x:c>
      <x:c r="R22" s="90" t="str">
        <x:v>TP exposed
comm fraction</x:v>
      </x:c>
      <x:c r="S22" s="90" t="str">
        <x:v>Attention 层数</x:v>
      </x:c>
      <x:c r="T22" s="90" t="str">
        <x:v>Dense 层数</x:v>
      </x:c>
      <x:c r="U22" s="90" t="str">
        <x:v>共享专家 TP 层数</x:v>
      </x:c>
      <x:c r="V22" s="30"/>
      <x:c r="W22" s="30"/>
      <x:c r="X22" s="30"/>
    </x:row>
    <x:row r="23" ht="22" customHeight="1">
      <x:c r="A23" s="30" t="str">
        <x:v>KimiK3</x:v>
      </x:c>
      <x:c r="B23" s="30" t="n">
        <x:v>32</x:v>
      </x:c>
      <x:c r="C23" s="30" t="n">
        <x:v>8</x:v>
      </x:c>
      <x:c r="D23" s="30" t="n">
        <x:v>8</x:v>
      </x:c>
      <x:c r="E23" s="30" t="n">
        <x:v>92</x:v>
      </x:c>
      <x:c r="F23" s="30" t="n">
        <x:v>7168</x:v>
      </x:c>
      <x:c r="G23" s="30" t="n">
        <x:v>16</x:v>
      </x:c>
      <x:c r="H23" s="30" t="n">
        <x:v>896</x:v>
      </x:c>
      <x:c r="I23" s="65" t="n">
        <x:f>$N$7</x:f>
        <x:v>4800</x:v>
      </x:c>
      <x:c r="J23" s="65" t="n">
        <x:f>$N$5</x:f>
        <x:v>4800</x:v>
      </x:c>
      <x:c r="K23" s="65" t="n">
        <x:f>$B$7</x:f>
        <x:v>128</x:v>
      </x:c>
      <x:c r="L23" s="65" t="n">
        <x:f>$F$7</x:f>
        <x:v>1</x:v>
      </x:c>
      <x:c r="M23" s="68" t="n">
        <x:f>$F$9</x:f>
        <x:v>1</x:v>
      </x:c>
      <x:c r="N23" s="68" t="n">
        <x:f>$J$9</x:f>
        <x:v>1</x:v>
      </x:c>
      <x:c r="O23" s="30" t="str">
        <x:v>运行未验证</x:v>
      </x:c>
      <x:c r="P23" s="98" t="n">
        <x:f>$F$11</x:f>
        <x:v>4800</x:v>
      </x:c>
      <x:c r="Q23" s="99" t="n">
        <x:f>$J$11</x:f>
        <x:v>1</x:v>
      </x:c>
      <x:c r="R23" s="99" t="n">
        <x:f>$N$11</x:f>
        <x:v>1</x:v>
      </x:c>
      <x:c r="S23" s="100" t="n">
        <x:v>93</x:v>
      </x:c>
      <x:c r="T23" s="100" t="n">
        <x:v>1</x:v>
      </x:c>
      <x:c r="U23" s="100" t="n">
        <x:v>92</x:v>
      </x:c>
      <x:c r="V23" s="30"/>
      <x:c r="W23" s="30"/>
      <x:c r="X23" s="30"/>
    </x:row>
    <x:row r="24" ht="22" customHeight="1">
      <x:c r="A24" s="30" t="str">
        <x:v>KimiK3</x:v>
      </x:c>
      <x:c r="B24" s="30" t="n">
        <x:v>256</x:v>
      </x:c>
      <x:c r="C24" s="30" t="n">
        <x:v>8</x:v>
      </x:c>
      <x:c r="D24" s="30" t="n">
        <x:v>8</x:v>
      </x:c>
      <x:c r="E24" s="30" t="n">
        <x:v>92</x:v>
      </x:c>
      <x:c r="F24" s="30" t="n">
        <x:v>7168</x:v>
      </x:c>
      <x:c r="G24" s="30" t="n">
        <x:v>16</x:v>
      </x:c>
      <x:c r="H24" s="30" t="n">
        <x:v>896</x:v>
      </x:c>
      <x:c r="I24" s="65" t="n">
        <x:f>$N$7</x:f>
        <x:v>4800</x:v>
      </x:c>
      <x:c r="J24" s="65" t="n">
        <x:f>$N$5</x:f>
        <x:v>4800</x:v>
      </x:c>
      <x:c r="K24" s="65" t="n">
        <x:f>$B$7</x:f>
        <x:v>128</x:v>
      </x:c>
      <x:c r="L24" s="65" t="n">
        <x:f>$F$7</x:f>
        <x:v>1</x:v>
      </x:c>
      <x:c r="M24" s="68" t="n">
        <x:f>$F$9</x:f>
        <x:v>1</x:v>
      </x:c>
      <x:c r="N24" s="68" t="n">
        <x:f>$J$9</x:f>
        <x:v>1</x:v>
      </x:c>
      <x:c r="O24" s="30" t="str">
        <x:v>需 128 个冗余专家槽</x:v>
      </x:c>
      <x:c r="P24" s="98" t="n">
        <x:f>$F$11</x:f>
        <x:v>4800</x:v>
      </x:c>
      <x:c r="Q24" s="99" t="n">
        <x:f>$J$11</x:f>
        <x:v>1</x:v>
      </x:c>
      <x:c r="R24" s="99" t="n">
        <x:f>$N$11</x:f>
        <x:v>1</x:v>
      </x:c>
      <x:c r="S24" s="100" t="n">
        <x:v>93</x:v>
      </x:c>
      <x:c r="T24" s="100" t="n">
        <x:v>1</x:v>
      </x:c>
      <x:c r="U24" s="100" t="n">
        <x:v>92</x:v>
      </x:c>
      <x:c r="V24" s="30"/>
      <x:c r="W24" s="30"/>
      <x:c r="X24" s="30"/>
    </x:row>
    <x:row r="25" ht="22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</x:row>
    <x:row r="26" ht="22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</x:row>
    <x:row r="27" ht="22" customHeight="1">
      <x:c r="A27" s="40" t="str">
        <x:v>TPOT × 输入场景 × EP：稳态每分钟结果</x:v>
      </x:c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</x:row>
    <x:row r="28" ht="22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</x:row>
    <x:row r="29" ht="42" customHeight="1">
      <x:c r="A29" s="73" t="str">
        <x:v>模型</x:v>
      </x:c>
      <x:c r="B29" s="73" t="str">
        <x:v>EP</x:v>
      </x:c>
      <x:c r="C29" s="73" t="str">
        <x:v>输入 tokens</x:v>
      </x:c>
      <x:c r="D29" s="73" t="str">
        <x:v>周期 s</x:v>
      </x:c>
      <x:c r="E29" s="73" t="str">
        <x:v>TPOT ms</x:v>
      </x:c>
      <x:c r="F29" s="73" t="str">
        <x:v>KV 窗口 次/min</x:v>
      </x:c>
      <x:c r="G29" s="73" t="str">
        <x:v>KV 窗口 ms/次</x:v>
      </x:c>
      <x:c r="H29" s="73" t="str">
        <x:v>EP+TP 重叠 FW/min</x:v>
      </x:c>
      <x:c r="I29" s="73" t="str">
        <x:v>全通信 FW/min</x:v>
      </x:c>
      <x:c r="J29" s="73" t="str">
        <x:v>部分通信 FW/min</x:v>
      </x:c>
      <x:c r="K29" s="73" t="str">
        <x:v>重叠层段 次/min</x:v>
      </x:c>
      <x:c r="L29" s="18" t="str">
        <x:v>Total overhead
ms/60s</x:v>
      </x:c>
      <x:c r="M29" s="73" t="str">
        <x:v>平均 TPOT 增量 μs</x:v>
      </x:c>
      <x:c r="N29" s="73" t="str">
        <x:v>TPOT 增幅 ppm</x:v>
      </x:c>
      <x:c r="O29" s="73" t="str">
        <x:v>结果条件</x:v>
      </x:c>
      <x:c r="P29" s="73" t="str">
        <x:v>最低 EP GB/s（扣 TP）</x:v>
      </x:c>
      <x:c r="Q29" s="90" t="str">
        <x:v>TP GB/Rank/步</x:v>
      </x:c>
      <x:c r="R29" s="90" t="str">
        <x:v>TP 带宽项 ms</x:v>
      </x:c>
      <x:c r="S29" s="90" t="str">
        <x:v>EP overhead
ms/60s</x:v>
      </x:c>
      <x:c r="T29" s="90" t="str">
        <x:v>TP overhead
ms/60s</x:v>
      </x:c>
      <x:c r="U29" s="111" t="str">
        <x:v>Decode throughput
loss (%)</x:v>
      </x:c>
      <x:c r="V29" s="30"/>
      <x:c r="W29" s="30"/>
      <x:c r="X29" s="30"/>
    </x:row>
    <x:row r="30" ht="22" customHeight="1">
      <x:c r="A30" s="30" t="str">
        <x:f>A23</x:f>
        <x:v>KimiK3</x:v>
      </x:c>
      <x:c r="B30" s="30" t="n">
        <x:f>B23</x:f>
        <x:v>32</x:v>
      </x:c>
      <x:c r="C30" s="74" t="n">
        <x:f>$B$15</x:f>
        <x:v>16384</x:v>
      </x:c>
      <x:c r="D30" s="30" t="n">
        <x:f>$C$15</x:f>
        <x:v>4</x:v>
      </x:c>
      <x:c r="E30" s="30" t="n">
        <x:f>$F$15</x:f>
        <x:v>5</x:v>
      </x:c>
      <x:c r="F30" s="75" t="n">
        <x:f>IF(A60,60000/L60,"")</x:f>
        <x:v>15</x:v>
      </x:c>
      <x:c r="G30" s="75" t="n">
        <x:f>K60</x:f>
        <x:v>1.7120256</x:v>
      </x:c>
      <x:c r="H30" s="75" t="n">
        <x:f>IF(W60="",U60*R60,"")</x:f>
        <x:v>19.981739217390437</x:v>
      </x:c>
      <x:c r="I30" s="75" t="n">
        <x:f>IF(W60="",U60*S60,"")</x:f>
        <x:v>0</x:v>
      </x:c>
      <x:c r="J30" s="75" t="n">
        <x:f>IF(W60="",U60*MAX(0,R60-S60),"")</x:f>
        <x:v>19.981739217390437</x:v>
      </x:c>
      <x:c r="K30" s="75" t="n">
        <x:f>IF(W60="",IF(OR(AK60=0,K60=0),0,U60*E23*MIN(1,(K60+AL60)/L60)),"")</x:f>
        <x:v>473.32000800000003</x:v>
      </x:c>
      <x:c r="L30" s="34" t="n">
        <x:f>IF(W60="",V60,"")</x:f>
        <x:v>0.15235211958680156</x:v>
      </x:c>
      <x:c r="M30" s="34" t="n">
        <x:f>IF(W60="",E30*V60/60,"")</x:f>
        <x:v>0.012696009965566798</x:v>
      </x:c>
      <x:c r="N30" s="34" t="n">
        <x:f>IF(W60="",V60/60000*1e6,"")</x:f>
        <x:v>2.5392019931133594</x:v>
      </x:c>
      <x:c r="O30" s="30" t="str">
        <x:f>IF(W60="","",W60)</x:f>
      </x:c>
      <x:c r="P30" s="49" t="n">
        <x:f>Q60</x:f>
        <x:v>139.66137001168445</x:v>
      </x:c>
      <x:c r="Q30" s="102" t="n">
        <x:f>AE60</x:f>
        <x:v>0.6006784</x:v>
      </x:c>
      <x:c r="R30" s="102" t="n">
        <x:f>AF60</x:f>
        <x:v>0.1251413333333333</x:v>
      </x:c>
      <x:c r="S30" s="102" t="n">
        <x:f>IF(W60="",AI60,"")</x:f>
        <x:v>0.08094021640356477</x:v>
      </x:c>
      <x:c r="T30" s="102" t="n">
        <x:f>IF(W60="",AJ60,"")</x:f>
        <x:v>0.07141190318323679</x:v>
      </x:c>
      <x:c r="U30" s="112" t="n">
        <x:f>IF(ISNUMBER(L30),L30/(60000+L30),IF(L30="","",L30))</x:f>
        <x:v>0.000002539195545582969</x:v>
      </x:c>
      <x:c r="V30" s="30"/>
      <x:c r="W30" s="30"/>
      <x:c r="X30" s="30"/>
    </x:row>
    <x:row r="31" ht="22" customHeight="1">
      <x:c r="A31" s="30" t="str">
        <x:f>A23</x:f>
        <x:v>KimiK3</x:v>
      </x:c>
      <x:c r="B31" s="30" t="n">
        <x:f>B23</x:f>
        <x:v>32</x:v>
      </x:c>
      <x:c r="C31" s="74" t="n">
        <x:f>$B$15</x:f>
        <x:v>16384</x:v>
      </x:c>
      <x:c r="D31" s="30" t="n">
        <x:f>$C$15</x:f>
        <x:v>4</x:v>
      </x:c>
      <x:c r="E31" s="30" t="n">
        <x:f>$F$16</x:f>
        <x:v>10</x:v>
      </x:c>
      <x:c r="F31" s="75" t="n">
        <x:f>IF(A61,60000/L61,"")</x:f>
        <x:v>15</x:v>
      </x:c>
      <x:c r="G31" s="75" t="n">
        <x:f>K61</x:f>
        <x:v>1.7120256</x:v>
      </x:c>
      <x:c r="H31" s="75" t="n">
        <x:f>IF(W61="",U61*R61,"")</x:f>
        <x:v>17.40934786956516</x:v>
      </x:c>
      <x:c r="I31" s="75" t="n">
        <x:f>IF(W61="",U61*S61,"")</x:f>
        <x:v>0</x:v>
      </x:c>
      <x:c r="J31" s="75" t="n">
        <x:f>IF(W61="",U61*MAX(0,R61-S61),"")</x:f>
        <x:v>17.40934786956516</x:v>
      </x:c>
      <x:c r="K31" s="75" t="n">
        <x:f>IF(W61="",IF(OR(AK61=0,K61=0),0,U61*E23*MIN(1,(K61+AL61)/L61)),"")</x:f>
        <x:v>236.66000400000001</x:v>
      </x:c>
      <x:c r="L31" s="34" t="n">
        <x:f>IF(W61="",V61,"")</x:f>
        <x:v>0.07617605979340078</x:v>
      </x:c>
      <x:c r="M31" s="34" t="n">
        <x:f>IF(W61="",E31*V61/60,"")</x:f>
        <x:v>0.012696009965566798</x:v>
      </x:c>
      <x:c r="N31" s="34" t="n">
        <x:f>IF(W61="",V61/60000*1e6,"")</x:f>
        <x:v>1.2696009965566797</x:v>
      </x:c>
      <x:c r="O31" s="30" t="str">
        <x:f>IF(W61="","",W61)</x:f>
      </x:c>
      <x:c r="P31" s="49" t="n">
        <x:f>Q61</x:f>
        <x:v>68.94574018544603</x:v>
      </x:c>
      <x:c r="Q31" s="102" t="n">
        <x:f>AE61</x:f>
        <x:v>0.6006784</x:v>
      </x:c>
      <x:c r="R31" s="102" t="n">
        <x:f>AF61</x:f>
        <x:v>0.1251413333333333</x:v>
      </x:c>
      <x:c r="S31" s="102" t="n">
        <x:f>IF(W61="",AI61,"")</x:f>
        <x:v>0.04047010820178239</x:v>
      </x:c>
      <x:c r="T31" s="102" t="n">
        <x:f>IF(W61="",AJ61,"")</x:f>
        <x:v>0.03570595159161839</x:v>
      </x:c>
      <x:c r="U31" s="112" t="n">
        <x:f>IF(ISNUMBER(L31),L31/(60000+L31),IF(L31="","",L31))</x:f>
        <x:v>0.0000012695993846720357</x:v>
      </x:c>
      <x:c r="V31" s="30"/>
      <x:c r="W31" s="30"/>
      <x:c r="X31" s="30"/>
    </x:row>
    <x:row r="32" ht="22" customHeight="1">
      <x:c r="A32" s="30" t="str">
        <x:f>A23</x:f>
        <x:v>KimiK3</x:v>
      </x:c>
      <x:c r="B32" s="30" t="n">
        <x:f>B23</x:f>
        <x:v>32</x:v>
      </x:c>
      <x:c r="C32" s="74" t="n">
        <x:f>$B$15</x:f>
        <x:v>16384</x:v>
      </x:c>
      <x:c r="D32" s="30" t="n">
        <x:f>$C$15</x:f>
        <x:v>4</x:v>
      </x:c>
      <x:c r="E32" s="30" t="n">
        <x:f>$F$17</x:f>
        <x:v>20</x:v>
      </x:c>
      <x:c r="F32" s="75" t="n">
        <x:f>IF(A62,60000/L62,"")</x:f>
        <x:v>15</x:v>
      </x:c>
      <x:c r="G32" s="75" t="n">
        <x:f>K62</x:f>
        <x:v>1.7120256</x:v>
      </x:c>
      <x:c r="H32" s="75" t="n">
        <x:f>IF(W62="",U62*R62,"")</x:f>
        <x:v>16.12315219565186</x:v>
      </x:c>
      <x:c r="I32" s="75" t="n">
        <x:f>IF(W62="",U62*S62,"")</x:f>
        <x:v>0</x:v>
      </x:c>
      <x:c r="J32" s="75" t="n">
        <x:f>IF(W62="",U62*MAX(0,R62-S62),"")</x:f>
        <x:v>16.12315219565186</x:v>
      </x:c>
      <x:c r="K32" s="75" t="n">
        <x:f>IF(W62="",IF(OR(AK62=0,K62=0),0,U62*E23*MIN(1,(K62+AL62)/L62)),"")</x:f>
        <x:v>118.33000200000001</x:v>
      </x:c>
      <x:c r="L32" s="34" t="n">
        <x:f>IF(W62="",V62,"")</x:f>
        <x:v>0.03808802989670039</x:v>
      </x:c>
      <x:c r="M32" s="34" t="n">
        <x:f>IF(W62="",E32*V62/60,"")</x:f>
        <x:v>0.012696009965566798</x:v>
      </x:c>
      <x:c r="N32" s="34" t="n">
        <x:f>IF(W62="",V62/60000*1e6,"")</x:f>
        <x:v>0.6348004982783398</x:v>
      </x:c>
      <x:c r="O32" s="30" t="str">
        <x:f>IF(W62="","",W62)</x:f>
      </x:c>
      <x:c r="P32" s="49" t="n">
        <x:f>Q62</x:f>
        <x:v>34.25581290506786</x:v>
      </x:c>
      <x:c r="Q32" s="102" t="n">
        <x:f>AE62</x:f>
        <x:v>0.6006784</x:v>
      </x:c>
      <x:c r="R32" s="102" t="n">
        <x:f>AF62</x:f>
        <x:v>0.1251413333333333</x:v>
      </x:c>
      <x:c r="S32" s="102" t="n">
        <x:f>IF(W62="",AI62,"")</x:f>
        <x:v>0.020235054100891194</x:v>
      </x:c>
      <x:c r="T32" s="102" t="n">
        <x:f>IF(W62="",AJ62,"")</x:f>
        <x:v>0.017852975795809196</x:v>
      </x:c>
      <x:c r="U32" s="112" t="n">
        <x:f>IF(ISNUMBER(L32),L32/(60000+L32),IF(L32="","",L32))</x:f>
        <x:v>6.34800095306923e-7</x:v>
      </x:c>
      <x:c r="V32" s="30"/>
      <x:c r="W32" s="30"/>
      <x:c r="X32" s="30"/>
    </x:row>
    <x:row r="33" ht="22" customHeight="1">
      <x:c r="A33" s="30" t="str">
        <x:f>A23</x:f>
        <x:v>KimiK3</x:v>
      </x:c>
      <x:c r="B33" s="30" t="n">
        <x:f>B23</x:f>
        <x:v>32</x:v>
      </x:c>
      <x:c r="C33" s="74" t="n">
        <x:f>$B$15</x:f>
        <x:v>16384</x:v>
      </x:c>
      <x:c r="D33" s="30" t="n">
        <x:f>$C$15</x:f>
        <x:v>4</x:v>
      </x:c>
      <x:c r="E33" s="30" t="n">
        <x:f>$F$18</x:f>
        <x:v>30</x:v>
      </x:c>
      <x:c r="F33" s="75" t="n">
        <x:f>IF(A63,60000/L63,"")</x:f>
        <x:v>15</x:v>
      </x:c>
      <x:c r="G33" s="75" t="n">
        <x:f>K63</x:f>
        <x:v>1.7120256</x:v>
      </x:c>
      <x:c r="H33" s="75" t="n">
        <x:f>IF(W63="",U63*R63,"")</x:f>
        <x:v>15.694420304347645</x:v>
      </x:c>
      <x:c r="I33" s="75" t="n">
        <x:f>IF(W63="",U63*S63,"")</x:f>
        <x:v>0</x:v>
      </x:c>
      <x:c r="J33" s="75" t="n">
        <x:f>IF(W63="",U63*MAX(0,R63-S63),"")</x:f>
        <x:v>15.694420304347645</x:v>
      </x:c>
      <x:c r="K33" s="75" t="n">
        <x:f>IF(W63="",IF(OR(AK63=0,K63=0),0,U63*E23*MIN(1,(K63+AL63)/L63)),"")</x:f>
        <x:v>78.886668</x:v>
      </x:c>
      <x:c r="L33" s="34" t="n">
        <x:f>IF(W63="",V63,"")</x:f>
        <x:v>0.025392019931133596</x:v>
      </x:c>
      <x:c r="M33" s="34" t="n">
        <x:f>IF(W63="",E33*V63/60,"")</x:f>
        <x:v>0.012696009965566798</x:v>
      </x:c>
      <x:c r="N33" s="34" t="n">
        <x:f>IF(W63="",V63/60000*1e6,"")</x:f>
        <x:v>0.42320033218555997</x:v>
      </x:c>
      <x:c r="O33" s="30" t="str">
        <x:f>IF(W63="","",W63)</x:f>
      </x:c>
      <x:c r="P33" s="49" t="n">
        <x:f>Q63</x:f>
        <x:v>22.789377770668615</x:v>
      </x:c>
      <x:c r="Q33" s="102" t="n">
        <x:f>AE63</x:f>
        <x:v>0.6006784</x:v>
      </x:c>
      <x:c r="R33" s="102" t="n">
        <x:f>AF63</x:f>
        <x:v>0.1251413333333333</x:v>
      </x:c>
      <x:c r="S33" s="102" t="n">
        <x:f>IF(W63="",AI63,"")</x:f>
        <x:v>0.013490036067260796</x:v>
      </x:c>
      <x:c r="T33" s="102" t="n">
        <x:f>IF(W63="",AJ63,"")</x:f>
        <x:v>0.011901983863872798</x:v>
      </x:c>
      <x:c r="U33" s="112" t="n">
        <x:f>IF(ISNUMBER(L33),L33/(60000+L33),IF(L33="","",L33))</x:f>
        <x:v>4.2320015308711454e-7</x:v>
      </x:c>
      <x:c r="V33" s="30"/>
      <x:c r="W33" s="30"/>
      <x:c r="X33" s="30"/>
    </x:row>
    <x:row r="34" ht="22" customHeight="1">
      <x:c r="A34" s="30" t="str">
        <x:f>A23</x:f>
        <x:v>KimiK3</x:v>
      </x:c>
      <x:c r="B34" s="30" t="n">
        <x:f>B23</x:f>
        <x:v>32</x:v>
      </x:c>
      <x:c r="C34" s="74" t="n">
        <x:f>$B$16</x:f>
        <x:v>262144</x:v>
      </x:c>
      <x:c r="D34" s="30" t="n">
        <x:f>$C$16</x:f>
        <x:v>20</x:v>
      </x:c>
      <x:c r="E34" s="30" t="n">
        <x:f>$F$15</x:f>
        <x:v>5</x:v>
      </x:c>
      <x:c r="F34" s="75" t="n">
        <x:f>IF(A64,60000/L64,"")</x:f>
        <x:v>3</x:v>
      </x:c>
      <x:c r="G34" s="75" t="n">
        <x:f>K64</x:f>
        <x:v>24.3612672</x:v>
      </x:c>
      <x:c r="H34" s="75" t="n">
        <x:f>IF(W64="",U64*R64,"")</x:f>
        <x:v>17.58589280347911</x:v>
      </x:c>
      <x:c r="I34" s="75" t="n">
        <x:f>IF(W64="",U64*S64,"")</x:f>
        <x:v>11.647627836522734</x:v>
      </x:c>
      <x:c r="J34" s="75" t="n">
        <x:f>IF(W64="",U64*MAX(0,R64-S64),"")</x:f>
        <x:v>5.938264966956375</x:v>
      </x:c>
      <x:c r="K34" s="75" t="n">
        <x:f>IF(W64="",IF(OR(AK64=0,K64=0),0,U64*E23*MIN(1,(K64+AL64)/L64)),"")</x:f>
        <x:v>1344.9021379199999</x:v>
      </x:c>
      <x:c r="L34" s="34" t="n">
        <x:f>IF(W64="",V64,"")</x:f>
        <x:v>0.43359793336811225</x:v>
      </x:c>
      <x:c r="M34" s="34" t="n">
        <x:f>IF(W64="",E34*V64/60,"")</x:f>
        <x:v>0.036133161114009354</x:v>
      </x:c>
      <x:c r="N34" s="34" t="n">
        <x:f>IF(W64="",V64/60000*1e6,"")</x:f>
        <x:v>7.226632222801871</x:v>
      </x:c>
      <x:c r="O34" s="30" t="str">
        <x:f>IF(W64="","",W64)</x:f>
      </x:c>
      <x:c r="P34" s="49" t="n">
        <x:f>Q64</x:f>
        <x:v>139.66137001168445</x:v>
      </x:c>
      <x:c r="Q34" s="102" t="n">
        <x:f>AE64</x:f>
        <x:v>0.6006784</x:v>
      </x:c>
      <x:c r="R34" s="102" t="n">
        <x:f>AF64</x:f>
        <x:v>0.1251413333333333</x:v>
      </x:c>
      <x:c r="S34" s="102" t="n">
        <x:f>IF(W64="",AI64,"")</x:f>
        <x:v>0.23035846654394496</x:v>
      </x:c>
      <x:c r="T34" s="102" t="n">
        <x:f>IF(W64="",AJ64,"")</x:f>
        <x:v>0.20323946682416733</x:v>
      </x:c>
      <x:c r="U34" s="112" t="n">
        <x:f>IF(ISNUMBER(L34),L34/(60000+L34),IF(L34="","",L34))</x:f>
        <x:v>0.0000072265799989659895</x:v>
      </x:c>
      <x:c r="V34" s="30"/>
      <x:c r="W34" s="30"/>
      <x:c r="X34" s="30"/>
    </x:row>
    <x:row r="35" ht="22" customHeight="1">
      <x:c r="A35" s="30" t="str">
        <x:f>A23</x:f>
        <x:v>KimiK3</x:v>
      </x:c>
      <x:c r="B35" s="30" t="n">
        <x:f>B23</x:f>
        <x:v>32</x:v>
      </x:c>
      <x:c r="C35" s="74" t="n">
        <x:f>$B$16</x:f>
        <x:v>262144</x:v>
      </x:c>
      <x:c r="D35" s="30" t="n">
        <x:f>$C$16</x:f>
        <x:v>20</x:v>
      </x:c>
      <x:c r="E35" s="30" t="n">
        <x:f>$F$16</x:f>
        <x:v>10</x:v>
      </x:c>
      <x:c r="F35" s="75" t="n">
        <x:f>IF(A65,60000/L65,"")</x:f>
        <x:v>3</x:v>
      </x:c>
      <x:c r="G35" s="75" t="n">
        <x:f>K65</x:f>
        <x:v>24.3612672</x:v>
      </x:c>
      <x:c r="H35" s="75" t="n">
        <x:f>IF(W65="",U65*R65,"")</x:f>
        <x:v>10.276642053914209</x:v>
      </x:c>
      <x:c r="I35" s="75" t="n">
        <x:f>IF(W65="",U65*S65,"")</x:f>
        <x:v>4.340118266086712</x:v>
      </x:c>
      <x:c r="J35" s="75" t="n">
        <x:f>IF(W65="",U65*MAX(0,R65-S65),"")</x:f>
        <x:v>5.936523787827497</x:v>
      </x:c>
      <x:c r="K35" s="75" t="n">
        <x:f>IF(W65="",IF(OR(AK65=0,K65=0),0,U65*E23*MIN(1,(K65+AL65)/L65)),"")</x:f>
        <x:v>672.4510689599999</x:v>
      </x:c>
      <x:c r="L35" s="34" t="n">
        <x:f>IF(W65="",V65,"")</x:f>
        <x:v>0.21679896668405613</x:v>
      </x:c>
      <x:c r="M35" s="34" t="n">
        <x:f>IF(W65="",E35*V65/60,"")</x:f>
        <x:v>0.036133161114009354</x:v>
      </x:c>
      <x:c r="N35" s="34" t="n">
        <x:f>IF(W65="",V65/60000*1e6,"")</x:f>
        <x:v>3.6133161114009353</x:v>
      </x:c>
      <x:c r="O35" s="30" t="str">
        <x:f>IF(W65="","",W65)</x:f>
      </x:c>
      <x:c r="P35" s="49" t="n">
        <x:f>Q65</x:f>
        <x:v>68.94574018544603</x:v>
      </x:c>
      <x:c r="Q35" s="102" t="n">
        <x:f>AE65</x:f>
        <x:v>0.6006784</x:v>
      </x:c>
      <x:c r="R35" s="102" t="n">
        <x:f>AF65</x:f>
        <x:v>0.1251413333333333</x:v>
      </x:c>
      <x:c r="S35" s="102" t="n">
        <x:f>IF(W65="",AI65,"")</x:f>
        <x:v>0.11517923327197248</x:v>
      </x:c>
      <x:c r="T35" s="102" t="n">
        <x:f>IF(W65="",AJ65,"")</x:f>
        <x:v>0.10161973341208366</x:v>
      </x:c>
      <x:c r="U35" s="112" t="n">
        <x:f>IF(ISNUMBER(L35),L35/(60000+L35),IF(L35="","",L35))</x:f>
        <x:v>0.00000361330305539479</x:v>
      </x:c>
      <x:c r="V35" s="30"/>
      <x:c r="W35" s="30"/>
      <x:c r="X35" s="30"/>
    </x:row>
    <x:row r="36" ht="22" customHeight="1">
      <x:c r="A36" s="30" t="str">
        <x:f>A23</x:f>
        <x:v>KimiK3</x:v>
      </x:c>
      <x:c r="B36" s="30" t="n">
        <x:f>B23</x:f>
        <x:v>32</x:v>
      </x:c>
      <x:c r="C36" s="74" t="n">
        <x:f>$B$16</x:f>
        <x:v>262144</x:v>
      </x:c>
      <x:c r="D36" s="30" t="n">
        <x:f>$C$16</x:f>
        <x:v>20</x:v>
      </x:c>
      <x:c r="E36" s="30" t="n">
        <x:f>$F$17</x:f>
        <x:v>20</x:v>
      </x:c>
      <x:c r="F36" s="75" t="n">
        <x:f>IF(A66,60000/L66,"")</x:f>
        <x:v>3</x:v>
      </x:c>
      <x:c r="G36" s="75" t="n">
        <x:f>K66</x:f>
        <x:v>24.3612672</x:v>
      </x:c>
      <x:c r="H36" s="75" t="n">
        <x:f>IF(W66="",U66*R66,"")</x:f>
        <x:v>6.62201667913076</x:v>
      </x:c>
      <x:c r="I36" s="75" t="n">
        <x:f>IF(W66="",U66*S66,"")</x:f>
        <x:v>0.6863634808697006</x:v>
      </x:c>
      <x:c r="J36" s="75" t="n">
        <x:f>IF(W66="",U66*MAX(0,R66-S66),"")</x:f>
        <x:v>5.935653198261059</x:v>
      </x:c>
      <x:c r="K36" s="75" t="n">
        <x:f>IF(W66="",IF(OR(AK66=0,K66=0),0,U66*E23*MIN(1,(K66+AL66)/L66)),"")</x:f>
        <x:v>336.22553447999996</x:v>
      </x:c>
      <x:c r="L36" s="34" t="n">
        <x:f>IF(W66="",V66,"")</x:f>
        <x:v>0.10839948334202806</x:v>
      </x:c>
      <x:c r="M36" s="34" t="n">
        <x:f>IF(W66="",E36*V66/60,"")</x:f>
        <x:v>0.036133161114009354</x:v>
      </x:c>
      <x:c r="N36" s="34" t="n">
        <x:f>IF(W66="",V66/60000*1e6,"")</x:f>
        <x:v>1.8066580557004677</x:v>
      </x:c>
      <x:c r="O36" s="30" t="str">
        <x:f>IF(W66="","",W66)</x:f>
      </x:c>
      <x:c r="P36" s="49" t="n">
        <x:f>Q66</x:f>
        <x:v>34.25581290506786</x:v>
      </x:c>
      <x:c r="Q36" s="102" t="n">
        <x:f>AE66</x:f>
        <x:v>0.6006784</x:v>
      </x:c>
      <x:c r="R36" s="102" t="n">
        <x:f>AF66</x:f>
        <x:v>0.1251413333333333</x:v>
      </x:c>
      <x:c r="S36" s="102" t="n">
        <x:f>IF(W66="",AI66,"")</x:f>
        <x:v>0.05758961663598624</x:v>
      </x:c>
      <x:c r="T36" s="102" t="n">
        <x:f>IF(W66="",AJ66,"")</x:f>
        <x:v>0.05080986670604183</x:v>
      </x:c>
      <x:c r="U36" s="112" t="n">
        <x:f>IF(ISNUMBER(L36),L36/(60000+L36),IF(L36="","",L36))</x:f>
        <x:v>0.0000018066547916930345</x:v>
      </x:c>
      <x:c r="V36" s="30"/>
      <x:c r="W36" s="30"/>
      <x:c r="X36" s="30"/>
    </x:row>
    <x:row r="37" ht="22" customHeight="1">
      <x:c r="A37" s="30" t="str">
        <x:f>A23</x:f>
        <x:v>KimiK3</x:v>
      </x:c>
      <x:c r="B37" s="30" t="n">
        <x:f>B23</x:f>
        <x:v>32</x:v>
      </x:c>
      <x:c r="C37" s="74" t="n">
        <x:f>$B$16</x:f>
        <x:v>262144</x:v>
      </x:c>
      <x:c r="D37" s="30" t="n">
        <x:f>$C$16</x:f>
        <x:v>20</x:v>
      </x:c>
      <x:c r="E37" s="30" t="n">
        <x:f>$F$18</x:f>
        <x:v>30</x:v>
      </x:c>
      <x:c r="F37" s="75" t="n">
        <x:f>IF(A67,60000/L67,"")</x:f>
        <x:v>3</x:v>
      </x:c>
      <x:c r="G37" s="75" t="n">
        <x:f>K67</x:f>
        <x:v>24.3612672</x:v>
      </x:c>
      <x:c r="H37" s="75" t="n">
        <x:f>IF(W67="",U67*R67,"")</x:f>
        <x:v>5.403808220869832</x:v>
      </x:c>
      <x:c r="I37" s="75" t="n">
        <x:f>IF(W67="",U67*S67,"")</x:f>
        <x:v>0</x:v>
      </x:c>
      <x:c r="J37" s="75" t="n">
        <x:f>IF(W67="",U67*MAX(0,R67-S67),"")</x:f>
        <x:v>5.403808220869832</x:v>
      </x:c>
      <x:c r="K37" s="75" t="n">
        <x:f>IF(W67="",IF(OR(AK67=0,K67=0),0,U67*E23*MIN(1,(K67+AL67)/L67)),"")</x:f>
        <x:v>224.15035632</x:v>
      </x:c>
      <x:c r="L37" s="34" t="n">
        <x:f>IF(W67="",V67,"")</x:f>
        <x:v>0.07226632222801871</x:v>
      </x:c>
      <x:c r="M37" s="34" t="n">
        <x:f>IF(W67="",E37*V67/60,"")</x:f>
        <x:v>0.036133161114009354</x:v>
      </x:c>
      <x:c r="N37" s="34" t="n">
        <x:f>IF(W67="",V67/60000*1e6,"")</x:f>
        <x:v>1.204438703800312</x:v>
      </x:c>
      <x:c r="O37" s="30" t="str">
        <x:f>IF(W67="","",W67)</x:f>
      </x:c>
      <x:c r="P37" s="49" t="n">
        <x:f>Q67</x:f>
        <x:v>22.789377770668615</x:v>
      </x:c>
      <x:c r="Q37" s="102" t="n">
        <x:f>AE67</x:f>
        <x:v>0.6006784</x:v>
      </x:c>
      <x:c r="R37" s="102" t="n">
        <x:f>AF67</x:f>
        <x:v>0.1251413333333333</x:v>
      </x:c>
      <x:c r="S37" s="102" t="n">
        <x:f>IF(W67="",AI67,"")</x:f>
        <x:v>0.03839307775732416</x:v>
      </x:c>
      <x:c r="T37" s="102" t="n">
        <x:f>IF(W67="",AJ67,"")</x:f>
        <x:v>0.03387324447069455</x:v>
      </x:c>
      <x:c r="U37" s="112" t="n">
        <x:f>IF(ISNUMBER(L37),L37/(60000+L37),IF(L37="","",L37))</x:f>
        <x:v>0.000001204437253129468</x:v>
      </x:c>
      <x:c r="V37" s="30"/>
      <x:c r="W37" s="30"/>
      <x:c r="X37" s="30"/>
    </x:row>
    <x:row r="38" ht="22" customHeight="1">
      <x:c r="A38" s="30" t="str">
        <x:f>A23</x:f>
        <x:v>KimiK3</x:v>
      </x:c>
      <x:c r="B38" s="30" t="n">
        <x:f>B23</x:f>
        <x:v>32</x:v>
      </x:c>
      <x:c r="C38" s="74" t="n">
        <x:f>$B$17</x:f>
        <x:v>1048576</x:v>
      </x:c>
      <x:c r="D38" s="30" t="n">
        <x:f>$C$17</x:f>
        <x:v>60</x:v>
      </x:c>
      <x:c r="E38" s="30" t="n">
        <x:f>$F$15</x:f>
        <x:v>5</x:v>
      </x:c>
      <x:c r="F38" s="75" t="n">
        <x:f>IF(A68,60000/L68,"")</x:f>
        <x:v>1</x:v>
      </x:c>
      <x:c r="G38" s="75" t="n">
        <x:f>K68</x:f>
        <x:v>96.83884032</x:v>
      </x:c>
      <x:c r="H38" s="75" t="n">
        <x:f>IF(W68="",U68*R68,"")</x:f>
        <x:v>20.357478891827263</x:v>
      </x:c>
      <x:c r="I38" s="75" t="n">
        <x:f>IF(W68="",U68*S68,"")</x:f>
        <x:v>18.378057236173362</x:v>
      </x:c>
      <x:c r="J38" s="75" t="n">
        <x:f>IF(W68="",U68*MAX(0,R68-S68),"")</x:f>
        <x:v>1.9794216556539013</x:v>
      </x:c>
      <x:c r="K38" s="75" t="n">
        <x:f>IF(W68="",IF(OR(AK68=0,K68=0),0,U68*E23*MIN(1,(K68+AL68)/L68)),"")</x:f>
        <x:v>1781.888058048</x:v>
      </x:c>
      <x:c r="L38" s="34" t="n">
        <x:f>IF(W68="",V68,"")</x:f>
        <x:v>0.5745353212035063</x:v>
      </x:c>
      <x:c r="M38" s="34" t="n">
        <x:f>IF(W68="",E38*V68/60,"")</x:f>
        <x:v>0.047877943433625524</x:v>
      </x:c>
      <x:c r="N38" s="34" t="n">
        <x:f>IF(W68="",V68/60000*1e6,"")</x:f>
        <x:v>9.575588686725103</x:v>
      </x:c>
      <x:c r="O38" s="30" t="str">
        <x:f>IF(W68="","",W68)</x:f>
      </x:c>
      <x:c r="P38" s="49" t="n">
        <x:f>Q68</x:f>
        <x:v>139.66137001168445</x:v>
      </x:c>
      <x:c r="Q38" s="102" t="n">
        <x:f>AE68</x:f>
        <x:v>0.6006784</x:v>
      </x:c>
      <x:c r="R38" s="102" t="n">
        <x:f>AF68</x:f>
        <x:v>0.1251413333333333</x:v>
      </x:c>
      <x:c r="S38" s="102" t="n">
        <x:f>IF(W68="",AI68,"")</x:f>
        <x:v>0.30523460699542915</x:v>
      </x:c>
      <x:c r="T38" s="102" t="n">
        <x:f>IF(W68="",AJ68,"")</x:f>
        <x:v>0.26930071420807705</x:v>
      </x:c>
      <x:c r="U38" s="112" t="n">
        <x:f>IF(ISNUMBER(L38),L38/(60000+L38),IF(L38="","",L38))</x:f>
        <x:v>0.000009575496995704403</x:v>
      </x:c>
      <x:c r="V38" s="30"/>
      <x:c r="W38" s="30"/>
      <x:c r="X38" s="30"/>
    </x:row>
    <x:row r="39" ht="22" customHeight="1">
      <x:c r="A39" s="30" t="str">
        <x:f>A23</x:f>
        <x:v>KimiK3</x:v>
      </x:c>
      <x:c r="B39" s="30" t="n">
        <x:f>B23</x:f>
        <x:v>32</x:v>
      </x:c>
      <x:c r="C39" s="74" t="n">
        <x:f>$B$17</x:f>
        <x:v>1048576</x:v>
      </x:c>
      <x:c r="D39" s="30" t="n">
        <x:f>$C$17</x:f>
        <x:v>60</x:v>
      </x:c>
      <x:c r="E39" s="30" t="n">
        <x:f>$F$16</x:f>
        <x:v>10</x:v>
      </x:c>
      <x:c r="F39" s="75" t="n">
        <x:f>IF(A69,60000/L69,"")</x:f>
        <x:v>1</x:v>
      </x:c>
      <x:c r="G39" s="75" t="n">
        <x:f>K69</x:f>
        <x:v>96.83884032</x:v>
      </x:c>
      <x:c r="H39" s="75" t="n">
        <x:f>IF(W69="",U69*R69,"")</x:f>
        <x:v>10.673304663304295</x:v>
      </x:c>
      <x:c r="I39" s="75" t="n">
        <x:f>IF(W69="",U69*S69,"")</x:f>
        <x:v>8.694463400695351</x:v>
      </x:c>
      <x:c r="J39" s="75" t="n">
        <x:f>IF(W69="",U69*MAX(0,R69-S69),"")</x:f>
        <x:v>1.9788412626089436</x:v>
      </x:c>
      <x:c r="K39" s="75" t="n">
        <x:f>IF(W69="",IF(OR(AK69=0,K69=0),0,U69*E23*MIN(1,(K69+AL69)/L69)),"")</x:f>
        <x:v>890.944029024</x:v>
      </x:c>
      <x:c r="L39" s="34" t="n">
        <x:f>IF(W69="",V69,"")</x:f>
        <x:v>0.2872676606017531</x:v>
      </x:c>
      <x:c r="M39" s="34" t="n">
        <x:f>IF(W69="",E39*V69/60,"")</x:f>
        <x:v>0.047877943433625524</x:v>
      </x:c>
      <x:c r="N39" s="34" t="n">
        <x:f>IF(W69="",V69/60000*1e6,"")</x:f>
        <x:v>4.787794343362552</x:v>
      </x:c>
      <x:c r="O39" s="30" t="str">
        <x:f>IF(W69="","",W69)</x:f>
      </x:c>
      <x:c r="P39" s="49" t="n">
        <x:f>Q69</x:f>
        <x:v>68.94574018544603</x:v>
      </x:c>
      <x:c r="Q39" s="102" t="n">
        <x:f>AE69</x:f>
        <x:v>0.6006784</x:v>
      </x:c>
      <x:c r="R39" s="102" t="n">
        <x:f>AF69</x:f>
        <x:v>0.1251413333333333</x:v>
      </x:c>
      <x:c r="S39" s="102" t="n">
        <x:f>IF(W69="",AI69,"")</x:f>
        <x:v>0.15261730349771457</x:v>
      </x:c>
      <x:c r="T39" s="102" t="n">
        <x:f>IF(W69="",AJ69,"")</x:f>
        <x:v>0.13465035710403853</x:v>
      </x:c>
      <x:c r="U39" s="112" t="n">
        <x:f>IF(ISNUMBER(L39),L39/(60000+L39),IF(L39="","",L39))</x:f>
        <x:v>0.000004787771420497628</x:v>
      </x:c>
      <x:c r="V39" s="30"/>
      <x:c r="W39" s="30"/>
      <x:c r="X39" s="30"/>
    </x:row>
    <x:row r="40" ht="22" customHeight="1">
      <x:c r="A40" s="30" t="str">
        <x:f>A23</x:f>
        <x:v>KimiK3</x:v>
      </x:c>
      <x:c r="B40" s="30" t="n">
        <x:f>B23</x:f>
        <x:v>32</x:v>
      </x:c>
      <x:c r="C40" s="74" t="n">
        <x:f>$B$17</x:f>
        <x:v>1048576</x:v>
      </x:c>
      <x:c r="D40" s="30" t="n">
        <x:f>$C$17</x:f>
        <x:v>60</x:v>
      </x:c>
      <x:c r="E40" s="30" t="n">
        <x:f>$F$17</x:f>
        <x:v>20</x:v>
      </x:c>
      <x:c r="F40" s="75" t="n">
        <x:f>IF(A70,60000/L70,"")</x:f>
        <x:v>1</x:v>
      </x:c>
      <x:c r="G40" s="75" t="n">
        <x:f>K70</x:f>
        <x:v>96.83884032</x:v>
      </x:c>
      <x:c r="H40" s="75" t="n">
        <x:f>IF(W70="",U70*R70,"")</x:f>
        <x:v>5.831217549043477</x:v>
      </x:c>
      <x:c r="I40" s="75" t="n">
        <x:f>IF(W70="",U70*S70,"")</x:f>
        <x:v>3.8526664829566792</x:v>
      </x:c>
      <x:c r="J40" s="75" t="n">
        <x:f>IF(W70="",U70*MAX(0,R70-S70),"")</x:f>
        <x:v>1.9785510660867978</x:v>
      </x:c>
      <x:c r="K40" s="75" t="n">
        <x:f>IF(W70="",IF(OR(AK70=0,K70=0),0,U70*E23*MIN(1,(K70+AL70)/L70)),"")</x:f>
        <x:v>445.472014512</x:v>
      </x:c>
      <x:c r="L40" s="34" t="n">
        <x:f>IF(W70="",V70,"")</x:f>
        <x:v>0.14363383030087656</x:v>
      </x:c>
      <x:c r="M40" s="34" t="n">
        <x:f>IF(W70="",E40*V70/60,"")</x:f>
        <x:v>0.047877943433625524</x:v>
      </x:c>
      <x:c r="N40" s="34" t="n">
        <x:f>IF(W70="",V70/60000*1e6,"")</x:f>
        <x:v>2.393897171681276</x:v>
      </x:c>
      <x:c r="O40" s="30" t="str">
        <x:f>IF(W70="","",W70)</x:f>
      </x:c>
      <x:c r="P40" s="49" t="n">
        <x:f>Q70</x:f>
        <x:v>34.25581290506786</x:v>
      </x:c>
      <x:c r="Q40" s="102" t="n">
        <x:f>AE70</x:f>
        <x:v>0.6006784</x:v>
      </x:c>
      <x:c r="R40" s="102" t="n">
        <x:f>AF70</x:f>
        <x:v>0.1251413333333333</x:v>
      </x:c>
      <x:c r="S40" s="102" t="n">
        <x:f>IF(W70="",AI70,"")</x:f>
        <x:v>0.07630865174885729</x:v>
      </x:c>
      <x:c r="T40" s="102" t="n">
        <x:f>IF(W70="",AJ70,"")</x:f>
        <x:v>0.06732517855201926</x:v>
      </x:c>
      <x:c r="U40" s="112" t="n">
        <x:f>IF(ISNUMBER(L40),L40/(60000+L40),IF(L40="","",L40))</x:f>
        <x:v>0.0000023938914409513264</x:v>
      </x:c>
      <x:c r="V40" s="30"/>
      <x:c r="W40" s="30"/>
      <x:c r="X40" s="30"/>
    </x:row>
    <x:row r="41" ht="22" customHeight="1">
      <x:c r="A41" s="30" t="str">
        <x:f>A23</x:f>
        <x:v>KimiK3</x:v>
      </x:c>
      <x:c r="B41" s="30" t="n">
        <x:f>B23</x:f>
        <x:v>32</x:v>
      </x:c>
      <x:c r="C41" s="74" t="n">
        <x:f>$B$17</x:f>
        <x:v>1048576</x:v>
      </x:c>
      <x:c r="D41" s="30" t="n">
        <x:f>$C$17</x:f>
        <x:v>60</x:v>
      </x:c>
      <x:c r="E41" s="30" t="n">
        <x:f>$F$18</x:f>
        <x:v>30</x:v>
      </x:c>
      <x:c r="F41" s="75" t="n">
        <x:f>IF(A71,60000/L71,"")</x:f>
        <x:v>1</x:v>
      </x:c>
      <x:c r="G41" s="75" t="n">
        <x:f>K71</x:f>
        <x:v>96.83884032</x:v>
      </x:c>
      <x:c r="H41" s="75" t="n">
        <x:f>IF(W71="",U71*R71,"")</x:f>
        <x:v>4.217188510956538</x:v>
      </x:c>
      <x:c r="I41" s="75" t="n">
        <x:f>IF(W71="",U71*S71,"")</x:f>
        <x:v>2.2387341770435665</x:v>
      </x:c>
      <x:c r="J41" s="75" t="n">
        <x:f>IF(W71="",U71*MAX(0,R71-S71),"")</x:f>
        <x:v>1.9784543339129712</x:v>
      </x:c>
      <x:c r="K41" s="75" t="n">
        <x:f>IF(W71="",IF(OR(AK71=0,K71=0),0,U71*E23*MIN(1,(K71+AL71)/L71)),"")</x:f>
        <x:v>296.981343008</x:v>
      </x:c>
      <x:c r="L41" s="34" t="n">
        <x:f>IF(W71="",V71,"")</x:f>
        <x:v>0.09575588686725103</x:v>
      </x:c>
      <x:c r="M41" s="34" t="n">
        <x:f>IF(W71="",E41*V71/60,"")</x:f>
        <x:v>0.04787794343362552</x:v>
      </x:c>
      <x:c r="N41" s="34" t="n">
        <x:f>IF(W71="",V71/60000*1e6,"")</x:f>
        <x:v>1.5959314477875173</x:v>
      </x:c>
      <x:c r="O41" s="30" t="str">
        <x:f>IF(W71="","",W71)</x:f>
      </x:c>
      <x:c r="P41" s="49" t="n">
        <x:f>Q71</x:f>
        <x:v>22.789377770668615</x:v>
      </x:c>
      <x:c r="Q41" s="102" t="n">
        <x:f>AE71</x:f>
        <x:v>0.6006784</x:v>
      </x:c>
      <x:c r="R41" s="102" t="n">
        <x:f>AF71</x:f>
        <x:v>0.1251413333333333</x:v>
      </x:c>
      <x:c r="S41" s="102" t="n">
        <x:f>IF(W71="",AI71,"")</x:f>
        <x:v>0.05087243449923819</x:v>
      </x:c>
      <x:c r="T41" s="102" t="n">
        <x:f>IF(W71="",AJ71,"")</x:f>
        <x:v>0.04488345236801285</x:v>
      </x:c>
      <x:c r="U41" s="112" t="n">
        <x:f>IF(ISNUMBER(L41),L41/(60000+L41),IF(L41="","",L41))</x:f>
        <x:v>0.000001595928900794396</x:v>
      </x:c>
      <x:c r="V41" s="30"/>
      <x:c r="W41" s="30"/>
      <x:c r="X41" s="30"/>
    </x:row>
    <x:row r="42" ht="22" customHeight="1">
      <x:c r="A42" s="30" t="str">
        <x:f>A24</x:f>
        <x:v>KimiK3</x:v>
      </x:c>
      <x:c r="B42" s="30" t="n">
        <x:f>B24</x:f>
        <x:v>256</x:v>
      </x:c>
      <x:c r="C42" s="74" t="n">
        <x:f>$B$15</x:f>
        <x:v>16384</x:v>
      </x:c>
      <x:c r="D42" s="30" t="n">
        <x:f>$C$15</x:f>
        <x:v>4</x:v>
      </x:c>
      <x:c r="E42" s="30" t="n">
        <x:f>$F$15</x:f>
        <x:v>5</x:v>
      </x:c>
      <x:c r="F42" s="75" t="n">
        <x:f>IF(A72,60000/L72,"")</x:f>
        <x:v>15</x:v>
      </x:c>
      <x:c r="G42" s="75" t="n">
        <x:f>K72</x:f>
        <x:v>1.7120256</x:v>
      </x:c>
      <x:c r="H42" s="75" t="n">
        <x:f>IF(W72="",U72*R72,"")</x:f>
        <x:v>19.981872317390792</x:v>
      </x:c>
      <x:c r="I42" s="75" t="n">
        <x:f>IF(W72="",U72*S72,"")</x:f>
        <x:v>0</x:v>
      </x:c>
      <x:c r="J42" s="75" t="n">
        <x:f>IF(W72="",U72*MAX(0,R72-S72),"")</x:f>
        <x:v>19.981872317390792</x:v>
      </x:c>
      <x:c r="K42" s="75" t="n">
        <x:f>IF(W72="",IF(OR(AK72=0,K72=0),0,U72*E24*MIN(1,(K72+AL72)/L72)),"")</x:f>
        <x:v>473.3322532</x:v>
      </x:c>
      <x:c r="L42" s="34" t="n">
        <x:f>IF(W72="",V72,"")</x:f>
        <x:v>0.15468122714756344</x:v>
      </x:c>
      <x:c r="M42" s="34" t="n">
        <x:f>IF(W72="",E42*V72/60,"")</x:f>
        <x:v>0.012890102262296954</x:v>
      </x:c>
      <x:c r="N42" s="34" t="n">
        <x:f>IF(W72="",V72/60000*1e6,"")</x:f>
        <x:v>2.578020452459391</x:v>
      </x:c>
      <x:c r="O42" s="30" t="str">
        <x:f>IF(W72="","",W72)</x:f>
      </x:c>
      <x:c r="P42" s="49" t="n">
        <x:f>Q72</x:f>
        <x:v>143.68042396579565</x:v>
      </x:c>
      <x:c r="Q42" s="102" t="n">
        <x:f>AE72</x:f>
        <x:v>0.6006784</x:v>
      </x:c>
      <x:c r="R42" s="102" t="n">
        <x:f>AF72</x:f>
        <x:v>0.1251413333333333</x:v>
      </x:c>
      <x:c r="S42" s="102" t="n">
        <x:f>IF(W72="",AI72,"")</x:f>
        <x:v>0.08326932396432667</x:v>
      </x:c>
      <x:c r="T42" s="102" t="n">
        <x:f>IF(W72="",AJ72,"")</x:f>
        <x:v>0.07141190318323679</x:v>
      </x:c>
      <x:c r="U42" s="112" t="n">
        <x:f>IF(ISNUMBER(L42),L42/(60000+L42),IF(L42="","",L42))</x:f>
        <x:v>0.0000025780138062870714</x:v>
      </x:c>
      <x:c r="V42" s="30"/>
      <x:c r="W42" s="30"/>
      <x:c r="X42" s="30"/>
    </x:row>
    <x:row r="43" ht="22" customHeight="1">
      <x:c r="A43" s="30" t="str">
        <x:f>A24</x:f>
        <x:v>KimiK3</x:v>
      </x:c>
      <x:c r="B43" s="30" t="n">
        <x:f>B24</x:f>
        <x:v>256</x:v>
      </x:c>
      <x:c r="C43" s="74" t="n">
        <x:f>$B$15</x:f>
        <x:v>16384</x:v>
      </x:c>
      <x:c r="D43" s="30" t="n">
        <x:f>$C$15</x:f>
        <x:v>4</x:v>
      </x:c>
      <x:c r="E43" s="30" t="n">
        <x:f>$F$16</x:f>
        <x:v>10</x:v>
      </x:c>
      <x:c r="F43" s="75" t="n">
        <x:f>IF(A73,60000/L73,"")</x:f>
        <x:v>15</x:v>
      </x:c>
      <x:c r="G43" s="75" t="n">
        <x:f>K73</x:f>
        <x:v>1.7120256</x:v>
      </x:c>
      <x:c r="H43" s="75" t="n">
        <x:f>IF(W73="",U73*R73,"")</x:f>
        <x:v>17.409414419565337</x:v>
      </x:c>
      <x:c r="I43" s="75" t="n">
        <x:f>IF(W73="",U73*S73,"")</x:f>
        <x:v>0</x:v>
      </x:c>
      <x:c r="J43" s="75" t="n">
        <x:f>IF(W73="",U73*MAX(0,R73-S73),"")</x:f>
        <x:v>17.409414419565337</x:v>
      </x:c>
      <x:c r="K43" s="75" t="n">
        <x:f>IF(W73="",IF(OR(AK73=0,K73=0),0,U73*E24*MIN(1,(K73+AL73)/L73)),"")</x:f>
        <x:v>236.6661266</x:v>
      </x:c>
      <x:c r="L43" s="34" t="n">
        <x:f>IF(W73="",V73,"")</x:f>
        <x:v>0.07734061357378172</x:v>
      </x:c>
      <x:c r="M43" s="34" t="n">
        <x:f>IF(W73="",E43*V73/60,"")</x:f>
        <x:v>0.012890102262296954</x:v>
      </x:c>
      <x:c r="N43" s="34" t="n">
        <x:f>IF(W73="",V73/60000*1e6,"")</x:f>
        <x:v>1.2890102262296954</x:v>
      </x:c>
      <x:c r="O43" s="30" t="str">
        <x:f>IF(W73="","",W73)</x:f>
      </x:c>
      <x:c r="P43" s="49" t="n">
        <x:f>Q73</x:f>
        <x:v>70.92980098685632</x:v>
      </x:c>
      <x:c r="Q43" s="102" t="n">
        <x:f>AE73</x:f>
        <x:v>0.6006784</x:v>
      </x:c>
      <x:c r="R43" s="102" t="n">
        <x:f>AF73</x:f>
        <x:v>0.1251413333333333</x:v>
      </x:c>
      <x:c r="S43" s="102" t="n">
        <x:f>IF(W73="",AI73,"")</x:f>
        <x:v>0.04163466198216333</x:v>
      </x:c>
      <x:c r="T43" s="102" t="n">
        <x:f>IF(W73="",AJ73,"")</x:f>
        <x:v>0.03570595159161839</x:v>
      </x:c>
      <x:c r="U43" s="112" t="n">
        <x:f>IF(ISNUMBER(L43),L43/(60000+L43),IF(L43="","",L43))</x:f>
        <x:v>0.0000012890085646844738</x:v>
      </x:c>
      <x:c r="V43" s="30"/>
      <x:c r="W43" s="30"/>
      <x:c r="X43" s="30"/>
    </x:row>
    <x:row r="44" ht="22" customHeight="1">
      <x:c r="A44" s="30" t="str">
        <x:f>A24</x:f>
        <x:v>KimiK3</x:v>
      </x:c>
      <x:c r="B44" s="30" t="n">
        <x:f>B24</x:f>
        <x:v>256</x:v>
      </x:c>
      <x:c r="C44" s="74" t="n">
        <x:f>$B$15</x:f>
        <x:v>16384</x:v>
      </x:c>
      <x:c r="D44" s="30" t="n">
        <x:f>$C$15</x:f>
        <x:v>4</x:v>
      </x:c>
      <x:c r="E44" s="30" t="n">
        <x:f>$F$17</x:f>
        <x:v>20</x:v>
      </x:c>
      <x:c r="F44" s="75" t="n">
        <x:f>IF(A74,60000/L74,"")</x:f>
        <x:v>15</x:v>
      </x:c>
      <x:c r="G44" s="75" t="n">
        <x:f>K74</x:f>
        <x:v>1.7120256</x:v>
      </x:c>
      <x:c r="H44" s="75" t="n">
        <x:f>IF(W74="",U74*R74,"")</x:f>
        <x:v>16.123185470651947</x:v>
      </x:c>
      <x:c r="I44" s="75" t="n">
        <x:f>IF(W74="",U74*S74,"")</x:f>
        <x:v>0</x:v>
      </x:c>
      <x:c r="J44" s="75" t="n">
        <x:f>IF(W74="",U74*MAX(0,R74-S74),"")</x:f>
        <x:v>16.123185470651947</x:v>
      </x:c>
      <x:c r="K44" s="75" t="n">
        <x:f>IF(W74="",IF(OR(AK74=0,K74=0),0,U74*E24*MIN(1,(K74+AL74)/L74)),"")</x:f>
        <x:v>118.3330633</x:v>
      </x:c>
      <x:c r="L44" s="34" t="n">
        <x:f>IF(W74="",V74,"")</x:f>
        <x:v>0.03867030678689086</x:v>
      </x:c>
      <x:c r="M44" s="34" t="n">
        <x:f>IF(W74="",E44*V74/60,"")</x:f>
        <x:v>0.012890102262296954</x:v>
      </x:c>
      <x:c r="N44" s="34" t="n">
        <x:f>IF(W74="",V74/60000*1e6,"")</x:f>
        <x:v>0.6445051131148477</x:v>
      </x:c>
      <x:c r="O44" s="30" t="str">
        <x:f>IF(W74="","",W74)</x:f>
      </x:c>
      <x:c r="P44" s="49" t="n">
        <x:f>Q74</x:f>
        <x:v>35.24159702200649</x:v>
      </x:c>
      <x:c r="Q44" s="102" t="n">
        <x:f>AE74</x:f>
        <x:v>0.6006784</x:v>
      </x:c>
      <x:c r="R44" s="102" t="n">
        <x:f>AF74</x:f>
        <x:v>0.1251413333333333</x:v>
      </x:c>
      <x:c r="S44" s="102" t="n">
        <x:f>IF(W74="",AI74,"")</x:f>
        <x:v>0.020817330991081667</x:v>
      </x:c>
      <x:c r="T44" s="102" t="n">
        <x:f>IF(W74="",AJ74,"")</x:f>
        <x:v>0.017852975795809196</x:v>
      </x:c>
      <x:c r="U44" s="112" t="n">
        <x:f>IF(ISNUMBER(L44),L44/(60000+L44),IF(L44="","",L44))</x:f>
        <x:v>6.445046977282746e-7</x:v>
      </x:c>
      <x:c r="V44" s="30"/>
      <x:c r="W44" s="30"/>
      <x:c r="X44" s="30"/>
    </x:row>
    <x:row r="45" ht="22" customHeight="1">
      <x:c r="A45" s="30" t="str">
        <x:f>A24</x:f>
        <x:v>KimiK3</x:v>
      </x:c>
      <x:c r="B45" s="30" t="n">
        <x:f>B24</x:f>
        <x:v>256</x:v>
      </x:c>
      <x:c r="C45" s="74" t="n">
        <x:f>$B$15</x:f>
        <x:v>16384</x:v>
      </x:c>
      <x:c r="D45" s="30" t="n">
        <x:f>$C$15</x:f>
        <x:v>4</x:v>
      </x:c>
      <x:c r="E45" s="30" t="n">
        <x:f>$F$18</x:f>
        <x:v>30</x:v>
      </x:c>
      <x:c r="F45" s="75" t="n">
        <x:f>IF(A75,60000/L75,"")</x:f>
        <x:v>15</x:v>
      </x:c>
      <x:c r="G45" s="75" t="n">
        <x:f>K75</x:f>
        <x:v>1.7120256</x:v>
      </x:c>
      <x:c r="H45" s="75" t="n">
        <x:f>IF(W75="",U75*R75,"")</x:f>
        <x:v>15.694442487681037</x:v>
      </x:c>
      <x:c r="I45" s="75" t="n">
        <x:f>IF(W75="",U75*S75,"")</x:f>
        <x:v>0</x:v>
      </x:c>
      <x:c r="J45" s="75" t="n">
        <x:f>IF(W75="",U75*MAX(0,R75-S75),"")</x:f>
        <x:v>15.694442487681037</x:v>
      </x:c>
      <x:c r="K45" s="75" t="n">
        <x:f>IF(W75="",IF(OR(AK75=0,K75=0),0,U75*E24*MIN(1,(K75+AL75)/L75)),"")</x:f>
        <x:v>78.88870886666668</x:v>
      </x:c>
      <x:c r="L45" s="34" t="n">
        <x:f>IF(W75="",V75,"")</x:f>
        <x:v>0.02578020452459391</x:v>
      </x:c>
      <x:c r="M45" s="34" t="n">
        <x:f>IF(W75="",E45*V75/60,"")</x:f>
        <x:v>0.012890102262296955</x:v>
      </x:c>
      <x:c r="N45" s="34" t="n">
        <x:f>IF(W75="",V75/60000*1e6,"")</x:f>
        <x:v>0.42967007540989854</x:v>
      </x:c>
      <x:c r="O45" s="30" t="str">
        <x:f>IF(W75="","",W75)</x:f>
      </x:c>
      <x:c r="P45" s="49" t="n">
        <x:f>Q75</x:f>
        <x:v>23.445190747680634</x:v>
      </x:c>
      <x:c r="Q45" s="102" t="n">
        <x:f>AE75</x:f>
        <x:v>0.6006784</x:v>
      </x:c>
      <x:c r="R45" s="102" t="n">
        <x:f>AF75</x:f>
        <x:v>0.1251413333333333</x:v>
      </x:c>
      <x:c r="S45" s="102" t="n">
        <x:f>IF(W75="",AI75,"")</x:f>
        <x:v>0.013878220660721112</x:v>
      </x:c>
      <x:c r="T45" s="102" t="n">
        <x:f>IF(W75="",AJ75,"")</x:f>
        <x:v>0.011901983863872798</x:v>
      </x:c>
      <x:c r="U45" s="112" t="n">
        <x:f>IF(ISNUMBER(L45),L45/(60000+L45),IF(L45="","",L45))</x:f>
        <x:v>4.2966989079360415e-7</x:v>
      </x:c>
      <x:c r="V45" s="30"/>
      <x:c r="W45" s="30"/>
      <x:c r="X45" s="30"/>
    </x:row>
    <x:row r="46" ht="22" customHeight="1">
      <x:c r="A46" s="30" t="str">
        <x:f>A24</x:f>
        <x:v>KimiK3</x:v>
      </x:c>
      <x:c r="B46" s="30" t="n">
        <x:f>B24</x:f>
        <x:v>256</x:v>
      </x:c>
      <x:c r="C46" s="74" t="n">
        <x:f>$B$16</x:f>
        <x:v>262144</x:v>
      </x:c>
      <x:c r="D46" s="30" t="n">
        <x:f>$C$16</x:f>
        <x:v>20</x:v>
      </x:c>
      <x:c r="E46" s="30" t="n">
        <x:f>$F$15</x:f>
        <x:v>5</x:v>
      </x:c>
      <x:c r="F46" s="75" t="n">
        <x:f>IF(A76,60000/L76,"")</x:f>
        <x:v>3</x:v>
      </x:c>
      <x:c r="G46" s="75" t="n">
        <x:f>K76</x:f>
        <x:v>24.3612672</x:v>
      </x:c>
      <x:c r="H46" s="75" t="n">
        <x:f>IF(W76="",U76*R76,"")</x:f>
        <x:v>17.58591942347998</x:v>
      </x:c>
      <x:c r="I46" s="75" t="n">
        <x:f>IF(W76="",U76*S76,"")</x:f>
        <x:v>11.647601216521863</x:v>
      </x:c>
      <x:c r="J46" s="75" t="n">
        <x:f>IF(W76="",U76*MAX(0,R76-S76),"")</x:f>
        <x:v>5.938318206958115</x:v>
      </x:c>
      <x:c r="K46" s="75" t="n">
        <x:f>IF(W76="",IF(OR(AK76=0,K76=0),0,U76*E24*MIN(1,(K76+AL76)/L76)),"")</x:f>
        <x:v>1344.90458696</x:v>
      </x:c>
      <x:c r="L46" s="34" t="n">
        <x:f>IF(W76="",V76,"")</x:f>
        <x:v>0.4402269658411606</x:v>
      </x:c>
      <x:c r="M46" s="34" t="n">
        <x:f>IF(W76="",E46*V76/60,"")</x:f>
        <x:v>0.03668558048676339</x:v>
      </x:c>
      <x:c r="N46" s="34" t="n">
        <x:f>IF(W76="",V76/60000*1e6,"")</x:f>
        <x:v>7.337116097352677</x:v>
      </x:c>
      <x:c r="O46" s="30" t="str">
        <x:f>IF(W76="","",W76)</x:f>
      </x:c>
      <x:c r="P46" s="49" t="n">
        <x:f>Q76</x:f>
        <x:v>143.68042396579565</x:v>
      </x:c>
      <x:c r="Q46" s="102" t="n">
        <x:f>AE76</x:f>
        <x:v>0.6006784</x:v>
      </x:c>
      <x:c r="R46" s="102" t="n">
        <x:f>AF76</x:f>
        <x:v>0.1251413333333333</x:v>
      </x:c>
      <x:c r="S46" s="102" t="n">
        <x:f>IF(W76="",AI76,"")</x:f>
        <x:v>0.23698749901699329</x:v>
      </x:c>
      <x:c r="T46" s="102" t="n">
        <x:f>IF(W76="",AJ76,"")</x:f>
        <x:v>0.20323946682416733</x:v>
      </x:c>
      <x:c r="U46" s="112" t="n">
        <x:f>IF(ISNUMBER(L46),L46/(60000+L46),IF(L46="","",L46))</x:f>
        <x:v>0.0000073370622644750296</x:v>
      </x:c>
      <x:c r="V46" s="30"/>
      <x:c r="W46" s="30"/>
      <x:c r="X46" s="30"/>
    </x:row>
    <x:row r="47" ht="22" customHeight="1">
      <x:c r="A47" s="30" t="str">
        <x:f>A24</x:f>
        <x:v>KimiK3</x:v>
      </x:c>
      <x:c r="B47" s="30" t="n">
        <x:f>B24</x:f>
        <x:v>256</x:v>
      </x:c>
      <x:c r="C47" s="74" t="n">
        <x:f>$B$16</x:f>
        <x:v>262144</x:v>
      </x:c>
      <x:c r="D47" s="30" t="n">
        <x:f>$C$16</x:f>
        <x:v>20</x:v>
      </x:c>
      <x:c r="E47" s="30" t="n">
        <x:f>$F$16</x:f>
        <x:v>10</x:v>
      </x:c>
      <x:c r="F47" s="75" t="n">
        <x:f>IF(A77,60000/L77,"")</x:f>
        <x:v>3</x:v>
      </x:c>
      <x:c r="G47" s="75" t="n">
        <x:f>K77</x:f>
        <x:v>24.3612672</x:v>
      </x:c>
      <x:c r="H47" s="75" t="n">
        <x:f>IF(W77="",U77*R77,"")</x:f>
        <x:v>10.276655363913312</x:v>
      </x:c>
      <x:c r="I47" s="75" t="n">
        <x:f>IF(W77="",U77*S77,"")</x:f>
        <x:v>4.340104956087609</x:v>
      </x:c>
      <x:c r="J47" s="75" t="n">
        <x:f>IF(W77="",U77*MAX(0,R77-S77),"")</x:f>
        <x:v>5.9365504078257025</x:v>
      </x:c>
      <x:c r="K47" s="75" t="n">
        <x:f>IF(W77="",IF(OR(AK77=0,K77=0),0,U77*E24*MIN(1,(K77+AL77)/L77)),"")</x:f>
        <x:v>672.45229348</x:v>
      </x:c>
      <x:c r="L47" s="34" t="n">
        <x:f>IF(W77="",V77,"")</x:f>
        <x:v>0.2201134829205803</x:v>
      </x:c>
      <x:c r="M47" s="34" t="n">
        <x:f>IF(W77="",E47*V77/60,"")</x:f>
        <x:v>0.03668558048676339</x:v>
      </x:c>
      <x:c r="N47" s="34" t="n">
        <x:f>IF(W77="",V77/60000*1e6,"")</x:f>
        <x:v>3.6685580486763385</x:v>
      </x:c>
      <x:c r="O47" s="30" t="str">
        <x:f>IF(W77="","",W77)</x:f>
      </x:c>
      <x:c r="P47" s="49" t="n">
        <x:f>Q77</x:f>
        <x:v>70.92980098685632</x:v>
      </x:c>
      <x:c r="Q47" s="102" t="n">
        <x:f>AE77</x:f>
        <x:v>0.6006784</x:v>
      </x:c>
      <x:c r="R47" s="102" t="n">
        <x:f>AF77</x:f>
        <x:v>0.1251413333333333</x:v>
      </x:c>
      <x:c r="S47" s="102" t="n">
        <x:f>IF(W77="",AI77,"")</x:f>
        <x:v>0.11849374950849664</x:v>
      </x:c>
      <x:c r="T47" s="102" t="n">
        <x:f>IF(W77="",AJ77,"")</x:f>
        <x:v>0.10161973341208366</x:v>
      </x:c>
      <x:c r="U47" s="112" t="n">
        <x:f>IF(ISNUMBER(L47),L47/(60000+L47),IF(L47="","",L47))</x:f>
        <x:v>0.0000036685445904075544</x:v>
      </x:c>
      <x:c r="V47" s="30"/>
      <x:c r="W47" s="30"/>
      <x:c r="X47" s="30"/>
    </x:row>
    <x:row r="48" ht="22" customHeight="1">
      <x:c r="A48" s="30" t="str">
        <x:f>A24</x:f>
        <x:v>KimiK3</x:v>
      </x:c>
      <x:c r="B48" s="30" t="n">
        <x:f>B24</x:f>
        <x:v>256</x:v>
      </x:c>
      <x:c r="C48" s="74" t="n">
        <x:f>$B$16</x:f>
        <x:v>262144</x:v>
      </x:c>
      <x:c r="D48" s="30" t="n">
        <x:f>$C$16</x:f>
        <x:v>20</x:v>
      </x:c>
      <x:c r="E48" s="30" t="n">
        <x:f>$F$17</x:f>
        <x:v>20</x:v>
      </x:c>
      <x:c r="F48" s="75" t="n">
        <x:f>IF(A78,60000/L78,"")</x:f>
        <x:v>3</x:v>
      </x:c>
      <x:c r="G48" s="75" t="n">
        <x:f>K78</x:f>
        <x:v>24.3612672</x:v>
      </x:c>
      <x:c r="H48" s="75" t="n">
        <x:f>IF(W78="",U78*R78,"")</x:f>
        <x:v>6.622023334130311</x:v>
      </x:c>
      <x:c r="I48" s="75" t="n">
        <x:f>IF(W78="",U78*S78,"")</x:f>
        <x:v>0.6863568258701491</x:v>
      </x:c>
      <x:c r="J48" s="75" t="n">
        <x:f>IF(W78="",U78*MAX(0,R78-S78),"")</x:f>
        <x:v>5.935666508260162</x:v>
      </x:c>
      <x:c r="K48" s="75" t="n">
        <x:f>IF(W78="",IF(OR(AK78=0,K78=0),0,U78*E24*MIN(1,(K78+AL78)/L78)),"")</x:f>
        <x:v>336.22614674</x:v>
      </x:c>
      <x:c r="L48" s="34" t="n">
        <x:f>IF(W78="",V78,"")</x:f>
        <x:v>0.11005674146029015</x:v>
      </x:c>
      <x:c r="M48" s="34" t="n">
        <x:f>IF(W78="",E48*V78/60,"")</x:f>
        <x:v>0.03668558048676339</x:v>
      </x:c>
      <x:c r="N48" s="34" t="n">
        <x:f>IF(W78="",V78/60000*1e6,"")</x:f>
        <x:v>1.8342790243381693</x:v>
      </x:c>
      <x:c r="O48" s="30" t="str">
        <x:f>IF(W78="","",W78)</x:f>
      </x:c>
      <x:c r="P48" s="49" t="n">
        <x:f>Q78</x:f>
        <x:v>35.24159702200649</x:v>
      </x:c>
      <x:c r="Q48" s="102" t="n">
        <x:f>AE78</x:f>
        <x:v>0.6006784</x:v>
      </x:c>
      <x:c r="R48" s="102" t="n">
        <x:f>AF78</x:f>
        <x:v>0.1251413333333333</x:v>
      </x:c>
      <x:c r="S48" s="102" t="n">
        <x:f>IF(W78="",AI78,"")</x:f>
        <x:v>0.05924687475424832</x:v>
      </x:c>
      <x:c r="T48" s="102" t="n">
        <x:f>IF(W78="",AJ78,"")</x:f>
        <x:v>0.05080986670604183</x:v>
      </x:c>
      <x:c r="U48" s="112" t="n">
        <x:f>IF(ISNUMBER(L48),L48/(60000+L48),IF(L48="","",L48))</x:f>
        <x:v>0.0000018342756597648016</x:v>
      </x:c>
      <x:c r="V48" s="30"/>
      <x:c r="W48" s="30"/>
      <x:c r="X48" s="30"/>
    </x:row>
    <x:row r="49" ht="22" customHeight="1">
      <x:c r="A49" s="30" t="str">
        <x:f>A24</x:f>
        <x:v>KimiK3</x:v>
      </x:c>
      <x:c r="B49" s="30" t="n">
        <x:f>B24</x:f>
        <x:v>256</x:v>
      </x:c>
      <x:c r="C49" s="74" t="n">
        <x:f>$B$16</x:f>
        <x:v>262144</x:v>
      </x:c>
      <x:c r="D49" s="30" t="n">
        <x:f>$C$16</x:f>
        <x:v>20</x:v>
      </x:c>
      <x:c r="E49" s="30" t="n">
        <x:f>$F$18</x:f>
        <x:v>30</x:v>
      </x:c>
      <x:c r="F49" s="75" t="n">
        <x:f>IF(A79,60000/L79,"")</x:f>
        <x:v>3</x:v>
      </x:c>
      <x:c r="G49" s="75" t="n">
        <x:f>K79</x:f>
        <x:v>24.3612672</x:v>
      </x:c>
      <x:c r="H49" s="75" t="n">
        <x:f>IF(W79="",U79*R79,"")</x:f>
        <x:v>5.403812657536422</x:v>
      </x:c>
      <x:c r="I49" s="75" t="n">
        <x:f>IF(W79="",U79*S79,"")</x:f>
        <x:v>0</x:v>
      </x:c>
      <x:c r="J49" s="75" t="n">
        <x:f>IF(W79="",U79*MAX(0,R79-S79),"")</x:f>
        <x:v>5.403812657536422</x:v>
      </x:c>
      <x:c r="K49" s="75" t="n">
        <x:f>IF(W79="",IF(OR(AK79=0,K79=0),0,U79*E24*MIN(1,(K79+AL79)/L79)),"")</x:f>
        <x:v>224.15076449333333</x:v>
      </x:c>
      <x:c r="L49" s="34" t="n">
        <x:f>IF(W79="",V79,"")</x:f>
        <x:v>0.07337116097352676</x:v>
      </x:c>
      <x:c r="M49" s="34" t="n">
        <x:f>IF(W79="",E49*V79/60,"")</x:f>
        <x:v>0.03668558048676338</x:v>
      </x:c>
      <x:c r="N49" s="34" t="n">
        <x:f>IF(W79="",V79/60000*1e6,"")</x:f>
        <x:v>1.2228526828921127</x:v>
      </x:c>
      <x:c r="O49" s="30" t="str">
        <x:f>IF(W79="","",W79)</x:f>
      </x:c>
      <x:c r="P49" s="49" t="n">
        <x:f>Q79</x:f>
        <x:v>23.445190747680634</x:v>
      </x:c>
      <x:c r="Q49" s="102" t="n">
        <x:f>AE79</x:f>
        <x:v>0.6006784</x:v>
      </x:c>
      <x:c r="R49" s="102" t="n">
        <x:f>AF79</x:f>
        <x:v>0.1251413333333333</x:v>
      </x:c>
      <x:c r="S49" s="102" t="n">
        <x:f>IF(W79="",AI79,"")</x:f>
        <x:v>0.039497916502832214</x:v>
      </x:c>
      <x:c r="T49" s="102" t="n">
        <x:f>IF(W79="",AJ79,"")</x:f>
        <x:v>0.03387324447069455</x:v>
      </x:c>
      <x:c r="U49" s="112" t="n">
        <x:f>IF(ISNUMBER(L49),L49/(60000+L49),IF(L49="","",L49))</x:f>
        <x:v>0.0000012228511875252572</x:v>
      </x:c>
      <x:c r="V49" s="30"/>
      <x:c r="W49" s="30"/>
      <x:c r="X49" s="30"/>
    </x:row>
    <x:row r="50" ht="22" customHeight="1">
      <x:c r="A50" s="30" t="str">
        <x:f>A24</x:f>
        <x:v>KimiK3</x:v>
      </x:c>
      <x:c r="B50" s="30" t="n">
        <x:f>B24</x:f>
        <x:v>256</x:v>
      </x:c>
      <x:c r="C50" s="74" t="n">
        <x:f>$B$17</x:f>
        <x:v>1048576</x:v>
      </x:c>
      <x:c r="D50" s="30" t="n">
        <x:f>$C$17</x:f>
        <x:v>60</x:v>
      </x:c>
      <x:c r="E50" s="30" t="n">
        <x:f>$F$15</x:f>
        <x:v>5</x:v>
      </x:c>
      <x:c r="F50" s="75" t="n">
        <x:f>IF(A80,60000/L80,"")</x:f>
        <x:v>1</x:v>
      </x:c>
      <x:c r="G50" s="75" t="n">
        <x:f>K80</x:f>
        <x:v>96.83884032</x:v>
      </x:c>
      <x:c r="H50" s="75" t="n">
        <x:f>IF(W80="",U80*R80,"")</x:f>
        <x:v>20.35748776516</x:v>
      </x:c>
      <x:c r="I50" s="75" t="n">
        <x:f>IF(W80="",U80*S80,"")</x:f>
        <x:v>18.378048362840627</x:v>
      </x:c>
      <x:c r="J50" s="75" t="n">
        <x:f>IF(W80="",U80*MAX(0,R80-S80),"")</x:f>
        <x:v>1.9794394023193718</x:v>
      </x:c>
      <x:c r="K50" s="75" t="n">
        <x:f>IF(W80="",IF(OR(AK80=0,K80=0),0,U80*E24*MIN(1,(K80+AL80)/L80)),"")</x:f>
        <x:v>1781.8888743946668</x:v>
      </x:c>
      <x:c r="L50" s="34" t="n">
        <x:f>IF(W80="",V80,"")</x:f>
        <x:v>0.5833190903861447</x:v>
      </x:c>
      <x:c r="M50" s="34" t="n">
        <x:f>IF(W80="",E50*V80/60,"")</x:f>
        <x:v>0.04860992419884539</x:v>
      </x:c>
      <x:c r="N50" s="34" t="n">
        <x:f>IF(W80="",V80/60000*1e6,"")</x:f>
        <x:v>9.721984839769078</x:v>
      </x:c>
      <x:c r="O50" s="30" t="str">
        <x:f>IF(W80="","",W80)</x:f>
      </x:c>
      <x:c r="P50" s="49" t="n">
        <x:f>Q80</x:f>
        <x:v>143.68042396579565</x:v>
      </x:c>
      <x:c r="Q50" s="102" t="n">
        <x:f>AE80</x:f>
        <x:v>0.6006784</x:v>
      </x:c>
      <x:c r="R50" s="102" t="n">
        <x:f>AF80</x:f>
        <x:v>0.1251413333333333</x:v>
      </x:c>
      <x:c r="S50" s="102" t="n">
        <x:f>IF(W80="",AI80,"")</x:f>
        <x:v>0.3140183761780676</x:v>
      </x:c>
      <x:c r="T50" s="102" t="n">
        <x:f>IF(W80="",AJ80,"")</x:f>
        <x:v>0.26930071420807705</x:v>
      </x:c>
      <x:c r="U50" s="112" t="n">
        <x:f>IF(ISNUMBER(L50),L50/(60000+L50),IF(L50="","",L50))</x:f>
        <x:v>0.000009721890323698737</x:v>
      </x:c>
      <x:c r="V50" s="30"/>
      <x:c r="W50" s="30"/>
      <x:c r="X50" s="30"/>
    </x:row>
    <x:row r="51" ht="22" customHeight="1">
      <x:c r="A51" s="30" t="str">
        <x:f>A24</x:f>
        <x:v>KimiK3</x:v>
      </x:c>
      <x:c r="B51" s="30" t="n">
        <x:f>B24</x:f>
        <x:v>256</x:v>
      </x:c>
      <x:c r="C51" s="74" t="n">
        <x:f>$B$17</x:f>
        <x:v>1048576</x:v>
      </x:c>
      <x:c r="D51" s="30" t="n">
        <x:f>$C$17</x:f>
        <x:v>60</x:v>
      </x:c>
      <x:c r="E51" s="30" t="n">
        <x:f>$F$16</x:f>
        <x:v>10</x:v>
      </x:c>
      <x:c r="F51" s="75" t="n">
        <x:f>IF(A81,60000/L81,"")</x:f>
        <x:v>1</x:v>
      </x:c>
      <x:c r="G51" s="75" t="n">
        <x:f>K81</x:f>
        <x:v>96.83884032</x:v>
      </x:c>
      <x:c r="H51" s="75" t="n">
        <x:f>IF(W81="",U81*R81,"")</x:f>
        <x:v>10.673309099971329</x:v>
      </x:c>
      <x:c r="I51" s="75" t="n">
        <x:f>IF(W81="",U81*S81,"")</x:f>
        <x:v>8.694458964028984</x:v>
      </x:c>
      <x:c r="J51" s="75" t="n">
        <x:f>IF(W81="",U81*MAX(0,R81-S81),"")</x:f>
        <x:v>1.978850135942345</x:v>
      </x:c>
      <x:c r="K51" s="75" t="n">
        <x:f>IF(W81="",IF(OR(AK81=0,K81=0),0,U81*E24*MIN(1,(K81+AL81)/L81)),"")</x:f>
        <x:v>890.9444371973334</x:v>
      </x:c>
      <x:c r="L51" s="34" t="n">
        <x:f>IF(W81="",V81,"")</x:f>
        <x:v>0.29165954519307236</x:v>
      </x:c>
      <x:c r="M51" s="34" t="n">
        <x:f>IF(W81="",E51*V81/60,"")</x:f>
        <x:v>0.04860992419884539</x:v>
      </x:c>
      <x:c r="N51" s="34" t="n">
        <x:f>IF(W81="",V81/60000*1e6,"")</x:f>
        <x:v>4.860992419884539</x:v>
      </x:c>
      <x:c r="O51" s="30" t="str">
        <x:f>IF(W81="","",W81)</x:f>
      </x:c>
      <x:c r="P51" s="49" t="n">
        <x:f>Q81</x:f>
        <x:v>70.92980098685632</x:v>
      </x:c>
      <x:c r="Q51" s="102" t="n">
        <x:f>AE81</x:f>
        <x:v>0.6006784</x:v>
      </x:c>
      <x:c r="R51" s="102" t="n">
        <x:f>AF81</x:f>
        <x:v>0.1251413333333333</x:v>
      </x:c>
      <x:c r="S51" s="102" t="n">
        <x:f>IF(W81="",AI81,"")</x:f>
        <x:v>0.1570091880890338</x:v>
      </x:c>
      <x:c r="T51" s="102" t="n">
        <x:f>IF(W81="",AJ81,"")</x:f>
        <x:v>0.13465035710403853</x:v>
      </x:c>
      <x:c r="U51" s="112" t="n">
        <x:f>IF(ISNUMBER(L51),L51/(60000+L51),IF(L51="","",L51))</x:f>
        <x:v>0.000004860968790752094</x:v>
      </x:c>
      <x:c r="V51" s="30"/>
      <x:c r="W51" s="30"/>
      <x:c r="X51" s="30"/>
    </x:row>
    <x:row r="52" ht="22" customHeight="1">
      <x:c r="A52" s="30" t="str">
        <x:f>A24</x:f>
        <x:v>KimiK3</x:v>
      </x:c>
      <x:c r="B52" s="30" t="n">
        <x:f>B24</x:f>
        <x:v>256</x:v>
      </x:c>
      <x:c r="C52" s="74" t="n">
        <x:f>$B$17</x:f>
        <x:v>1048576</x:v>
      </x:c>
      <x:c r="D52" s="30" t="n">
        <x:f>$C$17</x:f>
        <x:v>60</x:v>
      </x:c>
      <x:c r="E52" s="30" t="n">
        <x:f>$F$17</x:f>
        <x:v>20</x:v>
      </x:c>
      <x:c r="F52" s="75" t="n">
        <x:f>IF(A82,60000/L82,"")</x:f>
        <x:v>1</x:v>
      </x:c>
      <x:c r="G52" s="75" t="n">
        <x:f>K82</x:f>
        <x:v>96.83884032</x:v>
      </x:c>
      <x:c r="H52" s="75" t="n">
        <x:f>IF(W82="",U82*R82,"")</x:f>
        <x:v>5.831219767376661</x:v>
      </x:c>
      <x:c r="I52" s="75" t="n">
        <x:f>IF(W82="",U82*S82,"")</x:f>
        <x:v>3.8526642646231624</x:v>
      </x:c>
      <x:c r="J52" s="75" t="n">
        <x:f>IF(W82="",U82*MAX(0,R82-S82),"")</x:f>
        <x:v>1.9785555027534985</x:v>
      </x:c>
      <x:c r="K52" s="75" t="n">
        <x:f>IF(W82="",IF(OR(AK82=0,K82=0),0,U82*E24*MIN(1,(K82+AL82)/L82)),"")</x:f>
        <x:v>445.4722185986667</x:v>
      </x:c>
      <x:c r="L52" s="34" t="n">
        <x:f>IF(W82="",V82,"")</x:f>
        <x:v>0.14582977259653618</x:v>
      </x:c>
      <x:c r="M52" s="34" t="n">
        <x:f>IF(W82="",E52*V82/60,"")</x:f>
        <x:v>0.04860992419884539</x:v>
      </x:c>
      <x:c r="N52" s="34" t="n">
        <x:f>IF(W82="",V82/60000*1e6,"")</x:f>
        <x:v>2.4304962099422696</x:v>
      </x:c>
      <x:c r="O52" s="30" t="str">
        <x:f>IF(W82="","",W82)</x:f>
      </x:c>
      <x:c r="P52" s="49" t="n">
        <x:f>Q82</x:f>
        <x:v>35.24159702200649</x:v>
      </x:c>
      <x:c r="Q52" s="102" t="n">
        <x:f>AE82</x:f>
        <x:v>0.6006784</x:v>
      </x:c>
      <x:c r="R52" s="102" t="n">
        <x:f>AF82</x:f>
        <x:v>0.1251413333333333</x:v>
      </x:c>
      <x:c r="S52" s="102" t="n">
        <x:f>IF(W82="",AI82,"")</x:f>
        <x:v>0.0785045940445169</x:v>
      </x:c>
      <x:c r="T52" s="102" t="n">
        <x:f>IF(W82="",AJ82,"")</x:f>
        <x:v>0.06732517855201926</x:v>
      </x:c>
      <x:c r="U52" s="112" t="n">
        <x:f>IF(ISNUMBER(L52),L52/(60000+L52),IF(L52="","",L52))</x:f>
        <x:v>0.0000024304903026448005</x:v>
      </x:c>
      <x:c r="V52" s="30"/>
      <x:c r="W52" s="30"/>
      <x:c r="X52" s="30"/>
    </x:row>
    <x:row r="53" ht="22" customHeight="1">
      <x:c r="A53" s="30" t="str">
        <x:f>A24</x:f>
        <x:v>KimiK3</x:v>
      </x:c>
      <x:c r="B53" s="30" t="n">
        <x:f>B24</x:f>
        <x:v>256</x:v>
      </x:c>
      <x:c r="C53" s="74" t="n">
        <x:f>$B$17</x:f>
        <x:v>1048576</x:v>
      </x:c>
      <x:c r="D53" s="30" t="n">
        <x:f>$C$17</x:f>
        <x:v>60</x:v>
      </x:c>
      <x:c r="E53" s="30" t="n">
        <x:f>$F$18</x:f>
        <x:v>30</x:v>
      </x:c>
      <x:c r="F53" s="75" t="n">
        <x:f>IF(A83,60000/L83,"")</x:f>
        <x:v>1</x:v>
      </x:c>
      <x:c r="G53" s="75" t="n">
        <x:f>K83</x:f>
        <x:v>96.83884032</x:v>
      </x:c>
      <x:c r="H53" s="75" t="n">
        <x:f>IF(W83="",U83*R83,"")</x:f>
        <x:v>4.217189989845549</x:v>
      </x:c>
      <x:c r="I53" s="75" t="n">
        <x:f>IF(W83="",U83*S83,"")</x:f>
        <x:v>2.2387326981545552</x:v>
      </x:c>
      <x:c r="J53" s="75" t="n">
        <x:f>IF(W83="",U83*MAX(0,R83-S83),"")</x:f>
        <x:v>1.9784572916909937</x:v>
      </x:c>
      <x:c r="K53" s="75" t="n">
        <x:f>IF(W83="",IF(OR(AK83=0,K83=0),0,U83*E24*MIN(1,(K83+AL83)/L83)),"")</x:f>
        <x:v>296.9814790657778</x:v>
      </x:c>
      <x:c r="L53" s="34" t="n">
        <x:f>IF(W83="",V83,"")</x:f>
        <x:v>0.09721984839769078</x:v>
      </x:c>
      <x:c r="M53" s="34" t="n">
        <x:f>IF(W83="",E53*V83/60,"")</x:f>
        <x:v>0.04860992419884539</x:v>
      </x:c>
      <x:c r="N53" s="34" t="n">
        <x:f>IF(W83="",V83/60000*1e6,"")</x:f>
        <x:v>1.6203308066281796</x:v>
      </x:c>
      <x:c r="O53" s="30" t="str">
        <x:f>IF(W83="","",W83)</x:f>
      </x:c>
      <x:c r="P53" s="49" t="n">
        <x:f>Q83</x:f>
        <x:v>23.445190747680634</x:v>
      </x:c>
      <x:c r="Q53" s="102" t="n">
        <x:f>AE83</x:f>
        <x:v>0.6006784</x:v>
      </x:c>
      <x:c r="R53" s="102" t="n">
        <x:f>AF83</x:f>
        <x:v>0.1251413333333333</x:v>
      </x:c>
      <x:c r="S53" s="102" t="n">
        <x:f>IF(W83="",AI83,"")</x:f>
        <x:v>0.052336396029677934</x:v>
      </x:c>
      <x:c r="T53" s="102" t="n">
        <x:f>IF(W83="",AJ83,"")</x:f>
        <x:v>0.04488345236801285</x:v>
      </x:c>
      <x:c r="U53" s="112" t="n">
        <x:f>IF(ISNUMBER(L53),L53/(60000+L53),IF(L53="","",L53))</x:f>
        <x:v>0.000001620328181160511</x:v>
      </x:c>
      <x:c r="V53" s="30"/>
      <x:c r="W53" s="30"/>
      <x:c r="X53" s="30"/>
    </x:row>
    <x:row r="54" ht="22" customHeight="1">
      <x:c r="A54" s="30" t="str">
        <x:v>Decode throughput loss = Total overhead / (60000 + Total overhead). Fixed batch size and tokens/step; Decode stays busy.</x:v>
      </x:c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</x:row>
    <x:row r="55" ht="22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</x:row>
    <x:row r="56" ht="22" customHeight="1">
      <x:c r="A56" s="30" t="str">
        <x:v>统计单位为一个 D DP 副本的 forward。EP 内各 Rank 并行，不能再把 forward 次数乘 EP。</x:v>
      </x:c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</x:row>
    <x:row r="57" ht="22" customHeight="1">
      <x:c r="A57" s="30" t="str">
        <x:v>EP、TP 增时分别计算后相加；重叠 FW 统计合并层段，不能把两种通信的 FW 次数相加。</x:v>
      </x:c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</x:row>
    <x:row r="58" ht="22" customHeight="1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</x:row>
    <x:row r="59" ht="42" customHeight="1">
      <x:c r="A59" s="73" t="str">
        <x:v>输入有效</x:v>
      </x:c>
      <x:c r="B59" s="73" t="str">
        <x:v>周期 ms</x:v>
      </x:c>
      <x:c r="C59" s="73" t="str">
        <x:v>步间隔 ms</x:v>
      </x:c>
      <x:c r="D59" s="73" t="str">
        <x:v>取 GiB/请求</x:v>
      </x:c>
      <x:c r="E59" s="73" t="str">
        <x:v>P DP/组</x:v>
      </x:c>
      <x:c r="F59" s="73" t="str">
        <x:v>D DP/组</x:v>
      </x:c>
      <x:c r="G59" s="73" t="str">
        <x:v>全系统请求交接/min</x:v>
      </x:c>
      <x:c r="H59" s="73" t="str">
        <x:v>每 D DP 请求/min</x:v>
      </x:c>
      <x:c r="I59" s="73" t="str">
        <x:v>P Rank GiB/窗口</x:v>
      </x:c>
      <x:c r="J59" s="73" t="str">
        <x:v>D Rank GiB/窗口</x:v>
      </x:c>
      <x:c r="K59" s="73" t="str">
        <x:v>KV 窗口 ms</x:v>
      </x:c>
      <x:c r="L59" s="73" t="str">
        <x:v>KV 间隔 ms</x:v>
      </x:c>
      <x:c r="M59" s="73" t="str">
        <x:v>KV 负载率</x:v>
      </x:c>
      <x:c r="N59" s="73" t="str">
        <x:v>EP GB/Rank/步</x:v>
      </x:c>
      <x:c r="O59" s="73" t="str">
        <x:v>EP 带宽项 ms</x:v>
      </x:c>
      <x:c r="P59" s="73" t="str">
        <x:v>每层 EP 段 ms</x:v>
      </x:c>
      <x:c r="Q59" s="73" t="str">
        <x:v>最低 EP GB/s</x:v>
      </x:c>
      <x:c r="R59" s="73" t="str">
        <x:v>FW 重叠概率</x:v>
      </x:c>
      <x:c r="S59" s="73" t="str">
        <x:v>全通信概率</x:v>
      </x:c>
      <x:c r="T59" s="73" t="str">
        <x:v>每层平均增时 ms</x:v>
      </x:c>
      <x:c r="U59" s="73" t="str">
        <x:v>基线 FW/min</x:v>
      </x:c>
      <x:c r="V59" s="18" t="str">
        <x:v>Total overhead
ms/60s</x:v>
      </x:c>
      <x:c r="W59" s="73" t="str">
        <x:v>输入 / 调度状态</x:v>
      </x:c>
      <x:c r="X59" s="73" t="str">
        <x:v>等效全通信 FW/min</x:v>
      </x:c>
      <x:c r="Y59" s="90" t="str">
        <x:v>Embedding TP GB</x:v>
      </x:c>
      <x:c r="Z59" s="90" t="str">
        <x:v>Attention SP GB</x:v>
      </x:c>
      <x:c r="AA59" s="90" t="str">
        <x:v>Dense TP GB</x:v>
      </x:c>
      <x:c r="AB59" s="90" t="str">
        <x:v>Shared TP GB</x:v>
      </x:c>
      <x:c r="AC59" s="90" t="str">
        <x:v>Final Hidden GB</x:v>
      </x:c>
      <x:c r="AD59" s="90" t="str">
        <x:v>Sampling TP GB</x:v>
      </x:c>
      <x:c r="AE59" s="90" t="str">
        <x:v>TP GB/Rank/步</x:v>
      </x:c>
      <x:c r="AF59" s="90" t="str">
        <x:v>TP 带宽项 ms</x:v>
      </x:c>
      <x:c r="AG59" s="90" t="str">
        <x:v>每层 TP 段 ms</x:v>
      </x:c>
      <x:c r="AH59" s="90" t="str">
        <x:v>TP 每层增时 ms</x:v>
      </x:c>
      <x:c r="AI59" s="90" t="str">
        <x:v>EP 增时 ms/60s</x:v>
      </x:c>
      <x:c r="AJ59" s="90" t="str">
        <x:v>TP 增时 ms/60s</x:v>
      </x:c>
      <x:c r="AK59" s="90" t="str">
        <x:v>EP+TP 带宽 ms</x:v>
      </x:c>
      <x:c r="AL59" s="90" t="str">
        <x:v>每层合并段 ms</x:v>
      </x:c>
    </x:row>
    <x:row r="60" ht="22" customHeight="1">
      <x:c r="A60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30),D30&gt;0),AND(ISNUMBER(E30),E30&gt;0),MOD($B$5,1)=0,MOD($F$5,1)=0,MOD($J$5,1)=0,MOD($B$9,1)=0,MOD(K23,1)=0,ISNUMBER(C30),C30&gt;=2,MOD(C30,1)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0" s="76" t="n">
        <x:f>IF(A60,D30*1000,"")</x:f>
        <x:v>4000</x:v>
      </x:c>
      <x:c r="C60" s="76" t="n">
        <x:f>IF(A60,E30*L23,"")</x:f>
        <x:v>5</x:v>
      </x:c>
      <x:c r="D60" s="76" t="n">
        <x:f>IF(A60,M93,"")</x:f>
        <x:v>3.8266754150390625</x:v>
      </x:c>
      <x:c r="E60" s="76" t="n">
        <x:f>IF(A60,B23/C23,"")</x:f>
        <x:v>4</x:v>
      </x:c>
      <x:c r="F60" s="76" t="n">
        <x:f>IF(A60,B23/D23,"")</x:f>
        <x:v>4</x:v>
      </x:c>
      <x:c r="G60" s="76" t="n">
        <x:f>IF(A60,$F$5*E60*$B$5*60000/B60,"")</x:f>
        <x:v>960</x:v>
      </x:c>
      <x:c r="H60" s="76" t="n">
        <x:f>IF(A60,G60/($J$5*F60),"")</x:f>
        <x:v>240</x:v>
      </x:c>
      <x:c r="I60" s="76" t="n">
        <x:f>IF(A60,$B$5*D60/C23/$B$9,"")</x:f>
        <x:v>7.653350830078125</x:v>
      </x:c>
      <x:c r="J60" s="76" t="n">
        <x:f>IF(A60,I60*$F$5/$J$5,"")</x:f>
        <x:v>7.653350830078125</x:v>
      </x:c>
      <x:c r="K60" s="76" t="n">
        <x:f>IF(A60,MAX(I60,J60)*2^30/(J23*1e6),"")</x:f>
        <x:v>1.7120256</x:v>
      </x:c>
      <x:c r="L60" s="76" t="n">
        <x:f>IF(A60,B60/$B$9,"")</x:f>
        <x:v>4000</x:v>
      </x:c>
      <x:c r="M60" s="77" t="n">
        <x:f>IF(A60,K60/L60,"")</x:f>
        <x:v>0.0004280064</x:v>
      </x:c>
      <x:c r="N60" s="76" t="n">
        <x:f>IF(A60,(E23*ROUNDUP(K23/D23,0)*G23*(B23-1)/B23*(ROUNDUP((ROUNDUP(F23*2/32,0)*32+32)/480,0)*512+F23*2+32)+E23*ROUNDUP(H23/B23,0)*(B23-1)*32)/1e9,"")</x:f>
        <x:v>0.68082944</x:v>
      </x:c>
      <x:c r="O60" s="76" t="n">
        <x:f>IF(A60,N60*1000/I23,"")</x:f>
        <x:v>0.14183946666666666</x:v>
      </x:c>
      <x:c r="P60" s="76" t="n">
        <x:f>IF(A60,O60/E23,"")</x:f>
        <x:v>0.0015417333333333334</x:v>
      </x:c>
      <x:c r="Q60" s="76" t="n">
        <x:f>IF(A60,IF(C60&gt;AF60,N60*1000/(C60-AF60),""),"")</x:f>
        <x:v>139.66137001168445</x:v>
      </x:c>
      <x:c r="R60" s="76" t="n">
        <x:f>IF(W60="",IF(OR(K60=0,AK60=0),0,1-((E23-1)*MAX(0,(C60-AK60)/E23-(K60))+MAX(0,L60-((E23-1)*C60/E23+AL60)-(K60)))/L60),"")</x:f>
        <x:v>0.0016651449347825364</x:v>
      </x:c>
      <x:c r="S60" s="76" t="n">
        <x:f>IF(W60="",IF(AK60=0,0,MAX(0,1-(1-((E23-1)*MAX(0,(C60-AK60)/E23-(L60-K60))+MAX(0,L60-((E23-1)*C60/E23+AL60)-(L60-K60)))/L60))),"")</x:f>
        <x:v>0</x:v>
      </x:c>
      <x:c r="T60" s="76" t="n">
        <x:f>IF(W60="",IF(OR(P60=0,K60=0,$J$7=0),0,IF(P60&lt;=(1-$J$7)*K60,$J$7*P60*K60/(1-$J$7)-$J$7^2*P60^2/(2*(1-$J$7)^2),$J$7*P60*K60+$J$7^2*K60^2/2)/L60),"")</x:f>
        <x:v>7.331541340902606e-8</x:v>
      </x:c>
      <x:c r="U60" s="76" t="n">
        <x:f>IF(A60,60000/C60,"")</x:f>
        <x:v>12000</x:v>
      </x:c>
      <x:c r="V60" s="76" t="n">
        <x:f>IF(W60="",SUM(AI60:AJ60),"")</x:f>
        <x:v>0.15235211958680156</x:v>
      </x:c>
      <x:c r="W60" s="76" t="str">
        <x:f>IF(NOT(A60),"输入无效",IF(K60&gt;=L60,"KV 超载",IF(AK60&gt;C60+1e-9,"TPOT 不自洽",IF(OR(C60&gt;L60,MAX(P60,AG60)&gt;L60-K60),"需时序仿真",""))))</x:f>
      </x:c>
      <x:c r="X60" s="76" t="n">
        <x:f>IF(W60="",U60*M60,"")</x:f>
        <x:v>5.1360768</x:v>
      </x:c>
      <x:c r="Y60" s="103" t="n">
        <x:f>IF(A60,K23*F23*2*2*(D23-1)/D23/1e9,"")</x:f>
        <x:v>0.003211264</x:v>
      </x:c>
      <x:c r="Z60" s="103" t="n">
        <x:f>IF(A60,S23*2*ROUNDUP(K23/D23,0)*F23*2*(D23-1)/1e9,"")</x:f>
        <x:v>0.298647552</x:v>
      </x:c>
      <x:c r="AA60" s="103" t="n">
        <x:f>IF(A60,T23*ROUNDUP(K23/D23,0)*F23*2*2*(D23-1)/D23/1e9,"")</x:f>
        <x:v>0.000401408</x:v>
      </x:c>
      <x:c r="AB60" s="103" t="n">
        <x:f>IF(A60,U23*2*ROUNDUP(K23/D23,0)*F23*2*(D23-1)/1e9,"")</x:f>
        <x:v>0.295436288</x:v>
      </x:c>
      <x:c r="AC60" s="103" t="n">
        <x:f>IF(A60,ROUNDUP(K23/D23,0)*F23*2*(D23-1)/1e9,"")</x:f>
        <x:v>0.001605632</x:v>
      </x:c>
      <x:c r="AD60" s="103" t="n">
        <x:f>IF(A60,K23*256*(2+4)*(D23-1)/1e9,"")</x:f>
        <x:v>0.001376256</x:v>
      </x:c>
      <x:c r="AE60" s="103" t="n">
        <x:f>IF(A60,SUM(Y60:AD60),"")</x:f>
        <x:v>0.6006784</x:v>
      </x:c>
      <x:c r="AF60" s="103" t="n">
        <x:f>IF(A60,AE60*1000/P23,"")</x:f>
        <x:v>0.1251413333333333</x:v>
      </x:c>
      <x:c r="AG60" s="103" t="n">
        <x:f>IF(A60,AF60/E23,"")</x:f>
        <x:v>0.0013602318840579706</x:v>
      </x:c>
      <x:c r="AH60" s="103" t="n">
        <x:f>IF(W60="",IF(OR(AG60=0,K60=0,$J$7=0),0,IF(AG60&lt;=(1-$J$7)*K60,$J$7*AG60*K60/(1-$J$7)-$J$7^2*AG60^2/(2*(1-$J$7)^2),$J$7*AG60*K60+$J$7^2*K60^2/2)/L60),"")</x:f>
        <x:v>6.468469491235216e-8</x:v>
      </x:c>
      <x:c r="AI60" s="103" t="n">
        <x:f>IF(W60="",U60*E23*T60*M23*N23,"")</x:f>
        <x:v>0.08094021640356477</x:v>
      </x:c>
      <x:c r="AJ60" s="103" t="n">
        <x:f>IF(W60="",U60*E23*AH60*Q23*R23,"")</x:f>
        <x:v>0.07141190318323679</x:v>
      </x:c>
      <x:c r="AK60" s="103" t="n">
        <x:f>IF(A60,O60+AF60,"")</x:f>
        <x:v>0.26698079999999996</x:v>
      </x:c>
      <x:c r="AL60" s="103" t="n">
        <x:f>IF(A60,AK60/E23,"")</x:f>
        <x:v>0.002901965217391304</x:v>
      </x:c>
    </x:row>
    <x:row r="61" ht="22" customHeight="1">
      <x:c r="A61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31),D31&gt;0),AND(ISNUMBER(E31),E31&gt;0),MOD($B$5,1)=0,MOD($F$5,1)=0,MOD($J$5,1)=0,MOD($B$9,1)=0,MOD(K23,1)=0,ISNUMBER(C31),C31&gt;=2,MOD(C31,1)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1" s="76" t="n">
        <x:f>IF(A61,D31*1000,"")</x:f>
        <x:v>4000</x:v>
      </x:c>
      <x:c r="C61" s="76" t="n">
        <x:f>IF(A61,E31*L23,"")</x:f>
        <x:v>10</x:v>
      </x:c>
      <x:c r="D61" s="76" t="n">
        <x:f>IF(A61,M93,"")</x:f>
        <x:v>3.8266754150390625</x:v>
      </x:c>
      <x:c r="E61" s="76" t="n">
        <x:f>IF(A61,B23/C23,"")</x:f>
        <x:v>4</x:v>
      </x:c>
      <x:c r="F61" s="76" t="n">
        <x:f>IF(A61,B23/D23,"")</x:f>
        <x:v>4</x:v>
      </x:c>
      <x:c r="G61" s="76" t="n">
        <x:f>IF(A61,$F$5*E61*$B$5*60000/B61,"")</x:f>
        <x:v>960</x:v>
      </x:c>
      <x:c r="H61" s="76" t="n">
        <x:f>IF(A61,G61/($J$5*F61),"")</x:f>
        <x:v>240</x:v>
      </x:c>
      <x:c r="I61" s="76" t="n">
        <x:f>IF(A61,$B$5*D61/C23/$B$9,"")</x:f>
        <x:v>7.653350830078125</x:v>
      </x:c>
      <x:c r="J61" s="76" t="n">
        <x:f>IF(A61,I61*$F$5/$J$5,"")</x:f>
        <x:v>7.653350830078125</x:v>
      </x:c>
      <x:c r="K61" s="76" t="n">
        <x:f>IF(A61,MAX(I61,J61)*2^30/(J23*1e6),"")</x:f>
        <x:v>1.7120256</x:v>
      </x:c>
      <x:c r="L61" s="76" t="n">
        <x:f>IF(A61,B61/$B$9,"")</x:f>
        <x:v>4000</x:v>
      </x:c>
      <x:c r="M61" s="77" t="n">
        <x:f>IF(A61,K61/L61,"")</x:f>
        <x:v>0.0004280064</x:v>
      </x:c>
      <x:c r="N61" s="76" t="n">
        <x:f>IF(A61,(E23*ROUNDUP(K23/D23,0)*G23*(B23-1)/B23*(ROUNDUP((ROUNDUP(F23*2/32,0)*32+32)/480,0)*512+F23*2+32)+E23*ROUNDUP(H23/B23,0)*(B23-1)*32)/1e9,"")</x:f>
        <x:v>0.68082944</x:v>
      </x:c>
      <x:c r="O61" s="76" t="n">
        <x:f>IF(A61,N61*1000/I23,"")</x:f>
        <x:v>0.14183946666666666</x:v>
      </x:c>
      <x:c r="P61" s="76" t="n">
        <x:f>IF(A61,O61/E23,"")</x:f>
        <x:v>0.0015417333333333334</x:v>
      </x:c>
      <x:c r="Q61" s="76" t="n">
        <x:f>IF(A61,IF(C61&gt;AF61,N61*1000/(C61-AF61),""),"")</x:f>
        <x:v>68.94574018544603</x:v>
      </x:c>
      <x:c r="R61" s="76" t="n">
        <x:f>IF(W61="",IF(OR(K61=0,AK61=0),0,1-((E23-1)*MAX(0,(C61-AK61)/E23-(K61))+MAX(0,L61-((E23-1)*C61/E23+AL61)-(K61)))/L61),"")</x:f>
        <x:v>0.0029015579782608603</x:v>
      </x:c>
      <x:c r="S61" s="76" t="n">
        <x:f>IF(W61="",IF(AK61=0,0,MAX(0,1-(1-((E23-1)*MAX(0,(C61-AK61)/E23-(L61-K61))+MAX(0,L61-((E23-1)*C61/E23+AL61)-(L61-K61)))/L61))),"")</x:f>
        <x:v>0</x:v>
      </x:c>
      <x:c r="T61" s="76" t="n">
        <x:f>IF(W61="",IF(OR(P61=0,K61=0,$J$7=0),0,IF(P61&lt;=(1-$J$7)*K61,$J$7*P61*K61/(1-$J$7)-$J$7^2*P61^2/(2*(1-$J$7)^2),$J$7*P61*K61+$J$7^2*K61^2/2)/L61),"")</x:f>
        <x:v>7.331541340902606e-8</x:v>
      </x:c>
      <x:c r="U61" s="76" t="n">
        <x:f>IF(A61,60000/C61,"")</x:f>
        <x:v>6000</x:v>
      </x:c>
      <x:c r="V61" s="76" t="n">
        <x:f>IF(W61="",SUM(AI61:AJ61),"")</x:f>
        <x:v>0.07617605979340078</x:v>
      </x:c>
      <x:c r="W61" s="76" t="str">
        <x:f>IF(NOT(A61),"输入无效",IF(K61&gt;=L61,"KV 超载",IF(AK61&gt;C61+1e-9,"TPOT 不自洽",IF(OR(C61&gt;L61,MAX(P61,AG61)&gt;L61-K61),"需时序仿真",""))))</x:f>
      </x:c>
      <x:c r="X61" s="76" t="n">
        <x:f>IF(W61="",U61*M61,"")</x:f>
        <x:v>2.5680384</x:v>
      </x:c>
      <x:c r="Y61" s="103" t="n">
        <x:f>IF(A61,K23*F23*2*2*(D23-1)/D23/1e9,"")</x:f>
        <x:v>0.003211264</x:v>
      </x:c>
      <x:c r="Z61" s="103" t="n">
        <x:f>IF(A61,S23*2*ROUNDUP(K23/D23,0)*F23*2*(D23-1)/1e9,"")</x:f>
        <x:v>0.298647552</x:v>
      </x:c>
      <x:c r="AA61" s="103" t="n">
        <x:f>IF(A61,T23*ROUNDUP(K23/D23,0)*F23*2*2*(D23-1)/D23/1e9,"")</x:f>
        <x:v>0.000401408</x:v>
      </x:c>
      <x:c r="AB61" s="103" t="n">
        <x:f>IF(A61,U23*2*ROUNDUP(K23/D23,0)*F23*2*(D23-1)/1e9,"")</x:f>
        <x:v>0.295436288</x:v>
      </x:c>
      <x:c r="AC61" s="103" t="n">
        <x:f>IF(A61,ROUNDUP(K23/D23,0)*F23*2*(D23-1)/1e9,"")</x:f>
        <x:v>0.001605632</x:v>
      </x:c>
      <x:c r="AD61" s="103" t="n">
        <x:f>IF(A61,K23*256*(2+4)*(D23-1)/1e9,"")</x:f>
        <x:v>0.001376256</x:v>
      </x:c>
      <x:c r="AE61" s="103" t="n">
        <x:f>IF(A61,SUM(Y61:AD61),"")</x:f>
        <x:v>0.6006784</x:v>
      </x:c>
      <x:c r="AF61" s="103" t="n">
        <x:f>IF(A61,AE61*1000/P23,"")</x:f>
        <x:v>0.1251413333333333</x:v>
      </x:c>
      <x:c r="AG61" s="103" t="n">
        <x:f>IF(A61,AF61/E23,"")</x:f>
        <x:v>0.0013602318840579706</x:v>
      </x:c>
      <x:c r="AH61" s="103" t="n">
        <x:f>IF(W61="",IF(OR(AG61=0,K61=0,$J$7=0),0,IF(AG61&lt;=(1-$J$7)*K61,$J$7*AG61*K61/(1-$J$7)-$J$7^2*AG61^2/(2*(1-$J$7)^2),$J$7*AG61*K61+$J$7^2*K61^2/2)/L61),"")</x:f>
        <x:v>6.468469491235216e-8</x:v>
      </x:c>
      <x:c r="AI61" s="103" t="n">
        <x:f>IF(W61="",U61*E23*T61*M23*N23,"")</x:f>
        <x:v>0.04047010820178239</x:v>
      </x:c>
      <x:c r="AJ61" s="103" t="n">
        <x:f>IF(W61="",U61*E23*AH61*Q23*R23,"")</x:f>
        <x:v>0.03570595159161839</x:v>
      </x:c>
      <x:c r="AK61" s="103" t="n">
        <x:f>IF(A61,O61+AF61,"")</x:f>
        <x:v>0.26698079999999996</x:v>
      </x:c>
      <x:c r="AL61" s="103" t="n">
        <x:f>IF(A61,AK61/E23,"")</x:f>
        <x:v>0.002901965217391304</x:v>
      </x:c>
    </x:row>
    <x:row r="62" ht="22" customHeight="1">
      <x:c r="A62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32),D32&gt;0),AND(ISNUMBER(E32),E32&gt;0),MOD($B$5,1)=0,MOD($F$5,1)=0,MOD($J$5,1)=0,MOD($B$9,1)=0,MOD(K23,1)=0,ISNUMBER(C32),C32&gt;=2,MOD(C32,1)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2" s="76" t="n">
        <x:f>IF(A62,D32*1000,"")</x:f>
        <x:v>4000</x:v>
      </x:c>
      <x:c r="C62" s="76" t="n">
        <x:f>IF(A62,E32*L23,"")</x:f>
        <x:v>20</x:v>
      </x:c>
      <x:c r="D62" s="76" t="n">
        <x:f>IF(A62,M93,"")</x:f>
        <x:v>3.8266754150390625</x:v>
      </x:c>
      <x:c r="E62" s="76" t="n">
        <x:f>IF(A62,B23/C23,"")</x:f>
        <x:v>4</x:v>
      </x:c>
      <x:c r="F62" s="76" t="n">
        <x:f>IF(A62,B23/D23,"")</x:f>
        <x:v>4</x:v>
      </x:c>
      <x:c r="G62" s="76" t="n">
        <x:f>IF(A62,$F$5*E62*$B$5*60000/B62,"")</x:f>
        <x:v>960</x:v>
      </x:c>
      <x:c r="H62" s="76" t="n">
        <x:f>IF(A62,G62/($J$5*F62),"")</x:f>
        <x:v>240</x:v>
      </x:c>
      <x:c r="I62" s="76" t="n">
        <x:f>IF(A62,$B$5*D62/C23/$B$9,"")</x:f>
        <x:v>7.653350830078125</x:v>
      </x:c>
      <x:c r="J62" s="76" t="n">
        <x:f>IF(A62,I62*$F$5/$J$5,"")</x:f>
        <x:v>7.653350830078125</x:v>
      </x:c>
      <x:c r="K62" s="76" t="n">
        <x:f>IF(A62,MAX(I62,J62)*2^30/(J23*1e6),"")</x:f>
        <x:v>1.7120256</x:v>
      </x:c>
      <x:c r="L62" s="76" t="n">
        <x:f>IF(A62,B62/$B$9,"")</x:f>
        <x:v>4000</x:v>
      </x:c>
      <x:c r="M62" s="77" t="n">
        <x:f>IF(A62,K62/L62,"")</x:f>
        <x:v>0.0004280064</x:v>
      </x:c>
      <x:c r="N62" s="76" t="n">
        <x:f>IF(A62,(E23*ROUNDUP(K23/D23,0)*G23*(B23-1)/B23*(ROUNDUP((ROUNDUP(F23*2/32,0)*32+32)/480,0)*512+F23*2+32)+E23*ROUNDUP(H23/B23,0)*(B23-1)*32)/1e9,"")</x:f>
        <x:v>0.68082944</x:v>
      </x:c>
      <x:c r="O62" s="76" t="n">
        <x:f>IF(A62,N62*1000/I23,"")</x:f>
        <x:v>0.14183946666666666</x:v>
      </x:c>
      <x:c r="P62" s="76" t="n">
        <x:f>IF(A62,O62/E23,"")</x:f>
        <x:v>0.0015417333333333334</x:v>
      </x:c>
      <x:c r="Q62" s="76" t="n">
        <x:f>IF(A62,IF(C62&gt;AF62,N62*1000/(C62-AF62),""),"")</x:f>
        <x:v>34.25581290506786</x:v>
      </x:c>
      <x:c r="R62" s="76" t="n">
        <x:f>IF(W62="",IF(OR(K62=0,AK62=0),0,1-((E23-1)*MAX(0,(C62-AK62)/E23-(K62))+MAX(0,L62-((E23-1)*C62/E23+AL62)-(K62)))/L62),"")</x:f>
        <x:v>0.005374384065217286</x:v>
      </x:c>
      <x:c r="S62" s="76" t="n">
        <x:f>IF(W62="",IF(AK62=0,0,MAX(0,1-(1-((E23-1)*MAX(0,(C62-AK62)/E23-(L62-K62))+MAX(0,L62-((E23-1)*C62/E23+AL62)-(L62-K62)))/L62))),"")</x:f>
        <x:v>0</x:v>
      </x:c>
      <x:c r="T62" s="76" t="n">
        <x:f>IF(W62="",IF(OR(P62=0,K62=0,$J$7=0),0,IF(P62&lt;=(1-$J$7)*K62,$J$7*P62*K62/(1-$J$7)-$J$7^2*P62^2/(2*(1-$J$7)^2),$J$7*P62*K62+$J$7^2*K62^2/2)/L62),"")</x:f>
        <x:v>7.331541340902606e-8</x:v>
      </x:c>
      <x:c r="U62" s="76" t="n">
        <x:f>IF(A62,60000/C62,"")</x:f>
        <x:v>3000</x:v>
      </x:c>
      <x:c r="V62" s="76" t="n">
        <x:f>IF(W62="",SUM(AI62:AJ62),"")</x:f>
        <x:v>0.03808802989670039</x:v>
      </x:c>
      <x:c r="W62" s="76" t="str">
        <x:f>IF(NOT(A62),"输入无效",IF(K62&gt;=L62,"KV 超载",IF(AK62&gt;C62+1e-9,"TPOT 不自洽",IF(OR(C62&gt;L62,MAX(P62,AG62)&gt;L62-K62),"需时序仿真",""))))</x:f>
      </x:c>
      <x:c r="X62" s="76" t="n">
        <x:f>IF(W62="",U62*M62,"")</x:f>
        <x:v>1.2840192</x:v>
      </x:c>
      <x:c r="Y62" s="103" t="n">
        <x:f>IF(A62,K23*F23*2*2*(D23-1)/D23/1e9,"")</x:f>
        <x:v>0.003211264</x:v>
      </x:c>
      <x:c r="Z62" s="103" t="n">
        <x:f>IF(A62,S23*2*ROUNDUP(K23/D23,0)*F23*2*(D23-1)/1e9,"")</x:f>
        <x:v>0.298647552</x:v>
      </x:c>
      <x:c r="AA62" s="103" t="n">
        <x:f>IF(A62,T23*ROUNDUP(K23/D23,0)*F23*2*2*(D23-1)/D23/1e9,"")</x:f>
        <x:v>0.000401408</x:v>
      </x:c>
      <x:c r="AB62" s="103" t="n">
        <x:f>IF(A62,U23*2*ROUNDUP(K23/D23,0)*F23*2*(D23-1)/1e9,"")</x:f>
        <x:v>0.295436288</x:v>
      </x:c>
      <x:c r="AC62" s="103" t="n">
        <x:f>IF(A62,ROUNDUP(K23/D23,0)*F23*2*(D23-1)/1e9,"")</x:f>
        <x:v>0.001605632</x:v>
      </x:c>
      <x:c r="AD62" s="103" t="n">
        <x:f>IF(A62,K23*256*(2+4)*(D23-1)/1e9,"")</x:f>
        <x:v>0.001376256</x:v>
      </x:c>
      <x:c r="AE62" s="103" t="n">
        <x:f>IF(A62,SUM(Y62:AD62),"")</x:f>
        <x:v>0.6006784</x:v>
      </x:c>
      <x:c r="AF62" s="103" t="n">
        <x:f>IF(A62,AE62*1000/P23,"")</x:f>
        <x:v>0.1251413333333333</x:v>
      </x:c>
      <x:c r="AG62" s="103" t="n">
        <x:f>IF(A62,AF62/E23,"")</x:f>
        <x:v>0.0013602318840579706</x:v>
      </x:c>
      <x:c r="AH62" s="103" t="n">
        <x:f>IF(W62="",IF(OR(AG62=0,K62=0,$J$7=0),0,IF(AG62&lt;=(1-$J$7)*K62,$J$7*AG62*K62/(1-$J$7)-$J$7^2*AG62^2/(2*(1-$J$7)^2),$J$7*AG62*K62+$J$7^2*K62^2/2)/L62),"")</x:f>
        <x:v>6.468469491235216e-8</x:v>
      </x:c>
      <x:c r="AI62" s="103" t="n">
        <x:f>IF(W62="",U62*E23*T62*M23*N23,"")</x:f>
        <x:v>0.020235054100891194</x:v>
      </x:c>
      <x:c r="AJ62" s="103" t="n">
        <x:f>IF(W62="",U62*E23*AH62*Q23*R23,"")</x:f>
        <x:v>0.017852975795809196</x:v>
      </x:c>
      <x:c r="AK62" s="103" t="n">
        <x:f>IF(A62,O62+AF62,"")</x:f>
        <x:v>0.26698079999999996</x:v>
      </x:c>
      <x:c r="AL62" s="103" t="n">
        <x:f>IF(A62,AK62/E23,"")</x:f>
        <x:v>0.002901965217391304</x:v>
      </x:c>
    </x:row>
    <x:row r="63" ht="22" customHeight="1">
      <x:c r="A63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33),D33&gt;0),AND(ISNUMBER(E33),E33&gt;0),MOD($B$5,1)=0,MOD($F$5,1)=0,MOD($J$5,1)=0,MOD($B$9,1)=0,MOD(K23,1)=0,ISNUMBER(C33),C33&gt;=2,MOD(C33,1)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3" s="76" t="n">
        <x:f>IF(A63,D33*1000,"")</x:f>
        <x:v>4000</x:v>
      </x:c>
      <x:c r="C63" s="76" t="n">
        <x:f>IF(A63,E33*L23,"")</x:f>
        <x:v>30</x:v>
      </x:c>
      <x:c r="D63" s="76" t="n">
        <x:f>IF(A63,M93,"")</x:f>
        <x:v>3.8266754150390625</x:v>
      </x:c>
      <x:c r="E63" s="76" t="n">
        <x:f>IF(A63,B23/C23,"")</x:f>
        <x:v>4</x:v>
      </x:c>
      <x:c r="F63" s="76" t="n">
        <x:f>IF(A63,B23/D23,"")</x:f>
        <x:v>4</x:v>
      </x:c>
      <x:c r="G63" s="76" t="n">
        <x:f>IF(A63,$F$5*E63*$B$5*60000/B63,"")</x:f>
        <x:v>960</x:v>
      </x:c>
      <x:c r="H63" s="76" t="n">
        <x:f>IF(A63,G63/($J$5*F63),"")</x:f>
        <x:v>240</x:v>
      </x:c>
      <x:c r="I63" s="76" t="n">
        <x:f>IF(A63,$B$5*D63/C23/$B$9,"")</x:f>
        <x:v>7.653350830078125</x:v>
      </x:c>
      <x:c r="J63" s="76" t="n">
        <x:f>IF(A63,I63*$F$5/$J$5,"")</x:f>
        <x:v>7.653350830078125</x:v>
      </x:c>
      <x:c r="K63" s="76" t="n">
        <x:f>IF(A63,MAX(I63,J63)*2^30/(J23*1e6),"")</x:f>
        <x:v>1.7120256</x:v>
      </x:c>
      <x:c r="L63" s="76" t="n">
        <x:f>IF(A63,B63/$B$9,"")</x:f>
        <x:v>4000</x:v>
      </x:c>
      <x:c r="M63" s="77" t="n">
        <x:f>IF(A63,K63/L63,"")</x:f>
        <x:v>0.0004280064</x:v>
      </x:c>
      <x:c r="N63" s="76" t="n">
        <x:f>IF(A63,(E23*ROUNDUP(K23/D23,0)*G23*(B23-1)/B23*(ROUNDUP((ROUNDUP(F23*2/32,0)*32+32)/480,0)*512+F23*2+32)+E23*ROUNDUP(H23/B23,0)*(B23-1)*32)/1e9,"")</x:f>
        <x:v>0.68082944</x:v>
      </x:c>
      <x:c r="O63" s="76" t="n">
        <x:f>IF(A63,N63*1000/I23,"")</x:f>
        <x:v>0.14183946666666666</x:v>
      </x:c>
      <x:c r="P63" s="76" t="n">
        <x:f>IF(A63,O63/E23,"")</x:f>
        <x:v>0.0015417333333333334</x:v>
      </x:c>
      <x:c r="Q63" s="76" t="n">
        <x:f>IF(A63,IF(C63&gt;AF63,N63*1000/(C63-AF63),""),"")</x:f>
        <x:v>22.789377770668615</x:v>
      </x:c>
      <x:c r="R63" s="76" t="n">
        <x:f>IF(W63="",IF(OR(K63=0,AK63=0),0,1-((E23-1)*MAX(0,(C63-AK63)/E23-(K63))+MAX(0,L63-((E23-1)*C63/E23+AL63)-(K63)))/L63),"")</x:f>
        <x:v>0.007847210152173822</x:v>
      </x:c>
      <x:c r="S63" s="76" t="n">
        <x:f>IF(W63="",IF(AK63=0,0,MAX(0,1-(1-((E23-1)*MAX(0,(C63-AK63)/E23-(L63-K63))+MAX(0,L63-((E23-1)*C63/E23+AL63)-(L63-K63)))/L63))),"")</x:f>
        <x:v>0</x:v>
      </x:c>
      <x:c r="T63" s="76" t="n">
        <x:f>IF(W63="",IF(OR(P63=0,K63=0,$J$7=0),0,IF(P63&lt;=(1-$J$7)*K63,$J$7*P63*K63/(1-$J$7)-$J$7^2*P63^2/(2*(1-$J$7)^2),$J$7*P63*K63+$J$7^2*K63^2/2)/L63),"")</x:f>
        <x:v>7.331541340902606e-8</x:v>
      </x:c>
      <x:c r="U63" s="76" t="n">
        <x:f>IF(A63,60000/C63,"")</x:f>
        <x:v>2000</x:v>
      </x:c>
      <x:c r="V63" s="76" t="n">
        <x:f>IF(W63="",SUM(AI63:AJ63),"")</x:f>
        <x:v>0.025392019931133596</x:v>
      </x:c>
      <x:c r="W63" s="76" t="str">
        <x:f>IF(NOT(A63),"输入无效",IF(K63&gt;=L63,"KV 超载",IF(AK63&gt;C63+1e-9,"TPOT 不自洽",IF(OR(C63&gt;L63,MAX(P63,AG63)&gt;L63-K63),"需时序仿真",""))))</x:f>
      </x:c>
      <x:c r="X63" s="76" t="n">
        <x:f>IF(W63="",U63*M63,"")</x:f>
        <x:v>0.8560128</x:v>
      </x:c>
      <x:c r="Y63" s="103" t="n">
        <x:f>IF(A63,K23*F23*2*2*(D23-1)/D23/1e9,"")</x:f>
        <x:v>0.003211264</x:v>
      </x:c>
      <x:c r="Z63" s="103" t="n">
        <x:f>IF(A63,S23*2*ROUNDUP(K23/D23,0)*F23*2*(D23-1)/1e9,"")</x:f>
        <x:v>0.298647552</x:v>
      </x:c>
      <x:c r="AA63" s="103" t="n">
        <x:f>IF(A63,T23*ROUNDUP(K23/D23,0)*F23*2*2*(D23-1)/D23/1e9,"")</x:f>
        <x:v>0.000401408</x:v>
      </x:c>
      <x:c r="AB63" s="103" t="n">
        <x:f>IF(A63,U23*2*ROUNDUP(K23/D23,0)*F23*2*(D23-1)/1e9,"")</x:f>
        <x:v>0.295436288</x:v>
      </x:c>
      <x:c r="AC63" s="103" t="n">
        <x:f>IF(A63,ROUNDUP(K23/D23,0)*F23*2*(D23-1)/1e9,"")</x:f>
        <x:v>0.001605632</x:v>
      </x:c>
      <x:c r="AD63" s="103" t="n">
        <x:f>IF(A63,K23*256*(2+4)*(D23-1)/1e9,"")</x:f>
        <x:v>0.001376256</x:v>
      </x:c>
      <x:c r="AE63" s="103" t="n">
        <x:f>IF(A63,SUM(Y63:AD63),"")</x:f>
        <x:v>0.6006784</x:v>
      </x:c>
      <x:c r="AF63" s="103" t="n">
        <x:f>IF(A63,AE63*1000/P23,"")</x:f>
        <x:v>0.1251413333333333</x:v>
      </x:c>
      <x:c r="AG63" s="103" t="n">
        <x:f>IF(A63,AF63/E23,"")</x:f>
        <x:v>0.0013602318840579706</x:v>
      </x:c>
      <x:c r="AH63" s="103" t="n">
        <x:f>IF(W63="",IF(OR(AG63=0,K63=0,$J$7=0),0,IF(AG63&lt;=(1-$J$7)*K63,$J$7*AG63*K63/(1-$J$7)-$J$7^2*AG63^2/(2*(1-$J$7)^2),$J$7*AG63*K63+$J$7^2*K63^2/2)/L63),"")</x:f>
        <x:v>6.468469491235216e-8</x:v>
      </x:c>
      <x:c r="AI63" s="103" t="n">
        <x:f>IF(W63="",U63*E23*T63*M23*N23,"")</x:f>
        <x:v>0.013490036067260796</x:v>
      </x:c>
      <x:c r="AJ63" s="103" t="n">
        <x:f>IF(W63="",U63*E23*AH63*Q23*R23,"")</x:f>
        <x:v>0.011901983863872798</x:v>
      </x:c>
      <x:c r="AK63" s="103" t="n">
        <x:f>IF(A63,O63+AF63,"")</x:f>
        <x:v>0.26698079999999996</x:v>
      </x:c>
      <x:c r="AL63" s="103" t="n">
        <x:f>IF(A63,AK63/E23,"")</x:f>
        <x:v>0.002901965217391304</x:v>
      </x:c>
    </x:row>
    <x:row r="64" ht="22" customHeight="1">
      <x:c r="A64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34),D34&gt;0),AND(ISNUMBER(E34),E34&gt;0),MOD($B$5,1)=0,MOD($F$5,1)=0,MOD($J$5,1)=0,MOD($B$9,1)=0,MOD(K23,1)=0,ISNUMBER(C34),C34&gt;=2,MOD(C34,1)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4" s="76" t="n">
        <x:f>IF(A64,D34*1000,"")</x:f>
        <x:v>20000</x:v>
      </x:c>
      <x:c r="C64" s="76" t="n">
        <x:f>IF(A64,E34*L23,"")</x:f>
        <x:v>5</x:v>
      </x:c>
      <x:c r="D64" s="76" t="n">
        <x:f>IF(A64,M97,"")</x:f>
        <x:v>54.45167541503906</x:v>
      </x:c>
      <x:c r="E64" s="76" t="n">
        <x:f>IF(A64,B23/C23,"")</x:f>
        <x:v>4</x:v>
      </x:c>
      <x:c r="F64" s="76" t="n">
        <x:f>IF(A64,B23/D23,"")</x:f>
        <x:v>4</x:v>
      </x:c>
      <x:c r="G64" s="76" t="n">
        <x:f>IF(A64,$F$5*E64*$B$5*60000/B64,"")</x:f>
        <x:v>192</x:v>
      </x:c>
      <x:c r="H64" s="76" t="n">
        <x:f>IF(A64,G64/($J$5*F64),"")</x:f>
        <x:v>48</x:v>
      </x:c>
      <x:c r="I64" s="76" t="n">
        <x:f>IF(A64,$B$5*D64/C23/$B$9,"")</x:f>
        <x:v>108.90335083007812</x:v>
      </x:c>
      <x:c r="J64" s="76" t="n">
        <x:f>IF(A64,I64*$F$5/$J$5,"")</x:f>
        <x:v>108.90335083007812</x:v>
      </x:c>
      <x:c r="K64" s="76" t="n">
        <x:f>IF(A64,MAX(I64,J64)*2^30/(J23*1e6),"")</x:f>
        <x:v>24.3612672</x:v>
      </x:c>
      <x:c r="L64" s="76" t="n">
        <x:f>IF(A64,B64/$B$9,"")</x:f>
        <x:v>20000</x:v>
      </x:c>
      <x:c r="M64" s="77" t="n">
        <x:f>IF(A64,K64/L64,"")</x:f>
        <x:v>0.00121806336</x:v>
      </x:c>
      <x:c r="N64" s="76" t="n">
        <x:f>IF(A64,(E23*ROUNDUP(K23/D23,0)*G23*(B23-1)/B23*(ROUNDUP((ROUNDUP(F23*2/32,0)*32+32)/480,0)*512+F23*2+32)+E23*ROUNDUP(H23/B23,0)*(B23-1)*32)/1e9,"")</x:f>
        <x:v>0.68082944</x:v>
      </x:c>
      <x:c r="O64" s="76" t="n">
        <x:f>IF(A64,N64*1000/I23,"")</x:f>
        <x:v>0.14183946666666666</x:v>
      </x:c>
      <x:c r="P64" s="76" t="n">
        <x:f>IF(A64,O64/E23,"")</x:f>
        <x:v>0.0015417333333333334</x:v>
      </x:c>
      <x:c r="Q64" s="76" t="n">
        <x:f>IF(A64,IF(C64&gt;AF64,N64*1000/(C64-AF64),""),"")</x:f>
        <x:v>139.66137001168445</x:v>
      </x:c>
      <x:c r="R64" s="76" t="n">
        <x:f>IF(W64="",IF(OR(K64=0,AK64=0),0,1-((E23-1)*MAX(0,(C64-AK64)/E23-(K64))+MAX(0,L64-((E23-1)*C64/E23+AL64)-(K64)))/L64),"")</x:f>
        <x:v>0.0014654910669565924</x:v>
      </x:c>
      <x:c r="S64" s="76" t="n">
        <x:f>IF(W64="",IF(AK64=0,0,MAX(0,1-(1-((E23-1)*MAX(0,(C64-AK64)/E23-(L64-K64))+MAX(0,L64-((E23-1)*C64/E23+AL64)-(L64-K64)))/L64))),"")</x:f>
        <x:v>0.0009706356530435611</x:v>
      </x:c>
      <x:c r="T64" s="76" t="n">
        <x:f>IF(W64="",IF(OR(P64=0,K64=0,$J$7=0),0,IF(P64&lt;=(1-$J$7)*K64,$J$7*P64*K64/(1-$J$7)-$J$7^2*P64^2/(2*(1-$J$7)^2),$J$7*P64*K64+$J$7^2*K64^2/2)/L64),"")</x:f>
        <x:v>2.0865803128980522e-7</x:v>
      </x:c>
      <x:c r="U64" s="76" t="n">
        <x:f>IF(A64,60000/C64,"")</x:f>
        <x:v>12000</x:v>
      </x:c>
      <x:c r="V64" s="76" t="n">
        <x:f>IF(W64="",SUM(AI64:AJ64),"")</x:f>
        <x:v>0.43359793336811225</x:v>
      </x:c>
      <x:c r="W64" s="76" t="str">
        <x:f>IF(NOT(A64),"输入无效",IF(K64&gt;=L64,"KV 超载",IF(AK64&gt;C64+1e-9,"TPOT 不自洽",IF(OR(C64&gt;L64,MAX(P64,AG64)&gt;L64-K64),"需时序仿真",""))))</x:f>
      </x:c>
      <x:c r="X64" s="76" t="n">
        <x:f>IF(W64="",U64*M64,"")</x:f>
        <x:v>14.61676032</x:v>
      </x:c>
      <x:c r="Y64" s="103" t="n">
        <x:f>IF(A64,K23*F23*2*2*(D23-1)/D23/1e9,"")</x:f>
        <x:v>0.003211264</x:v>
      </x:c>
      <x:c r="Z64" s="103" t="n">
        <x:f>IF(A64,S23*2*ROUNDUP(K23/D23,0)*F23*2*(D23-1)/1e9,"")</x:f>
        <x:v>0.298647552</x:v>
      </x:c>
      <x:c r="AA64" s="103" t="n">
        <x:f>IF(A64,T23*ROUNDUP(K23/D23,0)*F23*2*2*(D23-1)/D23/1e9,"")</x:f>
        <x:v>0.000401408</x:v>
      </x:c>
      <x:c r="AB64" s="103" t="n">
        <x:f>IF(A64,U23*2*ROUNDUP(K23/D23,0)*F23*2*(D23-1)/1e9,"")</x:f>
        <x:v>0.295436288</x:v>
      </x:c>
      <x:c r="AC64" s="103" t="n">
        <x:f>IF(A64,ROUNDUP(K23/D23,0)*F23*2*(D23-1)/1e9,"")</x:f>
        <x:v>0.001605632</x:v>
      </x:c>
      <x:c r="AD64" s="103" t="n">
        <x:f>IF(A64,K23*256*(2+4)*(D23-1)/1e9,"")</x:f>
        <x:v>0.001376256</x:v>
      </x:c>
      <x:c r="AE64" s="103" t="n">
        <x:f>IF(A64,SUM(Y64:AD64),"")</x:f>
        <x:v>0.6006784</x:v>
      </x:c>
      <x:c r="AF64" s="103" t="n">
        <x:f>IF(A64,AE64*1000/P23,"")</x:f>
        <x:v>0.1251413333333333</x:v>
      </x:c>
      <x:c r="AG64" s="103" t="n">
        <x:f>IF(A64,AF64/E23,"")</x:f>
        <x:v>0.0013602318840579706</x:v>
      </x:c>
      <x:c r="AH64" s="103" t="n">
        <x:f>IF(W64="",IF(OR(AG64=0,K64=0,$J$7=0),0,IF(AG64&lt;=(1-$J$7)*K64,$J$7*AG64*K64/(1-$J$7)-$J$7^2*AG64^2/(2*(1-$J$7)^2),$J$7*AG64*K64+$J$7^2*K64^2/2)/L64),"")</x:f>
        <x:v>1.8409371994942692e-7</x:v>
      </x:c>
      <x:c r="AI64" s="103" t="n">
        <x:f>IF(W64="",U64*E23*T64*M23*N23,"")</x:f>
        <x:v>0.23035846654394496</x:v>
      </x:c>
      <x:c r="AJ64" s="103" t="n">
        <x:f>IF(W64="",U64*E23*AH64*Q23*R23,"")</x:f>
        <x:v>0.20323946682416733</x:v>
      </x:c>
      <x:c r="AK64" s="103" t="n">
        <x:f>IF(A64,O64+AF64,"")</x:f>
        <x:v>0.26698079999999996</x:v>
      </x:c>
      <x:c r="AL64" s="103" t="n">
        <x:f>IF(A64,AK64/E23,"")</x:f>
        <x:v>0.002901965217391304</x:v>
      </x:c>
    </x:row>
    <x:row r="65" ht="22" customHeight="1">
      <x:c r="A65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35),D35&gt;0),AND(ISNUMBER(E35),E35&gt;0),MOD($B$5,1)=0,MOD($F$5,1)=0,MOD($J$5,1)=0,MOD($B$9,1)=0,MOD(K23,1)=0,ISNUMBER(C35),C35&gt;=2,MOD(C35,1)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5" s="76" t="n">
        <x:f>IF(A65,D35*1000,"")</x:f>
        <x:v>20000</x:v>
      </x:c>
      <x:c r="C65" s="76" t="n">
        <x:f>IF(A65,E35*L23,"")</x:f>
        <x:v>10</x:v>
      </x:c>
      <x:c r="D65" s="76" t="n">
        <x:f>IF(A65,M97,"")</x:f>
        <x:v>54.45167541503906</x:v>
      </x:c>
      <x:c r="E65" s="76" t="n">
        <x:f>IF(A65,B23/C23,"")</x:f>
        <x:v>4</x:v>
      </x:c>
      <x:c r="F65" s="76" t="n">
        <x:f>IF(A65,B23/D23,"")</x:f>
        <x:v>4</x:v>
      </x:c>
      <x:c r="G65" s="76" t="n">
        <x:f>IF(A65,$F$5*E65*$B$5*60000/B65,"")</x:f>
        <x:v>192</x:v>
      </x:c>
      <x:c r="H65" s="76" t="n">
        <x:f>IF(A65,G65/($J$5*F65),"")</x:f>
        <x:v>48</x:v>
      </x:c>
      <x:c r="I65" s="76" t="n">
        <x:f>IF(A65,$B$5*D65/C23/$B$9,"")</x:f>
        <x:v>108.90335083007812</x:v>
      </x:c>
      <x:c r="J65" s="76" t="n">
        <x:f>IF(A65,I65*$F$5/$J$5,"")</x:f>
        <x:v>108.90335083007812</x:v>
      </x:c>
      <x:c r="K65" s="76" t="n">
        <x:f>IF(A65,MAX(I65,J65)*2^30/(J23*1e6),"")</x:f>
        <x:v>24.3612672</x:v>
      </x:c>
      <x:c r="L65" s="76" t="n">
        <x:f>IF(A65,B65/$B$9,"")</x:f>
        <x:v>20000</x:v>
      </x:c>
      <x:c r="M65" s="77" t="n">
        <x:f>IF(A65,K65/L65,"")</x:f>
        <x:v>0.00121806336</x:v>
      </x:c>
      <x:c r="N65" s="76" t="n">
        <x:f>IF(A65,(E23*ROUNDUP(K23/D23,0)*G23*(B23-1)/B23*(ROUNDUP((ROUNDUP(F23*2/32,0)*32+32)/480,0)*512+F23*2+32)+E23*ROUNDUP(H23/B23,0)*(B23-1)*32)/1e9,"")</x:f>
        <x:v>0.68082944</x:v>
      </x:c>
      <x:c r="O65" s="76" t="n">
        <x:f>IF(A65,N65*1000/I23,"")</x:f>
        <x:v>0.14183946666666666</x:v>
      </x:c>
      <x:c r="P65" s="76" t="n">
        <x:f>IF(A65,O65/E23,"")</x:f>
        <x:v>0.0015417333333333334</x:v>
      </x:c>
      <x:c r="Q65" s="76" t="n">
        <x:f>IF(A65,IF(C65&gt;AF65,N65*1000/(C65-AF65),""),"")</x:f>
        <x:v>68.94574018544603</x:v>
      </x:c>
      <x:c r="R65" s="76" t="n">
        <x:f>IF(W65="",IF(OR(K65=0,AK65=0),0,1-((E23-1)*MAX(0,(C65-AK65)/E23-(K65))+MAX(0,L65-((E23-1)*C65/E23+AL65)-(K65)))/L65),"")</x:f>
        <x:v>0.0017127736756523682</x:v>
      </x:c>
      <x:c r="S65" s="76" t="n">
        <x:f>IF(W65="",IF(AK65=0,0,MAX(0,1-(1-((E23-1)*MAX(0,(C65-AK65)/E23-(L65-K65))+MAX(0,L65-((E23-1)*C65/E23+AL65)-(L65-K65)))/L65))),"")</x:f>
        <x:v>0.0007233530443477854</x:v>
      </x:c>
      <x:c r="T65" s="76" t="n">
        <x:f>IF(W65="",IF(OR(P65=0,K65=0,$J$7=0),0,IF(P65&lt;=(1-$J$7)*K65,$J$7*P65*K65/(1-$J$7)-$J$7^2*P65^2/(2*(1-$J$7)^2),$J$7*P65*K65+$J$7^2*K65^2/2)/L65),"")</x:f>
        <x:v>2.0865803128980522e-7</x:v>
      </x:c>
      <x:c r="U65" s="76" t="n">
        <x:f>IF(A65,60000/C65,"")</x:f>
        <x:v>6000</x:v>
      </x:c>
      <x:c r="V65" s="76" t="n">
        <x:f>IF(W65="",SUM(AI65:AJ65),"")</x:f>
        <x:v>0.21679896668405613</x:v>
      </x:c>
      <x:c r="W65" s="76" t="str">
        <x:f>IF(NOT(A65),"输入无效",IF(K65&gt;=L65,"KV 超载",IF(AK65&gt;C65+1e-9,"TPOT 不自洽",IF(OR(C65&gt;L65,MAX(P65,AG65)&gt;L65-K65),"需时序仿真",""))))</x:f>
      </x:c>
      <x:c r="X65" s="76" t="n">
        <x:f>IF(W65="",U65*M65,"")</x:f>
        <x:v>7.30838016</x:v>
      </x:c>
      <x:c r="Y65" s="103" t="n">
        <x:f>IF(A65,K23*F23*2*2*(D23-1)/D23/1e9,"")</x:f>
        <x:v>0.003211264</x:v>
      </x:c>
      <x:c r="Z65" s="103" t="n">
        <x:f>IF(A65,S23*2*ROUNDUP(K23/D23,0)*F23*2*(D23-1)/1e9,"")</x:f>
        <x:v>0.298647552</x:v>
      </x:c>
      <x:c r="AA65" s="103" t="n">
        <x:f>IF(A65,T23*ROUNDUP(K23/D23,0)*F23*2*2*(D23-1)/D23/1e9,"")</x:f>
        <x:v>0.000401408</x:v>
      </x:c>
      <x:c r="AB65" s="103" t="n">
        <x:f>IF(A65,U23*2*ROUNDUP(K23/D23,0)*F23*2*(D23-1)/1e9,"")</x:f>
        <x:v>0.295436288</x:v>
      </x:c>
      <x:c r="AC65" s="103" t="n">
        <x:f>IF(A65,ROUNDUP(K23/D23,0)*F23*2*(D23-1)/1e9,"")</x:f>
        <x:v>0.001605632</x:v>
      </x:c>
      <x:c r="AD65" s="103" t="n">
        <x:f>IF(A65,K23*256*(2+4)*(D23-1)/1e9,"")</x:f>
        <x:v>0.001376256</x:v>
      </x:c>
      <x:c r="AE65" s="103" t="n">
        <x:f>IF(A65,SUM(Y65:AD65),"")</x:f>
        <x:v>0.6006784</x:v>
      </x:c>
      <x:c r="AF65" s="103" t="n">
        <x:f>IF(A65,AE65*1000/P23,"")</x:f>
        <x:v>0.1251413333333333</x:v>
      </x:c>
      <x:c r="AG65" s="103" t="n">
        <x:f>IF(A65,AF65/E23,"")</x:f>
        <x:v>0.0013602318840579706</x:v>
      </x:c>
      <x:c r="AH65" s="103" t="n">
        <x:f>IF(W65="",IF(OR(AG65=0,K65=0,$J$7=0),0,IF(AG65&lt;=(1-$J$7)*K65,$J$7*AG65*K65/(1-$J$7)-$J$7^2*AG65^2/(2*(1-$J$7)^2),$J$7*AG65*K65+$J$7^2*K65^2/2)/L65),"")</x:f>
        <x:v>1.8409371994942692e-7</x:v>
      </x:c>
      <x:c r="AI65" s="103" t="n">
        <x:f>IF(W65="",U65*E23*T65*M23*N23,"")</x:f>
        <x:v>0.11517923327197248</x:v>
      </x:c>
      <x:c r="AJ65" s="103" t="n">
        <x:f>IF(W65="",U65*E23*AH65*Q23*R23,"")</x:f>
        <x:v>0.10161973341208366</x:v>
      </x:c>
      <x:c r="AK65" s="103" t="n">
        <x:f>IF(A65,O65+AF65,"")</x:f>
        <x:v>0.26698079999999996</x:v>
      </x:c>
      <x:c r="AL65" s="103" t="n">
        <x:f>IF(A65,AK65/E23,"")</x:f>
        <x:v>0.002901965217391304</x:v>
      </x:c>
    </x:row>
    <x:row r="66" ht="22" customHeight="1">
      <x:c r="A66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36),D36&gt;0),AND(ISNUMBER(E36),E36&gt;0),MOD($B$5,1)=0,MOD($F$5,1)=0,MOD($J$5,1)=0,MOD($B$9,1)=0,MOD(K23,1)=0,ISNUMBER(C36),C36&gt;=2,MOD(C36,1)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6" s="76" t="n">
        <x:f>IF(A66,D36*1000,"")</x:f>
        <x:v>20000</x:v>
      </x:c>
      <x:c r="C66" s="76" t="n">
        <x:f>IF(A66,E36*L23,"")</x:f>
        <x:v>20</x:v>
      </x:c>
      <x:c r="D66" s="76" t="n">
        <x:f>IF(A66,M97,"")</x:f>
        <x:v>54.45167541503906</x:v>
      </x:c>
      <x:c r="E66" s="76" t="n">
        <x:f>IF(A66,B23/C23,"")</x:f>
        <x:v>4</x:v>
      </x:c>
      <x:c r="F66" s="76" t="n">
        <x:f>IF(A66,B23/D23,"")</x:f>
        <x:v>4</x:v>
      </x:c>
      <x:c r="G66" s="76" t="n">
        <x:f>IF(A66,$F$5*E66*$B$5*60000/B66,"")</x:f>
        <x:v>192</x:v>
      </x:c>
      <x:c r="H66" s="76" t="n">
        <x:f>IF(A66,G66/($J$5*F66),"")</x:f>
        <x:v>48</x:v>
      </x:c>
      <x:c r="I66" s="76" t="n">
        <x:f>IF(A66,$B$5*D66/C23/$B$9,"")</x:f>
        <x:v>108.90335083007812</x:v>
      </x:c>
      <x:c r="J66" s="76" t="n">
        <x:f>IF(A66,I66*$F$5/$J$5,"")</x:f>
        <x:v>108.90335083007812</x:v>
      </x:c>
      <x:c r="K66" s="76" t="n">
        <x:f>IF(A66,MAX(I66,J66)*2^30/(J23*1e6),"")</x:f>
        <x:v>24.3612672</x:v>
      </x:c>
      <x:c r="L66" s="76" t="n">
        <x:f>IF(A66,B66/$B$9,"")</x:f>
        <x:v>20000</x:v>
      </x:c>
      <x:c r="M66" s="77" t="n">
        <x:f>IF(A66,K66/L66,"")</x:f>
        <x:v>0.00121806336</x:v>
      </x:c>
      <x:c r="N66" s="76" t="n">
        <x:f>IF(A66,(E23*ROUNDUP(K23/D23,0)*G23*(B23-1)/B23*(ROUNDUP((ROUNDUP(F23*2/32,0)*32+32)/480,0)*512+F23*2+32)+E23*ROUNDUP(H23/B23,0)*(B23-1)*32)/1e9,"")</x:f>
        <x:v>0.68082944</x:v>
      </x:c>
      <x:c r="O66" s="76" t="n">
        <x:f>IF(A66,N66*1000/I23,"")</x:f>
        <x:v>0.14183946666666666</x:v>
      </x:c>
      <x:c r="P66" s="76" t="n">
        <x:f>IF(A66,O66/E23,"")</x:f>
        <x:v>0.0015417333333333334</x:v>
      </x:c>
      <x:c r="Q66" s="76" t="n">
        <x:f>IF(A66,IF(C66&gt;AF66,N66*1000/(C66-AF66),""),"")</x:f>
        <x:v>34.25581290506786</x:v>
      </x:c>
      <x:c r="R66" s="76" t="n">
        <x:f>IF(W66="",IF(OR(K66=0,AK66=0),0,1-((E23-1)*MAX(0,(C66-AK66)/E23-(K66))+MAX(0,L66-((E23-1)*C66/E23+AL66)-(K66)))/L66),"")</x:f>
        <x:v>0.0022073388930435867</x:v>
      </x:c>
      <x:c r="S66" s="76" t="n">
        <x:f>IF(W66="",IF(AK66=0,0,MAX(0,1-(1-((E23-1)*MAX(0,(C66-AK66)/E23-(L66-K66))+MAX(0,L66-((E23-1)*C66/E23+AL66)-(L66-K66)))/L66))),"")</x:f>
        <x:v>0.00022878782695656685</x:v>
      </x:c>
      <x:c r="T66" s="76" t="n">
        <x:f>IF(W66="",IF(OR(P66=0,K66=0,$J$7=0),0,IF(P66&lt;=(1-$J$7)*K66,$J$7*P66*K66/(1-$J$7)-$J$7^2*P66^2/(2*(1-$J$7)^2),$J$7*P66*K66+$J$7^2*K66^2/2)/L66),"")</x:f>
        <x:v>2.0865803128980522e-7</x:v>
      </x:c>
      <x:c r="U66" s="76" t="n">
        <x:f>IF(A66,60000/C66,"")</x:f>
        <x:v>3000</x:v>
      </x:c>
      <x:c r="V66" s="76" t="n">
        <x:f>IF(W66="",SUM(AI66:AJ66),"")</x:f>
        <x:v>0.10839948334202806</x:v>
      </x:c>
      <x:c r="W66" s="76" t="str">
        <x:f>IF(NOT(A66),"输入无效",IF(K66&gt;=L66,"KV 超载",IF(AK66&gt;C66+1e-9,"TPOT 不自洽",IF(OR(C66&gt;L66,MAX(P66,AG66)&gt;L66-K66),"需时序仿真",""))))</x:f>
      </x:c>
      <x:c r="X66" s="76" t="n">
        <x:f>IF(W66="",U66*M66,"")</x:f>
        <x:v>3.65419008</x:v>
      </x:c>
      <x:c r="Y66" s="103" t="n">
        <x:f>IF(A66,K23*F23*2*2*(D23-1)/D23/1e9,"")</x:f>
        <x:v>0.003211264</x:v>
      </x:c>
      <x:c r="Z66" s="103" t="n">
        <x:f>IF(A66,S23*2*ROUNDUP(K23/D23,0)*F23*2*(D23-1)/1e9,"")</x:f>
        <x:v>0.298647552</x:v>
      </x:c>
      <x:c r="AA66" s="103" t="n">
        <x:f>IF(A66,T23*ROUNDUP(K23/D23,0)*F23*2*2*(D23-1)/D23/1e9,"")</x:f>
        <x:v>0.000401408</x:v>
      </x:c>
      <x:c r="AB66" s="103" t="n">
        <x:f>IF(A66,U23*2*ROUNDUP(K23/D23,0)*F23*2*(D23-1)/1e9,"")</x:f>
        <x:v>0.295436288</x:v>
      </x:c>
      <x:c r="AC66" s="103" t="n">
        <x:f>IF(A66,ROUNDUP(K23/D23,0)*F23*2*(D23-1)/1e9,"")</x:f>
        <x:v>0.001605632</x:v>
      </x:c>
      <x:c r="AD66" s="103" t="n">
        <x:f>IF(A66,K23*256*(2+4)*(D23-1)/1e9,"")</x:f>
        <x:v>0.001376256</x:v>
      </x:c>
      <x:c r="AE66" s="103" t="n">
        <x:f>IF(A66,SUM(Y66:AD66),"")</x:f>
        <x:v>0.6006784</x:v>
      </x:c>
      <x:c r="AF66" s="103" t="n">
        <x:f>IF(A66,AE66*1000/P23,"")</x:f>
        <x:v>0.1251413333333333</x:v>
      </x:c>
      <x:c r="AG66" s="103" t="n">
        <x:f>IF(A66,AF66/E23,"")</x:f>
        <x:v>0.0013602318840579706</x:v>
      </x:c>
      <x:c r="AH66" s="103" t="n">
        <x:f>IF(W66="",IF(OR(AG66=0,K66=0,$J$7=0),0,IF(AG66&lt;=(1-$J$7)*K66,$J$7*AG66*K66/(1-$J$7)-$J$7^2*AG66^2/(2*(1-$J$7)^2),$J$7*AG66*K66+$J$7^2*K66^2/2)/L66),"")</x:f>
        <x:v>1.8409371994942692e-7</x:v>
      </x:c>
      <x:c r="AI66" s="103" t="n">
        <x:f>IF(W66="",U66*E23*T66*M23*N23,"")</x:f>
        <x:v>0.05758961663598624</x:v>
      </x:c>
      <x:c r="AJ66" s="103" t="n">
        <x:f>IF(W66="",U66*E23*AH66*Q23*R23,"")</x:f>
        <x:v>0.05080986670604183</x:v>
      </x:c>
      <x:c r="AK66" s="103" t="n">
        <x:f>IF(A66,O66+AF66,"")</x:f>
        <x:v>0.26698079999999996</x:v>
      </x:c>
      <x:c r="AL66" s="103" t="n">
        <x:f>IF(A66,AK66/E23,"")</x:f>
        <x:v>0.002901965217391304</x:v>
      </x:c>
    </x:row>
    <x:row r="67" ht="22" customHeight="1">
      <x:c r="A67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37),D37&gt;0),AND(ISNUMBER(E37),E37&gt;0),MOD($B$5,1)=0,MOD($F$5,1)=0,MOD($J$5,1)=0,MOD($B$9,1)=0,MOD(K23,1)=0,ISNUMBER(C37),C37&gt;=2,MOD(C37,1)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7" s="76" t="n">
        <x:f>IF(A67,D37*1000,"")</x:f>
        <x:v>20000</x:v>
      </x:c>
      <x:c r="C67" s="76" t="n">
        <x:f>IF(A67,E37*L23,"")</x:f>
        <x:v>30</x:v>
      </x:c>
      <x:c r="D67" s="76" t="n">
        <x:f>IF(A67,M97,"")</x:f>
        <x:v>54.45167541503906</x:v>
      </x:c>
      <x:c r="E67" s="76" t="n">
        <x:f>IF(A67,B23/C23,"")</x:f>
        <x:v>4</x:v>
      </x:c>
      <x:c r="F67" s="76" t="n">
        <x:f>IF(A67,B23/D23,"")</x:f>
        <x:v>4</x:v>
      </x:c>
      <x:c r="G67" s="76" t="n">
        <x:f>IF(A67,$F$5*E67*$B$5*60000/B67,"")</x:f>
        <x:v>192</x:v>
      </x:c>
      <x:c r="H67" s="76" t="n">
        <x:f>IF(A67,G67/($J$5*F67),"")</x:f>
        <x:v>48</x:v>
      </x:c>
      <x:c r="I67" s="76" t="n">
        <x:f>IF(A67,$B$5*D67/C23/$B$9,"")</x:f>
        <x:v>108.90335083007812</x:v>
      </x:c>
      <x:c r="J67" s="76" t="n">
        <x:f>IF(A67,I67*$F$5/$J$5,"")</x:f>
        <x:v>108.90335083007812</x:v>
      </x:c>
      <x:c r="K67" s="76" t="n">
        <x:f>IF(A67,MAX(I67,J67)*2^30/(J23*1e6),"")</x:f>
        <x:v>24.3612672</x:v>
      </x:c>
      <x:c r="L67" s="76" t="n">
        <x:f>IF(A67,B67/$B$9,"")</x:f>
        <x:v>20000</x:v>
      </x:c>
      <x:c r="M67" s="77" t="n">
        <x:f>IF(A67,K67/L67,"")</x:f>
        <x:v>0.00121806336</x:v>
      </x:c>
      <x:c r="N67" s="76" t="n">
        <x:f>IF(A67,(E23*ROUNDUP(K23/D23,0)*G23*(B23-1)/B23*(ROUNDUP((ROUNDUP(F23*2/32,0)*32+32)/480,0)*512+F23*2+32)+E23*ROUNDUP(H23/B23,0)*(B23-1)*32)/1e9,"")</x:f>
        <x:v>0.68082944</x:v>
      </x:c>
      <x:c r="O67" s="76" t="n">
        <x:f>IF(A67,N67*1000/I23,"")</x:f>
        <x:v>0.14183946666666666</x:v>
      </x:c>
      <x:c r="P67" s="76" t="n">
        <x:f>IF(A67,O67/E23,"")</x:f>
        <x:v>0.0015417333333333334</x:v>
      </x:c>
      <x:c r="Q67" s="76" t="n">
        <x:f>IF(A67,IF(C67&gt;AF67,N67*1000/(C67-AF67),""),"")</x:f>
        <x:v>22.789377770668615</x:v>
      </x:c>
      <x:c r="R67" s="76" t="n">
        <x:f>IF(W67="",IF(OR(K67=0,AK67=0),0,1-((E23-1)*MAX(0,(C67-AK67)/E23-(K67))+MAX(0,L67-((E23-1)*C67/E23+AL67)-(K67)))/L67),"")</x:f>
        <x:v>0.002701904110434916</x:v>
      </x:c>
      <x:c r="S67" s="76" t="n">
        <x:f>IF(W67="",IF(AK67=0,0,MAX(0,1-(1-((E23-1)*MAX(0,(C67-AK67)/E23-(L67-K67))+MAX(0,L67-((E23-1)*C67/E23+AL67)-(L67-K67)))/L67))),"")</x:f>
        <x:v>0</x:v>
      </x:c>
      <x:c r="T67" s="76" t="n">
        <x:f>IF(W67="",IF(OR(P67=0,K67=0,$J$7=0),0,IF(P67&lt;=(1-$J$7)*K67,$J$7*P67*K67/(1-$J$7)-$J$7^2*P67^2/(2*(1-$J$7)^2),$J$7*P67*K67+$J$7^2*K67^2/2)/L67),"")</x:f>
        <x:v>2.0865803128980522e-7</x:v>
      </x:c>
      <x:c r="U67" s="76" t="n">
        <x:f>IF(A67,60000/C67,"")</x:f>
        <x:v>2000</x:v>
      </x:c>
      <x:c r="V67" s="76" t="n">
        <x:f>IF(W67="",SUM(AI67:AJ67),"")</x:f>
        <x:v>0.07226632222801871</x:v>
      </x:c>
      <x:c r="W67" s="76" t="str">
        <x:f>IF(NOT(A67),"输入无效",IF(K67&gt;=L67,"KV 超载",IF(AK67&gt;C67+1e-9,"TPOT 不自洽",IF(OR(C67&gt;L67,MAX(P67,AG67)&gt;L67-K67),"需时序仿真",""))))</x:f>
      </x:c>
      <x:c r="X67" s="76" t="n">
        <x:f>IF(W67="",U67*M67,"")</x:f>
        <x:v>2.43612672</x:v>
      </x:c>
      <x:c r="Y67" s="103" t="n">
        <x:f>IF(A67,K23*F23*2*2*(D23-1)/D23/1e9,"")</x:f>
        <x:v>0.003211264</x:v>
      </x:c>
      <x:c r="Z67" s="103" t="n">
        <x:f>IF(A67,S23*2*ROUNDUP(K23/D23,0)*F23*2*(D23-1)/1e9,"")</x:f>
        <x:v>0.298647552</x:v>
      </x:c>
      <x:c r="AA67" s="103" t="n">
        <x:f>IF(A67,T23*ROUNDUP(K23/D23,0)*F23*2*2*(D23-1)/D23/1e9,"")</x:f>
        <x:v>0.000401408</x:v>
      </x:c>
      <x:c r="AB67" s="103" t="n">
        <x:f>IF(A67,U23*2*ROUNDUP(K23/D23,0)*F23*2*(D23-1)/1e9,"")</x:f>
        <x:v>0.295436288</x:v>
      </x:c>
      <x:c r="AC67" s="103" t="n">
        <x:f>IF(A67,ROUNDUP(K23/D23,0)*F23*2*(D23-1)/1e9,"")</x:f>
        <x:v>0.001605632</x:v>
      </x:c>
      <x:c r="AD67" s="103" t="n">
        <x:f>IF(A67,K23*256*(2+4)*(D23-1)/1e9,"")</x:f>
        <x:v>0.001376256</x:v>
      </x:c>
      <x:c r="AE67" s="103" t="n">
        <x:f>IF(A67,SUM(Y67:AD67),"")</x:f>
        <x:v>0.6006784</x:v>
      </x:c>
      <x:c r="AF67" s="103" t="n">
        <x:f>IF(A67,AE67*1000/P23,"")</x:f>
        <x:v>0.1251413333333333</x:v>
      </x:c>
      <x:c r="AG67" s="103" t="n">
        <x:f>IF(A67,AF67/E23,"")</x:f>
        <x:v>0.0013602318840579706</x:v>
      </x:c>
      <x:c r="AH67" s="103" t="n">
        <x:f>IF(W67="",IF(OR(AG67=0,K67=0,$J$7=0),0,IF(AG67&lt;=(1-$J$7)*K67,$J$7*AG67*K67/(1-$J$7)-$J$7^2*AG67^2/(2*(1-$J$7)^2),$J$7*AG67*K67+$J$7^2*K67^2/2)/L67),"")</x:f>
        <x:v>1.8409371994942692e-7</x:v>
      </x:c>
      <x:c r="AI67" s="103" t="n">
        <x:f>IF(W67="",U67*E23*T67*M23*N23,"")</x:f>
        <x:v>0.03839307775732416</x:v>
      </x:c>
      <x:c r="AJ67" s="103" t="n">
        <x:f>IF(W67="",U67*E23*AH67*Q23*R23,"")</x:f>
        <x:v>0.03387324447069455</x:v>
      </x:c>
      <x:c r="AK67" s="103" t="n">
        <x:f>IF(A67,O67+AF67,"")</x:f>
        <x:v>0.26698079999999996</x:v>
      </x:c>
      <x:c r="AL67" s="103" t="n">
        <x:f>IF(A67,AK67/E23,"")</x:f>
        <x:v>0.002901965217391304</x:v>
      </x:c>
    </x:row>
    <x:row r="68" ht="22" customHeight="1">
      <x:c r="A68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38),D38&gt;0),AND(ISNUMBER(E38),E38&gt;0),MOD($B$5,1)=0,MOD($F$5,1)=0,MOD($J$5,1)=0,MOD($B$9,1)=0,MOD(K23,1)=0,ISNUMBER(C38),C38&gt;=2,MOD(C38,1)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8" s="76" t="n">
        <x:f>IF(A68,D38*1000,"")</x:f>
        <x:v>60000</x:v>
      </x:c>
      <x:c r="C68" s="76" t="n">
        <x:f>IF(A68,E38*L23,"")</x:f>
        <x:v>5</x:v>
      </x:c>
      <x:c r="D68" s="76" t="n">
        <x:f>IF(A68,M101,"")</x:f>
        <x:v>216.45167541503906</x:v>
      </x:c>
      <x:c r="E68" s="76" t="n">
        <x:f>IF(A68,B23/C23,"")</x:f>
        <x:v>4</x:v>
      </x:c>
      <x:c r="F68" s="76" t="n">
        <x:f>IF(A68,B23/D23,"")</x:f>
        <x:v>4</x:v>
      </x:c>
      <x:c r="G68" s="76" t="n">
        <x:f>IF(A68,$F$5*E68*$B$5*60000/B68,"")</x:f>
        <x:v>64</x:v>
      </x:c>
      <x:c r="H68" s="76" t="n">
        <x:f>IF(A68,G68/($J$5*F68),"")</x:f>
        <x:v>16</x:v>
      </x:c>
      <x:c r="I68" s="76" t="n">
        <x:f>IF(A68,$B$5*D68/C23/$B$9,"")</x:f>
        <x:v>432.9033508300781</x:v>
      </x:c>
      <x:c r="J68" s="76" t="n">
        <x:f>IF(A68,I68*$F$5/$J$5,"")</x:f>
        <x:v>432.9033508300781</x:v>
      </x:c>
      <x:c r="K68" s="76" t="n">
        <x:f>IF(A68,MAX(I68,J68)*2^30/(J23*1e6),"")</x:f>
        <x:v>96.83884032</x:v>
      </x:c>
      <x:c r="L68" s="76" t="n">
        <x:f>IF(A68,B68/$B$9,"")</x:f>
        <x:v>60000</x:v>
      </x:c>
      <x:c r="M68" s="77" t="n">
        <x:f>IF(A68,K68/L68,"")</x:f>
        <x:v>0.001613980672</x:v>
      </x:c>
      <x:c r="N68" s="76" t="n">
        <x:f>IF(A68,(E23*ROUNDUP(K23/D23,0)*G23*(B23-1)/B23*(ROUNDUP((ROUNDUP(F23*2/32,0)*32+32)/480,0)*512+F23*2+32)+E23*ROUNDUP(H23/B23,0)*(B23-1)*32)/1e9,"")</x:f>
        <x:v>0.68082944</x:v>
      </x:c>
      <x:c r="O68" s="76" t="n">
        <x:f>IF(A68,N68*1000/I23,"")</x:f>
        <x:v>0.14183946666666666</x:v>
      </x:c>
      <x:c r="P68" s="76" t="n">
        <x:f>IF(A68,O68/E23,"")</x:f>
        <x:v>0.0015417333333333334</x:v>
      </x:c>
      <x:c r="Q68" s="76" t="n">
        <x:f>IF(A68,IF(C68&gt;AF68,N68*1000/(C68-AF68),""),"")</x:f>
        <x:v>139.66137001168445</x:v>
      </x:c>
      <x:c r="R68" s="76" t="n">
        <x:f>IF(W68="",IF(OR(K68=0,AK68=0),0,1-((E23-1)*MAX(0,(C68-AK68)/E23-(K68))+MAX(0,L68-((E23-1)*C68/E23+AL68)-(K68)))/L68),"")</x:f>
        <x:v>0.0016964565743189386</x:v>
      </x:c>
      <x:c r="S68" s="76" t="n">
        <x:f>IF(W68="",IF(AK68=0,0,MAX(0,1-(1-((E23-1)*MAX(0,(C68-AK68)/E23-(L68-K68))+MAX(0,L68-((E23-1)*C68/E23+AL68)-(L68-K68)))/L68))),"")</x:f>
        <x:v>0.0015315047696811135</x:v>
      </x:c>
      <x:c r="T68" s="76" t="n">
        <x:f>IF(W68="",IF(OR(P68=0,K68=0,$J$7=0),0,IF(P68&lt;=(1-$J$7)*K68,$J$7*P68*K68/(1-$J$7)-$J$7^2*P68^2/(2*(1-$J$7)^2),$J$7*P68*K68+$J$7^2*K68^2/2)/L68),"")</x:f>
        <x:v>2.764806222784684e-7</x:v>
      </x:c>
      <x:c r="U68" s="76" t="n">
        <x:f>IF(A68,60000/C68,"")</x:f>
        <x:v>12000</x:v>
      </x:c>
      <x:c r="V68" s="76" t="n">
        <x:f>IF(W68="",SUM(AI68:AJ68),"")</x:f>
        <x:v>0.5745353212035063</x:v>
      </x:c>
      <x:c r="W68" s="76" t="str">
        <x:f>IF(NOT(A68),"输入无效",IF(K68&gt;=L68,"KV 超载",IF(AK68&gt;C68+1e-9,"TPOT 不自洽",IF(OR(C68&gt;L68,MAX(P68,AG68)&gt;L68-K68),"需时序仿真",""))))</x:f>
      </x:c>
      <x:c r="X68" s="76" t="n">
        <x:f>IF(W68="",U68*M68,"")</x:f>
        <x:v>19.367768064</x:v>
      </x:c>
      <x:c r="Y68" s="103" t="n">
        <x:f>IF(A68,K23*F23*2*2*(D23-1)/D23/1e9,"")</x:f>
        <x:v>0.003211264</x:v>
      </x:c>
      <x:c r="Z68" s="103" t="n">
        <x:f>IF(A68,S23*2*ROUNDUP(K23/D23,0)*F23*2*(D23-1)/1e9,"")</x:f>
        <x:v>0.298647552</x:v>
      </x:c>
      <x:c r="AA68" s="103" t="n">
        <x:f>IF(A68,T23*ROUNDUP(K23/D23,0)*F23*2*2*(D23-1)/D23/1e9,"")</x:f>
        <x:v>0.000401408</x:v>
      </x:c>
      <x:c r="AB68" s="103" t="n">
        <x:f>IF(A68,U23*2*ROUNDUP(K23/D23,0)*F23*2*(D23-1)/1e9,"")</x:f>
        <x:v>0.295436288</x:v>
      </x:c>
      <x:c r="AC68" s="103" t="n">
        <x:f>IF(A68,ROUNDUP(K23/D23,0)*F23*2*(D23-1)/1e9,"")</x:f>
        <x:v>0.001605632</x:v>
      </x:c>
      <x:c r="AD68" s="103" t="n">
        <x:f>IF(A68,K23*256*(2+4)*(D23-1)/1e9,"")</x:f>
        <x:v>0.001376256</x:v>
      </x:c>
      <x:c r="AE68" s="103" t="n">
        <x:f>IF(A68,SUM(Y68:AD68),"")</x:f>
        <x:v>0.6006784</x:v>
      </x:c>
      <x:c r="AF68" s="103" t="n">
        <x:f>IF(A68,AE68*1000/P23,"")</x:f>
        <x:v>0.1251413333333333</x:v>
      </x:c>
      <x:c r="AG68" s="103" t="n">
        <x:f>IF(A68,AF68/E23,"")</x:f>
        <x:v>0.0013602318840579706</x:v>
      </x:c>
      <x:c r="AH68" s="103" t="n">
        <x:f>IF(W68="",IF(OR(AG68=0,K68=0,$J$7=0),0,IF(AG68&lt;=(1-$J$7)*K68,$J$7*AG68*K68/(1-$J$7)-$J$7^2*AG68^2/(2*(1-$J$7)^2),$J$7*AG68*K68+$J$7^2*K68^2/2)/L68),"")</x:f>
        <x:v>2.439318063478959e-7</x:v>
      </x:c>
      <x:c r="AI68" s="103" t="n">
        <x:f>IF(W68="",U68*E23*T68*M23*N23,"")</x:f>
        <x:v>0.30523460699542915</x:v>
      </x:c>
      <x:c r="AJ68" s="103" t="n">
        <x:f>IF(W68="",U68*E23*AH68*Q23*R23,"")</x:f>
        <x:v>0.26930071420807705</x:v>
      </x:c>
      <x:c r="AK68" s="103" t="n">
        <x:f>IF(A68,O68+AF68,"")</x:f>
        <x:v>0.26698079999999996</x:v>
      </x:c>
      <x:c r="AL68" s="103" t="n">
        <x:f>IF(A68,AK68/E23,"")</x:f>
        <x:v>0.002901965217391304</x:v>
      </x:c>
    </x:row>
    <x:row r="69" ht="22" customHeight="1">
      <x:c r="A69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39),D39&gt;0),AND(ISNUMBER(E39),E39&gt;0),MOD($B$5,1)=0,MOD($F$5,1)=0,MOD($J$5,1)=0,MOD($B$9,1)=0,MOD(K23,1)=0,ISNUMBER(C39),C39&gt;=2,MOD(C39,1)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69" s="76" t="n">
        <x:f>IF(A69,D39*1000,"")</x:f>
        <x:v>60000</x:v>
      </x:c>
      <x:c r="C69" s="76" t="n">
        <x:f>IF(A69,E39*L23,"")</x:f>
        <x:v>10</x:v>
      </x:c>
      <x:c r="D69" s="76" t="n">
        <x:f>IF(A69,M101,"")</x:f>
        <x:v>216.45167541503906</x:v>
      </x:c>
      <x:c r="E69" s="76" t="n">
        <x:f>IF(A69,B23/C23,"")</x:f>
        <x:v>4</x:v>
      </x:c>
      <x:c r="F69" s="76" t="n">
        <x:f>IF(A69,B23/D23,"")</x:f>
        <x:v>4</x:v>
      </x:c>
      <x:c r="G69" s="76" t="n">
        <x:f>IF(A69,$F$5*E69*$B$5*60000/B69,"")</x:f>
        <x:v>64</x:v>
      </x:c>
      <x:c r="H69" s="76" t="n">
        <x:f>IF(A69,G69/($J$5*F69),"")</x:f>
        <x:v>16</x:v>
      </x:c>
      <x:c r="I69" s="76" t="n">
        <x:f>IF(A69,$B$5*D69/C23/$B$9,"")</x:f>
        <x:v>432.9033508300781</x:v>
      </x:c>
      <x:c r="J69" s="76" t="n">
        <x:f>IF(A69,I69*$F$5/$J$5,"")</x:f>
        <x:v>432.9033508300781</x:v>
      </x:c>
      <x:c r="K69" s="76" t="n">
        <x:f>IF(A69,MAX(I69,J69)*2^30/(J23*1e6),"")</x:f>
        <x:v>96.83884032</x:v>
      </x:c>
      <x:c r="L69" s="76" t="n">
        <x:f>IF(A69,B69/$B$9,"")</x:f>
        <x:v>60000</x:v>
      </x:c>
      <x:c r="M69" s="77" t="n">
        <x:f>IF(A69,K69/L69,"")</x:f>
        <x:v>0.001613980672</x:v>
      </x:c>
      <x:c r="N69" s="76" t="n">
        <x:f>IF(A69,(E23*ROUNDUP(K23/D23,0)*G23*(B23-1)/B23*(ROUNDUP((ROUNDUP(F23*2/32,0)*32+32)/480,0)*512+F23*2+32)+E23*ROUNDUP(H23/B23,0)*(B23-1)*32)/1e9,"")</x:f>
        <x:v>0.68082944</x:v>
      </x:c>
      <x:c r="O69" s="76" t="n">
        <x:f>IF(A69,N69*1000/I23,"")</x:f>
        <x:v>0.14183946666666666</x:v>
      </x:c>
      <x:c r="P69" s="76" t="n">
        <x:f>IF(A69,O69/E23,"")</x:f>
        <x:v>0.0015417333333333334</x:v>
      </x:c>
      <x:c r="Q69" s="76" t="n">
        <x:f>IF(A69,IF(C69&gt;AF69,N69*1000/(C69-AF69),""),"")</x:f>
        <x:v>68.94574018544603</x:v>
      </x:c>
      <x:c r="R69" s="76" t="n">
        <x:f>IF(W69="",IF(OR(K69=0,AK69=0),0,1-((E23-1)*MAX(0,(C69-AK69)/E23-(K69))+MAX(0,L69-((E23-1)*C69/E23+AL69)-(K69)))/L69),"")</x:f>
        <x:v>0.0017788841105507158</x:v>
      </x:c>
      <x:c r="S69" s="76" t="n">
        <x:f>IF(W69="",IF(AK69=0,0,MAX(0,1-(1-((E23-1)*MAX(0,(C69-AK69)/E23-(L69-K69))+MAX(0,L69-((E23-1)*C69/E23+AL69)-(L69-K69)))/L69))),"")</x:f>
        <x:v>0.0014490772334492252</x:v>
      </x:c>
      <x:c r="T69" s="76" t="n">
        <x:f>IF(W69="",IF(OR(P69=0,K69=0,$J$7=0),0,IF(P69&lt;=(1-$J$7)*K69,$J$7*P69*K69/(1-$J$7)-$J$7^2*P69^2/(2*(1-$J$7)^2),$J$7*P69*K69+$J$7^2*K69^2/2)/L69),"")</x:f>
        <x:v>2.764806222784684e-7</x:v>
      </x:c>
      <x:c r="U69" s="76" t="n">
        <x:f>IF(A69,60000/C69,"")</x:f>
        <x:v>6000</x:v>
      </x:c>
      <x:c r="V69" s="76" t="n">
        <x:f>IF(W69="",SUM(AI69:AJ69),"")</x:f>
        <x:v>0.2872676606017531</x:v>
      </x:c>
      <x:c r="W69" s="76" t="str">
        <x:f>IF(NOT(A69),"输入无效",IF(K69&gt;=L69,"KV 超载",IF(AK69&gt;C69+1e-9,"TPOT 不自洽",IF(OR(C69&gt;L69,MAX(P69,AG69)&gt;L69-K69),"需时序仿真",""))))</x:f>
      </x:c>
      <x:c r="X69" s="76" t="n">
        <x:f>IF(W69="",U69*M69,"")</x:f>
        <x:v>9.683884032</x:v>
      </x:c>
      <x:c r="Y69" s="103" t="n">
        <x:f>IF(A69,K23*F23*2*2*(D23-1)/D23/1e9,"")</x:f>
        <x:v>0.003211264</x:v>
      </x:c>
      <x:c r="Z69" s="103" t="n">
        <x:f>IF(A69,S23*2*ROUNDUP(K23/D23,0)*F23*2*(D23-1)/1e9,"")</x:f>
        <x:v>0.298647552</x:v>
      </x:c>
      <x:c r="AA69" s="103" t="n">
        <x:f>IF(A69,T23*ROUNDUP(K23/D23,0)*F23*2*2*(D23-1)/D23/1e9,"")</x:f>
        <x:v>0.000401408</x:v>
      </x:c>
      <x:c r="AB69" s="103" t="n">
        <x:f>IF(A69,U23*2*ROUNDUP(K23/D23,0)*F23*2*(D23-1)/1e9,"")</x:f>
        <x:v>0.295436288</x:v>
      </x:c>
      <x:c r="AC69" s="103" t="n">
        <x:f>IF(A69,ROUNDUP(K23/D23,0)*F23*2*(D23-1)/1e9,"")</x:f>
        <x:v>0.001605632</x:v>
      </x:c>
      <x:c r="AD69" s="103" t="n">
        <x:f>IF(A69,K23*256*(2+4)*(D23-1)/1e9,"")</x:f>
        <x:v>0.001376256</x:v>
      </x:c>
      <x:c r="AE69" s="103" t="n">
        <x:f>IF(A69,SUM(Y69:AD69),"")</x:f>
        <x:v>0.6006784</x:v>
      </x:c>
      <x:c r="AF69" s="103" t="n">
        <x:f>IF(A69,AE69*1000/P23,"")</x:f>
        <x:v>0.1251413333333333</x:v>
      </x:c>
      <x:c r="AG69" s="103" t="n">
        <x:f>IF(A69,AF69/E23,"")</x:f>
        <x:v>0.0013602318840579706</x:v>
      </x:c>
      <x:c r="AH69" s="103" t="n">
        <x:f>IF(W69="",IF(OR(AG69=0,K69=0,$J$7=0),0,IF(AG69&lt;=(1-$J$7)*K69,$J$7*AG69*K69/(1-$J$7)-$J$7^2*AG69^2/(2*(1-$J$7)^2),$J$7*AG69*K69+$J$7^2*K69^2/2)/L69),"")</x:f>
        <x:v>2.439318063478959e-7</x:v>
      </x:c>
      <x:c r="AI69" s="103" t="n">
        <x:f>IF(W69="",U69*E23*T69*M23*N23,"")</x:f>
        <x:v>0.15261730349771457</x:v>
      </x:c>
      <x:c r="AJ69" s="103" t="n">
        <x:f>IF(W69="",U69*E23*AH69*Q23*R23,"")</x:f>
        <x:v>0.13465035710403853</x:v>
      </x:c>
      <x:c r="AK69" s="103" t="n">
        <x:f>IF(A69,O69+AF69,"")</x:f>
        <x:v>0.26698079999999996</x:v>
      </x:c>
      <x:c r="AL69" s="103" t="n">
        <x:f>IF(A69,AK69/E23,"")</x:f>
        <x:v>0.002901965217391304</x:v>
      </x:c>
    </x:row>
    <x:row r="70" ht="22" customHeight="1">
      <x:c r="A70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40),D40&gt;0),AND(ISNUMBER(E40),E40&gt;0),MOD($B$5,1)=0,MOD($F$5,1)=0,MOD($J$5,1)=0,MOD($B$9,1)=0,MOD(K23,1)=0,ISNUMBER(C40),C40&gt;=2,MOD(C40,1)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70" s="76" t="n">
        <x:f>IF(A70,D40*1000,"")</x:f>
        <x:v>60000</x:v>
      </x:c>
      <x:c r="C70" s="76" t="n">
        <x:f>IF(A70,E40*L23,"")</x:f>
        <x:v>20</x:v>
      </x:c>
      <x:c r="D70" s="76" t="n">
        <x:f>IF(A70,M101,"")</x:f>
        <x:v>216.45167541503906</x:v>
      </x:c>
      <x:c r="E70" s="76" t="n">
        <x:f>IF(A70,B23/C23,"")</x:f>
        <x:v>4</x:v>
      </x:c>
      <x:c r="F70" s="76" t="n">
        <x:f>IF(A70,B23/D23,"")</x:f>
        <x:v>4</x:v>
      </x:c>
      <x:c r="G70" s="76" t="n">
        <x:f>IF(A70,$F$5*E70*$B$5*60000/B70,"")</x:f>
        <x:v>64</x:v>
      </x:c>
      <x:c r="H70" s="76" t="n">
        <x:f>IF(A70,G70/($J$5*F70),"")</x:f>
        <x:v>16</x:v>
      </x:c>
      <x:c r="I70" s="76" t="n">
        <x:f>IF(A70,$B$5*D70/C23/$B$9,"")</x:f>
        <x:v>432.9033508300781</x:v>
      </x:c>
      <x:c r="J70" s="76" t="n">
        <x:f>IF(A70,I70*$F$5/$J$5,"")</x:f>
        <x:v>432.9033508300781</x:v>
      </x:c>
      <x:c r="K70" s="76" t="n">
        <x:f>IF(A70,MAX(I70,J70)*2^30/(J23*1e6),"")</x:f>
        <x:v>96.83884032</x:v>
      </x:c>
      <x:c r="L70" s="76" t="n">
        <x:f>IF(A70,B70/$B$9,"")</x:f>
        <x:v>60000</x:v>
      </x:c>
      <x:c r="M70" s="77" t="n">
        <x:f>IF(A70,K70/L70,"")</x:f>
        <x:v>0.001613980672</x:v>
      </x:c>
      <x:c r="N70" s="76" t="n">
        <x:f>IF(A70,(E23*ROUNDUP(K23/D23,0)*G23*(B23-1)/B23*(ROUNDUP((ROUNDUP(F23*2/32,0)*32+32)/480,0)*512+F23*2+32)+E23*ROUNDUP(H23/B23,0)*(B23-1)*32)/1e9,"")</x:f>
        <x:v>0.68082944</x:v>
      </x:c>
      <x:c r="O70" s="76" t="n">
        <x:f>IF(A70,N70*1000/I23,"")</x:f>
        <x:v>0.14183946666666666</x:v>
      </x:c>
      <x:c r="P70" s="76" t="n">
        <x:f>IF(A70,O70/E23,"")</x:f>
        <x:v>0.0015417333333333334</x:v>
      </x:c>
      <x:c r="Q70" s="76" t="n">
        <x:f>IF(A70,IF(C70&gt;AF70,N70*1000/(C70-AF70),""),"")</x:f>
        <x:v>34.25581290506786</x:v>
      </x:c>
      <x:c r="R70" s="76" t="n">
        <x:f>IF(W70="",IF(OR(K70=0,AK70=0),0,1-((E23-1)*MAX(0,(C70-AK70)/E23-(K70))+MAX(0,L70-((E23-1)*C70/E23+AL70)-(K70)))/L70),"")</x:f>
        <x:v>0.0019437391830144923</x:v>
      </x:c>
      <x:c r="S70" s="76" t="n">
        <x:f>IF(W70="",IF(AK70=0,0,MAX(0,1-(1-((E23-1)*MAX(0,(C70-AK70)/E23-(L70-K70))+MAX(0,L70-((E23-1)*C70/E23+AL70)-(L70-K70)))/L70))),"")</x:f>
        <x:v>0.0012842221609855597</x:v>
      </x:c>
      <x:c r="T70" s="76" t="n">
        <x:f>IF(W70="",IF(OR(P70=0,K70=0,$J$7=0),0,IF(P70&lt;=(1-$J$7)*K70,$J$7*P70*K70/(1-$J$7)-$J$7^2*P70^2/(2*(1-$J$7)^2),$J$7*P70*K70+$J$7^2*K70^2/2)/L70),"")</x:f>
        <x:v>2.764806222784684e-7</x:v>
      </x:c>
      <x:c r="U70" s="76" t="n">
        <x:f>IF(A70,60000/C70,"")</x:f>
        <x:v>3000</x:v>
      </x:c>
      <x:c r="V70" s="76" t="n">
        <x:f>IF(W70="",SUM(AI70:AJ70),"")</x:f>
        <x:v>0.14363383030087656</x:v>
      </x:c>
      <x:c r="W70" s="76" t="str">
        <x:f>IF(NOT(A70),"输入无效",IF(K70&gt;=L70,"KV 超载",IF(AK70&gt;C70+1e-9,"TPOT 不自洽",IF(OR(C70&gt;L70,MAX(P70,AG70)&gt;L70-K70),"需时序仿真",""))))</x:f>
      </x:c>
      <x:c r="X70" s="76" t="n">
        <x:f>IF(W70="",U70*M70,"")</x:f>
        <x:v>4.841942016</x:v>
      </x:c>
      <x:c r="Y70" s="103" t="n">
        <x:f>IF(A70,K23*F23*2*2*(D23-1)/D23/1e9,"")</x:f>
        <x:v>0.003211264</x:v>
      </x:c>
      <x:c r="Z70" s="103" t="n">
        <x:f>IF(A70,S23*2*ROUNDUP(K23/D23,0)*F23*2*(D23-1)/1e9,"")</x:f>
        <x:v>0.298647552</x:v>
      </x:c>
      <x:c r="AA70" s="103" t="n">
        <x:f>IF(A70,T23*ROUNDUP(K23/D23,0)*F23*2*2*(D23-1)/D23/1e9,"")</x:f>
        <x:v>0.000401408</x:v>
      </x:c>
      <x:c r="AB70" s="103" t="n">
        <x:f>IF(A70,U23*2*ROUNDUP(K23/D23,0)*F23*2*(D23-1)/1e9,"")</x:f>
        <x:v>0.295436288</x:v>
      </x:c>
      <x:c r="AC70" s="103" t="n">
        <x:f>IF(A70,ROUNDUP(K23/D23,0)*F23*2*(D23-1)/1e9,"")</x:f>
        <x:v>0.001605632</x:v>
      </x:c>
      <x:c r="AD70" s="103" t="n">
        <x:f>IF(A70,K23*256*(2+4)*(D23-1)/1e9,"")</x:f>
        <x:v>0.001376256</x:v>
      </x:c>
      <x:c r="AE70" s="103" t="n">
        <x:f>IF(A70,SUM(Y70:AD70),"")</x:f>
        <x:v>0.6006784</x:v>
      </x:c>
      <x:c r="AF70" s="103" t="n">
        <x:f>IF(A70,AE70*1000/P23,"")</x:f>
        <x:v>0.1251413333333333</x:v>
      </x:c>
      <x:c r="AG70" s="103" t="n">
        <x:f>IF(A70,AF70/E23,"")</x:f>
        <x:v>0.0013602318840579706</x:v>
      </x:c>
      <x:c r="AH70" s="103" t="n">
        <x:f>IF(W70="",IF(OR(AG70=0,K70=0,$J$7=0),0,IF(AG70&lt;=(1-$J$7)*K70,$J$7*AG70*K70/(1-$J$7)-$J$7^2*AG70^2/(2*(1-$J$7)^2),$J$7*AG70*K70+$J$7^2*K70^2/2)/L70),"")</x:f>
        <x:v>2.439318063478959e-7</x:v>
      </x:c>
      <x:c r="AI70" s="103" t="n">
        <x:f>IF(W70="",U70*E23*T70*M23*N23,"")</x:f>
        <x:v>0.07630865174885729</x:v>
      </x:c>
      <x:c r="AJ70" s="103" t="n">
        <x:f>IF(W70="",U70*E23*AH70*Q23*R23,"")</x:f>
        <x:v>0.06732517855201926</x:v>
      </x:c>
      <x:c r="AK70" s="103" t="n">
        <x:f>IF(A70,O70+AF70,"")</x:f>
        <x:v>0.26698079999999996</x:v>
      </x:c>
      <x:c r="AL70" s="103" t="n">
        <x:f>IF(A70,AK70/E23,"")</x:f>
        <x:v>0.002901965217391304</x:v>
      </x:c>
    </x:row>
    <x:row r="71" ht="22" customHeight="1">
      <x:c r="A71" s="30" t="b">
        <x:f>AND(AND(AND(ISNUMBER($B$5),$B$5&gt;0),AND(ISNUMBER($F$5),$F$5&gt;0),AND(ISNUMBER($J$5),$J$5&gt;0),AND(ISNUMBER($B$9),$B$9&gt;0),AND(ISNUMBER(I23),I23&gt;0),AND(ISNUMBER(J23),J23&gt;0),AND(ISNUMBER(K23),K23&gt;0),AND(ISNUMBER(L23),L23&gt;0),AND(ISNUMBER(D41),D41&gt;0),AND(ISNUMBER(E41),E41&gt;0),MOD($B$5,1)=0,MOD($F$5,1)=0,MOD($J$5,1)=0,MOD($B$9,1)=0,MOD(K23,1)=0,ISNUMBER(C41),C41&gt;=2,MOD(C41,1)=0,OR($N$9=32,$N$9=64,$N$9=128),ISNUMBER($B$11),$B$11&gt;=0,MOD($B$11,1)=0,ISNUMBER($J$7),$J$7&gt;=0,$J$7&lt;1,AND(ISNUMBER(M23),M23&gt;=0,M23&lt;=1),AND(ISNUMBER(N23),N23&gt;=0,N23&lt;=1)),ISNUMBER(P23),P23&gt;0,ISNUMBER(Q23),Q23&gt;=0,Q23&lt;=1,ISNUMBER(R23),R23&gt;=0,R23&lt;=1)</x:f>
        <x:v>1</x:v>
      </x:c>
      <x:c r="B71" s="76" t="n">
        <x:f>IF(A71,D41*1000,"")</x:f>
        <x:v>60000</x:v>
      </x:c>
      <x:c r="C71" s="76" t="n">
        <x:f>IF(A71,E41*L23,"")</x:f>
        <x:v>30</x:v>
      </x:c>
      <x:c r="D71" s="76" t="n">
        <x:f>IF(A71,M101,"")</x:f>
        <x:v>216.45167541503906</x:v>
      </x:c>
      <x:c r="E71" s="76" t="n">
        <x:f>IF(A71,B23/C23,"")</x:f>
        <x:v>4</x:v>
      </x:c>
      <x:c r="F71" s="76" t="n">
        <x:f>IF(A71,B23/D23,"")</x:f>
        <x:v>4</x:v>
      </x:c>
      <x:c r="G71" s="76" t="n">
        <x:f>IF(A71,$F$5*E71*$B$5*60000/B71,"")</x:f>
        <x:v>64</x:v>
      </x:c>
      <x:c r="H71" s="76" t="n">
        <x:f>IF(A71,G71/($J$5*F71),"")</x:f>
        <x:v>16</x:v>
      </x:c>
      <x:c r="I71" s="76" t="n">
        <x:f>IF(A71,$B$5*D71/C23/$B$9,"")</x:f>
        <x:v>432.9033508300781</x:v>
      </x:c>
      <x:c r="J71" s="76" t="n">
        <x:f>IF(A71,I71*$F$5/$J$5,"")</x:f>
        <x:v>432.9033508300781</x:v>
      </x:c>
      <x:c r="K71" s="76" t="n">
        <x:f>IF(A71,MAX(I71,J71)*2^30/(J23*1e6),"")</x:f>
        <x:v>96.83884032</x:v>
      </x:c>
      <x:c r="L71" s="76" t="n">
        <x:f>IF(A71,B71/$B$9,"")</x:f>
        <x:v>60000</x:v>
      </x:c>
      <x:c r="M71" s="77" t="n">
        <x:f>IF(A71,K71/L71,"")</x:f>
        <x:v>0.001613980672</x:v>
      </x:c>
      <x:c r="N71" s="76" t="n">
        <x:f>IF(A71,(E23*ROUNDUP(K23/D23,0)*G23*(B23-1)/B23*(ROUNDUP((ROUNDUP(F23*2/32,0)*32+32)/480,0)*512+F23*2+32)+E23*ROUNDUP(H23/B23,0)*(B23-1)*32)/1e9,"")</x:f>
        <x:v>0.68082944</x:v>
      </x:c>
      <x:c r="O71" s="76" t="n">
        <x:f>IF(A71,N71*1000/I23,"")</x:f>
        <x:v>0.14183946666666666</x:v>
      </x:c>
      <x:c r="P71" s="76" t="n">
        <x:f>IF(A71,O71/E23,"")</x:f>
        <x:v>0.0015417333333333334</x:v>
      </x:c>
      <x:c r="Q71" s="76" t="n">
        <x:f>IF(A71,IF(C71&gt;AF71,N71*1000/(C71-AF71),""),"")</x:f>
        <x:v>22.789377770668615</x:v>
      </x:c>
      <x:c r="R71" s="76" t="n">
        <x:f>IF(W71="",IF(OR(K71=0,AK71=0),0,1-((E23-1)*MAX(0,(C71-AK71)/E23-(K71))+MAX(0,L71-((E23-1)*C71/E23+AL71)-(K71)))/L71),"")</x:f>
        <x:v>0.002108594255478269</x:v>
      </x:c>
      <x:c r="S71" s="76" t="n">
        <x:f>IF(W71="",IF(AK71=0,0,MAX(0,1-(1-((E23-1)*MAX(0,(C71-AK71)/E23-(L71-K71))+MAX(0,L71-((E23-1)*C71/E23+AL71)-(L71-K71)))/L71))),"")</x:f>
        <x:v>0.0011193670885217832</x:v>
      </x:c>
      <x:c r="T71" s="76" t="n">
        <x:f>IF(W71="",IF(OR(P71=0,K71=0,$J$7=0),0,IF(P71&lt;=(1-$J$7)*K71,$J$7*P71*K71/(1-$J$7)-$J$7^2*P71^2/(2*(1-$J$7)^2),$J$7*P71*K71+$J$7^2*K71^2/2)/L71),"")</x:f>
        <x:v>2.764806222784684e-7</x:v>
      </x:c>
      <x:c r="U71" s="76" t="n">
        <x:f>IF(A71,60000/C71,"")</x:f>
        <x:v>2000</x:v>
      </x:c>
      <x:c r="V71" s="76" t="n">
        <x:f>IF(W71="",SUM(AI71:AJ71),"")</x:f>
        <x:v>0.09575588686725103</x:v>
      </x:c>
      <x:c r="W71" s="76" t="str">
        <x:f>IF(NOT(A71),"输入无效",IF(K71&gt;=L71,"KV 超载",IF(AK71&gt;C71+1e-9,"TPOT 不自洽",IF(OR(C71&gt;L71,MAX(P71,AG71)&gt;L71-K71),"需时序仿真",""))))</x:f>
      </x:c>
      <x:c r="X71" s="76" t="n">
        <x:f>IF(W71="",U71*M71,"")</x:f>
        <x:v>3.227961344</x:v>
      </x:c>
      <x:c r="Y71" s="103" t="n">
        <x:f>IF(A71,K23*F23*2*2*(D23-1)/D23/1e9,"")</x:f>
        <x:v>0.003211264</x:v>
      </x:c>
      <x:c r="Z71" s="103" t="n">
        <x:f>IF(A71,S23*2*ROUNDUP(K23/D23,0)*F23*2*(D23-1)/1e9,"")</x:f>
        <x:v>0.298647552</x:v>
      </x:c>
      <x:c r="AA71" s="103" t="n">
        <x:f>IF(A71,T23*ROUNDUP(K23/D23,0)*F23*2*2*(D23-1)/D23/1e9,"")</x:f>
        <x:v>0.000401408</x:v>
      </x:c>
      <x:c r="AB71" s="103" t="n">
        <x:f>IF(A71,U23*2*ROUNDUP(K23/D23,0)*F23*2*(D23-1)/1e9,"")</x:f>
        <x:v>0.295436288</x:v>
      </x:c>
      <x:c r="AC71" s="103" t="n">
        <x:f>IF(A71,ROUNDUP(K23/D23,0)*F23*2*(D23-1)/1e9,"")</x:f>
        <x:v>0.001605632</x:v>
      </x:c>
      <x:c r="AD71" s="103" t="n">
        <x:f>IF(A71,K23*256*(2+4)*(D23-1)/1e9,"")</x:f>
        <x:v>0.001376256</x:v>
      </x:c>
      <x:c r="AE71" s="103" t="n">
        <x:f>IF(A71,SUM(Y71:AD71),"")</x:f>
        <x:v>0.6006784</x:v>
      </x:c>
      <x:c r="AF71" s="103" t="n">
        <x:f>IF(A71,AE71*1000/P23,"")</x:f>
        <x:v>0.1251413333333333</x:v>
      </x:c>
      <x:c r="AG71" s="103" t="n">
        <x:f>IF(A71,AF71/E23,"")</x:f>
        <x:v>0.0013602318840579706</x:v>
      </x:c>
      <x:c r="AH71" s="103" t="n">
        <x:f>IF(W71="",IF(OR(AG71=0,K71=0,$J$7=0),0,IF(AG71&lt;=(1-$J$7)*K71,$J$7*AG71*K71/(1-$J$7)-$J$7^2*AG71^2/(2*(1-$J$7)^2),$J$7*AG71*K71+$J$7^2*K71^2/2)/L71),"")</x:f>
        <x:v>2.439318063478959e-7</x:v>
      </x:c>
      <x:c r="AI71" s="103" t="n">
        <x:f>IF(W71="",U71*E23*T71*M23*N23,"")</x:f>
        <x:v>0.05087243449923819</x:v>
      </x:c>
      <x:c r="AJ71" s="103" t="n">
        <x:f>IF(W71="",U71*E23*AH71*Q23*R23,"")</x:f>
        <x:v>0.04488345236801285</x:v>
      </x:c>
      <x:c r="AK71" s="103" t="n">
        <x:f>IF(A71,O71+AF71,"")</x:f>
        <x:v>0.26698079999999996</x:v>
      </x:c>
      <x:c r="AL71" s="103" t="n">
        <x:f>IF(A71,AK71/E23,"")</x:f>
        <x:v>0.002901965217391304</x:v>
      </x:c>
    </x:row>
    <x:row r="72" ht="22" customHeight="1">
      <x:c r="A72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42),D42&gt;0),AND(ISNUMBER(E42),E42&gt;0),MOD($B$5,1)=0,MOD($F$5,1)=0,MOD($J$5,1)=0,MOD($B$9,1)=0,MOD(K24,1)=0,ISNUMBER(C42),C42&gt;=2,MOD(C42,1)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2" s="76" t="n">
        <x:f>IF(A72,D42*1000,"")</x:f>
        <x:v>4000</x:v>
      </x:c>
      <x:c r="C72" s="76" t="n">
        <x:f>IF(A72,E42*L24,"")</x:f>
        <x:v>5</x:v>
      </x:c>
      <x:c r="D72" s="76" t="n">
        <x:f>IF(A72,M93,"")</x:f>
        <x:v>3.8266754150390625</x:v>
      </x:c>
      <x:c r="E72" s="76" t="n">
        <x:f>IF(A72,B24/C24,"")</x:f>
        <x:v>32</x:v>
      </x:c>
      <x:c r="F72" s="76" t="n">
        <x:f>IF(A72,B24/D24,"")</x:f>
        <x:v>32</x:v>
      </x:c>
      <x:c r="G72" s="76" t="n">
        <x:f>IF(A72,$F$5*E72*$B$5*60000/B72,"")</x:f>
        <x:v>7680</x:v>
      </x:c>
      <x:c r="H72" s="76" t="n">
        <x:f>IF(A72,G72/($J$5*F72),"")</x:f>
        <x:v>240</x:v>
      </x:c>
      <x:c r="I72" s="76" t="n">
        <x:f>IF(A72,$B$5*D72/C24/$B$9,"")</x:f>
        <x:v>7.653350830078125</x:v>
      </x:c>
      <x:c r="J72" s="76" t="n">
        <x:f>IF(A72,I72*$F$5/$J$5,"")</x:f>
        <x:v>7.653350830078125</x:v>
      </x:c>
      <x:c r="K72" s="76" t="n">
        <x:f>IF(A72,MAX(I72,J72)*2^30/(J24*1e6),"")</x:f>
        <x:v>1.7120256</x:v>
      </x:c>
      <x:c r="L72" s="76" t="n">
        <x:f>IF(A72,B72/$B$9,"")</x:f>
        <x:v>4000</x:v>
      </x:c>
      <x:c r="M72" s="77" t="n">
        <x:f>IF(A72,K72/L72,"")</x:f>
        <x:v>0.0004280064</x:v>
      </x:c>
      <x:c r="N72" s="76" t="n">
        <x:f>IF(A72,(E24*ROUNDUP(K24/D24,0)*G24*(B24-1)/B24*(ROUNDUP((ROUNDUP(F24*2/32,0)*32+32)/480,0)*512+F24*2+32)+E24*ROUNDUP(H24/B24,0)*(B24-1)*32)/1e9,"")</x:f>
        <x:v>0.70042176</x:v>
      </x:c>
      <x:c r="O72" s="76" t="n">
        <x:f>IF(A72,N72*1000/I24,"")</x:f>
        <x:v>0.1459212</x:v>
      </x:c>
      <x:c r="P72" s="76" t="n">
        <x:f>IF(A72,O72/E24,"")</x:f>
        <x:v>0.0015861</x:v>
      </x:c>
      <x:c r="Q72" s="76" t="n">
        <x:f>IF(A72,IF(C72&gt;AF72,N72*1000/(C72-AF72),""),"")</x:f>
        <x:v>143.68042396579565</x:v>
      </x:c>
      <x:c r="R72" s="76" t="n">
        <x:f>IF(W72="",IF(OR(K72=0,AK72=0),0,1-((E24-1)*MAX(0,(C72-AK72)/E24-(K72))+MAX(0,L72-((E24-1)*C72/E24+AL72)-(K72)))/L72),"")</x:f>
        <x:v>0.0016651560264492327</x:v>
      </x:c>
      <x:c r="S72" s="76" t="n">
        <x:f>IF(W72="",IF(AK72=0,0,MAX(0,1-(1-((E24-1)*MAX(0,(C72-AK72)/E24-(L72-K72))+MAX(0,L72-((E24-1)*C72/E24+AL72)-(L72-K72)))/L72))),"")</x:f>
        <x:v>0</x:v>
      </x:c>
      <x:c r="T72" s="76" t="n">
        <x:f>IF(W72="",IF(OR(P72=0,K72=0,$J$7=0),0,IF(P72&lt;=(1-$J$7)*K72,$J$7*P72*K72/(1-$J$7)-$J$7^2*P72^2/(2*(1-$J$7)^2),$J$7*P72*K72+$J$7^2*K72^2/2)/L72),"")</x:f>
        <x:v>7.542511228652778e-8</x:v>
      </x:c>
      <x:c r="U72" s="76" t="n">
        <x:f>IF(A72,60000/C72,"")</x:f>
        <x:v>12000</x:v>
      </x:c>
      <x:c r="V72" s="76" t="n">
        <x:f>IF(W72="",SUM(AI72:AJ72),"")</x:f>
        <x:v>0.15468122714756344</x:v>
      </x:c>
      <x:c r="W72" s="76" t="str">
        <x:f>IF(NOT(A72),"输入无效",IF(K72&gt;=L72,"KV 超载",IF(AK72&gt;C72+1e-9,"TPOT 不自洽",IF(OR(C72&gt;L72,MAX(P72,AG72)&gt;L72-K72),"需时序仿真",""))))</x:f>
      </x:c>
      <x:c r="X72" s="76" t="n">
        <x:f>IF(W72="",U72*M72,"")</x:f>
        <x:v>5.1360768</x:v>
      </x:c>
      <x:c r="Y72" s="103" t="n">
        <x:f>IF(A72,K24*F24*2*2*(D24-1)/D24/1e9,"")</x:f>
        <x:v>0.003211264</x:v>
      </x:c>
      <x:c r="Z72" s="103" t="n">
        <x:f>IF(A72,S24*2*ROUNDUP(K24/D24,0)*F24*2*(D24-1)/1e9,"")</x:f>
        <x:v>0.298647552</x:v>
      </x:c>
      <x:c r="AA72" s="103" t="n">
        <x:f>IF(A72,T24*ROUNDUP(K24/D24,0)*F24*2*2*(D24-1)/D24/1e9,"")</x:f>
        <x:v>0.000401408</x:v>
      </x:c>
      <x:c r="AB72" s="103" t="n">
        <x:f>IF(A72,U24*2*ROUNDUP(K24/D24,0)*F24*2*(D24-1)/1e9,"")</x:f>
        <x:v>0.295436288</x:v>
      </x:c>
      <x:c r="AC72" s="103" t="n">
        <x:f>IF(A72,ROUNDUP(K24/D24,0)*F24*2*(D24-1)/1e9,"")</x:f>
        <x:v>0.001605632</x:v>
      </x:c>
      <x:c r="AD72" s="103" t="n">
        <x:f>IF(A72,K24*256*(2+4)*(D24-1)/1e9,"")</x:f>
        <x:v>0.001376256</x:v>
      </x:c>
      <x:c r="AE72" s="103" t="n">
        <x:f>IF(A72,SUM(Y72:AD72),"")</x:f>
        <x:v>0.6006784</x:v>
      </x:c>
      <x:c r="AF72" s="103" t="n">
        <x:f>IF(A72,AE72*1000/P24,"")</x:f>
        <x:v>0.1251413333333333</x:v>
      </x:c>
      <x:c r="AG72" s="103" t="n">
        <x:f>IF(A72,AF72/E24,"")</x:f>
        <x:v>0.0013602318840579706</x:v>
      </x:c>
      <x:c r="AH72" s="103" t="n">
        <x:f>IF(W72="",IF(OR(AG72=0,K72=0,$J$7=0),0,IF(AG72&lt;=(1-$J$7)*K72,$J$7*AG72*K72/(1-$J$7)-$J$7^2*AG72^2/(2*(1-$J$7)^2),$J$7*AG72*K72+$J$7^2*K72^2/2)/L72),"")</x:f>
        <x:v>6.468469491235216e-8</x:v>
      </x:c>
      <x:c r="AI72" s="103" t="n">
        <x:f>IF(W72="",U72*E24*T72*M24*N24,"")</x:f>
        <x:v>0.08326932396432667</x:v>
      </x:c>
      <x:c r="AJ72" s="103" t="n">
        <x:f>IF(W72="",U72*E24*AH72*Q24*R24,"")</x:f>
        <x:v>0.07141190318323679</x:v>
      </x:c>
      <x:c r="AK72" s="103" t="n">
        <x:f>IF(A72,O72+AF72,"")</x:f>
        <x:v>0.2710625333333333</x:v>
      </x:c>
      <x:c r="AL72" s="103" t="n">
        <x:f>IF(A72,AK72/E24,"")</x:f>
        <x:v>0.0029463318840579704</x:v>
      </x:c>
    </x:row>
    <x:row r="73" ht="22" customHeight="1">
      <x:c r="A73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43),D43&gt;0),AND(ISNUMBER(E43),E43&gt;0),MOD($B$5,1)=0,MOD($F$5,1)=0,MOD($J$5,1)=0,MOD($B$9,1)=0,MOD(K24,1)=0,ISNUMBER(C43),C43&gt;=2,MOD(C43,1)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3" s="76" t="n">
        <x:f>IF(A73,D43*1000,"")</x:f>
        <x:v>4000</x:v>
      </x:c>
      <x:c r="C73" s="76" t="n">
        <x:f>IF(A73,E43*L24,"")</x:f>
        <x:v>10</x:v>
      </x:c>
      <x:c r="D73" s="76" t="n">
        <x:f>IF(A73,M93,"")</x:f>
        <x:v>3.8266754150390625</x:v>
      </x:c>
      <x:c r="E73" s="76" t="n">
        <x:f>IF(A73,B24/C24,"")</x:f>
        <x:v>32</x:v>
      </x:c>
      <x:c r="F73" s="76" t="n">
        <x:f>IF(A73,B24/D24,"")</x:f>
        <x:v>32</x:v>
      </x:c>
      <x:c r="G73" s="76" t="n">
        <x:f>IF(A73,$F$5*E73*$B$5*60000/B73,"")</x:f>
        <x:v>7680</x:v>
      </x:c>
      <x:c r="H73" s="76" t="n">
        <x:f>IF(A73,G73/($J$5*F73),"")</x:f>
        <x:v>240</x:v>
      </x:c>
      <x:c r="I73" s="76" t="n">
        <x:f>IF(A73,$B$5*D73/C24/$B$9,"")</x:f>
        <x:v>7.653350830078125</x:v>
      </x:c>
      <x:c r="J73" s="76" t="n">
        <x:f>IF(A73,I73*$F$5/$J$5,"")</x:f>
        <x:v>7.653350830078125</x:v>
      </x:c>
      <x:c r="K73" s="76" t="n">
        <x:f>IF(A73,MAX(I73,J73)*2^30/(J24*1e6),"")</x:f>
        <x:v>1.7120256</x:v>
      </x:c>
      <x:c r="L73" s="76" t="n">
        <x:f>IF(A73,B73/$B$9,"")</x:f>
        <x:v>4000</x:v>
      </x:c>
      <x:c r="M73" s="77" t="n">
        <x:f>IF(A73,K73/L73,"")</x:f>
        <x:v>0.0004280064</x:v>
      </x:c>
      <x:c r="N73" s="76" t="n">
        <x:f>IF(A73,(E24*ROUNDUP(K24/D24,0)*G24*(B24-1)/B24*(ROUNDUP((ROUNDUP(F24*2/32,0)*32+32)/480,0)*512+F24*2+32)+E24*ROUNDUP(H24/B24,0)*(B24-1)*32)/1e9,"")</x:f>
        <x:v>0.70042176</x:v>
      </x:c>
      <x:c r="O73" s="76" t="n">
        <x:f>IF(A73,N73*1000/I24,"")</x:f>
        <x:v>0.1459212</x:v>
      </x:c>
      <x:c r="P73" s="76" t="n">
        <x:f>IF(A73,O73/E24,"")</x:f>
        <x:v>0.0015861</x:v>
      </x:c>
      <x:c r="Q73" s="76" t="n">
        <x:f>IF(A73,IF(C73&gt;AF73,N73*1000/(C73-AF73),""),"")</x:f>
        <x:v>70.92980098685632</x:v>
      </x:c>
      <x:c r="R73" s="76" t="n">
        <x:f>IF(W73="",IF(OR(K73=0,AK73=0),0,1-((E24-1)*MAX(0,(C73-AK73)/E24-(K73))+MAX(0,L73-((E24-1)*C73/E24+AL73)-(K73)))/L73),"")</x:f>
        <x:v>0.0029015690699275565</x:v>
      </x:c>
      <x:c r="S73" s="76" t="n">
        <x:f>IF(W73="",IF(AK73=0,0,MAX(0,1-(1-((E24-1)*MAX(0,(C73-AK73)/E24-(L73-K73))+MAX(0,L73-((E24-1)*C73/E24+AL73)-(L73-K73)))/L73))),"")</x:f>
        <x:v>0</x:v>
      </x:c>
      <x:c r="T73" s="76" t="n">
        <x:f>IF(W73="",IF(OR(P73=0,K73=0,$J$7=0),0,IF(P73&lt;=(1-$J$7)*K73,$J$7*P73*K73/(1-$J$7)-$J$7^2*P73^2/(2*(1-$J$7)^2),$J$7*P73*K73+$J$7^2*K73^2/2)/L73),"")</x:f>
        <x:v>7.542511228652778e-8</x:v>
      </x:c>
      <x:c r="U73" s="76" t="n">
        <x:f>IF(A73,60000/C73,"")</x:f>
        <x:v>6000</x:v>
      </x:c>
      <x:c r="V73" s="76" t="n">
        <x:f>IF(W73="",SUM(AI73:AJ73),"")</x:f>
        <x:v>0.07734061357378172</x:v>
      </x:c>
      <x:c r="W73" s="76" t="str">
        <x:f>IF(NOT(A73),"输入无效",IF(K73&gt;=L73,"KV 超载",IF(AK73&gt;C73+1e-9,"TPOT 不自洽",IF(OR(C73&gt;L73,MAX(P73,AG73)&gt;L73-K73),"需时序仿真",""))))</x:f>
      </x:c>
      <x:c r="X73" s="76" t="n">
        <x:f>IF(W73="",U73*M73,"")</x:f>
        <x:v>2.5680384</x:v>
      </x:c>
      <x:c r="Y73" s="103" t="n">
        <x:f>IF(A73,K24*F24*2*2*(D24-1)/D24/1e9,"")</x:f>
        <x:v>0.003211264</x:v>
      </x:c>
      <x:c r="Z73" s="103" t="n">
        <x:f>IF(A73,S24*2*ROUNDUP(K24/D24,0)*F24*2*(D24-1)/1e9,"")</x:f>
        <x:v>0.298647552</x:v>
      </x:c>
      <x:c r="AA73" s="103" t="n">
        <x:f>IF(A73,T24*ROUNDUP(K24/D24,0)*F24*2*2*(D24-1)/D24/1e9,"")</x:f>
        <x:v>0.000401408</x:v>
      </x:c>
      <x:c r="AB73" s="103" t="n">
        <x:f>IF(A73,U24*2*ROUNDUP(K24/D24,0)*F24*2*(D24-1)/1e9,"")</x:f>
        <x:v>0.295436288</x:v>
      </x:c>
      <x:c r="AC73" s="103" t="n">
        <x:f>IF(A73,ROUNDUP(K24/D24,0)*F24*2*(D24-1)/1e9,"")</x:f>
        <x:v>0.001605632</x:v>
      </x:c>
      <x:c r="AD73" s="103" t="n">
        <x:f>IF(A73,K24*256*(2+4)*(D24-1)/1e9,"")</x:f>
        <x:v>0.001376256</x:v>
      </x:c>
      <x:c r="AE73" s="103" t="n">
        <x:f>IF(A73,SUM(Y73:AD73),"")</x:f>
        <x:v>0.6006784</x:v>
      </x:c>
      <x:c r="AF73" s="103" t="n">
        <x:f>IF(A73,AE73*1000/P24,"")</x:f>
        <x:v>0.1251413333333333</x:v>
      </x:c>
      <x:c r="AG73" s="103" t="n">
        <x:f>IF(A73,AF73/E24,"")</x:f>
        <x:v>0.0013602318840579706</x:v>
      </x:c>
      <x:c r="AH73" s="103" t="n">
        <x:f>IF(W73="",IF(OR(AG73=0,K73=0,$J$7=0),0,IF(AG73&lt;=(1-$J$7)*K73,$J$7*AG73*K73/(1-$J$7)-$J$7^2*AG73^2/(2*(1-$J$7)^2),$J$7*AG73*K73+$J$7^2*K73^2/2)/L73),"")</x:f>
        <x:v>6.468469491235216e-8</x:v>
      </x:c>
      <x:c r="AI73" s="103" t="n">
        <x:f>IF(W73="",U73*E24*T73*M24*N24,"")</x:f>
        <x:v>0.04163466198216333</x:v>
      </x:c>
      <x:c r="AJ73" s="103" t="n">
        <x:f>IF(W73="",U73*E24*AH73*Q24*R24,"")</x:f>
        <x:v>0.03570595159161839</x:v>
      </x:c>
      <x:c r="AK73" s="103" t="n">
        <x:f>IF(A73,O73+AF73,"")</x:f>
        <x:v>0.2710625333333333</x:v>
      </x:c>
      <x:c r="AL73" s="103" t="n">
        <x:f>IF(A73,AK73/E24,"")</x:f>
        <x:v>0.0029463318840579704</x:v>
      </x:c>
    </x:row>
    <x:row r="74" ht="22" customHeight="1">
      <x:c r="A74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44),D44&gt;0),AND(ISNUMBER(E44),E44&gt;0),MOD($B$5,1)=0,MOD($F$5,1)=0,MOD($J$5,1)=0,MOD($B$9,1)=0,MOD(K24,1)=0,ISNUMBER(C44),C44&gt;=2,MOD(C44,1)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4" s="76" t="n">
        <x:f>IF(A74,D44*1000,"")</x:f>
        <x:v>4000</x:v>
      </x:c>
      <x:c r="C74" s="76" t="n">
        <x:f>IF(A74,E44*L24,"")</x:f>
        <x:v>20</x:v>
      </x:c>
      <x:c r="D74" s="76" t="n">
        <x:f>IF(A74,M93,"")</x:f>
        <x:v>3.8266754150390625</x:v>
      </x:c>
      <x:c r="E74" s="76" t="n">
        <x:f>IF(A74,B24/C24,"")</x:f>
        <x:v>32</x:v>
      </x:c>
      <x:c r="F74" s="76" t="n">
        <x:f>IF(A74,B24/D24,"")</x:f>
        <x:v>32</x:v>
      </x:c>
      <x:c r="G74" s="76" t="n">
        <x:f>IF(A74,$F$5*E74*$B$5*60000/B74,"")</x:f>
        <x:v>7680</x:v>
      </x:c>
      <x:c r="H74" s="76" t="n">
        <x:f>IF(A74,G74/($J$5*F74),"")</x:f>
        <x:v>240</x:v>
      </x:c>
      <x:c r="I74" s="76" t="n">
        <x:f>IF(A74,$B$5*D74/C24/$B$9,"")</x:f>
        <x:v>7.653350830078125</x:v>
      </x:c>
      <x:c r="J74" s="76" t="n">
        <x:f>IF(A74,I74*$F$5/$J$5,"")</x:f>
        <x:v>7.653350830078125</x:v>
      </x:c>
      <x:c r="K74" s="76" t="n">
        <x:f>IF(A74,MAX(I74,J74)*2^30/(J24*1e6),"")</x:f>
        <x:v>1.7120256</x:v>
      </x:c>
      <x:c r="L74" s="76" t="n">
        <x:f>IF(A74,B74/$B$9,"")</x:f>
        <x:v>4000</x:v>
      </x:c>
      <x:c r="M74" s="77" t="n">
        <x:f>IF(A74,K74/L74,"")</x:f>
        <x:v>0.0004280064</x:v>
      </x:c>
      <x:c r="N74" s="76" t="n">
        <x:f>IF(A74,(E24*ROUNDUP(K24/D24,0)*G24*(B24-1)/B24*(ROUNDUP((ROUNDUP(F24*2/32,0)*32+32)/480,0)*512+F24*2+32)+E24*ROUNDUP(H24/B24,0)*(B24-1)*32)/1e9,"")</x:f>
        <x:v>0.70042176</x:v>
      </x:c>
      <x:c r="O74" s="76" t="n">
        <x:f>IF(A74,N74*1000/I24,"")</x:f>
        <x:v>0.1459212</x:v>
      </x:c>
      <x:c r="P74" s="76" t="n">
        <x:f>IF(A74,O74/E24,"")</x:f>
        <x:v>0.0015861</x:v>
      </x:c>
      <x:c r="Q74" s="76" t="n">
        <x:f>IF(A74,IF(C74&gt;AF74,N74*1000/(C74-AF74),""),"")</x:f>
        <x:v>35.24159702200649</x:v>
      </x:c>
      <x:c r="R74" s="76" t="n">
        <x:f>IF(W74="",IF(OR(K74=0,AK74=0),0,1-((E24-1)*MAX(0,(C74-AK74)/E24-(K74))+MAX(0,L74-((E24-1)*C74/E24+AL74)-(K74)))/L74),"")</x:f>
        <x:v>0.005374395156883982</x:v>
      </x:c>
      <x:c r="S74" s="76" t="n">
        <x:f>IF(W74="",IF(AK74=0,0,MAX(0,1-(1-((E24-1)*MAX(0,(C74-AK74)/E24-(L74-K74))+MAX(0,L74-((E24-1)*C74/E24+AL74)-(L74-K74)))/L74))),"")</x:f>
        <x:v>0</x:v>
      </x:c>
      <x:c r="T74" s="76" t="n">
        <x:f>IF(W74="",IF(OR(P74=0,K74=0,$J$7=0),0,IF(P74&lt;=(1-$J$7)*K74,$J$7*P74*K74/(1-$J$7)-$J$7^2*P74^2/(2*(1-$J$7)^2),$J$7*P74*K74+$J$7^2*K74^2/2)/L74),"")</x:f>
        <x:v>7.542511228652778e-8</x:v>
      </x:c>
      <x:c r="U74" s="76" t="n">
        <x:f>IF(A74,60000/C74,"")</x:f>
        <x:v>3000</x:v>
      </x:c>
      <x:c r="V74" s="76" t="n">
        <x:f>IF(W74="",SUM(AI74:AJ74),"")</x:f>
        <x:v>0.03867030678689086</x:v>
      </x:c>
      <x:c r="W74" s="76" t="str">
        <x:f>IF(NOT(A74),"输入无效",IF(K74&gt;=L74,"KV 超载",IF(AK74&gt;C74+1e-9,"TPOT 不自洽",IF(OR(C74&gt;L74,MAX(P74,AG74)&gt;L74-K74),"需时序仿真",""))))</x:f>
      </x:c>
      <x:c r="X74" s="76" t="n">
        <x:f>IF(W74="",U74*M74,"")</x:f>
        <x:v>1.2840192</x:v>
      </x:c>
      <x:c r="Y74" s="103" t="n">
        <x:f>IF(A74,K24*F24*2*2*(D24-1)/D24/1e9,"")</x:f>
        <x:v>0.003211264</x:v>
      </x:c>
      <x:c r="Z74" s="103" t="n">
        <x:f>IF(A74,S24*2*ROUNDUP(K24/D24,0)*F24*2*(D24-1)/1e9,"")</x:f>
        <x:v>0.298647552</x:v>
      </x:c>
      <x:c r="AA74" s="103" t="n">
        <x:f>IF(A74,T24*ROUNDUP(K24/D24,0)*F24*2*2*(D24-1)/D24/1e9,"")</x:f>
        <x:v>0.000401408</x:v>
      </x:c>
      <x:c r="AB74" s="103" t="n">
        <x:f>IF(A74,U24*2*ROUNDUP(K24/D24,0)*F24*2*(D24-1)/1e9,"")</x:f>
        <x:v>0.295436288</x:v>
      </x:c>
      <x:c r="AC74" s="103" t="n">
        <x:f>IF(A74,ROUNDUP(K24/D24,0)*F24*2*(D24-1)/1e9,"")</x:f>
        <x:v>0.001605632</x:v>
      </x:c>
      <x:c r="AD74" s="103" t="n">
        <x:f>IF(A74,K24*256*(2+4)*(D24-1)/1e9,"")</x:f>
        <x:v>0.001376256</x:v>
      </x:c>
      <x:c r="AE74" s="103" t="n">
        <x:f>IF(A74,SUM(Y74:AD74),"")</x:f>
        <x:v>0.6006784</x:v>
      </x:c>
      <x:c r="AF74" s="103" t="n">
        <x:f>IF(A74,AE74*1000/P24,"")</x:f>
        <x:v>0.1251413333333333</x:v>
      </x:c>
      <x:c r="AG74" s="103" t="n">
        <x:f>IF(A74,AF74/E24,"")</x:f>
        <x:v>0.0013602318840579706</x:v>
      </x:c>
      <x:c r="AH74" s="103" t="n">
        <x:f>IF(W74="",IF(OR(AG74=0,K74=0,$J$7=0),0,IF(AG74&lt;=(1-$J$7)*K74,$J$7*AG74*K74/(1-$J$7)-$J$7^2*AG74^2/(2*(1-$J$7)^2),$J$7*AG74*K74+$J$7^2*K74^2/2)/L74),"")</x:f>
        <x:v>6.468469491235216e-8</x:v>
      </x:c>
      <x:c r="AI74" s="103" t="n">
        <x:f>IF(W74="",U74*E24*T74*M24*N24,"")</x:f>
        <x:v>0.020817330991081667</x:v>
      </x:c>
      <x:c r="AJ74" s="103" t="n">
        <x:f>IF(W74="",U74*E24*AH74*Q24*R24,"")</x:f>
        <x:v>0.017852975795809196</x:v>
      </x:c>
      <x:c r="AK74" s="103" t="n">
        <x:f>IF(A74,O74+AF74,"")</x:f>
        <x:v>0.2710625333333333</x:v>
      </x:c>
      <x:c r="AL74" s="103" t="n">
        <x:f>IF(A74,AK74/E24,"")</x:f>
        <x:v>0.0029463318840579704</x:v>
      </x:c>
    </x:row>
    <x:row r="75" ht="22" customHeight="1">
      <x:c r="A75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45),D45&gt;0),AND(ISNUMBER(E45),E45&gt;0),MOD($B$5,1)=0,MOD($F$5,1)=0,MOD($J$5,1)=0,MOD($B$9,1)=0,MOD(K24,1)=0,ISNUMBER(C45),C45&gt;=2,MOD(C45,1)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5" s="76" t="n">
        <x:f>IF(A75,D45*1000,"")</x:f>
        <x:v>4000</x:v>
      </x:c>
      <x:c r="C75" s="76" t="n">
        <x:f>IF(A75,E45*L24,"")</x:f>
        <x:v>30</x:v>
      </x:c>
      <x:c r="D75" s="76" t="n">
        <x:f>IF(A75,M93,"")</x:f>
        <x:v>3.8266754150390625</x:v>
      </x:c>
      <x:c r="E75" s="76" t="n">
        <x:f>IF(A75,B24/C24,"")</x:f>
        <x:v>32</x:v>
      </x:c>
      <x:c r="F75" s="76" t="n">
        <x:f>IF(A75,B24/D24,"")</x:f>
        <x:v>32</x:v>
      </x:c>
      <x:c r="G75" s="76" t="n">
        <x:f>IF(A75,$F$5*E75*$B$5*60000/B75,"")</x:f>
        <x:v>7680</x:v>
      </x:c>
      <x:c r="H75" s="76" t="n">
        <x:f>IF(A75,G75/($J$5*F75),"")</x:f>
        <x:v>240</x:v>
      </x:c>
      <x:c r="I75" s="76" t="n">
        <x:f>IF(A75,$B$5*D75/C24/$B$9,"")</x:f>
        <x:v>7.653350830078125</x:v>
      </x:c>
      <x:c r="J75" s="76" t="n">
        <x:f>IF(A75,I75*$F$5/$J$5,"")</x:f>
        <x:v>7.653350830078125</x:v>
      </x:c>
      <x:c r="K75" s="76" t="n">
        <x:f>IF(A75,MAX(I75,J75)*2^30/(J24*1e6),"")</x:f>
        <x:v>1.7120256</x:v>
      </x:c>
      <x:c r="L75" s="76" t="n">
        <x:f>IF(A75,B75/$B$9,"")</x:f>
        <x:v>4000</x:v>
      </x:c>
      <x:c r="M75" s="77" t="n">
        <x:f>IF(A75,K75/L75,"")</x:f>
        <x:v>0.0004280064</x:v>
      </x:c>
      <x:c r="N75" s="76" t="n">
        <x:f>IF(A75,(E24*ROUNDUP(K24/D24,0)*G24*(B24-1)/B24*(ROUNDUP((ROUNDUP(F24*2/32,0)*32+32)/480,0)*512+F24*2+32)+E24*ROUNDUP(H24/B24,0)*(B24-1)*32)/1e9,"")</x:f>
        <x:v>0.70042176</x:v>
      </x:c>
      <x:c r="O75" s="76" t="n">
        <x:f>IF(A75,N75*1000/I24,"")</x:f>
        <x:v>0.1459212</x:v>
      </x:c>
      <x:c r="P75" s="76" t="n">
        <x:f>IF(A75,O75/E24,"")</x:f>
        <x:v>0.0015861</x:v>
      </x:c>
      <x:c r="Q75" s="76" t="n">
        <x:f>IF(A75,IF(C75&gt;AF75,N75*1000/(C75-AF75),""),"")</x:f>
        <x:v>23.445190747680634</x:v>
      </x:c>
      <x:c r="R75" s="76" t="n">
        <x:f>IF(W75="",IF(OR(K75=0,AK75=0),0,1-((E24-1)*MAX(0,(C75-AK75)/E24-(K75))+MAX(0,L75-((E24-1)*C75/E24+AL75)-(K75)))/L75),"")</x:f>
        <x:v>0.007847221243840519</x:v>
      </x:c>
      <x:c r="S75" s="76" t="n">
        <x:f>IF(W75="",IF(AK75=0,0,MAX(0,1-(1-((E24-1)*MAX(0,(C75-AK75)/E24-(L75-K75))+MAX(0,L75-((E24-1)*C75/E24+AL75)-(L75-K75)))/L75))),"")</x:f>
        <x:v>0</x:v>
      </x:c>
      <x:c r="T75" s="76" t="n">
        <x:f>IF(W75="",IF(OR(P75=0,K75=0,$J$7=0),0,IF(P75&lt;=(1-$J$7)*K75,$J$7*P75*K75/(1-$J$7)-$J$7^2*P75^2/(2*(1-$J$7)^2),$J$7*P75*K75+$J$7^2*K75^2/2)/L75),"")</x:f>
        <x:v>7.542511228652778e-8</x:v>
      </x:c>
      <x:c r="U75" s="76" t="n">
        <x:f>IF(A75,60000/C75,"")</x:f>
        <x:v>2000</x:v>
      </x:c>
      <x:c r="V75" s="76" t="n">
        <x:f>IF(W75="",SUM(AI75:AJ75),"")</x:f>
        <x:v>0.02578020452459391</x:v>
      </x:c>
      <x:c r="W75" s="76" t="str">
        <x:f>IF(NOT(A75),"输入无效",IF(K75&gt;=L75,"KV 超载",IF(AK75&gt;C75+1e-9,"TPOT 不自洽",IF(OR(C75&gt;L75,MAX(P75,AG75)&gt;L75-K75),"需时序仿真",""))))</x:f>
      </x:c>
      <x:c r="X75" s="76" t="n">
        <x:f>IF(W75="",U75*M75,"")</x:f>
        <x:v>0.8560128</x:v>
      </x:c>
      <x:c r="Y75" s="103" t="n">
        <x:f>IF(A75,K24*F24*2*2*(D24-1)/D24/1e9,"")</x:f>
        <x:v>0.003211264</x:v>
      </x:c>
      <x:c r="Z75" s="103" t="n">
        <x:f>IF(A75,S24*2*ROUNDUP(K24/D24,0)*F24*2*(D24-1)/1e9,"")</x:f>
        <x:v>0.298647552</x:v>
      </x:c>
      <x:c r="AA75" s="103" t="n">
        <x:f>IF(A75,T24*ROUNDUP(K24/D24,0)*F24*2*2*(D24-1)/D24/1e9,"")</x:f>
        <x:v>0.000401408</x:v>
      </x:c>
      <x:c r="AB75" s="103" t="n">
        <x:f>IF(A75,U24*2*ROUNDUP(K24/D24,0)*F24*2*(D24-1)/1e9,"")</x:f>
        <x:v>0.295436288</x:v>
      </x:c>
      <x:c r="AC75" s="103" t="n">
        <x:f>IF(A75,ROUNDUP(K24/D24,0)*F24*2*(D24-1)/1e9,"")</x:f>
        <x:v>0.001605632</x:v>
      </x:c>
      <x:c r="AD75" s="103" t="n">
        <x:f>IF(A75,K24*256*(2+4)*(D24-1)/1e9,"")</x:f>
        <x:v>0.001376256</x:v>
      </x:c>
      <x:c r="AE75" s="103" t="n">
        <x:f>IF(A75,SUM(Y75:AD75),"")</x:f>
        <x:v>0.6006784</x:v>
      </x:c>
      <x:c r="AF75" s="103" t="n">
        <x:f>IF(A75,AE75*1000/P24,"")</x:f>
        <x:v>0.1251413333333333</x:v>
      </x:c>
      <x:c r="AG75" s="103" t="n">
        <x:f>IF(A75,AF75/E24,"")</x:f>
        <x:v>0.0013602318840579706</x:v>
      </x:c>
      <x:c r="AH75" s="103" t="n">
        <x:f>IF(W75="",IF(OR(AG75=0,K75=0,$J$7=0),0,IF(AG75&lt;=(1-$J$7)*K75,$J$7*AG75*K75/(1-$J$7)-$J$7^2*AG75^2/(2*(1-$J$7)^2),$J$7*AG75*K75+$J$7^2*K75^2/2)/L75),"")</x:f>
        <x:v>6.468469491235216e-8</x:v>
      </x:c>
      <x:c r="AI75" s="103" t="n">
        <x:f>IF(W75="",U75*E24*T75*M24*N24,"")</x:f>
        <x:v>0.013878220660721112</x:v>
      </x:c>
      <x:c r="AJ75" s="103" t="n">
        <x:f>IF(W75="",U75*E24*AH75*Q24*R24,"")</x:f>
        <x:v>0.011901983863872798</x:v>
      </x:c>
      <x:c r="AK75" s="103" t="n">
        <x:f>IF(A75,O75+AF75,"")</x:f>
        <x:v>0.2710625333333333</x:v>
      </x:c>
      <x:c r="AL75" s="103" t="n">
        <x:f>IF(A75,AK75/E24,"")</x:f>
        <x:v>0.0029463318840579704</x:v>
      </x:c>
    </x:row>
    <x:row r="76" ht="22" customHeight="1">
      <x:c r="A76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46),D46&gt;0),AND(ISNUMBER(E46),E46&gt;0),MOD($B$5,1)=0,MOD($F$5,1)=0,MOD($J$5,1)=0,MOD($B$9,1)=0,MOD(K24,1)=0,ISNUMBER(C46),C46&gt;=2,MOD(C46,1)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6" s="76" t="n">
        <x:f>IF(A76,D46*1000,"")</x:f>
        <x:v>20000</x:v>
      </x:c>
      <x:c r="C76" s="76" t="n">
        <x:f>IF(A76,E46*L24,"")</x:f>
        <x:v>5</x:v>
      </x:c>
      <x:c r="D76" s="76" t="n">
        <x:f>IF(A76,M97,"")</x:f>
        <x:v>54.45167541503906</x:v>
      </x:c>
      <x:c r="E76" s="76" t="n">
        <x:f>IF(A76,B24/C24,"")</x:f>
        <x:v>32</x:v>
      </x:c>
      <x:c r="F76" s="76" t="n">
        <x:f>IF(A76,B24/D24,"")</x:f>
        <x:v>32</x:v>
      </x:c>
      <x:c r="G76" s="76" t="n">
        <x:f>IF(A76,$F$5*E76*$B$5*60000/B76,"")</x:f>
        <x:v>1536</x:v>
      </x:c>
      <x:c r="H76" s="76" t="n">
        <x:f>IF(A76,G76/($J$5*F76),"")</x:f>
        <x:v>48</x:v>
      </x:c>
      <x:c r="I76" s="76" t="n">
        <x:f>IF(A76,$B$5*D76/C24/$B$9,"")</x:f>
        <x:v>108.90335083007812</x:v>
      </x:c>
      <x:c r="J76" s="76" t="n">
        <x:f>IF(A76,I76*$F$5/$J$5,"")</x:f>
        <x:v>108.90335083007812</x:v>
      </x:c>
      <x:c r="K76" s="76" t="n">
        <x:f>IF(A76,MAX(I76,J76)*2^30/(J24*1e6),"")</x:f>
        <x:v>24.3612672</x:v>
      </x:c>
      <x:c r="L76" s="76" t="n">
        <x:f>IF(A76,B76/$B$9,"")</x:f>
        <x:v>20000</x:v>
      </x:c>
      <x:c r="M76" s="77" t="n">
        <x:f>IF(A76,K76/L76,"")</x:f>
        <x:v>0.00121806336</x:v>
      </x:c>
      <x:c r="N76" s="76" t="n">
        <x:f>IF(A76,(E24*ROUNDUP(K24/D24,0)*G24*(B24-1)/B24*(ROUNDUP((ROUNDUP(F24*2/32,0)*32+32)/480,0)*512+F24*2+32)+E24*ROUNDUP(H24/B24,0)*(B24-1)*32)/1e9,"")</x:f>
        <x:v>0.70042176</x:v>
      </x:c>
      <x:c r="O76" s="76" t="n">
        <x:f>IF(A76,N76*1000/I24,"")</x:f>
        <x:v>0.1459212</x:v>
      </x:c>
      <x:c r="P76" s="76" t="n">
        <x:f>IF(A76,O76/E24,"")</x:f>
        <x:v>0.0015861</x:v>
      </x:c>
      <x:c r="Q76" s="76" t="n">
        <x:f>IF(A76,IF(C76&gt;AF76,N76*1000/(C76-AF76),""),"")</x:f>
        <x:v>143.68042396579565</x:v>
      </x:c>
      <x:c r="R76" s="76" t="n">
        <x:f>IF(W76="",IF(OR(K76=0,AK76=0),0,1-((E24-1)*MAX(0,(C76-AK76)/E24-(K76))+MAX(0,L76-((E24-1)*C76/E24+AL76)-(K76)))/L76),"")</x:f>
        <x:v>0.0014654932852899982</x:v>
      </x:c>
      <x:c r="S76" s="76" t="n">
        <x:f>IF(W76="",IF(AK76=0,0,MAX(0,1-(1-((E24-1)*MAX(0,(C76-AK76)/E24-(L76-K76))+MAX(0,L76-((E24-1)*C76/E24+AL76)-(L76-K76)))/L76))),"")</x:f>
        <x:v>0.0009706334347101553</x:v>
      </x:c>
      <x:c r="T76" s="76" t="n">
        <x:f>IF(W76="",IF(OR(P76=0,K76=0,$J$7=0),0,IF(P76&lt;=(1-$J$7)*K76,$J$7*P76*K76/(1-$J$7)-$J$7^2*P76^2/(2*(1-$J$7)^2),$J$7*P76*K76+$J$7^2*K76^2/2)/L76),"")</x:f>
        <x:v>2.1466258968930553e-7</x:v>
      </x:c>
      <x:c r="U76" s="76" t="n">
        <x:f>IF(A76,60000/C76,"")</x:f>
        <x:v>12000</x:v>
      </x:c>
      <x:c r="V76" s="76" t="n">
        <x:f>IF(W76="",SUM(AI76:AJ76),"")</x:f>
        <x:v>0.4402269658411606</x:v>
      </x:c>
      <x:c r="W76" s="76" t="str">
        <x:f>IF(NOT(A76),"输入无效",IF(K76&gt;=L76,"KV 超载",IF(AK76&gt;C76+1e-9,"TPOT 不自洽",IF(OR(C76&gt;L76,MAX(P76,AG76)&gt;L76-K76),"需时序仿真",""))))</x:f>
      </x:c>
      <x:c r="X76" s="76" t="n">
        <x:f>IF(W76="",U76*M76,"")</x:f>
        <x:v>14.61676032</x:v>
      </x:c>
      <x:c r="Y76" s="103" t="n">
        <x:f>IF(A76,K24*F24*2*2*(D24-1)/D24/1e9,"")</x:f>
        <x:v>0.003211264</x:v>
      </x:c>
      <x:c r="Z76" s="103" t="n">
        <x:f>IF(A76,S24*2*ROUNDUP(K24/D24,0)*F24*2*(D24-1)/1e9,"")</x:f>
        <x:v>0.298647552</x:v>
      </x:c>
      <x:c r="AA76" s="103" t="n">
        <x:f>IF(A76,T24*ROUNDUP(K24/D24,0)*F24*2*2*(D24-1)/D24/1e9,"")</x:f>
        <x:v>0.000401408</x:v>
      </x:c>
      <x:c r="AB76" s="103" t="n">
        <x:f>IF(A76,U24*2*ROUNDUP(K24/D24,0)*F24*2*(D24-1)/1e9,"")</x:f>
        <x:v>0.295436288</x:v>
      </x:c>
      <x:c r="AC76" s="103" t="n">
        <x:f>IF(A76,ROUNDUP(K24/D24,0)*F24*2*(D24-1)/1e9,"")</x:f>
        <x:v>0.001605632</x:v>
      </x:c>
      <x:c r="AD76" s="103" t="n">
        <x:f>IF(A76,K24*256*(2+4)*(D24-1)/1e9,"")</x:f>
        <x:v>0.001376256</x:v>
      </x:c>
      <x:c r="AE76" s="103" t="n">
        <x:f>IF(A76,SUM(Y76:AD76),"")</x:f>
        <x:v>0.6006784</x:v>
      </x:c>
      <x:c r="AF76" s="103" t="n">
        <x:f>IF(A76,AE76*1000/P24,"")</x:f>
        <x:v>0.1251413333333333</x:v>
      </x:c>
      <x:c r="AG76" s="103" t="n">
        <x:f>IF(A76,AF76/E24,"")</x:f>
        <x:v>0.0013602318840579706</x:v>
      </x:c>
      <x:c r="AH76" s="103" t="n">
        <x:f>IF(W76="",IF(OR(AG76=0,K76=0,$J$7=0),0,IF(AG76&lt;=(1-$J$7)*K76,$J$7*AG76*K76/(1-$J$7)-$J$7^2*AG76^2/(2*(1-$J$7)^2),$J$7*AG76*K76+$J$7^2*K76^2/2)/L76),"")</x:f>
        <x:v>1.8409371994942692e-7</x:v>
      </x:c>
      <x:c r="AI76" s="103" t="n">
        <x:f>IF(W76="",U76*E24*T76*M24*N24,"")</x:f>
        <x:v>0.23698749901699329</x:v>
      </x:c>
      <x:c r="AJ76" s="103" t="n">
        <x:f>IF(W76="",U76*E24*AH76*Q24*R24,"")</x:f>
        <x:v>0.20323946682416733</x:v>
      </x:c>
      <x:c r="AK76" s="103" t="n">
        <x:f>IF(A76,O76+AF76,"")</x:f>
        <x:v>0.2710625333333333</x:v>
      </x:c>
      <x:c r="AL76" s="103" t="n">
        <x:f>IF(A76,AK76/E24,"")</x:f>
        <x:v>0.0029463318840579704</x:v>
      </x:c>
    </x:row>
    <x:row r="77" ht="22" customHeight="1">
      <x:c r="A77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47),D47&gt;0),AND(ISNUMBER(E47),E47&gt;0),MOD($B$5,1)=0,MOD($F$5,1)=0,MOD($J$5,1)=0,MOD($B$9,1)=0,MOD(K24,1)=0,ISNUMBER(C47),C47&gt;=2,MOD(C47,1)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7" s="76" t="n">
        <x:f>IF(A77,D47*1000,"")</x:f>
        <x:v>20000</x:v>
      </x:c>
      <x:c r="C77" s="76" t="n">
        <x:f>IF(A77,E47*L24,"")</x:f>
        <x:v>10</x:v>
      </x:c>
      <x:c r="D77" s="76" t="n">
        <x:f>IF(A77,M97,"")</x:f>
        <x:v>54.45167541503906</x:v>
      </x:c>
      <x:c r="E77" s="76" t="n">
        <x:f>IF(A77,B24/C24,"")</x:f>
        <x:v>32</x:v>
      </x:c>
      <x:c r="F77" s="76" t="n">
        <x:f>IF(A77,B24/D24,"")</x:f>
        <x:v>32</x:v>
      </x:c>
      <x:c r="G77" s="76" t="n">
        <x:f>IF(A77,$F$5*E77*$B$5*60000/B77,"")</x:f>
        <x:v>1536</x:v>
      </x:c>
      <x:c r="H77" s="76" t="n">
        <x:f>IF(A77,G77/($J$5*F77),"")</x:f>
        <x:v>48</x:v>
      </x:c>
      <x:c r="I77" s="76" t="n">
        <x:f>IF(A77,$B$5*D77/C24/$B$9,"")</x:f>
        <x:v>108.90335083007812</x:v>
      </x:c>
      <x:c r="J77" s="76" t="n">
        <x:f>IF(A77,I77*$F$5/$J$5,"")</x:f>
        <x:v>108.90335083007812</x:v>
      </x:c>
      <x:c r="K77" s="76" t="n">
        <x:f>IF(A77,MAX(I77,J77)*2^30/(J24*1e6),"")</x:f>
        <x:v>24.3612672</x:v>
      </x:c>
      <x:c r="L77" s="76" t="n">
        <x:f>IF(A77,B77/$B$9,"")</x:f>
        <x:v>20000</x:v>
      </x:c>
      <x:c r="M77" s="77" t="n">
        <x:f>IF(A77,K77/L77,"")</x:f>
        <x:v>0.00121806336</x:v>
      </x:c>
      <x:c r="N77" s="76" t="n">
        <x:f>IF(A77,(E24*ROUNDUP(K24/D24,0)*G24*(B24-1)/B24*(ROUNDUP((ROUNDUP(F24*2/32,0)*32+32)/480,0)*512+F24*2+32)+E24*ROUNDUP(H24/B24,0)*(B24-1)*32)/1e9,"")</x:f>
        <x:v>0.70042176</x:v>
      </x:c>
      <x:c r="O77" s="76" t="n">
        <x:f>IF(A77,N77*1000/I24,"")</x:f>
        <x:v>0.1459212</x:v>
      </x:c>
      <x:c r="P77" s="76" t="n">
        <x:f>IF(A77,O77/E24,"")</x:f>
        <x:v>0.0015861</x:v>
      </x:c>
      <x:c r="Q77" s="76" t="n">
        <x:f>IF(A77,IF(C77&gt;AF77,N77*1000/(C77-AF77),""),"")</x:f>
        <x:v>70.92980098685632</x:v>
      </x:c>
      <x:c r="R77" s="76" t="n">
        <x:f>IF(W77="",IF(OR(K77=0,AK77=0),0,1-((E24-1)*MAX(0,(C77-AK77)/E24-(K77))+MAX(0,L77-((E24-1)*C77/E24+AL77)-(K77)))/L77),"")</x:f>
        <x:v>0.001712775893985552</x:v>
      </x:c>
      <x:c r="S77" s="76" t="n">
        <x:f>IF(W77="",IF(AK77=0,0,MAX(0,1-(1-((E24-1)*MAX(0,(C77-AK77)/E24-(L77-K77))+MAX(0,L77-((E24-1)*C77/E24+AL77)-(L77-K77)))/L77))),"")</x:f>
        <x:v>0.0007233508260146015</x:v>
      </x:c>
      <x:c r="T77" s="76" t="n">
        <x:f>IF(W77="",IF(OR(P77=0,K77=0,$J$7=0),0,IF(P77&lt;=(1-$J$7)*K77,$J$7*P77*K77/(1-$J$7)-$J$7^2*P77^2/(2*(1-$J$7)^2),$J$7*P77*K77+$J$7^2*K77^2/2)/L77),"")</x:f>
        <x:v>2.1466258968930553e-7</x:v>
      </x:c>
      <x:c r="U77" s="76" t="n">
        <x:f>IF(A77,60000/C77,"")</x:f>
        <x:v>6000</x:v>
      </x:c>
      <x:c r="V77" s="76" t="n">
        <x:f>IF(W77="",SUM(AI77:AJ77),"")</x:f>
        <x:v>0.2201134829205803</x:v>
      </x:c>
      <x:c r="W77" s="76" t="str">
        <x:f>IF(NOT(A77),"输入无效",IF(K77&gt;=L77,"KV 超载",IF(AK77&gt;C77+1e-9,"TPOT 不自洽",IF(OR(C77&gt;L77,MAX(P77,AG77)&gt;L77-K77),"需时序仿真",""))))</x:f>
      </x:c>
      <x:c r="X77" s="76" t="n">
        <x:f>IF(W77="",U77*M77,"")</x:f>
        <x:v>7.30838016</x:v>
      </x:c>
      <x:c r="Y77" s="103" t="n">
        <x:f>IF(A77,K24*F24*2*2*(D24-1)/D24/1e9,"")</x:f>
        <x:v>0.003211264</x:v>
      </x:c>
      <x:c r="Z77" s="103" t="n">
        <x:f>IF(A77,S24*2*ROUNDUP(K24/D24,0)*F24*2*(D24-1)/1e9,"")</x:f>
        <x:v>0.298647552</x:v>
      </x:c>
      <x:c r="AA77" s="103" t="n">
        <x:f>IF(A77,T24*ROUNDUP(K24/D24,0)*F24*2*2*(D24-1)/D24/1e9,"")</x:f>
        <x:v>0.000401408</x:v>
      </x:c>
      <x:c r="AB77" s="103" t="n">
        <x:f>IF(A77,U24*2*ROUNDUP(K24/D24,0)*F24*2*(D24-1)/1e9,"")</x:f>
        <x:v>0.295436288</x:v>
      </x:c>
      <x:c r="AC77" s="103" t="n">
        <x:f>IF(A77,ROUNDUP(K24/D24,0)*F24*2*(D24-1)/1e9,"")</x:f>
        <x:v>0.001605632</x:v>
      </x:c>
      <x:c r="AD77" s="103" t="n">
        <x:f>IF(A77,K24*256*(2+4)*(D24-1)/1e9,"")</x:f>
        <x:v>0.001376256</x:v>
      </x:c>
      <x:c r="AE77" s="103" t="n">
        <x:f>IF(A77,SUM(Y77:AD77),"")</x:f>
        <x:v>0.6006784</x:v>
      </x:c>
      <x:c r="AF77" s="103" t="n">
        <x:f>IF(A77,AE77*1000/P24,"")</x:f>
        <x:v>0.1251413333333333</x:v>
      </x:c>
      <x:c r="AG77" s="103" t="n">
        <x:f>IF(A77,AF77/E24,"")</x:f>
        <x:v>0.0013602318840579706</x:v>
      </x:c>
      <x:c r="AH77" s="103" t="n">
        <x:f>IF(W77="",IF(OR(AG77=0,K77=0,$J$7=0),0,IF(AG77&lt;=(1-$J$7)*K77,$J$7*AG77*K77/(1-$J$7)-$J$7^2*AG77^2/(2*(1-$J$7)^2),$J$7*AG77*K77+$J$7^2*K77^2/2)/L77),"")</x:f>
        <x:v>1.8409371994942692e-7</x:v>
      </x:c>
      <x:c r="AI77" s="103" t="n">
        <x:f>IF(W77="",U77*E24*T77*M24*N24,"")</x:f>
        <x:v>0.11849374950849664</x:v>
      </x:c>
      <x:c r="AJ77" s="103" t="n">
        <x:f>IF(W77="",U77*E24*AH77*Q24*R24,"")</x:f>
        <x:v>0.10161973341208366</x:v>
      </x:c>
      <x:c r="AK77" s="103" t="n">
        <x:f>IF(A77,O77+AF77,"")</x:f>
        <x:v>0.2710625333333333</x:v>
      </x:c>
      <x:c r="AL77" s="103" t="n">
        <x:f>IF(A77,AK77/E24,"")</x:f>
        <x:v>0.0029463318840579704</x:v>
      </x:c>
    </x:row>
    <x:row r="78" ht="22" customHeight="1">
      <x:c r="A78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48),D48&gt;0),AND(ISNUMBER(E48),E48&gt;0),MOD($B$5,1)=0,MOD($F$5,1)=0,MOD($J$5,1)=0,MOD($B$9,1)=0,MOD(K24,1)=0,ISNUMBER(C48),C48&gt;=2,MOD(C48,1)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8" s="76" t="n">
        <x:f>IF(A78,D48*1000,"")</x:f>
        <x:v>20000</x:v>
      </x:c>
      <x:c r="C78" s="76" t="n">
        <x:f>IF(A78,E48*L24,"")</x:f>
        <x:v>20</x:v>
      </x:c>
      <x:c r="D78" s="76" t="n">
        <x:f>IF(A78,M97,"")</x:f>
        <x:v>54.45167541503906</x:v>
      </x:c>
      <x:c r="E78" s="76" t="n">
        <x:f>IF(A78,B24/C24,"")</x:f>
        <x:v>32</x:v>
      </x:c>
      <x:c r="F78" s="76" t="n">
        <x:f>IF(A78,B24/D24,"")</x:f>
        <x:v>32</x:v>
      </x:c>
      <x:c r="G78" s="76" t="n">
        <x:f>IF(A78,$F$5*E78*$B$5*60000/B78,"")</x:f>
        <x:v>1536</x:v>
      </x:c>
      <x:c r="H78" s="76" t="n">
        <x:f>IF(A78,G78/($J$5*F78),"")</x:f>
        <x:v>48</x:v>
      </x:c>
      <x:c r="I78" s="76" t="n">
        <x:f>IF(A78,$B$5*D78/C24/$B$9,"")</x:f>
        <x:v>108.90335083007812</x:v>
      </x:c>
      <x:c r="J78" s="76" t="n">
        <x:f>IF(A78,I78*$F$5/$J$5,"")</x:f>
        <x:v>108.90335083007812</x:v>
      </x:c>
      <x:c r="K78" s="76" t="n">
        <x:f>IF(A78,MAX(I78,J78)*2^30/(J24*1e6),"")</x:f>
        <x:v>24.3612672</x:v>
      </x:c>
      <x:c r="L78" s="76" t="n">
        <x:f>IF(A78,B78/$B$9,"")</x:f>
        <x:v>20000</x:v>
      </x:c>
      <x:c r="M78" s="77" t="n">
        <x:f>IF(A78,K78/L78,"")</x:f>
        <x:v>0.00121806336</x:v>
      </x:c>
      <x:c r="N78" s="76" t="n">
        <x:f>IF(A78,(E24*ROUNDUP(K24/D24,0)*G24*(B24-1)/B24*(ROUNDUP((ROUNDUP(F24*2/32,0)*32+32)/480,0)*512+F24*2+32)+E24*ROUNDUP(H24/B24,0)*(B24-1)*32)/1e9,"")</x:f>
        <x:v>0.70042176</x:v>
      </x:c>
      <x:c r="O78" s="76" t="n">
        <x:f>IF(A78,N78*1000/I24,"")</x:f>
        <x:v>0.1459212</x:v>
      </x:c>
      <x:c r="P78" s="76" t="n">
        <x:f>IF(A78,O78/E24,"")</x:f>
        <x:v>0.0015861</x:v>
      </x:c>
      <x:c r="Q78" s="76" t="n">
        <x:f>IF(A78,IF(C78&gt;AF78,N78*1000/(C78-AF78),""),"")</x:f>
        <x:v>35.24159702200649</x:v>
      </x:c>
      <x:c r="R78" s="76" t="n">
        <x:f>IF(W78="",IF(OR(K78=0,AK78=0),0,1-((E24-1)*MAX(0,(C78-AK78)/E24-(K78))+MAX(0,L78-((E24-1)*C78/E24+AL78)-(K78)))/L78),"")</x:f>
        <x:v>0.0022073411113767705</x:v>
      </x:c>
      <x:c r="S78" s="76" t="n">
        <x:f>IF(W78="",IF(AK78=0,0,MAX(0,1-(1-((E24-1)*MAX(0,(C78-AK78)/E24-(L78-K78))+MAX(0,L78-((E24-1)*C78/E24+AL78)-(L78-K78)))/L78))),"")</x:f>
        <x:v>0.00022878560862338304</x:v>
      </x:c>
      <x:c r="T78" s="76" t="n">
        <x:f>IF(W78="",IF(OR(P78=0,K78=0,$J$7=0),0,IF(P78&lt;=(1-$J$7)*K78,$J$7*P78*K78/(1-$J$7)-$J$7^2*P78^2/(2*(1-$J$7)^2),$J$7*P78*K78+$J$7^2*K78^2/2)/L78),"")</x:f>
        <x:v>2.1466258968930553e-7</x:v>
      </x:c>
      <x:c r="U78" s="76" t="n">
        <x:f>IF(A78,60000/C78,"")</x:f>
        <x:v>3000</x:v>
      </x:c>
      <x:c r="V78" s="76" t="n">
        <x:f>IF(W78="",SUM(AI78:AJ78),"")</x:f>
        <x:v>0.11005674146029015</x:v>
      </x:c>
      <x:c r="W78" s="76" t="str">
        <x:f>IF(NOT(A78),"输入无效",IF(K78&gt;=L78,"KV 超载",IF(AK78&gt;C78+1e-9,"TPOT 不自洽",IF(OR(C78&gt;L78,MAX(P78,AG78)&gt;L78-K78),"需时序仿真",""))))</x:f>
      </x:c>
      <x:c r="X78" s="76" t="n">
        <x:f>IF(W78="",U78*M78,"")</x:f>
        <x:v>3.65419008</x:v>
      </x:c>
      <x:c r="Y78" s="103" t="n">
        <x:f>IF(A78,K24*F24*2*2*(D24-1)/D24/1e9,"")</x:f>
        <x:v>0.003211264</x:v>
      </x:c>
      <x:c r="Z78" s="103" t="n">
        <x:f>IF(A78,S24*2*ROUNDUP(K24/D24,0)*F24*2*(D24-1)/1e9,"")</x:f>
        <x:v>0.298647552</x:v>
      </x:c>
      <x:c r="AA78" s="103" t="n">
        <x:f>IF(A78,T24*ROUNDUP(K24/D24,0)*F24*2*2*(D24-1)/D24/1e9,"")</x:f>
        <x:v>0.000401408</x:v>
      </x:c>
      <x:c r="AB78" s="103" t="n">
        <x:f>IF(A78,U24*2*ROUNDUP(K24/D24,0)*F24*2*(D24-1)/1e9,"")</x:f>
        <x:v>0.295436288</x:v>
      </x:c>
      <x:c r="AC78" s="103" t="n">
        <x:f>IF(A78,ROUNDUP(K24/D24,0)*F24*2*(D24-1)/1e9,"")</x:f>
        <x:v>0.001605632</x:v>
      </x:c>
      <x:c r="AD78" s="103" t="n">
        <x:f>IF(A78,K24*256*(2+4)*(D24-1)/1e9,"")</x:f>
        <x:v>0.001376256</x:v>
      </x:c>
      <x:c r="AE78" s="103" t="n">
        <x:f>IF(A78,SUM(Y78:AD78),"")</x:f>
        <x:v>0.6006784</x:v>
      </x:c>
      <x:c r="AF78" s="103" t="n">
        <x:f>IF(A78,AE78*1000/P24,"")</x:f>
        <x:v>0.1251413333333333</x:v>
      </x:c>
      <x:c r="AG78" s="103" t="n">
        <x:f>IF(A78,AF78/E24,"")</x:f>
        <x:v>0.0013602318840579706</x:v>
      </x:c>
      <x:c r="AH78" s="103" t="n">
        <x:f>IF(W78="",IF(OR(AG78=0,K78=0,$J$7=0),0,IF(AG78&lt;=(1-$J$7)*K78,$J$7*AG78*K78/(1-$J$7)-$J$7^2*AG78^2/(2*(1-$J$7)^2),$J$7*AG78*K78+$J$7^2*K78^2/2)/L78),"")</x:f>
        <x:v>1.8409371994942692e-7</x:v>
      </x:c>
      <x:c r="AI78" s="103" t="n">
        <x:f>IF(W78="",U78*E24*T78*M24*N24,"")</x:f>
        <x:v>0.05924687475424832</x:v>
      </x:c>
      <x:c r="AJ78" s="103" t="n">
        <x:f>IF(W78="",U78*E24*AH78*Q24*R24,"")</x:f>
        <x:v>0.05080986670604183</x:v>
      </x:c>
      <x:c r="AK78" s="103" t="n">
        <x:f>IF(A78,O78+AF78,"")</x:f>
        <x:v>0.2710625333333333</x:v>
      </x:c>
      <x:c r="AL78" s="103" t="n">
        <x:f>IF(A78,AK78/E24,"")</x:f>
        <x:v>0.0029463318840579704</x:v>
      </x:c>
    </x:row>
    <x:row r="79" ht="22" customHeight="1">
      <x:c r="A79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49),D49&gt;0),AND(ISNUMBER(E49),E49&gt;0),MOD($B$5,1)=0,MOD($F$5,1)=0,MOD($J$5,1)=0,MOD($B$9,1)=0,MOD(K24,1)=0,ISNUMBER(C49),C49&gt;=2,MOD(C49,1)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79" s="76" t="n">
        <x:f>IF(A79,D49*1000,"")</x:f>
        <x:v>20000</x:v>
      </x:c>
      <x:c r="C79" s="76" t="n">
        <x:f>IF(A79,E49*L24,"")</x:f>
        <x:v>30</x:v>
      </x:c>
      <x:c r="D79" s="76" t="n">
        <x:f>IF(A79,M97,"")</x:f>
        <x:v>54.45167541503906</x:v>
      </x:c>
      <x:c r="E79" s="76" t="n">
        <x:f>IF(A79,B24/C24,"")</x:f>
        <x:v>32</x:v>
      </x:c>
      <x:c r="F79" s="76" t="n">
        <x:f>IF(A79,B24/D24,"")</x:f>
        <x:v>32</x:v>
      </x:c>
      <x:c r="G79" s="76" t="n">
        <x:f>IF(A79,$F$5*E79*$B$5*60000/B79,"")</x:f>
        <x:v>1536</x:v>
      </x:c>
      <x:c r="H79" s="76" t="n">
        <x:f>IF(A79,G79/($J$5*F79),"")</x:f>
        <x:v>48</x:v>
      </x:c>
      <x:c r="I79" s="76" t="n">
        <x:f>IF(A79,$B$5*D79/C24/$B$9,"")</x:f>
        <x:v>108.90335083007812</x:v>
      </x:c>
      <x:c r="J79" s="76" t="n">
        <x:f>IF(A79,I79*$F$5/$J$5,"")</x:f>
        <x:v>108.90335083007812</x:v>
      </x:c>
      <x:c r="K79" s="76" t="n">
        <x:f>IF(A79,MAX(I79,J79)*2^30/(J24*1e6),"")</x:f>
        <x:v>24.3612672</x:v>
      </x:c>
      <x:c r="L79" s="76" t="n">
        <x:f>IF(A79,B79/$B$9,"")</x:f>
        <x:v>20000</x:v>
      </x:c>
      <x:c r="M79" s="77" t="n">
        <x:f>IF(A79,K79/L79,"")</x:f>
        <x:v>0.00121806336</x:v>
      </x:c>
      <x:c r="N79" s="76" t="n">
        <x:f>IF(A79,(E24*ROUNDUP(K24/D24,0)*G24*(B24-1)/B24*(ROUNDUP((ROUNDUP(F24*2/32,0)*32+32)/480,0)*512+F24*2+32)+E24*ROUNDUP(H24/B24,0)*(B24-1)*32)/1e9,"")</x:f>
        <x:v>0.70042176</x:v>
      </x:c>
      <x:c r="O79" s="76" t="n">
        <x:f>IF(A79,N79*1000/I24,"")</x:f>
        <x:v>0.1459212</x:v>
      </x:c>
      <x:c r="P79" s="76" t="n">
        <x:f>IF(A79,O79/E24,"")</x:f>
        <x:v>0.0015861</x:v>
      </x:c>
      <x:c r="Q79" s="76" t="n">
        <x:f>IF(A79,IF(C79&gt;AF79,N79*1000/(C79-AF79),""),"")</x:f>
        <x:v>23.445190747680634</x:v>
      </x:c>
      <x:c r="R79" s="76" t="n">
        <x:f>IF(W79="",IF(OR(K79=0,AK79=0),0,1-((E24-1)*MAX(0,(C79-AK79)/E24-(K79))+MAX(0,L79-((E24-1)*C79/E24+AL79)-(K79)))/L79),"")</x:f>
        <x:v>0.002701906328768211</x:v>
      </x:c>
      <x:c r="S79" s="76" t="n">
        <x:f>IF(W79="",IF(AK79=0,0,MAX(0,1-(1-((E24-1)*MAX(0,(C79-AK79)/E24-(L79-K79))+MAX(0,L79-((E24-1)*C79/E24+AL79)-(L79-K79)))/L79))),"")</x:f>
        <x:v>0</x:v>
      </x:c>
      <x:c r="T79" s="76" t="n">
        <x:f>IF(W79="",IF(OR(P79=0,K79=0,$J$7=0),0,IF(P79&lt;=(1-$J$7)*K79,$J$7*P79*K79/(1-$J$7)-$J$7^2*P79^2/(2*(1-$J$7)^2),$J$7*P79*K79+$J$7^2*K79^2/2)/L79),"")</x:f>
        <x:v>2.1466258968930553e-7</x:v>
      </x:c>
      <x:c r="U79" s="76" t="n">
        <x:f>IF(A79,60000/C79,"")</x:f>
        <x:v>2000</x:v>
      </x:c>
      <x:c r="V79" s="76" t="n">
        <x:f>IF(W79="",SUM(AI79:AJ79),"")</x:f>
        <x:v>0.07337116097352676</x:v>
      </x:c>
      <x:c r="W79" s="76" t="str">
        <x:f>IF(NOT(A79),"输入无效",IF(K79&gt;=L79,"KV 超载",IF(AK79&gt;C79+1e-9,"TPOT 不自洽",IF(OR(C79&gt;L79,MAX(P79,AG79)&gt;L79-K79),"需时序仿真",""))))</x:f>
      </x:c>
      <x:c r="X79" s="76" t="n">
        <x:f>IF(W79="",U79*M79,"")</x:f>
        <x:v>2.43612672</x:v>
      </x:c>
      <x:c r="Y79" s="103" t="n">
        <x:f>IF(A79,K24*F24*2*2*(D24-1)/D24/1e9,"")</x:f>
        <x:v>0.003211264</x:v>
      </x:c>
      <x:c r="Z79" s="103" t="n">
        <x:f>IF(A79,S24*2*ROUNDUP(K24/D24,0)*F24*2*(D24-1)/1e9,"")</x:f>
        <x:v>0.298647552</x:v>
      </x:c>
      <x:c r="AA79" s="103" t="n">
        <x:f>IF(A79,T24*ROUNDUP(K24/D24,0)*F24*2*2*(D24-1)/D24/1e9,"")</x:f>
        <x:v>0.000401408</x:v>
      </x:c>
      <x:c r="AB79" s="103" t="n">
        <x:f>IF(A79,U24*2*ROUNDUP(K24/D24,0)*F24*2*(D24-1)/1e9,"")</x:f>
        <x:v>0.295436288</x:v>
      </x:c>
      <x:c r="AC79" s="103" t="n">
        <x:f>IF(A79,ROUNDUP(K24/D24,0)*F24*2*(D24-1)/1e9,"")</x:f>
        <x:v>0.001605632</x:v>
      </x:c>
      <x:c r="AD79" s="103" t="n">
        <x:f>IF(A79,K24*256*(2+4)*(D24-1)/1e9,"")</x:f>
        <x:v>0.001376256</x:v>
      </x:c>
      <x:c r="AE79" s="103" t="n">
        <x:f>IF(A79,SUM(Y79:AD79),"")</x:f>
        <x:v>0.6006784</x:v>
      </x:c>
      <x:c r="AF79" s="103" t="n">
        <x:f>IF(A79,AE79*1000/P24,"")</x:f>
        <x:v>0.1251413333333333</x:v>
      </x:c>
      <x:c r="AG79" s="103" t="n">
        <x:f>IF(A79,AF79/E24,"")</x:f>
        <x:v>0.0013602318840579706</x:v>
      </x:c>
      <x:c r="AH79" s="103" t="n">
        <x:f>IF(W79="",IF(OR(AG79=0,K79=0,$J$7=0),0,IF(AG79&lt;=(1-$J$7)*K79,$J$7*AG79*K79/(1-$J$7)-$J$7^2*AG79^2/(2*(1-$J$7)^2),$J$7*AG79*K79+$J$7^2*K79^2/2)/L79),"")</x:f>
        <x:v>1.8409371994942692e-7</x:v>
      </x:c>
      <x:c r="AI79" s="103" t="n">
        <x:f>IF(W79="",U79*E24*T79*M24*N24,"")</x:f>
        <x:v>0.039497916502832214</x:v>
      </x:c>
      <x:c r="AJ79" s="103" t="n">
        <x:f>IF(W79="",U79*E24*AH79*Q24*R24,"")</x:f>
        <x:v>0.03387324447069455</x:v>
      </x:c>
      <x:c r="AK79" s="103" t="n">
        <x:f>IF(A79,O79+AF79,"")</x:f>
        <x:v>0.2710625333333333</x:v>
      </x:c>
      <x:c r="AL79" s="103" t="n">
        <x:f>IF(A79,AK79/E24,"")</x:f>
        <x:v>0.0029463318840579704</x:v>
      </x:c>
    </x:row>
    <x:row r="80" ht="22" customHeight="1">
      <x:c r="A80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50),D50&gt;0),AND(ISNUMBER(E50),E50&gt;0),MOD($B$5,1)=0,MOD($F$5,1)=0,MOD($J$5,1)=0,MOD($B$9,1)=0,MOD(K24,1)=0,ISNUMBER(C50),C50&gt;=2,MOD(C50,1)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80" s="76" t="n">
        <x:f>IF(A80,D50*1000,"")</x:f>
        <x:v>60000</x:v>
      </x:c>
      <x:c r="C80" s="76" t="n">
        <x:f>IF(A80,E50*L24,"")</x:f>
        <x:v>5</x:v>
      </x:c>
      <x:c r="D80" s="76" t="n">
        <x:f>IF(A80,M101,"")</x:f>
        <x:v>216.45167541503906</x:v>
      </x:c>
      <x:c r="E80" s="76" t="n">
        <x:f>IF(A80,B24/C24,"")</x:f>
        <x:v>32</x:v>
      </x:c>
      <x:c r="F80" s="76" t="n">
        <x:f>IF(A80,B24/D24,"")</x:f>
        <x:v>32</x:v>
      </x:c>
      <x:c r="G80" s="76" t="n">
        <x:f>IF(A80,$F$5*E80*$B$5*60000/B80,"")</x:f>
        <x:v>512</x:v>
      </x:c>
      <x:c r="H80" s="76" t="n">
        <x:f>IF(A80,G80/($J$5*F80),"")</x:f>
        <x:v>16</x:v>
      </x:c>
      <x:c r="I80" s="76" t="n">
        <x:f>IF(A80,$B$5*D80/C24/$B$9,"")</x:f>
        <x:v>432.9033508300781</x:v>
      </x:c>
      <x:c r="J80" s="76" t="n">
        <x:f>IF(A80,I80*$F$5/$J$5,"")</x:f>
        <x:v>432.9033508300781</x:v>
      </x:c>
      <x:c r="K80" s="76" t="n">
        <x:f>IF(A80,MAX(I80,J80)*2^30/(J24*1e6),"")</x:f>
        <x:v>96.83884032</x:v>
      </x:c>
      <x:c r="L80" s="76" t="n">
        <x:f>IF(A80,B80/$B$9,"")</x:f>
        <x:v>60000</x:v>
      </x:c>
      <x:c r="M80" s="77" t="n">
        <x:f>IF(A80,K80/L80,"")</x:f>
        <x:v>0.001613980672</x:v>
      </x:c>
      <x:c r="N80" s="76" t="n">
        <x:f>IF(A80,(E24*ROUNDUP(K24/D24,0)*G24*(B24-1)/B24*(ROUNDUP((ROUNDUP(F24*2/32,0)*32+32)/480,0)*512+F24*2+32)+E24*ROUNDUP(H24/B24,0)*(B24-1)*32)/1e9,"")</x:f>
        <x:v>0.70042176</x:v>
      </x:c>
      <x:c r="O80" s="76" t="n">
        <x:f>IF(A80,N80*1000/I24,"")</x:f>
        <x:v>0.1459212</x:v>
      </x:c>
      <x:c r="P80" s="76" t="n">
        <x:f>IF(A80,O80/E24,"")</x:f>
        <x:v>0.0015861</x:v>
      </x:c>
      <x:c r="Q80" s="76" t="n">
        <x:f>IF(A80,IF(C80&gt;AF80,N80*1000/(C80-AF80),""),"")</x:f>
        <x:v>143.68042396579565</x:v>
      </x:c>
      <x:c r="R80" s="76" t="n">
        <x:f>IF(W80="",IF(OR(K80=0,AK80=0),0,1-((E24-1)*MAX(0,(C80-AK80)/E24-(K80))+MAX(0,L80-((E24-1)*C80/E24+AL80)-(K80)))/L80),"")</x:f>
        <x:v>0.0016964573137633332</x:v>
      </x:c>
      <x:c r="S80" s="76" t="n">
        <x:f>IF(W80="",IF(AK80=0,0,MAX(0,1-(1-((E24-1)*MAX(0,(C80-AK80)/E24-(L80-K80))+MAX(0,L80-((E24-1)*C80/E24+AL80)-(L80-K80)))/L80))),"")</x:f>
        <x:v>0.0015315040302367189</x:v>
      </x:c>
      <x:c r="T80" s="76" t="n">
        <x:f>IF(W80="",IF(OR(P80=0,K80=0,$J$7=0),0,IF(P80&lt;=(1-$J$7)*K80,$J$7*P80*K80/(1-$J$7)-$J$7^2*P80^2/(2*(1-$J$7)^2),$J$7*P80*K80+$J$7^2*K80^2/2)/L80),"")</x:f>
        <x:v>2.844369349439018e-7</x:v>
      </x:c>
      <x:c r="U80" s="76" t="n">
        <x:f>IF(A80,60000/C80,"")</x:f>
        <x:v>12000</x:v>
      </x:c>
      <x:c r="V80" s="76" t="n">
        <x:f>IF(W80="",SUM(AI80:AJ80),"")</x:f>
        <x:v>0.5833190903861447</x:v>
      </x:c>
      <x:c r="W80" s="76" t="str">
        <x:f>IF(NOT(A80),"输入无效",IF(K80&gt;=L80,"KV 超载",IF(AK80&gt;C80+1e-9,"TPOT 不自洽",IF(OR(C80&gt;L80,MAX(P80,AG80)&gt;L80-K80),"需时序仿真",""))))</x:f>
      </x:c>
      <x:c r="X80" s="76" t="n">
        <x:f>IF(W80="",U80*M80,"")</x:f>
        <x:v>19.367768064</x:v>
      </x:c>
      <x:c r="Y80" s="103" t="n">
        <x:f>IF(A80,K24*F24*2*2*(D24-1)/D24/1e9,"")</x:f>
        <x:v>0.003211264</x:v>
      </x:c>
      <x:c r="Z80" s="103" t="n">
        <x:f>IF(A80,S24*2*ROUNDUP(K24/D24,0)*F24*2*(D24-1)/1e9,"")</x:f>
        <x:v>0.298647552</x:v>
      </x:c>
      <x:c r="AA80" s="103" t="n">
        <x:f>IF(A80,T24*ROUNDUP(K24/D24,0)*F24*2*2*(D24-1)/D24/1e9,"")</x:f>
        <x:v>0.000401408</x:v>
      </x:c>
      <x:c r="AB80" s="103" t="n">
        <x:f>IF(A80,U24*2*ROUNDUP(K24/D24,0)*F24*2*(D24-1)/1e9,"")</x:f>
        <x:v>0.295436288</x:v>
      </x:c>
      <x:c r="AC80" s="103" t="n">
        <x:f>IF(A80,ROUNDUP(K24/D24,0)*F24*2*(D24-1)/1e9,"")</x:f>
        <x:v>0.001605632</x:v>
      </x:c>
      <x:c r="AD80" s="103" t="n">
        <x:f>IF(A80,K24*256*(2+4)*(D24-1)/1e9,"")</x:f>
        <x:v>0.001376256</x:v>
      </x:c>
      <x:c r="AE80" s="103" t="n">
        <x:f>IF(A80,SUM(Y80:AD80),"")</x:f>
        <x:v>0.6006784</x:v>
      </x:c>
      <x:c r="AF80" s="103" t="n">
        <x:f>IF(A80,AE80*1000/P24,"")</x:f>
        <x:v>0.1251413333333333</x:v>
      </x:c>
      <x:c r="AG80" s="103" t="n">
        <x:f>IF(A80,AF80/E24,"")</x:f>
        <x:v>0.0013602318840579706</x:v>
      </x:c>
      <x:c r="AH80" s="103" t="n">
        <x:f>IF(W80="",IF(OR(AG80=0,K80=0,$J$7=0),0,IF(AG80&lt;=(1-$J$7)*K80,$J$7*AG80*K80/(1-$J$7)-$J$7^2*AG80^2/(2*(1-$J$7)^2),$J$7*AG80*K80+$J$7^2*K80^2/2)/L80),"")</x:f>
        <x:v>2.439318063478959e-7</x:v>
      </x:c>
      <x:c r="AI80" s="103" t="n">
        <x:f>IF(W80="",U80*E24*T80*M24*N24,"")</x:f>
        <x:v>0.3140183761780676</x:v>
      </x:c>
      <x:c r="AJ80" s="103" t="n">
        <x:f>IF(W80="",U80*E24*AH80*Q24*R24,"")</x:f>
        <x:v>0.26930071420807705</x:v>
      </x:c>
      <x:c r="AK80" s="103" t="n">
        <x:f>IF(A80,O80+AF80,"")</x:f>
        <x:v>0.2710625333333333</x:v>
      </x:c>
      <x:c r="AL80" s="103" t="n">
        <x:f>IF(A80,AK80/E24,"")</x:f>
        <x:v>0.0029463318840579704</x:v>
      </x:c>
    </x:row>
    <x:row r="81" ht="22" customHeight="1">
      <x:c r="A81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51),D51&gt;0),AND(ISNUMBER(E51),E51&gt;0),MOD($B$5,1)=0,MOD($F$5,1)=0,MOD($J$5,1)=0,MOD($B$9,1)=0,MOD(K24,1)=0,ISNUMBER(C51),C51&gt;=2,MOD(C51,1)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81" s="76" t="n">
        <x:f>IF(A81,D51*1000,"")</x:f>
        <x:v>60000</x:v>
      </x:c>
      <x:c r="C81" s="76" t="n">
        <x:f>IF(A81,E51*L24,"")</x:f>
        <x:v>10</x:v>
      </x:c>
      <x:c r="D81" s="76" t="n">
        <x:f>IF(A81,M101,"")</x:f>
        <x:v>216.45167541503906</x:v>
      </x:c>
      <x:c r="E81" s="76" t="n">
        <x:f>IF(A81,B24/C24,"")</x:f>
        <x:v>32</x:v>
      </x:c>
      <x:c r="F81" s="76" t="n">
        <x:f>IF(A81,B24/D24,"")</x:f>
        <x:v>32</x:v>
      </x:c>
      <x:c r="G81" s="76" t="n">
        <x:f>IF(A81,$F$5*E81*$B$5*60000/B81,"")</x:f>
        <x:v>512</x:v>
      </x:c>
      <x:c r="H81" s="76" t="n">
        <x:f>IF(A81,G81/($J$5*F81),"")</x:f>
        <x:v>16</x:v>
      </x:c>
      <x:c r="I81" s="76" t="n">
        <x:f>IF(A81,$B$5*D81/C24/$B$9,"")</x:f>
        <x:v>432.9033508300781</x:v>
      </x:c>
      <x:c r="J81" s="76" t="n">
        <x:f>IF(A81,I81*$F$5/$J$5,"")</x:f>
        <x:v>432.9033508300781</x:v>
      </x:c>
      <x:c r="K81" s="76" t="n">
        <x:f>IF(A81,MAX(I81,J81)*2^30/(J24*1e6),"")</x:f>
        <x:v>96.83884032</x:v>
      </x:c>
      <x:c r="L81" s="76" t="n">
        <x:f>IF(A81,B81/$B$9,"")</x:f>
        <x:v>60000</x:v>
      </x:c>
      <x:c r="M81" s="77" t="n">
        <x:f>IF(A81,K81/L81,"")</x:f>
        <x:v>0.001613980672</x:v>
      </x:c>
      <x:c r="N81" s="76" t="n">
        <x:f>IF(A81,(E24*ROUNDUP(K24/D24,0)*G24*(B24-1)/B24*(ROUNDUP((ROUNDUP(F24*2/32,0)*32+32)/480,0)*512+F24*2+32)+E24*ROUNDUP(H24/B24,0)*(B24-1)*32)/1e9,"")</x:f>
        <x:v>0.70042176</x:v>
      </x:c>
      <x:c r="O81" s="76" t="n">
        <x:f>IF(A81,N81*1000/I24,"")</x:f>
        <x:v>0.1459212</x:v>
      </x:c>
      <x:c r="P81" s="76" t="n">
        <x:f>IF(A81,O81/E24,"")</x:f>
        <x:v>0.0015861</x:v>
      </x:c>
      <x:c r="Q81" s="76" t="n">
        <x:f>IF(A81,IF(C81&gt;AF81,N81*1000/(C81-AF81),""),"")</x:f>
        <x:v>70.92980098685632</x:v>
      </x:c>
      <x:c r="R81" s="76" t="n">
        <x:f>IF(W81="",IF(OR(K81=0,AK81=0),0,1-((E24-1)*MAX(0,(C81-AK81)/E24-(K81))+MAX(0,L81-((E24-1)*C81/E24+AL81)-(K81)))/L81),"")</x:f>
        <x:v>0.0017788848499952215</x:v>
      </x:c>
      <x:c r="S81" s="76" t="n">
        <x:f>IF(W81="",IF(AK81=0,0,MAX(0,1-(1-((E24-1)*MAX(0,(C81-AK81)/E24-(L81-K81))+MAX(0,L81-((E24-1)*C81/E24+AL81)-(L81-K81)))/L81))),"")</x:f>
        <x:v>0.0014490764940048306</x:v>
      </x:c>
      <x:c r="T81" s="76" t="n">
        <x:f>IF(W81="",IF(OR(P81=0,K81=0,$J$7=0),0,IF(P81&lt;=(1-$J$7)*K81,$J$7*P81*K81/(1-$J$7)-$J$7^2*P81^2/(2*(1-$J$7)^2),$J$7*P81*K81+$J$7^2*K81^2/2)/L81),"")</x:f>
        <x:v>2.844369349439018e-7</x:v>
      </x:c>
      <x:c r="U81" s="76" t="n">
        <x:f>IF(A81,60000/C81,"")</x:f>
        <x:v>6000</x:v>
      </x:c>
      <x:c r="V81" s="76" t="n">
        <x:f>IF(W81="",SUM(AI81:AJ81),"")</x:f>
        <x:v>0.29165954519307236</x:v>
      </x:c>
      <x:c r="W81" s="76" t="str">
        <x:f>IF(NOT(A81),"输入无效",IF(K81&gt;=L81,"KV 超载",IF(AK81&gt;C81+1e-9,"TPOT 不自洽",IF(OR(C81&gt;L81,MAX(P81,AG81)&gt;L81-K81),"需时序仿真",""))))</x:f>
      </x:c>
      <x:c r="X81" s="76" t="n">
        <x:f>IF(W81="",U81*M81,"")</x:f>
        <x:v>9.683884032</x:v>
      </x:c>
      <x:c r="Y81" s="103" t="n">
        <x:f>IF(A81,K24*F24*2*2*(D24-1)/D24/1e9,"")</x:f>
        <x:v>0.003211264</x:v>
      </x:c>
      <x:c r="Z81" s="103" t="n">
        <x:f>IF(A81,S24*2*ROUNDUP(K24/D24,0)*F24*2*(D24-1)/1e9,"")</x:f>
        <x:v>0.298647552</x:v>
      </x:c>
      <x:c r="AA81" s="103" t="n">
        <x:f>IF(A81,T24*ROUNDUP(K24/D24,0)*F24*2*2*(D24-1)/D24/1e9,"")</x:f>
        <x:v>0.000401408</x:v>
      </x:c>
      <x:c r="AB81" s="103" t="n">
        <x:f>IF(A81,U24*2*ROUNDUP(K24/D24,0)*F24*2*(D24-1)/1e9,"")</x:f>
        <x:v>0.295436288</x:v>
      </x:c>
      <x:c r="AC81" s="103" t="n">
        <x:f>IF(A81,ROUNDUP(K24/D24,0)*F24*2*(D24-1)/1e9,"")</x:f>
        <x:v>0.001605632</x:v>
      </x:c>
      <x:c r="AD81" s="103" t="n">
        <x:f>IF(A81,K24*256*(2+4)*(D24-1)/1e9,"")</x:f>
        <x:v>0.001376256</x:v>
      </x:c>
      <x:c r="AE81" s="103" t="n">
        <x:f>IF(A81,SUM(Y81:AD81),"")</x:f>
        <x:v>0.6006784</x:v>
      </x:c>
      <x:c r="AF81" s="103" t="n">
        <x:f>IF(A81,AE81*1000/P24,"")</x:f>
        <x:v>0.1251413333333333</x:v>
      </x:c>
      <x:c r="AG81" s="103" t="n">
        <x:f>IF(A81,AF81/E24,"")</x:f>
        <x:v>0.0013602318840579706</x:v>
      </x:c>
      <x:c r="AH81" s="103" t="n">
        <x:f>IF(W81="",IF(OR(AG81=0,K81=0,$J$7=0),0,IF(AG81&lt;=(1-$J$7)*K81,$J$7*AG81*K81/(1-$J$7)-$J$7^2*AG81^2/(2*(1-$J$7)^2),$J$7*AG81*K81+$J$7^2*K81^2/2)/L81),"")</x:f>
        <x:v>2.439318063478959e-7</x:v>
      </x:c>
      <x:c r="AI81" s="103" t="n">
        <x:f>IF(W81="",U81*E24*T81*M24*N24,"")</x:f>
        <x:v>0.1570091880890338</x:v>
      </x:c>
      <x:c r="AJ81" s="103" t="n">
        <x:f>IF(W81="",U81*E24*AH81*Q24*R24,"")</x:f>
        <x:v>0.13465035710403853</x:v>
      </x:c>
      <x:c r="AK81" s="103" t="n">
        <x:f>IF(A81,O81+AF81,"")</x:f>
        <x:v>0.2710625333333333</x:v>
      </x:c>
      <x:c r="AL81" s="103" t="n">
        <x:f>IF(A81,AK81/E24,"")</x:f>
        <x:v>0.0029463318840579704</x:v>
      </x:c>
    </x:row>
    <x:row r="82" ht="22" customHeight="1">
      <x:c r="A82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52),D52&gt;0),AND(ISNUMBER(E52),E52&gt;0),MOD($B$5,1)=0,MOD($F$5,1)=0,MOD($J$5,1)=0,MOD($B$9,1)=0,MOD(K24,1)=0,ISNUMBER(C52),C52&gt;=2,MOD(C52,1)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82" s="76" t="n">
        <x:f>IF(A82,D52*1000,"")</x:f>
        <x:v>60000</x:v>
      </x:c>
      <x:c r="C82" s="76" t="n">
        <x:f>IF(A82,E52*L24,"")</x:f>
        <x:v>20</x:v>
      </x:c>
      <x:c r="D82" s="76" t="n">
        <x:f>IF(A82,M101,"")</x:f>
        <x:v>216.45167541503906</x:v>
      </x:c>
      <x:c r="E82" s="76" t="n">
        <x:f>IF(A82,B24/C24,"")</x:f>
        <x:v>32</x:v>
      </x:c>
      <x:c r="F82" s="76" t="n">
        <x:f>IF(A82,B24/D24,"")</x:f>
        <x:v>32</x:v>
      </x:c>
      <x:c r="G82" s="76" t="n">
        <x:f>IF(A82,$F$5*E82*$B$5*60000/B82,"")</x:f>
        <x:v>512</x:v>
      </x:c>
      <x:c r="H82" s="76" t="n">
        <x:f>IF(A82,G82/($J$5*F82),"")</x:f>
        <x:v>16</x:v>
      </x:c>
      <x:c r="I82" s="76" t="n">
        <x:f>IF(A82,$B$5*D82/C24/$B$9,"")</x:f>
        <x:v>432.9033508300781</x:v>
      </x:c>
      <x:c r="J82" s="76" t="n">
        <x:f>IF(A82,I82*$F$5/$J$5,"")</x:f>
        <x:v>432.9033508300781</x:v>
      </x:c>
      <x:c r="K82" s="76" t="n">
        <x:f>IF(A82,MAX(I82,J82)*2^30/(J24*1e6),"")</x:f>
        <x:v>96.83884032</x:v>
      </x:c>
      <x:c r="L82" s="76" t="n">
        <x:f>IF(A82,B82/$B$9,"")</x:f>
        <x:v>60000</x:v>
      </x:c>
      <x:c r="M82" s="77" t="n">
        <x:f>IF(A82,K82/L82,"")</x:f>
        <x:v>0.001613980672</x:v>
      </x:c>
      <x:c r="N82" s="76" t="n">
        <x:f>IF(A82,(E24*ROUNDUP(K24/D24,0)*G24*(B24-1)/B24*(ROUNDUP((ROUNDUP(F24*2/32,0)*32+32)/480,0)*512+F24*2+32)+E24*ROUNDUP(H24/B24,0)*(B24-1)*32)/1e9,"")</x:f>
        <x:v>0.70042176</x:v>
      </x:c>
      <x:c r="O82" s="76" t="n">
        <x:f>IF(A82,N82*1000/I24,"")</x:f>
        <x:v>0.1459212</x:v>
      </x:c>
      <x:c r="P82" s="76" t="n">
        <x:f>IF(A82,O82/E24,"")</x:f>
        <x:v>0.0015861</x:v>
      </x:c>
      <x:c r="Q82" s="76" t="n">
        <x:f>IF(A82,IF(C82&gt;AF82,N82*1000/(C82-AF82),""),"")</x:f>
        <x:v>35.24159702200649</x:v>
      </x:c>
      <x:c r="R82" s="76" t="n">
        <x:f>IF(W82="",IF(OR(K82=0,AK82=0),0,1-((E24-1)*MAX(0,(C82-AK82)/E24-(K82))+MAX(0,L82-((E24-1)*C82/E24+AL82)-(K82)))/L82),"")</x:f>
        <x:v>0.001943739922458887</x:v>
      </x:c>
      <x:c r="S82" s="76" t="n">
        <x:f>IF(W82="",IF(AK82=0,0,MAX(0,1-(1-((E24-1)*MAX(0,(C82-AK82)/E24-(L82-K82))+MAX(0,L82-((E24-1)*C82/E24+AL82)-(L82-K82)))/L82))),"")</x:f>
        <x:v>0.0012842214215410541</x:v>
      </x:c>
      <x:c r="T82" s="76" t="n">
        <x:f>IF(W82="",IF(OR(P82=0,K82=0,$J$7=0),0,IF(P82&lt;=(1-$J$7)*K82,$J$7*P82*K82/(1-$J$7)-$J$7^2*P82^2/(2*(1-$J$7)^2),$J$7*P82*K82+$J$7^2*K82^2/2)/L82),"")</x:f>
        <x:v>2.844369349439018e-7</x:v>
      </x:c>
      <x:c r="U82" s="76" t="n">
        <x:f>IF(A82,60000/C82,"")</x:f>
        <x:v>3000</x:v>
      </x:c>
      <x:c r="V82" s="76" t="n">
        <x:f>IF(W82="",SUM(AI82:AJ82),"")</x:f>
        <x:v>0.14582977259653618</x:v>
      </x:c>
      <x:c r="W82" s="76" t="str">
        <x:f>IF(NOT(A82),"输入无效",IF(K82&gt;=L82,"KV 超载",IF(AK82&gt;C82+1e-9,"TPOT 不自洽",IF(OR(C82&gt;L82,MAX(P82,AG82)&gt;L82-K82),"需时序仿真",""))))</x:f>
      </x:c>
      <x:c r="X82" s="76" t="n">
        <x:f>IF(W82="",U82*M82,"")</x:f>
        <x:v>4.841942016</x:v>
      </x:c>
      <x:c r="Y82" s="103" t="n">
        <x:f>IF(A82,K24*F24*2*2*(D24-1)/D24/1e9,"")</x:f>
        <x:v>0.003211264</x:v>
      </x:c>
      <x:c r="Z82" s="103" t="n">
        <x:f>IF(A82,S24*2*ROUNDUP(K24/D24,0)*F24*2*(D24-1)/1e9,"")</x:f>
        <x:v>0.298647552</x:v>
      </x:c>
      <x:c r="AA82" s="103" t="n">
        <x:f>IF(A82,T24*ROUNDUP(K24/D24,0)*F24*2*2*(D24-1)/D24/1e9,"")</x:f>
        <x:v>0.000401408</x:v>
      </x:c>
      <x:c r="AB82" s="103" t="n">
        <x:f>IF(A82,U24*2*ROUNDUP(K24/D24,0)*F24*2*(D24-1)/1e9,"")</x:f>
        <x:v>0.295436288</x:v>
      </x:c>
      <x:c r="AC82" s="103" t="n">
        <x:f>IF(A82,ROUNDUP(K24/D24,0)*F24*2*(D24-1)/1e9,"")</x:f>
        <x:v>0.001605632</x:v>
      </x:c>
      <x:c r="AD82" s="103" t="n">
        <x:f>IF(A82,K24*256*(2+4)*(D24-1)/1e9,"")</x:f>
        <x:v>0.001376256</x:v>
      </x:c>
      <x:c r="AE82" s="103" t="n">
        <x:f>IF(A82,SUM(Y82:AD82),"")</x:f>
        <x:v>0.6006784</x:v>
      </x:c>
      <x:c r="AF82" s="103" t="n">
        <x:f>IF(A82,AE82*1000/P24,"")</x:f>
        <x:v>0.1251413333333333</x:v>
      </x:c>
      <x:c r="AG82" s="103" t="n">
        <x:f>IF(A82,AF82/E24,"")</x:f>
        <x:v>0.0013602318840579706</x:v>
      </x:c>
      <x:c r="AH82" s="103" t="n">
        <x:f>IF(W82="",IF(OR(AG82=0,K82=0,$J$7=0),0,IF(AG82&lt;=(1-$J$7)*K82,$J$7*AG82*K82/(1-$J$7)-$J$7^2*AG82^2/(2*(1-$J$7)^2),$J$7*AG82*K82+$J$7^2*K82^2/2)/L82),"")</x:f>
        <x:v>2.439318063478959e-7</x:v>
      </x:c>
      <x:c r="AI82" s="103" t="n">
        <x:f>IF(W82="",U82*E24*T82*M24*N24,"")</x:f>
        <x:v>0.0785045940445169</x:v>
      </x:c>
      <x:c r="AJ82" s="103" t="n">
        <x:f>IF(W82="",U82*E24*AH82*Q24*R24,"")</x:f>
        <x:v>0.06732517855201926</x:v>
      </x:c>
      <x:c r="AK82" s="103" t="n">
        <x:f>IF(A82,O82+AF82,"")</x:f>
        <x:v>0.2710625333333333</x:v>
      </x:c>
      <x:c r="AL82" s="103" t="n">
        <x:f>IF(A82,AK82/E24,"")</x:f>
        <x:v>0.0029463318840579704</x:v>
      </x:c>
    </x:row>
    <x:row r="83" ht="22" customHeight="1">
      <x:c r="A83" s="30" t="b">
        <x:f>AND(AND(AND(ISNUMBER($B$5),$B$5&gt;0),AND(ISNUMBER($F$5),$F$5&gt;0),AND(ISNUMBER($J$5),$J$5&gt;0),AND(ISNUMBER($B$9),$B$9&gt;0),AND(ISNUMBER(I24),I24&gt;0),AND(ISNUMBER(J24),J24&gt;0),AND(ISNUMBER(K24),K24&gt;0),AND(ISNUMBER(L24),L24&gt;0),AND(ISNUMBER(D53),D53&gt;0),AND(ISNUMBER(E53),E53&gt;0),MOD($B$5,1)=0,MOD($F$5,1)=0,MOD($J$5,1)=0,MOD($B$9,1)=0,MOD(K24,1)=0,ISNUMBER(C53),C53&gt;=2,MOD(C53,1)=0,OR($N$9=32,$N$9=64,$N$9=128),ISNUMBER($B$11),$B$11&gt;=0,MOD($B$11,1)=0,ISNUMBER($J$7),$J$7&gt;=0,$J$7&lt;1,AND(ISNUMBER(M24),M24&gt;=0,M24&lt;=1),AND(ISNUMBER(N24),N24&gt;=0,N24&lt;=1)),ISNUMBER(P24),P24&gt;0,ISNUMBER(Q24),Q24&gt;=0,Q24&lt;=1,ISNUMBER(R24),R24&gt;=0,R24&lt;=1)</x:f>
        <x:v>1</x:v>
      </x:c>
      <x:c r="B83" s="76" t="n">
        <x:f>IF(A83,D53*1000,"")</x:f>
        <x:v>60000</x:v>
      </x:c>
      <x:c r="C83" s="76" t="n">
        <x:f>IF(A83,E53*L24,"")</x:f>
        <x:v>30</x:v>
      </x:c>
      <x:c r="D83" s="76" t="n">
        <x:f>IF(A83,M101,"")</x:f>
        <x:v>216.45167541503906</x:v>
      </x:c>
      <x:c r="E83" s="76" t="n">
        <x:f>IF(A83,B24/C24,"")</x:f>
        <x:v>32</x:v>
      </x:c>
      <x:c r="F83" s="76" t="n">
        <x:f>IF(A83,B24/D24,"")</x:f>
        <x:v>32</x:v>
      </x:c>
      <x:c r="G83" s="76" t="n">
        <x:f>IF(A83,$F$5*E83*$B$5*60000/B83,"")</x:f>
        <x:v>512</x:v>
      </x:c>
      <x:c r="H83" s="76" t="n">
        <x:f>IF(A83,G83/($J$5*F83),"")</x:f>
        <x:v>16</x:v>
      </x:c>
      <x:c r="I83" s="76" t="n">
        <x:f>IF(A83,$B$5*D83/C24/$B$9,"")</x:f>
        <x:v>432.9033508300781</x:v>
      </x:c>
      <x:c r="J83" s="76" t="n">
        <x:f>IF(A83,I83*$F$5/$J$5,"")</x:f>
        <x:v>432.9033508300781</x:v>
      </x:c>
      <x:c r="K83" s="76" t="n">
        <x:f>IF(A83,MAX(I83,J83)*2^30/(J24*1e6),"")</x:f>
        <x:v>96.83884032</x:v>
      </x:c>
      <x:c r="L83" s="76" t="n">
        <x:f>IF(A83,B83/$B$9,"")</x:f>
        <x:v>60000</x:v>
      </x:c>
      <x:c r="M83" s="77" t="n">
        <x:f>IF(A83,K83/L83,"")</x:f>
        <x:v>0.001613980672</x:v>
      </x:c>
      <x:c r="N83" s="76" t="n">
        <x:f>IF(A83,(E24*ROUNDUP(K24/D24,0)*G24*(B24-1)/B24*(ROUNDUP((ROUNDUP(F24*2/32,0)*32+32)/480,0)*512+F24*2+32)+E24*ROUNDUP(H24/B24,0)*(B24-1)*32)/1e9,"")</x:f>
        <x:v>0.70042176</x:v>
      </x:c>
      <x:c r="O83" s="76" t="n">
        <x:f>IF(A83,N83*1000/I24,"")</x:f>
        <x:v>0.1459212</x:v>
      </x:c>
      <x:c r="P83" s="76" t="n">
        <x:f>IF(A83,O83/E24,"")</x:f>
        <x:v>0.0015861</x:v>
      </x:c>
      <x:c r="Q83" s="76" t="n">
        <x:f>IF(A83,IF(C83&gt;AF83,N83*1000/(C83-AF83),""),"")</x:f>
        <x:v>23.445190747680634</x:v>
      </x:c>
      <x:c r="R83" s="76" t="n">
        <x:f>IF(W83="",IF(OR(K83=0,AK83=0),0,1-((E24-1)*MAX(0,(C83-AK83)/E24-(K83))+MAX(0,L83-((E24-1)*C83/E24+AL83)-(K83)))/L83),"")</x:f>
        <x:v>0.0021085949949227745</x:v>
      </x:c>
      <x:c r="S83" s="76" t="n">
        <x:f>IF(W83="",IF(AK83=0,0,MAX(0,1-(1-((E24-1)*MAX(0,(C83-AK83)/E24-(L83-K83))+MAX(0,L83-((E24-1)*C83/E24+AL83)-(L83-K83)))/L83))),"")</x:f>
        <x:v>0.0011193663490772776</x:v>
      </x:c>
      <x:c r="T83" s="76" t="n">
        <x:f>IF(W83="",IF(OR(P83=0,K83=0,$J$7=0),0,IF(P83&lt;=(1-$J$7)*K83,$J$7*P83*K83/(1-$J$7)-$J$7^2*P83^2/(2*(1-$J$7)^2),$J$7*P83*K83+$J$7^2*K83^2/2)/L83),"")</x:f>
        <x:v>2.844369349439018e-7</x:v>
      </x:c>
      <x:c r="U83" s="76" t="n">
        <x:f>IF(A83,60000/C83,"")</x:f>
        <x:v>2000</x:v>
      </x:c>
      <x:c r="V83" s="76" t="n">
        <x:f>IF(W83="",SUM(AI83:AJ83),"")</x:f>
        <x:v>0.09721984839769078</x:v>
      </x:c>
      <x:c r="W83" s="76" t="str">
        <x:f>IF(NOT(A83),"输入无效",IF(K83&gt;=L83,"KV 超载",IF(AK83&gt;C83+1e-9,"TPOT 不自洽",IF(OR(C83&gt;L83,MAX(P83,AG83)&gt;L83-K83),"需时序仿真",""))))</x:f>
      </x:c>
      <x:c r="X83" s="76" t="n">
        <x:f>IF(W83="",U83*M83,"")</x:f>
        <x:v>3.227961344</x:v>
      </x:c>
      <x:c r="Y83" s="103" t="n">
        <x:f>IF(A83,K24*F24*2*2*(D24-1)/D24/1e9,"")</x:f>
        <x:v>0.003211264</x:v>
      </x:c>
      <x:c r="Z83" s="103" t="n">
        <x:f>IF(A83,S24*2*ROUNDUP(K24/D24,0)*F24*2*(D24-1)/1e9,"")</x:f>
        <x:v>0.298647552</x:v>
      </x:c>
      <x:c r="AA83" s="103" t="n">
        <x:f>IF(A83,T24*ROUNDUP(K24/D24,0)*F24*2*2*(D24-1)/D24/1e9,"")</x:f>
        <x:v>0.000401408</x:v>
      </x:c>
      <x:c r="AB83" s="103" t="n">
        <x:f>IF(A83,U24*2*ROUNDUP(K24/D24,0)*F24*2*(D24-1)/1e9,"")</x:f>
        <x:v>0.295436288</x:v>
      </x:c>
      <x:c r="AC83" s="103" t="n">
        <x:f>IF(A83,ROUNDUP(K24/D24,0)*F24*2*(D24-1)/1e9,"")</x:f>
        <x:v>0.001605632</x:v>
      </x:c>
      <x:c r="AD83" s="103" t="n">
        <x:f>IF(A83,K24*256*(2+4)*(D24-1)/1e9,"")</x:f>
        <x:v>0.001376256</x:v>
      </x:c>
      <x:c r="AE83" s="103" t="n">
        <x:f>IF(A83,SUM(Y83:AD83),"")</x:f>
        <x:v>0.6006784</x:v>
      </x:c>
      <x:c r="AF83" s="103" t="n">
        <x:f>IF(A83,AE83*1000/P24,"")</x:f>
        <x:v>0.1251413333333333</x:v>
      </x:c>
      <x:c r="AG83" s="103" t="n">
        <x:f>IF(A83,AF83/E24,"")</x:f>
        <x:v>0.0013602318840579706</x:v>
      </x:c>
      <x:c r="AH83" s="103" t="n">
        <x:f>IF(W83="",IF(OR(AG83=0,K83=0,$J$7=0),0,IF(AG83&lt;=(1-$J$7)*K83,$J$7*AG83*K83/(1-$J$7)-$J$7^2*AG83^2/(2*(1-$J$7)^2),$J$7*AG83*K83+$J$7^2*K83^2/2)/L83),"")</x:f>
        <x:v>2.439318063478959e-7</x:v>
      </x:c>
      <x:c r="AI83" s="103" t="n">
        <x:f>IF(W83="",U83*E24*T83*M24*N24,"")</x:f>
        <x:v>0.052336396029677934</x:v>
      </x:c>
      <x:c r="AJ83" s="103" t="n">
        <x:f>IF(W83="",U83*E24*AH83*Q24*R24,"")</x:f>
        <x:v>0.04488345236801285</x:v>
      </x:c>
      <x:c r="AK83" s="103" t="n">
        <x:f>IF(A83,O83+AF83,"")</x:f>
        <x:v>0.2710625333333333</x:v>
      </x:c>
      <x:c r="AL83" s="103" t="n">
        <x:f>IF(A83,AK83/E24,"")</x:f>
        <x:v>0.0029463318840579704</x:v>
      </x:c>
    </x:row>
    <x:row r="84" ht="22" customHeight="1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</x:row>
    <x:row r="85" ht="22" customHeight="1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</x:row>
    <x:row r="86" ht="22" customHeight="1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</x:row>
    <x:row r="87" ht="22" customHeight="1">
      <x:c r="A87" s="30" t="str">
        <x:v>KV 组件：输入长度变化时重新计算生成、保留和迁移字节</x:v>
      </x:c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</x:row>
    <x:row r="88" ht="22" customHeight="1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</x:row>
    <x:row r="89" ht="42" customHeight="1">
      <x:c r="A89" s="73" t="str">
        <x:v>模型</x:v>
      </x:c>
      <x:c r="B89" s="73" t="str">
        <x:v>输入 tokens</x:v>
      </x:c>
      <x:c r="C89" s="73" t="str">
        <x:v>组件</x:v>
      </x:c>
      <x:c r="D89" s="73" t="str">
        <x:v>层数</x:v>
      </x:c>
      <x:c r="E89" s="73" t="str">
        <x:v>B/行/Rank</x:v>
      </x:c>
      <x:c r="F89" s="73" t="str">
        <x:v>P 副本</x:v>
      </x:c>
      <x:c r="G89" s="73" t="str">
        <x:v>D 副本</x:v>
      </x:c>
      <x:c r="H89" s="73" t="str">
        <x:v>生成行</x:v>
      </x:c>
      <x:c r="I89" s="73" t="str">
        <x:v>保留行</x:v>
      </x:c>
      <x:c r="J89" s="73" t="str">
        <x:v>取/规划行</x:v>
      </x:c>
      <x:c r="K89" s="73" t="str">
        <x:v>生成 GiB</x:v>
      </x:c>
      <x:c r="L89" s="73" t="str">
        <x:v>保留 GiB</x:v>
      </x:c>
      <x:c r="M89" s="73" t="str">
        <x:v>取/规划 GiB</x:v>
      </x:c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</x:row>
    <x:row r="90" ht="45" customHeight="1">
      <x:c r="A90" s="30" t="str">
        <x:v>KimiK3</x:v>
      </x:c>
      <x:c r="B90" s="30" t="n">
        <x:f>$B$15</x:f>
        <x:v>16384</x:v>
      </x:c>
      <x:c r="C90" s="79" t="str">
        <x:v>MLA replicated / BF16</x:v>
      </x:c>
      <x:c r="D90" s="30" t="n">
        <x:v>24</x:v>
      </x:c>
      <x:c r="E90" s="30" t="n">
        <x:v>1152</x:v>
      </x:c>
      <x:c r="F90" s="30" t="n">
        <x:v>8</x:v>
      </x:c>
      <x:c r="G90" s="30" t="n">
        <x:v>8</x:v>
      </x:c>
      <x:c r="H90" s="30" t="n">
        <x:f>IF(AND(ISNUMBER($B$15),$B$15&gt;=2,MOD($B$15,1)=0,OR($N$9=32,$N$9=64,$N$9=128),ISNUMBER($B$11),$B$11&gt;=0,MOD($B$11,1)=0),INT(($B$15-1)/1),"")</x:f>
        <x:v>16383</x:v>
      </x:c>
      <x:c r="I90" s="30" t="n">
        <x:f>IF(AND(ISNUMBER($B$15),$B$15&gt;=2,MOD($B$15,1)=0,OR($N$9=32,$N$9=64,$N$9=128),ISNUMBER($B$11),$B$11&gt;=0,MOD($B$11,1)=0),INT(($B$15-1)/1),"")</x:f>
        <x:v>16383</x:v>
      </x:c>
      <x:c r="J90" s="30" t="n">
        <x:f>IF(AND(ISNUMBER($B$15),$B$15&gt;=2,MOD($B$15,1)=0,OR($N$9=32,$N$9=64,$N$9=128),ISNUMBER($B$11),$B$11&gt;=0,MOD($B$11,1)=0),ROUNDUP(($B$15-1)/(1*$N$9),0)*$N$9,"")</x:f>
        <x:v>16384</x:v>
      </x:c>
      <x:c r="K90" s="76" t="n">
        <x:f>IF(AND(ISNUMBER($B$15),$B$15&gt;=2,MOD($B$15,1)=0,OR($N$9=32,$N$9=64,$N$9=128),ISNUMBER($B$11),$B$11&gt;=0,MOD($B$11,1)=0),D90*E90*F90*H90/2^30,"")</x:f>
        <x:v>3.3747940063476562</x:v>
      </x:c>
      <x:c r="L90" s="76" t="n">
        <x:f>IF(AND(ISNUMBER($B$15),$B$15&gt;=2,MOD($B$15,1)=0,OR($N$9=32,$N$9=64,$N$9=128),ISNUMBER($B$11),$B$11&gt;=0,MOD($B$11,1)=0),D90*E90*F90*I90/2^30,"")</x:f>
        <x:v>3.3747940063476562</x:v>
      </x:c>
      <x:c r="M90" s="76" t="n">
        <x:f>IF(AND(ISNUMBER($B$15),$B$15&gt;=2,MOD($B$15,1)=0,OR($N$9=32,$N$9=64,$N$9=128),ISNUMBER($B$11),$B$11&gt;=0,MOD($B$11,1)=0),D90*E90*G90*J90/2^30,"")</x:f>
        <x:v>3.375</x:v>
      </x:c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</x:row>
    <x:row r="91" ht="45" customHeight="1">
      <x:c r="A91" s="30" t="str">
        <x:v>KimiK3</x:v>
      </x:c>
      <x:c r="B91" s="30" t="n">
        <x:f>$B$15</x:f>
        <x:v>16384</x:v>
      </x:c>
      <x:c r="C91" s="79" t="str">
        <x:v>Conv state / BF16</x:v>
      </x:c>
      <x:c r="D91" s="30" t="n">
        <x:v>69</x:v>
      </x:c>
      <x:c r="E91" s="30" t="n">
        <x:v>9216</x:v>
      </x:c>
      <x:c r="F91" s="30" t="n">
        <x:v>8</x:v>
      </x:c>
      <x:c r="G91" s="30" t="n">
        <x:v>8</x:v>
      </x:c>
      <x:c r="H91" s="30" t="n">
        <x:f>IF(AND(ISNUMBER($B$15),$B$15&gt;=2,MOD($B$15,1)=0,OR($N$9=32,$N$9=64,$N$9=128),ISNUMBER($B$11),$B$11&gt;=0,MOD($B$11,1)=0),MIN(($B$15-1),3),"")</x:f>
        <x:v>3</x:v>
      </x:c>
      <x:c r="I91" s="30" t="n">
        <x:f>IF(AND(ISNUMBER($B$15),$B$15&gt;=2,MOD($B$15,1)=0,OR($N$9=32,$N$9=64,$N$9=128),ISNUMBER($B$11),$B$11&gt;=0,MOD($B$11,1)=0),MIN(($B$15-1),3),"")</x:f>
        <x:v>3</x:v>
      </x:c>
      <x:c r="J91" s="30" t="n">
        <x:f>IF(AND(ISNUMBER($B$15),$B$15&gt;=2,MOD($B$15,1)=0,OR($N$9=32,$N$9=64,$N$9=128),ISNUMBER($B$11),$B$11&gt;=0,MOD($B$11,1)=0),3+$B$11,"")</x:f>
        <x:v>10</x:v>
      </x:c>
      <x:c r="K91" s="76" t="n">
        <x:f>IF(AND(ISNUMBER($B$15),$B$15&gt;=2,MOD($B$15,1)=0,OR($N$9=32,$N$9=64,$N$9=128),ISNUMBER($B$11),$B$11&gt;=0,MOD($B$11,1)=0),D91*E91*F91*H91/2^30,"")</x:f>
        <x:v>0.01421356201171875</x:v>
      </x:c>
      <x:c r="L91" s="76" t="n">
        <x:f>IF(AND(ISNUMBER($B$15),$B$15&gt;=2,MOD($B$15,1)=0,OR($N$9=32,$N$9=64,$N$9=128),ISNUMBER($B$11),$B$11&gt;=0,MOD($B$11,1)=0),D91*E91*F91*I91/2^30,"")</x:f>
        <x:v>0.01421356201171875</x:v>
      </x:c>
      <x:c r="M91" s="76" t="n">
        <x:f>IF(AND(ISNUMBER($B$15),$B$15&gt;=2,MOD($B$15,1)=0,OR($N$9=32,$N$9=64,$N$9=128),ISNUMBER($B$11),$B$11&gt;=0,MOD($B$11,1)=0),D91*E91*G91*J91/2^30,"")</x:f>
        <x:v>0.0473785400390625</x:v>
      </x:c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</x:row>
    <x:row r="92" ht="45" customHeight="1">
      <x:c r="A92" s="30" t="str">
        <x:v>KimiK3</x:v>
      </x:c>
      <x:c r="B92" s="30" t="n">
        <x:f>$B$15</x:f>
        <x:v>16384</x:v>
      </x:c>
      <x:c r="C92" s="79" t="str">
        <x:v>Recurrent state / FP32</x:v>
      </x:c>
      <x:c r="D92" s="30" t="n">
        <x:v>69</x:v>
      </x:c>
      <x:c r="E92" s="30" t="n">
        <x:v>786432</x:v>
      </x:c>
      <x:c r="F92" s="30" t="n">
        <x:v>8</x:v>
      </x:c>
      <x:c r="G92" s="30" t="n">
        <x:v>8</x:v>
      </x:c>
      <x:c r="H92" s="30" t="n">
        <x:f>IF(AND(ISNUMBER($B$15),$B$15&gt;=2,MOD($B$15,1)=0,OR($N$9=32,$N$9=64,$N$9=128),ISNUMBER($B$11),$B$11&gt;=0,MOD($B$11,1)=0),1,"")</x:f>
        <x:v>1</x:v>
      </x:c>
      <x:c r="I92" s="30" t="n">
        <x:f>IF(AND(ISNUMBER($B$15),$B$15&gt;=2,MOD($B$15,1)=0,OR($N$9=32,$N$9=64,$N$9=128),ISNUMBER($B$11),$B$11&gt;=0,MOD($B$11,1)=0),1,"")</x:f>
        <x:v>1</x:v>
      </x:c>
      <x:c r="J92" s="30" t="n">
        <x:f>IF(AND(ISNUMBER($B$15),$B$15&gt;=2,MOD($B$15,1)=0,OR($N$9=32,$N$9=64,$N$9=128),ISNUMBER($B$11),$B$11&gt;=0,MOD($B$11,1)=0),1,"")</x:f>
        <x:v>1</x:v>
      </x:c>
      <x:c r="K92" s="76" t="n">
        <x:f>IF(AND(ISNUMBER($B$15),$B$15&gt;=2,MOD($B$15,1)=0,OR($N$9=32,$N$9=64,$N$9=128),ISNUMBER($B$11),$B$11&gt;=0,MOD($B$11,1)=0),D92*E92*F92*H92/2^30,"")</x:f>
        <x:v>0.404296875</x:v>
      </x:c>
      <x:c r="L92" s="76" t="n">
        <x:f>IF(AND(ISNUMBER($B$15),$B$15&gt;=2,MOD($B$15,1)=0,OR($N$9=32,$N$9=64,$N$9=128),ISNUMBER($B$11),$B$11&gt;=0,MOD($B$11,1)=0),D92*E92*F92*I92/2^30,"")</x:f>
        <x:v>0.404296875</x:v>
      </x:c>
      <x:c r="M92" s="76" t="n">
        <x:f>IF(AND(ISNUMBER($B$15),$B$15&gt;=2,MOD($B$15,1)=0,OR($N$9=32,$N$9=64,$N$9=128),ISNUMBER($B$11),$B$11&gt;=0,MOD($B$11,1)=0),D92*E92*G92*J92/2^30,"")</x:f>
        <x:v>0.404296875</x:v>
      </x:c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</x:row>
    <x:row r="93" ht="45" customHeight="1">
      <x:c r="A93" s="40" t="str">
        <x:v>KimiK3</x:v>
      </x:c>
      <x:c r="B93" s="40" t="n">
        <x:f>$B$15</x:f>
        <x:v>16384</x:v>
      </x:c>
      <x:c r="C93" s="80" t="str">
        <x:v>每请求合计</x:v>
      </x:c>
      <x:c r="D93" s="40"/>
      <x:c r="E93" s="40"/>
      <x:c r="F93" s="40"/>
      <x:c r="G93" s="40"/>
      <x:c r="H93" s="40"/>
      <x:c r="I93" s="40"/>
      <x:c r="J93" s="40"/>
      <x:c r="K93" s="78" t="n">
        <x:f>SUM(K90:K92)</x:f>
        <x:v>3.793304443359375</x:v>
      </x:c>
      <x:c r="L93" s="78" t="n">
        <x:f>SUM(L90:L92)</x:f>
        <x:v>3.793304443359375</x:v>
      </x:c>
      <x:c r="M93" s="78" t="n">
        <x:f>SUM(M90:M92)</x:f>
        <x:v>3.8266754150390625</x:v>
      </x:c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</x:row>
    <x:row r="94" ht="45" customHeight="1">
      <x:c r="A94" s="30" t="str">
        <x:v>KimiK3</x:v>
      </x:c>
      <x:c r="B94" s="30" t="n">
        <x:f>$B$16</x:f>
        <x:v>262144</x:v>
      </x:c>
      <x:c r="C94" s="79" t="str">
        <x:v>MLA replicated / BF16</x:v>
      </x:c>
      <x:c r="D94" s="30" t="n">
        <x:v>24</x:v>
      </x:c>
      <x:c r="E94" s="30" t="n">
        <x:v>1152</x:v>
      </x:c>
      <x:c r="F94" s="30" t="n">
        <x:v>8</x:v>
      </x:c>
      <x:c r="G94" s="30" t="n">
        <x:v>8</x:v>
      </x:c>
      <x:c r="H94" s="30" t="n">
        <x:f>IF(AND(ISNUMBER($B$16),$B$16&gt;=2,MOD($B$16,1)=0,OR($N$9=32,$N$9=64,$N$9=128),ISNUMBER($B$11),$B$11&gt;=0,MOD($B$11,1)=0),INT(($B$16-1)/1),"")</x:f>
        <x:v>262143</x:v>
      </x:c>
      <x:c r="I94" s="30" t="n">
        <x:f>IF(AND(ISNUMBER($B$16),$B$16&gt;=2,MOD($B$16,1)=0,OR($N$9=32,$N$9=64,$N$9=128),ISNUMBER($B$11),$B$11&gt;=0,MOD($B$11,1)=0),INT(($B$16-1)/1),"")</x:f>
        <x:v>262143</x:v>
      </x:c>
      <x:c r="J94" s="30" t="n">
        <x:f>IF(AND(ISNUMBER($B$16),$B$16&gt;=2,MOD($B$16,1)=0,OR($N$9=32,$N$9=64,$N$9=128),ISNUMBER($B$11),$B$11&gt;=0,MOD($B$11,1)=0),ROUNDUP(($B$16-1)/(1*$N$9),0)*$N$9,"")</x:f>
        <x:v>262144</x:v>
      </x:c>
      <x:c r="K94" s="76" t="n">
        <x:f>IF(AND(ISNUMBER($B$16),$B$16&gt;=2,MOD($B$16,1)=0,OR($N$9=32,$N$9=64,$N$9=128),ISNUMBER($B$11),$B$11&gt;=0,MOD($B$11,1)=0),D94*E94*F94*H94/2^30,"")</x:f>
        <x:v>53.999794006347656</x:v>
      </x:c>
      <x:c r="L94" s="76" t="n">
        <x:f>IF(AND(ISNUMBER($B$16),$B$16&gt;=2,MOD($B$16,1)=0,OR($N$9=32,$N$9=64,$N$9=128),ISNUMBER($B$11),$B$11&gt;=0,MOD($B$11,1)=0),D94*E94*F94*I94/2^30,"")</x:f>
        <x:v>53.999794006347656</x:v>
      </x:c>
      <x:c r="M94" s="76" t="n">
        <x:f>IF(AND(ISNUMBER($B$16),$B$16&gt;=2,MOD($B$16,1)=0,OR($N$9=32,$N$9=64,$N$9=128),ISNUMBER($B$11),$B$11&gt;=0,MOD($B$11,1)=0),D94*E94*G94*J94/2^30,"")</x:f>
        <x:v>54</x:v>
      </x:c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</x:row>
    <x:row r="95" ht="45" customHeight="1">
      <x:c r="A95" s="30" t="str">
        <x:v>KimiK3</x:v>
      </x:c>
      <x:c r="B95" s="30" t="n">
        <x:f>$B$16</x:f>
        <x:v>262144</x:v>
      </x:c>
      <x:c r="C95" s="79" t="str">
        <x:v>Conv state / BF16</x:v>
      </x:c>
      <x:c r="D95" s="30" t="n">
        <x:v>69</x:v>
      </x:c>
      <x:c r="E95" s="30" t="n">
        <x:v>9216</x:v>
      </x:c>
      <x:c r="F95" s="30" t="n">
        <x:v>8</x:v>
      </x:c>
      <x:c r="G95" s="30" t="n">
        <x:v>8</x:v>
      </x:c>
      <x:c r="H95" s="30" t="n">
        <x:f>IF(AND(ISNUMBER($B$16),$B$16&gt;=2,MOD($B$16,1)=0,OR($N$9=32,$N$9=64,$N$9=128),ISNUMBER($B$11),$B$11&gt;=0,MOD($B$11,1)=0),MIN(($B$16-1),3),"")</x:f>
        <x:v>3</x:v>
      </x:c>
      <x:c r="I95" s="30" t="n">
        <x:f>IF(AND(ISNUMBER($B$16),$B$16&gt;=2,MOD($B$16,1)=0,OR($N$9=32,$N$9=64,$N$9=128),ISNUMBER($B$11),$B$11&gt;=0,MOD($B$11,1)=0),MIN(($B$16-1),3),"")</x:f>
        <x:v>3</x:v>
      </x:c>
      <x:c r="J95" s="30" t="n">
        <x:f>IF(AND(ISNUMBER($B$16),$B$16&gt;=2,MOD($B$16,1)=0,OR($N$9=32,$N$9=64,$N$9=128),ISNUMBER($B$11),$B$11&gt;=0,MOD($B$11,1)=0),3+$B$11,"")</x:f>
        <x:v>10</x:v>
      </x:c>
      <x:c r="K95" s="76" t="n">
        <x:f>IF(AND(ISNUMBER($B$16),$B$16&gt;=2,MOD($B$16,1)=0,OR($N$9=32,$N$9=64,$N$9=128),ISNUMBER($B$11),$B$11&gt;=0,MOD($B$11,1)=0),D95*E95*F95*H95/2^30,"")</x:f>
        <x:v>0.01421356201171875</x:v>
      </x:c>
      <x:c r="L95" s="76" t="n">
        <x:f>IF(AND(ISNUMBER($B$16),$B$16&gt;=2,MOD($B$16,1)=0,OR($N$9=32,$N$9=64,$N$9=128),ISNUMBER($B$11),$B$11&gt;=0,MOD($B$11,1)=0),D95*E95*F95*I95/2^30,"")</x:f>
        <x:v>0.01421356201171875</x:v>
      </x:c>
      <x:c r="M95" s="76" t="n">
        <x:f>IF(AND(ISNUMBER($B$16),$B$16&gt;=2,MOD($B$16,1)=0,OR($N$9=32,$N$9=64,$N$9=128),ISNUMBER($B$11),$B$11&gt;=0,MOD($B$11,1)=0),D95*E95*G95*J95/2^30,"")</x:f>
        <x:v>0.0473785400390625</x:v>
      </x:c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</x:row>
    <x:row r="96" ht="45" customHeight="1">
      <x:c r="A96" s="30" t="str">
        <x:v>KimiK3</x:v>
      </x:c>
      <x:c r="B96" s="30" t="n">
        <x:f>$B$16</x:f>
        <x:v>262144</x:v>
      </x:c>
      <x:c r="C96" s="79" t="str">
        <x:v>Recurrent state / FP32</x:v>
      </x:c>
      <x:c r="D96" s="30" t="n">
        <x:v>69</x:v>
      </x:c>
      <x:c r="E96" s="30" t="n">
        <x:v>786432</x:v>
      </x:c>
      <x:c r="F96" s="30" t="n">
        <x:v>8</x:v>
      </x:c>
      <x:c r="G96" s="30" t="n">
        <x:v>8</x:v>
      </x:c>
      <x:c r="H96" s="30" t="n">
        <x:f>IF(AND(ISNUMBER($B$16),$B$16&gt;=2,MOD($B$16,1)=0,OR($N$9=32,$N$9=64,$N$9=128),ISNUMBER($B$11),$B$11&gt;=0,MOD($B$11,1)=0),1,"")</x:f>
        <x:v>1</x:v>
      </x:c>
      <x:c r="I96" s="30" t="n">
        <x:f>IF(AND(ISNUMBER($B$16),$B$16&gt;=2,MOD($B$16,1)=0,OR($N$9=32,$N$9=64,$N$9=128),ISNUMBER($B$11),$B$11&gt;=0,MOD($B$11,1)=0),1,"")</x:f>
        <x:v>1</x:v>
      </x:c>
      <x:c r="J96" s="30" t="n">
        <x:f>IF(AND(ISNUMBER($B$16),$B$16&gt;=2,MOD($B$16,1)=0,OR($N$9=32,$N$9=64,$N$9=128),ISNUMBER($B$11),$B$11&gt;=0,MOD($B$11,1)=0),1,"")</x:f>
        <x:v>1</x:v>
      </x:c>
      <x:c r="K96" s="76" t="n">
        <x:f>IF(AND(ISNUMBER($B$16),$B$16&gt;=2,MOD($B$16,1)=0,OR($N$9=32,$N$9=64,$N$9=128),ISNUMBER($B$11),$B$11&gt;=0,MOD($B$11,1)=0),D96*E96*F96*H96/2^30,"")</x:f>
        <x:v>0.404296875</x:v>
      </x:c>
      <x:c r="L96" s="76" t="n">
        <x:f>IF(AND(ISNUMBER($B$16),$B$16&gt;=2,MOD($B$16,1)=0,OR($N$9=32,$N$9=64,$N$9=128),ISNUMBER($B$11),$B$11&gt;=0,MOD($B$11,1)=0),D96*E96*F96*I96/2^30,"")</x:f>
        <x:v>0.404296875</x:v>
      </x:c>
      <x:c r="M96" s="76" t="n">
        <x:f>IF(AND(ISNUMBER($B$16),$B$16&gt;=2,MOD($B$16,1)=0,OR($N$9=32,$N$9=64,$N$9=128),ISNUMBER($B$11),$B$11&gt;=0,MOD($B$11,1)=0),D96*E96*G96*J96/2^30,"")</x:f>
        <x:v>0.404296875</x:v>
      </x:c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</x:row>
    <x:row r="97" ht="45" customHeight="1">
      <x:c r="A97" s="40" t="str">
        <x:v>KimiK3</x:v>
      </x:c>
      <x:c r="B97" s="40" t="n">
        <x:f>$B$16</x:f>
        <x:v>262144</x:v>
      </x:c>
      <x:c r="C97" s="80" t="str">
        <x:v>每请求合计</x:v>
      </x:c>
      <x:c r="D97" s="40"/>
      <x:c r="E97" s="40"/>
      <x:c r="F97" s="40"/>
      <x:c r="G97" s="40"/>
      <x:c r="H97" s="40"/>
      <x:c r="I97" s="40"/>
      <x:c r="J97" s="40"/>
      <x:c r="K97" s="78" t="n">
        <x:f>SUM(K94:K96)</x:f>
        <x:v>54.418304443359375</x:v>
      </x:c>
      <x:c r="L97" s="78" t="n">
        <x:f>SUM(L94:L96)</x:f>
        <x:v>54.418304443359375</x:v>
      </x:c>
      <x:c r="M97" s="78" t="n">
        <x:f>SUM(M94:M96)</x:f>
        <x:v>54.45167541503906</x:v>
      </x:c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</x:row>
    <x:row r="98" ht="45" customHeight="1">
      <x:c r="A98" s="30" t="str">
        <x:v>KimiK3</x:v>
      </x:c>
      <x:c r="B98" s="30" t="n">
        <x:f>$B$17</x:f>
        <x:v>1048576</x:v>
      </x:c>
      <x:c r="C98" s="79" t="str">
        <x:v>MLA replicated / BF16</x:v>
      </x:c>
      <x:c r="D98" s="30" t="n">
        <x:v>24</x:v>
      </x:c>
      <x:c r="E98" s="30" t="n">
        <x:v>1152</x:v>
      </x:c>
      <x:c r="F98" s="30" t="n">
        <x:v>8</x:v>
      </x:c>
      <x:c r="G98" s="30" t="n">
        <x:v>8</x:v>
      </x:c>
      <x:c r="H98" s="30" t="n">
        <x:f>IF(AND(ISNUMBER($B$17),$B$17&gt;=2,MOD($B$17,1)=0,OR($N$9=32,$N$9=64,$N$9=128),ISNUMBER($B$11),$B$11&gt;=0,MOD($B$11,1)=0),INT(($B$17-1)/1),"")</x:f>
        <x:v>1048575</x:v>
      </x:c>
      <x:c r="I98" s="30" t="n">
        <x:f>IF(AND(ISNUMBER($B$17),$B$17&gt;=2,MOD($B$17,1)=0,OR($N$9=32,$N$9=64,$N$9=128),ISNUMBER($B$11),$B$11&gt;=0,MOD($B$11,1)=0),INT(($B$17-1)/1),"")</x:f>
        <x:v>1048575</x:v>
      </x:c>
      <x:c r="J98" s="30" t="n">
        <x:f>IF(AND(ISNUMBER($B$17),$B$17&gt;=2,MOD($B$17,1)=0,OR($N$9=32,$N$9=64,$N$9=128),ISNUMBER($B$11),$B$11&gt;=0,MOD($B$11,1)=0),ROUNDUP(($B$17-1)/(1*$N$9),0)*$N$9,"")</x:f>
        <x:v>1048576</x:v>
      </x:c>
      <x:c r="K98" s="76" t="n">
        <x:f>IF(AND(ISNUMBER($B$17),$B$17&gt;=2,MOD($B$17,1)=0,OR($N$9=32,$N$9=64,$N$9=128),ISNUMBER($B$11),$B$11&gt;=0,MOD($B$11,1)=0),D98*E98*F98*H98/2^30,"")</x:f>
        <x:v>215.99979400634766</x:v>
      </x:c>
      <x:c r="L98" s="76" t="n">
        <x:f>IF(AND(ISNUMBER($B$17),$B$17&gt;=2,MOD($B$17,1)=0,OR($N$9=32,$N$9=64,$N$9=128),ISNUMBER($B$11),$B$11&gt;=0,MOD($B$11,1)=0),D98*E98*F98*I98/2^30,"")</x:f>
        <x:v>215.99979400634766</x:v>
      </x:c>
      <x:c r="M98" s="76" t="n">
        <x:f>IF(AND(ISNUMBER($B$17),$B$17&gt;=2,MOD($B$17,1)=0,OR($N$9=32,$N$9=64,$N$9=128),ISNUMBER($B$11),$B$11&gt;=0,MOD($B$11,1)=0),D98*E98*G98*J98/2^30,"")</x:f>
        <x:v>216</x:v>
      </x:c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</x:row>
    <x:row r="99" ht="45" customHeight="1">
      <x:c r="A99" s="30" t="str">
        <x:v>KimiK3</x:v>
      </x:c>
      <x:c r="B99" s="30" t="n">
        <x:f>$B$17</x:f>
        <x:v>1048576</x:v>
      </x:c>
      <x:c r="C99" s="79" t="str">
        <x:v>Conv state / BF16</x:v>
      </x:c>
      <x:c r="D99" s="30" t="n">
        <x:v>69</x:v>
      </x:c>
      <x:c r="E99" s="30" t="n">
        <x:v>9216</x:v>
      </x:c>
      <x:c r="F99" s="30" t="n">
        <x:v>8</x:v>
      </x:c>
      <x:c r="G99" s="30" t="n">
        <x:v>8</x:v>
      </x:c>
      <x:c r="H99" s="30" t="n">
        <x:f>IF(AND(ISNUMBER($B$17),$B$17&gt;=2,MOD($B$17,1)=0,OR($N$9=32,$N$9=64,$N$9=128),ISNUMBER($B$11),$B$11&gt;=0,MOD($B$11,1)=0),MIN(($B$17-1),3),"")</x:f>
        <x:v>3</x:v>
      </x:c>
      <x:c r="I99" s="30" t="n">
        <x:f>IF(AND(ISNUMBER($B$17),$B$17&gt;=2,MOD($B$17,1)=0,OR($N$9=32,$N$9=64,$N$9=128),ISNUMBER($B$11),$B$11&gt;=0,MOD($B$11,1)=0),MIN(($B$17-1),3),"")</x:f>
        <x:v>3</x:v>
      </x:c>
      <x:c r="J99" s="30" t="n">
        <x:f>IF(AND(ISNUMBER($B$17),$B$17&gt;=2,MOD($B$17,1)=0,OR($N$9=32,$N$9=64,$N$9=128),ISNUMBER($B$11),$B$11&gt;=0,MOD($B$11,1)=0),3+$B$11,"")</x:f>
        <x:v>10</x:v>
      </x:c>
      <x:c r="K99" s="76" t="n">
        <x:f>IF(AND(ISNUMBER($B$17),$B$17&gt;=2,MOD($B$17,1)=0,OR($N$9=32,$N$9=64,$N$9=128),ISNUMBER($B$11),$B$11&gt;=0,MOD($B$11,1)=0),D99*E99*F99*H99/2^30,"")</x:f>
        <x:v>0.01421356201171875</x:v>
      </x:c>
      <x:c r="L99" s="76" t="n">
        <x:f>IF(AND(ISNUMBER($B$17),$B$17&gt;=2,MOD($B$17,1)=0,OR($N$9=32,$N$9=64,$N$9=128),ISNUMBER($B$11),$B$11&gt;=0,MOD($B$11,1)=0),D99*E99*F99*I99/2^30,"")</x:f>
        <x:v>0.01421356201171875</x:v>
      </x:c>
      <x:c r="M99" s="76" t="n">
        <x:f>IF(AND(ISNUMBER($B$17),$B$17&gt;=2,MOD($B$17,1)=0,OR($N$9=32,$N$9=64,$N$9=128),ISNUMBER($B$11),$B$11&gt;=0,MOD($B$11,1)=0),D99*E99*G99*J99/2^30,"")</x:f>
        <x:v>0.0473785400390625</x:v>
      </x:c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</x:row>
    <x:row r="100" ht="45" customHeight="1">
      <x:c r="A100" s="30" t="str">
        <x:v>KimiK3</x:v>
      </x:c>
      <x:c r="B100" s="30" t="n">
        <x:f>$B$17</x:f>
        <x:v>1048576</x:v>
      </x:c>
      <x:c r="C100" s="79" t="str">
        <x:v>Recurrent state / FP32</x:v>
      </x:c>
      <x:c r="D100" s="30" t="n">
        <x:v>69</x:v>
      </x:c>
      <x:c r="E100" s="30" t="n">
        <x:v>786432</x:v>
      </x:c>
      <x:c r="F100" s="30" t="n">
        <x:v>8</x:v>
      </x:c>
      <x:c r="G100" s="30" t="n">
        <x:v>8</x:v>
      </x:c>
      <x:c r="H100" s="30" t="n">
        <x:f>IF(AND(ISNUMBER($B$17),$B$17&gt;=2,MOD($B$17,1)=0,OR($N$9=32,$N$9=64,$N$9=128),ISNUMBER($B$11),$B$11&gt;=0,MOD($B$11,1)=0),1,"")</x:f>
        <x:v>1</x:v>
      </x:c>
      <x:c r="I100" s="30" t="n">
        <x:f>IF(AND(ISNUMBER($B$17),$B$17&gt;=2,MOD($B$17,1)=0,OR($N$9=32,$N$9=64,$N$9=128),ISNUMBER($B$11),$B$11&gt;=0,MOD($B$11,1)=0),1,"")</x:f>
        <x:v>1</x:v>
      </x:c>
      <x:c r="J100" s="30" t="n">
        <x:f>IF(AND(ISNUMBER($B$17),$B$17&gt;=2,MOD($B$17,1)=0,OR($N$9=32,$N$9=64,$N$9=128),ISNUMBER($B$11),$B$11&gt;=0,MOD($B$11,1)=0),1,"")</x:f>
        <x:v>1</x:v>
      </x:c>
      <x:c r="K100" s="76" t="n">
        <x:f>IF(AND(ISNUMBER($B$17),$B$17&gt;=2,MOD($B$17,1)=0,OR($N$9=32,$N$9=64,$N$9=128),ISNUMBER($B$11),$B$11&gt;=0,MOD($B$11,1)=0),D100*E100*F100*H100/2^30,"")</x:f>
        <x:v>0.404296875</x:v>
      </x:c>
      <x:c r="L100" s="76" t="n">
        <x:f>IF(AND(ISNUMBER($B$17),$B$17&gt;=2,MOD($B$17,1)=0,OR($N$9=32,$N$9=64,$N$9=128),ISNUMBER($B$11),$B$11&gt;=0,MOD($B$11,1)=0),D100*E100*F100*I100/2^30,"")</x:f>
        <x:v>0.404296875</x:v>
      </x:c>
      <x:c r="M100" s="76" t="n">
        <x:f>IF(AND(ISNUMBER($B$17),$B$17&gt;=2,MOD($B$17,1)=0,OR($N$9=32,$N$9=64,$N$9=128),ISNUMBER($B$11),$B$11&gt;=0,MOD($B$11,1)=0),D100*E100*G100*J100/2^30,"")</x:f>
        <x:v>0.404296875</x:v>
      </x:c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</x:row>
    <x:row r="101" ht="45" customHeight="1">
      <x:c r="A101" s="40" t="str">
        <x:v>KimiK3</x:v>
      </x:c>
      <x:c r="B101" s="40" t="n">
        <x:f>$B$17</x:f>
        <x:v>1048576</x:v>
      </x:c>
      <x:c r="C101" s="80" t="str">
        <x:v>每请求合计</x:v>
      </x:c>
      <x:c r="D101" s="40"/>
      <x:c r="E101" s="40"/>
      <x:c r="F101" s="40"/>
      <x:c r="G101" s="40"/>
      <x:c r="H101" s="40"/>
      <x:c r="I101" s="40"/>
      <x:c r="J101" s="40"/>
      <x:c r="K101" s="78" t="n">
        <x:f>SUM(K98:K100)</x:f>
        <x:v>216.41830444335938</x:v>
      </x:c>
      <x:c r="L101" s="78" t="n">
        <x:f>SUM(L98:L100)</x:f>
        <x:v>216.41830444335938</x:v>
      </x:c>
      <x:c r="M101" s="78" t="n">
        <x:f>SUM(M98:M100)</x:f>
        <x:v>216.45167541503906</x:v>
      </x:c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</x:row>
    <x:row r="102" ht="45" customHeight="1">
      <x:c r="A102" s="30"/>
      <x:c r="B102" s="30"/>
      <x:c r="C102" s="79"/>
      <x:c r="D102" s="30"/>
      <x:c r="E102" s="30"/>
      <x:c r="F102" s="30"/>
      <x:c r="G102" s="30"/>
      <x:c r="H102" s="30"/>
      <x:c r="I102" s="30"/>
      <x:c r="J102" s="30"/>
      <x:c r="K102" s="76"/>
      <x:c r="L102" s="76"/>
      <x:c r="M102" s="76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</x:row>
    <x:row r="103" ht="22" customHeight="1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</x:row>
    <x:row r="104" ht="22" customHeight="1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</x:row>
    <x:row r="105" ht="22" customHeight="1">
      <x:c r="A105" s="30" t="str">
        <x:v>来源：库内 config.json、analysis/KV-EP-SPECS.md、analysis/PD-MINUTE.md；V4.1 为既有 KV 规划量。</x:v>
      </x:c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</x:row>
    <x:row r="106" ht="22" customHeight="1">
      <x:c r="A106" s="30" t="str">
        <x:v>MC2：A3 FullMesh BF16；TP/SP：HCCL Ring，K3 共享专家 TP、Qwen 共享专家 DP。通信启动、Engram 与排队另计。</x:v>
      </x:c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</x:row>
    <x:row r="107" ht="22" customHeight="1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</x:row>
    <x:row r="108" ht="22" customHeight="1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</x:row>
    <x:row r="109" ht="22" customHeight="1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</x:row>
    <x:row r="110" ht="22" customHeight="1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</x:row>
    <x:row r="111" ht="22" customHeight="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</x:row>
    <x:row r="112" ht="22" customHeight="1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</x:row>
    <x:row r="113" ht="22" customHeight="1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</x:row>
    <x:row r="114" ht="22" customHeight="1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</x:row>
    <x:row r="115" ht="22" customHeight="1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</x:row>
    <x:row r="116" ht="22" customHeight="1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</x:row>
    <x:row r="117" ht="22" customHeight="1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</x:row>
    <x:row r="118" ht="22" customHeight="1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</x:row>
    <x:row r="119" ht="22" customHeight="1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</x:row>
    <x:row r="120" ht="22" customHeight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</x:row>
    <x:row r="121" ht="22" customHeight="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</x:row>
    <x:row r="122" ht="22" customHeight="1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</x:row>
    <x:row r="123" ht="22" customHeight="1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</x:row>
    <x:row r="124" ht="22" customHeight="1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</x:row>
    <x:row r="125" ht="22" customHeight="1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</x:row>
    <x:row r="126" ht="22" customHeight="1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</x:row>
    <x:row r="127" ht="22" customHeight="1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</x:row>
    <x:row r="128" ht="22" customHeight="1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</x:row>
    <x:row r="129" ht="22" customHeight="1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</x:row>
    <x:row r="130" ht="22" customHeight="1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</x:row>
    <x:row r="131" ht="22" customHeight="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</x:row>
    <x:row r="132" ht="22" customHeight="1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</x:row>
    <x:row r="133" ht="22" customHeight="1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</x:row>
    <x:row r="134" ht="22" customHeight="1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</x:row>
    <x:row r="135" ht="22" customHeight="1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</x:row>
    <x:row r="136" ht="22" customHeight="1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</x:row>
    <x:row r="137" ht="22" customHeight="1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</x:row>
    <x:row r="138" ht="22" customHeight="1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</x:row>
    <x:row r="139" ht="22" customHeight="1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</x:row>
    <x:row r="140" ht="22" customHeight="1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</x:row>
    <x:row r="141" ht="22" customHeight="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</x:row>
    <x:row r="142" ht="22" customHeight="1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</x:row>
    <x:row r="143" ht="22" customHeight="1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</x:row>
    <x:row r="144" ht="22" customHeight="1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</x:row>
    <x:row r="145" ht="22" customHeight="1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</x:row>
    <x:row r="146" ht="22" customHeight="1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</x:row>
    <x:row r="147" ht="22" customHeight="1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</x:row>
    <x:row r="148" ht="22" customHeight="1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</x:row>
    <x:row r="149" ht="22" customHeight="1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</x:row>
    <x:row r="150" ht="22" customHeight="1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</x:row>
    <x:row r="151" ht="22" customHeight="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</x:row>
    <x:row r="152" ht="22" customHeight="1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</x:row>
    <x:row r="153" ht="22" customHeight="1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</x:row>
    <x:row r="154" ht="22" customHeight="1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</x:row>
    <x:row r="155" ht="22" customHeight="1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</x:row>
    <x:row r="156" ht="22" customHeight="1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</x:row>
    <x:row r="157" ht="22" customHeight="1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</x:row>
    <x:row r="158" ht="22" customHeight="1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</x:row>
    <x:row r="159" ht="22" customHeight="1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</x:row>
    <x:row r="160" ht="22" customHeight="1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</x:row>
    <x:row r="161" ht="22" customHeight="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</x:row>
    <x:row r="162" ht="22" customHeight="1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</x:row>
    <x:row r="163" ht="22" customHeight="1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</x:row>
    <x:row r="164" ht="22" customHeight="1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</x:row>
    <x:row r="165" ht="22" customHeight="1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</x:row>
    <x:row r="166" ht="22" customHeight="1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</x:row>
    <x:row r="167" ht="22" customHeight="1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</x:row>
    <x:row r="168" ht="22" customHeight="1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</x:row>
    <x:row r="169" ht="22" customHeight="1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</x:row>
    <x:row r="170" ht="22" customHeight="1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</x:row>
    <x:row r="171" ht="22" customHeight="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</x:row>
    <x:row r="172" ht="22" customHeight="1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</x:row>
    <x:row r="173" ht="22" customHeight="1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</x:row>
    <x:row r="174" ht="22" customHeight="1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</x:row>
    <x:row r="175" ht="22" customHeight="1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</x:row>
    <x:row r="176" ht="22" customHeight="1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</x:row>
    <x:row r="177" ht="22" customHeight="1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</x:row>
    <x:row r="178" ht="22" customHeight="1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</x:row>
    <x:row r="179" ht="22" customHeight="1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</x:row>
    <x:row r="180" ht="22" customHeight="1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</x:row>
    <x:row r="181" ht="22" customHeight="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</x:row>
    <x:row r="182" ht="22" customHeight="1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</x:row>
    <x:row r="183" ht="22" customHeight="1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</x:row>
    <x:row r="184" ht="22" customHeight="1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</x:row>
    <x:row r="185" ht="22" customHeight="1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</x:row>
    <x:row r="186" ht="22" customHeight="1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</x:row>
    <x:row r="187" ht="22" customHeight="1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</x:row>
    <x:row r="188" ht="22" customHeight="1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</x:row>
    <x:row r="189" ht="22" customHeight="1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</x:row>
    <x:row r="190" ht="22" customHeight="1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</x:row>
    <x:row r="191" ht="22" customHeight="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</x:row>
    <x:row r="192" ht="22" customHeight="1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</x:row>
    <x:row r="193" ht="22" customHeight="1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</x:row>
    <x:row r="194" ht="22" customHeight="1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</x:row>
    <x:row r="195" ht="22" customHeight="1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</x:row>
    <x:row r="196" ht="22" customHeight="1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</x:row>
    <x:row r="197" ht="22" customHeight="1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</x:row>
    <x:row r="198" ht="22" customHeight="1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</x:row>
    <x:row r="199" ht="22" customHeight="1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</x:row>
    <x:row r="200" ht="22" customHeight="1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</x:row>
    <x:row r="201" ht="22" customHeight="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</x:row>
    <x:row r="202" ht="22" customHeight="1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</x:row>
    <x:row r="203" ht="22" customHeight="1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</x:row>
    <x:row r="204" ht="22" customHeight="1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</x:row>
    <x:row r="205" ht="22" customHeight="1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</x:row>
    <x:row r="206" ht="22" customHeight="1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</x:row>
    <x:row r="207" ht="22" customHeight="1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</x:row>
    <x:row r="208" ht="22" customHeight="1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</x:row>
    <x:row r="209" ht="22" customHeight="1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</x:row>
    <x:row r="210" ht="22" customHeight="1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</x:row>
    <x:row r="211" ht="22" customHeight="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</x:row>
    <x:row r="212" ht="22" customHeight="1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</x:row>
    <x:row r="213" ht="22" customHeight="1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</x:row>
    <x:row r="214" ht="22" customHeight="1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</x:row>
    <x:row r="215" ht="22" customHeight="1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</x:row>
    <x:row r="216" ht="22" customHeight="1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</x:row>
    <x:row r="217" ht="22" customHeight="1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</x:row>
    <x:row r="218" ht="22" customHeight="1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</x:row>
    <x:row r="219" ht="22" customHeight="1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</x:row>
    <x:row r="220" ht="22" customHeight="1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</x:row>
    <x:row r="221" ht="22" customHeight="1">
      <x:c r="A221" s="30"/>
      <x:c r="B221" s="30"/>
      <x:c r="C221" s="30"/>
      <x:c r="D221" s="30"/>
      <x:c r="E221" s="30"/>
      <x:c r="F221" s="30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</x:row>
    <x:row r="222" ht="22" customHeight="1">
      <x:c r="A222" s="30"/>
      <x:c r="B222" s="30"/>
      <x:c r="C222" s="30"/>
      <x:c r="D222" s="30"/>
      <x:c r="E222" s="30"/>
      <x:c r="F222" s="30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</x:row>
    <x:row r="223" ht="22" customHeight="1">
      <x:c r="A223" s="30"/>
      <x:c r="B223" s="30"/>
      <x:c r="C223" s="30"/>
      <x:c r="D223" s="30"/>
      <x:c r="E223" s="30"/>
      <x:c r="F223" s="30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</x:row>
    <x:row r="224" ht="22" customHeight="1">
      <x:c r="A224" s="30"/>
      <x:c r="B224" s="30"/>
      <x:c r="C224" s="30"/>
      <x:c r="D224" s="30"/>
      <x:c r="E224" s="30"/>
      <x:c r="F224" s="30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</x:row>
    <x:row r="225" ht="22" customHeight="1">
      <x:c r="A225" s="30"/>
      <x:c r="B225" s="30"/>
      <x:c r="C225" s="30"/>
      <x:c r="D225" s="30"/>
      <x:c r="E225" s="30"/>
      <x:c r="F225" s="30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</x:row>
    <x:row r="226" ht="22" customHeight="1">
      <x:c r="A226" s="30"/>
      <x:c r="B226" s="30"/>
      <x:c r="C226" s="30"/>
      <x:c r="D226" s="30"/>
      <x:c r="E226" s="30"/>
      <x:c r="F226" s="30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</x:row>
    <x:row r="227" ht="22" customHeight="1">
      <x:c r="A227" s="30"/>
      <x:c r="B227" s="30"/>
      <x:c r="C227" s="30"/>
      <x:c r="D227" s="30"/>
      <x:c r="E227" s="30"/>
      <x:c r="F227" s="30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</x:row>
    <x:row r="228" ht="22" customHeight="1">
      <x:c r="A228" s="30"/>
      <x:c r="B228" s="30"/>
      <x:c r="C228" s="30"/>
      <x:c r="D228" s="30"/>
      <x:c r="E228" s="30"/>
      <x:c r="F228" s="30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</x:row>
    <x:row r="229" ht="22" customHeight="1">
      <x:c r="A229" s="30"/>
      <x:c r="B229" s="30"/>
      <x:c r="C229" s="30"/>
      <x:c r="D229" s="30"/>
      <x:c r="E229" s="30"/>
      <x:c r="F229" s="30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</x:row>
    <x:row r="230" ht="22" customHeight="1">
      <x:c r="A230" s="30"/>
      <x:c r="B230" s="30"/>
      <x:c r="C230" s="30"/>
      <x:c r="D230" s="30"/>
      <x:c r="E230" s="30"/>
      <x:c r="F230" s="30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</x:row>
    <x:row r="231" ht="22" customHeight="1">
      <x:c r="A231" s="30"/>
      <x:c r="B231" s="30"/>
      <x:c r="C231" s="30"/>
      <x:c r="D231" s="30"/>
      <x:c r="E231" s="30"/>
      <x:c r="F231" s="30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</x:row>
    <x:row r="232" ht="22" customHeight="1">
      <x:c r="A232" s="30"/>
      <x:c r="B232" s="30"/>
      <x:c r="C232" s="30"/>
      <x:c r="D232" s="30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</x:row>
    <x:row r="233" ht="22" customHeight="1">
      <x:c r="A233" s="30"/>
      <x:c r="B233" s="30"/>
      <x:c r="C233" s="30"/>
      <x:c r="D233" s="30"/>
      <x:c r="E233" s="30"/>
      <x:c r="F233" s="30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</x:row>
    <x:row r="234" ht="22" customHeight="1">
      <x:c r="A234" s="30"/>
      <x:c r="B234" s="30"/>
      <x:c r="C234" s="30"/>
      <x:c r="D234" s="30"/>
      <x:c r="E234" s="30"/>
      <x:c r="F234" s="30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</x:row>
    <x:row r="235" ht="22" customHeight="1">
      <x:c r="A235" s="30"/>
      <x:c r="B235" s="30"/>
      <x:c r="C235" s="30"/>
      <x:c r="D235" s="30"/>
      <x:c r="E235" s="30"/>
      <x:c r="F235" s="30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</x:row>
    <x:row r="236" ht="22" customHeight="1">
      <x:c r="A236" s="30"/>
      <x:c r="B236" s="30"/>
      <x:c r="C236" s="30"/>
      <x:c r="D236" s="30"/>
      <x:c r="E236" s="30"/>
      <x:c r="F236" s="30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</x:row>
    <x:row r="237" ht="22" customHeight="1">
      <x:c r="A237" s="30"/>
      <x:c r="B237" s="30"/>
      <x:c r="C237" s="30"/>
      <x:c r="D237" s="30"/>
      <x:c r="E237" s="30"/>
      <x:c r="F237" s="30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</x:row>
    <x:row r="238" ht="22" customHeight="1">
      <x:c r="A238" s="30"/>
      <x:c r="B238" s="30"/>
      <x:c r="C238" s="30"/>
      <x:c r="D238" s="30"/>
      <x:c r="E238" s="30"/>
      <x:c r="F238" s="30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</x:row>
    <x:row r="239" ht="22" customHeight="1">
      <x:c r="A239" s="30"/>
      <x:c r="B239" s="30"/>
      <x:c r="C239" s="30"/>
      <x:c r="D239" s="30"/>
      <x:c r="E239" s="30"/>
      <x:c r="F239" s="30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</x:row>
    <x:row r="240" ht="22" customHeight="1">
      <x:c r="A240" s="30"/>
      <x:c r="B240" s="30"/>
      <x:c r="C240" s="30"/>
      <x:c r="D240" s="30"/>
      <x:c r="E240" s="30"/>
      <x:c r="F240" s="30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</x:row>
    <x:row r="241" ht="22" customHeight="1">
      <x:c r="A241" s="30"/>
      <x:c r="B241" s="30"/>
      <x:c r="C241" s="30"/>
      <x:c r="D241" s="30"/>
      <x:c r="E241" s="30"/>
      <x:c r="F241" s="30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</x:row>
    <x:row r="242" ht="22" customHeight="1">
      <x:c r="A242" s="30"/>
      <x:c r="B242" s="30"/>
      <x:c r="C242" s="30"/>
      <x:c r="D242" s="30"/>
      <x:c r="E242" s="30"/>
      <x:c r="F242" s="30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</x:row>
    <x:row r="243" ht="22" customHeight="1">
      <x:c r="A243" s="30"/>
      <x:c r="B243" s="30"/>
      <x:c r="C243" s="30"/>
      <x:c r="D243" s="30"/>
      <x:c r="E243" s="30"/>
      <x:c r="F243" s="30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</x:row>
    <x:row r="244" ht="22" customHeight="1">
      <x:c r="A244" s="30"/>
      <x:c r="B244" s="30"/>
      <x:c r="C244" s="30"/>
      <x:c r="D244" s="30"/>
      <x:c r="E244" s="30"/>
      <x:c r="F244" s="30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</x:row>
    <x:row r="245" ht="22" customHeight="1">
      <x:c r="A245" s="30"/>
      <x:c r="B245" s="30"/>
      <x:c r="C245" s="30"/>
      <x:c r="D245" s="30"/>
      <x:c r="E245" s="30"/>
      <x:c r="F245" s="30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</x:row>
    <x:row r="246" ht="22" customHeight="1">
      <x:c r="A246" s="30"/>
      <x:c r="B246" s="30"/>
      <x:c r="C246" s="30"/>
      <x:c r="D246" s="30"/>
      <x:c r="E246" s="30"/>
      <x:c r="F246" s="30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</x:row>
    <x:row r="247" ht="22" customHeight="1">
      <x:c r="A247" s="30"/>
      <x:c r="B247" s="30"/>
      <x:c r="C247" s="30"/>
      <x:c r="D247" s="30"/>
      <x:c r="E247" s="30"/>
      <x:c r="F247" s="30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</x:row>
    <x:row r="248" ht="22" customHeight="1">
      <x:c r="A248" s="30"/>
      <x:c r="B248" s="30"/>
      <x:c r="C248" s="30"/>
      <x:c r="D248" s="30"/>
      <x:c r="E248" s="30"/>
      <x:c r="F248" s="30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</x:row>
    <x:row r="249" ht="22" customHeight="1">
      <x:c r="A249" s="30"/>
      <x:c r="B249" s="30"/>
      <x:c r="C249" s="30"/>
      <x:c r="D249" s="30"/>
      <x:c r="E249" s="30"/>
      <x:c r="F249" s="30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</x:row>
    <x:row r="250" ht="22" customHeight="1">
      <x:c r="A250" s="30"/>
      <x:c r="B250" s="30"/>
      <x:c r="C250" s="30"/>
      <x:c r="D250" s="30"/>
      <x:c r="E250" s="30"/>
      <x:c r="F250" s="30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</x:row>
    <x:row r="251" ht="22" customHeight="1">
      <x:c r="A251" s="30"/>
      <x:c r="B251" s="30"/>
      <x:c r="C251" s="30"/>
      <x:c r="D251" s="30"/>
      <x:c r="E251" s="30"/>
      <x:c r="F251" s="30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</x:row>
    <x:row r="252" ht="22" customHeight="1">
      <x:c r="A252" s="30"/>
      <x:c r="B252" s="30"/>
      <x:c r="C252" s="30"/>
      <x:c r="D252" s="30"/>
      <x:c r="E252" s="30"/>
      <x:c r="F252" s="30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</x:row>
    <x:row r="253" ht="22" customHeight="1">
      <x:c r="A253" s="30"/>
      <x:c r="B253" s="30"/>
      <x:c r="C253" s="30"/>
      <x:c r="D253" s="30"/>
      <x:c r="E253" s="30"/>
      <x:c r="F253" s="30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</x:row>
    <x:row r="254" ht="22" customHeight="1">
      <x:c r="A254" s="30"/>
      <x:c r="B254" s="30"/>
      <x:c r="C254" s="30"/>
      <x:c r="D254" s="30"/>
      <x:c r="E254" s="30"/>
      <x:c r="F254" s="30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</x:row>
    <x:row r="255" ht="22" customHeight="1">
      <x:c r="A255" s="30"/>
      <x:c r="B255" s="30"/>
      <x:c r="C255" s="30"/>
      <x:c r="D255" s="30"/>
      <x:c r="E255" s="30"/>
      <x:c r="F255" s="30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</x:row>
    <x:row r="256" ht="22" customHeight="1">
      <x:c r="A256" s="30"/>
      <x:c r="B256" s="30"/>
      <x:c r="C256" s="30"/>
      <x:c r="D256" s="30"/>
      <x:c r="E256" s="30"/>
      <x:c r="F256" s="30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</x:row>
    <x:row r="257" ht="22" customHeight="1">
      <x:c r="A257" s="30"/>
      <x:c r="B257" s="30"/>
      <x:c r="C257" s="30"/>
      <x:c r="D257" s="30"/>
      <x:c r="E257" s="30"/>
      <x:c r="F257" s="30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</x:row>
    <x:row r="258" ht="22" customHeight="1">
      <x:c r="A258" s="30"/>
      <x:c r="B258" s="30"/>
      <x:c r="C258" s="30"/>
      <x:c r="D258" s="30"/>
      <x:c r="E258" s="30"/>
      <x:c r="F258" s="30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</x:row>
    <x:row r="259" ht="22" customHeight="1">
      <x:c r="A259" s="30"/>
      <x:c r="B259" s="30"/>
      <x:c r="C259" s="30"/>
      <x:c r="D259" s="30"/>
      <x:c r="E259" s="30"/>
      <x:c r="F259" s="30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</x:row>
    <x:row r="260" ht="22" customHeight="1">
      <x:c r="A260" s="30"/>
      <x:c r="B260" s="30"/>
      <x:c r="C260" s="30"/>
      <x:c r="D260" s="30"/>
      <x:c r="E260" s="30"/>
      <x:c r="F260" s="30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</x:row>
    <x:row r="261" ht="22" customHeight="1">
      <x:c r="A261" s="30"/>
      <x:c r="B261" s="30"/>
      <x:c r="C261" s="30"/>
      <x:c r="D261" s="30"/>
      <x:c r="E261" s="30"/>
      <x:c r="F261" s="30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</x:row>
    <x:row r="262" ht="22" customHeight="1">
      <x:c r="A262" s="30"/>
      <x:c r="B262" s="30"/>
      <x:c r="C262" s="30"/>
      <x:c r="D262" s="30"/>
      <x:c r="E262" s="30"/>
      <x:c r="F262" s="30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</x:row>
    <x:row r="263" ht="22" customHeight="1">
      <x:c r="A263" s="30"/>
      <x:c r="B263" s="30"/>
      <x:c r="C263" s="30"/>
      <x:c r="D263" s="30"/>
      <x:c r="E263" s="30"/>
      <x:c r="F263" s="30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</x:row>
    <x:row r="264" ht="22" customHeight="1">
      <x:c r="A264" s="30"/>
      <x:c r="B264" s="30"/>
      <x:c r="C264" s="30"/>
      <x:c r="D264" s="30"/>
      <x:c r="E264" s="30"/>
      <x:c r="F264" s="30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</x:row>
    <x:row r="265" ht="22" customHeight="1">
      <x:c r="A265" s="30"/>
      <x:c r="B265" s="30"/>
      <x:c r="C265" s="30"/>
      <x:c r="D265" s="30"/>
      <x:c r="E265" s="30"/>
      <x:c r="F265" s="30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</x:row>
    <x:row r="266" ht="22" customHeight="1">
      <x:c r="A266" s="30"/>
      <x:c r="B266" s="30"/>
      <x:c r="C266" s="30"/>
      <x:c r="D266" s="30"/>
      <x:c r="E266" s="30"/>
      <x:c r="F266" s="30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</x:row>
    <x:row r="267" ht="22" customHeight="1">
      <x:c r="A267" s="30"/>
      <x:c r="B267" s="30"/>
      <x:c r="C267" s="30"/>
      <x:c r="D267" s="30"/>
      <x:c r="E267" s="30"/>
      <x:c r="F267" s="30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</x:row>
    <x:row r="268" ht="22" customHeight="1">
      <x:c r="A268" s="30"/>
      <x:c r="B268" s="30"/>
      <x:c r="C268" s="30"/>
      <x:c r="D268" s="30"/>
      <x:c r="E268" s="30"/>
      <x:c r="F268" s="30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</x:row>
    <x:row r="269" ht="22" customHeight="1">
      <x:c r="A269" s="30"/>
      <x:c r="B269" s="30"/>
      <x:c r="C269" s="30"/>
      <x:c r="D269" s="30"/>
      <x:c r="E269" s="30"/>
      <x:c r="F269" s="30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</x:row>
    <x:row r="270" ht="22" customHeight="1">
      <x:c r="A270" s="30"/>
      <x:c r="B270" s="30"/>
      <x:c r="C270" s="30"/>
      <x:c r="D270" s="30"/>
      <x:c r="E270" s="30"/>
      <x:c r="F270" s="30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</x:row>
    <x:row r="271" ht="22" customHeight="1">
      <x:c r="A271" s="30"/>
      <x:c r="B271" s="30"/>
      <x:c r="C271" s="30"/>
      <x:c r="D271" s="30"/>
      <x:c r="E271" s="30"/>
      <x:c r="F271" s="30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</x:row>
    <x:row r="272" ht="22" customHeight="1">
      <x:c r="A272" s="30"/>
      <x:c r="B272" s="30"/>
      <x:c r="C272" s="30"/>
      <x:c r="D272" s="30"/>
      <x:c r="E272" s="30"/>
      <x:c r="F272" s="30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</x:row>
    <x:row r="273" ht="22" customHeight="1">
      <x:c r="A273" s="30"/>
      <x:c r="B273" s="30"/>
      <x:c r="C273" s="30"/>
      <x:c r="D273" s="30"/>
      <x:c r="E273" s="30"/>
      <x:c r="F273" s="30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</x:row>
    <x:row r="274" ht="22" customHeight="1">
      <x:c r="A274" s="30"/>
      <x:c r="B274" s="30"/>
      <x:c r="C274" s="30"/>
      <x:c r="D274" s="30"/>
      <x:c r="E274" s="30"/>
      <x:c r="F274" s="30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</x:row>
    <x:row r="275" ht="22" customHeight="1">
      <x:c r="A275" s="30"/>
      <x:c r="B275" s="30"/>
      <x:c r="C275" s="30"/>
      <x:c r="D275" s="30"/>
      <x:c r="E275" s="30"/>
      <x:c r="F275" s="30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</x:row>
    <x:row r="276" ht="22" customHeight="1">
      <x:c r="A276" s="30"/>
      <x:c r="B276" s="30"/>
      <x:c r="C276" s="30"/>
      <x:c r="D276" s="30"/>
      <x:c r="E276" s="30"/>
      <x:c r="F276" s="30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</x:row>
    <x:row r="277" ht="22" customHeight="1">
      <x:c r="A277" s="30"/>
      <x:c r="B277" s="30"/>
      <x:c r="C277" s="30"/>
      <x:c r="D277" s="30"/>
      <x:c r="E277" s="30"/>
      <x:c r="F277" s="30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</x:row>
    <x:row r="278" ht="22" customHeight="1">
      <x:c r="A278" s="30"/>
      <x:c r="B278" s="30"/>
      <x:c r="C278" s="30"/>
      <x:c r="D278" s="30"/>
      <x:c r="E278" s="30"/>
      <x:c r="F278" s="30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</x:row>
    <x:row r="279" ht="22" customHeight="1">
      <x:c r="A279" s="30"/>
      <x:c r="B279" s="30"/>
      <x:c r="C279" s="30"/>
      <x:c r="D279" s="30"/>
      <x:c r="E279" s="30"/>
      <x:c r="F279" s="30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</x:row>
    <x:row r="280" ht="22" customHeight="1">
      <x:c r="A280" s="30"/>
      <x:c r="B280" s="30"/>
      <x:c r="C280" s="30"/>
      <x:c r="D280" s="30"/>
      <x:c r="E280" s="30"/>
      <x:c r="F280" s="30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</x:row>
    <x:row r="281" ht="22" customHeight="1">
      <x:c r="A281" s="30"/>
      <x:c r="B281" s="30"/>
      <x:c r="C281" s="30"/>
      <x:c r="D281" s="30"/>
      <x:c r="E281" s="30"/>
      <x:c r="F281" s="30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</x:row>
    <x:row r="282" ht="22" customHeight="1">
      <x:c r="A282" s="30"/>
      <x:c r="B282" s="30"/>
      <x:c r="C282" s="30"/>
      <x:c r="D282" s="30"/>
      <x:c r="E282" s="30"/>
      <x:c r="F282" s="30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</x:row>
    <x:row r="283" ht="22" customHeight="1">
      <x:c r="A283" s="30"/>
      <x:c r="B283" s="30"/>
      <x:c r="C283" s="30"/>
      <x:c r="D283" s="30"/>
      <x:c r="E283" s="30"/>
      <x:c r="F283" s="30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</x:row>
    <x:row r="284" ht="22" customHeight="1">
      <x:c r="A284" s="30"/>
      <x:c r="B284" s="30"/>
      <x:c r="C284" s="30"/>
      <x:c r="D284" s="30"/>
      <x:c r="E284" s="30"/>
      <x:c r="F284" s="30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</x:row>
    <x:row r="285" ht="22" customHeight="1">
      <x:c r="A285" s="30"/>
      <x:c r="B285" s="30"/>
      <x:c r="C285" s="30"/>
      <x:c r="D285" s="30"/>
      <x:c r="E285" s="30"/>
      <x:c r="F285" s="30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</x:row>
    <x:row r="286" ht="22" customHeight="1">
      <x:c r="A286" s="30"/>
      <x:c r="B286" s="30"/>
      <x:c r="C286" s="30"/>
      <x:c r="D286" s="30"/>
      <x:c r="E286" s="30"/>
      <x:c r="F286" s="30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</x:row>
    <x:row r="287" ht="22" customHeight="1">
      <x:c r="A287" s="30"/>
      <x:c r="B287" s="30"/>
      <x:c r="C287" s="30"/>
      <x:c r="D287" s="30"/>
      <x:c r="E287" s="30"/>
      <x:c r="F287" s="30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</x:row>
    <x:row r="288" ht="22" customHeight="1">
      <x:c r="A288" s="30"/>
      <x:c r="B288" s="30"/>
      <x:c r="C288" s="30"/>
      <x:c r="D288" s="30"/>
      <x:c r="E288" s="30"/>
      <x:c r="F288" s="30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</x:row>
    <x:row r="289" ht="22" customHeight="1">
      <x:c r="A289" s="30"/>
      <x:c r="B289" s="30"/>
      <x:c r="C289" s="30"/>
      <x:c r="D289" s="30"/>
      <x:c r="E289" s="30"/>
      <x:c r="F289" s="30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</x:row>
    <x:row r="290" ht="22" customHeight="1">
      <x:c r="A290" s="30"/>
      <x:c r="B290" s="30"/>
      <x:c r="C290" s="30"/>
      <x:c r="D290" s="30"/>
      <x:c r="E290" s="30"/>
      <x:c r="F290" s="30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</x:row>
    <x:row r="291" ht="22" customHeight="1">
      <x:c r="A291" s="30"/>
      <x:c r="B291" s="30"/>
      <x:c r="C291" s="30"/>
      <x:c r="D291" s="30"/>
      <x:c r="E291" s="30"/>
      <x:c r="F291" s="30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</x:row>
    <x:row r="292" ht="22" customHeight="1">
      <x:c r="A292" s="30"/>
      <x:c r="B292" s="30"/>
      <x:c r="C292" s="30"/>
      <x:c r="D292" s="30"/>
      <x:c r="E292" s="30"/>
      <x:c r="F292" s="30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</x:row>
    <x:row r="293" ht="22" customHeight="1">
      <x:c r="A293" s="30"/>
      <x:c r="B293" s="30"/>
      <x:c r="C293" s="30"/>
      <x:c r="D293" s="30"/>
      <x:c r="E293" s="30"/>
      <x:c r="F293" s="30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</x:row>
    <x:row r="294" ht="22" customHeight="1">
      <x:c r="A294" s="30"/>
      <x:c r="B294" s="30"/>
      <x:c r="C294" s="30"/>
      <x:c r="D294" s="30"/>
      <x:c r="E294" s="30"/>
      <x:c r="F294" s="30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</x:row>
    <x:row r="295" ht="22" customHeight="1">
      <x:c r="A295" s="30"/>
      <x:c r="B295" s="30"/>
      <x:c r="C295" s="30"/>
      <x:c r="D295" s="30"/>
      <x:c r="E295" s="30"/>
      <x:c r="F295" s="30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</x:row>
    <x:row r="296" ht="22" customHeight="1">
      <x:c r="A296" s="30"/>
      <x:c r="B296" s="30"/>
      <x:c r="C296" s="30"/>
      <x:c r="D296" s="30"/>
      <x:c r="E296" s="30"/>
      <x:c r="F296" s="30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</x:row>
    <x:row r="297" ht="22" customHeight="1">
      <x:c r="A297" s="30"/>
      <x:c r="B297" s="30"/>
      <x:c r="C297" s="30"/>
      <x:c r="D297" s="30"/>
      <x:c r="E297" s="30"/>
      <x:c r="F297" s="30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</x:row>
    <x:row r="298" ht="22" customHeight="1">
      <x:c r="A298" s="30"/>
      <x:c r="B298" s="30"/>
      <x:c r="C298" s="30"/>
      <x:c r="D298" s="30"/>
      <x:c r="E298" s="30"/>
      <x:c r="F298" s="30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</x:row>
    <x:row r="299" ht="22" customHeight="1">
      <x:c r="A299" s="30"/>
      <x:c r="B299" s="30"/>
      <x:c r="C299" s="30"/>
      <x:c r="D299" s="30"/>
      <x:c r="E299" s="30"/>
      <x:c r="F299" s="30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</x:row>
    <x:row r="300" ht="22" customHeight="1">
      <x:c r="A300" s="30"/>
      <x:c r="B300" s="30"/>
      <x:c r="C300" s="30"/>
      <x:c r="D300" s="30"/>
      <x:c r="E300" s="30"/>
      <x:c r="F300" s="30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</x:row>
    <x:row r="301" ht="22" customHeight="1">
      <x:c r="A301" s="30"/>
      <x:c r="B301" s="30"/>
      <x:c r="C301" s="30"/>
      <x:c r="D301" s="30"/>
      <x:c r="E301" s="30"/>
      <x:c r="F301" s="30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</x:row>
    <x:row r="302" ht="22" customHeight="1">
      <x:c r="A302" s="30"/>
      <x:c r="B302" s="30"/>
      <x:c r="C302" s="30"/>
      <x:c r="D302" s="30"/>
      <x:c r="E302" s="30"/>
      <x:c r="F302" s="30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</x:row>
    <x:row r="303" ht="22" customHeight="1">
      <x:c r="A303" s="30"/>
      <x:c r="B303" s="30"/>
      <x:c r="C303" s="30"/>
      <x:c r="D303" s="30"/>
      <x:c r="E303" s="30"/>
      <x:c r="F303" s="30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</x:row>
    <x:row r="304" ht="22" customHeight="1">
      <x:c r="A304" s="30"/>
      <x:c r="B304" s="30"/>
      <x:c r="C304" s="30"/>
      <x:c r="D304" s="30"/>
      <x:c r="E304" s="30"/>
      <x:c r="F304" s="30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</x:row>
    <x:row r="305" ht="22" customHeight="1">
      <x:c r="A305" s="30"/>
      <x:c r="B305" s="30"/>
      <x:c r="C305" s="30"/>
      <x:c r="D305" s="30"/>
      <x:c r="E305" s="30"/>
      <x:c r="F305" s="30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</x:row>
    <x:row r="306" ht="22" customHeight="1">
      <x:c r="A306" s="30"/>
      <x:c r="B306" s="30"/>
      <x:c r="C306" s="30"/>
      <x:c r="D306" s="30"/>
      <x:c r="E306" s="30"/>
      <x:c r="F306" s="30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</x:row>
    <x:row r="307" ht="22" customHeight="1">
      <x:c r="A307" s="30"/>
      <x:c r="B307" s="30"/>
      <x:c r="C307" s="30"/>
      <x:c r="D307" s="30"/>
      <x:c r="E307" s="30"/>
      <x:c r="F307" s="30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</x:row>
    <x:row r="308" ht="22" customHeight="1">
      <x:c r="A308" s="30"/>
      <x:c r="B308" s="30"/>
      <x:c r="C308" s="30"/>
      <x:c r="D308" s="30"/>
      <x:c r="E308" s="30"/>
      <x:c r="F308" s="30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</x:row>
    <x:row r="309" ht="22" customHeight="1">
      <x:c r="A309" s="30"/>
      <x:c r="B309" s="30"/>
      <x:c r="C309" s="30"/>
      <x:c r="D309" s="30"/>
      <x:c r="E309" s="30"/>
      <x:c r="F309" s="30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</x:row>
    <x:row r="310" ht="22" customHeight="1">
      <x:c r="A310" s="30"/>
      <x:c r="B310" s="30"/>
      <x:c r="C310" s="30"/>
      <x:c r="D310" s="30"/>
      <x:c r="E310" s="30"/>
      <x:c r="F310" s="30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</x:row>
    <x:row r="311" ht="22" customHeight="1">
      <x:c r="A311" s="30"/>
      <x:c r="B311" s="30"/>
      <x:c r="C311" s="30"/>
      <x:c r="D311" s="30"/>
      <x:c r="E311" s="30"/>
      <x:c r="F311" s="30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</x:row>
    <x:row r="312" ht="22" customHeight="1">
      <x:c r="A312" s="30"/>
      <x:c r="B312" s="30"/>
      <x:c r="C312" s="30"/>
      <x:c r="D312" s="30"/>
      <x:c r="E312" s="30"/>
      <x:c r="F312" s="30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</x:row>
    <x:row r="313" ht="22" customHeight="1">
      <x:c r="A313" s="30"/>
      <x:c r="B313" s="30"/>
      <x:c r="C313" s="30"/>
      <x:c r="D313" s="30"/>
      <x:c r="E313" s="30"/>
      <x:c r="F313" s="30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</x:row>
    <x:row r="314" ht="22" customHeight="1">
      <x:c r="A314" s="30"/>
      <x:c r="B314" s="30"/>
      <x:c r="C314" s="30"/>
      <x:c r="D314" s="30"/>
      <x:c r="E314" s="30"/>
      <x:c r="F314" s="30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</x:row>
    <x:row r="315" ht="22" customHeight="1">
      <x:c r="A315" s="30"/>
      <x:c r="B315" s="30"/>
      <x:c r="C315" s="30"/>
      <x:c r="D315" s="30"/>
      <x:c r="E315" s="30"/>
      <x:c r="F315" s="30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</x:row>
    <x:row r="316" ht="22" customHeight="1">
      <x:c r="A316" s="30"/>
      <x:c r="B316" s="30"/>
      <x:c r="C316" s="30"/>
      <x:c r="D316" s="30"/>
      <x:c r="E316" s="30"/>
      <x:c r="F316" s="30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</x:row>
    <x:row r="317" ht="22" customHeight="1">
      <x:c r="A317" s="30"/>
      <x:c r="B317" s="30"/>
      <x:c r="C317" s="30"/>
      <x:c r="D317" s="30"/>
      <x:c r="E317" s="30"/>
      <x:c r="F317" s="30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</x:row>
    <x:row r="318" ht="22" customHeight="1">
      <x:c r="A318" s="30"/>
      <x:c r="B318" s="30"/>
      <x:c r="C318" s="30"/>
      <x:c r="D318" s="30"/>
      <x:c r="E318" s="30"/>
      <x:c r="F318" s="30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</x:row>
    <x:row r="319" ht="22" customHeight="1">
      <x:c r="A319" s="30"/>
      <x:c r="B319" s="30"/>
      <x:c r="C319" s="30"/>
      <x:c r="D319" s="30"/>
      <x:c r="E319" s="30"/>
      <x:c r="F319" s="30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</x:row>
    <x:row r="320" ht="22" customHeight="1">
      <x:c r="A320" s="30"/>
      <x:c r="B320" s="30"/>
      <x:c r="C320" s="30"/>
      <x:c r="D320" s="30"/>
      <x:c r="E320" s="30"/>
      <x:c r="F320" s="30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</x:row>
    <x:row r="321" ht="22" customHeight="1">
      <x:c r="A321" s="30"/>
      <x:c r="B321" s="30"/>
      <x:c r="C321" s="30"/>
      <x:c r="D321" s="30"/>
      <x:c r="E321" s="30"/>
      <x:c r="F321" s="30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</x:row>
    <x:row r="322" ht="22" customHeight="1">
      <x:c r="A322" s="30"/>
      <x:c r="B322" s="30"/>
      <x:c r="C322" s="30"/>
      <x:c r="D322" s="30"/>
      <x:c r="E322" s="30"/>
      <x:c r="F322" s="30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</x:row>
    <x:row r="323" ht="22" customHeight="1">
      <x:c r="A323" s="30"/>
      <x:c r="B323" s="30"/>
      <x:c r="C323" s="30"/>
      <x:c r="D323" s="30"/>
      <x:c r="E323" s="30"/>
      <x:c r="F323" s="30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</x:row>
    <x:row r="324" ht="22" customHeight="1">
      <x:c r="A324" s="30"/>
      <x:c r="B324" s="30"/>
      <x:c r="C324" s="30"/>
      <x:c r="D324" s="30"/>
      <x:c r="E324" s="30"/>
      <x:c r="F324" s="30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</x:row>
    <x:row r="325" ht="22" customHeight="1">
      <x:c r="A325" s="30"/>
      <x:c r="B325" s="30"/>
      <x:c r="C325" s="30"/>
      <x:c r="D325" s="30"/>
      <x:c r="E325" s="30"/>
      <x:c r="F325" s="30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</x:row>
    <x:row r="326" ht="22" customHeight="1">
      <x:c r="A326" s="30"/>
      <x:c r="B326" s="30"/>
      <x:c r="C326" s="30"/>
      <x:c r="D326" s="30"/>
      <x:c r="E326" s="30"/>
      <x:c r="F326" s="30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</x:row>
    <x:row r="327" ht="22" customHeight="1">
      <x:c r="A327" s="30"/>
      <x:c r="B327" s="30"/>
      <x:c r="C327" s="30"/>
      <x:c r="D327" s="30"/>
      <x:c r="E327" s="30"/>
      <x:c r="F327" s="30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</x:row>
    <x:row r="328" ht="22" customHeight="1">
      <x:c r="A328" s="30"/>
      <x:c r="B328" s="30"/>
      <x:c r="C328" s="30"/>
      <x:c r="D328" s="30"/>
      <x:c r="E328" s="30"/>
      <x:c r="F328" s="30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</x:row>
    <x:row r="329" ht="22" customHeight="1">
      <x:c r="A329" s="30"/>
      <x:c r="B329" s="30"/>
      <x:c r="C329" s="30"/>
      <x:c r="D329" s="30"/>
      <x:c r="E329" s="30"/>
      <x:c r="F329" s="30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</x:row>
  </x:sheetData>
  <x:conditionalFormatting sqref="O30:O53">
    <x:cfRule type="containsText" dxfId="2" priority="1" operator="containsText" text="输入无效"/>
    <x:cfRule type="containsText" dxfId="3" priority="2" operator="containsText" text="KV 超载"/>
    <x:cfRule type="containsText" dxfId="4" priority="3" operator="containsText" text="TPOT 不自洽"/>
    <x:cfRule type="containsText" dxfId="5" priority="4" operator="containsText" text="需时序仿真"/>
  </x:conditionalFormatting>
  <x:dataValidations count="1">
    <x:dataValidation type="list" sqref="N9">
      <x:formula1>"32,64,128"</x:formula1>
    </x:dataValidation>
  </x:dataValidations>
  <x:pageMargins left="0.7" right="0.7" top="0.75" bottom="0.75" header="0.3" footer="0.3"/>
</x:worksheet>
</file>