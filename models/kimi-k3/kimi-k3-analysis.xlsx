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32a237d1146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89bce39f71bf4098"/>
    <x:sheet xmlns:r="http://schemas.openxmlformats.org/officeDocument/2006/relationships" name="Decode" sheetId="2" r:id="R7eb98dc02dcc49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255a5a8c164612" /><Relationship Type="http://schemas.openxmlformats.org/officeDocument/2006/relationships/theme" Target="/xl/theme/theme1.xml" Id="R65f554e736f9448b" /><Relationship Type="http://schemas.openxmlformats.org/officeDocument/2006/relationships/sharedStrings" Target="/xl/sharedStrings.xml" Id="R39e7e396de874332" /><Relationship Type="http://schemas.openxmlformats.org/officeDocument/2006/relationships/worksheet" Target="/xl/worksheets/sheet1.xml" Id="R89bce39f71bf4098" /><Relationship Type="http://schemas.openxmlformats.org/officeDocument/2006/relationships/worksheet" Target="/xl/worksheets/sheet2.xml" Id="R7eb98dc02dcc49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/>
      <x:c r="P16" s="35"/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'Prefill'!$P$14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'Prefill'!$P$14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'Prefill'!$P$14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'Prefill'!$P$14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IF('Prefill'!$P$17="TP",'Prefill'!$P$18,1)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'Prefill'!$P$12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'Prefill'!$P$12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'Prefill'!$P$12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'Prefill'!$P$12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'Prefill'!$P$12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'Prefill'!$P$12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'Prefill'!$P$12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'Prefill'!$P$12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'Prefill'!$P$12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IF('Prefill'!$P$19&gt;0,'Prefill'!$P$19,'Prefill'!$P$12)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'Prefill'!$P$12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'Prefill'!$P$12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'Prefill'!$P$7*7168</x:f>
        <x:v>58720256</x:v>
      </x:c>
      <x:c r="F65" s="33" t="n">
        <x:f>'Prefill'!$P$28</x:f>
        <x:v>2</x:v>
      </x:c>
      <x:c r="G65" s="33" t="n">
        <x:f>IF('Prefill'!$P$21&gt;0,'Prefill'!$P$21,'Prefill'!$P$12)</x:f>
        <x:v>8</x:v>
      </x:c>
      <x:c r="H65" s="33" t="n">
        <x:f>IF(AND(IF('Prefill'!$P$21&gt;0,'Prefill'!$P$21,'Prefill'!$P$12)&gt;1,'Prefill'!$P$24=0),1,0)</x:f>
        <x:v>1</x:v>
      </x:c>
      <x:c r="I65" s="34" t="n">
        <x:f>E65*F65/1048576</x:f>
        <x:v>112</x:v>
      </x:c>
      <x:c r="J65" s="34" t="n">
        <x:f>I65*(IF(G65&gt;1,2*(G65-1)/G65,0))</x:f>
        <x:v>196</x:v>
      </x:c>
      <x:c r="K65" s="34" t="n">
        <x:f>J65*H65</x:f>
        <x:v>196</x:v>
      </x:c>
      <x:c r="L65" s="34" t="n">
        <x:f>K65*G65</x:f>
        <x:v>1568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'Prefill'!$P$7</x:f>
        <x:v>8192</x:v>
      </x:c>
      <x:c r="F66" s="33" t="n">
        <x:f>'Prefill'!$P$30</x:f>
        <x:v>8</x:v>
      </x:c>
      <x:c r="G66" s="33" t="n">
        <x:f>IF('Prefill'!$P$21&gt;0,'Prefill'!$P$21,'Prefill'!$P$12)</x:f>
        <x:v>8</x:v>
      </x:c>
      <x:c r="H66" s="33" t="n">
        <x:f>IF(AND(IF('Prefill'!$P$21&gt;0,'Prefill'!$P$21,'Prefill'!$P$12)&gt;1,'Prefill'!$P$24&lt;&gt;0),1,0)</x:f>
        <x:v>0</x:v>
      </x:c>
      <x:c r="I66" s="34" t="n">
        <x:f>E66*F66/1048576</x:f>
        <x:v>0.0625</x:v>
      </x:c>
      <x:c r="J66" s="34" t="n">
        <x:f>I66*(IF(G66&gt;1,G66-1,0))</x:f>
        <x:v>0.4375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'Prefill'!$P$7*IF('Prefill'!$P$21&gt;0,'Prefill'!$P$21,'Prefill'!$P$12)*7168</x:f>
        <x:v>469762048</x:v>
      </x:c>
      <x:c r="F67" s="33" t="n">
        <x:f>'Prefill'!$P$28</x:f>
        <x:v>2</x:v>
      </x:c>
      <x:c r="G67" s="33" t="n">
        <x:f>IF('Prefill'!$P$21&gt;0,'Prefill'!$P$21,'Prefill'!$P$12)</x:f>
        <x:v>8</x:v>
      </x:c>
      <x:c r="H67" s="33" t="n">
        <x:f>IF(AND(IF('Prefill'!$P$21&gt;0,'Prefill'!$P$21,'Prefill'!$P$12)&gt;1,'Prefill'!$P$24&lt;&gt;0),1,0)</x:f>
        <x:v>0</x:v>
      </x:c>
      <x:c r="I67" s="34" t="n">
        <x:f>E67*F67/1048576</x:f>
        <x:v>896</x:v>
      </x:c>
      <x:c r="J67" s="34" t="n">
        <x:f>I67*(IF(G67&gt;1,(G67-1)/G67,0))</x:f>
        <x:v>784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((ROUNDUP('Prefill'!$P$7/'Prefill'!$P$12,0)*'Prefill'!$P$12)/'Prefill'!$P$12)*7168</x:f>
        <x:v>7340032</x:v>
      </x:c>
      <x:c r="F68" s="33" t="n">
        <x:f>'Prefill'!$P$28</x:f>
        <x:v>2</x:v>
      </x:c>
      <x:c r="G68" s="33" t="n">
        <x:f>'Prefill'!$P$12</x:f>
        <x:v>8</x:v>
      </x:c>
      <x:c r="H68" s="33" t="n">
        <x:f>93*IF(AND('Prefill'!$P$13&lt;&gt;0,'Prefill'!$P$12&gt;1,'Prefill'!$P$22=0),1,0)</x:f>
        <x:v>93</x:v>
      </x:c>
      <x:c r="I68" s="34" t="n">
        <x:f>E68*F68/1048576</x:f>
        <x:v>14</x:v>
      </x:c>
      <x:c r="J68" s="34" t="n">
        <x:f>I68*(IF(G68&gt;1,G68-1,0))</x:f>
        <x:v>98</x:v>
      </x:c>
      <x:c r="K68" s="34" t="n">
        <x:f>J68*H68</x:f>
        <x:v>9114</x:v>
      </x:c>
      <x:c r="L68" s="34" t="n">
        <x:f>K68*G68</x:f>
        <x:v>72912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(ROUNDUP('Prefill'!$P$7/'Prefill'!$P$12,0)*'Prefill'!$P$12)*7168</x:f>
        <x:v>58720256</x:v>
      </x:c>
      <x:c r="F69" s="33" t="n">
        <x:f>'Prefill'!$P$28</x:f>
        <x:v>2</x:v>
      </x:c>
      <x:c r="G69" s="33" t="n">
        <x:f>'Prefill'!$P$12</x:f>
        <x:v>8</x:v>
      </x:c>
      <x:c r="H69" s="33" t="n">
        <x:f>93*IF(AND('Prefill'!$P$13&lt;&gt;0,'Prefill'!$P$12&gt;1,'Prefill'!$P$22=0),1,0)</x:f>
        <x:v>93</x:v>
      </x:c>
      <x:c r="I69" s="34" t="n">
        <x:f>E69*F69/1048576</x:f>
        <x:v>112</x:v>
      </x:c>
      <x:c r="J69" s="34" t="n">
        <x:f>I69*(IF(G69&gt;1,(G69-1)/G69,0))</x:f>
        <x:v>98</x:v>
      </x:c>
      <x:c r="K69" s="34" t="n">
        <x:f>J69*H69</x:f>
        <x:v>9114</x:v>
      </x:c>
      <x:c r="L69" s="34" t="n">
        <x:f>K69*G69</x:f>
        <x:v>72912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'Prefill'!$P$7*7168</x:f>
        <x:v>58720256</x:v>
      </x:c>
      <x:c r="F70" s="33" t="n">
        <x:f>'Prefill'!$P$28</x:f>
        <x:v>2</x:v>
      </x:c>
      <x:c r="G70" s="33" t="n">
        <x:f>IF('Prefill'!$P$19&gt;0,'Prefill'!$P$19,'Prefill'!$P$12)</x:f>
        <x:v>8</x:v>
      </x:c>
      <x:c r="H70" s="33" t="n">
        <x:f>93*IF(AND('Prefill'!$P$13=0,IF('Prefill'!$P$19&gt;0,'Prefill'!$P$19,'Prefill'!$P$12)&gt;1,'Prefill'!$P$22=0),1,0)</x:f>
        <x:v>0</x:v>
      </x:c>
      <x:c r="I70" s="34" t="n">
        <x:f>E70*F70/1048576</x:f>
        <x:v>112</x:v>
      </x:c>
      <x:c r="J70" s="34" t="n">
        <x:f>I70*(IF(G70&gt;1,2*(G70-1)/G70,0))</x:f>
        <x:v>196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'Prefill'!$P$7*12288</x:f>
        <x:v>100663296</x:v>
      </x:c>
      <x:c r="F71" s="33" t="n">
        <x:f>'Prefill'!$P$28</x:f>
        <x:v>2</x:v>
      </x:c>
      <x:c r="G71" s="33" t="n">
        <x:f>IF('Prefill'!$P$19&gt;0,'Prefill'!$P$19,'Prefill'!$P$12)</x:f>
        <x:v>8</x:v>
      </x:c>
      <x:c r="H71" s="33" t="n">
        <x:f>93*IF(AND(IF('Prefill'!$P$19&gt;0,'Prefill'!$P$19,'Prefill'!$P$12)&gt;1,'Prefill'!$P$22&lt;&gt;0),1,0)</x:f>
        <x:v>0</x:v>
      </x:c>
      <x:c r="I71" s="34" t="n">
        <x:f>E71*F71/1048576</x:f>
        <x:v>192</x:v>
      </x:c>
      <x:c r="J71" s="34" t="n">
        <x:f>I71*(IF(G71&gt;1,(G71-1)/G71,0))</x:f>
        <x:v>168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'Prefill'!$P$7*IF('Prefill'!$P$19&gt;0,'Prefill'!$P$19,'Prefill'!$P$12)*7168</x:f>
        <x:v>469762048</x:v>
      </x:c>
      <x:c r="F72" s="33" t="n">
        <x:f>'Prefill'!$P$28</x:f>
        <x:v>2</x:v>
      </x:c>
      <x:c r="G72" s="33" t="n">
        <x:f>IF('Prefill'!$P$19&gt;0,'Prefill'!$P$19,'Prefill'!$P$12)</x:f>
        <x:v>8</x:v>
      </x:c>
      <x:c r="H72" s="33" t="n">
        <x:f>93*IF(AND(IF('Prefill'!$P$19&gt;0,'Prefill'!$P$19,'Prefill'!$P$12)&gt;1,'Prefill'!$P$22&lt;&gt;0),1,0)</x:f>
        <x:v>0</x:v>
      </x:c>
      <x:c r="I72" s="34" t="n">
        <x:f>E72*F72/1048576</x:f>
        <x:v>896</x:v>
      </x:c>
      <x:c r="J72" s="34" t="n">
        <x:f>I72*(IF(G72&gt;1,(G72-1)/G72,0))</x:f>
        <x:v>784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IF('Prefill'!$P$13&lt;&gt;0,((ROUNDUP('Prefill'!$P$7/'Prefill'!$P$12,0)*'Prefill'!$P$12)/'Prefill'!$P$12),'Prefill'!$P$7)*7168</x:f>
        <x:v>7340032</x:v>
      </x:c>
      <x:c r="F73" s="33" t="n">
        <x:f>'Prefill'!$P$28</x:f>
        <x:v>2</x:v>
      </x:c>
      <x:c r="G73" s="33" t="n">
        <x:f>'Prefill'!$P$12</x:f>
        <x:v>8</x:v>
      </x:c>
      <x:c r="H73" s="33" t="n">
        <x:f>1*IF('Prefill'!$P$12&gt;1,1,0)</x:f>
        <x:v>1</x:v>
      </x:c>
      <x:c r="I73" s="34" t="n">
        <x:f>E73*F73/1048576</x:f>
        <x:v>14</x:v>
      </x:c>
      <x:c r="J73" s="34" t="n">
        <x:f>I73*(IF(G73&gt;1,2*(G73-1)/G73,0))</x:f>
        <x:v>24.5</x:v>
      </x:c>
      <x:c r="K73" s="34" t="n">
        <x:f>J73*H73</x:f>
        <x:v>24.5</x:v>
      </x:c>
      <x:c r="L73" s="34" t="n">
        <x:f>K73*G73</x:f>
        <x:v>196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IF('Prefill'!$P$13&lt;&gt;0,((ROUNDUP('Prefill'!$P$7/'Prefill'!$P$12,0)*'Prefill'!$P$12)/'Prefill'!$P$12),'Prefill'!$P$7)*16*'Prefill'!$P$32*7168</x:f>
        <x:v>102760448</x:v>
      </x:c>
      <x:c r="F74" s="33" t="n">
        <x:f>'Prefill'!$P$28</x:f>
        <x:v>2</x:v>
      </x:c>
      <x:c r="G74" s="33" t="n">
        <x:f>'Prefill'!$P$14</x:f>
        <x:v>8</x:v>
      </x:c>
      <x:c r="H74" s="33" t="n">
        <x:f>92*IF('Prefill'!$P$14&gt;1,1,0)</x:f>
        <x:v>92</x:v>
      </x:c>
      <x:c r="I74" s="34" t="n">
        <x:f>E74*F74/1048576</x:f>
        <x:v>196</x:v>
      </x:c>
      <x:c r="J74" s="34" t="n">
        <x:f>I74*(1)</x:f>
        <x:v>196</x:v>
      </x:c>
      <x:c r="K74" s="34" t="n">
        <x:f>J74*H74</x:f>
        <x:v>18032</x:v>
      </x:c>
      <x:c r="L74" s="34" t="n">
        <x:f>K74*G74</x:f>
        <x:v>144256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IF('Prefill'!$P$13&lt;&gt;0,((ROUNDUP('Prefill'!$P$7/'Prefill'!$P$12,0)*'Prefill'!$P$12)/'Prefill'!$P$12),'Prefill'!$P$7)*16*'Prefill'!$P$32*7168</x:f>
        <x:v>102760448</x:v>
      </x:c>
      <x:c r="F75" s="33" t="n">
        <x:f>'Prefill'!$P$28</x:f>
        <x:v>2</x:v>
      </x:c>
      <x:c r="G75" s="33" t="n">
        <x:f>'Prefill'!$P$14</x:f>
        <x:v>8</x:v>
      </x:c>
      <x:c r="H75" s="33" t="n">
        <x:f>92*IF('Prefill'!$P$14&gt;1,1,0)</x:f>
        <x:v>92</x:v>
      </x:c>
      <x:c r="I75" s="34" t="n">
        <x:f>E75*F75/1048576</x:f>
        <x:v>196</x:v>
      </x:c>
      <x:c r="J75" s="34" t="n">
        <x:f>I75*(1)</x:f>
        <x:v>196</x:v>
      </x:c>
      <x:c r="K75" s="34" t="n">
        <x:f>J75*H75</x:f>
        <x:v>18032</x:v>
      </x:c>
      <x:c r="L75" s="34" t="n">
        <x:f>K75*G75</x:f>
        <x:v>144256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'Prefill'!$P$7*7168</x:f>
        <x:v>58720256</x:v>
      </x:c>
      <x:c r="F76" s="33" t="n">
        <x:f>'Prefill'!$P$28</x:f>
        <x:v>2</x:v>
      </x:c>
      <x:c r="G76" s="33" t="n">
        <x:f>'Prefill'!$P$11</x:f>
        <x:v>1</x:v>
      </x:c>
      <x:c r="H76" s="33" t="n">
        <x:f>92*IF(AND('Prefill'!$P$11&gt;1,'Prefill'!$P$14=1),1,0)</x:f>
        <x:v>0</x:v>
      </x:c>
      <x:c r="I76" s="34" t="n">
        <x:f>E76*F76/1048576</x:f>
        <x:v>112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'Prefill'!$P$7*896</x:f>
        <x:v>7340032</x:v>
      </x:c>
      <x:c r="F77" s="33" t="n">
        <x:f>'Prefill'!$P$28</x:f>
        <x:v>2</x:v>
      </x:c>
      <x:c r="G77" s="33" t="n">
        <x:f>'Prefill'!$P$11</x:f>
        <x:v>1</x:v>
      </x:c>
      <x:c r="H77" s="33" t="n">
        <x:f>92*IF(AND('Prefill'!$P$11&gt;1,'Prefill'!$P$14=1),1,0)</x:f>
        <x:v>0</x:v>
      </x:c>
      <x:c r="I77" s="34" t="n">
        <x:f>E77*F77/1048576</x:f>
        <x:v>14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'Prefill'!$P$7*'Prefill'!$P$11*7168</x:f>
        <x:v>58720256</x:v>
      </x:c>
      <x:c r="F78" s="33" t="n">
        <x:f>'Prefill'!$P$28</x:f>
        <x:v>2</x:v>
      </x:c>
      <x:c r="G78" s="33" t="n">
        <x:f>'Prefill'!$P$11</x:f>
        <x:v>1</x:v>
      </x:c>
      <x:c r="H78" s="33" t="n">
        <x:f>92*IF(AND('Prefill'!$P$11&gt;1,'Prefill'!$P$14=1),1,0)</x:f>
        <x:v>0</x:v>
      </x:c>
      <x:c r="I78" s="34" t="n">
        <x:f>E78*F78/1048576</x:f>
        <x:v>112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((ROUNDUP('Prefill'!$P$7/'Prefill'!$P$12,0)*'Prefill'!$P$12)/'Prefill'!$P$12)*7168</x:f>
        <x:v>7340032</x:v>
      </x:c>
      <x:c r="F79" s="33" t="n">
        <x:f>'Prefill'!$P$28</x:f>
        <x:v>2</x:v>
      </x:c>
      <x:c r="G79" s="33" t="n">
        <x:f>IF('Prefill'!$P$17="TP",'Prefill'!$P$18,1)</x:f>
        <x:v>8</x:v>
      </x:c>
      <x:c r="H79" s="33" t="n">
        <x:f>92*IF(AND('Prefill'!$P$17="TP",IF('Prefill'!$P$17="TP",'Prefill'!$P$18,1)&gt;1,'Prefill'!$P$13&lt;&gt;0),1,0)</x:f>
        <x:v>92</x:v>
      </x:c>
      <x:c r="I79" s="34" t="n">
        <x:f>E79*F79/1048576</x:f>
        <x:v>14</x:v>
      </x:c>
      <x:c r="J79" s="34" t="n">
        <x:f>I79*(IF(G79&gt;1,G79-1,0))</x:f>
        <x:v>98</x:v>
      </x:c>
      <x:c r="K79" s="34" t="n">
        <x:f>J79*H79</x:f>
        <x:v>9016</x:v>
      </x:c>
      <x:c r="L79" s="34" t="n">
        <x:f>K79*G79</x:f>
        <x:v>72128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(ROUNDUP('Prefill'!$P$7/'Prefill'!$P$12,0)*'Prefill'!$P$12)*7168</x:f>
        <x:v>58720256</x:v>
      </x:c>
      <x:c r="F80" s="33" t="n">
        <x:f>'Prefill'!$P$28</x:f>
        <x:v>2</x:v>
      </x:c>
      <x:c r="G80" s="33" t="n">
        <x:f>IF('Prefill'!$P$17="TP",'Prefill'!$P$18,1)</x:f>
        <x:v>8</x:v>
      </x:c>
      <x:c r="H80" s="33" t="n">
        <x:f>92*IF(AND('Prefill'!$P$17="TP",IF('Prefill'!$P$17="TP",'Prefill'!$P$18,1)&gt;1,'Prefill'!$P$13&lt;&gt;0),1,0)</x:f>
        <x:v>92</x:v>
      </x:c>
      <x:c r="I80" s="34" t="n">
        <x:f>E80*F80/1048576</x:f>
        <x:v>112</x:v>
      </x:c>
      <x:c r="J80" s="34" t="n">
        <x:f>I80*(IF(G80&gt;1,(G80-1)/G80,0))</x:f>
        <x:v>98</x:v>
      </x:c>
      <x:c r="K80" s="34" t="n">
        <x:f>J80*H80</x:f>
        <x:v>9016</x:v>
      </x:c>
      <x:c r="L80" s="34" t="n">
        <x:f>K80*G80</x:f>
        <x:v>72128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'Prefill'!$P$7*7168</x:f>
        <x:v>58720256</x:v>
      </x:c>
      <x:c r="F81" s="33" t="n">
        <x:f>'Prefill'!$P$28</x:f>
        <x:v>2</x:v>
      </x:c>
      <x:c r="G81" s="33" t="n">
        <x:f>IF('Prefill'!$P$17="TP",'Prefill'!$P$18,1)</x:f>
        <x:v>8</x:v>
      </x:c>
      <x:c r="H81" s="33" t="n">
        <x:f>92*IF(AND('Prefill'!$P$17="TP",IF('Prefill'!$P$17="TP",'Prefill'!$P$18,1)&gt;1,'Prefill'!$P$13=0),1,0)</x:f>
        <x:v>0</x:v>
      </x:c>
      <x:c r="I81" s="34" t="n">
        <x:f>E81*F81/1048576</x:f>
        <x:v>112</x:v>
      </x:c>
      <x:c r="J81" s="34" t="n">
        <x:f>I81*(IF(G81&gt;1,2*(G81-1)/G81,0))</x:f>
        <x:v>196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PCP</x:v>
      </x:c>
      <x:c r="B82" s="30" t="str">
        <x:v>MoE</x:v>
      </x:c>
      <x:c r="C82" s="30" t="str">
        <x:v>Hidden 输入</x:v>
      </x:c>
      <x:c r="D82" s="30" t="str">
        <x:v>Ring AllGather</x:v>
      </x:c>
      <x:c r="E82" s="33" t="n">
        <x:f>((ROUNDUP('Prefill'!$P$7/'Prefill'!$P$15,0)*'Prefill'!$P$15)/'Prefill'!$P$15)*7168</x:f>
        <x:v>58720256</x:v>
      </x:c>
      <x:c r="F82" s="33" t="n">
        <x:f>'Prefill'!$P$28</x:f>
        <x:v>2</x:v>
      </x:c>
      <x:c r="G82" s="33" t="n">
        <x:f>'Prefill'!$P$15</x:f>
        <x:v>1</x:v>
      </x:c>
      <x:c r="H82" s="33" t="n">
        <x:f>92*IF('Prefill'!$P$15&gt;1,1,0)</x:f>
        <x:v>0</x:v>
      </x:c>
      <x:c r="I82" s="34" t="n">
        <x:f>E82*F82/1048576</x:f>
        <x:v>112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PCP</x:v>
      </x:c>
      <x:c r="B83" s="30" t="str">
        <x:v>MoE Router</x:v>
      </x:c>
      <x:c r="C83" s="30" t="str">
        <x:v>Router Logits</x:v>
      </x:c>
      <x:c r="D83" s="30" t="str">
        <x:v>Ring AllGather</x:v>
      </x:c>
      <x:c r="E83" s="33" t="n">
        <x:f>((ROUNDUP('Prefill'!$P$7/'Prefill'!$P$15,0)*'Prefill'!$P$15)/'Prefill'!$P$15)*896</x:f>
        <x:v>7340032</x:v>
      </x:c>
      <x:c r="F83" s="33" t="n">
        <x:f>'Prefill'!$P$28</x:f>
        <x:v>2</x:v>
      </x:c>
      <x:c r="G83" s="33" t="n">
        <x:f>'Prefill'!$P$15</x:f>
        <x:v>1</x:v>
      </x:c>
      <x:c r="H83" s="33" t="n">
        <x:f>92*IF('Prefill'!$P$15&gt;1,1,0)</x:f>
        <x:v>0</x:v>
      </x:c>
      <x:c r="I83" s="34" t="n">
        <x:f>E83*F83/1048576</x:f>
        <x:v>14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PCP</x:v>
      </x:c>
      <x:c r="B84" s="30" t="str">
        <x:v>MoE</x:v>
      </x:c>
      <x:c r="C84" s="30" t="str">
        <x:v>Routed Expert 输出</x:v>
      </x:c>
      <x:c r="D84" s="30" t="str">
        <x:v>Ring ReduceScatter</x:v>
      </x:c>
      <x:c r="E84" s="33" t="n">
        <x:f>(ROUNDUP('Prefill'!$P$7/'Prefill'!$P$15,0)*'Prefill'!$P$15)*7168</x:f>
        <x:v>58720256</x:v>
      </x:c>
      <x:c r="F84" s="33" t="n">
        <x:f>'Prefill'!$P$28</x:f>
        <x:v>2</x:v>
      </x:c>
      <x:c r="G84" s="33" t="n">
        <x:f>'Prefill'!$P$15</x:f>
        <x:v>1</x:v>
      </x:c>
      <x:c r="H84" s="33" t="n">
        <x:f>92*IF('Prefill'!$P$15&gt;1,1,0)</x:f>
        <x:v>0</x:v>
      </x:c>
      <x:c r="I84" s="34" t="n">
        <x:f>E84*F84/1048576</x:f>
        <x:v>112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PCP</x:v>
      </x:c>
      <x:c r="B85" s="30" t="str">
        <x:v>Attention KV</x:v>
      </x:c>
      <x:c r="C85" s="30" t="str">
        <x:v>KV Cache 写入前</x:v>
      </x:c>
      <x:c r="D85" s="30" t="str">
        <x:v>Ring AllGather</x:v>
      </x:c>
      <x:c r="E85" s="33" t="n">
        <x:f>((ROUNDUP('Prefill'!$P$7/'Prefill'!$P$15,0)*'Prefill'!$P$15)/'Prefill'!$P$15)*576</x:f>
        <x:v>4718592</x:v>
      </x:c>
      <x:c r="F85" s="33" t="n">
        <x:f>'Prefill'!$P$28</x:f>
        <x:v>2</x:v>
      </x:c>
      <x:c r="G85" s="33" t="n">
        <x:f>'Prefill'!$P$15</x:f>
        <x:v>1</x:v>
      </x:c>
      <x:c r="H85" s="33" t="n">
        <x:f>93*IF('Prefill'!$P$15&gt;1,1,0)</x:f>
        <x:v>0</x:v>
      </x:c>
      <x:c r="I85" s="34" t="n">
        <x:f>E85*F85/1048576</x:f>
        <x:v>9</x:v>
      </x:c>
      <x:c r="J85" s="34" t="n">
        <x:f>I85*(IF(G85&gt;1,G85-1,0))</x:f>
        <x:v>0</x:v>
      </x:c>
      <x:c r="K85" s="34" t="n">
        <x:f>J85*H85</x:f>
        <x:v>0</x:v>
      </x:c>
      <x:c r="L85" s="34" t="n">
        <x:f>K85*G85</x:f>
        <x:v>0</x:v>
      </x:c>
      <x:c r="M85" s="30"/>
      <x:c r="N85" s="30"/>
      <x:c r="O85" s="30"/>
      <x:c r="P85" s="30"/>
    </x:row>
    <x:row r="86">
      <x:c r="A86" s="30" t="str">
        <x:v>SP</x:v>
      </x:c>
      <x:c r="B86" s="30" t="str">
        <x:v>Model Output</x:v>
      </x:c>
      <x:c r="C86" s="30" t="str">
        <x:v>Final Norm 后</x:v>
      </x:c>
      <x:c r="D86" s="30" t="str">
        <x:v>Ring AllGather</x:v>
      </x:c>
      <x:c r="E86" s="33" t="n">
        <x:f>((ROUNDUP('Prefill'!$P$7/'Prefill'!$P$12,0)*'Prefill'!$P$12)/'Prefill'!$P$12)*7168</x:f>
        <x:v>7340032</x:v>
      </x:c>
      <x:c r="F86" s="33" t="n">
        <x:f>'Prefill'!$P$28</x:f>
        <x:v>2</x:v>
      </x:c>
      <x:c r="G86" s="33" t="n">
        <x:f>'Prefill'!$P$12</x:f>
        <x:v>8</x:v>
      </x:c>
      <x:c r="H86" s="33" t="n">
        <x:f>IF(AND('Prefill'!$P$13&lt;&gt;0,'Prefill'!$P$12&gt;1),1,0)</x:f>
        <x:v>1</x:v>
      </x:c>
      <x:c r="I86" s="34" t="n">
        <x:f>E86*F86/1048576</x:f>
        <x:v>14</x:v>
      </x:c>
      <x:c r="J86" s="34" t="n">
        <x:f>I86*(IF(G86&gt;1,G86-1,0))</x:f>
        <x:v>98</x:v>
      </x:c>
      <x:c r="K86" s="34" t="n">
        <x:f>J86*H86</x:f>
        <x:v>98</x:v>
      </x:c>
      <x:c r="L86" s="34" t="n">
        <x:f>K86*G86</x:f>
        <x:v>784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完整 Logits</x:v>
      </x:c>
      <x:c r="D87" s="30" t="str">
        <x:v>Ring AllGather</x:v>
      </x:c>
      <x:c r="E87" s="33" t="n">
        <x:f>'Prefill'!$P$8*163840/IF('Prefill'!$P$20&gt;0,'Prefill'!$P$20,'Prefill'!$P$12)</x:f>
        <x:v>2621440</x:v>
      </x:c>
      <x:c r="F87" s="33" t="n">
        <x:f>'Prefill'!$P$28</x:f>
        <x:v>2</x:v>
      </x:c>
      <x:c r="G87" s="33" t="n">
        <x:f>IF('Prefill'!$P$20&gt;0,'Prefill'!$P$20,'Prefill'!$P$12)</x:f>
        <x:v>8</x:v>
      </x:c>
      <x:c r="H87" s="33" t="n">
        <x:f>IF(AND(IF('Prefill'!$P$20&gt;0,'Prefill'!$P$20,'Prefill'!$P$12)&gt;1,'Prefill'!$P$23=0,'Prefill'!$P$33=0),1,0)</x:f>
        <x:v>0</x:v>
      </x:c>
      <x:c r="I87" s="34" t="n">
        <x:f>E87*F87/1048576</x:f>
        <x:v>5</x:v>
      </x:c>
      <x:c r="J87" s="34" t="n">
        <x:f>I87*(IF(G87&gt;1,G87-1,0))</x:f>
        <x:v>35</x:v>
      </x:c>
      <x:c r="K87" s="34" t="n">
        <x:f>J87*H87</x:f>
        <x:v>0</x:v>
      </x:c>
      <x:c r="L87" s="34" t="n">
        <x:f>K87*G87</x:f>
        <x:v>0</x:v>
      </x:c>
      <x:c r="M87" s="30"/>
      <x:c r="N87" s="30"/>
      <x:c r="O87" s="30"/>
      <x:c r="P87" s="30"/>
    </x:row>
    <x:row r="88">
      <x:c r="A88" s="30" t="str">
        <x:v>LM Head TP</x:v>
      </x:c>
      <x:c r="B88" s="30" t="str">
        <x:v>LM Head</x:v>
      </x:c>
      <x:c r="C88" s="30" t="str">
        <x:v>Reduce Sample</x:v>
      </x:c>
      <x:c r="D88" s="30" t="str">
        <x:v>Ring AllGather</x:v>
      </x:c>
      <x:c r="E88" s="33" t="n">
        <x:f>'Prefill'!$P$8*'Prefill'!$P$34</x:f>
        <x:v>32768</x:v>
      </x:c>
      <x:c r="F88" s="33" t="n">
        <x:f>('Prefill'!$P$28+'Prefill'!$P$31)</x:f>
        <x:v>6</x:v>
      </x:c>
      <x:c r="G88" s="33" t="n">
        <x:f>IF('Prefill'!$P$20&gt;0,'Prefill'!$P$20,'Prefill'!$P$12)</x:f>
        <x:v>8</x:v>
      </x:c>
      <x:c r="H88" s="33" t="n">
        <x:f>IF(AND(IF('Prefill'!$P$20&gt;0,'Prefill'!$P$20,'Prefill'!$P$12)&gt;1,'Prefill'!$P$23=0,'Prefill'!$P$33&lt;&gt;0),1,0)</x:f>
        <x:v>1</x:v>
      </x:c>
      <x:c r="I88" s="34" t="n">
        <x:f>E88*F88/1048576</x:f>
        <x:v>0.1875</x:v>
      </x:c>
      <x:c r="J88" s="34" t="n">
        <x:f>I88*(IF(G88&gt;1,G88-1,0))</x:f>
        <x:v>1.3125</x:v>
      </x:c>
      <x:c r="K88" s="34" t="n">
        <x:f>J88*H88</x:f>
        <x:v>1.3125</x:v>
      </x:c>
      <x:c r="L88" s="34" t="n">
        <x:f>K88*G88</x:f>
        <x:v>10.5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Hidden 输入</x:v>
      </x:c>
      <x:c r="D89" s="30" t="str">
        <x:v>Ring AllGather</x:v>
      </x:c>
      <x:c r="E89" s="33" t="n">
        <x:f>'Prefill'!$P$8*7168</x:f>
        <x:v>917504</x:v>
      </x:c>
      <x:c r="F89" s="33" t="n">
        <x:f>'Prefill'!$P$28</x:f>
        <x:v>2</x:v>
      </x:c>
      <x:c r="G89" s="33" t="n">
        <x:f>IF('Prefill'!$P$20&gt;0,'Prefill'!$P$20,'Prefill'!$P$12)</x:f>
        <x:v>8</x:v>
      </x:c>
      <x:c r="H89" s="33" t="n">
        <x:f>IF(AND(IF('Prefill'!$P$20&gt;0,'Prefill'!$P$20,'Prefill'!$P$12)&gt;1,'Prefill'!$P$23&lt;&gt;0),1,0)</x:f>
        <x:v>0</x:v>
      </x:c>
      <x:c r="I89" s="34" t="n">
        <x:f>E89*F89/1048576</x:f>
        <x:v>1.75</x:v>
      </x:c>
      <x:c r="J89" s="34" t="n">
        <x:f>I89*(IF(G89&gt;1,G89-1,0))</x:f>
        <x:v>12.25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完整 Logits</x:v>
      </x:c>
      <x:c r="D90" s="30" t="str">
        <x:v>Equal-split AllToAll</x:v>
      </x:c>
      <x:c r="E90" s="33" t="n">
        <x:f>'Prefill'!$P$8*163840</x:f>
        <x:v>20971520</x:v>
      </x:c>
      <x:c r="F90" s="33" t="n">
        <x:f>'Prefill'!$P$28</x:f>
        <x:v>2</x:v>
      </x:c>
      <x:c r="G90" s="33" t="n">
        <x:f>IF('Prefill'!$P$20&gt;0,'Prefill'!$P$20,'Prefill'!$P$12)</x:f>
        <x:v>8</x:v>
      </x:c>
      <x:c r="H90" s="33" t="n">
        <x:f>IF(AND(IF('Prefill'!$P$20&gt;0,'Prefill'!$P$20,'Prefill'!$P$12)&gt;1,'Prefill'!$P$23&lt;&gt;0,'Prefill'!$P$33=0),1,0)</x:f>
        <x:v>0</x:v>
      </x:c>
      <x:c r="I90" s="34" t="n">
        <x:f>E90*F90/1048576</x:f>
        <x:v>40</x:v>
      </x:c>
      <x:c r="J90" s="34" t="n">
        <x:f>I90*(IF(G90&gt;1,(G90-1)/G90,0))</x:f>
        <x:v>35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30" t="str">
        <x:v>Fine LM Head TP</x:v>
      </x:c>
      <x:c r="B91" s="30" t="str">
        <x:v>LM Head</x:v>
      </x:c>
      <x:c r="C91" s="30" t="str">
        <x:v>Reduce Sample</x:v>
      </x:c>
      <x:c r="D91" s="30" t="str">
        <x:v>Ring AllGather</x:v>
      </x:c>
      <x:c r="E91" s="33" t="n">
        <x:f>'Prefill'!$P$8*'Prefill'!$P$34</x:f>
        <x:v>32768</x:v>
      </x:c>
      <x:c r="F91" s="33" t="n">
        <x:f>('Prefill'!$P$28+'Prefill'!$P$31)</x:f>
        <x:v>6</x:v>
      </x:c>
      <x:c r="G91" s="33" t="n">
        <x:f>IF('Prefill'!$P$20&gt;0,'Prefill'!$P$20,'Prefill'!$P$12)</x:f>
        <x:v>8</x:v>
      </x:c>
      <x:c r="H91" s="33" t="n">
        <x:f>IF(AND(IF('Prefill'!$P$20&gt;0,'Prefill'!$P$20,'Prefill'!$P$12)&gt;1,'Prefill'!$P$23&lt;&gt;0,'Prefill'!$P$33&lt;&gt;0),1,0)</x:f>
        <x:v>0</x:v>
      </x:c>
      <x:c r="I91" s="34" t="n">
        <x:f>E91*F91/1048576</x:f>
        <x:v>0.1875</x:v>
      </x:c>
      <x:c r="J91" s="34" t="n">
        <x:f>I91*(IF(G91&gt;1,G91-1,0))</x:f>
        <x:v>1.3125</x:v>
      </x:c>
      <x:c r="K91" s="34" t="n">
        <x:f>J91*H91</x:f>
        <x:v>0</x:v>
      </x:c>
      <x:c r="L91" s="34" t="n">
        <x:f>K91*G91</x:f>
        <x:v>0</x:v>
      </x:c>
      <x:c r="M91" s="30"/>
      <x:c r="N91" s="30"/>
      <x:c r="O91" s="30"/>
      <x:c r="P91" s="30"/>
    </x:row>
    <x:row r="92">
      <x:c r="A92" s="40" t="str">
        <x:v>合计</x:v>
      </x:c>
      <x:c r="B92" s="40"/>
      <x:c r="C92" s="40"/>
      <x:c r="D92" s="40"/>
      <x:c r="E92" s="40"/>
      <x:c r="F92" s="40"/>
      <x:c r="G92" s="40"/>
      <x:c r="H92" s="40"/>
      <x:c r="I92" s="41"/>
      <x:c r="J92" s="41"/>
      <x:c r="K92" s="41" t="n">
        <x:f>SUM(K65:K91)</x:f>
        <x:v>72643.8125</x:v>
      </x:c>
      <x:c r="L92" s="41" t="n">
        <x:f>SUM(L65:L91)</x:f>
        <x:v>581150.5</x:v>
      </x:c>
      <x:c r="M92" s="30"/>
      <x:c r="N92" s="30"/>
      <x:c r="O92" s="30"/>
      <x:c r="P92" s="30"/>
    </x:row>
    <x:row r="95" ht="23" customHeight="1">
      <x:c r="A95" s="42" t="str">
        <x:v>PD 带宽争用耗时评估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23" customHeight="1">
      <x:c r="A96" s="30" t="str">
        <x:v>Prefill 当前表参数；100 GB/s 为归一化示例。所列事件的带宽项，不等于完整 forward 耗时。</x:v>
      </x:c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</x:row>
    <x:row r="97" ht="38" customHeight="1">
      <x:c r="A97" s="45" t="str">
        <x:v>带宽降幅</x:v>
      </x:c>
      <x:c r="B97" s="45" t="str">
        <x:v>输入</x:v>
      </x:c>
      <x:c r="C97" s="45" t="str">
        <x:v>争用覆盖率</x:v>
      </x:c>
      <x:c r="D97" s="45" t="str">
        <x:v>输入</x:v>
      </x:c>
      <x:c r="E97" s="45" t="str">
        <x:v>基线 forward ms</x:v>
      </x:c>
      <x:c r="F97" s="45" t="str">
        <x:v>实测输入</x:v>
      </x:c>
      <x:c r="G97" s="45" t="str">
        <x:v>默认带宽 GB/s</x:v>
      </x:c>
      <x:c r="H97" s="45" t="str">
        <x:v>输入</x:v>
      </x:c>
      <x:c r="I97" s="30"/>
      <x:c r="J97" s="30"/>
      <x:c r="K97" s="30"/>
      <x:c r="L97" s="30"/>
    </x:row>
    <x:row r="98" ht="23" customHeight="1">
      <x:c r="A98" s="30"/>
      <x:c r="B98" s="47" t="n">
        <x:v>0.1</x:v>
      </x:c>
      <x:c r="C98" s="30"/>
      <x:c r="D98" s="47" t="n">
        <x:v>1</x:v>
      </x:c>
      <x:c r="E98" s="30"/>
      <x:c r="F98" s="48"/>
      <x:c r="G98" s="30"/>
      <x:c r="H98" s="48" t="n">
        <x:v>100</x:v>
      </x:c>
      <x:c r="I98" s="30"/>
      <x:c r="J98" s="30"/>
      <x:c r="K98" s="30"/>
      <x:c r="L98" s="30"/>
    </x:row>
    <x:row r="99" ht="38" customHeight="1">
      <x:c r="A99" s="45" t="str">
        <x:v>通信基线 ms</x:v>
      </x:c>
      <x:c r="B99" s="45" t="str">
        <x:v>结果</x:v>
      </x:c>
      <x:c r="C99" s="45" t="str">
        <x:v>通信争用后 ms</x:v>
      </x:c>
      <x:c r="D99" s="45" t="str">
        <x:v>结果</x:v>
      </x:c>
      <x:c r="E99" s="45" t="str">
        <x:v>forward 增量 ms</x:v>
      </x:c>
      <x:c r="F99" s="45" t="str">
        <x:v>结果</x:v>
      </x:c>
      <x:c r="G99" s="45" t="str">
        <x:v>forward 新耗时 ms</x:v>
      </x:c>
      <x:c r="H99" s="45" t="str">
        <x:v>结果</x:v>
      </x:c>
      <x:c r="I99" s="45" t="str">
        <x:v>forward 增幅</x:v>
      </x:c>
      <x:c r="J99" s="45" t="str">
        <x:v>结果</x:v>
      </x:c>
      <x:c r="K99" s="45" t="str">
        <x:v>输入状态</x:v>
      </x:c>
      <x:c r="L99" s="45" t="str">
        <x:v>状态</x:v>
      </x:c>
    </x:row>
    <x:row r="100" ht="23" customHeight="1">
      <x:c r="A100" s="49"/>
      <x:c r="B100" s="49" t="n">
        <x:f>SUM(G104:G131)</x:f>
        <x:v>761.74866432</x:v>
      </x:c>
      <x:c r="C100" s="49"/>
      <x:c r="D100" s="49" t="n">
        <x:f>SUM(H104:H131)</x:f>
        <x:v>846.3874048</x:v>
      </x:c>
      <x:c r="E100" s="49"/>
      <x:c r="F100" s="49" t="n">
        <x:f>SUM(K104:K131)</x:f>
        <x:v>84.63874048000001</x:v>
      </x:c>
      <x:c r="G100" s="49"/>
      <x:c r="H100" s="49" t="str">
        <x:f>IF(AND(ISNUMBER($F$98),$F$98&gt;0,$F$98&gt;=SUMPRODUCT(G104:G131,J104:J131)),$F$98+F100,"")</x:f>
      </x:c>
      <x:c r="I100" s="49"/>
      <x:c r="J100" s="50" t="str">
        <x:f>IF(AND(ISNUMBER($F$98),$F$98&gt;0,$F$98&gt;=SUMPRODUCT(G104:G131,J104:J131)),F100/$F$98,"")</x:f>
      </x:c>
      <x:c r="K100" s="49"/>
      <x:c r="L100" s="49" t="str">
        <x:f>IF($F$98="","待填基线",IF(AND(ISNUMBER($F$98),$F$98&gt;0,$F$98&gt;=SUMPRODUCT(G104:G131,J104:J131)),"已填基线","基线/暴露不一致"))</x:f>
        <x:v>待填基线</x:v>
      </x:c>
    </x:row>
    <x:row r="101" ht="23" customHeight="1">
      <x:c r="A101" s="30" t="str">
        <x:v>共享比例=0 表示独立链路；暴露系数=0 表示增量完全隐藏。默认均为 1，降幅只作用于带宽项。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23" customHeight="1">
      <x:c r="A102" s="30" t="str">
        <x:v>P: AllToAllV + 4 B 计数 Ring；D: A3 BF16 MC2 FullMesh。每事件带宽按端点发送量定义。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</x:row>
    <x:row r="103" ht="38" customHeight="1">
      <x:c r="A103" s="45" t="str">
        <x:v>并行域</x:v>
      </x:c>
      <x:c r="B103" s="45" t="str">
        <x:v>模块</x:v>
      </x:c>
      <x:c r="C103" s="45" t="str">
        <x:v>通信事件</x:v>
      </x:c>
      <x:c r="D103" s="45" t="str">
        <x:v>GB/Rank/Step</x:v>
      </x:c>
      <x:c r="E103" s="45" t="str">
        <x:v>有效带宽 GB/s</x:v>
      </x:c>
      <x:c r="F103" s="45" t="str">
        <x:v>共享比例</x:v>
      </x:c>
      <x:c r="G103" s="45" t="str">
        <x:v>基线带宽项 ms</x:v>
      </x:c>
      <x:c r="H103" s="45" t="str">
        <x:v>争用后带宽项 ms</x:v>
      </x:c>
      <x:c r="I103" s="45" t="str">
        <x:v>通信增量 ms</x:v>
      </x:c>
      <x:c r="J103" s="45" t="str">
        <x:v>暴露系数</x:v>
      </x:c>
      <x:c r="K103" s="45" t="str">
        <x:v>forward 增量 ms</x:v>
      </x:c>
      <x:c r="L103" s="45" t="str">
        <x:v>公式口径</x:v>
      </x:c>
    </x:row>
    <x:row r="104" ht="23" customHeight="1">
      <x:c r="A104" s="30" t="str">
        <x:v>Embedding TP</x:v>
      </x:c>
      <x:c r="B104" s="30" t="str">
        <x:v>Embedding</x:v>
      </x:c>
      <x:c r="C104" s="30" t="str">
        <x:v>标准 TP 输出</x:v>
      </x:c>
      <x:c r="D104" s="34" t="n">
        <x:f>(K65*2^20)/1e9</x:f>
        <x:v>0.205520896</x:v>
      </x:c>
      <x:c r="E104" s="51" t="n">
        <x:f>$H$98</x:f>
        <x:v>100</x:v>
      </x:c>
      <x:c r="F104" s="52" t="n">
        <x:v>1</x:v>
      </x:c>
      <x:c r="G104" s="34" t="n">
        <x:f>IF(AND(ISNUMBER(E104),E104&gt;0,ISNUMBER($B$98),$B$98&gt;=0,$B$98&lt;1,ISNUMBER($D$98),$D$98&gt;=0,$D$98&lt;=1,ISNUMBER(F104),F104&gt;=0,F104&lt;=1,ISNUMBER(J104),J104&gt;=0,J104&lt;=1),D104/E104*1000,NA())</x:f>
        <x:v>2.0552089600000003</x:v>
      </x:c>
      <x:c r="H104" s="34" t="n">
        <x:f>G104+I104</x:f>
        <x:v>2.2835655111111115</x:v>
      </x:c>
      <x:c r="I104" s="34" t="n">
        <x:f>G104*F104*$D$98*$B$98/(1-$B$98)</x:f>
        <x:v>0.22835655111111114</x:v>
      </x:c>
      <x:c r="J104" s="52" t="n">
        <x:v>1</x:v>
      </x:c>
      <x:c r="K104" s="34" t="n">
        <x:f>I104*J104</x:f>
        <x:v>0.22835655111111114</x:v>
      </x:c>
      <x:c r="L104" s="30" t="str">
        <x:v>原通信行 65</x:v>
      </x:c>
    </x:row>
    <x:row r="105" ht="23" customHeight="1">
      <x:c r="A105" s="30" t="str">
        <x:v>Embedding TP</x:v>
      </x:c>
      <x:c r="B105" s="30" t="str">
        <x:v>Embedding</x:v>
      </x:c>
      <x:c r="C105" s="30" t="str">
        <x:v>Fine TP Token ID</x:v>
      </x:c>
      <x:c r="D105" s="34" t="n">
        <x:f>(K66*2^20)/1e9</x:f>
        <x:v>0</x:v>
      </x:c>
      <x:c r="E105" s="51" t="n">
        <x:f>$H$98</x:f>
        <x:v>100</x:v>
      </x:c>
      <x:c r="F105" s="52" t="n">
        <x:v>1</x:v>
      </x:c>
      <x:c r="G105" s="34" t="n">
        <x:f>IF(AND(ISNUMBER(E105),E105&gt;0,ISNUMBER($B$98),$B$98&gt;=0,$B$98&lt;1,ISNUMBER($D$98),$D$98&gt;=0,$D$98&lt;=1,ISNUMBER(F105),F105&gt;=0,F105&lt;=1,ISNUMBER(J105),J105&gt;=0,J105&lt;=1),D105/E105*1000,NA())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G105*F105*$D$98*$B$98/(1-$B$98)</x:f>
        <x:v>0</x:v>
      </x:c>
      <x:c r="J105" s="52" t="n">
        <x:v>1</x:v>
      </x:c>
      <x:c r="K105" s="34" t="n">
        <x:f>I105*J105</x:f>
        <x:v>0</x:v>
      </x:c>
      <x:c r="L105" s="30" t="str">
        <x:v>原通信行 66</x:v>
      </x:c>
    </x:row>
    <x:row r="106" ht="23" customHeight="1">
      <x:c r="A106" s="30" t="str">
        <x:v>Embedding TP</x:v>
      </x:c>
      <x:c r="B106" s="30" t="str">
        <x:v>Embedding</x:v>
      </x:c>
      <x:c r="C106" s="30" t="str">
        <x:v>Fine TP Hidden</x:v>
      </x:c>
      <x:c r="D106" s="34" t="n">
        <x:f>(K67*2^20)/1e9</x:f>
        <x:v>0</x:v>
      </x:c>
      <x:c r="E106" s="51" t="n">
        <x:f>$H$98</x:f>
        <x:v>100</x:v>
      </x:c>
      <x:c r="F106" s="52" t="n">
        <x:v>1</x:v>
      </x:c>
      <x:c r="G106" s="34" t="n">
        <x:f>IF(AND(ISNUMBER(E106),E106&gt;0,ISNUMBER($B$98),$B$98&gt;=0,$B$98&lt;1,ISNUMBER($D$98),$D$98&gt;=0,$D$98&lt;=1,ISNUMBER(F106),F106&gt;=0,F106&lt;=1,ISNUMBER(J106),J106&gt;=0,J106&lt;=1),D106/E106*1000,NA())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G106*F106*$D$98*$B$98/(1-$B$98)</x:f>
        <x:v>0</x:v>
      </x:c>
      <x:c r="J106" s="52" t="n">
        <x:v>1</x:v>
      </x:c>
      <x:c r="K106" s="34" t="n">
        <x:f>I106*J106</x:f>
        <x:v>0</x:v>
      </x:c>
      <x:c r="L106" s="30" t="str">
        <x:v>原通信行 67</x:v>
      </x:c>
    </x:row>
    <x:row r="107" ht="23" customHeight="1">
      <x:c r="A107" s="30" t="str">
        <x:v>SP</x:v>
      </x:c>
      <x:c r="B107" s="30" t="str">
        <x:v>Attention</x:v>
      </x:c>
      <x:c r="C107" s="30" t="str">
        <x:v>Attention 前</x:v>
      </x:c>
      <x:c r="D107" s="34" t="n">
        <x:f>(K68*2^20)/1e9</x:f>
        <x:v>9.556721664</x:v>
      </x:c>
      <x:c r="E107" s="51" t="n">
        <x:f>$H$98</x:f>
        <x:v>100</x:v>
      </x:c>
      <x:c r="F107" s="52" t="n">
        <x:v>1</x:v>
      </x:c>
      <x:c r="G107" s="34" t="n">
        <x:f>IF(AND(ISNUMBER(E107),E107&gt;0,ISNUMBER($B$98),$B$98&gt;=0,$B$98&lt;1,ISNUMBER($D$98),$D$98&gt;=0,$D$98&lt;=1,ISNUMBER(F107),F107&gt;=0,F107&lt;=1,ISNUMBER(J107),J107&gt;=0,J107&lt;=1),D107/E107*1000,NA())</x:f>
        <x:v>95.56721664</x:v>
      </x:c>
      <x:c r="H107" s="34" t="n">
        <x:f>G107+I107</x:f>
        <x:v>106.18579626666667</x:v>
      </x:c>
      <x:c r="I107" s="34" t="n">
        <x:f>G107*F107*$D$98*$B$98/(1-$B$98)</x:f>
        <x:v>10.618579626666666</x:v>
      </x:c>
      <x:c r="J107" s="52" t="n">
        <x:v>1</x:v>
      </x:c>
      <x:c r="K107" s="34" t="n">
        <x:f>I107*J107</x:f>
        <x:v>10.618579626666666</x:v>
      </x:c>
      <x:c r="L107" s="30" t="str">
        <x:v>原通信行 68</x:v>
      </x:c>
    </x:row>
    <x:row r="108" ht="23" customHeight="1">
      <x:c r="A108" s="30" t="str">
        <x:v>SP</x:v>
      </x:c>
      <x:c r="B108" s="30" t="str">
        <x:v>Attention</x:v>
      </x:c>
      <x:c r="C108" s="30" t="str">
        <x:v>O Proj 后</x:v>
      </x:c>
      <x:c r="D108" s="34" t="n">
        <x:f>(K69*2^20)/1e9</x:f>
        <x:v>9.556721664</x:v>
      </x:c>
      <x:c r="E108" s="51" t="n">
        <x:f>$H$98</x:f>
        <x:v>100</x:v>
      </x:c>
      <x:c r="F108" s="52" t="n">
        <x:v>1</x:v>
      </x:c>
      <x:c r="G108" s="34" t="n">
        <x:f>IF(AND(ISNUMBER(E108),E108&gt;0,ISNUMBER($B$98),$B$98&gt;=0,$B$98&lt;1,ISNUMBER($D$98),$D$98&gt;=0,$D$98&lt;=1,ISNUMBER(F108),F108&gt;=0,F108&lt;=1,ISNUMBER(J108),J108&gt;=0,J108&lt;=1),D108/E108*1000,NA())</x:f>
        <x:v>95.56721664</x:v>
      </x:c>
      <x:c r="H108" s="34" t="n">
        <x:f>G108+I108</x:f>
        <x:v>106.18579626666667</x:v>
      </x:c>
      <x:c r="I108" s="34" t="n">
        <x:f>G108*F108*$D$98*$B$98/(1-$B$98)</x:f>
        <x:v>10.618579626666666</x:v>
      </x:c>
      <x:c r="J108" s="52" t="n">
        <x:v>1</x:v>
      </x:c>
      <x:c r="K108" s="34" t="n">
        <x:f>I108*J108</x:f>
        <x:v>10.618579626666666</x:v>
      </x:c>
      <x:c r="L108" s="30" t="str">
        <x:v>原通信行 69</x:v>
      </x:c>
    </x:row>
    <x:row r="109" ht="23" customHeight="1">
      <x:c r="A109" s="30" t="str">
        <x:v>O Proj TP</x:v>
      </x:c>
      <x:c r="B109" s="30" t="str">
        <x:v>Attention</x:v>
      </x:c>
      <x:c r="C109" s="30" t="str">
        <x:v>非 SP 标准 TP</x:v>
      </x:c>
      <x:c r="D109" s="34" t="n">
        <x:f>(K70*2^20)/1e9</x:f>
        <x:v>0</x:v>
      </x:c>
      <x:c r="E109" s="51" t="n">
        <x:f>$H$98</x:f>
        <x:v>100</x:v>
      </x:c>
      <x:c r="F109" s="52" t="n">
        <x:v>1</x:v>
      </x:c>
      <x:c r="G109" s="34" t="n">
        <x:f>IF(AND(ISNUMBER(E109),E109&gt;0,ISNUMBER($B$98),$B$98&gt;=0,$B$98&lt;1,ISNUMBER($D$98),$D$98&gt;=0,$D$98&lt;=1,ISNUMBER(F109),F109&gt;=0,F109&lt;=1,ISNUMBER(J109),J109&gt;=0,J109&lt;=1),D109/E109*1000,NA())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G109*F109*$D$98*$B$98/(1-$B$98)</x:f>
        <x:v>0</x:v>
      </x:c>
      <x:c r="J109" s="52" t="n">
        <x:v>1</x:v>
      </x:c>
      <x:c r="K109" s="34" t="n">
        <x:f>I109*J109</x:f>
        <x:v>0</x:v>
      </x:c>
      <x:c r="L109" s="30" t="str">
        <x:v>原通信行 70</x:v>
      </x:c>
    </x:row>
    <x:row r="110" ht="23" customHeight="1">
      <x:c r="A110" s="30" t="str">
        <x:v>Fine O TP</x:v>
      </x:c>
      <x:c r="B110" s="30" t="str">
        <x:v>Attention</x:v>
      </x:c>
      <x:c r="C110" s="30" t="str">
        <x:v>O Proj 输入</x:v>
      </x:c>
      <x:c r="D110" s="34" t="n">
        <x:f>(K71*2^20)/1e9</x:f>
        <x:v>0</x:v>
      </x:c>
      <x:c r="E110" s="51" t="n">
        <x:f>$H$98</x:f>
        <x:v>100</x:v>
      </x:c>
      <x:c r="F110" s="52" t="n">
        <x:v>1</x:v>
      </x:c>
      <x:c r="G110" s="34" t="n">
        <x:f>IF(AND(ISNUMBER(E110),E110&gt;0,ISNUMBER($B$98),$B$98&gt;=0,$B$98&lt;1,ISNUMBER($D$98),$D$98&gt;=0,$D$98&lt;=1,ISNUMBER(F110),F110&gt;=0,F110&lt;=1,ISNUMBER(J110),J110&gt;=0,J110&lt;=1),D110/E110*1000,NA())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G110*F110*$D$98*$B$98/(1-$B$98)</x:f>
        <x:v>0</x:v>
      </x:c>
      <x:c r="J110" s="52" t="n">
        <x:v>1</x:v>
      </x:c>
      <x:c r="K110" s="34" t="n">
        <x:f>I110*J110</x:f>
        <x:v>0</x:v>
      </x:c>
      <x:c r="L110" s="30" t="str">
        <x:v>原通信行 71</x:v>
      </x:c>
    </x:row>
    <x:row r="111" ht="23" customHeight="1">
      <x:c r="A111" s="30" t="str">
        <x:v>Fine O TP</x:v>
      </x:c>
      <x:c r="B111" s="30" t="str">
        <x:v>Attention</x:v>
      </x:c>
      <x:c r="C111" s="30" t="str">
        <x:v>O Proj 输出</x:v>
      </x:c>
      <x:c r="D111" s="34" t="n">
        <x:f>(K72*2^20)/1e9</x:f>
        <x:v>0</x:v>
      </x:c>
      <x:c r="E111" s="51" t="n">
        <x:f>$H$98</x:f>
        <x:v>100</x:v>
      </x:c>
      <x:c r="F111" s="52" t="n">
        <x:v>1</x:v>
      </x:c>
      <x:c r="G111" s="34" t="n">
        <x:f>IF(AND(ISNUMBER(E111),E111&gt;0,ISNUMBER($B$98),$B$98&gt;=0,$B$98&lt;1,ISNUMBER($D$98),$D$98&gt;=0,$D$98&lt;=1,ISNUMBER(F111),F111&gt;=0,F111&lt;=1,ISNUMBER(J111),J111&gt;=0,J111&lt;=1),D111/E111*1000,NA())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G111*F111*$D$98*$B$98/(1-$B$98)</x:f>
        <x:v>0</x:v>
      </x:c>
      <x:c r="J111" s="52" t="n">
        <x:v>1</x:v>
      </x:c>
      <x:c r="K111" s="34" t="n">
        <x:f>I111*J111</x:f>
        <x:v>0</x:v>
      </x:c>
      <x:c r="L111" s="30" t="str">
        <x:v>原通信行 72</x:v>
      </x:c>
    </x:row>
    <x:row r="112" ht="23" customHeight="1">
      <x:c r="A112" s="30" t="str">
        <x:v>SP</x:v>
      </x:c>
      <x:c r="B112" s="30" t="str">
        <x:v>Dense MLP</x:v>
      </x:c>
      <x:c r="C112" s="30" t="str">
        <x:v>Down Proj 输出</x:v>
      </x:c>
      <x:c r="D112" s="34" t="n">
        <x:f>(K73*2^20)/1e9</x:f>
        <x:v>0.025690112</x:v>
      </x:c>
      <x:c r="E112" s="51" t="n">
        <x:f>$H$98</x:f>
        <x:v>100</x:v>
      </x:c>
      <x:c r="F112" s="52" t="n">
        <x:v>1</x:v>
      </x:c>
      <x:c r="G112" s="34" t="n">
        <x:f>IF(AND(ISNUMBER(E112),E112&gt;0,ISNUMBER($B$98),$B$98&gt;=0,$B$98&lt;1,ISNUMBER($D$98),$D$98&gt;=0,$D$98&lt;=1,ISNUMBER(F112),F112&gt;=0,F112&lt;=1,ISNUMBER(J112),J112&gt;=0,J112&lt;=1),D112/E112*1000,NA())</x:f>
        <x:v>0.25690112000000004</x:v>
      </x:c>
      <x:c r="H112" s="34" t="n">
        <x:f>G112+I112</x:f>
        <x:v>0.28544568888888894</x:v>
      </x:c>
      <x:c r="I112" s="34" t="n">
        <x:f>G112*F112*$D$98*$B$98/(1-$B$98)</x:f>
        <x:v>0.028544568888888892</x:v>
      </x:c>
      <x:c r="J112" s="52" t="n">
        <x:v>1</x:v>
      </x:c>
      <x:c r="K112" s="34" t="n">
        <x:f>I112*J112</x:f>
        <x:v>0.028544568888888892</x:v>
      </x:c>
      <x:c r="L112" s="30" t="str">
        <x:v>原通信行 73</x:v>
      </x:c>
    </x:row>
    <x:row r="113" ht="23" customHeight="1">
      <x:c r="A113" s="30" t="str">
        <x:v>EP</x:v>
      </x:c>
      <x:c r="B113" s="30" t="str">
        <x:v>Routed Experts</x:v>
      </x:c>
      <x:c r="C113" s="30" t="str">
        <x:v>Dispatch Hidden</x:v>
      </x:c>
      <x:c r="D113" s="34" t="n">
        <x:f>(K74*2^20)/1e9</x:f>
        <x:v>18.907922432</x:v>
      </x:c>
      <x:c r="E113" s="51" t="n">
        <x:f>$H$98</x:f>
        <x:v>100</x:v>
      </x:c>
      <x:c r="F113" s="52" t="n">
        <x:v>1</x:v>
      </x:c>
      <x:c r="G113" s="34" t="n">
        <x:f>IF(AND(ISNUMBER(E113),E113&gt;0,ISNUMBER($B$98),$B$98&gt;=0,$B$98&lt;1,ISNUMBER($D$98),$D$98&gt;=0,$D$98&lt;=1,ISNUMBER(F113),F113&gt;=0,F113&lt;=1,ISNUMBER(J113),J113&gt;=0,J113&lt;=1),D113/E113*1000,NA())</x:f>
        <x:v>189.07922431999998</x:v>
      </x:c>
      <x:c r="H113" s="34" t="n">
        <x:f>G113+I113</x:f>
        <x:v>210.0880270222222</x:v>
      </x:c>
      <x:c r="I113" s="34" t="n">
        <x:f>G113*F113*$D$98*$B$98/(1-$B$98)</x:f>
        <x:v>21.008802702222223</x:v>
      </x:c>
      <x:c r="J113" s="52" t="n">
        <x:v>1</x:v>
      </x:c>
      <x:c r="K113" s="34" t="n">
        <x:f>I113*J113</x:f>
        <x:v>21.008802702222223</x:v>
      </x:c>
      <x:c r="L113" s="30" t="str">
        <x:v>原通信行 74</x:v>
      </x:c>
    </x:row>
    <x:row r="114" ht="23" customHeight="1">
      <x:c r="A114" s="30" t="str">
        <x:v>EP</x:v>
      </x:c>
      <x:c r="B114" s="30" t="str">
        <x:v>Routed Experts</x:v>
      </x:c>
      <x:c r="C114" s="30" t="str">
        <x:v>Combine Hidden</x:v>
      </x:c>
      <x:c r="D114" s="34" t="n">
        <x:f>(K75*2^20)/1e9</x:f>
        <x:v>18.907922432</x:v>
      </x:c>
      <x:c r="E114" s="51" t="n">
        <x:f>$H$98</x:f>
        <x:v>100</x:v>
      </x:c>
      <x:c r="F114" s="52" t="n">
        <x:v>1</x:v>
      </x:c>
      <x:c r="G114" s="34" t="n">
        <x:f>IF(AND(ISNUMBER(E114),E114&gt;0,ISNUMBER($B$98),$B$98&gt;=0,$B$98&lt;1,ISNUMBER($D$98),$D$98&gt;=0,$D$98&lt;=1,ISNUMBER(F114),F114&gt;=0,F114&lt;=1,ISNUMBER(J114),J114&gt;=0,J114&lt;=1),D114/E114*1000,NA())</x:f>
        <x:v>189.07922431999998</x:v>
      </x:c>
      <x:c r="H114" s="34" t="n">
        <x:f>G114+I114</x:f>
        <x:v>210.0880270222222</x:v>
      </x:c>
      <x:c r="I114" s="34" t="n">
        <x:f>G114*F114*$D$98*$B$98/(1-$B$98)</x:f>
        <x:v>21.008802702222223</x:v>
      </x:c>
      <x:c r="J114" s="52" t="n">
        <x:v>1</x:v>
      </x:c>
      <x:c r="K114" s="34" t="n">
        <x:f>I114*J114</x:f>
        <x:v>21.008802702222223</x:v>
      </x:c>
      <x:c r="L114" s="30" t="str">
        <x:v>原通信行 75</x:v>
      </x:c>
    </x:row>
    <x:row r="115" ht="23" customHeight="1">
      <x:c r="A115" s="30" t="str">
        <x:v>DP</x:v>
      </x:c>
      <x:c r="B115" s="30" t="str">
        <x:v>MoE</x:v>
      </x:c>
      <x:c r="C115" s="30" t="str">
        <x:v>Hidden 输入</x:v>
      </x:c>
      <x:c r="D115" s="34" t="n">
        <x:f>(K76*2^20)/1e9</x:f>
        <x:v>0</x:v>
      </x:c>
      <x:c r="E115" s="51" t="n">
        <x:f>$H$98</x:f>
        <x:v>100</x:v>
      </x:c>
      <x:c r="F115" s="52" t="n">
        <x:v>1</x:v>
      </x:c>
      <x:c r="G115" s="34" t="n">
        <x:f>IF(AND(ISNUMBER(E115),E115&gt;0,ISNUMBER($B$98),$B$98&gt;=0,$B$98&lt;1,ISNUMBER($D$98),$D$98&gt;=0,$D$98&lt;=1,ISNUMBER(F115),F115&gt;=0,F115&lt;=1,ISNUMBER(J115),J115&gt;=0,J115&lt;=1),D115/E115*1000,NA())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G115*F115*$D$98*$B$98/(1-$B$98)</x:f>
        <x:v>0</x:v>
      </x:c>
      <x:c r="J115" s="52" t="n">
        <x:v>1</x:v>
      </x:c>
      <x:c r="K115" s="34" t="n">
        <x:f>I115*J115</x:f>
        <x:v>0</x:v>
      </x:c>
      <x:c r="L115" s="30" t="str">
        <x:v>原通信行 76</x:v>
      </x:c>
    </x:row>
    <x:row r="116" ht="23" customHeight="1">
      <x:c r="A116" s="30" t="str">
        <x:v>DP</x:v>
      </x:c>
      <x:c r="B116" s="30" t="str">
        <x:v>MoE Router</x:v>
      </x:c>
      <x:c r="C116" s="30" t="str">
        <x:v>Router Logits</x:v>
      </x:c>
      <x:c r="D116" s="34" t="n">
        <x:f>(K77*2^20)/1e9</x:f>
        <x:v>0</x:v>
      </x:c>
      <x:c r="E116" s="51" t="n">
        <x:f>$H$98</x:f>
        <x:v>100</x:v>
      </x:c>
      <x:c r="F116" s="52" t="n">
        <x:v>1</x:v>
      </x:c>
      <x:c r="G116" s="34" t="n">
        <x:f>IF(AND(ISNUMBER(E116),E116&gt;0,ISNUMBER($B$98),$B$98&gt;=0,$B$98&lt;1,ISNUMBER($D$98),$D$98&gt;=0,$D$98&lt;=1,ISNUMBER(F116),F116&gt;=0,F116&lt;=1,ISNUMBER(J116),J116&gt;=0,J116&lt;=1),D116/E116*1000,NA())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G116*F116*$D$98*$B$98/(1-$B$98)</x:f>
        <x:v>0</x:v>
      </x:c>
      <x:c r="J116" s="52" t="n">
        <x:v>1</x:v>
      </x:c>
      <x:c r="K116" s="34" t="n">
        <x:f>I116*J116</x:f>
        <x:v>0</x:v>
      </x:c>
      <x:c r="L116" s="30" t="str">
        <x:v>原通信行 77</x:v>
      </x:c>
    </x:row>
    <x:row r="117" ht="23" customHeight="1">
      <x:c r="A117" s="30" t="str">
        <x:v>DP</x:v>
      </x:c>
      <x:c r="B117" s="30" t="str">
        <x:v>MoE</x:v>
      </x:c>
      <x:c r="C117" s="30" t="str">
        <x:v>Routed Expert 输出</x:v>
      </x:c>
      <x:c r="D117" s="34" t="n">
        <x:f>(K78*2^20)/1e9</x:f>
        <x:v>0</x:v>
      </x:c>
      <x:c r="E117" s="51" t="n">
        <x:f>$H$98</x:f>
        <x:v>100</x:v>
      </x:c>
      <x:c r="F117" s="52" t="n">
        <x:v>1</x:v>
      </x:c>
      <x:c r="G117" s="34" t="n">
        <x:f>IF(AND(ISNUMBER(E117),E117&gt;0,ISNUMBER($B$98),$B$98&gt;=0,$B$98&lt;1,ISNUMBER($D$98),$D$98&gt;=0,$D$98&lt;=1,ISNUMBER(F117),F117&gt;=0,F117&lt;=1,ISNUMBER(J117),J117&gt;=0,J117&lt;=1),D117/E117*1000,NA())</x:f>
        <x:v>0</x:v>
      </x:c>
      <x:c r="H117" s="34" t="n">
        <x:f>G117+I117</x:f>
        <x:v>0</x:v>
      </x:c>
      <x:c r="I117" s="34" t="n">
        <x:f>G117*F117*$D$98*$B$98/(1-$B$98)</x:f>
        <x:v>0</x:v>
      </x:c>
      <x:c r="J117" s="52" t="n">
        <x:v>1</x:v>
      </x:c>
      <x:c r="K117" s="34" t="n">
        <x:f>I117*J117</x:f>
        <x:v>0</x:v>
      </x:c>
      <x:c r="L117" s="30" t="str">
        <x:v>原通信行 78</x:v>
      </x:c>
    </x:row>
    <x:row r="118" ht="23" customHeight="1">
      <x:c r="A118" s="30" t="str">
        <x:v>共享专家 TP</x:v>
      </x:c>
      <x:c r="B118" s="30" t="str">
        <x:v>Shared Experts</x:v>
      </x:c>
      <x:c r="C118" s="30" t="str">
        <x:v>SP 输入</x:v>
      </x:c>
      <x:c r="D118" s="34" t="n">
        <x:f>(K79*2^20)/1e9</x:f>
        <x:v>9.453961216</x:v>
      </x:c>
      <x:c r="E118" s="51" t="n">
        <x:f>$H$98</x:f>
        <x:v>100</x:v>
      </x:c>
      <x:c r="F118" s="52" t="n">
        <x:v>1</x:v>
      </x:c>
      <x:c r="G118" s="34" t="n">
        <x:f>IF(AND(ISNUMBER(E118),E118&gt;0,ISNUMBER($B$98),$B$98&gt;=0,$B$98&lt;1,ISNUMBER($D$98),$D$98&gt;=0,$D$98&lt;=1,ISNUMBER(F118),F118&gt;=0,F118&lt;=1,ISNUMBER(J118),J118&gt;=0,J118&lt;=1),D118/E118*1000,NA())</x:f>
        <x:v>94.53961215999999</x:v>
      </x:c>
      <x:c r="H118" s="34" t="n">
        <x:f>G118+I118</x:f>
        <x:v>105.0440135111111</x:v>
      </x:c>
      <x:c r="I118" s="34" t="n">
        <x:f>G118*F118*$D$98*$B$98/(1-$B$98)</x:f>
        <x:v>10.504401351111111</x:v>
      </x:c>
      <x:c r="J118" s="52" t="n">
        <x:v>1</x:v>
      </x:c>
      <x:c r="K118" s="34" t="n">
        <x:f>I118*J118</x:f>
        <x:v>10.504401351111111</x:v>
      </x:c>
      <x:c r="L118" s="30" t="str">
        <x:v>原通信行 79</x:v>
      </x:c>
    </x:row>
    <x:row r="119" ht="23" customHeight="1">
      <x:c r="A119" s="30" t="str">
        <x:v>共享专家 TP</x:v>
      </x:c>
      <x:c r="B119" s="30" t="str">
        <x:v>Shared Experts</x:v>
      </x:c>
      <x:c r="C119" s="30" t="str">
        <x:v>SP 输出</x:v>
      </x:c>
      <x:c r="D119" s="34" t="n">
        <x:f>(K80*2^20)/1e9</x:f>
        <x:v>9.453961216</x:v>
      </x:c>
      <x:c r="E119" s="51" t="n">
        <x:f>$H$98</x:f>
        <x:v>100</x:v>
      </x:c>
      <x:c r="F119" s="52" t="n">
        <x:v>1</x:v>
      </x:c>
      <x:c r="G119" s="34" t="n">
        <x:f>IF(AND(ISNUMBER(E119),E119&gt;0,ISNUMBER($B$98),$B$98&gt;=0,$B$98&lt;1,ISNUMBER($D$98),$D$98&gt;=0,$D$98&lt;=1,ISNUMBER(F119),F119&gt;=0,F119&lt;=1,ISNUMBER(J119),J119&gt;=0,J119&lt;=1),D119/E119*1000,NA())</x:f>
        <x:v>94.53961215999999</x:v>
      </x:c>
      <x:c r="H119" s="34" t="n">
        <x:f>G119+I119</x:f>
        <x:v>105.0440135111111</x:v>
      </x:c>
      <x:c r="I119" s="34" t="n">
        <x:f>G119*F119*$D$98*$B$98/(1-$B$98)</x:f>
        <x:v>10.504401351111111</x:v>
      </x:c>
      <x:c r="J119" s="52" t="n">
        <x:v>1</x:v>
      </x:c>
      <x:c r="K119" s="34" t="n">
        <x:f>I119*J119</x:f>
        <x:v>10.504401351111111</x:v>
      </x:c>
      <x:c r="L119" s="30" t="str">
        <x:v>原通信行 80</x:v>
      </x:c>
    </x:row>
    <x:row r="120" ht="23" customHeight="1">
      <x:c r="A120" s="30" t="str">
        <x:v>共享专家 TP</x:v>
      </x:c>
      <x:c r="B120" s="30" t="str">
        <x:v>Shared Experts</x:v>
      </x:c>
      <x:c r="C120" s="30" t="str">
        <x:v>非 SP 输出</x:v>
      </x:c>
      <x:c r="D120" s="34" t="n">
        <x:f>(K81*2^20)/1e9</x:f>
        <x:v>0</x:v>
      </x:c>
      <x:c r="E120" s="51" t="n">
        <x:f>$H$98</x:f>
        <x:v>100</x:v>
      </x:c>
      <x:c r="F120" s="52" t="n">
        <x:v>1</x:v>
      </x:c>
      <x:c r="G120" s="34" t="n">
        <x:f>IF(AND(ISNUMBER(E120),E120&gt;0,ISNUMBER($B$98),$B$98&gt;=0,$B$98&lt;1,ISNUMBER($D$98),$D$98&gt;=0,$D$98&lt;=1,ISNUMBER(F120),F120&gt;=0,F120&lt;=1,ISNUMBER(J120),J120&gt;=0,J120&lt;=1),D120/E120*1000,NA())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G120*F120*$D$98*$B$98/(1-$B$98)</x:f>
        <x:v>0</x:v>
      </x:c>
      <x:c r="J120" s="52" t="n">
        <x:v>1</x:v>
      </x:c>
      <x:c r="K120" s="34" t="n">
        <x:f>I120*J120</x:f>
        <x:v>0</x:v>
      </x:c>
      <x:c r="L120" s="30" t="str">
        <x:v>原通信行 81</x:v>
      </x:c>
    </x:row>
    <x:row r="121" ht="23" customHeight="1">
      <x:c r="A121" s="30" t="str">
        <x:v>PCP</x:v>
      </x:c>
      <x:c r="B121" s="30" t="str">
        <x:v>MoE</x:v>
      </x:c>
      <x:c r="C121" s="30" t="str">
        <x:v>Hidden 输入</x:v>
      </x:c>
      <x:c r="D121" s="34" t="n">
        <x:f>(K82*2^20)/1e9</x:f>
        <x:v>0</x:v>
      </x:c>
      <x:c r="E121" s="51" t="n">
        <x:f>$H$98</x:f>
        <x:v>100</x:v>
      </x:c>
      <x:c r="F121" s="52" t="n">
        <x:v>1</x:v>
      </x:c>
      <x:c r="G121" s="34" t="n">
        <x:f>IF(AND(ISNUMBER(E121),E121&gt;0,ISNUMBER($B$98),$B$98&gt;=0,$B$98&lt;1,ISNUMBER($D$98),$D$98&gt;=0,$D$98&lt;=1,ISNUMBER(F121),F121&gt;=0,F121&lt;=1,ISNUMBER(J121),J121&gt;=0,J121&lt;=1),D121/E121*1000,NA())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G121*F121*$D$98*$B$98/(1-$B$98)</x:f>
        <x:v>0</x:v>
      </x:c>
      <x:c r="J121" s="52" t="n">
        <x:v>1</x:v>
      </x:c>
      <x:c r="K121" s="34" t="n">
        <x:f>I121*J121</x:f>
        <x:v>0</x:v>
      </x:c>
      <x:c r="L121" s="30" t="str">
        <x:v>原通信行 82</x:v>
      </x:c>
    </x:row>
    <x:row r="122" ht="23" customHeight="1">
      <x:c r="A122" s="30" t="str">
        <x:v>PCP</x:v>
      </x:c>
      <x:c r="B122" s="30" t="str">
        <x:v>MoE Router</x:v>
      </x:c>
      <x:c r="C122" s="30" t="str">
        <x:v>Router Logits</x:v>
      </x:c>
      <x:c r="D122" s="34" t="n">
        <x:f>(K83*2^20)/1e9</x:f>
        <x:v>0</x:v>
      </x:c>
      <x:c r="E122" s="51" t="n">
        <x:f>$H$98</x:f>
        <x:v>100</x:v>
      </x:c>
      <x:c r="F122" s="52" t="n">
        <x:v>1</x:v>
      </x:c>
      <x:c r="G122" s="34" t="n">
        <x:f>IF(AND(ISNUMBER(E122),E122&gt;0,ISNUMBER($B$98),$B$98&gt;=0,$B$98&lt;1,ISNUMBER($D$98),$D$98&gt;=0,$D$98&lt;=1,ISNUMBER(F122),F122&gt;=0,F122&lt;=1,ISNUMBER(J122),J122&gt;=0,J122&lt;=1),D122/E122*1000,NA())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G122*F122*$D$98*$B$98/(1-$B$98)</x:f>
        <x:v>0</x:v>
      </x:c>
      <x:c r="J122" s="52" t="n">
        <x:v>1</x:v>
      </x:c>
      <x:c r="K122" s="34" t="n">
        <x:f>I122*J122</x:f>
        <x:v>0</x:v>
      </x:c>
      <x:c r="L122" s="30" t="str">
        <x:v>原通信行 83</x:v>
      </x:c>
    </x:row>
    <x:row r="123" ht="23" customHeight="1">
      <x:c r="A123" s="30" t="str">
        <x:v>PCP</x:v>
      </x:c>
      <x:c r="B123" s="30" t="str">
        <x:v>MoE</x:v>
      </x:c>
      <x:c r="C123" s="30" t="str">
        <x:v>Routed Expert 输出</x:v>
      </x:c>
      <x:c r="D123" s="34" t="n">
        <x:f>(K84*2^20)/1e9</x:f>
        <x:v>0</x:v>
      </x:c>
      <x:c r="E123" s="51" t="n">
        <x:f>$H$98</x:f>
        <x:v>100</x:v>
      </x:c>
      <x:c r="F123" s="52" t="n">
        <x:v>1</x:v>
      </x:c>
      <x:c r="G123" s="34" t="n">
        <x:f>IF(AND(ISNUMBER(E123),E123&gt;0,ISNUMBER($B$98),$B$98&gt;=0,$B$98&lt;1,ISNUMBER($D$98),$D$98&gt;=0,$D$98&lt;=1,ISNUMBER(F123),F123&gt;=0,F123&lt;=1,ISNUMBER(J123),J123&gt;=0,J123&lt;=1),D123/E123*1000,NA())</x:f>
        <x:v>0</x:v>
      </x:c>
      <x:c r="H123" s="34" t="n">
        <x:f>G123+I123</x:f>
        <x:v>0</x:v>
      </x:c>
      <x:c r="I123" s="34" t="n">
        <x:f>G123*F123*$D$98*$B$98/(1-$B$98)</x:f>
        <x:v>0</x:v>
      </x:c>
      <x:c r="J123" s="52" t="n">
        <x:v>1</x:v>
      </x:c>
      <x:c r="K123" s="34" t="n">
        <x:f>I123*J123</x:f>
        <x:v>0</x:v>
      </x:c>
      <x:c r="L123" s="30" t="str">
        <x:v>原通信行 84</x:v>
      </x:c>
    </x:row>
    <x:row r="124" ht="23" customHeight="1">
      <x:c r="A124" s="30" t="str">
        <x:v>PCP</x:v>
      </x:c>
      <x:c r="B124" s="30" t="str">
        <x:v>Attention KV</x:v>
      </x:c>
      <x:c r="C124" s="30" t="str">
        <x:v>KV Cache 写入前</x:v>
      </x:c>
      <x:c r="D124" s="34" t="n">
        <x:f>(K85*2^20)/1e9</x:f>
        <x:v>0</x:v>
      </x:c>
      <x:c r="E124" s="51" t="n">
        <x:f>$H$98</x:f>
        <x:v>100</x:v>
      </x:c>
      <x:c r="F124" s="52" t="n">
        <x:v>1</x:v>
      </x:c>
      <x:c r="G124" s="34" t="n">
        <x:f>IF(AND(ISNUMBER(E124),E124&gt;0,ISNUMBER($B$98),$B$98&gt;=0,$B$98&lt;1,ISNUMBER($D$98),$D$98&gt;=0,$D$98&lt;=1,ISNUMBER(F124),F124&gt;=0,F124&lt;=1,ISNUMBER(J124),J124&gt;=0,J124&lt;=1),D124/E124*1000,NA())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G124*F124*$D$98*$B$98/(1-$B$98)</x:f>
        <x:v>0</x:v>
      </x:c>
      <x:c r="J124" s="52" t="n">
        <x:v>1</x:v>
      </x:c>
      <x:c r="K124" s="34" t="n">
        <x:f>I124*J124</x:f>
        <x:v>0</x:v>
      </x:c>
      <x:c r="L124" s="30" t="str">
        <x:v>原通信行 85</x:v>
      </x:c>
    </x:row>
    <x:row r="125" ht="23" customHeight="1">
      <x:c r="A125" s="30" t="str">
        <x:v>SP</x:v>
      </x:c>
      <x:c r="B125" s="30" t="str">
        <x:v>Model Output</x:v>
      </x:c>
      <x:c r="C125" s="30" t="str">
        <x:v>Final Norm 后</x:v>
      </x:c>
      <x:c r="D125" s="34" t="n">
        <x:f>(K86*2^20)/1e9</x:f>
        <x:v>0.102760448</x:v>
      </x:c>
      <x:c r="E125" s="51" t="n">
        <x:f>$H$98</x:f>
        <x:v>100</x:v>
      </x:c>
      <x:c r="F125" s="52" t="n">
        <x:v>1</x:v>
      </x:c>
      <x:c r="G125" s="34" t="n">
        <x:f>IF(AND(ISNUMBER(E125),E125&gt;0,ISNUMBER($B$98),$B$98&gt;=0,$B$98&lt;1,ISNUMBER($D$98),$D$98&gt;=0,$D$98&lt;=1,ISNUMBER(F125),F125&gt;=0,F125&lt;=1,ISNUMBER(J125),J125&gt;=0,J125&lt;=1),D125/E125*1000,NA())</x:f>
        <x:v>1.0276044800000002</x:v>
      </x:c>
      <x:c r="H125" s="34" t="n">
        <x:f>G125+I125</x:f>
        <x:v>1.1417827555555558</x:v>
      </x:c>
      <x:c r="I125" s="34" t="n">
        <x:f>G125*F125*$D$98*$B$98/(1-$B$98)</x:f>
        <x:v>0.11417827555555557</x:v>
      </x:c>
      <x:c r="J125" s="52" t="n">
        <x:v>1</x:v>
      </x:c>
      <x:c r="K125" s="34" t="n">
        <x:f>I125*J125</x:f>
        <x:v>0.11417827555555557</x:v>
      </x:c>
      <x:c r="L125" s="30" t="str">
        <x:v>原通信行 86</x:v>
      </x:c>
    </x:row>
    <x:row r="126" ht="23" customHeight="1">
      <x:c r="A126" s="30" t="str">
        <x:v>LM Head TP</x:v>
      </x:c>
      <x:c r="B126" s="30" t="str">
        <x:v>LM Head</x:v>
      </x:c>
      <x:c r="C126" s="30" t="str">
        <x:v>完整 Logits</x:v>
      </x:c>
      <x:c r="D126" s="34" t="n">
        <x:f>(K87*2^20)/1e9</x:f>
        <x:v>0</x:v>
      </x:c>
      <x:c r="E126" s="51" t="n">
        <x:f>$H$98</x:f>
        <x:v>100</x:v>
      </x:c>
      <x:c r="F126" s="52" t="n">
        <x:v>1</x:v>
      </x:c>
      <x:c r="G126" s="34" t="n">
        <x:f>IF(AND(ISNUMBER(E126),E126&gt;0,ISNUMBER($B$98),$B$98&gt;=0,$B$98&lt;1,ISNUMBER($D$98),$D$98&gt;=0,$D$98&lt;=1,ISNUMBER(F126),F126&gt;=0,F126&lt;=1,ISNUMBER(J126),J126&gt;=0,J126&lt;=1),D126/E126*1000,NA())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G126*F126*$D$98*$B$98/(1-$B$98)</x:f>
        <x:v>0</x:v>
      </x:c>
      <x:c r="J126" s="52" t="n">
        <x:v>1</x:v>
      </x:c>
      <x:c r="K126" s="34" t="n">
        <x:f>I126*J126</x:f>
        <x:v>0</x:v>
      </x:c>
      <x:c r="L126" s="30" t="str">
        <x:v>原通信行 87</x:v>
      </x:c>
    </x:row>
    <x:row r="127" ht="23" customHeight="1">
      <x:c r="A127" s="30" t="str">
        <x:v>LM Head TP</x:v>
      </x:c>
      <x:c r="B127" s="30" t="str">
        <x:v>LM Head</x:v>
      </x:c>
      <x:c r="C127" s="30" t="str">
        <x:v>Reduce Sample</x:v>
      </x:c>
      <x:c r="D127" s="34" t="n">
        <x:f>(K88*2^20)/1e9</x:f>
        <x:v>0.001376256</x:v>
      </x:c>
      <x:c r="E127" s="51" t="n">
        <x:f>$H$98</x:f>
        <x:v>100</x:v>
      </x:c>
      <x:c r="F127" s="52" t="n">
        <x:v>1</x:v>
      </x:c>
      <x:c r="G127" s="34" t="n">
        <x:f>IF(AND(ISNUMBER(E127),E127&gt;0,ISNUMBER($B$98),$B$98&gt;=0,$B$98&lt;1,ISNUMBER($D$98),$D$98&gt;=0,$D$98&lt;=1,ISNUMBER(F127),F127&gt;=0,F127&lt;=1,ISNUMBER(J127),J127&gt;=0,J127&lt;=1),D127/E127*1000,NA())</x:f>
        <x:v>0.01376256</x:v>
      </x:c>
      <x:c r="H127" s="34" t="n">
        <x:f>G127+I127</x:f>
        <x:v>0.015291733333333333</x:v>
      </x:c>
      <x:c r="I127" s="34" t="n">
        <x:f>G127*F127*$D$98*$B$98/(1-$B$98)</x:f>
        <x:v>0.0015291733333333336</x:v>
      </x:c>
      <x:c r="J127" s="52" t="n">
        <x:v>1</x:v>
      </x:c>
      <x:c r="K127" s="34" t="n">
        <x:f>I127*J127</x:f>
        <x:v>0.0015291733333333336</x:v>
      </x:c>
      <x:c r="L127" s="30" t="str">
        <x:v>原通信行 88</x:v>
      </x:c>
    </x:row>
    <x:row r="128" ht="23" customHeight="1">
      <x:c r="A128" s="30" t="str">
        <x:v>Fine LM Head TP</x:v>
      </x:c>
      <x:c r="B128" s="30" t="str">
        <x:v>LM Head</x:v>
      </x:c>
      <x:c r="C128" s="30" t="str">
        <x:v>Hidden 输入</x:v>
      </x:c>
      <x:c r="D128" s="34" t="n">
        <x:f>(K89*2^20)/1e9</x:f>
        <x:v>0</x:v>
      </x:c>
      <x:c r="E128" s="51" t="n">
        <x:f>$H$98</x:f>
        <x:v>100</x:v>
      </x:c>
      <x:c r="F128" s="52" t="n">
        <x:v>1</x:v>
      </x:c>
      <x:c r="G128" s="34" t="n">
        <x:f>IF(AND(ISNUMBER(E128),E128&gt;0,ISNUMBER($B$98),$B$98&gt;=0,$B$98&lt;1,ISNUMBER($D$98),$D$98&gt;=0,$D$98&lt;=1,ISNUMBER(F128),F128&gt;=0,F128&lt;=1,ISNUMBER(J128),J128&gt;=0,J128&lt;=1),D128/E128*1000,NA())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G128*F128*$D$98*$B$98/(1-$B$98)</x:f>
        <x:v>0</x:v>
      </x:c>
      <x:c r="J128" s="52" t="n">
        <x:v>1</x:v>
      </x:c>
      <x:c r="K128" s="34" t="n">
        <x:f>I128*J128</x:f>
        <x:v>0</x:v>
      </x:c>
      <x:c r="L128" s="30" t="str">
        <x:v>原通信行 89</x:v>
      </x:c>
    </x:row>
    <x:row r="129" ht="23" customHeight="1">
      <x:c r="A129" s="30" t="str">
        <x:v>Fine LM Head TP</x:v>
      </x:c>
      <x:c r="B129" s="30" t="str">
        <x:v>LM Head</x:v>
      </x:c>
      <x:c r="C129" s="30" t="str">
        <x:v>完整 Logits</x:v>
      </x:c>
      <x:c r="D129" s="34" t="n">
        <x:f>(K90*2^20)/1e9</x:f>
        <x:v>0</x:v>
      </x:c>
      <x:c r="E129" s="51" t="n">
        <x:f>$H$98</x:f>
        <x:v>100</x:v>
      </x:c>
      <x:c r="F129" s="52" t="n">
        <x:v>1</x:v>
      </x:c>
      <x:c r="G129" s="34" t="n">
        <x:f>IF(AND(ISNUMBER(E129),E129&gt;0,ISNUMBER($B$98),$B$98&gt;=0,$B$98&lt;1,ISNUMBER($D$98),$D$98&gt;=0,$D$98&lt;=1,ISNUMBER(F129),F129&gt;=0,F129&lt;=1,ISNUMBER(J129),J129&gt;=0,J129&lt;=1),D129/E129*1000,NA())</x:f>
        <x:v>0</x:v>
      </x:c>
      <x:c r="H129" s="34" t="n">
        <x:f>G129+I129</x:f>
        <x:v>0</x:v>
      </x:c>
      <x:c r="I129" s="34" t="n">
        <x:f>G129*F129*$D$98*$B$98/(1-$B$98)</x:f>
        <x:v>0</x:v>
      </x:c>
      <x:c r="J129" s="52" t="n">
        <x:v>1</x:v>
      </x:c>
      <x:c r="K129" s="34" t="n">
        <x:f>I129*J129</x:f>
        <x:v>0</x:v>
      </x:c>
      <x:c r="L129" s="30" t="str">
        <x:v>原通信行 90</x:v>
      </x:c>
    </x:row>
    <x:row r="130" ht="23" customHeight="1">
      <x:c r="A130" s="30" t="str">
        <x:v>Fine LM Head TP</x:v>
      </x:c>
      <x:c r="B130" s="30" t="str">
        <x:v>LM Head</x:v>
      </x:c>
      <x:c r="C130" s="30" t="str">
        <x:v>Reduce Sample</x:v>
      </x:c>
      <x:c r="D130" s="34" t="n">
        <x:f>(K91*2^20)/1e9</x:f>
        <x:v>0</x:v>
      </x:c>
      <x:c r="E130" s="51" t="n">
        <x:f>$H$98</x:f>
        <x:v>100</x:v>
      </x:c>
      <x:c r="F130" s="52" t="n">
        <x:v>1</x:v>
      </x:c>
      <x:c r="G130" s="34" t="n">
        <x:f>IF(AND(ISNUMBER(E130),E130&gt;0,ISNUMBER($B$98),$B$98&gt;=0,$B$98&lt;1,ISNUMBER($D$98),$D$98&gt;=0,$D$98&lt;=1,ISNUMBER(F130),F130&gt;=0,F130&lt;=1,ISNUMBER(J130),J130&gt;=0,J130&lt;=1),D130/E130*1000,NA())</x:f>
        <x:v>0</x:v>
      </x:c>
      <x:c r="H130" s="34" t="n">
        <x:f>G130+I130</x:f>
        <x:v>0</x:v>
      </x:c>
      <x:c r="I130" s="34" t="n">
        <x:f>G130*F130*$D$98*$B$98/(1-$B$98)</x:f>
        <x:v>0</x:v>
      </x:c>
      <x:c r="J130" s="52" t="n">
        <x:v>1</x:v>
      </x:c>
      <x:c r="K130" s="34" t="n">
        <x:f>I130*J130</x:f>
        <x:v>0</x:v>
      </x:c>
      <x:c r="L130" s="30" t="str">
        <x:v>原通信行 91</x:v>
      </x:c>
    </x:row>
    <x:row r="131" ht="23" customHeight="1">
      <x:c r="A131" s="30" t="str">
        <x:v>EP</x:v>
      </x:c>
      <x:c r="B131" s="30" t="str">
        <x:v>MoE 计数</x:v>
      </x:c>
      <x:c r="C131" s="30" t="str">
        <x:v>直方图 Ring AG</x:v>
      </x:c>
      <x:c r="D131" s="34" t="n">
        <x:f>(IF(E74=0,0,H74*ROUNDUP(896/G74,0)*G74*4*(G74-1)))/1e9</x:f>
        <x:v>0.002308096</x:v>
      </x:c>
      <x:c r="E131" s="51" t="n">
        <x:f>$H$98</x:f>
        <x:v>100</x:v>
      </x:c>
      <x:c r="F131" s="52" t="n">
        <x:v>1</x:v>
      </x:c>
      <x:c r="G131" s="34" t="n">
        <x:f>IF(AND(ISNUMBER(E131),E131&gt;0,ISNUMBER($B$98),$B$98&gt;=0,$B$98&lt;1,ISNUMBER($D$98),$D$98&gt;=0,$D$98&lt;=1,ISNUMBER(F131),F131&gt;=0,F131&lt;=1,ISNUMBER(J131),J131&gt;=0,J131&lt;=1),D131/E131*1000,NA())</x:f>
        <x:v>0.023080959999999998</x:v>
      </x:c>
      <x:c r="H131" s="34" t="n">
        <x:f>G131+I131</x:f>
        <x:v>0.02564551111111111</x:v>
      </x:c>
      <x:c r="I131" s="34" t="n">
        <x:f>G131*F131*$D$98*$B$98/(1-$B$98)</x:f>
        <x:v>0.002564551111111111</x:v>
      </x:c>
      <x:c r="J131" s="52" t="n">
        <x:v>1</x:v>
      </x:c>
      <x:c r="K131" s="34" t="n">
        <x:f>I131*J131</x:f>
        <x:v>0.002564551111111111</x:v>
      </x:c>
      <x:c r="L131" s="30" t="str">
        <x:v>额外控制量</x:v>
      </x:c>
    </x:row>
    <x:row r="132" ht="23" customHeight="1">
      <x:c r="A132" s="53" t="str">
        <x:v>所列事件串行相加</x:v>
      </x:c>
      <x:c r="B132" s="53"/>
      <x:c r="C132" s="53"/>
      <x:c r="D132" s="54" t="n">
        <x:f>SUM(D104:D131)</x:f>
        <x:v>76.17486643199999</x:v>
      </x:c>
      <x:c r="E132" s="54"/>
      <x:c r="F132" s="53"/>
      <x:c r="G132" s="54" t="n">
        <x:f>SUM(G104:G131)</x:f>
        <x:v>761.74866432</x:v>
      </x:c>
      <x:c r="H132" s="54" t="n">
        <x:f>SUM(H104:H131)</x:f>
        <x:v>846.3874048</x:v>
      </x:c>
      <x:c r="I132" s="54" t="n">
        <x:f>SUM(I104:I131)</x:f>
        <x:v>84.63874048000001</x:v>
      </x:c>
      <x:c r="J132" s="53"/>
      <x:c r="K132" s="54" t="n">
        <x:f>SUM(K104:K131)</x:f>
        <x:v>84.63874048000001</x:v>
      </x:c>
      <x:c r="L132" s="53"/>
    </x:row>
  </x:sheetData>
  <x:conditionalFormatting sqref="L100:L10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'Decode'!$P$12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/>
      <x:c r="P15" s="35"/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'Decode'!$P$14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'Decode'!$P$14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'Decode'!$P$14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'Decode'!$P$14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'Decode'!$P$14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IF('Decode'!$P$17="TP",'Decode'!$P$18,1)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'Decode'!$P$12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'Decode'!$P$12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'Decode'!$P$12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'Decode'!$P$12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'Decode'!$P$12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'Decode'!$P$12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'Decode'!$P$12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'Decode'!$P$12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'Decode'!$P$12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IF('Decode'!$P$19&gt;0,'Decode'!$P$19,'Decode'!$P$12)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'Decode'!$P$12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'Decode'!$P$12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'Decode'!$P$7*7168</x:f>
        <x:v>7340032</x:v>
      </x:c>
      <x:c r="F65" s="33" t="n">
        <x:f>'Decode'!$P$28</x:f>
        <x:v>2</x:v>
      </x:c>
      <x:c r="G65" s="33" t="n">
        <x:f>IF('Decode'!$P$21&gt;0,'Decode'!$P$21,'Decode'!$P$12)</x:f>
        <x:v>8</x:v>
      </x:c>
      <x:c r="H65" s="33" t="n">
        <x:f>IF(AND(IF('Decode'!$P$21&gt;0,'Decode'!$P$21,'Decode'!$P$12)&gt;1,'Decode'!$P$24=0),1,0)</x:f>
        <x:v>1</x:v>
      </x:c>
      <x:c r="I65" s="34" t="n">
        <x:f>E65*F65/1048576</x:f>
        <x:v>14</x:v>
      </x:c>
      <x:c r="J65" s="34" t="n">
        <x:f>I65*(IF(G65&gt;1,2*(G65-1)/G65,0))</x:f>
        <x:v>24.5</x:v>
      </x:c>
      <x:c r="K65" s="34" t="n">
        <x:f>J65*H65</x:f>
        <x:v>24.5</x:v>
      </x:c>
      <x:c r="L65" s="34" t="n">
        <x:f>K65*G65</x:f>
        <x:v>196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'Decode'!$P$7</x:f>
        <x:v>1024</x:v>
      </x:c>
      <x:c r="F66" s="33" t="n">
        <x:f>'Decode'!$P$30</x:f>
        <x:v>8</x:v>
      </x:c>
      <x:c r="G66" s="33" t="n">
        <x:f>IF('Decode'!$P$21&gt;0,'Decode'!$P$21,'Decode'!$P$12)</x:f>
        <x:v>8</x:v>
      </x:c>
      <x:c r="H66" s="33" t="n">
        <x:f>IF(AND(IF('Decode'!$P$21&gt;0,'Decode'!$P$21,'Decode'!$P$12)&gt;1,'Decode'!$P$24&lt;&gt;0),1,0)</x:f>
        <x:v>0</x:v>
      </x:c>
      <x:c r="I66" s="34" t="n">
        <x:f>E66*F66/1048576</x:f>
        <x:v>0.0078125</x:v>
      </x:c>
      <x:c r="J66" s="34" t="n">
        <x:f>I66*(IF(G66&gt;1,G66-1,0))</x:f>
        <x:v>0.0546875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'Decode'!$P$7*IF('Decode'!$P$21&gt;0,'Decode'!$P$21,'Decode'!$P$12)*7168</x:f>
        <x:v>58720256</x:v>
      </x:c>
      <x:c r="F67" s="33" t="n">
        <x:f>'Decode'!$P$28</x:f>
        <x:v>2</x:v>
      </x:c>
      <x:c r="G67" s="33" t="n">
        <x:f>IF('Decode'!$P$21&gt;0,'Decode'!$P$21,'Decode'!$P$12)</x:f>
        <x:v>8</x:v>
      </x:c>
      <x:c r="H67" s="33" t="n">
        <x:f>IF(AND(IF('Decode'!$P$21&gt;0,'Decode'!$P$21,'Decode'!$P$12)&gt;1,'Decode'!$P$24&lt;&gt;0),1,0)</x:f>
        <x:v>0</x:v>
      </x:c>
      <x:c r="I67" s="34" t="n">
        <x:f>E67*F67/1048576</x:f>
        <x:v>112</x:v>
      </x:c>
      <x:c r="J67" s="34" t="n">
        <x:f>I67*(IF(G67&gt;1,(G67-1)/G67,0))</x:f>
        <x:v>98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((ROUNDUP('Decode'!$P$7/'Decode'!$P$12,0)*'Decode'!$P$12)/'Decode'!$P$12)*7168</x:f>
        <x:v>917504</x:v>
      </x:c>
      <x:c r="F68" s="33" t="n">
        <x:f>'Decode'!$P$28</x:f>
        <x:v>2</x:v>
      </x:c>
      <x:c r="G68" s="33" t="n">
        <x:f>'Decode'!$P$12</x:f>
        <x:v>8</x:v>
      </x:c>
      <x:c r="H68" s="33" t="n">
        <x:f>93*IF(AND('Decode'!$P$13&lt;&gt;0,'Decode'!$P$12&gt;1,'Decode'!$P$22=0),1,0)</x:f>
        <x:v>93</x:v>
      </x:c>
      <x:c r="I68" s="34" t="n">
        <x:f>E68*F68/1048576</x:f>
        <x:v>1.75</x:v>
      </x:c>
      <x:c r="J68" s="34" t="n">
        <x:f>I68*(IF(G68&gt;1,G68-1,0))</x:f>
        <x:v>12.25</x:v>
      </x:c>
      <x:c r="K68" s="34" t="n">
        <x:f>J68*H68</x:f>
        <x:v>1139.25</x:v>
      </x:c>
      <x:c r="L68" s="34" t="n">
        <x:f>K68*G68</x:f>
        <x:v>9114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(ROUNDUP('Decode'!$P$7/'Decode'!$P$12,0)*'Decode'!$P$12)*7168</x:f>
        <x:v>7340032</x:v>
      </x:c>
      <x:c r="F69" s="33" t="n">
        <x:f>'Decode'!$P$28</x:f>
        <x:v>2</x:v>
      </x:c>
      <x:c r="G69" s="33" t="n">
        <x:f>'Decode'!$P$12</x:f>
        <x:v>8</x:v>
      </x:c>
      <x:c r="H69" s="33" t="n">
        <x:f>93*IF(AND('Decode'!$P$13&lt;&gt;0,'Decode'!$P$12&gt;1,'Decode'!$P$22=0),1,0)</x:f>
        <x:v>93</x:v>
      </x:c>
      <x:c r="I69" s="34" t="n">
        <x:f>E69*F69/1048576</x:f>
        <x:v>14</x:v>
      </x:c>
      <x:c r="J69" s="34" t="n">
        <x:f>I69*(IF(G69&gt;1,(G69-1)/G69,0))</x:f>
        <x:v>12.25</x:v>
      </x:c>
      <x:c r="K69" s="34" t="n">
        <x:f>J69*H69</x:f>
        <x:v>1139.25</x:v>
      </x:c>
      <x:c r="L69" s="34" t="n">
        <x:f>K69*G69</x:f>
        <x:v>9114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'Decode'!$P$7*7168</x:f>
        <x:v>7340032</x:v>
      </x:c>
      <x:c r="F70" s="33" t="n">
        <x:f>'Decode'!$P$28</x:f>
        <x:v>2</x:v>
      </x:c>
      <x:c r="G70" s="33" t="n">
        <x:f>IF('Decode'!$P$19&gt;0,'Decode'!$P$19,'Decode'!$P$12)</x:f>
        <x:v>8</x:v>
      </x:c>
      <x:c r="H70" s="33" t="n">
        <x:f>93*IF(AND('Decode'!$P$13=0,IF('Decode'!$P$19&gt;0,'Decode'!$P$19,'Decode'!$P$12)&gt;1,'Decode'!$P$22=0),1,0)</x:f>
        <x:v>0</x:v>
      </x:c>
      <x:c r="I70" s="34" t="n">
        <x:f>E70*F70/1048576</x:f>
        <x:v>14</x:v>
      </x:c>
      <x:c r="J70" s="34" t="n">
        <x:f>I70*(IF(G70&gt;1,2*(G70-1)/G70,0))</x:f>
        <x:v>24.5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'Decode'!$P$7*12288</x:f>
        <x:v>12582912</x:v>
      </x:c>
      <x:c r="F71" s="33" t="n">
        <x:f>'Decode'!$P$28</x:f>
        <x:v>2</x:v>
      </x:c>
      <x:c r="G71" s="33" t="n">
        <x:f>IF('Decode'!$P$19&gt;0,'Decode'!$P$19,'Decode'!$P$12)</x:f>
        <x:v>8</x:v>
      </x:c>
      <x:c r="H71" s="33" t="n">
        <x:f>93*IF(AND(IF('Decode'!$P$19&gt;0,'Decode'!$P$19,'Decode'!$P$12)&gt;1,'Decode'!$P$22&lt;&gt;0),1,0)</x:f>
        <x:v>0</x:v>
      </x:c>
      <x:c r="I71" s="34" t="n">
        <x:f>E71*F71/1048576</x:f>
        <x:v>24</x:v>
      </x:c>
      <x:c r="J71" s="34" t="n">
        <x:f>I71*(IF(G71&gt;1,(G71-1)/G71,0))</x:f>
        <x:v>21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'Decode'!$P$7*IF('Decode'!$P$19&gt;0,'Decode'!$P$19,'Decode'!$P$12)*7168</x:f>
        <x:v>58720256</x:v>
      </x:c>
      <x:c r="F72" s="33" t="n">
        <x:f>'Decode'!$P$28</x:f>
        <x:v>2</x:v>
      </x:c>
      <x:c r="G72" s="33" t="n">
        <x:f>IF('Decode'!$P$19&gt;0,'Decode'!$P$19,'Decode'!$P$12)</x:f>
        <x:v>8</x:v>
      </x:c>
      <x:c r="H72" s="33" t="n">
        <x:f>93*IF(AND(IF('Decode'!$P$19&gt;0,'Decode'!$P$19,'Decode'!$P$12)&gt;1,'Decode'!$P$22&lt;&gt;0),1,0)</x:f>
        <x:v>0</x:v>
      </x:c>
      <x:c r="I72" s="34" t="n">
        <x:f>E72*F72/1048576</x:f>
        <x:v>112</x:v>
      </x:c>
      <x:c r="J72" s="34" t="n">
        <x:f>I72*(IF(G72&gt;1,(G72-1)/G72,0))</x:f>
        <x:v>98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IF('Decode'!$P$13&lt;&gt;0,((ROUNDUP('Decode'!$P$7/'Decode'!$P$12,0)*'Decode'!$P$12)/'Decode'!$P$12),'Decode'!$P$7)*7168</x:f>
        <x:v>917504</x:v>
      </x:c>
      <x:c r="F73" s="33" t="n">
        <x:f>'Decode'!$P$28</x:f>
        <x:v>2</x:v>
      </x:c>
      <x:c r="G73" s="33" t="n">
        <x:f>'Decode'!$P$12</x:f>
        <x:v>8</x:v>
      </x:c>
      <x:c r="H73" s="33" t="n">
        <x:f>1*IF('Decode'!$P$12&gt;1,1,0)</x:f>
        <x:v>1</x:v>
      </x:c>
      <x:c r="I73" s="34" t="n">
        <x:f>E73*F73/1048576</x:f>
        <x:v>1.75</x:v>
      </x:c>
      <x:c r="J73" s="34" t="n">
        <x:f>I73*(IF(G73&gt;1,2*(G73-1)/G73,0))</x:f>
        <x:v>3.0625</x:v>
      </x:c>
      <x:c r="K73" s="34" t="n">
        <x:f>J73*H73</x:f>
        <x:v>3.0625</x:v>
      </x:c>
      <x:c r="L73" s="34" t="n">
        <x:f>K73*G73</x:f>
        <x:v>24.5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IF('Decode'!$P$13&lt;&gt;0,((ROUNDUP('Decode'!$P$7/'Decode'!$P$12,0)*'Decode'!$P$12)/'Decode'!$P$12),'Decode'!$P$7)*16*'Decode'!$P$32*7168</x:f>
        <x:v>12845056</x:v>
      </x:c>
      <x:c r="F74" s="33" t="n">
        <x:f>'Decode'!$P$28</x:f>
        <x:v>2</x:v>
      </x:c>
      <x:c r="G74" s="33" t="n">
        <x:f>'Decode'!$P$14</x:f>
        <x:v>8</x:v>
      </x:c>
      <x:c r="H74" s="33" t="n">
        <x:f>92*IF('Decode'!$P$14&gt;1,1,0)</x:f>
        <x:v>92</x:v>
      </x:c>
      <x:c r="I74" s="34" t="n">
        <x:f>E74*F74/1048576</x:f>
        <x:v>24.5</x:v>
      </x:c>
      <x:c r="J74" s="34" t="n">
        <x:f>I74*(1)</x:f>
        <x:v>24.5</x:v>
      </x:c>
      <x:c r="K74" s="34" t="n">
        <x:f>J74*H74</x:f>
        <x:v>2254</x:v>
      </x:c>
      <x:c r="L74" s="34" t="n">
        <x:f>K74*G74</x:f>
        <x:v>18032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IF('Decode'!$P$13&lt;&gt;0,((ROUNDUP('Decode'!$P$7/'Decode'!$P$12,0)*'Decode'!$P$12)/'Decode'!$P$12),'Decode'!$P$7)*16*'Decode'!$P$32*7168</x:f>
        <x:v>12845056</x:v>
      </x:c>
      <x:c r="F75" s="33" t="n">
        <x:f>'Decode'!$P$28</x:f>
        <x:v>2</x:v>
      </x:c>
      <x:c r="G75" s="33" t="n">
        <x:f>'Decode'!$P$14</x:f>
        <x:v>8</x:v>
      </x:c>
      <x:c r="H75" s="33" t="n">
        <x:f>92*IF('Decode'!$P$14&gt;1,1,0)</x:f>
        <x:v>92</x:v>
      </x:c>
      <x:c r="I75" s="34" t="n">
        <x:f>E75*F75/1048576</x:f>
        <x:v>24.5</x:v>
      </x:c>
      <x:c r="J75" s="34" t="n">
        <x:f>I75*(1)</x:f>
        <x:v>24.5</x:v>
      </x:c>
      <x:c r="K75" s="34" t="n">
        <x:f>J75*H75</x:f>
        <x:v>2254</x:v>
      </x:c>
      <x:c r="L75" s="34" t="n">
        <x:f>K75*G75</x:f>
        <x:v>18032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'Decode'!$P$7*7168</x:f>
        <x:v>7340032</x:v>
      </x:c>
      <x:c r="F76" s="33" t="n">
        <x:f>'Decode'!$P$28</x:f>
        <x:v>2</x:v>
      </x:c>
      <x:c r="G76" s="33" t="n">
        <x:f>'Decode'!$P$11</x:f>
        <x:v>1</x:v>
      </x:c>
      <x:c r="H76" s="33" t="n">
        <x:f>92*IF(AND('Decode'!$P$11&gt;1,'Decode'!$P$14=1),1,0)</x:f>
        <x:v>0</x:v>
      </x:c>
      <x:c r="I76" s="34" t="n">
        <x:f>E76*F76/1048576</x:f>
        <x:v>14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'Decode'!$P$7*896</x:f>
        <x:v>917504</x:v>
      </x:c>
      <x:c r="F77" s="33" t="n">
        <x:f>'Decode'!$P$28</x:f>
        <x:v>2</x:v>
      </x:c>
      <x:c r="G77" s="33" t="n">
        <x:f>'Decode'!$P$11</x:f>
        <x:v>1</x:v>
      </x:c>
      <x:c r="H77" s="33" t="n">
        <x:f>92*IF(AND('Decode'!$P$11&gt;1,'Decode'!$P$14=1),1,0)</x:f>
        <x:v>0</x:v>
      </x:c>
      <x:c r="I77" s="34" t="n">
        <x:f>E77*F77/1048576</x:f>
        <x:v>1.75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'Decode'!$P$7*'Decode'!$P$11*7168</x:f>
        <x:v>7340032</x:v>
      </x:c>
      <x:c r="F78" s="33" t="n">
        <x:f>'Decode'!$P$28</x:f>
        <x:v>2</x:v>
      </x:c>
      <x:c r="G78" s="33" t="n">
        <x:f>'Decode'!$P$11</x:f>
        <x:v>1</x:v>
      </x:c>
      <x:c r="H78" s="33" t="n">
        <x:f>92*IF(AND('Decode'!$P$11&gt;1,'Decode'!$P$14=1),1,0)</x:f>
        <x:v>0</x:v>
      </x:c>
      <x:c r="I78" s="34" t="n">
        <x:f>E78*F78/1048576</x:f>
        <x:v>14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((ROUNDUP('Decode'!$P$7/'Decode'!$P$12,0)*'Decode'!$P$12)/'Decode'!$P$12)*7168</x:f>
        <x:v>917504</x:v>
      </x:c>
      <x:c r="F79" s="33" t="n">
        <x:f>'Decode'!$P$28</x:f>
        <x:v>2</x:v>
      </x:c>
      <x:c r="G79" s="33" t="n">
        <x:f>IF('Decode'!$P$17="TP",'Decode'!$P$18,1)</x:f>
        <x:v>8</x:v>
      </x:c>
      <x:c r="H79" s="33" t="n">
        <x:f>92*IF(AND('Decode'!$P$17="TP",IF('Decode'!$P$17="TP",'Decode'!$P$18,1)&gt;1,'Decode'!$P$13&lt;&gt;0),1,0)</x:f>
        <x:v>92</x:v>
      </x:c>
      <x:c r="I79" s="34" t="n">
        <x:f>E79*F79/1048576</x:f>
        <x:v>1.75</x:v>
      </x:c>
      <x:c r="J79" s="34" t="n">
        <x:f>I79*(IF(G79&gt;1,G79-1,0))</x:f>
        <x:v>12.25</x:v>
      </x:c>
      <x:c r="K79" s="34" t="n">
        <x:f>J79*H79</x:f>
        <x:v>1127</x:v>
      </x:c>
      <x:c r="L79" s="34" t="n">
        <x:f>K79*G79</x:f>
        <x:v>9016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(ROUNDUP('Decode'!$P$7/'Decode'!$P$12,0)*'Decode'!$P$12)*7168</x:f>
        <x:v>7340032</x:v>
      </x:c>
      <x:c r="F80" s="33" t="n">
        <x:f>'Decode'!$P$28</x:f>
        <x:v>2</x:v>
      </x:c>
      <x:c r="G80" s="33" t="n">
        <x:f>IF('Decode'!$P$17="TP",'Decode'!$P$18,1)</x:f>
        <x:v>8</x:v>
      </x:c>
      <x:c r="H80" s="33" t="n">
        <x:f>92*IF(AND('Decode'!$P$17="TP",IF('Decode'!$P$17="TP",'Decode'!$P$18,1)&gt;1,'Decode'!$P$13&lt;&gt;0),1,0)</x:f>
        <x:v>92</x:v>
      </x:c>
      <x:c r="I80" s="34" t="n">
        <x:f>E80*F80/1048576</x:f>
        <x:v>14</x:v>
      </x:c>
      <x:c r="J80" s="34" t="n">
        <x:f>I80*(IF(G80&gt;1,(G80-1)/G80,0))</x:f>
        <x:v>12.25</x:v>
      </x:c>
      <x:c r="K80" s="34" t="n">
        <x:f>J80*H80</x:f>
        <x:v>1127</x:v>
      </x:c>
      <x:c r="L80" s="34" t="n">
        <x:f>K80*G80</x:f>
        <x:v>9016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'Decode'!$P$7*7168</x:f>
        <x:v>7340032</x:v>
      </x:c>
      <x:c r="F81" s="33" t="n">
        <x:f>'Decode'!$P$28</x:f>
        <x:v>2</x:v>
      </x:c>
      <x:c r="G81" s="33" t="n">
        <x:f>IF('Decode'!$P$17="TP",'Decode'!$P$18,1)</x:f>
        <x:v>8</x:v>
      </x:c>
      <x:c r="H81" s="33" t="n">
        <x:f>92*IF(AND('Decode'!$P$17="TP",IF('Decode'!$P$17="TP",'Decode'!$P$18,1)&gt;1,'Decode'!$P$13=0),1,0)</x:f>
        <x:v>0</x:v>
      </x:c>
      <x:c r="I81" s="34" t="n">
        <x:f>E81*F81/1048576</x:f>
        <x:v>14</x:v>
      </x:c>
      <x:c r="J81" s="34" t="n">
        <x:f>I81*(IF(G81&gt;1,2*(G81-1)/G81,0))</x:f>
        <x:v>24.5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DCP</x:v>
      </x:c>
      <x:c r="B82" s="30" t="str">
        <x:v>Attention</x:v>
      </x:c>
      <x:c r="C82" s="30" t="str">
        <x:v>Query</x:v>
      </x:c>
      <x:c r="D82" s="30" t="str">
        <x:v>Ring AllGather</x:v>
      </x:c>
      <x:c r="E82" s="33" t="n">
        <x:f>'Decode'!$P$7*(96/'Decode'!$P$12)*128</x:f>
        <x:v>1572864</x:v>
      </x:c>
      <x:c r="F82" s="33" t="n">
        <x:f>'Decode'!$P$28</x:f>
        <x:v>2</x:v>
      </x:c>
      <x:c r="G82" s="33" t="n">
        <x:f>'Decode'!$P$16</x:f>
        <x:v>1</x:v>
      </x:c>
      <x:c r="H82" s="33" t="n">
        <x:f>24*IF('Decode'!$P$16&gt;1,1,0)</x:f>
        <x:v>0</x:v>
      </x:c>
      <x:c r="I82" s="34" t="n">
        <x:f>E82*F82/1048576</x:f>
        <x:v>3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DCP</x:v>
      </x:c>
      <x:c r="B83" s="30" t="str">
        <x:v>Attention</x:v>
      </x:c>
      <x:c r="C83" s="30" t="str">
        <x:v>LSE</x:v>
      </x:c>
      <x:c r="D83" s="30" t="str">
        <x:v>Ring AllGather</x:v>
      </x:c>
      <x:c r="E83" s="33" t="n">
        <x:f>'Decode'!$P$7*(96*'Decode'!$P$16/'Decode'!$P$12)</x:f>
        <x:v>12288</x:v>
      </x:c>
      <x:c r="F83" s="33" t="n">
        <x:f>'Decode'!$P$29</x:f>
        <x:v>4</x:v>
      </x:c>
      <x:c r="G83" s="33" t="n">
        <x:f>'Decode'!$P$16</x:f>
        <x:v>1</x:v>
      </x:c>
      <x:c r="H83" s="33" t="n">
        <x:f>24*IF('Decode'!$P$16&gt;1,1,0)</x:f>
        <x:v>0</x:v>
      </x:c>
      <x:c r="I83" s="34" t="n">
        <x:f>E83*F83/1048576</x:f>
        <x:v>0.046875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DCP</x:v>
      </x:c>
      <x:c r="B84" s="30" t="str">
        <x:v>Attention</x:v>
      </x:c>
      <x:c r="C84" s="30" t="str">
        <x:v>Attention 输出</x:v>
      </x:c>
      <x:c r="D84" s="30" t="str">
        <x:v>Ring ReduceScatter</x:v>
      </x:c>
      <x:c r="E84" s="33" t="n">
        <x:f>'Decode'!$P$7*(96*'Decode'!$P$16/'Decode'!$P$12)*128</x:f>
        <x:v>1572864</x:v>
      </x:c>
      <x:c r="F84" s="33" t="n">
        <x:f>'Decode'!$P$28</x:f>
        <x:v>2</x:v>
      </x:c>
      <x:c r="G84" s="33" t="n">
        <x:f>'Decode'!$P$16</x:f>
        <x:v>1</x:v>
      </x:c>
      <x:c r="H84" s="33" t="n">
        <x:f>24*IF('Decode'!$P$16&gt;1,1,0)</x:f>
        <x:v>0</x:v>
      </x:c>
      <x:c r="I84" s="34" t="n">
        <x:f>E84*F84/1048576</x:f>
        <x:v>3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SP</x:v>
      </x:c>
      <x:c r="B85" s="30" t="str">
        <x:v>Model Output</x:v>
      </x:c>
      <x:c r="C85" s="30" t="str">
        <x:v>Final Norm 后</x:v>
      </x:c>
      <x:c r="D85" s="30" t="str">
        <x:v>Ring AllGather</x:v>
      </x:c>
      <x:c r="E85" s="33" t="n">
        <x:f>((ROUNDUP('Decode'!$P$7/'Decode'!$P$12,0)*'Decode'!$P$12)/'Decode'!$P$12)*7168</x:f>
        <x:v>917504</x:v>
      </x:c>
      <x:c r="F85" s="33" t="n">
        <x:f>'Decode'!$P$28</x:f>
        <x:v>2</x:v>
      </x:c>
      <x:c r="G85" s="33" t="n">
        <x:f>'Decode'!$P$12</x:f>
        <x:v>8</x:v>
      </x:c>
      <x:c r="H85" s="33" t="n">
        <x:f>IF(AND('Decode'!$P$13&lt;&gt;0,'Decode'!$P$12&gt;1),1,0)</x:f>
        <x:v>1</x:v>
      </x:c>
      <x:c r="I85" s="34" t="n">
        <x:f>E85*F85/1048576</x:f>
        <x:v>1.75</x:v>
      </x:c>
      <x:c r="J85" s="34" t="n">
        <x:f>I85*(IF(G85&gt;1,G85-1,0))</x:f>
        <x:v>12.25</x:v>
      </x:c>
      <x:c r="K85" s="34" t="n">
        <x:f>J85*H85</x:f>
        <x:v>12.25</x:v>
      </x:c>
      <x:c r="L85" s="34" t="n">
        <x:f>K85*G85</x:f>
        <x:v>98</x:v>
      </x:c>
      <x:c r="M85" s="30"/>
      <x:c r="N85" s="30"/>
      <x:c r="O85" s="30"/>
      <x:c r="P85" s="30"/>
    </x:row>
    <x:row r="86">
      <x:c r="A86" s="30" t="str">
        <x:v>LM Head TP</x:v>
      </x:c>
      <x:c r="B86" s="30" t="str">
        <x:v>LM Head</x:v>
      </x:c>
      <x:c r="C86" s="30" t="str">
        <x:v>完整 Logits</x:v>
      </x:c>
      <x:c r="D86" s="30" t="str">
        <x:v>Ring AllGather</x:v>
      </x:c>
      <x:c r="E86" s="33" t="n">
        <x:f>'Decode'!$P$8*163840/IF('Decode'!$P$20&gt;0,'Decode'!$P$20,'Decode'!$P$12)</x:f>
        <x:v>20971520</x:v>
      </x:c>
      <x:c r="F86" s="33" t="n">
        <x:f>'Decode'!$P$28</x:f>
        <x:v>2</x:v>
      </x:c>
      <x:c r="G86" s="33" t="n">
        <x:f>IF('Decode'!$P$20&gt;0,'Decode'!$P$20,'Decode'!$P$12)</x:f>
        <x:v>8</x:v>
      </x:c>
      <x:c r="H86" s="33" t="n">
        <x:f>IF(AND(IF('Decode'!$P$20&gt;0,'Decode'!$P$20,'Decode'!$P$12)&gt;1,'Decode'!$P$23=0,'Decode'!$P$33=0),1,0)</x:f>
        <x:v>0</x:v>
      </x:c>
      <x:c r="I86" s="34" t="n">
        <x:f>E86*F86/1048576</x:f>
        <x:v>40</x:v>
      </x:c>
      <x:c r="J86" s="34" t="n">
        <x:f>I86*(IF(G86&gt;1,G86-1,0))</x:f>
        <x:v>280</x:v>
      </x:c>
      <x:c r="K86" s="34" t="n">
        <x:f>J86*H86</x:f>
        <x:v>0</x:v>
      </x:c>
      <x:c r="L86" s="34" t="n">
        <x:f>K86*G86</x:f>
        <x:v>0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Reduce Sample</x:v>
      </x:c>
      <x:c r="D87" s="30" t="str">
        <x:v>Ring AllGather</x:v>
      </x:c>
      <x:c r="E87" s="33" t="n">
        <x:f>'Decode'!$P$8*'Decode'!$P$34</x:f>
        <x:v>262144</x:v>
      </x:c>
      <x:c r="F87" s="33" t="n">
        <x:f>('Decode'!$P$28+'Decode'!$P$31)</x:f>
        <x:v>6</x:v>
      </x:c>
      <x:c r="G87" s="33" t="n">
        <x:f>IF('Decode'!$P$20&gt;0,'Decode'!$P$20,'Decode'!$P$12)</x:f>
        <x:v>8</x:v>
      </x:c>
      <x:c r="H87" s="33" t="n">
        <x:f>IF(AND(IF('Decode'!$P$20&gt;0,'Decode'!$P$20,'Decode'!$P$12)&gt;1,'Decode'!$P$23=0,'Decode'!$P$33&lt;&gt;0),1,0)</x:f>
        <x:v>1</x:v>
      </x:c>
      <x:c r="I87" s="34" t="n">
        <x:f>E87*F87/1048576</x:f>
        <x:v>1.5</x:v>
      </x:c>
      <x:c r="J87" s="34" t="n">
        <x:f>I87*(IF(G87&gt;1,G87-1,0))</x:f>
        <x:v>10.5</x:v>
      </x:c>
      <x:c r="K87" s="34" t="n">
        <x:f>J87*H87</x:f>
        <x:v>10.5</x:v>
      </x:c>
      <x:c r="L87" s="34" t="n">
        <x:f>K87*G87</x:f>
        <x:v>84</x:v>
      </x:c>
      <x:c r="M87" s="30"/>
      <x:c r="N87" s="30"/>
      <x:c r="O87" s="30"/>
      <x:c r="P87" s="30"/>
    </x:row>
    <x:row r="88">
      <x:c r="A88" s="30" t="str">
        <x:v>Fine LM Head TP</x:v>
      </x:c>
      <x:c r="B88" s="30" t="str">
        <x:v>LM Head</x:v>
      </x:c>
      <x:c r="C88" s="30" t="str">
        <x:v>Hidden 输入</x:v>
      </x:c>
      <x:c r="D88" s="30" t="str">
        <x:v>Ring AllGather</x:v>
      </x:c>
      <x:c r="E88" s="33" t="n">
        <x:f>'Decode'!$P$8*7168</x:f>
        <x:v>7340032</x:v>
      </x:c>
      <x:c r="F88" s="33" t="n">
        <x:f>'Decode'!$P$28</x:f>
        <x:v>2</x:v>
      </x:c>
      <x:c r="G88" s="33" t="n">
        <x:f>IF('Decode'!$P$20&gt;0,'Decode'!$P$20,'Decode'!$P$12)</x:f>
        <x:v>8</x:v>
      </x:c>
      <x:c r="H88" s="33" t="n">
        <x:f>IF(AND(IF('Decode'!$P$20&gt;0,'Decode'!$P$20,'Decode'!$P$12)&gt;1,'Decode'!$P$23&lt;&gt;0),1,0)</x:f>
        <x:v>0</x:v>
      </x:c>
      <x:c r="I88" s="34" t="n">
        <x:f>E88*F88/1048576</x:f>
        <x:v>14</x:v>
      </x:c>
      <x:c r="J88" s="34" t="n">
        <x:f>I88*(IF(G88&gt;1,G88-1,0))</x:f>
        <x:v>98</x:v>
      </x:c>
      <x:c r="K88" s="34" t="n">
        <x:f>J88*H88</x:f>
        <x:v>0</x:v>
      </x:c>
      <x:c r="L88" s="34" t="n">
        <x:f>K88*G88</x:f>
        <x:v>0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完整 Logits</x:v>
      </x:c>
      <x:c r="D89" s="30" t="str">
        <x:v>Equal-split AllToAll</x:v>
      </x:c>
      <x:c r="E89" s="33" t="n">
        <x:f>'Decode'!$P$8*163840</x:f>
        <x:v>167772160</x:v>
      </x:c>
      <x:c r="F89" s="33" t="n">
        <x:f>'Decode'!$P$28</x:f>
        <x:v>2</x:v>
      </x:c>
      <x:c r="G89" s="33" t="n">
        <x:f>IF('Decode'!$P$20&gt;0,'Decode'!$P$20,'Decode'!$P$12)</x:f>
        <x:v>8</x:v>
      </x:c>
      <x:c r="H89" s="33" t="n">
        <x:f>IF(AND(IF('Decode'!$P$20&gt;0,'Decode'!$P$20,'Decode'!$P$12)&gt;1,'Decode'!$P$23&lt;&gt;0,'Decode'!$P$33=0),1,0)</x:f>
        <x:v>0</x:v>
      </x:c>
      <x:c r="I89" s="34" t="n">
        <x:f>E89*F89/1048576</x:f>
        <x:v>320</x:v>
      </x:c>
      <x:c r="J89" s="34" t="n">
        <x:f>I89*(IF(G89&gt;1,(G89-1)/G89,0))</x:f>
        <x:v>280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Reduce Sample</x:v>
      </x:c>
      <x:c r="D90" s="30" t="str">
        <x:v>Ring AllGather</x:v>
      </x:c>
      <x:c r="E90" s="33" t="n">
        <x:f>'Decode'!$P$8*'Decode'!$P$34</x:f>
        <x:v>262144</x:v>
      </x:c>
      <x:c r="F90" s="33" t="n">
        <x:f>('Decode'!$P$28+'Decode'!$P$31)</x:f>
        <x:v>6</x:v>
      </x:c>
      <x:c r="G90" s="33" t="n">
        <x:f>IF('Decode'!$P$20&gt;0,'Decode'!$P$20,'Decode'!$P$12)</x:f>
        <x:v>8</x:v>
      </x:c>
      <x:c r="H90" s="33" t="n">
        <x:f>IF(AND(IF('Decode'!$P$20&gt;0,'Decode'!$P$20,'Decode'!$P$12)&gt;1,'Decode'!$P$23&lt;&gt;0,'Decode'!$P$33&lt;&gt;0),1,0)</x:f>
        <x:v>0</x:v>
      </x:c>
      <x:c r="I90" s="34" t="n">
        <x:f>E90*F90/1048576</x:f>
        <x:v>1.5</x:v>
      </x:c>
      <x:c r="J90" s="34" t="n">
        <x:f>I90*(IF(G90&gt;1,G90-1,0))</x:f>
        <x:v>10.5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40" t="str">
        <x:v>合计</x:v>
      </x:c>
      <x:c r="B91" s="40"/>
      <x:c r="C91" s="40"/>
      <x:c r="D91" s="40"/>
      <x:c r="E91" s="40"/>
      <x:c r="F91" s="40"/>
      <x:c r="G91" s="40"/>
      <x:c r="H91" s="40"/>
      <x:c r="I91" s="41"/>
      <x:c r="J91" s="41"/>
      <x:c r="K91" s="41" t="n">
        <x:f>SUM(K65:K90)</x:f>
        <x:v>9090.8125</x:v>
      </x:c>
      <x:c r="L91" s="41" t="n">
        <x:f>SUM(L65:L90)</x:f>
        <x:v>72726.5</x:v>
      </x:c>
      <x:c r="M91" s="30"/>
      <x:c r="N91" s="30"/>
      <x:c r="O91" s="30"/>
      <x:c r="P91" s="30"/>
    </x:row>
    <x:row r="94" ht="23" customHeight="1">
      <x:c r="A94" s="42" t="str">
        <x:v>PD 带宽争用耗时评估</x:v>
      </x:c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</x:row>
    <x:row r="95" ht="23" customHeight="1">
      <x:c r="A95" s="30" t="str">
        <x:v>Decode 当前表参数；100 GB/s 为归一化示例。所列事件的带宽项，不等于完整 forward 耗时。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38" customHeight="1">
      <x:c r="A96" s="45" t="str">
        <x:v>带宽降幅</x:v>
      </x:c>
      <x:c r="B96" s="45" t="str">
        <x:v>输入</x:v>
      </x:c>
      <x:c r="C96" s="45" t="str">
        <x:v>争用覆盖率</x:v>
      </x:c>
      <x:c r="D96" s="45" t="str">
        <x:v>输入</x:v>
      </x:c>
      <x:c r="E96" s="45" t="str">
        <x:v>基线 forward ms</x:v>
      </x:c>
      <x:c r="F96" s="45" t="str">
        <x:v>实测输入</x:v>
      </x:c>
      <x:c r="G96" s="45" t="str">
        <x:v>默认带宽 GB/s</x:v>
      </x:c>
      <x:c r="H96" s="45" t="str">
        <x:v>输入</x:v>
      </x:c>
      <x:c r="I96" s="30"/>
      <x:c r="J96" s="30"/>
      <x:c r="K96" s="30"/>
      <x:c r="L96" s="30"/>
    </x:row>
    <x:row r="97" ht="23" customHeight="1">
      <x:c r="A97" s="30"/>
      <x:c r="B97" s="47" t="n">
        <x:v>0.1</x:v>
      </x:c>
      <x:c r="C97" s="30"/>
      <x:c r="D97" s="47" t="n">
        <x:v>1</x:v>
      </x:c>
      <x:c r="E97" s="30"/>
      <x:c r="F97" s="48"/>
      <x:c r="G97" s="30"/>
      <x:c r="H97" s="48" t="n">
        <x:v>100</x:v>
      </x:c>
      <x:c r="I97" s="30"/>
      <x:c r="J97" s="30"/>
      <x:c r="K97" s="30"/>
      <x:c r="L97" s="30"/>
    </x:row>
    <x:row r="98" ht="38" customHeight="1">
      <x:c r="A98" s="45" t="str">
        <x:v>通信基线 ms</x:v>
      </x:c>
      <x:c r="B98" s="45" t="str">
        <x:v>结果</x:v>
      </x:c>
      <x:c r="C98" s="45" t="str">
        <x:v>通信争用后 ms</x:v>
      </x:c>
      <x:c r="D98" s="45" t="str">
        <x:v>结果</x:v>
      </x:c>
      <x:c r="E98" s="45" t="str">
        <x:v>forward 增量 ms</x:v>
      </x:c>
      <x:c r="F98" s="45" t="str">
        <x:v>结果</x:v>
      </x:c>
      <x:c r="G98" s="45" t="str">
        <x:v>forward 新耗时 ms</x:v>
      </x:c>
      <x:c r="H98" s="45" t="str">
        <x:v>结果</x:v>
      </x:c>
      <x:c r="I98" s="45" t="str">
        <x:v>forward 增幅</x:v>
      </x:c>
      <x:c r="J98" s="45" t="str">
        <x:v>结果</x:v>
      </x:c>
      <x:c r="K98" s="45" t="str">
        <x:v>输入状态</x:v>
      </x:c>
      <x:c r="L98" s="45" t="str">
        <x:v>状态</x:v>
      </x:c>
    </x:row>
    <x:row r="99" ht="23" customHeight="1">
      <x:c r="A99" s="49"/>
      <x:c r="B99" s="49" t="n">
        <x:f>SUM(G103:G129)</x:f>
        <x:v>97.08812288</x:v>
      </x:c>
      <x:c r="C99" s="49"/>
      <x:c r="D99" s="49" t="n">
        <x:f>SUM(H103:H129)</x:f>
        <x:v>107.87569208888888</x:v>
      </x:c>
      <x:c r="E99" s="49"/>
      <x:c r="F99" s="49" t="n">
        <x:f>SUM(K103:K129)</x:f>
        <x:v>10.787569208888891</x:v>
      </x:c>
      <x:c r="G99" s="49"/>
      <x:c r="H99" s="49" t="str">
        <x:f>IF(AND(ISNUMBER($F$97),$F$97&gt;0,$F$97&gt;=SUMPRODUCT(G103:G129,J103:J129)),$F$97+F99,"")</x:f>
      </x:c>
      <x:c r="I99" s="49"/>
      <x:c r="J99" s="50" t="str">
        <x:f>IF(AND(ISNUMBER($F$97),$F$97&gt;0,$F$97&gt;=SUMPRODUCT(G103:G129,J103:J129)),F99/$F$97,"")</x:f>
      </x:c>
      <x:c r="K99" s="49"/>
      <x:c r="L99" s="49" t="str">
        <x:f>IF($F$97="","待填基线",IF(AND(ISNUMBER($F$97),$F$97&gt;0,$F$97&gt;=SUMPRODUCT(G103:G129,J103:J129)),"已填基线","基线/暴露不一致"))</x:f>
        <x:v>待填基线</x:v>
      </x:c>
    </x:row>
    <x:row r="100" ht="23" customHeight="1">
      <x:c r="A100" s="30" t="str">
        <x:v>共享比例=0 表示独立链路；暴露系数=0 表示增量完全隐藏。默认均为 1，降幅只作用于带宽项。</x:v>
      </x:c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</x:row>
    <x:row r="101" ht="23" customHeight="1">
      <x:c r="A101" s="30" t="str">
        <x:v>P: AllToAllV + 4 B 计数 Ring；D: A3 BF16 MC2 FullMesh。每事件带宽按端点发送量定义。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38" customHeight="1">
      <x:c r="A102" s="45" t="str">
        <x:v>并行域</x:v>
      </x:c>
      <x:c r="B102" s="45" t="str">
        <x:v>模块</x:v>
      </x:c>
      <x:c r="C102" s="45" t="str">
        <x:v>通信事件</x:v>
      </x:c>
      <x:c r="D102" s="45" t="str">
        <x:v>GB/Rank/Step</x:v>
      </x:c>
      <x:c r="E102" s="45" t="str">
        <x:v>有效带宽 GB/s</x:v>
      </x:c>
      <x:c r="F102" s="45" t="str">
        <x:v>共享比例</x:v>
      </x:c>
      <x:c r="G102" s="45" t="str">
        <x:v>基线带宽项 ms</x:v>
      </x:c>
      <x:c r="H102" s="45" t="str">
        <x:v>争用后带宽项 ms</x:v>
      </x:c>
      <x:c r="I102" s="45" t="str">
        <x:v>通信增量 ms</x:v>
      </x:c>
      <x:c r="J102" s="45" t="str">
        <x:v>暴露系数</x:v>
      </x:c>
      <x:c r="K102" s="45" t="str">
        <x:v>forward 增量 ms</x:v>
      </x:c>
      <x:c r="L102" s="45" t="str">
        <x:v>公式口径</x:v>
      </x:c>
    </x:row>
    <x:row r="103" ht="23" customHeight="1">
      <x:c r="A103" s="30" t="str">
        <x:v>Embedding TP</x:v>
      </x:c>
      <x:c r="B103" s="30" t="str">
        <x:v>Embedding</x:v>
      </x:c>
      <x:c r="C103" s="30" t="str">
        <x:v>标准 TP 输出</x:v>
      </x:c>
      <x:c r="D103" s="34" t="n">
        <x:f>(K65*2^20)/1e9</x:f>
        <x:v>0.025690112</x:v>
      </x:c>
      <x:c r="E103" s="51" t="n">
        <x:f>$H$97</x:f>
        <x:v>100</x:v>
      </x:c>
      <x:c r="F103" s="52" t="n">
        <x:v>1</x:v>
      </x:c>
      <x:c r="G103" s="34" t="n">
        <x:f>IF(AND(ISNUMBER(E103),E103&gt;0,ISNUMBER($B$97),$B$97&gt;=0,$B$97&lt;1,ISNUMBER($D$97),$D$97&gt;=0,$D$97&lt;=1,ISNUMBER(F103),F103&gt;=0,F103&lt;=1,ISNUMBER(J103),J103&gt;=0,J103&lt;=1),D103/E103*1000,NA())</x:f>
        <x:v>0.25690112000000004</x:v>
      </x:c>
      <x:c r="H103" s="34" t="n">
        <x:f>G103+I103</x:f>
        <x:v>0.28544568888888894</x:v>
      </x:c>
      <x:c r="I103" s="34" t="n">
        <x:f>G103*F103*$D$97*$B$97/(1-$B$97)</x:f>
        <x:v>0.028544568888888892</x:v>
      </x:c>
      <x:c r="J103" s="52" t="n">
        <x:v>1</x:v>
      </x:c>
      <x:c r="K103" s="34" t="n">
        <x:f>I103*J103</x:f>
        <x:v>0.028544568888888892</x:v>
      </x:c>
      <x:c r="L103" s="30" t="str">
        <x:v>原通信行 65</x:v>
      </x:c>
    </x:row>
    <x:row r="104" ht="23" customHeight="1">
      <x:c r="A104" s="30" t="str">
        <x:v>Embedding TP</x:v>
      </x:c>
      <x:c r="B104" s="30" t="str">
        <x:v>Embedding</x:v>
      </x:c>
      <x:c r="C104" s="30" t="str">
        <x:v>Fine TP Token ID</x:v>
      </x:c>
      <x:c r="D104" s="34" t="n">
        <x:f>(K66*2^20)/1e9</x:f>
        <x:v>0</x:v>
      </x:c>
      <x:c r="E104" s="51" t="n">
        <x:f>$H$97</x:f>
        <x:v>100</x:v>
      </x:c>
      <x:c r="F104" s="52" t="n">
        <x:v>1</x:v>
      </x:c>
      <x:c r="G104" s="34" t="n">
        <x:f>IF(AND(ISNUMBER(E104),E104&gt;0,ISNUMBER($B$97),$B$97&gt;=0,$B$97&lt;1,ISNUMBER($D$97),$D$97&gt;=0,$D$97&lt;=1,ISNUMBER(F104),F104&gt;=0,F104&lt;=1,ISNUMBER(J104),J104&gt;=0,J104&lt;=1),D104/E104*1000,NA())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G104*F104*$D$97*$B$97/(1-$B$97)</x:f>
        <x:v>0</x:v>
      </x:c>
      <x:c r="J104" s="52" t="n">
        <x:v>1</x:v>
      </x:c>
      <x:c r="K104" s="34" t="n">
        <x:f>I104*J104</x:f>
        <x:v>0</x:v>
      </x:c>
      <x:c r="L104" s="30" t="str">
        <x:v>原通信行 66</x:v>
      </x:c>
    </x:row>
    <x:row r="105" ht="23" customHeight="1">
      <x:c r="A105" s="30" t="str">
        <x:v>Embedding TP</x:v>
      </x:c>
      <x:c r="B105" s="30" t="str">
        <x:v>Embedding</x:v>
      </x:c>
      <x:c r="C105" s="30" t="str">
        <x:v>Fine TP Hidden</x:v>
      </x:c>
      <x:c r="D105" s="34" t="n">
        <x:f>(K67*2^20)/1e9</x:f>
        <x:v>0</x:v>
      </x:c>
      <x:c r="E105" s="51" t="n">
        <x:f>$H$97</x:f>
        <x:v>100</x:v>
      </x:c>
      <x:c r="F105" s="52" t="n">
        <x:v>1</x:v>
      </x:c>
      <x:c r="G105" s="34" t="n">
        <x:f>IF(AND(ISNUMBER(E105),E105&gt;0,ISNUMBER($B$97),$B$97&gt;=0,$B$97&lt;1,ISNUMBER($D$97),$D$97&gt;=0,$D$97&lt;=1,ISNUMBER(F105),F105&gt;=0,F105&lt;=1,ISNUMBER(J105),J105&gt;=0,J105&lt;=1),D105/E105*1000,NA())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G105*F105*$D$97*$B$97/(1-$B$97)</x:f>
        <x:v>0</x:v>
      </x:c>
      <x:c r="J105" s="52" t="n">
        <x:v>1</x:v>
      </x:c>
      <x:c r="K105" s="34" t="n">
        <x:f>I105*J105</x:f>
        <x:v>0</x:v>
      </x:c>
      <x:c r="L105" s="30" t="str">
        <x:v>原通信行 67</x:v>
      </x:c>
    </x:row>
    <x:row r="106" ht="23" customHeight="1">
      <x:c r="A106" s="30" t="str">
        <x:v>SP</x:v>
      </x:c>
      <x:c r="B106" s="30" t="str">
        <x:v>Attention</x:v>
      </x:c>
      <x:c r="C106" s="30" t="str">
        <x:v>Attention 前</x:v>
      </x:c>
      <x:c r="D106" s="34" t="n">
        <x:f>(K68*2^20)/1e9</x:f>
        <x:v>1.194590208</x:v>
      </x:c>
      <x:c r="E106" s="51" t="n">
        <x:f>$H$97</x:f>
        <x:v>100</x:v>
      </x:c>
      <x:c r="F106" s="52" t="n">
        <x:v>1</x:v>
      </x:c>
      <x:c r="G106" s="34" t="n">
        <x:f>IF(AND(ISNUMBER(E106),E106&gt;0,ISNUMBER($B$97),$B$97&gt;=0,$B$97&lt;1,ISNUMBER($D$97),$D$97&gt;=0,$D$97&lt;=1,ISNUMBER(F106),F106&gt;=0,F106&lt;=1,ISNUMBER(J106),J106&gt;=0,J106&lt;=1),D106/E106*1000,NA())</x:f>
        <x:v>11.94590208</x:v>
      </x:c>
      <x:c r="H106" s="34" t="n">
        <x:f>G106+I106</x:f>
        <x:v>13.273224533333334</x:v>
      </x:c>
      <x:c r="I106" s="34" t="n">
        <x:f>G106*F106*$D$97*$B$97/(1-$B$97)</x:f>
        <x:v>1.3273224533333332</x:v>
      </x:c>
      <x:c r="J106" s="52" t="n">
        <x:v>1</x:v>
      </x:c>
      <x:c r="K106" s="34" t="n">
        <x:f>I106*J106</x:f>
        <x:v>1.3273224533333332</x:v>
      </x:c>
      <x:c r="L106" s="30" t="str">
        <x:v>原通信行 68</x:v>
      </x:c>
    </x:row>
    <x:row r="107" ht="23" customHeight="1">
      <x:c r="A107" s="30" t="str">
        <x:v>SP</x:v>
      </x:c>
      <x:c r="B107" s="30" t="str">
        <x:v>Attention</x:v>
      </x:c>
      <x:c r="C107" s="30" t="str">
        <x:v>O Proj 后</x:v>
      </x:c>
      <x:c r="D107" s="34" t="n">
        <x:f>(K69*2^20)/1e9</x:f>
        <x:v>1.194590208</x:v>
      </x:c>
      <x:c r="E107" s="51" t="n">
        <x:f>$H$97</x:f>
        <x:v>100</x:v>
      </x:c>
      <x:c r="F107" s="52" t="n">
        <x:v>1</x:v>
      </x:c>
      <x:c r="G107" s="34" t="n">
        <x:f>IF(AND(ISNUMBER(E107),E107&gt;0,ISNUMBER($B$97),$B$97&gt;=0,$B$97&lt;1,ISNUMBER($D$97),$D$97&gt;=0,$D$97&lt;=1,ISNUMBER(F107),F107&gt;=0,F107&lt;=1,ISNUMBER(J107),J107&gt;=0,J107&lt;=1),D107/E107*1000,NA())</x:f>
        <x:v>11.94590208</x:v>
      </x:c>
      <x:c r="H107" s="34" t="n">
        <x:f>G107+I107</x:f>
        <x:v>13.273224533333334</x:v>
      </x:c>
      <x:c r="I107" s="34" t="n">
        <x:f>G107*F107*$D$97*$B$97/(1-$B$97)</x:f>
        <x:v>1.3273224533333332</x:v>
      </x:c>
      <x:c r="J107" s="52" t="n">
        <x:v>1</x:v>
      </x:c>
      <x:c r="K107" s="34" t="n">
        <x:f>I107*J107</x:f>
        <x:v>1.3273224533333332</x:v>
      </x:c>
      <x:c r="L107" s="30" t="str">
        <x:v>原通信行 69</x:v>
      </x:c>
    </x:row>
    <x:row r="108" ht="23" customHeight="1">
      <x:c r="A108" s="30" t="str">
        <x:v>O Proj TP</x:v>
      </x:c>
      <x:c r="B108" s="30" t="str">
        <x:v>Attention</x:v>
      </x:c>
      <x:c r="C108" s="30" t="str">
        <x:v>非 SP 标准 TP</x:v>
      </x:c>
      <x:c r="D108" s="34" t="n">
        <x:f>(K70*2^20)/1e9</x:f>
        <x:v>0</x:v>
      </x:c>
      <x:c r="E108" s="51" t="n">
        <x:f>$H$97</x:f>
        <x:v>100</x:v>
      </x:c>
      <x:c r="F108" s="52" t="n">
        <x:v>1</x:v>
      </x:c>
      <x:c r="G108" s="34" t="n">
        <x:f>IF(AND(ISNUMBER(E108),E108&gt;0,ISNUMBER($B$97),$B$97&gt;=0,$B$97&lt;1,ISNUMBER($D$97),$D$97&gt;=0,$D$97&lt;=1,ISNUMBER(F108),F108&gt;=0,F108&lt;=1,ISNUMBER(J108),J108&gt;=0,J108&lt;=1),D108/E108*1000,NA())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G108*F108*$D$97*$B$97/(1-$B$97)</x:f>
        <x:v>0</x:v>
      </x:c>
      <x:c r="J108" s="52" t="n">
        <x:v>1</x:v>
      </x:c>
      <x:c r="K108" s="34" t="n">
        <x:f>I108*J108</x:f>
        <x:v>0</x:v>
      </x:c>
      <x:c r="L108" s="30" t="str">
        <x:v>原通信行 70</x:v>
      </x:c>
    </x:row>
    <x:row r="109" ht="23" customHeight="1">
      <x:c r="A109" s="30" t="str">
        <x:v>Fine O TP</x:v>
      </x:c>
      <x:c r="B109" s="30" t="str">
        <x:v>Attention</x:v>
      </x:c>
      <x:c r="C109" s="30" t="str">
        <x:v>O Proj 输入</x:v>
      </x:c>
      <x:c r="D109" s="34" t="n">
        <x:f>(K71*2^20)/1e9</x:f>
        <x:v>0</x:v>
      </x:c>
      <x:c r="E109" s="51" t="n">
        <x:f>$H$97</x:f>
        <x:v>100</x:v>
      </x:c>
      <x:c r="F109" s="52" t="n">
        <x:v>1</x:v>
      </x:c>
      <x:c r="G109" s="34" t="n">
        <x:f>IF(AND(ISNUMBER(E109),E109&gt;0,ISNUMBER($B$97),$B$97&gt;=0,$B$97&lt;1,ISNUMBER($D$97),$D$97&gt;=0,$D$97&lt;=1,ISNUMBER(F109),F109&gt;=0,F109&lt;=1,ISNUMBER(J109),J109&gt;=0,J109&lt;=1),D109/E109*1000,NA())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G109*F109*$D$97*$B$97/(1-$B$97)</x:f>
        <x:v>0</x:v>
      </x:c>
      <x:c r="J109" s="52" t="n">
        <x:v>1</x:v>
      </x:c>
      <x:c r="K109" s="34" t="n">
        <x:f>I109*J109</x:f>
        <x:v>0</x:v>
      </x:c>
      <x:c r="L109" s="30" t="str">
        <x:v>原通信行 71</x:v>
      </x:c>
    </x:row>
    <x:row r="110" ht="23" customHeight="1">
      <x:c r="A110" s="30" t="str">
        <x:v>Fine O TP</x:v>
      </x:c>
      <x:c r="B110" s="30" t="str">
        <x:v>Attention</x:v>
      </x:c>
      <x:c r="C110" s="30" t="str">
        <x:v>O Proj 输出</x:v>
      </x:c>
      <x:c r="D110" s="34" t="n">
        <x:f>(K72*2^20)/1e9</x:f>
        <x:v>0</x:v>
      </x:c>
      <x:c r="E110" s="51" t="n">
        <x:f>$H$97</x:f>
        <x:v>100</x:v>
      </x:c>
      <x:c r="F110" s="52" t="n">
        <x:v>1</x:v>
      </x:c>
      <x:c r="G110" s="34" t="n">
        <x:f>IF(AND(ISNUMBER(E110),E110&gt;0,ISNUMBER($B$97),$B$97&gt;=0,$B$97&lt;1,ISNUMBER($D$97),$D$97&gt;=0,$D$97&lt;=1,ISNUMBER(F110),F110&gt;=0,F110&lt;=1,ISNUMBER(J110),J110&gt;=0,J110&lt;=1),D110/E110*1000,NA())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G110*F110*$D$97*$B$97/(1-$B$97)</x:f>
        <x:v>0</x:v>
      </x:c>
      <x:c r="J110" s="52" t="n">
        <x:v>1</x:v>
      </x:c>
      <x:c r="K110" s="34" t="n">
        <x:f>I110*J110</x:f>
        <x:v>0</x:v>
      </x:c>
      <x:c r="L110" s="30" t="str">
        <x:v>原通信行 72</x:v>
      </x:c>
    </x:row>
    <x:row r="111" ht="23" customHeight="1">
      <x:c r="A111" s="30" t="str">
        <x:v>SP</x:v>
      </x:c>
      <x:c r="B111" s="30" t="str">
        <x:v>Dense MLP</x:v>
      </x:c>
      <x:c r="C111" s="30" t="str">
        <x:v>Down Proj 输出</x:v>
      </x:c>
      <x:c r="D111" s="34" t="n">
        <x:f>(K73*2^20)/1e9</x:f>
        <x:v>0.003211264</x:v>
      </x:c>
      <x:c r="E111" s="51" t="n">
        <x:f>$H$97</x:f>
        <x:v>100</x:v>
      </x:c>
      <x:c r="F111" s="52" t="n">
        <x:v>1</x:v>
      </x:c>
      <x:c r="G111" s="34" t="n">
        <x:f>IF(AND(ISNUMBER(E111),E111&gt;0,ISNUMBER($B$97),$B$97&gt;=0,$B$97&lt;1,ISNUMBER($D$97),$D$97&gt;=0,$D$97&lt;=1,ISNUMBER(F111),F111&gt;=0,F111&lt;=1,ISNUMBER(J111),J111&gt;=0,J111&lt;=1),D111/E111*1000,NA())</x:f>
        <x:v>0.032112640000000005</x:v>
      </x:c>
      <x:c r="H111" s="34" t="n">
        <x:f>G111+I111</x:f>
        <x:v>0.03568071111111112</x:v>
      </x:c>
      <x:c r="I111" s="34" t="n">
        <x:f>G111*F111*$D$97*$B$97/(1-$B$97)</x:f>
        <x:v>0.0035680711111111115</x:v>
      </x:c>
      <x:c r="J111" s="52" t="n">
        <x:v>1</x:v>
      </x:c>
      <x:c r="K111" s="34" t="n">
        <x:f>I111*J111</x:f>
        <x:v>0.0035680711111111115</x:v>
      </x:c>
      <x:c r="L111" s="30" t="str">
        <x:v>原通信行 73</x:v>
      </x:c>
    </x:row>
    <x:row r="112" ht="23" customHeight="1">
      <x:c r="A112" s="30" t="str">
        <x:v>EP</x:v>
      </x:c>
      <x:c r="B112" s="30" t="str">
        <x:v>Routed Experts</x:v>
      </x:c>
      <x:c r="C112" s="30" t="str">
        <x:v>MC2 FullMesh Dispatch</x:v>
      </x:c>
      <x:c r="D112" s="34" t="n">
        <x:f>(IF(F74=2,E74/7168*H74*(ROUNDUP((ROUNDUP(7168*F74/32,0)*32+32)/480,0)*512),NA()))/1e9</x:f>
        <x:v>2.53231104</x:v>
      </x:c>
      <x:c r="E112" s="51" t="n">
        <x:f>$H$97</x:f>
        <x:v>100</x:v>
      </x:c>
      <x:c r="F112" s="52" t="n">
        <x:v>1</x:v>
      </x:c>
      <x:c r="G112" s="34" t="n">
        <x:f>IF(AND(ISNUMBER(E112),E112&gt;0,ISNUMBER($B$97),$B$97&gt;=0,$B$97&lt;1,ISNUMBER($D$97),$D$97&gt;=0,$D$97&lt;=1,ISNUMBER(F112),F112&gt;=0,F112&lt;=1,ISNUMBER(J112),J112&gt;=0,J112&lt;=1),D112/E112*1000,NA())</x:f>
        <x:v>25.3231104</x:v>
      </x:c>
      <x:c r="H112" s="34" t="n">
        <x:f>G112+I112</x:f>
        <x:v>28.136789333333333</x:v>
      </x:c>
      <x:c r="I112" s="34" t="n">
        <x:f>G112*F112*$D$97*$B$97/(1-$B$97)</x:f>
        <x:v>2.8136789333333336</x:v>
      </x:c>
      <x:c r="J112" s="52" t="n">
        <x:v>1</x:v>
      </x:c>
      <x:c r="K112" s="34" t="n">
        <x:f>I112*J112</x:f>
        <x:v>2.8136789333333336</x:v>
      </x:c>
      <x:c r="L112" s="30" t="str">
        <x:v>原通信行 74</x:v>
      </x:c>
    </x:row>
    <x:row r="113" ht="23" customHeight="1">
      <x:c r="A113" s="30" t="str">
        <x:v>EP</x:v>
      </x:c>
      <x:c r="B113" s="30" t="str">
        <x:v>Routed Experts</x:v>
      </x:c>
      <x:c r="C113" s="30" t="str">
        <x:v>MC2 Combine + flags</x:v>
      </x:c>
      <x:c r="D113" s="34" t="n">
        <x:f>(IF(F75=2,K75*2^20+E75/7168*H75*32,NA()))/1e9</x:f>
        <x:v>2.368765952</x:v>
      </x:c>
      <x:c r="E113" s="51" t="n">
        <x:f>$H$97</x:f>
        <x:v>100</x:v>
      </x:c>
      <x:c r="F113" s="52" t="n">
        <x:v>1</x:v>
      </x:c>
      <x:c r="G113" s="34" t="n">
        <x:f>IF(AND(ISNUMBER(E113),E113&gt;0,ISNUMBER($B$97),$B$97&gt;=0,$B$97&lt;1,ISNUMBER($D$97),$D$97&gt;=0,$D$97&lt;=1,ISNUMBER(F113),F113&gt;=0,F113&lt;=1,ISNUMBER(J113),J113&gt;=0,J113&lt;=1),D113/E113*1000,NA())</x:f>
        <x:v>23.68765952</x:v>
      </x:c>
      <x:c r="H113" s="34" t="n">
        <x:f>G113+I113</x:f>
        <x:v>26.31962168888889</x:v>
      </x:c>
      <x:c r="I113" s="34" t="n">
        <x:f>G113*F113*$D$97*$B$97/(1-$B$97)</x:f>
        <x:v>2.631962168888889</x:v>
      </x:c>
      <x:c r="J113" s="52" t="n">
        <x:v>1</x:v>
      </x:c>
      <x:c r="K113" s="34" t="n">
        <x:f>I113*J113</x:f>
        <x:v>2.631962168888889</x:v>
      </x:c>
      <x:c r="L113" s="30" t="str">
        <x:v>原通信行 75</x:v>
      </x:c>
    </x:row>
    <x:row r="114" ht="23" customHeight="1">
      <x:c r="A114" s="30" t="str">
        <x:v>DP</x:v>
      </x:c>
      <x:c r="B114" s="30" t="str">
        <x:v>MoE</x:v>
      </x:c>
      <x:c r="C114" s="30" t="str">
        <x:v>Hidden 输入</x:v>
      </x:c>
      <x:c r="D114" s="34" t="n">
        <x:f>(K76*2^20)/1e9</x:f>
        <x:v>0</x:v>
      </x:c>
      <x:c r="E114" s="51" t="n">
        <x:f>$H$97</x:f>
        <x:v>100</x:v>
      </x:c>
      <x:c r="F114" s="52" t="n">
        <x:v>1</x:v>
      </x:c>
      <x:c r="G114" s="34" t="n">
        <x:f>IF(AND(ISNUMBER(E114),E114&gt;0,ISNUMBER($B$97),$B$97&gt;=0,$B$97&lt;1,ISNUMBER($D$97),$D$97&gt;=0,$D$97&lt;=1,ISNUMBER(F114),F114&gt;=0,F114&lt;=1,ISNUMBER(J114),J114&gt;=0,J114&lt;=1),D114/E114*1000,NA())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G114*F114*$D$97*$B$97/(1-$B$97)</x:f>
        <x:v>0</x:v>
      </x:c>
      <x:c r="J114" s="52" t="n">
        <x:v>1</x:v>
      </x:c>
      <x:c r="K114" s="34" t="n">
        <x:f>I114*J114</x:f>
        <x:v>0</x:v>
      </x:c>
      <x:c r="L114" s="30" t="str">
        <x:v>原通信行 76</x:v>
      </x:c>
    </x:row>
    <x:row r="115" ht="23" customHeight="1">
      <x:c r="A115" s="30" t="str">
        <x:v>DP</x:v>
      </x:c>
      <x:c r="B115" s="30" t="str">
        <x:v>MoE Router</x:v>
      </x:c>
      <x:c r="C115" s="30" t="str">
        <x:v>Router Logits</x:v>
      </x:c>
      <x:c r="D115" s="34" t="n">
        <x:f>(K77*2^20)/1e9</x:f>
        <x:v>0</x:v>
      </x:c>
      <x:c r="E115" s="51" t="n">
        <x:f>$H$97</x:f>
        <x:v>100</x:v>
      </x:c>
      <x:c r="F115" s="52" t="n">
        <x:v>1</x:v>
      </x:c>
      <x:c r="G115" s="34" t="n">
        <x:f>IF(AND(ISNUMBER(E115),E115&gt;0,ISNUMBER($B$97),$B$97&gt;=0,$B$97&lt;1,ISNUMBER($D$97),$D$97&gt;=0,$D$97&lt;=1,ISNUMBER(F115),F115&gt;=0,F115&lt;=1,ISNUMBER(J115),J115&gt;=0,J115&lt;=1),D115/E115*1000,NA())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G115*F115*$D$97*$B$97/(1-$B$97)</x:f>
        <x:v>0</x:v>
      </x:c>
      <x:c r="J115" s="52" t="n">
        <x:v>1</x:v>
      </x:c>
      <x:c r="K115" s="34" t="n">
        <x:f>I115*J115</x:f>
        <x:v>0</x:v>
      </x:c>
      <x:c r="L115" s="30" t="str">
        <x:v>原通信行 77</x:v>
      </x:c>
    </x:row>
    <x:row r="116" ht="23" customHeight="1">
      <x:c r="A116" s="30" t="str">
        <x:v>DP</x:v>
      </x:c>
      <x:c r="B116" s="30" t="str">
        <x:v>MoE</x:v>
      </x:c>
      <x:c r="C116" s="30" t="str">
        <x:v>Routed Expert 输出</x:v>
      </x:c>
      <x:c r="D116" s="34" t="n">
        <x:f>(K78*2^20)/1e9</x:f>
        <x:v>0</x:v>
      </x:c>
      <x:c r="E116" s="51" t="n">
        <x:f>$H$97</x:f>
        <x:v>100</x:v>
      </x:c>
      <x:c r="F116" s="52" t="n">
        <x:v>1</x:v>
      </x:c>
      <x:c r="G116" s="34" t="n">
        <x:f>IF(AND(ISNUMBER(E116),E116&gt;0,ISNUMBER($B$97),$B$97&gt;=0,$B$97&lt;1,ISNUMBER($D$97),$D$97&gt;=0,$D$97&lt;=1,ISNUMBER(F116),F116&gt;=0,F116&lt;=1,ISNUMBER(J116),J116&gt;=0,J116&lt;=1),D116/E116*1000,NA())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G116*F116*$D$97*$B$97/(1-$B$97)</x:f>
        <x:v>0</x:v>
      </x:c>
      <x:c r="J116" s="52" t="n">
        <x:v>1</x:v>
      </x:c>
      <x:c r="K116" s="34" t="n">
        <x:f>I116*J116</x:f>
        <x:v>0</x:v>
      </x:c>
      <x:c r="L116" s="30" t="str">
        <x:v>原通信行 78</x:v>
      </x:c>
    </x:row>
    <x:row r="117" ht="23" customHeight="1">
      <x:c r="A117" s="30" t="str">
        <x:v>共享专家 TP</x:v>
      </x:c>
      <x:c r="B117" s="30" t="str">
        <x:v>Shared Experts</x:v>
      </x:c>
      <x:c r="C117" s="30" t="str">
        <x:v>SP 输入</x:v>
      </x:c>
      <x:c r="D117" s="34" t="n">
        <x:f>(K79*2^20)/1e9</x:f>
        <x:v>1.181745152</x:v>
      </x:c>
      <x:c r="E117" s="51" t="n">
        <x:f>$H$97</x:f>
        <x:v>100</x:v>
      </x:c>
      <x:c r="F117" s="52" t="n">
        <x:v>1</x:v>
      </x:c>
      <x:c r="G117" s="34" t="n">
        <x:f>IF(AND(ISNUMBER(E117),E117&gt;0,ISNUMBER($B$97),$B$97&gt;=0,$B$97&lt;1,ISNUMBER($D$97),$D$97&gt;=0,$D$97&lt;=1,ISNUMBER(F117),F117&gt;=0,F117&lt;=1,ISNUMBER(J117),J117&gt;=0,J117&lt;=1),D117/E117*1000,NA())</x:f>
        <x:v>11.817451519999999</x:v>
      </x:c>
      <x:c r="H117" s="34" t="n">
        <x:f>G117+I117</x:f>
        <x:v>13.130501688888888</x:v>
      </x:c>
      <x:c r="I117" s="34" t="n">
        <x:f>G117*F117*$D$97*$B$97/(1-$B$97)</x:f>
        <x:v>1.313050168888889</x:v>
      </x:c>
      <x:c r="J117" s="52" t="n">
        <x:v>1</x:v>
      </x:c>
      <x:c r="K117" s="34" t="n">
        <x:f>I117*J117</x:f>
        <x:v>1.313050168888889</x:v>
      </x:c>
      <x:c r="L117" s="30" t="str">
        <x:v>原通信行 79</x:v>
      </x:c>
    </x:row>
    <x:row r="118" ht="23" customHeight="1">
      <x:c r="A118" s="30" t="str">
        <x:v>共享专家 TP</x:v>
      </x:c>
      <x:c r="B118" s="30" t="str">
        <x:v>Shared Experts</x:v>
      </x:c>
      <x:c r="C118" s="30" t="str">
        <x:v>SP 输出</x:v>
      </x:c>
      <x:c r="D118" s="34" t="n">
        <x:f>(K80*2^20)/1e9</x:f>
        <x:v>1.181745152</x:v>
      </x:c>
      <x:c r="E118" s="51" t="n">
        <x:f>$H$97</x:f>
        <x:v>100</x:v>
      </x:c>
      <x:c r="F118" s="52" t="n">
        <x:v>1</x:v>
      </x:c>
      <x:c r="G118" s="34" t="n">
        <x:f>IF(AND(ISNUMBER(E118),E118&gt;0,ISNUMBER($B$97),$B$97&gt;=0,$B$97&lt;1,ISNUMBER($D$97),$D$97&gt;=0,$D$97&lt;=1,ISNUMBER(F118),F118&gt;=0,F118&lt;=1,ISNUMBER(J118),J118&gt;=0,J118&lt;=1),D118/E118*1000,NA())</x:f>
        <x:v>11.817451519999999</x:v>
      </x:c>
      <x:c r="H118" s="34" t="n">
        <x:f>G118+I118</x:f>
        <x:v>13.130501688888888</x:v>
      </x:c>
      <x:c r="I118" s="34" t="n">
        <x:f>G118*F118*$D$97*$B$97/(1-$B$97)</x:f>
        <x:v>1.313050168888889</x:v>
      </x:c>
      <x:c r="J118" s="52" t="n">
        <x:v>1</x:v>
      </x:c>
      <x:c r="K118" s="34" t="n">
        <x:f>I118*J118</x:f>
        <x:v>1.313050168888889</x:v>
      </x:c>
      <x:c r="L118" s="30" t="str">
        <x:v>原通信行 80</x:v>
      </x:c>
    </x:row>
    <x:row r="119" ht="23" customHeight="1">
      <x:c r="A119" s="30" t="str">
        <x:v>共享专家 TP</x:v>
      </x:c>
      <x:c r="B119" s="30" t="str">
        <x:v>Shared Experts</x:v>
      </x:c>
      <x:c r="C119" s="30" t="str">
        <x:v>非 SP 输出</x:v>
      </x:c>
      <x:c r="D119" s="34" t="n">
        <x:f>(K81*2^20)/1e9</x:f>
        <x:v>0</x:v>
      </x:c>
      <x:c r="E119" s="51" t="n">
        <x:f>$H$97</x:f>
        <x:v>100</x:v>
      </x:c>
      <x:c r="F119" s="52" t="n">
        <x:v>1</x:v>
      </x:c>
      <x:c r="G119" s="34" t="n">
        <x:f>IF(AND(ISNUMBER(E119),E119&gt;0,ISNUMBER($B$97),$B$97&gt;=0,$B$97&lt;1,ISNUMBER($D$97),$D$97&gt;=0,$D$97&lt;=1,ISNUMBER(F119),F119&gt;=0,F119&lt;=1,ISNUMBER(J119),J119&gt;=0,J119&lt;=1),D119/E119*1000,NA())</x:f>
        <x:v>0</x:v>
      </x:c>
      <x:c r="H119" s="34" t="n">
        <x:f>G119+I119</x:f>
        <x:v>0</x:v>
      </x:c>
      <x:c r="I119" s="34" t="n">
        <x:f>G119*F119*$D$97*$B$97/(1-$B$97)</x:f>
        <x:v>0</x:v>
      </x:c>
      <x:c r="J119" s="52" t="n">
        <x:v>1</x:v>
      </x:c>
      <x:c r="K119" s="34" t="n">
        <x:f>I119*J119</x:f>
        <x:v>0</x:v>
      </x:c>
      <x:c r="L119" s="30" t="str">
        <x:v>原通信行 81</x:v>
      </x:c>
    </x:row>
    <x:row r="120" ht="23" customHeight="1">
      <x:c r="A120" s="30" t="str">
        <x:v>DCP</x:v>
      </x:c>
      <x:c r="B120" s="30" t="str">
        <x:v>Attention</x:v>
      </x:c>
      <x:c r="C120" s="30" t="str">
        <x:v>Query</x:v>
      </x:c>
      <x:c r="D120" s="34" t="n">
        <x:f>(K82*2^20)/1e9</x:f>
        <x:v>0</x:v>
      </x:c>
      <x:c r="E120" s="51" t="n">
        <x:f>$H$97</x:f>
        <x:v>100</x:v>
      </x:c>
      <x:c r="F120" s="52" t="n">
        <x:v>1</x:v>
      </x:c>
      <x:c r="G120" s="34" t="n">
        <x:f>IF(AND(ISNUMBER(E120),E120&gt;0,ISNUMBER($B$97),$B$97&gt;=0,$B$97&lt;1,ISNUMBER($D$97),$D$97&gt;=0,$D$97&lt;=1,ISNUMBER(F120),F120&gt;=0,F120&lt;=1,ISNUMBER(J120),J120&gt;=0,J120&lt;=1),D120/E120*1000,NA())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G120*F120*$D$97*$B$97/(1-$B$97)</x:f>
        <x:v>0</x:v>
      </x:c>
      <x:c r="J120" s="52" t="n">
        <x:v>1</x:v>
      </x:c>
      <x:c r="K120" s="34" t="n">
        <x:f>I120*J120</x:f>
        <x:v>0</x:v>
      </x:c>
      <x:c r="L120" s="30" t="str">
        <x:v>原通信行 82</x:v>
      </x:c>
    </x:row>
    <x:row r="121" ht="23" customHeight="1">
      <x:c r="A121" s="30" t="str">
        <x:v>DCP</x:v>
      </x:c>
      <x:c r="B121" s="30" t="str">
        <x:v>Attention</x:v>
      </x:c>
      <x:c r="C121" s="30" t="str">
        <x:v>LSE</x:v>
      </x:c>
      <x:c r="D121" s="34" t="n">
        <x:f>(K83*2^20)/1e9</x:f>
        <x:v>0</x:v>
      </x:c>
      <x:c r="E121" s="51" t="n">
        <x:f>$H$97</x:f>
        <x:v>100</x:v>
      </x:c>
      <x:c r="F121" s="52" t="n">
        <x:v>1</x:v>
      </x:c>
      <x:c r="G121" s="34" t="n">
        <x:f>IF(AND(ISNUMBER(E121),E121&gt;0,ISNUMBER($B$97),$B$97&gt;=0,$B$97&lt;1,ISNUMBER($D$97),$D$97&gt;=0,$D$97&lt;=1,ISNUMBER(F121),F121&gt;=0,F121&lt;=1,ISNUMBER(J121),J121&gt;=0,J121&lt;=1),D121/E121*1000,NA())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G121*F121*$D$97*$B$97/(1-$B$97)</x:f>
        <x:v>0</x:v>
      </x:c>
      <x:c r="J121" s="52" t="n">
        <x:v>1</x:v>
      </x:c>
      <x:c r="K121" s="34" t="n">
        <x:f>I121*J121</x:f>
        <x:v>0</x:v>
      </x:c>
      <x:c r="L121" s="30" t="str">
        <x:v>原通信行 83</x:v>
      </x:c>
    </x:row>
    <x:row r="122" ht="23" customHeight="1">
      <x:c r="A122" s="30" t="str">
        <x:v>DCP</x:v>
      </x:c>
      <x:c r="B122" s="30" t="str">
        <x:v>Attention</x:v>
      </x:c>
      <x:c r="C122" s="30" t="str">
        <x:v>Attention 输出</x:v>
      </x:c>
      <x:c r="D122" s="34" t="n">
        <x:f>(K84*2^20)/1e9</x:f>
        <x:v>0</x:v>
      </x:c>
      <x:c r="E122" s="51" t="n">
        <x:f>$H$97</x:f>
        <x:v>100</x:v>
      </x:c>
      <x:c r="F122" s="52" t="n">
        <x:v>1</x:v>
      </x:c>
      <x:c r="G122" s="34" t="n">
        <x:f>IF(AND(ISNUMBER(E122),E122&gt;0,ISNUMBER($B$97),$B$97&gt;=0,$B$97&lt;1,ISNUMBER($D$97),$D$97&gt;=0,$D$97&lt;=1,ISNUMBER(F122),F122&gt;=0,F122&lt;=1,ISNUMBER(J122),J122&gt;=0,J122&lt;=1),D122/E122*1000,NA())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G122*F122*$D$97*$B$97/(1-$B$97)</x:f>
        <x:v>0</x:v>
      </x:c>
      <x:c r="J122" s="52" t="n">
        <x:v>1</x:v>
      </x:c>
      <x:c r="K122" s="34" t="n">
        <x:f>I122*J122</x:f>
        <x:v>0</x:v>
      </x:c>
      <x:c r="L122" s="30" t="str">
        <x:v>原通信行 84</x:v>
      </x:c>
    </x:row>
    <x:row r="123" ht="23" customHeight="1">
      <x:c r="A123" s="30" t="str">
        <x:v>SP</x:v>
      </x:c>
      <x:c r="B123" s="30" t="str">
        <x:v>Model Output</x:v>
      </x:c>
      <x:c r="C123" s="30" t="str">
        <x:v>Final Norm 后</x:v>
      </x:c>
      <x:c r="D123" s="34" t="n">
        <x:f>(K85*2^20)/1e9</x:f>
        <x:v>0.012845056</x:v>
      </x:c>
      <x:c r="E123" s="51" t="n">
        <x:f>$H$97</x:f>
        <x:v>100</x:v>
      </x:c>
      <x:c r="F123" s="52" t="n">
        <x:v>1</x:v>
      </x:c>
      <x:c r="G123" s="34" t="n">
        <x:f>IF(AND(ISNUMBER(E123),E123&gt;0,ISNUMBER($B$97),$B$97&gt;=0,$B$97&lt;1,ISNUMBER($D$97),$D$97&gt;=0,$D$97&lt;=1,ISNUMBER(F123),F123&gt;=0,F123&lt;=1,ISNUMBER(J123),J123&gt;=0,J123&lt;=1),D123/E123*1000,NA())</x:f>
        <x:v>0.12845056000000002</x:v>
      </x:c>
      <x:c r="H123" s="34" t="n">
        <x:f>G123+I123</x:f>
        <x:v>0.14272284444444447</x:v>
      </x:c>
      <x:c r="I123" s="34" t="n">
        <x:f>G123*F123*$D$97*$B$97/(1-$B$97)</x:f>
        <x:v>0.014272284444444446</x:v>
      </x:c>
      <x:c r="J123" s="52" t="n">
        <x:v>1</x:v>
      </x:c>
      <x:c r="K123" s="34" t="n">
        <x:f>I123*J123</x:f>
        <x:v>0.014272284444444446</x:v>
      </x:c>
      <x:c r="L123" s="30" t="str">
        <x:v>原通信行 85</x:v>
      </x:c>
    </x:row>
    <x:row r="124" ht="23" customHeight="1">
      <x:c r="A124" s="30" t="str">
        <x:v>LM Head TP</x:v>
      </x:c>
      <x:c r="B124" s="30" t="str">
        <x:v>LM Head</x:v>
      </x:c>
      <x:c r="C124" s="30" t="str">
        <x:v>完整 Logits</x:v>
      </x:c>
      <x:c r="D124" s="34" t="n">
        <x:f>(K86*2^20)/1e9</x:f>
        <x:v>0</x:v>
      </x:c>
      <x:c r="E124" s="51" t="n">
        <x:f>$H$97</x:f>
        <x:v>100</x:v>
      </x:c>
      <x:c r="F124" s="52" t="n">
        <x:v>1</x:v>
      </x:c>
      <x:c r="G124" s="34" t="n">
        <x:f>IF(AND(ISNUMBER(E124),E124&gt;0,ISNUMBER($B$97),$B$97&gt;=0,$B$97&lt;1,ISNUMBER($D$97),$D$97&gt;=0,$D$97&lt;=1,ISNUMBER(F124),F124&gt;=0,F124&lt;=1,ISNUMBER(J124),J124&gt;=0,J124&lt;=1),D124/E124*1000,NA())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G124*F124*$D$97*$B$97/(1-$B$97)</x:f>
        <x:v>0</x:v>
      </x:c>
      <x:c r="J124" s="52" t="n">
        <x:v>1</x:v>
      </x:c>
      <x:c r="K124" s="34" t="n">
        <x:f>I124*J124</x:f>
        <x:v>0</x:v>
      </x:c>
      <x:c r="L124" s="30" t="str">
        <x:v>原通信行 86</x:v>
      </x:c>
    </x:row>
    <x:row r="125" ht="23" customHeight="1">
      <x:c r="A125" s="30" t="str">
        <x:v>LM Head TP</x:v>
      </x:c>
      <x:c r="B125" s="30" t="str">
        <x:v>LM Head</x:v>
      </x:c>
      <x:c r="C125" s="30" t="str">
        <x:v>Reduce Sample</x:v>
      </x:c>
      <x:c r="D125" s="34" t="n">
        <x:f>(K87*2^20)/1e9</x:f>
        <x:v>0.011010048</x:v>
      </x:c>
      <x:c r="E125" s="51" t="n">
        <x:f>$H$97</x:f>
        <x:v>100</x:v>
      </x:c>
      <x:c r="F125" s="52" t="n">
        <x:v>1</x:v>
      </x:c>
      <x:c r="G125" s="34" t="n">
        <x:f>IF(AND(ISNUMBER(E125),E125&gt;0,ISNUMBER($B$97),$B$97&gt;=0,$B$97&lt;1,ISNUMBER($D$97),$D$97&gt;=0,$D$97&lt;=1,ISNUMBER(F125),F125&gt;=0,F125&lt;=1,ISNUMBER(J125),J125&gt;=0,J125&lt;=1),D125/E125*1000,NA())</x:f>
        <x:v>0.11010048</x:v>
      </x:c>
      <x:c r="H125" s="34" t="n">
        <x:f>G125+I125</x:f>
        <x:v>0.12233386666666667</x:v>
      </x:c>
      <x:c r="I125" s="34" t="n">
        <x:f>G125*F125*$D$97*$B$97/(1-$B$97)</x:f>
        <x:v>0.012233386666666669</x:v>
      </x:c>
      <x:c r="J125" s="52" t="n">
        <x:v>1</x:v>
      </x:c>
      <x:c r="K125" s="34" t="n">
        <x:f>I125*J125</x:f>
        <x:v>0.012233386666666669</x:v>
      </x:c>
      <x:c r="L125" s="30" t="str">
        <x:v>原通信行 87</x:v>
      </x:c>
    </x:row>
    <x:row r="126" ht="23" customHeight="1">
      <x:c r="A126" s="30" t="str">
        <x:v>Fine LM Head TP</x:v>
      </x:c>
      <x:c r="B126" s="30" t="str">
        <x:v>LM Head</x:v>
      </x:c>
      <x:c r="C126" s="30" t="str">
        <x:v>Hidden 输入</x:v>
      </x:c>
      <x:c r="D126" s="34" t="n">
        <x:f>(K88*2^20)/1e9</x:f>
        <x:v>0</x:v>
      </x:c>
      <x:c r="E126" s="51" t="n">
        <x:f>$H$97</x:f>
        <x:v>100</x:v>
      </x:c>
      <x:c r="F126" s="52" t="n">
        <x:v>1</x:v>
      </x:c>
      <x:c r="G126" s="34" t="n">
        <x:f>IF(AND(ISNUMBER(E126),E126&gt;0,ISNUMBER($B$97),$B$97&gt;=0,$B$97&lt;1,ISNUMBER($D$97),$D$97&gt;=0,$D$97&lt;=1,ISNUMBER(F126),F126&gt;=0,F126&lt;=1,ISNUMBER(J126),J126&gt;=0,J126&lt;=1),D126/E126*1000,NA())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G126*F126*$D$97*$B$97/(1-$B$97)</x:f>
        <x:v>0</x:v>
      </x:c>
      <x:c r="J126" s="52" t="n">
        <x:v>1</x:v>
      </x:c>
      <x:c r="K126" s="34" t="n">
        <x:f>I126*J126</x:f>
        <x:v>0</x:v>
      </x:c>
      <x:c r="L126" s="30" t="str">
        <x:v>原通信行 88</x:v>
      </x:c>
    </x:row>
    <x:row r="127" ht="23" customHeight="1">
      <x:c r="A127" s="30" t="str">
        <x:v>Fine LM Head TP</x:v>
      </x:c>
      <x:c r="B127" s="30" t="str">
        <x:v>LM Head</x:v>
      </x:c>
      <x:c r="C127" s="30" t="str">
        <x:v>完整 Logits</x:v>
      </x:c>
      <x:c r="D127" s="34" t="n">
        <x:f>(K89*2^20)/1e9</x:f>
        <x:v>0</x:v>
      </x:c>
      <x:c r="E127" s="51" t="n">
        <x:f>$H$97</x:f>
        <x:v>100</x:v>
      </x:c>
      <x:c r="F127" s="52" t="n">
        <x:v>1</x:v>
      </x:c>
      <x:c r="G127" s="34" t="n">
        <x:f>IF(AND(ISNUMBER(E127),E127&gt;0,ISNUMBER($B$97),$B$97&gt;=0,$B$97&lt;1,ISNUMBER($D$97),$D$97&gt;=0,$D$97&lt;=1,ISNUMBER(F127),F127&gt;=0,F127&lt;=1,ISNUMBER(J127),J127&gt;=0,J127&lt;=1),D127/E127*1000,NA())</x:f>
        <x:v>0</x:v>
      </x:c>
      <x:c r="H127" s="34" t="n">
        <x:f>G127+I127</x:f>
        <x:v>0</x:v>
      </x:c>
      <x:c r="I127" s="34" t="n">
        <x:f>G127*F127*$D$97*$B$97/(1-$B$97)</x:f>
        <x:v>0</x:v>
      </x:c>
      <x:c r="J127" s="52" t="n">
        <x:v>1</x:v>
      </x:c>
      <x:c r="K127" s="34" t="n">
        <x:f>I127*J127</x:f>
        <x:v>0</x:v>
      </x:c>
      <x:c r="L127" s="30" t="str">
        <x:v>原通信行 89</x:v>
      </x:c>
    </x:row>
    <x:row r="128" ht="23" customHeight="1">
      <x:c r="A128" s="30" t="str">
        <x:v>Fine LM Head TP</x:v>
      </x:c>
      <x:c r="B128" s="30" t="str">
        <x:v>LM Head</x:v>
      </x:c>
      <x:c r="C128" s="30" t="str">
        <x:v>Reduce Sample</x:v>
      </x:c>
      <x:c r="D128" s="34" t="n">
        <x:f>(K90*2^20)/1e9</x:f>
        <x:v>0</x:v>
      </x:c>
      <x:c r="E128" s="51" t="n">
        <x:f>$H$97</x:f>
        <x:v>100</x:v>
      </x:c>
      <x:c r="F128" s="52" t="n">
        <x:v>1</x:v>
      </x:c>
      <x:c r="G128" s="34" t="n">
        <x:f>IF(AND(ISNUMBER(E128),E128&gt;0,ISNUMBER($B$97),$B$97&gt;=0,$B$97&lt;1,ISNUMBER($D$97),$D$97&gt;=0,$D$97&lt;=1,ISNUMBER(F128),F128&gt;=0,F128&lt;=1,ISNUMBER(J128),J128&gt;=0,J128&lt;=1),D128/E128*1000,NA())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G128*F128*$D$97*$B$97/(1-$B$97)</x:f>
        <x:v>0</x:v>
      </x:c>
      <x:c r="J128" s="52" t="n">
        <x:v>1</x:v>
      </x:c>
      <x:c r="K128" s="34" t="n">
        <x:f>I128*J128</x:f>
        <x:v>0</x:v>
      </x:c>
      <x:c r="L128" s="30" t="str">
        <x:v>原通信行 90</x:v>
      </x:c>
    </x:row>
    <x:row r="129" ht="23" customHeight="1">
      <x:c r="A129" s="30" t="str">
        <x:v>EP</x:v>
      </x:c>
      <x:c r="B129" s="30" t="str">
        <x:v>MoE 计数</x:v>
      </x:c>
      <x:c r="C129" s="30" t="str">
        <x:v>MC2 count 写入</x:v>
      </x:c>
      <x:c r="D129" s="34" t="n">
        <x:f>(IF(E74=0,0,H74*ROUNDUP(896/G74,0)*(G74-1)*32))/1e9</x:f>
        <x:v>0.002308096</x:v>
      </x:c>
      <x:c r="E129" s="51" t="n">
        <x:f>$H$97</x:f>
        <x:v>100</x:v>
      </x:c>
      <x:c r="F129" s="52" t="n">
        <x:v>1</x:v>
      </x:c>
      <x:c r="G129" s="34" t="n">
        <x:f>IF(AND(ISNUMBER(E129),E129&gt;0,ISNUMBER($B$97),$B$97&gt;=0,$B$97&lt;1,ISNUMBER($D$97),$D$97&gt;=0,$D$97&lt;=1,ISNUMBER(F129),F129&gt;=0,F129&lt;=1,ISNUMBER(J129),J129&gt;=0,J129&lt;=1),D129/E129*1000,NA())</x:f>
        <x:v>0.023080959999999998</x:v>
      </x:c>
      <x:c r="H129" s="34" t="n">
        <x:f>G129+I129</x:f>
        <x:v>0.02564551111111111</x:v>
      </x:c>
      <x:c r="I129" s="34" t="n">
        <x:f>G129*F129*$D$97*$B$97/(1-$B$97)</x:f>
        <x:v>0.002564551111111111</x:v>
      </x:c>
      <x:c r="J129" s="52" t="n">
        <x:v>1</x:v>
      </x:c>
      <x:c r="K129" s="34" t="n">
        <x:f>I129*J129</x:f>
        <x:v>0.002564551111111111</x:v>
      </x:c>
      <x:c r="L129" s="30" t="str">
        <x:v>额外控制量</x:v>
      </x:c>
    </x:row>
    <x:row r="130" ht="23" customHeight="1">
      <x:c r="A130" s="53" t="str">
        <x:v>所列事件串行相加</x:v>
      </x:c>
      <x:c r="B130" s="53"/>
      <x:c r="C130" s="53"/>
      <x:c r="D130" s="54" t="n">
        <x:f>SUM(D103:D129)</x:f>
        <x:v>9.708812287999999</x:v>
      </x:c>
      <x:c r="E130" s="54"/>
      <x:c r="F130" s="53"/>
      <x:c r="G130" s="54" t="n">
        <x:f>SUM(G103:G129)</x:f>
        <x:v>97.08812288</x:v>
      </x:c>
      <x:c r="H130" s="54" t="n">
        <x:f>SUM(H103:H129)</x:f>
        <x:v>107.87569208888888</x:v>
      </x:c>
      <x:c r="I130" s="54" t="n">
        <x:f>SUM(I103:I129)</x:f>
        <x:v>10.787569208888891</x:v>
      </x:c>
      <x:c r="J130" s="53"/>
      <x:c r="K130" s="54" t="n">
        <x:f>SUM(K103:K129)</x:f>
        <x:v>10.787569208888891</x:v>
      </x:c>
      <x:c r="L130" s="53"/>
    </x:row>
  </x:sheetData>
  <x:conditionalFormatting sqref="L99:L99">
    <x:cfRule type="containsText" dxfId="1" priority="1" operator="containsText" text="不一致"/>
  </x:conditionalFormatting>
  <x:pageMargins left="0.7" right="0.7" top="0.75" bottom="0.75" header="0.3" footer="0.3"/>
</x:worksheet>
</file>