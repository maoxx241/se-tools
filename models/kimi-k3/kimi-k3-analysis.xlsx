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c383e3427a49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89183242af1b4e63"/>
    <x:sheet xmlns:r="http://schemas.openxmlformats.org/officeDocument/2006/relationships" name="Decode" sheetId="2" r:id="R9008018a6f6b4344"/>
    <x:sheet xmlns:r="http://schemas.openxmlformats.org/officeDocument/2006/relationships" name="分钟场景" sheetId="3" r:id="R7e71530fe6754c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  <x:numFmt numFmtId="208" formatCode="#,##0"/>
    <x:numFmt numFmtId="209" formatCode="#,##0.00"/>
    <x:numFmt numFmtId="210" formatCode="#,##0.000"/>
    <x:numFmt numFmtId="211" formatCode="#,##0.000000"/>
    <x:numFmt numFmtId="212" formatCode="0.000000%"/>
  </x:numFmts>
  <x:fonts count="5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D9E2F3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8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208" fontId="3" fillId="9" borderId="0" xfId="0" applyNumberFormat="1" applyFont="1" applyFill="1" applyBorder="1" applyAlignment="1">
      <x:alignment vertical="center"/>
    </x:xf>
    <x:xf numFmtId="209" fontId="3" fillId="9" borderId="0" xfId="0" applyNumberFormat="1" applyFont="1" applyFill="1" applyBorder="1" applyAlignment="1">
      <x:alignment vertical="center"/>
    </x:xf>
    <x:xf numFmtId="204" fontId="3" fillId="9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208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3" fillId="0" borderId="0" xfId="0" applyNumberFormat="1" applyFont="1" applyFill="1" applyBorder="1" applyAlignment="1">
      <x:alignment vertical="center"/>
    </x:xf>
    <x:xf numFmtId="212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5884aec6da40f0" /><Relationship Type="http://schemas.openxmlformats.org/officeDocument/2006/relationships/theme" Target="/xl/theme/theme1.xml" Id="R64fd0c384ed74769" /><Relationship Type="http://schemas.openxmlformats.org/officeDocument/2006/relationships/sharedStrings" Target="/xl/sharedStrings.xml" Id="R8ec175b7866649b9" /><Relationship Type="http://schemas.openxmlformats.org/officeDocument/2006/relationships/worksheet" Target="/xl/worksheets/sheet1.xml" Id="R89183242af1b4e63" /><Relationship Type="http://schemas.openxmlformats.org/officeDocument/2006/relationships/worksheet" Target="/xl/worksheets/sheet2.xml" Id="R9008018a6f6b4344" /><Relationship Type="http://schemas.openxmlformats.org/officeDocument/2006/relationships/worksheet" Target="/xl/worksheets/sheet3.xml" Id="R7e71530fe6754c9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[163840, 7168]</x:v>
      </x:c>
      <x:c r="D2" s="30" t="str">
        <x:v>BF16</x:v>
      </x:c>
      <x:c r="E2" s="32" t="n">
        <x:v>2</x:v>
      </x:c>
      <x:c r="F2" s="33" t="n">
        <x:v>1</x:v>
      </x:c>
      <x:c r="G2" s="33" t="n">
        <x:v>1174405120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2.1875</x:v>
      </x:c>
      <x:c r="K2" s="34" t="n">
        <x:f>J2/I2</x:f>
        <x:v>0.2734375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[163840, 7168]</x:v>
      </x:c>
      <x:c r="D3" s="30" t="str">
        <x:v>BF16</x:v>
      </x:c>
      <x:c r="E3" s="32" t="n">
        <x:v>2</x:v>
      </x:c>
      <x:c r="F3" s="33" t="n">
        <x:v>1</x:v>
      </x:c>
      <x:c r="G3" s="33" t="n">
        <x:v>1174405120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2.1875</x:v>
      </x:c>
      <x:c r="K3" s="34" t="n">
        <x:f>J3/I3</x:f>
        <x:v>0.2734375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93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0.0012416839599609375</x:v>
      </x:c>
      <x:c r="K5" s="34" t="n">
        <x:f>J5/I5</x:f>
        <x:v>0.0012416839599609375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93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0.0012416839599609375</x:v>
      </x:c>
      <x:c r="K6" s="34" t="n">
        <x:f>J6/I6</x:f>
        <x:v>0.0012416839599609375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Backbone</x:v>
      </x:c>
      <x:c r="B7" s="30" t="str">
        <x:v>self_attention_res_norm.weight</x:v>
      </x:c>
      <x:c r="C7" s="30" t="str">
        <x:v>[7168]</x:v>
      </x:c>
      <x:c r="D7" s="30" t="str">
        <x:v>BF16</x:v>
      </x:c>
      <x:c r="E7" s="32" t="n">
        <x:v>2</x:v>
      </x:c>
      <x:c r="F7" s="33" t="n">
        <x:v>93</x:v>
      </x:c>
      <x:c r="G7" s="33" t="n">
        <x:v>7168</x:v>
      </x:c>
      <x:c r="H7" s="33" t="str">
        <x:v>Replicated</x:v>
      </x:c>
      <x:c r="I7" s="33" t="n">
        <x:f>1</x:f>
        <x:v>1</x:v>
      </x:c>
      <x:c r="J7" s="34" t="n">
        <x:f>E7*F7*G7/1073741824</x:f>
        <x:v>0.0012416839599609375</x:v>
      </x:c>
      <x:c r="K7" s="34" t="n">
        <x:f>J7/I7</x:f>
        <x:v>0.0012416839599609375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Backbone</x:v>
      </x:c>
      <x:c r="B8" s="30" t="str">
        <x:v>self_attention_res_proj.weight</x:v>
      </x:c>
      <x:c r="C8" s="30" t="str">
        <x:v>[1, 7168]</x:v>
      </x:c>
      <x:c r="D8" s="30" t="str">
        <x:v>BF16</x:v>
      </x:c>
      <x:c r="E8" s="32" t="n">
        <x:v>2</x:v>
      </x:c>
      <x:c r="F8" s="33" t="n">
        <x:v>93</x:v>
      </x:c>
      <x:c r="G8" s="33" t="n">
        <x:v>7168</x:v>
      </x:c>
      <x:c r="H8" s="33" t="str">
        <x:v>Replicated</x:v>
      </x:c>
      <x:c r="I8" s="33" t="n">
        <x:f>1</x:f>
        <x:v>1</x:v>
      </x:c>
      <x:c r="J8" s="34" t="n">
        <x:f>E8*F8*G8/1073741824</x:f>
        <x:v>0.0012416839599609375</x:v>
      </x:c>
      <x:c r="K8" s="34" t="n">
        <x:f>J8/I8</x:f>
        <x:v>0.0012416839599609375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Backbone</x:v>
      </x:c>
      <x:c r="B9" s="30" t="str">
        <x:v>mlp_res_norm.weight</x:v>
      </x:c>
      <x:c r="C9" s="30" t="str">
        <x:v>[7168]</x:v>
      </x:c>
      <x:c r="D9" s="30" t="str">
        <x:v>BF16</x:v>
      </x:c>
      <x:c r="E9" s="32" t="n">
        <x:v>2</x:v>
      </x:c>
      <x:c r="F9" s="33" t="n">
        <x:v>93</x:v>
      </x:c>
      <x:c r="G9" s="33" t="n">
        <x:v>7168</x:v>
      </x:c>
      <x:c r="H9" s="33" t="str">
        <x:v>Replicated</x:v>
      </x:c>
      <x:c r="I9" s="33" t="n">
        <x:f>1</x:f>
        <x:v>1</x:v>
      </x:c>
      <x:c r="J9" s="34" t="n">
        <x:f>E9*F9*G9/1073741824</x:f>
        <x:v>0.0012416839599609375</x:v>
      </x:c>
      <x:c r="K9" s="34" t="n">
        <x:f>J9/I9</x:f>
        <x:v>0.0012416839599609375</x:v>
      </x:c>
      <x:c r="L9" s="30"/>
      <x:c r="M9" s="30"/>
      <x:c r="N9" s="30"/>
      <x:c r="O9" s="30"/>
      <x:c r="P9" s="30"/>
    </x:row>
    <x:row r="10">
      <x:c r="A10" s="30" t="str">
        <x:v>Backbone</x:v>
      </x:c>
      <x:c r="B10" s="30" t="str">
        <x:v>mlp_res_proj.weight</x:v>
      </x:c>
      <x:c r="C10" s="30" t="str">
        <x:v>[1, 7168]</x:v>
      </x:c>
      <x:c r="D10" s="30" t="str">
        <x:v>BF16</x:v>
      </x:c>
      <x:c r="E10" s="32" t="n">
        <x:v>2</x:v>
      </x:c>
      <x:c r="F10" s="33" t="n">
        <x:v>93</x:v>
      </x:c>
      <x:c r="G10" s="33" t="n">
        <x:v>7168</x:v>
      </x:c>
      <x:c r="H10" s="33" t="str">
        <x:v>Replicated</x:v>
      </x:c>
      <x:c r="I10" s="33" t="n">
        <x:f>1</x:f>
        <x:v>1</x:v>
      </x:c>
      <x:c r="J10" s="34" t="n">
        <x:f>E10*F10*G10/1073741824</x:f>
        <x:v>0.0012416839599609375</x:v>
      </x:c>
      <x:c r="K10" s="34" t="n">
        <x:f>J10/I10</x:f>
        <x:v>0.0012416839599609375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Backbone</x:v>
      </x:c>
      <x:c r="B11" s="30" t="str">
        <x:v>output_attn_res_norm.weight</x:v>
      </x:c>
      <x:c r="C11" s="30" t="str">
        <x:v>[7168]</x:v>
      </x:c>
      <x:c r="D11" s="30" t="str">
        <x:v>BF16</x:v>
      </x:c>
      <x:c r="E11" s="32" t="n">
        <x:v>2</x:v>
      </x:c>
      <x:c r="F11" s="33" t="n">
        <x:v>1</x:v>
      </x:c>
      <x:c r="G11" s="33" t="n">
        <x:v>7168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0.0000133514404296875</x:v>
      </x:c>
      <x:c r="K11" s="34" t="n">
        <x:f>J11/I11</x:f>
        <x:v>0.0000133514404296875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Backbone</x:v>
      </x:c>
      <x:c r="B12" s="30" t="str">
        <x:v>output_attn_res_proj.weight</x:v>
      </x:c>
      <x:c r="C12" s="30" t="str">
        <x:v>[1, 7168]</x:v>
      </x:c>
      <x:c r="D12" s="30" t="str">
        <x:v>BF16</x:v>
      </x:c>
      <x:c r="E12" s="32" t="n">
        <x:v>2</x:v>
      </x:c>
      <x:c r="F12" s="33" t="n">
        <x:v>1</x:v>
      </x:c>
      <x:c r="G12" s="33" t="n">
        <x:v>7168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0.0000133514404296875</x:v>
      </x:c>
      <x:c r="K12" s="34" t="n">
        <x:f>J12/I12</x:f>
        <x:v>0.0000133514404296875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Dense MLP</x:v>
      </x:c>
      <x:c r="B13" s="30" t="str">
        <x:v>mlp.gate_proj.weight</x:v>
      </x:c>
      <x:c r="C13" s="30" t="str">
        <x:v>[33792, 7168]</x:v>
      </x:c>
      <x:c r="D13" s="30" t="str">
        <x:v>BF16</x:v>
      </x:c>
      <x:c r="E13" s="32" t="n">
        <x:v>2</x:v>
      </x:c>
      <x:c r="F13" s="33" t="n">
        <x:v>1</x:v>
      </x:c>
      <x:c r="G13" s="33" t="n">
        <x:v>242221056</x:v>
      </x:c>
      <x:c r="H13" s="33" t="str">
        <x:v>TP</x:v>
      </x:c>
      <x:c r="I13" s="33" t="n">
        <x:f>'Prefill'!$P$12</x:f>
        <x:v>8</x:v>
      </x:c>
      <x:c r="J13" s="34" t="n">
        <x:f>E13*F13*G13/1073741824</x:f>
        <x:v>0.451171875</x:v>
      </x:c>
      <x:c r="K13" s="34" t="n">
        <x:f>J13/I13</x:f>
        <x:v>0.056396484375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Dense MLP</x:v>
      </x:c>
      <x:c r="B14" s="30" t="str">
        <x:v>mlp.up_proj.weight</x:v>
      </x:c>
      <x:c r="C14" s="30" t="str">
        <x:v>[33792, 7168]</x:v>
      </x:c>
      <x:c r="D14" s="30" t="str">
        <x:v>BF16</x:v>
      </x:c>
      <x:c r="E14" s="32" t="n">
        <x:v>2</x:v>
      </x:c>
      <x:c r="F14" s="33" t="n">
        <x:v>1</x:v>
      </x:c>
      <x:c r="G14" s="33" t="n">
        <x:v>242221056</x:v>
      </x:c>
      <x:c r="H14" s="33" t="str">
        <x:v>TP</x:v>
      </x:c>
      <x:c r="I14" s="33" t="n">
        <x:f>'Prefill'!$P$12</x:f>
        <x:v>8</x:v>
      </x:c>
      <x:c r="J14" s="34" t="n">
        <x:f>E14*F14*G14/1073741824</x:f>
        <x:v>0.451171875</x:v>
      </x:c>
      <x:c r="K14" s="34" t="n">
        <x:f>J14/I14</x:f>
        <x:v>0.056396484375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Dense MLP</x:v>
      </x:c>
      <x:c r="B15" s="30" t="str">
        <x:v>mlp.down_proj.weight</x:v>
      </x:c>
      <x:c r="C15" s="30" t="str">
        <x:v>[7168, 33792]</x:v>
      </x:c>
      <x:c r="D15" s="30" t="str">
        <x:v>BF16</x:v>
      </x:c>
      <x:c r="E15" s="32" t="n">
        <x:v>2</x:v>
      </x:c>
      <x:c r="F15" s="33" t="n">
        <x:v>1</x:v>
      </x:c>
      <x:c r="G15" s="33" t="n">
        <x:v>242221056</x:v>
      </x:c>
      <x:c r="H15" s="33" t="str">
        <x:v>TP</x:v>
      </x:c>
      <x:c r="I15" s="33" t="n">
        <x:f>'Prefill'!$P$12</x:f>
        <x:v>8</x:v>
      </x:c>
      <x:c r="J15" s="34" t="n">
        <x:f>E15*F15*G15/1073741824</x:f>
        <x:v>0.451171875</x:v>
      </x:c>
      <x:c r="K15" s="34" t="n">
        <x:f>J15/I15</x:f>
        <x:v>0.056396484375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MoE Router</x:v>
      </x:c>
      <x:c r="B16" s="30" t="str">
        <x:v>block_sparse_moe.gate.weight</x:v>
      </x:c>
      <x:c r="C16" s="30" t="str">
        <x:v>[896, 7168]</x:v>
      </x:c>
      <x:c r="D16" s="30" t="str">
        <x:v>BF16</x:v>
      </x:c>
      <x:c r="E16" s="32" t="n">
        <x:v>2</x:v>
      </x:c>
      <x:c r="F16" s="33" t="n">
        <x:v>92</x:v>
      </x:c>
      <x:c r="G16" s="33" t="n">
        <x:v>6422528</x:v>
      </x:c>
      <x:c r="H16" s="33" t="str">
        <x:v>Replicated</x:v>
      </x:c>
      <x:c r="I16" s="33" t="n">
        <x:f>1</x:f>
        <x:v>1</x:v>
      </x:c>
      <x:c r="J16" s="34" t="n">
        <x:f>E16*F16*G16/1073741824</x:f>
        <x:v>1.1005859375</x:v>
      </x:c>
      <x:c r="K16" s="34" t="n">
        <x:f>J16/I16</x:f>
        <x:v>1.1005859375</x:v>
      </x:c>
      <x:c r="L16" s="30"/>
      <x:c r="M16" s="30"/>
      <x:c r="N16" s="30"/>
      <x:c r="O16" s="35"/>
      <x:c r="P16" s="35"/>
    </x:row>
    <x:row r="17">
      <x:c r="A17" s="30" t="str">
        <x:v>MoE Router</x:v>
      </x:c>
      <x:c r="B17" s="30" t="str">
        <x:v>block_sparse_moe.gate.e_score_correction_bias</x:v>
      </x:c>
      <x:c r="C17" s="30" t="str">
        <x:v>[896]</x:v>
      </x:c>
      <x:c r="D17" s="30" t="str">
        <x:v>F32</x:v>
      </x:c>
      <x:c r="E17" s="32" t="n">
        <x:v>4</x:v>
      </x:c>
      <x:c r="F17" s="33" t="n">
        <x:v>92</x:v>
      </x:c>
      <x:c r="G17" s="33" t="n">
        <x:v>896</x:v>
      </x:c>
      <x:c r="H17" s="33" t="str">
        <x:v>Replicated</x:v>
      </x:c>
      <x:c r="I17" s="33" t="n">
        <x:f>1</x:f>
        <x:v>1</x:v>
      </x:c>
      <x:c r="J17" s="34" t="n">
        <x:f>E17*F17*G17/1073741824</x:f>
        <x:v>0.0003070831298828125</x:v>
      </x:c>
      <x:c r="K17" s="34" t="n">
        <x:f>J17/I17</x:f>
        <x:v>0.0003070831298828125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Latent MoE</x:v>
      </x:c>
      <x:c r="B18" s="30" t="str">
        <x:v>routed_expert_up_proj.weight</x:v>
      </x:c>
      <x:c r="C18" s="30" t="str">
        <x:v>[7168, 3584]</x:v>
      </x:c>
      <x:c r="D18" s="30" t="str">
        <x:v>BF16</x:v>
      </x:c>
      <x:c r="E18" s="32" t="n">
        <x:v>2</x:v>
      </x:c>
      <x:c r="F18" s="33" t="n">
        <x:v>92</x:v>
      </x:c>
      <x:c r="G18" s="33" t="n">
        <x:v>25690112</x:v>
      </x:c>
      <x:c r="H18" s="33" t="str">
        <x:v>Replicated</x:v>
      </x:c>
      <x:c r="I18" s="33" t="n">
        <x:f>1</x:f>
        <x:v>1</x:v>
      </x:c>
      <x:c r="J18" s="34" t="n">
        <x:f>E18*F18*G18/1073741824</x:f>
        <x:v>4.40234375</x:v>
      </x:c>
      <x:c r="K18" s="34" t="n">
        <x:f>J18/I18</x:f>
        <x:v>4.40234375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Latent MoE</x:v>
      </x:c>
      <x:c r="B19" s="30" t="str">
        <x:v>routed_expert_norm.weight</x:v>
      </x:c>
      <x:c r="C19" s="30" t="str">
        <x:v>[3584]</x:v>
      </x:c>
      <x:c r="D19" s="30" t="str">
        <x:v>BF16</x:v>
      </x:c>
      <x:c r="E19" s="32" t="n">
        <x:v>2</x:v>
      </x:c>
      <x:c r="F19" s="33" t="n">
        <x:v>92</x:v>
      </x:c>
      <x:c r="G19" s="33" t="n">
        <x:v>3584</x:v>
      </x:c>
      <x:c r="H19" s="33" t="str">
        <x:v>Replicated</x:v>
      </x:c>
      <x:c r="I19" s="33" t="n">
        <x:f>1</x:f>
        <x:v>1</x:v>
      </x:c>
      <x:c r="J19" s="34" t="n">
        <x:f>E19*F19*G19/1073741824</x:f>
        <x:v>0.000614166259765625</x:v>
      </x:c>
      <x:c r="K19" s="34" t="n">
        <x:f>J19/I19</x:f>
        <x:v>0.000614166259765625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Latent MoE</x:v>
      </x:c>
      <x:c r="B20" s="30" t="str">
        <x:v>routed_expert_down_proj.weight</x:v>
      </x:c>
      <x:c r="C20" s="30" t="str">
        <x:v>[3584, 7168]</x:v>
      </x:c>
      <x:c r="D20" s="30" t="str">
        <x:v>BF16</x:v>
      </x:c>
      <x:c r="E20" s="32" t="n">
        <x:v>2</x:v>
      </x:c>
      <x:c r="F20" s="33" t="n">
        <x:v>92</x:v>
      </x:c>
      <x:c r="G20" s="33" t="n">
        <x:v>25690112</x:v>
      </x:c>
      <x:c r="H20" s="33" t="str">
        <x:v>Replicated</x:v>
      </x:c>
      <x:c r="I20" s="33" t="n">
        <x:f>1</x:f>
        <x:v>1</x:v>
      </x:c>
      <x:c r="J20" s="34" t="n">
        <x:f>E20*F20*G20/1073741824</x:f>
        <x:v>4.40234375</x:v>
      </x:c>
      <x:c r="K20" s="34" t="n">
        <x:f>J20/I20</x:f>
        <x:v>4.40234375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Routed Experts</x:v>
      </x:c>
      <x:c r="B21" s="30" t="str">
        <x:v>experts.w1.weight</x:v>
      </x:c>
      <x:c r="C21" s="30" t="str">
        <x:v>[3072, 3584]</x:v>
      </x:c>
      <x:c r="D21" s="30" t="str">
        <x:v>FP4</x:v>
      </x:c>
      <x:c r="E21" s="32" t="n">
        <x:v>0.5</x:v>
      </x:c>
      <x:c r="F21" s="33" t="n">
        <x:v>82432</x:v>
      </x:c>
      <x:c r="G21" s="33" t="n">
        <x:v>11010048</x:v>
      </x:c>
      <x:c r="H21" s="33" t="str">
        <x:v>EP</x:v>
      </x:c>
      <x:c r="I21" s="33" t="n">
        <x:f>'Prefill'!$P$14</x:f>
        <x:v>8</x:v>
      </x:c>
      <x:c r="J21" s="34" t="n">
        <x:f>E21*F21*G21/1073741824</x:f>
        <x:v>422.625</x:v>
      </x:c>
      <x:c r="K21" s="34" t="n">
        <x:f>J21/I21</x:f>
        <x:v>52.828125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Routed Experts</x:v>
      </x:c>
      <x:c r="B22" s="30" t="str">
        <x:v>experts.w1.weight_scale</x:v>
      </x:c>
      <x:c r="C22" s="30" t="str">
        <x:v>[3072, 112]</x:v>
      </x:c>
      <x:c r="D22" s="30" t="str">
        <x:v>E8M0</x:v>
      </x:c>
      <x:c r="E22" s="32" t="n">
        <x:v>1</x:v>
      </x:c>
      <x:c r="F22" s="33" t="n">
        <x:v>82432</x:v>
      </x:c>
      <x:c r="G22" s="33" t="n">
        <x:v>344064</x:v>
      </x:c>
      <x:c r="H22" s="33" t="str">
        <x:v>EP</x:v>
      </x:c>
      <x:c r="I22" s="33" t="n">
        <x:f>'Prefill'!$P$14</x:f>
        <x:v>8</x:v>
      </x:c>
      <x:c r="J22" s="34" t="n">
        <x:f>E22*F22*G22/1073741824</x:f>
        <x:v>26.4140625</x:v>
      </x:c>
      <x:c r="K22" s="34" t="n">
        <x:f>J22/I22</x:f>
        <x:v>3.3017578125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Routed Experts</x:v>
      </x:c>
      <x:c r="B23" s="30" t="str">
        <x:v>experts.w3.weight</x:v>
      </x:c>
      <x:c r="C23" s="30" t="str">
        <x:v>[3072, 3584]</x:v>
      </x:c>
      <x:c r="D23" s="30" t="str">
        <x:v>FP4</x:v>
      </x:c>
      <x:c r="E23" s="32" t="n">
        <x:v>0.5</x:v>
      </x:c>
      <x:c r="F23" s="33" t="n">
        <x:v>82432</x:v>
      </x:c>
      <x:c r="G23" s="33" t="n">
        <x:v>11010048</x:v>
      </x:c>
      <x:c r="H23" s="33" t="str">
        <x:v>EP</x:v>
      </x:c>
      <x:c r="I23" s="33" t="n">
        <x:f>'Prefill'!$P$14</x:f>
        <x:v>8</x:v>
      </x:c>
      <x:c r="J23" s="34" t="n">
        <x:f>E23*F23*G23/1073741824</x:f>
        <x:v>422.625</x:v>
      </x:c>
      <x:c r="K23" s="34" t="n">
        <x:f>J23/I23</x:f>
        <x:v>52.828125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experts.w3.weight_scale</x:v>
      </x:c>
      <x:c r="C24" s="30" t="str">
        <x:v>[3072, 112]</x:v>
      </x:c>
      <x:c r="D24" s="30" t="str">
        <x:v>E8M0</x:v>
      </x:c>
      <x:c r="E24" s="32" t="n">
        <x:v>1</x:v>
      </x:c>
      <x:c r="F24" s="33" t="n">
        <x:v>82432</x:v>
      </x:c>
      <x:c r="G24" s="33" t="n">
        <x:v>344064</x:v>
      </x:c>
      <x:c r="H24" s="33" t="str">
        <x:v>EP</x:v>
      </x:c>
      <x:c r="I24" s="33" t="n">
        <x:f>'Prefill'!$P$14</x:f>
        <x:v>8</x:v>
      </x:c>
      <x:c r="J24" s="34" t="n">
        <x:f>E24*F24*G24/1073741824</x:f>
        <x:v>26.4140625</x:v>
      </x:c>
      <x:c r="K24" s="34" t="n">
        <x:f>J24/I24</x:f>
        <x:v>3.3017578125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experts.w2.weight</x:v>
      </x:c>
      <x:c r="C25" s="30" t="str">
        <x:v>[3584, 3072]</x:v>
      </x:c>
      <x:c r="D25" s="30" t="str">
        <x:v>FP4</x:v>
      </x:c>
      <x:c r="E25" s="32" t="n">
        <x:v>0.5</x:v>
      </x:c>
      <x:c r="F25" s="33" t="n">
        <x:v>82432</x:v>
      </x:c>
      <x:c r="G25" s="33" t="n">
        <x:v>11010048</x:v>
      </x:c>
      <x:c r="H25" s="33" t="str">
        <x:v>EP</x:v>
      </x:c>
      <x:c r="I25" s="33" t="n">
        <x:f>'Prefill'!$P$14</x:f>
        <x:v>8</x:v>
      </x:c>
      <x:c r="J25" s="34" t="n">
        <x:f>E25*F25*G25/1073741824</x:f>
        <x:v>422.625</x:v>
      </x:c>
      <x:c r="K25" s="34" t="n">
        <x:f>J25/I25</x:f>
        <x:v>52.828125</x:v>
      </x:c>
      <x:c r="L25" s="30"/>
      <x:c r="M25" s="30"/>
      <x:c r="N25" s="30"/>
      <x:c r="O25" s="30"/>
      <x:c r="P25" s="30"/>
    </x:row>
    <x:row r="26">
      <x:c r="A26" s="30" t="str">
        <x:v>Routed Experts</x:v>
      </x:c>
      <x:c r="B26" s="30" t="str">
        <x:v>experts.w2.weight_scale</x:v>
      </x:c>
      <x:c r="C26" s="30" t="str">
        <x:v>[3584, 96]</x:v>
      </x:c>
      <x:c r="D26" s="30" t="str">
        <x:v>E8M0</x:v>
      </x:c>
      <x:c r="E26" s="32" t="n">
        <x:v>1</x:v>
      </x:c>
      <x:c r="F26" s="33" t="n">
        <x:v>82432</x:v>
      </x:c>
      <x:c r="G26" s="33" t="n">
        <x:v>344064</x:v>
      </x:c>
      <x:c r="H26" s="33" t="str">
        <x:v>EP</x:v>
      </x:c>
      <x:c r="I26" s="33" t="n">
        <x:f>'Prefill'!$P$14</x:f>
        <x:v>8</x:v>
      </x:c>
      <x:c r="J26" s="34" t="n">
        <x:f>E26*F26*G26/1073741824</x:f>
        <x:v>26.4140625</x:v>
      </x:c>
      <x:c r="K26" s="34" t="n">
        <x:f>J26/I26</x:f>
        <x:v>3.3017578125</x:v>
      </x:c>
      <x:c r="L26" s="30"/>
      <x:c r="M26" s="30"/>
      <x:c r="N26" s="30"/>
      <x:c r="O26" s="30"/>
      <x:c r="P26" s="30"/>
    </x:row>
    <x:row r="27">
      <x:c r="A27" s="30" t="str">
        <x:v>Shared Experts</x:v>
      </x:c>
      <x:c r="B27" s="30" t="str">
        <x:v>shared_experts.gate_proj.weight</x:v>
      </x:c>
      <x:c r="C27" s="30" t="str">
        <x:v>[6144, 7168]</x:v>
      </x:c>
      <x:c r="D27" s="30" t="str">
        <x:v>BF16</x:v>
      </x:c>
      <x:c r="E27" s="32" t="n">
        <x:v>2</x:v>
      </x:c>
      <x:c r="F27" s="33" t="n">
        <x:v>92</x:v>
      </x:c>
      <x:c r="G27" s="33" t="n">
        <x:v>44040192</x:v>
      </x:c>
      <x:c r="H27" s="33" t="str">
        <x:v>共享专家 TP/DP</x:v>
      </x:c>
      <x:c r="I27" s="33" t="n">
        <x:f>IF('Prefill'!$P$17="TP",'Prefill'!$P$18,1)</x:f>
        <x:v>8</x:v>
      </x:c>
      <x:c r="J27" s="34" t="n">
        <x:f>E27*F27*G27/1073741824</x:f>
        <x:v>7.546875</x:v>
      </x:c>
      <x:c r="K27" s="34" t="n">
        <x:f>J27/I27</x:f>
        <x:v>0.943359375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Experts</x:v>
      </x:c>
      <x:c r="B28" s="30" t="str">
        <x:v>shared_experts.up_proj.weight</x:v>
      </x:c>
      <x:c r="C28" s="30" t="str">
        <x:v>[6144, 7168]</x:v>
      </x:c>
      <x:c r="D28" s="30" t="str">
        <x:v>BF16</x:v>
      </x:c>
      <x:c r="E28" s="32" t="n">
        <x:v>2</x:v>
      </x:c>
      <x:c r="F28" s="33" t="n">
        <x:v>92</x:v>
      </x:c>
      <x:c r="G28" s="33" t="n">
        <x:v>44040192</x:v>
      </x:c>
      <x:c r="H28" s="33" t="str">
        <x:v>共享专家 TP/DP</x:v>
      </x:c>
      <x:c r="I28" s="33" t="n">
        <x:f>IF('Prefill'!$P$17="TP",'Prefill'!$P$18,1)</x:f>
        <x:v>8</x:v>
      </x:c>
      <x:c r="J28" s="34" t="n">
        <x:f>E28*F28*G28/1073741824</x:f>
        <x:v>7.546875</x:v>
      </x:c>
      <x:c r="K28" s="34" t="n">
        <x:f>J28/I28</x:f>
        <x:v>0.943359375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Shared Experts</x:v>
      </x:c>
      <x:c r="B29" s="30" t="str">
        <x:v>shared_experts.down_proj.weight</x:v>
      </x:c>
      <x:c r="C29" s="30" t="str">
        <x:v>[7168, 6144]</x:v>
      </x:c>
      <x:c r="D29" s="30" t="str">
        <x:v>BF16</x:v>
      </x:c>
      <x:c r="E29" s="32" t="n">
        <x:v>2</x:v>
      </x:c>
      <x:c r="F29" s="33" t="n">
        <x:v>92</x:v>
      </x:c>
      <x:c r="G29" s="33" t="n">
        <x:v>44040192</x:v>
      </x:c>
      <x:c r="H29" s="33" t="str">
        <x:v>共享专家 TP/DP</x:v>
      </x:c>
      <x:c r="I29" s="33" t="n">
        <x:f>IF('Prefill'!$P$17="TP",'Prefill'!$P$18,1)</x:f>
        <x:v>8</x:v>
      </x:c>
      <x:c r="J29" s="34" t="n">
        <x:f>E29*F29*G29/1073741824</x:f>
        <x:v>7.546875</x:v>
      </x:c>
      <x:c r="K29" s="34" t="n">
        <x:f>J29/I29</x:f>
        <x:v>0.943359375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KDA</x:v>
      </x:c>
      <x:c r="B30" s="30" t="str">
        <x:v>q_proj.weight</x:v>
      </x:c>
      <x:c r="C30" s="30" t="str">
        <x:v>[12288, 7168]</x:v>
      </x:c>
      <x:c r="D30" s="30" t="str">
        <x:v>BF16</x:v>
      </x:c>
      <x:c r="E30" s="32" t="n">
        <x:v>2</x:v>
      </x:c>
      <x:c r="F30" s="33" t="n">
        <x:v>69</x:v>
      </x:c>
      <x:c r="G30" s="33" t="n">
        <x:v>88080384</x:v>
      </x:c>
      <x:c r="H30" s="33" t="str">
        <x:v>TP</x:v>
      </x:c>
      <x:c r="I30" s="33" t="n">
        <x:f>'Prefill'!$P$12</x:f>
        <x:v>8</x:v>
      </x:c>
      <x:c r="J30" s="34" t="n">
        <x:f>E30*F30*G30/1073741824</x:f>
        <x:v>11.3203125</x:v>
      </x:c>
      <x:c r="K30" s="34" t="n">
        <x:f>J30/I30</x:f>
        <x:v>1.4150390625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KDA</x:v>
      </x:c>
      <x:c r="B31" s="30" t="str">
        <x:v>k_proj.weight</x:v>
      </x:c>
      <x:c r="C31" s="30" t="str">
        <x:v>[12288, 7168]</x:v>
      </x:c>
      <x:c r="D31" s="30" t="str">
        <x:v>BF16</x:v>
      </x:c>
      <x:c r="E31" s="32" t="n">
        <x:v>2</x:v>
      </x:c>
      <x:c r="F31" s="33" t="n">
        <x:v>69</x:v>
      </x:c>
      <x:c r="G31" s="33" t="n">
        <x:v>88080384</x:v>
      </x:c>
      <x:c r="H31" s="33" t="str">
        <x:v>TP</x:v>
      </x:c>
      <x:c r="I31" s="33" t="n">
        <x:f>'Prefill'!$P$12</x:f>
        <x:v>8</x:v>
      </x:c>
      <x:c r="J31" s="34" t="n">
        <x:f>E31*F31*G31/1073741824</x:f>
        <x:v>11.3203125</x:v>
      </x:c>
      <x:c r="K31" s="34" t="n">
        <x:f>J31/I31</x:f>
        <x:v>1.4150390625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KDA</x:v>
      </x:c>
      <x:c r="B32" s="30" t="str">
        <x:v>v_proj.weight</x:v>
      </x:c>
      <x:c r="C32" s="30" t="str">
        <x:v>[12288, 7168]</x:v>
      </x:c>
      <x:c r="D32" s="30" t="str">
        <x:v>BF16</x:v>
      </x:c>
      <x:c r="E32" s="32" t="n">
        <x:v>2</x:v>
      </x:c>
      <x:c r="F32" s="33" t="n">
        <x:v>69</x:v>
      </x:c>
      <x:c r="G32" s="33" t="n">
        <x:v>88080384</x:v>
      </x:c>
      <x:c r="H32" s="33" t="str">
        <x:v>TP</x:v>
      </x:c>
      <x:c r="I32" s="33" t="n">
        <x:f>'Prefill'!$P$12</x:f>
        <x:v>8</x:v>
      </x:c>
      <x:c r="J32" s="34" t="n">
        <x:f>E32*F32*G32/1073741824</x:f>
        <x:v>11.3203125</x:v>
      </x:c>
      <x:c r="K32" s="34" t="n">
        <x:f>J32/I32</x:f>
        <x:v>1.4150390625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KDA</x:v>
      </x:c>
      <x:c r="B33" s="30" t="str">
        <x:v>g_proj.weight</x:v>
      </x:c>
      <x:c r="C33" s="30" t="str">
        <x:v>[12288, 7168]</x:v>
      </x:c>
      <x:c r="D33" s="30" t="str">
        <x:v>BF16</x:v>
      </x:c>
      <x:c r="E33" s="32" t="n">
        <x:v>2</x:v>
      </x:c>
      <x:c r="F33" s="33" t="n">
        <x:v>93</x:v>
      </x:c>
      <x:c r="G33" s="33" t="n">
        <x:v>88080384</x:v>
      </x:c>
      <x:c r="H33" s="33" t="str">
        <x:v>TP</x:v>
      </x:c>
      <x:c r="I33" s="33" t="n">
        <x:f>'Prefill'!$P$12</x:f>
        <x:v>8</x:v>
      </x:c>
      <x:c r="J33" s="34" t="n">
        <x:f>E33*F33*G33/1073741824</x:f>
        <x:v>15.2578125</x:v>
      </x:c>
      <x:c r="K33" s="34" t="n">
        <x:f>J33/I33</x:f>
        <x:v>1.9072265625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KDA</x:v>
      </x:c>
      <x:c r="B34" s="30" t="str">
        <x:v>b_proj.weight</x:v>
      </x:c>
      <x:c r="C34" s="30" t="str">
        <x:v>[96, 7168]</x:v>
      </x:c>
      <x:c r="D34" s="30" t="str">
        <x:v>BF16</x:v>
      </x:c>
      <x:c r="E34" s="32" t="n">
        <x:v>2</x:v>
      </x:c>
      <x:c r="F34" s="33" t="n">
        <x:v>69</x:v>
      </x:c>
      <x:c r="G34" s="33" t="n">
        <x:v>688128</x:v>
      </x:c>
      <x:c r="H34" s="33" t="str">
        <x:v>TP</x:v>
      </x:c>
      <x:c r="I34" s="33" t="n">
        <x:f>'Prefill'!$P$12</x:f>
        <x:v>8</x:v>
      </x:c>
      <x:c r="J34" s="34" t="n">
        <x:f>E34*F34*G34/1073741824</x:f>
        <x:v>0.08843994140625</x:v>
      </x:c>
      <x:c r="K34" s="34" t="n">
        <x:f>J34/I34</x:f>
        <x:v>0.01105499267578125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KDA</x:v>
      </x:c>
      <x:c r="B35" s="30" t="str">
        <x:v>f_a_proj.weight</x:v>
      </x:c>
      <x:c r="C35" s="30" t="str">
        <x:v>[128, 7168]</x:v>
      </x:c>
      <x:c r="D35" s="30" t="str">
        <x:v>BF16</x:v>
      </x:c>
      <x:c r="E35" s="32" t="n">
        <x:v>2</x:v>
      </x:c>
      <x:c r="F35" s="33" t="n">
        <x:v>69</x:v>
      </x:c>
      <x:c r="G35" s="33" t="n">
        <x:v>917504</x:v>
      </x:c>
      <x:c r="H35" s="33" t="str">
        <x:v>Replicated</x:v>
      </x:c>
      <x:c r="I35" s="33" t="n">
        <x:f>1</x:f>
        <x:v>1</x:v>
      </x:c>
      <x:c r="J35" s="34" t="n">
        <x:f>E35*F35*G35/1073741824</x:f>
        <x:v>0.117919921875</x:v>
      </x:c>
      <x:c r="K35" s="34" t="n">
        <x:f>J35/I35</x:f>
        <x:v>0.117919921875</x:v>
      </x:c>
      <x:c r="L35" s="30"/>
      <x:c r="M35" s="30"/>
      <x:c r="N35" s="30"/>
      <x:c r="O35" s="30"/>
      <x:c r="P35" s="30"/>
    </x:row>
    <x:row r="36">
      <x:c r="A36" s="30" t="str">
        <x:v>KDA</x:v>
      </x:c>
      <x:c r="B36" s="30" t="str">
        <x:v>f_b_proj.weight</x:v>
      </x:c>
      <x:c r="C36" s="30" t="str">
        <x:v>[12288, 128]</x:v>
      </x:c>
      <x:c r="D36" s="30" t="str">
        <x:v>BF16</x:v>
      </x:c>
      <x:c r="E36" s="32" t="n">
        <x:v>2</x:v>
      </x:c>
      <x:c r="F36" s="33" t="n">
        <x:v>69</x:v>
      </x:c>
      <x:c r="G36" s="33" t="n">
        <x:v>1572864</x:v>
      </x:c>
      <x:c r="H36" s="33" t="str">
        <x:v>TP</x:v>
      </x:c>
      <x:c r="I36" s="33" t="n">
        <x:f>'Prefill'!$P$12</x:f>
        <x:v>8</x:v>
      </x:c>
      <x:c r="J36" s="34" t="n">
        <x:f>E36*F36*G36/1073741824</x:f>
        <x:v>0.2021484375</x:v>
      </x:c>
      <x:c r="K36" s="34" t="n">
        <x:f>J36/I36</x:f>
        <x:v>0.0252685546875</x:v>
      </x:c>
      <x:c r="L36" s="30"/>
      <x:c r="M36" s="30"/>
      <x:c r="N36" s="30"/>
      <x:c r="O36" s="30"/>
      <x:c r="P36" s="30"/>
    </x:row>
    <x:row r="37">
      <x:c r="A37" s="30" t="str">
        <x:v>KDA</x:v>
      </x:c>
      <x:c r="B37" s="30" t="str">
        <x:v>q_conv1d.weight</x:v>
      </x:c>
      <x:c r="C37" s="30" t="str">
        <x:v>[12288, 1, 4]</x:v>
      </x:c>
      <x:c r="D37" s="30" t="str">
        <x:v>F32</x:v>
      </x:c>
      <x:c r="E37" s="32" t="n">
        <x:v>4</x:v>
      </x:c>
      <x:c r="F37" s="33" t="n">
        <x:v>69</x:v>
      </x:c>
      <x:c r="G37" s="33" t="n">
        <x:v>49152</x:v>
      </x:c>
      <x:c r="H37" s="33" t="str">
        <x:v>TP</x:v>
      </x:c>
      <x:c r="I37" s="33" t="n">
        <x:f>'Prefill'!$P$12</x:f>
        <x:v>8</x:v>
      </x:c>
      <x:c r="J37" s="34" t="n">
        <x:f>E37*F37*G37/1073741824</x:f>
        <x:v>0.01263427734375</x:v>
      </x:c>
      <x:c r="K37" s="34" t="n">
        <x:f>J37/I37</x:f>
        <x:v>0.00157928466796875</x:v>
      </x:c>
      <x:c r="L37" s="30"/>
      <x:c r="M37" s="30"/>
      <x:c r="N37" s="30"/>
      <x:c r="O37" s="30"/>
      <x:c r="P37" s="30"/>
    </x:row>
    <x:row r="38">
      <x:c r="A38" s="30" t="str">
        <x:v>KDA</x:v>
      </x:c>
      <x:c r="B38" s="30" t="str">
        <x:v>k_conv1d.weight</x:v>
      </x:c>
      <x:c r="C38" s="30" t="str">
        <x:v>[12288, 1, 4]</x:v>
      </x:c>
      <x:c r="D38" s="30" t="str">
        <x:v>F32</x:v>
      </x:c>
      <x:c r="E38" s="32" t="n">
        <x:v>4</x:v>
      </x:c>
      <x:c r="F38" s="33" t="n">
        <x:v>69</x:v>
      </x:c>
      <x:c r="G38" s="33" t="n">
        <x:v>49152</x:v>
      </x:c>
      <x:c r="H38" s="33" t="str">
        <x:v>TP</x:v>
      </x:c>
      <x:c r="I38" s="33" t="n">
        <x:f>'Prefill'!$P$12</x:f>
        <x:v>8</x:v>
      </x:c>
      <x:c r="J38" s="34" t="n">
        <x:f>E38*F38*G38/1073741824</x:f>
        <x:v>0.01263427734375</x:v>
      </x:c>
      <x:c r="K38" s="34" t="n">
        <x:f>J38/I38</x:f>
        <x:v>0.00157928466796875</x:v>
      </x:c>
      <x:c r="L38" s="30"/>
      <x:c r="M38" s="30"/>
      <x:c r="N38" s="30"/>
      <x:c r="O38" s="30"/>
      <x:c r="P38" s="30"/>
    </x:row>
    <x:row r="39">
      <x:c r="A39" s="30" t="str">
        <x:v>KDA</x:v>
      </x:c>
      <x:c r="B39" s="30" t="str">
        <x:v>v_conv1d.weight</x:v>
      </x:c>
      <x:c r="C39" s="30" t="str">
        <x:v>[12288, 1, 4]</x:v>
      </x:c>
      <x:c r="D39" s="30" t="str">
        <x:v>F32</x:v>
      </x:c>
      <x:c r="E39" s="32" t="n">
        <x:v>4</x:v>
      </x:c>
      <x:c r="F39" s="33" t="n">
        <x:v>69</x:v>
      </x:c>
      <x:c r="G39" s="33" t="n">
        <x:v>49152</x:v>
      </x:c>
      <x:c r="H39" s="33" t="str">
        <x:v>TP</x:v>
      </x:c>
      <x:c r="I39" s="33" t="n">
        <x:f>'Prefill'!$P$12</x:f>
        <x:v>8</x:v>
      </x:c>
      <x:c r="J39" s="34" t="n">
        <x:f>E39*F39*G39/1073741824</x:f>
        <x:v>0.01263427734375</x:v>
      </x:c>
      <x:c r="K39" s="34" t="n">
        <x:f>J39/I39</x:f>
        <x:v>0.00157928466796875</x:v>
      </x:c>
      <x:c r="L39" s="30"/>
      <x:c r="M39" s="30"/>
      <x:c r="N39" s="30"/>
      <x:c r="O39" s="30"/>
      <x:c r="P39" s="30"/>
    </x:row>
    <x:row r="40">
      <x:c r="A40" s="30" t="str">
        <x:v>KDA</x:v>
      </x:c>
      <x:c r="B40" s="30" t="str">
        <x:v>A_log</x:v>
      </x:c>
      <x:c r="C40" s="30" t="str">
        <x:v>[128]</x:v>
      </x:c>
      <x:c r="D40" s="30" t="str">
        <x:v>F32</x:v>
      </x:c>
      <x:c r="E40" s="32" t="n">
        <x:v>4</x:v>
      </x:c>
      <x:c r="F40" s="33" t="n">
        <x:v>69</x:v>
      </x:c>
      <x:c r="G40" s="33" t="n">
        <x:v>128</x:v>
      </x:c>
      <x:c r="H40" s="33" t="str">
        <x:v>TP</x:v>
      </x:c>
      <x:c r="I40" s="33" t="n">
        <x:f>'Prefill'!$P$12</x:f>
        <x:v>8</x:v>
      </x:c>
      <x:c r="J40" s="34" t="n">
        <x:f>E40*F40*G40/1073741824</x:f>
        <x:v>0.000032901763916015625</x:v>
      </x:c>
      <x:c r="K40" s="34" t="n">
        <x:f>J40/I40</x:f>
        <x:v>0.000004112720489501953</x:v>
      </x:c>
      <x:c r="L40" s="30"/>
      <x:c r="M40" s="30"/>
      <x:c r="N40" s="30"/>
      <x:c r="O40" s="30"/>
      <x:c r="P40" s="30"/>
    </x:row>
    <x:row r="41">
      <x:c r="A41" s="30" t="str">
        <x:v>KDA</x:v>
      </x:c>
      <x:c r="B41" s="30" t="str">
        <x:v>dt_bias</x:v>
      </x:c>
      <x:c r="C41" s="30" t="str">
        <x:v>[12288]</x:v>
      </x:c>
      <x:c r="D41" s="30" t="str">
        <x:v>F32</x:v>
      </x:c>
      <x:c r="E41" s="32" t="n">
        <x:v>4</x:v>
      </x:c>
      <x:c r="F41" s="33" t="n">
        <x:v>69</x:v>
      </x:c>
      <x:c r="G41" s="33" t="n">
        <x:v>12288</x:v>
      </x:c>
      <x:c r="H41" s="33" t="str">
        <x:v>TP</x:v>
      </x:c>
      <x:c r="I41" s="33" t="n">
        <x:f>'Prefill'!$P$12</x:f>
        <x:v>8</x:v>
      </x:c>
      <x:c r="J41" s="34" t="n">
        <x:f>E41*F41*G41/1073741824</x:f>
        <x:v>0.0031585693359375</x:v>
      </x:c>
      <x:c r="K41" s="34" t="n">
        <x:f>J41/I41</x:f>
        <x:v>0.0003948211669921875</x:v>
      </x:c>
      <x:c r="L41" s="30"/>
      <x:c r="M41" s="30"/>
      <x:c r="N41" s="30"/>
      <x:c r="O41" s="30"/>
      <x:c r="P41" s="30"/>
    </x:row>
    <x:row r="42">
      <x:c r="A42" s="30" t="str">
        <x:v>KDA</x:v>
      </x:c>
      <x:c r="B42" s="30" t="str">
        <x:v>o_norm.weight</x:v>
      </x:c>
      <x:c r="C42" s="30" t="str">
        <x:v>[128]</x:v>
      </x:c>
      <x:c r="D42" s="30" t="str">
        <x:v>F32</x:v>
      </x:c>
      <x:c r="E42" s="32" t="n">
        <x:v>4</x:v>
      </x:c>
      <x:c r="F42" s="33" t="n">
        <x:v>69</x:v>
      </x:c>
      <x:c r="G42" s="33" t="n">
        <x:v>128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0.000032901763916015625</x:v>
      </x:c>
      <x:c r="K42" s="34" t="n">
        <x:f>J42/I42</x:f>
        <x:v>0.000032901763916015625</x:v>
      </x:c>
      <x:c r="L42" s="30"/>
      <x:c r="M42" s="30"/>
      <x:c r="N42" s="30"/>
      <x:c r="O42" s="30"/>
      <x:c r="P42" s="30"/>
    </x:row>
    <x:row r="43">
      <x:c r="A43" s="30" t="str">
        <x:v>Attention</x:v>
      </x:c>
      <x:c r="B43" s="30" t="str">
        <x:v>o_proj.weight</x:v>
      </x:c>
      <x:c r="C43" s="30" t="str">
        <x:v>[7168, 12288]</x:v>
      </x:c>
      <x:c r="D43" s="30" t="str">
        <x:v>BF16</x:v>
      </x:c>
      <x:c r="E43" s="32" t="n">
        <x:v>2</x:v>
      </x:c>
      <x:c r="F43" s="33" t="n">
        <x:v>93</x:v>
      </x:c>
      <x:c r="G43" s="33" t="n">
        <x:v>88080384</x:v>
      </x:c>
      <x:c r="H43" s="33" t="str">
        <x:v>O Proj TP</x:v>
      </x:c>
      <x:c r="I43" s="33" t="n">
        <x:f>IF('Prefill'!$P$19&gt;0,'Prefill'!$P$19,'Prefill'!$P$12)</x:f>
        <x:v>8</x:v>
      </x:c>
      <x:c r="J43" s="34" t="n">
        <x:f>E43*F43*G43/1073741824</x:f>
        <x:v>15.2578125</x:v>
      </x:c>
      <x:c r="K43" s="34" t="n">
        <x:f>J43/I43</x:f>
        <x:v>1.9072265625</x:v>
      </x:c>
      <x:c r="L43" s="30"/>
      <x:c r="M43" s="30"/>
      <x:c r="N43" s="30"/>
      <x:c r="O43" s="30"/>
      <x:c r="P43" s="30"/>
    </x:row>
    <x:row r="44">
      <x:c r="A44" s="30" t="str">
        <x:v>MLA</x:v>
      </x:c>
      <x:c r="B44" s="30" t="str">
        <x:v>q_a_proj.weight</x:v>
      </x:c>
      <x:c r="C44" s="30" t="str">
        <x:v>[1536, 7168]</x:v>
      </x:c>
      <x:c r="D44" s="30" t="str">
        <x:v>BF16</x:v>
      </x:c>
      <x:c r="E44" s="32" t="n">
        <x:v>2</x:v>
      </x:c>
      <x:c r="F44" s="33" t="n">
        <x:v>24</x:v>
      </x:c>
      <x:c r="G44" s="33" t="n">
        <x:v>11010048</x:v>
      </x:c>
      <x:c r="H44" s="33" t="str">
        <x:v>Replicated</x:v>
      </x:c>
      <x:c r="I44" s="33" t="n">
        <x:f>1</x:f>
        <x:v>1</x:v>
      </x:c>
      <x:c r="J44" s="34" t="n">
        <x:f>E44*F44*G44/1073741824</x:f>
        <x:v>0.4921875</x:v>
      </x:c>
      <x:c r="K44" s="34" t="n">
        <x:f>J44/I44</x:f>
        <x:v>0.4921875</x:v>
      </x:c>
      <x:c r="L44" s="30"/>
      <x:c r="M44" s="30"/>
      <x:c r="N44" s="30"/>
      <x:c r="O44" s="30"/>
      <x:c r="P44" s="30"/>
    </x:row>
    <x:row r="45">
      <x:c r="A45" s="30" t="str">
        <x:v>MLA</x:v>
      </x:c>
      <x:c r="B45" s="30" t="str">
        <x:v>q_a_layernorm.weight</x:v>
      </x:c>
      <x:c r="C45" s="30" t="str">
        <x:v>[1536]</x:v>
      </x:c>
      <x:c r="D45" s="30" t="str">
        <x:v>BF16</x:v>
      </x:c>
      <x:c r="E45" s="32" t="n">
        <x:v>2</x:v>
      </x:c>
      <x:c r="F45" s="33" t="n">
        <x:v>24</x:v>
      </x:c>
      <x:c r="G45" s="33" t="n">
        <x:v>1536</x:v>
      </x:c>
      <x:c r="H45" s="33" t="str">
        <x:v>Replicated</x:v>
      </x:c>
      <x:c r="I45" s="33" t="n">
        <x:f>1</x:f>
        <x:v>1</x:v>
      </x:c>
      <x:c r="J45" s="34" t="n">
        <x:f>E45*F45*G45/1073741824</x:f>
        <x:v>0.00006866455078125</x:v>
      </x:c>
      <x:c r="K45" s="34" t="n">
        <x:f>J45/I45</x:f>
        <x:v>0.00006866455078125</x:v>
      </x:c>
      <x:c r="L45" s="30"/>
      <x:c r="M45" s="30"/>
      <x:c r="N45" s="30"/>
      <x:c r="O45" s="30"/>
      <x:c r="P45" s="30"/>
    </x:row>
    <x:row r="46">
      <x:c r="A46" s="30" t="str">
        <x:v>MLA</x:v>
      </x:c>
      <x:c r="B46" s="30" t="str">
        <x:v>q_b_proj.weight</x:v>
      </x:c>
      <x:c r="C46" s="30" t="str">
        <x:v>[18432, 1536]</x:v>
      </x:c>
      <x:c r="D46" s="30" t="str">
        <x:v>BF16</x:v>
      </x:c>
      <x:c r="E46" s="32" t="n">
        <x:v>2</x:v>
      </x:c>
      <x:c r="F46" s="33" t="n">
        <x:v>24</x:v>
      </x:c>
      <x:c r="G46" s="33" t="n">
        <x:v>28311552</x:v>
      </x:c>
      <x:c r="H46" s="33" t="str">
        <x:v>TP</x:v>
      </x:c>
      <x:c r="I46" s="33" t="n">
        <x:f>'Prefill'!$P$12</x:f>
        <x:v>8</x:v>
      </x:c>
      <x:c r="J46" s="34" t="n">
        <x:f>E46*F46*G46/1073741824</x:f>
        <x:v>1.265625</x:v>
      </x:c>
      <x:c r="K46" s="34" t="n">
        <x:f>J46/I46</x:f>
        <x:v>0.158203125</x:v>
      </x:c>
      <x:c r="L46" s="30"/>
      <x:c r="M46" s="30"/>
      <x:c r="N46" s="30"/>
      <x:c r="O46" s="30"/>
      <x:c r="P46" s="30"/>
    </x:row>
    <x:row r="47">
      <x:c r="A47" s="30" t="str">
        <x:v>MLA</x:v>
      </x:c>
      <x:c r="B47" s="30" t="str">
        <x:v>kv_a_proj_with_mqa.weight</x:v>
      </x:c>
      <x:c r="C47" s="30" t="str">
        <x:v>[576, 7168]</x:v>
      </x:c>
      <x:c r="D47" s="30" t="str">
        <x:v>BF16</x:v>
      </x:c>
      <x:c r="E47" s="32" t="n">
        <x:v>2</x:v>
      </x:c>
      <x:c r="F47" s="33" t="n">
        <x:v>24</x:v>
      </x:c>
      <x:c r="G47" s="33" t="n">
        <x:v>4128768</x:v>
      </x:c>
      <x:c r="H47" s="33" t="str">
        <x:v>Replicated</x:v>
      </x:c>
      <x:c r="I47" s="33" t="n">
        <x:f>1</x:f>
        <x:v>1</x:v>
      </x:c>
      <x:c r="J47" s="34" t="n">
        <x:f>E47*F47*G47/1073741824</x:f>
        <x:v>0.1845703125</x:v>
      </x:c>
      <x:c r="K47" s="34" t="n">
        <x:f>J47/I47</x:f>
        <x:v>0.1845703125</x:v>
      </x:c>
      <x:c r="L47" s="30"/>
      <x:c r="M47" s="30"/>
      <x:c r="N47" s="30"/>
      <x:c r="O47" s="30"/>
      <x:c r="P47" s="30"/>
    </x:row>
    <x:row r="48">
      <x:c r="A48" s="30" t="str">
        <x:v>MLA</x:v>
      </x:c>
      <x:c r="B48" s="30" t="str">
        <x:v>kv_a_layernorm.weight</x:v>
      </x:c>
      <x:c r="C48" s="30" t="str">
        <x:v>[512]</x:v>
      </x:c>
      <x:c r="D48" s="30" t="str">
        <x:v>BF16</x:v>
      </x:c>
      <x:c r="E48" s="32" t="n">
        <x:v>2</x:v>
      </x:c>
      <x:c r="F48" s="33" t="n">
        <x:v>24</x:v>
      </x:c>
      <x:c r="G48" s="33" t="n">
        <x:v>512</x:v>
      </x:c>
      <x:c r="H48" s="33" t="str">
        <x:v>Replicated</x:v>
      </x:c>
      <x:c r="I48" s="33" t="n">
        <x:f>1</x:f>
        <x:v>1</x:v>
      </x:c>
      <x:c r="J48" s="34" t="n">
        <x:f>E48*F48*G48/1073741824</x:f>
        <x:v>0.00002288818359375</x:v>
      </x:c>
      <x:c r="K48" s="34" t="n">
        <x:f>J48/I48</x:f>
        <x:v>0.00002288818359375</x:v>
      </x:c>
      <x:c r="L48" s="30"/>
      <x:c r="M48" s="30"/>
      <x:c r="N48" s="30"/>
      <x:c r="O48" s="30"/>
      <x:c r="P48" s="30"/>
    </x:row>
    <x:row r="49">
      <x:c r="A49" s="30" t="str">
        <x:v>MLA</x:v>
      </x:c>
      <x:c r="B49" s="30" t="str">
        <x:v>kv_b_proj.weight</x:v>
      </x:c>
      <x:c r="C49" s="30" t="str">
        <x:v>[24576, 512]</x:v>
      </x:c>
      <x:c r="D49" s="30" t="str">
        <x:v>BF16</x:v>
      </x:c>
      <x:c r="E49" s="32" t="n">
        <x:v>2</x:v>
      </x:c>
      <x:c r="F49" s="33" t="n">
        <x:v>24</x:v>
      </x:c>
      <x:c r="G49" s="33" t="n">
        <x:v>12582912</x:v>
      </x:c>
      <x:c r="H49" s="33" t="str">
        <x:v>TP</x:v>
      </x:c>
      <x:c r="I49" s="33" t="n">
        <x:f>'Prefill'!$P$12</x:f>
        <x:v>8</x:v>
      </x:c>
      <x:c r="J49" s="34" t="n">
        <x:f>E49*F49*G49/1073741824</x:f>
        <x:v>0.5625</x:v>
      </x:c>
      <x:c r="K49" s="34" t="n">
        <x:f>J49/I49</x:f>
        <x:v>0.0703125</x:v>
      </x:c>
      <x:c r="L49" s="30"/>
      <x:c r="M49" s="30"/>
      <x:c r="N49" s="30"/>
      <x:c r="O49" s="30"/>
      <x:c r="P49" s="30"/>
    </x:row>
    <x:row r="50">
      <x:c r="A50" s="30" t="str">
        <x:v>Vision</x:v>
      </x:c>
      <x:c r="B50" s="30" t="str">
        <x:v>patch_embed.proj.weight</x:v>
      </x:c>
      <x:c r="C50" s="30" t="str">
        <x:v>[1024, 3, 14, 14]</x:v>
      </x:c>
      <x:c r="D50" s="30" t="str">
        <x:v>BF16</x:v>
      </x:c>
      <x:c r="E50" s="32" t="n">
        <x:v>2</x:v>
      </x:c>
      <x:c r="F50" s="33" t="n">
        <x:v>1</x:v>
      </x:c>
      <x:c r="G50" s="33" t="n">
        <x:v>602112</x:v>
      </x:c>
      <x:c r="H50" s="33" t="str">
        <x:v>Replicated</x:v>
      </x:c>
      <x:c r="I50" s="33" t="n">
        <x:f>1</x:f>
        <x:v>1</x:v>
      </x:c>
      <x:c r="J50" s="34" t="n">
        <x:f>E50*F50*G50/1073741824</x:f>
        <x:v>0.00112152099609375</x:v>
      </x:c>
      <x:c r="K50" s="34" t="n">
        <x:f>J50/I50</x:f>
        <x:v>0.00112152099609375</x:v>
      </x:c>
      <x:c r="L50" s="30"/>
      <x:c r="M50" s="30"/>
      <x:c r="N50" s="30"/>
      <x:c r="O50" s="30"/>
      <x:c r="P50" s="30"/>
    </x:row>
    <x:row r="51">
      <x:c r="A51" s="30" t="str">
        <x:v>Vision</x:v>
      </x:c>
      <x:c r="B51" s="30" t="str">
        <x:v>patch_embed.pos_emb.weight</x:v>
      </x:c>
      <x:c r="C51" s="30" t="str">
        <x:v>[64, 64, 1024]</x:v>
      </x:c>
      <x:c r="D51" s="30" t="str">
        <x:v>BF16</x:v>
      </x:c>
      <x:c r="E51" s="32" t="n">
        <x:v>2</x:v>
      </x:c>
      <x:c r="F51" s="33" t="n">
        <x:v>1</x:v>
      </x:c>
      <x:c r="G51" s="33" t="n">
        <x:v>4194304</x:v>
      </x:c>
      <x:c r="H51" s="33" t="str">
        <x:v>Replicated</x:v>
      </x:c>
      <x:c r="I51" s="33" t="n">
        <x:f>1</x:f>
        <x:v>1</x:v>
      </x:c>
      <x:c r="J51" s="34" t="n">
        <x:f>E51*F51*G51/1073741824</x:f>
        <x:v>0.0078125</x:v>
      </x:c>
      <x:c r="K51" s="34" t="n">
        <x:f>J51/I51</x:f>
        <x:v>0.0078125</x:v>
      </x:c>
      <x:c r="L51" s="30"/>
      <x:c r="M51" s="30"/>
      <x:c r="N51" s="30"/>
      <x:c r="O51" s="30"/>
      <x:c r="P51" s="30"/>
    </x:row>
    <x:row r="52">
      <x:c r="A52" s="30" t="str">
        <x:v>Vision</x:v>
      </x:c>
      <x:c r="B52" s="30" t="str">
        <x:v>encoder.wqkv.weight</x:v>
      </x:c>
      <x:c r="C52" s="30" t="str">
        <x:v>[4608, 1024]</x:v>
      </x:c>
      <x:c r="D52" s="30" t="str">
        <x:v>BF16</x:v>
      </x:c>
      <x:c r="E52" s="32" t="n">
        <x:v>2</x:v>
      </x:c>
      <x:c r="F52" s="33" t="n">
        <x:v>27</x:v>
      </x:c>
      <x:c r="G52" s="33" t="n">
        <x:v>4718592</x:v>
      </x:c>
      <x:c r="H52" s="33" t="str">
        <x:v>Replicated</x:v>
      </x:c>
      <x:c r="I52" s="33" t="n">
        <x:f>1</x:f>
        <x:v>1</x:v>
      </x:c>
      <x:c r="J52" s="34" t="n">
        <x:f>E52*F52*G52/1073741824</x:f>
        <x:v>0.2373046875</x:v>
      </x:c>
      <x:c r="K52" s="34" t="n">
        <x:f>J52/I52</x:f>
        <x:v>0.2373046875</x:v>
      </x:c>
      <x:c r="L52" s="30"/>
      <x:c r="M52" s="30"/>
      <x:c r="N52" s="30"/>
      <x:c r="O52" s="30"/>
      <x:c r="P52" s="30"/>
    </x:row>
    <x:row r="53">
      <x:c r="A53" s="30" t="str">
        <x:v>Vision</x:v>
      </x:c>
      <x:c r="B53" s="30" t="str">
        <x:v>encoder.wo.weight</x:v>
      </x:c>
      <x:c r="C53" s="30" t="str">
        <x:v>[1024, 1536]</x:v>
      </x:c>
      <x:c r="D53" s="30" t="str">
        <x:v>BF16</x:v>
      </x:c>
      <x:c r="E53" s="32" t="n">
        <x:v>2</x:v>
      </x:c>
      <x:c r="F53" s="33" t="n">
        <x:v>27</x:v>
      </x:c>
      <x:c r="G53" s="33" t="n">
        <x:v>1572864</x:v>
      </x:c>
      <x:c r="H53" s="33" t="str">
        <x:v>Replicated</x:v>
      </x:c>
      <x:c r="I53" s="33" t="n">
        <x:f>1</x:f>
        <x:v>1</x:v>
      </x:c>
      <x:c r="J53" s="34" t="n">
        <x:f>E53*F53*G53/1073741824</x:f>
        <x:v>0.0791015625</x:v>
      </x:c>
      <x:c r="K53" s="34" t="n">
        <x:f>J53/I53</x:f>
        <x:v>0.0791015625</x:v>
      </x:c>
      <x:c r="L53" s="30"/>
      <x:c r="M53" s="30"/>
      <x:c r="N53" s="30"/>
      <x:c r="O53" s="30"/>
      <x:c r="P53" s="30"/>
    </x:row>
    <x:row r="54">
      <x:c r="A54" s="30" t="str">
        <x:v>Vision</x:v>
      </x:c>
      <x:c r="B54" s="30" t="str">
        <x:v>encoder.mlp.fc0.weight</x:v>
      </x:c>
      <x:c r="C54" s="30" t="str">
        <x:v>[4096, 1024]</x:v>
      </x:c>
      <x:c r="D54" s="30" t="str">
        <x:v>BF16</x:v>
      </x:c>
      <x:c r="E54" s="32" t="n">
        <x:v>2</x:v>
      </x:c>
      <x:c r="F54" s="33" t="n">
        <x:v>27</x:v>
      </x:c>
      <x:c r="G54" s="33" t="n">
        <x:v>4194304</x:v>
      </x:c>
      <x:c r="H54" s="33" t="str">
        <x:v>Replicated</x:v>
      </x:c>
      <x:c r="I54" s="33" t="n">
        <x:f>1</x:f>
        <x:v>1</x:v>
      </x:c>
      <x:c r="J54" s="34" t="n">
        <x:f>E54*F54*G54/1073741824</x:f>
        <x:v>0.2109375</x:v>
      </x:c>
      <x:c r="K54" s="34" t="n">
        <x:f>J54/I54</x:f>
        <x:v>0.2109375</x:v>
      </x:c>
      <x:c r="L54" s="30"/>
      <x:c r="M54" s="30"/>
      <x:c r="N54" s="30"/>
      <x:c r="O54" s="30"/>
      <x:c r="P54" s="30"/>
    </x:row>
    <x:row r="55">
      <x:c r="A55" s="30" t="str">
        <x:v>Vision</x:v>
      </x:c>
      <x:c r="B55" s="30" t="str">
        <x:v>encoder.mlp.fc1.weight</x:v>
      </x:c>
      <x:c r="C55" s="30" t="str">
        <x:v>[1024, 4096]</x:v>
      </x:c>
      <x:c r="D55" s="30" t="str">
        <x:v>BF16</x:v>
      </x:c>
      <x:c r="E55" s="32" t="n">
        <x:v>2</x:v>
      </x:c>
      <x:c r="F55" s="33" t="n">
        <x:v>27</x:v>
      </x:c>
      <x:c r="G55" s="33" t="n">
        <x:v>4194304</x:v>
      </x:c>
      <x:c r="H55" s="33" t="str">
        <x:v>Replicated</x:v>
      </x:c>
      <x:c r="I55" s="33" t="n">
        <x:f>1</x:f>
        <x:v>1</x:v>
      </x:c>
      <x:c r="J55" s="34" t="n">
        <x:f>E55*F55*G55/1073741824</x:f>
        <x:v>0.2109375</x:v>
      </x:c>
      <x:c r="K55" s="34" t="n">
        <x:f>J55/I55</x:f>
        <x:v>0.2109375</x:v>
      </x:c>
      <x:c r="L55" s="30"/>
      <x:c r="M55" s="30"/>
      <x:c r="N55" s="30"/>
      <x:c r="O55" s="30"/>
      <x:c r="P55" s="30"/>
    </x:row>
    <x:row r="56">
      <x:c r="A56" s="30" t="str">
        <x:v>Vision</x:v>
      </x:c>
      <x:c r="B56" s="30" t="str">
        <x:v>encoder.norm0.weight</x:v>
      </x:c>
      <x:c r="C56" s="30" t="str">
        <x:v>[1024]</x:v>
      </x:c>
      <x:c r="D56" s="30" t="str">
        <x:v>BF16</x:v>
      </x:c>
      <x:c r="E56" s="32" t="n">
        <x:v>2</x:v>
      </x:c>
      <x:c r="F56" s="33" t="n">
        <x:v>27</x:v>
      </x:c>
      <x:c r="G56" s="33" t="n">
        <x:v>1024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0.0000514984130859375</x:v>
      </x:c>
      <x:c r="K56" s="34" t="n">
        <x:f>J56/I56</x:f>
        <x:v>0.0000514984130859375</x:v>
      </x:c>
      <x:c r="L56" s="30"/>
      <x:c r="M56" s="30"/>
      <x:c r="N56" s="30"/>
      <x:c r="O56" s="30"/>
      <x:c r="P56" s="30"/>
    </x:row>
    <x:row r="57">
      <x:c r="A57" s="30" t="str">
        <x:v>Vision</x:v>
      </x:c>
      <x:c r="B57" s="30" t="str">
        <x:v>encoder.norm1.weight</x:v>
      </x:c>
      <x:c r="C57" s="30" t="str">
        <x:v>[1024]</x:v>
      </x:c>
      <x:c r="D57" s="30" t="str">
        <x:v>BF16</x:v>
      </x:c>
      <x:c r="E57" s="32" t="n">
        <x:v>2</x:v>
      </x:c>
      <x:c r="F57" s="33" t="n">
        <x:v>27</x:v>
      </x:c>
      <x:c r="G57" s="33" t="n">
        <x:v>1024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0.0000514984130859375</x:v>
      </x:c>
      <x:c r="K57" s="34" t="n">
        <x:f>J57/I57</x:f>
        <x:v>0.0000514984130859375</x:v>
      </x:c>
      <x:c r="L57" s="30"/>
      <x:c r="M57" s="30"/>
      <x:c r="N57" s="30"/>
      <x:c r="O57" s="30"/>
      <x:c r="P57" s="30"/>
    </x:row>
    <x:row r="58">
      <x:c r="A58" s="30" t="str">
        <x:v>Vision</x:v>
      </x:c>
      <x:c r="B58" s="30" t="str">
        <x:v>final_layernorm.weight</x:v>
      </x:c>
      <x:c r="C58" s="30" t="str">
        <x:v>[1024]</x:v>
      </x:c>
      <x:c r="D58" s="30" t="str">
        <x:v>BF16</x:v>
      </x:c>
      <x:c r="E58" s="32" t="n">
        <x:v>2</x:v>
      </x:c>
      <x:c r="F58" s="33" t="n">
        <x:v>1</x:v>
      </x:c>
      <x:c r="G58" s="33" t="n">
        <x:v>1024</x:v>
      </x:c>
      <x:c r="H58" s="33" t="str">
        <x:v>Replicated</x:v>
      </x:c>
      <x:c r="I58" s="33" t="n">
        <x:f>1</x:f>
        <x:v>1</x:v>
      </x:c>
      <x:c r="J58" s="34" t="n">
        <x:f>E58*F58*G58/1073741824</x:f>
        <x:v>0.0000019073486328125</x:v>
      </x:c>
      <x:c r="K58" s="34" t="n">
        <x:f>J58/I58</x:f>
        <x:v>0.0000019073486328125</x:v>
      </x:c>
      <x:c r="L58" s="30"/>
      <x:c r="M58" s="30"/>
      <x:c r="N58" s="30"/>
      <x:c r="O58" s="30"/>
      <x:c r="P58" s="30"/>
    </x:row>
    <x:row r="59">
      <x:c r="A59" s="30" t="str">
        <x:v>MM Projector</x:v>
      </x:c>
      <x:c r="B59" s="30" t="str">
        <x:v>proj.0.weight</x:v>
      </x:c>
      <x:c r="C59" s="30" t="str">
        <x:v>[4096, 4096]</x:v>
      </x:c>
      <x:c r="D59" s="30" t="str">
        <x:v>BF16</x:v>
      </x:c>
      <x:c r="E59" s="32" t="n">
        <x:v>2</x:v>
      </x:c>
      <x:c r="F59" s="33" t="n">
        <x:v>1</x:v>
      </x:c>
      <x:c r="G59" s="33" t="n">
        <x:v>16777216</x:v>
      </x:c>
      <x:c r="H59" s="33" t="str">
        <x:v>Replicated</x:v>
      </x:c>
      <x:c r="I59" s="33" t="n">
        <x:f>1</x:f>
        <x:v>1</x:v>
      </x:c>
      <x:c r="J59" s="34" t="n">
        <x:f>E59*F59*G59/1073741824</x:f>
        <x:v>0.03125</x:v>
      </x:c>
      <x:c r="K59" s="34" t="n">
        <x:f>J59/I59</x:f>
        <x:v>0.03125</x:v>
      </x:c>
      <x:c r="L59" s="30"/>
      <x:c r="M59" s="30"/>
      <x:c r="N59" s="30"/>
      <x:c r="O59" s="30"/>
      <x:c r="P59" s="30"/>
    </x:row>
    <x:row r="60">
      <x:c r="A60" s="30" t="str">
        <x:v>MM Projector</x:v>
      </x:c>
      <x:c r="B60" s="30" t="str">
        <x:v>proj.2.weight</x:v>
      </x:c>
      <x:c r="C60" s="30" t="str">
        <x:v>[7168, 4096]</x:v>
      </x:c>
      <x:c r="D60" s="30" t="str">
        <x:v>BF16</x:v>
      </x:c>
      <x:c r="E60" s="32" t="n">
        <x:v>2</x:v>
      </x:c>
      <x:c r="F60" s="33" t="n">
        <x:v>1</x:v>
      </x:c>
      <x:c r="G60" s="33" t="n">
        <x:v>29360128</x:v>
      </x:c>
      <x:c r="H60" s="33" t="str">
        <x:v>Replicated</x:v>
      </x:c>
      <x:c r="I60" s="33" t="n">
        <x:f>1</x:f>
        <x:v>1</x:v>
      </x:c>
      <x:c r="J60" s="34" t="n">
        <x:f>E60*F60*G60/1073741824</x:f>
        <x:v>0.0546875</x:v>
      </x:c>
      <x:c r="K60" s="34" t="n">
        <x:f>J60/I60</x:f>
        <x:v>0.0546875</x:v>
      </x:c>
      <x:c r="L60" s="30"/>
      <x:c r="M60" s="30"/>
      <x:c r="N60" s="30"/>
      <x:c r="O60" s="30"/>
      <x:c r="P60" s="30"/>
    </x:row>
    <x:row r="61">
      <x:c r="A61" s="30" t="str">
        <x:v>MM Projector</x:v>
      </x:c>
      <x:c r="B61" s="30" t="str">
        <x:v>post_norm.weight</x:v>
      </x:c>
      <x:c r="C61" s="30" t="str">
        <x:v>[7168]</x:v>
      </x:c>
      <x:c r="D61" s="30" t="str">
        <x:v>BF16</x:v>
      </x:c>
      <x:c r="E61" s="32" t="n">
        <x:v>2</x:v>
      </x:c>
      <x:c r="F61" s="33" t="n">
        <x:v>1</x:v>
      </x:c>
      <x:c r="G61" s="33" t="n">
        <x:v>7168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0.0000133514404296875</x:v>
      </x:c>
      <x:c r="K61" s="34" t="n">
        <x:f>J61/I61</x:f>
        <x:v>0.0000133514404296875</x:v>
      </x:c>
      <x:c r="L61" s="30"/>
      <x:c r="M61" s="30"/>
      <x:c r="N61" s="30"/>
      <x:c r="O61" s="30"/>
      <x:c r="P61" s="30"/>
    </x:row>
    <x:row r="62">
      <x:c r="A62" s="40" t="str">
        <x:v>合计</x:v>
      </x:c>
      <x:c r="B62" s="40"/>
      <x:c r="C62" s="40"/>
      <x:c r="D62" s="40"/>
      <x:c r="E62" s="40"/>
      <x:c r="F62" s="40"/>
      <x:c r="G62" s="40"/>
      <x:c r="H62" s="40"/>
      <x:c r="I62" s="40"/>
      <x:c r="J62" s="41" t="n">
        <x:f>SUM(J2:J61)</x:f>
        <x:v>1453.6644563674927</x:v>
      </x:c>
      <x:c r="K62" s="41" t="n">
        <x:f>SUM(K2:K61)</x:f>
        <x:v>191.807095348835</x:v>
      </x:c>
      <x:c r="L62" s="30"/>
      <x:c r="M62" s="30"/>
      <x:c r="N62" s="30"/>
      <x:c r="O62" s="30"/>
      <x:c r="P62" s="30"/>
    </x:row>
    <x:row r="63">
      <x:c r="A63" s="30"/>
      <x:c r="B63" s="30"/>
      <x:c r="C63" s="30"/>
      <x:c r="D63" s="30"/>
      <x:c r="E63" s="30"/>
      <x:c r="F63" s="30"/>
      <x:c r="G63" s="30"/>
      <x:c r="H63" s="30"/>
      <x:c r="I63" s="30"/>
      <x:c r="J63" s="30"/>
      <x:c r="K63" s="30"/>
      <x:c r="L63" s="30"/>
      <x:c r="M63" s="30"/>
      <x:c r="N63" s="30"/>
      <x:c r="O63" s="30"/>
      <x:c r="P63" s="30"/>
    </x:row>
    <x:row r="64" ht="30" customHeight="1">
      <x:c r="A64" s="18" t="str">
        <x:v>并行策略</x:v>
      </x:c>
      <x:c r="B64" s="18" t="str">
        <x:v>模块</x:v>
      </x:c>
      <x:c r="C64" s="18" t="str">
        <x:v>通信位置</x:v>
      </x:c>
      <x:c r="D64" s="18" t="str">
        <x:v>Collective</x:v>
      </x:c>
      <x:c r="E64" s="18" t="str">
        <x:v>本 Rank 输入元素/次</x:v>
      </x:c>
      <x:c r="F64" s="18" t="str">
        <x:v>字节/元素</x:v>
      </x:c>
      <x:c r="G64" s="18" t="str">
        <x:v>通信组大小</x:v>
      </x:c>
      <x:c r="H64" s="18" t="str">
        <x:v>次数/Step</x:v>
      </x:c>
      <x:c r="I64" s="18" t="str">
        <x:v>有效负载 MiB/次</x:v>
      </x:c>
      <x:c r="J64" s="18" t="str">
        <x:v>单 Rank 发送 MiB/次</x:v>
      </x:c>
      <x:c r="K64" s="18" t="str">
        <x:v>单 Rank 发送 MiB/Step</x:v>
      </x:c>
      <x:c r="L64" s="18" t="str">
        <x:v>通信组发送 MiB/Step</x:v>
      </x:c>
      <x:c r="M64" s="30"/>
      <x:c r="N64" s="30"/>
      <x:c r="O64" s="30"/>
      <x:c r="P64" s="30"/>
    </x:row>
    <x:row r="65">
      <x:c r="A65" s="30" t="str">
        <x:v>Embedding TP</x:v>
      </x:c>
      <x:c r="B65" s="30" t="str">
        <x:v>Embedding</x:v>
      </x:c>
      <x:c r="C65" s="30" t="str">
        <x:v>标准 TP 输出</x:v>
      </x:c>
      <x:c r="D65" s="30" t="str">
        <x:v>Ring AllReduce</x:v>
      </x:c>
      <x:c r="E65" s="33" t="n">
        <x:f>'Prefill'!$P$7*7168</x:f>
        <x:v>58720256</x:v>
      </x:c>
      <x:c r="F65" s="33" t="n">
        <x:f>'Prefill'!$P$28</x:f>
        <x:v>2</x:v>
      </x:c>
      <x:c r="G65" s="33" t="n">
        <x:f>IF('Prefill'!$P$21&gt;0,'Prefill'!$P$21,'Prefill'!$P$12)</x:f>
        <x:v>8</x:v>
      </x:c>
      <x:c r="H65" s="33" t="n">
        <x:f>IF(AND(IF('Prefill'!$P$21&gt;0,'Prefill'!$P$21,'Prefill'!$P$12)&gt;1,'Prefill'!$P$24=0),1,0)</x:f>
        <x:v>1</x:v>
      </x:c>
      <x:c r="I65" s="34" t="n">
        <x:f>E65*F65/1048576</x:f>
        <x:v>112</x:v>
      </x:c>
      <x:c r="J65" s="34" t="n">
        <x:f>I65*(IF(G65&gt;1,2*(G65-1)/G65,0))</x:f>
        <x:v>196</x:v>
      </x:c>
      <x:c r="K65" s="34" t="n">
        <x:f>J65*H65</x:f>
        <x:v>196</x:v>
      </x:c>
      <x:c r="L65" s="34" t="n">
        <x:f>K65*G65</x:f>
        <x:v>1568</x:v>
      </x:c>
      <x:c r="M65" s="30"/>
      <x:c r="N65" s="30"/>
      <x:c r="O65" s="30"/>
      <x:c r="P65" s="30"/>
    </x:row>
    <x:row r="66">
      <x:c r="A66" s="30" t="str">
        <x:v>Embedding TP</x:v>
      </x:c>
      <x:c r="B66" s="30" t="str">
        <x:v>Embedding</x:v>
      </x:c>
      <x:c r="C66" s="30" t="str">
        <x:v>Fine TP Token ID</x:v>
      </x:c>
      <x:c r="D66" s="30" t="str">
        <x:v>Ring AllGather</x:v>
      </x:c>
      <x:c r="E66" s="33" t="n">
        <x:f>'Prefill'!$P$7</x:f>
        <x:v>8192</x:v>
      </x:c>
      <x:c r="F66" s="33" t="n">
        <x:f>'Prefill'!$P$30</x:f>
        <x:v>8</x:v>
      </x:c>
      <x:c r="G66" s="33" t="n">
        <x:f>IF('Prefill'!$P$21&gt;0,'Prefill'!$P$21,'Prefill'!$P$12)</x:f>
        <x:v>8</x:v>
      </x:c>
      <x:c r="H66" s="33" t="n">
        <x:f>IF(AND(IF('Prefill'!$P$21&gt;0,'Prefill'!$P$21,'Prefill'!$P$12)&gt;1,'Prefill'!$P$24&lt;&gt;0),1,0)</x:f>
        <x:v>0</x:v>
      </x:c>
      <x:c r="I66" s="34" t="n">
        <x:f>E66*F66/1048576</x:f>
        <x:v>0.0625</x:v>
      </x:c>
      <x:c r="J66" s="34" t="n">
        <x:f>I66*(IF(G66&gt;1,G66-1,0))</x:f>
        <x:v>0.4375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Embedding TP</x:v>
      </x:c>
      <x:c r="B67" s="30" t="str">
        <x:v>Embedding</x:v>
      </x:c>
      <x:c r="C67" s="30" t="str">
        <x:v>Fine TP Hidden</x:v>
      </x:c>
      <x:c r="D67" s="30" t="str">
        <x:v>Ring ReduceScatter</x:v>
      </x:c>
      <x:c r="E67" s="33" t="n">
        <x:f>'Prefill'!$P$7*IF('Prefill'!$P$21&gt;0,'Prefill'!$P$21,'Prefill'!$P$12)*7168</x:f>
        <x:v>469762048</x:v>
      </x:c>
      <x:c r="F67" s="33" t="n">
        <x:f>'Prefill'!$P$28</x:f>
        <x:v>2</x:v>
      </x:c>
      <x:c r="G67" s="33" t="n">
        <x:f>IF('Prefill'!$P$21&gt;0,'Prefill'!$P$21,'Prefill'!$P$12)</x:f>
        <x:v>8</x:v>
      </x:c>
      <x:c r="H67" s="33" t="n">
        <x:f>IF(AND(IF('Prefill'!$P$21&gt;0,'Prefill'!$P$21,'Prefill'!$P$12)&gt;1,'Prefill'!$P$24&lt;&gt;0),1,0)</x:f>
        <x:v>0</x:v>
      </x:c>
      <x:c r="I67" s="34" t="n">
        <x:f>E67*F67/1048576</x:f>
        <x:v>896</x:v>
      </x:c>
      <x:c r="J67" s="34" t="n">
        <x:f>I67*(IF(G67&gt;1,(G67-1)/G67,0))</x:f>
        <x:v>784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SP</x:v>
      </x:c>
      <x:c r="B68" s="30" t="str">
        <x:v>Attention</x:v>
      </x:c>
      <x:c r="C68" s="30" t="str">
        <x:v>Attention 前</x:v>
      </x:c>
      <x:c r="D68" s="30" t="str">
        <x:v>Ring AllGather</x:v>
      </x:c>
      <x:c r="E68" s="33" t="n">
        <x:f>((ROUNDUP('Prefill'!$P$7/'Prefill'!$P$12,0)*'Prefill'!$P$12)/'Prefill'!$P$12)*7168</x:f>
        <x:v>7340032</x:v>
      </x:c>
      <x:c r="F68" s="33" t="n">
        <x:f>'Prefill'!$P$28</x:f>
        <x:v>2</x:v>
      </x:c>
      <x:c r="G68" s="33" t="n">
        <x:f>'Prefill'!$P$12</x:f>
        <x:v>8</x:v>
      </x:c>
      <x:c r="H68" s="33" t="n">
        <x:f>93*IF(AND('Prefill'!$P$13&lt;&gt;0,'Prefill'!$P$12&gt;1,'Prefill'!$P$22=0),1,0)</x:f>
        <x:v>93</x:v>
      </x:c>
      <x:c r="I68" s="34" t="n">
        <x:f>E68*F68/1048576</x:f>
        <x:v>14</x:v>
      </x:c>
      <x:c r="J68" s="34" t="n">
        <x:f>I68*(IF(G68&gt;1,G68-1,0))</x:f>
        <x:v>98</x:v>
      </x:c>
      <x:c r="K68" s="34" t="n">
        <x:f>J68*H68</x:f>
        <x:v>9114</x:v>
      </x:c>
      <x:c r="L68" s="34" t="n">
        <x:f>K68*G68</x:f>
        <x:v>72912</x:v>
      </x:c>
      <x:c r="M68" s="30"/>
      <x:c r="N68" s="30"/>
      <x:c r="O68" s="30"/>
      <x:c r="P68" s="30"/>
    </x:row>
    <x:row r="69">
      <x:c r="A69" s="30" t="str">
        <x:v>SP</x:v>
      </x:c>
      <x:c r="B69" s="30" t="str">
        <x:v>Attention</x:v>
      </x:c>
      <x:c r="C69" s="30" t="str">
        <x:v>O Proj 后</x:v>
      </x:c>
      <x:c r="D69" s="30" t="str">
        <x:v>Ring ReduceScatter</x:v>
      </x:c>
      <x:c r="E69" s="33" t="n">
        <x:f>(ROUNDUP('Prefill'!$P$7/'Prefill'!$P$12,0)*'Prefill'!$P$12)*7168</x:f>
        <x:v>58720256</x:v>
      </x:c>
      <x:c r="F69" s="33" t="n">
        <x:f>'Prefill'!$P$28</x:f>
        <x:v>2</x:v>
      </x:c>
      <x:c r="G69" s="33" t="n">
        <x:f>'Prefill'!$P$12</x:f>
        <x:v>8</x:v>
      </x:c>
      <x:c r="H69" s="33" t="n">
        <x:f>93*IF(AND('Prefill'!$P$13&lt;&gt;0,'Prefill'!$P$12&gt;1,'Prefill'!$P$22=0),1,0)</x:f>
        <x:v>93</x:v>
      </x:c>
      <x:c r="I69" s="34" t="n">
        <x:f>E69*F69/1048576</x:f>
        <x:v>112</x:v>
      </x:c>
      <x:c r="J69" s="34" t="n">
        <x:f>I69*(IF(G69&gt;1,(G69-1)/G69,0))</x:f>
        <x:v>98</x:v>
      </x:c>
      <x:c r="K69" s="34" t="n">
        <x:f>J69*H69</x:f>
        <x:v>9114</x:v>
      </x:c>
      <x:c r="L69" s="34" t="n">
        <x:f>K69*G69</x:f>
        <x:v>72912</x:v>
      </x:c>
      <x:c r="M69" s="30"/>
      <x:c r="N69" s="30"/>
      <x:c r="O69" s="30"/>
      <x:c r="P69" s="30"/>
    </x:row>
    <x:row r="70">
      <x:c r="A70" s="30" t="str">
        <x:v>O Proj TP</x:v>
      </x:c>
      <x:c r="B70" s="30" t="str">
        <x:v>Attention</x:v>
      </x:c>
      <x:c r="C70" s="30" t="str">
        <x:v>非 SP 标准 TP</x:v>
      </x:c>
      <x:c r="D70" s="30" t="str">
        <x:v>Ring AllReduce</x:v>
      </x:c>
      <x:c r="E70" s="33" t="n">
        <x:f>'Prefill'!$P$7*7168</x:f>
        <x:v>58720256</x:v>
      </x:c>
      <x:c r="F70" s="33" t="n">
        <x:f>'Prefill'!$P$28</x:f>
        <x:v>2</x:v>
      </x:c>
      <x:c r="G70" s="33" t="n">
        <x:f>IF('Prefill'!$P$19&gt;0,'Prefill'!$P$19,'Prefill'!$P$12)</x:f>
        <x:v>8</x:v>
      </x:c>
      <x:c r="H70" s="33" t="n">
        <x:f>93*IF(AND('Prefill'!$P$13=0,IF('Prefill'!$P$19&gt;0,'Prefill'!$P$19,'Prefill'!$P$12)&gt;1,'Prefill'!$P$22=0),1,0)</x:f>
        <x:v>0</x:v>
      </x:c>
      <x:c r="I70" s="34" t="n">
        <x:f>E70*F70/1048576</x:f>
        <x:v>112</x:v>
      </x:c>
      <x:c r="J70" s="34" t="n">
        <x:f>I70*(IF(G70&gt;1,2*(G70-1)/G70,0))</x:f>
        <x:v>196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Fine O TP</x:v>
      </x:c>
      <x:c r="B71" s="30" t="str">
        <x:v>Attention</x:v>
      </x:c>
      <x:c r="C71" s="30" t="str">
        <x:v>O Proj 输入</x:v>
      </x:c>
      <x:c r="D71" s="30" t="str">
        <x:v>Equal-split AllToAll</x:v>
      </x:c>
      <x:c r="E71" s="33" t="n">
        <x:f>'Prefill'!$P$7*12288</x:f>
        <x:v>100663296</x:v>
      </x:c>
      <x:c r="F71" s="33" t="n">
        <x:f>'Prefill'!$P$28</x:f>
        <x:v>2</x:v>
      </x:c>
      <x:c r="G71" s="33" t="n">
        <x:f>IF('Prefill'!$P$19&gt;0,'Prefill'!$P$19,'Prefill'!$P$12)</x:f>
        <x:v>8</x:v>
      </x:c>
      <x:c r="H71" s="33" t="n">
        <x:f>93*IF(AND(IF('Prefill'!$P$19&gt;0,'Prefill'!$P$19,'Prefill'!$P$12)&gt;1,'Prefill'!$P$22&lt;&gt;0),1,0)</x:f>
        <x:v>0</x:v>
      </x:c>
      <x:c r="I71" s="34" t="n">
        <x:f>E71*F71/1048576</x:f>
        <x:v>192</x:v>
      </x:c>
      <x:c r="J71" s="34" t="n">
        <x:f>I71*(IF(G71&gt;1,(G71-1)/G71,0))</x:f>
        <x:v>168</x:v>
      </x:c>
      <x:c r="K71" s="34" t="n">
        <x:f>J71*H71</x:f>
        <x:v>0</x:v>
      </x:c>
      <x:c r="L71" s="34" t="n">
        <x:f>K71*G71</x:f>
        <x:v>0</x:v>
      </x:c>
      <x:c r="M71" s="30"/>
      <x:c r="N71" s="30"/>
      <x:c r="O71" s="30"/>
      <x:c r="P71" s="30"/>
    </x:row>
    <x:row r="72">
      <x:c r="A72" s="30" t="str">
        <x:v>Fine O TP</x:v>
      </x:c>
      <x:c r="B72" s="30" t="str">
        <x:v>Attention</x:v>
      </x:c>
      <x:c r="C72" s="30" t="str">
        <x:v>O Proj 输出</x:v>
      </x:c>
      <x:c r="D72" s="30" t="str">
        <x:v>Ring ReduceScatter</x:v>
      </x:c>
      <x:c r="E72" s="33" t="n">
        <x:f>'Prefill'!$P$7*IF('Prefill'!$P$19&gt;0,'Prefill'!$P$19,'Prefill'!$P$12)*7168</x:f>
        <x:v>469762048</x:v>
      </x:c>
      <x:c r="F72" s="33" t="n">
        <x:f>'Prefill'!$P$28</x:f>
        <x:v>2</x:v>
      </x:c>
      <x:c r="G72" s="33" t="n">
        <x:f>IF('Prefill'!$P$19&gt;0,'Prefill'!$P$19,'Prefill'!$P$12)</x:f>
        <x:v>8</x:v>
      </x:c>
      <x:c r="H72" s="33" t="n">
        <x:f>93*IF(AND(IF('Prefill'!$P$19&gt;0,'Prefill'!$P$19,'Prefill'!$P$12)&gt;1,'Prefill'!$P$22&lt;&gt;0),1,0)</x:f>
        <x:v>0</x:v>
      </x:c>
      <x:c r="I72" s="34" t="n">
        <x:f>E72*F72/1048576</x:f>
        <x:v>896</x:v>
      </x:c>
      <x:c r="J72" s="34" t="n">
        <x:f>I72*(IF(G72&gt;1,(G72-1)/G72,0))</x:f>
        <x:v>784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SP</x:v>
      </x:c>
      <x:c r="B73" s="30" t="str">
        <x:v>Dense MLP</x:v>
      </x:c>
      <x:c r="C73" s="30" t="str">
        <x:v>Down Proj 输出</x:v>
      </x:c>
      <x:c r="D73" s="30" t="str">
        <x:v>Ring AllReduce</x:v>
      </x:c>
      <x:c r="E73" s="33" t="n">
        <x:f>IF('Prefill'!$P$13&lt;&gt;0,((ROUNDUP('Prefill'!$P$7/'Prefill'!$P$12,0)*'Prefill'!$P$12)/'Prefill'!$P$12),'Prefill'!$P$7)*7168</x:f>
        <x:v>7340032</x:v>
      </x:c>
      <x:c r="F73" s="33" t="n">
        <x:f>'Prefill'!$P$28</x:f>
        <x:v>2</x:v>
      </x:c>
      <x:c r="G73" s="33" t="n">
        <x:f>'Prefill'!$P$12</x:f>
        <x:v>8</x:v>
      </x:c>
      <x:c r="H73" s="33" t="n">
        <x:f>1*IF('Prefill'!$P$12&gt;1,1,0)</x:f>
        <x:v>1</x:v>
      </x:c>
      <x:c r="I73" s="34" t="n">
        <x:f>E73*F73/1048576</x:f>
        <x:v>14</x:v>
      </x:c>
      <x:c r="J73" s="34" t="n">
        <x:f>I73*(IF(G73&gt;1,2*(G73-1)/G73,0))</x:f>
        <x:v>24.5</x:v>
      </x:c>
      <x:c r="K73" s="34" t="n">
        <x:f>J73*H73</x:f>
        <x:v>24.5</x:v>
      </x:c>
      <x:c r="L73" s="34" t="n">
        <x:f>K73*G73</x:f>
        <x:v>196</x:v>
      </x:c>
      <x:c r="M73" s="30"/>
      <x:c r="N73" s="30"/>
      <x:c r="O73" s="30"/>
      <x:c r="P73" s="30"/>
    </x:row>
    <x:row r="74">
      <x:c r="A74" s="30" t="str">
        <x:v>EP</x:v>
      </x:c>
      <x:c r="B74" s="30" t="str">
        <x:v>Routed Experts</x:v>
      </x:c>
      <x:c r="C74" s="30" t="str">
        <x:v>Dispatch Hidden</x:v>
      </x:c>
      <x:c r="D74" s="30" t="str">
        <x:v>AllToAllV（跨 Rank 发送）</x:v>
      </x:c>
      <x:c r="E74" s="33" t="n">
        <x:f>IF('Prefill'!$P$13&lt;&gt;0,((ROUNDUP('Prefill'!$P$7/'Prefill'!$P$12,0)*'Prefill'!$P$12)/'Prefill'!$P$12),'Prefill'!$P$7)*16*'Prefill'!$P$32*7168</x:f>
        <x:v>102760448</x:v>
      </x:c>
      <x:c r="F74" s="33" t="n">
        <x:f>'Prefill'!$P$28</x:f>
        <x:v>2</x:v>
      </x:c>
      <x:c r="G74" s="33" t="n">
        <x:f>'Prefill'!$P$14</x:f>
        <x:v>8</x:v>
      </x:c>
      <x:c r="H74" s="33" t="n">
        <x:f>92*IF('Prefill'!$P$14&gt;1,1,0)</x:f>
        <x:v>92</x:v>
      </x:c>
      <x:c r="I74" s="34" t="n">
        <x:f>E74*F74/1048576</x:f>
        <x:v>196</x:v>
      </x:c>
      <x:c r="J74" s="34" t="n">
        <x:f>I74*(1)</x:f>
        <x:v>196</x:v>
      </x:c>
      <x:c r="K74" s="34" t="n">
        <x:f>J74*H74</x:f>
        <x:v>18032</x:v>
      </x:c>
      <x:c r="L74" s="34" t="n">
        <x:f>K74*G74</x:f>
        <x:v>144256</x:v>
      </x:c>
      <x:c r="M74" s="30"/>
      <x:c r="N74" s="30"/>
      <x:c r="O74" s="30"/>
      <x:c r="P74" s="30"/>
    </x:row>
    <x:row r="75">
      <x:c r="A75" s="30" t="str">
        <x:v>EP</x:v>
      </x:c>
      <x:c r="B75" s="30" t="str">
        <x:v>Routed Experts</x:v>
      </x:c>
      <x:c r="C75" s="30" t="str">
        <x:v>Combine Hidden</x:v>
      </x:c>
      <x:c r="D75" s="30" t="str">
        <x:v>AllToAllV（跨 Rank 发送）</x:v>
      </x:c>
      <x:c r="E75" s="33" t="n">
        <x:f>IF('Prefill'!$P$13&lt;&gt;0,((ROUNDUP('Prefill'!$P$7/'Prefill'!$P$12,0)*'Prefill'!$P$12)/'Prefill'!$P$12),'Prefill'!$P$7)*16*'Prefill'!$P$32*7168</x:f>
        <x:v>102760448</x:v>
      </x:c>
      <x:c r="F75" s="33" t="n">
        <x:f>'Prefill'!$P$28</x:f>
        <x:v>2</x:v>
      </x:c>
      <x:c r="G75" s="33" t="n">
        <x:f>'Prefill'!$P$14</x:f>
        <x:v>8</x:v>
      </x:c>
      <x:c r="H75" s="33" t="n">
        <x:f>92*IF('Prefill'!$P$14&gt;1,1,0)</x:f>
        <x:v>92</x:v>
      </x:c>
      <x:c r="I75" s="34" t="n">
        <x:f>E75*F75/1048576</x:f>
        <x:v>196</x:v>
      </x:c>
      <x:c r="J75" s="34" t="n">
        <x:f>I75*(1)</x:f>
        <x:v>196</x:v>
      </x:c>
      <x:c r="K75" s="34" t="n">
        <x:f>J75*H75</x:f>
        <x:v>18032</x:v>
      </x:c>
      <x:c r="L75" s="34" t="n">
        <x:f>K75*G75</x:f>
        <x:v>144256</x:v>
      </x:c>
      <x:c r="M75" s="30"/>
      <x:c r="N75" s="30"/>
      <x:c r="O75" s="30"/>
      <x:c r="P75" s="30"/>
    </x:row>
    <x:row r="76">
      <x:c r="A76" s="30" t="str">
        <x:v>DP</x:v>
      </x:c>
      <x:c r="B76" s="30" t="str">
        <x:v>MoE</x:v>
      </x:c>
      <x:c r="C76" s="30" t="str">
        <x:v>Hidden 输入</x:v>
      </x:c>
      <x:c r="D76" s="30" t="str">
        <x:v>Ring AllGather</x:v>
      </x:c>
      <x:c r="E76" s="33" t="n">
        <x:f>'Prefill'!$P$7*7168</x:f>
        <x:v>58720256</x:v>
      </x:c>
      <x:c r="F76" s="33" t="n">
        <x:f>'Prefill'!$P$28</x:f>
        <x:v>2</x:v>
      </x:c>
      <x:c r="G76" s="33" t="n">
        <x:f>'Prefill'!$P$11</x:f>
        <x:v>1</x:v>
      </x:c>
      <x:c r="H76" s="33" t="n">
        <x:f>92*IF(AND('Prefill'!$P$11&gt;1,'Prefill'!$P$14=1),1,0)</x:f>
        <x:v>0</x:v>
      </x:c>
      <x:c r="I76" s="34" t="n">
        <x:f>E76*F76/1048576</x:f>
        <x:v>112</x:v>
      </x:c>
      <x:c r="J76" s="34" t="n">
        <x:f>I76*(IF(G76&gt;1,G76-1,0))</x:f>
        <x:v>0</x:v>
      </x:c>
      <x:c r="K76" s="34" t="n">
        <x:f>J76*H76</x:f>
        <x:v>0</x:v>
      </x:c>
      <x:c r="L76" s="34" t="n">
        <x:f>K76*G76</x:f>
        <x:v>0</x:v>
      </x:c>
      <x:c r="M76" s="30"/>
      <x:c r="N76" s="30"/>
      <x:c r="O76" s="30"/>
      <x:c r="P76" s="30"/>
    </x:row>
    <x:row r="77">
      <x:c r="A77" s="30" t="str">
        <x:v>DP</x:v>
      </x:c>
      <x:c r="B77" s="30" t="str">
        <x:v>MoE Router</x:v>
      </x:c>
      <x:c r="C77" s="30" t="str">
        <x:v>Router Logits</x:v>
      </x:c>
      <x:c r="D77" s="30" t="str">
        <x:v>Ring AllGather</x:v>
      </x:c>
      <x:c r="E77" s="33" t="n">
        <x:f>'Prefill'!$P$7*896</x:f>
        <x:v>7340032</x:v>
      </x:c>
      <x:c r="F77" s="33" t="n">
        <x:f>'Prefill'!$P$28</x:f>
        <x:v>2</x:v>
      </x:c>
      <x:c r="G77" s="33" t="n">
        <x:f>'Prefill'!$P$11</x:f>
        <x:v>1</x:v>
      </x:c>
      <x:c r="H77" s="33" t="n">
        <x:f>92*IF(AND('Prefill'!$P$11&gt;1,'Prefill'!$P$14=1),1,0)</x:f>
        <x:v>0</x:v>
      </x:c>
      <x:c r="I77" s="34" t="n">
        <x:f>E77*F77/1048576</x:f>
        <x:v>14</x:v>
      </x:c>
      <x:c r="J77" s="34" t="n">
        <x:f>I77*(IF(G77&gt;1,G77-1,0))</x:f>
        <x:v>0</x:v>
      </x:c>
      <x:c r="K77" s="34" t="n">
        <x:f>J77*H77</x:f>
        <x:v>0</x:v>
      </x:c>
      <x:c r="L77" s="34" t="n">
        <x:f>K77*G77</x:f>
        <x:v>0</x:v>
      </x:c>
      <x:c r="M77" s="30"/>
      <x:c r="N77" s="30"/>
      <x:c r="O77" s="30"/>
      <x:c r="P77" s="30"/>
    </x:row>
    <x:row r="78">
      <x:c r="A78" s="30" t="str">
        <x:v>DP</x:v>
      </x:c>
      <x:c r="B78" s="30" t="str">
        <x:v>MoE</x:v>
      </x:c>
      <x:c r="C78" s="30" t="str">
        <x:v>Routed Expert 输出</x:v>
      </x:c>
      <x:c r="D78" s="30" t="str">
        <x:v>Ring ReduceScatter</x:v>
      </x:c>
      <x:c r="E78" s="33" t="n">
        <x:f>'Prefill'!$P$7*'Prefill'!$P$11*7168</x:f>
        <x:v>58720256</x:v>
      </x:c>
      <x:c r="F78" s="33" t="n">
        <x:f>'Prefill'!$P$28</x:f>
        <x:v>2</x:v>
      </x:c>
      <x:c r="G78" s="33" t="n">
        <x:f>'Prefill'!$P$11</x:f>
        <x:v>1</x:v>
      </x:c>
      <x:c r="H78" s="33" t="n">
        <x:f>92*IF(AND('Prefill'!$P$11&gt;1,'Prefill'!$P$14=1),1,0)</x:f>
        <x:v>0</x:v>
      </x:c>
      <x:c r="I78" s="34" t="n">
        <x:f>E78*F78/1048576</x:f>
        <x:v>112</x:v>
      </x:c>
      <x:c r="J78" s="34" t="n">
        <x:f>I78*(IF(G78&gt;1,(G78-1)/G78,0))</x:f>
        <x:v>0</x:v>
      </x:c>
      <x:c r="K78" s="34" t="n">
        <x:f>J78*H78</x:f>
        <x:v>0</x:v>
      </x:c>
      <x:c r="L78" s="34" t="n">
        <x:f>K78*G78</x:f>
        <x:v>0</x:v>
      </x:c>
      <x:c r="M78" s="30"/>
      <x:c r="N78" s="30"/>
      <x:c r="O78" s="30"/>
      <x:c r="P78" s="30"/>
    </x:row>
    <x:row r="79">
      <x:c r="A79" s="30" t="str">
        <x:v>共享专家 TP</x:v>
      </x:c>
      <x:c r="B79" s="30" t="str">
        <x:v>Shared Experts</x:v>
      </x:c>
      <x:c r="C79" s="30" t="str">
        <x:v>SP 输入</x:v>
      </x:c>
      <x:c r="D79" s="30" t="str">
        <x:v>Ring AllGather</x:v>
      </x:c>
      <x:c r="E79" s="33" t="n">
        <x:f>((ROUNDUP('Prefill'!$P$7/'Prefill'!$P$12,0)*'Prefill'!$P$12)/'Prefill'!$P$12)*7168</x:f>
        <x:v>7340032</x:v>
      </x:c>
      <x:c r="F79" s="33" t="n">
        <x:f>'Prefill'!$P$28</x:f>
        <x:v>2</x:v>
      </x:c>
      <x:c r="G79" s="33" t="n">
        <x:f>IF('Prefill'!$P$17="TP",'Prefill'!$P$18,1)</x:f>
        <x:v>8</x:v>
      </x:c>
      <x:c r="H79" s="33" t="n">
        <x:f>92*IF(AND('Prefill'!$P$17="TP",IF('Prefill'!$P$17="TP",'Prefill'!$P$18,1)&gt;1,'Prefill'!$P$13&lt;&gt;0),1,0)</x:f>
        <x:v>92</x:v>
      </x:c>
      <x:c r="I79" s="34" t="n">
        <x:f>E79*F79/1048576</x:f>
        <x:v>14</x:v>
      </x:c>
      <x:c r="J79" s="34" t="n">
        <x:f>I79*(IF(G79&gt;1,G79-1,0))</x:f>
        <x:v>98</x:v>
      </x:c>
      <x:c r="K79" s="34" t="n">
        <x:f>J79*H79</x:f>
        <x:v>9016</x:v>
      </x:c>
      <x:c r="L79" s="34" t="n">
        <x:f>K79*G79</x:f>
        <x:v>72128</x:v>
      </x:c>
      <x:c r="M79" s="30"/>
      <x:c r="N79" s="30"/>
      <x:c r="O79" s="30"/>
      <x:c r="P79" s="30"/>
    </x:row>
    <x:row r="80">
      <x:c r="A80" s="30" t="str">
        <x:v>共享专家 TP</x:v>
      </x:c>
      <x:c r="B80" s="30" t="str">
        <x:v>Shared Experts</x:v>
      </x:c>
      <x:c r="C80" s="30" t="str">
        <x:v>SP 输出</x:v>
      </x:c>
      <x:c r="D80" s="30" t="str">
        <x:v>Ring ReduceScatter</x:v>
      </x:c>
      <x:c r="E80" s="33" t="n">
        <x:f>(ROUNDUP('Prefill'!$P$7/'Prefill'!$P$12,0)*'Prefill'!$P$12)*7168</x:f>
        <x:v>58720256</x:v>
      </x:c>
      <x:c r="F80" s="33" t="n">
        <x:f>'Prefill'!$P$28</x:f>
        <x:v>2</x:v>
      </x:c>
      <x:c r="G80" s="33" t="n">
        <x:f>IF('Prefill'!$P$17="TP",'Prefill'!$P$18,1)</x:f>
        <x:v>8</x:v>
      </x:c>
      <x:c r="H80" s="33" t="n">
        <x:f>92*IF(AND('Prefill'!$P$17="TP",IF('Prefill'!$P$17="TP",'Prefill'!$P$18,1)&gt;1,'Prefill'!$P$13&lt;&gt;0),1,0)</x:f>
        <x:v>92</x:v>
      </x:c>
      <x:c r="I80" s="34" t="n">
        <x:f>E80*F80/1048576</x:f>
        <x:v>112</x:v>
      </x:c>
      <x:c r="J80" s="34" t="n">
        <x:f>I80*(IF(G80&gt;1,(G80-1)/G80,0))</x:f>
        <x:v>98</x:v>
      </x:c>
      <x:c r="K80" s="34" t="n">
        <x:f>J80*H80</x:f>
        <x:v>9016</x:v>
      </x:c>
      <x:c r="L80" s="34" t="n">
        <x:f>K80*G80</x:f>
        <x:v>72128</x:v>
      </x:c>
      <x:c r="M80" s="30"/>
      <x:c r="N80" s="30"/>
      <x:c r="O80" s="30"/>
      <x:c r="P80" s="30"/>
    </x:row>
    <x:row r="81">
      <x:c r="A81" s="30" t="str">
        <x:v>共享专家 TP</x:v>
      </x:c>
      <x:c r="B81" s="30" t="str">
        <x:v>Shared Experts</x:v>
      </x:c>
      <x:c r="C81" s="30" t="str">
        <x:v>非 SP 输出</x:v>
      </x:c>
      <x:c r="D81" s="30" t="str">
        <x:v>Ring AllReduce</x:v>
      </x:c>
      <x:c r="E81" s="33" t="n">
        <x:f>'Prefill'!$P$7*7168</x:f>
        <x:v>58720256</x:v>
      </x:c>
      <x:c r="F81" s="33" t="n">
        <x:f>'Prefill'!$P$28</x:f>
        <x:v>2</x:v>
      </x:c>
      <x:c r="G81" s="33" t="n">
        <x:f>IF('Prefill'!$P$17="TP",'Prefill'!$P$18,1)</x:f>
        <x:v>8</x:v>
      </x:c>
      <x:c r="H81" s="33" t="n">
        <x:f>92*IF(AND('Prefill'!$P$17="TP",IF('Prefill'!$P$17="TP",'Prefill'!$P$18,1)&gt;1,'Prefill'!$P$13=0),1,0)</x:f>
        <x:v>0</x:v>
      </x:c>
      <x:c r="I81" s="34" t="n">
        <x:f>E81*F81/1048576</x:f>
        <x:v>112</x:v>
      </x:c>
      <x:c r="J81" s="34" t="n">
        <x:f>I81*(IF(G81&gt;1,2*(G81-1)/G81,0))</x:f>
        <x:v>196</x:v>
      </x:c>
      <x:c r="K81" s="34" t="n">
        <x:f>J81*H81</x:f>
        <x:v>0</x:v>
      </x:c>
      <x:c r="L81" s="34" t="n">
        <x:f>K81*G81</x:f>
        <x:v>0</x:v>
      </x:c>
      <x:c r="M81" s="30"/>
      <x:c r="N81" s="30"/>
      <x:c r="O81" s="30"/>
      <x:c r="P81" s="30"/>
    </x:row>
    <x:row r="82">
      <x:c r="A82" s="30" t="str">
        <x:v>PCP</x:v>
      </x:c>
      <x:c r="B82" s="30" t="str">
        <x:v>MoE</x:v>
      </x:c>
      <x:c r="C82" s="30" t="str">
        <x:v>Hidden 输入</x:v>
      </x:c>
      <x:c r="D82" s="30" t="str">
        <x:v>Ring AllGather</x:v>
      </x:c>
      <x:c r="E82" s="33" t="n">
        <x:f>((ROUNDUP('Prefill'!$P$7/'Prefill'!$P$15,0)*'Prefill'!$P$15)/'Prefill'!$P$15)*7168</x:f>
        <x:v>58720256</x:v>
      </x:c>
      <x:c r="F82" s="33" t="n">
        <x:f>'Prefill'!$P$28</x:f>
        <x:v>2</x:v>
      </x:c>
      <x:c r="G82" s="33" t="n">
        <x:f>'Prefill'!$P$15</x:f>
        <x:v>1</x:v>
      </x:c>
      <x:c r="H82" s="33" t="n">
        <x:f>92*IF('Prefill'!$P$15&gt;1,1,0)</x:f>
        <x:v>0</x:v>
      </x:c>
      <x:c r="I82" s="34" t="n">
        <x:f>E82*F82/1048576</x:f>
        <x:v>112</x:v>
      </x:c>
      <x:c r="J82" s="34" t="n">
        <x:f>I82*(IF(G82&gt;1,G82-1,0))</x:f>
        <x:v>0</x:v>
      </x:c>
      <x:c r="K82" s="34" t="n">
        <x:f>J82*H82</x:f>
        <x:v>0</x:v>
      </x:c>
      <x:c r="L82" s="34" t="n">
        <x:f>K82*G82</x:f>
        <x:v>0</x:v>
      </x:c>
      <x:c r="M82" s="30"/>
      <x:c r="N82" s="30"/>
      <x:c r="O82" s="30"/>
      <x:c r="P82" s="30"/>
    </x:row>
    <x:row r="83">
      <x:c r="A83" s="30" t="str">
        <x:v>PCP</x:v>
      </x:c>
      <x:c r="B83" s="30" t="str">
        <x:v>MoE Router</x:v>
      </x:c>
      <x:c r="C83" s="30" t="str">
        <x:v>Router Logits</x:v>
      </x:c>
      <x:c r="D83" s="30" t="str">
        <x:v>Ring AllGather</x:v>
      </x:c>
      <x:c r="E83" s="33" t="n">
        <x:f>((ROUNDUP('Prefill'!$P$7/'Prefill'!$P$15,0)*'Prefill'!$P$15)/'Prefill'!$P$15)*896</x:f>
        <x:v>7340032</x:v>
      </x:c>
      <x:c r="F83" s="33" t="n">
        <x:f>'Prefill'!$P$28</x:f>
        <x:v>2</x:v>
      </x:c>
      <x:c r="G83" s="33" t="n">
        <x:f>'Prefill'!$P$15</x:f>
        <x:v>1</x:v>
      </x:c>
      <x:c r="H83" s="33" t="n">
        <x:f>92*IF('Prefill'!$P$15&gt;1,1,0)</x:f>
        <x:v>0</x:v>
      </x:c>
      <x:c r="I83" s="34" t="n">
        <x:f>E83*F83/1048576</x:f>
        <x:v>14</x:v>
      </x:c>
      <x:c r="J83" s="34" t="n">
        <x:f>I83*(IF(G83&gt;1,G83-1,0))</x:f>
        <x:v>0</x:v>
      </x:c>
      <x:c r="K83" s="34" t="n">
        <x:f>J83*H83</x:f>
        <x:v>0</x:v>
      </x:c>
      <x:c r="L83" s="34" t="n">
        <x:f>K83*G83</x:f>
        <x:v>0</x:v>
      </x:c>
      <x:c r="M83" s="30"/>
      <x:c r="N83" s="30"/>
      <x:c r="O83" s="30"/>
      <x:c r="P83" s="30"/>
    </x:row>
    <x:row r="84">
      <x:c r="A84" s="30" t="str">
        <x:v>PCP</x:v>
      </x:c>
      <x:c r="B84" s="30" t="str">
        <x:v>MoE</x:v>
      </x:c>
      <x:c r="C84" s="30" t="str">
        <x:v>Routed Expert 输出</x:v>
      </x:c>
      <x:c r="D84" s="30" t="str">
        <x:v>Ring ReduceScatter</x:v>
      </x:c>
      <x:c r="E84" s="33" t="n">
        <x:f>(ROUNDUP('Prefill'!$P$7/'Prefill'!$P$15,0)*'Prefill'!$P$15)*7168</x:f>
        <x:v>58720256</x:v>
      </x:c>
      <x:c r="F84" s="33" t="n">
        <x:f>'Prefill'!$P$28</x:f>
        <x:v>2</x:v>
      </x:c>
      <x:c r="G84" s="33" t="n">
        <x:f>'Prefill'!$P$15</x:f>
        <x:v>1</x:v>
      </x:c>
      <x:c r="H84" s="33" t="n">
        <x:f>92*IF('Prefill'!$P$15&gt;1,1,0)</x:f>
        <x:v>0</x:v>
      </x:c>
      <x:c r="I84" s="34" t="n">
        <x:f>E84*F84/1048576</x:f>
        <x:v>112</x:v>
      </x:c>
      <x:c r="J84" s="34" t="n">
        <x:f>I84*(IF(G84&gt;1,(G84-1)/G84,0))</x:f>
        <x:v>0</x:v>
      </x:c>
      <x:c r="K84" s="34" t="n">
        <x:f>J84*H84</x:f>
        <x:v>0</x:v>
      </x:c>
      <x:c r="L84" s="34" t="n">
        <x:f>K84*G84</x:f>
        <x:v>0</x:v>
      </x:c>
      <x:c r="M84" s="30"/>
      <x:c r="N84" s="30"/>
      <x:c r="O84" s="30"/>
      <x:c r="P84" s="30"/>
    </x:row>
    <x:row r="85">
      <x:c r="A85" s="30" t="str">
        <x:v>PCP</x:v>
      </x:c>
      <x:c r="B85" s="30" t="str">
        <x:v>Attention KV</x:v>
      </x:c>
      <x:c r="C85" s="30" t="str">
        <x:v>KV Cache 写入前</x:v>
      </x:c>
      <x:c r="D85" s="30" t="str">
        <x:v>Ring AllGather</x:v>
      </x:c>
      <x:c r="E85" s="33" t="n">
        <x:f>((ROUNDUP('Prefill'!$P$7/'Prefill'!$P$15,0)*'Prefill'!$P$15)/'Prefill'!$P$15)*576</x:f>
        <x:v>4718592</x:v>
      </x:c>
      <x:c r="F85" s="33" t="n">
        <x:f>'Prefill'!$P$28</x:f>
        <x:v>2</x:v>
      </x:c>
      <x:c r="G85" s="33" t="n">
        <x:f>'Prefill'!$P$15</x:f>
        <x:v>1</x:v>
      </x:c>
      <x:c r="H85" s="33" t="n">
        <x:f>93*IF('Prefill'!$P$15&gt;1,1,0)</x:f>
        <x:v>0</x:v>
      </x:c>
      <x:c r="I85" s="34" t="n">
        <x:f>E85*F85/1048576</x:f>
        <x:v>9</x:v>
      </x:c>
      <x:c r="J85" s="34" t="n">
        <x:f>I85*(IF(G85&gt;1,G85-1,0))</x:f>
        <x:v>0</x:v>
      </x:c>
      <x:c r="K85" s="34" t="n">
        <x:f>J85*H85</x:f>
        <x:v>0</x:v>
      </x:c>
      <x:c r="L85" s="34" t="n">
        <x:f>K85*G85</x:f>
        <x:v>0</x:v>
      </x:c>
      <x:c r="M85" s="30"/>
      <x:c r="N85" s="30"/>
      <x:c r="O85" s="30"/>
      <x:c r="P85" s="30"/>
    </x:row>
    <x:row r="86">
      <x:c r="A86" s="30" t="str">
        <x:v>SP</x:v>
      </x:c>
      <x:c r="B86" s="30" t="str">
        <x:v>Model Output</x:v>
      </x:c>
      <x:c r="C86" s="30" t="str">
        <x:v>Final Norm 后</x:v>
      </x:c>
      <x:c r="D86" s="30" t="str">
        <x:v>Ring AllGather</x:v>
      </x:c>
      <x:c r="E86" s="33" t="n">
        <x:f>((ROUNDUP('Prefill'!$P$7/'Prefill'!$P$12,0)*'Prefill'!$P$12)/'Prefill'!$P$12)*7168</x:f>
        <x:v>7340032</x:v>
      </x:c>
      <x:c r="F86" s="33" t="n">
        <x:f>'Prefill'!$P$28</x:f>
        <x:v>2</x:v>
      </x:c>
      <x:c r="G86" s="33" t="n">
        <x:f>'Prefill'!$P$12</x:f>
        <x:v>8</x:v>
      </x:c>
      <x:c r="H86" s="33" t="n">
        <x:f>IF(AND('Prefill'!$P$13&lt;&gt;0,'Prefill'!$P$12&gt;1),1,0)</x:f>
        <x:v>1</x:v>
      </x:c>
      <x:c r="I86" s="34" t="n">
        <x:f>E86*F86/1048576</x:f>
        <x:v>14</x:v>
      </x:c>
      <x:c r="J86" s="34" t="n">
        <x:f>I86*(IF(G86&gt;1,G86-1,0))</x:f>
        <x:v>98</x:v>
      </x:c>
      <x:c r="K86" s="34" t="n">
        <x:f>J86*H86</x:f>
        <x:v>98</x:v>
      </x:c>
      <x:c r="L86" s="34" t="n">
        <x:f>K86*G86</x:f>
        <x:v>784</x:v>
      </x:c>
      <x:c r="M86" s="30"/>
      <x:c r="N86" s="30"/>
      <x:c r="O86" s="30"/>
      <x:c r="P86" s="30"/>
    </x:row>
    <x:row r="87">
      <x:c r="A87" s="30" t="str">
        <x:v>LM Head TP</x:v>
      </x:c>
      <x:c r="B87" s="30" t="str">
        <x:v>LM Head</x:v>
      </x:c>
      <x:c r="C87" s="30" t="str">
        <x:v>完整 Logits</x:v>
      </x:c>
      <x:c r="D87" s="30" t="str">
        <x:v>Ring AllGather</x:v>
      </x:c>
      <x:c r="E87" s="33" t="n">
        <x:f>'Prefill'!$P$8*163840/IF('Prefill'!$P$20&gt;0,'Prefill'!$P$20,'Prefill'!$P$12)</x:f>
        <x:v>2621440</x:v>
      </x:c>
      <x:c r="F87" s="33" t="n">
        <x:f>'Prefill'!$P$28</x:f>
        <x:v>2</x:v>
      </x:c>
      <x:c r="G87" s="33" t="n">
        <x:f>IF('Prefill'!$P$20&gt;0,'Prefill'!$P$20,'Prefill'!$P$12)</x:f>
        <x:v>8</x:v>
      </x:c>
      <x:c r="H87" s="33" t="n">
        <x:f>IF(AND(IF('Prefill'!$P$20&gt;0,'Prefill'!$P$20,'Prefill'!$P$12)&gt;1,'Prefill'!$P$23=0,'Prefill'!$P$33=0),1,0)</x:f>
        <x:v>0</x:v>
      </x:c>
      <x:c r="I87" s="34" t="n">
        <x:f>E87*F87/1048576</x:f>
        <x:v>5</x:v>
      </x:c>
      <x:c r="J87" s="34" t="n">
        <x:f>I87*(IF(G87&gt;1,G87-1,0))</x:f>
        <x:v>35</x:v>
      </x:c>
      <x:c r="K87" s="34" t="n">
        <x:f>J87*H87</x:f>
        <x:v>0</x:v>
      </x:c>
      <x:c r="L87" s="34" t="n">
        <x:f>K87*G87</x:f>
        <x:v>0</x:v>
      </x:c>
      <x:c r="M87" s="30"/>
      <x:c r="N87" s="30"/>
      <x:c r="O87" s="30"/>
      <x:c r="P87" s="30"/>
    </x:row>
    <x:row r="88">
      <x:c r="A88" s="30" t="str">
        <x:v>LM Head TP</x:v>
      </x:c>
      <x:c r="B88" s="30" t="str">
        <x:v>LM Head</x:v>
      </x:c>
      <x:c r="C88" s="30" t="str">
        <x:v>Reduce Sample</x:v>
      </x:c>
      <x:c r="D88" s="30" t="str">
        <x:v>Ring AllGather</x:v>
      </x:c>
      <x:c r="E88" s="33" t="n">
        <x:f>'Prefill'!$P$8*'Prefill'!$P$34</x:f>
        <x:v>32768</x:v>
      </x:c>
      <x:c r="F88" s="33" t="n">
        <x:f>('Prefill'!$P$28+'Prefill'!$P$31)</x:f>
        <x:v>6</x:v>
      </x:c>
      <x:c r="G88" s="33" t="n">
        <x:f>IF('Prefill'!$P$20&gt;0,'Prefill'!$P$20,'Prefill'!$P$12)</x:f>
        <x:v>8</x:v>
      </x:c>
      <x:c r="H88" s="33" t="n">
        <x:f>IF(AND(IF('Prefill'!$P$20&gt;0,'Prefill'!$P$20,'Prefill'!$P$12)&gt;1,'Prefill'!$P$23=0,'Prefill'!$P$33&lt;&gt;0),1,0)</x:f>
        <x:v>1</x:v>
      </x:c>
      <x:c r="I88" s="34" t="n">
        <x:f>E88*F88/1048576</x:f>
        <x:v>0.1875</x:v>
      </x:c>
      <x:c r="J88" s="34" t="n">
        <x:f>I88*(IF(G88&gt;1,G88-1,0))</x:f>
        <x:v>1.3125</x:v>
      </x:c>
      <x:c r="K88" s="34" t="n">
        <x:f>J88*H88</x:f>
        <x:v>1.3125</x:v>
      </x:c>
      <x:c r="L88" s="34" t="n">
        <x:f>K88*G88</x:f>
        <x:v>10.5</x:v>
      </x:c>
      <x:c r="M88" s="30"/>
      <x:c r="N88" s="30"/>
      <x:c r="O88" s="30"/>
      <x:c r="P88" s="30"/>
    </x:row>
    <x:row r="89">
      <x:c r="A89" s="30" t="str">
        <x:v>Fine LM Head TP</x:v>
      </x:c>
      <x:c r="B89" s="30" t="str">
        <x:v>LM Head</x:v>
      </x:c>
      <x:c r="C89" s="30" t="str">
        <x:v>Hidden 输入</x:v>
      </x:c>
      <x:c r="D89" s="30" t="str">
        <x:v>Ring AllGather</x:v>
      </x:c>
      <x:c r="E89" s="33" t="n">
        <x:f>'Prefill'!$P$8*7168</x:f>
        <x:v>917504</x:v>
      </x:c>
      <x:c r="F89" s="33" t="n">
        <x:f>'Prefill'!$P$28</x:f>
        <x:v>2</x:v>
      </x:c>
      <x:c r="G89" s="33" t="n">
        <x:f>IF('Prefill'!$P$20&gt;0,'Prefill'!$P$20,'Prefill'!$P$12)</x:f>
        <x:v>8</x:v>
      </x:c>
      <x:c r="H89" s="33" t="n">
        <x:f>IF(AND(IF('Prefill'!$P$20&gt;0,'Prefill'!$P$20,'Prefill'!$P$12)&gt;1,'Prefill'!$P$23&lt;&gt;0),1,0)</x:f>
        <x:v>0</x:v>
      </x:c>
      <x:c r="I89" s="34" t="n">
        <x:f>E89*F89/1048576</x:f>
        <x:v>1.75</x:v>
      </x:c>
      <x:c r="J89" s="34" t="n">
        <x:f>I89*(IF(G89&gt;1,G89-1,0))</x:f>
        <x:v>12.25</x:v>
      </x:c>
      <x:c r="K89" s="34" t="n">
        <x:f>J89*H89</x:f>
        <x:v>0</x:v>
      </x:c>
      <x:c r="L89" s="34" t="n">
        <x:f>K89*G89</x:f>
        <x:v>0</x:v>
      </x:c>
      <x:c r="M89" s="30"/>
      <x:c r="N89" s="30"/>
      <x:c r="O89" s="30"/>
      <x:c r="P89" s="30"/>
    </x:row>
    <x:row r="90">
      <x:c r="A90" s="30" t="str">
        <x:v>Fine LM Head TP</x:v>
      </x:c>
      <x:c r="B90" s="30" t="str">
        <x:v>LM Head</x:v>
      </x:c>
      <x:c r="C90" s="30" t="str">
        <x:v>完整 Logits</x:v>
      </x:c>
      <x:c r="D90" s="30" t="str">
        <x:v>Equal-split AllToAll</x:v>
      </x:c>
      <x:c r="E90" s="33" t="n">
        <x:f>'Prefill'!$P$8*163840</x:f>
        <x:v>20971520</x:v>
      </x:c>
      <x:c r="F90" s="33" t="n">
        <x:f>'Prefill'!$P$28</x:f>
        <x:v>2</x:v>
      </x:c>
      <x:c r="G90" s="33" t="n">
        <x:f>IF('Prefill'!$P$20&gt;0,'Prefill'!$P$20,'Prefill'!$P$12)</x:f>
        <x:v>8</x:v>
      </x:c>
      <x:c r="H90" s="33" t="n">
        <x:f>IF(AND(IF('Prefill'!$P$20&gt;0,'Prefill'!$P$20,'Prefill'!$P$12)&gt;1,'Prefill'!$P$23&lt;&gt;0,'Prefill'!$P$33=0),1,0)</x:f>
        <x:v>0</x:v>
      </x:c>
      <x:c r="I90" s="34" t="n">
        <x:f>E90*F90/1048576</x:f>
        <x:v>40</x:v>
      </x:c>
      <x:c r="J90" s="34" t="n">
        <x:f>I90*(IF(G90&gt;1,(G90-1)/G90,0))</x:f>
        <x:v>35</x:v>
      </x:c>
      <x:c r="K90" s="34" t="n">
        <x:f>J90*H90</x:f>
        <x:v>0</x:v>
      </x:c>
      <x:c r="L90" s="34" t="n">
        <x:f>K90*G90</x:f>
        <x:v>0</x:v>
      </x:c>
      <x:c r="M90" s="30"/>
      <x:c r="N90" s="30"/>
      <x:c r="O90" s="30"/>
      <x:c r="P90" s="30"/>
    </x:row>
    <x:row r="91">
      <x:c r="A91" s="30" t="str">
        <x:v>Fine LM Head TP</x:v>
      </x:c>
      <x:c r="B91" s="30" t="str">
        <x:v>LM Head</x:v>
      </x:c>
      <x:c r="C91" s="30" t="str">
        <x:v>Reduce Sample</x:v>
      </x:c>
      <x:c r="D91" s="30" t="str">
        <x:v>Ring AllGather</x:v>
      </x:c>
      <x:c r="E91" s="33" t="n">
        <x:f>'Prefill'!$P$8*'Prefill'!$P$34</x:f>
        <x:v>32768</x:v>
      </x:c>
      <x:c r="F91" s="33" t="n">
        <x:f>('Prefill'!$P$28+'Prefill'!$P$31)</x:f>
        <x:v>6</x:v>
      </x:c>
      <x:c r="G91" s="33" t="n">
        <x:f>IF('Prefill'!$P$20&gt;0,'Prefill'!$P$20,'Prefill'!$P$12)</x:f>
        <x:v>8</x:v>
      </x:c>
      <x:c r="H91" s="33" t="n">
        <x:f>IF(AND(IF('Prefill'!$P$20&gt;0,'Prefill'!$P$20,'Prefill'!$P$12)&gt;1,'Prefill'!$P$23&lt;&gt;0,'Prefill'!$P$33&lt;&gt;0),1,0)</x:f>
        <x:v>0</x:v>
      </x:c>
      <x:c r="I91" s="34" t="n">
        <x:f>E91*F91/1048576</x:f>
        <x:v>0.1875</x:v>
      </x:c>
      <x:c r="J91" s="34" t="n">
        <x:f>I91*(IF(G91&gt;1,G91-1,0))</x:f>
        <x:v>1.3125</x:v>
      </x:c>
      <x:c r="K91" s="34" t="n">
        <x:f>J91*H91</x:f>
        <x:v>0</x:v>
      </x:c>
      <x:c r="L91" s="34" t="n">
        <x:f>K91*G91</x:f>
        <x:v>0</x:v>
      </x:c>
      <x:c r="M91" s="30"/>
      <x:c r="N91" s="30"/>
      <x:c r="O91" s="30"/>
      <x:c r="P91" s="30"/>
    </x:row>
    <x:row r="92">
      <x:c r="A92" s="40" t="str">
        <x:v>合计</x:v>
      </x:c>
      <x:c r="B92" s="40"/>
      <x:c r="C92" s="40"/>
      <x:c r="D92" s="40"/>
      <x:c r="E92" s="40"/>
      <x:c r="F92" s="40"/>
      <x:c r="G92" s="40"/>
      <x:c r="H92" s="40"/>
      <x:c r="I92" s="41"/>
      <x:c r="J92" s="41"/>
      <x:c r="K92" s="41" t="n">
        <x:f>SUM(K65:K91)</x:f>
        <x:v>72643.8125</x:v>
      </x:c>
      <x:c r="L92" s="41" t="n">
        <x:f>SUM(L65:L91)</x:f>
        <x:v>581150.5</x:v>
      </x:c>
      <x:c r="M92" s="30"/>
      <x:c r="N92" s="30"/>
      <x:c r="O92" s="30"/>
      <x:c r="P92" s="30"/>
    </x:row>
    <x:row r="95" ht="15" customHeight="1">
      <x:c r="A95" s="40" t="str">
        <x:v>PD 带宽争用耗时评估</x:v>
      </x:c>
      <x:c r="B95" s="30"/>
      <x:c r="C95" s="30"/>
      <x:c r="D95" s="30"/>
      <x:c r="E95" s="30"/>
      <x:c r="F95" s="30"/>
      <x:c r="G95" s="30"/>
      <x:c r="H95" s="30"/>
      <x:c r="I95" s="30"/>
      <x:c r="J95" s="30"/>
      <x:c r="K95" s="30"/>
      <x:c r="L95" s="30"/>
    </x:row>
    <x:row r="96" ht="15" customHeight="1">
      <x:c r="A96" s="30" t="str">
        <x:v>Prefill 当前表参数；100 GB/s 为归一化示例。所列事件的带宽项，不等于完整 forward 耗时。</x:v>
      </x:c>
      <x:c r="B96" s="30"/>
      <x:c r="C96" s="30"/>
      <x:c r="D96" s="30"/>
      <x:c r="E96" s="30"/>
      <x:c r="F96" s="30"/>
      <x:c r="G96" s="30"/>
      <x:c r="H96" s="30"/>
      <x:c r="I96" s="30"/>
      <x:c r="J96" s="30"/>
      <x:c r="K96" s="30"/>
      <x:c r="L96" s="30"/>
    </x:row>
    <x:row r="97" ht="30" customHeight="1">
      <x:c r="A97" s="62" t="str">
        <x:v>带宽降幅</x:v>
      </x:c>
      <x:c r="B97" s="62" t="str">
        <x:v>输入</x:v>
      </x:c>
      <x:c r="C97" s="62" t="str">
        <x:v>争用覆盖率</x:v>
      </x:c>
      <x:c r="D97" s="62" t="str">
        <x:v>输入</x:v>
      </x:c>
      <x:c r="E97" s="62" t="str">
        <x:v>基线 forward ms</x:v>
      </x:c>
      <x:c r="F97" s="62" t="str">
        <x:v>实测输入</x:v>
      </x:c>
      <x:c r="G97" s="62" t="str">
        <x:v>默认带宽 GB/s</x:v>
      </x:c>
      <x:c r="H97" s="62" t="str">
        <x:v>输入</x:v>
      </x:c>
      <x:c r="I97" s="30"/>
      <x:c r="J97" s="30"/>
      <x:c r="K97" s="30"/>
      <x:c r="L97" s="30"/>
    </x:row>
    <x:row r="98" ht="15" customHeight="1">
      <x:c r="A98" s="30"/>
      <x:c r="B98" s="63" t="n">
        <x:v>0.1</x:v>
      </x:c>
      <x:c r="C98" s="30"/>
      <x:c r="D98" s="63" t="n">
        <x:v>1</x:v>
      </x:c>
      <x:c r="E98" s="30"/>
      <x:c r="F98" s="38"/>
      <x:c r="G98" s="30"/>
      <x:c r="H98" s="36" t="n">
        <x:v>100</x:v>
      </x:c>
      <x:c r="I98" s="30"/>
      <x:c r="J98" s="30"/>
      <x:c r="K98" s="30"/>
      <x:c r="L98" s="30"/>
    </x:row>
    <x:row r="99" ht="30" customHeight="1">
      <x:c r="A99" s="62" t="str">
        <x:v>通信基线 ms</x:v>
      </x:c>
      <x:c r="B99" s="62" t="str">
        <x:v>结果</x:v>
      </x:c>
      <x:c r="C99" s="62" t="str">
        <x:v>通信争用后 ms</x:v>
      </x:c>
      <x:c r="D99" s="62" t="str">
        <x:v>结果</x:v>
      </x:c>
      <x:c r="E99" s="62" t="str">
        <x:v>forward 增量 ms</x:v>
      </x:c>
      <x:c r="F99" s="62" t="str">
        <x:v>结果</x:v>
      </x:c>
      <x:c r="G99" s="62" t="str">
        <x:v>forward 新耗时 ms</x:v>
      </x:c>
      <x:c r="H99" s="62" t="str">
        <x:v>结果</x:v>
      </x:c>
      <x:c r="I99" s="62" t="str">
        <x:v>forward 增幅</x:v>
      </x:c>
      <x:c r="J99" s="62" t="str">
        <x:v>结果</x:v>
      </x:c>
      <x:c r="K99" s="62" t="str">
        <x:v>输入状态</x:v>
      </x:c>
      <x:c r="L99" s="62" t="str">
        <x:v>状态</x:v>
      </x:c>
    </x:row>
    <x:row r="100" ht="15" customHeight="1">
      <x:c r="A100" s="49"/>
      <x:c r="B100" s="49" t="n">
        <x:f>SUM(G104:G131)</x:f>
        <x:v>761.74866432</x:v>
      </x:c>
      <x:c r="C100" s="49"/>
      <x:c r="D100" s="49" t="n">
        <x:f>SUM(H104:H131)</x:f>
        <x:v>846.3874048</x:v>
      </x:c>
      <x:c r="E100" s="49"/>
      <x:c r="F100" s="49" t="n">
        <x:f>SUM(K104:K131)</x:f>
        <x:v>84.63874048000001</x:v>
      </x:c>
      <x:c r="G100" s="49"/>
      <x:c r="H100" s="49" t="str">
        <x:f>IF(AND(ISNUMBER($F$98),$F$98&gt;0,$F$98&gt;=SUMPRODUCT(G104:G131,J104:J131)),$F$98+F100,"")</x:f>
      </x:c>
      <x:c r="I100" s="49"/>
      <x:c r="J100" s="50" t="str">
        <x:f>IF(AND(ISNUMBER($F$98),$F$98&gt;0,$F$98&gt;=SUMPRODUCT(G104:G131,J104:J131)),F100/$F$98,"")</x:f>
      </x:c>
      <x:c r="K100" s="49"/>
      <x:c r="L100" s="49" t="str">
        <x:f>IF($F$98="","待填基线",IF(AND(ISNUMBER($F$98),$F$98&gt;0,$F$98&gt;=SUMPRODUCT(G104:G131,J104:J131)),"已填基线","基线/暴露不一致"))</x:f>
        <x:v>待填基线</x:v>
      </x:c>
    </x:row>
    <x:row r="101" ht="15" customHeight="1">
      <x:c r="A101" s="30" t="str">
        <x:v>共享比例=0 表示独立链路；暴露系数=0 表示增量完全隐藏。默认均为 1，降幅只作用于带宽项。</x:v>
      </x:c>
      <x:c r="B101" s="30"/>
      <x:c r="C101" s="30"/>
      <x:c r="D101" s="30"/>
      <x:c r="E101" s="30"/>
      <x:c r="F101" s="30"/>
      <x:c r="G101" s="30"/>
      <x:c r="H101" s="30"/>
      <x:c r="I101" s="30"/>
      <x:c r="J101" s="30"/>
      <x:c r="K101" s="30"/>
      <x:c r="L101" s="30"/>
    </x:row>
    <x:row r="102" ht="15" customHeight="1">
      <x:c r="A102" s="30" t="str">
        <x:v>P: AllToAllV + 4 B 计数 Ring；D: A3 BF16 MC2 FullMesh。每事件带宽按端点发送量定义。</x:v>
      </x:c>
      <x:c r="B102" s="30"/>
      <x:c r="C102" s="30"/>
      <x:c r="D102" s="30"/>
      <x:c r="E102" s="30"/>
      <x:c r="F102" s="30"/>
      <x:c r="G102" s="30"/>
      <x:c r="H102" s="30"/>
      <x:c r="I102" s="30"/>
      <x:c r="J102" s="30"/>
      <x:c r="K102" s="30"/>
      <x:c r="L102" s="30"/>
    </x:row>
    <x:row r="103" ht="30" customHeight="1">
      <x:c r="A103" s="62" t="str">
        <x:v>并行域</x:v>
      </x:c>
      <x:c r="B103" s="62" t="str">
        <x:v>模块</x:v>
      </x:c>
      <x:c r="C103" s="62" t="str">
        <x:v>通信事件</x:v>
      </x:c>
      <x:c r="D103" s="62" t="str">
        <x:v>GB/Rank/Step</x:v>
      </x:c>
      <x:c r="E103" s="62" t="str">
        <x:v>有效带宽 GB/s</x:v>
      </x:c>
      <x:c r="F103" s="62" t="str">
        <x:v>共享比例</x:v>
      </x:c>
      <x:c r="G103" s="62" t="str">
        <x:v>基线带宽项 ms</x:v>
      </x:c>
      <x:c r="H103" s="62" t="str">
        <x:v>争用后带宽项 ms</x:v>
      </x:c>
      <x:c r="I103" s="62" t="str">
        <x:v>通信增量 ms</x:v>
      </x:c>
      <x:c r="J103" s="62" t="str">
        <x:v>暴露系数</x:v>
      </x:c>
      <x:c r="K103" s="62" t="str">
        <x:v>forward 增量 ms</x:v>
      </x:c>
      <x:c r="L103" s="62" t="str">
        <x:v>公式口径</x:v>
      </x:c>
    </x:row>
    <x:row r="104" ht="15" customHeight="1">
      <x:c r="A104" s="30" t="str">
        <x:v>Embedding TP</x:v>
      </x:c>
      <x:c r="B104" s="30" t="str">
        <x:v>Embedding</x:v>
      </x:c>
      <x:c r="C104" s="30" t="str">
        <x:v>标准 TP 输出</x:v>
      </x:c>
      <x:c r="D104" s="34" t="n">
        <x:f>(K65*2^20)/1e9</x:f>
        <x:v>0.205520896</x:v>
      </x:c>
      <x:c r="E104" s="64" t="n">
        <x:f>$H$98</x:f>
        <x:v>100</x:v>
      </x:c>
      <x:c r="F104" s="59" t="n">
        <x:v>1</x:v>
      </x:c>
      <x:c r="G104" s="34" t="n">
        <x:f>IF(AND(ISNUMBER(E104),E104&gt;0,ISNUMBER($B$98),$B$98&gt;=0,$B$98&lt;1,ISNUMBER($D$98),$D$98&gt;=0,$D$98&lt;=1,ISNUMBER(F104),F104&gt;=0,F104&lt;=1,ISNUMBER(J104),J104&gt;=0,J104&lt;=1),D104/E104*1000,NA())</x:f>
        <x:v>2.0552089600000003</x:v>
      </x:c>
      <x:c r="H104" s="34" t="n">
        <x:f>G104+I104</x:f>
        <x:v>2.2835655111111115</x:v>
      </x:c>
      <x:c r="I104" s="34" t="n">
        <x:f>G104*F104*$D$98*$B$98/(1-$B$98)</x:f>
        <x:v>0.22835655111111114</x:v>
      </x:c>
      <x:c r="J104" s="59" t="n">
        <x:v>1</x:v>
      </x:c>
      <x:c r="K104" s="34" t="n">
        <x:f>I104*J104</x:f>
        <x:v>0.22835655111111114</x:v>
      </x:c>
      <x:c r="L104" s="30" t="str">
        <x:v>原通信行 65</x:v>
      </x:c>
    </x:row>
    <x:row r="105" ht="15" customHeight="1">
      <x:c r="A105" s="30" t="str">
        <x:v>Embedding TP</x:v>
      </x:c>
      <x:c r="B105" s="30" t="str">
        <x:v>Embedding</x:v>
      </x:c>
      <x:c r="C105" s="30" t="str">
        <x:v>Fine TP Token ID</x:v>
      </x:c>
      <x:c r="D105" s="34" t="n">
        <x:f>(K66*2^20)/1e9</x:f>
        <x:v>0</x:v>
      </x:c>
      <x:c r="E105" s="64" t="n">
        <x:f>$H$98</x:f>
        <x:v>100</x:v>
      </x:c>
      <x:c r="F105" s="59" t="n">
        <x:v>1</x:v>
      </x:c>
      <x:c r="G105" s="34" t="n">
        <x:f>IF(AND(ISNUMBER(E105),E105&gt;0,ISNUMBER($B$98),$B$98&gt;=0,$B$98&lt;1,ISNUMBER($D$98),$D$98&gt;=0,$D$98&lt;=1,ISNUMBER(F105),F105&gt;=0,F105&lt;=1,ISNUMBER(J105),J105&gt;=0,J105&lt;=1),D105/E105*1000,NA())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G105*F105*$D$98*$B$98/(1-$B$98)</x:f>
        <x:v>0</x:v>
      </x:c>
      <x:c r="J105" s="59" t="n">
        <x:v>1</x:v>
      </x:c>
      <x:c r="K105" s="34" t="n">
        <x:f>I105*J105</x:f>
        <x:v>0</x:v>
      </x:c>
      <x:c r="L105" s="30" t="str">
        <x:v>原通信行 66</x:v>
      </x:c>
    </x:row>
    <x:row r="106" ht="15" customHeight="1">
      <x:c r="A106" s="30" t="str">
        <x:v>Embedding TP</x:v>
      </x:c>
      <x:c r="B106" s="30" t="str">
        <x:v>Embedding</x:v>
      </x:c>
      <x:c r="C106" s="30" t="str">
        <x:v>Fine TP Hidden</x:v>
      </x:c>
      <x:c r="D106" s="34" t="n">
        <x:f>(K67*2^20)/1e9</x:f>
        <x:v>0</x:v>
      </x:c>
      <x:c r="E106" s="64" t="n">
        <x:f>$H$98</x:f>
        <x:v>100</x:v>
      </x:c>
      <x:c r="F106" s="59" t="n">
        <x:v>1</x:v>
      </x:c>
      <x:c r="G106" s="34" t="n">
        <x:f>IF(AND(ISNUMBER(E106),E106&gt;0,ISNUMBER($B$98),$B$98&gt;=0,$B$98&lt;1,ISNUMBER($D$98),$D$98&gt;=0,$D$98&lt;=1,ISNUMBER(F106),F106&gt;=0,F106&lt;=1,ISNUMBER(J106),J106&gt;=0,J106&lt;=1),D106/E106*1000,NA())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G106*F106*$D$98*$B$98/(1-$B$98)</x:f>
        <x:v>0</x:v>
      </x:c>
      <x:c r="J106" s="59" t="n">
        <x:v>1</x:v>
      </x:c>
      <x:c r="K106" s="34" t="n">
        <x:f>I106*J106</x:f>
        <x:v>0</x:v>
      </x:c>
      <x:c r="L106" s="30" t="str">
        <x:v>原通信行 67</x:v>
      </x:c>
    </x:row>
    <x:row r="107" ht="15" customHeight="1">
      <x:c r="A107" s="30" t="str">
        <x:v>SP</x:v>
      </x:c>
      <x:c r="B107" s="30" t="str">
        <x:v>Attention</x:v>
      </x:c>
      <x:c r="C107" s="30" t="str">
        <x:v>Attention 前</x:v>
      </x:c>
      <x:c r="D107" s="34" t="n">
        <x:f>(K68*2^20)/1e9</x:f>
        <x:v>9.556721664</x:v>
      </x:c>
      <x:c r="E107" s="64" t="n">
        <x:f>$H$98</x:f>
        <x:v>100</x:v>
      </x:c>
      <x:c r="F107" s="59" t="n">
        <x:v>1</x:v>
      </x:c>
      <x:c r="G107" s="34" t="n">
        <x:f>IF(AND(ISNUMBER(E107),E107&gt;0,ISNUMBER($B$98),$B$98&gt;=0,$B$98&lt;1,ISNUMBER($D$98),$D$98&gt;=0,$D$98&lt;=1,ISNUMBER(F107),F107&gt;=0,F107&lt;=1,ISNUMBER(J107),J107&gt;=0,J107&lt;=1),D107/E107*1000,NA())</x:f>
        <x:v>95.56721664</x:v>
      </x:c>
      <x:c r="H107" s="34" t="n">
        <x:f>G107+I107</x:f>
        <x:v>106.18579626666667</x:v>
      </x:c>
      <x:c r="I107" s="34" t="n">
        <x:f>G107*F107*$D$98*$B$98/(1-$B$98)</x:f>
        <x:v>10.618579626666666</x:v>
      </x:c>
      <x:c r="J107" s="59" t="n">
        <x:v>1</x:v>
      </x:c>
      <x:c r="K107" s="34" t="n">
        <x:f>I107*J107</x:f>
        <x:v>10.618579626666666</x:v>
      </x:c>
      <x:c r="L107" s="30" t="str">
        <x:v>原通信行 68</x:v>
      </x:c>
    </x:row>
    <x:row r="108" ht="15" customHeight="1">
      <x:c r="A108" s="30" t="str">
        <x:v>SP</x:v>
      </x:c>
      <x:c r="B108" s="30" t="str">
        <x:v>Attention</x:v>
      </x:c>
      <x:c r="C108" s="30" t="str">
        <x:v>O Proj 后</x:v>
      </x:c>
      <x:c r="D108" s="34" t="n">
        <x:f>(K69*2^20)/1e9</x:f>
        <x:v>9.556721664</x:v>
      </x:c>
      <x:c r="E108" s="64" t="n">
        <x:f>$H$98</x:f>
        <x:v>100</x:v>
      </x:c>
      <x:c r="F108" s="59" t="n">
        <x:v>1</x:v>
      </x:c>
      <x:c r="G108" s="34" t="n">
        <x:f>IF(AND(ISNUMBER(E108),E108&gt;0,ISNUMBER($B$98),$B$98&gt;=0,$B$98&lt;1,ISNUMBER($D$98),$D$98&gt;=0,$D$98&lt;=1,ISNUMBER(F108),F108&gt;=0,F108&lt;=1,ISNUMBER(J108),J108&gt;=0,J108&lt;=1),D108/E108*1000,NA())</x:f>
        <x:v>95.56721664</x:v>
      </x:c>
      <x:c r="H108" s="34" t="n">
        <x:f>G108+I108</x:f>
        <x:v>106.18579626666667</x:v>
      </x:c>
      <x:c r="I108" s="34" t="n">
        <x:f>G108*F108*$D$98*$B$98/(1-$B$98)</x:f>
        <x:v>10.618579626666666</x:v>
      </x:c>
      <x:c r="J108" s="59" t="n">
        <x:v>1</x:v>
      </x:c>
      <x:c r="K108" s="34" t="n">
        <x:f>I108*J108</x:f>
        <x:v>10.618579626666666</x:v>
      </x:c>
      <x:c r="L108" s="30" t="str">
        <x:v>原通信行 69</x:v>
      </x:c>
    </x:row>
    <x:row r="109" ht="15" customHeight="1">
      <x:c r="A109" s="30" t="str">
        <x:v>O Proj TP</x:v>
      </x:c>
      <x:c r="B109" s="30" t="str">
        <x:v>Attention</x:v>
      </x:c>
      <x:c r="C109" s="30" t="str">
        <x:v>非 SP 标准 TP</x:v>
      </x:c>
      <x:c r="D109" s="34" t="n">
        <x:f>(K70*2^20)/1e9</x:f>
        <x:v>0</x:v>
      </x:c>
      <x:c r="E109" s="64" t="n">
        <x:f>$H$98</x:f>
        <x:v>100</x:v>
      </x:c>
      <x:c r="F109" s="59" t="n">
        <x:v>1</x:v>
      </x:c>
      <x:c r="G109" s="34" t="n">
        <x:f>IF(AND(ISNUMBER(E109),E109&gt;0,ISNUMBER($B$98),$B$98&gt;=0,$B$98&lt;1,ISNUMBER($D$98),$D$98&gt;=0,$D$98&lt;=1,ISNUMBER(F109),F109&gt;=0,F109&lt;=1,ISNUMBER(J109),J109&gt;=0,J109&lt;=1),D109/E109*1000,NA())</x:f>
        <x:v>0</x:v>
      </x:c>
      <x:c r="H109" s="34" t="n">
        <x:f>G109+I109</x:f>
        <x:v>0</x:v>
      </x:c>
      <x:c r="I109" s="34" t="n">
        <x:f>G109*F109*$D$98*$B$98/(1-$B$98)</x:f>
        <x:v>0</x:v>
      </x:c>
      <x:c r="J109" s="59" t="n">
        <x:v>1</x:v>
      </x:c>
      <x:c r="K109" s="34" t="n">
        <x:f>I109*J109</x:f>
        <x:v>0</x:v>
      </x:c>
      <x:c r="L109" s="30" t="str">
        <x:v>原通信行 70</x:v>
      </x:c>
    </x:row>
    <x:row r="110" ht="15" customHeight="1">
      <x:c r="A110" s="30" t="str">
        <x:v>Fine O TP</x:v>
      </x:c>
      <x:c r="B110" s="30" t="str">
        <x:v>Attention</x:v>
      </x:c>
      <x:c r="C110" s="30" t="str">
        <x:v>O Proj 输入</x:v>
      </x:c>
      <x:c r="D110" s="34" t="n">
        <x:f>(K71*2^20)/1e9</x:f>
        <x:v>0</x:v>
      </x:c>
      <x:c r="E110" s="64" t="n">
        <x:f>$H$98</x:f>
        <x:v>100</x:v>
      </x:c>
      <x:c r="F110" s="59" t="n">
        <x:v>1</x:v>
      </x:c>
      <x:c r="G110" s="34" t="n">
        <x:f>IF(AND(ISNUMBER(E110),E110&gt;0,ISNUMBER($B$98),$B$98&gt;=0,$B$98&lt;1,ISNUMBER($D$98),$D$98&gt;=0,$D$98&lt;=1,ISNUMBER(F110),F110&gt;=0,F110&lt;=1,ISNUMBER(J110),J110&gt;=0,J110&lt;=1),D110/E110*1000,NA())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G110*F110*$D$98*$B$98/(1-$B$98)</x:f>
        <x:v>0</x:v>
      </x:c>
      <x:c r="J110" s="59" t="n">
        <x:v>1</x:v>
      </x:c>
      <x:c r="K110" s="34" t="n">
        <x:f>I110*J110</x:f>
        <x:v>0</x:v>
      </x:c>
      <x:c r="L110" s="30" t="str">
        <x:v>原通信行 71</x:v>
      </x:c>
    </x:row>
    <x:row r="111" ht="15" customHeight="1">
      <x:c r="A111" s="30" t="str">
        <x:v>Fine O TP</x:v>
      </x:c>
      <x:c r="B111" s="30" t="str">
        <x:v>Attention</x:v>
      </x:c>
      <x:c r="C111" s="30" t="str">
        <x:v>O Proj 输出</x:v>
      </x:c>
      <x:c r="D111" s="34" t="n">
        <x:f>(K72*2^20)/1e9</x:f>
        <x:v>0</x:v>
      </x:c>
      <x:c r="E111" s="64" t="n">
        <x:f>$H$98</x:f>
        <x:v>100</x:v>
      </x:c>
      <x:c r="F111" s="59" t="n">
        <x:v>1</x:v>
      </x:c>
      <x:c r="G111" s="34" t="n">
        <x:f>IF(AND(ISNUMBER(E111),E111&gt;0,ISNUMBER($B$98),$B$98&gt;=0,$B$98&lt;1,ISNUMBER($D$98),$D$98&gt;=0,$D$98&lt;=1,ISNUMBER(F111),F111&gt;=0,F111&lt;=1,ISNUMBER(J111),J111&gt;=0,J111&lt;=1),D111/E111*1000,NA())</x:f>
        <x:v>0</x:v>
      </x:c>
      <x:c r="H111" s="34" t="n">
        <x:f>G111+I111</x:f>
        <x:v>0</x:v>
      </x:c>
      <x:c r="I111" s="34" t="n">
        <x:f>G111*F111*$D$98*$B$98/(1-$B$98)</x:f>
        <x:v>0</x:v>
      </x:c>
      <x:c r="J111" s="59" t="n">
        <x:v>1</x:v>
      </x:c>
      <x:c r="K111" s="34" t="n">
        <x:f>I111*J111</x:f>
        <x:v>0</x:v>
      </x:c>
      <x:c r="L111" s="30" t="str">
        <x:v>原通信行 72</x:v>
      </x:c>
    </x:row>
    <x:row r="112" ht="15" customHeight="1">
      <x:c r="A112" s="30" t="str">
        <x:v>SP</x:v>
      </x:c>
      <x:c r="B112" s="30" t="str">
        <x:v>Dense MLP</x:v>
      </x:c>
      <x:c r="C112" s="30" t="str">
        <x:v>Down Proj 输出</x:v>
      </x:c>
      <x:c r="D112" s="34" t="n">
        <x:f>(K73*2^20)/1e9</x:f>
        <x:v>0.025690112</x:v>
      </x:c>
      <x:c r="E112" s="64" t="n">
        <x:f>$H$98</x:f>
        <x:v>100</x:v>
      </x:c>
      <x:c r="F112" s="59" t="n">
        <x:v>1</x:v>
      </x:c>
      <x:c r="G112" s="34" t="n">
        <x:f>IF(AND(ISNUMBER(E112),E112&gt;0,ISNUMBER($B$98),$B$98&gt;=0,$B$98&lt;1,ISNUMBER($D$98),$D$98&gt;=0,$D$98&lt;=1,ISNUMBER(F112),F112&gt;=0,F112&lt;=1,ISNUMBER(J112),J112&gt;=0,J112&lt;=1),D112/E112*1000,NA())</x:f>
        <x:v>0.25690112000000004</x:v>
      </x:c>
      <x:c r="H112" s="34" t="n">
        <x:f>G112+I112</x:f>
        <x:v>0.28544568888888894</x:v>
      </x:c>
      <x:c r="I112" s="34" t="n">
        <x:f>G112*F112*$D$98*$B$98/(1-$B$98)</x:f>
        <x:v>0.028544568888888892</x:v>
      </x:c>
      <x:c r="J112" s="59" t="n">
        <x:v>1</x:v>
      </x:c>
      <x:c r="K112" s="34" t="n">
        <x:f>I112*J112</x:f>
        <x:v>0.028544568888888892</x:v>
      </x:c>
      <x:c r="L112" s="30" t="str">
        <x:v>原通信行 73</x:v>
      </x:c>
    </x:row>
    <x:row r="113" ht="15" customHeight="1">
      <x:c r="A113" s="30" t="str">
        <x:v>EP</x:v>
      </x:c>
      <x:c r="B113" s="30" t="str">
        <x:v>Routed Experts</x:v>
      </x:c>
      <x:c r="C113" s="30" t="str">
        <x:v>Dispatch Hidden</x:v>
      </x:c>
      <x:c r="D113" s="34" t="n">
        <x:f>(K74*2^20)/1e9</x:f>
        <x:v>18.907922432</x:v>
      </x:c>
      <x:c r="E113" s="64" t="n">
        <x:f>$H$98</x:f>
        <x:v>100</x:v>
      </x:c>
      <x:c r="F113" s="59" t="n">
        <x:v>1</x:v>
      </x:c>
      <x:c r="G113" s="34" t="n">
        <x:f>IF(AND(ISNUMBER(E113),E113&gt;0,ISNUMBER($B$98),$B$98&gt;=0,$B$98&lt;1,ISNUMBER($D$98),$D$98&gt;=0,$D$98&lt;=1,ISNUMBER(F113),F113&gt;=0,F113&lt;=1,ISNUMBER(J113),J113&gt;=0,J113&lt;=1),D113/E113*1000,NA())</x:f>
        <x:v>189.07922431999998</x:v>
      </x:c>
      <x:c r="H113" s="34" t="n">
        <x:f>G113+I113</x:f>
        <x:v>210.0880270222222</x:v>
      </x:c>
      <x:c r="I113" s="34" t="n">
        <x:f>G113*F113*$D$98*$B$98/(1-$B$98)</x:f>
        <x:v>21.008802702222223</x:v>
      </x:c>
      <x:c r="J113" s="59" t="n">
        <x:v>1</x:v>
      </x:c>
      <x:c r="K113" s="34" t="n">
        <x:f>I113*J113</x:f>
        <x:v>21.008802702222223</x:v>
      </x:c>
      <x:c r="L113" s="30" t="str">
        <x:v>原通信行 74</x:v>
      </x:c>
    </x:row>
    <x:row r="114" ht="15" customHeight="1">
      <x:c r="A114" s="30" t="str">
        <x:v>EP</x:v>
      </x:c>
      <x:c r="B114" s="30" t="str">
        <x:v>Routed Experts</x:v>
      </x:c>
      <x:c r="C114" s="30" t="str">
        <x:v>Combine Hidden</x:v>
      </x:c>
      <x:c r="D114" s="34" t="n">
        <x:f>(K75*2^20)/1e9</x:f>
        <x:v>18.907922432</x:v>
      </x:c>
      <x:c r="E114" s="64" t="n">
        <x:f>$H$98</x:f>
        <x:v>100</x:v>
      </x:c>
      <x:c r="F114" s="59" t="n">
        <x:v>1</x:v>
      </x:c>
      <x:c r="G114" s="34" t="n">
        <x:f>IF(AND(ISNUMBER(E114),E114&gt;0,ISNUMBER($B$98),$B$98&gt;=0,$B$98&lt;1,ISNUMBER($D$98),$D$98&gt;=0,$D$98&lt;=1,ISNUMBER(F114),F114&gt;=0,F114&lt;=1,ISNUMBER(J114),J114&gt;=0,J114&lt;=1),D114/E114*1000,NA())</x:f>
        <x:v>189.07922431999998</x:v>
      </x:c>
      <x:c r="H114" s="34" t="n">
        <x:f>G114+I114</x:f>
        <x:v>210.0880270222222</x:v>
      </x:c>
      <x:c r="I114" s="34" t="n">
        <x:f>G114*F114*$D$98*$B$98/(1-$B$98)</x:f>
        <x:v>21.008802702222223</x:v>
      </x:c>
      <x:c r="J114" s="59" t="n">
        <x:v>1</x:v>
      </x:c>
      <x:c r="K114" s="34" t="n">
        <x:f>I114*J114</x:f>
        <x:v>21.008802702222223</x:v>
      </x:c>
      <x:c r="L114" s="30" t="str">
        <x:v>原通信行 75</x:v>
      </x:c>
    </x:row>
    <x:row r="115" ht="15" customHeight="1">
      <x:c r="A115" s="30" t="str">
        <x:v>DP</x:v>
      </x:c>
      <x:c r="B115" s="30" t="str">
        <x:v>MoE</x:v>
      </x:c>
      <x:c r="C115" s="30" t="str">
        <x:v>Hidden 输入</x:v>
      </x:c>
      <x:c r="D115" s="34" t="n">
        <x:f>(K76*2^20)/1e9</x:f>
        <x:v>0</x:v>
      </x:c>
      <x:c r="E115" s="64" t="n">
        <x:f>$H$98</x:f>
        <x:v>100</x:v>
      </x:c>
      <x:c r="F115" s="59" t="n">
        <x:v>1</x:v>
      </x:c>
      <x:c r="G115" s="34" t="n">
        <x:f>IF(AND(ISNUMBER(E115),E115&gt;0,ISNUMBER($B$98),$B$98&gt;=0,$B$98&lt;1,ISNUMBER($D$98),$D$98&gt;=0,$D$98&lt;=1,ISNUMBER(F115),F115&gt;=0,F115&lt;=1,ISNUMBER(J115),J115&gt;=0,J115&lt;=1),D115/E115*1000,NA())</x:f>
        <x:v>0</x:v>
      </x:c>
      <x:c r="H115" s="34" t="n">
        <x:f>G115+I115</x:f>
        <x:v>0</x:v>
      </x:c>
      <x:c r="I115" s="34" t="n">
        <x:f>G115*F115*$D$98*$B$98/(1-$B$98)</x:f>
        <x:v>0</x:v>
      </x:c>
      <x:c r="J115" s="59" t="n">
        <x:v>1</x:v>
      </x:c>
      <x:c r="K115" s="34" t="n">
        <x:f>I115*J115</x:f>
        <x:v>0</x:v>
      </x:c>
      <x:c r="L115" s="30" t="str">
        <x:v>原通信行 76</x:v>
      </x:c>
    </x:row>
    <x:row r="116" ht="15" customHeight="1">
      <x:c r="A116" s="30" t="str">
        <x:v>DP</x:v>
      </x:c>
      <x:c r="B116" s="30" t="str">
        <x:v>MoE Router</x:v>
      </x:c>
      <x:c r="C116" s="30" t="str">
        <x:v>Router Logits</x:v>
      </x:c>
      <x:c r="D116" s="34" t="n">
        <x:f>(K77*2^20)/1e9</x:f>
        <x:v>0</x:v>
      </x:c>
      <x:c r="E116" s="64" t="n">
        <x:f>$H$98</x:f>
        <x:v>100</x:v>
      </x:c>
      <x:c r="F116" s="59" t="n">
        <x:v>1</x:v>
      </x:c>
      <x:c r="G116" s="34" t="n">
        <x:f>IF(AND(ISNUMBER(E116),E116&gt;0,ISNUMBER($B$98),$B$98&gt;=0,$B$98&lt;1,ISNUMBER($D$98),$D$98&gt;=0,$D$98&lt;=1,ISNUMBER(F116),F116&gt;=0,F116&lt;=1,ISNUMBER(J116),J116&gt;=0,J116&lt;=1),D116/E116*1000,NA())</x:f>
        <x:v>0</x:v>
      </x:c>
      <x:c r="H116" s="34" t="n">
        <x:f>G116+I116</x:f>
        <x:v>0</x:v>
      </x:c>
      <x:c r="I116" s="34" t="n">
        <x:f>G116*F116*$D$98*$B$98/(1-$B$98)</x:f>
        <x:v>0</x:v>
      </x:c>
      <x:c r="J116" s="59" t="n">
        <x:v>1</x:v>
      </x:c>
      <x:c r="K116" s="34" t="n">
        <x:f>I116*J116</x:f>
        <x:v>0</x:v>
      </x:c>
      <x:c r="L116" s="30" t="str">
        <x:v>原通信行 77</x:v>
      </x:c>
    </x:row>
    <x:row r="117" ht="15" customHeight="1">
      <x:c r="A117" s="30" t="str">
        <x:v>DP</x:v>
      </x:c>
      <x:c r="B117" s="30" t="str">
        <x:v>MoE</x:v>
      </x:c>
      <x:c r="C117" s="30" t="str">
        <x:v>Routed Expert 输出</x:v>
      </x:c>
      <x:c r="D117" s="34" t="n">
        <x:f>(K78*2^20)/1e9</x:f>
        <x:v>0</x:v>
      </x:c>
      <x:c r="E117" s="64" t="n">
        <x:f>$H$98</x:f>
        <x:v>100</x:v>
      </x:c>
      <x:c r="F117" s="59" t="n">
        <x:v>1</x:v>
      </x:c>
      <x:c r="G117" s="34" t="n">
        <x:f>IF(AND(ISNUMBER(E117),E117&gt;0,ISNUMBER($B$98),$B$98&gt;=0,$B$98&lt;1,ISNUMBER($D$98),$D$98&gt;=0,$D$98&lt;=1,ISNUMBER(F117),F117&gt;=0,F117&lt;=1,ISNUMBER(J117),J117&gt;=0,J117&lt;=1),D117/E117*1000,NA())</x:f>
        <x:v>0</x:v>
      </x:c>
      <x:c r="H117" s="34" t="n">
        <x:f>G117+I117</x:f>
        <x:v>0</x:v>
      </x:c>
      <x:c r="I117" s="34" t="n">
        <x:f>G117*F117*$D$98*$B$98/(1-$B$98)</x:f>
        <x:v>0</x:v>
      </x:c>
      <x:c r="J117" s="59" t="n">
        <x:v>1</x:v>
      </x:c>
      <x:c r="K117" s="34" t="n">
        <x:f>I117*J117</x:f>
        <x:v>0</x:v>
      </x:c>
      <x:c r="L117" s="30" t="str">
        <x:v>原通信行 78</x:v>
      </x:c>
    </x:row>
    <x:row r="118" ht="15" customHeight="1">
      <x:c r="A118" s="30" t="str">
        <x:v>共享专家 TP</x:v>
      </x:c>
      <x:c r="B118" s="30" t="str">
        <x:v>Shared Experts</x:v>
      </x:c>
      <x:c r="C118" s="30" t="str">
        <x:v>SP 输入</x:v>
      </x:c>
      <x:c r="D118" s="34" t="n">
        <x:f>(K79*2^20)/1e9</x:f>
        <x:v>9.453961216</x:v>
      </x:c>
      <x:c r="E118" s="64" t="n">
        <x:f>$H$98</x:f>
        <x:v>100</x:v>
      </x:c>
      <x:c r="F118" s="59" t="n">
        <x:v>1</x:v>
      </x:c>
      <x:c r="G118" s="34" t="n">
        <x:f>IF(AND(ISNUMBER(E118),E118&gt;0,ISNUMBER($B$98),$B$98&gt;=0,$B$98&lt;1,ISNUMBER($D$98),$D$98&gt;=0,$D$98&lt;=1,ISNUMBER(F118),F118&gt;=0,F118&lt;=1,ISNUMBER(J118),J118&gt;=0,J118&lt;=1),D118/E118*1000,NA())</x:f>
        <x:v>94.53961215999999</x:v>
      </x:c>
      <x:c r="H118" s="34" t="n">
        <x:f>G118+I118</x:f>
        <x:v>105.0440135111111</x:v>
      </x:c>
      <x:c r="I118" s="34" t="n">
        <x:f>G118*F118*$D$98*$B$98/(1-$B$98)</x:f>
        <x:v>10.504401351111111</x:v>
      </x:c>
      <x:c r="J118" s="59" t="n">
        <x:v>1</x:v>
      </x:c>
      <x:c r="K118" s="34" t="n">
        <x:f>I118*J118</x:f>
        <x:v>10.504401351111111</x:v>
      </x:c>
      <x:c r="L118" s="30" t="str">
        <x:v>原通信行 79</x:v>
      </x:c>
    </x:row>
    <x:row r="119" ht="15" customHeight="1">
      <x:c r="A119" s="30" t="str">
        <x:v>共享专家 TP</x:v>
      </x:c>
      <x:c r="B119" s="30" t="str">
        <x:v>Shared Experts</x:v>
      </x:c>
      <x:c r="C119" s="30" t="str">
        <x:v>SP 输出</x:v>
      </x:c>
      <x:c r="D119" s="34" t="n">
        <x:f>(K80*2^20)/1e9</x:f>
        <x:v>9.453961216</x:v>
      </x:c>
      <x:c r="E119" s="64" t="n">
        <x:f>$H$98</x:f>
        <x:v>100</x:v>
      </x:c>
      <x:c r="F119" s="59" t="n">
        <x:v>1</x:v>
      </x:c>
      <x:c r="G119" s="34" t="n">
        <x:f>IF(AND(ISNUMBER(E119),E119&gt;0,ISNUMBER($B$98),$B$98&gt;=0,$B$98&lt;1,ISNUMBER($D$98),$D$98&gt;=0,$D$98&lt;=1,ISNUMBER(F119),F119&gt;=0,F119&lt;=1,ISNUMBER(J119),J119&gt;=0,J119&lt;=1),D119/E119*1000,NA())</x:f>
        <x:v>94.53961215999999</x:v>
      </x:c>
      <x:c r="H119" s="34" t="n">
        <x:f>G119+I119</x:f>
        <x:v>105.0440135111111</x:v>
      </x:c>
      <x:c r="I119" s="34" t="n">
        <x:f>G119*F119*$D$98*$B$98/(1-$B$98)</x:f>
        <x:v>10.504401351111111</x:v>
      </x:c>
      <x:c r="J119" s="59" t="n">
        <x:v>1</x:v>
      </x:c>
      <x:c r="K119" s="34" t="n">
        <x:f>I119*J119</x:f>
        <x:v>10.504401351111111</x:v>
      </x:c>
      <x:c r="L119" s="30" t="str">
        <x:v>原通信行 80</x:v>
      </x:c>
    </x:row>
    <x:row r="120" ht="15" customHeight="1">
      <x:c r="A120" s="30" t="str">
        <x:v>共享专家 TP</x:v>
      </x:c>
      <x:c r="B120" s="30" t="str">
        <x:v>Shared Experts</x:v>
      </x:c>
      <x:c r="C120" s="30" t="str">
        <x:v>非 SP 输出</x:v>
      </x:c>
      <x:c r="D120" s="34" t="n">
        <x:f>(K81*2^20)/1e9</x:f>
        <x:v>0</x:v>
      </x:c>
      <x:c r="E120" s="64" t="n">
        <x:f>$H$98</x:f>
        <x:v>100</x:v>
      </x:c>
      <x:c r="F120" s="59" t="n">
        <x:v>1</x:v>
      </x:c>
      <x:c r="G120" s="34" t="n">
        <x:f>IF(AND(ISNUMBER(E120),E120&gt;0,ISNUMBER($B$98),$B$98&gt;=0,$B$98&lt;1,ISNUMBER($D$98),$D$98&gt;=0,$D$98&lt;=1,ISNUMBER(F120),F120&gt;=0,F120&lt;=1,ISNUMBER(J120),J120&gt;=0,J120&lt;=1),D120/E120*1000,NA())</x:f>
        <x:v>0</x:v>
      </x:c>
      <x:c r="H120" s="34" t="n">
        <x:f>G120+I120</x:f>
        <x:v>0</x:v>
      </x:c>
      <x:c r="I120" s="34" t="n">
        <x:f>G120*F120*$D$98*$B$98/(1-$B$98)</x:f>
        <x:v>0</x:v>
      </x:c>
      <x:c r="J120" s="59" t="n">
        <x:v>1</x:v>
      </x:c>
      <x:c r="K120" s="34" t="n">
        <x:f>I120*J120</x:f>
        <x:v>0</x:v>
      </x:c>
      <x:c r="L120" s="30" t="str">
        <x:v>原通信行 81</x:v>
      </x:c>
    </x:row>
    <x:row r="121" ht="15" customHeight="1">
      <x:c r="A121" s="30" t="str">
        <x:v>PCP</x:v>
      </x:c>
      <x:c r="B121" s="30" t="str">
        <x:v>MoE</x:v>
      </x:c>
      <x:c r="C121" s="30" t="str">
        <x:v>Hidden 输入</x:v>
      </x:c>
      <x:c r="D121" s="34" t="n">
        <x:f>(K82*2^20)/1e9</x:f>
        <x:v>0</x:v>
      </x:c>
      <x:c r="E121" s="64" t="n">
        <x:f>$H$98</x:f>
        <x:v>100</x:v>
      </x:c>
      <x:c r="F121" s="59" t="n">
        <x:v>1</x:v>
      </x:c>
      <x:c r="G121" s="34" t="n">
        <x:f>IF(AND(ISNUMBER(E121),E121&gt;0,ISNUMBER($B$98),$B$98&gt;=0,$B$98&lt;1,ISNUMBER($D$98),$D$98&gt;=0,$D$98&lt;=1,ISNUMBER(F121),F121&gt;=0,F121&lt;=1,ISNUMBER(J121),J121&gt;=0,J121&lt;=1),D121/E121*1000,NA())</x:f>
        <x:v>0</x:v>
      </x:c>
      <x:c r="H121" s="34" t="n">
        <x:f>G121+I121</x:f>
        <x:v>0</x:v>
      </x:c>
      <x:c r="I121" s="34" t="n">
        <x:f>G121*F121*$D$98*$B$98/(1-$B$98)</x:f>
        <x:v>0</x:v>
      </x:c>
      <x:c r="J121" s="59" t="n">
        <x:v>1</x:v>
      </x:c>
      <x:c r="K121" s="34" t="n">
        <x:f>I121*J121</x:f>
        <x:v>0</x:v>
      </x:c>
      <x:c r="L121" s="30" t="str">
        <x:v>原通信行 82</x:v>
      </x:c>
    </x:row>
    <x:row r="122" ht="15" customHeight="1">
      <x:c r="A122" s="30" t="str">
        <x:v>PCP</x:v>
      </x:c>
      <x:c r="B122" s="30" t="str">
        <x:v>MoE Router</x:v>
      </x:c>
      <x:c r="C122" s="30" t="str">
        <x:v>Router Logits</x:v>
      </x:c>
      <x:c r="D122" s="34" t="n">
        <x:f>(K83*2^20)/1e9</x:f>
        <x:v>0</x:v>
      </x:c>
      <x:c r="E122" s="64" t="n">
        <x:f>$H$98</x:f>
        <x:v>100</x:v>
      </x:c>
      <x:c r="F122" s="59" t="n">
        <x:v>1</x:v>
      </x:c>
      <x:c r="G122" s="34" t="n">
        <x:f>IF(AND(ISNUMBER(E122),E122&gt;0,ISNUMBER($B$98),$B$98&gt;=0,$B$98&lt;1,ISNUMBER($D$98),$D$98&gt;=0,$D$98&lt;=1,ISNUMBER(F122),F122&gt;=0,F122&lt;=1,ISNUMBER(J122),J122&gt;=0,J122&lt;=1),D122/E122*1000,NA())</x:f>
        <x:v>0</x:v>
      </x:c>
      <x:c r="H122" s="34" t="n">
        <x:f>G122+I122</x:f>
        <x:v>0</x:v>
      </x:c>
      <x:c r="I122" s="34" t="n">
        <x:f>G122*F122*$D$98*$B$98/(1-$B$98)</x:f>
        <x:v>0</x:v>
      </x:c>
      <x:c r="J122" s="59" t="n">
        <x:v>1</x:v>
      </x:c>
      <x:c r="K122" s="34" t="n">
        <x:f>I122*J122</x:f>
        <x:v>0</x:v>
      </x:c>
      <x:c r="L122" s="30" t="str">
        <x:v>原通信行 83</x:v>
      </x:c>
    </x:row>
    <x:row r="123" ht="15" customHeight="1">
      <x:c r="A123" s="30" t="str">
        <x:v>PCP</x:v>
      </x:c>
      <x:c r="B123" s="30" t="str">
        <x:v>MoE</x:v>
      </x:c>
      <x:c r="C123" s="30" t="str">
        <x:v>Routed Expert 输出</x:v>
      </x:c>
      <x:c r="D123" s="34" t="n">
        <x:f>(K84*2^20)/1e9</x:f>
        <x:v>0</x:v>
      </x:c>
      <x:c r="E123" s="64" t="n">
        <x:f>$H$98</x:f>
        <x:v>100</x:v>
      </x:c>
      <x:c r="F123" s="59" t="n">
        <x:v>1</x:v>
      </x:c>
      <x:c r="G123" s="34" t="n">
        <x:f>IF(AND(ISNUMBER(E123),E123&gt;0,ISNUMBER($B$98),$B$98&gt;=0,$B$98&lt;1,ISNUMBER($D$98),$D$98&gt;=0,$D$98&lt;=1,ISNUMBER(F123),F123&gt;=0,F123&lt;=1,ISNUMBER(J123),J123&gt;=0,J123&lt;=1),D123/E123*1000,NA())</x:f>
        <x:v>0</x:v>
      </x:c>
      <x:c r="H123" s="34" t="n">
        <x:f>G123+I123</x:f>
        <x:v>0</x:v>
      </x:c>
      <x:c r="I123" s="34" t="n">
        <x:f>G123*F123*$D$98*$B$98/(1-$B$98)</x:f>
        <x:v>0</x:v>
      </x:c>
      <x:c r="J123" s="59" t="n">
        <x:v>1</x:v>
      </x:c>
      <x:c r="K123" s="34" t="n">
        <x:f>I123*J123</x:f>
        <x:v>0</x:v>
      </x:c>
      <x:c r="L123" s="30" t="str">
        <x:v>原通信行 84</x:v>
      </x:c>
    </x:row>
    <x:row r="124" ht="15" customHeight="1">
      <x:c r="A124" s="30" t="str">
        <x:v>PCP</x:v>
      </x:c>
      <x:c r="B124" s="30" t="str">
        <x:v>Attention KV</x:v>
      </x:c>
      <x:c r="C124" s="30" t="str">
        <x:v>KV Cache 写入前</x:v>
      </x:c>
      <x:c r="D124" s="34" t="n">
        <x:f>(K85*2^20)/1e9</x:f>
        <x:v>0</x:v>
      </x:c>
      <x:c r="E124" s="64" t="n">
        <x:f>$H$98</x:f>
        <x:v>100</x:v>
      </x:c>
      <x:c r="F124" s="59" t="n">
        <x:v>1</x:v>
      </x:c>
      <x:c r="G124" s="34" t="n">
        <x:f>IF(AND(ISNUMBER(E124),E124&gt;0,ISNUMBER($B$98),$B$98&gt;=0,$B$98&lt;1,ISNUMBER($D$98),$D$98&gt;=0,$D$98&lt;=1,ISNUMBER(F124),F124&gt;=0,F124&lt;=1,ISNUMBER(J124),J124&gt;=0,J124&lt;=1),D124/E124*1000,NA())</x:f>
        <x:v>0</x:v>
      </x:c>
      <x:c r="H124" s="34" t="n">
        <x:f>G124+I124</x:f>
        <x:v>0</x:v>
      </x:c>
      <x:c r="I124" s="34" t="n">
        <x:f>G124*F124*$D$98*$B$98/(1-$B$98)</x:f>
        <x:v>0</x:v>
      </x:c>
      <x:c r="J124" s="59" t="n">
        <x:v>1</x:v>
      </x:c>
      <x:c r="K124" s="34" t="n">
        <x:f>I124*J124</x:f>
        <x:v>0</x:v>
      </x:c>
      <x:c r="L124" s="30" t="str">
        <x:v>原通信行 85</x:v>
      </x:c>
    </x:row>
    <x:row r="125" ht="15" customHeight="1">
      <x:c r="A125" s="30" t="str">
        <x:v>SP</x:v>
      </x:c>
      <x:c r="B125" s="30" t="str">
        <x:v>Model Output</x:v>
      </x:c>
      <x:c r="C125" s="30" t="str">
        <x:v>Final Norm 后</x:v>
      </x:c>
      <x:c r="D125" s="34" t="n">
        <x:f>(K86*2^20)/1e9</x:f>
        <x:v>0.102760448</x:v>
      </x:c>
      <x:c r="E125" s="64" t="n">
        <x:f>$H$98</x:f>
        <x:v>100</x:v>
      </x:c>
      <x:c r="F125" s="59" t="n">
        <x:v>1</x:v>
      </x:c>
      <x:c r="G125" s="34" t="n">
        <x:f>IF(AND(ISNUMBER(E125),E125&gt;0,ISNUMBER($B$98),$B$98&gt;=0,$B$98&lt;1,ISNUMBER($D$98),$D$98&gt;=0,$D$98&lt;=1,ISNUMBER(F125),F125&gt;=0,F125&lt;=1,ISNUMBER(J125),J125&gt;=0,J125&lt;=1),D125/E125*1000,NA())</x:f>
        <x:v>1.0276044800000002</x:v>
      </x:c>
      <x:c r="H125" s="34" t="n">
        <x:f>G125+I125</x:f>
        <x:v>1.1417827555555558</x:v>
      </x:c>
      <x:c r="I125" s="34" t="n">
        <x:f>G125*F125*$D$98*$B$98/(1-$B$98)</x:f>
        <x:v>0.11417827555555557</x:v>
      </x:c>
      <x:c r="J125" s="59" t="n">
        <x:v>1</x:v>
      </x:c>
      <x:c r="K125" s="34" t="n">
        <x:f>I125*J125</x:f>
        <x:v>0.11417827555555557</x:v>
      </x:c>
      <x:c r="L125" s="30" t="str">
        <x:v>原通信行 86</x:v>
      </x:c>
    </x:row>
    <x:row r="126" ht="15" customHeight="1">
      <x:c r="A126" s="30" t="str">
        <x:v>LM Head TP</x:v>
      </x:c>
      <x:c r="B126" s="30" t="str">
        <x:v>LM Head</x:v>
      </x:c>
      <x:c r="C126" s="30" t="str">
        <x:v>完整 Logits</x:v>
      </x:c>
      <x:c r="D126" s="34" t="n">
        <x:f>(K87*2^20)/1e9</x:f>
        <x:v>0</x:v>
      </x:c>
      <x:c r="E126" s="64" t="n">
        <x:f>$H$98</x:f>
        <x:v>100</x:v>
      </x:c>
      <x:c r="F126" s="59" t="n">
        <x:v>1</x:v>
      </x:c>
      <x:c r="G126" s="34" t="n">
        <x:f>IF(AND(ISNUMBER(E126),E126&gt;0,ISNUMBER($B$98),$B$98&gt;=0,$B$98&lt;1,ISNUMBER($D$98),$D$98&gt;=0,$D$98&lt;=1,ISNUMBER(F126),F126&gt;=0,F126&lt;=1,ISNUMBER(J126),J126&gt;=0,J126&lt;=1),D126/E126*1000,NA())</x:f>
        <x:v>0</x:v>
      </x:c>
      <x:c r="H126" s="34" t="n">
        <x:f>G126+I126</x:f>
        <x:v>0</x:v>
      </x:c>
      <x:c r="I126" s="34" t="n">
        <x:f>G126*F126*$D$98*$B$98/(1-$B$98)</x:f>
        <x:v>0</x:v>
      </x:c>
      <x:c r="J126" s="59" t="n">
        <x:v>1</x:v>
      </x:c>
      <x:c r="K126" s="34" t="n">
        <x:f>I126*J126</x:f>
        <x:v>0</x:v>
      </x:c>
      <x:c r="L126" s="30" t="str">
        <x:v>原通信行 87</x:v>
      </x:c>
    </x:row>
    <x:row r="127" ht="15" customHeight="1">
      <x:c r="A127" s="30" t="str">
        <x:v>LM Head TP</x:v>
      </x:c>
      <x:c r="B127" s="30" t="str">
        <x:v>LM Head</x:v>
      </x:c>
      <x:c r="C127" s="30" t="str">
        <x:v>Reduce Sample</x:v>
      </x:c>
      <x:c r="D127" s="34" t="n">
        <x:f>(K88*2^20)/1e9</x:f>
        <x:v>0.001376256</x:v>
      </x:c>
      <x:c r="E127" s="64" t="n">
        <x:f>$H$98</x:f>
        <x:v>100</x:v>
      </x:c>
      <x:c r="F127" s="59" t="n">
        <x:v>1</x:v>
      </x:c>
      <x:c r="G127" s="34" t="n">
        <x:f>IF(AND(ISNUMBER(E127),E127&gt;0,ISNUMBER($B$98),$B$98&gt;=0,$B$98&lt;1,ISNUMBER($D$98),$D$98&gt;=0,$D$98&lt;=1,ISNUMBER(F127),F127&gt;=0,F127&lt;=1,ISNUMBER(J127),J127&gt;=0,J127&lt;=1),D127/E127*1000,NA())</x:f>
        <x:v>0.01376256</x:v>
      </x:c>
      <x:c r="H127" s="34" t="n">
        <x:f>G127+I127</x:f>
        <x:v>0.015291733333333333</x:v>
      </x:c>
      <x:c r="I127" s="34" t="n">
        <x:f>G127*F127*$D$98*$B$98/(1-$B$98)</x:f>
        <x:v>0.0015291733333333336</x:v>
      </x:c>
      <x:c r="J127" s="59" t="n">
        <x:v>1</x:v>
      </x:c>
      <x:c r="K127" s="34" t="n">
        <x:f>I127*J127</x:f>
        <x:v>0.0015291733333333336</x:v>
      </x:c>
      <x:c r="L127" s="30" t="str">
        <x:v>原通信行 88</x:v>
      </x:c>
    </x:row>
    <x:row r="128" ht="15" customHeight="1">
      <x:c r="A128" s="30" t="str">
        <x:v>Fine LM Head TP</x:v>
      </x:c>
      <x:c r="B128" s="30" t="str">
        <x:v>LM Head</x:v>
      </x:c>
      <x:c r="C128" s="30" t="str">
        <x:v>Hidden 输入</x:v>
      </x:c>
      <x:c r="D128" s="34" t="n">
        <x:f>(K89*2^20)/1e9</x:f>
        <x:v>0</x:v>
      </x:c>
      <x:c r="E128" s="64" t="n">
        <x:f>$H$98</x:f>
        <x:v>100</x:v>
      </x:c>
      <x:c r="F128" s="59" t="n">
        <x:v>1</x:v>
      </x:c>
      <x:c r="G128" s="34" t="n">
        <x:f>IF(AND(ISNUMBER(E128),E128&gt;0,ISNUMBER($B$98),$B$98&gt;=0,$B$98&lt;1,ISNUMBER($D$98),$D$98&gt;=0,$D$98&lt;=1,ISNUMBER(F128),F128&gt;=0,F128&lt;=1,ISNUMBER(J128),J128&gt;=0,J128&lt;=1),D128/E128*1000,NA())</x:f>
        <x:v>0</x:v>
      </x:c>
      <x:c r="H128" s="34" t="n">
        <x:f>G128+I128</x:f>
        <x:v>0</x:v>
      </x:c>
      <x:c r="I128" s="34" t="n">
        <x:f>G128*F128*$D$98*$B$98/(1-$B$98)</x:f>
        <x:v>0</x:v>
      </x:c>
      <x:c r="J128" s="59" t="n">
        <x:v>1</x:v>
      </x:c>
      <x:c r="K128" s="34" t="n">
        <x:f>I128*J128</x:f>
        <x:v>0</x:v>
      </x:c>
      <x:c r="L128" s="30" t="str">
        <x:v>原通信行 89</x:v>
      </x:c>
    </x:row>
    <x:row r="129" ht="15" customHeight="1">
      <x:c r="A129" s="30" t="str">
        <x:v>Fine LM Head TP</x:v>
      </x:c>
      <x:c r="B129" s="30" t="str">
        <x:v>LM Head</x:v>
      </x:c>
      <x:c r="C129" s="30" t="str">
        <x:v>完整 Logits</x:v>
      </x:c>
      <x:c r="D129" s="34" t="n">
        <x:f>(K90*2^20)/1e9</x:f>
        <x:v>0</x:v>
      </x:c>
      <x:c r="E129" s="64" t="n">
        <x:f>$H$98</x:f>
        <x:v>100</x:v>
      </x:c>
      <x:c r="F129" s="59" t="n">
        <x:v>1</x:v>
      </x:c>
      <x:c r="G129" s="34" t="n">
        <x:f>IF(AND(ISNUMBER(E129),E129&gt;0,ISNUMBER($B$98),$B$98&gt;=0,$B$98&lt;1,ISNUMBER($D$98),$D$98&gt;=0,$D$98&lt;=1,ISNUMBER(F129),F129&gt;=0,F129&lt;=1,ISNUMBER(J129),J129&gt;=0,J129&lt;=1),D129/E129*1000,NA())</x:f>
        <x:v>0</x:v>
      </x:c>
      <x:c r="H129" s="34" t="n">
        <x:f>G129+I129</x:f>
        <x:v>0</x:v>
      </x:c>
      <x:c r="I129" s="34" t="n">
        <x:f>G129*F129*$D$98*$B$98/(1-$B$98)</x:f>
        <x:v>0</x:v>
      </x:c>
      <x:c r="J129" s="59" t="n">
        <x:v>1</x:v>
      </x:c>
      <x:c r="K129" s="34" t="n">
        <x:f>I129*J129</x:f>
        <x:v>0</x:v>
      </x:c>
      <x:c r="L129" s="30" t="str">
        <x:v>原通信行 90</x:v>
      </x:c>
    </x:row>
    <x:row r="130" ht="15" customHeight="1">
      <x:c r="A130" s="30" t="str">
        <x:v>Fine LM Head TP</x:v>
      </x:c>
      <x:c r="B130" s="30" t="str">
        <x:v>LM Head</x:v>
      </x:c>
      <x:c r="C130" s="30" t="str">
        <x:v>Reduce Sample</x:v>
      </x:c>
      <x:c r="D130" s="34" t="n">
        <x:f>(K91*2^20)/1e9</x:f>
        <x:v>0</x:v>
      </x:c>
      <x:c r="E130" s="64" t="n">
        <x:f>$H$98</x:f>
        <x:v>100</x:v>
      </x:c>
      <x:c r="F130" s="59" t="n">
        <x:v>1</x:v>
      </x:c>
      <x:c r="G130" s="34" t="n">
        <x:f>IF(AND(ISNUMBER(E130),E130&gt;0,ISNUMBER($B$98),$B$98&gt;=0,$B$98&lt;1,ISNUMBER($D$98),$D$98&gt;=0,$D$98&lt;=1,ISNUMBER(F130),F130&gt;=0,F130&lt;=1,ISNUMBER(J130),J130&gt;=0,J130&lt;=1),D130/E130*1000,NA())</x:f>
        <x:v>0</x:v>
      </x:c>
      <x:c r="H130" s="34" t="n">
        <x:f>G130+I130</x:f>
        <x:v>0</x:v>
      </x:c>
      <x:c r="I130" s="34" t="n">
        <x:f>G130*F130*$D$98*$B$98/(1-$B$98)</x:f>
        <x:v>0</x:v>
      </x:c>
      <x:c r="J130" s="59" t="n">
        <x:v>1</x:v>
      </x:c>
      <x:c r="K130" s="34" t="n">
        <x:f>I130*J130</x:f>
        <x:v>0</x:v>
      </x:c>
      <x:c r="L130" s="30" t="str">
        <x:v>原通信行 91</x:v>
      </x:c>
    </x:row>
    <x:row r="131" ht="15" customHeight="1">
      <x:c r="A131" s="30" t="str">
        <x:v>EP</x:v>
      </x:c>
      <x:c r="B131" s="30" t="str">
        <x:v>MoE 计数</x:v>
      </x:c>
      <x:c r="C131" s="30" t="str">
        <x:v>直方图 Ring AG</x:v>
      </x:c>
      <x:c r="D131" s="34" t="n">
        <x:f>(IF(E74=0,0,H74*ROUNDUP(896/G74,0)*G74*4*(G74-1)))/1e9</x:f>
        <x:v>0.002308096</x:v>
      </x:c>
      <x:c r="E131" s="64" t="n">
        <x:f>$H$98</x:f>
        <x:v>100</x:v>
      </x:c>
      <x:c r="F131" s="59" t="n">
        <x:v>1</x:v>
      </x:c>
      <x:c r="G131" s="34" t="n">
        <x:f>IF(AND(ISNUMBER(E131),E131&gt;0,ISNUMBER($B$98),$B$98&gt;=0,$B$98&lt;1,ISNUMBER($D$98),$D$98&gt;=0,$D$98&lt;=1,ISNUMBER(F131),F131&gt;=0,F131&lt;=1,ISNUMBER(J131),J131&gt;=0,J131&lt;=1),D131/E131*1000,NA())</x:f>
        <x:v>0.023080959999999998</x:v>
      </x:c>
      <x:c r="H131" s="34" t="n">
        <x:f>G131+I131</x:f>
        <x:v>0.02564551111111111</x:v>
      </x:c>
      <x:c r="I131" s="34" t="n">
        <x:f>G131*F131*$D$98*$B$98/(1-$B$98)</x:f>
        <x:v>0.002564551111111111</x:v>
      </x:c>
      <x:c r="J131" s="59" t="n">
        <x:v>1</x:v>
      </x:c>
      <x:c r="K131" s="34" t="n">
        <x:f>I131*J131</x:f>
        <x:v>0.002564551111111111</x:v>
      </x:c>
      <x:c r="L131" s="30" t="str">
        <x:v>额外控制量</x:v>
      </x:c>
    </x:row>
    <x:row r="132" ht="15" customHeight="1">
      <x:c r="A132" s="40" t="str">
        <x:v>所列事件串行相加</x:v>
      </x:c>
      <x:c r="B132" s="40"/>
      <x:c r="C132" s="40"/>
      <x:c r="D132" s="41" t="n">
        <x:f>SUM(D104:D131)</x:f>
        <x:v>76.17486643199999</x:v>
      </x:c>
      <x:c r="E132" s="40"/>
      <x:c r="F132" s="40"/>
      <x:c r="G132" s="41" t="n">
        <x:f>SUM(G104:G131)</x:f>
        <x:v>761.74866432</x:v>
      </x:c>
      <x:c r="H132" s="41" t="n">
        <x:f>SUM(H104:H131)</x:f>
        <x:v>846.3874048</x:v>
      </x:c>
      <x:c r="I132" s="41" t="n">
        <x:f>SUM(I104:I131)</x:f>
        <x:v>84.63874048000001</x:v>
      </x:c>
      <x:c r="J132" s="40"/>
      <x:c r="K132" s="41" t="n">
        <x:f>SUM(K104:K131)</x:f>
        <x:v>84.63874048000001</x:v>
      </x:c>
      <x:c r="L132" s="40"/>
    </x:row>
  </x:sheetData>
  <x:conditionalFormatting sqref="L100:L100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[163840, 7168]</x:v>
      </x:c>
      <x:c r="D2" s="30" t="str">
        <x:v>BF16</x:v>
      </x:c>
      <x:c r="E2" s="32" t="n">
        <x:v>2</x:v>
      </x:c>
      <x:c r="F2" s="33" t="n">
        <x:v>1</x:v>
      </x:c>
      <x:c r="G2" s="33" t="n">
        <x:v>1174405120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2.1875</x:v>
      </x:c>
      <x:c r="K2" s="34" t="n">
        <x:f>J2/I2</x:f>
        <x:v>0.2734375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[163840, 7168]</x:v>
      </x:c>
      <x:c r="D3" s="30" t="str">
        <x:v>BF16</x:v>
      </x:c>
      <x:c r="E3" s="32" t="n">
        <x:v>2</x:v>
      </x:c>
      <x:c r="F3" s="33" t="n">
        <x:v>1</x:v>
      </x:c>
      <x:c r="G3" s="33" t="n">
        <x:v>1174405120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2.1875</x:v>
      </x:c>
      <x:c r="K3" s="34" t="n">
        <x:f>J3/I3</x:f>
        <x:v>0.2734375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93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0.0012416839599609375</x:v>
      </x:c>
      <x:c r="K5" s="34" t="n">
        <x:f>J5/I5</x:f>
        <x:v>0.0012416839599609375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93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0.0012416839599609375</x:v>
      </x:c>
      <x:c r="K6" s="34" t="n">
        <x:f>J6/I6</x:f>
        <x:v>0.0012416839599609375</x:v>
      </x:c>
      <x:c r="L6" s="30"/>
      <x:c r="M6" s="30"/>
      <x:c r="N6" s="30"/>
      <x:c r="O6" s="35" t="str">
        <x:v>投机采样步数</x:v>
      </x:c>
      <x:c r="P6" s="36" t="n">
        <x:v>7</x:v>
      </x:c>
    </x:row>
    <x:row r="7">
      <x:c r="A7" s="30" t="str">
        <x:v>Backbone</x:v>
      </x:c>
      <x:c r="B7" s="30" t="str">
        <x:v>self_attention_res_norm.weight</x:v>
      </x:c>
      <x:c r="C7" s="30" t="str">
        <x:v>[7168]</x:v>
      </x:c>
      <x:c r="D7" s="30" t="str">
        <x:v>BF16</x:v>
      </x:c>
      <x:c r="E7" s="32" t="n">
        <x:v>2</x:v>
      </x:c>
      <x:c r="F7" s="33" t="n">
        <x:v>93</x:v>
      </x:c>
      <x:c r="G7" s="33" t="n">
        <x:v>7168</x:v>
      </x:c>
      <x:c r="H7" s="33" t="str">
        <x:v>Replicated</x:v>
      </x:c>
      <x:c r="I7" s="33" t="n">
        <x:f>1</x:f>
        <x:v>1</x:v>
      </x:c>
      <x:c r="J7" s="34" t="n">
        <x:f>E7*F7*G7/1073741824</x:f>
        <x:v>0.0012416839599609375</x:v>
      </x:c>
      <x:c r="K7" s="34" t="n">
        <x:f>J7/I7</x:f>
        <x:v>0.0012416839599609375</x:v>
      </x:c>
      <x:c r="L7" s="30"/>
      <x:c r="M7" s="30"/>
      <x:c r="N7" s="30"/>
      <x:c r="O7" s="35" t="str">
        <x:v>当前 Step Token 数</x:v>
      </x:c>
      <x:c r="P7" s="37" t="n">
        <x:f>MIN($P$2,$P$3*($P$6+1))</x:f>
        <x:v>1024</x:v>
      </x:c>
    </x:row>
    <x:row r="8">
      <x:c r="A8" s="30" t="str">
        <x:v>Backbone</x:v>
      </x:c>
      <x:c r="B8" s="30" t="str">
        <x:v>self_attention_res_proj.weight</x:v>
      </x:c>
      <x:c r="C8" s="30" t="str">
        <x:v>[1, 7168]</x:v>
      </x:c>
      <x:c r="D8" s="30" t="str">
        <x:v>BF16</x:v>
      </x:c>
      <x:c r="E8" s="32" t="n">
        <x:v>2</x:v>
      </x:c>
      <x:c r="F8" s="33" t="n">
        <x:v>93</x:v>
      </x:c>
      <x:c r="G8" s="33" t="n">
        <x:v>7168</x:v>
      </x:c>
      <x:c r="H8" s="33" t="str">
        <x:v>Replicated</x:v>
      </x:c>
      <x:c r="I8" s="33" t="n">
        <x:f>1</x:f>
        <x:v>1</x:v>
      </x:c>
      <x:c r="J8" s="34" t="n">
        <x:f>E8*F8*G8/1073741824</x:f>
        <x:v>0.0012416839599609375</x:v>
      </x:c>
      <x:c r="K8" s="34" t="n">
        <x:f>J8/I8</x:f>
        <x:v>0.0012416839599609375</x:v>
      </x:c>
      <x:c r="L8" s="30"/>
      <x:c r="M8" s="30"/>
      <x:c r="N8" s="30"/>
      <x:c r="O8" s="35" t="str">
        <x:v>本 Step 采样行数</x:v>
      </x:c>
      <x:c r="P8" s="37" t="n">
        <x:f>MIN($P$7,$P$3*($P$6+1))</x:f>
        <x:v>1024</x:v>
      </x:c>
    </x:row>
    <x:row r="9">
      <x:c r="A9" s="30" t="str">
        <x:v>Backbone</x:v>
      </x:c>
      <x:c r="B9" s="30" t="str">
        <x:v>mlp_res_norm.weight</x:v>
      </x:c>
      <x:c r="C9" s="30" t="str">
        <x:v>[7168]</x:v>
      </x:c>
      <x:c r="D9" s="30" t="str">
        <x:v>BF16</x:v>
      </x:c>
      <x:c r="E9" s="32" t="n">
        <x:v>2</x:v>
      </x:c>
      <x:c r="F9" s="33" t="n">
        <x:v>93</x:v>
      </x:c>
      <x:c r="G9" s="33" t="n">
        <x:v>7168</x:v>
      </x:c>
      <x:c r="H9" s="33" t="str">
        <x:v>Replicated</x:v>
      </x:c>
      <x:c r="I9" s="33" t="n">
        <x:f>1</x:f>
        <x:v>1</x:v>
      </x:c>
      <x:c r="J9" s="34" t="n">
        <x:f>E9*F9*G9/1073741824</x:f>
        <x:v>0.0012416839599609375</x:v>
      </x:c>
      <x:c r="K9" s="34" t="n">
        <x:f>J9/I9</x:f>
        <x:v>0.0012416839599609375</x:v>
      </x:c>
      <x:c r="L9" s="30"/>
      <x:c r="M9" s="30"/>
      <x:c r="N9" s="30"/>
      <x:c r="O9" s="30"/>
      <x:c r="P9" s="30"/>
    </x:row>
    <x:row r="10">
      <x:c r="A10" s="30" t="str">
        <x:v>Backbone</x:v>
      </x:c>
      <x:c r="B10" s="30" t="str">
        <x:v>mlp_res_proj.weight</x:v>
      </x:c>
      <x:c r="C10" s="30" t="str">
        <x:v>[1, 7168]</x:v>
      </x:c>
      <x:c r="D10" s="30" t="str">
        <x:v>BF16</x:v>
      </x:c>
      <x:c r="E10" s="32" t="n">
        <x:v>2</x:v>
      </x:c>
      <x:c r="F10" s="33" t="n">
        <x:v>93</x:v>
      </x:c>
      <x:c r="G10" s="33" t="n">
        <x:v>7168</x:v>
      </x:c>
      <x:c r="H10" s="33" t="str">
        <x:v>Replicated</x:v>
      </x:c>
      <x:c r="I10" s="33" t="n">
        <x:f>1</x:f>
        <x:v>1</x:v>
      </x:c>
      <x:c r="J10" s="34" t="n">
        <x:f>E10*F10*G10/1073741824</x:f>
        <x:v>0.0012416839599609375</x:v>
      </x:c>
      <x:c r="K10" s="34" t="n">
        <x:f>J10/I10</x:f>
        <x:v>0.0012416839599609375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Backbone</x:v>
      </x:c>
      <x:c r="B11" s="30" t="str">
        <x:v>output_attn_res_norm.weight</x:v>
      </x:c>
      <x:c r="C11" s="30" t="str">
        <x:v>[7168]</x:v>
      </x:c>
      <x:c r="D11" s="30" t="str">
        <x:v>BF16</x:v>
      </x:c>
      <x:c r="E11" s="32" t="n">
        <x:v>2</x:v>
      </x:c>
      <x:c r="F11" s="33" t="n">
        <x:v>1</x:v>
      </x:c>
      <x:c r="G11" s="33" t="n">
        <x:v>7168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0.0000133514404296875</x:v>
      </x:c>
      <x:c r="K11" s="34" t="n">
        <x:f>J11/I11</x:f>
        <x:v>0.0000133514404296875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Backbone</x:v>
      </x:c>
      <x:c r="B12" s="30" t="str">
        <x:v>output_attn_res_proj.weight</x:v>
      </x:c>
      <x:c r="C12" s="30" t="str">
        <x:v>[1, 7168]</x:v>
      </x:c>
      <x:c r="D12" s="30" t="str">
        <x:v>BF16</x:v>
      </x:c>
      <x:c r="E12" s="32" t="n">
        <x:v>2</x:v>
      </x:c>
      <x:c r="F12" s="33" t="n">
        <x:v>1</x:v>
      </x:c>
      <x:c r="G12" s="33" t="n">
        <x:v>7168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0.0000133514404296875</x:v>
      </x:c>
      <x:c r="K12" s="34" t="n">
        <x:f>J12/I12</x:f>
        <x:v>0.0000133514404296875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Dense MLP</x:v>
      </x:c>
      <x:c r="B13" s="30" t="str">
        <x:v>mlp.gate_proj.weight</x:v>
      </x:c>
      <x:c r="C13" s="30" t="str">
        <x:v>[33792, 7168]</x:v>
      </x:c>
      <x:c r="D13" s="30" t="str">
        <x:v>BF16</x:v>
      </x:c>
      <x:c r="E13" s="32" t="n">
        <x:v>2</x:v>
      </x:c>
      <x:c r="F13" s="33" t="n">
        <x:v>1</x:v>
      </x:c>
      <x:c r="G13" s="33" t="n">
        <x:v>242221056</x:v>
      </x:c>
      <x:c r="H13" s="33" t="str">
        <x:v>TP</x:v>
      </x:c>
      <x:c r="I13" s="33" t="n">
        <x:f>'Decode'!$P$12</x:f>
        <x:v>8</x:v>
      </x:c>
      <x:c r="J13" s="34" t="n">
        <x:f>E13*F13*G13/1073741824</x:f>
        <x:v>0.451171875</x:v>
      </x:c>
      <x:c r="K13" s="34" t="n">
        <x:f>J13/I13</x:f>
        <x:v>0.056396484375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Dense MLP</x:v>
      </x:c>
      <x:c r="B14" s="30" t="str">
        <x:v>mlp.up_proj.weight</x:v>
      </x:c>
      <x:c r="C14" s="30" t="str">
        <x:v>[33792, 7168]</x:v>
      </x:c>
      <x:c r="D14" s="30" t="str">
        <x:v>BF16</x:v>
      </x:c>
      <x:c r="E14" s="32" t="n">
        <x:v>2</x:v>
      </x:c>
      <x:c r="F14" s="33" t="n">
        <x:v>1</x:v>
      </x:c>
      <x:c r="G14" s="33" t="n">
        <x:v>242221056</x:v>
      </x:c>
      <x:c r="H14" s="33" t="str">
        <x:v>TP</x:v>
      </x:c>
      <x:c r="I14" s="33" t="n">
        <x:f>'Decode'!$P$12</x:f>
        <x:v>8</x:v>
      </x:c>
      <x:c r="J14" s="34" t="n">
        <x:f>E14*F14*G14/1073741824</x:f>
        <x:v>0.451171875</x:v>
      </x:c>
      <x:c r="K14" s="34" t="n">
        <x:f>J14/I14</x:f>
        <x:v>0.056396484375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Dense MLP</x:v>
      </x:c>
      <x:c r="B15" s="30" t="str">
        <x:v>mlp.down_proj.weight</x:v>
      </x:c>
      <x:c r="C15" s="30" t="str">
        <x:v>[7168, 33792]</x:v>
      </x:c>
      <x:c r="D15" s="30" t="str">
        <x:v>BF16</x:v>
      </x:c>
      <x:c r="E15" s="32" t="n">
        <x:v>2</x:v>
      </x:c>
      <x:c r="F15" s="33" t="n">
        <x:v>1</x:v>
      </x:c>
      <x:c r="G15" s="33" t="n">
        <x:v>242221056</x:v>
      </x:c>
      <x:c r="H15" s="33" t="str">
        <x:v>TP</x:v>
      </x:c>
      <x:c r="I15" s="33" t="n">
        <x:f>'Decode'!$P$12</x:f>
        <x:v>8</x:v>
      </x:c>
      <x:c r="J15" s="34" t="n">
        <x:f>E15*F15*G15/1073741824</x:f>
        <x:v>0.451171875</x:v>
      </x:c>
      <x:c r="K15" s="34" t="n">
        <x:f>J15/I15</x:f>
        <x:v>0.056396484375</x:v>
      </x:c>
      <x:c r="L15" s="30"/>
      <x:c r="M15" s="30"/>
      <x:c r="N15" s="30"/>
      <x:c r="O15" s="35"/>
      <x:c r="P15" s="35"/>
    </x:row>
    <x:row r="16">
      <x:c r="A16" s="30" t="str">
        <x:v>MoE Router</x:v>
      </x:c>
      <x:c r="B16" s="30" t="str">
        <x:v>block_sparse_moe.gate.weight</x:v>
      </x:c>
      <x:c r="C16" s="30" t="str">
        <x:v>[896, 7168]</x:v>
      </x:c>
      <x:c r="D16" s="30" t="str">
        <x:v>BF16</x:v>
      </x:c>
      <x:c r="E16" s="32" t="n">
        <x:v>2</x:v>
      </x:c>
      <x:c r="F16" s="33" t="n">
        <x:v>92</x:v>
      </x:c>
      <x:c r="G16" s="33" t="n">
        <x:v>6422528</x:v>
      </x:c>
      <x:c r="H16" s="33" t="str">
        <x:v>Replicated</x:v>
      </x:c>
      <x:c r="I16" s="33" t="n">
        <x:f>1</x:f>
        <x:v>1</x:v>
      </x:c>
      <x:c r="J16" s="34" t="n">
        <x:f>E16*F16*G16/1073741824</x:f>
        <x:v>1.1005859375</x:v>
      </x:c>
      <x:c r="K16" s="34" t="n">
        <x:f>J16/I16</x:f>
        <x:v>1.1005859375</x:v>
      </x:c>
      <x:c r="L16" s="30"/>
      <x:c r="M16" s="30"/>
      <x:c r="N16" s="30"/>
      <x:c r="O16" s="35" t="str">
        <x:v>DCP（1 表示关闭）</x:v>
      </x:c>
      <x:c r="P16" s="36" t="n">
        <x:v>1</x:v>
      </x:c>
    </x:row>
    <x:row r="17">
      <x:c r="A17" s="30" t="str">
        <x:v>MoE Router</x:v>
      </x:c>
      <x:c r="B17" s="30" t="str">
        <x:v>block_sparse_moe.gate.e_score_correction_bias</x:v>
      </x:c>
      <x:c r="C17" s="30" t="str">
        <x:v>[896]</x:v>
      </x:c>
      <x:c r="D17" s="30" t="str">
        <x:v>F32</x:v>
      </x:c>
      <x:c r="E17" s="32" t="n">
        <x:v>4</x:v>
      </x:c>
      <x:c r="F17" s="33" t="n">
        <x:v>92</x:v>
      </x:c>
      <x:c r="G17" s="33" t="n">
        <x:v>896</x:v>
      </x:c>
      <x:c r="H17" s="33" t="str">
        <x:v>Replicated</x:v>
      </x:c>
      <x:c r="I17" s="33" t="n">
        <x:f>1</x:f>
        <x:v>1</x:v>
      </x:c>
      <x:c r="J17" s="34" t="n">
        <x:f>E17*F17*G17/1073741824</x:f>
        <x:v>0.0003070831298828125</x:v>
      </x:c>
      <x:c r="K17" s="34" t="n">
        <x:f>J17/I17</x:f>
        <x:v>0.0003070831298828125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Latent MoE</x:v>
      </x:c>
      <x:c r="B18" s="30" t="str">
        <x:v>routed_expert_up_proj.weight</x:v>
      </x:c>
      <x:c r="C18" s="30" t="str">
        <x:v>[7168, 3584]</x:v>
      </x:c>
      <x:c r="D18" s="30" t="str">
        <x:v>BF16</x:v>
      </x:c>
      <x:c r="E18" s="32" t="n">
        <x:v>2</x:v>
      </x:c>
      <x:c r="F18" s="33" t="n">
        <x:v>92</x:v>
      </x:c>
      <x:c r="G18" s="33" t="n">
        <x:v>25690112</x:v>
      </x:c>
      <x:c r="H18" s="33" t="str">
        <x:v>Replicated</x:v>
      </x:c>
      <x:c r="I18" s="33" t="n">
        <x:f>1</x:f>
        <x:v>1</x:v>
      </x:c>
      <x:c r="J18" s="34" t="n">
        <x:f>E18*F18*G18/1073741824</x:f>
        <x:v>4.40234375</x:v>
      </x:c>
      <x:c r="K18" s="34" t="n">
        <x:f>J18/I18</x:f>
        <x:v>4.40234375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Latent MoE</x:v>
      </x:c>
      <x:c r="B19" s="30" t="str">
        <x:v>routed_expert_norm.weight</x:v>
      </x:c>
      <x:c r="C19" s="30" t="str">
        <x:v>[3584]</x:v>
      </x:c>
      <x:c r="D19" s="30" t="str">
        <x:v>BF16</x:v>
      </x:c>
      <x:c r="E19" s="32" t="n">
        <x:v>2</x:v>
      </x:c>
      <x:c r="F19" s="33" t="n">
        <x:v>92</x:v>
      </x:c>
      <x:c r="G19" s="33" t="n">
        <x:v>3584</x:v>
      </x:c>
      <x:c r="H19" s="33" t="str">
        <x:v>Replicated</x:v>
      </x:c>
      <x:c r="I19" s="33" t="n">
        <x:f>1</x:f>
        <x:v>1</x:v>
      </x:c>
      <x:c r="J19" s="34" t="n">
        <x:f>E19*F19*G19/1073741824</x:f>
        <x:v>0.000614166259765625</x:v>
      </x:c>
      <x:c r="K19" s="34" t="n">
        <x:f>J19/I19</x:f>
        <x:v>0.000614166259765625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Latent MoE</x:v>
      </x:c>
      <x:c r="B20" s="30" t="str">
        <x:v>routed_expert_down_proj.weight</x:v>
      </x:c>
      <x:c r="C20" s="30" t="str">
        <x:v>[3584, 7168]</x:v>
      </x:c>
      <x:c r="D20" s="30" t="str">
        <x:v>BF16</x:v>
      </x:c>
      <x:c r="E20" s="32" t="n">
        <x:v>2</x:v>
      </x:c>
      <x:c r="F20" s="33" t="n">
        <x:v>92</x:v>
      </x:c>
      <x:c r="G20" s="33" t="n">
        <x:v>25690112</x:v>
      </x:c>
      <x:c r="H20" s="33" t="str">
        <x:v>Replicated</x:v>
      </x:c>
      <x:c r="I20" s="33" t="n">
        <x:f>1</x:f>
        <x:v>1</x:v>
      </x:c>
      <x:c r="J20" s="34" t="n">
        <x:f>E20*F20*G20/1073741824</x:f>
        <x:v>4.40234375</x:v>
      </x:c>
      <x:c r="K20" s="34" t="n">
        <x:f>J20/I20</x:f>
        <x:v>4.40234375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Routed Experts</x:v>
      </x:c>
      <x:c r="B21" s="30" t="str">
        <x:v>experts.w1.weight</x:v>
      </x:c>
      <x:c r="C21" s="30" t="str">
        <x:v>[3072, 3584]</x:v>
      </x:c>
      <x:c r="D21" s="30" t="str">
        <x:v>FP4</x:v>
      </x:c>
      <x:c r="E21" s="32" t="n">
        <x:v>0.5</x:v>
      </x:c>
      <x:c r="F21" s="33" t="n">
        <x:v>82432</x:v>
      </x:c>
      <x:c r="G21" s="33" t="n">
        <x:v>11010048</x:v>
      </x:c>
      <x:c r="H21" s="33" t="str">
        <x:v>EP</x:v>
      </x:c>
      <x:c r="I21" s="33" t="n">
        <x:f>'Decode'!$P$14</x:f>
        <x:v>8</x:v>
      </x:c>
      <x:c r="J21" s="34" t="n">
        <x:f>E21*F21*G21/1073741824</x:f>
        <x:v>422.625</x:v>
      </x:c>
      <x:c r="K21" s="34" t="n">
        <x:f>J21/I21</x:f>
        <x:v>52.828125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Routed Experts</x:v>
      </x:c>
      <x:c r="B22" s="30" t="str">
        <x:v>experts.w1.weight_scale</x:v>
      </x:c>
      <x:c r="C22" s="30" t="str">
        <x:v>[3072, 112]</x:v>
      </x:c>
      <x:c r="D22" s="30" t="str">
        <x:v>E8M0</x:v>
      </x:c>
      <x:c r="E22" s="32" t="n">
        <x:v>1</x:v>
      </x:c>
      <x:c r="F22" s="33" t="n">
        <x:v>82432</x:v>
      </x:c>
      <x:c r="G22" s="33" t="n">
        <x:v>344064</x:v>
      </x:c>
      <x:c r="H22" s="33" t="str">
        <x:v>EP</x:v>
      </x:c>
      <x:c r="I22" s="33" t="n">
        <x:f>'Decode'!$P$14</x:f>
        <x:v>8</x:v>
      </x:c>
      <x:c r="J22" s="34" t="n">
        <x:f>E22*F22*G22/1073741824</x:f>
        <x:v>26.4140625</x:v>
      </x:c>
      <x:c r="K22" s="34" t="n">
        <x:f>J22/I22</x:f>
        <x:v>3.3017578125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Routed Experts</x:v>
      </x:c>
      <x:c r="B23" s="30" t="str">
        <x:v>experts.w3.weight</x:v>
      </x:c>
      <x:c r="C23" s="30" t="str">
        <x:v>[3072, 3584]</x:v>
      </x:c>
      <x:c r="D23" s="30" t="str">
        <x:v>FP4</x:v>
      </x:c>
      <x:c r="E23" s="32" t="n">
        <x:v>0.5</x:v>
      </x:c>
      <x:c r="F23" s="33" t="n">
        <x:v>82432</x:v>
      </x:c>
      <x:c r="G23" s="33" t="n">
        <x:v>11010048</x:v>
      </x:c>
      <x:c r="H23" s="33" t="str">
        <x:v>EP</x:v>
      </x:c>
      <x:c r="I23" s="33" t="n">
        <x:f>'Decode'!$P$14</x:f>
        <x:v>8</x:v>
      </x:c>
      <x:c r="J23" s="34" t="n">
        <x:f>E23*F23*G23/1073741824</x:f>
        <x:v>422.625</x:v>
      </x:c>
      <x:c r="K23" s="34" t="n">
        <x:f>J23/I23</x:f>
        <x:v>52.828125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experts.w3.weight_scale</x:v>
      </x:c>
      <x:c r="C24" s="30" t="str">
        <x:v>[3072, 112]</x:v>
      </x:c>
      <x:c r="D24" s="30" t="str">
        <x:v>E8M0</x:v>
      </x:c>
      <x:c r="E24" s="32" t="n">
        <x:v>1</x:v>
      </x:c>
      <x:c r="F24" s="33" t="n">
        <x:v>82432</x:v>
      </x:c>
      <x:c r="G24" s="33" t="n">
        <x:v>344064</x:v>
      </x:c>
      <x:c r="H24" s="33" t="str">
        <x:v>EP</x:v>
      </x:c>
      <x:c r="I24" s="33" t="n">
        <x:f>'Decode'!$P$14</x:f>
        <x:v>8</x:v>
      </x:c>
      <x:c r="J24" s="34" t="n">
        <x:f>E24*F24*G24/1073741824</x:f>
        <x:v>26.4140625</x:v>
      </x:c>
      <x:c r="K24" s="34" t="n">
        <x:f>J24/I24</x:f>
        <x:v>3.3017578125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experts.w2.weight</x:v>
      </x:c>
      <x:c r="C25" s="30" t="str">
        <x:v>[3584, 3072]</x:v>
      </x:c>
      <x:c r="D25" s="30" t="str">
        <x:v>FP4</x:v>
      </x:c>
      <x:c r="E25" s="32" t="n">
        <x:v>0.5</x:v>
      </x:c>
      <x:c r="F25" s="33" t="n">
        <x:v>82432</x:v>
      </x:c>
      <x:c r="G25" s="33" t="n">
        <x:v>11010048</x:v>
      </x:c>
      <x:c r="H25" s="33" t="str">
        <x:v>EP</x:v>
      </x:c>
      <x:c r="I25" s="33" t="n">
        <x:f>'Decode'!$P$14</x:f>
        <x:v>8</x:v>
      </x:c>
      <x:c r="J25" s="34" t="n">
        <x:f>E25*F25*G25/1073741824</x:f>
        <x:v>422.625</x:v>
      </x:c>
      <x:c r="K25" s="34" t="n">
        <x:f>J25/I25</x:f>
        <x:v>52.828125</x:v>
      </x:c>
      <x:c r="L25" s="30"/>
      <x:c r="M25" s="30"/>
      <x:c r="N25" s="30"/>
      <x:c r="O25" s="30"/>
      <x:c r="P25" s="30"/>
    </x:row>
    <x:row r="26">
      <x:c r="A26" s="30" t="str">
        <x:v>Routed Experts</x:v>
      </x:c>
      <x:c r="B26" s="30" t="str">
        <x:v>experts.w2.weight_scale</x:v>
      </x:c>
      <x:c r="C26" s="30" t="str">
        <x:v>[3584, 96]</x:v>
      </x:c>
      <x:c r="D26" s="30" t="str">
        <x:v>E8M0</x:v>
      </x:c>
      <x:c r="E26" s="32" t="n">
        <x:v>1</x:v>
      </x:c>
      <x:c r="F26" s="33" t="n">
        <x:v>82432</x:v>
      </x:c>
      <x:c r="G26" s="33" t="n">
        <x:v>344064</x:v>
      </x:c>
      <x:c r="H26" s="33" t="str">
        <x:v>EP</x:v>
      </x:c>
      <x:c r="I26" s="33" t="n">
        <x:f>'Decode'!$P$14</x:f>
        <x:v>8</x:v>
      </x:c>
      <x:c r="J26" s="34" t="n">
        <x:f>E26*F26*G26/1073741824</x:f>
        <x:v>26.4140625</x:v>
      </x:c>
      <x:c r="K26" s="34" t="n">
        <x:f>J26/I26</x:f>
        <x:v>3.3017578125</x:v>
      </x:c>
      <x:c r="L26" s="30"/>
      <x:c r="M26" s="30"/>
      <x:c r="N26" s="30"/>
      <x:c r="O26" s="30"/>
      <x:c r="P26" s="30"/>
    </x:row>
    <x:row r="27">
      <x:c r="A27" s="30" t="str">
        <x:v>Shared Experts</x:v>
      </x:c>
      <x:c r="B27" s="30" t="str">
        <x:v>shared_experts.gate_proj.weight</x:v>
      </x:c>
      <x:c r="C27" s="30" t="str">
        <x:v>[6144, 7168]</x:v>
      </x:c>
      <x:c r="D27" s="30" t="str">
        <x:v>BF16</x:v>
      </x:c>
      <x:c r="E27" s="32" t="n">
        <x:v>2</x:v>
      </x:c>
      <x:c r="F27" s="33" t="n">
        <x:v>92</x:v>
      </x:c>
      <x:c r="G27" s="33" t="n">
        <x:v>44040192</x:v>
      </x:c>
      <x:c r="H27" s="33" t="str">
        <x:v>共享专家 TP/DP</x:v>
      </x:c>
      <x:c r="I27" s="33" t="n">
        <x:f>IF('Decode'!$P$17="TP",'Decode'!$P$18,1)</x:f>
        <x:v>8</x:v>
      </x:c>
      <x:c r="J27" s="34" t="n">
        <x:f>E27*F27*G27/1073741824</x:f>
        <x:v>7.546875</x:v>
      </x:c>
      <x:c r="K27" s="34" t="n">
        <x:f>J27/I27</x:f>
        <x:v>0.943359375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Experts</x:v>
      </x:c>
      <x:c r="B28" s="30" t="str">
        <x:v>shared_experts.up_proj.weight</x:v>
      </x:c>
      <x:c r="C28" s="30" t="str">
        <x:v>[6144, 7168]</x:v>
      </x:c>
      <x:c r="D28" s="30" t="str">
        <x:v>BF16</x:v>
      </x:c>
      <x:c r="E28" s="32" t="n">
        <x:v>2</x:v>
      </x:c>
      <x:c r="F28" s="33" t="n">
        <x:v>92</x:v>
      </x:c>
      <x:c r="G28" s="33" t="n">
        <x:v>44040192</x:v>
      </x:c>
      <x:c r="H28" s="33" t="str">
        <x:v>共享专家 TP/DP</x:v>
      </x:c>
      <x:c r="I28" s="33" t="n">
        <x:f>IF('Decode'!$P$17="TP",'Decode'!$P$18,1)</x:f>
        <x:v>8</x:v>
      </x:c>
      <x:c r="J28" s="34" t="n">
        <x:f>E28*F28*G28/1073741824</x:f>
        <x:v>7.546875</x:v>
      </x:c>
      <x:c r="K28" s="34" t="n">
        <x:f>J28/I28</x:f>
        <x:v>0.943359375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Shared Experts</x:v>
      </x:c>
      <x:c r="B29" s="30" t="str">
        <x:v>shared_experts.down_proj.weight</x:v>
      </x:c>
      <x:c r="C29" s="30" t="str">
        <x:v>[7168, 6144]</x:v>
      </x:c>
      <x:c r="D29" s="30" t="str">
        <x:v>BF16</x:v>
      </x:c>
      <x:c r="E29" s="32" t="n">
        <x:v>2</x:v>
      </x:c>
      <x:c r="F29" s="33" t="n">
        <x:v>92</x:v>
      </x:c>
      <x:c r="G29" s="33" t="n">
        <x:v>44040192</x:v>
      </x:c>
      <x:c r="H29" s="33" t="str">
        <x:v>共享专家 TP/DP</x:v>
      </x:c>
      <x:c r="I29" s="33" t="n">
        <x:f>IF('Decode'!$P$17="TP",'Decode'!$P$18,1)</x:f>
        <x:v>8</x:v>
      </x:c>
      <x:c r="J29" s="34" t="n">
        <x:f>E29*F29*G29/1073741824</x:f>
        <x:v>7.546875</x:v>
      </x:c>
      <x:c r="K29" s="34" t="n">
        <x:f>J29/I29</x:f>
        <x:v>0.943359375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KDA</x:v>
      </x:c>
      <x:c r="B30" s="30" t="str">
        <x:v>q_proj.weight</x:v>
      </x:c>
      <x:c r="C30" s="30" t="str">
        <x:v>[12288, 7168]</x:v>
      </x:c>
      <x:c r="D30" s="30" t="str">
        <x:v>BF16</x:v>
      </x:c>
      <x:c r="E30" s="32" t="n">
        <x:v>2</x:v>
      </x:c>
      <x:c r="F30" s="33" t="n">
        <x:v>69</x:v>
      </x:c>
      <x:c r="G30" s="33" t="n">
        <x:v>88080384</x:v>
      </x:c>
      <x:c r="H30" s="33" t="str">
        <x:v>TP</x:v>
      </x:c>
      <x:c r="I30" s="33" t="n">
        <x:f>'Decode'!$P$12</x:f>
        <x:v>8</x:v>
      </x:c>
      <x:c r="J30" s="34" t="n">
        <x:f>E30*F30*G30/1073741824</x:f>
        <x:v>11.3203125</x:v>
      </x:c>
      <x:c r="K30" s="34" t="n">
        <x:f>J30/I30</x:f>
        <x:v>1.4150390625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KDA</x:v>
      </x:c>
      <x:c r="B31" s="30" t="str">
        <x:v>k_proj.weight</x:v>
      </x:c>
      <x:c r="C31" s="30" t="str">
        <x:v>[12288, 7168]</x:v>
      </x:c>
      <x:c r="D31" s="30" t="str">
        <x:v>BF16</x:v>
      </x:c>
      <x:c r="E31" s="32" t="n">
        <x:v>2</x:v>
      </x:c>
      <x:c r="F31" s="33" t="n">
        <x:v>69</x:v>
      </x:c>
      <x:c r="G31" s="33" t="n">
        <x:v>88080384</x:v>
      </x:c>
      <x:c r="H31" s="33" t="str">
        <x:v>TP</x:v>
      </x:c>
      <x:c r="I31" s="33" t="n">
        <x:f>'Decode'!$P$12</x:f>
        <x:v>8</x:v>
      </x:c>
      <x:c r="J31" s="34" t="n">
        <x:f>E31*F31*G31/1073741824</x:f>
        <x:v>11.3203125</x:v>
      </x:c>
      <x:c r="K31" s="34" t="n">
        <x:f>J31/I31</x:f>
        <x:v>1.4150390625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KDA</x:v>
      </x:c>
      <x:c r="B32" s="30" t="str">
        <x:v>v_proj.weight</x:v>
      </x:c>
      <x:c r="C32" s="30" t="str">
        <x:v>[12288, 7168]</x:v>
      </x:c>
      <x:c r="D32" s="30" t="str">
        <x:v>BF16</x:v>
      </x:c>
      <x:c r="E32" s="32" t="n">
        <x:v>2</x:v>
      </x:c>
      <x:c r="F32" s="33" t="n">
        <x:v>69</x:v>
      </x:c>
      <x:c r="G32" s="33" t="n">
        <x:v>88080384</x:v>
      </x:c>
      <x:c r="H32" s="33" t="str">
        <x:v>TP</x:v>
      </x:c>
      <x:c r="I32" s="33" t="n">
        <x:f>'Decode'!$P$12</x:f>
        <x:v>8</x:v>
      </x:c>
      <x:c r="J32" s="34" t="n">
        <x:f>E32*F32*G32/1073741824</x:f>
        <x:v>11.3203125</x:v>
      </x:c>
      <x:c r="K32" s="34" t="n">
        <x:f>J32/I32</x:f>
        <x:v>1.4150390625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KDA</x:v>
      </x:c>
      <x:c r="B33" s="30" t="str">
        <x:v>g_proj.weight</x:v>
      </x:c>
      <x:c r="C33" s="30" t="str">
        <x:v>[12288, 7168]</x:v>
      </x:c>
      <x:c r="D33" s="30" t="str">
        <x:v>BF16</x:v>
      </x:c>
      <x:c r="E33" s="32" t="n">
        <x:v>2</x:v>
      </x:c>
      <x:c r="F33" s="33" t="n">
        <x:v>93</x:v>
      </x:c>
      <x:c r="G33" s="33" t="n">
        <x:v>88080384</x:v>
      </x:c>
      <x:c r="H33" s="33" t="str">
        <x:v>TP</x:v>
      </x:c>
      <x:c r="I33" s="33" t="n">
        <x:f>'Decode'!$P$12</x:f>
        <x:v>8</x:v>
      </x:c>
      <x:c r="J33" s="34" t="n">
        <x:f>E33*F33*G33/1073741824</x:f>
        <x:v>15.2578125</x:v>
      </x:c>
      <x:c r="K33" s="34" t="n">
        <x:f>J33/I33</x:f>
        <x:v>1.9072265625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KDA</x:v>
      </x:c>
      <x:c r="B34" s="30" t="str">
        <x:v>b_proj.weight</x:v>
      </x:c>
      <x:c r="C34" s="30" t="str">
        <x:v>[96, 7168]</x:v>
      </x:c>
      <x:c r="D34" s="30" t="str">
        <x:v>BF16</x:v>
      </x:c>
      <x:c r="E34" s="32" t="n">
        <x:v>2</x:v>
      </x:c>
      <x:c r="F34" s="33" t="n">
        <x:v>69</x:v>
      </x:c>
      <x:c r="G34" s="33" t="n">
        <x:v>688128</x:v>
      </x:c>
      <x:c r="H34" s="33" t="str">
        <x:v>TP</x:v>
      </x:c>
      <x:c r="I34" s="33" t="n">
        <x:f>'Decode'!$P$12</x:f>
        <x:v>8</x:v>
      </x:c>
      <x:c r="J34" s="34" t="n">
        <x:f>E34*F34*G34/1073741824</x:f>
        <x:v>0.08843994140625</x:v>
      </x:c>
      <x:c r="K34" s="34" t="n">
        <x:f>J34/I34</x:f>
        <x:v>0.01105499267578125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KDA</x:v>
      </x:c>
      <x:c r="B35" s="30" t="str">
        <x:v>f_a_proj.weight</x:v>
      </x:c>
      <x:c r="C35" s="30" t="str">
        <x:v>[128, 7168]</x:v>
      </x:c>
      <x:c r="D35" s="30" t="str">
        <x:v>BF16</x:v>
      </x:c>
      <x:c r="E35" s="32" t="n">
        <x:v>2</x:v>
      </x:c>
      <x:c r="F35" s="33" t="n">
        <x:v>69</x:v>
      </x:c>
      <x:c r="G35" s="33" t="n">
        <x:v>917504</x:v>
      </x:c>
      <x:c r="H35" s="33" t="str">
        <x:v>Replicated</x:v>
      </x:c>
      <x:c r="I35" s="33" t="n">
        <x:f>1</x:f>
        <x:v>1</x:v>
      </x:c>
      <x:c r="J35" s="34" t="n">
        <x:f>E35*F35*G35/1073741824</x:f>
        <x:v>0.117919921875</x:v>
      </x:c>
      <x:c r="K35" s="34" t="n">
        <x:f>J35/I35</x:f>
        <x:v>0.117919921875</x:v>
      </x:c>
      <x:c r="L35" s="30"/>
      <x:c r="M35" s="30"/>
      <x:c r="N35" s="30"/>
      <x:c r="O35" s="30"/>
      <x:c r="P35" s="30"/>
    </x:row>
    <x:row r="36">
      <x:c r="A36" s="30" t="str">
        <x:v>KDA</x:v>
      </x:c>
      <x:c r="B36" s="30" t="str">
        <x:v>f_b_proj.weight</x:v>
      </x:c>
      <x:c r="C36" s="30" t="str">
        <x:v>[12288, 128]</x:v>
      </x:c>
      <x:c r="D36" s="30" t="str">
        <x:v>BF16</x:v>
      </x:c>
      <x:c r="E36" s="32" t="n">
        <x:v>2</x:v>
      </x:c>
      <x:c r="F36" s="33" t="n">
        <x:v>69</x:v>
      </x:c>
      <x:c r="G36" s="33" t="n">
        <x:v>1572864</x:v>
      </x:c>
      <x:c r="H36" s="33" t="str">
        <x:v>TP</x:v>
      </x:c>
      <x:c r="I36" s="33" t="n">
        <x:f>'Decode'!$P$12</x:f>
        <x:v>8</x:v>
      </x:c>
      <x:c r="J36" s="34" t="n">
        <x:f>E36*F36*G36/1073741824</x:f>
        <x:v>0.2021484375</x:v>
      </x:c>
      <x:c r="K36" s="34" t="n">
        <x:f>J36/I36</x:f>
        <x:v>0.0252685546875</x:v>
      </x:c>
      <x:c r="L36" s="30"/>
      <x:c r="M36" s="30"/>
      <x:c r="N36" s="30"/>
      <x:c r="O36" s="30"/>
      <x:c r="P36" s="30"/>
    </x:row>
    <x:row r="37">
      <x:c r="A37" s="30" t="str">
        <x:v>KDA</x:v>
      </x:c>
      <x:c r="B37" s="30" t="str">
        <x:v>q_conv1d.weight</x:v>
      </x:c>
      <x:c r="C37" s="30" t="str">
        <x:v>[12288, 1, 4]</x:v>
      </x:c>
      <x:c r="D37" s="30" t="str">
        <x:v>F32</x:v>
      </x:c>
      <x:c r="E37" s="32" t="n">
        <x:v>4</x:v>
      </x:c>
      <x:c r="F37" s="33" t="n">
        <x:v>69</x:v>
      </x:c>
      <x:c r="G37" s="33" t="n">
        <x:v>49152</x:v>
      </x:c>
      <x:c r="H37" s="33" t="str">
        <x:v>TP</x:v>
      </x:c>
      <x:c r="I37" s="33" t="n">
        <x:f>'Decode'!$P$12</x:f>
        <x:v>8</x:v>
      </x:c>
      <x:c r="J37" s="34" t="n">
        <x:f>E37*F37*G37/1073741824</x:f>
        <x:v>0.01263427734375</x:v>
      </x:c>
      <x:c r="K37" s="34" t="n">
        <x:f>J37/I37</x:f>
        <x:v>0.00157928466796875</x:v>
      </x:c>
      <x:c r="L37" s="30"/>
      <x:c r="M37" s="30"/>
      <x:c r="N37" s="30"/>
      <x:c r="O37" s="30"/>
      <x:c r="P37" s="30"/>
    </x:row>
    <x:row r="38">
      <x:c r="A38" s="30" t="str">
        <x:v>KDA</x:v>
      </x:c>
      <x:c r="B38" s="30" t="str">
        <x:v>k_conv1d.weight</x:v>
      </x:c>
      <x:c r="C38" s="30" t="str">
        <x:v>[12288, 1, 4]</x:v>
      </x:c>
      <x:c r="D38" s="30" t="str">
        <x:v>F32</x:v>
      </x:c>
      <x:c r="E38" s="32" t="n">
        <x:v>4</x:v>
      </x:c>
      <x:c r="F38" s="33" t="n">
        <x:v>69</x:v>
      </x:c>
      <x:c r="G38" s="33" t="n">
        <x:v>49152</x:v>
      </x:c>
      <x:c r="H38" s="33" t="str">
        <x:v>TP</x:v>
      </x:c>
      <x:c r="I38" s="33" t="n">
        <x:f>'Decode'!$P$12</x:f>
        <x:v>8</x:v>
      </x:c>
      <x:c r="J38" s="34" t="n">
        <x:f>E38*F38*G38/1073741824</x:f>
        <x:v>0.01263427734375</x:v>
      </x:c>
      <x:c r="K38" s="34" t="n">
        <x:f>J38/I38</x:f>
        <x:v>0.00157928466796875</x:v>
      </x:c>
      <x:c r="L38" s="30"/>
      <x:c r="M38" s="30"/>
      <x:c r="N38" s="30"/>
      <x:c r="O38" s="30"/>
      <x:c r="P38" s="30"/>
    </x:row>
    <x:row r="39">
      <x:c r="A39" s="30" t="str">
        <x:v>KDA</x:v>
      </x:c>
      <x:c r="B39" s="30" t="str">
        <x:v>v_conv1d.weight</x:v>
      </x:c>
      <x:c r="C39" s="30" t="str">
        <x:v>[12288, 1, 4]</x:v>
      </x:c>
      <x:c r="D39" s="30" t="str">
        <x:v>F32</x:v>
      </x:c>
      <x:c r="E39" s="32" t="n">
        <x:v>4</x:v>
      </x:c>
      <x:c r="F39" s="33" t="n">
        <x:v>69</x:v>
      </x:c>
      <x:c r="G39" s="33" t="n">
        <x:v>49152</x:v>
      </x:c>
      <x:c r="H39" s="33" t="str">
        <x:v>TP</x:v>
      </x:c>
      <x:c r="I39" s="33" t="n">
        <x:f>'Decode'!$P$12</x:f>
        <x:v>8</x:v>
      </x:c>
      <x:c r="J39" s="34" t="n">
        <x:f>E39*F39*G39/1073741824</x:f>
        <x:v>0.01263427734375</x:v>
      </x:c>
      <x:c r="K39" s="34" t="n">
        <x:f>J39/I39</x:f>
        <x:v>0.00157928466796875</x:v>
      </x:c>
      <x:c r="L39" s="30"/>
      <x:c r="M39" s="30"/>
      <x:c r="N39" s="30"/>
      <x:c r="O39" s="30"/>
      <x:c r="P39" s="30"/>
    </x:row>
    <x:row r="40">
      <x:c r="A40" s="30" t="str">
        <x:v>KDA</x:v>
      </x:c>
      <x:c r="B40" s="30" t="str">
        <x:v>A_log</x:v>
      </x:c>
      <x:c r="C40" s="30" t="str">
        <x:v>[128]</x:v>
      </x:c>
      <x:c r="D40" s="30" t="str">
        <x:v>F32</x:v>
      </x:c>
      <x:c r="E40" s="32" t="n">
        <x:v>4</x:v>
      </x:c>
      <x:c r="F40" s="33" t="n">
        <x:v>69</x:v>
      </x:c>
      <x:c r="G40" s="33" t="n">
        <x:v>128</x:v>
      </x:c>
      <x:c r="H40" s="33" t="str">
        <x:v>TP</x:v>
      </x:c>
      <x:c r="I40" s="33" t="n">
        <x:f>'Decode'!$P$12</x:f>
        <x:v>8</x:v>
      </x:c>
      <x:c r="J40" s="34" t="n">
        <x:f>E40*F40*G40/1073741824</x:f>
        <x:v>0.000032901763916015625</x:v>
      </x:c>
      <x:c r="K40" s="34" t="n">
        <x:f>J40/I40</x:f>
        <x:v>0.000004112720489501953</x:v>
      </x:c>
      <x:c r="L40" s="30"/>
      <x:c r="M40" s="30"/>
      <x:c r="N40" s="30"/>
      <x:c r="O40" s="30"/>
      <x:c r="P40" s="30"/>
    </x:row>
    <x:row r="41">
      <x:c r="A41" s="30" t="str">
        <x:v>KDA</x:v>
      </x:c>
      <x:c r="B41" s="30" t="str">
        <x:v>dt_bias</x:v>
      </x:c>
      <x:c r="C41" s="30" t="str">
        <x:v>[12288]</x:v>
      </x:c>
      <x:c r="D41" s="30" t="str">
        <x:v>F32</x:v>
      </x:c>
      <x:c r="E41" s="32" t="n">
        <x:v>4</x:v>
      </x:c>
      <x:c r="F41" s="33" t="n">
        <x:v>69</x:v>
      </x:c>
      <x:c r="G41" s="33" t="n">
        <x:v>12288</x:v>
      </x:c>
      <x:c r="H41" s="33" t="str">
        <x:v>TP</x:v>
      </x:c>
      <x:c r="I41" s="33" t="n">
        <x:f>'Decode'!$P$12</x:f>
        <x:v>8</x:v>
      </x:c>
      <x:c r="J41" s="34" t="n">
        <x:f>E41*F41*G41/1073741824</x:f>
        <x:v>0.0031585693359375</x:v>
      </x:c>
      <x:c r="K41" s="34" t="n">
        <x:f>J41/I41</x:f>
        <x:v>0.0003948211669921875</x:v>
      </x:c>
      <x:c r="L41" s="30"/>
      <x:c r="M41" s="30"/>
      <x:c r="N41" s="30"/>
      <x:c r="O41" s="30"/>
      <x:c r="P41" s="30"/>
    </x:row>
    <x:row r="42">
      <x:c r="A42" s="30" t="str">
        <x:v>KDA</x:v>
      </x:c>
      <x:c r="B42" s="30" t="str">
        <x:v>o_norm.weight</x:v>
      </x:c>
      <x:c r="C42" s="30" t="str">
        <x:v>[128]</x:v>
      </x:c>
      <x:c r="D42" s="30" t="str">
        <x:v>F32</x:v>
      </x:c>
      <x:c r="E42" s="32" t="n">
        <x:v>4</x:v>
      </x:c>
      <x:c r="F42" s="33" t="n">
        <x:v>69</x:v>
      </x:c>
      <x:c r="G42" s="33" t="n">
        <x:v>128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0.000032901763916015625</x:v>
      </x:c>
      <x:c r="K42" s="34" t="n">
        <x:f>J42/I42</x:f>
        <x:v>0.000032901763916015625</x:v>
      </x:c>
      <x:c r="L42" s="30"/>
      <x:c r="M42" s="30"/>
      <x:c r="N42" s="30"/>
      <x:c r="O42" s="30"/>
      <x:c r="P42" s="30"/>
    </x:row>
    <x:row r="43">
      <x:c r="A43" s="30" t="str">
        <x:v>Attention</x:v>
      </x:c>
      <x:c r="B43" s="30" t="str">
        <x:v>o_proj.weight</x:v>
      </x:c>
      <x:c r="C43" s="30" t="str">
        <x:v>[7168, 12288]</x:v>
      </x:c>
      <x:c r="D43" s="30" t="str">
        <x:v>BF16</x:v>
      </x:c>
      <x:c r="E43" s="32" t="n">
        <x:v>2</x:v>
      </x:c>
      <x:c r="F43" s="33" t="n">
        <x:v>93</x:v>
      </x:c>
      <x:c r="G43" s="33" t="n">
        <x:v>88080384</x:v>
      </x:c>
      <x:c r="H43" s="33" t="str">
        <x:v>O Proj TP</x:v>
      </x:c>
      <x:c r="I43" s="33" t="n">
        <x:f>IF('Decode'!$P$19&gt;0,'Decode'!$P$19,'Decode'!$P$12)</x:f>
        <x:v>8</x:v>
      </x:c>
      <x:c r="J43" s="34" t="n">
        <x:f>E43*F43*G43/1073741824</x:f>
        <x:v>15.2578125</x:v>
      </x:c>
      <x:c r="K43" s="34" t="n">
        <x:f>J43/I43</x:f>
        <x:v>1.9072265625</x:v>
      </x:c>
      <x:c r="L43" s="30"/>
      <x:c r="M43" s="30"/>
      <x:c r="N43" s="30"/>
      <x:c r="O43" s="30"/>
      <x:c r="P43" s="30"/>
    </x:row>
    <x:row r="44">
      <x:c r="A44" s="30" t="str">
        <x:v>MLA</x:v>
      </x:c>
      <x:c r="B44" s="30" t="str">
        <x:v>q_a_proj.weight</x:v>
      </x:c>
      <x:c r="C44" s="30" t="str">
        <x:v>[1536, 7168]</x:v>
      </x:c>
      <x:c r="D44" s="30" t="str">
        <x:v>BF16</x:v>
      </x:c>
      <x:c r="E44" s="32" t="n">
        <x:v>2</x:v>
      </x:c>
      <x:c r="F44" s="33" t="n">
        <x:v>24</x:v>
      </x:c>
      <x:c r="G44" s="33" t="n">
        <x:v>11010048</x:v>
      </x:c>
      <x:c r="H44" s="33" t="str">
        <x:v>Replicated</x:v>
      </x:c>
      <x:c r="I44" s="33" t="n">
        <x:f>1</x:f>
        <x:v>1</x:v>
      </x:c>
      <x:c r="J44" s="34" t="n">
        <x:f>E44*F44*G44/1073741824</x:f>
        <x:v>0.4921875</x:v>
      </x:c>
      <x:c r="K44" s="34" t="n">
        <x:f>J44/I44</x:f>
        <x:v>0.4921875</x:v>
      </x:c>
      <x:c r="L44" s="30"/>
      <x:c r="M44" s="30"/>
      <x:c r="N44" s="30"/>
      <x:c r="O44" s="30"/>
      <x:c r="P44" s="30"/>
    </x:row>
    <x:row r="45">
      <x:c r="A45" s="30" t="str">
        <x:v>MLA</x:v>
      </x:c>
      <x:c r="B45" s="30" t="str">
        <x:v>q_a_layernorm.weight</x:v>
      </x:c>
      <x:c r="C45" s="30" t="str">
        <x:v>[1536]</x:v>
      </x:c>
      <x:c r="D45" s="30" t="str">
        <x:v>BF16</x:v>
      </x:c>
      <x:c r="E45" s="32" t="n">
        <x:v>2</x:v>
      </x:c>
      <x:c r="F45" s="33" t="n">
        <x:v>24</x:v>
      </x:c>
      <x:c r="G45" s="33" t="n">
        <x:v>1536</x:v>
      </x:c>
      <x:c r="H45" s="33" t="str">
        <x:v>Replicated</x:v>
      </x:c>
      <x:c r="I45" s="33" t="n">
        <x:f>1</x:f>
        <x:v>1</x:v>
      </x:c>
      <x:c r="J45" s="34" t="n">
        <x:f>E45*F45*G45/1073741824</x:f>
        <x:v>0.00006866455078125</x:v>
      </x:c>
      <x:c r="K45" s="34" t="n">
        <x:f>J45/I45</x:f>
        <x:v>0.00006866455078125</x:v>
      </x:c>
      <x:c r="L45" s="30"/>
      <x:c r="M45" s="30"/>
      <x:c r="N45" s="30"/>
      <x:c r="O45" s="30"/>
      <x:c r="P45" s="30"/>
    </x:row>
    <x:row r="46">
      <x:c r="A46" s="30" t="str">
        <x:v>MLA</x:v>
      </x:c>
      <x:c r="B46" s="30" t="str">
        <x:v>q_b_proj.weight</x:v>
      </x:c>
      <x:c r="C46" s="30" t="str">
        <x:v>[18432, 1536]</x:v>
      </x:c>
      <x:c r="D46" s="30" t="str">
        <x:v>BF16</x:v>
      </x:c>
      <x:c r="E46" s="32" t="n">
        <x:v>2</x:v>
      </x:c>
      <x:c r="F46" s="33" t="n">
        <x:v>24</x:v>
      </x:c>
      <x:c r="G46" s="33" t="n">
        <x:v>28311552</x:v>
      </x:c>
      <x:c r="H46" s="33" t="str">
        <x:v>TP</x:v>
      </x:c>
      <x:c r="I46" s="33" t="n">
        <x:f>'Decode'!$P$12</x:f>
        <x:v>8</x:v>
      </x:c>
      <x:c r="J46" s="34" t="n">
        <x:f>E46*F46*G46/1073741824</x:f>
        <x:v>1.265625</x:v>
      </x:c>
      <x:c r="K46" s="34" t="n">
        <x:f>J46/I46</x:f>
        <x:v>0.158203125</x:v>
      </x:c>
      <x:c r="L46" s="30"/>
      <x:c r="M46" s="30"/>
      <x:c r="N46" s="30"/>
      <x:c r="O46" s="30"/>
      <x:c r="P46" s="30"/>
    </x:row>
    <x:row r="47">
      <x:c r="A47" s="30" t="str">
        <x:v>MLA</x:v>
      </x:c>
      <x:c r="B47" s="30" t="str">
        <x:v>kv_a_proj_with_mqa.weight</x:v>
      </x:c>
      <x:c r="C47" s="30" t="str">
        <x:v>[576, 7168]</x:v>
      </x:c>
      <x:c r="D47" s="30" t="str">
        <x:v>BF16</x:v>
      </x:c>
      <x:c r="E47" s="32" t="n">
        <x:v>2</x:v>
      </x:c>
      <x:c r="F47" s="33" t="n">
        <x:v>24</x:v>
      </x:c>
      <x:c r="G47" s="33" t="n">
        <x:v>4128768</x:v>
      </x:c>
      <x:c r="H47" s="33" t="str">
        <x:v>Replicated</x:v>
      </x:c>
      <x:c r="I47" s="33" t="n">
        <x:f>1</x:f>
        <x:v>1</x:v>
      </x:c>
      <x:c r="J47" s="34" t="n">
        <x:f>E47*F47*G47/1073741824</x:f>
        <x:v>0.1845703125</x:v>
      </x:c>
      <x:c r="K47" s="34" t="n">
        <x:f>J47/I47</x:f>
        <x:v>0.1845703125</x:v>
      </x:c>
      <x:c r="L47" s="30"/>
      <x:c r="M47" s="30"/>
      <x:c r="N47" s="30"/>
      <x:c r="O47" s="30"/>
      <x:c r="P47" s="30"/>
    </x:row>
    <x:row r="48">
      <x:c r="A48" s="30" t="str">
        <x:v>MLA</x:v>
      </x:c>
      <x:c r="B48" s="30" t="str">
        <x:v>kv_a_layernorm.weight</x:v>
      </x:c>
      <x:c r="C48" s="30" t="str">
        <x:v>[512]</x:v>
      </x:c>
      <x:c r="D48" s="30" t="str">
        <x:v>BF16</x:v>
      </x:c>
      <x:c r="E48" s="32" t="n">
        <x:v>2</x:v>
      </x:c>
      <x:c r="F48" s="33" t="n">
        <x:v>24</x:v>
      </x:c>
      <x:c r="G48" s="33" t="n">
        <x:v>512</x:v>
      </x:c>
      <x:c r="H48" s="33" t="str">
        <x:v>Replicated</x:v>
      </x:c>
      <x:c r="I48" s="33" t="n">
        <x:f>1</x:f>
        <x:v>1</x:v>
      </x:c>
      <x:c r="J48" s="34" t="n">
        <x:f>E48*F48*G48/1073741824</x:f>
        <x:v>0.00002288818359375</x:v>
      </x:c>
      <x:c r="K48" s="34" t="n">
        <x:f>J48/I48</x:f>
        <x:v>0.00002288818359375</x:v>
      </x:c>
      <x:c r="L48" s="30"/>
      <x:c r="M48" s="30"/>
      <x:c r="N48" s="30"/>
      <x:c r="O48" s="30"/>
      <x:c r="P48" s="30"/>
    </x:row>
    <x:row r="49">
      <x:c r="A49" s="30" t="str">
        <x:v>MLA</x:v>
      </x:c>
      <x:c r="B49" s="30" t="str">
        <x:v>kv_b_proj.weight</x:v>
      </x:c>
      <x:c r="C49" s="30" t="str">
        <x:v>[24576, 512]</x:v>
      </x:c>
      <x:c r="D49" s="30" t="str">
        <x:v>BF16</x:v>
      </x:c>
      <x:c r="E49" s="32" t="n">
        <x:v>2</x:v>
      </x:c>
      <x:c r="F49" s="33" t="n">
        <x:v>24</x:v>
      </x:c>
      <x:c r="G49" s="33" t="n">
        <x:v>12582912</x:v>
      </x:c>
      <x:c r="H49" s="33" t="str">
        <x:v>TP</x:v>
      </x:c>
      <x:c r="I49" s="33" t="n">
        <x:f>'Decode'!$P$12</x:f>
        <x:v>8</x:v>
      </x:c>
      <x:c r="J49" s="34" t="n">
        <x:f>E49*F49*G49/1073741824</x:f>
        <x:v>0.5625</x:v>
      </x:c>
      <x:c r="K49" s="34" t="n">
        <x:f>J49/I49</x:f>
        <x:v>0.0703125</x:v>
      </x:c>
      <x:c r="L49" s="30"/>
      <x:c r="M49" s="30"/>
      <x:c r="N49" s="30"/>
      <x:c r="O49" s="30"/>
      <x:c r="P49" s="30"/>
    </x:row>
    <x:row r="50">
      <x:c r="A50" s="30" t="str">
        <x:v>Vision</x:v>
      </x:c>
      <x:c r="B50" s="30" t="str">
        <x:v>patch_embed.proj.weight</x:v>
      </x:c>
      <x:c r="C50" s="30" t="str">
        <x:v>[1024, 3, 14, 14]</x:v>
      </x:c>
      <x:c r="D50" s="30" t="str">
        <x:v>BF16</x:v>
      </x:c>
      <x:c r="E50" s="32" t="n">
        <x:v>2</x:v>
      </x:c>
      <x:c r="F50" s="33" t="n">
        <x:v>1</x:v>
      </x:c>
      <x:c r="G50" s="33" t="n">
        <x:v>602112</x:v>
      </x:c>
      <x:c r="H50" s="33" t="str">
        <x:v>Replicated</x:v>
      </x:c>
      <x:c r="I50" s="33" t="n">
        <x:f>1</x:f>
        <x:v>1</x:v>
      </x:c>
      <x:c r="J50" s="34" t="n">
        <x:f>E50*F50*G50/1073741824</x:f>
        <x:v>0.00112152099609375</x:v>
      </x:c>
      <x:c r="K50" s="34" t="n">
        <x:f>J50/I50</x:f>
        <x:v>0.00112152099609375</x:v>
      </x:c>
      <x:c r="L50" s="30"/>
      <x:c r="M50" s="30"/>
      <x:c r="N50" s="30"/>
      <x:c r="O50" s="30"/>
      <x:c r="P50" s="30"/>
    </x:row>
    <x:row r="51">
      <x:c r="A51" s="30" t="str">
        <x:v>Vision</x:v>
      </x:c>
      <x:c r="B51" s="30" t="str">
        <x:v>patch_embed.pos_emb.weight</x:v>
      </x:c>
      <x:c r="C51" s="30" t="str">
        <x:v>[64, 64, 1024]</x:v>
      </x:c>
      <x:c r="D51" s="30" t="str">
        <x:v>BF16</x:v>
      </x:c>
      <x:c r="E51" s="32" t="n">
        <x:v>2</x:v>
      </x:c>
      <x:c r="F51" s="33" t="n">
        <x:v>1</x:v>
      </x:c>
      <x:c r="G51" s="33" t="n">
        <x:v>4194304</x:v>
      </x:c>
      <x:c r="H51" s="33" t="str">
        <x:v>Replicated</x:v>
      </x:c>
      <x:c r="I51" s="33" t="n">
        <x:f>1</x:f>
        <x:v>1</x:v>
      </x:c>
      <x:c r="J51" s="34" t="n">
        <x:f>E51*F51*G51/1073741824</x:f>
        <x:v>0.0078125</x:v>
      </x:c>
      <x:c r="K51" s="34" t="n">
        <x:f>J51/I51</x:f>
        <x:v>0.0078125</x:v>
      </x:c>
      <x:c r="L51" s="30"/>
      <x:c r="M51" s="30"/>
      <x:c r="N51" s="30"/>
      <x:c r="O51" s="30"/>
      <x:c r="P51" s="30"/>
    </x:row>
    <x:row r="52">
      <x:c r="A52" s="30" t="str">
        <x:v>Vision</x:v>
      </x:c>
      <x:c r="B52" s="30" t="str">
        <x:v>encoder.wqkv.weight</x:v>
      </x:c>
      <x:c r="C52" s="30" t="str">
        <x:v>[4608, 1024]</x:v>
      </x:c>
      <x:c r="D52" s="30" t="str">
        <x:v>BF16</x:v>
      </x:c>
      <x:c r="E52" s="32" t="n">
        <x:v>2</x:v>
      </x:c>
      <x:c r="F52" s="33" t="n">
        <x:v>27</x:v>
      </x:c>
      <x:c r="G52" s="33" t="n">
        <x:v>4718592</x:v>
      </x:c>
      <x:c r="H52" s="33" t="str">
        <x:v>Replicated</x:v>
      </x:c>
      <x:c r="I52" s="33" t="n">
        <x:f>1</x:f>
        <x:v>1</x:v>
      </x:c>
      <x:c r="J52" s="34" t="n">
        <x:f>E52*F52*G52/1073741824</x:f>
        <x:v>0.2373046875</x:v>
      </x:c>
      <x:c r="K52" s="34" t="n">
        <x:f>J52/I52</x:f>
        <x:v>0.2373046875</x:v>
      </x:c>
      <x:c r="L52" s="30"/>
      <x:c r="M52" s="30"/>
      <x:c r="N52" s="30"/>
      <x:c r="O52" s="30"/>
      <x:c r="P52" s="30"/>
    </x:row>
    <x:row r="53">
      <x:c r="A53" s="30" t="str">
        <x:v>Vision</x:v>
      </x:c>
      <x:c r="B53" s="30" t="str">
        <x:v>encoder.wo.weight</x:v>
      </x:c>
      <x:c r="C53" s="30" t="str">
        <x:v>[1024, 1536]</x:v>
      </x:c>
      <x:c r="D53" s="30" t="str">
        <x:v>BF16</x:v>
      </x:c>
      <x:c r="E53" s="32" t="n">
        <x:v>2</x:v>
      </x:c>
      <x:c r="F53" s="33" t="n">
        <x:v>27</x:v>
      </x:c>
      <x:c r="G53" s="33" t="n">
        <x:v>1572864</x:v>
      </x:c>
      <x:c r="H53" s="33" t="str">
        <x:v>Replicated</x:v>
      </x:c>
      <x:c r="I53" s="33" t="n">
        <x:f>1</x:f>
        <x:v>1</x:v>
      </x:c>
      <x:c r="J53" s="34" t="n">
        <x:f>E53*F53*G53/1073741824</x:f>
        <x:v>0.0791015625</x:v>
      </x:c>
      <x:c r="K53" s="34" t="n">
        <x:f>J53/I53</x:f>
        <x:v>0.0791015625</x:v>
      </x:c>
      <x:c r="L53" s="30"/>
      <x:c r="M53" s="30"/>
      <x:c r="N53" s="30"/>
      <x:c r="O53" s="30"/>
      <x:c r="P53" s="30"/>
    </x:row>
    <x:row r="54">
      <x:c r="A54" s="30" t="str">
        <x:v>Vision</x:v>
      </x:c>
      <x:c r="B54" s="30" t="str">
        <x:v>encoder.mlp.fc0.weight</x:v>
      </x:c>
      <x:c r="C54" s="30" t="str">
        <x:v>[4096, 1024]</x:v>
      </x:c>
      <x:c r="D54" s="30" t="str">
        <x:v>BF16</x:v>
      </x:c>
      <x:c r="E54" s="32" t="n">
        <x:v>2</x:v>
      </x:c>
      <x:c r="F54" s="33" t="n">
        <x:v>27</x:v>
      </x:c>
      <x:c r="G54" s="33" t="n">
        <x:v>4194304</x:v>
      </x:c>
      <x:c r="H54" s="33" t="str">
        <x:v>Replicated</x:v>
      </x:c>
      <x:c r="I54" s="33" t="n">
        <x:f>1</x:f>
        <x:v>1</x:v>
      </x:c>
      <x:c r="J54" s="34" t="n">
        <x:f>E54*F54*G54/1073741824</x:f>
        <x:v>0.2109375</x:v>
      </x:c>
      <x:c r="K54" s="34" t="n">
        <x:f>J54/I54</x:f>
        <x:v>0.2109375</x:v>
      </x:c>
      <x:c r="L54" s="30"/>
      <x:c r="M54" s="30"/>
      <x:c r="N54" s="30"/>
      <x:c r="O54" s="30"/>
      <x:c r="P54" s="30"/>
    </x:row>
    <x:row r="55">
      <x:c r="A55" s="30" t="str">
        <x:v>Vision</x:v>
      </x:c>
      <x:c r="B55" s="30" t="str">
        <x:v>encoder.mlp.fc1.weight</x:v>
      </x:c>
      <x:c r="C55" s="30" t="str">
        <x:v>[1024, 4096]</x:v>
      </x:c>
      <x:c r="D55" s="30" t="str">
        <x:v>BF16</x:v>
      </x:c>
      <x:c r="E55" s="32" t="n">
        <x:v>2</x:v>
      </x:c>
      <x:c r="F55" s="33" t="n">
        <x:v>27</x:v>
      </x:c>
      <x:c r="G55" s="33" t="n">
        <x:v>4194304</x:v>
      </x:c>
      <x:c r="H55" s="33" t="str">
        <x:v>Replicated</x:v>
      </x:c>
      <x:c r="I55" s="33" t="n">
        <x:f>1</x:f>
        <x:v>1</x:v>
      </x:c>
      <x:c r="J55" s="34" t="n">
        <x:f>E55*F55*G55/1073741824</x:f>
        <x:v>0.2109375</x:v>
      </x:c>
      <x:c r="K55" s="34" t="n">
        <x:f>J55/I55</x:f>
        <x:v>0.2109375</x:v>
      </x:c>
      <x:c r="L55" s="30"/>
      <x:c r="M55" s="30"/>
      <x:c r="N55" s="30"/>
      <x:c r="O55" s="30"/>
      <x:c r="P55" s="30"/>
    </x:row>
    <x:row r="56">
      <x:c r="A56" s="30" t="str">
        <x:v>Vision</x:v>
      </x:c>
      <x:c r="B56" s="30" t="str">
        <x:v>encoder.norm0.weight</x:v>
      </x:c>
      <x:c r="C56" s="30" t="str">
        <x:v>[1024]</x:v>
      </x:c>
      <x:c r="D56" s="30" t="str">
        <x:v>BF16</x:v>
      </x:c>
      <x:c r="E56" s="32" t="n">
        <x:v>2</x:v>
      </x:c>
      <x:c r="F56" s="33" t="n">
        <x:v>27</x:v>
      </x:c>
      <x:c r="G56" s="33" t="n">
        <x:v>1024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0.0000514984130859375</x:v>
      </x:c>
      <x:c r="K56" s="34" t="n">
        <x:f>J56/I56</x:f>
        <x:v>0.0000514984130859375</x:v>
      </x:c>
      <x:c r="L56" s="30"/>
      <x:c r="M56" s="30"/>
      <x:c r="N56" s="30"/>
      <x:c r="O56" s="30"/>
      <x:c r="P56" s="30"/>
    </x:row>
    <x:row r="57">
      <x:c r="A57" s="30" t="str">
        <x:v>Vision</x:v>
      </x:c>
      <x:c r="B57" s="30" t="str">
        <x:v>encoder.norm1.weight</x:v>
      </x:c>
      <x:c r="C57" s="30" t="str">
        <x:v>[1024]</x:v>
      </x:c>
      <x:c r="D57" s="30" t="str">
        <x:v>BF16</x:v>
      </x:c>
      <x:c r="E57" s="32" t="n">
        <x:v>2</x:v>
      </x:c>
      <x:c r="F57" s="33" t="n">
        <x:v>27</x:v>
      </x:c>
      <x:c r="G57" s="33" t="n">
        <x:v>1024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0.0000514984130859375</x:v>
      </x:c>
      <x:c r="K57" s="34" t="n">
        <x:f>J57/I57</x:f>
        <x:v>0.0000514984130859375</x:v>
      </x:c>
      <x:c r="L57" s="30"/>
      <x:c r="M57" s="30"/>
      <x:c r="N57" s="30"/>
      <x:c r="O57" s="30"/>
      <x:c r="P57" s="30"/>
    </x:row>
    <x:row r="58">
      <x:c r="A58" s="30" t="str">
        <x:v>Vision</x:v>
      </x:c>
      <x:c r="B58" s="30" t="str">
        <x:v>final_layernorm.weight</x:v>
      </x:c>
      <x:c r="C58" s="30" t="str">
        <x:v>[1024]</x:v>
      </x:c>
      <x:c r="D58" s="30" t="str">
        <x:v>BF16</x:v>
      </x:c>
      <x:c r="E58" s="32" t="n">
        <x:v>2</x:v>
      </x:c>
      <x:c r="F58" s="33" t="n">
        <x:v>1</x:v>
      </x:c>
      <x:c r="G58" s="33" t="n">
        <x:v>1024</x:v>
      </x:c>
      <x:c r="H58" s="33" t="str">
        <x:v>Replicated</x:v>
      </x:c>
      <x:c r="I58" s="33" t="n">
        <x:f>1</x:f>
        <x:v>1</x:v>
      </x:c>
      <x:c r="J58" s="34" t="n">
        <x:f>E58*F58*G58/1073741824</x:f>
        <x:v>0.0000019073486328125</x:v>
      </x:c>
      <x:c r="K58" s="34" t="n">
        <x:f>J58/I58</x:f>
        <x:v>0.0000019073486328125</x:v>
      </x:c>
      <x:c r="L58" s="30"/>
      <x:c r="M58" s="30"/>
      <x:c r="N58" s="30"/>
      <x:c r="O58" s="30"/>
      <x:c r="P58" s="30"/>
    </x:row>
    <x:row r="59">
      <x:c r="A59" s="30" t="str">
        <x:v>MM Projector</x:v>
      </x:c>
      <x:c r="B59" s="30" t="str">
        <x:v>proj.0.weight</x:v>
      </x:c>
      <x:c r="C59" s="30" t="str">
        <x:v>[4096, 4096]</x:v>
      </x:c>
      <x:c r="D59" s="30" t="str">
        <x:v>BF16</x:v>
      </x:c>
      <x:c r="E59" s="32" t="n">
        <x:v>2</x:v>
      </x:c>
      <x:c r="F59" s="33" t="n">
        <x:v>1</x:v>
      </x:c>
      <x:c r="G59" s="33" t="n">
        <x:v>16777216</x:v>
      </x:c>
      <x:c r="H59" s="33" t="str">
        <x:v>Replicated</x:v>
      </x:c>
      <x:c r="I59" s="33" t="n">
        <x:f>1</x:f>
        <x:v>1</x:v>
      </x:c>
      <x:c r="J59" s="34" t="n">
        <x:f>E59*F59*G59/1073741824</x:f>
        <x:v>0.03125</x:v>
      </x:c>
      <x:c r="K59" s="34" t="n">
        <x:f>J59/I59</x:f>
        <x:v>0.03125</x:v>
      </x:c>
      <x:c r="L59" s="30"/>
      <x:c r="M59" s="30"/>
      <x:c r="N59" s="30"/>
      <x:c r="O59" s="30"/>
      <x:c r="P59" s="30"/>
    </x:row>
    <x:row r="60">
      <x:c r="A60" s="30" t="str">
        <x:v>MM Projector</x:v>
      </x:c>
      <x:c r="B60" s="30" t="str">
        <x:v>proj.2.weight</x:v>
      </x:c>
      <x:c r="C60" s="30" t="str">
        <x:v>[7168, 4096]</x:v>
      </x:c>
      <x:c r="D60" s="30" t="str">
        <x:v>BF16</x:v>
      </x:c>
      <x:c r="E60" s="32" t="n">
        <x:v>2</x:v>
      </x:c>
      <x:c r="F60" s="33" t="n">
        <x:v>1</x:v>
      </x:c>
      <x:c r="G60" s="33" t="n">
        <x:v>29360128</x:v>
      </x:c>
      <x:c r="H60" s="33" t="str">
        <x:v>Replicated</x:v>
      </x:c>
      <x:c r="I60" s="33" t="n">
        <x:f>1</x:f>
        <x:v>1</x:v>
      </x:c>
      <x:c r="J60" s="34" t="n">
        <x:f>E60*F60*G60/1073741824</x:f>
        <x:v>0.0546875</x:v>
      </x:c>
      <x:c r="K60" s="34" t="n">
        <x:f>J60/I60</x:f>
        <x:v>0.0546875</x:v>
      </x:c>
      <x:c r="L60" s="30"/>
      <x:c r="M60" s="30"/>
      <x:c r="N60" s="30"/>
      <x:c r="O60" s="30"/>
      <x:c r="P60" s="30"/>
    </x:row>
    <x:row r="61">
      <x:c r="A61" s="30" t="str">
        <x:v>MM Projector</x:v>
      </x:c>
      <x:c r="B61" s="30" t="str">
        <x:v>post_norm.weight</x:v>
      </x:c>
      <x:c r="C61" s="30" t="str">
        <x:v>[7168]</x:v>
      </x:c>
      <x:c r="D61" s="30" t="str">
        <x:v>BF16</x:v>
      </x:c>
      <x:c r="E61" s="32" t="n">
        <x:v>2</x:v>
      </x:c>
      <x:c r="F61" s="33" t="n">
        <x:v>1</x:v>
      </x:c>
      <x:c r="G61" s="33" t="n">
        <x:v>7168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0.0000133514404296875</x:v>
      </x:c>
      <x:c r="K61" s="34" t="n">
        <x:f>J61/I61</x:f>
        <x:v>0.0000133514404296875</x:v>
      </x:c>
      <x:c r="L61" s="30"/>
      <x:c r="M61" s="30"/>
      <x:c r="N61" s="30"/>
      <x:c r="O61" s="30"/>
      <x:c r="P61" s="30"/>
    </x:row>
    <x:row r="62">
      <x:c r="A62" s="40" t="str">
        <x:v>合计</x:v>
      </x:c>
      <x:c r="B62" s="40"/>
      <x:c r="C62" s="40"/>
      <x:c r="D62" s="40"/>
      <x:c r="E62" s="40"/>
      <x:c r="F62" s="40"/>
      <x:c r="G62" s="40"/>
      <x:c r="H62" s="40"/>
      <x:c r="I62" s="40"/>
      <x:c r="J62" s="41" t="n">
        <x:f>SUM(J2:J61)</x:f>
        <x:v>1453.6644563674927</x:v>
      </x:c>
      <x:c r="K62" s="41" t="n">
        <x:f>SUM(K2:K61)</x:f>
        <x:v>191.807095348835</x:v>
      </x:c>
      <x:c r="L62" s="30"/>
      <x:c r="M62" s="30"/>
      <x:c r="N62" s="30"/>
      <x:c r="O62" s="30"/>
      <x:c r="P62" s="30"/>
    </x:row>
    <x:row r="63">
      <x:c r="A63" s="30"/>
      <x:c r="B63" s="30"/>
      <x:c r="C63" s="30"/>
      <x:c r="D63" s="30"/>
      <x:c r="E63" s="30"/>
      <x:c r="F63" s="30"/>
      <x:c r="G63" s="30"/>
      <x:c r="H63" s="30"/>
      <x:c r="I63" s="30"/>
      <x:c r="J63" s="30"/>
      <x:c r="K63" s="30"/>
      <x:c r="L63" s="30"/>
      <x:c r="M63" s="30"/>
      <x:c r="N63" s="30"/>
      <x:c r="O63" s="30"/>
      <x:c r="P63" s="30"/>
    </x:row>
    <x:row r="64" ht="30" customHeight="1">
      <x:c r="A64" s="18" t="str">
        <x:v>并行策略</x:v>
      </x:c>
      <x:c r="B64" s="18" t="str">
        <x:v>模块</x:v>
      </x:c>
      <x:c r="C64" s="18" t="str">
        <x:v>通信位置</x:v>
      </x:c>
      <x:c r="D64" s="18" t="str">
        <x:v>Collective</x:v>
      </x:c>
      <x:c r="E64" s="18" t="str">
        <x:v>本 Rank 输入元素/次</x:v>
      </x:c>
      <x:c r="F64" s="18" t="str">
        <x:v>字节/元素</x:v>
      </x:c>
      <x:c r="G64" s="18" t="str">
        <x:v>通信组大小</x:v>
      </x:c>
      <x:c r="H64" s="18" t="str">
        <x:v>次数/Step</x:v>
      </x:c>
      <x:c r="I64" s="18" t="str">
        <x:v>有效负载 MiB/次</x:v>
      </x:c>
      <x:c r="J64" s="18" t="str">
        <x:v>单 Rank 发送 MiB/次</x:v>
      </x:c>
      <x:c r="K64" s="18" t="str">
        <x:v>单 Rank 发送 MiB/Step</x:v>
      </x:c>
      <x:c r="L64" s="18" t="str">
        <x:v>通信组发送 MiB/Step</x:v>
      </x:c>
      <x:c r="M64" s="30"/>
      <x:c r="N64" s="30"/>
      <x:c r="O64" s="30"/>
      <x:c r="P64" s="30"/>
    </x:row>
    <x:row r="65">
      <x:c r="A65" s="30" t="str">
        <x:v>Embedding TP</x:v>
      </x:c>
      <x:c r="B65" s="30" t="str">
        <x:v>Embedding</x:v>
      </x:c>
      <x:c r="C65" s="30" t="str">
        <x:v>标准 TP 输出</x:v>
      </x:c>
      <x:c r="D65" s="30" t="str">
        <x:v>Ring AllReduce</x:v>
      </x:c>
      <x:c r="E65" s="33" t="n">
        <x:f>'Decode'!$P$7*7168</x:f>
        <x:v>7340032</x:v>
      </x:c>
      <x:c r="F65" s="33" t="n">
        <x:f>'Decode'!$P$28</x:f>
        <x:v>2</x:v>
      </x:c>
      <x:c r="G65" s="33" t="n">
        <x:f>IF('Decode'!$P$21&gt;0,'Decode'!$P$21,'Decode'!$P$12)</x:f>
        <x:v>8</x:v>
      </x:c>
      <x:c r="H65" s="33" t="n">
        <x:f>IF(AND(IF('Decode'!$P$21&gt;0,'Decode'!$P$21,'Decode'!$P$12)&gt;1,'Decode'!$P$24=0),1,0)</x:f>
        <x:v>1</x:v>
      </x:c>
      <x:c r="I65" s="34" t="n">
        <x:f>E65*F65/1048576</x:f>
        <x:v>14</x:v>
      </x:c>
      <x:c r="J65" s="34" t="n">
        <x:f>I65*(IF(G65&gt;1,2*(G65-1)/G65,0))</x:f>
        <x:v>24.5</x:v>
      </x:c>
      <x:c r="K65" s="34" t="n">
        <x:f>J65*H65</x:f>
        <x:v>24.5</x:v>
      </x:c>
      <x:c r="L65" s="34" t="n">
        <x:f>K65*G65</x:f>
        <x:v>196</x:v>
      </x:c>
      <x:c r="M65" s="30"/>
      <x:c r="N65" s="30"/>
      <x:c r="O65" s="30"/>
      <x:c r="P65" s="30"/>
    </x:row>
    <x:row r="66">
      <x:c r="A66" s="30" t="str">
        <x:v>Embedding TP</x:v>
      </x:c>
      <x:c r="B66" s="30" t="str">
        <x:v>Embedding</x:v>
      </x:c>
      <x:c r="C66" s="30" t="str">
        <x:v>Fine TP Token ID</x:v>
      </x:c>
      <x:c r="D66" s="30" t="str">
        <x:v>Ring AllGather</x:v>
      </x:c>
      <x:c r="E66" s="33" t="n">
        <x:f>'Decode'!$P$7</x:f>
        <x:v>1024</x:v>
      </x:c>
      <x:c r="F66" s="33" t="n">
        <x:f>'Decode'!$P$30</x:f>
        <x:v>8</x:v>
      </x:c>
      <x:c r="G66" s="33" t="n">
        <x:f>IF('Decode'!$P$21&gt;0,'Decode'!$P$21,'Decode'!$P$12)</x:f>
        <x:v>8</x:v>
      </x:c>
      <x:c r="H66" s="33" t="n">
        <x:f>IF(AND(IF('Decode'!$P$21&gt;0,'Decode'!$P$21,'Decode'!$P$12)&gt;1,'Decode'!$P$24&lt;&gt;0),1,0)</x:f>
        <x:v>0</x:v>
      </x:c>
      <x:c r="I66" s="34" t="n">
        <x:f>E66*F66/1048576</x:f>
        <x:v>0.0078125</x:v>
      </x:c>
      <x:c r="J66" s="34" t="n">
        <x:f>I66*(IF(G66&gt;1,G66-1,0))</x:f>
        <x:v>0.0546875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Embedding TP</x:v>
      </x:c>
      <x:c r="B67" s="30" t="str">
        <x:v>Embedding</x:v>
      </x:c>
      <x:c r="C67" s="30" t="str">
        <x:v>Fine TP Hidden</x:v>
      </x:c>
      <x:c r="D67" s="30" t="str">
        <x:v>Ring ReduceScatter</x:v>
      </x:c>
      <x:c r="E67" s="33" t="n">
        <x:f>'Decode'!$P$7*IF('Decode'!$P$21&gt;0,'Decode'!$P$21,'Decode'!$P$12)*7168</x:f>
        <x:v>58720256</x:v>
      </x:c>
      <x:c r="F67" s="33" t="n">
        <x:f>'Decode'!$P$28</x:f>
        <x:v>2</x:v>
      </x:c>
      <x:c r="G67" s="33" t="n">
        <x:f>IF('Decode'!$P$21&gt;0,'Decode'!$P$21,'Decode'!$P$12)</x:f>
        <x:v>8</x:v>
      </x:c>
      <x:c r="H67" s="33" t="n">
        <x:f>IF(AND(IF('Decode'!$P$21&gt;0,'Decode'!$P$21,'Decode'!$P$12)&gt;1,'Decode'!$P$24&lt;&gt;0),1,0)</x:f>
        <x:v>0</x:v>
      </x:c>
      <x:c r="I67" s="34" t="n">
        <x:f>E67*F67/1048576</x:f>
        <x:v>112</x:v>
      </x:c>
      <x:c r="J67" s="34" t="n">
        <x:f>I67*(IF(G67&gt;1,(G67-1)/G67,0))</x:f>
        <x:v>98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SP</x:v>
      </x:c>
      <x:c r="B68" s="30" t="str">
        <x:v>Attention</x:v>
      </x:c>
      <x:c r="C68" s="30" t="str">
        <x:v>Attention 前</x:v>
      </x:c>
      <x:c r="D68" s="30" t="str">
        <x:v>Ring AllGather</x:v>
      </x:c>
      <x:c r="E68" s="33" t="n">
        <x:f>((ROUNDUP('Decode'!$P$7/'Decode'!$P$12,0)*'Decode'!$P$12)/'Decode'!$P$12)*7168</x:f>
        <x:v>917504</x:v>
      </x:c>
      <x:c r="F68" s="33" t="n">
        <x:f>'Decode'!$P$28</x:f>
        <x:v>2</x:v>
      </x:c>
      <x:c r="G68" s="33" t="n">
        <x:f>'Decode'!$P$12</x:f>
        <x:v>8</x:v>
      </x:c>
      <x:c r="H68" s="33" t="n">
        <x:f>93*IF(AND('Decode'!$P$13&lt;&gt;0,'Decode'!$P$12&gt;1,'Decode'!$P$22=0),1,0)</x:f>
        <x:v>93</x:v>
      </x:c>
      <x:c r="I68" s="34" t="n">
        <x:f>E68*F68/1048576</x:f>
        <x:v>1.75</x:v>
      </x:c>
      <x:c r="J68" s="34" t="n">
        <x:f>I68*(IF(G68&gt;1,G68-1,0))</x:f>
        <x:v>12.25</x:v>
      </x:c>
      <x:c r="K68" s="34" t="n">
        <x:f>J68*H68</x:f>
        <x:v>1139.25</x:v>
      </x:c>
      <x:c r="L68" s="34" t="n">
        <x:f>K68*G68</x:f>
        <x:v>9114</x:v>
      </x:c>
      <x:c r="M68" s="30"/>
      <x:c r="N68" s="30"/>
      <x:c r="O68" s="30"/>
      <x:c r="P68" s="30"/>
    </x:row>
    <x:row r="69">
      <x:c r="A69" s="30" t="str">
        <x:v>SP</x:v>
      </x:c>
      <x:c r="B69" s="30" t="str">
        <x:v>Attention</x:v>
      </x:c>
      <x:c r="C69" s="30" t="str">
        <x:v>O Proj 后</x:v>
      </x:c>
      <x:c r="D69" s="30" t="str">
        <x:v>Ring ReduceScatter</x:v>
      </x:c>
      <x:c r="E69" s="33" t="n">
        <x:f>(ROUNDUP('Decode'!$P$7/'Decode'!$P$12,0)*'Decode'!$P$12)*7168</x:f>
        <x:v>7340032</x:v>
      </x:c>
      <x:c r="F69" s="33" t="n">
        <x:f>'Decode'!$P$28</x:f>
        <x:v>2</x:v>
      </x:c>
      <x:c r="G69" s="33" t="n">
        <x:f>'Decode'!$P$12</x:f>
        <x:v>8</x:v>
      </x:c>
      <x:c r="H69" s="33" t="n">
        <x:f>93*IF(AND('Decode'!$P$13&lt;&gt;0,'Decode'!$P$12&gt;1,'Decode'!$P$22=0),1,0)</x:f>
        <x:v>93</x:v>
      </x:c>
      <x:c r="I69" s="34" t="n">
        <x:f>E69*F69/1048576</x:f>
        <x:v>14</x:v>
      </x:c>
      <x:c r="J69" s="34" t="n">
        <x:f>I69*(IF(G69&gt;1,(G69-1)/G69,0))</x:f>
        <x:v>12.25</x:v>
      </x:c>
      <x:c r="K69" s="34" t="n">
        <x:f>J69*H69</x:f>
        <x:v>1139.25</x:v>
      </x:c>
      <x:c r="L69" s="34" t="n">
        <x:f>K69*G69</x:f>
        <x:v>9114</x:v>
      </x:c>
      <x:c r="M69" s="30"/>
      <x:c r="N69" s="30"/>
      <x:c r="O69" s="30"/>
      <x:c r="P69" s="30"/>
    </x:row>
    <x:row r="70">
      <x:c r="A70" s="30" t="str">
        <x:v>O Proj TP</x:v>
      </x:c>
      <x:c r="B70" s="30" t="str">
        <x:v>Attention</x:v>
      </x:c>
      <x:c r="C70" s="30" t="str">
        <x:v>非 SP 标准 TP</x:v>
      </x:c>
      <x:c r="D70" s="30" t="str">
        <x:v>Ring AllReduce</x:v>
      </x:c>
      <x:c r="E70" s="33" t="n">
        <x:f>'Decode'!$P$7*7168</x:f>
        <x:v>7340032</x:v>
      </x:c>
      <x:c r="F70" s="33" t="n">
        <x:f>'Decode'!$P$28</x:f>
        <x:v>2</x:v>
      </x:c>
      <x:c r="G70" s="33" t="n">
        <x:f>IF('Decode'!$P$19&gt;0,'Decode'!$P$19,'Decode'!$P$12)</x:f>
        <x:v>8</x:v>
      </x:c>
      <x:c r="H70" s="33" t="n">
        <x:f>93*IF(AND('Decode'!$P$13=0,IF('Decode'!$P$19&gt;0,'Decode'!$P$19,'Decode'!$P$12)&gt;1,'Decode'!$P$22=0),1,0)</x:f>
        <x:v>0</x:v>
      </x:c>
      <x:c r="I70" s="34" t="n">
        <x:f>E70*F70/1048576</x:f>
        <x:v>14</x:v>
      </x:c>
      <x:c r="J70" s="34" t="n">
        <x:f>I70*(IF(G70&gt;1,2*(G70-1)/G70,0))</x:f>
        <x:v>24.5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Fine O TP</x:v>
      </x:c>
      <x:c r="B71" s="30" t="str">
        <x:v>Attention</x:v>
      </x:c>
      <x:c r="C71" s="30" t="str">
        <x:v>O Proj 输入</x:v>
      </x:c>
      <x:c r="D71" s="30" t="str">
        <x:v>Equal-split AllToAll</x:v>
      </x:c>
      <x:c r="E71" s="33" t="n">
        <x:f>'Decode'!$P$7*12288</x:f>
        <x:v>12582912</x:v>
      </x:c>
      <x:c r="F71" s="33" t="n">
        <x:f>'Decode'!$P$28</x:f>
        <x:v>2</x:v>
      </x:c>
      <x:c r="G71" s="33" t="n">
        <x:f>IF('Decode'!$P$19&gt;0,'Decode'!$P$19,'Decode'!$P$12)</x:f>
        <x:v>8</x:v>
      </x:c>
      <x:c r="H71" s="33" t="n">
        <x:f>93*IF(AND(IF('Decode'!$P$19&gt;0,'Decode'!$P$19,'Decode'!$P$12)&gt;1,'Decode'!$P$22&lt;&gt;0),1,0)</x:f>
        <x:v>0</x:v>
      </x:c>
      <x:c r="I71" s="34" t="n">
        <x:f>E71*F71/1048576</x:f>
        <x:v>24</x:v>
      </x:c>
      <x:c r="J71" s="34" t="n">
        <x:f>I71*(IF(G71&gt;1,(G71-1)/G71,0))</x:f>
        <x:v>21</x:v>
      </x:c>
      <x:c r="K71" s="34" t="n">
        <x:f>J71*H71</x:f>
        <x:v>0</x:v>
      </x:c>
      <x:c r="L71" s="34" t="n">
        <x:f>K71*G71</x:f>
        <x:v>0</x:v>
      </x:c>
      <x:c r="M71" s="30"/>
      <x:c r="N71" s="30"/>
      <x:c r="O71" s="30"/>
      <x:c r="P71" s="30"/>
    </x:row>
    <x:row r="72">
      <x:c r="A72" s="30" t="str">
        <x:v>Fine O TP</x:v>
      </x:c>
      <x:c r="B72" s="30" t="str">
        <x:v>Attention</x:v>
      </x:c>
      <x:c r="C72" s="30" t="str">
        <x:v>O Proj 输出</x:v>
      </x:c>
      <x:c r="D72" s="30" t="str">
        <x:v>Ring ReduceScatter</x:v>
      </x:c>
      <x:c r="E72" s="33" t="n">
        <x:f>'Decode'!$P$7*IF('Decode'!$P$19&gt;0,'Decode'!$P$19,'Decode'!$P$12)*7168</x:f>
        <x:v>58720256</x:v>
      </x:c>
      <x:c r="F72" s="33" t="n">
        <x:f>'Decode'!$P$28</x:f>
        <x:v>2</x:v>
      </x:c>
      <x:c r="G72" s="33" t="n">
        <x:f>IF('Decode'!$P$19&gt;0,'Decode'!$P$19,'Decode'!$P$12)</x:f>
        <x:v>8</x:v>
      </x:c>
      <x:c r="H72" s="33" t="n">
        <x:f>93*IF(AND(IF('Decode'!$P$19&gt;0,'Decode'!$P$19,'Decode'!$P$12)&gt;1,'Decode'!$P$22&lt;&gt;0),1,0)</x:f>
        <x:v>0</x:v>
      </x:c>
      <x:c r="I72" s="34" t="n">
        <x:f>E72*F72/1048576</x:f>
        <x:v>112</x:v>
      </x:c>
      <x:c r="J72" s="34" t="n">
        <x:f>I72*(IF(G72&gt;1,(G72-1)/G72,0))</x:f>
        <x:v>98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SP</x:v>
      </x:c>
      <x:c r="B73" s="30" t="str">
        <x:v>Dense MLP</x:v>
      </x:c>
      <x:c r="C73" s="30" t="str">
        <x:v>Down Proj 输出</x:v>
      </x:c>
      <x:c r="D73" s="30" t="str">
        <x:v>Ring AllReduce</x:v>
      </x:c>
      <x:c r="E73" s="33" t="n">
        <x:f>IF('Decode'!$P$13&lt;&gt;0,((ROUNDUP('Decode'!$P$7/'Decode'!$P$12,0)*'Decode'!$P$12)/'Decode'!$P$12),'Decode'!$P$7)*7168</x:f>
        <x:v>917504</x:v>
      </x:c>
      <x:c r="F73" s="33" t="n">
        <x:f>'Decode'!$P$28</x:f>
        <x:v>2</x:v>
      </x:c>
      <x:c r="G73" s="33" t="n">
        <x:f>'Decode'!$P$12</x:f>
        <x:v>8</x:v>
      </x:c>
      <x:c r="H73" s="33" t="n">
        <x:f>1*IF('Decode'!$P$12&gt;1,1,0)</x:f>
        <x:v>1</x:v>
      </x:c>
      <x:c r="I73" s="34" t="n">
        <x:f>E73*F73/1048576</x:f>
        <x:v>1.75</x:v>
      </x:c>
      <x:c r="J73" s="34" t="n">
        <x:f>I73*(IF(G73&gt;1,2*(G73-1)/G73,0))</x:f>
        <x:v>3.0625</x:v>
      </x:c>
      <x:c r="K73" s="34" t="n">
        <x:f>J73*H73</x:f>
        <x:v>3.0625</x:v>
      </x:c>
      <x:c r="L73" s="34" t="n">
        <x:f>K73*G73</x:f>
        <x:v>24.5</x:v>
      </x:c>
      <x:c r="M73" s="30"/>
      <x:c r="N73" s="30"/>
      <x:c r="O73" s="30"/>
      <x:c r="P73" s="30"/>
    </x:row>
    <x:row r="74">
      <x:c r="A74" s="30" t="str">
        <x:v>EP</x:v>
      </x:c>
      <x:c r="B74" s="30" t="str">
        <x:v>Routed Experts</x:v>
      </x:c>
      <x:c r="C74" s="30" t="str">
        <x:v>Dispatch Hidden</x:v>
      </x:c>
      <x:c r="D74" s="30" t="str">
        <x:v>AllToAllV（跨 Rank 发送）</x:v>
      </x:c>
      <x:c r="E74" s="33" t="n">
        <x:f>IF('Decode'!$P$13&lt;&gt;0,((ROUNDUP('Decode'!$P$7/'Decode'!$P$12,0)*'Decode'!$P$12)/'Decode'!$P$12),'Decode'!$P$7)*16*'Decode'!$P$32*7168</x:f>
        <x:v>12845056</x:v>
      </x:c>
      <x:c r="F74" s="33" t="n">
        <x:f>'Decode'!$P$28</x:f>
        <x:v>2</x:v>
      </x:c>
      <x:c r="G74" s="33" t="n">
        <x:f>'Decode'!$P$14</x:f>
        <x:v>8</x:v>
      </x:c>
      <x:c r="H74" s="33" t="n">
        <x:f>92*IF('Decode'!$P$14&gt;1,1,0)</x:f>
        <x:v>92</x:v>
      </x:c>
      <x:c r="I74" s="34" t="n">
        <x:f>E74*F74/1048576</x:f>
        <x:v>24.5</x:v>
      </x:c>
      <x:c r="J74" s="34" t="n">
        <x:f>I74*(1)</x:f>
        <x:v>24.5</x:v>
      </x:c>
      <x:c r="K74" s="34" t="n">
        <x:f>J74*H74</x:f>
        <x:v>2254</x:v>
      </x:c>
      <x:c r="L74" s="34" t="n">
        <x:f>K74*G74</x:f>
        <x:v>18032</x:v>
      </x:c>
      <x:c r="M74" s="30"/>
      <x:c r="N74" s="30"/>
      <x:c r="O74" s="30"/>
      <x:c r="P74" s="30"/>
    </x:row>
    <x:row r="75">
      <x:c r="A75" s="30" t="str">
        <x:v>EP</x:v>
      </x:c>
      <x:c r="B75" s="30" t="str">
        <x:v>Routed Experts</x:v>
      </x:c>
      <x:c r="C75" s="30" t="str">
        <x:v>Combine Hidden</x:v>
      </x:c>
      <x:c r="D75" s="30" t="str">
        <x:v>AllToAllV（跨 Rank 发送）</x:v>
      </x:c>
      <x:c r="E75" s="33" t="n">
        <x:f>IF('Decode'!$P$13&lt;&gt;0,((ROUNDUP('Decode'!$P$7/'Decode'!$P$12,0)*'Decode'!$P$12)/'Decode'!$P$12),'Decode'!$P$7)*16*'Decode'!$P$32*7168</x:f>
        <x:v>12845056</x:v>
      </x:c>
      <x:c r="F75" s="33" t="n">
        <x:f>'Decode'!$P$28</x:f>
        <x:v>2</x:v>
      </x:c>
      <x:c r="G75" s="33" t="n">
        <x:f>'Decode'!$P$14</x:f>
        <x:v>8</x:v>
      </x:c>
      <x:c r="H75" s="33" t="n">
        <x:f>92*IF('Decode'!$P$14&gt;1,1,0)</x:f>
        <x:v>92</x:v>
      </x:c>
      <x:c r="I75" s="34" t="n">
        <x:f>E75*F75/1048576</x:f>
        <x:v>24.5</x:v>
      </x:c>
      <x:c r="J75" s="34" t="n">
        <x:f>I75*(1)</x:f>
        <x:v>24.5</x:v>
      </x:c>
      <x:c r="K75" s="34" t="n">
        <x:f>J75*H75</x:f>
        <x:v>2254</x:v>
      </x:c>
      <x:c r="L75" s="34" t="n">
        <x:f>K75*G75</x:f>
        <x:v>18032</x:v>
      </x:c>
      <x:c r="M75" s="30"/>
      <x:c r="N75" s="30"/>
      <x:c r="O75" s="30"/>
      <x:c r="P75" s="30"/>
    </x:row>
    <x:row r="76">
      <x:c r="A76" s="30" t="str">
        <x:v>DP</x:v>
      </x:c>
      <x:c r="B76" s="30" t="str">
        <x:v>MoE</x:v>
      </x:c>
      <x:c r="C76" s="30" t="str">
        <x:v>Hidden 输入</x:v>
      </x:c>
      <x:c r="D76" s="30" t="str">
        <x:v>Ring AllGather</x:v>
      </x:c>
      <x:c r="E76" s="33" t="n">
        <x:f>'Decode'!$P$7*7168</x:f>
        <x:v>7340032</x:v>
      </x:c>
      <x:c r="F76" s="33" t="n">
        <x:f>'Decode'!$P$28</x:f>
        <x:v>2</x:v>
      </x:c>
      <x:c r="G76" s="33" t="n">
        <x:f>'Decode'!$P$11</x:f>
        <x:v>1</x:v>
      </x:c>
      <x:c r="H76" s="33" t="n">
        <x:f>92*IF(AND('Decode'!$P$11&gt;1,'Decode'!$P$14=1),1,0)</x:f>
        <x:v>0</x:v>
      </x:c>
      <x:c r="I76" s="34" t="n">
        <x:f>E76*F76/1048576</x:f>
        <x:v>14</x:v>
      </x:c>
      <x:c r="J76" s="34" t="n">
        <x:f>I76*(IF(G76&gt;1,G76-1,0))</x:f>
        <x:v>0</x:v>
      </x:c>
      <x:c r="K76" s="34" t="n">
        <x:f>J76*H76</x:f>
        <x:v>0</x:v>
      </x:c>
      <x:c r="L76" s="34" t="n">
        <x:f>K76*G76</x:f>
        <x:v>0</x:v>
      </x:c>
      <x:c r="M76" s="30"/>
      <x:c r="N76" s="30"/>
      <x:c r="O76" s="30"/>
      <x:c r="P76" s="30"/>
    </x:row>
    <x:row r="77">
      <x:c r="A77" s="30" t="str">
        <x:v>DP</x:v>
      </x:c>
      <x:c r="B77" s="30" t="str">
        <x:v>MoE Router</x:v>
      </x:c>
      <x:c r="C77" s="30" t="str">
        <x:v>Router Logits</x:v>
      </x:c>
      <x:c r="D77" s="30" t="str">
        <x:v>Ring AllGather</x:v>
      </x:c>
      <x:c r="E77" s="33" t="n">
        <x:f>'Decode'!$P$7*896</x:f>
        <x:v>917504</x:v>
      </x:c>
      <x:c r="F77" s="33" t="n">
        <x:f>'Decode'!$P$28</x:f>
        <x:v>2</x:v>
      </x:c>
      <x:c r="G77" s="33" t="n">
        <x:f>'Decode'!$P$11</x:f>
        <x:v>1</x:v>
      </x:c>
      <x:c r="H77" s="33" t="n">
        <x:f>92*IF(AND('Decode'!$P$11&gt;1,'Decode'!$P$14=1),1,0)</x:f>
        <x:v>0</x:v>
      </x:c>
      <x:c r="I77" s="34" t="n">
        <x:f>E77*F77/1048576</x:f>
        <x:v>1.75</x:v>
      </x:c>
      <x:c r="J77" s="34" t="n">
        <x:f>I77*(IF(G77&gt;1,G77-1,0))</x:f>
        <x:v>0</x:v>
      </x:c>
      <x:c r="K77" s="34" t="n">
        <x:f>J77*H77</x:f>
        <x:v>0</x:v>
      </x:c>
      <x:c r="L77" s="34" t="n">
        <x:f>K77*G77</x:f>
        <x:v>0</x:v>
      </x:c>
      <x:c r="M77" s="30"/>
      <x:c r="N77" s="30"/>
      <x:c r="O77" s="30"/>
      <x:c r="P77" s="30"/>
    </x:row>
    <x:row r="78">
      <x:c r="A78" s="30" t="str">
        <x:v>DP</x:v>
      </x:c>
      <x:c r="B78" s="30" t="str">
        <x:v>MoE</x:v>
      </x:c>
      <x:c r="C78" s="30" t="str">
        <x:v>Routed Expert 输出</x:v>
      </x:c>
      <x:c r="D78" s="30" t="str">
        <x:v>Ring ReduceScatter</x:v>
      </x:c>
      <x:c r="E78" s="33" t="n">
        <x:f>'Decode'!$P$7*'Decode'!$P$11*7168</x:f>
        <x:v>7340032</x:v>
      </x:c>
      <x:c r="F78" s="33" t="n">
        <x:f>'Decode'!$P$28</x:f>
        <x:v>2</x:v>
      </x:c>
      <x:c r="G78" s="33" t="n">
        <x:f>'Decode'!$P$11</x:f>
        <x:v>1</x:v>
      </x:c>
      <x:c r="H78" s="33" t="n">
        <x:f>92*IF(AND('Decode'!$P$11&gt;1,'Decode'!$P$14=1),1,0)</x:f>
        <x:v>0</x:v>
      </x:c>
      <x:c r="I78" s="34" t="n">
        <x:f>E78*F78/1048576</x:f>
        <x:v>14</x:v>
      </x:c>
      <x:c r="J78" s="34" t="n">
        <x:f>I78*(IF(G78&gt;1,(G78-1)/G78,0))</x:f>
        <x:v>0</x:v>
      </x:c>
      <x:c r="K78" s="34" t="n">
        <x:f>J78*H78</x:f>
        <x:v>0</x:v>
      </x:c>
      <x:c r="L78" s="34" t="n">
        <x:f>K78*G78</x:f>
        <x:v>0</x:v>
      </x:c>
      <x:c r="M78" s="30"/>
      <x:c r="N78" s="30"/>
      <x:c r="O78" s="30"/>
      <x:c r="P78" s="30"/>
    </x:row>
    <x:row r="79">
      <x:c r="A79" s="30" t="str">
        <x:v>共享专家 TP</x:v>
      </x:c>
      <x:c r="B79" s="30" t="str">
        <x:v>Shared Experts</x:v>
      </x:c>
      <x:c r="C79" s="30" t="str">
        <x:v>SP 输入</x:v>
      </x:c>
      <x:c r="D79" s="30" t="str">
        <x:v>Ring AllGather</x:v>
      </x:c>
      <x:c r="E79" s="33" t="n">
        <x:f>((ROUNDUP('Decode'!$P$7/'Decode'!$P$12,0)*'Decode'!$P$12)/'Decode'!$P$12)*7168</x:f>
        <x:v>917504</x:v>
      </x:c>
      <x:c r="F79" s="33" t="n">
        <x:f>'Decode'!$P$28</x:f>
        <x:v>2</x:v>
      </x:c>
      <x:c r="G79" s="33" t="n">
        <x:f>IF('Decode'!$P$17="TP",'Decode'!$P$18,1)</x:f>
        <x:v>8</x:v>
      </x:c>
      <x:c r="H79" s="33" t="n">
        <x:f>92*IF(AND('Decode'!$P$17="TP",IF('Decode'!$P$17="TP",'Decode'!$P$18,1)&gt;1,'Decode'!$P$13&lt;&gt;0),1,0)</x:f>
        <x:v>92</x:v>
      </x:c>
      <x:c r="I79" s="34" t="n">
        <x:f>E79*F79/1048576</x:f>
        <x:v>1.75</x:v>
      </x:c>
      <x:c r="J79" s="34" t="n">
        <x:f>I79*(IF(G79&gt;1,G79-1,0))</x:f>
        <x:v>12.25</x:v>
      </x:c>
      <x:c r="K79" s="34" t="n">
        <x:f>J79*H79</x:f>
        <x:v>1127</x:v>
      </x:c>
      <x:c r="L79" s="34" t="n">
        <x:f>K79*G79</x:f>
        <x:v>9016</x:v>
      </x:c>
      <x:c r="M79" s="30"/>
      <x:c r="N79" s="30"/>
      <x:c r="O79" s="30"/>
      <x:c r="P79" s="30"/>
    </x:row>
    <x:row r="80">
      <x:c r="A80" s="30" t="str">
        <x:v>共享专家 TP</x:v>
      </x:c>
      <x:c r="B80" s="30" t="str">
        <x:v>Shared Experts</x:v>
      </x:c>
      <x:c r="C80" s="30" t="str">
        <x:v>SP 输出</x:v>
      </x:c>
      <x:c r="D80" s="30" t="str">
        <x:v>Ring ReduceScatter</x:v>
      </x:c>
      <x:c r="E80" s="33" t="n">
        <x:f>(ROUNDUP('Decode'!$P$7/'Decode'!$P$12,0)*'Decode'!$P$12)*7168</x:f>
        <x:v>7340032</x:v>
      </x:c>
      <x:c r="F80" s="33" t="n">
        <x:f>'Decode'!$P$28</x:f>
        <x:v>2</x:v>
      </x:c>
      <x:c r="G80" s="33" t="n">
        <x:f>IF('Decode'!$P$17="TP",'Decode'!$P$18,1)</x:f>
        <x:v>8</x:v>
      </x:c>
      <x:c r="H80" s="33" t="n">
        <x:f>92*IF(AND('Decode'!$P$17="TP",IF('Decode'!$P$17="TP",'Decode'!$P$18,1)&gt;1,'Decode'!$P$13&lt;&gt;0),1,0)</x:f>
        <x:v>92</x:v>
      </x:c>
      <x:c r="I80" s="34" t="n">
        <x:f>E80*F80/1048576</x:f>
        <x:v>14</x:v>
      </x:c>
      <x:c r="J80" s="34" t="n">
        <x:f>I80*(IF(G80&gt;1,(G80-1)/G80,0))</x:f>
        <x:v>12.25</x:v>
      </x:c>
      <x:c r="K80" s="34" t="n">
        <x:f>J80*H80</x:f>
        <x:v>1127</x:v>
      </x:c>
      <x:c r="L80" s="34" t="n">
        <x:f>K80*G80</x:f>
        <x:v>9016</x:v>
      </x:c>
      <x:c r="M80" s="30"/>
      <x:c r="N80" s="30"/>
      <x:c r="O80" s="30"/>
      <x:c r="P80" s="30"/>
    </x:row>
    <x:row r="81">
      <x:c r="A81" s="30" t="str">
        <x:v>共享专家 TP</x:v>
      </x:c>
      <x:c r="B81" s="30" t="str">
        <x:v>Shared Experts</x:v>
      </x:c>
      <x:c r="C81" s="30" t="str">
        <x:v>非 SP 输出</x:v>
      </x:c>
      <x:c r="D81" s="30" t="str">
        <x:v>Ring AllReduce</x:v>
      </x:c>
      <x:c r="E81" s="33" t="n">
        <x:f>'Decode'!$P$7*7168</x:f>
        <x:v>7340032</x:v>
      </x:c>
      <x:c r="F81" s="33" t="n">
        <x:f>'Decode'!$P$28</x:f>
        <x:v>2</x:v>
      </x:c>
      <x:c r="G81" s="33" t="n">
        <x:f>IF('Decode'!$P$17="TP",'Decode'!$P$18,1)</x:f>
        <x:v>8</x:v>
      </x:c>
      <x:c r="H81" s="33" t="n">
        <x:f>92*IF(AND('Decode'!$P$17="TP",IF('Decode'!$P$17="TP",'Decode'!$P$18,1)&gt;1,'Decode'!$P$13=0),1,0)</x:f>
        <x:v>0</x:v>
      </x:c>
      <x:c r="I81" s="34" t="n">
        <x:f>E81*F81/1048576</x:f>
        <x:v>14</x:v>
      </x:c>
      <x:c r="J81" s="34" t="n">
        <x:f>I81*(IF(G81&gt;1,2*(G81-1)/G81,0))</x:f>
        <x:v>24.5</x:v>
      </x:c>
      <x:c r="K81" s="34" t="n">
        <x:f>J81*H81</x:f>
        <x:v>0</x:v>
      </x:c>
      <x:c r="L81" s="34" t="n">
        <x:f>K81*G81</x:f>
        <x:v>0</x:v>
      </x:c>
      <x:c r="M81" s="30"/>
      <x:c r="N81" s="30"/>
      <x:c r="O81" s="30"/>
      <x:c r="P81" s="30"/>
    </x:row>
    <x:row r="82">
      <x:c r="A82" s="30" t="str">
        <x:v>DCP</x:v>
      </x:c>
      <x:c r="B82" s="30" t="str">
        <x:v>Attention</x:v>
      </x:c>
      <x:c r="C82" s="30" t="str">
        <x:v>Query</x:v>
      </x:c>
      <x:c r="D82" s="30" t="str">
        <x:v>Ring AllGather</x:v>
      </x:c>
      <x:c r="E82" s="33" t="n">
        <x:f>'Decode'!$P$7*(96/'Decode'!$P$12)*128</x:f>
        <x:v>1572864</x:v>
      </x:c>
      <x:c r="F82" s="33" t="n">
        <x:f>'Decode'!$P$28</x:f>
        <x:v>2</x:v>
      </x:c>
      <x:c r="G82" s="33" t="n">
        <x:f>'Decode'!$P$16</x:f>
        <x:v>1</x:v>
      </x:c>
      <x:c r="H82" s="33" t="n">
        <x:f>24*IF('Decode'!$P$16&gt;1,1,0)</x:f>
        <x:v>0</x:v>
      </x:c>
      <x:c r="I82" s="34" t="n">
        <x:f>E82*F82/1048576</x:f>
        <x:v>3</x:v>
      </x:c>
      <x:c r="J82" s="34" t="n">
        <x:f>I82*(IF(G82&gt;1,G82-1,0))</x:f>
        <x:v>0</x:v>
      </x:c>
      <x:c r="K82" s="34" t="n">
        <x:f>J82*H82</x:f>
        <x:v>0</x:v>
      </x:c>
      <x:c r="L82" s="34" t="n">
        <x:f>K82*G82</x:f>
        <x:v>0</x:v>
      </x:c>
      <x:c r="M82" s="30"/>
      <x:c r="N82" s="30"/>
      <x:c r="O82" s="30"/>
      <x:c r="P82" s="30"/>
    </x:row>
    <x:row r="83">
      <x:c r="A83" s="30" t="str">
        <x:v>DCP</x:v>
      </x:c>
      <x:c r="B83" s="30" t="str">
        <x:v>Attention</x:v>
      </x:c>
      <x:c r="C83" s="30" t="str">
        <x:v>LSE</x:v>
      </x:c>
      <x:c r="D83" s="30" t="str">
        <x:v>Ring AllGather</x:v>
      </x:c>
      <x:c r="E83" s="33" t="n">
        <x:f>'Decode'!$P$7*(96*'Decode'!$P$16/'Decode'!$P$12)</x:f>
        <x:v>12288</x:v>
      </x:c>
      <x:c r="F83" s="33" t="n">
        <x:f>'Decode'!$P$29</x:f>
        <x:v>4</x:v>
      </x:c>
      <x:c r="G83" s="33" t="n">
        <x:f>'Decode'!$P$16</x:f>
        <x:v>1</x:v>
      </x:c>
      <x:c r="H83" s="33" t="n">
        <x:f>24*IF('Decode'!$P$16&gt;1,1,0)</x:f>
        <x:v>0</x:v>
      </x:c>
      <x:c r="I83" s="34" t="n">
        <x:f>E83*F83/1048576</x:f>
        <x:v>0.046875</x:v>
      </x:c>
      <x:c r="J83" s="34" t="n">
        <x:f>I83*(IF(G83&gt;1,G83-1,0))</x:f>
        <x:v>0</x:v>
      </x:c>
      <x:c r="K83" s="34" t="n">
        <x:f>J83*H83</x:f>
        <x:v>0</x:v>
      </x:c>
      <x:c r="L83" s="34" t="n">
        <x:f>K83*G83</x:f>
        <x:v>0</x:v>
      </x:c>
      <x:c r="M83" s="30"/>
      <x:c r="N83" s="30"/>
      <x:c r="O83" s="30"/>
      <x:c r="P83" s="30"/>
    </x:row>
    <x:row r="84">
      <x:c r="A84" s="30" t="str">
        <x:v>DCP</x:v>
      </x:c>
      <x:c r="B84" s="30" t="str">
        <x:v>Attention</x:v>
      </x:c>
      <x:c r="C84" s="30" t="str">
        <x:v>Attention 输出</x:v>
      </x:c>
      <x:c r="D84" s="30" t="str">
        <x:v>Ring ReduceScatter</x:v>
      </x:c>
      <x:c r="E84" s="33" t="n">
        <x:f>'Decode'!$P$7*(96*'Decode'!$P$16/'Decode'!$P$12)*128</x:f>
        <x:v>1572864</x:v>
      </x:c>
      <x:c r="F84" s="33" t="n">
        <x:f>'Decode'!$P$28</x:f>
        <x:v>2</x:v>
      </x:c>
      <x:c r="G84" s="33" t="n">
        <x:f>'Decode'!$P$16</x:f>
        <x:v>1</x:v>
      </x:c>
      <x:c r="H84" s="33" t="n">
        <x:f>24*IF('Decode'!$P$16&gt;1,1,0)</x:f>
        <x:v>0</x:v>
      </x:c>
      <x:c r="I84" s="34" t="n">
        <x:f>E84*F84/1048576</x:f>
        <x:v>3</x:v>
      </x:c>
      <x:c r="J84" s="34" t="n">
        <x:f>I84*(IF(G84&gt;1,(G84-1)/G84,0))</x:f>
        <x:v>0</x:v>
      </x:c>
      <x:c r="K84" s="34" t="n">
        <x:f>J84*H84</x:f>
        <x:v>0</x:v>
      </x:c>
      <x:c r="L84" s="34" t="n">
        <x:f>K84*G84</x:f>
        <x:v>0</x:v>
      </x:c>
      <x:c r="M84" s="30"/>
      <x:c r="N84" s="30"/>
      <x:c r="O84" s="30"/>
      <x:c r="P84" s="30"/>
    </x:row>
    <x:row r="85">
      <x:c r="A85" s="30" t="str">
        <x:v>SP</x:v>
      </x:c>
      <x:c r="B85" s="30" t="str">
        <x:v>Model Output</x:v>
      </x:c>
      <x:c r="C85" s="30" t="str">
        <x:v>Final Norm 后</x:v>
      </x:c>
      <x:c r="D85" s="30" t="str">
        <x:v>Ring AllGather</x:v>
      </x:c>
      <x:c r="E85" s="33" t="n">
        <x:f>((ROUNDUP('Decode'!$P$7/'Decode'!$P$12,0)*'Decode'!$P$12)/'Decode'!$P$12)*7168</x:f>
        <x:v>917504</x:v>
      </x:c>
      <x:c r="F85" s="33" t="n">
        <x:f>'Decode'!$P$28</x:f>
        <x:v>2</x:v>
      </x:c>
      <x:c r="G85" s="33" t="n">
        <x:f>'Decode'!$P$12</x:f>
        <x:v>8</x:v>
      </x:c>
      <x:c r="H85" s="33" t="n">
        <x:f>IF(AND('Decode'!$P$13&lt;&gt;0,'Decode'!$P$12&gt;1),1,0)</x:f>
        <x:v>1</x:v>
      </x:c>
      <x:c r="I85" s="34" t="n">
        <x:f>E85*F85/1048576</x:f>
        <x:v>1.75</x:v>
      </x:c>
      <x:c r="J85" s="34" t="n">
        <x:f>I85*(IF(G85&gt;1,G85-1,0))</x:f>
        <x:v>12.25</x:v>
      </x:c>
      <x:c r="K85" s="34" t="n">
        <x:f>J85*H85</x:f>
        <x:v>12.25</x:v>
      </x:c>
      <x:c r="L85" s="34" t="n">
        <x:f>K85*G85</x:f>
        <x:v>98</x:v>
      </x:c>
      <x:c r="M85" s="30"/>
      <x:c r="N85" s="30"/>
      <x:c r="O85" s="30"/>
      <x:c r="P85" s="30"/>
    </x:row>
    <x:row r="86">
      <x:c r="A86" s="30" t="str">
        <x:v>LM Head TP</x:v>
      </x:c>
      <x:c r="B86" s="30" t="str">
        <x:v>LM Head</x:v>
      </x:c>
      <x:c r="C86" s="30" t="str">
        <x:v>完整 Logits</x:v>
      </x:c>
      <x:c r="D86" s="30" t="str">
        <x:v>Ring AllGather</x:v>
      </x:c>
      <x:c r="E86" s="33" t="n">
        <x:f>'Decode'!$P$8*163840/IF('Decode'!$P$20&gt;0,'Decode'!$P$20,'Decode'!$P$12)</x:f>
        <x:v>20971520</x:v>
      </x:c>
      <x:c r="F86" s="33" t="n">
        <x:f>'Decode'!$P$28</x:f>
        <x:v>2</x:v>
      </x:c>
      <x:c r="G86" s="33" t="n">
        <x:f>IF('Decode'!$P$20&gt;0,'Decode'!$P$20,'Decode'!$P$12)</x:f>
        <x:v>8</x:v>
      </x:c>
      <x:c r="H86" s="33" t="n">
        <x:f>IF(AND(IF('Decode'!$P$20&gt;0,'Decode'!$P$20,'Decode'!$P$12)&gt;1,'Decode'!$P$23=0,'Decode'!$P$33=0),1,0)</x:f>
        <x:v>0</x:v>
      </x:c>
      <x:c r="I86" s="34" t="n">
        <x:f>E86*F86/1048576</x:f>
        <x:v>40</x:v>
      </x:c>
      <x:c r="J86" s="34" t="n">
        <x:f>I86*(IF(G86&gt;1,G86-1,0))</x:f>
        <x:v>280</x:v>
      </x:c>
      <x:c r="K86" s="34" t="n">
        <x:f>J86*H86</x:f>
        <x:v>0</x:v>
      </x:c>
      <x:c r="L86" s="34" t="n">
        <x:f>K86*G86</x:f>
        <x:v>0</x:v>
      </x:c>
      <x:c r="M86" s="30"/>
      <x:c r="N86" s="30"/>
      <x:c r="O86" s="30"/>
      <x:c r="P86" s="30"/>
    </x:row>
    <x:row r="87">
      <x:c r="A87" s="30" t="str">
        <x:v>LM Head TP</x:v>
      </x:c>
      <x:c r="B87" s="30" t="str">
        <x:v>LM Head</x:v>
      </x:c>
      <x:c r="C87" s="30" t="str">
        <x:v>Reduce Sample</x:v>
      </x:c>
      <x:c r="D87" s="30" t="str">
        <x:v>Ring AllGather</x:v>
      </x:c>
      <x:c r="E87" s="33" t="n">
        <x:f>'Decode'!$P$8*'Decode'!$P$34</x:f>
        <x:v>262144</x:v>
      </x:c>
      <x:c r="F87" s="33" t="n">
        <x:f>('Decode'!$P$28+'Decode'!$P$31)</x:f>
        <x:v>6</x:v>
      </x:c>
      <x:c r="G87" s="33" t="n">
        <x:f>IF('Decode'!$P$20&gt;0,'Decode'!$P$20,'Decode'!$P$12)</x:f>
        <x:v>8</x:v>
      </x:c>
      <x:c r="H87" s="33" t="n">
        <x:f>IF(AND(IF('Decode'!$P$20&gt;0,'Decode'!$P$20,'Decode'!$P$12)&gt;1,'Decode'!$P$23=0,'Decode'!$P$33&lt;&gt;0),1,0)</x:f>
        <x:v>1</x:v>
      </x:c>
      <x:c r="I87" s="34" t="n">
        <x:f>E87*F87/1048576</x:f>
        <x:v>1.5</x:v>
      </x:c>
      <x:c r="J87" s="34" t="n">
        <x:f>I87*(IF(G87&gt;1,G87-1,0))</x:f>
        <x:v>10.5</x:v>
      </x:c>
      <x:c r="K87" s="34" t="n">
        <x:f>J87*H87</x:f>
        <x:v>10.5</x:v>
      </x:c>
      <x:c r="L87" s="34" t="n">
        <x:f>K87*G87</x:f>
        <x:v>84</x:v>
      </x:c>
      <x:c r="M87" s="30"/>
      <x:c r="N87" s="30"/>
      <x:c r="O87" s="30"/>
      <x:c r="P87" s="30"/>
    </x:row>
    <x:row r="88">
      <x:c r="A88" s="30" t="str">
        <x:v>Fine LM Head TP</x:v>
      </x:c>
      <x:c r="B88" s="30" t="str">
        <x:v>LM Head</x:v>
      </x:c>
      <x:c r="C88" s="30" t="str">
        <x:v>Hidden 输入</x:v>
      </x:c>
      <x:c r="D88" s="30" t="str">
        <x:v>Ring AllGather</x:v>
      </x:c>
      <x:c r="E88" s="33" t="n">
        <x:f>'Decode'!$P$8*7168</x:f>
        <x:v>7340032</x:v>
      </x:c>
      <x:c r="F88" s="33" t="n">
        <x:f>'Decode'!$P$28</x:f>
        <x:v>2</x:v>
      </x:c>
      <x:c r="G88" s="33" t="n">
        <x:f>IF('Decode'!$P$20&gt;0,'Decode'!$P$20,'Decode'!$P$12)</x:f>
        <x:v>8</x:v>
      </x:c>
      <x:c r="H88" s="33" t="n">
        <x:f>IF(AND(IF('Decode'!$P$20&gt;0,'Decode'!$P$20,'Decode'!$P$12)&gt;1,'Decode'!$P$23&lt;&gt;0),1,0)</x:f>
        <x:v>0</x:v>
      </x:c>
      <x:c r="I88" s="34" t="n">
        <x:f>E88*F88/1048576</x:f>
        <x:v>14</x:v>
      </x:c>
      <x:c r="J88" s="34" t="n">
        <x:f>I88*(IF(G88&gt;1,G88-1,0))</x:f>
        <x:v>98</x:v>
      </x:c>
      <x:c r="K88" s="34" t="n">
        <x:f>J88*H88</x:f>
        <x:v>0</x:v>
      </x:c>
      <x:c r="L88" s="34" t="n">
        <x:f>K88*G88</x:f>
        <x:v>0</x:v>
      </x:c>
      <x:c r="M88" s="30"/>
      <x:c r="N88" s="30"/>
      <x:c r="O88" s="30"/>
      <x:c r="P88" s="30"/>
    </x:row>
    <x:row r="89">
      <x:c r="A89" s="30" t="str">
        <x:v>Fine LM Head TP</x:v>
      </x:c>
      <x:c r="B89" s="30" t="str">
        <x:v>LM Head</x:v>
      </x:c>
      <x:c r="C89" s="30" t="str">
        <x:v>完整 Logits</x:v>
      </x:c>
      <x:c r="D89" s="30" t="str">
        <x:v>Equal-split AllToAll</x:v>
      </x:c>
      <x:c r="E89" s="33" t="n">
        <x:f>'Decode'!$P$8*163840</x:f>
        <x:v>167772160</x:v>
      </x:c>
      <x:c r="F89" s="33" t="n">
        <x:f>'Decode'!$P$28</x:f>
        <x:v>2</x:v>
      </x:c>
      <x:c r="G89" s="33" t="n">
        <x:f>IF('Decode'!$P$20&gt;0,'Decode'!$P$20,'Decode'!$P$12)</x:f>
        <x:v>8</x:v>
      </x:c>
      <x:c r="H89" s="33" t="n">
        <x:f>IF(AND(IF('Decode'!$P$20&gt;0,'Decode'!$P$20,'Decode'!$P$12)&gt;1,'Decode'!$P$23&lt;&gt;0,'Decode'!$P$33=0),1,0)</x:f>
        <x:v>0</x:v>
      </x:c>
      <x:c r="I89" s="34" t="n">
        <x:f>E89*F89/1048576</x:f>
        <x:v>320</x:v>
      </x:c>
      <x:c r="J89" s="34" t="n">
        <x:f>I89*(IF(G89&gt;1,(G89-1)/G89,0))</x:f>
        <x:v>280</x:v>
      </x:c>
      <x:c r="K89" s="34" t="n">
        <x:f>J89*H89</x:f>
        <x:v>0</x:v>
      </x:c>
      <x:c r="L89" s="34" t="n">
        <x:f>K89*G89</x:f>
        <x:v>0</x:v>
      </x:c>
      <x:c r="M89" s="30"/>
      <x:c r="N89" s="30"/>
      <x:c r="O89" s="30"/>
      <x:c r="P89" s="30"/>
    </x:row>
    <x:row r="90">
      <x:c r="A90" s="30" t="str">
        <x:v>Fine LM Head TP</x:v>
      </x:c>
      <x:c r="B90" s="30" t="str">
        <x:v>LM Head</x:v>
      </x:c>
      <x:c r="C90" s="30" t="str">
        <x:v>Reduce Sample</x:v>
      </x:c>
      <x:c r="D90" s="30" t="str">
        <x:v>Ring AllGather</x:v>
      </x:c>
      <x:c r="E90" s="33" t="n">
        <x:f>'Decode'!$P$8*'Decode'!$P$34</x:f>
        <x:v>262144</x:v>
      </x:c>
      <x:c r="F90" s="33" t="n">
        <x:f>('Decode'!$P$28+'Decode'!$P$31)</x:f>
        <x:v>6</x:v>
      </x:c>
      <x:c r="G90" s="33" t="n">
        <x:f>IF('Decode'!$P$20&gt;0,'Decode'!$P$20,'Decode'!$P$12)</x:f>
        <x:v>8</x:v>
      </x:c>
      <x:c r="H90" s="33" t="n">
        <x:f>IF(AND(IF('Decode'!$P$20&gt;0,'Decode'!$P$20,'Decode'!$P$12)&gt;1,'Decode'!$P$23&lt;&gt;0,'Decode'!$P$33&lt;&gt;0),1,0)</x:f>
        <x:v>0</x:v>
      </x:c>
      <x:c r="I90" s="34" t="n">
        <x:f>E90*F90/1048576</x:f>
        <x:v>1.5</x:v>
      </x:c>
      <x:c r="J90" s="34" t="n">
        <x:f>I90*(IF(G90&gt;1,G90-1,0))</x:f>
        <x:v>10.5</x:v>
      </x:c>
      <x:c r="K90" s="34" t="n">
        <x:f>J90*H90</x:f>
        <x:v>0</x:v>
      </x:c>
      <x:c r="L90" s="34" t="n">
        <x:f>K90*G90</x:f>
        <x:v>0</x:v>
      </x:c>
      <x:c r="M90" s="30"/>
      <x:c r="N90" s="30"/>
      <x:c r="O90" s="30"/>
      <x:c r="P90" s="30"/>
    </x:row>
    <x:row r="91">
      <x:c r="A91" s="40" t="str">
        <x:v>合计</x:v>
      </x:c>
      <x:c r="B91" s="40"/>
      <x:c r="C91" s="40"/>
      <x:c r="D91" s="40"/>
      <x:c r="E91" s="40"/>
      <x:c r="F91" s="40"/>
      <x:c r="G91" s="40"/>
      <x:c r="H91" s="40"/>
      <x:c r="I91" s="41"/>
      <x:c r="J91" s="41"/>
      <x:c r="K91" s="41" t="n">
        <x:f>SUM(K65:K90)</x:f>
        <x:v>9090.8125</x:v>
      </x:c>
      <x:c r="L91" s="41" t="n">
        <x:f>SUM(L65:L90)</x:f>
        <x:v>72726.5</x:v>
      </x:c>
      <x:c r="M91" s="30"/>
      <x:c r="N91" s="30"/>
      <x:c r="O91" s="30"/>
      <x:c r="P91" s="30"/>
    </x:row>
    <x:row r="94" ht="15" customHeight="1">
      <x:c r="A94" s="40" t="str">
        <x:v>PD 带宽争用耗时评估</x:v>
      </x:c>
      <x:c r="B94" s="30"/>
      <x:c r="C94" s="30"/>
      <x:c r="D94" s="30"/>
      <x:c r="E94" s="30"/>
      <x:c r="F94" s="30"/>
      <x:c r="G94" s="30"/>
      <x:c r="H94" s="30"/>
      <x:c r="I94" s="30"/>
      <x:c r="J94" s="30"/>
      <x:c r="K94" s="30"/>
      <x:c r="L94" s="30"/>
    </x:row>
    <x:row r="95" ht="15" customHeight="1">
      <x:c r="A95" s="30" t="str">
        <x:v>Decode 当前表参数；100 GB/s 为归一化示例。所列事件的带宽项，不等于完整 forward 耗时。</x:v>
      </x:c>
      <x:c r="B95" s="30"/>
      <x:c r="C95" s="30"/>
      <x:c r="D95" s="30"/>
      <x:c r="E95" s="30"/>
      <x:c r="F95" s="30"/>
      <x:c r="G95" s="30"/>
      <x:c r="H95" s="30"/>
      <x:c r="I95" s="30"/>
      <x:c r="J95" s="30"/>
      <x:c r="K95" s="30"/>
      <x:c r="L95" s="30"/>
    </x:row>
    <x:row r="96" ht="30" customHeight="1">
      <x:c r="A96" s="62" t="str">
        <x:v>带宽降幅</x:v>
      </x:c>
      <x:c r="B96" s="62" t="str">
        <x:v>输入</x:v>
      </x:c>
      <x:c r="C96" s="62" t="str">
        <x:v>争用覆盖率</x:v>
      </x:c>
      <x:c r="D96" s="62" t="str">
        <x:v>输入</x:v>
      </x:c>
      <x:c r="E96" s="62" t="str">
        <x:v>基线 forward ms</x:v>
      </x:c>
      <x:c r="F96" s="62" t="str">
        <x:v>实测输入</x:v>
      </x:c>
      <x:c r="G96" s="62" t="str">
        <x:v>默认带宽 GB/s</x:v>
      </x:c>
      <x:c r="H96" s="62" t="str">
        <x:v>输入</x:v>
      </x:c>
      <x:c r="I96" s="30"/>
      <x:c r="J96" s="30"/>
      <x:c r="K96" s="30"/>
      <x:c r="L96" s="30"/>
    </x:row>
    <x:row r="97" ht="15" customHeight="1">
      <x:c r="A97" s="30"/>
      <x:c r="B97" s="63" t="n">
        <x:v>0.1</x:v>
      </x:c>
      <x:c r="C97" s="30"/>
      <x:c r="D97" s="63" t="n">
        <x:v>1</x:v>
      </x:c>
      <x:c r="E97" s="30"/>
      <x:c r="F97" s="38"/>
      <x:c r="G97" s="30"/>
      <x:c r="H97" s="36" t="n">
        <x:v>100</x:v>
      </x:c>
      <x:c r="I97" s="30"/>
      <x:c r="J97" s="30"/>
      <x:c r="K97" s="30"/>
      <x:c r="L97" s="30"/>
    </x:row>
    <x:row r="98" ht="30" customHeight="1">
      <x:c r="A98" s="62" t="str">
        <x:v>通信基线 ms</x:v>
      </x:c>
      <x:c r="B98" s="62" t="str">
        <x:v>结果</x:v>
      </x:c>
      <x:c r="C98" s="62" t="str">
        <x:v>通信争用后 ms</x:v>
      </x:c>
      <x:c r="D98" s="62" t="str">
        <x:v>结果</x:v>
      </x:c>
      <x:c r="E98" s="62" t="str">
        <x:v>forward 增量 ms</x:v>
      </x:c>
      <x:c r="F98" s="62" t="str">
        <x:v>结果</x:v>
      </x:c>
      <x:c r="G98" s="62" t="str">
        <x:v>forward 新耗时 ms</x:v>
      </x:c>
      <x:c r="H98" s="62" t="str">
        <x:v>结果</x:v>
      </x:c>
      <x:c r="I98" s="62" t="str">
        <x:v>forward 增幅</x:v>
      </x:c>
      <x:c r="J98" s="62" t="str">
        <x:v>结果</x:v>
      </x:c>
      <x:c r="K98" s="62" t="str">
        <x:v>输入状态</x:v>
      </x:c>
      <x:c r="L98" s="62" t="str">
        <x:v>状态</x:v>
      </x:c>
    </x:row>
    <x:row r="99" ht="15" customHeight="1">
      <x:c r="A99" s="49"/>
      <x:c r="B99" s="49" t="n">
        <x:f>SUM(G103:G129)</x:f>
        <x:v>97.08812288</x:v>
      </x:c>
      <x:c r="C99" s="49"/>
      <x:c r="D99" s="49" t="n">
        <x:f>SUM(H103:H129)</x:f>
        <x:v>107.87569208888888</x:v>
      </x:c>
      <x:c r="E99" s="49"/>
      <x:c r="F99" s="49" t="n">
        <x:f>SUM(K103:K129)</x:f>
        <x:v>10.787569208888891</x:v>
      </x:c>
      <x:c r="G99" s="49"/>
      <x:c r="H99" s="49" t="str">
        <x:f>IF(AND(ISNUMBER($F$97),$F$97&gt;0,$F$97&gt;=SUMPRODUCT(G103:G129,J103:J129)),$F$97+F99,"")</x:f>
      </x:c>
      <x:c r="I99" s="49"/>
      <x:c r="J99" s="50" t="str">
        <x:f>IF(AND(ISNUMBER($F$97),$F$97&gt;0,$F$97&gt;=SUMPRODUCT(G103:G129,J103:J129)),F99/$F$97,"")</x:f>
      </x:c>
      <x:c r="K99" s="49"/>
      <x:c r="L99" s="49" t="str">
        <x:f>IF($F$97="","待填基线",IF(AND(ISNUMBER($F$97),$F$97&gt;0,$F$97&gt;=SUMPRODUCT(G103:G129,J103:J129)),"已填基线","基线/暴露不一致"))</x:f>
        <x:v>待填基线</x:v>
      </x:c>
    </x:row>
    <x:row r="100" ht="15" customHeight="1">
      <x:c r="A100" s="30" t="str">
        <x:v>共享比例=0 表示独立链路；暴露系数=0 表示增量完全隐藏。默认均为 1，降幅只作用于带宽项。</x:v>
      </x:c>
      <x:c r="B100" s="30"/>
      <x:c r="C100" s="30"/>
      <x:c r="D100" s="30"/>
      <x:c r="E100" s="30"/>
      <x:c r="F100" s="30"/>
      <x:c r="G100" s="30"/>
      <x:c r="H100" s="30"/>
      <x:c r="I100" s="30"/>
      <x:c r="J100" s="30"/>
      <x:c r="K100" s="30"/>
      <x:c r="L100" s="30"/>
    </x:row>
    <x:row r="101" ht="15" customHeight="1">
      <x:c r="A101" s="30" t="str">
        <x:v>P: AllToAllV + 4 B 计数 Ring；D: A3 BF16 MC2 FullMesh。每事件带宽按端点发送量定义。</x:v>
      </x:c>
      <x:c r="B101" s="30"/>
      <x:c r="C101" s="30"/>
      <x:c r="D101" s="30"/>
      <x:c r="E101" s="30"/>
      <x:c r="F101" s="30"/>
      <x:c r="G101" s="30"/>
      <x:c r="H101" s="30"/>
      <x:c r="I101" s="30"/>
      <x:c r="J101" s="30"/>
      <x:c r="K101" s="30"/>
      <x:c r="L101" s="30"/>
    </x:row>
    <x:row r="102" ht="30" customHeight="1">
      <x:c r="A102" s="62" t="str">
        <x:v>并行域</x:v>
      </x:c>
      <x:c r="B102" s="62" t="str">
        <x:v>模块</x:v>
      </x:c>
      <x:c r="C102" s="62" t="str">
        <x:v>通信事件</x:v>
      </x:c>
      <x:c r="D102" s="62" t="str">
        <x:v>GB/Rank/Step</x:v>
      </x:c>
      <x:c r="E102" s="62" t="str">
        <x:v>有效带宽 GB/s</x:v>
      </x:c>
      <x:c r="F102" s="62" t="str">
        <x:v>共享比例</x:v>
      </x:c>
      <x:c r="G102" s="62" t="str">
        <x:v>基线带宽项 ms</x:v>
      </x:c>
      <x:c r="H102" s="62" t="str">
        <x:v>争用后带宽项 ms</x:v>
      </x:c>
      <x:c r="I102" s="62" t="str">
        <x:v>通信增量 ms</x:v>
      </x:c>
      <x:c r="J102" s="62" t="str">
        <x:v>暴露系数</x:v>
      </x:c>
      <x:c r="K102" s="62" t="str">
        <x:v>forward 增量 ms</x:v>
      </x:c>
      <x:c r="L102" s="62" t="str">
        <x:v>公式口径</x:v>
      </x:c>
    </x:row>
    <x:row r="103" ht="15" customHeight="1">
      <x:c r="A103" s="30" t="str">
        <x:v>Embedding TP</x:v>
      </x:c>
      <x:c r="B103" s="30" t="str">
        <x:v>Embedding</x:v>
      </x:c>
      <x:c r="C103" s="30" t="str">
        <x:v>标准 TP 输出</x:v>
      </x:c>
      <x:c r="D103" s="34" t="n">
        <x:f>(K65*2^20)/1e9</x:f>
        <x:v>0.025690112</x:v>
      </x:c>
      <x:c r="E103" s="64" t="n">
        <x:f>$H$97</x:f>
        <x:v>100</x:v>
      </x:c>
      <x:c r="F103" s="59" t="n">
        <x:v>1</x:v>
      </x:c>
      <x:c r="G103" s="34" t="n">
        <x:f>IF(AND(ISNUMBER(E103),E103&gt;0,ISNUMBER($B$97),$B$97&gt;=0,$B$97&lt;1,ISNUMBER($D$97),$D$97&gt;=0,$D$97&lt;=1,ISNUMBER(F103),F103&gt;=0,F103&lt;=1,ISNUMBER(J103),J103&gt;=0,J103&lt;=1),D103/E103*1000,NA())</x:f>
        <x:v>0.25690112000000004</x:v>
      </x:c>
      <x:c r="H103" s="34" t="n">
        <x:f>G103+I103</x:f>
        <x:v>0.28544568888888894</x:v>
      </x:c>
      <x:c r="I103" s="34" t="n">
        <x:f>G103*F103*$D$97*$B$97/(1-$B$97)</x:f>
        <x:v>0.028544568888888892</x:v>
      </x:c>
      <x:c r="J103" s="59" t="n">
        <x:v>1</x:v>
      </x:c>
      <x:c r="K103" s="34" t="n">
        <x:f>I103*J103</x:f>
        <x:v>0.028544568888888892</x:v>
      </x:c>
      <x:c r="L103" s="30" t="str">
        <x:v>原通信行 65</x:v>
      </x:c>
    </x:row>
    <x:row r="104" ht="15" customHeight="1">
      <x:c r="A104" s="30" t="str">
        <x:v>Embedding TP</x:v>
      </x:c>
      <x:c r="B104" s="30" t="str">
        <x:v>Embedding</x:v>
      </x:c>
      <x:c r="C104" s="30" t="str">
        <x:v>Fine TP Token ID</x:v>
      </x:c>
      <x:c r="D104" s="34" t="n">
        <x:f>(K66*2^20)/1e9</x:f>
        <x:v>0</x:v>
      </x:c>
      <x:c r="E104" s="64" t="n">
        <x:f>$H$97</x:f>
        <x:v>100</x:v>
      </x:c>
      <x:c r="F104" s="59" t="n">
        <x:v>1</x:v>
      </x:c>
      <x:c r="G104" s="34" t="n">
        <x:f>IF(AND(ISNUMBER(E104),E104&gt;0,ISNUMBER($B$97),$B$97&gt;=0,$B$97&lt;1,ISNUMBER($D$97),$D$97&gt;=0,$D$97&lt;=1,ISNUMBER(F104),F104&gt;=0,F104&lt;=1,ISNUMBER(J104),J104&gt;=0,J104&lt;=1),D104/E104*1000,NA())</x:f>
        <x:v>0</x:v>
      </x:c>
      <x:c r="H104" s="34" t="n">
        <x:f>G104+I104</x:f>
        <x:v>0</x:v>
      </x:c>
      <x:c r="I104" s="34" t="n">
        <x:f>G104*F104*$D$97*$B$97/(1-$B$97)</x:f>
        <x:v>0</x:v>
      </x:c>
      <x:c r="J104" s="59" t="n">
        <x:v>1</x:v>
      </x:c>
      <x:c r="K104" s="34" t="n">
        <x:f>I104*J104</x:f>
        <x:v>0</x:v>
      </x:c>
      <x:c r="L104" s="30" t="str">
        <x:v>原通信行 66</x:v>
      </x:c>
    </x:row>
    <x:row r="105" ht="15" customHeight="1">
      <x:c r="A105" s="30" t="str">
        <x:v>Embedding TP</x:v>
      </x:c>
      <x:c r="B105" s="30" t="str">
        <x:v>Embedding</x:v>
      </x:c>
      <x:c r="C105" s="30" t="str">
        <x:v>Fine TP Hidden</x:v>
      </x:c>
      <x:c r="D105" s="34" t="n">
        <x:f>(K67*2^20)/1e9</x:f>
        <x:v>0</x:v>
      </x:c>
      <x:c r="E105" s="64" t="n">
        <x:f>$H$97</x:f>
        <x:v>100</x:v>
      </x:c>
      <x:c r="F105" s="59" t="n">
        <x:v>1</x:v>
      </x:c>
      <x:c r="G105" s="34" t="n">
        <x:f>IF(AND(ISNUMBER(E105),E105&gt;0,ISNUMBER($B$97),$B$97&gt;=0,$B$97&lt;1,ISNUMBER($D$97),$D$97&gt;=0,$D$97&lt;=1,ISNUMBER(F105),F105&gt;=0,F105&lt;=1,ISNUMBER(J105),J105&gt;=0,J105&lt;=1),D105/E105*1000,NA())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G105*F105*$D$97*$B$97/(1-$B$97)</x:f>
        <x:v>0</x:v>
      </x:c>
      <x:c r="J105" s="59" t="n">
        <x:v>1</x:v>
      </x:c>
      <x:c r="K105" s="34" t="n">
        <x:f>I105*J105</x:f>
        <x:v>0</x:v>
      </x:c>
      <x:c r="L105" s="30" t="str">
        <x:v>原通信行 67</x:v>
      </x:c>
    </x:row>
    <x:row r="106" ht="15" customHeight="1">
      <x:c r="A106" s="30" t="str">
        <x:v>SP</x:v>
      </x:c>
      <x:c r="B106" s="30" t="str">
        <x:v>Attention</x:v>
      </x:c>
      <x:c r="C106" s="30" t="str">
        <x:v>Attention 前</x:v>
      </x:c>
      <x:c r="D106" s="34" t="n">
        <x:f>(K68*2^20)/1e9</x:f>
        <x:v>1.194590208</x:v>
      </x:c>
      <x:c r="E106" s="64" t="n">
        <x:f>$H$97</x:f>
        <x:v>100</x:v>
      </x:c>
      <x:c r="F106" s="59" t="n">
        <x:v>1</x:v>
      </x:c>
      <x:c r="G106" s="34" t="n">
        <x:f>IF(AND(ISNUMBER(E106),E106&gt;0,ISNUMBER($B$97),$B$97&gt;=0,$B$97&lt;1,ISNUMBER($D$97),$D$97&gt;=0,$D$97&lt;=1,ISNUMBER(F106),F106&gt;=0,F106&lt;=1,ISNUMBER(J106),J106&gt;=0,J106&lt;=1),D106/E106*1000,NA())</x:f>
        <x:v>11.94590208</x:v>
      </x:c>
      <x:c r="H106" s="34" t="n">
        <x:f>G106+I106</x:f>
        <x:v>13.273224533333334</x:v>
      </x:c>
      <x:c r="I106" s="34" t="n">
        <x:f>G106*F106*$D$97*$B$97/(1-$B$97)</x:f>
        <x:v>1.3273224533333332</x:v>
      </x:c>
      <x:c r="J106" s="59" t="n">
        <x:v>1</x:v>
      </x:c>
      <x:c r="K106" s="34" t="n">
        <x:f>I106*J106</x:f>
        <x:v>1.3273224533333332</x:v>
      </x:c>
      <x:c r="L106" s="30" t="str">
        <x:v>原通信行 68</x:v>
      </x:c>
    </x:row>
    <x:row r="107" ht="15" customHeight="1">
      <x:c r="A107" s="30" t="str">
        <x:v>SP</x:v>
      </x:c>
      <x:c r="B107" s="30" t="str">
        <x:v>Attention</x:v>
      </x:c>
      <x:c r="C107" s="30" t="str">
        <x:v>O Proj 后</x:v>
      </x:c>
      <x:c r="D107" s="34" t="n">
        <x:f>(K69*2^20)/1e9</x:f>
        <x:v>1.194590208</x:v>
      </x:c>
      <x:c r="E107" s="64" t="n">
        <x:f>$H$97</x:f>
        <x:v>100</x:v>
      </x:c>
      <x:c r="F107" s="59" t="n">
        <x:v>1</x:v>
      </x:c>
      <x:c r="G107" s="34" t="n">
        <x:f>IF(AND(ISNUMBER(E107),E107&gt;0,ISNUMBER($B$97),$B$97&gt;=0,$B$97&lt;1,ISNUMBER($D$97),$D$97&gt;=0,$D$97&lt;=1,ISNUMBER(F107),F107&gt;=0,F107&lt;=1,ISNUMBER(J107),J107&gt;=0,J107&lt;=1),D107/E107*1000,NA())</x:f>
        <x:v>11.94590208</x:v>
      </x:c>
      <x:c r="H107" s="34" t="n">
        <x:f>G107+I107</x:f>
        <x:v>13.273224533333334</x:v>
      </x:c>
      <x:c r="I107" s="34" t="n">
        <x:f>G107*F107*$D$97*$B$97/(1-$B$97)</x:f>
        <x:v>1.3273224533333332</x:v>
      </x:c>
      <x:c r="J107" s="59" t="n">
        <x:v>1</x:v>
      </x:c>
      <x:c r="K107" s="34" t="n">
        <x:f>I107*J107</x:f>
        <x:v>1.3273224533333332</x:v>
      </x:c>
      <x:c r="L107" s="30" t="str">
        <x:v>原通信行 69</x:v>
      </x:c>
    </x:row>
    <x:row r="108" ht="15" customHeight="1">
      <x:c r="A108" s="30" t="str">
        <x:v>O Proj TP</x:v>
      </x:c>
      <x:c r="B108" s="30" t="str">
        <x:v>Attention</x:v>
      </x:c>
      <x:c r="C108" s="30" t="str">
        <x:v>非 SP 标准 TP</x:v>
      </x:c>
      <x:c r="D108" s="34" t="n">
        <x:f>(K70*2^20)/1e9</x:f>
        <x:v>0</x:v>
      </x:c>
      <x:c r="E108" s="64" t="n">
        <x:f>$H$97</x:f>
        <x:v>100</x:v>
      </x:c>
      <x:c r="F108" s="59" t="n">
        <x:v>1</x:v>
      </x:c>
      <x:c r="G108" s="34" t="n">
        <x:f>IF(AND(ISNUMBER(E108),E108&gt;0,ISNUMBER($B$97),$B$97&gt;=0,$B$97&lt;1,ISNUMBER($D$97),$D$97&gt;=0,$D$97&lt;=1,ISNUMBER(F108),F108&gt;=0,F108&lt;=1,ISNUMBER(J108),J108&gt;=0,J108&lt;=1),D108/E108*1000,NA())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G108*F108*$D$97*$B$97/(1-$B$97)</x:f>
        <x:v>0</x:v>
      </x:c>
      <x:c r="J108" s="59" t="n">
        <x:v>1</x:v>
      </x:c>
      <x:c r="K108" s="34" t="n">
        <x:f>I108*J108</x:f>
        <x:v>0</x:v>
      </x:c>
      <x:c r="L108" s="30" t="str">
        <x:v>原通信行 70</x:v>
      </x:c>
    </x:row>
    <x:row r="109" ht="15" customHeight="1">
      <x:c r="A109" s="30" t="str">
        <x:v>Fine O TP</x:v>
      </x:c>
      <x:c r="B109" s="30" t="str">
        <x:v>Attention</x:v>
      </x:c>
      <x:c r="C109" s="30" t="str">
        <x:v>O Proj 输入</x:v>
      </x:c>
      <x:c r="D109" s="34" t="n">
        <x:f>(K71*2^20)/1e9</x:f>
        <x:v>0</x:v>
      </x:c>
      <x:c r="E109" s="64" t="n">
        <x:f>$H$97</x:f>
        <x:v>100</x:v>
      </x:c>
      <x:c r="F109" s="59" t="n">
        <x:v>1</x:v>
      </x:c>
      <x:c r="G109" s="34" t="n">
        <x:f>IF(AND(ISNUMBER(E109),E109&gt;0,ISNUMBER($B$97),$B$97&gt;=0,$B$97&lt;1,ISNUMBER($D$97),$D$97&gt;=0,$D$97&lt;=1,ISNUMBER(F109),F109&gt;=0,F109&lt;=1,ISNUMBER(J109),J109&gt;=0,J109&lt;=1),D109/E109*1000,NA())</x:f>
        <x:v>0</x:v>
      </x:c>
      <x:c r="H109" s="34" t="n">
        <x:f>G109+I109</x:f>
        <x:v>0</x:v>
      </x:c>
      <x:c r="I109" s="34" t="n">
        <x:f>G109*F109*$D$97*$B$97/(1-$B$97)</x:f>
        <x:v>0</x:v>
      </x:c>
      <x:c r="J109" s="59" t="n">
        <x:v>1</x:v>
      </x:c>
      <x:c r="K109" s="34" t="n">
        <x:f>I109*J109</x:f>
        <x:v>0</x:v>
      </x:c>
      <x:c r="L109" s="30" t="str">
        <x:v>原通信行 71</x:v>
      </x:c>
    </x:row>
    <x:row r="110" ht="15" customHeight="1">
      <x:c r="A110" s="30" t="str">
        <x:v>Fine O TP</x:v>
      </x:c>
      <x:c r="B110" s="30" t="str">
        <x:v>Attention</x:v>
      </x:c>
      <x:c r="C110" s="30" t="str">
        <x:v>O Proj 输出</x:v>
      </x:c>
      <x:c r="D110" s="34" t="n">
        <x:f>(K72*2^20)/1e9</x:f>
        <x:v>0</x:v>
      </x:c>
      <x:c r="E110" s="64" t="n">
        <x:f>$H$97</x:f>
        <x:v>100</x:v>
      </x:c>
      <x:c r="F110" s="59" t="n">
        <x:v>1</x:v>
      </x:c>
      <x:c r="G110" s="34" t="n">
        <x:f>IF(AND(ISNUMBER(E110),E110&gt;0,ISNUMBER($B$97),$B$97&gt;=0,$B$97&lt;1,ISNUMBER($D$97),$D$97&gt;=0,$D$97&lt;=1,ISNUMBER(F110),F110&gt;=0,F110&lt;=1,ISNUMBER(J110),J110&gt;=0,J110&lt;=1),D110/E110*1000,NA())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G110*F110*$D$97*$B$97/(1-$B$97)</x:f>
        <x:v>0</x:v>
      </x:c>
      <x:c r="J110" s="59" t="n">
        <x:v>1</x:v>
      </x:c>
      <x:c r="K110" s="34" t="n">
        <x:f>I110*J110</x:f>
        <x:v>0</x:v>
      </x:c>
      <x:c r="L110" s="30" t="str">
        <x:v>原通信行 72</x:v>
      </x:c>
    </x:row>
    <x:row r="111" ht="15" customHeight="1">
      <x:c r="A111" s="30" t="str">
        <x:v>SP</x:v>
      </x:c>
      <x:c r="B111" s="30" t="str">
        <x:v>Dense MLP</x:v>
      </x:c>
      <x:c r="C111" s="30" t="str">
        <x:v>Down Proj 输出</x:v>
      </x:c>
      <x:c r="D111" s="34" t="n">
        <x:f>(K73*2^20)/1e9</x:f>
        <x:v>0.003211264</x:v>
      </x:c>
      <x:c r="E111" s="64" t="n">
        <x:f>$H$97</x:f>
        <x:v>100</x:v>
      </x:c>
      <x:c r="F111" s="59" t="n">
        <x:v>1</x:v>
      </x:c>
      <x:c r="G111" s="34" t="n">
        <x:f>IF(AND(ISNUMBER(E111),E111&gt;0,ISNUMBER($B$97),$B$97&gt;=0,$B$97&lt;1,ISNUMBER($D$97),$D$97&gt;=0,$D$97&lt;=1,ISNUMBER(F111),F111&gt;=0,F111&lt;=1,ISNUMBER(J111),J111&gt;=0,J111&lt;=1),D111/E111*1000,NA())</x:f>
        <x:v>0.032112640000000005</x:v>
      </x:c>
      <x:c r="H111" s="34" t="n">
        <x:f>G111+I111</x:f>
        <x:v>0.03568071111111112</x:v>
      </x:c>
      <x:c r="I111" s="34" t="n">
        <x:f>G111*F111*$D$97*$B$97/(1-$B$97)</x:f>
        <x:v>0.0035680711111111115</x:v>
      </x:c>
      <x:c r="J111" s="59" t="n">
        <x:v>1</x:v>
      </x:c>
      <x:c r="K111" s="34" t="n">
        <x:f>I111*J111</x:f>
        <x:v>0.0035680711111111115</x:v>
      </x:c>
      <x:c r="L111" s="30" t="str">
        <x:v>原通信行 73</x:v>
      </x:c>
    </x:row>
    <x:row r="112" ht="15" customHeight="1">
      <x:c r="A112" s="30" t="str">
        <x:v>EP</x:v>
      </x:c>
      <x:c r="B112" s="30" t="str">
        <x:v>Routed Experts</x:v>
      </x:c>
      <x:c r="C112" s="30" t="str">
        <x:v>MC2 FullMesh Dispatch</x:v>
      </x:c>
      <x:c r="D112" s="34" t="n">
        <x:f>(IF(F74=2,E74/7168*H74*(ROUNDUP((ROUNDUP(7168*F74/32,0)*32+32)/480,0)*512),NA()))/1e9</x:f>
        <x:v>2.53231104</x:v>
      </x:c>
      <x:c r="E112" s="64" t="n">
        <x:f>$H$97</x:f>
        <x:v>100</x:v>
      </x:c>
      <x:c r="F112" s="59" t="n">
        <x:v>1</x:v>
      </x:c>
      <x:c r="G112" s="34" t="n">
        <x:f>IF(AND(ISNUMBER(E112),E112&gt;0,ISNUMBER($B$97),$B$97&gt;=0,$B$97&lt;1,ISNUMBER($D$97),$D$97&gt;=0,$D$97&lt;=1,ISNUMBER(F112),F112&gt;=0,F112&lt;=1,ISNUMBER(J112),J112&gt;=0,J112&lt;=1),D112/E112*1000,NA())</x:f>
        <x:v>25.3231104</x:v>
      </x:c>
      <x:c r="H112" s="34" t="n">
        <x:f>G112+I112</x:f>
        <x:v>28.136789333333333</x:v>
      </x:c>
      <x:c r="I112" s="34" t="n">
        <x:f>G112*F112*$D$97*$B$97/(1-$B$97)</x:f>
        <x:v>2.8136789333333336</x:v>
      </x:c>
      <x:c r="J112" s="59" t="n">
        <x:v>1</x:v>
      </x:c>
      <x:c r="K112" s="34" t="n">
        <x:f>I112*J112</x:f>
        <x:v>2.8136789333333336</x:v>
      </x:c>
      <x:c r="L112" s="30" t="str">
        <x:v>原通信行 74</x:v>
      </x:c>
    </x:row>
    <x:row r="113" ht="15" customHeight="1">
      <x:c r="A113" s="30" t="str">
        <x:v>EP</x:v>
      </x:c>
      <x:c r="B113" s="30" t="str">
        <x:v>Routed Experts</x:v>
      </x:c>
      <x:c r="C113" s="30" t="str">
        <x:v>MC2 Combine + flags</x:v>
      </x:c>
      <x:c r="D113" s="34" t="n">
        <x:f>(IF(F75=2,K75*2^20+E75/7168*H75*32,NA()))/1e9</x:f>
        <x:v>2.368765952</x:v>
      </x:c>
      <x:c r="E113" s="64" t="n">
        <x:f>$H$97</x:f>
        <x:v>100</x:v>
      </x:c>
      <x:c r="F113" s="59" t="n">
        <x:v>1</x:v>
      </x:c>
      <x:c r="G113" s="34" t="n">
        <x:f>IF(AND(ISNUMBER(E113),E113&gt;0,ISNUMBER($B$97),$B$97&gt;=0,$B$97&lt;1,ISNUMBER($D$97),$D$97&gt;=0,$D$97&lt;=1,ISNUMBER(F113),F113&gt;=0,F113&lt;=1,ISNUMBER(J113),J113&gt;=0,J113&lt;=1),D113/E113*1000,NA())</x:f>
        <x:v>23.68765952</x:v>
      </x:c>
      <x:c r="H113" s="34" t="n">
        <x:f>G113+I113</x:f>
        <x:v>26.31962168888889</x:v>
      </x:c>
      <x:c r="I113" s="34" t="n">
        <x:f>G113*F113*$D$97*$B$97/(1-$B$97)</x:f>
        <x:v>2.631962168888889</x:v>
      </x:c>
      <x:c r="J113" s="59" t="n">
        <x:v>1</x:v>
      </x:c>
      <x:c r="K113" s="34" t="n">
        <x:f>I113*J113</x:f>
        <x:v>2.631962168888889</x:v>
      </x:c>
      <x:c r="L113" s="30" t="str">
        <x:v>原通信行 75</x:v>
      </x:c>
    </x:row>
    <x:row r="114" ht="15" customHeight="1">
      <x:c r="A114" s="30" t="str">
        <x:v>DP</x:v>
      </x:c>
      <x:c r="B114" s="30" t="str">
        <x:v>MoE</x:v>
      </x:c>
      <x:c r="C114" s="30" t="str">
        <x:v>Hidden 输入</x:v>
      </x:c>
      <x:c r="D114" s="34" t="n">
        <x:f>(K76*2^20)/1e9</x:f>
        <x:v>0</x:v>
      </x:c>
      <x:c r="E114" s="64" t="n">
        <x:f>$H$97</x:f>
        <x:v>100</x:v>
      </x:c>
      <x:c r="F114" s="59" t="n">
        <x:v>1</x:v>
      </x:c>
      <x:c r="G114" s="34" t="n">
        <x:f>IF(AND(ISNUMBER(E114),E114&gt;0,ISNUMBER($B$97),$B$97&gt;=0,$B$97&lt;1,ISNUMBER($D$97),$D$97&gt;=0,$D$97&lt;=1,ISNUMBER(F114),F114&gt;=0,F114&lt;=1,ISNUMBER(J114),J114&gt;=0,J114&lt;=1),D114/E114*1000,NA())</x:f>
        <x:v>0</x:v>
      </x:c>
      <x:c r="H114" s="34" t="n">
        <x:f>G114+I114</x:f>
        <x:v>0</x:v>
      </x:c>
      <x:c r="I114" s="34" t="n">
        <x:f>G114*F114*$D$97*$B$97/(1-$B$97)</x:f>
        <x:v>0</x:v>
      </x:c>
      <x:c r="J114" s="59" t="n">
        <x:v>1</x:v>
      </x:c>
      <x:c r="K114" s="34" t="n">
        <x:f>I114*J114</x:f>
        <x:v>0</x:v>
      </x:c>
      <x:c r="L114" s="30" t="str">
        <x:v>原通信行 76</x:v>
      </x:c>
    </x:row>
    <x:row r="115" ht="15" customHeight="1">
      <x:c r="A115" s="30" t="str">
        <x:v>DP</x:v>
      </x:c>
      <x:c r="B115" s="30" t="str">
        <x:v>MoE Router</x:v>
      </x:c>
      <x:c r="C115" s="30" t="str">
        <x:v>Router Logits</x:v>
      </x:c>
      <x:c r="D115" s="34" t="n">
        <x:f>(K77*2^20)/1e9</x:f>
        <x:v>0</x:v>
      </x:c>
      <x:c r="E115" s="64" t="n">
        <x:f>$H$97</x:f>
        <x:v>100</x:v>
      </x:c>
      <x:c r="F115" s="59" t="n">
        <x:v>1</x:v>
      </x:c>
      <x:c r="G115" s="34" t="n">
        <x:f>IF(AND(ISNUMBER(E115),E115&gt;0,ISNUMBER($B$97),$B$97&gt;=0,$B$97&lt;1,ISNUMBER($D$97),$D$97&gt;=0,$D$97&lt;=1,ISNUMBER(F115),F115&gt;=0,F115&lt;=1,ISNUMBER(J115),J115&gt;=0,J115&lt;=1),D115/E115*1000,NA())</x:f>
        <x:v>0</x:v>
      </x:c>
      <x:c r="H115" s="34" t="n">
        <x:f>G115+I115</x:f>
        <x:v>0</x:v>
      </x:c>
      <x:c r="I115" s="34" t="n">
        <x:f>G115*F115*$D$97*$B$97/(1-$B$97)</x:f>
        <x:v>0</x:v>
      </x:c>
      <x:c r="J115" s="59" t="n">
        <x:v>1</x:v>
      </x:c>
      <x:c r="K115" s="34" t="n">
        <x:f>I115*J115</x:f>
        <x:v>0</x:v>
      </x:c>
      <x:c r="L115" s="30" t="str">
        <x:v>原通信行 77</x:v>
      </x:c>
    </x:row>
    <x:row r="116" ht="15" customHeight="1">
      <x:c r="A116" s="30" t="str">
        <x:v>DP</x:v>
      </x:c>
      <x:c r="B116" s="30" t="str">
        <x:v>MoE</x:v>
      </x:c>
      <x:c r="C116" s="30" t="str">
        <x:v>Routed Expert 输出</x:v>
      </x:c>
      <x:c r="D116" s="34" t="n">
        <x:f>(K78*2^20)/1e9</x:f>
        <x:v>0</x:v>
      </x:c>
      <x:c r="E116" s="64" t="n">
        <x:f>$H$97</x:f>
        <x:v>100</x:v>
      </x:c>
      <x:c r="F116" s="59" t="n">
        <x:v>1</x:v>
      </x:c>
      <x:c r="G116" s="34" t="n">
        <x:f>IF(AND(ISNUMBER(E116),E116&gt;0,ISNUMBER($B$97),$B$97&gt;=0,$B$97&lt;1,ISNUMBER($D$97),$D$97&gt;=0,$D$97&lt;=1,ISNUMBER(F116),F116&gt;=0,F116&lt;=1,ISNUMBER(J116),J116&gt;=0,J116&lt;=1),D116/E116*1000,NA())</x:f>
        <x:v>0</x:v>
      </x:c>
      <x:c r="H116" s="34" t="n">
        <x:f>G116+I116</x:f>
        <x:v>0</x:v>
      </x:c>
      <x:c r="I116" s="34" t="n">
        <x:f>G116*F116*$D$97*$B$97/(1-$B$97)</x:f>
        <x:v>0</x:v>
      </x:c>
      <x:c r="J116" s="59" t="n">
        <x:v>1</x:v>
      </x:c>
      <x:c r="K116" s="34" t="n">
        <x:f>I116*J116</x:f>
        <x:v>0</x:v>
      </x:c>
      <x:c r="L116" s="30" t="str">
        <x:v>原通信行 78</x:v>
      </x:c>
    </x:row>
    <x:row r="117" ht="15" customHeight="1">
      <x:c r="A117" s="30" t="str">
        <x:v>共享专家 TP</x:v>
      </x:c>
      <x:c r="B117" s="30" t="str">
        <x:v>Shared Experts</x:v>
      </x:c>
      <x:c r="C117" s="30" t="str">
        <x:v>SP 输入</x:v>
      </x:c>
      <x:c r="D117" s="34" t="n">
        <x:f>(K79*2^20)/1e9</x:f>
        <x:v>1.181745152</x:v>
      </x:c>
      <x:c r="E117" s="64" t="n">
        <x:f>$H$97</x:f>
        <x:v>100</x:v>
      </x:c>
      <x:c r="F117" s="59" t="n">
        <x:v>1</x:v>
      </x:c>
      <x:c r="G117" s="34" t="n">
        <x:f>IF(AND(ISNUMBER(E117),E117&gt;0,ISNUMBER($B$97),$B$97&gt;=0,$B$97&lt;1,ISNUMBER($D$97),$D$97&gt;=0,$D$97&lt;=1,ISNUMBER(F117),F117&gt;=0,F117&lt;=1,ISNUMBER(J117),J117&gt;=0,J117&lt;=1),D117/E117*1000,NA())</x:f>
        <x:v>11.817451519999999</x:v>
      </x:c>
      <x:c r="H117" s="34" t="n">
        <x:f>G117+I117</x:f>
        <x:v>13.130501688888888</x:v>
      </x:c>
      <x:c r="I117" s="34" t="n">
        <x:f>G117*F117*$D$97*$B$97/(1-$B$97)</x:f>
        <x:v>1.313050168888889</x:v>
      </x:c>
      <x:c r="J117" s="59" t="n">
        <x:v>1</x:v>
      </x:c>
      <x:c r="K117" s="34" t="n">
        <x:f>I117*J117</x:f>
        <x:v>1.313050168888889</x:v>
      </x:c>
      <x:c r="L117" s="30" t="str">
        <x:v>原通信行 79</x:v>
      </x:c>
    </x:row>
    <x:row r="118" ht="15" customHeight="1">
      <x:c r="A118" s="30" t="str">
        <x:v>共享专家 TP</x:v>
      </x:c>
      <x:c r="B118" s="30" t="str">
        <x:v>Shared Experts</x:v>
      </x:c>
      <x:c r="C118" s="30" t="str">
        <x:v>SP 输出</x:v>
      </x:c>
      <x:c r="D118" s="34" t="n">
        <x:f>(K80*2^20)/1e9</x:f>
        <x:v>1.181745152</x:v>
      </x:c>
      <x:c r="E118" s="64" t="n">
        <x:f>$H$97</x:f>
        <x:v>100</x:v>
      </x:c>
      <x:c r="F118" s="59" t="n">
        <x:v>1</x:v>
      </x:c>
      <x:c r="G118" s="34" t="n">
        <x:f>IF(AND(ISNUMBER(E118),E118&gt;0,ISNUMBER($B$97),$B$97&gt;=0,$B$97&lt;1,ISNUMBER($D$97),$D$97&gt;=0,$D$97&lt;=1,ISNUMBER(F118),F118&gt;=0,F118&lt;=1,ISNUMBER(J118),J118&gt;=0,J118&lt;=1),D118/E118*1000,NA())</x:f>
        <x:v>11.817451519999999</x:v>
      </x:c>
      <x:c r="H118" s="34" t="n">
        <x:f>G118+I118</x:f>
        <x:v>13.130501688888888</x:v>
      </x:c>
      <x:c r="I118" s="34" t="n">
        <x:f>G118*F118*$D$97*$B$97/(1-$B$97)</x:f>
        <x:v>1.313050168888889</x:v>
      </x:c>
      <x:c r="J118" s="59" t="n">
        <x:v>1</x:v>
      </x:c>
      <x:c r="K118" s="34" t="n">
        <x:f>I118*J118</x:f>
        <x:v>1.313050168888889</x:v>
      </x:c>
      <x:c r="L118" s="30" t="str">
        <x:v>原通信行 80</x:v>
      </x:c>
    </x:row>
    <x:row r="119" ht="15" customHeight="1">
      <x:c r="A119" s="30" t="str">
        <x:v>共享专家 TP</x:v>
      </x:c>
      <x:c r="B119" s="30" t="str">
        <x:v>Shared Experts</x:v>
      </x:c>
      <x:c r="C119" s="30" t="str">
        <x:v>非 SP 输出</x:v>
      </x:c>
      <x:c r="D119" s="34" t="n">
        <x:f>(K81*2^20)/1e9</x:f>
        <x:v>0</x:v>
      </x:c>
      <x:c r="E119" s="64" t="n">
        <x:f>$H$97</x:f>
        <x:v>100</x:v>
      </x:c>
      <x:c r="F119" s="59" t="n">
        <x:v>1</x:v>
      </x:c>
      <x:c r="G119" s="34" t="n">
        <x:f>IF(AND(ISNUMBER(E119),E119&gt;0,ISNUMBER($B$97),$B$97&gt;=0,$B$97&lt;1,ISNUMBER($D$97),$D$97&gt;=0,$D$97&lt;=1,ISNUMBER(F119),F119&gt;=0,F119&lt;=1,ISNUMBER(J119),J119&gt;=0,J119&lt;=1),D119/E119*1000,NA())</x:f>
        <x:v>0</x:v>
      </x:c>
      <x:c r="H119" s="34" t="n">
        <x:f>G119+I119</x:f>
        <x:v>0</x:v>
      </x:c>
      <x:c r="I119" s="34" t="n">
        <x:f>G119*F119*$D$97*$B$97/(1-$B$97)</x:f>
        <x:v>0</x:v>
      </x:c>
      <x:c r="J119" s="59" t="n">
        <x:v>1</x:v>
      </x:c>
      <x:c r="K119" s="34" t="n">
        <x:f>I119*J119</x:f>
        <x:v>0</x:v>
      </x:c>
      <x:c r="L119" s="30" t="str">
        <x:v>原通信行 81</x:v>
      </x:c>
    </x:row>
    <x:row r="120" ht="15" customHeight="1">
      <x:c r="A120" s="30" t="str">
        <x:v>DCP</x:v>
      </x:c>
      <x:c r="B120" s="30" t="str">
        <x:v>Attention</x:v>
      </x:c>
      <x:c r="C120" s="30" t="str">
        <x:v>Query</x:v>
      </x:c>
      <x:c r="D120" s="34" t="n">
        <x:f>(K82*2^20)/1e9</x:f>
        <x:v>0</x:v>
      </x:c>
      <x:c r="E120" s="64" t="n">
        <x:f>$H$97</x:f>
        <x:v>100</x:v>
      </x:c>
      <x:c r="F120" s="59" t="n">
        <x:v>1</x:v>
      </x:c>
      <x:c r="G120" s="34" t="n">
        <x:f>IF(AND(ISNUMBER(E120),E120&gt;0,ISNUMBER($B$97),$B$97&gt;=0,$B$97&lt;1,ISNUMBER($D$97),$D$97&gt;=0,$D$97&lt;=1,ISNUMBER(F120),F120&gt;=0,F120&lt;=1,ISNUMBER(J120),J120&gt;=0,J120&lt;=1),D120/E120*1000,NA())</x:f>
        <x:v>0</x:v>
      </x:c>
      <x:c r="H120" s="34" t="n">
        <x:f>G120+I120</x:f>
        <x:v>0</x:v>
      </x:c>
      <x:c r="I120" s="34" t="n">
        <x:f>G120*F120*$D$97*$B$97/(1-$B$97)</x:f>
        <x:v>0</x:v>
      </x:c>
      <x:c r="J120" s="59" t="n">
        <x:v>1</x:v>
      </x:c>
      <x:c r="K120" s="34" t="n">
        <x:f>I120*J120</x:f>
        <x:v>0</x:v>
      </x:c>
      <x:c r="L120" s="30" t="str">
        <x:v>原通信行 82</x:v>
      </x:c>
    </x:row>
    <x:row r="121" ht="15" customHeight="1">
      <x:c r="A121" s="30" t="str">
        <x:v>DCP</x:v>
      </x:c>
      <x:c r="B121" s="30" t="str">
        <x:v>Attention</x:v>
      </x:c>
      <x:c r="C121" s="30" t="str">
        <x:v>LSE</x:v>
      </x:c>
      <x:c r="D121" s="34" t="n">
        <x:f>(K83*2^20)/1e9</x:f>
        <x:v>0</x:v>
      </x:c>
      <x:c r="E121" s="64" t="n">
        <x:f>$H$97</x:f>
        <x:v>100</x:v>
      </x:c>
      <x:c r="F121" s="59" t="n">
        <x:v>1</x:v>
      </x:c>
      <x:c r="G121" s="34" t="n">
        <x:f>IF(AND(ISNUMBER(E121),E121&gt;0,ISNUMBER($B$97),$B$97&gt;=0,$B$97&lt;1,ISNUMBER($D$97),$D$97&gt;=0,$D$97&lt;=1,ISNUMBER(F121),F121&gt;=0,F121&lt;=1,ISNUMBER(J121),J121&gt;=0,J121&lt;=1),D121/E121*1000,NA())</x:f>
        <x:v>0</x:v>
      </x:c>
      <x:c r="H121" s="34" t="n">
        <x:f>G121+I121</x:f>
        <x:v>0</x:v>
      </x:c>
      <x:c r="I121" s="34" t="n">
        <x:f>G121*F121*$D$97*$B$97/(1-$B$97)</x:f>
        <x:v>0</x:v>
      </x:c>
      <x:c r="J121" s="59" t="n">
        <x:v>1</x:v>
      </x:c>
      <x:c r="K121" s="34" t="n">
        <x:f>I121*J121</x:f>
        <x:v>0</x:v>
      </x:c>
      <x:c r="L121" s="30" t="str">
        <x:v>原通信行 83</x:v>
      </x:c>
    </x:row>
    <x:row r="122" ht="15" customHeight="1">
      <x:c r="A122" s="30" t="str">
        <x:v>DCP</x:v>
      </x:c>
      <x:c r="B122" s="30" t="str">
        <x:v>Attention</x:v>
      </x:c>
      <x:c r="C122" s="30" t="str">
        <x:v>Attention 输出</x:v>
      </x:c>
      <x:c r="D122" s="34" t="n">
        <x:f>(K84*2^20)/1e9</x:f>
        <x:v>0</x:v>
      </x:c>
      <x:c r="E122" s="64" t="n">
        <x:f>$H$97</x:f>
        <x:v>100</x:v>
      </x:c>
      <x:c r="F122" s="59" t="n">
        <x:v>1</x:v>
      </x:c>
      <x:c r="G122" s="34" t="n">
        <x:f>IF(AND(ISNUMBER(E122),E122&gt;0,ISNUMBER($B$97),$B$97&gt;=0,$B$97&lt;1,ISNUMBER($D$97),$D$97&gt;=0,$D$97&lt;=1,ISNUMBER(F122),F122&gt;=0,F122&lt;=1,ISNUMBER(J122),J122&gt;=0,J122&lt;=1),D122/E122*1000,NA())</x:f>
        <x:v>0</x:v>
      </x:c>
      <x:c r="H122" s="34" t="n">
        <x:f>G122+I122</x:f>
        <x:v>0</x:v>
      </x:c>
      <x:c r="I122" s="34" t="n">
        <x:f>G122*F122*$D$97*$B$97/(1-$B$97)</x:f>
        <x:v>0</x:v>
      </x:c>
      <x:c r="J122" s="59" t="n">
        <x:v>1</x:v>
      </x:c>
      <x:c r="K122" s="34" t="n">
        <x:f>I122*J122</x:f>
        <x:v>0</x:v>
      </x:c>
      <x:c r="L122" s="30" t="str">
        <x:v>原通信行 84</x:v>
      </x:c>
    </x:row>
    <x:row r="123" ht="15" customHeight="1">
      <x:c r="A123" s="30" t="str">
        <x:v>SP</x:v>
      </x:c>
      <x:c r="B123" s="30" t="str">
        <x:v>Model Output</x:v>
      </x:c>
      <x:c r="C123" s="30" t="str">
        <x:v>Final Norm 后</x:v>
      </x:c>
      <x:c r="D123" s="34" t="n">
        <x:f>(K85*2^20)/1e9</x:f>
        <x:v>0.012845056</x:v>
      </x:c>
      <x:c r="E123" s="64" t="n">
        <x:f>$H$97</x:f>
        <x:v>100</x:v>
      </x:c>
      <x:c r="F123" s="59" t="n">
        <x:v>1</x:v>
      </x:c>
      <x:c r="G123" s="34" t="n">
        <x:f>IF(AND(ISNUMBER(E123),E123&gt;0,ISNUMBER($B$97),$B$97&gt;=0,$B$97&lt;1,ISNUMBER($D$97),$D$97&gt;=0,$D$97&lt;=1,ISNUMBER(F123),F123&gt;=0,F123&lt;=1,ISNUMBER(J123),J123&gt;=0,J123&lt;=1),D123/E123*1000,NA())</x:f>
        <x:v>0.12845056000000002</x:v>
      </x:c>
      <x:c r="H123" s="34" t="n">
        <x:f>G123+I123</x:f>
        <x:v>0.14272284444444447</x:v>
      </x:c>
      <x:c r="I123" s="34" t="n">
        <x:f>G123*F123*$D$97*$B$97/(1-$B$97)</x:f>
        <x:v>0.014272284444444446</x:v>
      </x:c>
      <x:c r="J123" s="59" t="n">
        <x:v>1</x:v>
      </x:c>
      <x:c r="K123" s="34" t="n">
        <x:f>I123*J123</x:f>
        <x:v>0.014272284444444446</x:v>
      </x:c>
      <x:c r="L123" s="30" t="str">
        <x:v>原通信行 85</x:v>
      </x:c>
    </x:row>
    <x:row r="124" ht="15" customHeight="1">
      <x:c r="A124" s="30" t="str">
        <x:v>LM Head TP</x:v>
      </x:c>
      <x:c r="B124" s="30" t="str">
        <x:v>LM Head</x:v>
      </x:c>
      <x:c r="C124" s="30" t="str">
        <x:v>完整 Logits</x:v>
      </x:c>
      <x:c r="D124" s="34" t="n">
        <x:f>(K86*2^20)/1e9</x:f>
        <x:v>0</x:v>
      </x:c>
      <x:c r="E124" s="64" t="n">
        <x:f>$H$97</x:f>
        <x:v>100</x:v>
      </x:c>
      <x:c r="F124" s="59" t="n">
        <x:v>1</x:v>
      </x:c>
      <x:c r="G124" s="34" t="n">
        <x:f>IF(AND(ISNUMBER(E124),E124&gt;0,ISNUMBER($B$97),$B$97&gt;=0,$B$97&lt;1,ISNUMBER($D$97),$D$97&gt;=0,$D$97&lt;=1,ISNUMBER(F124),F124&gt;=0,F124&lt;=1,ISNUMBER(J124),J124&gt;=0,J124&lt;=1),D124/E124*1000,NA())</x:f>
        <x:v>0</x:v>
      </x:c>
      <x:c r="H124" s="34" t="n">
        <x:f>G124+I124</x:f>
        <x:v>0</x:v>
      </x:c>
      <x:c r="I124" s="34" t="n">
        <x:f>G124*F124*$D$97*$B$97/(1-$B$97)</x:f>
        <x:v>0</x:v>
      </x:c>
      <x:c r="J124" s="59" t="n">
        <x:v>1</x:v>
      </x:c>
      <x:c r="K124" s="34" t="n">
        <x:f>I124*J124</x:f>
        <x:v>0</x:v>
      </x:c>
      <x:c r="L124" s="30" t="str">
        <x:v>原通信行 86</x:v>
      </x:c>
    </x:row>
    <x:row r="125" ht="15" customHeight="1">
      <x:c r="A125" s="30" t="str">
        <x:v>LM Head TP</x:v>
      </x:c>
      <x:c r="B125" s="30" t="str">
        <x:v>LM Head</x:v>
      </x:c>
      <x:c r="C125" s="30" t="str">
        <x:v>Reduce Sample</x:v>
      </x:c>
      <x:c r="D125" s="34" t="n">
        <x:f>(K87*2^20)/1e9</x:f>
        <x:v>0.011010048</x:v>
      </x:c>
      <x:c r="E125" s="64" t="n">
        <x:f>$H$97</x:f>
        <x:v>100</x:v>
      </x:c>
      <x:c r="F125" s="59" t="n">
        <x:v>1</x:v>
      </x:c>
      <x:c r="G125" s="34" t="n">
        <x:f>IF(AND(ISNUMBER(E125),E125&gt;0,ISNUMBER($B$97),$B$97&gt;=0,$B$97&lt;1,ISNUMBER($D$97),$D$97&gt;=0,$D$97&lt;=1,ISNUMBER(F125),F125&gt;=0,F125&lt;=1,ISNUMBER(J125),J125&gt;=0,J125&lt;=1),D125/E125*1000,NA())</x:f>
        <x:v>0.11010048</x:v>
      </x:c>
      <x:c r="H125" s="34" t="n">
        <x:f>G125+I125</x:f>
        <x:v>0.12233386666666667</x:v>
      </x:c>
      <x:c r="I125" s="34" t="n">
        <x:f>G125*F125*$D$97*$B$97/(1-$B$97)</x:f>
        <x:v>0.012233386666666669</x:v>
      </x:c>
      <x:c r="J125" s="59" t="n">
        <x:v>1</x:v>
      </x:c>
      <x:c r="K125" s="34" t="n">
        <x:f>I125*J125</x:f>
        <x:v>0.012233386666666669</x:v>
      </x:c>
      <x:c r="L125" s="30" t="str">
        <x:v>原通信行 87</x:v>
      </x:c>
    </x:row>
    <x:row r="126" ht="15" customHeight="1">
      <x:c r="A126" s="30" t="str">
        <x:v>Fine LM Head TP</x:v>
      </x:c>
      <x:c r="B126" s="30" t="str">
        <x:v>LM Head</x:v>
      </x:c>
      <x:c r="C126" s="30" t="str">
        <x:v>Hidden 输入</x:v>
      </x:c>
      <x:c r="D126" s="34" t="n">
        <x:f>(K88*2^20)/1e9</x:f>
        <x:v>0</x:v>
      </x:c>
      <x:c r="E126" s="64" t="n">
        <x:f>$H$97</x:f>
        <x:v>100</x:v>
      </x:c>
      <x:c r="F126" s="59" t="n">
        <x:v>1</x:v>
      </x:c>
      <x:c r="G126" s="34" t="n">
        <x:f>IF(AND(ISNUMBER(E126),E126&gt;0,ISNUMBER($B$97),$B$97&gt;=0,$B$97&lt;1,ISNUMBER($D$97),$D$97&gt;=0,$D$97&lt;=1,ISNUMBER(F126),F126&gt;=0,F126&lt;=1,ISNUMBER(J126),J126&gt;=0,J126&lt;=1),D126/E126*1000,NA())</x:f>
        <x:v>0</x:v>
      </x:c>
      <x:c r="H126" s="34" t="n">
        <x:f>G126+I126</x:f>
        <x:v>0</x:v>
      </x:c>
      <x:c r="I126" s="34" t="n">
        <x:f>G126*F126*$D$97*$B$97/(1-$B$97)</x:f>
        <x:v>0</x:v>
      </x:c>
      <x:c r="J126" s="59" t="n">
        <x:v>1</x:v>
      </x:c>
      <x:c r="K126" s="34" t="n">
        <x:f>I126*J126</x:f>
        <x:v>0</x:v>
      </x:c>
      <x:c r="L126" s="30" t="str">
        <x:v>原通信行 88</x:v>
      </x:c>
    </x:row>
    <x:row r="127" ht="15" customHeight="1">
      <x:c r="A127" s="30" t="str">
        <x:v>Fine LM Head TP</x:v>
      </x:c>
      <x:c r="B127" s="30" t="str">
        <x:v>LM Head</x:v>
      </x:c>
      <x:c r="C127" s="30" t="str">
        <x:v>完整 Logits</x:v>
      </x:c>
      <x:c r="D127" s="34" t="n">
        <x:f>(K89*2^20)/1e9</x:f>
        <x:v>0</x:v>
      </x:c>
      <x:c r="E127" s="64" t="n">
        <x:f>$H$97</x:f>
        <x:v>100</x:v>
      </x:c>
      <x:c r="F127" s="59" t="n">
        <x:v>1</x:v>
      </x:c>
      <x:c r="G127" s="34" t="n">
        <x:f>IF(AND(ISNUMBER(E127),E127&gt;0,ISNUMBER($B$97),$B$97&gt;=0,$B$97&lt;1,ISNUMBER($D$97),$D$97&gt;=0,$D$97&lt;=1,ISNUMBER(F127),F127&gt;=0,F127&lt;=1,ISNUMBER(J127),J127&gt;=0,J127&lt;=1),D127/E127*1000,NA())</x:f>
        <x:v>0</x:v>
      </x:c>
      <x:c r="H127" s="34" t="n">
        <x:f>G127+I127</x:f>
        <x:v>0</x:v>
      </x:c>
      <x:c r="I127" s="34" t="n">
        <x:f>G127*F127*$D$97*$B$97/(1-$B$97)</x:f>
        <x:v>0</x:v>
      </x:c>
      <x:c r="J127" s="59" t="n">
        <x:v>1</x:v>
      </x:c>
      <x:c r="K127" s="34" t="n">
        <x:f>I127*J127</x:f>
        <x:v>0</x:v>
      </x:c>
      <x:c r="L127" s="30" t="str">
        <x:v>原通信行 89</x:v>
      </x:c>
    </x:row>
    <x:row r="128" ht="15" customHeight="1">
      <x:c r="A128" s="30" t="str">
        <x:v>Fine LM Head TP</x:v>
      </x:c>
      <x:c r="B128" s="30" t="str">
        <x:v>LM Head</x:v>
      </x:c>
      <x:c r="C128" s="30" t="str">
        <x:v>Reduce Sample</x:v>
      </x:c>
      <x:c r="D128" s="34" t="n">
        <x:f>(K90*2^20)/1e9</x:f>
        <x:v>0</x:v>
      </x:c>
      <x:c r="E128" s="64" t="n">
        <x:f>$H$97</x:f>
        <x:v>100</x:v>
      </x:c>
      <x:c r="F128" s="59" t="n">
        <x:v>1</x:v>
      </x:c>
      <x:c r="G128" s="34" t="n">
        <x:f>IF(AND(ISNUMBER(E128),E128&gt;0,ISNUMBER($B$97),$B$97&gt;=0,$B$97&lt;1,ISNUMBER($D$97),$D$97&gt;=0,$D$97&lt;=1,ISNUMBER(F128),F128&gt;=0,F128&lt;=1,ISNUMBER(J128),J128&gt;=0,J128&lt;=1),D128/E128*1000,NA())</x:f>
        <x:v>0</x:v>
      </x:c>
      <x:c r="H128" s="34" t="n">
        <x:f>G128+I128</x:f>
        <x:v>0</x:v>
      </x:c>
      <x:c r="I128" s="34" t="n">
        <x:f>G128*F128*$D$97*$B$97/(1-$B$97)</x:f>
        <x:v>0</x:v>
      </x:c>
      <x:c r="J128" s="59" t="n">
        <x:v>1</x:v>
      </x:c>
      <x:c r="K128" s="34" t="n">
        <x:f>I128*J128</x:f>
        <x:v>0</x:v>
      </x:c>
      <x:c r="L128" s="30" t="str">
        <x:v>原通信行 90</x:v>
      </x:c>
    </x:row>
    <x:row r="129" ht="15" customHeight="1">
      <x:c r="A129" s="30" t="str">
        <x:v>EP</x:v>
      </x:c>
      <x:c r="B129" s="30" t="str">
        <x:v>MoE 计数</x:v>
      </x:c>
      <x:c r="C129" s="30" t="str">
        <x:v>MC2 count 写入</x:v>
      </x:c>
      <x:c r="D129" s="34" t="n">
        <x:f>(IF(E74=0,0,H74*ROUNDUP(896/G74,0)*(G74-1)*32))/1e9</x:f>
        <x:v>0.002308096</x:v>
      </x:c>
      <x:c r="E129" s="64" t="n">
        <x:f>$H$97</x:f>
        <x:v>100</x:v>
      </x:c>
      <x:c r="F129" s="59" t="n">
        <x:v>1</x:v>
      </x:c>
      <x:c r="G129" s="34" t="n">
        <x:f>IF(AND(ISNUMBER(E129),E129&gt;0,ISNUMBER($B$97),$B$97&gt;=0,$B$97&lt;1,ISNUMBER($D$97),$D$97&gt;=0,$D$97&lt;=1,ISNUMBER(F129),F129&gt;=0,F129&lt;=1,ISNUMBER(J129),J129&gt;=0,J129&lt;=1),D129/E129*1000,NA())</x:f>
        <x:v>0.023080959999999998</x:v>
      </x:c>
      <x:c r="H129" s="34" t="n">
        <x:f>G129+I129</x:f>
        <x:v>0.02564551111111111</x:v>
      </x:c>
      <x:c r="I129" s="34" t="n">
        <x:f>G129*F129*$D$97*$B$97/(1-$B$97)</x:f>
        <x:v>0.002564551111111111</x:v>
      </x:c>
      <x:c r="J129" s="59" t="n">
        <x:v>1</x:v>
      </x:c>
      <x:c r="K129" s="34" t="n">
        <x:f>I129*J129</x:f>
        <x:v>0.002564551111111111</x:v>
      </x:c>
      <x:c r="L129" s="30" t="str">
        <x:v>额外控制量</x:v>
      </x:c>
    </x:row>
    <x:row r="130" ht="15" customHeight="1">
      <x:c r="A130" s="40" t="str">
        <x:v>所列事件串行相加</x:v>
      </x:c>
      <x:c r="B130" s="40"/>
      <x:c r="C130" s="40"/>
      <x:c r="D130" s="41" t="n">
        <x:f>SUM(D103:D129)</x:f>
        <x:v>9.708812287999999</x:v>
      </x:c>
      <x:c r="E130" s="40"/>
      <x:c r="F130" s="40"/>
      <x:c r="G130" s="41" t="n">
        <x:f>SUM(G103:G129)</x:f>
        <x:v>97.08812288</x:v>
      </x:c>
      <x:c r="H130" s="41" t="n">
        <x:f>SUM(H103:H129)</x:f>
        <x:v>107.87569208888888</x:v>
      </x:c>
      <x:c r="I130" s="41" t="n">
        <x:f>SUM(I103:I129)</x:f>
        <x:v>10.787569208888891</x:v>
      </x:c>
      <x:c r="J130" s="40"/>
      <x:c r="K130" s="41" t="n">
        <x:f>SUM(K103:K129)</x:f>
        <x:v>10.787569208888891</x:v>
      </x:c>
      <x:c r="L130" s="40"/>
    </x:row>
  </x:sheetData>
  <x:conditionalFormatting sqref="L99:L99">
    <x:cfRule type="containsText" dxfId="1" priority="1" operator="containsText" text="不一致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9E2F3"/>
  </x:sheetPr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30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</x:cols>
  <x:sheetData>
    <x:row r="1" ht="22" customHeight="1">
      <x:c r="A1" s="30"/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  <x:c r="X1" s="30"/>
    </x:row>
    <x:row r="2" ht="22" customHeight="1">
      <x:c r="A2" s="42" t="str">
        <x:v>PD KV 传输：一分钟内的 Decode 通信暴露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30"/>
      <x:c r="R2" s="30"/>
      <x:c r="S2" s="30"/>
      <x:c r="T2" s="30"/>
      <x:c r="U2" s="30"/>
      <x:c r="V2" s="30"/>
      <x:c r="W2" s="30"/>
      <x:c r="X2" s="30"/>
    </x:row>
    <x:row r="3" ht="22" customHeight="1">
      <x:c r="A3" s="30" t="str">
        <x:v>稳态相位平均估算。每层以等长 EP 通信段建模；未使用逐层 profiling，次数可为小数。</x:v>
      </x:c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  <x:c r="N3" s="30"/>
      <x:c r="O3" s="30"/>
      <x:c r="P3" s="30"/>
      <x:c r="Q3" s="30"/>
      <x:c r="R3" s="30"/>
      <x:c r="S3" s="30"/>
      <x:c r="T3" s="30"/>
      <x:c r="U3" s="30"/>
      <x:c r="V3" s="30"/>
      <x:c r="W3" s="30"/>
      <x:c r="X3" s="30"/>
    </x:row>
    <x:row r="4" ht="22" customHeight="1">
      <x:c r="A4" s="30"/>
      <x:c r="B4" s="30"/>
      <x:c r="C4" s="30"/>
      <x:c r="D4" s="30"/>
      <x:c r="E4" s="30"/>
      <x:c r="F4" s="30"/>
      <x:c r="G4" s="30"/>
      <x:c r="H4" s="30"/>
      <x:c r="I4" s="30"/>
      <x:c r="J4" s="30"/>
      <x:c r="K4" s="30"/>
      <x:c r="L4" s="30"/>
      <x:c r="M4" s="30"/>
      <x:c r="N4" s="30"/>
      <x:c r="O4" s="30"/>
      <x:c r="P4" s="30"/>
      <x:c r="Q4" s="30"/>
      <x:c r="R4" s="30"/>
      <x:c r="S4" s="30"/>
      <x:c r="T4" s="30"/>
      <x:c r="U4" s="30"/>
      <x:c r="V4" s="30"/>
      <x:c r="W4" s="30"/>
      <x:c r="X4" s="30"/>
    </x:row>
    <x:row r="5" ht="22" customHeight="1">
      <x:c r="A5" s="30" t="str">
        <x:v>每 P DP 请求数</x:v>
      </x:c>
      <x:c r="B5" s="66" t="n">
        <x:v>16</x:v>
      </x:c>
      <x:c r="C5" s="30"/>
      <x:c r="D5" s="30"/>
      <x:c r="E5" s="30" t="str">
        <x:v>P EP 组数</x:v>
      </x:c>
      <x:c r="F5" s="66" t="n">
        <x:v>1</x:v>
      </x:c>
      <x:c r="G5" s="30"/>
      <x:c r="H5" s="30"/>
      <x:c r="I5" s="30" t="str">
        <x:v>D EP 组数</x:v>
      </x:c>
      <x:c r="J5" s="66" t="n">
        <x:v>1</x:v>
      </x:c>
      <x:c r="K5" s="30"/>
      <x:c r="L5" s="30"/>
      <x:c r="M5" s="30" t="str">
        <x:v>KV 带宽 GB/s</x:v>
      </x:c>
      <x:c r="N5" s="67" t="n">
        <x:v>4800</x:v>
      </x:c>
      <x:c r="O5" s="30"/>
      <x:c r="P5" s="30"/>
      <x:c r="Q5" s="30"/>
      <x:c r="R5" s="30"/>
      <x:c r="S5" s="30"/>
      <x:c r="T5" s="30"/>
      <x:c r="U5" s="30"/>
      <x:c r="V5" s="30"/>
      <x:c r="W5" s="30"/>
      <x:c r="X5" s="30"/>
    </x:row>
    <x:row r="6" ht="22" customHeight="1">
      <x:c r="A6" s="30"/>
      <x:c r="B6" s="30"/>
      <x:c r="C6" s="30"/>
      <x:c r="D6" s="30"/>
      <x:c r="E6" s="30"/>
      <x:c r="F6" s="30"/>
      <x:c r="G6" s="30"/>
      <x:c r="H6" s="30"/>
      <x:c r="I6" s="30"/>
      <x:c r="J6" s="30"/>
      <x:c r="K6" s="30"/>
      <x:c r="L6" s="30"/>
      <x:c r="M6" s="30"/>
      <x:c r="N6" s="30"/>
      <x:c r="O6" s="30"/>
      <x:c r="P6" s="30"/>
      <x:c r="Q6" s="30"/>
      <x:c r="R6" s="30"/>
      <x:c r="S6" s="30"/>
      <x:c r="T6" s="30"/>
      <x:c r="U6" s="30"/>
      <x:c r="V6" s="30"/>
      <x:c r="W6" s="30"/>
      <x:c r="X6" s="30"/>
    </x:row>
    <x:row r="7" ht="22" customHeight="1">
      <x:c r="A7" s="30" t="str">
        <x:v>D tokens/DP/步</x:v>
      </x:c>
      <x:c r="B7" s="66" t="n">
        <x:v>128</x:v>
      </x:c>
      <x:c r="C7" s="30"/>
      <x:c r="D7" s="30"/>
      <x:c r="E7" s="30" t="str">
        <x:v>产出 tokens/步</x:v>
      </x:c>
      <x:c r="F7" s="67" t="n">
        <x:v>1</x:v>
      </x:c>
      <x:c r="G7" s="30"/>
      <x:c r="H7" s="30"/>
      <x:c r="I7" s="30" t="str">
        <x:v>窗口内带宽降幅</x:v>
      </x:c>
      <x:c r="J7" s="68" t="n">
        <x:v>0.1</x:v>
      </x:c>
      <x:c r="K7" s="30"/>
      <x:c r="L7" s="30"/>
      <x:c r="M7" s="30" t="str">
        <x:v>EP 带宽 GB/s</x:v>
      </x:c>
      <x:c r="N7" s="67" t="n">
        <x:v>4800</x:v>
      </x:c>
      <x:c r="O7" s="30"/>
      <x:c r="P7" s="30"/>
      <x:c r="Q7" s="30"/>
      <x:c r="R7" s="30"/>
      <x:c r="S7" s="30"/>
      <x:c r="T7" s="30"/>
      <x:c r="U7" s="30"/>
      <x:c r="V7" s="30"/>
      <x:c r="W7" s="30"/>
      <x:c r="X7" s="30"/>
    </x:row>
    <x:row r="8" ht="22" customHeight="1">
      <x:c r="A8" s="30"/>
      <x:c r="B8" s="30"/>
      <x:c r="C8" s="30"/>
      <x:c r="D8" s="30"/>
      <x:c r="E8" s="30"/>
      <x:c r="F8" s="30"/>
      <x:c r="G8" s="30"/>
      <x:c r="H8" s="30"/>
      <x:c r="I8" s="30"/>
      <x:c r="J8" s="30"/>
      <x:c r="K8" s="30"/>
      <x:c r="L8" s="30"/>
      <x:c r="M8" s="30"/>
      <x:c r="N8" s="30"/>
      <x:c r="O8" s="30"/>
      <x:c r="P8" s="30"/>
      <x:c r="Q8" s="30"/>
      <x:c r="R8" s="30"/>
      <x:c r="S8" s="30"/>
      <x:c r="T8" s="30"/>
      <x:c r="U8" s="30"/>
      <x:c r="V8" s="30"/>
      <x:c r="W8" s="30"/>
      <x:c r="X8" s="30"/>
    </x:row>
    <x:row r="9" ht="22" customHeight="1">
      <x:c r="A9" s="30" t="str">
        <x:v>每周期错峰批数</x:v>
      </x:c>
      <x:c r="B9" s="66" t="n">
        <x:v>1</x:v>
      </x:c>
      <x:c r="C9" s="30"/>
      <x:c r="D9" s="30"/>
      <x:c r="E9" s="30" t="str">
        <x:v>通信共享比例</x:v>
      </x:c>
      <x:c r="F9" s="68" t="n">
        <x:v>1</x:v>
      </x:c>
      <x:c r="G9" s="30"/>
      <x:c r="H9" s="30"/>
      <x:c r="I9" s="30" t="str">
        <x:v>关键路径暴露率</x:v>
      </x:c>
      <x:c r="J9" s="68" t="n">
        <x:v>1</x:v>
      </x:c>
      <x:c r="K9" s="30"/>
      <x:c r="L9" s="30"/>
      <x:c r="M9" s="30" t="str">
        <x:v>KV block tokens</x:v>
      </x:c>
      <x:c r="N9" s="66" t="n">
        <x:v>128</x:v>
      </x:c>
      <x:c r="O9" s="30"/>
      <x:c r="P9" s="30"/>
      <x:c r="Q9" s="30"/>
      <x:c r="R9" s="30"/>
      <x:c r="S9" s="30"/>
      <x:c r="T9" s="30"/>
      <x:c r="U9" s="30"/>
      <x:c r="V9" s="30"/>
      <x:c r="W9" s="30"/>
      <x:c r="X9" s="30"/>
    </x:row>
    <x:row r="10" ht="22" customHeight="1">
      <x:c r="A10" s="30"/>
      <x:c r="B10" s="30"/>
      <x:c r="C10" s="30"/>
      <x:c r="D10" s="30"/>
      <x:c r="E10" s="30"/>
      <x:c r="F10" s="30"/>
      <x:c r="G10" s="30"/>
      <x:c r="H10" s="30"/>
      <x:c r="I10" s="30"/>
      <x:c r="J10" s="30"/>
      <x:c r="K10" s="30"/>
      <x:c r="L10" s="30"/>
      <x:c r="M10" s="30"/>
      <x:c r="N10" s="30"/>
      <x:c r="O10" s="30"/>
      <x:c r="P10" s="30"/>
      <x:c r="Q10" s="30"/>
      <x:c r="R10" s="30"/>
      <x:c r="S10" s="30"/>
      <x:c r="T10" s="30"/>
      <x:c r="U10" s="30"/>
      <x:c r="V10" s="30"/>
      <x:c r="W10" s="30"/>
      <x:c r="X10" s="30"/>
    </x:row>
    <x:row r="11" ht="22" customHeight="1">
      <x:c r="A11" s="30" t="str">
        <x:v>Conv 额外 slots</x:v>
      </x:c>
      <x:c r="B11" s="66" t="n">
        <x:v>7</x:v>
      </x:c>
      <x:c r="C11" s="30"/>
      <x:c r="D11" s="30" t="str">
        <x:v>TTFT 暂作 P 批次间隔；步间隔＝TPOT×平均产出。每周期 1 批表示各 P DP 同步交接。</x:v>
      </x:c>
      <x:c r="E11" s="30"/>
      <x:c r="F11" s="30"/>
      <x:c r="G11" s="30"/>
      <x:c r="H11" s="30"/>
      <x:c r="I11" s="30"/>
      <x:c r="J11" s="30"/>
      <x:c r="K11" s="30"/>
      <x:c r="L11" s="30"/>
      <x:c r="M11" s="30"/>
      <x:c r="N11" s="30"/>
      <x:c r="O11" s="30"/>
      <x:c r="P11" s="30"/>
      <x:c r="Q11" s="30"/>
      <x:c r="R11" s="30"/>
      <x:c r="S11" s="30"/>
      <x:c r="T11" s="30"/>
      <x:c r="U11" s="30"/>
      <x:c r="V11" s="30"/>
      <x:c r="W11" s="30"/>
      <x:c r="X11" s="30"/>
    </x:row>
    <x:row r="12" ht="22" customHeight="1">
      <x:c r="A12" s="30"/>
      <x:c r="B12" s="30"/>
      <x:c r="C12" s="30"/>
      <x:c r="D12" s="30"/>
      <x:c r="E12" s="30"/>
      <x:c r="F12" s="30"/>
      <x:c r="G12" s="30"/>
      <x:c r="H12" s="30"/>
      <x:c r="I12" s="30"/>
      <x:c r="J12" s="30"/>
      <x:c r="K12" s="30"/>
      <x:c r="L12" s="30"/>
      <x:c r="M12" s="30"/>
      <x:c r="N12" s="30"/>
      <x:c r="O12" s="30"/>
      <x:c r="P12" s="30"/>
      <x:c r="Q12" s="30"/>
      <x:c r="R12" s="30"/>
      <x:c r="S12" s="30"/>
      <x:c r="T12" s="30"/>
      <x:c r="U12" s="30"/>
      <x:c r="V12" s="30"/>
      <x:c r="W12" s="30"/>
      <x:c r="X12" s="30"/>
    </x:row>
    <x:row r="13" ht="22" customHeight="1">
      <x:c r="A13" s="30"/>
      <x:c r="B13" s="30"/>
      <x:c r="C13" s="30"/>
      <x:c r="D13" s="30"/>
      <x:c r="E13" s="30"/>
      <x:c r="F13" s="30"/>
      <x:c r="G13" s="30"/>
      <x:c r="H13" s="30"/>
      <x:c r="I13" s="30"/>
      <x:c r="J13" s="30"/>
      <x:c r="K13" s="30"/>
      <x:c r="L13" s="30"/>
      <x:c r="M13" s="30"/>
      <x:c r="N13" s="30"/>
      <x:c r="O13" s="30"/>
      <x:c r="P13" s="30"/>
      <x:c r="Q13" s="30"/>
      <x:c r="R13" s="30"/>
      <x:c r="S13" s="30"/>
      <x:c r="T13" s="30"/>
      <x:c r="U13" s="30"/>
      <x:c r="V13" s="30"/>
      <x:c r="W13" s="30"/>
      <x:c r="X13" s="30"/>
    </x:row>
    <x:row r="14" ht="42" customHeight="1">
      <x:c r="A14" s="73" t="str">
        <x:v>输入场景</x:v>
      </x:c>
      <x:c r="B14" s="73" t="str">
        <x:v>输入 tokens</x:v>
      </x:c>
      <x:c r="C14" s="73" t="str">
        <x:v>TTFT / 周期 s</x:v>
      </x:c>
      <x:c r="D14" s="73" t="str"/>
      <x:c r="E14" s="73" t="str">
        <x:v>TPOT 档位</x:v>
      </x:c>
      <x:c r="F14" s="73" t="str">
        <x:v>TPOT ms</x:v>
      </x:c>
      <x:c r="G14" s="30"/>
      <x:c r="H14" s="30"/>
      <x:c r="I14" s="30"/>
      <x:c r="J14" s="30"/>
      <x:c r="K14" s="30"/>
      <x:c r="L14" s="30"/>
      <x:c r="M14" s="30"/>
      <x:c r="N14" s="30"/>
      <x:c r="O14" s="30"/>
      <x:c r="P14" s="30"/>
      <x:c r="Q14" s="30"/>
      <x:c r="R14" s="30"/>
      <x:c r="S14" s="30"/>
      <x:c r="T14" s="30"/>
      <x:c r="U14" s="30"/>
      <x:c r="V14" s="30"/>
      <x:c r="W14" s="30"/>
      <x:c r="X14" s="30"/>
    </x:row>
    <x:row r="15" ht="22" customHeight="1">
      <x:c r="A15" s="30" t="str">
        <x:v>16K</x:v>
      </x:c>
      <x:c r="B15" s="66" t="n">
        <x:v>16384</x:v>
      </x:c>
      <x:c r="C15" s="67" t="n">
        <x:v>4</x:v>
      </x:c>
      <x:c r="D15" s="30"/>
      <x:c r="E15" s="30" t="n">
        <x:v>1</x:v>
      </x:c>
      <x:c r="F15" s="67" t="n">
        <x:v>5</x:v>
      </x:c>
      <x:c r="G15" s="30"/>
      <x:c r="H15" s="30" t="str">
        <x:v>黄色为输入；模型 / EP 带宽可在下表逐项覆盖。</x:v>
      </x:c>
      <x:c r="I15" s="30"/>
      <x:c r="J15" s="30"/>
      <x:c r="K15" s="30"/>
      <x:c r="L15" s="30"/>
      <x:c r="M15" s="30"/>
      <x:c r="N15" s="30"/>
      <x:c r="O15" s="30"/>
      <x:c r="P15" s="30"/>
      <x:c r="Q15" s="30"/>
      <x:c r="R15" s="30"/>
      <x:c r="S15" s="30"/>
      <x:c r="T15" s="30"/>
      <x:c r="U15" s="30"/>
      <x:c r="V15" s="30"/>
      <x:c r="W15" s="30"/>
      <x:c r="X15" s="30"/>
    </x:row>
    <x:row r="16" ht="22" customHeight="1">
      <x:c r="A16" s="30" t="str">
        <x:v>256K</x:v>
      </x:c>
      <x:c r="B16" s="66" t="n">
        <x:v>262144</x:v>
      </x:c>
      <x:c r="C16" s="67" t="n">
        <x:v>20</x:v>
      </x:c>
      <x:c r="D16" s="30"/>
      <x:c r="E16" s="30" t="n">
        <x:v>2</x:v>
      </x:c>
      <x:c r="F16" s="67" t="n">
        <x:v>10</x:v>
      </x:c>
      <x:c r="G16" s="30"/>
      <x:c r="H16" s="30" t="str">
        <x:v>时间增量针对基线 60 秒工作量；不表示实测吞吐或 P99。</x:v>
      </x:c>
      <x:c r="I16" s="30"/>
      <x:c r="J16" s="30"/>
      <x:c r="K16" s="30"/>
      <x:c r="L16" s="30"/>
      <x:c r="M16" s="30"/>
      <x:c r="N16" s="30"/>
      <x:c r="O16" s="30"/>
      <x:c r="P16" s="30"/>
      <x:c r="Q16" s="30"/>
      <x:c r="R16" s="30"/>
      <x:c r="S16" s="30"/>
      <x:c r="T16" s="30"/>
      <x:c r="U16" s="30"/>
      <x:c r="V16" s="30"/>
      <x:c r="W16" s="30"/>
      <x:c r="X16" s="30"/>
    </x:row>
    <x:row r="17" ht="22" customHeight="1">
      <x:c r="A17" s="30" t="str">
        <x:v>1M</x:v>
      </x:c>
      <x:c r="B17" s="66" t="n">
        <x:v>1048576</x:v>
      </x:c>
      <x:c r="C17" s="67" t="n">
        <x:v>60</x:v>
      </x:c>
      <x:c r="D17" s="30"/>
      <x:c r="E17" s="30" t="n">
        <x:v>3</x:v>
      </x:c>
      <x:c r="F17" s="67" t="n">
        <x:v>20</x:v>
      </x:c>
      <x:c r="G17" s="30"/>
      <x:c r="H17" s="30" t="str">
        <x:v>TTFT 只用于到达节奏，本页估算 D 侧 TPOT；P 耗时仍见原表。</x:v>
      </x:c>
      <x:c r="I17" s="30"/>
      <x:c r="J17" s="30"/>
      <x:c r="K17" s="30"/>
      <x:c r="L17" s="30"/>
      <x:c r="M17" s="30"/>
      <x:c r="N17" s="30"/>
      <x:c r="O17" s="30"/>
      <x:c r="P17" s="30"/>
      <x:c r="Q17" s="30"/>
      <x:c r="R17" s="30"/>
      <x:c r="S17" s="30"/>
      <x:c r="T17" s="30"/>
      <x:c r="U17" s="30"/>
      <x:c r="V17" s="30"/>
      <x:c r="W17" s="30"/>
      <x:c r="X17" s="30"/>
    </x:row>
    <x:row r="18" ht="22" customHeight="1">
      <x:c r="A18" s="30"/>
      <x:c r="B18" s="30"/>
      <x:c r="C18" s="30"/>
      <x:c r="D18" s="30"/>
      <x:c r="E18" s="30" t="n">
        <x:v>4</x:v>
      </x:c>
      <x:c r="F18" s="67" t="n">
        <x:v>30</x:v>
      </x:c>
      <x:c r="G18" s="30"/>
      <x:c r="H18" s="30" t="str">
        <x:v>全 EP＝该步所有等效 EP 通信段都在 KV 窗口内；不代表整步持续时间都重叠。</x:v>
      </x:c>
      <x:c r="I18" s="30"/>
      <x:c r="J18" s="30"/>
      <x:c r="K18" s="30"/>
      <x:c r="L18" s="30"/>
      <x:c r="M18" s="30"/>
      <x:c r="N18" s="30"/>
      <x:c r="O18" s="30"/>
      <x:c r="P18" s="30"/>
      <x:c r="Q18" s="30"/>
      <x:c r="R18" s="30"/>
      <x:c r="S18" s="30"/>
      <x:c r="T18" s="30"/>
      <x:c r="U18" s="30"/>
      <x:c r="V18" s="30"/>
      <x:c r="W18" s="30"/>
      <x:c r="X18" s="30"/>
    </x:row>
    <x:row r="19" ht="22" customHeight="1">
      <x:c r="A19" s="30"/>
      <x:c r="B19" s="30"/>
      <x:c r="C19" s="30"/>
      <x:c r="D19" s="30"/>
      <x:c r="E19" s="30"/>
      <x:c r="F19" s="30"/>
      <x:c r="G19" s="30"/>
      <x:c r="H19" s="30"/>
      <x:c r="I19" s="30"/>
      <x:c r="J19" s="30"/>
      <x:c r="K19" s="30"/>
      <x:c r="L19" s="30"/>
      <x:c r="M19" s="30"/>
      <x:c r="N19" s="30"/>
      <x:c r="O19" s="30"/>
      <x:c r="P19" s="30"/>
      <x:c r="Q19" s="30"/>
      <x:c r="R19" s="30"/>
      <x:c r="S19" s="30"/>
      <x:c r="T19" s="30"/>
      <x:c r="U19" s="30"/>
      <x:c r="V19" s="30"/>
      <x:c r="W19" s="30"/>
      <x:c r="X19" s="30"/>
    </x:row>
    <x:row r="20" ht="22" customHeight="1">
      <x:c r="A20" s="30"/>
      <x:c r="B20" s="30"/>
      <x:c r="C20" s="30"/>
      <x:c r="D20" s="30"/>
      <x:c r="E20" s="30"/>
      <x:c r="F20" s="30"/>
      <x:c r="G20" s="30"/>
      <x:c r="H20" s="30"/>
      <x:c r="I20" s="30"/>
      <x:c r="J20" s="30"/>
      <x:c r="K20" s="30"/>
      <x:c r="L20" s="30"/>
      <x:c r="M20" s="30"/>
      <x:c r="N20" s="30"/>
      <x:c r="O20" s="30"/>
      <x:c r="P20" s="30"/>
      <x:c r="Q20" s="30"/>
      <x:c r="R20" s="30"/>
      <x:c r="S20" s="30"/>
      <x:c r="T20" s="30"/>
      <x:c r="U20" s="30"/>
      <x:c r="V20" s="30"/>
      <x:c r="W20" s="30"/>
      <x:c r="X20" s="30"/>
    </x:row>
    <x:row r="21" ht="22" customHeight="1">
      <x:c r="A21" s="30"/>
      <x:c r="B21" s="30"/>
      <x:c r="C21" s="30"/>
      <x:c r="D21" s="30"/>
      <x:c r="E21" s="30"/>
      <x:c r="F21" s="30"/>
      <x:c r="G21" s="30"/>
      <x:c r="H21" s="30"/>
      <x:c r="I21" s="30"/>
      <x:c r="J21" s="30"/>
      <x:c r="K21" s="30"/>
      <x:c r="L21" s="30"/>
      <x:c r="M21" s="30"/>
      <x:c r="N21" s="30"/>
      <x:c r="O21" s="30"/>
      <x:c r="P21" s="30"/>
      <x:c r="Q21" s="30"/>
      <x:c r="R21" s="30"/>
      <x:c r="S21" s="30"/>
      <x:c r="T21" s="30"/>
      <x:c r="U21" s="30"/>
      <x:c r="V21" s="30"/>
      <x:c r="W21" s="30"/>
      <x:c r="X21" s="30"/>
    </x:row>
    <x:row r="22" ht="42" customHeight="1">
      <x:c r="A22" s="73" t="str">
        <x:v>模型</x:v>
      </x:c>
      <x:c r="B22" s="73" t="str">
        <x:v>EP</x:v>
      </x:c>
      <x:c r="C22" s="73" t="str">
        <x:v>P TP</x:v>
      </x:c>
      <x:c r="D22" s="73" t="str">
        <x:v>D TP</x:v>
      </x:c>
      <x:c r="E22" s="73" t="str">
        <x:v>MoE 层数</x:v>
      </x:c>
      <x:c r="F22" s="73" t="str">
        <x:v>Hidden</x:v>
      </x:c>
      <x:c r="G22" s="73" t="str">
        <x:v>TopK</x:v>
      </x:c>
      <x:c r="H22" s="73" t="str">
        <x:v>逻辑专家数</x:v>
      </x:c>
      <x:c r="I22" s="73" t="str">
        <x:v>EP GB/s 输入</x:v>
      </x:c>
      <x:c r="J22" s="73" t="str">
        <x:v>KV GB/s 输入</x:v>
      </x:c>
      <x:c r="K22" s="73" t="str">
        <x:v>D tokens/DP/步</x:v>
      </x:c>
      <x:c r="L22" s="73" t="str">
        <x:v>产出 tokens/步</x:v>
      </x:c>
      <x:c r="M22" s="73" t="str">
        <x:v>共享比例</x:v>
      </x:c>
      <x:c r="N22" s="73" t="str">
        <x:v>暴露率</x:v>
      </x:c>
      <x:c r="O22" s="73" t="str">
        <x:v>配置条件</x:v>
      </x:c>
      <x:c r="P22" s="30"/>
      <x:c r="Q22" s="30"/>
      <x:c r="R22" s="30"/>
      <x:c r="S22" s="30"/>
      <x:c r="T22" s="30"/>
      <x:c r="U22" s="30"/>
      <x:c r="V22" s="30"/>
      <x:c r="W22" s="30"/>
      <x:c r="X22" s="30"/>
    </x:row>
    <x:row r="23" ht="22" customHeight="1">
      <x:c r="A23" s="30" t="str">
        <x:v>KimiK3</x:v>
      </x:c>
      <x:c r="B23" s="30" t="n">
        <x:v>32</x:v>
      </x:c>
      <x:c r="C23" s="30" t="n">
        <x:v>8</x:v>
      </x:c>
      <x:c r="D23" s="30" t="n">
        <x:v>8</x:v>
      </x:c>
      <x:c r="E23" s="30" t="n">
        <x:v>92</x:v>
      </x:c>
      <x:c r="F23" s="30" t="n">
        <x:v>7168</x:v>
      </x:c>
      <x:c r="G23" s="30" t="n">
        <x:v>16</x:v>
      </x:c>
      <x:c r="H23" s="30" t="n">
        <x:v>896</x:v>
      </x:c>
      <x:c r="I23" s="65" t="n">
        <x:f>$N$7</x:f>
        <x:v>4800</x:v>
      </x:c>
      <x:c r="J23" s="65" t="n">
        <x:f>$N$5</x:f>
        <x:v>4800</x:v>
      </x:c>
      <x:c r="K23" s="65" t="n">
        <x:f>$B$7</x:f>
        <x:v>128</x:v>
      </x:c>
      <x:c r="L23" s="65" t="n">
        <x:f>$F$7</x:f>
        <x:v>1</x:v>
      </x:c>
      <x:c r="M23" s="68" t="n">
        <x:f>$F$9</x:f>
        <x:v>1</x:v>
      </x:c>
      <x:c r="N23" s="68" t="n">
        <x:f>$J$9</x:f>
        <x:v>1</x:v>
      </x:c>
      <x:c r="O23" s="30" t="str">
        <x:v>运行未验证</x:v>
      </x:c>
      <x:c r="P23" s="30"/>
      <x:c r="Q23" s="30"/>
      <x:c r="R23" s="30"/>
      <x:c r="S23" s="30"/>
      <x:c r="T23" s="30"/>
      <x:c r="U23" s="30"/>
      <x:c r="V23" s="30"/>
      <x:c r="W23" s="30"/>
      <x:c r="X23" s="30"/>
    </x:row>
    <x:row r="24" ht="22" customHeight="1">
      <x:c r="A24" s="30" t="str">
        <x:v>KimiK3</x:v>
      </x:c>
      <x:c r="B24" s="30" t="n">
        <x:v>256</x:v>
      </x:c>
      <x:c r="C24" s="30" t="n">
        <x:v>8</x:v>
      </x:c>
      <x:c r="D24" s="30" t="n">
        <x:v>8</x:v>
      </x:c>
      <x:c r="E24" s="30" t="n">
        <x:v>92</x:v>
      </x:c>
      <x:c r="F24" s="30" t="n">
        <x:v>7168</x:v>
      </x:c>
      <x:c r="G24" s="30" t="n">
        <x:v>16</x:v>
      </x:c>
      <x:c r="H24" s="30" t="n">
        <x:v>896</x:v>
      </x:c>
      <x:c r="I24" s="65" t="n">
        <x:f>$N$7</x:f>
        <x:v>4800</x:v>
      </x:c>
      <x:c r="J24" s="65" t="n">
        <x:f>$N$5</x:f>
        <x:v>4800</x:v>
      </x:c>
      <x:c r="K24" s="65" t="n">
        <x:f>$B$7</x:f>
        <x:v>128</x:v>
      </x:c>
      <x:c r="L24" s="65" t="n">
        <x:f>$F$7</x:f>
        <x:v>1</x:v>
      </x:c>
      <x:c r="M24" s="68" t="n">
        <x:f>$F$9</x:f>
        <x:v>1</x:v>
      </x:c>
      <x:c r="N24" s="68" t="n">
        <x:f>$J$9</x:f>
        <x:v>1</x:v>
      </x:c>
      <x:c r="O24" s="30" t="str">
        <x:v>需 128 个冗余专家槽</x:v>
      </x:c>
      <x:c r="P24" s="30"/>
      <x:c r="Q24" s="30"/>
      <x:c r="R24" s="30"/>
      <x:c r="S24" s="30"/>
      <x:c r="T24" s="30"/>
      <x:c r="U24" s="30"/>
      <x:c r="V24" s="30"/>
      <x:c r="W24" s="30"/>
      <x:c r="X24" s="30"/>
    </x:row>
    <x:row r="25" ht="22" customHeight="1">
      <x:c r="A25" s="30"/>
      <x:c r="B25" s="30"/>
      <x:c r="C25" s="30"/>
      <x:c r="D25" s="30"/>
      <x:c r="E25" s="30"/>
      <x:c r="F25" s="30"/>
      <x:c r="G25" s="30"/>
      <x:c r="H25" s="30"/>
      <x:c r="I25" s="30"/>
      <x:c r="J25" s="30"/>
      <x:c r="K25" s="30"/>
      <x:c r="L25" s="30"/>
      <x:c r="M25" s="30"/>
      <x:c r="N25" s="30"/>
      <x:c r="O25" s="30"/>
      <x:c r="P25" s="30"/>
      <x:c r="Q25" s="30"/>
      <x:c r="R25" s="30"/>
      <x:c r="S25" s="30"/>
      <x:c r="T25" s="30"/>
      <x:c r="U25" s="30"/>
      <x:c r="V25" s="30"/>
      <x:c r="W25" s="30"/>
      <x:c r="X25" s="30"/>
    </x:row>
    <x:row r="26" ht="22" customHeight="1">
      <x:c r="A26" s="30"/>
      <x:c r="B26" s="30"/>
      <x:c r="C26" s="30"/>
      <x:c r="D26" s="30"/>
      <x:c r="E26" s="30"/>
      <x:c r="F26" s="30"/>
      <x:c r="G26" s="30"/>
      <x:c r="H26" s="30"/>
      <x:c r="I26" s="30"/>
      <x:c r="J26" s="30"/>
      <x:c r="K26" s="30"/>
      <x:c r="L26" s="30"/>
      <x:c r="M26" s="30"/>
      <x:c r="N26" s="30"/>
      <x:c r="O26" s="30"/>
      <x:c r="P26" s="30"/>
      <x:c r="Q26" s="30"/>
      <x:c r="R26" s="30"/>
      <x:c r="S26" s="30"/>
      <x:c r="T26" s="30"/>
      <x:c r="U26" s="30"/>
      <x:c r="V26" s="30"/>
      <x:c r="W26" s="30"/>
      <x:c r="X26" s="30"/>
    </x:row>
    <x:row r="27" ht="22" customHeight="1">
      <x:c r="A27" s="40" t="str">
        <x:v>TPOT × 输入场景 × EP：稳态每分钟结果</x:v>
      </x:c>
      <x:c r="B27" s="30"/>
      <x:c r="C27" s="30"/>
      <x:c r="D27" s="30"/>
      <x:c r="E27" s="30"/>
      <x:c r="F27" s="30"/>
      <x:c r="G27" s="30"/>
      <x:c r="H27" s="30"/>
      <x:c r="I27" s="30"/>
      <x:c r="J27" s="30"/>
      <x:c r="K27" s="30"/>
      <x:c r="L27" s="30"/>
      <x:c r="M27" s="30"/>
      <x:c r="N27" s="30"/>
      <x:c r="O27" s="30"/>
      <x:c r="P27" s="30"/>
      <x:c r="Q27" s="30"/>
      <x:c r="R27" s="30"/>
      <x:c r="S27" s="30"/>
      <x:c r="T27" s="30"/>
      <x:c r="U27" s="30"/>
      <x:c r="V27" s="30"/>
      <x:c r="W27" s="30"/>
      <x:c r="X27" s="30"/>
    </x:row>
    <x:row r="28" ht="22" customHeight="1">
      <x:c r="A28" s="30"/>
      <x:c r="B28" s="30"/>
      <x:c r="C28" s="30"/>
      <x:c r="D28" s="30"/>
      <x:c r="E28" s="30"/>
      <x:c r="F28" s="30"/>
      <x:c r="G28" s="30"/>
      <x:c r="H28" s="30"/>
      <x:c r="I28" s="30"/>
      <x:c r="J28" s="30"/>
      <x:c r="K28" s="30"/>
      <x:c r="L28" s="30"/>
      <x:c r="M28" s="30"/>
      <x:c r="N28" s="30"/>
      <x:c r="O28" s="30"/>
      <x:c r="P28" s="30"/>
      <x:c r="Q28" s="30"/>
      <x:c r="R28" s="30"/>
      <x:c r="S28" s="30"/>
      <x:c r="T28" s="30"/>
      <x:c r="U28" s="30"/>
      <x:c r="V28" s="30"/>
      <x:c r="W28" s="30"/>
      <x:c r="X28" s="30"/>
    </x:row>
    <x:row r="29" ht="42" customHeight="1">
      <x:c r="A29" s="73" t="str">
        <x:v>模型</x:v>
      </x:c>
      <x:c r="B29" s="73" t="str">
        <x:v>EP</x:v>
      </x:c>
      <x:c r="C29" s="73" t="str">
        <x:v>输入 tokens</x:v>
      </x:c>
      <x:c r="D29" s="73" t="str">
        <x:v>周期 s</x:v>
      </x:c>
      <x:c r="E29" s="73" t="str">
        <x:v>TPOT ms</x:v>
      </x:c>
      <x:c r="F29" s="73" t="str">
        <x:v>KV 窗口 次/min</x:v>
      </x:c>
      <x:c r="G29" s="73" t="str">
        <x:v>KV 窗口 ms/次</x:v>
      </x:c>
      <x:c r="H29" s="73" t="str">
        <x:v>重叠 FW 次/min</x:v>
      </x:c>
      <x:c r="I29" s="73" t="str">
        <x:v>全 EP FW 次/min</x:v>
      </x:c>
      <x:c r="J29" s="73" t="str">
        <x:v>部分 EP FW 次/min</x:v>
      </x:c>
      <x:c r="K29" s="73" t="str">
        <x:v>重叠层调用 次/min</x:v>
      </x:c>
      <x:c r="L29" s="73" t="str">
        <x:v>60s 工作增时 ms</x:v>
      </x:c>
      <x:c r="M29" s="73" t="str">
        <x:v>平均 TPOT 增量 μs</x:v>
      </x:c>
      <x:c r="N29" s="73" t="str">
        <x:v>TPOT 增幅 ppm</x:v>
      </x:c>
      <x:c r="O29" s="73" t="str">
        <x:v>结果条件</x:v>
      </x:c>
      <x:c r="P29" s="73" t="str">
        <x:v>最低 EP GB/s</x:v>
      </x:c>
      <x:c r="Q29" s="30"/>
      <x:c r="R29" s="30"/>
      <x:c r="S29" s="30"/>
      <x:c r="T29" s="30"/>
      <x:c r="U29" s="30"/>
      <x:c r="V29" s="30"/>
      <x:c r="W29" s="30"/>
      <x:c r="X29" s="30"/>
    </x:row>
    <x:row r="30" ht="22" customHeight="1">
      <x:c r="A30" s="30" t="str">
        <x:f>A23</x:f>
        <x:v>KimiK3</x:v>
      </x:c>
      <x:c r="B30" s="30" t="n">
        <x:f>B23</x:f>
        <x:v>32</x:v>
      </x:c>
      <x:c r="C30" s="74" t="n">
        <x:f>$B$15</x:f>
        <x:v>16384</x:v>
      </x:c>
      <x:c r="D30" s="30" t="n">
        <x:f>$C$15</x:f>
        <x:v>4</x:v>
      </x:c>
      <x:c r="E30" s="30" t="n">
        <x:f>$F$15</x:f>
        <x:v>5</x:v>
      </x:c>
      <x:c r="F30" s="75" t="n">
        <x:f>IF(A60,60000/L60,"")</x:f>
        <x:v>15</x:v>
      </x:c>
      <x:c r="G30" s="75" t="n">
        <x:f>K60</x:f>
        <x:v>1.7120256</x:v>
      </x:c>
      <x:c r="H30" s="75" t="n">
        <x:f>IF(W60="估算",U60*R60,"")</x:f>
        <x:v>19.977658521738384</x:v>
      </x:c>
      <x:c r="I30" s="75" t="n">
        <x:f>IF(W60="估算",U60*S60,"")</x:f>
        <x:v>0</x:v>
      </x:c>
      <x:c r="J30" s="75" t="n">
        <x:f>IF(W60="估算",U60*MAX(0,R60-S60),"")</x:f>
        <x:v>19.977658521738384</x:v>
      </x:c>
      <x:c r="K30" s="75" t="n">
        <x:f>IF(W60="估算",IF(OR(O60=0,K60=0),0,U60*E23*MIN(1,(K60+P60)/L60)),"")</x:f>
        <x:v>472.944584</x:v>
      </x:c>
      <x:c r="L30" s="34" t="n">
        <x:f>IF(W60="估算",V60,"")</x:f>
        <x:v>0.08094021640356477</x:v>
      </x:c>
      <x:c r="M30" s="34" t="n">
        <x:f>IF(W60="估算",E30*V60/60,"")</x:f>
        <x:v>0.006745018033630397</x:v>
      </x:c>
      <x:c r="N30" s="34" t="n">
        <x:f>IF(W60="估算",V60/60000*1e6,"")</x:f>
        <x:v>1.3490036067260796</x:v>
      </x:c>
      <x:c r="O30" s="30" t="str">
        <x:f>IF(W60="估算","相位平均估算",W60)</x:f>
        <x:v>相位平均估算</x:v>
      </x:c>
      <x:c r="P30" s="49" t="n">
        <x:f>Q60</x:f>
        <x:v>136.165888</x:v>
      </x:c>
      <x:c r="Q30" s="30"/>
      <x:c r="R30" s="30"/>
      <x:c r="S30" s="30"/>
      <x:c r="T30" s="30"/>
      <x:c r="U30" s="30"/>
      <x:c r="V30" s="30"/>
      <x:c r="W30" s="30"/>
      <x:c r="X30" s="30"/>
    </x:row>
    <x:row r="31" ht="22" customHeight="1">
      <x:c r="A31" s="30" t="str">
        <x:f>A23</x:f>
        <x:v>KimiK3</x:v>
      </x:c>
      <x:c r="B31" s="30" t="n">
        <x:f>B23</x:f>
        <x:v>32</x:v>
      </x:c>
      <x:c r="C31" s="74" t="n">
        <x:f>$B$15</x:f>
        <x:v>16384</x:v>
      </x:c>
      <x:c r="D31" s="30" t="n">
        <x:f>$C$15</x:f>
        <x:v>4</x:v>
      </x:c>
      <x:c r="E31" s="30" t="n">
        <x:f>$F$16</x:f>
        <x:v>10</x:v>
      </x:c>
      <x:c r="F31" s="75" t="n">
        <x:f>IF(A61,60000/L61,"")</x:f>
        <x:v>15</x:v>
      </x:c>
      <x:c r="G31" s="75" t="n">
        <x:f>K61</x:f>
        <x:v>1.7120256</x:v>
      </x:c>
      <x:c r="H31" s="75" t="n">
        <x:f>IF(W61="估算",U61*R61,"")</x:f>
        <x:v>17.407307521739135</x:v>
      </x:c>
      <x:c r="I31" s="75" t="n">
        <x:f>IF(W61="估算",U61*S61,"")</x:f>
        <x:v>0</x:v>
      </x:c>
      <x:c r="J31" s="75" t="n">
        <x:f>IF(W61="估算",U61*MAX(0,R61-S61),"")</x:f>
        <x:v>17.407307521739135</x:v>
      </x:c>
      <x:c r="K31" s="75" t="n">
        <x:f>IF(W61="估算",IF(OR(O61=0,K61=0),0,U61*E23*MIN(1,(K61+P61)/L61)),"")</x:f>
        <x:v>236.472292</x:v>
      </x:c>
      <x:c r="L31" s="34" t="n">
        <x:f>IF(W61="估算",V61,"")</x:f>
        <x:v>0.04047010820178239</x:v>
      </x:c>
      <x:c r="M31" s="34" t="n">
        <x:f>IF(W61="估算",E31*V61/60,"")</x:f>
        <x:v>0.006745018033630397</x:v>
      </x:c>
      <x:c r="N31" s="34" t="n">
        <x:f>IF(W61="估算",V61/60000*1e6,"")</x:f>
        <x:v>0.6745018033630398</x:v>
      </x:c>
      <x:c r="O31" s="30" t="str">
        <x:f>IF(W61="估算","相位平均估算",W61)</x:f>
        <x:v>相位平均估算</x:v>
      </x:c>
      <x:c r="P31" s="49" t="n">
        <x:f>Q61</x:f>
        <x:v>68.082944</x:v>
      </x:c>
      <x:c r="Q31" s="30"/>
      <x:c r="R31" s="30"/>
      <x:c r="S31" s="30"/>
      <x:c r="T31" s="30"/>
      <x:c r="U31" s="30"/>
      <x:c r="V31" s="30"/>
      <x:c r="W31" s="30"/>
      <x:c r="X31" s="30"/>
    </x:row>
    <x:row r="32" ht="22" customHeight="1">
      <x:c r="A32" s="30" t="str">
        <x:f>A23</x:f>
        <x:v>KimiK3</x:v>
      </x:c>
      <x:c r="B32" s="30" t="n">
        <x:f>B23</x:f>
        <x:v>32</x:v>
      </x:c>
      <x:c r="C32" s="74" t="n">
        <x:f>$B$15</x:f>
        <x:v>16384</x:v>
      </x:c>
      <x:c r="D32" s="30" t="n">
        <x:f>$C$15</x:f>
        <x:v>4</x:v>
      </x:c>
      <x:c r="E32" s="30" t="n">
        <x:f>$F$17</x:f>
        <x:v>20</x:v>
      </x:c>
      <x:c r="F32" s="75" t="n">
        <x:f>IF(A62,60000/L62,"")</x:f>
        <x:v>15</x:v>
      </x:c>
      <x:c r="G32" s="75" t="n">
        <x:f>K62</x:f>
        <x:v>1.7120256</x:v>
      </x:c>
      <x:c r="H32" s="75" t="n">
        <x:f>IF(W62="估算",U62*R62,"")</x:f>
        <x:v>16.122132021738842</x:v>
      </x:c>
      <x:c r="I32" s="75" t="n">
        <x:f>IF(W62="估算",U62*S62,"")</x:f>
        <x:v>0</x:v>
      </x:c>
      <x:c r="J32" s="75" t="n">
        <x:f>IF(W62="估算",U62*MAX(0,R62-S62),"")</x:f>
        <x:v>16.122132021738842</x:v>
      </x:c>
      <x:c r="K32" s="75" t="n">
        <x:f>IF(W62="估算",IF(OR(O62=0,K62=0),0,U62*E23*MIN(1,(K62+P62)/L62)),"")</x:f>
        <x:v>118.236146</x:v>
      </x:c>
      <x:c r="L32" s="34" t="n">
        <x:f>IF(W62="估算",V62,"")</x:f>
        <x:v>0.020235054100891194</x:v>
      </x:c>
      <x:c r="M32" s="34" t="n">
        <x:f>IF(W62="估算",E32*V62/60,"")</x:f>
        <x:v>0.006745018033630397</x:v>
      </x:c>
      <x:c r="N32" s="34" t="n">
        <x:f>IF(W62="估算",V62/60000*1e6,"")</x:f>
        <x:v>0.3372509016815199</x:v>
      </x:c>
      <x:c r="O32" s="30" t="str">
        <x:f>IF(W62="估算","相位平均估算",W62)</x:f>
        <x:v>相位平均估算</x:v>
      </x:c>
      <x:c r="P32" s="49" t="n">
        <x:f>Q62</x:f>
        <x:v>34.041472</x:v>
      </x:c>
      <x:c r="Q32" s="30"/>
      <x:c r="R32" s="30"/>
      <x:c r="S32" s="30"/>
      <x:c r="T32" s="30"/>
      <x:c r="U32" s="30"/>
      <x:c r="V32" s="30"/>
      <x:c r="W32" s="30"/>
      <x:c r="X32" s="30"/>
    </x:row>
    <x:row r="33" ht="22" customHeight="1">
      <x:c r="A33" s="30" t="str">
        <x:f>A23</x:f>
        <x:v>KimiK3</x:v>
      </x:c>
      <x:c r="B33" s="30" t="n">
        <x:f>B23</x:f>
        <x:v>32</x:v>
      </x:c>
      <x:c r="C33" s="74" t="n">
        <x:f>$B$15</x:f>
        <x:v>16384</x:v>
      </x:c>
      <x:c r="D33" s="30" t="n">
        <x:f>$C$15</x:f>
        <x:v>4</x:v>
      </x:c>
      <x:c r="E33" s="30" t="n">
        <x:f>$F$18</x:f>
        <x:v>30</x:v>
      </x:c>
      <x:c r="F33" s="75" t="n">
        <x:f>IF(A63,60000/L63,"")</x:f>
        <x:v>15</x:v>
      </x:c>
      <x:c r="G33" s="75" t="n">
        <x:f>K63</x:f>
        <x:v>1.7120256</x:v>
      </x:c>
      <x:c r="H33" s="75" t="n">
        <x:f>IF(W63="估算",U63*R63,"")</x:f>
        <x:v>15.693740188405636</x:v>
      </x:c>
      <x:c r="I33" s="75" t="n">
        <x:f>IF(W63="估算",U63*S63,"")</x:f>
        <x:v>0</x:v>
      </x:c>
      <x:c r="J33" s="75" t="n">
        <x:f>IF(W63="估算",U63*MAX(0,R63-S63),"")</x:f>
        <x:v>15.693740188405636</x:v>
      </x:c>
      <x:c r="K33" s="75" t="n">
        <x:f>IF(W63="估算",IF(OR(O63=0,K63=0),0,U63*E23*MIN(1,(K63+P63)/L63)),"")</x:f>
        <x:v>78.82409733333334</x:v>
      </x:c>
      <x:c r="L33" s="34" t="n">
        <x:f>IF(W63="估算",V63,"")</x:f>
        <x:v>0.013490036067260796</x:v>
      </x:c>
      <x:c r="M33" s="34" t="n">
        <x:f>IF(W63="估算",E33*V63/60,"")</x:f>
        <x:v>0.006745018033630398</x:v>
      </x:c>
      <x:c r="N33" s="34" t="n">
        <x:f>IF(W63="估算",V63/60000*1e6,"")</x:f>
        <x:v>0.2248339344543466</x:v>
      </x:c>
      <x:c r="O33" s="30" t="str">
        <x:f>IF(W63="估算","相位平均估算",W63)</x:f>
        <x:v>相位平均估算</x:v>
      </x:c>
      <x:c r="P33" s="49" t="n">
        <x:f>Q63</x:f>
        <x:v>22.694314666666667</x:v>
      </x:c>
      <x:c r="Q33" s="30"/>
      <x:c r="R33" s="30"/>
      <x:c r="S33" s="30"/>
      <x:c r="T33" s="30"/>
      <x:c r="U33" s="30"/>
      <x:c r="V33" s="30"/>
      <x:c r="W33" s="30"/>
      <x:c r="X33" s="30"/>
    </x:row>
    <x:row r="34" ht="22" customHeight="1">
      <x:c r="A34" s="30" t="str">
        <x:f>A23</x:f>
        <x:v>KimiK3</x:v>
      </x:c>
      <x:c r="B34" s="30" t="n">
        <x:f>B23</x:f>
        <x:v>32</x:v>
      </x:c>
      <x:c r="C34" s="74" t="n">
        <x:f>$B$16</x:f>
        <x:v>262144</x:v>
      </x:c>
      <x:c r="D34" s="30" t="n">
        <x:f>$C$16</x:f>
        <x:v>20</x:v>
      </x:c>
      <x:c r="E34" s="30" t="n">
        <x:f>$F$15</x:f>
        <x:v>5</x:v>
      </x:c>
      <x:c r="F34" s="75" t="n">
        <x:f>IF(A64,60000/L64,"")</x:f>
        <x:v>3</x:v>
      </x:c>
      <x:c r="G34" s="75" t="n">
        <x:f>K64</x:f>
        <x:v>24.3612672</x:v>
      </x:c>
      <x:c r="H34" s="75" t="n">
        <x:f>IF(W64="估算",U64*R64,"")</x:f>
        <x:v>17.585076664349497</x:v>
      </x:c>
      <x:c r="I34" s="75" t="n">
        <x:f>IF(W64="估算",U64*S64,"")</x:f>
        <x:v>11.648443975653677</x:v>
      </x:c>
      <x:c r="J34" s="75" t="n">
        <x:f>IF(W64="估算",U64*MAX(0,R64-S64),"")</x:f>
        <x:v>5.93663268869582</x:v>
      </x:c>
      <x:c r="K34" s="75" t="n">
        <x:f>IF(W64="估算",IF(OR(O64=0,K64=0),0,U64*E23*MIN(1,(K64+P64)/L64)),"")</x:f>
        <x:v>1344.82705312</x:v>
      </x:c>
      <x:c r="L34" s="34" t="n">
        <x:f>IF(W64="估算",V64,"")</x:f>
        <x:v>0.23035846654394496</x:v>
      </x:c>
      <x:c r="M34" s="34" t="n">
        <x:f>IF(W64="估算",E34*V64/60,"")</x:f>
        <x:v>0.01919653887866208</x:v>
      </x:c>
      <x:c r="N34" s="34" t="n">
        <x:f>IF(W64="估算",V64/60000*1e6,"")</x:f>
        <x:v>3.8393077757324154</x:v>
      </x:c>
      <x:c r="O34" s="30" t="str">
        <x:f>IF(W64="估算","相位平均估算",W64)</x:f>
        <x:v>相位平均估算</x:v>
      </x:c>
      <x:c r="P34" s="49" t="n">
        <x:f>Q64</x:f>
        <x:v>136.165888</x:v>
      </x:c>
      <x:c r="Q34" s="30"/>
      <x:c r="R34" s="30"/>
      <x:c r="S34" s="30"/>
      <x:c r="T34" s="30"/>
      <x:c r="U34" s="30"/>
      <x:c r="V34" s="30"/>
      <x:c r="W34" s="30"/>
      <x:c r="X34" s="30"/>
    </x:row>
    <x:row r="35" ht="22" customHeight="1">
      <x:c r="A35" s="30" t="str">
        <x:f>A23</x:f>
        <x:v>KimiK3</x:v>
      </x:c>
      <x:c r="B35" s="30" t="n">
        <x:f>B23</x:f>
        <x:v>32</x:v>
      </x:c>
      <x:c r="C35" s="74" t="n">
        <x:f>$B$16</x:f>
        <x:v>262144</x:v>
      </x:c>
      <x:c r="D35" s="30" t="n">
        <x:f>$C$16</x:f>
        <x:v>20</x:v>
      </x:c>
      <x:c r="E35" s="30" t="n">
        <x:f>$F$16</x:f>
        <x:v>10</x:v>
      </x:c>
      <x:c r="F35" s="75" t="n">
        <x:f>IF(A65,60000/L65,"")</x:f>
        <x:v>3</x:v>
      </x:c>
      <x:c r="G35" s="75" t="n">
        <x:f>K65</x:f>
        <x:v>24.3612672</x:v>
      </x:c>
      <x:c r="H35" s="75" t="n">
        <x:f>IF(W65="估算",U65*R65,"")</x:f>
        <x:v>10.276233984348071</x:v>
      </x:c>
      <x:c r="I35" s="75" t="n">
        <x:f>IF(W65="估算",U65*S65,"")</x:f>
        <x:v>4.34052633565285</x:v>
      </x:c>
      <x:c r="J35" s="75" t="n">
        <x:f>IF(W65="估算",U65*MAX(0,R65-S65),"")</x:f>
        <x:v>5.935707648695221</x:v>
      </x:c>
      <x:c r="K35" s="75" t="n">
        <x:f>IF(W65="估算",IF(OR(O65=0,K65=0),0,U65*E23*MIN(1,(K65+P65)/L65)),"")</x:f>
        <x:v>672.41352656</x:v>
      </x:c>
      <x:c r="L35" s="34" t="n">
        <x:f>IF(W65="估算",V65,"")</x:f>
        <x:v>0.11517923327197248</x:v>
      </x:c>
      <x:c r="M35" s="34" t="n">
        <x:f>IF(W65="估算",E35*V65/60,"")</x:f>
        <x:v>0.01919653887866208</x:v>
      </x:c>
      <x:c r="N35" s="34" t="n">
        <x:f>IF(W65="估算",V65/60000*1e6,"")</x:f>
        <x:v>1.9196538878662077</x:v>
      </x:c>
      <x:c r="O35" s="30" t="str">
        <x:f>IF(W65="估算","相位平均估算",W65)</x:f>
        <x:v>相位平均估算</x:v>
      </x:c>
      <x:c r="P35" s="49" t="n">
        <x:f>Q65</x:f>
        <x:v>68.082944</x:v>
      </x:c>
      <x:c r="Q35" s="30"/>
      <x:c r="R35" s="30"/>
      <x:c r="S35" s="30"/>
      <x:c r="T35" s="30"/>
      <x:c r="U35" s="30"/>
      <x:c r="V35" s="30"/>
      <x:c r="W35" s="30"/>
      <x:c r="X35" s="30"/>
    </x:row>
    <x:row r="36" ht="22" customHeight="1">
      <x:c r="A36" s="30" t="str">
        <x:f>A23</x:f>
        <x:v>KimiK3</x:v>
      </x:c>
      <x:c r="B36" s="30" t="n">
        <x:f>B23</x:f>
        <x:v>32</x:v>
      </x:c>
      <x:c r="C36" s="74" t="n">
        <x:f>$B$16</x:f>
        <x:v>262144</x:v>
      </x:c>
      <x:c r="D36" s="30" t="n">
        <x:f>$C$16</x:f>
        <x:v>20</x:v>
      </x:c>
      <x:c r="E36" s="30" t="n">
        <x:f>$F$17</x:f>
        <x:v>20</x:v>
      </x:c>
      <x:c r="F36" s="75" t="n">
        <x:f>IF(A66,60000/L66,"")</x:f>
        <x:v>3</x:v>
      </x:c>
      <x:c r="G36" s="75" t="n">
        <x:f>K66</x:f>
        <x:v>24.3612672</x:v>
      </x:c>
      <x:c r="H36" s="75" t="n">
        <x:f>IF(W66="估算",U66*R66,"")</x:f>
        <x:v>6.621812644348357</x:v>
      </x:c>
      <x:c r="I36" s="75" t="n">
        <x:f>IF(W66="估算",U66*S66,"")</x:f>
        <x:v>0.6865675156524365</x:v>
      </x:c>
      <x:c r="J36" s="75" t="n">
        <x:f>IF(W66="估算",U66*MAX(0,R66-S66),"")</x:f>
        <x:v>5.935245128695921</x:v>
      </x:c>
      <x:c r="K36" s="75" t="n">
        <x:f>IF(W66="估算",IF(OR(O66=0,K66=0),0,U66*E23*MIN(1,(K66+P66)/L66)),"")</x:f>
        <x:v>336.20676328</x:v>
      </x:c>
      <x:c r="L36" s="34" t="n">
        <x:f>IF(W66="估算",V66,"")</x:f>
        <x:v>0.05758961663598624</x:v>
      </x:c>
      <x:c r="M36" s="34" t="n">
        <x:f>IF(W66="估算",E36*V66/60,"")</x:f>
        <x:v>0.01919653887866208</x:v>
      </x:c>
      <x:c r="N36" s="34" t="n">
        <x:f>IF(W66="估算",V66/60000*1e6,"")</x:f>
        <x:v>0.9598269439331039</x:v>
      </x:c>
      <x:c r="O36" s="30" t="str">
        <x:f>IF(W66="估算","相位平均估算",W66)</x:f>
        <x:v>相位平均估算</x:v>
      </x:c>
      <x:c r="P36" s="49" t="n">
        <x:f>Q66</x:f>
        <x:v>34.041472</x:v>
      </x:c>
      <x:c r="Q36" s="30"/>
      <x:c r="R36" s="30"/>
      <x:c r="S36" s="30"/>
      <x:c r="T36" s="30"/>
      <x:c r="U36" s="30"/>
      <x:c r="V36" s="30"/>
      <x:c r="W36" s="30"/>
      <x:c r="X36" s="30"/>
    </x:row>
    <x:row r="37" ht="22" customHeight="1">
      <x:c r="A37" s="30" t="str">
        <x:f>A23</x:f>
        <x:v>KimiK3</x:v>
      </x:c>
      <x:c r="B37" s="30" t="n">
        <x:f>B23</x:f>
        <x:v>32</x:v>
      </x:c>
      <x:c r="C37" s="74" t="n">
        <x:f>$B$16</x:f>
        <x:v>262144</x:v>
      </x:c>
      <x:c r="D37" s="30" t="n">
        <x:f>$C$16</x:f>
        <x:v>20</x:v>
      </x:c>
      <x:c r="E37" s="30" t="n">
        <x:f>$F$18</x:f>
        <x:v>30</x:v>
      </x:c>
      <x:c r="F37" s="75" t="n">
        <x:f>IF(A67,60000/L67,"")</x:f>
        <x:v>3</x:v>
      </x:c>
      <x:c r="G37" s="75" t="n">
        <x:f>K67</x:f>
        <x:v>24.3612672</x:v>
      </x:c>
      <x:c r="H37" s="75" t="n">
        <x:f>IF(W67="估算",U67*R67,"")</x:f>
        <x:v>5.40367219768112</x:v>
      </x:c>
      <x:c r="I37" s="75" t="n">
        <x:f>IF(W67="估算",U67*S67,"")</x:f>
        <x:v>0</x:v>
      </x:c>
      <x:c r="J37" s="75" t="n">
        <x:f>IF(W67="估算",U67*MAX(0,R67-S67),"")</x:f>
        <x:v>5.40367219768112</x:v>
      </x:c>
      <x:c r="K37" s="75" t="n">
        <x:f>IF(W67="估算",IF(OR(O67=0,K67=0),0,U67*E23*MIN(1,(K67+P67)/L67)),"")</x:f>
        <x:v>224.13784218666666</x:v>
      </x:c>
      <x:c r="L37" s="34" t="n">
        <x:f>IF(W67="估算",V67,"")</x:f>
        <x:v>0.03839307775732416</x:v>
      </x:c>
      <x:c r="M37" s="34" t="n">
        <x:f>IF(W67="估算",E37*V67/60,"")</x:f>
        <x:v>0.01919653887866208</x:v>
      </x:c>
      <x:c r="N37" s="34" t="n">
        <x:f>IF(W67="估算",V67/60000*1e6,"")</x:f>
        <x:v>0.639884629288736</x:v>
      </x:c>
      <x:c r="O37" s="30" t="str">
        <x:f>IF(W67="估算","相位平均估算",W67)</x:f>
        <x:v>相位平均估算</x:v>
      </x:c>
      <x:c r="P37" s="49" t="n">
        <x:f>Q67</x:f>
        <x:v>22.694314666666667</x:v>
      </x:c>
      <x:c r="Q37" s="30"/>
      <x:c r="R37" s="30"/>
      <x:c r="S37" s="30"/>
      <x:c r="T37" s="30"/>
      <x:c r="U37" s="30"/>
      <x:c r="V37" s="30"/>
      <x:c r="W37" s="30"/>
      <x:c r="X37" s="30"/>
    </x:row>
    <x:row r="38" ht="22" customHeight="1">
      <x:c r="A38" s="30" t="str">
        <x:f>A23</x:f>
        <x:v>KimiK3</x:v>
      </x:c>
      <x:c r="B38" s="30" t="n">
        <x:f>B23</x:f>
        <x:v>32</x:v>
      </x:c>
      <x:c r="C38" s="74" t="n">
        <x:f>$B$17</x:f>
        <x:v>1048576</x:v>
      </x:c>
      <x:c r="D38" s="30" t="n">
        <x:f>$C$17</x:f>
        <x:v>60</x:v>
      </x:c>
      <x:c r="E38" s="30" t="n">
        <x:f>$F$15</x:f>
        <x:v>5</x:v>
      </x:c>
      <x:c r="F38" s="75" t="n">
        <x:f>IF(A68,60000/L68,"")</x:f>
        <x:v>1</x:v>
      </x:c>
      <x:c r="G38" s="75" t="n">
        <x:f>K68</x:f>
        <x:v>96.83884032</x:v>
      </x:c>
      <x:c r="H38" s="75" t="n">
        <x:f>IF(W68="估算",U68*R68,"")</x:f>
        <x:v>20.357206845449838</x:v>
      </x:c>
      <x:c r="I38" s="75" t="n">
        <x:f>IF(W68="估算",U68*S68,"")</x:f>
        <x:v>18.378329282550787</x:v>
      </x:c>
      <x:c r="J38" s="75" t="n">
        <x:f>IF(W68="估算",U68*MAX(0,R68-S68),"")</x:f>
        <x:v>1.9788775628990507</x:v>
      </x:c>
      <x:c r="K38" s="75" t="n">
        <x:f>IF(W68="估算",IF(OR(O68=0,K68=0),0,U68*E23*MIN(1,(K68+P68)/L68)),"")</x:f>
        <x:v>1781.8630297813336</x:v>
      </x:c>
      <x:c r="L38" s="34" t="n">
        <x:f>IF(W68="估算",V68,"")</x:f>
        <x:v>0.30523460699542915</x:v>
      </x:c>
      <x:c r="M38" s="34" t="n">
        <x:f>IF(W68="估算",E38*V68/60,"")</x:f>
        <x:v>0.025436217249619093</x:v>
      </x:c>
      <x:c r="N38" s="34" t="n">
        <x:f>IF(W68="估算",V68/60000*1e6,"")</x:f>
        <x:v>5.087243449923819</x:v>
      </x:c>
      <x:c r="O38" s="30" t="str">
        <x:f>IF(W68="估算","相位平均估算",W68)</x:f>
        <x:v>相位平均估算</x:v>
      </x:c>
      <x:c r="P38" s="49" t="n">
        <x:f>Q68</x:f>
        <x:v>136.165888</x:v>
      </x:c>
      <x:c r="Q38" s="30"/>
      <x:c r="R38" s="30"/>
      <x:c r="S38" s="30"/>
      <x:c r="T38" s="30"/>
      <x:c r="U38" s="30"/>
      <x:c r="V38" s="30"/>
      <x:c r="W38" s="30"/>
      <x:c r="X38" s="30"/>
    </x:row>
    <x:row r="39" ht="22" customHeight="1">
      <x:c r="A39" s="30" t="str">
        <x:f>A23</x:f>
        <x:v>KimiK3</x:v>
      </x:c>
      <x:c r="B39" s="30" t="n">
        <x:f>B23</x:f>
        <x:v>32</x:v>
      </x:c>
      <x:c r="C39" s="74" t="n">
        <x:f>$B$17</x:f>
        <x:v>1048576</x:v>
      </x:c>
      <x:c r="D39" s="30" t="n">
        <x:f>$C$17</x:f>
        <x:v>60</x:v>
      </x:c>
      <x:c r="E39" s="30" t="n">
        <x:f>$F$16</x:f>
        <x:v>10</x:v>
      </x:c>
      <x:c r="F39" s="75" t="n">
        <x:f>IF(A69,60000/L69,"")</x:f>
        <x:v>1</x:v>
      </x:c>
      <x:c r="G39" s="75" t="n">
        <x:f>K69</x:f>
        <x:v>96.83884032</x:v>
      </x:c>
      <x:c r="H39" s="75" t="n">
        <x:f>IF(W69="估算",U69*R69,"")</x:f>
        <x:v>10.673168640115582</x:v>
      </x:c>
      <x:c r="I39" s="75" t="n">
        <x:f>IF(W69="估算",U69*S69,"")</x:f>
        <x:v>8.694599423884064</x:v>
      </x:c>
      <x:c r="J39" s="75" t="n">
        <x:f>IF(W69="估算",U69*MAX(0,R69-S69),"")</x:f>
        <x:v>1.9785692162315183</x:v>
      </x:c>
      <x:c r="K39" s="75" t="n">
        <x:f>IF(W69="估算",IF(OR(O69=0,K69=0),0,U69*E23*MIN(1,(K69+P69)/L69)),"")</x:f>
        <x:v>890.9315148906668</x:v>
      </x:c>
      <x:c r="L39" s="34" t="n">
        <x:f>IF(W69="估算",V69,"")</x:f>
        <x:v>0.15261730349771457</x:v>
      </x:c>
      <x:c r="M39" s="34" t="n">
        <x:f>IF(W69="估算",E39*V69/60,"")</x:f>
        <x:v>0.025436217249619093</x:v>
      </x:c>
      <x:c r="N39" s="34" t="n">
        <x:f>IF(W69="估算",V69/60000*1e6,"")</x:f>
        <x:v>2.5436217249619095</x:v>
      </x:c>
      <x:c r="O39" s="30" t="str">
        <x:f>IF(W69="估算","相位平均估算",W69)</x:f>
        <x:v>相位平均估算</x:v>
      </x:c>
      <x:c r="P39" s="49" t="n">
        <x:f>Q69</x:f>
        <x:v>68.082944</x:v>
      </x:c>
      <x:c r="Q39" s="30"/>
      <x:c r="R39" s="30"/>
      <x:c r="S39" s="30"/>
      <x:c r="T39" s="30"/>
      <x:c r="U39" s="30"/>
      <x:c r="V39" s="30"/>
      <x:c r="W39" s="30"/>
      <x:c r="X39" s="30"/>
    </x:row>
    <x:row r="40" ht="22" customHeight="1">
      <x:c r="A40" s="30" t="str">
        <x:f>A23</x:f>
        <x:v>KimiK3</x:v>
      </x:c>
      <x:c r="B40" s="30" t="n">
        <x:f>B23</x:f>
        <x:v>32</x:v>
      </x:c>
      <x:c r="C40" s="74" t="n">
        <x:f>$B$17</x:f>
        <x:v>1048576</x:v>
      </x:c>
      <x:c r="D40" s="30" t="n">
        <x:f>$C$17</x:f>
        <x:v>60</x:v>
      </x:c>
      <x:c r="E40" s="30" t="n">
        <x:f>$F$17</x:f>
        <x:v>20</x:v>
      </x:c>
      <x:c r="F40" s="75" t="n">
        <x:f>IF(A70,60000/L70,"")</x:f>
        <x:v>1</x:v>
      </x:c>
      <x:c r="G40" s="75" t="n">
        <x:f>K70</x:f>
        <x:v>96.83884032</x:v>
      </x:c>
      <x:c r="H40" s="75" t="n">
        <x:f>IF(W70="估算",U70*R70,"")</x:f>
        <x:v>5.831149537449121</x:v>
      </x:c>
      <x:c r="I40" s="75" t="n">
        <x:f>IF(W70="估算",U70*S70,"")</x:f>
        <x:v>3.8527344945510356</x:v>
      </x:c>
      <x:c r="J40" s="75" t="n">
        <x:f>IF(W70="估算",U70*MAX(0,R70-S70),"")</x:f>
        <x:v>1.9784150428980851</x:v>
      </x:c>
      <x:c r="K40" s="75" t="n">
        <x:f>IF(W70="估算",IF(OR(O70=0,K70=0),0,U70*E23*MIN(1,(K70+P70)/L70)),"")</x:f>
        <x:v>445.4657574453334</x:v>
      </x:c>
      <x:c r="L40" s="34" t="n">
        <x:f>IF(W70="估算",V70,"")</x:f>
        <x:v>0.07630865174885729</x:v>
      </x:c>
      <x:c r="M40" s="34" t="n">
        <x:f>IF(W70="估算",E40*V70/60,"")</x:f>
        <x:v>0.025436217249619093</x:v>
      </x:c>
      <x:c r="N40" s="34" t="n">
        <x:f>IF(W70="估算",V70/60000*1e6,"")</x:f>
        <x:v>1.2718108624809548</x:v>
      </x:c>
      <x:c r="O40" s="30" t="str">
        <x:f>IF(W70="估算","相位平均估算",W70)</x:f>
        <x:v>相位平均估算</x:v>
      </x:c>
      <x:c r="P40" s="49" t="n">
        <x:f>Q70</x:f>
        <x:v>34.041472</x:v>
      </x:c>
      <x:c r="Q40" s="30"/>
      <x:c r="R40" s="30"/>
      <x:c r="S40" s="30"/>
      <x:c r="T40" s="30"/>
      <x:c r="U40" s="30"/>
      <x:c r="V40" s="30"/>
      <x:c r="W40" s="30"/>
      <x:c r="X40" s="30"/>
    </x:row>
    <x:row r="41" ht="22" customHeight="1">
      <x:c r="A41" s="30" t="str">
        <x:f>A23</x:f>
        <x:v>KimiK3</x:v>
      </x:c>
      <x:c r="B41" s="30" t="n">
        <x:f>B23</x:f>
        <x:v>32</x:v>
      </x:c>
      <x:c r="C41" s="74" t="n">
        <x:f>$B$17</x:f>
        <x:v>1048576</x:v>
      </x:c>
      <x:c r="D41" s="30" t="n">
        <x:f>$C$17</x:f>
        <x:v>60</x:v>
      </x:c>
      <x:c r="E41" s="30" t="n">
        <x:f>$F$18</x:f>
        <x:v>30</x:v>
      </x:c>
      <x:c r="F41" s="75" t="n">
        <x:f>IF(A71,60000/L71,"")</x:f>
        <x:v>1</x:v>
      </x:c>
      <x:c r="G41" s="75" t="n">
        <x:f>K71</x:f>
        <x:v>96.83884032</x:v>
      </x:c>
      <x:c r="H41" s="75" t="n">
        <x:f>IF(W71="估算",U71*R71,"")</x:f>
        <x:v>4.2171431698938555</x:v>
      </x:c>
      <x:c r="I41" s="75" t="n">
        <x:f>IF(W71="估算",U71*S71,"")</x:f>
        <x:v>2.2387795181062486</x:v>
      </x:c>
      <x:c r="J41" s="75" t="n">
        <x:f>IF(W71="估算",U71*MAX(0,R71-S71),"")</x:f>
        <x:v>1.9783636517876069</x:v>
      </x:c>
      <x:c r="K41" s="75" t="n">
        <x:f>IF(W71="估算",IF(OR(O71=0,K71=0),0,U71*E23*MIN(1,(K71+P71)/L71)),"")</x:f>
        <x:v>296.97717163022224</x:v>
      </x:c>
      <x:c r="L41" s="34" t="n">
        <x:f>IF(W71="估算",V71,"")</x:f>
        <x:v>0.05087243449923819</x:v>
      </x:c>
      <x:c r="M41" s="34" t="n">
        <x:f>IF(W71="估算",E41*V71/60,"")</x:f>
        <x:v>0.025436217249619093</x:v>
      </x:c>
      <x:c r="N41" s="34" t="n">
        <x:f>IF(W71="估算",V71/60000*1e6,"")</x:f>
        <x:v>0.8478739083206365</x:v>
      </x:c>
      <x:c r="O41" s="30" t="str">
        <x:f>IF(W71="估算","相位平均估算",W71)</x:f>
        <x:v>相位平均估算</x:v>
      </x:c>
      <x:c r="P41" s="49" t="n">
        <x:f>Q71</x:f>
        <x:v>22.694314666666667</x:v>
      </x:c>
      <x:c r="Q41" s="30"/>
      <x:c r="R41" s="30"/>
      <x:c r="S41" s="30"/>
      <x:c r="T41" s="30"/>
      <x:c r="U41" s="30"/>
      <x:c r="V41" s="30"/>
      <x:c r="W41" s="30"/>
      <x:c r="X41" s="30"/>
    </x:row>
    <x:row r="42" ht="22" customHeight="1">
      <x:c r="A42" s="30" t="str">
        <x:f>A24</x:f>
        <x:v>KimiK3</x:v>
      </x:c>
      <x:c r="B42" s="30" t="n">
        <x:f>B24</x:f>
        <x:v>256</x:v>
      </x:c>
      <x:c r="C42" s="74" t="n">
        <x:f>$B$15</x:f>
        <x:v>16384</x:v>
      </x:c>
      <x:c r="D42" s="30" t="n">
        <x:f>$C$15</x:f>
        <x:v>4</x:v>
      </x:c>
      <x:c r="E42" s="30" t="n">
        <x:f>$F$15</x:f>
        <x:v>5</x:v>
      </x:c>
      <x:c r="F42" s="75" t="n">
        <x:f>IF(A72,60000/L72,"")</x:f>
        <x:v>15</x:v>
      </x:c>
      <x:c r="G42" s="75" t="n">
        <x:f>K72</x:f>
        <x:v>1.7120256</x:v>
      </x:c>
      <x:c r="H42" s="75" t="n">
        <x:f>IF(W72="估算",U72*R72,"")</x:f>
        <x:v>19.97779162173874</x:v>
      </x:c>
      <x:c r="I42" s="75" t="n">
        <x:f>IF(W72="估算",U72*S72,"")</x:f>
        <x:v>0</x:v>
      </x:c>
      <x:c r="J42" s="75" t="n">
        <x:f>IF(W72="估算",U72*MAX(0,R72-S72),"")</x:f>
        <x:v>19.97779162173874</x:v>
      </x:c>
      <x:c r="K42" s="75" t="n">
        <x:f>IF(W72="估算",IF(OR(O72=0,K72=0),0,U72*E24*MIN(1,(K72+P72)/L72)),"")</x:f>
        <x:v>472.95682919999996</x:v>
      </x:c>
      <x:c r="L42" s="34" t="n">
        <x:f>IF(W72="估算",V72,"")</x:f>
        <x:v>0.08326932396432667</x:v>
      </x:c>
      <x:c r="M42" s="34" t="n">
        <x:f>IF(W72="估算",E42*V72/60,"")</x:f>
        <x:v>0.006939110330360556</x:v>
      </x:c>
      <x:c r="N42" s="34" t="n">
        <x:f>IF(W72="估算",V72/60000*1e6,"")</x:f>
        <x:v>1.3878220660721112</x:v>
      </x:c>
      <x:c r="O42" s="30" t="str">
        <x:f>IF(W72="估算","相位平均估算",W72)</x:f>
        <x:v>相位平均估算</x:v>
      </x:c>
      <x:c r="P42" s="49" t="n">
        <x:f>Q72</x:f>
        <x:v>140.084352</x:v>
      </x:c>
      <x:c r="Q42" s="30"/>
      <x:c r="R42" s="30"/>
      <x:c r="S42" s="30"/>
      <x:c r="T42" s="30"/>
      <x:c r="U42" s="30"/>
      <x:c r="V42" s="30"/>
      <x:c r="W42" s="30"/>
      <x:c r="X42" s="30"/>
    </x:row>
    <x:row r="43" ht="22" customHeight="1">
      <x:c r="A43" s="30" t="str">
        <x:f>A24</x:f>
        <x:v>KimiK3</x:v>
      </x:c>
      <x:c r="B43" s="30" t="n">
        <x:f>B24</x:f>
        <x:v>256</x:v>
      </x:c>
      <x:c r="C43" s="74" t="n">
        <x:f>$B$15</x:f>
        <x:v>16384</x:v>
      </x:c>
      <x:c r="D43" s="30" t="n">
        <x:f>$C$15</x:f>
        <x:v>4</x:v>
      </x:c>
      <x:c r="E43" s="30" t="n">
        <x:f>$F$16</x:f>
        <x:v>10</x:v>
      </x:c>
      <x:c r="F43" s="75" t="n">
        <x:f>IF(A73,60000/L73,"")</x:f>
        <x:v>15</x:v>
      </x:c>
      <x:c r="G43" s="75" t="n">
        <x:f>K73</x:f>
        <x:v>1.7120256</x:v>
      </x:c>
      <x:c r="H43" s="75" t="n">
        <x:f>IF(W73="估算",U73*R73,"")</x:f>
        <x:v>17.407374071739312</x:v>
      </x:c>
      <x:c r="I43" s="75" t="n">
        <x:f>IF(W73="估算",U73*S73,"")</x:f>
        <x:v>0</x:v>
      </x:c>
      <x:c r="J43" s="75" t="n">
        <x:f>IF(W73="估算",U73*MAX(0,R73-S73),"")</x:f>
        <x:v>17.407374071739312</x:v>
      </x:c>
      <x:c r="K43" s="75" t="n">
        <x:f>IF(W73="估算",IF(OR(O73=0,K73=0),0,U73*E24*MIN(1,(K73+P73)/L73)),"")</x:f>
        <x:v>236.47841459999998</x:v>
      </x:c>
      <x:c r="L43" s="34" t="n">
        <x:f>IF(W73="估算",V73,"")</x:f>
        <x:v>0.04163466198216333</x:v>
      </x:c>
      <x:c r="M43" s="34" t="n">
        <x:f>IF(W73="估算",E43*V73/60,"")</x:f>
        <x:v>0.006939110330360556</x:v>
      </x:c>
      <x:c r="N43" s="34" t="n">
        <x:f>IF(W73="估算",V73/60000*1e6,"")</x:f>
        <x:v>0.6939110330360556</x:v>
      </x:c>
      <x:c r="O43" s="30" t="str">
        <x:f>IF(W73="估算","相位平均估算",W73)</x:f>
        <x:v>相位平均估算</x:v>
      </x:c>
      <x:c r="P43" s="49" t="n">
        <x:f>Q73</x:f>
        <x:v>70.042176</x:v>
      </x:c>
      <x:c r="Q43" s="30"/>
      <x:c r="R43" s="30"/>
      <x:c r="S43" s="30"/>
      <x:c r="T43" s="30"/>
      <x:c r="U43" s="30"/>
      <x:c r="V43" s="30"/>
      <x:c r="W43" s="30"/>
      <x:c r="X43" s="30"/>
    </x:row>
    <x:row r="44" ht="22" customHeight="1">
      <x:c r="A44" s="30" t="str">
        <x:f>A24</x:f>
        <x:v>KimiK3</x:v>
      </x:c>
      <x:c r="B44" s="30" t="n">
        <x:f>B24</x:f>
        <x:v>256</x:v>
      </x:c>
      <x:c r="C44" s="74" t="n">
        <x:f>$B$15</x:f>
        <x:v>16384</x:v>
      </x:c>
      <x:c r="D44" s="30" t="n">
        <x:f>$C$15</x:f>
        <x:v>4</x:v>
      </x:c>
      <x:c r="E44" s="30" t="n">
        <x:f>$F$17</x:f>
        <x:v>20</x:v>
      </x:c>
      <x:c r="F44" s="75" t="n">
        <x:f>IF(A74,60000/L74,"")</x:f>
        <x:v>15</x:v>
      </x:c>
      <x:c r="G44" s="75" t="n">
        <x:f>K74</x:f>
        <x:v>1.7120256</x:v>
      </x:c>
      <x:c r="H44" s="75" t="n">
        <x:f>IF(W74="估算",U74*R74,"")</x:f>
        <x:v>16.122165296738935</x:v>
      </x:c>
      <x:c r="I44" s="75" t="n">
        <x:f>IF(W74="估算",U74*S74,"")</x:f>
        <x:v>0</x:v>
      </x:c>
      <x:c r="J44" s="75" t="n">
        <x:f>IF(W74="估算",U74*MAX(0,R74-S74),"")</x:f>
        <x:v>16.122165296738935</x:v>
      </x:c>
      <x:c r="K44" s="75" t="n">
        <x:f>IF(W74="估算",IF(OR(O74=0,K74=0),0,U74*E24*MIN(1,(K74+P74)/L74)),"")</x:f>
        <x:v>118.23920729999999</x:v>
      </x:c>
      <x:c r="L44" s="34" t="n">
        <x:f>IF(W74="估算",V74,"")</x:f>
        <x:v>0.020817330991081667</x:v>
      </x:c>
      <x:c r="M44" s="34" t="n">
        <x:f>IF(W74="估算",E44*V74/60,"")</x:f>
        <x:v>0.006939110330360556</x:v>
      </x:c>
      <x:c r="N44" s="34" t="n">
        <x:f>IF(W74="估算",V74/60000*1e6,"")</x:f>
        <x:v>0.3469555165180278</x:v>
      </x:c>
      <x:c r="O44" s="30" t="str">
        <x:f>IF(W74="估算","相位平均估算",W74)</x:f>
        <x:v>相位平均估算</x:v>
      </x:c>
      <x:c r="P44" s="49" t="n">
        <x:f>Q74</x:f>
        <x:v>35.021088</x:v>
      </x:c>
      <x:c r="Q44" s="30"/>
      <x:c r="R44" s="30"/>
      <x:c r="S44" s="30"/>
      <x:c r="T44" s="30"/>
      <x:c r="U44" s="30"/>
      <x:c r="V44" s="30"/>
      <x:c r="W44" s="30"/>
      <x:c r="X44" s="30"/>
    </x:row>
    <x:row r="45" ht="22" customHeight="1">
      <x:c r="A45" s="30" t="str">
        <x:f>A24</x:f>
        <x:v>KimiK3</x:v>
      </x:c>
      <x:c r="B45" s="30" t="n">
        <x:f>B24</x:f>
        <x:v>256</x:v>
      </x:c>
      <x:c r="C45" s="74" t="n">
        <x:f>$B$15</x:f>
        <x:v>16384</x:v>
      </x:c>
      <x:c r="D45" s="30" t="n">
        <x:f>$C$15</x:f>
        <x:v>4</x:v>
      </x:c>
      <x:c r="E45" s="30" t="n">
        <x:f>$F$18</x:f>
        <x:v>30</x:v>
      </x:c>
      <x:c r="F45" s="75" t="n">
        <x:f>IF(A75,60000/L75,"")</x:f>
        <x:v>15</x:v>
      </x:c>
      <x:c r="G45" s="75" t="n">
        <x:f>K75</x:f>
        <x:v>1.7120256</x:v>
      </x:c>
      <x:c r="H45" s="75" t="n">
        <x:f>IF(W75="估算",U75*R75,"")</x:f>
        <x:v>15.693762371739028</x:v>
      </x:c>
      <x:c r="I45" s="75" t="n">
        <x:f>IF(W75="估算",U75*S75,"")</x:f>
        <x:v>0</x:v>
      </x:c>
      <x:c r="J45" s="75" t="n">
        <x:f>IF(W75="估算",U75*MAX(0,R75-S75),"")</x:f>
        <x:v>15.693762371739028</x:v>
      </x:c>
      <x:c r="K45" s="75" t="n">
        <x:f>IF(W75="估算",IF(OR(O75=0,K75=0),0,U75*E24*MIN(1,(K75+P75)/L75)),"")</x:f>
        <x:v>78.82613819999999</x:v>
      </x:c>
      <x:c r="L45" s="34" t="n">
        <x:f>IF(W75="估算",V75,"")</x:f>
        <x:v>0.013878220660721112</x:v>
      </x:c>
      <x:c r="M45" s="34" t="n">
        <x:f>IF(W75="估算",E45*V75/60,"")</x:f>
        <x:v>0.006939110330360556</x:v>
      </x:c>
      <x:c r="N45" s="34" t="n">
        <x:f>IF(W75="估算",V75/60000*1e6,"")</x:f>
        <x:v>0.23130367767868518</x:v>
      </x:c>
      <x:c r="O45" s="30" t="str">
        <x:f>IF(W75="估算","相位平均估算",W75)</x:f>
        <x:v>相位平均估算</x:v>
      </x:c>
      <x:c r="P45" s="49" t="n">
        <x:f>Q75</x:f>
        <x:v>23.347392</x:v>
      </x:c>
      <x:c r="Q45" s="30"/>
      <x:c r="R45" s="30"/>
      <x:c r="S45" s="30"/>
      <x:c r="T45" s="30"/>
      <x:c r="U45" s="30"/>
      <x:c r="V45" s="30"/>
      <x:c r="W45" s="30"/>
      <x:c r="X45" s="30"/>
    </x:row>
    <x:row r="46" ht="22" customHeight="1">
      <x:c r="A46" s="30" t="str">
        <x:f>A24</x:f>
        <x:v>KimiK3</x:v>
      </x:c>
      <x:c r="B46" s="30" t="n">
        <x:f>B24</x:f>
        <x:v>256</x:v>
      </x:c>
      <x:c r="C46" s="74" t="n">
        <x:f>$B$16</x:f>
        <x:v>262144</x:v>
      </x:c>
      <x:c r="D46" s="30" t="n">
        <x:f>$C$16</x:f>
        <x:v>20</x:v>
      </x:c>
      <x:c r="E46" s="30" t="n">
        <x:f>$F$15</x:f>
        <x:v>5</x:v>
      </x:c>
      <x:c r="F46" s="75" t="n">
        <x:f>IF(A76,60000/L76,"")</x:f>
        <x:v>3</x:v>
      </x:c>
      <x:c r="G46" s="75" t="n">
        <x:f>K76</x:f>
        <x:v>24.3612672</x:v>
      </x:c>
      <x:c r="H46" s="75" t="n">
        <x:f>IF(W76="估算",U76*R76,"")</x:f>
        <x:v>17.585103284347703</x:v>
      </x:c>
      <x:c r="I46" s="75" t="n">
        <x:f>IF(W76="估算",U76*S76,"")</x:f>
        <x:v>11.64841735565414</x:v>
      </x:c>
      <x:c r="J46" s="75" t="n">
        <x:f>IF(W76="估算",U76*MAX(0,R76-S76),"")</x:f>
        <x:v>5.936685928693564</x:v>
      </x:c>
      <x:c r="K46" s="75" t="n">
        <x:f>IF(W76="估算",IF(OR(O76=0,K76=0),0,U76*E24*MIN(1,(K76+P76)/L76)),"")</x:f>
        <x:v>1344.8295021600002</x:v>
      </x:c>
      <x:c r="L46" s="34" t="n">
        <x:f>IF(W76="估算",V76,"")</x:f>
        <x:v>0.23698749901699329</x:v>
      </x:c>
      <x:c r="M46" s="34" t="n">
        <x:f>IF(W76="估算",E46*V76/60,"")</x:f>
        <x:v>0.019748958251416107</x:v>
      </x:c>
      <x:c r="N46" s="34" t="n">
        <x:f>IF(W76="估算",V76/60000*1e6,"")</x:f>
        <x:v>3.9497916502832213</x:v>
      </x:c>
      <x:c r="O46" s="30" t="str">
        <x:f>IF(W76="估算","相位平均估算",W76)</x:f>
        <x:v>相位平均估算</x:v>
      </x:c>
      <x:c r="P46" s="49" t="n">
        <x:f>Q76</x:f>
        <x:v>140.084352</x:v>
      </x:c>
      <x:c r="Q46" s="30"/>
      <x:c r="R46" s="30"/>
      <x:c r="S46" s="30"/>
      <x:c r="T46" s="30"/>
      <x:c r="U46" s="30"/>
      <x:c r="V46" s="30"/>
      <x:c r="W46" s="30"/>
      <x:c r="X46" s="30"/>
    </x:row>
    <x:row r="47" ht="22" customHeight="1">
      <x:c r="A47" s="30" t="str">
        <x:f>A24</x:f>
        <x:v>KimiK3</x:v>
      </x:c>
      <x:c r="B47" s="30" t="n">
        <x:f>B24</x:f>
        <x:v>256</x:v>
      </x:c>
      <x:c r="C47" s="74" t="n">
        <x:f>$B$16</x:f>
        <x:v>262144</x:v>
      </x:c>
      <x:c r="D47" s="30" t="n">
        <x:f>$C$16</x:f>
        <x:v>20</x:v>
      </x:c>
      <x:c r="E47" s="30" t="n">
        <x:f>$F$16</x:f>
        <x:v>10</x:v>
      </x:c>
      <x:c r="F47" s="75" t="n">
        <x:f>IF(A77,60000/L77,"")</x:f>
        <x:v>3</x:v>
      </x:c>
      <x:c r="G47" s="75" t="n">
        <x:f>K77</x:f>
        <x:v>24.3612672</x:v>
      </x:c>
      <x:c r="H47" s="75" t="n">
        <x:f>IF(W77="估算",U77*R77,"")</x:f>
        <x:v>10.276247294348506</x:v>
      </x:c>
      <x:c r="I47" s="75" t="n">
        <x:f>IF(W77="估算",U77*S77,"")</x:f>
        <x:v>4.340513025652415</x:v>
      </x:c>
      <x:c r="J47" s="75" t="n">
        <x:f>IF(W77="估算",U77*MAX(0,R77-S77),"")</x:f>
        <x:v>5.935734268696091</x:v>
      </x:c>
      <x:c r="K47" s="75" t="n">
        <x:f>IF(W77="估算",IF(OR(O77=0,K77=0),0,U77*E24*MIN(1,(K77+P77)/L77)),"")</x:f>
        <x:v>672.4147510800001</x:v>
      </x:c>
      <x:c r="L47" s="34" t="n">
        <x:f>IF(W77="估算",V77,"")</x:f>
        <x:v>0.11849374950849664</x:v>
      </x:c>
      <x:c r="M47" s="34" t="n">
        <x:f>IF(W77="估算",E47*V77/60,"")</x:f>
        <x:v>0.019748958251416107</x:v>
      </x:c>
      <x:c r="N47" s="34" t="n">
        <x:f>IF(W77="估算",V77/60000*1e6,"")</x:f>
        <x:v>1.9748958251416107</x:v>
      </x:c>
      <x:c r="O47" s="30" t="str">
        <x:f>IF(W77="估算","相位平均估算",W77)</x:f>
        <x:v>相位平均估算</x:v>
      </x:c>
      <x:c r="P47" s="49" t="n">
        <x:f>Q77</x:f>
        <x:v>70.042176</x:v>
      </x:c>
      <x:c r="Q47" s="30"/>
      <x:c r="R47" s="30"/>
      <x:c r="S47" s="30"/>
      <x:c r="T47" s="30"/>
      <x:c r="U47" s="30"/>
      <x:c r="V47" s="30"/>
      <x:c r="W47" s="30"/>
      <x:c r="X47" s="30"/>
    </x:row>
    <x:row r="48" ht="22" customHeight="1">
      <x:c r="A48" s="30" t="str">
        <x:f>A24</x:f>
        <x:v>KimiK3</x:v>
      </x:c>
      <x:c r="B48" s="30" t="n">
        <x:f>B24</x:f>
        <x:v>256</x:v>
      </x:c>
      <x:c r="C48" s="74" t="n">
        <x:f>$B$16</x:f>
        <x:v>262144</x:v>
      </x:c>
      <x:c r="D48" s="30" t="n">
        <x:f>$C$16</x:f>
        <x:v>20</x:v>
      </x:c>
      <x:c r="E48" s="30" t="n">
        <x:f>$F$17</x:f>
        <x:v>20</x:v>
      </x:c>
      <x:c r="F48" s="75" t="n">
        <x:f>IF(A78,60000/L78,"")</x:f>
        <x:v>3</x:v>
      </x:c>
      <x:c r="G48" s="75" t="n">
        <x:f>K78</x:f>
        <x:v>24.3612672</x:v>
      </x:c>
      <x:c r="H48" s="75" t="n">
        <x:f>IF(W78="估算",U78*R78,"")</x:f>
        <x:v>6.621819299347909</x:v>
      </x:c>
      <x:c r="I48" s="75" t="n">
        <x:f>IF(W78="估算",U78*S78,"")</x:f>
        <x:v>0.686560860652552</x:v>
      </x:c>
      <x:c r="J48" s="75" t="n">
        <x:f>IF(W78="估算",U78*MAX(0,R78-S78),"")</x:f>
        <x:v>5.935258438695357</x:v>
      </x:c>
      <x:c r="K48" s="75" t="n">
        <x:f>IF(W78="估算",IF(OR(O78=0,K78=0),0,U78*E24*MIN(1,(K78+P78)/L78)),"")</x:f>
        <x:v>336.20737554000004</x:v>
      </x:c>
      <x:c r="L48" s="34" t="n">
        <x:f>IF(W78="估算",V78,"")</x:f>
        <x:v>0.05924687475424832</x:v>
      </x:c>
      <x:c r="M48" s="34" t="n">
        <x:f>IF(W78="估算",E48*V78/60,"")</x:f>
        <x:v>0.019748958251416107</x:v>
      </x:c>
      <x:c r="N48" s="34" t="n">
        <x:f>IF(W78="估算",V78/60000*1e6,"")</x:f>
        <x:v>0.9874479125708053</x:v>
      </x:c>
      <x:c r="O48" s="30" t="str">
        <x:f>IF(W78="估算","相位平均估算",W78)</x:f>
        <x:v>相位平均估算</x:v>
      </x:c>
      <x:c r="P48" s="49" t="n">
        <x:f>Q78</x:f>
        <x:v>35.021088</x:v>
      </x:c>
      <x:c r="Q48" s="30"/>
      <x:c r="R48" s="30"/>
      <x:c r="S48" s="30"/>
      <x:c r="T48" s="30"/>
      <x:c r="U48" s="30"/>
      <x:c r="V48" s="30"/>
      <x:c r="W48" s="30"/>
      <x:c r="X48" s="30"/>
    </x:row>
    <x:row r="49" ht="22" customHeight="1">
      <x:c r="A49" s="30" t="str">
        <x:f>A24</x:f>
        <x:v>KimiK3</x:v>
      </x:c>
      <x:c r="B49" s="30" t="n">
        <x:f>B24</x:f>
        <x:v>256</x:v>
      </x:c>
      <x:c r="C49" s="74" t="n">
        <x:f>$B$16</x:f>
        <x:v>262144</x:v>
      </x:c>
      <x:c r="D49" s="30" t="n">
        <x:f>$C$16</x:f>
        <x:v>20</x:v>
      </x:c>
      <x:c r="E49" s="30" t="n">
        <x:f>$F$18</x:f>
        <x:v>30</x:v>
      </x:c>
      <x:c r="F49" s="75" t="n">
        <x:f>IF(A79,60000/L79,"")</x:f>
        <x:v>3</x:v>
      </x:c>
      <x:c r="G49" s="75" t="n">
        <x:f>K79</x:f>
        <x:v>24.3612672</x:v>
      </x:c>
      <x:c r="H49" s="75" t="n">
        <x:f>IF(W79="估算",U79*R79,"")</x:f>
        <x:v>5.4036766343481535</x:v>
      </x:c>
      <x:c r="I49" s="75" t="n">
        <x:f>IF(W79="估算",U79*S79,"")</x:f>
        <x:v>0</x:v>
      </x:c>
      <x:c r="J49" s="75" t="n">
        <x:f>IF(W79="估算",U79*MAX(0,R79-S79),"")</x:f>
        <x:v>5.4036766343481535</x:v>
      </x:c>
      <x:c r="K49" s="75" t="n">
        <x:f>IF(W79="估算",IF(OR(O79=0,K79=0),0,U79*E24*MIN(1,(K79+P79)/L79)),"")</x:f>
        <x:v>224.13825036000003</x:v>
      </x:c>
      <x:c r="L49" s="34" t="n">
        <x:f>IF(W79="估算",V79,"")</x:f>
        <x:v>0.039497916502832214</x:v>
      </x:c>
      <x:c r="M49" s="34" t="n">
        <x:f>IF(W79="估算",E49*V79/60,"")</x:f>
        <x:v>0.019748958251416107</x:v>
      </x:c>
      <x:c r="N49" s="34" t="n">
        <x:f>IF(W79="估算",V79/60000*1e6,"")</x:f>
        <x:v>0.6582986083805369</x:v>
      </x:c>
      <x:c r="O49" s="30" t="str">
        <x:f>IF(W79="估算","相位平均估算",W79)</x:f>
        <x:v>相位平均估算</x:v>
      </x:c>
      <x:c r="P49" s="49" t="n">
        <x:f>Q79</x:f>
        <x:v>23.347392</x:v>
      </x:c>
      <x:c r="Q49" s="30"/>
      <x:c r="R49" s="30"/>
      <x:c r="S49" s="30"/>
      <x:c r="T49" s="30"/>
      <x:c r="U49" s="30"/>
      <x:c r="V49" s="30"/>
      <x:c r="W49" s="30"/>
      <x:c r="X49" s="30"/>
    </x:row>
    <x:row r="50" ht="22" customHeight="1">
      <x:c r="A50" s="30" t="str">
        <x:f>A24</x:f>
        <x:v>KimiK3</x:v>
      </x:c>
      <x:c r="B50" s="30" t="n">
        <x:f>B24</x:f>
        <x:v>256</x:v>
      </x:c>
      <x:c r="C50" s="74" t="n">
        <x:f>$B$17</x:f>
        <x:v>1048576</x:v>
      </x:c>
      <x:c r="D50" s="30" t="n">
        <x:f>$C$17</x:f>
        <x:v>60</x:v>
      </x:c>
      <x:c r="E50" s="30" t="n">
        <x:f>$F$15</x:f>
        <x:v>5</x:v>
      </x:c>
      <x:c r="F50" s="75" t="n">
        <x:f>IF(A80,60000/L80,"")</x:f>
        <x:v>1</x:v>
      </x:c>
      <x:c r="G50" s="75" t="n">
        <x:f>K80</x:f>
        <x:v>96.83884032</x:v>
      </x:c>
      <x:c r="H50" s="75" t="n">
        <x:f>IF(W80="估算",U80*R80,"")</x:f>
        <x:v>20.357215718782573</x:v>
      </x:c>
      <x:c r="I50" s="75" t="n">
        <x:f>IF(W80="估算",U80*S80,"")</x:f>
        <x:v>18.378320409218052</x:v>
      </x:c>
      <x:c r="J50" s="75" t="n">
        <x:f>IF(W80="估算",U80*MAX(0,R80-S80),"")</x:f>
        <x:v>1.9788953095645212</x:v>
      </x:c>
      <x:c r="K50" s="75" t="n">
        <x:f>IF(W80="估算",IF(OR(O80=0,K80=0),0,U80*E24*MIN(1,(K80+P80)/L80)),"")</x:f>
        <x:v>1781.863846128</x:v>
      </x:c>
      <x:c r="L50" s="34" t="n">
        <x:f>IF(W80="估算",V80,"")</x:f>
        <x:v>0.3140183761780676</x:v>
      </x:c>
      <x:c r="M50" s="34" t="n">
        <x:f>IF(W80="估算",E50*V80/60,"")</x:f>
        <x:v>0.02616819801483897</x:v>
      </x:c>
      <x:c r="N50" s="34" t="n">
        <x:f>IF(W80="估算",V80/60000*1e6,"")</x:f>
        <x:v>5.233639602967793</x:v>
      </x:c>
      <x:c r="O50" s="30" t="str">
        <x:f>IF(W80="估算","相位平均估算",W80)</x:f>
        <x:v>相位平均估算</x:v>
      </x:c>
      <x:c r="P50" s="49" t="n">
        <x:f>Q80</x:f>
        <x:v>140.084352</x:v>
      </x:c>
      <x:c r="Q50" s="30"/>
      <x:c r="R50" s="30"/>
      <x:c r="S50" s="30"/>
      <x:c r="T50" s="30"/>
      <x:c r="U50" s="30"/>
      <x:c r="V50" s="30"/>
      <x:c r="W50" s="30"/>
      <x:c r="X50" s="30"/>
    </x:row>
    <x:row r="51" ht="22" customHeight="1">
      <x:c r="A51" s="30" t="str">
        <x:f>A24</x:f>
        <x:v>KimiK3</x:v>
      </x:c>
      <x:c r="B51" s="30" t="n">
        <x:f>B24</x:f>
        <x:v>256</x:v>
      </x:c>
      <x:c r="C51" s="74" t="n">
        <x:f>$B$17</x:f>
        <x:v>1048576</x:v>
      </x:c>
      <x:c r="D51" s="30" t="n">
        <x:f>$C$17</x:f>
        <x:v>60</x:v>
      </x:c>
      <x:c r="E51" s="30" t="n">
        <x:f>$F$16</x:f>
        <x:v>10</x:v>
      </x:c>
      <x:c r="F51" s="75" t="n">
        <x:f>IF(A81,60000/L81,"")</x:f>
        <x:v>1</x:v>
      </x:c>
      <x:c r="G51" s="75" t="n">
        <x:f>K81</x:f>
        <x:v>96.83884032</x:v>
      </x:c>
      <x:c r="H51" s="75" t="n">
        <x:f>IF(W81="估算",U81*R81,"")</x:f>
        <x:v>10.673173076782616</x:v>
      </x:c>
      <x:c r="I51" s="75" t="n">
        <x:f>IF(W81="估算",U81*S81,"")</x:f>
        <x:v>8.694594987217696</x:v>
      </x:c>
      <x:c r="J51" s="75" t="n">
        <x:f>IF(W81="估算",U81*MAX(0,R81-S81),"")</x:f>
        <x:v>1.9785780895649197</x:v>
      </x:c>
      <x:c r="K51" s="75" t="n">
        <x:f>IF(W81="估算",IF(OR(O81=0,K81=0),0,U81*E24*MIN(1,(K81+P81)/L81)),"")</x:f>
        <x:v>890.931923064</x:v>
      </x:c>
      <x:c r="L51" s="34" t="n">
        <x:f>IF(W81="估算",V81,"")</x:f>
        <x:v>0.1570091880890338</x:v>
      </x:c>
      <x:c r="M51" s="34" t="n">
        <x:f>IF(W81="估算",E51*V81/60,"")</x:f>
        <x:v>0.02616819801483897</x:v>
      </x:c>
      <x:c r="N51" s="34" t="n">
        <x:f>IF(W81="估算",V81/60000*1e6,"")</x:f>
        <x:v>2.6168198014838966</x:v>
      </x:c>
      <x:c r="O51" s="30" t="str">
        <x:f>IF(W81="估算","相位平均估算",W81)</x:f>
        <x:v>相位平均估算</x:v>
      </x:c>
      <x:c r="P51" s="49" t="n">
        <x:f>Q81</x:f>
        <x:v>70.042176</x:v>
      </x:c>
      <x:c r="Q51" s="30"/>
      <x:c r="R51" s="30"/>
      <x:c r="S51" s="30"/>
      <x:c r="T51" s="30"/>
      <x:c r="U51" s="30"/>
      <x:c r="V51" s="30"/>
      <x:c r="W51" s="30"/>
      <x:c r="X51" s="30"/>
    </x:row>
    <x:row r="52" ht="22" customHeight="1">
      <x:c r="A52" s="30" t="str">
        <x:f>A24</x:f>
        <x:v>KimiK3</x:v>
      </x:c>
      <x:c r="B52" s="30" t="n">
        <x:f>B24</x:f>
        <x:v>256</x:v>
      </x:c>
      <x:c r="C52" s="74" t="n">
        <x:f>$B$17</x:f>
        <x:v>1048576</x:v>
      </x:c>
      <x:c r="D52" s="30" t="n">
        <x:f>$C$17</x:f>
        <x:v>60</x:v>
      </x:c>
      <x:c r="E52" s="30" t="n">
        <x:f>$F$17</x:f>
        <x:v>20</x:v>
      </x:c>
      <x:c r="F52" s="75" t="n">
        <x:f>IF(A82,60000/L82,"")</x:f>
        <x:v>1</x:v>
      </x:c>
      <x:c r="G52" s="75" t="n">
        <x:f>K82</x:f>
        <x:v>96.83884032</x:v>
      </x:c>
      <x:c r="H52" s="75" t="n">
        <x:f>IF(W82="估算",U82*R82,"")</x:f>
        <x:v>5.831151755782638</x:v>
      </x:c>
      <x:c r="I52" s="75" t="n">
        <x:f>IF(W82="估算",U82*S82,"")</x:f>
        <x:v>3.8527322762171856</x:v>
      </x:c>
      <x:c r="J52" s="75" t="n">
        <x:f>IF(W82="估算",U82*MAX(0,R82-S82),"")</x:f>
        <x:v>1.978419479565452</x:v>
      </x:c>
      <x:c r="K52" s="75" t="n">
        <x:f>IF(W82="估算",IF(OR(O82=0,K82=0),0,U82*E24*MIN(1,(K82+P82)/L82)),"")</x:f>
        <x:v>445.465961532</x:v>
      </x:c>
      <x:c r="L52" s="34" t="n">
        <x:f>IF(W82="估算",V82,"")</x:f>
        <x:v>0.0785045940445169</x:v>
      </x:c>
      <x:c r="M52" s="34" t="n">
        <x:f>IF(W82="估算",E52*V82/60,"")</x:f>
        <x:v>0.02616819801483897</x:v>
      </x:c>
      <x:c r="N52" s="34" t="n">
        <x:f>IF(W82="估算",V82/60000*1e6,"")</x:f>
        <x:v>1.3084099007419483</x:v>
      </x:c>
      <x:c r="O52" s="30" t="str">
        <x:f>IF(W82="估算","相位平均估算",W82)</x:f>
        <x:v>相位平均估算</x:v>
      </x:c>
      <x:c r="P52" s="49" t="n">
        <x:f>Q82</x:f>
        <x:v>35.021088</x:v>
      </x:c>
      <x:c r="Q52" s="30"/>
      <x:c r="R52" s="30"/>
      <x:c r="S52" s="30"/>
      <x:c r="T52" s="30"/>
      <x:c r="U52" s="30"/>
      <x:c r="V52" s="30"/>
      <x:c r="W52" s="30"/>
      <x:c r="X52" s="30"/>
    </x:row>
    <x:row r="53" ht="22" customHeight="1">
      <x:c r="A53" s="30" t="str">
        <x:f>A24</x:f>
        <x:v>KimiK3</x:v>
      </x:c>
      <x:c r="B53" s="30" t="n">
        <x:f>B24</x:f>
        <x:v>256</x:v>
      </x:c>
      <x:c r="C53" s="74" t="n">
        <x:f>$B$17</x:f>
        <x:v>1048576</x:v>
      </x:c>
      <x:c r="D53" s="30" t="n">
        <x:f>$C$17</x:f>
        <x:v>60</x:v>
      </x:c>
      <x:c r="E53" s="30" t="n">
        <x:f>$F$18</x:f>
        <x:v>30</x:v>
      </x:c>
      <x:c r="F53" s="75" t="n">
        <x:f>IF(A83,60000/L83,"")</x:f>
        <x:v>1</x:v>
      </x:c>
      <x:c r="G53" s="75" t="n">
        <x:f>K83</x:f>
        <x:v>96.83884032</x:v>
      </x:c>
      <x:c r="H53" s="75" t="n">
        <x:f>IF(W83="估算",U83*R83,"")</x:f>
        <x:v>4.217144648782645</x:v>
      </x:c>
      <x:c r="I53" s="75" t="n">
        <x:f>IF(W83="估算",U83*S83,"")</x:f>
        <x:v>2.2387780392174594</x:v>
      </x:c>
      <x:c r="J53" s="75" t="n">
        <x:f>IF(W83="估算",U83*MAX(0,R83-S83),"")</x:f>
        <x:v>1.9783666095651853</x:v>
      </x:c>
      <x:c r="K53" s="75" t="n">
        <x:f>IF(W83="估算",IF(OR(O83=0,K83=0),0,U83*E24*MIN(1,(K83+P83)/L83)),"")</x:f>
        <x:v>296.977307688</x:v>
      </x:c>
      <x:c r="L53" s="34" t="n">
        <x:f>IF(W83="估算",V83,"")</x:f>
        <x:v>0.052336396029677934</x:v>
      </x:c>
      <x:c r="M53" s="34" t="n">
        <x:f>IF(W83="估算",E53*V83/60,"")</x:f>
        <x:v>0.02616819801483897</x:v>
      </x:c>
      <x:c r="N53" s="34" t="n">
        <x:f>IF(W83="估算",V83/60000*1e6,"")</x:f>
        <x:v>0.8722732671612989</x:v>
      </x:c>
      <x:c r="O53" s="30" t="str">
        <x:f>IF(W83="估算","相位平均估算",W83)</x:f>
        <x:v>相位平均估算</x:v>
      </x:c>
      <x:c r="P53" s="49" t="n">
        <x:f>Q83</x:f>
        <x:v>23.347392</x:v>
      </x:c>
      <x:c r="Q53" s="30"/>
      <x:c r="R53" s="30"/>
      <x:c r="S53" s="30"/>
      <x:c r="T53" s="30"/>
      <x:c r="U53" s="30"/>
      <x:c r="V53" s="30"/>
      <x:c r="W53" s="30"/>
      <x:c r="X53" s="30"/>
    </x:row>
    <x:row r="54" ht="22" customHeight="1">
      <x:c r="A54" s="30"/>
      <x:c r="B54" s="30"/>
      <x:c r="C54" s="30"/>
      <x:c r="D54" s="30"/>
      <x:c r="E54" s="30"/>
      <x:c r="F54" s="30"/>
      <x:c r="G54" s="30"/>
      <x:c r="H54" s="30"/>
      <x:c r="I54" s="30"/>
      <x:c r="J54" s="30"/>
      <x:c r="K54" s="30"/>
      <x:c r="L54" s="30"/>
      <x:c r="M54" s="30"/>
      <x:c r="N54" s="30"/>
      <x:c r="O54" s="30"/>
      <x:c r="P54" s="30"/>
      <x:c r="Q54" s="30"/>
      <x:c r="R54" s="30"/>
      <x:c r="S54" s="30"/>
      <x:c r="T54" s="30"/>
      <x:c r="U54" s="30"/>
      <x:c r="V54" s="30"/>
      <x:c r="W54" s="30"/>
      <x:c r="X54" s="30"/>
    </x:row>
    <x:row r="55" ht="22" customHeight="1">
      <x:c r="A55" s="30"/>
      <x:c r="B55" s="30"/>
      <x:c r="C55" s="30"/>
      <x:c r="D55" s="30"/>
      <x:c r="E55" s="30"/>
      <x:c r="F55" s="30"/>
      <x:c r="G55" s="30"/>
      <x:c r="H55" s="30"/>
      <x:c r="I55" s="30"/>
      <x:c r="J55" s="30"/>
      <x:c r="K55" s="30"/>
      <x:c r="L55" s="30"/>
      <x:c r="M55" s="30"/>
      <x:c r="N55" s="30"/>
      <x:c r="O55" s="30"/>
      <x:c r="P55" s="30"/>
      <x:c r="Q55" s="30"/>
      <x:c r="R55" s="30"/>
      <x:c r="S55" s="30"/>
      <x:c r="T55" s="30"/>
      <x:c r="U55" s="30"/>
      <x:c r="V55" s="30"/>
      <x:c r="W55" s="30"/>
      <x:c r="X55" s="30"/>
    </x:row>
    <x:row r="56" ht="22" customHeight="1">
      <x:c r="A56" s="30" t="str">
        <x:v>统计单位为一个 D DP 副本的 forward。EP 内各 Rank 并行，不能再把 forward 次数乘 EP。</x:v>
      </x:c>
      <x:c r="B56" s="30"/>
      <x:c r="C56" s="30"/>
      <x:c r="D56" s="30"/>
      <x:c r="E56" s="30"/>
      <x:c r="F56" s="30"/>
      <x:c r="G56" s="30"/>
      <x:c r="H56" s="30"/>
      <x:c r="I56" s="30"/>
      <x:c r="J56" s="30"/>
      <x:c r="K56" s="30"/>
      <x:c r="L56" s="30"/>
      <x:c r="M56" s="30"/>
      <x:c r="N56" s="30"/>
      <x:c r="O56" s="30"/>
      <x:c r="P56" s="30"/>
      <x:c r="Q56" s="30"/>
      <x:c r="R56" s="30"/>
      <x:c r="S56" s="30"/>
      <x:c r="T56" s="30"/>
      <x:c r="U56" s="30"/>
      <x:c r="V56" s="30"/>
      <x:c r="W56" s="30"/>
      <x:c r="X56" s="30"/>
    </x:row>
    <x:row r="57" ht="22" customHeight="1">
      <x:c r="A57" s="30" t="str">
        <x:v>交接请求总数、每 D DP 请求数、KV 占用和完整计算见下表。全 EP / 部分 EP 是基线窗口交集分类。</x:v>
      </x:c>
      <x:c r="B57" s="30"/>
      <x:c r="C57" s="30"/>
      <x:c r="D57" s="30"/>
      <x:c r="E57" s="30"/>
      <x:c r="F57" s="30"/>
      <x:c r="G57" s="30"/>
      <x:c r="H57" s="30"/>
      <x:c r="I57" s="30"/>
      <x:c r="J57" s="30"/>
      <x:c r="K57" s="30"/>
      <x:c r="L57" s="30"/>
      <x:c r="M57" s="30"/>
      <x:c r="N57" s="30"/>
      <x:c r="O57" s="30"/>
      <x:c r="P57" s="30"/>
      <x:c r="Q57" s="30"/>
      <x:c r="R57" s="30"/>
      <x:c r="S57" s="30"/>
      <x:c r="T57" s="30"/>
      <x:c r="U57" s="30"/>
      <x:c r="V57" s="30"/>
      <x:c r="W57" s="30"/>
      <x:c r="X57" s="30"/>
    </x:row>
    <x:row r="58" ht="22" customHeight="1">
      <x:c r="A58" s="30"/>
      <x:c r="B58" s="30"/>
      <x:c r="C58" s="30"/>
      <x:c r="D58" s="30"/>
      <x:c r="E58" s="30"/>
      <x:c r="F58" s="30"/>
      <x:c r="G58" s="30"/>
      <x:c r="H58" s="30"/>
      <x:c r="I58" s="30"/>
      <x:c r="J58" s="30"/>
      <x:c r="K58" s="30"/>
      <x:c r="L58" s="30"/>
      <x:c r="M58" s="30"/>
      <x:c r="N58" s="30"/>
      <x:c r="O58" s="30"/>
      <x:c r="P58" s="30"/>
      <x:c r="Q58" s="30"/>
      <x:c r="R58" s="30"/>
      <x:c r="S58" s="30"/>
      <x:c r="T58" s="30"/>
      <x:c r="U58" s="30"/>
      <x:c r="V58" s="30"/>
      <x:c r="W58" s="30"/>
      <x:c r="X58" s="30"/>
    </x:row>
    <x:row r="59" ht="42" customHeight="1">
      <x:c r="A59" s="73" t="str">
        <x:v>输入有效</x:v>
      </x:c>
      <x:c r="B59" s="73" t="str">
        <x:v>周期 ms</x:v>
      </x:c>
      <x:c r="C59" s="73" t="str">
        <x:v>步间隔 ms</x:v>
      </x:c>
      <x:c r="D59" s="73" t="str">
        <x:v>取 GiB/请求</x:v>
      </x:c>
      <x:c r="E59" s="73" t="str">
        <x:v>P DP/组</x:v>
      </x:c>
      <x:c r="F59" s="73" t="str">
        <x:v>D DP/组</x:v>
      </x:c>
      <x:c r="G59" s="73" t="str">
        <x:v>全系统请求交接/min</x:v>
      </x:c>
      <x:c r="H59" s="73" t="str">
        <x:v>每 D DP 请求/min</x:v>
      </x:c>
      <x:c r="I59" s="73" t="str">
        <x:v>P Rank GiB/窗口</x:v>
      </x:c>
      <x:c r="J59" s="73" t="str">
        <x:v>D Rank GiB/窗口</x:v>
      </x:c>
      <x:c r="K59" s="73" t="str">
        <x:v>KV 窗口 ms</x:v>
      </x:c>
      <x:c r="L59" s="73" t="str">
        <x:v>KV 间隔 ms</x:v>
      </x:c>
      <x:c r="M59" s="73" t="str">
        <x:v>KV 负载率</x:v>
      </x:c>
      <x:c r="N59" s="73" t="str">
        <x:v>EP GB/Rank/步</x:v>
      </x:c>
      <x:c r="O59" s="73" t="str">
        <x:v>EP 带宽项 ms</x:v>
      </x:c>
      <x:c r="P59" s="73" t="str">
        <x:v>每层 EP 段 ms</x:v>
      </x:c>
      <x:c r="Q59" s="73" t="str">
        <x:v>最低 EP GB/s</x:v>
      </x:c>
      <x:c r="R59" s="73" t="str">
        <x:v>FW 重叠概率</x:v>
      </x:c>
      <x:c r="S59" s="73" t="str">
        <x:v>全 EP 概率</x:v>
      </x:c>
      <x:c r="T59" s="73" t="str">
        <x:v>每层平均增时 ms</x:v>
      </x:c>
      <x:c r="U59" s="73" t="str">
        <x:v>基线 FW/min</x:v>
      </x:c>
      <x:c r="V59" s="73" t="str">
        <x:v>60s 工作增时 ms</x:v>
      </x:c>
      <x:c r="W59" s="73" t="str">
        <x:v>输入 / 调度状态</x:v>
      </x:c>
      <x:c r="X59" s="73" t="str">
        <x:v>等效全通信 FW/min</x:v>
      </x:c>
    </x:row>
    <x:row r="60" ht="22" customHeight="1">
      <x:c r="A60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30),D30&gt;0),AND(ISNUMBER(E30),E30&gt;0),MOD($B$5,1)=0,MOD($F$5,1)=0,MOD($J$5,1)=0,MOD($B$9,1)=0,MOD(K23,1)=0,ISNUMBER(C30),C30&gt;=2,MOD(C30,1)=0,OR($N$9=32,$N$9=64,$N$9=128),ISNUMBER($B$11),$B$11&gt;=0,MOD($B$11,1)=0,ISNUMBER($J$7),$J$7&gt;=0,$J$7&lt;1,AND(ISNUMBER(M23),M23&gt;=0,M23&lt;=1),AND(ISNUMBER(N23),N23&gt;=0,N23&lt;=1))</x:f>
        <x:v>1</x:v>
      </x:c>
      <x:c r="B60" s="76" t="n">
        <x:f>IF(A60,D30*1000,"")</x:f>
        <x:v>4000</x:v>
      </x:c>
      <x:c r="C60" s="76" t="n">
        <x:f>IF(A60,E30*L23,"")</x:f>
        <x:v>5</x:v>
      </x:c>
      <x:c r="D60" s="76" t="n">
        <x:f>IF(A60,M93,"")</x:f>
        <x:v>3.8266754150390625</x:v>
      </x:c>
      <x:c r="E60" s="76" t="n">
        <x:f>IF(A60,B23/C23,"")</x:f>
        <x:v>4</x:v>
      </x:c>
      <x:c r="F60" s="76" t="n">
        <x:f>IF(A60,B23/D23,"")</x:f>
        <x:v>4</x:v>
      </x:c>
      <x:c r="G60" s="76" t="n">
        <x:f>IF(A60,$F$5*E60*$B$5*60000/B60,"")</x:f>
        <x:v>960</x:v>
      </x:c>
      <x:c r="H60" s="76" t="n">
        <x:f>IF(A60,G60/($J$5*F60),"")</x:f>
        <x:v>240</x:v>
      </x:c>
      <x:c r="I60" s="76" t="n">
        <x:f>IF(A60,$B$5*D60/C23/$B$9,"")</x:f>
        <x:v>7.653350830078125</x:v>
      </x:c>
      <x:c r="J60" s="76" t="n">
        <x:f>IF(A60,I60*$F$5/$J$5,"")</x:f>
        <x:v>7.653350830078125</x:v>
      </x:c>
      <x:c r="K60" s="76" t="n">
        <x:f>IF(A60,MAX(I60,J60)*2^30/(J23*1e6),"")</x:f>
        <x:v>1.7120256</x:v>
      </x:c>
      <x:c r="L60" s="76" t="n">
        <x:f>IF(A60,B60/$B$9,"")</x:f>
        <x:v>4000</x:v>
      </x:c>
      <x:c r="M60" s="77" t="n">
        <x:f>IF(A60,K60/L60,"")</x:f>
        <x:v>0.0004280064</x:v>
      </x:c>
      <x:c r="N60" s="76" t="n">
        <x:f>IF(A60,(E23*ROUNDUP(K23/D23,0)*G23*(B23-1)/B23*(ROUNDUP((ROUNDUP(F23*2/32,0)*32+32)/480,0)*512+F23*2+32)+E23*ROUNDUP(H23/B23,0)*(B23-1)*32)/1e9,"")</x:f>
        <x:v>0.68082944</x:v>
      </x:c>
      <x:c r="O60" s="76" t="n">
        <x:f>IF(A60,N60*1000/I23,"")</x:f>
        <x:v>0.14183946666666666</x:v>
      </x:c>
      <x:c r="P60" s="76" t="n">
        <x:f>IF(A60,O60/E23,"")</x:f>
        <x:v>0.0015417333333333334</x:v>
      </x:c>
      <x:c r="Q60" s="76" t="n">
        <x:f>IF(A60,N60*1000/C60,"")</x:f>
        <x:v>136.165888</x:v>
      </x:c>
      <x:c r="R60" s="76" t="n">
        <x:f>IF(W60="估算",IF(OR(K60=0,O60=0),0,1-((E23-1)*MAX(0,(C60-O60)/E23-(K60))+MAX(0,L60-((E23-1)*C60/E23+P60)-(K60)))/L60),"")</x:f>
        <x:v>0.001664804876811532</x:v>
      </x:c>
      <x:c r="S60" s="76" t="n">
        <x:f>IF(W60="估算",IF(O60=0,0,MAX(0,1-(1-((E23-1)*MAX(0,(C60-O60)/E23-(L60-K60))+MAX(0,L60-((E23-1)*C60/E23+P60)-(L60-K60)))/L60))),"")</x:f>
        <x:v>0</x:v>
      </x:c>
      <x:c r="T60" s="76" t="n">
        <x:f>IF(W60="估算",IF(OR(P60=0,K60=0,$J$7=0),0,IF(P60&lt;=(1-$J$7)*K60,$J$7*P60*K60/(1-$J$7)-$J$7^2*P60^2/(2*(1-$J$7)^2),$J$7*P60*K60+$J$7^2*K60^2/2)/L60),"")</x:f>
        <x:v>7.331541340902606e-8</x:v>
      </x:c>
      <x:c r="U60" s="76" t="n">
        <x:f>IF(A60,60000/C60,"")</x:f>
        <x:v>12000</x:v>
      </x:c>
      <x:c r="V60" s="76" t="n">
        <x:f>IF(W60="估算",U60*E23*T60*M23*N23,"")</x:f>
        <x:v>0.08094021640356477</x:v>
      </x:c>
      <x:c r="W60" s="76" t="str">
        <x:f>IF(NOT(A60),"输入无效",IF(K60&gt;=L60,"KV 超载",IF(O60&gt;C60+1e-9,"TPOT 不自洽",IF(OR(C60&gt;L60,P60&gt;L60-K60),"需时序仿真","估算"))))</x:f>
        <x:v>估算</x:v>
      </x:c>
      <x:c r="X60" s="76" t="n">
        <x:f>IF(W60="估算",U60*M60,"")</x:f>
        <x:v>5.1360768</x:v>
      </x:c>
    </x:row>
    <x:row r="61" ht="22" customHeight="1">
      <x:c r="A61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31),D31&gt;0),AND(ISNUMBER(E31),E31&gt;0),MOD($B$5,1)=0,MOD($F$5,1)=0,MOD($J$5,1)=0,MOD($B$9,1)=0,MOD(K23,1)=0,ISNUMBER(C31),C31&gt;=2,MOD(C31,1)=0,OR($N$9=32,$N$9=64,$N$9=128),ISNUMBER($B$11),$B$11&gt;=0,MOD($B$11,1)=0,ISNUMBER($J$7),$J$7&gt;=0,$J$7&lt;1,AND(ISNUMBER(M23),M23&gt;=0,M23&lt;=1),AND(ISNUMBER(N23),N23&gt;=0,N23&lt;=1))</x:f>
        <x:v>1</x:v>
      </x:c>
      <x:c r="B61" s="76" t="n">
        <x:f>IF(A61,D31*1000,"")</x:f>
        <x:v>4000</x:v>
      </x:c>
      <x:c r="C61" s="76" t="n">
        <x:f>IF(A61,E31*L23,"")</x:f>
        <x:v>10</x:v>
      </x:c>
      <x:c r="D61" s="76" t="n">
        <x:f>IF(A61,M93,"")</x:f>
        <x:v>3.8266754150390625</x:v>
      </x:c>
      <x:c r="E61" s="76" t="n">
        <x:f>IF(A61,B23/C23,"")</x:f>
        <x:v>4</x:v>
      </x:c>
      <x:c r="F61" s="76" t="n">
        <x:f>IF(A61,B23/D23,"")</x:f>
        <x:v>4</x:v>
      </x:c>
      <x:c r="G61" s="76" t="n">
        <x:f>IF(A61,$F$5*E61*$B$5*60000/B61,"")</x:f>
        <x:v>960</x:v>
      </x:c>
      <x:c r="H61" s="76" t="n">
        <x:f>IF(A61,G61/($J$5*F61),"")</x:f>
        <x:v>240</x:v>
      </x:c>
      <x:c r="I61" s="76" t="n">
        <x:f>IF(A61,$B$5*D61/C23/$B$9,"")</x:f>
        <x:v>7.653350830078125</x:v>
      </x:c>
      <x:c r="J61" s="76" t="n">
        <x:f>IF(A61,I61*$F$5/$J$5,"")</x:f>
        <x:v>7.653350830078125</x:v>
      </x:c>
      <x:c r="K61" s="76" t="n">
        <x:f>IF(A61,MAX(I61,J61)*2^30/(J23*1e6),"")</x:f>
        <x:v>1.7120256</x:v>
      </x:c>
      <x:c r="L61" s="76" t="n">
        <x:f>IF(A61,B61/$B$9,"")</x:f>
        <x:v>4000</x:v>
      </x:c>
      <x:c r="M61" s="77" t="n">
        <x:f>IF(A61,K61/L61,"")</x:f>
        <x:v>0.0004280064</x:v>
      </x:c>
      <x:c r="N61" s="76" t="n">
        <x:f>IF(A61,(E23*ROUNDUP(K23/D23,0)*G23*(B23-1)/B23*(ROUNDUP((ROUNDUP(F23*2/32,0)*32+32)/480,0)*512+F23*2+32)+E23*ROUNDUP(H23/B23,0)*(B23-1)*32)/1e9,"")</x:f>
        <x:v>0.68082944</x:v>
      </x:c>
      <x:c r="O61" s="76" t="n">
        <x:f>IF(A61,N61*1000/I23,"")</x:f>
        <x:v>0.14183946666666666</x:v>
      </x:c>
      <x:c r="P61" s="76" t="n">
        <x:f>IF(A61,O61/E23,"")</x:f>
        <x:v>0.0015417333333333334</x:v>
      </x:c>
      <x:c r="Q61" s="76" t="n">
        <x:f>IF(A61,N61*1000/C61,"")</x:f>
        <x:v>68.082944</x:v>
      </x:c>
      <x:c r="R61" s="76" t="n">
        <x:f>IF(W61="估算",IF(OR(K61=0,O61=0),0,1-((E23-1)*MAX(0,(C61-O61)/E23-(K61))+MAX(0,L61-((E23-1)*C61/E23+P61)-(K61)))/L61),"")</x:f>
        <x:v>0.002901217920289856</x:v>
      </x:c>
      <x:c r="S61" s="76" t="n">
        <x:f>IF(W61="估算",IF(O61=0,0,MAX(0,1-(1-((E23-1)*MAX(0,(C61-O61)/E23-(L61-K61))+MAX(0,L61-((E23-1)*C61/E23+P61)-(L61-K61)))/L61))),"")</x:f>
        <x:v>0</x:v>
      </x:c>
      <x:c r="T61" s="76" t="n">
        <x:f>IF(W61="估算",IF(OR(P61=0,K61=0,$J$7=0),0,IF(P61&lt;=(1-$J$7)*K61,$J$7*P61*K61/(1-$J$7)-$J$7^2*P61^2/(2*(1-$J$7)^2),$J$7*P61*K61+$J$7^2*K61^2/2)/L61),"")</x:f>
        <x:v>7.331541340902606e-8</x:v>
      </x:c>
      <x:c r="U61" s="76" t="n">
        <x:f>IF(A61,60000/C61,"")</x:f>
        <x:v>6000</x:v>
      </x:c>
      <x:c r="V61" s="76" t="n">
        <x:f>IF(W61="估算",U61*E23*T61*M23*N23,"")</x:f>
        <x:v>0.04047010820178239</x:v>
      </x:c>
      <x:c r="W61" s="76" t="str">
        <x:f>IF(NOT(A61),"输入无效",IF(K61&gt;=L61,"KV 超载",IF(O61&gt;C61+1e-9,"TPOT 不自洽",IF(OR(C61&gt;L61,P61&gt;L61-K61),"需时序仿真","估算"))))</x:f>
        <x:v>估算</x:v>
      </x:c>
      <x:c r="X61" s="76" t="n">
        <x:f>IF(W61="估算",U61*M61,"")</x:f>
        <x:v>2.5680384</x:v>
      </x:c>
    </x:row>
    <x:row r="62" ht="22" customHeight="1">
      <x:c r="A62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32),D32&gt;0),AND(ISNUMBER(E32),E32&gt;0),MOD($B$5,1)=0,MOD($F$5,1)=0,MOD($J$5,1)=0,MOD($B$9,1)=0,MOD(K23,1)=0,ISNUMBER(C32),C32&gt;=2,MOD(C32,1)=0,OR($N$9=32,$N$9=64,$N$9=128),ISNUMBER($B$11),$B$11&gt;=0,MOD($B$11,1)=0,ISNUMBER($J$7),$J$7&gt;=0,$J$7&lt;1,AND(ISNUMBER(M23),M23&gt;=0,M23&lt;=1),AND(ISNUMBER(N23),N23&gt;=0,N23&lt;=1))</x:f>
        <x:v>1</x:v>
      </x:c>
      <x:c r="B62" s="76" t="n">
        <x:f>IF(A62,D32*1000,"")</x:f>
        <x:v>4000</x:v>
      </x:c>
      <x:c r="C62" s="76" t="n">
        <x:f>IF(A62,E32*L23,"")</x:f>
        <x:v>20</x:v>
      </x:c>
      <x:c r="D62" s="76" t="n">
        <x:f>IF(A62,M93,"")</x:f>
        <x:v>3.8266754150390625</x:v>
      </x:c>
      <x:c r="E62" s="76" t="n">
        <x:f>IF(A62,B23/C23,"")</x:f>
        <x:v>4</x:v>
      </x:c>
      <x:c r="F62" s="76" t="n">
        <x:f>IF(A62,B23/D23,"")</x:f>
        <x:v>4</x:v>
      </x:c>
      <x:c r="G62" s="76" t="n">
        <x:f>IF(A62,$F$5*E62*$B$5*60000/B62,"")</x:f>
        <x:v>960</x:v>
      </x:c>
      <x:c r="H62" s="76" t="n">
        <x:f>IF(A62,G62/($J$5*F62),"")</x:f>
        <x:v>240</x:v>
      </x:c>
      <x:c r="I62" s="76" t="n">
        <x:f>IF(A62,$B$5*D62/C23/$B$9,"")</x:f>
        <x:v>7.653350830078125</x:v>
      </x:c>
      <x:c r="J62" s="76" t="n">
        <x:f>IF(A62,I62*$F$5/$J$5,"")</x:f>
        <x:v>7.653350830078125</x:v>
      </x:c>
      <x:c r="K62" s="76" t="n">
        <x:f>IF(A62,MAX(I62,J62)*2^30/(J23*1e6),"")</x:f>
        <x:v>1.7120256</x:v>
      </x:c>
      <x:c r="L62" s="76" t="n">
        <x:f>IF(A62,B62/$B$9,"")</x:f>
        <x:v>4000</x:v>
      </x:c>
      <x:c r="M62" s="77" t="n">
        <x:f>IF(A62,K62/L62,"")</x:f>
        <x:v>0.0004280064</x:v>
      </x:c>
      <x:c r="N62" s="76" t="n">
        <x:f>IF(A62,(E23*ROUNDUP(K23/D23,0)*G23*(B23-1)/B23*(ROUNDUP((ROUNDUP(F23*2/32,0)*32+32)/480,0)*512+F23*2+32)+E23*ROUNDUP(H23/B23,0)*(B23-1)*32)/1e9,"")</x:f>
        <x:v>0.68082944</x:v>
      </x:c>
      <x:c r="O62" s="76" t="n">
        <x:f>IF(A62,N62*1000/I23,"")</x:f>
        <x:v>0.14183946666666666</x:v>
      </x:c>
      <x:c r="P62" s="76" t="n">
        <x:f>IF(A62,O62/E23,"")</x:f>
        <x:v>0.0015417333333333334</x:v>
      </x:c>
      <x:c r="Q62" s="76" t="n">
        <x:f>IF(A62,N62*1000/C62,"")</x:f>
        <x:v>34.041472</x:v>
      </x:c>
      <x:c r="R62" s="76" t="n">
        <x:f>IF(W62="估算",IF(OR(K62=0,O62=0),0,1-((E23-1)*MAX(0,(C62-O62)/E23-(K62))+MAX(0,L62-((E23-1)*C62/E23+P62)-(K62)))/L62),"")</x:f>
        <x:v>0.005374044007246281</x:v>
      </x:c>
      <x:c r="S62" s="76" t="n">
        <x:f>IF(W62="估算",IF(O62=0,0,MAX(0,1-(1-((E23-1)*MAX(0,(C62-O62)/E23-(L62-K62))+MAX(0,L62-((E23-1)*C62/E23+P62)-(L62-K62)))/L62))),"")</x:f>
        <x:v>0</x:v>
      </x:c>
      <x:c r="T62" s="76" t="n">
        <x:f>IF(W62="估算",IF(OR(P62=0,K62=0,$J$7=0),0,IF(P62&lt;=(1-$J$7)*K62,$J$7*P62*K62/(1-$J$7)-$J$7^2*P62^2/(2*(1-$J$7)^2),$J$7*P62*K62+$J$7^2*K62^2/2)/L62),"")</x:f>
        <x:v>7.331541340902606e-8</x:v>
      </x:c>
      <x:c r="U62" s="76" t="n">
        <x:f>IF(A62,60000/C62,"")</x:f>
        <x:v>3000</x:v>
      </x:c>
      <x:c r="V62" s="76" t="n">
        <x:f>IF(W62="估算",U62*E23*T62*M23*N23,"")</x:f>
        <x:v>0.020235054100891194</x:v>
      </x:c>
      <x:c r="W62" s="76" t="str">
        <x:f>IF(NOT(A62),"输入无效",IF(K62&gt;=L62,"KV 超载",IF(O62&gt;C62+1e-9,"TPOT 不自洽",IF(OR(C62&gt;L62,P62&gt;L62-K62),"需时序仿真","估算"))))</x:f>
        <x:v>估算</x:v>
      </x:c>
      <x:c r="X62" s="76" t="n">
        <x:f>IF(W62="估算",U62*M62,"")</x:f>
        <x:v>1.2840192</x:v>
      </x:c>
    </x:row>
    <x:row r="63" ht="22" customHeight="1">
      <x:c r="A63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33),D33&gt;0),AND(ISNUMBER(E33),E33&gt;0),MOD($B$5,1)=0,MOD($F$5,1)=0,MOD($J$5,1)=0,MOD($B$9,1)=0,MOD(K23,1)=0,ISNUMBER(C33),C33&gt;=2,MOD(C33,1)=0,OR($N$9=32,$N$9=64,$N$9=128),ISNUMBER($B$11),$B$11&gt;=0,MOD($B$11,1)=0,ISNUMBER($J$7),$J$7&gt;=0,$J$7&lt;1,AND(ISNUMBER(M23),M23&gt;=0,M23&lt;=1),AND(ISNUMBER(N23),N23&gt;=0,N23&lt;=1))</x:f>
        <x:v>1</x:v>
      </x:c>
      <x:c r="B63" s="76" t="n">
        <x:f>IF(A63,D33*1000,"")</x:f>
        <x:v>4000</x:v>
      </x:c>
      <x:c r="C63" s="76" t="n">
        <x:f>IF(A63,E33*L23,"")</x:f>
        <x:v>30</x:v>
      </x:c>
      <x:c r="D63" s="76" t="n">
        <x:f>IF(A63,M93,"")</x:f>
        <x:v>3.8266754150390625</x:v>
      </x:c>
      <x:c r="E63" s="76" t="n">
        <x:f>IF(A63,B23/C23,"")</x:f>
        <x:v>4</x:v>
      </x:c>
      <x:c r="F63" s="76" t="n">
        <x:f>IF(A63,B23/D23,"")</x:f>
        <x:v>4</x:v>
      </x:c>
      <x:c r="G63" s="76" t="n">
        <x:f>IF(A63,$F$5*E63*$B$5*60000/B63,"")</x:f>
        <x:v>960</x:v>
      </x:c>
      <x:c r="H63" s="76" t="n">
        <x:f>IF(A63,G63/($J$5*F63),"")</x:f>
        <x:v>240</x:v>
      </x:c>
      <x:c r="I63" s="76" t="n">
        <x:f>IF(A63,$B$5*D63/C23/$B$9,"")</x:f>
        <x:v>7.653350830078125</x:v>
      </x:c>
      <x:c r="J63" s="76" t="n">
        <x:f>IF(A63,I63*$F$5/$J$5,"")</x:f>
        <x:v>7.653350830078125</x:v>
      </x:c>
      <x:c r="K63" s="76" t="n">
        <x:f>IF(A63,MAX(I63,J63)*2^30/(J23*1e6),"")</x:f>
        <x:v>1.7120256</x:v>
      </x:c>
      <x:c r="L63" s="76" t="n">
        <x:f>IF(A63,B63/$B$9,"")</x:f>
        <x:v>4000</x:v>
      </x:c>
      <x:c r="M63" s="77" t="n">
        <x:f>IF(A63,K63/L63,"")</x:f>
        <x:v>0.0004280064</x:v>
      </x:c>
      <x:c r="N63" s="76" t="n">
        <x:f>IF(A63,(E23*ROUNDUP(K23/D23,0)*G23*(B23-1)/B23*(ROUNDUP((ROUNDUP(F23*2/32,0)*32+32)/480,0)*512+F23*2+32)+E23*ROUNDUP(H23/B23,0)*(B23-1)*32)/1e9,"")</x:f>
        <x:v>0.68082944</x:v>
      </x:c>
      <x:c r="O63" s="76" t="n">
        <x:f>IF(A63,N63*1000/I23,"")</x:f>
        <x:v>0.14183946666666666</x:v>
      </x:c>
      <x:c r="P63" s="76" t="n">
        <x:f>IF(A63,O63/E23,"")</x:f>
        <x:v>0.0015417333333333334</x:v>
      </x:c>
      <x:c r="Q63" s="76" t="n">
        <x:f>IF(A63,N63*1000/C63,"")</x:f>
        <x:v>22.694314666666667</x:v>
      </x:c>
      <x:c r="R63" s="76" t="n">
        <x:f>IF(W63="估算",IF(OR(K63=0,O63=0),0,1-((E23-1)*MAX(0,(C63-O63)/E23-(K63))+MAX(0,L63-((E23-1)*C63/E23+P63)-(K63)))/L63),"")</x:f>
        <x:v>0.007846870094202818</x:v>
      </x:c>
      <x:c r="S63" s="76" t="n">
        <x:f>IF(W63="估算",IF(O63=0,0,MAX(0,1-(1-((E23-1)*MAX(0,(C63-O63)/E23-(L63-K63))+MAX(0,L63-((E23-1)*C63/E23+P63)-(L63-K63)))/L63))),"")</x:f>
        <x:v>0</x:v>
      </x:c>
      <x:c r="T63" s="76" t="n">
        <x:f>IF(W63="估算",IF(OR(P63=0,K63=0,$J$7=0),0,IF(P63&lt;=(1-$J$7)*K63,$J$7*P63*K63/(1-$J$7)-$J$7^2*P63^2/(2*(1-$J$7)^2),$J$7*P63*K63+$J$7^2*K63^2/2)/L63),"")</x:f>
        <x:v>7.331541340902606e-8</x:v>
      </x:c>
      <x:c r="U63" s="76" t="n">
        <x:f>IF(A63,60000/C63,"")</x:f>
        <x:v>2000</x:v>
      </x:c>
      <x:c r="V63" s="76" t="n">
        <x:f>IF(W63="估算",U63*E23*T63*M23*N23,"")</x:f>
        <x:v>0.013490036067260796</x:v>
      </x:c>
      <x:c r="W63" s="76" t="str">
        <x:f>IF(NOT(A63),"输入无效",IF(K63&gt;=L63,"KV 超载",IF(O63&gt;C63+1e-9,"TPOT 不自洽",IF(OR(C63&gt;L63,P63&gt;L63-K63),"需时序仿真","估算"))))</x:f>
        <x:v>估算</x:v>
      </x:c>
      <x:c r="X63" s="76" t="n">
        <x:f>IF(W63="估算",U63*M63,"")</x:f>
        <x:v>0.8560128</x:v>
      </x:c>
    </x:row>
    <x:row r="64" ht="22" customHeight="1">
      <x:c r="A64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34),D34&gt;0),AND(ISNUMBER(E34),E34&gt;0),MOD($B$5,1)=0,MOD($F$5,1)=0,MOD($J$5,1)=0,MOD($B$9,1)=0,MOD(K23,1)=0,ISNUMBER(C34),C34&gt;=2,MOD(C34,1)=0,OR($N$9=32,$N$9=64,$N$9=128),ISNUMBER($B$11),$B$11&gt;=0,MOD($B$11,1)=0,ISNUMBER($J$7),$J$7&gt;=0,$J$7&lt;1,AND(ISNUMBER(M23),M23&gt;=0,M23&lt;=1),AND(ISNUMBER(N23),N23&gt;=0,N23&lt;=1))</x:f>
        <x:v>1</x:v>
      </x:c>
      <x:c r="B64" s="76" t="n">
        <x:f>IF(A64,D34*1000,"")</x:f>
        <x:v>20000</x:v>
      </x:c>
      <x:c r="C64" s="76" t="n">
        <x:f>IF(A64,E34*L23,"")</x:f>
        <x:v>5</x:v>
      </x:c>
      <x:c r="D64" s="76" t="n">
        <x:f>IF(A64,M97,"")</x:f>
        <x:v>54.45167541503906</x:v>
      </x:c>
      <x:c r="E64" s="76" t="n">
        <x:f>IF(A64,B23/C23,"")</x:f>
        <x:v>4</x:v>
      </x:c>
      <x:c r="F64" s="76" t="n">
        <x:f>IF(A64,B23/D23,"")</x:f>
        <x:v>4</x:v>
      </x:c>
      <x:c r="G64" s="76" t="n">
        <x:f>IF(A64,$F$5*E64*$B$5*60000/B64,"")</x:f>
        <x:v>192</x:v>
      </x:c>
      <x:c r="H64" s="76" t="n">
        <x:f>IF(A64,G64/($J$5*F64),"")</x:f>
        <x:v>48</x:v>
      </x:c>
      <x:c r="I64" s="76" t="n">
        <x:f>IF(A64,$B$5*D64/C23/$B$9,"")</x:f>
        <x:v>108.90335083007812</x:v>
      </x:c>
      <x:c r="J64" s="76" t="n">
        <x:f>IF(A64,I64*$F$5/$J$5,"")</x:f>
        <x:v>108.90335083007812</x:v>
      </x:c>
      <x:c r="K64" s="76" t="n">
        <x:f>IF(A64,MAX(I64,J64)*2^30/(J23*1e6),"")</x:f>
        <x:v>24.3612672</x:v>
      </x:c>
      <x:c r="L64" s="76" t="n">
        <x:f>IF(A64,B64/$B$9,"")</x:f>
        <x:v>20000</x:v>
      </x:c>
      <x:c r="M64" s="77" t="n">
        <x:f>IF(A64,K64/L64,"")</x:f>
        <x:v>0.00121806336</x:v>
      </x:c>
      <x:c r="N64" s="76" t="n">
        <x:f>IF(A64,(E23*ROUNDUP(K23/D23,0)*G23*(B23-1)/B23*(ROUNDUP((ROUNDUP(F23*2/32,0)*32+32)/480,0)*512+F23*2+32)+E23*ROUNDUP(H23/B23,0)*(B23-1)*32)/1e9,"")</x:f>
        <x:v>0.68082944</x:v>
      </x:c>
      <x:c r="O64" s="76" t="n">
        <x:f>IF(A64,N64*1000/I23,"")</x:f>
        <x:v>0.14183946666666666</x:v>
      </x:c>
      <x:c r="P64" s="76" t="n">
        <x:f>IF(A64,O64/E23,"")</x:f>
        <x:v>0.0015417333333333334</x:v>
      </x:c>
      <x:c r="Q64" s="76" t="n">
        <x:f>IF(A64,N64*1000/C64,"")</x:f>
        <x:v>136.165888</x:v>
      </x:c>
      <x:c r="R64" s="76" t="n">
        <x:f>IF(W64="估算",IF(OR(K64=0,O64=0),0,1-((E23-1)*MAX(0,(C64-O64)/E23-(K64))+MAX(0,L64-((E23-1)*C64/E23+P64)-(K64)))/L64),"")</x:f>
        <x:v>0.001465423055362458</x:v>
      </x:c>
      <x:c r="S64" s="76" t="n">
        <x:f>IF(W64="估算",IF(O64=0,0,MAX(0,1-(1-((E23-1)*MAX(0,(C64-O64)/E23-(L64-K64))+MAX(0,L64-((E23-1)*C64/E23+P64)-(L64-K64)))/L64))),"")</x:f>
        <x:v>0.0009707036646378064</x:v>
      </x:c>
      <x:c r="T64" s="76" t="n">
        <x:f>IF(W64="估算",IF(OR(P64=0,K64=0,$J$7=0),0,IF(P64&lt;=(1-$J$7)*K64,$J$7*P64*K64/(1-$J$7)-$J$7^2*P64^2/(2*(1-$J$7)^2),$J$7*P64*K64+$J$7^2*K64^2/2)/L64),"")</x:f>
        <x:v>2.0865803128980522e-7</x:v>
      </x:c>
      <x:c r="U64" s="76" t="n">
        <x:f>IF(A64,60000/C64,"")</x:f>
        <x:v>12000</x:v>
      </x:c>
      <x:c r="V64" s="76" t="n">
        <x:f>IF(W64="估算",U64*E23*T64*M23*N23,"")</x:f>
        <x:v>0.23035846654394496</x:v>
      </x:c>
      <x:c r="W64" s="76" t="str">
        <x:f>IF(NOT(A64),"输入无效",IF(K64&gt;=L64,"KV 超载",IF(O64&gt;C64+1e-9,"TPOT 不自洽",IF(OR(C64&gt;L64,P64&gt;L64-K64),"需时序仿真","估算"))))</x:f>
        <x:v>估算</x:v>
      </x:c>
      <x:c r="X64" s="76" t="n">
        <x:f>IF(W64="估算",U64*M64,"")</x:f>
        <x:v>14.61676032</x:v>
      </x:c>
    </x:row>
    <x:row r="65" ht="22" customHeight="1">
      <x:c r="A65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35),D35&gt;0),AND(ISNUMBER(E35),E35&gt;0),MOD($B$5,1)=0,MOD($F$5,1)=0,MOD($J$5,1)=0,MOD($B$9,1)=0,MOD(K23,1)=0,ISNUMBER(C35),C35&gt;=2,MOD(C35,1)=0,OR($N$9=32,$N$9=64,$N$9=128),ISNUMBER($B$11),$B$11&gt;=0,MOD($B$11,1)=0,ISNUMBER($J$7),$J$7&gt;=0,$J$7&lt;1,AND(ISNUMBER(M23),M23&gt;=0,M23&lt;=1),AND(ISNUMBER(N23),N23&gt;=0,N23&lt;=1))</x:f>
        <x:v>1</x:v>
      </x:c>
      <x:c r="B65" s="76" t="n">
        <x:f>IF(A65,D35*1000,"")</x:f>
        <x:v>20000</x:v>
      </x:c>
      <x:c r="C65" s="76" t="n">
        <x:f>IF(A65,E35*L23,"")</x:f>
        <x:v>10</x:v>
      </x:c>
      <x:c r="D65" s="76" t="n">
        <x:f>IF(A65,M97,"")</x:f>
        <x:v>54.45167541503906</x:v>
      </x:c>
      <x:c r="E65" s="76" t="n">
        <x:f>IF(A65,B23/C23,"")</x:f>
        <x:v>4</x:v>
      </x:c>
      <x:c r="F65" s="76" t="n">
        <x:f>IF(A65,B23/D23,"")</x:f>
        <x:v>4</x:v>
      </x:c>
      <x:c r="G65" s="76" t="n">
        <x:f>IF(A65,$F$5*E65*$B$5*60000/B65,"")</x:f>
        <x:v>192</x:v>
      </x:c>
      <x:c r="H65" s="76" t="n">
        <x:f>IF(A65,G65/($J$5*F65),"")</x:f>
        <x:v>48</x:v>
      </x:c>
      <x:c r="I65" s="76" t="n">
        <x:f>IF(A65,$B$5*D65/C23/$B$9,"")</x:f>
        <x:v>108.90335083007812</x:v>
      </x:c>
      <x:c r="J65" s="76" t="n">
        <x:f>IF(A65,I65*$F$5/$J$5,"")</x:f>
        <x:v>108.90335083007812</x:v>
      </x:c>
      <x:c r="K65" s="76" t="n">
        <x:f>IF(A65,MAX(I65,J65)*2^30/(J23*1e6),"")</x:f>
        <x:v>24.3612672</x:v>
      </x:c>
      <x:c r="L65" s="76" t="n">
        <x:f>IF(A65,B65/$B$9,"")</x:f>
        <x:v>20000</x:v>
      </x:c>
      <x:c r="M65" s="77" t="n">
        <x:f>IF(A65,K65/L65,"")</x:f>
        <x:v>0.00121806336</x:v>
      </x:c>
      <x:c r="N65" s="76" t="n">
        <x:f>IF(A65,(E23*ROUNDUP(K23/D23,0)*G23*(B23-1)/B23*(ROUNDUP((ROUNDUP(F23*2/32,0)*32+32)/480,0)*512+F23*2+32)+E23*ROUNDUP(H23/B23,0)*(B23-1)*32)/1e9,"")</x:f>
        <x:v>0.68082944</x:v>
      </x:c>
      <x:c r="O65" s="76" t="n">
        <x:f>IF(A65,N65*1000/I23,"")</x:f>
        <x:v>0.14183946666666666</x:v>
      </x:c>
      <x:c r="P65" s="76" t="n">
        <x:f>IF(A65,O65/E23,"")</x:f>
        <x:v>0.0015417333333333334</x:v>
      </x:c>
      <x:c r="Q65" s="76" t="n">
        <x:f>IF(A65,N65*1000/C65,"")</x:f>
        <x:v>68.082944</x:v>
      </x:c>
      <x:c r="R65" s="76" t="n">
        <x:f>IF(W65="估算",IF(OR(K65=0,O65=0),0,1-((E23-1)*MAX(0,(C65-O65)/E23-(K65))+MAX(0,L65-((E23-1)*C65/E23+P65)-(K65)))/L65),"")</x:f>
        <x:v>0.0017127056640580118</x:v>
      </x:c>
      <x:c r="S65" s="76" t="n">
        <x:f>IF(W65="估算",IF(O65=0,0,MAX(0,1-(1-((E23-1)*MAX(0,(C65-O65)/E23-(L65-K65))+MAX(0,L65-((E23-1)*C65/E23+P65)-(L65-K65)))/L65))),"")</x:f>
        <x:v>0.0007234210559421417</x:v>
      </x:c>
      <x:c r="T65" s="76" t="n">
        <x:f>IF(W65="估算",IF(OR(P65=0,K65=0,$J$7=0),0,IF(P65&lt;=(1-$J$7)*K65,$J$7*P65*K65/(1-$J$7)-$J$7^2*P65^2/(2*(1-$J$7)^2),$J$7*P65*K65+$J$7^2*K65^2/2)/L65),"")</x:f>
        <x:v>2.0865803128980522e-7</x:v>
      </x:c>
      <x:c r="U65" s="76" t="n">
        <x:f>IF(A65,60000/C65,"")</x:f>
        <x:v>6000</x:v>
      </x:c>
      <x:c r="V65" s="76" t="n">
        <x:f>IF(W65="估算",U65*E23*T65*M23*N23,"")</x:f>
        <x:v>0.11517923327197248</x:v>
      </x:c>
      <x:c r="W65" s="76" t="str">
        <x:f>IF(NOT(A65),"输入无效",IF(K65&gt;=L65,"KV 超载",IF(O65&gt;C65+1e-9,"TPOT 不自洽",IF(OR(C65&gt;L65,P65&gt;L65-K65),"需时序仿真","估算"))))</x:f>
        <x:v>估算</x:v>
      </x:c>
      <x:c r="X65" s="76" t="n">
        <x:f>IF(W65="估算",U65*M65,"")</x:f>
        <x:v>7.30838016</x:v>
      </x:c>
    </x:row>
    <x:row r="66" ht="22" customHeight="1">
      <x:c r="A66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36),D36&gt;0),AND(ISNUMBER(E36),E36&gt;0),MOD($B$5,1)=0,MOD($F$5,1)=0,MOD($J$5,1)=0,MOD($B$9,1)=0,MOD(K23,1)=0,ISNUMBER(C36),C36&gt;=2,MOD(C36,1)=0,OR($N$9=32,$N$9=64,$N$9=128),ISNUMBER($B$11),$B$11&gt;=0,MOD($B$11,1)=0,ISNUMBER($J$7),$J$7&gt;=0,$J$7&lt;1,AND(ISNUMBER(M23),M23&gt;=0,M23&lt;=1),AND(ISNUMBER(N23),N23&gt;=0,N23&lt;=1))</x:f>
        <x:v>1</x:v>
      </x:c>
      <x:c r="B66" s="76" t="n">
        <x:f>IF(A66,D36*1000,"")</x:f>
        <x:v>20000</x:v>
      </x:c>
      <x:c r="C66" s="76" t="n">
        <x:f>IF(A66,E36*L23,"")</x:f>
        <x:v>20</x:v>
      </x:c>
      <x:c r="D66" s="76" t="n">
        <x:f>IF(A66,M97,"")</x:f>
        <x:v>54.45167541503906</x:v>
      </x:c>
      <x:c r="E66" s="76" t="n">
        <x:f>IF(A66,B23/C23,"")</x:f>
        <x:v>4</x:v>
      </x:c>
      <x:c r="F66" s="76" t="n">
        <x:f>IF(A66,B23/D23,"")</x:f>
        <x:v>4</x:v>
      </x:c>
      <x:c r="G66" s="76" t="n">
        <x:f>IF(A66,$F$5*E66*$B$5*60000/B66,"")</x:f>
        <x:v>192</x:v>
      </x:c>
      <x:c r="H66" s="76" t="n">
        <x:f>IF(A66,G66/($J$5*F66),"")</x:f>
        <x:v>48</x:v>
      </x:c>
      <x:c r="I66" s="76" t="n">
        <x:f>IF(A66,$B$5*D66/C23/$B$9,"")</x:f>
        <x:v>108.90335083007812</x:v>
      </x:c>
      <x:c r="J66" s="76" t="n">
        <x:f>IF(A66,I66*$F$5/$J$5,"")</x:f>
        <x:v>108.90335083007812</x:v>
      </x:c>
      <x:c r="K66" s="76" t="n">
        <x:f>IF(A66,MAX(I66,J66)*2^30/(J23*1e6),"")</x:f>
        <x:v>24.3612672</x:v>
      </x:c>
      <x:c r="L66" s="76" t="n">
        <x:f>IF(A66,B66/$B$9,"")</x:f>
        <x:v>20000</x:v>
      </x:c>
      <x:c r="M66" s="77" t="n">
        <x:f>IF(A66,K66/L66,"")</x:f>
        <x:v>0.00121806336</x:v>
      </x:c>
      <x:c r="N66" s="76" t="n">
        <x:f>IF(A66,(E23*ROUNDUP(K23/D23,0)*G23*(B23-1)/B23*(ROUNDUP((ROUNDUP(F23*2/32,0)*32+32)/480,0)*512+F23*2+32)+E23*ROUNDUP(H23/B23,0)*(B23-1)*32)/1e9,"")</x:f>
        <x:v>0.68082944</x:v>
      </x:c>
      <x:c r="O66" s="76" t="n">
        <x:f>IF(A66,N66*1000/I23,"")</x:f>
        <x:v>0.14183946666666666</x:v>
      </x:c>
      <x:c r="P66" s="76" t="n">
        <x:f>IF(A66,O66/E23,"")</x:f>
        <x:v>0.0015417333333333334</x:v>
      </x:c>
      <x:c r="Q66" s="76" t="n">
        <x:f>IF(A66,N66*1000/C66,"")</x:f>
        <x:v>34.041472</x:v>
      </x:c>
      <x:c r="R66" s="76" t="n">
        <x:f>IF(W66="估算",IF(OR(K66=0,O66=0),0,1-((E23-1)*MAX(0,(C66-O66)/E23-(K66))+MAX(0,L66-((E23-1)*C66/E23+P66)-(K66)))/L66),"")</x:f>
        <x:v>0.0022072708814494524</x:v>
      </x:c>
      <x:c r="S66" s="76" t="n">
        <x:f>IF(W66="估算",IF(O66=0,0,MAX(0,1-(1-((E23-1)*MAX(0,(C66-O66)/E23-(L66-K66))+MAX(0,L66-((E23-1)*C66/E23+P66)-(L66-K66)))/L66))),"")</x:f>
        <x:v>0.00022885583855081215</x:v>
      </x:c>
      <x:c r="T66" s="76" t="n">
        <x:f>IF(W66="估算",IF(OR(P66=0,K66=0,$J$7=0),0,IF(P66&lt;=(1-$J$7)*K66,$J$7*P66*K66/(1-$J$7)-$J$7^2*P66^2/(2*(1-$J$7)^2),$J$7*P66*K66+$J$7^2*K66^2/2)/L66),"")</x:f>
        <x:v>2.0865803128980522e-7</x:v>
      </x:c>
      <x:c r="U66" s="76" t="n">
        <x:f>IF(A66,60000/C66,"")</x:f>
        <x:v>3000</x:v>
      </x:c>
      <x:c r="V66" s="76" t="n">
        <x:f>IF(W66="估算",U66*E23*T66*M23*N23,"")</x:f>
        <x:v>0.05758961663598624</x:v>
      </x:c>
      <x:c r="W66" s="76" t="str">
        <x:f>IF(NOT(A66),"输入无效",IF(K66&gt;=L66,"KV 超载",IF(O66&gt;C66+1e-9,"TPOT 不自洽",IF(OR(C66&gt;L66,P66&gt;L66-K66),"需时序仿真","估算"))))</x:f>
        <x:v>估算</x:v>
      </x:c>
      <x:c r="X66" s="76" t="n">
        <x:f>IF(W66="估算",U66*M66,"")</x:f>
        <x:v>3.65419008</x:v>
      </x:c>
    </x:row>
    <x:row r="67" ht="22" customHeight="1">
      <x:c r="A67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37),D37&gt;0),AND(ISNUMBER(E37),E37&gt;0),MOD($B$5,1)=0,MOD($F$5,1)=0,MOD($J$5,1)=0,MOD($B$9,1)=0,MOD(K23,1)=0,ISNUMBER(C37),C37&gt;=2,MOD(C37,1)=0,OR($N$9=32,$N$9=64,$N$9=128),ISNUMBER($B$11),$B$11&gt;=0,MOD($B$11,1)=0,ISNUMBER($J$7),$J$7&gt;=0,$J$7&lt;1,AND(ISNUMBER(M23),M23&gt;=0,M23&lt;=1),AND(ISNUMBER(N23),N23&gt;=0,N23&lt;=1))</x:f>
        <x:v>1</x:v>
      </x:c>
      <x:c r="B67" s="76" t="n">
        <x:f>IF(A67,D37*1000,"")</x:f>
        <x:v>20000</x:v>
      </x:c>
      <x:c r="C67" s="76" t="n">
        <x:f>IF(A67,E37*L23,"")</x:f>
        <x:v>30</x:v>
      </x:c>
      <x:c r="D67" s="76" t="n">
        <x:f>IF(A67,M97,"")</x:f>
        <x:v>54.45167541503906</x:v>
      </x:c>
      <x:c r="E67" s="76" t="n">
        <x:f>IF(A67,B23/C23,"")</x:f>
        <x:v>4</x:v>
      </x:c>
      <x:c r="F67" s="76" t="n">
        <x:f>IF(A67,B23/D23,"")</x:f>
        <x:v>4</x:v>
      </x:c>
      <x:c r="G67" s="76" t="n">
        <x:f>IF(A67,$F$5*E67*$B$5*60000/B67,"")</x:f>
        <x:v>192</x:v>
      </x:c>
      <x:c r="H67" s="76" t="n">
        <x:f>IF(A67,G67/($J$5*F67),"")</x:f>
        <x:v>48</x:v>
      </x:c>
      <x:c r="I67" s="76" t="n">
        <x:f>IF(A67,$B$5*D67/C23/$B$9,"")</x:f>
        <x:v>108.90335083007812</x:v>
      </x:c>
      <x:c r="J67" s="76" t="n">
        <x:f>IF(A67,I67*$F$5/$J$5,"")</x:f>
        <x:v>108.90335083007812</x:v>
      </x:c>
      <x:c r="K67" s="76" t="n">
        <x:f>IF(A67,MAX(I67,J67)*2^30/(J23*1e6),"")</x:f>
        <x:v>24.3612672</x:v>
      </x:c>
      <x:c r="L67" s="76" t="n">
        <x:f>IF(A67,B67/$B$9,"")</x:f>
        <x:v>20000</x:v>
      </x:c>
      <x:c r="M67" s="77" t="n">
        <x:f>IF(A67,K67/L67,"")</x:f>
        <x:v>0.00121806336</x:v>
      </x:c>
      <x:c r="N67" s="76" t="n">
        <x:f>IF(A67,(E23*ROUNDUP(K23/D23,0)*G23*(B23-1)/B23*(ROUNDUP((ROUNDUP(F23*2/32,0)*32+32)/480,0)*512+F23*2+32)+E23*ROUNDUP(H23/B23,0)*(B23-1)*32)/1e9,"")</x:f>
        <x:v>0.68082944</x:v>
      </x:c>
      <x:c r="O67" s="76" t="n">
        <x:f>IF(A67,N67*1000/I23,"")</x:f>
        <x:v>0.14183946666666666</x:v>
      </x:c>
      <x:c r="P67" s="76" t="n">
        <x:f>IF(A67,O67/E23,"")</x:f>
        <x:v>0.0015417333333333334</x:v>
      </x:c>
      <x:c r="Q67" s="76" t="n">
        <x:f>IF(A67,N67*1000/C67,"")</x:f>
        <x:v>22.694314666666667</x:v>
      </x:c>
      <x:c r="R67" s="76" t="n">
        <x:f>IF(W67="估算",IF(OR(K67=0,O67=0),0,1-((E23-1)*MAX(0,(C67-O67)/E23-(K67))+MAX(0,L67-((E23-1)*C67/E23+P67)-(K67)))/L67),"")</x:f>
        <x:v>0.00270183609884056</x:v>
      </x:c>
      <x:c r="S67" s="76" t="n">
        <x:f>IF(W67="估算",IF(O67=0,0,MAX(0,1-(1-((E23-1)*MAX(0,(C67-O67)/E23-(L67-K67))+MAX(0,L67-((E23-1)*C67/E23+P67)-(L67-K67)))/L67))),"")</x:f>
        <x:v>0</x:v>
      </x:c>
      <x:c r="T67" s="76" t="n">
        <x:f>IF(W67="估算",IF(OR(P67=0,K67=0,$J$7=0),0,IF(P67&lt;=(1-$J$7)*K67,$J$7*P67*K67/(1-$J$7)-$J$7^2*P67^2/(2*(1-$J$7)^2),$J$7*P67*K67+$J$7^2*K67^2/2)/L67),"")</x:f>
        <x:v>2.0865803128980522e-7</x:v>
      </x:c>
      <x:c r="U67" s="76" t="n">
        <x:f>IF(A67,60000/C67,"")</x:f>
        <x:v>2000</x:v>
      </x:c>
      <x:c r="V67" s="76" t="n">
        <x:f>IF(W67="估算",U67*E23*T67*M23*N23,"")</x:f>
        <x:v>0.03839307775732416</x:v>
      </x:c>
      <x:c r="W67" s="76" t="str">
        <x:f>IF(NOT(A67),"输入无效",IF(K67&gt;=L67,"KV 超载",IF(O67&gt;C67+1e-9,"TPOT 不自洽",IF(OR(C67&gt;L67,P67&gt;L67-K67),"需时序仿真","估算"))))</x:f>
        <x:v>估算</x:v>
      </x:c>
      <x:c r="X67" s="76" t="n">
        <x:f>IF(W67="估算",U67*M67,"")</x:f>
        <x:v>2.43612672</x:v>
      </x:c>
    </x:row>
    <x:row r="68" ht="22" customHeight="1">
      <x:c r="A68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38),D38&gt;0),AND(ISNUMBER(E38),E38&gt;0),MOD($B$5,1)=0,MOD($F$5,1)=0,MOD($J$5,1)=0,MOD($B$9,1)=0,MOD(K23,1)=0,ISNUMBER(C38),C38&gt;=2,MOD(C38,1)=0,OR($N$9=32,$N$9=64,$N$9=128),ISNUMBER($B$11),$B$11&gt;=0,MOD($B$11,1)=0,ISNUMBER($J$7),$J$7&gt;=0,$J$7&lt;1,AND(ISNUMBER(M23),M23&gt;=0,M23&lt;=1),AND(ISNUMBER(N23),N23&gt;=0,N23&lt;=1))</x:f>
        <x:v>1</x:v>
      </x:c>
      <x:c r="B68" s="76" t="n">
        <x:f>IF(A68,D38*1000,"")</x:f>
        <x:v>60000</x:v>
      </x:c>
      <x:c r="C68" s="76" t="n">
        <x:f>IF(A68,E38*L23,"")</x:f>
        <x:v>5</x:v>
      </x:c>
      <x:c r="D68" s="76" t="n">
        <x:f>IF(A68,M101,"")</x:f>
        <x:v>216.45167541503906</x:v>
      </x:c>
      <x:c r="E68" s="76" t="n">
        <x:f>IF(A68,B23/C23,"")</x:f>
        <x:v>4</x:v>
      </x:c>
      <x:c r="F68" s="76" t="n">
        <x:f>IF(A68,B23/D23,"")</x:f>
        <x:v>4</x:v>
      </x:c>
      <x:c r="G68" s="76" t="n">
        <x:f>IF(A68,$F$5*E68*$B$5*60000/B68,"")</x:f>
        <x:v>64</x:v>
      </x:c>
      <x:c r="H68" s="76" t="n">
        <x:f>IF(A68,G68/($J$5*F68),"")</x:f>
        <x:v>16</x:v>
      </x:c>
      <x:c r="I68" s="76" t="n">
        <x:f>IF(A68,$B$5*D68/C23/$B$9,"")</x:f>
        <x:v>432.9033508300781</x:v>
      </x:c>
      <x:c r="J68" s="76" t="n">
        <x:f>IF(A68,I68*$F$5/$J$5,"")</x:f>
        <x:v>432.9033508300781</x:v>
      </x:c>
      <x:c r="K68" s="76" t="n">
        <x:f>IF(A68,MAX(I68,J68)*2^30/(J23*1e6),"")</x:f>
        <x:v>96.83884032</x:v>
      </x:c>
      <x:c r="L68" s="76" t="n">
        <x:f>IF(A68,B68/$B$9,"")</x:f>
        <x:v>60000</x:v>
      </x:c>
      <x:c r="M68" s="77" t="n">
        <x:f>IF(A68,K68/L68,"")</x:f>
        <x:v>0.001613980672</x:v>
      </x:c>
      <x:c r="N68" s="76" t="n">
        <x:f>IF(A68,(E23*ROUNDUP(K23/D23,0)*G23*(B23-1)/B23*(ROUNDUP((ROUNDUP(F23*2/32,0)*32+32)/480,0)*512+F23*2+32)+E23*ROUNDUP(H23/B23,0)*(B23-1)*32)/1e9,"")</x:f>
        <x:v>0.68082944</x:v>
      </x:c>
      <x:c r="O68" s="76" t="n">
        <x:f>IF(A68,N68*1000/I23,"")</x:f>
        <x:v>0.14183946666666666</x:v>
      </x:c>
      <x:c r="P68" s="76" t="n">
        <x:f>IF(A68,O68/E23,"")</x:f>
        <x:v>0.0015417333333333334</x:v>
      </x:c>
      <x:c r="Q68" s="76" t="n">
        <x:f>IF(A68,N68*1000/C68,"")</x:f>
        <x:v>136.165888</x:v>
      </x:c>
      <x:c r="R68" s="76" t="n">
        <x:f>IF(W68="估算",IF(OR(K68=0,O68=0),0,1-((E23-1)*MAX(0,(C68-O68)/E23-(K68))+MAX(0,L68-((E23-1)*C68/E23+P68)-(K68)))/L68),"")</x:f>
        <x:v>0.0016964339037874865</x:v>
      </x:c>
      <x:c r="S68" s="76" t="n">
        <x:f>IF(W68="估算",IF(O68=0,0,MAX(0,1-(1-((E23-1)*MAX(0,(C68-O68)/E23-(L68-K68))+MAX(0,L68-((E23-1)*C68/E23+P68)-(L68-K68)))/L68))),"")</x:f>
        <x:v>0.0015315274402125656</x:v>
      </x:c>
      <x:c r="T68" s="76" t="n">
        <x:f>IF(W68="估算",IF(OR(P68=0,K68=0,$J$7=0),0,IF(P68&lt;=(1-$J$7)*K68,$J$7*P68*K68/(1-$J$7)-$J$7^2*P68^2/(2*(1-$J$7)^2),$J$7*P68*K68+$J$7^2*K68^2/2)/L68),"")</x:f>
        <x:v>2.764806222784684e-7</x:v>
      </x:c>
      <x:c r="U68" s="76" t="n">
        <x:f>IF(A68,60000/C68,"")</x:f>
        <x:v>12000</x:v>
      </x:c>
      <x:c r="V68" s="76" t="n">
        <x:f>IF(W68="估算",U68*E23*T68*M23*N23,"")</x:f>
        <x:v>0.30523460699542915</x:v>
      </x:c>
      <x:c r="W68" s="76" t="str">
        <x:f>IF(NOT(A68),"输入无效",IF(K68&gt;=L68,"KV 超载",IF(O68&gt;C68+1e-9,"TPOT 不自洽",IF(OR(C68&gt;L68,P68&gt;L68-K68),"需时序仿真","估算"))))</x:f>
        <x:v>估算</x:v>
      </x:c>
      <x:c r="X68" s="76" t="n">
        <x:f>IF(W68="估算",U68*M68,"")</x:f>
        <x:v>19.367768064</x:v>
      </x:c>
    </x:row>
    <x:row r="69" ht="22" customHeight="1">
      <x:c r="A69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39),D39&gt;0),AND(ISNUMBER(E39),E39&gt;0),MOD($B$5,1)=0,MOD($F$5,1)=0,MOD($J$5,1)=0,MOD($B$9,1)=0,MOD(K23,1)=0,ISNUMBER(C39),C39&gt;=2,MOD(C39,1)=0,OR($N$9=32,$N$9=64,$N$9=128),ISNUMBER($B$11),$B$11&gt;=0,MOD($B$11,1)=0,ISNUMBER($J$7),$J$7&gt;=0,$J$7&lt;1,AND(ISNUMBER(M23),M23&gt;=0,M23&lt;=1),AND(ISNUMBER(N23),N23&gt;=0,N23&lt;=1))</x:f>
        <x:v>1</x:v>
      </x:c>
      <x:c r="B69" s="76" t="n">
        <x:f>IF(A69,D39*1000,"")</x:f>
        <x:v>60000</x:v>
      </x:c>
      <x:c r="C69" s="76" t="n">
        <x:f>IF(A69,E39*L23,"")</x:f>
        <x:v>10</x:v>
      </x:c>
      <x:c r="D69" s="76" t="n">
        <x:f>IF(A69,M101,"")</x:f>
        <x:v>216.45167541503906</x:v>
      </x:c>
      <x:c r="E69" s="76" t="n">
        <x:f>IF(A69,B23/C23,"")</x:f>
        <x:v>4</x:v>
      </x:c>
      <x:c r="F69" s="76" t="n">
        <x:f>IF(A69,B23/D23,"")</x:f>
        <x:v>4</x:v>
      </x:c>
      <x:c r="G69" s="76" t="n">
        <x:f>IF(A69,$F$5*E69*$B$5*60000/B69,"")</x:f>
        <x:v>64</x:v>
      </x:c>
      <x:c r="H69" s="76" t="n">
        <x:f>IF(A69,G69/($J$5*F69),"")</x:f>
        <x:v>16</x:v>
      </x:c>
      <x:c r="I69" s="76" t="n">
        <x:f>IF(A69,$B$5*D69/C23/$B$9,"")</x:f>
        <x:v>432.9033508300781</x:v>
      </x:c>
      <x:c r="J69" s="76" t="n">
        <x:f>IF(A69,I69*$F$5/$J$5,"")</x:f>
        <x:v>432.9033508300781</x:v>
      </x:c>
      <x:c r="K69" s="76" t="n">
        <x:f>IF(A69,MAX(I69,J69)*2^30/(J23*1e6),"")</x:f>
        <x:v>96.83884032</x:v>
      </x:c>
      <x:c r="L69" s="76" t="n">
        <x:f>IF(A69,B69/$B$9,"")</x:f>
        <x:v>60000</x:v>
      </x:c>
      <x:c r="M69" s="77" t="n">
        <x:f>IF(A69,K69/L69,"")</x:f>
        <x:v>0.001613980672</x:v>
      </x:c>
      <x:c r="N69" s="76" t="n">
        <x:f>IF(A69,(E23*ROUNDUP(K23/D23,0)*G23*(B23-1)/B23*(ROUNDUP((ROUNDUP(F23*2/32,0)*32+32)/480,0)*512+F23*2+32)+E23*ROUNDUP(H23/B23,0)*(B23-1)*32)/1e9,"")</x:f>
        <x:v>0.68082944</x:v>
      </x:c>
      <x:c r="O69" s="76" t="n">
        <x:f>IF(A69,N69*1000/I23,"")</x:f>
        <x:v>0.14183946666666666</x:v>
      </x:c>
      <x:c r="P69" s="76" t="n">
        <x:f>IF(A69,O69/E23,"")</x:f>
        <x:v>0.0015417333333333334</x:v>
      </x:c>
      <x:c r="Q69" s="76" t="n">
        <x:f>IF(A69,N69*1000/C69,"")</x:f>
        <x:v>68.082944</x:v>
      </x:c>
      <x:c r="R69" s="76" t="n">
        <x:f>IF(W69="估算",IF(OR(K69=0,O69=0),0,1-((E23-1)*MAX(0,(C69-O69)/E23-(K69))+MAX(0,L69-((E23-1)*C69/E23+P69)-(K69)))/L69),"")</x:f>
        <x:v>0.0017788614400192637</x:v>
      </x:c>
      <x:c r="S69" s="76" t="n">
        <x:f>IF(W69="估算",IF(O69=0,0,MAX(0,1-(1-((E23-1)*MAX(0,(C69-O69)/E23-(L69-K69))+MAX(0,L69-((E23-1)*C69/E23+P69)-(L69-K69)))/L69))),"")</x:f>
        <x:v>0.0014490999039806773</x:v>
      </x:c>
      <x:c r="T69" s="76" t="n">
        <x:f>IF(W69="估算",IF(OR(P69=0,K69=0,$J$7=0),0,IF(P69&lt;=(1-$J$7)*K69,$J$7*P69*K69/(1-$J$7)-$J$7^2*P69^2/(2*(1-$J$7)^2),$J$7*P69*K69+$J$7^2*K69^2/2)/L69),"")</x:f>
        <x:v>2.764806222784684e-7</x:v>
      </x:c>
      <x:c r="U69" s="76" t="n">
        <x:f>IF(A69,60000/C69,"")</x:f>
        <x:v>6000</x:v>
      </x:c>
      <x:c r="V69" s="76" t="n">
        <x:f>IF(W69="估算",U69*E23*T69*M23*N23,"")</x:f>
        <x:v>0.15261730349771457</x:v>
      </x:c>
      <x:c r="W69" s="76" t="str">
        <x:f>IF(NOT(A69),"输入无效",IF(K69&gt;=L69,"KV 超载",IF(O69&gt;C69+1e-9,"TPOT 不自洽",IF(OR(C69&gt;L69,P69&gt;L69-K69),"需时序仿真","估算"))))</x:f>
        <x:v>估算</x:v>
      </x:c>
      <x:c r="X69" s="76" t="n">
        <x:f>IF(W69="估算",U69*M69,"")</x:f>
        <x:v>9.683884032</x:v>
      </x:c>
    </x:row>
    <x:row r="70" ht="22" customHeight="1">
      <x:c r="A70" s="30" t="b">
        <x:f>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</x:f>
        <x:v>1</x:v>
      </x:c>
      <x:c r="B70" s="76" t="n">
        <x:f>IF(A70,D40*1000,"")</x:f>
        <x:v>60000</x:v>
      </x:c>
      <x:c r="C70" s="76" t="n">
        <x:f>IF(A70,E40*L23,"")</x:f>
        <x:v>20</x:v>
      </x:c>
      <x:c r="D70" s="76" t="n">
        <x:f>IF(A70,M101,"")</x:f>
        <x:v>216.45167541503906</x:v>
      </x:c>
      <x:c r="E70" s="76" t="n">
        <x:f>IF(A70,B23/C23,"")</x:f>
        <x:v>4</x:v>
      </x:c>
      <x:c r="F70" s="76" t="n">
        <x:f>IF(A70,B23/D23,"")</x:f>
        <x:v>4</x:v>
      </x:c>
      <x:c r="G70" s="76" t="n">
        <x:f>IF(A70,$F$5*E70*$B$5*60000/B70,"")</x:f>
        <x:v>64</x:v>
      </x:c>
      <x:c r="H70" s="76" t="n">
        <x:f>IF(A70,G70/($J$5*F70),"")</x:f>
        <x:v>16</x:v>
      </x:c>
      <x:c r="I70" s="76" t="n">
        <x:f>IF(A70,$B$5*D70/C23/$B$9,"")</x:f>
        <x:v>432.9033508300781</x:v>
      </x:c>
      <x:c r="J70" s="76" t="n">
        <x:f>IF(A70,I70*$F$5/$J$5,"")</x:f>
        <x:v>432.9033508300781</x:v>
      </x:c>
      <x:c r="K70" s="76" t="n">
        <x:f>IF(A70,MAX(I70,J70)*2^30/(J23*1e6),"")</x:f>
        <x:v>96.83884032</x:v>
      </x:c>
      <x:c r="L70" s="76" t="n">
        <x:f>IF(A70,B70/$B$9,"")</x:f>
        <x:v>60000</x:v>
      </x:c>
      <x:c r="M70" s="77" t="n">
        <x:f>IF(A70,K70/L70,"")</x:f>
        <x:v>0.001613980672</x:v>
      </x:c>
      <x:c r="N70" s="76" t="n">
        <x:f>IF(A70,(E23*ROUNDUP(K23/D23,0)*G23*(B23-1)/B23*(ROUNDUP((ROUNDUP(F23*2/32,0)*32+32)/480,0)*512+F23*2+32)+E23*ROUNDUP(H23/B23,0)*(B23-1)*32)/1e9,"")</x:f>
        <x:v>0.68082944</x:v>
      </x:c>
      <x:c r="O70" s="76" t="n">
        <x:f>IF(A70,N70*1000/I23,"")</x:f>
        <x:v>0.14183946666666666</x:v>
      </x:c>
      <x:c r="P70" s="76" t="n">
        <x:f>IF(A70,O70/E23,"")</x:f>
        <x:v>0.0015417333333333334</x:v>
      </x:c>
      <x:c r="Q70" s="76" t="n">
        <x:f>IF(A70,N70*1000/C70,"")</x:f>
        <x:v>34.041472</x:v>
      </x:c>
      <x:c r="R70" s="76" t="n">
        <x:f>IF(W70="估算",IF(OR(K70=0,O70=0),0,1-((E23-1)*MAX(0,(C70-O70)/E23-(K70))+MAX(0,L70-((E23-1)*C70/E23+P70)-(K70)))/L70),"")</x:f>
        <x:v>0.0019437165124830402</x:v>
      </x:c>
      <x:c r="S70" s="76" t="n">
        <x:f>IF(W70="估算",IF(O70=0,0,MAX(0,1-(1-((E23-1)*MAX(0,(C70-O70)/E23-(L70-K70))+MAX(0,L70-((E23-1)*C70/E23+P70)-(L70-K70)))/L70))),"")</x:f>
        <x:v>0.0012842448315170119</x:v>
      </x:c>
      <x:c r="T70" s="76" t="n">
        <x:f>IF(W70="估算",IF(OR(P70=0,K70=0,$J$7=0),0,IF(P70&lt;=(1-$J$7)*K70,$J$7*P70*K70/(1-$J$7)-$J$7^2*P70^2/(2*(1-$J$7)^2),$J$7*P70*K70+$J$7^2*K70^2/2)/L70),"")</x:f>
        <x:v>2.764806222784684e-7</x:v>
      </x:c>
      <x:c r="U70" s="76" t="n">
        <x:f>IF(A70,60000/C70,"")</x:f>
        <x:v>3000</x:v>
      </x:c>
      <x:c r="V70" s="76" t="n">
        <x:f>IF(W70="估算",U70*E23*T70*M23*N23,"")</x:f>
        <x:v>0.07630865174885729</x:v>
      </x:c>
      <x:c r="W70" s="76" t="str">
        <x:f>IF(NOT(A70),"输入无效",IF(K70&gt;=L70,"KV 超载",IF(O70&gt;C70+1e-9,"TPOT 不自洽",IF(OR(C70&gt;L70,P70&gt;L70-K70),"需时序仿真","估算"))))</x:f>
        <x:v>估算</x:v>
      </x:c>
      <x:c r="X70" s="76" t="n">
        <x:f>IF(W70="估算",U70*M70,"")</x:f>
        <x:v>4.841942016</x:v>
      </x:c>
    </x:row>
    <x:row r="71" ht="22" customHeight="1">
      <x:c r="A71" s="30" t="b">
        <x:f>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</x:f>
        <x:v>1</x:v>
      </x:c>
      <x:c r="B71" s="76" t="n">
        <x:f>IF(A71,D41*1000,"")</x:f>
        <x:v>60000</x:v>
      </x:c>
      <x:c r="C71" s="76" t="n">
        <x:f>IF(A71,E41*L23,"")</x:f>
        <x:v>30</x:v>
      </x:c>
      <x:c r="D71" s="76" t="n">
        <x:f>IF(A71,M101,"")</x:f>
        <x:v>216.45167541503906</x:v>
      </x:c>
      <x:c r="E71" s="76" t="n">
        <x:f>IF(A71,B23/C23,"")</x:f>
        <x:v>4</x:v>
      </x:c>
      <x:c r="F71" s="76" t="n">
        <x:f>IF(A71,B23/D23,"")</x:f>
        <x:v>4</x:v>
      </x:c>
      <x:c r="G71" s="76" t="n">
        <x:f>IF(A71,$F$5*E71*$B$5*60000/B71,"")</x:f>
        <x:v>64</x:v>
      </x:c>
      <x:c r="H71" s="76" t="n">
        <x:f>IF(A71,G71/($J$5*F71),"")</x:f>
        <x:v>16</x:v>
      </x:c>
      <x:c r="I71" s="76" t="n">
        <x:f>IF(A71,$B$5*D71/C23/$B$9,"")</x:f>
        <x:v>432.9033508300781</x:v>
      </x:c>
      <x:c r="J71" s="76" t="n">
        <x:f>IF(A71,I71*$F$5/$J$5,"")</x:f>
        <x:v>432.9033508300781</x:v>
      </x:c>
      <x:c r="K71" s="76" t="n">
        <x:f>IF(A71,MAX(I71,J71)*2^30/(J23*1e6),"")</x:f>
        <x:v>96.83884032</x:v>
      </x:c>
      <x:c r="L71" s="76" t="n">
        <x:f>IF(A71,B71/$B$9,"")</x:f>
        <x:v>60000</x:v>
      </x:c>
      <x:c r="M71" s="77" t="n">
        <x:f>IF(A71,K71/L71,"")</x:f>
        <x:v>0.001613980672</x:v>
      </x:c>
      <x:c r="N71" s="76" t="n">
        <x:f>IF(A71,(E23*ROUNDUP(K23/D23,0)*G23*(B23-1)/B23*(ROUNDUP((ROUNDUP(F23*2/32,0)*32+32)/480,0)*512+F23*2+32)+E23*ROUNDUP(H23/B23,0)*(B23-1)*32)/1e9,"")</x:f>
        <x:v>0.68082944</x:v>
      </x:c>
      <x:c r="O71" s="76" t="n">
        <x:f>IF(A71,N71*1000/I23,"")</x:f>
        <x:v>0.14183946666666666</x:v>
      </x:c>
      <x:c r="P71" s="76" t="n">
        <x:f>IF(A71,O71/E23,"")</x:f>
        <x:v>0.0015417333333333334</x:v>
      </x:c>
      <x:c r="Q71" s="76" t="n">
        <x:f>IF(A71,N71*1000/C71,"")</x:f>
        <x:v>22.694314666666667</x:v>
      </x:c>
      <x:c r="R71" s="76" t="n">
        <x:f>IF(W71="估算",IF(OR(K71=0,O71=0),0,1-((E23-1)*MAX(0,(C71-O71)/E23-(K71))+MAX(0,L71-((E23-1)*C71/E23+P71)-(K71)))/L71),"")</x:f>
        <x:v>0.0021085715849469278</x:v>
      </x:c>
      <x:c r="S71" s="76" t="n">
        <x:f>IF(W71="估算",IF(O71=0,0,MAX(0,1-(1-((E23-1)*MAX(0,(C71-O71)/E23-(L71-K71))+MAX(0,L71-((E23-1)*C71/E23+P71)-(L71-K71)))/L71))),"")</x:f>
        <x:v>0.0011193897590531243</x:v>
      </x:c>
      <x:c r="T71" s="76" t="n">
        <x:f>IF(W71="估算",IF(OR(P71=0,K71=0,$J$7=0),0,IF(P71&lt;=(1-$J$7)*K71,$J$7*P71*K71/(1-$J$7)-$J$7^2*P71^2/(2*(1-$J$7)^2),$J$7*P71*K71+$J$7^2*K71^2/2)/L71),"")</x:f>
        <x:v>2.764806222784684e-7</x:v>
      </x:c>
      <x:c r="U71" s="76" t="n">
        <x:f>IF(A71,60000/C71,"")</x:f>
        <x:v>2000</x:v>
      </x:c>
      <x:c r="V71" s="76" t="n">
        <x:f>IF(W71="估算",U71*E23*T71*M23*N23,"")</x:f>
        <x:v>0.05087243449923819</x:v>
      </x:c>
      <x:c r="W71" s="76" t="str">
        <x:f>IF(NOT(A71),"输入无效",IF(K71&gt;=L71,"KV 超载",IF(O71&gt;C71+1e-9,"TPOT 不自洽",IF(OR(C71&gt;L71,P71&gt;L71-K71),"需时序仿真","估算"))))</x:f>
        <x:v>估算</x:v>
      </x:c>
      <x:c r="X71" s="76" t="n">
        <x:f>IF(W71="估算",U71*M71,"")</x:f>
        <x:v>3.227961344</x:v>
      </x:c>
    </x:row>
    <x:row r="72" ht="22" customHeight="1">
      <x:c r="A72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42),D42&gt;0),AND(ISNUMBER(E42),E42&gt;0),MOD($B$5,1)=0,MOD($F$5,1)=0,MOD($J$5,1)=0,MOD($B$9,1)=0,MOD(K24,1)=0,ISNUMBER(C42),C42&gt;=2,MOD(C42,1)=0,OR($N$9=32,$N$9=64,$N$9=128),ISNUMBER($B$11),$B$11&gt;=0,MOD($B$11,1)=0,ISNUMBER($J$7),$J$7&gt;=0,$J$7&lt;1,AND(ISNUMBER(M24),M24&gt;=0,M24&lt;=1),AND(ISNUMBER(N24),N24&gt;=0,N24&lt;=1))</x:f>
        <x:v>1</x:v>
      </x:c>
      <x:c r="B72" s="76" t="n">
        <x:f>IF(A72,D42*1000,"")</x:f>
        <x:v>4000</x:v>
      </x:c>
      <x:c r="C72" s="76" t="n">
        <x:f>IF(A72,E42*L24,"")</x:f>
        <x:v>5</x:v>
      </x:c>
      <x:c r="D72" s="76" t="n">
        <x:f>IF(A72,M93,"")</x:f>
        <x:v>3.8266754150390625</x:v>
      </x:c>
      <x:c r="E72" s="76" t="n">
        <x:f>IF(A72,B24/C24,"")</x:f>
        <x:v>32</x:v>
      </x:c>
      <x:c r="F72" s="76" t="n">
        <x:f>IF(A72,B24/D24,"")</x:f>
        <x:v>32</x:v>
      </x:c>
      <x:c r="G72" s="76" t="n">
        <x:f>IF(A72,$F$5*E72*$B$5*60000/B72,"")</x:f>
        <x:v>7680</x:v>
      </x:c>
      <x:c r="H72" s="76" t="n">
        <x:f>IF(A72,G72/($J$5*F72),"")</x:f>
        <x:v>240</x:v>
      </x:c>
      <x:c r="I72" s="76" t="n">
        <x:f>IF(A72,$B$5*D72/C24/$B$9,"")</x:f>
        <x:v>7.653350830078125</x:v>
      </x:c>
      <x:c r="J72" s="76" t="n">
        <x:f>IF(A72,I72*$F$5/$J$5,"")</x:f>
        <x:v>7.653350830078125</x:v>
      </x:c>
      <x:c r="K72" s="76" t="n">
        <x:f>IF(A72,MAX(I72,J72)*2^30/(J24*1e6),"")</x:f>
        <x:v>1.7120256</x:v>
      </x:c>
      <x:c r="L72" s="76" t="n">
        <x:f>IF(A72,B72/$B$9,"")</x:f>
        <x:v>4000</x:v>
      </x:c>
      <x:c r="M72" s="77" t="n">
        <x:f>IF(A72,K72/L72,"")</x:f>
        <x:v>0.0004280064</x:v>
      </x:c>
      <x:c r="N72" s="76" t="n">
        <x:f>IF(A72,(E24*ROUNDUP(K24/D24,0)*G24*(B24-1)/B24*(ROUNDUP((ROUNDUP(F24*2/32,0)*32+32)/480,0)*512+F24*2+32)+E24*ROUNDUP(H24/B24,0)*(B24-1)*32)/1e9,"")</x:f>
        <x:v>0.70042176</x:v>
      </x:c>
      <x:c r="O72" s="76" t="n">
        <x:f>IF(A72,N72*1000/I24,"")</x:f>
        <x:v>0.1459212</x:v>
      </x:c>
      <x:c r="P72" s="76" t="n">
        <x:f>IF(A72,O72/E24,"")</x:f>
        <x:v>0.0015861</x:v>
      </x:c>
      <x:c r="Q72" s="76" t="n">
        <x:f>IF(A72,N72*1000/C72,"")</x:f>
        <x:v>140.084352</x:v>
      </x:c>
      <x:c r="R72" s="76" t="n">
        <x:f>IF(W72="估算",IF(OR(K72=0,O72=0),0,1-((E24-1)*MAX(0,(C72-O72)/E24-(K72))+MAX(0,L72-((E24-1)*C72/E24+P72)-(K72)))/L72),"")</x:f>
        <x:v>0.0016648159684782282</x:v>
      </x:c>
      <x:c r="S72" s="76" t="n">
        <x:f>IF(W72="估算",IF(O72=0,0,MAX(0,1-(1-((E24-1)*MAX(0,(C72-O72)/E24-(L72-K72))+MAX(0,L72-((E24-1)*C72/E24+P72)-(L72-K72)))/L72))),"")</x:f>
        <x:v>0</x:v>
      </x:c>
      <x:c r="T72" s="76" t="n">
        <x:f>IF(W72="估算",IF(OR(P72=0,K72=0,$J$7=0),0,IF(P72&lt;=(1-$J$7)*K72,$J$7*P72*K72/(1-$J$7)-$J$7^2*P72^2/(2*(1-$J$7)^2),$J$7*P72*K72+$J$7^2*K72^2/2)/L72),"")</x:f>
        <x:v>7.542511228652778e-8</x:v>
      </x:c>
      <x:c r="U72" s="76" t="n">
        <x:f>IF(A72,60000/C72,"")</x:f>
        <x:v>12000</x:v>
      </x:c>
      <x:c r="V72" s="76" t="n">
        <x:f>IF(W72="估算",U72*E24*T72*M24*N24,"")</x:f>
        <x:v>0.08326932396432667</x:v>
      </x:c>
      <x:c r="W72" s="76" t="str">
        <x:f>IF(NOT(A72),"输入无效",IF(K72&gt;=L72,"KV 超载",IF(O72&gt;C72+1e-9,"TPOT 不自洽",IF(OR(C72&gt;L72,P72&gt;L72-K72),"需时序仿真","估算"))))</x:f>
        <x:v>估算</x:v>
      </x:c>
      <x:c r="X72" s="76" t="n">
        <x:f>IF(W72="估算",U72*M72,"")</x:f>
        <x:v>5.1360768</x:v>
      </x:c>
    </x:row>
    <x:row r="73" ht="22" customHeight="1">
      <x:c r="A73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43),D43&gt;0),AND(ISNUMBER(E43),E43&gt;0),MOD($B$5,1)=0,MOD($F$5,1)=0,MOD($J$5,1)=0,MOD($B$9,1)=0,MOD(K24,1)=0,ISNUMBER(C43),C43&gt;=2,MOD(C43,1)=0,OR($N$9=32,$N$9=64,$N$9=128),ISNUMBER($B$11),$B$11&gt;=0,MOD($B$11,1)=0,ISNUMBER($J$7),$J$7&gt;=0,$J$7&lt;1,AND(ISNUMBER(M24),M24&gt;=0,M24&lt;=1),AND(ISNUMBER(N24),N24&gt;=0,N24&lt;=1))</x:f>
        <x:v>1</x:v>
      </x:c>
      <x:c r="B73" s="76" t="n">
        <x:f>IF(A73,D43*1000,"")</x:f>
        <x:v>4000</x:v>
      </x:c>
      <x:c r="C73" s="76" t="n">
        <x:f>IF(A73,E43*L24,"")</x:f>
        <x:v>10</x:v>
      </x:c>
      <x:c r="D73" s="76" t="n">
        <x:f>IF(A73,M93,"")</x:f>
        <x:v>3.8266754150390625</x:v>
      </x:c>
      <x:c r="E73" s="76" t="n">
        <x:f>IF(A73,B24/C24,"")</x:f>
        <x:v>32</x:v>
      </x:c>
      <x:c r="F73" s="76" t="n">
        <x:f>IF(A73,B24/D24,"")</x:f>
        <x:v>32</x:v>
      </x:c>
      <x:c r="G73" s="76" t="n">
        <x:f>IF(A73,$F$5*E73*$B$5*60000/B73,"")</x:f>
        <x:v>7680</x:v>
      </x:c>
      <x:c r="H73" s="76" t="n">
        <x:f>IF(A73,G73/($J$5*F73),"")</x:f>
        <x:v>240</x:v>
      </x:c>
      <x:c r="I73" s="76" t="n">
        <x:f>IF(A73,$B$5*D73/C24/$B$9,"")</x:f>
        <x:v>7.653350830078125</x:v>
      </x:c>
      <x:c r="J73" s="76" t="n">
        <x:f>IF(A73,I73*$F$5/$J$5,"")</x:f>
        <x:v>7.653350830078125</x:v>
      </x:c>
      <x:c r="K73" s="76" t="n">
        <x:f>IF(A73,MAX(I73,J73)*2^30/(J24*1e6),"")</x:f>
        <x:v>1.7120256</x:v>
      </x:c>
      <x:c r="L73" s="76" t="n">
        <x:f>IF(A73,B73/$B$9,"")</x:f>
        <x:v>4000</x:v>
      </x:c>
      <x:c r="M73" s="77" t="n">
        <x:f>IF(A73,K73/L73,"")</x:f>
        <x:v>0.0004280064</x:v>
      </x:c>
      <x:c r="N73" s="76" t="n">
        <x:f>IF(A73,(E24*ROUNDUP(K24/D24,0)*G24*(B24-1)/B24*(ROUNDUP((ROUNDUP(F24*2/32,0)*32+32)/480,0)*512+F24*2+32)+E24*ROUNDUP(H24/B24,0)*(B24-1)*32)/1e9,"")</x:f>
        <x:v>0.70042176</x:v>
      </x:c>
      <x:c r="O73" s="76" t="n">
        <x:f>IF(A73,N73*1000/I24,"")</x:f>
        <x:v>0.1459212</x:v>
      </x:c>
      <x:c r="P73" s="76" t="n">
        <x:f>IF(A73,O73/E24,"")</x:f>
        <x:v>0.0015861</x:v>
      </x:c>
      <x:c r="Q73" s="76" t="n">
        <x:f>IF(A73,N73*1000/C73,"")</x:f>
        <x:v>70.042176</x:v>
      </x:c>
      <x:c r="R73" s="76" t="n">
        <x:f>IF(W73="估算",IF(OR(K73=0,O73=0),0,1-((E24-1)*MAX(0,(C73-O73)/E24-(K73))+MAX(0,L73-((E24-1)*C73/E24+P73)-(K73)))/L73),"")</x:f>
        <x:v>0.002901229011956552</x:v>
      </x:c>
      <x:c r="S73" s="76" t="n">
        <x:f>IF(W73="估算",IF(O73=0,0,MAX(0,1-(1-((E24-1)*MAX(0,(C73-O73)/E24-(L73-K73))+MAX(0,L73-((E24-1)*C73/E24+P73)-(L73-K73)))/L73))),"")</x:f>
        <x:v>0</x:v>
      </x:c>
      <x:c r="T73" s="76" t="n">
        <x:f>IF(W73="估算",IF(OR(P73=0,K73=0,$J$7=0),0,IF(P73&lt;=(1-$J$7)*K73,$J$7*P73*K73/(1-$J$7)-$J$7^2*P73^2/(2*(1-$J$7)^2),$J$7*P73*K73+$J$7^2*K73^2/2)/L73),"")</x:f>
        <x:v>7.542511228652778e-8</x:v>
      </x:c>
      <x:c r="U73" s="76" t="n">
        <x:f>IF(A73,60000/C73,"")</x:f>
        <x:v>6000</x:v>
      </x:c>
      <x:c r="V73" s="76" t="n">
        <x:f>IF(W73="估算",U73*E24*T73*M24*N24,"")</x:f>
        <x:v>0.04163466198216333</x:v>
      </x:c>
      <x:c r="W73" s="76" t="str">
        <x:f>IF(NOT(A73),"输入无效",IF(K73&gt;=L73,"KV 超载",IF(O73&gt;C73+1e-9,"TPOT 不自洽",IF(OR(C73&gt;L73,P73&gt;L73-K73),"需时序仿真","估算"))))</x:f>
        <x:v>估算</x:v>
      </x:c>
      <x:c r="X73" s="76" t="n">
        <x:f>IF(W73="估算",U73*M73,"")</x:f>
        <x:v>2.5680384</x:v>
      </x:c>
    </x:row>
    <x:row r="74" ht="22" customHeight="1">
      <x:c r="A74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44),D44&gt;0),AND(ISNUMBER(E44),E44&gt;0),MOD($B$5,1)=0,MOD($F$5,1)=0,MOD($J$5,1)=0,MOD($B$9,1)=0,MOD(K24,1)=0,ISNUMBER(C44),C44&gt;=2,MOD(C44,1)=0,OR($N$9=32,$N$9=64,$N$9=128),ISNUMBER($B$11),$B$11&gt;=0,MOD($B$11,1)=0,ISNUMBER($J$7),$J$7&gt;=0,$J$7&lt;1,AND(ISNUMBER(M24),M24&gt;=0,M24&lt;=1),AND(ISNUMBER(N24),N24&gt;=0,N24&lt;=1))</x:f>
        <x:v>1</x:v>
      </x:c>
      <x:c r="B74" s="76" t="n">
        <x:f>IF(A74,D44*1000,"")</x:f>
        <x:v>4000</x:v>
      </x:c>
      <x:c r="C74" s="76" t="n">
        <x:f>IF(A74,E44*L24,"")</x:f>
        <x:v>20</x:v>
      </x:c>
      <x:c r="D74" s="76" t="n">
        <x:f>IF(A74,M93,"")</x:f>
        <x:v>3.8266754150390625</x:v>
      </x:c>
      <x:c r="E74" s="76" t="n">
        <x:f>IF(A74,B24/C24,"")</x:f>
        <x:v>32</x:v>
      </x:c>
      <x:c r="F74" s="76" t="n">
        <x:f>IF(A74,B24/D24,"")</x:f>
        <x:v>32</x:v>
      </x:c>
      <x:c r="G74" s="76" t="n">
        <x:f>IF(A74,$F$5*E74*$B$5*60000/B74,"")</x:f>
        <x:v>7680</x:v>
      </x:c>
      <x:c r="H74" s="76" t="n">
        <x:f>IF(A74,G74/($J$5*F74),"")</x:f>
        <x:v>240</x:v>
      </x:c>
      <x:c r="I74" s="76" t="n">
        <x:f>IF(A74,$B$5*D74/C24/$B$9,"")</x:f>
        <x:v>7.653350830078125</x:v>
      </x:c>
      <x:c r="J74" s="76" t="n">
        <x:f>IF(A74,I74*$F$5/$J$5,"")</x:f>
        <x:v>7.653350830078125</x:v>
      </x:c>
      <x:c r="K74" s="76" t="n">
        <x:f>IF(A74,MAX(I74,J74)*2^30/(J24*1e6),"")</x:f>
        <x:v>1.7120256</x:v>
      </x:c>
      <x:c r="L74" s="76" t="n">
        <x:f>IF(A74,B74/$B$9,"")</x:f>
        <x:v>4000</x:v>
      </x:c>
      <x:c r="M74" s="77" t="n">
        <x:f>IF(A74,K74/L74,"")</x:f>
        <x:v>0.0004280064</x:v>
      </x:c>
      <x:c r="N74" s="76" t="n">
        <x:f>IF(A74,(E24*ROUNDUP(K24/D24,0)*G24*(B24-1)/B24*(ROUNDUP((ROUNDUP(F24*2/32,0)*32+32)/480,0)*512+F24*2+32)+E24*ROUNDUP(H24/B24,0)*(B24-1)*32)/1e9,"")</x:f>
        <x:v>0.70042176</x:v>
      </x:c>
      <x:c r="O74" s="76" t="n">
        <x:f>IF(A74,N74*1000/I24,"")</x:f>
        <x:v>0.1459212</x:v>
      </x:c>
      <x:c r="P74" s="76" t="n">
        <x:f>IF(A74,O74/E24,"")</x:f>
        <x:v>0.0015861</x:v>
      </x:c>
      <x:c r="Q74" s="76" t="n">
        <x:f>IF(A74,N74*1000/C74,"")</x:f>
        <x:v>35.021088</x:v>
      </x:c>
      <x:c r="R74" s="76" t="n">
        <x:f>IF(W74="估算",IF(OR(K74=0,O74=0),0,1-((E24-1)*MAX(0,(C74-O74)/E24-(K74))+MAX(0,L74-((E24-1)*C74/E24+P74)-(K74)))/L74),"")</x:f>
        <x:v>0.005374055098912978</x:v>
      </x:c>
      <x:c r="S74" s="76" t="n">
        <x:f>IF(W74="估算",IF(O74=0,0,MAX(0,1-(1-((E24-1)*MAX(0,(C74-O74)/E24-(L74-K74))+MAX(0,L74-((E24-1)*C74/E24+P74)-(L74-K74)))/L74))),"")</x:f>
        <x:v>0</x:v>
      </x:c>
      <x:c r="T74" s="76" t="n">
        <x:f>IF(W74="估算",IF(OR(P74=0,K74=0,$J$7=0),0,IF(P74&lt;=(1-$J$7)*K74,$J$7*P74*K74/(1-$J$7)-$J$7^2*P74^2/(2*(1-$J$7)^2),$J$7*P74*K74+$J$7^2*K74^2/2)/L74),"")</x:f>
        <x:v>7.542511228652778e-8</x:v>
      </x:c>
      <x:c r="U74" s="76" t="n">
        <x:f>IF(A74,60000/C74,"")</x:f>
        <x:v>3000</x:v>
      </x:c>
      <x:c r="V74" s="76" t="n">
        <x:f>IF(W74="估算",U74*E24*T74*M24*N24,"")</x:f>
        <x:v>0.020817330991081667</x:v>
      </x:c>
      <x:c r="W74" s="76" t="str">
        <x:f>IF(NOT(A74),"输入无效",IF(K74&gt;=L74,"KV 超载",IF(O74&gt;C74+1e-9,"TPOT 不自洽",IF(OR(C74&gt;L74,P74&gt;L74-K74),"需时序仿真","估算"))))</x:f>
        <x:v>估算</x:v>
      </x:c>
      <x:c r="X74" s="76" t="n">
        <x:f>IF(W74="估算",U74*M74,"")</x:f>
        <x:v>1.2840192</x:v>
      </x:c>
    </x:row>
    <x:row r="75" ht="22" customHeight="1">
      <x:c r="A75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45),D45&gt;0),AND(ISNUMBER(E45),E45&gt;0),MOD($B$5,1)=0,MOD($F$5,1)=0,MOD($J$5,1)=0,MOD($B$9,1)=0,MOD(K24,1)=0,ISNUMBER(C45),C45&gt;=2,MOD(C45,1)=0,OR($N$9=32,$N$9=64,$N$9=128),ISNUMBER($B$11),$B$11&gt;=0,MOD($B$11,1)=0,ISNUMBER($J$7),$J$7&gt;=0,$J$7&lt;1,AND(ISNUMBER(M24),M24&gt;=0,M24&lt;=1),AND(ISNUMBER(N24),N24&gt;=0,N24&lt;=1))</x:f>
        <x:v>1</x:v>
      </x:c>
      <x:c r="B75" s="76" t="n">
        <x:f>IF(A75,D45*1000,"")</x:f>
        <x:v>4000</x:v>
      </x:c>
      <x:c r="C75" s="76" t="n">
        <x:f>IF(A75,E45*L24,"")</x:f>
        <x:v>30</x:v>
      </x:c>
      <x:c r="D75" s="76" t="n">
        <x:f>IF(A75,M93,"")</x:f>
        <x:v>3.8266754150390625</x:v>
      </x:c>
      <x:c r="E75" s="76" t="n">
        <x:f>IF(A75,B24/C24,"")</x:f>
        <x:v>32</x:v>
      </x:c>
      <x:c r="F75" s="76" t="n">
        <x:f>IF(A75,B24/D24,"")</x:f>
        <x:v>32</x:v>
      </x:c>
      <x:c r="G75" s="76" t="n">
        <x:f>IF(A75,$F$5*E75*$B$5*60000/B75,"")</x:f>
        <x:v>7680</x:v>
      </x:c>
      <x:c r="H75" s="76" t="n">
        <x:f>IF(A75,G75/($J$5*F75),"")</x:f>
        <x:v>240</x:v>
      </x:c>
      <x:c r="I75" s="76" t="n">
        <x:f>IF(A75,$B$5*D75/C24/$B$9,"")</x:f>
        <x:v>7.653350830078125</x:v>
      </x:c>
      <x:c r="J75" s="76" t="n">
        <x:f>IF(A75,I75*$F$5/$J$5,"")</x:f>
        <x:v>7.653350830078125</x:v>
      </x:c>
      <x:c r="K75" s="76" t="n">
        <x:f>IF(A75,MAX(I75,J75)*2^30/(J24*1e6),"")</x:f>
        <x:v>1.7120256</x:v>
      </x:c>
      <x:c r="L75" s="76" t="n">
        <x:f>IF(A75,B75/$B$9,"")</x:f>
        <x:v>4000</x:v>
      </x:c>
      <x:c r="M75" s="77" t="n">
        <x:f>IF(A75,K75/L75,"")</x:f>
        <x:v>0.0004280064</x:v>
      </x:c>
      <x:c r="N75" s="76" t="n">
        <x:f>IF(A75,(E24*ROUNDUP(K24/D24,0)*G24*(B24-1)/B24*(ROUNDUP((ROUNDUP(F24*2/32,0)*32+32)/480,0)*512+F24*2+32)+E24*ROUNDUP(H24/B24,0)*(B24-1)*32)/1e9,"")</x:f>
        <x:v>0.70042176</x:v>
      </x:c>
      <x:c r="O75" s="76" t="n">
        <x:f>IF(A75,N75*1000/I24,"")</x:f>
        <x:v>0.1459212</x:v>
      </x:c>
      <x:c r="P75" s="76" t="n">
        <x:f>IF(A75,O75/E24,"")</x:f>
        <x:v>0.0015861</x:v>
      </x:c>
      <x:c r="Q75" s="76" t="n">
        <x:f>IF(A75,N75*1000/C75,"")</x:f>
        <x:v>23.347392</x:v>
      </x:c>
      <x:c r="R75" s="76" t="n">
        <x:f>IF(W75="估算",IF(OR(K75=0,O75=0),0,1-((E24-1)*MAX(0,(C75-O75)/E24-(K75))+MAX(0,L75-((E24-1)*C75/E24+P75)-(K75)))/L75),"")</x:f>
        <x:v>0.007846881185869514</x:v>
      </x:c>
      <x:c r="S75" s="76" t="n">
        <x:f>IF(W75="估算",IF(O75=0,0,MAX(0,1-(1-((E24-1)*MAX(0,(C75-O75)/E24-(L75-K75))+MAX(0,L75-((E24-1)*C75/E24+P75)-(L75-K75)))/L75))),"")</x:f>
        <x:v>0</x:v>
      </x:c>
      <x:c r="T75" s="76" t="n">
        <x:f>IF(W75="估算",IF(OR(P75=0,K75=0,$J$7=0),0,IF(P75&lt;=(1-$J$7)*K75,$J$7*P75*K75/(1-$J$7)-$J$7^2*P75^2/(2*(1-$J$7)^2),$J$7*P75*K75+$J$7^2*K75^2/2)/L75),"")</x:f>
        <x:v>7.542511228652778e-8</x:v>
      </x:c>
      <x:c r="U75" s="76" t="n">
        <x:f>IF(A75,60000/C75,"")</x:f>
        <x:v>2000</x:v>
      </x:c>
      <x:c r="V75" s="76" t="n">
        <x:f>IF(W75="估算",U75*E24*T75*M24*N24,"")</x:f>
        <x:v>0.013878220660721112</x:v>
      </x:c>
      <x:c r="W75" s="76" t="str">
        <x:f>IF(NOT(A75),"输入无效",IF(K75&gt;=L75,"KV 超载",IF(O75&gt;C75+1e-9,"TPOT 不自洽",IF(OR(C75&gt;L75,P75&gt;L75-K75),"需时序仿真","估算"))))</x:f>
        <x:v>估算</x:v>
      </x:c>
      <x:c r="X75" s="76" t="n">
        <x:f>IF(W75="估算",U75*M75,"")</x:f>
        <x:v>0.8560128</x:v>
      </x:c>
    </x:row>
    <x:row r="76" ht="22" customHeight="1">
      <x:c r="A76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46),D46&gt;0),AND(ISNUMBER(E46),E46&gt;0),MOD($B$5,1)=0,MOD($F$5,1)=0,MOD($J$5,1)=0,MOD($B$9,1)=0,MOD(K24,1)=0,ISNUMBER(C46),C46&gt;=2,MOD(C46,1)=0,OR($N$9=32,$N$9=64,$N$9=128),ISNUMBER($B$11),$B$11&gt;=0,MOD($B$11,1)=0,ISNUMBER($J$7),$J$7&gt;=0,$J$7&lt;1,AND(ISNUMBER(M24),M24&gt;=0,M24&lt;=1),AND(ISNUMBER(N24),N24&gt;=0,N24&lt;=1))</x:f>
        <x:v>1</x:v>
      </x:c>
      <x:c r="B76" s="76" t="n">
        <x:f>IF(A76,D46*1000,"")</x:f>
        <x:v>20000</x:v>
      </x:c>
      <x:c r="C76" s="76" t="n">
        <x:f>IF(A76,E46*L24,"")</x:f>
        <x:v>5</x:v>
      </x:c>
      <x:c r="D76" s="76" t="n">
        <x:f>IF(A76,M97,"")</x:f>
        <x:v>54.45167541503906</x:v>
      </x:c>
      <x:c r="E76" s="76" t="n">
        <x:f>IF(A76,B24/C24,"")</x:f>
        <x:v>32</x:v>
      </x:c>
      <x:c r="F76" s="76" t="n">
        <x:f>IF(A76,B24/D24,"")</x:f>
        <x:v>32</x:v>
      </x:c>
      <x:c r="G76" s="76" t="n">
        <x:f>IF(A76,$F$5*E76*$B$5*60000/B76,"")</x:f>
        <x:v>1536</x:v>
      </x:c>
      <x:c r="H76" s="76" t="n">
        <x:f>IF(A76,G76/($J$5*F76),"")</x:f>
        <x:v>48</x:v>
      </x:c>
      <x:c r="I76" s="76" t="n">
        <x:f>IF(A76,$B$5*D76/C24/$B$9,"")</x:f>
        <x:v>108.90335083007812</x:v>
      </x:c>
      <x:c r="J76" s="76" t="n">
        <x:f>IF(A76,I76*$F$5/$J$5,"")</x:f>
        <x:v>108.90335083007812</x:v>
      </x:c>
      <x:c r="K76" s="76" t="n">
        <x:f>IF(A76,MAX(I76,J76)*2^30/(J24*1e6),"")</x:f>
        <x:v>24.3612672</x:v>
      </x:c>
      <x:c r="L76" s="76" t="n">
        <x:f>IF(A76,B76/$B$9,"")</x:f>
        <x:v>20000</x:v>
      </x:c>
      <x:c r="M76" s="77" t="n">
        <x:f>IF(A76,K76/L76,"")</x:f>
        <x:v>0.00121806336</x:v>
      </x:c>
      <x:c r="N76" s="76" t="n">
        <x:f>IF(A76,(E24*ROUNDUP(K24/D24,0)*G24*(B24-1)/B24*(ROUNDUP((ROUNDUP(F24*2/32,0)*32+32)/480,0)*512+F24*2+32)+E24*ROUNDUP(H24/B24,0)*(B24-1)*32)/1e9,"")</x:f>
        <x:v>0.70042176</x:v>
      </x:c>
      <x:c r="O76" s="76" t="n">
        <x:f>IF(A76,N76*1000/I24,"")</x:f>
        <x:v>0.1459212</x:v>
      </x:c>
      <x:c r="P76" s="76" t="n">
        <x:f>IF(A76,O76/E24,"")</x:f>
        <x:v>0.0015861</x:v>
      </x:c>
      <x:c r="Q76" s="76" t="n">
        <x:f>IF(A76,N76*1000/C76,"")</x:f>
        <x:v>140.084352</x:v>
      </x:c>
      <x:c r="R76" s="76" t="n">
        <x:f>IF(W76="估算",IF(OR(K76=0,O76=0),0,1-((E24-1)*MAX(0,(C76-O76)/E24-(K76))+MAX(0,L76-((E24-1)*C76/E24+P76)-(K76)))/L76),"")</x:f>
        <x:v>0.001465425273695642</x:v>
      </x:c>
      <x:c r="S76" s="76" t="n">
        <x:f>IF(W76="估算",IF(O76=0,0,MAX(0,1-(1-((E24-1)*MAX(0,(C76-O76)/E24-(L76-K76))+MAX(0,L76-((E24-1)*C76/E24+P76)-(L76-K76)))/L76))),"")</x:f>
        <x:v>0.0009707014463045116</x:v>
      </x:c>
      <x:c r="T76" s="76" t="n">
        <x:f>IF(W76="估算",IF(OR(P76=0,K76=0,$J$7=0),0,IF(P76&lt;=(1-$J$7)*K76,$J$7*P76*K76/(1-$J$7)-$J$7^2*P76^2/(2*(1-$J$7)^2),$J$7*P76*K76+$J$7^2*K76^2/2)/L76),"")</x:f>
        <x:v>2.1466258968930553e-7</x:v>
      </x:c>
      <x:c r="U76" s="76" t="n">
        <x:f>IF(A76,60000/C76,"")</x:f>
        <x:v>12000</x:v>
      </x:c>
      <x:c r="V76" s="76" t="n">
        <x:f>IF(W76="估算",U76*E24*T76*M24*N24,"")</x:f>
        <x:v>0.23698749901699329</x:v>
      </x:c>
      <x:c r="W76" s="76" t="str">
        <x:f>IF(NOT(A76),"输入无效",IF(K76&gt;=L76,"KV 超载",IF(O76&gt;C76+1e-9,"TPOT 不自洽",IF(OR(C76&gt;L76,P76&gt;L76-K76),"需时序仿真","估算"))))</x:f>
        <x:v>估算</x:v>
      </x:c>
      <x:c r="X76" s="76" t="n">
        <x:f>IF(W76="估算",U76*M76,"")</x:f>
        <x:v>14.61676032</x:v>
      </x:c>
    </x:row>
    <x:row r="77" ht="22" customHeight="1">
      <x:c r="A77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47),D47&gt;0),AND(ISNUMBER(E47),E47&gt;0),MOD($B$5,1)=0,MOD($F$5,1)=0,MOD($J$5,1)=0,MOD($B$9,1)=0,MOD(K24,1)=0,ISNUMBER(C47),C47&gt;=2,MOD(C47,1)=0,OR($N$9=32,$N$9=64,$N$9=128),ISNUMBER($B$11),$B$11&gt;=0,MOD($B$11,1)=0,ISNUMBER($J$7),$J$7&gt;=0,$J$7&lt;1,AND(ISNUMBER(M24),M24&gt;=0,M24&lt;=1),AND(ISNUMBER(N24),N24&gt;=0,N24&lt;=1))</x:f>
        <x:v>1</x:v>
      </x:c>
      <x:c r="B77" s="76" t="n">
        <x:f>IF(A77,D47*1000,"")</x:f>
        <x:v>20000</x:v>
      </x:c>
      <x:c r="C77" s="76" t="n">
        <x:f>IF(A77,E47*L24,"")</x:f>
        <x:v>10</x:v>
      </x:c>
      <x:c r="D77" s="76" t="n">
        <x:f>IF(A77,M97,"")</x:f>
        <x:v>54.45167541503906</x:v>
      </x:c>
      <x:c r="E77" s="76" t="n">
        <x:f>IF(A77,B24/C24,"")</x:f>
        <x:v>32</x:v>
      </x:c>
      <x:c r="F77" s="76" t="n">
        <x:f>IF(A77,B24/D24,"")</x:f>
        <x:v>32</x:v>
      </x:c>
      <x:c r="G77" s="76" t="n">
        <x:f>IF(A77,$F$5*E77*$B$5*60000/B77,"")</x:f>
        <x:v>1536</x:v>
      </x:c>
      <x:c r="H77" s="76" t="n">
        <x:f>IF(A77,G77/($J$5*F77),"")</x:f>
        <x:v>48</x:v>
      </x:c>
      <x:c r="I77" s="76" t="n">
        <x:f>IF(A77,$B$5*D77/C24/$B$9,"")</x:f>
        <x:v>108.90335083007812</x:v>
      </x:c>
      <x:c r="J77" s="76" t="n">
        <x:f>IF(A77,I77*$F$5/$J$5,"")</x:f>
        <x:v>108.90335083007812</x:v>
      </x:c>
      <x:c r="K77" s="76" t="n">
        <x:f>IF(A77,MAX(I77,J77)*2^30/(J24*1e6),"")</x:f>
        <x:v>24.3612672</x:v>
      </x:c>
      <x:c r="L77" s="76" t="n">
        <x:f>IF(A77,B77/$B$9,"")</x:f>
        <x:v>20000</x:v>
      </x:c>
      <x:c r="M77" s="77" t="n">
        <x:f>IF(A77,K77/L77,"")</x:f>
        <x:v>0.00121806336</x:v>
      </x:c>
      <x:c r="N77" s="76" t="n">
        <x:f>IF(A77,(E24*ROUNDUP(K24/D24,0)*G24*(B24-1)/B24*(ROUNDUP((ROUNDUP(F24*2/32,0)*32+32)/480,0)*512+F24*2+32)+E24*ROUNDUP(H24/B24,0)*(B24-1)*32)/1e9,"")</x:f>
        <x:v>0.70042176</x:v>
      </x:c>
      <x:c r="O77" s="76" t="n">
        <x:f>IF(A77,N77*1000/I24,"")</x:f>
        <x:v>0.1459212</x:v>
      </x:c>
      <x:c r="P77" s="76" t="n">
        <x:f>IF(A77,O77/E24,"")</x:f>
        <x:v>0.0015861</x:v>
      </x:c>
      <x:c r="Q77" s="76" t="n">
        <x:f>IF(A77,N77*1000/C77,"")</x:f>
        <x:v>70.042176</x:v>
      </x:c>
      <x:c r="R77" s="76" t="n">
        <x:f>IF(W77="估算",IF(OR(K77=0,O77=0),0,1-((E24-1)*MAX(0,(C77-O77)/E24-(K77))+MAX(0,L77-((E24-1)*C77/E24+P77)-(K77)))/L77),"")</x:f>
        <x:v>0.0017127078823914177</x:v>
      </x:c>
      <x:c r="S77" s="76" t="n">
        <x:f>IF(W77="估算",IF(O77=0,0,MAX(0,1-(1-((E24-1)*MAX(0,(C77-O77)/E24-(L77-K77))+MAX(0,L77-((E24-1)*C77/E24+P77)-(L77-K77)))/L77))),"")</x:f>
        <x:v>0.0007234188376087358</x:v>
      </x:c>
      <x:c r="T77" s="76" t="n">
        <x:f>IF(W77="估算",IF(OR(P77=0,K77=0,$J$7=0),0,IF(P77&lt;=(1-$J$7)*K77,$J$7*P77*K77/(1-$J$7)-$J$7^2*P77^2/(2*(1-$J$7)^2),$J$7*P77*K77+$J$7^2*K77^2/2)/L77),"")</x:f>
        <x:v>2.1466258968930553e-7</x:v>
      </x:c>
      <x:c r="U77" s="76" t="n">
        <x:f>IF(A77,60000/C77,"")</x:f>
        <x:v>6000</x:v>
      </x:c>
      <x:c r="V77" s="76" t="n">
        <x:f>IF(W77="估算",U77*E24*T77*M24*N24,"")</x:f>
        <x:v>0.11849374950849664</x:v>
      </x:c>
      <x:c r="W77" s="76" t="str">
        <x:f>IF(NOT(A77),"输入无效",IF(K77&gt;=L77,"KV 超载",IF(O77&gt;C77+1e-9,"TPOT 不自洽",IF(OR(C77&gt;L77,P77&gt;L77-K77),"需时序仿真","估算"))))</x:f>
        <x:v>估算</x:v>
      </x:c>
      <x:c r="X77" s="76" t="n">
        <x:f>IF(W77="估算",U77*M77,"")</x:f>
        <x:v>7.30838016</x:v>
      </x:c>
    </x:row>
    <x:row r="78" ht="22" customHeight="1">
      <x:c r="A78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48),D48&gt;0),AND(ISNUMBER(E48),E48&gt;0),MOD($B$5,1)=0,MOD($F$5,1)=0,MOD($J$5,1)=0,MOD($B$9,1)=0,MOD(K24,1)=0,ISNUMBER(C48),C48&gt;=2,MOD(C48,1)=0,OR($N$9=32,$N$9=64,$N$9=128),ISNUMBER($B$11),$B$11&gt;=0,MOD($B$11,1)=0,ISNUMBER($J$7),$J$7&gt;=0,$J$7&lt;1,AND(ISNUMBER(M24),M24&gt;=0,M24&lt;=1),AND(ISNUMBER(N24),N24&gt;=0,N24&lt;=1))</x:f>
        <x:v>1</x:v>
      </x:c>
      <x:c r="B78" s="76" t="n">
        <x:f>IF(A78,D48*1000,"")</x:f>
        <x:v>20000</x:v>
      </x:c>
      <x:c r="C78" s="76" t="n">
        <x:f>IF(A78,E48*L24,"")</x:f>
        <x:v>20</x:v>
      </x:c>
      <x:c r="D78" s="76" t="n">
        <x:f>IF(A78,M97,"")</x:f>
        <x:v>54.45167541503906</x:v>
      </x:c>
      <x:c r="E78" s="76" t="n">
        <x:f>IF(A78,B24/C24,"")</x:f>
        <x:v>32</x:v>
      </x:c>
      <x:c r="F78" s="76" t="n">
        <x:f>IF(A78,B24/D24,"")</x:f>
        <x:v>32</x:v>
      </x:c>
      <x:c r="G78" s="76" t="n">
        <x:f>IF(A78,$F$5*E78*$B$5*60000/B78,"")</x:f>
        <x:v>1536</x:v>
      </x:c>
      <x:c r="H78" s="76" t="n">
        <x:f>IF(A78,G78/($J$5*F78),"")</x:f>
        <x:v>48</x:v>
      </x:c>
      <x:c r="I78" s="76" t="n">
        <x:f>IF(A78,$B$5*D78/C24/$B$9,"")</x:f>
        <x:v>108.90335083007812</x:v>
      </x:c>
      <x:c r="J78" s="76" t="n">
        <x:f>IF(A78,I78*$F$5/$J$5,"")</x:f>
        <x:v>108.90335083007812</x:v>
      </x:c>
      <x:c r="K78" s="76" t="n">
        <x:f>IF(A78,MAX(I78,J78)*2^30/(J24*1e6),"")</x:f>
        <x:v>24.3612672</x:v>
      </x:c>
      <x:c r="L78" s="76" t="n">
        <x:f>IF(A78,B78/$B$9,"")</x:f>
        <x:v>20000</x:v>
      </x:c>
      <x:c r="M78" s="77" t="n">
        <x:f>IF(A78,K78/L78,"")</x:f>
        <x:v>0.00121806336</x:v>
      </x:c>
      <x:c r="N78" s="76" t="n">
        <x:f>IF(A78,(E24*ROUNDUP(K24/D24,0)*G24*(B24-1)/B24*(ROUNDUP((ROUNDUP(F24*2/32,0)*32+32)/480,0)*512+F24*2+32)+E24*ROUNDUP(H24/B24,0)*(B24-1)*32)/1e9,"")</x:f>
        <x:v>0.70042176</x:v>
      </x:c>
      <x:c r="O78" s="76" t="n">
        <x:f>IF(A78,N78*1000/I24,"")</x:f>
        <x:v>0.1459212</x:v>
      </x:c>
      <x:c r="P78" s="76" t="n">
        <x:f>IF(A78,O78/E24,"")</x:f>
        <x:v>0.0015861</x:v>
      </x:c>
      <x:c r="Q78" s="76" t="n">
        <x:f>IF(A78,N78*1000/C78,"")</x:f>
        <x:v>35.021088</x:v>
      </x:c>
      <x:c r="R78" s="76" t="n">
        <x:f>IF(W78="估算",IF(OR(K78=0,O78=0),0,1-((E24-1)*MAX(0,(C78-O78)/E24-(K78))+MAX(0,L78-((E24-1)*C78/E24+P78)-(K78)))/L78),"")</x:f>
        <x:v>0.002207273099782636</x:v>
      </x:c>
      <x:c r="S78" s="76" t="n">
        <x:f>IF(W78="估算",IF(O78=0,0,MAX(0,1-(1-((E24-1)*MAX(0,(C78-O78)/E24-(L78-K78))+MAX(0,L78-((E24-1)*C78/E24+P78)-(L78-K78)))/L78))),"")</x:f>
        <x:v>0.00022885362021751732</x:v>
      </x:c>
      <x:c r="T78" s="76" t="n">
        <x:f>IF(W78="估算",IF(OR(P78=0,K78=0,$J$7=0),0,IF(P78&lt;=(1-$J$7)*K78,$J$7*P78*K78/(1-$J$7)-$J$7^2*P78^2/(2*(1-$J$7)^2),$J$7*P78*K78+$J$7^2*K78^2/2)/L78),"")</x:f>
        <x:v>2.1466258968930553e-7</x:v>
      </x:c>
      <x:c r="U78" s="76" t="n">
        <x:f>IF(A78,60000/C78,"")</x:f>
        <x:v>3000</x:v>
      </x:c>
      <x:c r="V78" s="76" t="n">
        <x:f>IF(W78="估算",U78*E24*T78*M24*N24,"")</x:f>
        <x:v>0.05924687475424832</x:v>
      </x:c>
      <x:c r="W78" s="76" t="str">
        <x:f>IF(NOT(A78),"输入无效",IF(K78&gt;=L78,"KV 超载",IF(O78&gt;C78+1e-9,"TPOT 不自洽",IF(OR(C78&gt;L78,P78&gt;L78-K78),"需时序仿真","估算"))))</x:f>
        <x:v>估算</x:v>
      </x:c>
      <x:c r="X78" s="76" t="n">
        <x:f>IF(W78="估算",U78*M78,"")</x:f>
        <x:v>3.65419008</x:v>
      </x:c>
    </x:row>
    <x:row r="79" ht="22" customHeight="1">
      <x:c r="A79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49),D49&gt;0),AND(ISNUMBER(E49),E49&gt;0),MOD($B$5,1)=0,MOD($F$5,1)=0,MOD($J$5,1)=0,MOD($B$9,1)=0,MOD(K24,1)=0,ISNUMBER(C49),C49&gt;=2,MOD(C49,1)=0,OR($N$9=32,$N$9=64,$N$9=128),ISNUMBER($B$11),$B$11&gt;=0,MOD($B$11,1)=0,ISNUMBER($J$7),$J$7&gt;=0,$J$7&lt;1,AND(ISNUMBER(M24),M24&gt;=0,M24&lt;=1),AND(ISNUMBER(N24),N24&gt;=0,N24&lt;=1))</x:f>
        <x:v>1</x:v>
      </x:c>
      <x:c r="B79" s="76" t="n">
        <x:f>IF(A79,D49*1000,"")</x:f>
        <x:v>20000</x:v>
      </x:c>
      <x:c r="C79" s="76" t="n">
        <x:f>IF(A79,E49*L24,"")</x:f>
        <x:v>30</x:v>
      </x:c>
      <x:c r="D79" s="76" t="n">
        <x:f>IF(A79,M97,"")</x:f>
        <x:v>54.45167541503906</x:v>
      </x:c>
      <x:c r="E79" s="76" t="n">
        <x:f>IF(A79,B24/C24,"")</x:f>
        <x:v>32</x:v>
      </x:c>
      <x:c r="F79" s="76" t="n">
        <x:f>IF(A79,B24/D24,"")</x:f>
        <x:v>32</x:v>
      </x:c>
      <x:c r="G79" s="76" t="n">
        <x:f>IF(A79,$F$5*E79*$B$5*60000/B79,"")</x:f>
        <x:v>1536</x:v>
      </x:c>
      <x:c r="H79" s="76" t="n">
        <x:f>IF(A79,G79/($J$5*F79),"")</x:f>
        <x:v>48</x:v>
      </x:c>
      <x:c r="I79" s="76" t="n">
        <x:f>IF(A79,$B$5*D79/C24/$B$9,"")</x:f>
        <x:v>108.90335083007812</x:v>
      </x:c>
      <x:c r="J79" s="76" t="n">
        <x:f>IF(A79,I79*$F$5/$J$5,"")</x:f>
        <x:v>108.90335083007812</x:v>
      </x:c>
      <x:c r="K79" s="76" t="n">
        <x:f>IF(A79,MAX(I79,J79)*2^30/(J24*1e6),"")</x:f>
        <x:v>24.3612672</x:v>
      </x:c>
      <x:c r="L79" s="76" t="n">
        <x:f>IF(A79,B79/$B$9,"")</x:f>
        <x:v>20000</x:v>
      </x:c>
      <x:c r="M79" s="77" t="n">
        <x:f>IF(A79,K79/L79,"")</x:f>
        <x:v>0.00121806336</x:v>
      </x:c>
      <x:c r="N79" s="76" t="n">
        <x:f>IF(A79,(E24*ROUNDUP(K24/D24,0)*G24*(B24-1)/B24*(ROUNDUP((ROUNDUP(F24*2/32,0)*32+32)/480,0)*512+F24*2+32)+E24*ROUNDUP(H24/B24,0)*(B24-1)*32)/1e9,"")</x:f>
        <x:v>0.70042176</x:v>
      </x:c>
      <x:c r="O79" s="76" t="n">
        <x:f>IF(A79,N79*1000/I24,"")</x:f>
        <x:v>0.1459212</x:v>
      </x:c>
      <x:c r="P79" s="76" t="n">
        <x:f>IF(A79,O79/E24,"")</x:f>
        <x:v>0.0015861</x:v>
      </x:c>
      <x:c r="Q79" s="76" t="n">
        <x:f>IF(A79,N79*1000/C79,"")</x:f>
        <x:v>23.347392</x:v>
      </x:c>
      <x:c r="R79" s="76" t="n">
        <x:f>IF(W79="估算",IF(OR(K79=0,O79=0),0,1-((E24-1)*MAX(0,(C79-O79)/E24-(K79))+MAX(0,L79-((E24-1)*C79/E24+P79)-(K79)))/L79),"")</x:f>
        <x:v>0.0027018383171740767</x:v>
      </x:c>
      <x:c r="S79" s="76" t="n">
        <x:f>IF(W79="估算",IF(O79=0,0,MAX(0,1-(1-((E24-1)*MAX(0,(C79-O79)/E24-(L79-K79))+MAX(0,L79-((E24-1)*C79/E24+P79)-(L79-K79)))/L79))),"")</x:f>
        <x:v>0</x:v>
      </x:c>
      <x:c r="T79" s="76" t="n">
        <x:f>IF(W79="估算",IF(OR(P79=0,K79=0,$J$7=0),0,IF(P79&lt;=(1-$J$7)*K79,$J$7*P79*K79/(1-$J$7)-$J$7^2*P79^2/(2*(1-$J$7)^2),$J$7*P79*K79+$J$7^2*K79^2/2)/L79),"")</x:f>
        <x:v>2.1466258968930553e-7</x:v>
      </x:c>
      <x:c r="U79" s="76" t="n">
        <x:f>IF(A79,60000/C79,"")</x:f>
        <x:v>2000</x:v>
      </x:c>
      <x:c r="V79" s="76" t="n">
        <x:f>IF(W79="估算",U79*E24*T79*M24*N24,"")</x:f>
        <x:v>0.039497916502832214</x:v>
      </x:c>
      <x:c r="W79" s="76" t="str">
        <x:f>IF(NOT(A79),"输入无效",IF(K79&gt;=L79,"KV 超载",IF(O79&gt;C79+1e-9,"TPOT 不自洽",IF(OR(C79&gt;L79,P79&gt;L79-K79),"需时序仿真","估算"))))</x:f>
        <x:v>估算</x:v>
      </x:c>
      <x:c r="X79" s="76" t="n">
        <x:f>IF(W79="估算",U79*M79,"")</x:f>
        <x:v>2.43612672</x:v>
      </x:c>
    </x:row>
    <x:row r="80" ht="22" customHeight="1">
      <x:c r="A80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50),D50&gt;0),AND(ISNUMBER(E50),E50&gt;0),MOD($B$5,1)=0,MOD($F$5,1)=0,MOD($J$5,1)=0,MOD($B$9,1)=0,MOD(K24,1)=0,ISNUMBER(C50),C50&gt;=2,MOD(C50,1)=0,OR($N$9=32,$N$9=64,$N$9=128),ISNUMBER($B$11),$B$11&gt;=0,MOD($B$11,1)=0,ISNUMBER($J$7),$J$7&gt;=0,$J$7&lt;1,AND(ISNUMBER(M24),M24&gt;=0,M24&lt;=1),AND(ISNUMBER(N24),N24&gt;=0,N24&lt;=1))</x:f>
        <x:v>1</x:v>
      </x:c>
      <x:c r="B80" s="76" t="n">
        <x:f>IF(A80,D50*1000,"")</x:f>
        <x:v>60000</x:v>
      </x:c>
      <x:c r="C80" s="76" t="n">
        <x:f>IF(A80,E50*L24,"")</x:f>
        <x:v>5</x:v>
      </x:c>
      <x:c r="D80" s="76" t="n">
        <x:f>IF(A80,M101,"")</x:f>
        <x:v>216.45167541503906</x:v>
      </x:c>
      <x:c r="E80" s="76" t="n">
        <x:f>IF(A80,B24/C24,"")</x:f>
        <x:v>32</x:v>
      </x:c>
      <x:c r="F80" s="76" t="n">
        <x:f>IF(A80,B24/D24,"")</x:f>
        <x:v>32</x:v>
      </x:c>
      <x:c r="G80" s="76" t="n">
        <x:f>IF(A80,$F$5*E80*$B$5*60000/B80,"")</x:f>
        <x:v>512</x:v>
      </x:c>
      <x:c r="H80" s="76" t="n">
        <x:f>IF(A80,G80/($J$5*F80),"")</x:f>
        <x:v>16</x:v>
      </x:c>
      <x:c r="I80" s="76" t="n">
        <x:f>IF(A80,$B$5*D80/C24/$B$9,"")</x:f>
        <x:v>432.9033508300781</x:v>
      </x:c>
      <x:c r="J80" s="76" t="n">
        <x:f>IF(A80,I80*$F$5/$J$5,"")</x:f>
        <x:v>432.9033508300781</x:v>
      </x:c>
      <x:c r="K80" s="76" t="n">
        <x:f>IF(A80,MAX(I80,J80)*2^30/(J24*1e6),"")</x:f>
        <x:v>96.83884032</x:v>
      </x:c>
      <x:c r="L80" s="76" t="n">
        <x:f>IF(A80,B80/$B$9,"")</x:f>
        <x:v>60000</x:v>
      </x:c>
      <x:c r="M80" s="77" t="n">
        <x:f>IF(A80,K80/L80,"")</x:f>
        <x:v>0.001613980672</x:v>
      </x:c>
      <x:c r="N80" s="76" t="n">
        <x:f>IF(A80,(E24*ROUNDUP(K24/D24,0)*G24*(B24-1)/B24*(ROUNDUP((ROUNDUP(F24*2/32,0)*32+32)/480,0)*512+F24*2+32)+E24*ROUNDUP(H24/B24,0)*(B24-1)*32)/1e9,"")</x:f>
        <x:v>0.70042176</x:v>
      </x:c>
      <x:c r="O80" s="76" t="n">
        <x:f>IF(A80,N80*1000/I24,"")</x:f>
        <x:v>0.1459212</x:v>
      </x:c>
      <x:c r="P80" s="76" t="n">
        <x:f>IF(A80,O80/E24,"")</x:f>
        <x:v>0.0015861</x:v>
      </x:c>
      <x:c r="Q80" s="76" t="n">
        <x:f>IF(A80,N80*1000/C80,"")</x:f>
        <x:v>140.084352</x:v>
      </x:c>
      <x:c r="R80" s="76" t="n">
        <x:f>IF(W80="估算",IF(OR(K80=0,O80=0),0,1-((E24-1)*MAX(0,(C80-O80)/E24-(K80))+MAX(0,L80-((E24-1)*C80/E24+P80)-(K80)))/L80),"")</x:f>
        <x:v>0.001696434643231881</x:v>
      </x:c>
      <x:c r="S80" s="76" t="n">
        <x:f>IF(W80="估算",IF(O80=0,0,MAX(0,1-(1-((E24-1)*MAX(0,(C80-O80)/E24-(L80-K80))+MAX(0,L80-((E24-1)*C80/E24+P80)-(L80-K80)))/L80))),"")</x:f>
        <x:v>0.001531526700768171</x:v>
      </x:c>
      <x:c r="T80" s="76" t="n">
        <x:f>IF(W80="估算",IF(OR(P80=0,K80=0,$J$7=0),0,IF(P80&lt;=(1-$J$7)*K80,$J$7*P80*K80/(1-$J$7)-$J$7^2*P80^2/(2*(1-$J$7)^2),$J$7*P80*K80+$J$7^2*K80^2/2)/L80),"")</x:f>
        <x:v>2.844369349439018e-7</x:v>
      </x:c>
      <x:c r="U80" s="76" t="n">
        <x:f>IF(A80,60000/C80,"")</x:f>
        <x:v>12000</x:v>
      </x:c>
      <x:c r="V80" s="76" t="n">
        <x:f>IF(W80="估算",U80*E24*T80*M24*N24,"")</x:f>
        <x:v>0.3140183761780676</x:v>
      </x:c>
      <x:c r="W80" s="76" t="str">
        <x:f>IF(NOT(A80),"输入无效",IF(K80&gt;=L80,"KV 超载",IF(O80&gt;C80+1e-9,"TPOT 不自洽",IF(OR(C80&gt;L80,P80&gt;L80-K80),"需时序仿真","估算"))))</x:f>
        <x:v>估算</x:v>
      </x:c>
      <x:c r="X80" s="76" t="n">
        <x:f>IF(W80="估算",U80*M80,"")</x:f>
        <x:v>19.367768064</x:v>
      </x:c>
    </x:row>
    <x:row r="81" ht="22" customHeight="1">
      <x:c r="A81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51),D51&gt;0),AND(ISNUMBER(E51),E51&gt;0),MOD($B$5,1)=0,MOD($F$5,1)=0,MOD($J$5,1)=0,MOD($B$9,1)=0,MOD(K24,1)=0,ISNUMBER(C51),C51&gt;=2,MOD(C51,1)=0,OR($N$9=32,$N$9=64,$N$9=128),ISNUMBER($B$11),$B$11&gt;=0,MOD($B$11,1)=0,ISNUMBER($J$7),$J$7&gt;=0,$J$7&lt;1,AND(ISNUMBER(M24),M24&gt;=0,M24&lt;=1),AND(ISNUMBER(N24),N24&gt;=0,N24&lt;=1))</x:f>
        <x:v>1</x:v>
      </x:c>
      <x:c r="B81" s="76" t="n">
        <x:f>IF(A81,D51*1000,"")</x:f>
        <x:v>60000</x:v>
      </x:c>
      <x:c r="C81" s="76" t="n">
        <x:f>IF(A81,E51*L24,"")</x:f>
        <x:v>10</x:v>
      </x:c>
      <x:c r="D81" s="76" t="n">
        <x:f>IF(A81,M101,"")</x:f>
        <x:v>216.45167541503906</x:v>
      </x:c>
      <x:c r="E81" s="76" t="n">
        <x:f>IF(A81,B24/C24,"")</x:f>
        <x:v>32</x:v>
      </x:c>
      <x:c r="F81" s="76" t="n">
        <x:f>IF(A81,B24/D24,"")</x:f>
        <x:v>32</x:v>
      </x:c>
      <x:c r="G81" s="76" t="n">
        <x:f>IF(A81,$F$5*E81*$B$5*60000/B81,"")</x:f>
        <x:v>512</x:v>
      </x:c>
      <x:c r="H81" s="76" t="n">
        <x:f>IF(A81,G81/($J$5*F81),"")</x:f>
        <x:v>16</x:v>
      </x:c>
      <x:c r="I81" s="76" t="n">
        <x:f>IF(A81,$B$5*D81/C24/$B$9,"")</x:f>
        <x:v>432.9033508300781</x:v>
      </x:c>
      <x:c r="J81" s="76" t="n">
        <x:f>IF(A81,I81*$F$5/$J$5,"")</x:f>
        <x:v>432.9033508300781</x:v>
      </x:c>
      <x:c r="K81" s="76" t="n">
        <x:f>IF(A81,MAX(I81,J81)*2^30/(J24*1e6),"")</x:f>
        <x:v>96.83884032</x:v>
      </x:c>
      <x:c r="L81" s="76" t="n">
        <x:f>IF(A81,B81/$B$9,"")</x:f>
        <x:v>60000</x:v>
      </x:c>
      <x:c r="M81" s="77" t="n">
        <x:f>IF(A81,K81/L81,"")</x:f>
        <x:v>0.001613980672</x:v>
      </x:c>
      <x:c r="N81" s="76" t="n">
        <x:f>IF(A81,(E24*ROUNDUP(K24/D24,0)*G24*(B24-1)/B24*(ROUNDUP((ROUNDUP(F24*2/32,0)*32+32)/480,0)*512+F24*2+32)+E24*ROUNDUP(H24/B24,0)*(B24-1)*32)/1e9,"")</x:f>
        <x:v>0.70042176</x:v>
      </x:c>
      <x:c r="O81" s="76" t="n">
        <x:f>IF(A81,N81*1000/I24,"")</x:f>
        <x:v>0.1459212</x:v>
      </x:c>
      <x:c r="P81" s="76" t="n">
        <x:f>IF(A81,O81/E24,"")</x:f>
        <x:v>0.0015861</x:v>
      </x:c>
      <x:c r="Q81" s="76" t="n">
        <x:f>IF(A81,N81*1000/C81,"")</x:f>
        <x:v>70.042176</x:v>
      </x:c>
      <x:c r="R81" s="76" t="n">
        <x:f>IF(W81="估算",IF(OR(K81=0,O81=0),0,1-((E24-1)*MAX(0,(C81-O81)/E24-(K81))+MAX(0,L81-((E24-1)*C81/E24+P81)-(K81)))/L81),"")</x:f>
        <x:v>0.0017788621794637693</x:v>
      </x:c>
      <x:c r="S81" s="76" t="n">
        <x:f>IF(W81="估算",IF(O81=0,0,MAX(0,1-(1-((E24-1)*MAX(0,(C81-O81)/E24-(L81-K81))+MAX(0,L81-((E24-1)*C81/E24+P81)-(L81-K81)))/L81))),"")</x:f>
        <x:v>0.0014490991645362827</x:v>
      </x:c>
      <x:c r="T81" s="76" t="n">
        <x:f>IF(W81="估算",IF(OR(P81=0,K81=0,$J$7=0),0,IF(P81&lt;=(1-$J$7)*K81,$J$7*P81*K81/(1-$J$7)-$J$7^2*P81^2/(2*(1-$J$7)^2),$J$7*P81*K81+$J$7^2*K81^2/2)/L81),"")</x:f>
        <x:v>2.844369349439018e-7</x:v>
      </x:c>
      <x:c r="U81" s="76" t="n">
        <x:f>IF(A81,60000/C81,"")</x:f>
        <x:v>6000</x:v>
      </x:c>
      <x:c r="V81" s="76" t="n">
        <x:f>IF(W81="估算",U81*E24*T81*M24*N24,"")</x:f>
        <x:v>0.1570091880890338</x:v>
      </x:c>
      <x:c r="W81" s="76" t="str">
        <x:f>IF(NOT(A81),"输入无效",IF(K81&gt;=L81,"KV 超载",IF(O81&gt;C81+1e-9,"TPOT 不自洽",IF(OR(C81&gt;L81,P81&gt;L81-K81),"需时序仿真","估算"))))</x:f>
        <x:v>估算</x:v>
      </x:c>
      <x:c r="X81" s="76" t="n">
        <x:f>IF(W81="估算",U81*M81,"")</x:f>
        <x:v>9.683884032</x:v>
      </x:c>
    </x:row>
    <x:row r="82" ht="22" customHeight="1">
      <x:c r="A82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</x:f>
        <x:v>1</x:v>
      </x:c>
      <x:c r="B82" s="76" t="n">
        <x:f>IF(A82,D52*1000,"")</x:f>
        <x:v>60000</x:v>
      </x:c>
      <x:c r="C82" s="76" t="n">
        <x:f>IF(A82,E52*L24,"")</x:f>
        <x:v>20</x:v>
      </x:c>
      <x:c r="D82" s="76" t="n">
        <x:f>IF(A82,M101,"")</x:f>
        <x:v>216.45167541503906</x:v>
      </x:c>
      <x:c r="E82" s="76" t="n">
        <x:f>IF(A82,B24/C24,"")</x:f>
        <x:v>32</x:v>
      </x:c>
      <x:c r="F82" s="76" t="n">
        <x:f>IF(A82,B24/D24,"")</x:f>
        <x:v>32</x:v>
      </x:c>
      <x:c r="G82" s="76" t="n">
        <x:f>IF(A82,$F$5*E82*$B$5*60000/B82,"")</x:f>
        <x:v>512</x:v>
      </x:c>
      <x:c r="H82" s="76" t="n">
        <x:f>IF(A82,G82/($J$5*F82),"")</x:f>
        <x:v>16</x:v>
      </x:c>
      <x:c r="I82" s="76" t="n">
        <x:f>IF(A82,$B$5*D82/C24/$B$9,"")</x:f>
        <x:v>432.9033508300781</x:v>
      </x:c>
      <x:c r="J82" s="76" t="n">
        <x:f>IF(A82,I82*$F$5/$J$5,"")</x:f>
        <x:v>432.9033508300781</x:v>
      </x:c>
      <x:c r="K82" s="76" t="n">
        <x:f>IF(A82,MAX(I82,J82)*2^30/(J24*1e6),"")</x:f>
        <x:v>96.83884032</x:v>
      </x:c>
      <x:c r="L82" s="76" t="n">
        <x:f>IF(A82,B82/$B$9,"")</x:f>
        <x:v>60000</x:v>
      </x:c>
      <x:c r="M82" s="77" t="n">
        <x:f>IF(A82,K82/L82,"")</x:f>
        <x:v>0.001613980672</x:v>
      </x:c>
      <x:c r="N82" s="76" t="n">
        <x:f>IF(A82,(E24*ROUNDUP(K24/D24,0)*G24*(B24-1)/B24*(ROUNDUP((ROUNDUP(F24*2/32,0)*32+32)/480,0)*512+F24*2+32)+E24*ROUNDUP(H24/B24,0)*(B24-1)*32)/1e9,"")</x:f>
        <x:v>0.70042176</x:v>
      </x:c>
      <x:c r="O82" s="76" t="n">
        <x:f>IF(A82,N82*1000/I24,"")</x:f>
        <x:v>0.1459212</x:v>
      </x:c>
      <x:c r="P82" s="76" t="n">
        <x:f>IF(A82,O82/E24,"")</x:f>
        <x:v>0.0015861</x:v>
      </x:c>
      <x:c r="Q82" s="76" t="n">
        <x:f>IF(A82,N82*1000/C82,"")</x:f>
        <x:v>35.021088</x:v>
      </x:c>
      <x:c r="R82" s="76" t="n">
        <x:f>IF(W82="估算",IF(OR(K82=0,O82=0),0,1-((E24-1)*MAX(0,(C82-O82)/E24-(K82))+MAX(0,L82-((E24-1)*C82/E24+P82)-(K82)))/L82),"")</x:f>
        <x:v>0.0019437172519275459</x:v>
      </x:c>
      <x:c r="S82" s="76" t="n">
        <x:f>IF(W82="估算",IF(O82=0,0,MAX(0,1-(1-((E24-1)*MAX(0,(C82-O82)/E24-(L82-K82))+MAX(0,L82-((E24-1)*C82/E24+P82)-(L82-K82)))/L82))),"")</x:f>
        <x:v>0.0012842440920723952</x:v>
      </x:c>
      <x:c r="T82" s="76" t="n">
        <x:f>IF(W82="估算",IF(OR(P82=0,K82=0,$J$7=0),0,IF(P82&lt;=(1-$J$7)*K82,$J$7*P82*K82/(1-$J$7)-$J$7^2*P82^2/(2*(1-$J$7)^2),$J$7*P82*K82+$J$7^2*K82^2/2)/L82),"")</x:f>
        <x:v>2.844369349439018e-7</x:v>
      </x:c>
      <x:c r="U82" s="76" t="n">
        <x:f>IF(A82,60000/C82,"")</x:f>
        <x:v>3000</x:v>
      </x:c>
      <x:c r="V82" s="76" t="n">
        <x:f>IF(W82="估算",U82*E24*T82*M24*N24,"")</x:f>
        <x:v>0.0785045940445169</x:v>
      </x:c>
      <x:c r="W82" s="76" t="str">
        <x:f>IF(NOT(A82),"输入无效",IF(K82&gt;=L82,"KV 超载",IF(O82&gt;C82+1e-9,"TPOT 不自洽",IF(OR(C82&gt;L82,P82&gt;L82-K82),"需时序仿真","估算"))))</x:f>
        <x:v>估算</x:v>
      </x:c>
      <x:c r="X82" s="76" t="n">
        <x:f>IF(W82="估算",U82*M82,"")</x:f>
        <x:v>4.841942016</x:v>
      </x:c>
    </x:row>
    <x:row r="83" ht="22" customHeight="1">
      <x:c r="A83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</x:f>
        <x:v>1</x:v>
      </x:c>
      <x:c r="B83" s="76" t="n">
        <x:f>IF(A83,D53*1000,"")</x:f>
        <x:v>60000</x:v>
      </x:c>
      <x:c r="C83" s="76" t="n">
        <x:f>IF(A83,E53*L24,"")</x:f>
        <x:v>30</x:v>
      </x:c>
      <x:c r="D83" s="76" t="n">
        <x:f>IF(A83,M101,"")</x:f>
        <x:v>216.45167541503906</x:v>
      </x:c>
      <x:c r="E83" s="76" t="n">
        <x:f>IF(A83,B24/C24,"")</x:f>
        <x:v>32</x:v>
      </x:c>
      <x:c r="F83" s="76" t="n">
        <x:f>IF(A83,B24/D24,"")</x:f>
        <x:v>32</x:v>
      </x:c>
      <x:c r="G83" s="76" t="n">
        <x:f>IF(A83,$F$5*E83*$B$5*60000/B83,"")</x:f>
        <x:v>512</x:v>
      </x:c>
      <x:c r="H83" s="76" t="n">
        <x:f>IF(A83,G83/($J$5*F83),"")</x:f>
        <x:v>16</x:v>
      </x:c>
      <x:c r="I83" s="76" t="n">
        <x:f>IF(A83,$B$5*D83/C24/$B$9,"")</x:f>
        <x:v>432.9033508300781</x:v>
      </x:c>
      <x:c r="J83" s="76" t="n">
        <x:f>IF(A83,I83*$F$5/$J$5,"")</x:f>
        <x:v>432.9033508300781</x:v>
      </x:c>
      <x:c r="K83" s="76" t="n">
        <x:f>IF(A83,MAX(I83,J83)*2^30/(J24*1e6),"")</x:f>
        <x:v>96.83884032</x:v>
      </x:c>
      <x:c r="L83" s="76" t="n">
        <x:f>IF(A83,B83/$B$9,"")</x:f>
        <x:v>60000</x:v>
      </x:c>
      <x:c r="M83" s="77" t="n">
        <x:f>IF(A83,K83/L83,"")</x:f>
        <x:v>0.001613980672</x:v>
      </x:c>
      <x:c r="N83" s="76" t="n">
        <x:f>IF(A83,(E24*ROUNDUP(K24/D24,0)*G24*(B24-1)/B24*(ROUNDUP((ROUNDUP(F24*2/32,0)*32+32)/480,0)*512+F24*2+32)+E24*ROUNDUP(H24/B24,0)*(B24-1)*32)/1e9,"")</x:f>
        <x:v>0.70042176</x:v>
      </x:c>
      <x:c r="O83" s="76" t="n">
        <x:f>IF(A83,N83*1000/I24,"")</x:f>
        <x:v>0.1459212</x:v>
      </x:c>
      <x:c r="P83" s="76" t="n">
        <x:f>IF(A83,O83/E24,"")</x:f>
        <x:v>0.0015861</x:v>
      </x:c>
      <x:c r="Q83" s="76" t="n">
        <x:f>IF(A83,N83*1000/C83,"")</x:f>
        <x:v>23.347392</x:v>
      </x:c>
      <x:c r="R83" s="76" t="n">
        <x:f>IF(W83="估算",IF(OR(K83=0,O83=0),0,1-((E24-1)*MAX(0,(C83-O83)/E24-(K83))+MAX(0,L83-((E24-1)*C83/E24+P83)-(K83)))/L83),"")</x:f>
        <x:v>0.0021085723243913224</x:v>
      </x:c>
      <x:c r="S83" s="76" t="n">
        <x:f>IF(W83="估算",IF(O83=0,0,MAX(0,1-(1-((E24-1)*MAX(0,(C83-O83)/E24-(L83-K83))+MAX(0,L83-((E24-1)*C83/E24+P83)-(L83-K83)))/L83))),"")</x:f>
        <x:v>0.0011193890196087297</x:v>
      </x:c>
      <x:c r="T83" s="76" t="n">
        <x:f>IF(W83="估算",IF(OR(P83=0,K83=0,$J$7=0),0,IF(P83&lt;=(1-$J$7)*K83,$J$7*P83*K83/(1-$J$7)-$J$7^2*P83^2/(2*(1-$J$7)^2),$J$7*P83*K83+$J$7^2*K83^2/2)/L83),"")</x:f>
        <x:v>2.844369349439018e-7</x:v>
      </x:c>
      <x:c r="U83" s="76" t="n">
        <x:f>IF(A83,60000/C83,"")</x:f>
        <x:v>2000</x:v>
      </x:c>
      <x:c r="V83" s="76" t="n">
        <x:f>IF(W83="估算",U83*E24*T83*M24*N24,"")</x:f>
        <x:v>0.052336396029677934</x:v>
      </x:c>
      <x:c r="W83" s="76" t="str">
        <x:f>IF(NOT(A83),"输入无效",IF(K83&gt;=L83,"KV 超载",IF(O83&gt;C83+1e-9,"TPOT 不自洽",IF(OR(C83&gt;L83,P83&gt;L83-K83),"需时序仿真","估算"))))</x:f>
        <x:v>估算</x:v>
      </x:c>
      <x:c r="X83" s="76" t="n">
        <x:f>IF(W83="估算",U83*M83,"")</x:f>
        <x:v>3.227961344</x:v>
      </x:c>
    </x:row>
    <x:row r="84" ht="22" customHeight="1">
      <x:c r="A84" s="30"/>
      <x:c r="B84" s="30"/>
      <x:c r="C84" s="30"/>
      <x:c r="D84" s="30"/>
      <x:c r="E84" s="30"/>
      <x:c r="F84" s="30"/>
      <x:c r="G84" s="30"/>
      <x:c r="H84" s="30"/>
      <x:c r="I84" s="30"/>
      <x:c r="J84" s="30"/>
      <x:c r="K84" s="30"/>
      <x:c r="L84" s="30"/>
      <x:c r="M84" s="30"/>
      <x:c r="N84" s="30"/>
      <x:c r="O84" s="30"/>
      <x:c r="P84" s="30"/>
      <x:c r="Q84" s="30"/>
      <x:c r="R84" s="30"/>
      <x:c r="S84" s="30"/>
      <x:c r="T84" s="30"/>
      <x:c r="U84" s="30"/>
      <x:c r="V84" s="30"/>
      <x:c r="W84" s="30"/>
      <x:c r="X84" s="30"/>
    </x:row>
    <x:row r="85" ht="22" customHeight="1">
      <x:c r="A85" s="30"/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  <x:c r="M85" s="30"/>
      <x:c r="N85" s="30"/>
      <x:c r="O85" s="30"/>
      <x:c r="P85" s="30"/>
      <x:c r="Q85" s="30"/>
      <x:c r="R85" s="30"/>
      <x:c r="S85" s="30"/>
      <x:c r="T85" s="30"/>
      <x:c r="U85" s="30"/>
      <x:c r="V85" s="30"/>
      <x:c r="W85" s="30"/>
      <x:c r="X85" s="30"/>
    </x:row>
    <x:row r="86" ht="22" customHeight="1">
      <x:c r="A86" s="30"/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  <x:c r="M86" s="30"/>
      <x:c r="N86" s="30"/>
      <x:c r="O86" s="30"/>
      <x:c r="P86" s="30"/>
      <x:c r="Q86" s="30"/>
      <x:c r="R86" s="30"/>
      <x:c r="S86" s="30"/>
      <x:c r="T86" s="30"/>
      <x:c r="U86" s="30"/>
      <x:c r="V86" s="30"/>
      <x:c r="W86" s="30"/>
      <x:c r="X86" s="30"/>
    </x:row>
    <x:row r="87" ht="22" customHeight="1">
      <x:c r="A87" s="30" t="str">
        <x:v>KV 组件：输入长度变化时重新计算生成、保留和迁移字节</x:v>
      </x:c>
      <x:c r="B87" s="30"/>
      <x:c r="C87" s="30"/>
      <x:c r="D87" s="30"/>
      <x:c r="E87" s="30"/>
      <x:c r="F87" s="30"/>
      <x:c r="G87" s="30"/>
      <x:c r="H87" s="30"/>
      <x:c r="I87" s="30"/>
      <x:c r="J87" s="30"/>
      <x:c r="K87" s="30"/>
      <x:c r="L87" s="30"/>
      <x:c r="M87" s="30"/>
      <x:c r="N87" s="30"/>
      <x:c r="O87" s="30"/>
      <x:c r="P87" s="30"/>
      <x:c r="Q87" s="30"/>
      <x:c r="R87" s="30"/>
      <x:c r="S87" s="30"/>
      <x:c r="T87" s="30"/>
      <x:c r="U87" s="30"/>
      <x:c r="V87" s="30"/>
      <x:c r="W87" s="30"/>
      <x:c r="X87" s="30"/>
    </x:row>
    <x:row r="88" ht="22" customHeight="1">
      <x:c r="A88" s="30"/>
      <x:c r="B88" s="30"/>
      <x:c r="C88" s="30"/>
      <x:c r="D88" s="30"/>
      <x:c r="E88" s="30"/>
      <x:c r="F88" s="30"/>
      <x:c r="G88" s="30"/>
      <x:c r="H88" s="30"/>
      <x:c r="I88" s="30"/>
      <x:c r="J88" s="30"/>
      <x:c r="K88" s="30"/>
      <x:c r="L88" s="30"/>
      <x:c r="M88" s="30"/>
      <x:c r="N88" s="30"/>
      <x:c r="O88" s="30"/>
      <x:c r="P88" s="30"/>
      <x:c r="Q88" s="30"/>
      <x:c r="R88" s="30"/>
      <x:c r="S88" s="30"/>
      <x:c r="T88" s="30"/>
      <x:c r="U88" s="30"/>
      <x:c r="V88" s="30"/>
      <x:c r="W88" s="30"/>
      <x:c r="X88" s="30"/>
    </x:row>
    <x:row r="89" ht="42" customHeight="1">
      <x:c r="A89" s="73" t="str">
        <x:v>模型</x:v>
      </x:c>
      <x:c r="B89" s="73" t="str">
        <x:v>输入 tokens</x:v>
      </x:c>
      <x:c r="C89" s="73" t="str">
        <x:v>组件</x:v>
      </x:c>
      <x:c r="D89" s="73" t="str">
        <x:v>层数</x:v>
      </x:c>
      <x:c r="E89" s="73" t="str">
        <x:v>B/行/Rank</x:v>
      </x:c>
      <x:c r="F89" s="73" t="str">
        <x:v>P 副本</x:v>
      </x:c>
      <x:c r="G89" s="73" t="str">
        <x:v>D 副本</x:v>
      </x:c>
      <x:c r="H89" s="73" t="str">
        <x:v>生成行</x:v>
      </x:c>
      <x:c r="I89" s="73" t="str">
        <x:v>保留行</x:v>
      </x:c>
      <x:c r="J89" s="73" t="str">
        <x:v>取/规划行</x:v>
      </x:c>
      <x:c r="K89" s="73" t="str">
        <x:v>生成 GiB</x:v>
      </x:c>
      <x:c r="L89" s="73" t="str">
        <x:v>保留 GiB</x:v>
      </x:c>
      <x:c r="M89" s="73" t="str">
        <x:v>取/规划 GiB</x:v>
      </x:c>
      <x:c r="N89" s="30"/>
      <x:c r="O89" s="30"/>
      <x:c r="P89" s="30"/>
      <x:c r="Q89" s="30"/>
      <x:c r="R89" s="30"/>
      <x:c r="S89" s="30"/>
      <x:c r="T89" s="30"/>
      <x:c r="U89" s="30"/>
      <x:c r="V89" s="30"/>
      <x:c r="W89" s="30"/>
      <x:c r="X89" s="30"/>
    </x:row>
    <x:row r="90" ht="45" customHeight="1">
      <x:c r="A90" s="30" t="str">
        <x:v>KimiK3</x:v>
      </x:c>
      <x:c r="B90" s="30" t="n">
        <x:f>$B$15</x:f>
        <x:v>16384</x:v>
      </x:c>
      <x:c r="C90" s="79" t="str">
        <x:v>MLA replicated / BF16</x:v>
      </x:c>
      <x:c r="D90" s="30" t="n">
        <x:v>24</x:v>
      </x:c>
      <x:c r="E90" s="30" t="n">
        <x:v>1152</x:v>
      </x:c>
      <x:c r="F90" s="30" t="n">
        <x:v>8</x:v>
      </x:c>
      <x:c r="G90" s="30" t="n">
        <x:v>8</x:v>
      </x:c>
      <x:c r="H90" s="30" t="n">
        <x:f>IF(AND(ISNUMBER($B$15),$B$15&gt;=2,MOD($B$15,1)=0,OR($N$9=32,$N$9=64,$N$9=128),ISNUMBER($B$11),$B$11&gt;=0,MOD($B$11,1)=0),INT(($B$15-1)/1),"")</x:f>
        <x:v>16383</x:v>
      </x:c>
      <x:c r="I90" s="30" t="n">
        <x:f>IF(AND(ISNUMBER($B$15),$B$15&gt;=2,MOD($B$15,1)=0,OR($N$9=32,$N$9=64,$N$9=128),ISNUMBER($B$11),$B$11&gt;=0,MOD($B$11,1)=0),INT(($B$15-1)/1),"")</x:f>
        <x:v>16383</x:v>
      </x:c>
      <x:c r="J90" s="30" t="n">
        <x:f>IF(AND(ISNUMBER($B$15),$B$15&gt;=2,MOD($B$15,1)=0,OR($N$9=32,$N$9=64,$N$9=128),ISNUMBER($B$11),$B$11&gt;=0,MOD($B$11,1)=0),ROUNDUP(($B$15-1)/(1*$N$9),0)*$N$9,"")</x:f>
        <x:v>16384</x:v>
      </x:c>
      <x:c r="K90" s="76" t="n">
        <x:f>IF(AND(ISNUMBER($B$15),$B$15&gt;=2,MOD($B$15,1)=0,OR($N$9=32,$N$9=64,$N$9=128),ISNUMBER($B$11),$B$11&gt;=0,MOD($B$11,1)=0),D90*E90*F90*H90/2^30,"")</x:f>
        <x:v>3.3747940063476562</x:v>
      </x:c>
      <x:c r="L90" s="76" t="n">
        <x:f>IF(AND(ISNUMBER($B$15),$B$15&gt;=2,MOD($B$15,1)=0,OR($N$9=32,$N$9=64,$N$9=128),ISNUMBER($B$11),$B$11&gt;=0,MOD($B$11,1)=0),D90*E90*F90*I90/2^30,"")</x:f>
        <x:v>3.3747940063476562</x:v>
      </x:c>
      <x:c r="M90" s="76" t="n">
        <x:f>IF(AND(ISNUMBER($B$15),$B$15&gt;=2,MOD($B$15,1)=0,OR($N$9=32,$N$9=64,$N$9=128),ISNUMBER($B$11),$B$11&gt;=0,MOD($B$11,1)=0),D90*E90*G90*J90/2^30,"")</x:f>
        <x:v>3.375</x:v>
      </x:c>
      <x:c r="N90" s="30"/>
      <x:c r="O90" s="30"/>
      <x:c r="P90" s="30"/>
      <x:c r="Q90" s="30"/>
      <x:c r="R90" s="30"/>
      <x:c r="S90" s="30"/>
      <x:c r="T90" s="30"/>
      <x:c r="U90" s="30"/>
      <x:c r="V90" s="30"/>
      <x:c r="W90" s="30"/>
      <x:c r="X90" s="30"/>
    </x:row>
    <x:row r="91" ht="45" customHeight="1">
      <x:c r="A91" s="30" t="str">
        <x:v>KimiK3</x:v>
      </x:c>
      <x:c r="B91" s="30" t="n">
        <x:f>$B$15</x:f>
        <x:v>16384</x:v>
      </x:c>
      <x:c r="C91" s="79" t="str">
        <x:v>Conv state / BF16</x:v>
      </x:c>
      <x:c r="D91" s="30" t="n">
        <x:v>69</x:v>
      </x:c>
      <x:c r="E91" s="30" t="n">
        <x:v>9216</x:v>
      </x:c>
      <x:c r="F91" s="30" t="n">
        <x:v>8</x:v>
      </x:c>
      <x:c r="G91" s="30" t="n">
        <x:v>8</x:v>
      </x:c>
      <x:c r="H91" s="30" t="n">
        <x:f>IF(AND(ISNUMBER($B$15),$B$15&gt;=2,MOD($B$15,1)=0,OR($N$9=32,$N$9=64,$N$9=128),ISNUMBER($B$11),$B$11&gt;=0,MOD($B$11,1)=0),MIN(($B$15-1),3),"")</x:f>
        <x:v>3</x:v>
      </x:c>
      <x:c r="I91" s="30" t="n">
        <x:f>IF(AND(ISNUMBER($B$15),$B$15&gt;=2,MOD($B$15,1)=0,OR($N$9=32,$N$9=64,$N$9=128),ISNUMBER($B$11),$B$11&gt;=0,MOD($B$11,1)=0),MIN(($B$15-1),3),"")</x:f>
        <x:v>3</x:v>
      </x:c>
      <x:c r="J91" s="30" t="n">
        <x:f>IF(AND(ISNUMBER($B$15),$B$15&gt;=2,MOD($B$15,1)=0,OR($N$9=32,$N$9=64,$N$9=128),ISNUMBER($B$11),$B$11&gt;=0,MOD($B$11,1)=0),3+$B$11,"")</x:f>
        <x:v>10</x:v>
      </x:c>
      <x:c r="K91" s="76" t="n">
        <x:f>IF(AND(ISNUMBER($B$15),$B$15&gt;=2,MOD($B$15,1)=0,OR($N$9=32,$N$9=64,$N$9=128),ISNUMBER($B$11),$B$11&gt;=0,MOD($B$11,1)=0),D91*E91*F91*H91/2^30,"")</x:f>
        <x:v>0.01421356201171875</x:v>
      </x:c>
      <x:c r="L91" s="76" t="n">
        <x:f>IF(AND(ISNUMBER($B$15),$B$15&gt;=2,MOD($B$15,1)=0,OR($N$9=32,$N$9=64,$N$9=128),ISNUMBER($B$11),$B$11&gt;=0,MOD($B$11,1)=0),D91*E91*F91*I91/2^30,"")</x:f>
        <x:v>0.01421356201171875</x:v>
      </x:c>
      <x:c r="M91" s="76" t="n">
        <x:f>IF(AND(ISNUMBER($B$15),$B$15&gt;=2,MOD($B$15,1)=0,OR($N$9=32,$N$9=64,$N$9=128),ISNUMBER($B$11),$B$11&gt;=0,MOD($B$11,1)=0),D91*E91*G91*J91/2^30,"")</x:f>
        <x:v>0.0473785400390625</x:v>
      </x:c>
      <x:c r="N91" s="30"/>
      <x:c r="O91" s="30"/>
      <x:c r="P91" s="30"/>
      <x:c r="Q91" s="30"/>
      <x:c r="R91" s="30"/>
      <x:c r="S91" s="30"/>
      <x:c r="T91" s="30"/>
      <x:c r="U91" s="30"/>
      <x:c r="V91" s="30"/>
      <x:c r="W91" s="30"/>
      <x:c r="X91" s="30"/>
    </x:row>
    <x:row r="92" ht="45" customHeight="1">
      <x:c r="A92" s="30" t="str">
        <x:v>KimiK3</x:v>
      </x:c>
      <x:c r="B92" s="30" t="n">
        <x:f>$B$15</x:f>
        <x:v>16384</x:v>
      </x:c>
      <x:c r="C92" s="79" t="str">
        <x:v>Recurrent state / FP32</x:v>
      </x:c>
      <x:c r="D92" s="30" t="n">
        <x:v>69</x:v>
      </x:c>
      <x:c r="E92" s="30" t="n">
        <x:v>786432</x:v>
      </x:c>
      <x:c r="F92" s="30" t="n">
        <x:v>8</x:v>
      </x:c>
      <x:c r="G92" s="30" t="n">
        <x:v>8</x:v>
      </x:c>
      <x:c r="H92" s="30" t="n">
        <x:f>IF(AND(ISNUMBER($B$15),$B$15&gt;=2,MOD($B$15,1)=0,OR($N$9=32,$N$9=64,$N$9=128),ISNUMBER($B$11),$B$11&gt;=0,MOD($B$11,1)=0),1,"")</x:f>
        <x:v>1</x:v>
      </x:c>
      <x:c r="I92" s="30" t="n">
        <x:f>IF(AND(ISNUMBER($B$15),$B$15&gt;=2,MOD($B$15,1)=0,OR($N$9=32,$N$9=64,$N$9=128),ISNUMBER($B$11),$B$11&gt;=0,MOD($B$11,1)=0),1,"")</x:f>
        <x:v>1</x:v>
      </x:c>
      <x:c r="J92" s="30" t="n">
        <x:f>IF(AND(ISNUMBER($B$15),$B$15&gt;=2,MOD($B$15,1)=0,OR($N$9=32,$N$9=64,$N$9=128),ISNUMBER($B$11),$B$11&gt;=0,MOD($B$11,1)=0),1,"")</x:f>
        <x:v>1</x:v>
      </x:c>
      <x:c r="K92" s="76" t="n">
        <x:f>IF(AND(ISNUMBER($B$15),$B$15&gt;=2,MOD($B$15,1)=0,OR($N$9=32,$N$9=64,$N$9=128),ISNUMBER($B$11),$B$11&gt;=0,MOD($B$11,1)=0),D92*E92*F92*H92/2^30,"")</x:f>
        <x:v>0.404296875</x:v>
      </x:c>
      <x:c r="L92" s="76" t="n">
        <x:f>IF(AND(ISNUMBER($B$15),$B$15&gt;=2,MOD($B$15,1)=0,OR($N$9=32,$N$9=64,$N$9=128),ISNUMBER($B$11),$B$11&gt;=0,MOD($B$11,1)=0),D92*E92*F92*I92/2^30,"")</x:f>
        <x:v>0.404296875</x:v>
      </x:c>
      <x:c r="M92" s="76" t="n">
        <x:f>IF(AND(ISNUMBER($B$15),$B$15&gt;=2,MOD($B$15,1)=0,OR($N$9=32,$N$9=64,$N$9=128),ISNUMBER($B$11),$B$11&gt;=0,MOD($B$11,1)=0),D92*E92*G92*J92/2^30,"")</x:f>
        <x:v>0.404296875</x:v>
      </x:c>
      <x:c r="N92" s="30"/>
      <x:c r="O92" s="30"/>
      <x:c r="P92" s="30"/>
      <x:c r="Q92" s="30"/>
      <x:c r="R92" s="30"/>
      <x:c r="S92" s="30"/>
      <x:c r="T92" s="30"/>
      <x:c r="U92" s="30"/>
      <x:c r="V92" s="30"/>
      <x:c r="W92" s="30"/>
      <x:c r="X92" s="30"/>
    </x:row>
    <x:row r="93" ht="45" customHeight="1">
      <x:c r="A93" s="40" t="str">
        <x:v>KimiK3</x:v>
      </x:c>
      <x:c r="B93" s="40" t="n">
        <x:f>$B$15</x:f>
        <x:v>16384</x:v>
      </x:c>
      <x:c r="C93" s="80" t="str">
        <x:v>每请求合计</x:v>
      </x:c>
      <x:c r="D93" s="40"/>
      <x:c r="E93" s="40"/>
      <x:c r="F93" s="40"/>
      <x:c r="G93" s="40"/>
      <x:c r="H93" s="40"/>
      <x:c r="I93" s="40"/>
      <x:c r="J93" s="40"/>
      <x:c r="K93" s="78" t="n">
        <x:f>SUM(K90:K92)</x:f>
        <x:v>3.793304443359375</x:v>
      </x:c>
      <x:c r="L93" s="78" t="n">
        <x:f>SUM(L90:L92)</x:f>
        <x:v>3.793304443359375</x:v>
      </x:c>
      <x:c r="M93" s="78" t="n">
        <x:f>SUM(M90:M92)</x:f>
        <x:v>3.8266754150390625</x:v>
      </x:c>
      <x:c r="N93" s="30"/>
      <x:c r="O93" s="30"/>
      <x:c r="P93" s="30"/>
      <x:c r="Q93" s="30"/>
      <x:c r="R93" s="30"/>
      <x:c r="S93" s="30"/>
      <x:c r="T93" s="30"/>
      <x:c r="U93" s="30"/>
      <x:c r="V93" s="30"/>
      <x:c r="W93" s="30"/>
      <x:c r="X93" s="30"/>
    </x:row>
    <x:row r="94" ht="45" customHeight="1">
      <x:c r="A94" s="30" t="str">
        <x:v>KimiK3</x:v>
      </x:c>
      <x:c r="B94" s="30" t="n">
        <x:f>$B$16</x:f>
        <x:v>262144</x:v>
      </x:c>
      <x:c r="C94" s="79" t="str">
        <x:v>MLA replicated / BF16</x:v>
      </x:c>
      <x:c r="D94" s="30" t="n">
        <x:v>24</x:v>
      </x:c>
      <x:c r="E94" s="30" t="n">
        <x:v>1152</x:v>
      </x:c>
      <x:c r="F94" s="30" t="n">
        <x:v>8</x:v>
      </x:c>
      <x:c r="G94" s="30" t="n">
        <x:v>8</x:v>
      </x:c>
      <x:c r="H94" s="30" t="n">
        <x:f>IF(AND(ISNUMBER($B$16),$B$16&gt;=2,MOD($B$16,1)=0,OR($N$9=32,$N$9=64,$N$9=128),ISNUMBER($B$11),$B$11&gt;=0,MOD($B$11,1)=0),INT(($B$16-1)/1),"")</x:f>
        <x:v>262143</x:v>
      </x:c>
      <x:c r="I94" s="30" t="n">
        <x:f>IF(AND(ISNUMBER($B$16),$B$16&gt;=2,MOD($B$16,1)=0,OR($N$9=32,$N$9=64,$N$9=128),ISNUMBER($B$11),$B$11&gt;=0,MOD($B$11,1)=0),INT(($B$16-1)/1),"")</x:f>
        <x:v>262143</x:v>
      </x:c>
      <x:c r="J94" s="30" t="n">
        <x:f>IF(AND(ISNUMBER($B$16),$B$16&gt;=2,MOD($B$16,1)=0,OR($N$9=32,$N$9=64,$N$9=128),ISNUMBER($B$11),$B$11&gt;=0,MOD($B$11,1)=0),ROUNDUP(($B$16-1)/(1*$N$9),0)*$N$9,"")</x:f>
        <x:v>262144</x:v>
      </x:c>
      <x:c r="K94" s="76" t="n">
        <x:f>IF(AND(ISNUMBER($B$16),$B$16&gt;=2,MOD($B$16,1)=0,OR($N$9=32,$N$9=64,$N$9=128),ISNUMBER($B$11),$B$11&gt;=0,MOD($B$11,1)=0),D94*E94*F94*H94/2^30,"")</x:f>
        <x:v>53.999794006347656</x:v>
      </x:c>
      <x:c r="L94" s="76" t="n">
        <x:f>IF(AND(ISNUMBER($B$16),$B$16&gt;=2,MOD($B$16,1)=0,OR($N$9=32,$N$9=64,$N$9=128),ISNUMBER($B$11),$B$11&gt;=0,MOD($B$11,1)=0),D94*E94*F94*I94/2^30,"")</x:f>
        <x:v>53.999794006347656</x:v>
      </x:c>
      <x:c r="M94" s="76" t="n">
        <x:f>IF(AND(ISNUMBER($B$16),$B$16&gt;=2,MOD($B$16,1)=0,OR($N$9=32,$N$9=64,$N$9=128),ISNUMBER($B$11),$B$11&gt;=0,MOD($B$11,1)=0),D94*E94*G94*J94/2^30,"")</x:f>
        <x:v>54</x:v>
      </x:c>
      <x:c r="N94" s="30"/>
      <x:c r="O94" s="30"/>
      <x:c r="P94" s="30"/>
      <x:c r="Q94" s="30"/>
      <x:c r="R94" s="30"/>
      <x:c r="S94" s="30"/>
      <x:c r="T94" s="30"/>
      <x:c r="U94" s="30"/>
      <x:c r="V94" s="30"/>
      <x:c r="W94" s="30"/>
      <x:c r="X94" s="30"/>
    </x:row>
    <x:row r="95" ht="45" customHeight="1">
      <x:c r="A95" s="30" t="str">
        <x:v>KimiK3</x:v>
      </x:c>
      <x:c r="B95" s="30" t="n">
        <x:f>$B$16</x:f>
        <x:v>262144</x:v>
      </x:c>
      <x:c r="C95" s="79" t="str">
        <x:v>Conv state / BF16</x:v>
      </x:c>
      <x:c r="D95" s="30" t="n">
        <x:v>69</x:v>
      </x:c>
      <x:c r="E95" s="30" t="n">
        <x:v>9216</x:v>
      </x:c>
      <x:c r="F95" s="30" t="n">
        <x:v>8</x:v>
      </x:c>
      <x:c r="G95" s="30" t="n">
        <x:v>8</x:v>
      </x:c>
      <x:c r="H95" s="30" t="n">
        <x:f>IF(AND(ISNUMBER($B$16),$B$16&gt;=2,MOD($B$16,1)=0,OR($N$9=32,$N$9=64,$N$9=128),ISNUMBER($B$11),$B$11&gt;=0,MOD($B$11,1)=0),MIN(($B$16-1),3),"")</x:f>
        <x:v>3</x:v>
      </x:c>
      <x:c r="I95" s="30" t="n">
        <x:f>IF(AND(ISNUMBER($B$16),$B$16&gt;=2,MOD($B$16,1)=0,OR($N$9=32,$N$9=64,$N$9=128),ISNUMBER($B$11),$B$11&gt;=0,MOD($B$11,1)=0),MIN(($B$16-1),3),"")</x:f>
        <x:v>3</x:v>
      </x:c>
      <x:c r="J95" s="30" t="n">
        <x:f>IF(AND(ISNUMBER($B$16),$B$16&gt;=2,MOD($B$16,1)=0,OR($N$9=32,$N$9=64,$N$9=128),ISNUMBER($B$11),$B$11&gt;=0,MOD($B$11,1)=0),3+$B$11,"")</x:f>
        <x:v>10</x:v>
      </x:c>
      <x:c r="K95" s="76" t="n">
        <x:f>IF(AND(ISNUMBER($B$16),$B$16&gt;=2,MOD($B$16,1)=0,OR($N$9=32,$N$9=64,$N$9=128),ISNUMBER($B$11),$B$11&gt;=0,MOD($B$11,1)=0),D95*E95*F95*H95/2^30,"")</x:f>
        <x:v>0.01421356201171875</x:v>
      </x:c>
      <x:c r="L95" s="76" t="n">
        <x:f>IF(AND(ISNUMBER($B$16),$B$16&gt;=2,MOD($B$16,1)=0,OR($N$9=32,$N$9=64,$N$9=128),ISNUMBER($B$11),$B$11&gt;=0,MOD($B$11,1)=0),D95*E95*F95*I95/2^30,"")</x:f>
        <x:v>0.01421356201171875</x:v>
      </x:c>
      <x:c r="M95" s="76" t="n">
        <x:f>IF(AND(ISNUMBER($B$16),$B$16&gt;=2,MOD($B$16,1)=0,OR($N$9=32,$N$9=64,$N$9=128),ISNUMBER($B$11),$B$11&gt;=0,MOD($B$11,1)=0),D95*E95*G95*J95/2^30,"")</x:f>
        <x:v>0.0473785400390625</x:v>
      </x:c>
      <x:c r="N95" s="30"/>
      <x:c r="O95" s="30"/>
      <x:c r="P95" s="30"/>
      <x:c r="Q95" s="30"/>
      <x:c r="R95" s="30"/>
      <x:c r="S95" s="30"/>
      <x:c r="T95" s="30"/>
      <x:c r="U95" s="30"/>
      <x:c r="V95" s="30"/>
      <x:c r="W95" s="30"/>
      <x:c r="X95" s="30"/>
    </x:row>
    <x:row r="96" ht="45" customHeight="1">
      <x:c r="A96" s="30" t="str">
        <x:v>KimiK3</x:v>
      </x:c>
      <x:c r="B96" s="30" t="n">
        <x:f>$B$16</x:f>
        <x:v>262144</x:v>
      </x:c>
      <x:c r="C96" s="79" t="str">
        <x:v>Recurrent state / FP32</x:v>
      </x:c>
      <x:c r="D96" s="30" t="n">
        <x:v>69</x:v>
      </x:c>
      <x:c r="E96" s="30" t="n">
        <x:v>786432</x:v>
      </x:c>
      <x:c r="F96" s="30" t="n">
        <x:v>8</x:v>
      </x:c>
      <x:c r="G96" s="30" t="n">
        <x:v>8</x:v>
      </x:c>
      <x:c r="H96" s="30" t="n">
        <x:f>IF(AND(ISNUMBER($B$16),$B$16&gt;=2,MOD($B$16,1)=0,OR($N$9=32,$N$9=64,$N$9=128),ISNUMBER($B$11),$B$11&gt;=0,MOD($B$11,1)=0),1,"")</x:f>
        <x:v>1</x:v>
      </x:c>
      <x:c r="I96" s="30" t="n">
        <x:f>IF(AND(ISNUMBER($B$16),$B$16&gt;=2,MOD($B$16,1)=0,OR($N$9=32,$N$9=64,$N$9=128),ISNUMBER($B$11),$B$11&gt;=0,MOD($B$11,1)=0),1,"")</x:f>
        <x:v>1</x:v>
      </x:c>
      <x:c r="J96" s="30" t="n">
        <x:f>IF(AND(ISNUMBER($B$16),$B$16&gt;=2,MOD($B$16,1)=0,OR($N$9=32,$N$9=64,$N$9=128),ISNUMBER($B$11),$B$11&gt;=0,MOD($B$11,1)=0),1,"")</x:f>
        <x:v>1</x:v>
      </x:c>
      <x:c r="K96" s="76" t="n">
        <x:f>IF(AND(ISNUMBER($B$16),$B$16&gt;=2,MOD($B$16,1)=0,OR($N$9=32,$N$9=64,$N$9=128),ISNUMBER($B$11),$B$11&gt;=0,MOD($B$11,1)=0),D96*E96*F96*H96/2^30,"")</x:f>
        <x:v>0.404296875</x:v>
      </x:c>
      <x:c r="L96" s="76" t="n">
        <x:f>IF(AND(ISNUMBER($B$16),$B$16&gt;=2,MOD($B$16,1)=0,OR($N$9=32,$N$9=64,$N$9=128),ISNUMBER($B$11),$B$11&gt;=0,MOD($B$11,1)=0),D96*E96*F96*I96/2^30,"")</x:f>
        <x:v>0.404296875</x:v>
      </x:c>
      <x:c r="M96" s="76" t="n">
        <x:f>IF(AND(ISNUMBER($B$16),$B$16&gt;=2,MOD($B$16,1)=0,OR($N$9=32,$N$9=64,$N$9=128),ISNUMBER($B$11),$B$11&gt;=0,MOD($B$11,1)=0),D96*E96*G96*J96/2^30,"")</x:f>
        <x:v>0.404296875</x:v>
      </x:c>
      <x:c r="N96" s="30"/>
      <x:c r="O96" s="30"/>
      <x:c r="P96" s="30"/>
      <x:c r="Q96" s="30"/>
      <x:c r="R96" s="30"/>
      <x:c r="S96" s="30"/>
      <x:c r="T96" s="30"/>
      <x:c r="U96" s="30"/>
      <x:c r="V96" s="30"/>
      <x:c r="W96" s="30"/>
      <x:c r="X96" s="30"/>
    </x:row>
    <x:row r="97" ht="45" customHeight="1">
      <x:c r="A97" s="40" t="str">
        <x:v>KimiK3</x:v>
      </x:c>
      <x:c r="B97" s="40" t="n">
        <x:f>$B$16</x:f>
        <x:v>262144</x:v>
      </x:c>
      <x:c r="C97" s="80" t="str">
        <x:v>每请求合计</x:v>
      </x:c>
      <x:c r="D97" s="40"/>
      <x:c r="E97" s="40"/>
      <x:c r="F97" s="40"/>
      <x:c r="G97" s="40"/>
      <x:c r="H97" s="40"/>
      <x:c r="I97" s="40"/>
      <x:c r="J97" s="40"/>
      <x:c r="K97" s="78" t="n">
        <x:f>SUM(K94:K96)</x:f>
        <x:v>54.418304443359375</x:v>
      </x:c>
      <x:c r="L97" s="78" t="n">
        <x:f>SUM(L94:L96)</x:f>
        <x:v>54.418304443359375</x:v>
      </x:c>
      <x:c r="M97" s="78" t="n">
        <x:f>SUM(M94:M96)</x:f>
        <x:v>54.45167541503906</x:v>
      </x:c>
      <x:c r="N97" s="30"/>
      <x:c r="O97" s="30"/>
      <x:c r="P97" s="30"/>
      <x:c r="Q97" s="30"/>
      <x:c r="R97" s="30"/>
      <x:c r="S97" s="30"/>
      <x:c r="T97" s="30"/>
      <x:c r="U97" s="30"/>
      <x:c r="V97" s="30"/>
      <x:c r="W97" s="30"/>
      <x:c r="X97" s="30"/>
    </x:row>
    <x:row r="98" ht="45" customHeight="1">
      <x:c r="A98" s="30" t="str">
        <x:v>KimiK3</x:v>
      </x:c>
      <x:c r="B98" s="30" t="n">
        <x:f>$B$17</x:f>
        <x:v>1048576</x:v>
      </x:c>
      <x:c r="C98" s="79" t="str">
        <x:v>MLA replicated / BF16</x:v>
      </x:c>
      <x:c r="D98" s="30" t="n">
        <x:v>24</x:v>
      </x:c>
      <x:c r="E98" s="30" t="n">
        <x:v>1152</x:v>
      </x:c>
      <x:c r="F98" s="30" t="n">
        <x:v>8</x:v>
      </x:c>
      <x:c r="G98" s="30" t="n">
        <x:v>8</x:v>
      </x:c>
      <x:c r="H98" s="30" t="n">
        <x:f>IF(AND(ISNUMBER($B$17),$B$17&gt;=2,MOD($B$17,1)=0,OR($N$9=32,$N$9=64,$N$9=128),ISNUMBER($B$11),$B$11&gt;=0,MOD($B$11,1)=0),INT(($B$17-1)/1),"")</x:f>
        <x:v>1048575</x:v>
      </x:c>
      <x:c r="I98" s="30" t="n">
        <x:f>IF(AND(ISNUMBER($B$17),$B$17&gt;=2,MOD($B$17,1)=0,OR($N$9=32,$N$9=64,$N$9=128),ISNUMBER($B$11),$B$11&gt;=0,MOD($B$11,1)=0),INT(($B$17-1)/1),"")</x:f>
        <x:v>1048575</x:v>
      </x:c>
      <x:c r="J98" s="30" t="n">
        <x:f>IF(AND(ISNUMBER($B$17),$B$17&gt;=2,MOD($B$17,1)=0,OR($N$9=32,$N$9=64,$N$9=128),ISNUMBER($B$11),$B$11&gt;=0,MOD($B$11,1)=0),ROUNDUP(($B$17-1)/(1*$N$9),0)*$N$9,"")</x:f>
        <x:v>1048576</x:v>
      </x:c>
      <x:c r="K98" s="76" t="n">
        <x:f>IF(AND(ISNUMBER($B$17),$B$17&gt;=2,MOD($B$17,1)=0,OR($N$9=32,$N$9=64,$N$9=128),ISNUMBER($B$11),$B$11&gt;=0,MOD($B$11,1)=0),D98*E98*F98*H98/2^30,"")</x:f>
        <x:v>215.99979400634766</x:v>
      </x:c>
      <x:c r="L98" s="76" t="n">
        <x:f>IF(AND(ISNUMBER($B$17),$B$17&gt;=2,MOD($B$17,1)=0,OR($N$9=32,$N$9=64,$N$9=128),ISNUMBER($B$11),$B$11&gt;=0,MOD($B$11,1)=0),D98*E98*F98*I98/2^30,"")</x:f>
        <x:v>215.99979400634766</x:v>
      </x:c>
      <x:c r="M98" s="76" t="n">
        <x:f>IF(AND(ISNUMBER($B$17),$B$17&gt;=2,MOD($B$17,1)=0,OR($N$9=32,$N$9=64,$N$9=128),ISNUMBER($B$11),$B$11&gt;=0,MOD($B$11,1)=0),D98*E98*G98*J98/2^30,"")</x:f>
        <x:v>216</x:v>
      </x:c>
      <x:c r="N98" s="30"/>
      <x:c r="O98" s="30"/>
      <x:c r="P98" s="30"/>
      <x:c r="Q98" s="30"/>
      <x:c r="R98" s="30"/>
      <x:c r="S98" s="30"/>
      <x:c r="T98" s="30"/>
      <x:c r="U98" s="30"/>
      <x:c r="V98" s="30"/>
      <x:c r="W98" s="30"/>
      <x:c r="X98" s="30"/>
    </x:row>
    <x:row r="99" ht="45" customHeight="1">
      <x:c r="A99" s="30" t="str">
        <x:v>KimiK3</x:v>
      </x:c>
      <x:c r="B99" s="30" t="n">
        <x:f>$B$17</x:f>
        <x:v>1048576</x:v>
      </x:c>
      <x:c r="C99" s="79" t="str">
        <x:v>Conv state / BF16</x:v>
      </x:c>
      <x:c r="D99" s="30" t="n">
        <x:v>69</x:v>
      </x:c>
      <x:c r="E99" s="30" t="n">
        <x:v>9216</x:v>
      </x:c>
      <x:c r="F99" s="30" t="n">
        <x:v>8</x:v>
      </x:c>
      <x:c r="G99" s="30" t="n">
        <x:v>8</x:v>
      </x:c>
      <x:c r="H99" s="30" t="n">
        <x:f>IF(AND(ISNUMBER($B$17),$B$17&gt;=2,MOD($B$17,1)=0,OR($N$9=32,$N$9=64,$N$9=128),ISNUMBER($B$11),$B$11&gt;=0,MOD($B$11,1)=0),MIN(($B$17-1),3),"")</x:f>
        <x:v>3</x:v>
      </x:c>
      <x:c r="I99" s="30" t="n">
        <x:f>IF(AND(ISNUMBER($B$17),$B$17&gt;=2,MOD($B$17,1)=0,OR($N$9=32,$N$9=64,$N$9=128),ISNUMBER($B$11),$B$11&gt;=0,MOD($B$11,1)=0),MIN(($B$17-1),3),"")</x:f>
        <x:v>3</x:v>
      </x:c>
      <x:c r="J99" s="30" t="n">
        <x:f>IF(AND(ISNUMBER($B$17),$B$17&gt;=2,MOD($B$17,1)=0,OR($N$9=32,$N$9=64,$N$9=128),ISNUMBER($B$11),$B$11&gt;=0,MOD($B$11,1)=0),3+$B$11,"")</x:f>
        <x:v>10</x:v>
      </x:c>
      <x:c r="K99" s="76" t="n">
        <x:f>IF(AND(ISNUMBER($B$17),$B$17&gt;=2,MOD($B$17,1)=0,OR($N$9=32,$N$9=64,$N$9=128),ISNUMBER($B$11),$B$11&gt;=0,MOD($B$11,1)=0),D99*E99*F99*H99/2^30,"")</x:f>
        <x:v>0.01421356201171875</x:v>
      </x:c>
      <x:c r="L99" s="76" t="n">
        <x:f>IF(AND(ISNUMBER($B$17),$B$17&gt;=2,MOD($B$17,1)=0,OR($N$9=32,$N$9=64,$N$9=128),ISNUMBER($B$11),$B$11&gt;=0,MOD($B$11,1)=0),D99*E99*F99*I99/2^30,"")</x:f>
        <x:v>0.01421356201171875</x:v>
      </x:c>
      <x:c r="M99" s="76" t="n">
        <x:f>IF(AND(ISNUMBER($B$17),$B$17&gt;=2,MOD($B$17,1)=0,OR($N$9=32,$N$9=64,$N$9=128),ISNUMBER($B$11),$B$11&gt;=0,MOD($B$11,1)=0),D99*E99*G99*J99/2^30,"")</x:f>
        <x:v>0.0473785400390625</x:v>
      </x:c>
      <x:c r="N99" s="30"/>
      <x:c r="O99" s="30"/>
      <x:c r="P99" s="30"/>
      <x:c r="Q99" s="30"/>
      <x:c r="R99" s="30"/>
      <x:c r="S99" s="30"/>
      <x:c r="T99" s="30"/>
      <x:c r="U99" s="30"/>
      <x:c r="V99" s="30"/>
      <x:c r="W99" s="30"/>
      <x:c r="X99" s="30"/>
    </x:row>
    <x:row r="100" ht="45" customHeight="1">
      <x:c r="A100" s="30" t="str">
        <x:v>KimiK3</x:v>
      </x:c>
      <x:c r="B100" s="30" t="n">
        <x:f>$B$17</x:f>
        <x:v>1048576</x:v>
      </x:c>
      <x:c r="C100" s="79" t="str">
        <x:v>Recurrent state / FP32</x:v>
      </x:c>
      <x:c r="D100" s="30" t="n">
        <x:v>69</x:v>
      </x:c>
      <x:c r="E100" s="30" t="n">
        <x:v>786432</x:v>
      </x:c>
      <x:c r="F100" s="30" t="n">
        <x:v>8</x:v>
      </x:c>
      <x:c r="G100" s="30" t="n">
        <x:v>8</x:v>
      </x:c>
      <x:c r="H100" s="30" t="n">
        <x:f>IF(AND(ISNUMBER($B$17),$B$17&gt;=2,MOD($B$17,1)=0,OR($N$9=32,$N$9=64,$N$9=128),ISNUMBER($B$11),$B$11&gt;=0,MOD($B$11,1)=0),1,"")</x:f>
        <x:v>1</x:v>
      </x:c>
      <x:c r="I100" s="30" t="n">
        <x:f>IF(AND(ISNUMBER($B$17),$B$17&gt;=2,MOD($B$17,1)=0,OR($N$9=32,$N$9=64,$N$9=128),ISNUMBER($B$11),$B$11&gt;=0,MOD($B$11,1)=0),1,"")</x:f>
        <x:v>1</x:v>
      </x:c>
      <x:c r="J100" s="30" t="n">
        <x:f>IF(AND(ISNUMBER($B$17),$B$17&gt;=2,MOD($B$17,1)=0,OR($N$9=32,$N$9=64,$N$9=128),ISNUMBER($B$11),$B$11&gt;=0,MOD($B$11,1)=0),1,"")</x:f>
        <x:v>1</x:v>
      </x:c>
      <x:c r="K100" s="76" t="n">
        <x:f>IF(AND(ISNUMBER($B$17),$B$17&gt;=2,MOD($B$17,1)=0,OR($N$9=32,$N$9=64,$N$9=128),ISNUMBER($B$11),$B$11&gt;=0,MOD($B$11,1)=0),D100*E100*F100*H100/2^30,"")</x:f>
        <x:v>0.404296875</x:v>
      </x:c>
      <x:c r="L100" s="76" t="n">
        <x:f>IF(AND(ISNUMBER($B$17),$B$17&gt;=2,MOD($B$17,1)=0,OR($N$9=32,$N$9=64,$N$9=128),ISNUMBER($B$11),$B$11&gt;=0,MOD($B$11,1)=0),D100*E100*F100*I100/2^30,"")</x:f>
        <x:v>0.404296875</x:v>
      </x:c>
      <x:c r="M100" s="76" t="n">
        <x:f>IF(AND(ISNUMBER($B$17),$B$17&gt;=2,MOD($B$17,1)=0,OR($N$9=32,$N$9=64,$N$9=128),ISNUMBER($B$11),$B$11&gt;=0,MOD($B$11,1)=0),D100*E100*G100*J100/2^30,"")</x:f>
        <x:v>0.404296875</x:v>
      </x:c>
      <x:c r="N100" s="30"/>
      <x:c r="O100" s="30"/>
      <x:c r="P100" s="30"/>
      <x:c r="Q100" s="30"/>
      <x:c r="R100" s="30"/>
      <x:c r="S100" s="30"/>
      <x:c r="T100" s="30"/>
      <x:c r="U100" s="30"/>
      <x:c r="V100" s="30"/>
      <x:c r="W100" s="30"/>
      <x:c r="X100" s="30"/>
    </x:row>
    <x:row r="101" ht="45" customHeight="1">
      <x:c r="A101" s="40" t="str">
        <x:v>KimiK3</x:v>
      </x:c>
      <x:c r="B101" s="40" t="n">
        <x:f>$B$17</x:f>
        <x:v>1048576</x:v>
      </x:c>
      <x:c r="C101" s="80" t="str">
        <x:v>每请求合计</x:v>
      </x:c>
      <x:c r="D101" s="40"/>
      <x:c r="E101" s="40"/>
      <x:c r="F101" s="40"/>
      <x:c r="G101" s="40"/>
      <x:c r="H101" s="40"/>
      <x:c r="I101" s="40"/>
      <x:c r="J101" s="40"/>
      <x:c r="K101" s="78" t="n">
        <x:f>SUM(K98:K100)</x:f>
        <x:v>216.41830444335938</x:v>
      </x:c>
      <x:c r="L101" s="78" t="n">
        <x:f>SUM(L98:L100)</x:f>
        <x:v>216.41830444335938</x:v>
      </x:c>
      <x:c r="M101" s="78" t="n">
        <x:f>SUM(M98:M100)</x:f>
        <x:v>216.45167541503906</x:v>
      </x:c>
      <x:c r="N101" s="30"/>
      <x:c r="O101" s="30"/>
      <x:c r="P101" s="30"/>
      <x:c r="Q101" s="30"/>
      <x:c r="R101" s="30"/>
      <x:c r="S101" s="30"/>
      <x:c r="T101" s="30"/>
      <x:c r="U101" s="30"/>
      <x:c r="V101" s="30"/>
      <x:c r="W101" s="30"/>
      <x:c r="X101" s="30"/>
    </x:row>
    <x:row r="102" ht="45" customHeight="1">
      <x:c r="A102" s="30"/>
      <x:c r="B102" s="30"/>
      <x:c r="C102" s="79"/>
      <x:c r="D102" s="30"/>
      <x:c r="E102" s="30"/>
      <x:c r="F102" s="30"/>
      <x:c r="G102" s="30"/>
      <x:c r="H102" s="30"/>
      <x:c r="I102" s="30"/>
      <x:c r="J102" s="30"/>
      <x:c r="K102" s="76"/>
      <x:c r="L102" s="76"/>
      <x:c r="M102" s="76"/>
      <x:c r="N102" s="30"/>
      <x:c r="O102" s="30"/>
      <x:c r="P102" s="30"/>
      <x:c r="Q102" s="30"/>
      <x:c r="R102" s="30"/>
      <x:c r="S102" s="30"/>
      <x:c r="T102" s="30"/>
      <x:c r="U102" s="30"/>
      <x:c r="V102" s="30"/>
      <x:c r="W102" s="30"/>
      <x:c r="X102" s="30"/>
    </x:row>
    <x:row r="103" ht="22" customHeight="1">
      <x:c r="A103" s="30"/>
      <x:c r="B103" s="30"/>
      <x:c r="C103" s="30"/>
      <x:c r="D103" s="30"/>
      <x:c r="E103" s="30"/>
      <x:c r="F103" s="30"/>
      <x:c r="G103" s="30"/>
      <x:c r="H103" s="30"/>
      <x:c r="I103" s="30"/>
      <x:c r="J103" s="30"/>
      <x:c r="K103" s="30"/>
      <x:c r="L103" s="30"/>
      <x:c r="M103" s="30"/>
      <x:c r="N103" s="30"/>
      <x:c r="O103" s="30"/>
      <x:c r="P103" s="30"/>
      <x:c r="Q103" s="30"/>
      <x:c r="R103" s="30"/>
      <x:c r="S103" s="30"/>
      <x:c r="T103" s="30"/>
      <x:c r="U103" s="30"/>
      <x:c r="V103" s="30"/>
      <x:c r="W103" s="30"/>
      <x:c r="X103" s="30"/>
    </x:row>
    <x:row r="104" ht="22" customHeight="1">
      <x:c r="A104" s="30"/>
      <x:c r="B104" s="30"/>
      <x:c r="C104" s="30"/>
      <x:c r="D104" s="30"/>
      <x:c r="E104" s="30"/>
      <x:c r="F104" s="30"/>
      <x:c r="G104" s="30"/>
      <x:c r="H104" s="30"/>
      <x:c r="I104" s="30"/>
      <x:c r="J104" s="30"/>
      <x:c r="K104" s="30"/>
      <x:c r="L104" s="30"/>
      <x:c r="M104" s="30"/>
      <x:c r="N104" s="30"/>
      <x:c r="O104" s="30"/>
      <x:c r="P104" s="30"/>
      <x:c r="Q104" s="30"/>
      <x:c r="R104" s="30"/>
      <x:c r="S104" s="30"/>
      <x:c r="T104" s="30"/>
      <x:c r="U104" s="30"/>
      <x:c r="V104" s="30"/>
      <x:c r="W104" s="30"/>
      <x:c r="X104" s="30"/>
    </x:row>
    <x:row r="105" ht="22" customHeight="1">
      <x:c r="A105" s="30" t="str">
        <x:v>来源：库内 config.json、analysis/KV-EP-SPECS.md、analysis/PD-MINUTE.md；V4.1 为既有 KV 规划量。</x:v>
      </x:c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  <x:c r="Q105" s="30"/>
      <x:c r="R105" s="30"/>
      <x:c r="S105" s="30"/>
      <x:c r="T105" s="30"/>
      <x:c r="U105" s="30"/>
      <x:c r="V105" s="30"/>
      <x:c r="W105" s="30"/>
      <x:c r="X105" s="30"/>
    </x:row>
    <x:row r="106" ht="22" customHeight="1">
      <x:c r="A106" s="30" t="str">
        <x:v>MC2：A3 FullMesh BF16；均衡路由。未计 TP / Attention / Engram、通信启动和真实排队，未复现 NPU 实测。</x:v>
      </x:c>
      <x:c r="B106" s="30"/>
      <x:c r="C106" s="30"/>
      <x:c r="D106" s="30"/>
      <x:c r="E106" s="30"/>
      <x:c r="F106" s="30"/>
      <x:c r="G106" s="30"/>
      <x:c r="H106" s="30"/>
      <x:c r="I106" s="30"/>
      <x:c r="J106" s="30"/>
      <x:c r="K106" s="30"/>
      <x:c r="L106" s="30"/>
      <x:c r="M106" s="30"/>
      <x:c r="N106" s="30"/>
      <x:c r="O106" s="30"/>
      <x:c r="P106" s="30"/>
      <x:c r="Q106" s="30"/>
      <x:c r="R106" s="30"/>
      <x:c r="S106" s="30"/>
      <x:c r="T106" s="30"/>
      <x:c r="U106" s="30"/>
      <x:c r="V106" s="30"/>
      <x:c r="W106" s="30"/>
      <x:c r="X106" s="30"/>
    </x:row>
    <x:row r="107" ht="22" customHeight="1">
      <x:c r="A107" s="30"/>
      <x:c r="B107" s="30"/>
      <x:c r="C107" s="30"/>
      <x:c r="D107" s="30"/>
      <x:c r="E107" s="30"/>
      <x:c r="F107" s="30"/>
      <x:c r="G107" s="30"/>
      <x:c r="H107" s="30"/>
      <x:c r="I107" s="30"/>
      <x:c r="J107" s="30"/>
      <x:c r="K107" s="30"/>
      <x:c r="L107" s="30"/>
      <x:c r="M107" s="30"/>
      <x:c r="N107" s="30"/>
      <x:c r="O107" s="30"/>
      <x:c r="P107" s="30"/>
      <x:c r="Q107" s="30"/>
      <x:c r="R107" s="30"/>
      <x:c r="S107" s="30"/>
      <x:c r="T107" s="30"/>
      <x:c r="U107" s="30"/>
      <x:c r="V107" s="30"/>
      <x:c r="W107" s="30"/>
      <x:c r="X107" s="30"/>
    </x:row>
    <x:row r="108" ht="22" customHeight="1">
      <x:c r="A108" s="30"/>
      <x:c r="B108" s="30"/>
      <x:c r="C108" s="30"/>
      <x:c r="D108" s="30"/>
      <x:c r="E108" s="30"/>
      <x:c r="F108" s="30"/>
      <x:c r="G108" s="30"/>
      <x:c r="H108" s="30"/>
      <x:c r="I108" s="30"/>
      <x:c r="J108" s="30"/>
      <x:c r="K108" s="30"/>
      <x:c r="L108" s="30"/>
      <x:c r="M108" s="30"/>
      <x:c r="N108" s="30"/>
      <x:c r="O108" s="30"/>
      <x:c r="P108" s="30"/>
      <x:c r="Q108" s="30"/>
      <x:c r="R108" s="30"/>
      <x:c r="S108" s="30"/>
      <x:c r="T108" s="30"/>
      <x:c r="U108" s="30"/>
      <x:c r="V108" s="30"/>
      <x:c r="W108" s="30"/>
      <x:c r="X108" s="30"/>
    </x:row>
    <x:row r="109" ht="22" customHeight="1">
      <x:c r="A109" s="30"/>
      <x:c r="B109" s="30"/>
      <x:c r="C109" s="30"/>
      <x:c r="D109" s="30"/>
      <x:c r="E109" s="30"/>
      <x:c r="F109" s="30"/>
      <x:c r="G109" s="30"/>
      <x:c r="H109" s="30"/>
      <x:c r="I109" s="30"/>
      <x:c r="J109" s="30"/>
      <x:c r="K109" s="30"/>
      <x:c r="L109" s="30"/>
      <x:c r="M109" s="30"/>
      <x:c r="N109" s="30"/>
      <x:c r="O109" s="30"/>
      <x:c r="P109" s="30"/>
      <x:c r="Q109" s="30"/>
      <x:c r="R109" s="30"/>
      <x:c r="S109" s="30"/>
      <x:c r="T109" s="30"/>
      <x:c r="U109" s="30"/>
      <x:c r="V109" s="30"/>
      <x:c r="W109" s="30"/>
      <x:c r="X109" s="30"/>
    </x:row>
    <x:row r="110" ht="22" customHeight="1">
      <x:c r="A110" s="30"/>
      <x:c r="B110" s="30"/>
      <x:c r="C110" s="30"/>
      <x:c r="D110" s="30"/>
      <x:c r="E110" s="30"/>
      <x:c r="F110" s="30"/>
      <x:c r="G110" s="30"/>
      <x:c r="H110" s="30"/>
      <x:c r="I110" s="30"/>
      <x:c r="J110" s="30"/>
      <x:c r="K110" s="30"/>
      <x:c r="L110" s="30"/>
      <x:c r="M110" s="30"/>
      <x:c r="N110" s="30"/>
      <x:c r="O110" s="30"/>
      <x:c r="P110" s="30"/>
      <x:c r="Q110" s="30"/>
      <x:c r="R110" s="30"/>
      <x:c r="S110" s="30"/>
      <x:c r="T110" s="30"/>
      <x:c r="U110" s="30"/>
      <x:c r="V110" s="30"/>
      <x:c r="W110" s="30"/>
      <x:c r="X110" s="30"/>
    </x:row>
    <x:row r="111" ht="22" customHeight="1">
      <x:c r="A111" s="30"/>
      <x:c r="B111" s="30"/>
      <x:c r="C111" s="30"/>
      <x:c r="D111" s="30"/>
      <x:c r="E111" s="30"/>
      <x:c r="F111" s="30"/>
      <x:c r="G111" s="30"/>
      <x:c r="H111" s="30"/>
      <x:c r="I111" s="30"/>
      <x:c r="J111" s="30"/>
      <x:c r="K111" s="30"/>
      <x:c r="L111" s="30"/>
      <x:c r="M111" s="30"/>
      <x:c r="N111" s="30"/>
      <x:c r="O111" s="30"/>
      <x:c r="P111" s="30"/>
      <x:c r="Q111" s="30"/>
      <x:c r="R111" s="30"/>
      <x:c r="S111" s="30"/>
      <x:c r="T111" s="30"/>
      <x:c r="U111" s="30"/>
      <x:c r="V111" s="30"/>
      <x:c r="W111" s="30"/>
      <x:c r="X111" s="30"/>
    </x:row>
    <x:row r="112" ht="22" customHeight="1">
      <x:c r="A112" s="30"/>
      <x:c r="B112" s="30"/>
      <x:c r="C112" s="30"/>
      <x:c r="D112" s="30"/>
      <x:c r="E112" s="30"/>
      <x:c r="F112" s="30"/>
      <x:c r="G112" s="30"/>
      <x:c r="H112" s="30"/>
      <x:c r="I112" s="30"/>
      <x:c r="J112" s="30"/>
      <x:c r="K112" s="30"/>
      <x:c r="L112" s="30"/>
      <x:c r="M112" s="30"/>
      <x:c r="N112" s="30"/>
      <x:c r="O112" s="30"/>
      <x:c r="P112" s="30"/>
      <x:c r="Q112" s="30"/>
      <x:c r="R112" s="30"/>
      <x:c r="S112" s="30"/>
      <x:c r="T112" s="30"/>
      <x:c r="U112" s="30"/>
      <x:c r="V112" s="30"/>
      <x:c r="W112" s="30"/>
      <x:c r="X112" s="30"/>
    </x:row>
    <x:row r="113" ht="22" customHeight="1">
      <x:c r="A113" s="30"/>
      <x:c r="B113" s="30"/>
      <x:c r="C113" s="30"/>
      <x:c r="D113" s="30"/>
      <x:c r="E113" s="30"/>
      <x:c r="F113" s="30"/>
      <x:c r="G113" s="30"/>
      <x:c r="H113" s="30"/>
      <x:c r="I113" s="30"/>
      <x:c r="J113" s="30"/>
      <x:c r="K113" s="30"/>
      <x:c r="L113" s="30"/>
      <x:c r="M113" s="30"/>
      <x:c r="N113" s="30"/>
      <x:c r="O113" s="30"/>
      <x:c r="P113" s="30"/>
      <x:c r="Q113" s="30"/>
      <x:c r="R113" s="30"/>
      <x:c r="S113" s="30"/>
      <x:c r="T113" s="30"/>
      <x:c r="U113" s="30"/>
      <x:c r="V113" s="30"/>
      <x:c r="W113" s="30"/>
      <x:c r="X113" s="30"/>
    </x:row>
    <x:row r="114" ht="22" customHeight="1">
      <x:c r="A114" s="30"/>
      <x:c r="B114" s="30"/>
      <x:c r="C114" s="30"/>
      <x:c r="D114" s="30"/>
      <x:c r="E114" s="30"/>
      <x:c r="F114" s="30"/>
      <x:c r="G114" s="30"/>
      <x:c r="H114" s="30"/>
      <x:c r="I114" s="30"/>
      <x:c r="J114" s="30"/>
      <x:c r="K114" s="30"/>
      <x:c r="L114" s="30"/>
      <x:c r="M114" s="30"/>
      <x:c r="N114" s="30"/>
      <x:c r="O114" s="30"/>
      <x:c r="P114" s="30"/>
      <x:c r="Q114" s="30"/>
      <x:c r="R114" s="30"/>
      <x:c r="S114" s="30"/>
      <x:c r="T114" s="30"/>
      <x:c r="U114" s="30"/>
      <x:c r="V114" s="30"/>
      <x:c r="W114" s="30"/>
      <x:c r="X114" s="30"/>
    </x:row>
    <x:row r="115" ht="22" customHeight="1">
      <x:c r="A115" s="30"/>
      <x:c r="B115" s="30"/>
      <x:c r="C115" s="30"/>
      <x:c r="D115" s="30"/>
      <x:c r="E115" s="30"/>
      <x:c r="F115" s="30"/>
      <x:c r="G115" s="30"/>
      <x:c r="H115" s="30"/>
      <x:c r="I115" s="30"/>
      <x:c r="J115" s="30"/>
      <x:c r="K115" s="30"/>
      <x:c r="L115" s="30"/>
      <x:c r="M115" s="30"/>
      <x:c r="N115" s="30"/>
      <x:c r="O115" s="30"/>
      <x:c r="P115" s="30"/>
      <x:c r="Q115" s="30"/>
      <x:c r="R115" s="30"/>
      <x:c r="S115" s="30"/>
      <x:c r="T115" s="30"/>
      <x:c r="U115" s="30"/>
      <x:c r="V115" s="30"/>
      <x:c r="W115" s="30"/>
      <x:c r="X115" s="30"/>
    </x:row>
    <x:row r="116" ht="22" customHeight="1">
      <x:c r="A116" s="30"/>
      <x:c r="B116" s="30"/>
      <x:c r="C116" s="30"/>
      <x:c r="D116" s="30"/>
      <x:c r="E116" s="30"/>
      <x:c r="F116" s="30"/>
      <x:c r="G116" s="30"/>
      <x:c r="H116" s="30"/>
      <x:c r="I116" s="30"/>
      <x:c r="J116" s="30"/>
      <x:c r="K116" s="30"/>
      <x:c r="L116" s="30"/>
      <x:c r="M116" s="30"/>
      <x:c r="N116" s="30"/>
      <x:c r="O116" s="30"/>
      <x:c r="P116" s="30"/>
      <x:c r="Q116" s="30"/>
      <x:c r="R116" s="30"/>
      <x:c r="S116" s="30"/>
      <x:c r="T116" s="30"/>
      <x:c r="U116" s="30"/>
      <x:c r="V116" s="30"/>
      <x:c r="W116" s="30"/>
      <x:c r="X116" s="30"/>
    </x:row>
    <x:row r="117" ht="22" customHeight="1">
      <x:c r="A117" s="30"/>
      <x:c r="B117" s="30"/>
      <x:c r="C117" s="30"/>
      <x:c r="D117" s="30"/>
      <x:c r="E117" s="30"/>
      <x:c r="F117" s="30"/>
      <x:c r="G117" s="30"/>
      <x:c r="H117" s="30"/>
      <x:c r="I117" s="30"/>
      <x:c r="J117" s="30"/>
      <x:c r="K117" s="30"/>
      <x:c r="L117" s="30"/>
      <x:c r="M117" s="30"/>
      <x:c r="N117" s="30"/>
      <x:c r="O117" s="30"/>
      <x:c r="P117" s="30"/>
      <x:c r="Q117" s="30"/>
      <x:c r="R117" s="30"/>
      <x:c r="S117" s="30"/>
      <x:c r="T117" s="30"/>
      <x:c r="U117" s="30"/>
      <x:c r="V117" s="30"/>
      <x:c r="W117" s="30"/>
      <x:c r="X117" s="30"/>
    </x:row>
    <x:row r="118" ht="22" customHeight="1">
      <x:c r="A118" s="30"/>
      <x:c r="B118" s="30"/>
      <x:c r="C118" s="30"/>
      <x:c r="D118" s="30"/>
      <x:c r="E118" s="30"/>
      <x:c r="F118" s="30"/>
      <x:c r="G118" s="30"/>
      <x:c r="H118" s="30"/>
      <x:c r="I118" s="30"/>
      <x:c r="J118" s="30"/>
      <x:c r="K118" s="30"/>
      <x:c r="L118" s="30"/>
      <x:c r="M118" s="30"/>
      <x:c r="N118" s="30"/>
      <x:c r="O118" s="30"/>
      <x:c r="P118" s="30"/>
      <x:c r="Q118" s="30"/>
      <x:c r="R118" s="30"/>
      <x:c r="S118" s="30"/>
      <x:c r="T118" s="30"/>
      <x:c r="U118" s="30"/>
      <x:c r="V118" s="30"/>
      <x:c r="W118" s="30"/>
      <x:c r="X118" s="30"/>
    </x:row>
    <x:row r="119" ht="22" customHeight="1">
      <x:c r="A119" s="30"/>
      <x:c r="B119" s="30"/>
      <x:c r="C119" s="30"/>
      <x:c r="D119" s="30"/>
      <x:c r="E119" s="30"/>
      <x:c r="F119" s="30"/>
      <x:c r="G119" s="30"/>
      <x:c r="H119" s="30"/>
      <x:c r="I119" s="30"/>
      <x:c r="J119" s="30"/>
      <x:c r="K119" s="30"/>
      <x:c r="L119" s="30"/>
      <x:c r="M119" s="30"/>
      <x:c r="N119" s="30"/>
      <x:c r="O119" s="30"/>
      <x:c r="P119" s="30"/>
      <x:c r="Q119" s="30"/>
      <x:c r="R119" s="30"/>
      <x:c r="S119" s="30"/>
      <x:c r="T119" s="30"/>
      <x:c r="U119" s="30"/>
      <x:c r="V119" s="30"/>
      <x:c r="W119" s="30"/>
      <x:c r="X119" s="30"/>
    </x:row>
    <x:row r="120" ht="22" customHeight="1">
      <x:c r="A120" s="30"/>
      <x:c r="B120" s="30"/>
      <x:c r="C120" s="30"/>
      <x:c r="D120" s="30"/>
      <x:c r="E120" s="30"/>
      <x:c r="F120" s="30"/>
      <x:c r="G120" s="30"/>
      <x:c r="H120" s="30"/>
      <x:c r="I120" s="30"/>
      <x:c r="J120" s="30"/>
      <x:c r="K120" s="30"/>
      <x:c r="L120" s="30"/>
      <x:c r="M120" s="30"/>
      <x:c r="N120" s="30"/>
      <x:c r="O120" s="30"/>
      <x:c r="P120" s="30"/>
      <x:c r="Q120" s="30"/>
      <x:c r="R120" s="30"/>
      <x:c r="S120" s="30"/>
      <x:c r="T120" s="30"/>
      <x:c r="U120" s="30"/>
      <x:c r="V120" s="30"/>
      <x:c r="W120" s="30"/>
      <x:c r="X120" s="30"/>
    </x:row>
    <x:row r="121" ht="22" customHeight="1">
      <x:c r="A121" s="30"/>
      <x:c r="B121" s="30"/>
      <x:c r="C121" s="30"/>
      <x:c r="D121" s="30"/>
      <x:c r="E121" s="30"/>
      <x:c r="F121" s="30"/>
      <x:c r="G121" s="30"/>
      <x:c r="H121" s="30"/>
      <x:c r="I121" s="30"/>
      <x:c r="J121" s="30"/>
      <x:c r="K121" s="30"/>
      <x:c r="L121" s="30"/>
      <x:c r="M121" s="30"/>
      <x:c r="N121" s="30"/>
      <x:c r="O121" s="30"/>
      <x:c r="P121" s="30"/>
      <x:c r="Q121" s="30"/>
      <x:c r="R121" s="30"/>
      <x:c r="S121" s="30"/>
      <x:c r="T121" s="30"/>
      <x:c r="U121" s="30"/>
      <x:c r="V121" s="30"/>
      <x:c r="W121" s="30"/>
      <x:c r="X121" s="30"/>
    </x:row>
    <x:row r="122" ht="22" customHeight="1">
      <x:c r="A122" s="30"/>
      <x:c r="B122" s="30"/>
      <x:c r="C122" s="30"/>
      <x:c r="D122" s="30"/>
      <x:c r="E122" s="30"/>
      <x:c r="F122" s="30"/>
      <x:c r="G122" s="30"/>
      <x:c r="H122" s="30"/>
      <x:c r="I122" s="30"/>
      <x:c r="J122" s="30"/>
      <x:c r="K122" s="30"/>
      <x:c r="L122" s="30"/>
      <x:c r="M122" s="30"/>
      <x:c r="N122" s="30"/>
      <x:c r="O122" s="30"/>
      <x:c r="P122" s="30"/>
      <x:c r="Q122" s="30"/>
      <x:c r="R122" s="30"/>
      <x:c r="S122" s="30"/>
      <x:c r="T122" s="30"/>
      <x:c r="U122" s="30"/>
      <x:c r="V122" s="30"/>
      <x:c r="W122" s="30"/>
      <x:c r="X122" s="30"/>
    </x:row>
    <x:row r="123" ht="22" customHeight="1">
      <x:c r="A123" s="30"/>
      <x:c r="B123" s="30"/>
      <x:c r="C123" s="30"/>
      <x:c r="D123" s="30"/>
      <x:c r="E123" s="30"/>
      <x:c r="F123" s="30"/>
      <x:c r="G123" s="30"/>
      <x:c r="H123" s="30"/>
      <x:c r="I123" s="30"/>
      <x:c r="J123" s="30"/>
      <x:c r="K123" s="30"/>
      <x:c r="L123" s="30"/>
      <x:c r="M123" s="30"/>
      <x:c r="N123" s="30"/>
      <x:c r="O123" s="30"/>
      <x:c r="P123" s="30"/>
      <x:c r="Q123" s="30"/>
      <x:c r="R123" s="30"/>
      <x:c r="S123" s="30"/>
      <x:c r="T123" s="30"/>
      <x:c r="U123" s="30"/>
      <x:c r="V123" s="30"/>
      <x:c r="W123" s="30"/>
      <x:c r="X123" s="30"/>
    </x:row>
    <x:row r="124" ht="22" customHeight="1">
      <x:c r="A124" s="30"/>
      <x:c r="B124" s="30"/>
      <x:c r="C124" s="30"/>
      <x:c r="D124" s="30"/>
      <x:c r="E124" s="30"/>
      <x:c r="F124" s="30"/>
      <x:c r="G124" s="30"/>
      <x:c r="H124" s="30"/>
      <x:c r="I124" s="30"/>
      <x:c r="J124" s="30"/>
      <x:c r="K124" s="30"/>
      <x:c r="L124" s="30"/>
      <x:c r="M124" s="30"/>
      <x:c r="N124" s="30"/>
      <x:c r="O124" s="30"/>
      <x:c r="P124" s="30"/>
      <x:c r="Q124" s="30"/>
      <x:c r="R124" s="30"/>
      <x:c r="S124" s="30"/>
      <x:c r="T124" s="30"/>
      <x:c r="U124" s="30"/>
      <x:c r="V124" s="30"/>
      <x:c r="W124" s="30"/>
      <x:c r="X124" s="30"/>
    </x:row>
    <x:row r="125" ht="22" customHeight="1">
      <x:c r="A125" s="30"/>
      <x:c r="B125" s="30"/>
      <x:c r="C125" s="30"/>
      <x:c r="D125" s="30"/>
      <x:c r="E125" s="30"/>
      <x:c r="F125" s="30"/>
      <x:c r="G125" s="30"/>
      <x:c r="H125" s="30"/>
      <x:c r="I125" s="30"/>
      <x:c r="J125" s="30"/>
      <x:c r="K125" s="30"/>
      <x:c r="L125" s="30"/>
      <x:c r="M125" s="30"/>
      <x:c r="N125" s="30"/>
      <x:c r="O125" s="30"/>
      <x:c r="P125" s="30"/>
      <x:c r="Q125" s="30"/>
      <x:c r="R125" s="30"/>
      <x:c r="S125" s="30"/>
      <x:c r="T125" s="30"/>
      <x:c r="U125" s="30"/>
      <x:c r="V125" s="30"/>
      <x:c r="W125" s="30"/>
      <x:c r="X125" s="30"/>
    </x:row>
    <x:row r="126" ht="22" customHeight="1">
      <x:c r="A126" s="30"/>
      <x:c r="B126" s="30"/>
      <x:c r="C126" s="30"/>
      <x:c r="D126" s="30"/>
      <x:c r="E126" s="30"/>
      <x:c r="F126" s="30"/>
      <x:c r="G126" s="30"/>
      <x:c r="H126" s="30"/>
      <x:c r="I126" s="30"/>
      <x:c r="J126" s="30"/>
      <x:c r="K126" s="30"/>
      <x:c r="L126" s="30"/>
      <x:c r="M126" s="30"/>
      <x:c r="N126" s="30"/>
      <x:c r="O126" s="30"/>
      <x:c r="P126" s="30"/>
      <x:c r="Q126" s="30"/>
      <x:c r="R126" s="30"/>
      <x:c r="S126" s="30"/>
      <x:c r="T126" s="30"/>
      <x:c r="U126" s="30"/>
      <x:c r="V126" s="30"/>
      <x:c r="W126" s="30"/>
      <x:c r="X126" s="30"/>
    </x:row>
    <x:row r="127" ht="22" customHeight="1">
      <x:c r="A127" s="30"/>
      <x:c r="B127" s="30"/>
      <x:c r="C127" s="30"/>
      <x:c r="D127" s="30"/>
      <x:c r="E127" s="30"/>
      <x:c r="F127" s="30"/>
      <x:c r="G127" s="30"/>
      <x:c r="H127" s="30"/>
      <x:c r="I127" s="30"/>
      <x:c r="J127" s="30"/>
      <x:c r="K127" s="30"/>
      <x:c r="L127" s="30"/>
      <x:c r="M127" s="30"/>
      <x:c r="N127" s="30"/>
      <x:c r="O127" s="30"/>
      <x:c r="P127" s="30"/>
      <x:c r="Q127" s="30"/>
      <x:c r="R127" s="30"/>
      <x:c r="S127" s="30"/>
      <x:c r="T127" s="30"/>
      <x:c r="U127" s="30"/>
      <x:c r="V127" s="30"/>
      <x:c r="W127" s="30"/>
      <x:c r="X127" s="30"/>
    </x:row>
    <x:row r="128" ht="22" customHeight="1">
      <x:c r="A128" s="30"/>
      <x:c r="B128" s="30"/>
      <x:c r="C128" s="30"/>
      <x:c r="D128" s="30"/>
      <x:c r="E128" s="30"/>
      <x:c r="F128" s="30"/>
      <x:c r="G128" s="30"/>
      <x:c r="H128" s="30"/>
      <x:c r="I128" s="30"/>
      <x:c r="J128" s="30"/>
      <x:c r="K128" s="30"/>
      <x:c r="L128" s="30"/>
      <x:c r="M128" s="30"/>
      <x:c r="N128" s="30"/>
      <x:c r="O128" s="30"/>
      <x:c r="P128" s="30"/>
      <x:c r="Q128" s="30"/>
      <x:c r="R128" s="30"/>
      <x:c r="S128" s="30"/>
      <x:c r="T128" s="30"/>
      <x:c r="U128" s="30"/>
      <x:c r="V128" s="30"/>
      <x:c r="W128" s="30"/>
      <x:c r="X128" s="30"/>
    </x:row>
    <x:row r="129" ht="22" customHeight="1">
      <x:c r="A129" s="30"/>
      <x:c r="B129" s="30"/>
      <x:c r="C129" s="30"/>
      <x:c r="D129" s="30"/>
      <x:c r="E129" s="30"/>
      <x:c r="F129" s="30"/>
      <x:c r="G129" s="30"/>
      <x:c r="H129" s="30"/>
      <x:c r="I129" s="30"/>
      <x:c r="J129" s="30"/>
      <x:c r="K129" s="30"/>
      <x:c r="L129" s="30"/>
      <x:c r="M129" s="30"/>
      <x:c r="N129" s="30"/>
      <x:c r="O129" s="30"/>
      <x:c r="P129" s="30"/>
      <x:c r="Q129" s="30"/>
      <x:c r="R129" s="30"/>
      <x:c r="S129" s="30"/>
      <x:c r="T129" s="30"/>
      <x:c r="U129" s="30"/>
      <x:c r="V129" s="30"/>
      <x:c r="W129" s="30"/>
      <x:c r="X129" s="30"/>
    </x:row>
    <x:row r="130" ht="22" customHeight="1">
      <x:c r="A130" s="30"/>
      <x:c r="B130" s="30"/>
      <x:c r="C130" s="30"/>
      <x:c r="D130" s="30"/>
      <x:c r="E130" s="30"/>
      <x:c r="F130" s="30"/>
      <x:c r="G130" s="30"/>
      <x:c r="H130" s="30"/>
      <x:c r="I130" s="30"/>
      <x:c r="J130" s="30"/>
      <x:c r="K130" s="30"/>
      <x:c r="L130" s="30"/>
      <x:c r="M130" s="30"/>
      <x:c r="N130" s="30"/>
      <x:c r="O130" s="30"/>
      <x:c r="P130" s="30"/>
      <x:c r="Q130" s="30"/>
      <x:c r="R130" s="30"/>
      <x:c r="S130" s="30"/>
      <x:c r="T130" s="30"/>
      <x:c r="U130" s="30"/>
      <x:c r="V130" s="30"/>
      <x:c r="W130" s="30"/>
      <x:c r="X130" s="30"/>
    </x:row>
    <x:row r="131" ht="22" customHeight="1">
      <x:c r="A131" s="30"/>
      <x:c r="B131" s="30"/>
      <x:c r="C131" s="30"/>
      <x:c r="D131" s="30"/>
      <x:c r="E131" s="30"/>
      <x:c r="F131" s="30"/>
      <x:c r="G131" s="30"/>
      <x:c r="H131" s="30"/>
      <x:c r="I131" s="30"/>
      <x:c r="J131" s="30"/>
      <x:c r="K131" s="30"/>
      <x:c r="L131" s="30"/>
      <x:c r="M131" s="30"/>
      <x:c r="N131" s="30"/>
      <x:c r="O131" s="30"/>
      <x:c r="P131" s="30"/>
      <x:c r="Q131" s="30"/>
      <x:c r="R131" s="30"/>
      <x:c r="S131" s="30"/>
      <x:c r="T131" s="30"/>
      <x:c r="U131" s="30"/>
      <x:c r="V131" s="30"/>
      <x:c r="W131" s="30"/>
      <x:c r="X131" s="30"/>
    </x:row>
    <x:row r="132" ht="22" customHeight="1">
      <x:c r="A132" s="30"/>
      <x:c r="B132" s="30"/>
      <x:c r="C132" s="30"/>
      <x:c r="D132" s="30"/>
      <x:c r="E132" s="30"/>
      <x:c r="F132" s="30"/>
      <x:c r="G132" s="30"/>
      <x:c r="H132" s="30"/>
      <x:c r="I132" s="30"/>
      <x:c r="J132" s="30"/>
      <x:c r="K132" s="30"/>
      <x:c r="L132" s="30"/>
      <x:c r="M132" s="30"/>
      <x:c r="N132" s="30"/>
      <x:c r="O132" s="30"/>
      <x:c r="P132" s="30"/>
      <x:c r="Q132" s="30"/>
      <x:c r="R132" s="30"/>
      <x:c r="S132" s="30"/>
      <x:c r="T132" s="30"/>
      <x:c r="U132" s="30"/>
      <x:c r="V132" s="30"/>
      <x:c r="W132" s="30"/>
      <x:c r="X132" s="30"/>
    </x:row>
    <x:row r="133" ht="22" customHeight="1">
      <x:c r="A133" s="30"/>
      <x:c r="B133" s="30"/>
      <x:c r="C133" s="30"/>
      <x:c r="D133" s="30"/>
      <x:c r="E133" s="30"/>
      <x:c r="F133" s="30"/>
      <x:c r="G133" s="30"/>
      <x:c r="H133" s="30"/>
      <x:c r="I133" s="30"/>
      <x:c r="J133" s="30"/>
      <x:c r="K133" s="30"/>
      <x:c r="L133" s="30"/>
      <x:c r="M133" s="30"/>
      <x:c r="N133" s="30"/>
      <x:c r="O133" s="30"/>
      <x:c r="P133" s="30"/>
      <x:c r="Q133" s="30"/>
      <x:c r="R133" s="30"/>
      <x:c r="S133" s="30"/>
      <x:c r="T133" s="30"/>
      <x:c r="U133" s="30"/>
      <x:c r="V133" s="30"/>
      <x:c r="W133" s="30"/>
      <x:c r="X133" s="30"/>
    </x:row>
    <x:row r="134" ht="22" customHeight="1">
      <x:c r="A134" s="30"/>
      <x:c r="B134" s="30"/>
      <x:c r="C134" s="30"/>
      <x:c r="D134" s="30"/>
      <x:c r="E134" s="30"/>
      <x:c r="F134" s="30"/>
      <x:c r="G134" s="30"/>
      <x:c r="H134" s="30"/>
      <x:c r="I134" s="30"/>
      <x:c r="J134" s="30"/>
      <x:c r="K134" s="30"/>
      <x:c r="L134" s="30"/>
      <x:c r="M134" s="30"/>
      <x:c r="N134" s="30"/>
      <x:c r="O134" s="30"/>
      <x:c r="P134" s="30"/>
      <x:c r="Q134" s="30"/>
      <x:c r="R134" s="30"/>
      <x:c r="S134" s="30"/>
      <x:c r="T134" s="30"/>
      <x:c r="U134" s="30"/>
      <x:c r="V134" s="30"/>
      <x:c r="W134" s="30"/>
      <x:c r="X134" s="30"/>
    </x:row>
    <x:row r="135" ht="22" customHeight="1">
      <x:c r="A135" s="30"/>
      <x:c r="B135" s="30"/>
      <x:c r="C135" s="30"/>
      <x:c r="D135" s="30"/>
      <x:c r="E135" s="30"/>
      <x:c r="F135" s="30"/>
      <x:c r="G135" s="30"/>
      <x:c r="H135" s="30"/>
      <x:c r="I135" s="30"/>
      <x:c r="J135" s="30"/>
      <x:c r="K135" s="30"/>
      <x:c r="L135" s="30"/>
      <x:c r="M135" s="30"/>
      <x:c r="N135" s="30"/>
      <x:c r="O135" s="30"/>
      <x:c r="P135" s="30"/>
      <x:c r="Q135" s="30"/>
      <x:c r="R135" s="30"/>
      <x:c r="S135" s="30"/>
      <x:c r="T135" s="30"/>
      <x:c r="U135" s="30"/>
      <x:c r="V135" s="30"/>
      <x:c r="W135" s="30"/>
      <x:c r="X135" s="30"/>
    </x:row>
    <x:row r="136" ht="22" customHeight="1">
      <x:c r="A136" s="30"/>
      <x:c r="B136" s="30"/>
      <x:c r="C136" s="30"/>
      <x:c r="D136" s="30"/>
      <x:c r="E136" s="30"/>
      <x:c r="F136" s="30"/>
      <x:c r="G136" s="30"/>
      <x:c r="H136" s="30"/>
      <x:c r="I136" s="30"/>
      <x:c r="J136" s="30"/>
      <x:c r="K136" s="30"/>
      <x:c r="L136" s="30"/>
      <x:c r="M136" s="30"/>
      <x:c r="N136" s="30"/>
      <x:c r="O136" s="30"/>
      <x:c r="P136" s="30"/>
      <x:c r="Q136" s="30"/>
      <x:c r="R136" s="30"/>
      <x:c r="S136" s="30"/>
      <x:c r="T136" s="30"/>
      <x:c r="U136" s="30"/>
      <x:c r="V136" s="30"/>
      <x:c r="W136" s="30"/>
      <x:c r="X136" s="30"/>
    </x:row>
    <x:row r="137" ht="22" customHeight="1">
      <x:c r="A137" s="30"/>
      <x:c r="B137" s="30"/>
      <x:c r="C137" s="30"/>
      <x:c r="D137" s="30"/>
      <x:c r="E137" s="30"/>
      <x:c r="F137" s="30"/>
      <x:c r="G137" s="30"/>
      <x:c r="H137" s="30"/>
      <x:c r="I137" s="30"/>
      <x:c r="J137" s="30"/>
      <x:c r="K137" s="30"/>
      <x:c r="L137" s="30"/>
      <x:c r="M137" s="30"/>
      <x:c r="N137" s="30"/>
      <x:c r="O137" s="30"/>
      <x:c r="P137" s="30"/>
      <x:c r="Q137" s="30"/>
      <x:c r="R137" s="30"/>
      <x:c r="S137" s="30"/>
      <x:c r="T137" s="30"/>
      <x:c r="U137" s="30"/>
      <x:c r="V137" s="30"/>
      <x:c r="W137" s="30"/>
      <x:c r="X137" s="30"/>
    </x:row>
    <x:row r="138" ht="22" customHeight="1">
      <x:c r="A138" s="30"/>
      <x:c r="B138" s="30"/>
      <x:c r="C138" s="30"/>
      <x:c r="D138" s="30"/>
      <x:c r="E138" s="30"/>
      <x:c r="F138" s="30"/>
      <x:c r="G138" s="30"/>
      <x:c r="H138" s="30"/>
      <x:c r="I138" s="30"/>
      <x:c r="J138" s="30"/>
      <x:c r="K138" s="30"/>
      <x:c r="L138" s="30"/>
      <x:c r="M138" s="30"/>
      <x:c r="N138" s="30"/>
      <x:c r="O138" s="30"/>
      <x:c r="P138" s="30"/>
      <x:c r="Q138" s="30"/>
      <x:c r="R138" s="30"/>
      <x:c r="S138" s="30"/>
      <x:c r="T138" s="30"/>
      <x:c r="U138" s="30"/>
      <x:c r="V138" s="30"/>
      <x:c r="W138" s="30"/>
      <x:c r="X138" s="30"/>
    </x:row>
    <x:row r="139" ht="22" customHeight="1">
      <x:c r="A139" s="30"/>
      <x:c r="B139" s="30"/>
      <x:c r="C139" s="30"/>
      <x:c r="D139" s="30"/>
      <x:c r="E139" s="30"/>
      <x:c r="F139" s="30"/>
      <x:c r="G139" s="30"/>
      <x:c r="H139" s="30"/>
      <x:c r="I139" s="30"/>
      <x:c r="J139" s="30"/>
      <x:c r="K139" s="30"/>
      <x:c r="L139" s="30"/>
      <x:c r="M139" s="30"/>
      <x:c r="N139" s="30"/>
      <x:c r="O139" s="30"/>
      <x:c r="P139" s="30"/>
      <x:c r="Q139" s="30"/>
      <x:c r="R139" s="30"/>
      <x:c r="S139" s="30"/>
      <x:c r="T139" s="30"/>
      <x:c r="U139" s="30"/>
      <x:c r="V139" s="30"/>
      <x:c r="W139" s="30"/>
      <x:c r="X139" s="30"/>
    </x:row>
    <x:row r="140" ht="22" customHeight="1">
      <x:c r="A140" s="30"/>
      <x:c r="B140" s="30"/>
      <x:c r="C140" s="30"/>
      <x:c r="D140" s="30"/>
      <x:c r="E140" s="30"/>
      <x:c r="F140" s="30"/>
      <x:c r="G140" s="30"/>
      <x:c r="H140" s="30"/>
      <x:c r="I140" s="30"/>
      <x:c r="J140" s="30"/>
      <x:c r="K140" s="30"/>
      <x:c r="L140" s="30"/>
      <x:c r="M140" s="30"/>
      <x:c r="N140" s="30"/>
      <x:c r="O140" s="30"/>
      <x:c r="P140" s="30"/>
      <x:c r="Q140" s="30"/>
      <x:c r="R140" s="30"/>
      <x:c r="S140" s="30"/>
      <x:c r="T140" s="30"/>
      <x:c r="U140" s="30"/>
      <x:c r="V140" s="30"/>
      <x:c r="W140" s="30"/>
      <x:c r="X140" s="30"/>
    </x:row>
    <x:row r="141" ht="22" customHeight="1">
      <x:c r="A141" s="30"/>
      <x:c r="B141" s="30"/>
      <x:c r="C141" s="30"/>
      <x:c r="D141" s="30"/>
      <x:c r="E141" s="30"/>
      <x:c r="F141" s="30"/>
      <x:c r="G141" s="30"/>
      <x:c r="H141" s="30"/>
      <x:c r="I141" s="30"/>
      <x:c r="J141" s="30"/>
      <x:c r="K141" s="30"/>
      <x:c r="L141" s="30"/>
      <x:c r="M141" s="30"/>
      <x:c r="N141" s="30"/>
      <x:c r="O141" s="30"/>
      <x:c r="P141" s="30"/>
      <x:c r="Q141" s="30"/>
      <x:c r="R141" s="30"/>
      <x:c r="S141" s="30"/>
      <x:c r="T141" s="30"/>
      <x:c r="U141" s="30"/>
      <x:c r="V141" s="30"/>
      <x:c r="W141" s="30"/>
      <x:c r="X141" s="30"/>
    </x:row>
    <x:row r="142" ht="22" customHeight="1">
      <x:c r="A142" s="30"/>
      <x:c r="B142" s="30"/>
      <x:c r="C142" s="30"/>
      <x:c r="D142" s="30"/>
      <x:c r="E142" s="30"/>
      <x:c r="F142" s="30"/>
      <x:c r="G142" s="30"/>
      <x:c r="H142" s="30"/>
      <x:c r="I142" s="30"/>
      <x:c r="J142" s="30"/>
      <x:c r="K142" s="30"/>
      <x:c r="L142" s="30"/>
      <x:c r="M142" s="30"/>
      <x:c r="N142" s="30"/>
      <x:c r="O142" s="30"/>
      <x:c r="P142" s="30"/>
      <x:c r="Q142" s="30"/>
      <x:c r="R142" s="30"/>
      <x:c r="S142" s="30"/>
      <x:c r="T142" s="30"/>
      <x:c r="U142" s="30"/>
      <x:c r="V142" s="30"/>
      <x:c r="W142" s="30"/>
      <x:c r="X142" s="30"/>
    </x:row>
    <x:row r="143" ht="22" customHeight="1">
      <x:c r="A143" s="30"/>
      <x:c r="B143" s="30"/>
      <x:c r="C143" s="30"/>
      <x:c r="D143" s="30"/>
      <x:c r="E143" s="30"/>
      <x:c r="F143" s="30"/>
      <x:c r="G143" s="30"/>
      <x:c r="H143" s="30"/>
      <x:c r="I143" s="30"/>
      <x:c r="J143" s="30"/>
      <x:c r="K143" s="30"/>
      <x:c r="L143" s="30"/>
      <x:c r="M143" s="30"/>
      <x:c r="N143" s="30"/>
      <x:c r="O143" s="30"/>
      <x:c r="P143" s="30"/>
      <x:c r="Q143" s="30"/>
      <x:c r="R143" s="30"/>
      <x:c r="S143" s="30"/>
      <x:c r="T143" s="30"/>
      <x:c r="U143" s="30"/>
      <x:c r="V143" s="30"/>
      <x:c r="W143" s="30"/>
      <x:c r="X143" s="30"/>
    </x:row>
    <x:row r="144" ht="22" customHeight="1">
      <x:c r="A144" s="30"/>
      <x:c r="B144" s="30"/>
      <x:c r="C144" s="30"/>
      <x:c r="D144" s="30"/>
      <x:c r="E144" s="30"/>
      <x:c r="F144" s="30"/>
      <x:c r="G144" s="30"/>
      <x:c r="H144" s="30"/>
      <x:c r="I144" s="30"/>
      <x:c r="J144" s="30"/>
      <x:c r="K144" s="30"/>
      <x:c r="L144" s="30"/>
      <x:c r="M144" s="30"/>
      <x:c r="N144" s="30"/>
      <x:c r="O144" s="30"/>
      <x:c r="P144" s="30"/>
      <x:c r="Q144" s="30"/>
      <x:c r="R144" s="30"/>
      <x:c r="S144" s="30"/>
      <x:c r="T144" s="30"/>
      <x:c r="U144" s="30"/>
      <x:c r="V144" s="30"/>
      <x:c r="W144" s="30"/>
      <x:c r="X144" s="30"/>
    </x:row>
    <x:row r="145" ht="22" customHeight="1">
      <x:c r="A145" s="30"/>
      <x:c r="B145" s="30"/>
      <x:c r="C145" s="30"/>
      <x:c r="D145" s="30"/>
      <x:c r="E145" s="30"/>
      <x:c r="F145" s="30"/>
      <x:c r="G145" s="30"/>
      <x:c r="H145" s="30"/>
      <x:c r="I145" s="30"/>
      <x:c r="J145" s="30"/>
      <x:c r="K145" s="30"/>
      <x:c r="L145" s="30"/>
      <x:c r="M145" s="30"/>
      <x:c r="N145" s="30"/>
      <x:c r="O145" s="30"/>
      <x:c r="P145" s="30"/>
      <x:c r="Q145" s="30"/>
      <x:c r="R145" s="30"/>
      <x:c r="S145" s="30"/>
      <x:c r="T145" s="30"/>
      <x:c r="U145" s="30"/>
      <x:c r="V145" s="30"/>
      <x:c r="W145" s="30"/>
      <x:c r="X145" s="30"/>
    </x:row>
    <x:row r="146" ht="22" customHeight="1">
      <x:c r="A146" s="30"/>
      <x:c r="B146" s="30"/>
      <x:c r="C146" s="30"/>
      <x:c r="D146" s="30"/>
      <x:c r="E146" s="30"/>
      <x:c r="F146" s="30"/>
      <x:c r="G146" s="30"/>
      <x:c r="H146" s="30"/>
      <x:c r="I146" s="30"/>
      <x:c r="J146" s="30"/>
      <x:c r="K146" s="30"/>
      <x:c r="L146" s="30"/>
      <x:c r="M146" s="30"/>
      <x:c r="N146" s="30"/>
      <x:c r="O146" s="30"/>
      <x:c r="P146" s="30"/>
      <x:c r="Q146" s="30"/>
      <x:c r="R146" s="30"/>
      <x:c r="S146" s="30"/>
      <x:c r="T146" s="30"/>
      <x:c r="U146" s="30"/>
      <x:c r="V146" s="30"/>
      <x:c r="W146" s="30"/>
      <x:c r="X146" s="30"/>
    </x:row>
    <x:row r="147" ht="22" customHeight="1">
      <x:c r="A147" s="30"/>
      <x:c r="B147" s="30"/>
      <x:c r="C147" s="30"/>
      <x:c r="D147" s="30"/>
      <x:c r="E147" s="30"/>
      <x:c r="F147" s="30"/>
      <x:c r="G147" s="30"/>
      <x:c r="H147" s="30"/>
      <x:c r="I147" s="30"/>
      <x:c r="J147" s="30"/>
      <x:c r="K147" s="30"/>
      <x:c r="L147" s="30"/>
      <x:c r="M147" s="30"/>
      <x:c r="N147" s="30"/>
      <x:c r="O147" s="30"/>
      <x:c r="P147" s="30"/>
      <x:c r="Q147" s="30"/>
      <x:c r="R147" s="30"/>
      <x:c r="S147" s="30"/>
      <x:c r="T147" s="30"/>
      <x:c r="U147" s="30"/>
      <x:c r="V147" s="30"/>
      <x:c r="W147" s="30"/>
      <x:c r="X147" s="30"/>
    </x:row>
    <x:row r="148" ht="22" customHeight="1">
      <x:c r="A148" s="30"/>
      <x:c r="B148" s="30"/>
      <x:c r="C148" s="30"/>
      <x:c r="D148" s="30"/>
      <x:c r="E148" s="30"/>
      <x:c r="F148" s="30"/>
      <x:c r="G148" s="30"/>
      <x:c r="H148" s="30"/>
      <x:c r="I148" s="30"/>
      <x:c r="J148" s="30"/>
      <x:c r="K148" s="30"/>
      <x:c r="L148" s="30"/>
      <x:c r="M148" s="30"/>
      <x:c r="N148" s="30"/>
      <x:c r="O148" s="30"/>
      <x:c r="P148" s="30"/>
      <x:c r="Q148" s="30"/>
      <x:c r="R148" s="30"/>
      <x:c r="S148" s="30"/>
      <x:c r="T148" s="30"/>
      <x:c r="U148" s="30"/>
      <x:c r="V148" s="30"/>
      <x:c r="W148" s="30"/>
      <x:c r="X148" s="30"/>
    </x:row>
    <x:row r="149" ht="22" customHeight="1">
      <x:c r="A149" s="30"/>
      <x:c r="B149" s="30"/>
      <x:c r="C149" s="30"/>
      <x:c r="D149" s="30"/>
      <x:c r="E149" s="30"/>
      <x:c r="F149" s="30"/>
      <x:c r="G149" s="30"/>
      <x:c r="H149" s="30"/>
      <x:c r="I149" s="30"/>
      <x:c r="J149" s="30"/>
      <x:c r="K149" s="30"/>
      <x:c r="L149" s="30"/>
      <x:c r="M149" s="30"/>
      <x:c r="N149" s="30"/>
      <x:c r="O149" s="30"/>
      <x:c r="P149" s="30"/>
      <x:c r="Q149" s="30"/>
      <x:c r="R149" s="30"/>
      <x:c r="S149" s="30"/>
      <x:c r="T149" s="30"/>
      <x:c r="U149" s="30"/>
      <x:c r="V149" s="30"/>
      <x:c r="W149" s="30"/>
      <x:c r="X149" s="30"/>
    </x:row>
    <x:row r="150" ht="22" customHeight="1">
      <x:c r="A150" s="30"/>
      <x:c r="B150" s="30"/>
      <x:c r="C150" s="30"/>
      <x:c r="D150" s="30"/>
      <x:c r="E150" s="30"/>
      <x:c r="F150" s="30"/>
      <x:c r="G150" s="30"/>
      <x:c r="H150" s="30"/>
      <x:c r="I150" s="30"/>
      <x:c r="J150" s="30"/>
      <x:c r="K150" s="30"/>
      <x:c r="L150" s="30"/>
      <x:c r="M150" s="30"/>
      <x:c r="N150" s="30"/>
      <x:c r="O150" s="30"/>
      <x:c r="P150" s="30"/>
      <x:c r="Q150" s="30"/>
      <x:c r="R150" s="30"/>
      <x:c r="S150" s="30"/>
      <x:c r="T150" s="30"/>
      <x:c r="U150" s="30"/>
      <x:c r="V150" s="30"/>
      <x:c r="W150" s="30"/>
      <x:c r="X150" s="30"/>
    </x:row>
    <x:row r="151" ht="22" customHeight="1">
      <x:c r="A151" s="30"/>
      <x:c r="B151" s="30"/>
      <x:c r="C151" s="30"/>
      <x:c r="D151" s="30"/>
      <x:c r="E151" s="30"/>
      <x:c r="F151" s="30"/>
      <x:c r="G151" s="30"/>
      <x:c r="H151" s="30"/>
      <x:c r="I151" s="30"/>
      <x:c r="J151" s="30"/>
      <x:c r="K151" s="30"/>
      <x:c r="L151" s="30"/>
      <x:c r="M151" s="30"/>
      <x:c r="N151" s="30"/>
      <x:c r="O151" s="30"/>
      <x:c r="P151" s="30"/>
      <x:c r="Q151" s="30"/>
      <x:c r="R151" s="30"/>
      <x:c r="S151" s="30"/>
      <x:c r="T151" s="30"/>
      <x:c r="U151" s="30"/>
      <x:c r="V151" s="30"/>
      <x:c r="W151" s="30"/>
      <x:c r="X151" s="30"/>
    </x:row>
    <x:row r="152" ht="22" customHeight="1">
      <x:c r="A152" s="30"/>
      <x:c r="B152" s="30"/>
      <x:c r="C152" s="30"/>
      <x:c r="D152" s="30"/>
      <x:c r="E152" s="30"/>
      <x:c r="F152" s="30"/>
      <x:c r="G152" s="30"/>
      <x:c r="H152" s="30"/>
      <x:c r="I152" s="30"/>
      <x:c r="J152" s="30"/>
      <x:c r="K152" s="30"/>
      <x:c r="L152" s="30"/>
      <x:c r="M152" s="30"/>
      <x:c r="N152" s="30"/>
      <x:c r="O152" s="30"/>
      <x:c r="P152" s="30"/>
      <x:c r="Q152" s="30"/>
      <x:c r="R152" s="30"/>
      <x:c r="S152" s="30"/>
      <x:c r="T152" s="30"/>
      <x:c r="U152" s="30"/>
      <x:c r="V152" s="30"/>
      <x:c r="W152" s="30"/>
      <x:c r="X152" s="30"/>
    </x:row>
    <x:row r="153" ht="22" customHeight="1">
      <x:c r="A153" s="30"/>
      <x:c r="B153" s="30"/>
      <x:c r="C153" s="30"/>
      <x:c r="D153" s="30"/>
      <x:c r="E153" s="30"/>
      <x:c r="F153" s="30"/>
      <x:c r="G153" s="30"/>
      <x:c r="H153" s="30"/>
      <x:c r="I153" s="30"/>
      <x:c r="J153" s="30"/>
      <x:c r="K153" s="30"/>
      <x:c r="L153" s="30"/>
      <x:c r="M153" s="30"/>
      <x:c r="N153" s="30"/>
      <x:c r="O153" s="30"/>
      <x:c r="P153" s="30"/>
      <x:c r="Q153" s="30"/>
      <x:c r="R153" s="30"/>
      <x:c r="S153" s="30"/>
      <x:c r="T153" s="30"/>
      <x:c r="U153" s="30"/>
      <x:c r="V153" s="30"/>
      <x:c r="W153" s="30"/>
      <x:c r="X153" s="30"/>
    </x:row>
    <x:row r="154" ht="22" customHeight="1">
      <x:c r="A154" s="30"/>
      <x:c r="B154" s="30"/>
      <x:c r="C154" s="30"/>
      <x:c r="D154" s="30"/>
      <x:c r="E154" s="30"/>
      <x:c r="F154" s="30"/>
      <x:c r="G154" s="30"/>
      <x:c r="H154" s="30"/>
      <x:c r="I154" s="30"/>
      <x:c r="J154" s="30"/>
      <x:c r="K154" s="30"/>
      <x:c r="L154" s="30"/>
      <x:c r="M154" s="30"/>
      <x:c r="N154" s="30"/>
      <x:c r="O154" s="30"/>
      <x:c r="P154" s="30"/>
      <x:c r="Q154" s="30"/>
      <x:c r="R154" s="30"/>
      <x:c r="S154" s="30"/>
      <x:c r="T154" s="30"/>
      <x:c r="U154" s="30"/>
      <x:c r="V154" s="30"/>
      <x:c r="W154" s="30"/>
      <x:c r="X154" s="30"/>
    </x:row>
    <x:row r="155" ht="22" customHeight="1">
      <x:c r="A155" s="30"/>
      <x:c r="B155" s="30"/>
      <x:c r="C155" s="30"/>
      <x:c r="D155" s="30"/>
      <x:c r="E155" s="30"/>
      <x:c r="F155" s="30"/>
      <x:c r="G155" s="30"/>
      <x:c r="H155" s="30"/>
      <x:c r="I155" s="30"/>
      <x:c r="J155" s="30"/>
      <x:c r="K155" s="30"/>
      <x:c r="L155" s="30"/>
      <x:c r="M155" s="30"/>
      <x:c r="N155" s="30"/>
      <x:c r="O155" s="30"/>
      <x:c r="P155" s="30"/>
      <x:c r="Q155" s="30"/>
      <x:c r="R155" s="30"/>
      <x:c r="S155" s="30"/>
      <x:c r="T155" s="30"/>
      <x:c r="U155" s="30"/>
      <x:c r="V155" s="30"/>
      <x:c r="W155" s="30"/>
      <x:c r="X155" s="30"/>
    </x:row>
    <x:row r="156" ht="22" customHeight="1">
      <x:c r="A156" s="30"/>
      <x:c r="B156" s="30"/>
      <x:c r="C156" s="30"/>
      <x:c r="D156" s="30"/>
      <x:c r="E156" s="30"/>
      <x:c r="F156" s="30"/>
      <x:c r="G156" s="30"/>
      <x:c r="H156" s="30"/>
      <x:c r="I156" s="30"/>
      <x:c r="J156" s="30"/>
      <x:c r="K156" s="30"/>
      <x:c r="L156" s="30"/>
      <x:c r="M156" s="30"/>
      <x:c r="N156" s="30"/>
      <x:c r="O156" s="30"/>
      <x:c r="P156" s="30"/>
      <x:c r="Q156" s="30"/>
      <x:c r="R156" s="30"/>
      <x:c r="S156" s="30"/>
      <x:c r="T156" s="30"/>
      <x:c r="U156" s="30"/>
      <x:c r="V156" s="30"/>
      <x:c r="W156" s="30"/>
      <x:c r="X156" s="30"/>
    </x:row>
    <x:row r="157" ht="22" customHeight="1">
      <x:c r="A157" s="30"/>
      <x:c r="B157" s="30"/>
      <x:c r="C157" s="30"/>
      <x:c r="D157" s="30"/>
      <x:c r="E157" s="30"/>
      <x:c r="F157" s="30"/>
      <x:c r="G157" s="30"/>
      <x:c r="H157" s="30"/>
      <x:c r="I157" s="30"/>
      <x:c r="J157" s="30"/>
      <x:c r="K157" s="30"/>
      <x:c r="L157" s="30"/>
      <x:c r="M157" s="30"/>
      <x:c r="N157" s="30"/>
      <x:c r="O157" s="30"/>
      <x:c r="P157" s="30"/>
      <x:c r="Q157" s="30"/>
      <x:c r="R157" s="30"/>
      <x:c r="S157" s="30"/>
      <x:c r="T157" s="30"/>
      <x:c r="U157" s="30"/>
      <x:c r="V157" s="30"/>
      <x:c r="W157" s="30"/>
      <x:c r="X157" s="30"/>
    </x:row>
    <x:row r="158" ht="22" customHeight="1">
      <x:c r="A158" s="30"/>
      <x:c r="B158" s="30"/>
      <x:c r="C158" s="30"/>
      <x:c r="D158" s="30"/>
      <x:c r="E158" s="30"/>
      <x:c r="F158" s="30"/>
      <x:c r="G158" s="30"/>
      <x:c r="H158" s="30"/>
      <x:c r="I158" s="30"/>
      <x:c r="J158" s="30"/>
      <x:c r="K158" s="30"/>
      <x:c r="L158" s="30"/>
      <x:c r="M158" s="30"/>
      <x:c r="N158" s="30"/>
      <x:c r="O158" s="30"/>
      <x:c r="P158" s="30"/>
      <x:c r="Q158" s="30"/>
      <x:c r="R158" s="30"/>
      <x:c r="S158" s="30"/>
      <x:c r="T158" s="30"/>
      <x:c r="U158" s="30"/>
      <x:c r="V158" s="30"/>
      <x:c r="W158" s="30"/>
      <x:c r="X158" s="30"/>
    </x:row>
    <x:row r="159" ht="22" customHeight="1">
      <x:c r="A159" s="30"/>
      <x:c r="B159" s="30"/>
      <x:c r="C159" s="30"/>
      <x:c r="D159" s="30"/>
      <x:c r="E159" s="30"/>
      <x:c r="F159" s="30"/>
      <x:c r="G159" s="30"/>
      <x:c r="H159" s="30"/>
      <x:c r="I159" s="30"/>
      <x:c r="J159" s="30"/>
      <x:c r="K159" s="30"/>
      <x:c r="L159" s="30"/>
      <x:c r="M159" s="30"/>
      <x:c r="N159" s="30"/>
      <x:c r="O159" s="30"/>
      <x:c r="P159" s="30"/>
      <x:c r="Q159" s="30"/>
      <x:c r="R159" s="30"/>
      <x:c r="S159" s="30"/>
      <x:c r="T159" s="30"/>
      <x:c r="U159" s="30"/>
      <x:c r="V159" s="30"/>
      <x:c r="W159" s="30"/>
      <x:c r="X159" s="30"/>
    </x:row>
    <x:row r="160" ht="22" customHeight="1">
      <x:c r="A160" s="30"/>
      <x:c r="B160" s="30"/>
      <x:c r="C160" s="30"/>
      <x:c r="D160" s="30"/>
      <x:c r="E160" s="30"/>
      <x:c r="F160" s="30"/>
      <x:c r="G160" s="30"/>
      <x:c r="H160" s="30"/>
      <x:c r="I160" s="30"/>
      <x:c r="J160" s="30"/>
      <x:c r="K160" s="30"/>
      <x:c r="L160" s="30"/>
      <x:c r="M160" s="30"/>
      <x:c r="N160" s="30"/>
      <x:c r="O160" s="30"/>
      <x:c r="P160" s="30"/>
      <x:c r="Q160" s="30"/>
      <x:c r="R160" s="30"/>
      <x:c r="S160" s="30"/>
      <x:c r="T160" s="30"/>
      <x:c r="U160" s="30"/>
      <x:c r="V160" s="30"/>
      <x:c r="W160" s="30"/>
      <x:c r="X160" s="30"/>
    </x:row>
    <x:row r="161" ht="22" customHeight="1">
      <x:c r="A161" s="30"/>
      <x:c r="B161" s="30"/>
      <x:c r="C161" s="30"/>
      <x:c r="D161" s="30"/>
      <x:c r="E161" s="30"/>
      <x:c r="F161" s="30"/>
      <x:c r="G161" s="30"/>
      <x:c r="H161" s="30"/>
      <x:c r="I161" s="30"/>
      <x:c r="J161" s="30"/>
      <x:c r="K161" s="30"/>
      <x:c r="L161" s="30"/>
      <x:c r="M161" s="30"/>
      <x:c r="N161" s="30"/>
      <x:c r="O161" s="30"/>
      <x:c r="P161" s="30"/>
      <x:c r="Q161" s="30"/>
      <x:c r="R161" s="30"/>
      <x:c r="S161" s="30"/>
      <x:c r="T161" s="30"/>
      <x:c r="U161" s="30"/>
      <x:c r="V161" s="30"/>
      <x:c r="W161" s="30"/>
      <x:c r="X161" s="30"/>
    </x:row>
    <x:row r="162" ht="22" customHeight="1">
      <x:c r="A162" s="30"/>
      <x:c r="B162" s="30"/>
      <x:c r="C162" s="30"/>
      <x:c r="D162" s="30"/>
      <x:c r="E162" s="30"/>
      <x:c r="F162" s="30"/>
      <x:c r="G162" s="30"/>
      <x:c r="H162" s="30"/>
      <x:c r="I162" s="30"/>
      <x:c r="J162" s="30"/>
      <x:c r="K162" s="30"/>
      <x:c r="L162" s="30"/>
      <x:c r="M162" s="30"/>
      <x:c r="N162" s="30"/>
      <x:c r="O162" s="30"/>
      <x:c r="P162" s="30"/>
      <x:c r="Q162" s="30"/>
      <x:c r="R162" s="30"/>
      <x:c r="S162" s="30"/>
      <x:c r="T162" s="30"/>
      <x:c r="U162" s="30"/>
      <x:c r="V162" s="30"/>
      <x:c r="W162" s="30"/>
      <x:c r="X162" s="30"/>
    </x:row>
    <x:row r="163" ht="22" customHeight="1">
      <x:c r="A163" s="30"/>
      <x:c r="B163" s="30"/>
      <x:c r="C163" s="30"/>
      <x:c r="D163" s="30"/>
      <x:c r="E163" s="30"/>
      <x:c r="F163" s="30"/>
      <x:c r="G163" s="30"/>
      <x:c r="H163" s="30"/>
      <x:c r="I163" s="30"/>
      <x:c r="J163" s="30"/>
      <x:c r="K163" s="30"/>
      <x:c r="L163" s="30"/>
      <x:c r="M163" s="30"/>
      <x:c r="N163" s="30"/>
      <x:c r="O163" s="30"/>
      <x:c r="P163" s="30"/>
      <x:c r="Q163" s="30"/>
      <x:c r="R163" s="30"/>
      <x:c r="S163" s="30"/>
      <x:c r="T163" s="30"/>
      <x:c r="U163" s="30"/>
      <x:c r="V163" s="30"/>
      <x:c r="W163" s="30"/>
      <x:c r="X163" s="30"/>
    </x:row>
    <x:row r="164" ht="22" customHeight="1">
      <x:c r="A164" s="30"/>
      <x:c r="B164" s="30"/>
      <x:c r="C164" s="30"/>
      <x:c r="D164" s="30"/>
      <x:c r="E164" s="30"/>
      <x:c r="F164" s="30"/>
      <x:c r="G164" s="30"/>
      <x:c r="H164" s="30"/>
      <x:c r="I164" s="30"/>
      <x:c r="J164" s="30"/>
      <x:c r="K164" s="30"/>
      <x:c r="L164" s="30"/>
      <x:c r="M164" s="30"/>
      <x:c r="N164" s="30"/>
      <x:c r="O164" s="30"/>
      <x:c r="P164" s="30"/>
      <x:c r="Q164" s="30"/>
      <x:c r="R164" s="30"/>
      <x:c r="S164" s="30"/>
      <x:c r="T164" s="30"/>
      <x:c r="U164" s="30"/>
      <x:c r="V164" s="30"/>
      <x:c r="W164" s="30"/>
      <x:c r="X164" s="30"/>
    </x:row>
    <x:row r="165" ht="22" customHeight="1">
      <x:c r="A165" s="30"/>
      <x:c r="B165" s="30"/>
      <x:c r="C165" s="30"/>
      <x:c r="D165" s="30"/>
      <x:c r="E165" s="30"/>
      <x:c r="F165" s="30"/>
      <x:c r="G165" s="30"/>
      <x:c r="H165" s="30"/>
      <x:c r="I165" s="30"/>
      <x:c r="J165" s="30"/>
      <x:c r="K165" s="30"/>
      <x:c r="L165" s="30"/>
      <x:c r="M165" s="30"/>
      <x:c r="N165" s="30"/>
      <x:c r="O165" s="30"/>
      <x:c r="P165" s="30"/>
      <x:c r="Q165" s="30"/>
      <x:c r="R165" s="30"/>
      <x:c r="S165" s="30"/>
      <x:c r="T165" s="30"/>
      <x:c r="U165" s="30"/>
      <x:c r="V165" s="30"/>
      <x:c r="W165" s="30"/>
      <x:c r="X165" s="30"/>
    </x:row>
    <x:row r="166" ht="22" customHeight="1">
      <x:c r="A166" s="30"/>
      <x:c r="B166" s="30"/>
      <x:c r="C166" s="30"/>
      <x:c r="D166" s="30"/>
      <x:c r="E166" s="30"/>
      <x:c r="F166" s="30"/>
      <x:c r="G166" s="30"/>
      <x:c r="H166" s="30"/>
      <x:c r="I166" s="30"/>
      <x:c r="J166" s="30"/>
      <x:c r="K166" s="30"/>
      <x:c r="L166" s="30"/>
      <x:c r="M166" s="30"/>
      <x:c r="N166" s="30"/>
      <x:c r="O166" s="30"/>
      <x:c r="P166" s="30"/>
      <x:c r="Q166" s="30"/>
      <x:c r="R166" s="30"/>
      <x:c r="S166" s="30"/>
      <x:c r="T166" s="30"/>
      <x:c r="U166" s="30"/>
      <x:c r="V166" s="30"/>
      <x:c r="W166" s="30"/>
      <x:c r="X166" s="30"/>
    </x:row>
    <x:row r="167" ht="22" customHeight="1">
      <x:c r="A167" s="30"/>
      <x:c r="B167" s="30"/>
      <x:c r="C167" s="30"/>
      <x:c r="D167" s="30"/>
      <x:c r="E167" s="30"/>
      <x:c r="F167" s="30"/>
      <x:c r="G167" s="30"/>
      <x:c r="H167" s="30"/>
      <x:c r="I167" s="30"/>
      <x:c r="J167" s="30"/>
      <x:c r="K167" s="30"/>
      <x:c r="L167" s="30"/>
      <x:c r="M167" s="30"/>
      <x:c r="N167" s="30"/>
      <x:c r="O167" s="30"/>
      <x:c r="P167" s="30"/>
      <x:c r="Q167" s="30"/>
      <x:c r="R167" s="30"/>
      <x:c r="S167" s="30"/>
      <x:c r="T167" s="30"/>
      <x:c r="U167" s="30"/>
      <x:c r="V167" s="30"/>
      <x:c r="W167" s="30"/>
      <x:c r="X167" s="30"/>
    </x:row>
    <x:row r="168" ht="22" customHeight="1">
      <x:c r="A168" s="30"/>
      <x:c r="B168" s="30"/>
      <x:c r="C168" s="30"/>
      <x:c r="D168" s="30"/>
      <x:c r="E168" s="30"/>
      <x:c r="F168" s="30"/>
      <x:c r="G168" s="30"/>
      <x:c r="H168" s="30"/>
      <x:c r="I168" s="30"/>
      <x:c r="J168" s="30"/>
      <x:c r="K168" s="30"/>
      <x:c r="L168" s="30"/>
      <x:c r="M168" s="30"/>
      <x:c r="N168" s="30"/>
      <x:c r="O168" s="30"/>
      <x:c r="P168" s="30"/>
      <x:c r="Q168" s="30"/>
      <x:c r="R168" s="30"/>
      <x:c r="S168" s="30"/>
      <x:c r="T168" s="30"/>
      <x:c r="U168" s="30"/>
      <x:c r="V168" s="30"/>
      <x:c r="W168" s="30"/>
      <x:c r="X168" s="30"/>
    </x:row>
    <x:row r="169" ht="22" customHeight="1">
      <x:c r="A169" s="30"/>
      <x:c r="B169" s="30"/>
      <x:c r="C169" s="30"/>
      <x:c r="D169" s="30"/>
      <x:c r="E169" s="30"/>
      <x:c r="F169" s="30"/>
      <x:c r="G169" s="30"/>
      <x:c r="H169" s="30"/>
      <x:c r="I169" s="30"/>
      <x:c r="J169" s="30"/>
      <x:c r="K169" s="30"/>
      <x:c r="L169" s="30"/>
      <x:c r="M169" s="30"/>
      <x:c r="N169" s="30"/>
      <x:c r="O169" s="30"/>
      <x:c r="P169" s="30"/>
      <x:c r="Q169" s="30"/>
      <x:c r="R169" s="30"/>
      <x:c r="S169" s="30"/>
      <x:c r="T169" s="30"/>
      <x:c r="U169" s="30"/>
      <x:c r="V169" s="30"/>
      <x:c r="W169" s="30"/>
      <x:c r="X169" s="30"/>
    </x:row>
    <x:row r="170" ht="22" customHeight="1">
      <x:c r="A170" s="30"/>
      <x:c r="B170" s="30"/>
      <x:c r="C170" s="30"/>
      <x:c r="D170" s="30"/>
      <x:c r="E170" s="30"/>
      <x:c r="F170" s="30"/>
      <x:c r="G170" s="30"/>
      <x:c r="H170" s="30"/>
      <x:c r="I170" s="30"/>
      <x:c r="J170" s="30"/>
      <x:c r="K170" s="30"/>
      <x:c r="L170" s="30"/>
      <x:c r="M170" s="30"/>
      <x:c r="N170" s="30"/>
      <x:c r="O170" s="30"/>
      <x:c r="P170" s="30"/>
      <x:c r="Q170" s="30"/>
      <x:c r="R170" s="30"/>
      <x:c r="S170" s="30"/>
      <x:c r="T170" s="30"/>
      <x:c r="U170" s="30"/>
      <x:c r="V170" s="30"/>
      <x:c r="W170" s="30"/>
      <x:c r="X170" s="30"/>
    </x:row>
    <x:row r="171" ht="22" customHeight="1">
      <x:c r="A171" s="30"/>
      <x:c r="B171" s="30"/>
      <x:c r="C171" s="30"/>
      <x:c r="D171" s="30"/>
      <x:c r="E171" s="30"/>
      <x:c r="F171" s="30"/>
      <x:c r="G171" s="30"/>
      <x:c r="H171" s="30"/>
      <x:c r="I171" s="30"/>
      <x:c r="J171" s="30"/>
      <x:c r="K171" s="30"/>
      <x:c r="L171" s="30"/>
      <x:c r="M171" s="30"/>
      <x:c r="N171" s="30"/>
      <x:c r="O171" s="30"/>
      <x:c r="P171" s="30"/>
      <x:c r="Q171" s="30"/>
      <x:c r="R171" s="30"/>
      <x:c r="S171" s="30"/>
      <x:c r="T171" s="30"/>
      <x:c r="U171" s="30"/>
      <x:c r="V171" s="30"/>
      <x:c r="W171" s="30"/>
      <x:c r="X171" s="30"/>
    </x:row>
    <x:row r="172" ht="22" customHeight="1">
      <x:c r="A172" s="30"/>
      <x:c r="B172" s="30"/>
      <x:c r="C172" s="30"/>
      <x:c r="D172" s="30"/>
      <x:c r="E172" s="30"/>
      <x:c r="F172" s="30"/>
      <x:c r="G172" s="30"/>
      <x:c r="H172" s="30"/>
      <x:c r="I172" s="30"/>
      <x:c r="J172" s="30"/>
      <x:c r="K172" s="30"/>
      <x:c r="L172" s="30"/>
      <x:c r="M172" s="30"/>
      <x:c r="N172" s="30"/>
      <x:c r="O172" s="30"/>
      <x:c r="P172" s="30"/>
      <x:c r="Q172" s="30"/>
      <x:c r="R172" s="30"/>
      <x:c r="S172" s="30"/>
      <x:c r="T172" s="30"/>
      <x:c r="U172" s="30"/>
      <x:c r="V172" s="30"/>
      <x:c r="W172" s="30"/>
      <x:c r="X172" s="30"/>
    </x:row>
    <x:row r="173" ht="22" customHeight="1">
      <x:c r="A173" s="30"/>
      <x:c r="B173" s="30"/>
      <x:c r="C173" s="30"/>
      <x:c r="D173" s="30"/>
      <x:c r="E173" s="30"/>
      <x:c r="F173" s="30"/>
      <x:c r="G173" s="30"/>
      <x:c r="H173" s="30"/>
      <x:c r="I173" s="30"/>
      <x:c r="J173" s="30"/>
      <x:c r="K173" s="30"/>
      <x:c r="L173" s="30"/>
      <x:c r="M173" s="30"/>
      <x:c r="N173" s="30"/>
      <x:c r="O173" s="30"/>
      <x:c r="P173" s="30"/>
      <x:c r="Q173" s="30"/>
      <x:c r="R173" s="30"/>
      <x:c r="S173" s="30"/>
      <x:c r="T173" s="30"/>
      <x:c r="U173" s="30"/>
      <x:c r="V173" s="30"/>
      <x:c r="W173" s="30"/>
      <x:c r="X173" s="30"/>
    </x:row>
    <x:row r="174" ht="22" customHeight="1">
      <x:c r="A174" s="30"/>
      <x:c r="B174" s="30"/>
      <x:c r="C174" s="30"/>
      <x:c r="D174" s="30"/>
      <x:c r="E174" s="30"/>
      <x:c r="F174" s="30"/>
      <x:c r="G174" s="30"/>
      <x:c r="H174" s="30"/>
      <x:c r="I174" s="30"/>
      <x:c r="J174" s="30"/>
      <x:c r="K174" s="30"/>
      <x:c r="L174" s="30"/>
      <x:c r="M174" s="30"/>
      <x:c r="N174" s="30"/>
      <x:c r="O174" s="30"/>
      <x:c r="P174" s="30"/>
      <x:c r="Q174" s="30"/>
      <x:c r="R174" s="30"/>
      <x:c r="S174" s="30"/>
      <x:c r="T174" s="30"/>
      <x:c r="U174" s="30"/>
      <x:c r="V174" s="30"/>
      <x:c r="W174" s="30"/>
      <x:c r="X174" s="30"/>
    </x:row>
    <x:row r="175" ht="22" customHeight="1">
      <x:c r="A175" s="30"/>
      <x:c r="B175" s="30"/>
      <x:c r="C175" s="30"/>
      <x:c r="D175" s="30"/>
      <x:c r="E175" s="30"/>
      <x:c r="F175" s="30"/>
      <x:c r="G175" s="30"/>
      <x:c r="H175" s="30"/>
      <x:c r="I175" s="30"/>
      <x:c r="J175" s="30"/>
      <x:c r="K175" s="30"/>
      <x:c r="L175" s="30"/>
      <x:c r="M175" s="30"/>
      <x:c r="N175" s="30"/>
      <x:c r="O175" s="30"/>
      <x:c r="P175" s="30"/>
      <x:c r="Q175" s="30"/>
      <x:c r="R175" s="30"/>
      <x:c r="S175" s="30"/>
      <x:c r="T175" s="30"/>
      <x:c r="U175" s="30"/>
      <x:c r="V175" s="30"/>
      <x:c r="W175" s="30"/>
      <x:c r="X175" s="30"/>
    </x:row>
    <x:row r="176" ht="22" customHeight="1">
      <x:c r="A176" s="30"/>
      <x:c r="B176" s="30"/>
      <x:c r="C176" s="30"/>
      <x:c r="D176" s="30"/>
      <x:c r="E176" s="30"/>
      <x:c r="F176" s="30"/>
      <x:c r="G176" s="30"/>
      <x:c r="H176" s="30"/>
      <x:c r="I176" s="30"/>
      <x:c r="J176" s="30"/>
      <x:c r="K176" s="30"/>
      <x:c r="L176" s="30"/>
      <x:c r="M176" s="30"/>
      <x:c r="N176" s="30"/>
      <x:c r="O176" s="30"/>
      <x:c r="P176" s="30"/>
      <x:c r="Q176" s="30"/>
      <x:c r="R176" s="30"/>
      <x:c r="S176" s="30"/>
      <x:c r="T176" s="30"/>
      <x:c r="U176" s="30"/>
      <x:c r="V176" s="30"/>
      <x:c r="W176" s="30"/>
      <x:c r="X176" s="30"/>
    </x:row>
    <x:row r="177" ht="22" customHeight="1">
      <x:c r="A177" s="30"/>
      <x:c r="B177" s="30"/>
      <x:c r="C177" s="30"/>
      <x:c r="D177" s="30"/>
      <x:c r="E177" s="30"/>
      <x:c r="F177" s="30"/>
      <x:c r="G177" s="30"/>
      <x:c r="H177" s="30"/>
      <x:c r="I177" s="30"/>
      <x:c r="J177" s="30"/>
      <x:c r="K177" s="30"/>
      <x:c r="L177" s="30"/>
      <x:c r="M177" s="30"/>
      <x:c r="N177" s="30"/>
      <x:c r="O177" s="30"/>
      <x:c r="P177" s="30"/>
      <x:c r="Q177" s="30"/>
      <x:c r="R177" s="30"/>
      <x:c r="S177" s="30"/>
      <x:c r="T177" s="30"/>
      <x:c r="U177" s="30"/>
      <x:c r="V177" s="30"/>
      <x:c r="W177" s="30"/>
      <x:c r="X177" s="30"/>
    </x:row>
    <x:row r="178" ht="22" customHeight="1">
      <x:c r="A178" s="30"/>
      <x:c r="B178" s="30"/>
      <x:c r="C178" s="30"/>
      <x:c r="D178" s="30"/>
      <x:c r="E178" s="30"/>
      <x:c r="F178" s="30"/>
      <x:c r="G178" s="30"/>
      <x:c r="H178" s="30"/>
      <x:c r="I178" s="30"/>
      <x:c r="J178" s="30"/>
      <x:c r="K178" s="30"/>
      <x:c r="L178" s="30"/>
      <x:c r="M178" s="30"/>
      <x:c r="N178" s="30"/>
      <x:c r="O178" s="30"/>
      <x:c r="P178" s="30"/>
      <x:c r="Q178" s="30"/>
      <x:c r="R178" s="30"/>
      <x:c r="S178" s="30"/>
      <x:c r="T178" s="30"/>
      <x:c r="U178" s="30"/>
      <x:c r="V178" s="30"/>
      <x:c r="W178" s="30"/>
      <x:c r="X178" s="30"/>
    </x:row>
    <x:row r="179" ht="22" customHeight="1">
      <x:c r="A179" s="30"/>
      <x:c r="B179" s="30"/>
      <x:c r="C179" s="30"/>
      <x:c r="D179" s="30"/>
      <x:c r="E179" s="30"/>
      <x:c r="F179" s="30"/>
      <x:c r="G179" s="30"/>
      <x:c r="H179" s="30"/>
      <x:c r="I179" s="30"/>
      <x:c r="J179" s="30"/>
      <x:c r="K179" s="30"/>
      <x:c r="L179" s="30"/>
      <x:c r="M179" s="30"/>
      <x:c r="N179" s="30"/>
      <x:c r="O179" s="30"/>
      <x:c r="P179" s="30"/>
      <x:c r="Q179" s="30"/>
      <x:c r="R179" s="30"/>
      <x:c r="S179" s="30"/>
      <x:c r="T179" s="30"/>
      <x:c r="U179" s="30"/>
      <x:c r="V179" s="30"/>
      <x:c r="W179" s="30"/>
      <x:c r="X179" s="30"/>
    </x:row>
    <x:row r="180" ht="22" customHeight="1">
      <x:c r="A180" s="30"/>
      <x:c r="B180" s="30"/>
      <x:c r="C180" s="30"/>
      <x:c r="D180" s="30"/>
      <x:c r="E180" s="30"/>
      <x:c r="F180" s="30"/>
      <x:c r="G180" s="30"/>
      <x:c r="H180" s="30"/>
      <x:c r="I180" s="30"/>
      <x:c r="J180" s="30"/>
      <x:c r="K180" s="30"/>
      <x:c r="L180" s="30"/>
      <x:c r="M180" s="30"/>
      <x:c r="N180" s="30"/>
      <x:c r="O180" s="30"/>
      <x:c r="P180" s="30"/>
      <x:c r="Q180" s="30"/>
      <x:c r="R180" s="30"/>
      <x:c r="S180" s="30"/>
      <x:c r="T180" s="30"/>
      <x:c r="U180" s="30"/>
      <x:c r="V180" s="30"/>
      <x:c r="W180" s="30"/>
      <x:c r="X180" s="30"/>
    </x:row>
    <x:row r="181" ht="22" customHeight="1">
      <x:c r="A181" s="30"/>
      <x:c r="B181" s="30"/>
      <x:c r="C181" s="30"/>
      <x:c r="D181" s="30"/>
      <x:c r="E181" s="30"/>
      <x:c r="F181" s="30"/>
      <x:c r="G181" s="30"/>
      <x:c r="H181" s="30"/>
      <x:c r="I181" s="30"/>
      <x:c r="J181" s="30"/>
      <x:c r="K181" s="30"/>
      <x:c r="L181" s="30"/>
      <x:c r="M181" s="30"/>
      <x:c r="N181" s="30"/>
      <x:c r="O181" s="30"/>
      <x:c r="P181" s="30"/>
      <x:c r="Q181" s="30"/>
      <x:c r="R181" s="30"/>
      <x:c r="S181" s="30"/>
      <x:c r="T181" s="30"/>
      <x:c r="U181" s="30"/>
      <x:c r="V181" s="30"/>
      <x:c r="W181" s="30"/>
      <x:c r="X181" s="30"/>
    </x:row>
    <x:row r="182" ht="22" customHeight="1">
      <x:c r="A182" s="30"/>
      <x:c r="B182" s="30"/>
      <x:c r="C182" s="30"/>
      <x:c r="D182" s="30"/>
      <x:c r="E182" s="30"/>
      <x:c r="F182" s="30"/>
      <x:c r="G182" s="30"/>
      <x:c r="H182" s="30"/>
      <x:c r="I182" s="30"/>
      <x:c r="J182" s="30"/>
      <x:c r="K182" s="30"/>
      <x:c r="L182" s="30"/>
      <x:c r="M182" s="30"/>
      <x:c r="N182" s="30"/>
      <x:c r="O182" s="30"/>
      <x:c r="P182" s="30"/>
      <x:c r="Q182" s="30"/>
      <x:c r="R182" s="30"/>
      <x:c r="S182" s="30"/>
      <x:c r="T182" s="30"/>
      <x:c r="U182" s="30"/>
      <x:c r="V182" s="30"/>
      <x:c r="W182" s="30"/>
      <x:c r="X182" s="30"/>
    </x:row>
    <x:row r="183" ht="22" customHeight="1">
      <x:c r="A183" s="30"/>
      <x:c r="B183" s="30"/>
      <x:c r="C183" s="30"/>
      <x:c r="D183" s="30"/>
      <x:c r="E183" s="30"/>
      <x:c r="F183" s="30"/>
      <x:c r="G183" s="30"/>
      <x:c r="H183" s="30"/>
      <x:c r="I183" s="30"/>
      <x:c r="J183" s="30"/>
      <x:c r="K183" s="30"/>
      <x:c r="L183" s="30"/>
      <x:c r="M183" s="30"/>
      <x:c r="N183" s="30"/>
      <x:c r="O183" s="30"/>
      <x:c r="P183" s="30"/>
      <x:c r="Q183" s="30"/>
      <x:c r="R183" s="30"/>
      <x:c r="S183" s="30"/>
      <x:c r="T183" s="30"/>
      <x:c r="U183" s="30"/>
      <x:c r="V183" s="30"/>
      <x:c r="W183" s="30"/>
      <x:c r="X183" s="30"/>
    </x:row>
    <x:row r="184" ht="22" customHeight="1">
      <x:c r="A184" s="30"/>
      <x:c r="B184" s="30"/>
      <x:c r="C184" s="30"/>
      <x:c r="D184" s="30"/>
      <x:c r="E184" s="30"/>
      <x:c r="F184" s="30"/>
      <x:c r="G184" s="30"/>
      <x:c r="H184" s="30"/>
      <x:c r="I184" s="30"/>
      <x:c r="J184" s="30"/>
      <x:c r="K184" s="30"/>
      <x:c r="L184" s="30"/>
      <x:c r="M184" s="30"/>
      <x:c r="N184" s="30"/>
      <x:c r="O184" s="30"/>
      <x:c r="P184" s="30"/>
      <x:c r="Q184" s="30"/>
      <x:c r="R184" s="30"/>
      <x:c r="S184" s="30"/>
      <x:c r="T184" s="30"/>
      <x:c r="U184" s="30"/>
      <x:c r="V184" s="30"/>
      <x:c r="W184" s="30"/>
      <x:c r="X184" s="30"/>
    </x:row>
    <x:row r="185" ht="22" customHeight="1">
      <x:c r="A185" s="30"/>
      <x:c r="B185" s="30"/>
      <x:c r="C185" s="30"/>
      <x:c r="D185" s="30"/>
      <x:c r="E185" s="30"/>
      <x:c r="F185" s="30"/>
      <x:c r="G185" s="30"/>
      <x:c r="H185" s="30"/>
      <x:c r="I185" s="30"/>
      <x:c r="J185" s="30"/>
      <x:c r="K185" s="30"/>
      <x:c r="L185" s="30"/>
      <x:c r="M185" s="30"/>
      <x:c r="N185" s="30"/>
      <x:c r="O185" s="30"/>
      <x:c r="P185" s="30"/>
      <x:c r="Q185" s="30"/>
      <x:c r="R185" s="30"/>
      <x:c r="S185" s="30"/>
      <x:c r="T185" s="30"/>
      <x:c r="U185" s="30"/>
      <x:c r="V185" s="30"/>
      <x:c r="W185" s="30"/>
      <x:c r="X185" s="30"/>
    </x:row>
    <x:row r="186" ht="22" customHeight="1">
      <x:c r="A186" s="30"/>
      <x:c r="B186" s="30"/>
      <x:c r="C186" s="30"/>
      <x:c r="D186" s="30"/>
      <x:c r="E186" s="30"/>
      <x:c r="F186" s="30"/>
      <x:c r="G186" s="30"/>
      <x:c r="H186" s="30"/>
      <x:c r="I186" s="30"/>
      <x:c r="J186" s="30"/>
      <x:c r="K186" s="30"/>
      <x:c r="L186" s="30"/>
      <x:c r="M186" s="30"/>
      <x:c r="N186" s="30"/>
      <x:c r="O186" s="30"/>
      <x:c r="P186" s="30"/>
      <x:c r="Q186" s="30"/>
      <x:c r="R186" s="30"/>
      <x:c r="S186" s="30"/>
      <x:c r="T186" s="30"/>
      <x:c r="U186" s="30"/>
      <x:c r="V186" s="30"/>
      <x:c r="W186" s="30"/>
      <x:c r="X186" s="30"/>
    </x:row>
    <x:row r="187" ht="22" customHeight="1">
      <x:c r="A187" s="30"/>
      <x:c r="B187" s="30"/>
      <x:c r="C187" s="30"/>
      <x:c r="D187" s="30"/>
      <x:c r="E187" s="30"/>
      <x:c r="F187" s="30"/>
      <x:c r="G187" s="30"/>
      <x:c r="H187" s="30"/>
      <x:c r="I187" s="30"/>
      <x:c r="J187" s="30"/>
      <x:c r="K187" s="30"/>
      <x:c r="L187" s="30"/>
      <x:c r="M187" s="30"/>
      <x:c r="N187" s="30"/>
      <x:c r="O187" s="30"/>
      <x:c r="P187" s="30"/>
      <x:c r="Q187" s="30"/>
      <x:c r="R187" s="30"/>
      <x:c r="S187" s="30"/>
      <x:c r="T187" s="30"/>
      <x:c r="U187" s="30"/>
      <x:c r="V187" s="30"/>
      <x:c r="W187" s="30"/>
      <x:c r="X187" s="30"/>
    </x:row>
    <x:row r="188" ht="22" customHeight="1">
      <x:c r="A188" s="30"/>
      <x:c r="B188" s="30"/>
      <x:c r="C188" s="30"/>
      <x:c r="D188" s="30"/>
      <x:c r="E188" s="30"/>
      <x:c r="F188" s="30"/>
      <x:c r="G188" s="30"/>
      <x:c r="H188" s="30"/>
      <x:c r="I188" s="30"/>
      <x:c r="J188" s="30"/>
      <x:c r="K188" s="30"/>
      <x:c r="L188" s="30"/>
      <x:c r="M188" s="30"/>
      <x:c r="N188" s="30"/>
      <x:c r="O188" s="30"/>
      <x:c r="P188" s="30"/>
      <x:c r="Q188" s="30"/>
      <x:c r="R188" s="30"/>
      <x:c r="S188" s="30"/>
      <x:c r="T188" s="30"/>
      <x:c r="U188" s="30"/>
      <x:c r="V188" s="30"/>
      <x:c r="W188" s="30"/>
      <x:c r="X188" s="30"/>
    </x:row>
    <x:row r="189" ht="22" customHeight="1">
      <x:c r="A189" s="30"/>
      <x:c r="B189" s="30"/>
      <x:c r="C189" s="30"/>
      <x:c r="D189" s="30"/>
      <x:c r="E189" s="30"/>
      <x:c r="F189" s="30"/>
      <x:c r="G189" s="30"/>
      <x:c r="H189" s="30"/>
      <x:c r="I189" s="30"/>
      <x:c r="J189" s="30"/>
      <x:c r="K189" s="30"/>
      <x:c r="L189" s="30"/>
      <x:c r="M189" s="30"/>
      <x:c r="N189" s="30"/>
      <x:c r="O189" s="30"/>
      <x:c r="P189" s="30"/>
      <x:c r="Q189" s="30"/>
      <x:c r="R189" s="30"/>
      <x:c r="S189" s="30"/>
      <x:c r="T189" s="30"/>
      <x:c r="U189" s="30"/>
      <x:c r="V189" s="30"/>
      <x:c r="W189" s="30"/>
      <x:c r="X189" s="30"/>
    </x:row>
    <x:row r="190" ht="22" customHeight="1">
      <x:c r="A190" s="30"/>
      <x:c r="B190" s="30"/>
      <x:c r="C190" s="30"/>
      <x:c r="D190" s="30"/>
      <x:c r="E190" s="30"/>
      <x:c r="F190" s="30"/>
      <x:c r="G190" s="30"/>
      <x:c r="H190" s="30"/>
      <x:c r="I190" s="30"/>
      <x:c r="J190" s="30"/>
      <x:c r="K190" s="30"/>
      <x:c r="L190" s="30"/>
      <x:c r="M190" s="30"/>
      <x:c r="N190" s="30"/>
      <x:c r="O190" s="30"/>
      <x:c r="P190" s="30"/>
      <x:c r="Q190" s="30"/>
      <x:c r="R190" s="30"/>
      <x:c r="S190" s="30"/>
      <x:c r="T190" s="30"/>
      <x:c r="U190" s="30"/>
      <x:c r="V190" s="30"/>
      <x:c r="W190" s="30"/>
      <x:c r="X190" s="30"/>
    </x:row>
    <x:row r="191" ht="22" customHeight="1">
      <x:c r="A191" s="30"/>
      <x:c r="B191" s="30"/>
      <x:c r="C191" s="30"/>
      <x:c r="D191" s="30"/>
      <x:c r="E191" s="30"/>
      <x:c r="F191" s="30"/>
      <x:c r="G191" s="30"/>
      <x:c r="H191" s="30"/>
      <x:c r="I191" s="30"/>
      <x:c r="J191" s="30"/>
      <x:c r="K191" s="30"/>
      <x:c r="L191" s="30"/>
      <x:c r="M191" s="30"/>
      <x:c r="N191" s="30"/>
      <x:c r="O191" s="30"/>
      <x:c r="P191" s="30"/>
      <x:c r="Q191" s="30"/>
      <x:c r="R191" s="30"/>
      <x:c r="S191" s="30"/>
      <x:c r="T191" s="30"/>
      <x:c r="U191" s="30"/>
      <x:c r="V191" s="30"/>
      <x:c r="W191" s="30"/>
      <x:c r="X191" s="30"/>
    </x:row>
    <x:row r="192" ht="22" customHeight="1">
      <x:c r="A192" s="30"/>
      <x:c r="B192" s="30"/>
      <x:c r="C192" s="30"/>
      <x:c r="D192" s="30"/>
      <x:c r="E192" s="30"/>
      <x:c r="F192" s="30"/>
      <x:c r="G192" s="30"/>
      <x:c r="H192" s="30"/>
      <x:c r="I192" s="30"/>
      <x:c r="J192" s="30"/>
      <x:c r="K192" s="30"/>
      <x:c r="L192" s="30"/>
      <x:c r="M192" s="30"/>
      <x:c r="N192" s="30"/>
      <x:c r="O192" s="30"/>
      <x:c r="P192" s="30"/>
      <x:c r="Q192" s="30"/>
      <x:c r="R192" s="30"/>
      <x:c r="S192" s="30"/>
      <x:c r="T192" s="30"/>
      <x:c r="U192" s="30"/>
      <x:c r="V192" s="30"/>
      <x:c r="W192" s="30"/>
      <x:c r="X192" s="30"/>
    </x:row>
    <x:row r="193" ht="22" customHeight="1">
      <x:c r="A193" s="30"/>
      <x:c r="B193" s="30"/>
      <x:c r="C193" s="30"/>
      <x:c r="D193" s="30"/>
      <x:c r="E193" s="30"/>
      <x:c r="F193" s="30"/>
      <x:c r="G193" s="30"/>
      <x:c r="H193" s="30"/>
      <x:c r="I193" s="30"/>
      <x:c r="J193" s="30"/>
      <x:c r="K193" s="30"/>
      <x:c r="L193" s="30"/>
      <x:c r="M193" s="30"/>
      <x:c r="N193" s="30"/>
      <x:c r="O193" s="30"/>
      <x:c r="P193" s="30"/>
      <x:c r="Q193" s="30"/>
      <x:c r="R193" s="30"/>
      <x:c r="S193" s="30"/>
      <x:c r="T193" s="30"/>
      <x:c r="U193" s="30"/>
      <x:c r="V193" s="30"/>
      <x:c r="W193" s="30"/>
      <x:c r="X193" s="30"/>
    </x:row>
    <x:row r="194" ht="22" customHeight="1">
      <x:c r="A194" s="30"/>
      <x:c r="B194" s="30"/>
      <x:c r="C194" s="30"/>
      <x:c r="D194" s="30"/>
      <x:c r="E194" s="30"/>
      <x:c r="F194" s="30"/>
      <x:c r="G194" s="30"/>
      <x:c r="H194" s="30"/>
      <x:c r="I194" s="30"/>
      <x:c r="J194" s="30"/>
      <x:c r="K194" s="30"/>
      <x:c r="L194" s="30"/>
      <x:c r="M194" s="30"/>
      <x:c r="N194" s="30"/>
      <x:c r="O194" s="30"/>
      <x:c r="P194" s="30"/>
      <x:c r="Q194" s="30"/>
      <x:c r="R194" s="30"/>
      <x:c r="S194" s="30"/>
      <x:c r="T194" s="30"/>
      <x:c r="U194" s="30"/>
      <x:c r="V194" s="30"/>
      <x:c r="W194" s="30"/>
      <x:c r="X194" s="30"/>
    </x:row>
    <x:row r="195" ht="22" customHeight="1">
      <x:c r="A195" s="30"/>
      <x:c r="B195" s="30"/>
      <x:c r="C195" s="30"/>
      <x:c r="D195" s="30"/>
      <x:c r="E195" s="30"/>
      <x:c r="F195" s="30"/>
      <x:c r="G195" s="30"/>
      <x:c r="H195" s="30"/>
      <x:c r="I195" s="30"/>
      <x:c r="J195" s="30"/>
      <x:c r="K195" s="30"/>
      <x:c r="L195" s="30"/>
      <x:c r="M195" s="30"/>
      <x:c r="N195" s="30"/>
      <x:c r="O195" s="30"/>
      <x:c r="P195" s="30"/>
      <x:c r="Q195" s="30"/>
      <x:c r="R195" s="30"/>
      <x:c r="S195" s="30"/>
      <x:c r="T195" s="30"/>
      <x:c r="U195" s="30"/>
      <x:c r="V195" s="30"/>
      <x:c r="W195" s="30"/>
      <x:c r="X195" s="30"/>
    </x:row>
    <x:row r="196" ht="22" customHeight="1">
      <x:c r="A196" s="30"/>
      <x:c r="B196" s="30"/>
      <x:c r="C196" s="30"/>
      <x:c r="D196" s="30"/>
      <x:c r="E196" s="30"/>
      <x:c r="F196" s="30"/>
      <x:c r="G196" s="30"/>
      <x:c r="H196" s="30"/>
      <x:c r="I196" s="30"/>
      <x:c r="J196" s="30"/>
      <x:c r="K196" s="30"/>
      <x:c r="L196" s="30"/>
      <x:c r="M196" s="30"/>
      <x:c r="N196" s="30"/>
      <x:c r="O196" s="30"/>
      <x:c r="P196" s="30"/>
      <x:c r="Q196" s="30"/>
      <x:c r="R196" s="30"/>
      <x:c r="S196" s="30"/>
      <x:c r="T196" s="30"/>
      <x:c r="U196" s="30"/>
      <x:c r="V196" s="30"/>
      <x:c r="W196" s="30"/>
      <x:c r="X196" s="30"/>
    </x:row>
    <x:row r="197" ht="22" customHeight="1">
      <x:c r="A197" s="30"/>
      <x:c r="B197" s="30"/>
      <x:c r="C197" s="30"/>
      <x:c r="D197" s="30"/>
      <x:c r="E197" s="30"/>
      <x:c r="F197" s="30"/>
      <x:c r="G197" s="30"/>
      <x:c r="H197" s="30"/>
      <x:c r="I197" s="30"/>
      <x:c r="J197" s="30"/>
      <x:c r="K197" s="30"/>
      <x:c r="L197" s="30"/>
      <x:c r="M197" s="30"/>
      <x:c r="N197" s="30"/>
      <x:c r="O197" s="30"/>
      <x:c r="P197" s="30"/>
      <x:c r="Q197" s="30"/>
      <x:c r="R197" s="30"/>
      <x:c r="S197" s="30"/>
      <x:c r="T197" s="30"/>
      <x:c r="U197" s="30"/>
      <x:c r="V197" s="30"/>
      <x:c r="W197" s="30"/>
      <x:c r="X197" s="30"/>
    </x:row>
    <x:row r="198" ht="22" customHeight="1">
      <x:c r="A198" s="30"/>
      <x:c r="B198" s="30"/>
      <x:c r="C198" s="30"/>
      <x:c r="D198" s="30"/>
      <x:c r="E198" s="30"/>
      <x:c r="F198" s="30"/>
      <x:c r="G198" s="30"/>
      <x:c r="H198" s="30"/>
      <x:c r="I198" s="30"/>
      <x:c r="J198" s="30"/>
      <x:c r="K198" s="30"/>
      <x:c r="L198" s="30"/>
      <x:c r="M198" s="30"/>
      <x:c r="N198" s="30"/>
      <x:c r="O198" s="30"/>
      <x:c r="P198" s="30"/>
      <x:c r="Q198" s="30"/>
      <x:c r="R198" s="30"/>
      <x:c r="S198" s="30"/>
      <x:c r="T198" s="30"/>
      <x:c r="U198" s="30"/>
      <x:c r="V198" s="30"/>
      <x:c r="W198" s="30"/>
      <x:c r="X198" s="30"/>
    </x:row>
    <x:row r="199" ht="22" customHeight="1">
      <x:c r="A199" s="30"/>
      <x:c r="B199" s="30"/>
      <x:c r="C199" s="30"/>
      <x:c r="D199" s="30"/>
      <x:c r="E199" s="30"/>
      <x:c r="F199" s="30"/>
      <x:c r="G199" s="30"/>
      <x:c r="H199" s="30"/>
      <x:c r="I199" s="30"/>
      <x:c r="J199" s="30"/>
      <x:c r="K199" s="30"/>
      <x:c r="L199" s="30"/>
      <x:c r="M199" s="30"/>
      <x:c r="N199" s="30"/>
      <x:c r="O199" s="30"/>
      <x:c r="P199" s="30"/>
      <x:c r="Q199" s="30"/>
      <x:c r="R199" s="30"/>
      <x:c r="S199" s="30"/>
      <x:c r="T199" s="30"/>
      <x:c r="U199" s="30"/>
      <x:c r="V199" s="30"/>
      <x:c r="W199" s="30"/>
      <x:c r="X199" s="30"/>
    </x:row>
    <x:row r="200" ht="22" customHeight="1">
      <x:c r="A200" s="30"/>
      <x:c r="B200" s="30"/>
      <x:c r="C200" s="30"/>
      <x:c r="D200" s="30"/>
      <x:c r="E200" s="30"/>
      <x:c r="F200" s="30"/>
      <x:c r="G200" s="30"/>
      <x:c r="H200" s="30"/>
      <x:c r="I200" s="30"/>
      <x:c r="J200" s="30"/>
      <x:c r="K200" s="30"/>
      <x:c r="L200" s="30"/>
      <x:c r="M200" s="30"/>
      <x:c r="N200" s="30"/>
      <x:c r="O200" s="30"/>
      <x:c r="P200" s="30"/>
      <x:c r="Q200" s="30"/>
      <x:c r="R200" s="30"/>
      <x:c r="S200" s="30"/>
      <x:c r="T200" s="30"/>
      <x:c r="U200" s="30"/>
      <x:c r="V200" s="30"/>
      <x:c r="W200" s="30"/>
      <x:c r="X200" s="30"/>
    </x:row>
    <x:row r="201" ht="22" customHeight="1">
      <x:c r="A201" s="30"/>
      <x:c r="B201" s="30"/>
      <x:c r="C201" s="30"/>
      <x:c r="D201" s="30"/>
      <x:c r="E201" s="30"/>
      <x:c r="F201" s="30"/>
      <x:c r="G201" s="30"/>
      <x:c r="H201" s="30"/>
      <x:c r="I201" s="30"/>
      <x:c r="J201" s="30"/>
      <x:c r="K201" s="30"/>
      <x:c r="L201" s="30"/>
      <x:c r="M201" s="30"/>
      <x:c r="N201" s="30"/>
      <x:c r="O201" s="30"/>
      <x:c r="P201" s="30"/>
      <x:c r="Q201" s="30"/>
      <x:c r="R201" s="30"/>
      <x:c r="S201" s="30"/>
      <x:c r="T201" s="30"/>
      <x:c r="U201" s="30"/>
      <x:c r="V201" s="30"/>
      <x:c r="W201" s="30"/>
      <x:c r="X201" s="30"/>
    </x:row>
    <x:row r="202" ht="22" customHeight="1">
      <x:c r="A202" s="30"/>
      <x:c r="B202" s="30"/>
      <x:c r="C202" s="30"/>
      <x:c r="D202" s="30"/>
      <x:c r="E202" s="30"/>
      <x:c r="F202" s="30"/>
      <x:c r="G202" s="30"/>
      <x:c r="H202" s="30"/>
      <x:c r="I202" s="30"/>
      <x:c r="J202" s="30"/>
      <x:c r="K202" s="30"/>
      <x:c r="L202" s="30"/>
      <x:c r="M202" s="30"/>
      <x:c r="N202" s="30"/>
      <x:c r="O202" s="30"/>
      <x:c r="P202" s="30"/>
      <x:c r="Q202" s="30"/>
      <x:c r="R202" s="30"/>
      <x:c r="S202" s="30"/>
      <x:c r="T202" s="30"/>
      <x:c r="U202" s="30"/>
      <x:c r="V202" s="30"/>
      <x:c r="W202" s="30"/>
      <x:c r="X202" s="30"/>
    </x:row>
    <x:row r="203" ht="22" customHeight="1">
      <x:c r="A203" s="30"/>
      <x:c r="B203" s="30"/>
      <x:c r="C203" s="30"/>
      <x:c r="D203" s="30"/>
      <x:c r="E203" s="30"/>
      <x:c r="F203" s="30"/>
      <x:c r="G203" s="30"/>
      <x:c r="H203" s="30"/>
      <x:c r="I203" s="30"/>
      <x:c r="J203" s="30"/>
      <x:c r="K203" s="30"/>
      <x:c r="L203" s="30"/>
      <x:c r="M203" s="30"/>
      <x:c r="N203" s="30"/>
      <x:c r="O203" s="30"/>
      <x:c r="P203" s="30"/>
      <x:c r="Q203" s="30"/>
      <x:c r="R203" s="30"/>
      <x:c r="S203" s="30"/>
      <x:c r="T203" s="30"/>
      <x:c r="U203" s="30"/>
      <x:c r="V203" s="30"/>
      <x:c r="W203" s="30"/>
      <x:c r="X203" s="30"/>
    </x:row>
    <x:row r="204" ht="22" customHeight="1">
      <x:c r="A204" s="30"/>
      <x:c r="B204" s="30"/>
      <x:c r="C204" s="30"/>
      <x:c r="D204" s="30"/>
      <x:c r="E204" s="30"/>
      <x:c r="F204" s="30"/>
      <x:c r="G204" s="30"/>
      <x:c r="H204" s="30"/>
      <x:c r="I204" s="30"/>
      <x:c r="J204" s="30"/>
      <x:c r="K204" s="30"/>
      <x:c r="L204" s="30"/>
      <x:c r="M204" s="30"/>
      <x:c r="N204" s="30"/>
      <x:c r="O204" s="30"/>
      <x:c r="P204" s="30"/>
      <x:c r="Q204" s="30"/>
      <x:c r="R204" s="30"/>
      <x:c r="S204" s="30"/>
      <x:c r="T204" s="30"/>
      <x:c r="U204" s="30"/>
      <x:c r="V204" s="30"/>
      <x:c r="W204" s="30"/>
      <x:c r="X204" s="30"/>
    </x:row>
    <x:row r="205" ht="22" customHeight="1">
      <x:c r="A205" s="30"/>
      <x:c r="B205" s="30"/>
      <x:c r="C205" s="30"/>
      <x:c r="D205" s="30"/>
      <x:c r="E205" s="30"/>
      <x:c r="F205" s="30"/>
      <x:c r="G205" s="30"/>
      <x:c r="H205" s="30"/>
      <x:c r="I205" s="30"/>
      <x:c r="J205" s="30"/>
      <x:c r="K205" s="30"/>
      <x:c r="L205" s="30"/>
      <x:c r="M205" s="30"/>
      <x:c r="N205" s="30"/>
      <x:c r="O205" s="30"/>
      <x:c r="P205" s="30"/>
      <x:c r="Q205" s="30"/>
      <x:c r="R205" s="30"/>
      <x:c r="S205" s="30"/>
      <x:c r="T205" s="30"/>
      <x:c r="U205" s="30"/>
      <x:c r="V205" s="30"/>
      <x:c r="W205" s="30"/>
      <x:c r="X205" s="30"/>
    </x:row>
    <x:row r="206" ht="22" customHeight="1">
      <x:c r="A206" s="30"/>
      <x:c r="B206" s="30"/>
      <x:c r="C206" s="30"/>
      <x:c r="D206" s="30"/>
      <x:c r="E206" s="30"/>
      <x:c r="F206" s="30"/>
      <x:c r="G206" s="30"/>
      <x:c r="H206" s="30"/>
      <x:c r="I206" s="30"/>
      <x:c r="J206" s="30"/>
      <x:c r="K206" s="30"/>
      <x:c r="L206" s="30"/>
      <x:c r="M206" s="30"/>
      <x:c r="N206" s="30"/>
      <x:c r="O206" s="30"/>
      <x:c r="P206" s="30"/>
      <x:c r="Q206" s="30"/>
      <x:c r="R206" s="30"/>
      <x:c r="S206" s="30"/>
      <x:c r="T206" s="30"/>
      <x:c r="U206" s="30"/>
      <x:c r="V206" s="30"/>
      <x:c r="W206" s="30"/>
      <x:c r="X206" s="30"/>
    </x:row>
    <x:row r="207" ht="22" customHeight="1">
      <x:c r="A207" s="30"/>
      <x:c r="B207" s="30"/>
      <x:c r="C207" s="30"/>
      <x:c r="D207" s="30"/>
      <x:c r="E207" s="30"/>
      <x:c r="F207" s="30"/>
      <x:c r="G207" s="30"/>
      <x:c r="H207" s="30"/>
      <x:c r="I207" s="30"/>
      <x:c r="J207" s="30"/>
      <x:c r="K207" s="30"/>
      <x:c r="L207" s="30"/>
      <x:c r="M207" s="30"/>
      <x:c r="N207" s="30"/>
      <x:c r="O207" s="30"/>
      <x:c r="P207" s="30"/>
      <x:c r="Q207" s="30"/>
      <x:c r="R207" s="30"/>
      <x:c r="S207" s="30"/>
      <x:c r="T207" s="30"/>
      <x:c r="U207" s="30"/>
      <x:c r="V207" s="30"/>
      <x:c r="W207" s="30"/>
      <x:c r="X207" s="30"/>
    </x:row>
    <x:row r="208" ht="22" customHeight="1">
      <x:c r="A208" s="30"/>
      <x:c r="B208" s="30"/>
      <x:c r="C208" s="30"/>
      <x:c r="D208" s="30"/>
      <x:c r="E208" s="30"/>
      <x:c r="F208" s="30"/>
      <x:c r="G208" s="30"/>
      <x:c r="H208" s="30"/>
      <x:c r="I208" s="30"/>
      <x:c r="J208" s="30"/>
      <x:c r="K208" s="30"/>
      <x:c r="L208" s="30"/>
      <x:c r="M208" s="30"/>
      <x:c r="N208" s="30"/>
      <x:c r="O208" s="30"/>
      <x:c r="P208" s="30"/>
      <x:c r="Q208" s="30"/>
      <x:c r="R208" s="30"/>
      <x:c r="S208" s="30"/>
      <x:c r="T208" s="30"/>
      <x:c r="U208" s="30"/>
      <x:c r="V208" s="30"/>
      <x:c r="W208" s="30"/>
      <x:c r="X208" s="30"/>
    </x:row>
    <x:row r="209" ht="22" customHeight="1">
      <x:c r="A209" s="30"/>
      <x:c r="B209" s="30"/>
      <x:c r="C209" s="30"/>
      <x:c r="D209" s="30"/>
      <x:c r="E209" s="30"/>
      <x:c r="F209" s="30"/>
      <x:c r="G209" s="30"/>
      <x:c r="H209" s="30"/>
      <x:c r="I209" s="30"/>
      <x:c r="J209" s="30"/>
      <x:c r="K209" s="30"/>
      <x:c r="L209" s="30"/>
      <x:c r="M209" s="30"/>
      <x:c r="N209" s="30"/>
      <x:c r="O209" s="30"/>
      <x:c r="P209" s="30"/>
      <x:c r="Q209" s="30"/>
      <x:c r="R209" s="30"/>
      <x:c r="S209" s="30"/>
      <x:c r="T209" s="30"/>
      <x:c r="U209" s="30"/>
      <x:c r="V209" s="30"/>
      <x:c r="W209" s="30"/>
      <x:c r="X209" s="30"/>
    </x:row>
    <x:row r="210" ht="22" customHeight="1">
      <x:c r="A210" s="30"/>
      <x:c r="B210" s="30"/>
      <x:c r="C210" s="30"/>
      <x:c r="D210" s="30"/>
      <x:c r="E210" s="30"/>
      <x:c r="F210" s="30"/>
      <x:c r="G210" s="30"/>
      <x:c r="H210" s="30"/>
      <x:c r="I210" s="30"/>
      <x:c r="J210" s="30"/>
      <x:c r="K210" s="30"/>
      <x:c r="L210" s="30"/>
      <x:c r="M210" s="30"/>
      <x:c r="N210" s="30"/>
      <x:c r="O210" s="30"/>
      <x:c r="P210" s="30"/>
      <x:c r="Q210" s="30"/>
      <x:c r="R210" s="30"/>
      <x:c r="S210" s="30"/>
      <x:c r="T210" s="30"/>
      <x:c r="U210" s="30"/>
      <x:c r="V210" s="30"/>
      <x:c r="W210" s="30"/>
      <x:c r="X210" s="30"/>
    </x:row>
    <x:row r="211" ht="22" customHeight="1">
      <x:c r="A211" s="30"/>
      <x:c r="B211" s="30"/>
      <x:c r="C211" s="30"/>
      <x:c r="D211" s="30"/>
      <x:c r="E211" s="30"/>
      <x:c r="F211" s="30"/>
      <x:c r="G211" s="30"/>
      <x:c r="H211" s="30"/>
      <x:c r="I211" s="30"/>
      <x:c r="J211" s="30"/>
      <x:c r="K211" s="30"/>
      <x:c r="L211" s="30"/>
      <x:c r="M211" s="30"/>
      <x:c r="N211" s="30"/>
      <x:c r="O211" s="30"/>
      <x:c r="P211" s="30"/>
      <x:c r="Q211" s="30"/>
      <x:c r="R211" s="30"/>
      <x:c r="S211" s="30"/>
      <x:c r="T211" s="30"/>
      <x:c r="U211" s="30"/>
      <x:c r="V211" s="30"/>
      <x:c r="W211" s="30"/>
      <x:c r="X211" s="30"/>
    </x:row>
    <x:row r="212" ht="22" customHeight="1">
      <x:c r="A212" s="30"/>
      <x:c r="B212" s="30"/>
      <x:c r="C212" s="30"/>
      <x:c r="D212" s="30"/>
      <x:c r="E212" s="30"/>
      <x:c r="F212" s="30"/>
      <x:c r="G212" s="30"/>
      <x:c r="H212" s="30"/>
      <x:c r="I212" s="30"/>
      <x:c r="J212" s="30"/>
      <x:c r="K212" s="30"/>
      <x:c r="L212" s="30"/>
      <x:c r="M212" s="30"/>
      <x:c r="N212" s="30"/>
      <x:c r="O212" s="30"/>
      <x:c r="P212" s="30"/>
      <x:c r="Q212" s="30"/>
      <x:c r="R212" s="30"/>
      <x:c r="S212" s="30"/>
      <x:c r="T212" s="30"/>
      <x:c r="U212" s="30"/>
      <x:c r="V212" s="30"/>
      <x:c r="W212" s="30"/>
      <x:c r="X212" s="30"/>
    </x:row>
    <x:row r="213" ht="22" customHeight="1">
      <x:c r="A213" s="30"/>
      <x:c r="B213" s="30"/>
      <x:c r="C213" s="30"/>
      <x:c r="D213" s="30"/>
      <x:c r="E213" s="30"/>
      <x:c r="F213" s="30"/>
      <x:c r="G213" s="30"/>
      <x:c r="H213" s="30"/>
      <x:c r="I213" s="30"/>
      <x:c r="J213" s="30"/>
      <x:c r="K213" s="30"/>
      <x:c r="L213" s="30"/>
      <x:c r="M213" s="30"/>
      <x:c r="N213" s="30"/>
      <x:c r="O213" s="30"/>
      <x:c r="P213" s="30"/>
      <x:c r="Q213" s="30"/>
      <x:c r="R213" s="30"/>
      <x:c r="S213" s="30"/>
      <x:c r="T213" s="30"/>
      <x:c r="U213" s="30"/>
      <x:c r="V213" s="30"/>
      <x:c r="W213" s="30"/>
      <x:c r="X213" s="30"/>
    </x:row>
    <x:row r="214" ht="22" customHeight="1">
      <x:c r="A214" s="30"/>
      <x:c r="B214" s="30"/>
      <x:c r="C214" s="30"/>
      <x:c r="D214" s="30"/>
      <x:c r="E214" s="30"/>
      <x:c r="F214" s="30"/>
      <x:c r="G214" s="30"/>
      <x:c r="H214" s="30"/>
      <x:c r="I214" s="30"/>
      <x:c r="J214" s="30"/>
      <x:c r="K214" s="30"/>
      <x:c r="L214" s="30"/>
      <x:c r="M214" s="30"/>
      <x:c r="N214" s="30"/>
      <x:c r="O214" s="30"/>
      <x:c r="P214" s="30"/>
      <x:c r="Q214" s="30"/>
      <x:c r="R214" s="30"/>
      <x:c r="S214" s="30"/>
      <x:c r="T214" s="30"/>
      <x:c r="U214" s="30"/>
      <x:c r="V214" s="30"/>
      <x:c r="W214" s="30"/>
      <x:c r="X214" s="30"/>
    </x:row>
    <x:row r="215" ht="22" customHeight="1">
      <x:c r="A215" s="30"/>
      <x:c r="B215" s="30"/>
      <x:c r="C215" s="30"/>
      <x:c r="D215" s="30"/>
      <x:c r="E215" s="30"/>
      <x:c r="F215" s="30"/>
      <x:c r="G215" s="30"/>
      <x:c r="H215" s="30"/>
      <x:c r="I215" s="30"/>
      <x:c r="J215" s="30"/>
      <x:c r="K215" s="30"/>
      <x:c r="L215" s="30"/>
      <x:c r="M215" s="30"/>
      <x:c r="N215" s="30"/>
      <x:c r="O215" s="30"/>
      <x:c r="P215" s="30"/>
      <x:c r="Q215" s="30"/>
      <x:c r="R215" s="30"/>
      <x:c r="S215" s="30"/>
      <x:c r="T215" s="30"/>
      <x:c r="U215" s="30"/>
      <x:c r="V215" s="30"/>
      <x:c r="W215" s="30"/>
      <x:c r="X215" s="30"/>
    </x:row>
    <x:row r="216" ht="22" customHeight="1">
      <x:c r="A216" s="30"/>
      <x:c r="B216" s="30"/>
      <x:c r="C216" s="30"/>
      <x:c r="D216" s="30"/>
      <x:c r="E216" s="30"/>
      <x:c r="F216" s="30"/>
      <x:c r="G216" s="30"/>
      <x:c r="H216" s="30"/>
      <x:c r="I216" s="30"/>
      <x:c r="J216" s="30"/>
      <x:c r="K216" s="30"/>
      <x:c r="L216" s="30"/>
      <x:c r="M216" s="30"/>
      <x:c r="N216" s="30"/>
      <x:c r="O216" s="30"/>
      <x:c r="P216" s="30"/>
      <x:c r="Q216" s="30"/>
      <x:c r="R216" s="30"/>
      <x:c r="S216" s="30"/>
      <x:c r="T216" s="30"/>
      <x:c r="U216" s="30"/>
      <x:c r="V216" s="30"/>
      <x:c r="W216" s="30"/>
      <x:c r="X216" s="30"/>
    </x:row>
    <x:row r="217" ht="22" customHeight="1">
      <x:c r="A217" s="30"/>
      <x:c r="B217" s="30"/>
      <x:c r="C217" s="30"/>
      <x:c r="D217" s="30"/>
      <x:c r="E217" s="30"/>
      <x:c r="F217" s="30"/>
      <x:c r="G217" s="30"/>
      <x:c r="H217" s="30"/>
      <x:c r="I217" s="30"/>
      <x:c r="J217" s="30"/>
      <x:c r="K217" s="30"/>
      <x:c r="L217" s="30"/>
      <x:c r="M217" s="30"/>
      <x:c r="N217" s="30"/>
      <x:c r="O217" s="30"/>
      <x:c r="P217" s="30"/>
      <x:c r="Q217" s="30"/>
      <x:c r="R217" s="30"/>
      <x:c r="S217" s="30"/>
      <x:c r="T217" s="30"/>
      <x:c r="U217" s="30"/>
      <x:c r="V217" s="30"/>
      <x:c r="W217" s="30"/>
      <x:c r="X217" s="30"/>
    </x:row>
    <x:row r="218" ht="22" customHeight="1">
      <x:c r="A218" s="30"/>
      <x:c r="B218" s="30"/>
      <x:c r="C218" s="30"/>
      <x:c r="D218" s="30"/>
      <x:c r="E218" s="30"/>
      <x:c r="F218" s="30"/>
      <x:c r="G218" s="30"/>
      <x:c r="H218" s="30"/>
      <x:c r="I218" s="30"/>
      <x:c r="J218" s="30"/>
      <x:c r="K218" s="30"/>
      <x:c r="L218" s="30"/>
      <x:c r="M218" s="30"/>
      <x:c r="N218" s="30"/>
      <x:c r="O218" s="30"/>
      <x:c r="P218" s="30"/>
      <x:c r="Q218" s="30"/>
      <x:c r="R218" s="30"/>
      <x:c r="S218" s="30"/>
      <x:c r="T218" s="30"/>
      <x:c r="U218" s="30"/>
      <x:c r="V218" s="30"/>
      <x:c r="W218" s="30"/>
      <x:c r="X218" s="30"/>
    </x:row>
    <x:row r="219" ht="22" customHeight="1">
      <x:c r="A219" s="30"/>
      <x:c r="B219" s="30"/>
      <x:c r="C219" s="30"/>
      <x:c r="D219" s="30"/>
      <x:c r="E219" s="30"/>
      <x:c r="F219" s="30"/>
      <x:c r="G219" s="30"/>
      <x:c r="H219" s="30"/>
      <x:c r="I219" s="30"/>
      <x:c r="J219" s="30"/>
      <x:c r="K219" s="30"/>
      <x:c r="L219" s="30"/>
      <x:c r="M219" s="30"/>
      <x:c r="N219" s="30"/>
      <x:c r="O219" s="30"/>
      <x:c r="P219" s="30"/>
      <x:c r="Q219" s="30"/>
      <x:c r="R219" s="30"/>
      <x:c r="S219" s="30"/>
      <x:c r="T219" s="30"/>
      <x:c r="U219" s="30"/>
      <x:c r="V219" s="30"/>
      <x:c r="W219" s="30"/>
      <x:c r="X219" s="30"/>
    </x:row>
    <x:row r="220" ht="22" customHeight="1">
      <x:c r="A220" s="30"/>
      <x:c r="B220" s="30"/>
      <x:c r="C220" s="30"/>
      <x:c r="D220" s="30"/>
      <x:c r="E220" s="30"/>
      <x:c r="F220" s="30"/>
      <x:c r="G220" s="30"/>
      <x:c r="H220" s="30"/>
      <x:c r="I220" s="30"/>
      <x:c r="J220" s="30"/>
      <x:c r="K220" s="30"/>
      <x:c r="L220" s="30"/>
      <x:c r="M220" s="30"/>
      <x:c r="N220" s="30"/>
      <x:c r="O220" s="30"/>
      <x:c r="P220" s="30"/>
      <x:c r="Q220" s="30"/>
      <x:c r="R220" s="30"/>
      <x:c r="S220" s="30"/>
      <x:c r="T220" s="30"/>
      <x:c r="U220" s="30"/>
      <x:c r="V220" s="30"/>
      <x:c r="W220" s="30"/>
      <x:c r="X220" s="30"/>
    </x:row>
    <x:row r="221" ht="22" customHeight="1">
      <x:c r="A221" s="30"/>
      <x:c r="B221" s="30"/>
      <x:c r="C221" s="30"/>
      <x:c r="D221" s="30"/>
      <x:c r="E221" s="30"/>
      <x:c r="F221" s="30"/>
      <x:c r="G221" s="30"/>
      <x:c r="H221" s="30"/>
      <x:c r="I221" s="30"/>
      <x:c r="J221" s="30"/>
      <x:c r="K221" s="30"/>
      <x:c r="L221" s="30"/>
      <x:c r="M221" s="30"/>
      <x:c r="N221" s="30"/>
      <x:c r="O221" s="30"/>
      <x:c r="P221" s="30"/>
      <x:c r="Q221" s="30"/>
      <x:c r="R221" s="30"/>
      <x:c r="S221" s="30"/>
      <x:c r="T221" s="30"/>
      <x:c r="U221" s="30"/>
      <x:c r="V221" s="30"/>
      <x:c r="W221" s="30"/>
      <x:c r="X221" s="30"/>
    </x:row>
    <x:row r="222" ht="22" customHeight="1">
      <x:c r="A222" s="30"/>
      <x:c r="B222" s="30"/>
      <x:c r="C222" s="30"/>
      <x:c r="D222" s="30"/>
      <x:c r="E222" s="30"/>
      <x:c r="F222" s="30"/>
      <x:c r="G222" s="30"/>
      <x:c r="H222" s="30"/>
      <x:c r="I222" s="30"/>
      <x:c r="J222" s="30"/>
      <x:c r="K222" s="30"/>
      <x:c r="L222" s="30"/>
      <x:c r="M222" s="30"/>
      <x:c r="N222" s="30"/>
      <x:c r="O222" s="30"/>
      <x:c r="P222" s="30"/>
      <x:c r="Q222" s="30"/>
      <x:c r="R222" s="30"/>
      <x:c r="S222" s="30"/>
      <x:c r="T222" s="30"/>
      <x:c r="U222" s="30"/>
      <x:c r="V222" s="30"/>
      <x:c r="W222" s="30"/>
      <x:c r="X222" s="30"/>
    </x:row>
    <x:row r="223" ht="22" customHeight="1">
      <x:c r="A223" s="30"/>
      <x:c r="B223" s="30"/>
      <x:c r="C223" s="30"/>
      <x:c r="D223" s="30"/>
      <x:c r="E223" s="30"/>
      <x:c r="F223" s="30"/>
      <x:c r="G223" s="30"/>
      <x:c r="H223" s="30"/>
      <x:c r="I223" s="30"/>
      <x:c r="J223" s="30"/>
      <x:c r="K223" s="30"/>
      <x:c r="L223" s="30"/>
      <x:c r="M223" s="30"/>
      <x:c r="N223" s="30"/>
      <x:c r="O223" s="30"/>
      <x:c r="P223" s="30"/>
      <x:c r="Q223" s="30"/>
      <x:c r="R223" s="30"/>
      <x:c r="S223" s="30"/>
      <x:c r="T223" s="30"/>
      <x:c r="U223" s="30"/>
      <x:c r="V223" s="30"/>
      <x:c r="W223" s="30"/>
      <x:c r="X223" s="30"/>
    </x:row>
    <x:row r="224" ht="22" customHeight="1">
      <x:c r="A224" s="30"/>
      <x:c r="B224" s="30"/>
      <x:c r="C224" s="30"/>
      <x:c r="D224" s="30"/>
      <x:c r="E224" s="30"/>
      <x:c r="F224" s="30"/>
      <x:c r="G224" s="30"/>
      <x:c r="H224" s="30"/>
      <x:c r="I224" s="30"/>
      <x:c r="J224" s="30"/>
      <x:c r="K224" s="30"/>
      <x:c r="L224" s="30"/>
      <x:c r="M224" s="30"/>
      <x:c r="N224" s="30"/>
      <x:c r="O224" s="30"/>
      <x:c r="P224" s="30"/>
      <x:c r="Q224" s="30"/>
      <x:c r="R224" s="30"/>
      <x:c r="S224" s="30"/>
      <x:c r="T224" s="30"/>
      <x:c r="U224" s="30"/>
      <x:c r="V224" s="30"/>
      <x:c r="W224" s="30"/>
      <x:c r="X224" s="30"/>
    </x:row>
    <x:row r="225" ht="22" customHeight="1">
      <x:c r="A225" s="30"/>
      <x:c r="B225" s="30"/>
      <x:c r="C225" s="30"/>
      <x:c r="D225" s="30"/>
      <x:c r="E225" s="30"/>
      <x:c r="F225" s="30"/>
      <x:c r="G225" s="30"/>
      <x:c r="H225" s="30"/>
      <x:c r="I225" s="30"/>
      <x:c r="J225" s="30"/>
      <x:c r="K225" s="30"/>
      <x:c r="L225" s="30"/>
      <x:c r="M225" s="30"/>
      <x:c r="N225" s="30"/>
      <x:c r="O225" s="30"/>
      <x:c r="P225" s="30"/>
      <x:c r="Q225" s="30"/>
      <x:c r="R225" s="30"/>
      <x:c r="S225" s="30"/>
      <x:c r="T225" s="30"/>
      <x:c r="U225" s="30"/>
      <x:c r="V225" s="30"/>
      <x:c r="W225" s="30"/>
      <x:c r="X225" s="30"/>
    </x:row>
    <x:row r="226" ht="22" customHeight="1">
      <x:c r="A226" s="30"/>
      <x:c r="B226" s="30"/>
      <x:c r="C226" s="30"/>
      <x:c r="D226" s="30"/>
      <x:c r="E226" s="30"/>
      <x:c r="F226" s="30"/>
      <x:c r="G226" s="30"/>
      <x:c r="H226" s="30"/>
      <x:c r="I226" s="30"/>
      <x:c r="J226" s="30"/>
      <x:c r="K226" s="30"/>
      <x:c r="L226" s="30"/>
      <x:c r="M226" s="30"/>
      <x:c r="N226" s="30"/>
      <x:c r="O226" s="30"/>
      <x:c r="P226" s="30"/>
      <x:c r="Q226" s="30"/>
      <x:c r="R226" s="30"/>
      <x:c r="S226" s="30"/>
      <x:c r="T226" s="30"/>
      <x:c r="U226" s="30"/>
      <x:c r="V226" s="30"/>
      <x:c r="W226" s="30"/>
      <x:c r="X226" s="30"/>
    </x:row>
    <x:row r="227" ht="22" customHeight="1">
      <x:c r="A227" s="30"/>
      <x:c r="B227" s="30"/>
      <x:c r="C227" s="30"/>
      <x:c r="D227" s="30"/>
      <x:c r="E227" s="30"/>
      <x:c r="F227" s="30"/>
      <x:c r="G227" s="30"/>
      <x:c r="H227" s="30"/>
      <x:c r="I227" s="30"/>
      <x:c r="J227" s="30"/>
      <x:c r="K227" s="30"/>
      <x:c r="L227" s="30"/>
      <x:c r="M227" s="30"/>
      <x:c r="N227" s="30"/>
      <x:c r="O227" s="30"/>
      <x:c r="P227" s="30"/>
      <x:c r="Q227" s="30"/>
      <x:c r="R227" s="30"/>
      <x:c r="S227" s="30"/>
      <x:c r="T227" s="30"/>
      <x:c r="U227" s="30"/>
      <x:c r="V227" s="30"/>
      <x:c r="W227" s="30"/>
      <x:c r="X227" s="30"/>
    </x:row>
    <x:row r="228" ht="22" customHeight="1">
      <x:c r="A228" s="30"/>
      <x:c r="B228" s="30"/>
      <x:c r="C228" s="30"/>
      <x:c r="D228" s="30"/>
      <x:c r="E228" s="30"/>
      <x:c r="F228" s="30"/>
      <x:c r="G228" s="30"/>
      <x:c r="H228" s="30"/>
      <x:c r="I228" s="30"/>
      <x:c r="J228" s="30"/>
      <x:c r="K228" s="30"/>
      <x:c r="L228" s="30"/>
      <x:c r="M228" s="30"/>
      <x:c r="N228" s="30"/>
      <x:c r="O228" s="30"/>
      <x:c r="P228" s="30"/>
      <x:c r="Q228" s="30"/>
      <x:c r="R228" s="30"/>
      <x:c r="S228" s="30"/>
      <x:c r="T228" s="30"/>
      <x:c r="U228" s="30"/>
      <x:c r="V228" s="30"/>
      <x:c r="W228" s="30"/>
      <x:c r="X228" s="30"/>
    </x:row>
    <x:row r="229" ht="22" customHeight="1">
      <x:c r="A229" s="30"/>
      <x:c r="B229" s="30"/>
      <x:c r="C229" s="30"/>
      <x:c r="D229" s="30"/>
      <x:c r="E229" s="30"/>
      <x:c r="F229" s="30"/>
      <x:c r="G229" s="30"/>
      <x:c r="H229" s="30"/>
      <x:c r="I229" s="30"/>
      <x:c r="J229" s="30"/>
      <x:c r="K229" s="30"/>
      <x:c r="L229" s="30"/>
      <x:c r="M229" s="30"/>
      <x:c r="N229" s="30"/>
      <x:c r="O229" s="30"/>
      <x:c r="P229" s="30"/>
      <x:c r="Q229" s="30"/>
      <x:c r="R229" s="30"/>
      <x:c r="S229" s="30"/>
      <x:c r="T229" s="30"/>
      <x:c r="U229" s="30"/>
      <x:c r="V229" s="30"/>
      <x:c r="W229" s="30"/>
      <x:c r="X229" s="30"/>
    </x:row>
    <x:row r="230" ht="22" customHeight="1">
      <x:c r="A230" s="30"/>
      <x:c r="B230" s="30"/>
      <x:c r="C230" s="30"/>
      <x:c r="D230" s="30"/>
      <x:c r="E230" s="30"/>
      <x:c r="F230" s="30"/>
      <x:c r="G230" s="30"/>
      <x:c r="H230" s="30"/>
      <x:c r="I230" s="30"/>
      <x:c r="J230" s="30"/>
      <x:c r="K230" s="30"/>
      <x:c r="L230" s="30"/>
      <x:c r="M230" s="30"/>
      <x:c r="N230" s="30"/>
      <x:c r="O230" s="30"/>
      <x:c r="P230" s="30"/>
      <x:c r="Q230" s="30"/>
      <x:c r="R230" s="30"/>
      <x:c r="S230" s="30"/>
      <x:c r="T230" s="30"/>
      <x:c r="U230" s="30"/>
      <x:c r="V230" s="30"/>
      <x:c r="W230" s="30"/>
      <x:c r="X230" s="30"/>
    </x:row>
    <x:row r="231" ht="22" customHeight="1">
      <x:c r="A231" s="30"/>
      <x:c r="B231" s="30"/>
      <x:c r="C231" s="30"/>
      <x:c r="D231" s="30"/>
      <x:c r="E231" s="30"/>
      <x:c r="F231" s="30"/>
      <x:c r="G231" s="30"/>
      <x:c r="H231" s="30"/>
      <x:c r="I231" s="30"/>
      <x:c r="J231" s="30"/>
      <x:c r="K231" s="30"/>
      <x:c r="L231" s="30"/>
      <x:c r="M231" s="30"/>
      <x:c r="N231" s="30"/>
      <x:c r="O231" s="30"/>
      <x:c r="P231" s="30"/>
      <x:c r="Q231" s="30"/>
      <x:c r="R231" s="30"/>
      <x:c r="S231" s="30"/>
      <x:c r="T231" s="30"/>
      <x:c r="U231" s="30"/>
      <x:c r="V231" s="30"/>
      <x:c r="W231" s="30"/>
      <x:c r="X231" s="30"/>
    </x:row>
    <x:row r="232" ht="22" customHeight="1">
      <x:c r="A232" s="30"/>
      <x:c r="B232" s="30"/>
      <x:c r="C232" s="30"/>
      <x:c r="D232" s="30"/>
      <x:c r="E232" s="30"/>
      <x:c r="F232" s="30"/>
      <x:c r="G232" s="30"/>
      <x:c r="H232" s="30"/>
      <x:c r="I232" s="30"/>
      <x:c r="J232" s="30"/>
      <x:c r="K232" s="30"/>
      <x:c r="L232" s="30"/>
      <x:c r="M232" s="30"/>
      <x:c r="N232" s="30"/>
      <x:c r="O232" s="30"/>
      <x:c r="P232" s="30"/>
      <x:c r="Q232" s="30"/>
      <x:c r="R232" s="30"/>
      <x:c r="S232" s="30"/>
      <x:c r="T232" s="30"/>
      <x:c r="U232" s="30"/>
      <x:c r="V232" s="30"/>
      <x:c r="W232" s="30"/>
      <x:c r="X232" s="30"/>
    </x:row>
    <x:row r="233" ht="22" customHeight="1">
      <x:c r="A233" s="30"/>
      <x:c r="B233" s="30"/>
      <x:c r="C233" s="30"/>
      <x:c r="D233" s="30"/>
      <x:c r="E233" s="30"/>
      <x:c r="F233" s="30"/>
      <x:c r="G233" s="30"/>
      <x:c r="H233" s="30"/>
      <x:c r="I233" s="30"/>
      <x:c r="J233" s="30"/>
      <x:c r="K233" s="30"/>
      <x:c r="L233" s="30"/>
      <x:c r="M233" s="30"/>
      <x:c r="N233" s="30"/>
      <x:c r="O233" s="30"/>
      <x:c r="P233" s="30"/>
      <x:c r="Q233" s="30"/>
      <x:c r="R233" s="30"/>
      <x:c r="S233" s="30"/>
      <x:c r="T233" s="30"/>
      <x:c r="U233" s="30"/>
      <x:c r="V233" s="30"/>
      <x:c r="W233" s="30"/>
      <x:c r="X233" s="30"/>
    </x:row>
    <x:row r="234" ht="22" customHeight="1">
      <x:c r="A234" s="30"/>
      <x:c r="B234" s="30"/>
      <x:c r="C234" s="30"/>
      <x:c r="D234" s="30"/>
      <x:c r="E234" s="30"/>
      <x:c r="F234" s="30"/>
      <x:c r="G234" s="30"/>
      <x:c r="H234" s="30"/>
      <x:c r="I234" s="30"/>
      <x:c r="J234" s="30"/>
      <x:c r="K234" s="30"/>
      <x:c r="L234" s="30"/>
      <x:c r="M234" s="30"/>
      <x:c r="N234" s="30"/>
      <x:c r="O234" s="30"/>
      <x:c r="P234" s="30"/>
      <x:c r="Q234" s="30"/>
      <x:c r="R234" s="30"/>
      <x:c r="S234" s="30"/>
      <x:c r="T234" s="30"/>
      <x:c r="U234" s="30"/>
      <x:c r="V234" s="30"/>
      <x:c r="W234" s="30"/>
      <x:c r="X234" s="30"/>
    </x:row>
    <x:row r="235" ht="22" customHeight="1">
      <x:c r="A235" s="30"/>
      <x:c r="B235" s="30"/>
      <x:c r="C235" s="30"/>
      <x:c r="D235" s="30"/>
      <x:c r="E235" s="30"/>
      <x:c r="F235" s="30"/>
      <x:c r="G235" s="30"/>
      <x:c r="H235" s="30"/>
      <x:c r="I235" s="30"/>
      <x:c r="J235" s="30"/>
      <x:c r="K235" s="30"/>
      <x:c r="L235" s="30"/>
      <x:c r="M235" s="30"/>
      <x:c r="N235" s="30"/>
      <x:c r="O235" s="30"/>
      <x:c r="P235" s="30"/>
      <x:c r="Q235" s="30"/>
      <x:c r="R235" s="30"/>
      <x:c r="S235" s="30"/>
      <x:c r="T235" s="30"/>
      <x:c r="U235" s="30"/>
      <x:c r="V235" s="30"/>
      <x:c r="W235" s="30"/>
      <x:c r="X235" s="30"/>
    </x:row>
    <x:row r="236" ht="22" customHeight="1">
      <x:c r="A236" s="30"/>
      <x:c r="B236" s="30"/>
      <x:c r="C236" s="30"/>
      <x:c r="D236" s="30"/>
      <x:c r="E236" s="30"/>
      <x:c r="F236" s="30"/>
      <x:c r="G236" s="30"/>
      <x:c r="H236" s="30"/>
      <x:c r="I236" s="30"/>
      <x:c r="J236" s="30"/>
      <x:c r="K236" s="30"/>
      <x:c r="L236" s="30"/>
      <x:c r="M236" s="30"/>
      <x:c r="N236" s="30"/>
      <x:c r="O236" s="30"/>
      <x:c r="P236" s="30"/>
      <x:c r="Q236" s="30"/>
      <x:c r="R236" s="30"/>
      <x:c r="S236" s="30"/>
      <x:c r="T236" s="30"/>
      <x:c r="U236" s="30"/>
      <x:c r="V236" s="30"/>
      <x:c r="W236" s="30"/>
      <x:c r="X236" s="30"/>
    </x:row>
    <x:row r="237" ht="22" customHeight="1">
      <x:c r="A237" s="30"/>
      <x:c r="B237" s="30"/>
      <x:c r="C237" s="30"/>
      <x:c r="D237" s="30"/>
      <x:c r="E237" s="30"/>
      <x:c r="F237" s="30"/>
      <x:c r="G237" s="30"/>
      <x:c r="H237" s="30"/>
      <x:c r="I237" s="30"/>
      <x:c r="J237" s="30"/>
      <x:c r="K237" s="30"/>
      <x:c r="L237" s="30"/>
      <x:c r="M237" s="30"/>
      <x:c r="N237" s="30"/>
      <x:c r="O237" s="30"/>
      <x:c r="P237" s="30"/>
      <x:c r="Q237" s="30"/>
      <x:c r="R237" s="30"/>
      <x:c r="S237" s="30"/>
      <x:c r="T237" s="30"/>
      <x:c r="U237" s="30"/>
      <x:c r="V237" s="30"/>
      <x:c r="W237" s="30"/>
      <x:c r="X237" s="30"/>
    </x:row>
    <x:row r="238" ht="22" customHeight="1">
      <x:c r="A238" s="30"/>
      <x:c r="B238" s="30"/>
      <x:c r="C238" s="30"/>
      <x:c r="D238" s="30"/>
      <x:c r="E238" s="30"/>
      <x:c r="F238" s="30"/>
      <x:c r="G238" s="30"/>
      <x:c r="H238" s="30"/>
      <x:c r="I238" s="30"/>
      <x:c r="J238" s="30"/>
      <x:c r="K238" s="30"/>
      <x:c r="L238" s="30"/>
      <x:c r="M238" s="30"/>
      <x:c r="N238" s="30"/>
      <x:c r="O238" s="30"/>
      <x:c r="P238" s="30"/>
      <x:c r="Q238" s="30"/>
      <x:c r="R238" s="30"/>
      <x:c r="S238" s="30"/>
      <x:c r="T238" s="30"/>
      <x:c r="U238" s="30"/>
      <x:c r="V238" s="30"/>
      <x:c r="W238" s="30"/>
      <x:c r="X238" s="30"/>
    </x:row>
    <x:row r="239" ht="22" customHeight="1">
      <x:c r="A239" s="30"/>
      <x:c r="B239" s="30"/>
      <x:c r="C239" s="30"/>
      <x:c r="D239" s="30"/>
      <x:c r="E239" s="30"/>
      <x:c r="F239" s="30"/>
      <x:c r="G239" s="30"/>
      <x:c r="H239" s="30"/>
      <x:c r="I239" s="30"/>
      <x:c r="J239" s="30"/>
      <x:c r="K239" s="30"/>
      <x:c r="L239" s="30"/>
      <x:c r="M239" s="30"/>
      <x:c r="N239" s="30"/>
      <x:c r="O239" s="30"/>
      <x:c r="P239" s="30"/>
      <x:c r="Q239" s="30"/>
      <x:c r="R239" s="30"/>
      <x:c r="S239" s="30"/>
      <x:c r="T239" s="30"/>
      <x:c r="U239" s="30"/>
      <x:c r="V239" s="30"/>
      <x:c r="W239" s="30"/>
      <x:c r="X239" s="30"/>
    </x:row>
    <x:row r="240" ht="22" customHeight="1">
      <x:c r="A240" s="30"/>
      <x:c r="B240" s="30"/>
      <x:c r="C240" s="30"/>
      <x:c r="D240" s="30"/>
      <x:c r="E240" s="30"/>
      <x:c r="F240" s="30"/>
      <x:c r="G240" s="30"/>
      <x:c r="H240" s="30"/>
      <x:c r="I240" s="30"/>
      <x:c r="J240" s="30"/>
      <x:c r="K240" s="30"/>
      <x:c r="L240" s="30"/>
      <x:c r="M240" s="30"/>
      <x:c r="N240" s="30"/>
      <x:c r="O240" s="30"/>
      <x:c r="P240" s="30"/>
      <x:c r="Q240" s="30"/>
      <x:c r="R240" s="30"/>
      <x:c r="S240" s="30"/>
      <x:c r="T240" s="30"/>
      <x:c r="U240" s="30"/>
      <x:c r="V240" s="30"/>
      <x:c r="W240" s="30"/>
      <x:c r="X240" s="30"/>
    </x:row>
    <x:row r="241" ht="22" customHeight="1">
      <x:c r="A241" s="30"/>
      <x:c r="B241" s="30"/>
      <x:c r="C241" s="30"/>
      <x:c r="D241" s="30"/>
      <x:c r="E241" s="30"/>
      <x:c r="F241" s="30"/>
      <x:c r="G241" s="30"/>
      <x:c r="H241" s="30"/>
      <x:c r="I241" s="30"/>
      <x:c r="J241" s="30"/>
      <x:c r="K241" s="30"/>
      <x:c r="L241" s="30"/>
      <x:c r="M241" s="30"/>
      <x:c r="N241" s="30"/>
      <x:c r="O241" s="30"/>
      <x:c r="P241" s="30"/>
      <x:c r="Q241" s="30"/>
      <x:c r="R241" s="30"/>
      <x:c r="S241" s="30"/>
      <x:c r="T241" s="30"/>
      <x:c r="U241" s="30"/>
      <x:c r="V241" s="30"/>
      <x:c r="W241" s="30"/>
      <x:c r="X241" s="30"/>
    </x:row>
    <x:row r="242" ht="22" customHeight="1">
      <x:c r="A242" s="30"/>
      <x:c r="B242" s="30"/>
      <x:c r="C242" s="30"/>
      <x:c r="D242" s="30"/>
      <x:c r="E242" s="30"/>
      <x:c r="F242" s="30"/>
      <x:c r="G242" s="30"/>
      <x:c r="H242" s="30"/>
      <x:c r="I242" s="30"/>
      <x:c r="J242" s="30"/>
      <x:c r="K242" s="30"/>
      <x:c r="L242" s="30"/>
      <x:c r="M242" s="30"/>
      <x:c r="N242" s="30"/>
      <x:c r="O242" s="30"/>
      <x:c r="P242" s="30"/>
      <x:c r="Q242" s="30"/>
      <x:c r="R242" s="30"/>
      <x:c r="S242" s="30"/>
      <x:c r="T242" s="30"/>
      <x:c r="U242" s="30"/>
      <x:c r="V242" s="30"/>
      <x:c r="W242" s="30"/>
      <x:c r="X242" s="30"/>
    </x:row>
    <x:row r="243" ht="22" customHeight="1">
      <x:c r="A243" s="30"/>
      <x:c r="B243" s="30"/>
      <x:c r="C243" s="30"/>
      <x:c r="D243" s="30"/>
      <x:c r="E243" s="30"/>
      <x:c r="F243" s="30"/>
      <x:c r="G243" s="30"/>
      <x:c r="H243" s="30"/>
      <x:c r="I243" s="30"/>
      <x:c r="J243" s="30"/>
      <x:c r="K243" s="30"/>
      <x:c r="L243" s="30"/>
      <x:c r="M243" s="30"/>
      <x:c r="N243" s="30"/>
      <x:c r="O243" s="30"/>
      <x:c r="P243" s="30"/>
      <x:c r="Q243" s="30"/>
      <x:c r="R243" s="30"/>
      <x:c r="S243" s="30"/>
      <x:c r="T243" s="30"/>
      <x:c r="U243" s="30"/>
      <x:c r="V243" s="30"/>
      <x:c r="W243" s="30"/>
      <x:c r="X243" s="30"/>
    </x:row>
    <x:row r="244" ht="22" customHeight="1">
      <x:c r="A244" s="30"/>
      <x:c r="B244" s="30"/>
      <x:c r="C244" s="30"/>
      <x:c r="D244" s="30"/>
      <x:c r="E244" s="30"/>
      <x:c r="F244" s="30"/>
      <x:c r="G244" s="30"/>
      <x:c r="H244" s="30"/>
      <x:c r="I244" s="30"/>
      <x:c r="J244" s="30"/>
      <x:c r="K244" s="30"/>
      <x:c r="L244" s="30"/>
      <x:c r="M244" s="30"/>
      <x:c r="N244" s="30"/>
      <x:c r="O244" s="30"/>
      <x:c r="P244" s="30"/>
      <x:c r="Q244" s="30"/>
      <x:c r="R244" s="30"/>
      <x:c r="S244" s="30"/>
      <x:c r="T244" s="30"/>
      <x:c r="U244" s="30"/>
      <x:c r="V244" s="30"/>
      <x:c r="W244" s="30"/>
      <x:c r="X244" s="30"/>
    </x:row>
    <x:row r="245" ht="22" customHeight="1">
      <x:c r="A245" s="30"/>
      <x:c r="B245" s="30"/>
      <x:c r="C245" s="30"/>
      <x:c r="D245" s="30"/>
      <x:c r="E245" s="30"/>
      <x:c r="F245" s="30"/>
      <x:c r="G245" s="30"/>
      <x:c r="H245" s="30"/>
      <x:c r="I245" s="30"/>
      <x:c r="J245" s="30"/>
      <x:c r="K245" s="30"/>
      <x:c r="L245" s="30"/>
      <x:c r="M245" s="30"/>
      <x:c r="N245" s="30"/>
      <x:c r="O245" s="30"/>
      <x:c r="P245" s="30"/>
      <x:c r="Q245" s="30"/>
      <x:c r="R245" s="30"/>
      <x:c r="S245" s="30"/>
      <x:c r="T245" s="30"/>
      <x:c r="U245" s="30"/>
      <x:c r="V245" s="30"/>
      <x:c r="W245" s="30"/>
      <x:c r="X245" s="30"/>
    </x:row>
    <x:row r="246" ht="22" customHeight="1">
      <x:c r="A246" s="30"/>
      <x:c r="B246" s="30"/>
      <x:c r="C246" s="30"/>
      <x:c r="D246" s="30"/>
      <x:c r="E246" s="30"/>
      <x:c r="F246" s="30"/>
      <x:c r="G246" s="30"/>
      <x:c r="H246" s="30"/>
      <x:c r="I246" s="30"/>
      <x:c r="J246" s="30"/>
      <x:c r="K246" s="30"/>
      <x:c r="L246" s="30"/>
      <x:c r="M246" s="30"/>
      <x:c r="N246" s="30"/>
      <x:c r="O246" s="30"/>
      <x:c r="P246" s="30"/>
      <x:c r="Q246" s="30"/>
      <x:c r="R246" s="30"/>
      <x:c r="S246" s="30"/>
      <x:c r="T246" s="30"/>
      <x:c r="U246" s="30"/>
      <x:c r="V246" s="30"/>
      <x:c r="W246" s="30"/>
      <x:c r="X246" s="30"/>
    </x:row>
    <x:row r="247" ht="22" customHeight="1">
      <x:c r="A247" s="30"/>
      <x:c r="B247" s="30"/>
      <x:c r="C247" s="30"/>
      <x:c r="D247" s="30"/>
      <x:c r="E247" s="30"/>
      <x:c r="F247" s="30"/>
      <x:c r="G247" s="30"/>
      <x:c r="H247" s="30"/>
      <x:c r="I247" s="30"/>
      <x:c r="J247" s="30"/>
      <x:c r="K247" s="30"/>
      <x:c r="L247" s="30"/>
      <x:c r="M247" s="30"/>
      <x:c r="N247" s="30"/>
      <x:c r="O247" s="30"/>
      <x:c r="P247" s="30"/>
      <x:c r="Q247" s="30"/>
      <x:c r="R247" s="30"/>
      <x:c r="S247" s="30"/>
      <x:c r="T247" s="30"/>
      <x:c r="U247" s="30"/>
      <x:c r="V247" s="30"/>
      <x:c r="W247" s="30"/>
      <x:c r="X247" s="30"/>
    </x:row>
    <x:row r="248" ht="22" customHeight="1">
      <x:c r="A248" s="30"/>
      <x:c r="B248" s="30"/>
      <x:c r="C248" s="30"/>
      <x:c r="D248" s="30"/>
      <x:c r="E248" s="30"/>
      <x:c r="F248" s="30"/>
      <x:c r="G248" s="30"/>
      <x:c r="H248" s="30"/>
      <x:c r="I248" s="30"/>
      <x:c r="J248" s="30"/>
      <x:c r="K248" s="30"/>
      <x:c r="L248" s="30"/>
      <x:c r="M248" s="30"/>
      <x:c r="N248" s="30"/>
      <x:c r="O248" s="30"/>
      <x:c r="P248" s="30"/>
      <x:c r="Q248" s="30"/>
      <x:c r="R248" s="30"/>
      <x:c r="S248" s="30"/>
      <x:c r="T248" s="30"/>
      <x:c r="U248" s="30"/>
      <x:c r="V248" s="30"/>
      <x:c r="W248" s="30"/>
      <x:c r="X248" s="30"/>
    </x:row>
    <x:row r="249" ht="22" customHeight="1">
      <x:c r="A249" s="30"/>
      <x:c r="B249" s="30"/>
      <x:c r="C249" s="30"/>
      <x:c r="D249" s="30"/>
      <x:c r="E249" s="30"/>
      <x:c r="F249" s="30"/>
      <x:c r="G249" s="30"/>
      <x:c r="H249" s="30"/>
      <x:c r="I249" s="30"/>
      <x:c r="J249" s="30"/>
      <x:c r="K249" s="30"/>
      <x:c r="L249" s="30"/>
      <x:c r="M249" s="30"/>
      <x:c r="N249" s="30"/>
      <x:c r="O249" s="30"/>
      <x:c r="P249" s="30"/>
      <x:c r="Q249" s="30"/>
      <x:c r="R249" s="30"/>
      <x:c r="S249" s="30"/>
      <x:c r="T249" s="30"/>
      <x:c r="U249" s="30"/>
      <x:c r="V249" s="30"/>
      <x:c r="W249" s="30"/>
      <x:c r="X249" s="30"/>
    </x:row>
    <x:row r="250" ht="22" customHeight="1">
      <x:c r="A250" s="30"/>
      <x:c r="B250" s="30"/>
      <x:c r="C250" s="30"/>
      <x:c r="D250" s="30"/>
      <x:c r="E250" s="30"/>
      <x:c r="F250" s="30"/>
      <x:c r="G250" s="30"/>
      <x:c r="H250" s="30"/>
      <x:c r="I250" s="30"/>
      <x:c r="J250" s="30"/>
      <x:c r="K250" s="30"/>
      <x:c r="L250" s="30"/>
      <x:c r="M250" s="30"/>
      <x:c r="N250" s="30"/>
      <x:c r="O250" s="30"/>
      <x:c r="P250" s="30"/>
      <x:c r="Q250" s="30"/>
      <x:c r="R250" s="30"/>
      <x:c r="S250" s="30"/>
      <x:c r="T250" s="30"/>
      <x:c r="U250" s="30"/>
      <x:c r="V250" s="30"/>
      <x:c r="W250" s="30"/>
      <x:c r="X250" s="30"/>
    </x:row>
    <x:row r="251" ht="22" customHeight="1">
      <x:c r="A251" s="30"/>
      <x:c r="B251" s="30"/>
      <x:c r="C251" s="30"/>
      <x:c r="D251" s="30"/>
      <x:c r="E251" s="30"/>
      <x:c r="F251" s="30"/>
      <x:c r="G251" s="30"/>
      <x:c r="H251" s="30"/>
      <x:c r="I251" s="30"/>
      <x:c r="J251" s="30"/>
      <x:c r="K251" s="30"/>
      <x:c r="L251" s="30"/>
      <x:c r="M251" s="30"/>
      <x:c r="N251" s="30"/>
      <x:c r="O251" s="30"/>
      <x:c r="P251" s="30"/>
      <x:c r="Q251" s="30"/>
      <x:c r="R251" s="30"/>
      <x:c r="S251" s="30"/>
      <x:c r="T251" s="30"/>
      <x:c r="U251" s="30"/>
      <x:c r="V251" s="30"/>
      <x:c r="W251" s="30"/>
      <x:c r="X251" s="30"/>
    </x:row>
    <x:row r="252" ht="22" customHeight="1">
      <x:c r="A252" s="30"/>
      <x:c r="B252" s="30"/>
      <x:c r="C252" s="30"/>
      <x:c r="D252" s="30"/>
      <x:c r="E252" s="30"/>
      <x:c r="F252" s="30"/>
      <x:c r="G252" s="30"/>
      <x:c r="H252" s="30"/>
      <x:c r="I252" s="30"/>
      <x:c r="J252" s="30"/>
      <x:c r="K252" s="30"/>
      <x:c r="L252" s="30"/>
      <x:c r="M252" s="30"/>
      <x:c r="N252" s="30"/>
      <x:c r="O252" s="30"/>
      <x:c r="P252" s="30"/>
      <x:c r="Q252" s="30"/>
      <x:c r="R252" s="30"/>
      <x:c r="S252" s="30"/>
      <x:c r="T252" s="30"/>
      <x:c r="U252" s="30"/>
      <x:c r="V252" s="30"/>
      <x:c r="W252" s="30"/>
      <x:c r="X252" s="30"/>
    </x:row>
    <x:row r="253" ht="22" customHeight="1">
      <x:c r="A253" s="30"/>
      <x:c r="B253" s="30"/>
      <x:c r="C253" s="30"/>
      <x:c r="D253" s="30"/>
      <x:c r="E253" s="30"/>
      <x:c r="F253" s="30"/>
      <x:c r="G253" s="30"/>
      <x:c r="H253" s="30"/>
      <x:c r="I253" s="30"/>
      <x:c r="J253" s="30"/>
      <x:c r="K253" s="30"/>
      <x:c r="L253" s="30"/>
      <x:c r="M253" s="30"/>
      <x:c r="N253" s="30"/>
      <x:c r="O253" s="30"/>
      <x:c r="P253" s="30"/>
      <x:c r="Q253" s="30"/>
      <x:c r="R253" s="30"/>
      <x:c r="S253" s="30"/>
      <x:c r="T253" s="30"/>
      <x:c r="U253" s="30"/>
      <x:c r="V253" s="30"/>
      <x:c r="W253" s="30"/>
      <x:c r="X253" s="30"/>
    </x:row>
    <x:row r="254" ht="22" customHeight="1">
      <x:c r="A254" s="30"/>
      <x:c r="B254" s="30"/>
      <x:c r="C254" s="30"/>
      <x:c r="D254" s="30"/>
      <x:c r="E254" s="30"/>
      <x:c r="F254" s="30"/>
      <x:c r="G254" s="30"/>
      <x:c r="H254" s="30"/>
      <x:c r="I254" s="30"/>
      <x:c r="J254" s="30"/>
      <x:c r="K254" s="30"/>
      <x:c r="L254" s="30"/>
      <x:c r="M254" s="30"/>
      <x:c r="N254" s="30"/>
      <x:c r="O254" s="30"/>
      <x:c r="P254" s="30"/>
      <x:c r="Q254" s="30"/>
      <x:c r="R254" s="30"/>
      <x:c r="S254" s="30"/>
      <x:c r="T254" s="30"/>
      <x:c r="U254" s="30"/>
      <x:c r="V254" s="30"/>
      <x:c r="W254" s="30"/>
      <x:c r="X254" s="30"/>
    </x:row>
    <x:row r="255" ht="22" customHeight="1">
      <x:c r="A255" s="30"/>
      <x:c r="B255" s="30"/>
      <x:c r="C255" s="30"/>
      <x:c r="D255" s="30"/>
      <x:c r="E255" s="30"/>
      <x:c r="F255" s="30"/>
      <x:c r="G255" s="30"/>
      <x:c r="H255" s="30"/>
      <x:c r="I255" s="30"/>
      <x:c r="J255" s="30"/>
      <x:c r="K255" s="30"/>
      <x:c r="L255" s="30"/>
      <x:c r="M255" s="30"/>
      <x:c r="N255" s="30"/>
      <x:c r="O255" s="30"/>
      <x:c r="P255" s="30"/>
      <x:c r="Q255" s="30"/>
      <x:c r="R255" s="30"/>
      <x:c r="S255" s="30"/>
      <x:c r="T255" s="30"/>
      <x:c r="U255" s="30"/>
      <x:c r="V255" s="30"/>
      <x:c r="W255" s="30"/>
      <x:c r="X255" s="30"/>
    </x:row>
    <x:row r="256" ht="22" customHeight="1">
      <x:c r="A256" s="30"/>
      <x:c r="B256" s="30"/>
      <x:c r="C256" s="30"/>
      <x:c r="D256" s="30"/>
      <x:c r="E256" s="30"/>
      <x:c r="F256" s="30"/>
      <x:c r="G256" s="30"/>
      <x:c r="H256" s="30"/>
      <x:c r="I256" s="30"/>
      <x:c r="J256" s="30"/>
      <x:c r="K256" s="30"/>
      <x:c r="L256" s="30"/>
      <x:c r="M256" s="30"/>
      <x:c r="N256" s="30"/>
      <x:c r="O256" s="30"/>
      <x:c r="P256" s="30"/>
      <x:c r="Q256" s="30"/>
      <x:c r="R256" s="30"/>
      <x:c r="S256" s="30"/>
      <x:c r="T256" s="30"/>
      <x:c r="U256" s="30"/>
      <x:c r="V256" s="30"/>
      <x:c r="W256" s="30"/>
      <x:c r="X256" s="30"/>
    </x:row>
    <x:row r="257" ht="22" customHeight="1">
      <x:c r="A257" s="30"/>
      <x:c r="B257" s="30"/>
      <x:c r="C257" s="30"/>
      <x:c r="D257" s="30"/>
      <x:c r="E257" s="30"/>
      <x:c r="F257" s="30"/>
      <x:c r="G257" s="30"/>
      <x:c r="H257" s="30"/>
      <x:c r="I257" s="30"/>
      <x:c r="J257" s="30"/>
      <x:c r="K257" s="30"/>
      <x:c r="L257" s="30"/>
      <x:c r="M257" s="30"/>
      <x:c r="N257" s="30"/>
      <x:c r="O257" s="30"/>
      <x:c r="P257" s="30"/>
      <x:c r="Q257" s="30"/>
      <x:c r="R257" s="30"/>
      <x:c r="S257" s="30"/>
      <x:c r="T257" s="30"/>
      <x:c r="U257" s="30"/>
      <x:c r="V257" s="30"/>
      <x:c r="W257" s="30"/>
      <x:c r="X257" s="30"/>
    </x:row>
    <x:row r="258" ht="22" customHeight="1">
      <x:c r="A258" s="30"/>
      <x:c r="B258" s="30"/>
      <x:c r="C258" s="30"/>
      <x:c r="D258" s="30"/>
      <x:c r="E258" s="30"/>
      <x:c r="F258" s="30"/>
      <x:c r="G258" s="30"/>
      <x:c r="H258" s="30"/>
      <x:c r="I258" s="30"/>
      <x:c r="J258" s="30"/>
      <x:c r="K258" s="30"/>
      <x:c r="L258" s="30"/>
      <x:c r="M258" s="30"/>
      <x:c r="N258" s="30"/>
      <x:c r="O258" s="30"/>
      <x:c r="P258" s="30"/>
      <x:c r="Q258" s="30"/>
      <x:c r="R258" s="30"/>
      <x:c r="S258" s="30"/>
      <x:c r="T258" s="30"/>
      <x:c r="U258" s="30"/>
      <x:c r="V258" s="30"/>
      <x:c r="W258" s="30"/>
      <x:c r="X258" s="30"/>
    </x:row>
    <x:row r="259" ht="22" customHeight="1">
      <x:c r="A259" s="30"/>
      <x:c r="B259" s="30"/>
      <x:c r="C259" s="30"/>
      <x:c r="D259" s="30"/>
      <x:c r="E259" s="30"/>
      <x:c r="F259" s="30"/>
      <x:c r="G259" s="30"/>
      <x:c r="H259" s="30"/>
      <x:c r="I259" s="30"/>
      <x:c r="J259" s="30"/>
      <x:c r="K259" s="30"/>
      <x:c r="L259" s="30"/>
      <x:c r="M259" s="30"/>
      <x:c r="N259" s="30"/>
      <x:c r="O259" s="30"/>
      <x:c r="P259" s="30"/>
      <x:c r="Q259" s="30"/>
      <x:c r="R259" s="30"/>
      <x:c r="S259" s="30"/>
      <x:c r="T259" s="30"/>
      <x:c r="U259" s="30"/>
      <x:c r="V259" s="30"/>
      <x:c r="W259" s="30"/>
      <x:c r="X259" s="30"/>
    </x:row>
    <x:row r="260" ht="22" customHeight="1">
      <x:c r="A260" s="30"/>
      <x:c r="B260" s="30"/>
      <x:c r="C260" s="30"/>
      <x:c r="D260" s="30"/>
      <x:c r="E260" s="30"/>
      <x:c r="F260" s="30"/>
      <x:c r="G260" s="30"/>
      <x:c r="H260" s="30"/>
      <x:c r="I260" s="30"/>
      <x:c r="J260" s="30"/>
      <x:c r="K260" s="30"/>
      <x:c r="L260" s="30"/>
      <x:c r="M260" s="30"/>
      <x:c r="N260" s="30"/>
      <x:c r="O260" s="30"/>
      <x:c r="P260" s="30"/>
      <x:c r="Q260" s="30"/>
      <x:c r="R260" s="30"/>
      <x:c r="S260" s="30"/>
      <x:c r="T260" s="30"/>
      <x:c r="U260" s="30"/>
      <x:c r="V260" s="30"/>
      <x:c r="W260" s="30"/>
      <x:c r="X260" s="30"/>
    </x:row>
    <x:row r="261" ht="22" customHeight="1">
      <x:c r="A261" s="30"/>
      <x:c r="B261" s="30"/>
      <x:c r="C261" s="30"/>
      <x:c r="D261" s="30"/>
      <x:c r="E261" s="30"/>
      <x:c r="F261" s="30"/>
      <x:c r="G261" s="30"/>
      <x:c r="H261" s="30"/>
      <x:c r="I261" s="30"/>
      <x:c r="J261" s="30"/>
      <x:c r="K261" s="30"/>
      <x:c r="L261" s="30"/>
      <x:c r="M261" s="30"/>
      <x:c r="N261" s="30"/>
      <x:c r="O261" s="30"/>
      <x:c r="P261" s="30"/>
      <x:c r="Q261" s="30"/>
      <x:c r="R261" s="30"/>
      <x:c r="S261" s="30"/>
      <x:c r="T261" s="30"/>
      <x:c r="U261" s="30"/>
      <x:c r="V261" s="30"/>
      <x:c r="W261" s="30"/>
      <x:c r="X261" s="30"/>
    </x:row>
    <x:row r="262" ht="22" customHeight="1">
      <x:c r="A262" s="30"/>
      <x:c r="B262" s="30"/>
      <x:c r="C262" s="30"/>
      <x:c r="D262" s="30"/>
      <x:c r="E262" s="30"/>
      <x:c r="F262" s="30"/>
      <x:c r="G262" s="30"/>
      <x:c r="H262" s="30"/>
      <x:c r="I262" s="30"/>
      <x:c r="J262" s="30"/>
      <x:c r="K262" s="30"/>
      <x:c r="L262" s="30"/>
      <x:c r="M262" s="30"/>
      <x:c r="N262" s="30"/>
      <x:c r="O262" s="30"/>
      <x:c r="P262" s="30"/>
      <x:c r="Q262" s="30"/>
      <x:c r="R262" s="30"/>
      <x:c r="S262" s="30"/>
      <x:c r="T262" s="30"/>
      <x:c r="U262" s="30"/>
      <x:c r="V262" s="30"/>
      <x:c r="W262" s="30"/>
      <x:c r="X262" s="30"/>
    </x:row>
    <x:row r="263" ht="22" customHeight="1">
      <x:c r="A263" s="30"/>
      <x:c r="B263" s="30"/>
      <x:c r="C263" s="30"/>
      <x:c r="D263" s="30"/>
      <x:c r="E263" s="30"/>
      <x:c r="F263" s="30"/>
      <x:c r="G263" s="30"/>
      <x:c r="H263" s="30"/>
      <x:c r="I263" s="30"/>
      <x:c r="J263" s="30"/>
      <x:c r="K263" s="30"/>
      <x:c r="L263" s="30"/>
      <x:c r="M263" s="30"/>
      <x:c r="N263" s="30"/>
      <x:c r="O263" s="30"/>
      <x:c r="P263" s="30"/>
      <x:c r="Q263" s="30"/>
      <x:c r="R263" s="30"/>
      <x:c r="S263" s="30"/>
      <x:c r="T263" s="30"/>
      <x:c r="U263" s="30"/>
      <x:c r="V263" s="30"/>
      <x:c r="W263" s="30"/>
      <x:c r="X263" s="30"/>
    </x:row>
    <x:row r="264" ht="22" customHeight="1">
      <x:c r="A264" s="30"/>
      <x:c r="B264" s="30"/>
      <x:c r="C264" s="30"/>
      <x:c r="D264" s="30"/>
      <x:c r="E264" s="30"/>
      <x:c r="F264" s="30"/>
      <x:c r="G264" s="30"/>
      <x:c r="H264" s="30"/>
      <x:c r="I264" s="30"/>
      <x:c r="J264" s="30"/>
      <x:c r="K264" s="30"/>
      <x:c r="L264" s="30"/>
      <x:c r="M264" s="30"/>
      <x:c r="N264" s="30"/>
      <x:c r="O264" s="30"/>
      <x:c r="P264" s="30"/>
      <x:c r="Q264" s="30"/>
      <x:c r="R264" s="30"/>
      <x:c r="S264" s="30"/>
      <x:c r="T264" s="30"/>
      <x:c r="U264" s="30"/>
      <x:c r="V264" s="30"/>
      <x:c r="W264" s="30"/>
      <x:c r="X264" s="30"/>
    </x:row>
    <x:row r="265" ht="22" customHeight="1">
      <x:c r="A265" s="30"/>
      <x:c r="B265" s="30"/>
      <x:c r="C265" s="30"/>
      <x:c r="D265" s="30"/>
      <x:c r="E265" s="30"/>
      <x:c r="F265" s="30"/>
      <x:c r="G265" s="30"/>
      <x:c r="H265" s="30"/>
      <x:c r="I265" s="30"/>
      <x:c r="J265" s="30"/>
      <x:c r="K265" s="30"/>
      <x:c r="L265" s="30"/>
      <x:c r="M265" s="30"/>
      <x:c r="N265" s="30"/>
      <x:c r="O265" s="30"/>
      <x:c r="P265" s="30"/>
      <x:c r="Q265" s="30"/>
      <x:c r="R265" s="30"/>
      <x:c r="S265" s="30"/>
      <x:c r="T265" s="30"/>
      <x:c r="U265" s="30"/>
      <x:c r="V265" s="30"/>
      <x:c r="W265" s="30"/>
      <x:c r="X265" s="30"/>
    </x:row>
    <x:row r="266" ht="22" customHeight="1">
      <x:c r="A266" s="30"/>
      <x:c r="B266" s="30"/>
      <x:c r="C266" s="30"/>
      <x:c r="D266" s="30"/>
      <x:c r="E266" s="30"/>
      <x:c r="F266" s="30"/>
      <x:c r="G266" s="30"/>
      <x:c r="H266" s="30"/>
      <x:c r="I266" s="30"/>
      <x:c r="J266" s="30"/>
      <x:c r="K266" s="30"/>
      <x:c r="L266" s="30"/>
      <x:c r="M266" s="30"/>
      <x:c r="N266" s="30"/>
      <x:c r="O266" s="30"/>
      <x:c r="P266" s="30"/>
      <x:c r="Q266" s="30"/>
      <x:c r="R266" s="30"/>
      <x:c r="S266" s="30"/>
      <x:c r="T266" s="30"/>
      <x:c r="U266" s="30"/>
      <x:c r="V266" s="30"/>
      <x:c r="W266" s="30"/>
      <x:c r="X266" s="30"/>
    </x:row>
    <x:row r="267" ht="22" customHeight="1">
      <x:c r="A267" s="30"/>
      <x:c r="B267" s="30"/>
      <x:c r="C267" s="30"/>
      <x:c r="D267" s="30"/>
      <x:c r="E267" s="30"/>
      <x:c r="F267" s="30"/>
      <x:c r="G267" s="30"/>
      <x:c r="H267" s="30"/>
      <x:c r="I267" s="30"/>
      <x:c r="J267" s="30"/>
      <x:c r="K267" s="30"/>
      <x:c r="L267" s="30"/>
      <x:c r="M267" s="30"/>
      <x:c r="N267" s="30"/>
      <x:c r="O267" s="30"/>
      <x:c r="P267" s="30"/>
      <x:c r="Q267" s="30"/>
      <x:c r="R267" s="30"/>
      <x:c r="S267" s="30"/>
      <x:c r="T267" s="30"/>
      <x:c r="U267" s="30"/>
      <x:c r="V267" s="30"/>
      <x:c r="W267" s="30"/>
      <x:c r="X267" s="30"/>
    </x:row>
    <x:row r="268" ht="22" customHeight="1">
      <x:c r="A268" s="30"/>
      <x:c r="B268" s="30"/>
      <x:c r="C268" s="30"/>
      <x:c r="D268" s="30"/>
      <x:c r="E268" s="30"/>
      <x:c r="F268" s="30"/>
      <x:c r="G268" s="30"/>
      <x:c r="H268" s="30"/>
      <x:c r="I268" s="30"/>
      <x:c r="J268" s="30"/>
      <x:c r="K268" s="30"/>
      <x:c r="L268" s="30"/>
      <x:c r="M268" s="30"/>
      <x:c r="N268" s="30"/>
      <x:c r="O268" s="30"/>
      <x:c r="P268" s="30"/>
      <x:c r="Q268" s="30"/>
      <x:c r="R268" s="30"/>
      <x:c r="S268" s="30"/>
      <x:c r="T268" s="30"/>
      <x:c r="U268" s="30"/>
      <x:c r="V268" s="30"/>
      <x:c r="W268" s="30"/>
      <x:c r="X268" s="30"/>
    </x:row>
    <x:row r="269" ht="22" customHeight="1">
      <x:c r="A269" s="30"/>
      <x:c r="B269" s="30"/>
      <x:c r="C269" s="30"/>
      <x:c r="D269" s="30"/>
      <x:c r="E269" s="30"/>
      <x:c r="F269" s="30"/>
      <x:c r="G269" s="30"/>
      <x:c r="H269" s="30"/>
      <x:c r="I269" s="30"/>
      <x:c r="J269" s="30"/>
      <x:c r="K269" s="30"/>
      <x:c r="L269" s="30"/>
      <x:c r="M269" s="30"/>
      <x:c r="N269" s="30"/>
      <x:c r="O269" s="30"/>
      <x:c r="P269" s="30"/>
      <x:c r="Q269" s="30"/>
      <x:c r="R269" s="30"/>
      <x:c r="S269" s="30"/>
      <x:c r="T269" s="30"/>
      <x:c r="U269" s="30"/>
      <x:c r="V269" s="30"/>
      <x:c r="W269" s="30"/>
      <x:c r="X269" s="30"/>
    </x:row>
    <x:row r="270" ht="22" customHeight="1">
      <x:c r="A270" s="30"/>
      <x:c r="B270" s="30"/>
      <x:c r="C270" s="30"/>
      <x:c r="D270" s="30"/>
      <x:c r="E270" s="30"/>
      <x:c r="F270" s="30"/>
      <x:c r="G270" s="30"/>
      <x:c r="H270" s="30"/>
      <x:c r="I270" s="30"/>
      <x:c r="J270" s="30"/>
      <x:c r="K270" s="30"/>
      <x:c r="L270" s="30"/>
      <x:c r="M270" s="30"/>
      <x:c r="N270" s="30"/>
      <x:c r="O270" s="30"/>
      <x:c r="P270" s="30"/>
      <x:c r="Q270" s="30"/>
      <x:c r="R270" s="30"/>
      <x:c r="S270" s="30"/>
      <x:c r="T270" s="30"/>
      <x:c r="U270" s="30"/>
      <x:c r="V270" s="30"/>
      <x:c r="W270" s="30"/>
      <x:c r="X270" s="30"/>
    </x:row>
    <x:row r="271" ht="22" customHeight="1">
      <x:c r="A271" s="30"/>
      <x:c r="B271" s="30"/>
      <x:c r="C271" s="30"/>
      <x:c r="D271" s="30"/>
      <x:c r="E271" s="30"/>
      <x:c r="F271" s="30"/>
      <x:c r="G271" s="30"/>
      <x:c r="H271" s="30"/>
      <x:c r="I271" s="30"/>
      <x:c r="J271" s="30"/>
      <x:c r="K271" s="30"/>
      <x:c r="L271" s="30"/>
      <x:c r="M271" s="30"/>
      <x:c r="N271" s="30"/>
      <x:c r="O271" s="30"/>
      <x:c r="P271" s="30"/>
      <x:c r="Q271" s="30"/>
      <x:c r="R271" s="30"/>
      <x:c r="S271" s="30"/>
      <x:c r="T271" s="30"/>
      <x:c r="U271" s="30"/>
      <x:c r="V271" s="30"/>
      <x:c r="W271" s="30"/>
      <x:c r="X271" s="30"/>
    </x:row>
    <x:row r="272" ht="22" customHeight="1">
      <x:c r="A272" s="30"/>
      <x:c r="B272" s="30"/>
      <x:c r="C272" s="30"/>
      <x:c r="D272" s="30"/>
      <x:c r="E272" s="30"/>
      <x:c r="F272" s="30"/>
      <x:c r="G272" s="30"/>
      <x:c r="H272" s="30"/>
      <x:c r="I272" s="30"/>
      <x:c r="J272" s="30"/>
      <x:c r="K272" s="30"/>
      <x:c r="L272" s="30"/>
      <x:c r="M272" s="30"/>
      <x:c r="N272" s="30"/>
      <x:c r="O272" s="30"/>
      <x:c r="P272" s="30"/>
      <x:c r="Q272" s="30"/>
      <x:c r="R272" s="30"/>
      <x:c r="S272" s="30"/>
      <x:c r="T272" s="30"/>
      <x:c r="U272" s="30"/>
      <x:c r="V272" s="30"/>
      <x:c r="W272" s="30"/>
      <x:c r="X272" s="30"/>
    </x:row>
    <x:row r="273" ht="22" customHeight="1">
      <x:c r="A273" s="30"/>
      <x:c r="B273" s="30"/>
      <x:c r="C273" s="30"/>
      <x:c r="D273" s="30"/>
      <x:c r="E273" s="30"/>
      <x:c r="F273" s="30"/>
      <x:c r="G273" s="30"/>
      <x:c r="H273" s="30"/>
      <x:c r="I273" s="30"/>
      <x:c r="J273" s="30"/>
      <x:c r="K273" s="30"/>
      <x:c r="L273" s="30"/>
      <x:c r="M273" s="30"/>
      <x:c r="N273" s="30"/>
      <x:c r="O273" s="30"/>
      <x:c r="P273" s="30"/>
      <x:c r="Q273" s="30"/>
      <x:c r="R273" s="30"/>
      <x:c r="S273" s="30"/>
      <x:c r="T273" s="30"/>
      <x:c r="U273" s="30"/>
      <x:c r="V273" s="30"/>
      <x:c r="W273" s="30"/>
      <x:c r="X273" s="30"/>
    </x:row>
    <x:row r="274" ht="22" customHeight="1">
      <x:c r="A274" s="30"/>
      <x:c r="B274" s="30"/>
      <x:c r="C274" s="30"/>
      <x:c r="D274" s="30"/>
      <x:c r="E274" s="30"/>
      <x:c r="F274" s="30"/>
      <x:c r="G274" s="30"/>
      <x:c r="H274" s="30"/>
      <x:c r="I274" s="30"/>
      <x:c r="J274" s="30"/>
      <x:c r="K274" s="30"/>
      <x:c r="L274" s="30"/>
      <x:c r="M274" s="30"/>
      <x:c r="N274" s="30"/>
      <x:c r="O274" s="30"/>
      <x:c r="P274" s="30"/>
      <x:c r="Q274" s="30"/>
      <x:c r="R274" s="30"/>
      <x:c r="S274" s="30"/>
      <x:c r="T274" s="30"/>
      <x:c r="U274" s="30"/>
      <x:c r="V274" s="30"/>
      <x:c r="W274" s="30"/>
      <x:c r="X274" s="30"/>
    </x:row>
    <x:row r="275" ht="22" customHeight="1">
      <x:c r="A275" s="30"/>
      <x:c r="B275" s="30"/>
      <x:c r="C275" s="30"/>
      <x:c r="D275" s="30"/>
      <x:c r="E275" s="30"/>
      <x:c r="F275" s="30"/>
      <x:c r="G275" s="30"/>
      <x:c r="H275" s="30"/>
      <x:c r="I275" s="30"/>
      <x:c r="J275" s="30"/>
      <x:c r="K275" s="30"/>
      <x:c r="L275" s="30"/>
      <x:c r="M275" s="30"/>
      <x:c r="N275" s="30"/>
      <x:c r="O275" s="30"/>
      <x:c r="P275" s="30"/>
      <x:c r="Q275" s="30"/>
      <x:c r="R275" s="30"/>
      <x:c r="S275" s="30"/>
      <x:c r="T275" s="30"/>
      <x:c r="U275" s="30"/>
      <x:c r="V275" s="30"/>
      <x:c r="W275" s="30"/>
      <x:c r="X275" s="30"/>
    </x:row>
    <x:row r="276" ht="22" customHeight="1">
      <x:c r="A276" s="30"/>
      <x:c r="B276" s="30"/>
      <x:c r="C276" s="30"/>
      <x:c r="D276" s="30"/>
      <x:c r="E276" s="30"/>
      <x:c r="F276" s="30"/>
      <x:c r="G276" s="30"/>
      <x:c r="H276" s="30"/>
      <x:c r="I276" s="30"/>
      <x:c r="J276" s="30"/>
      <x:c r="K276" s="30"/>
      <x:c r="L276" s="30"/>
      <x:c r="M276" s="30"/>
      <x:c r="N276" s="30"/>
      <x:c r="O276" s="30"/>
      <x:c r="P276" s="30"/>
      <x:c r="Q276" s="30"/>
      <x:c r="R276" s="30"/>
      <x:c r="S276" s="30"/>
      <x:c r="T276" s="30"/>
      <x:c r="U276" s="30"/>
      <x:c r="V276" s="30"/>
      <x:c r="W276" s="30"/>
      <x:c r="X276" s="30"/>
    </x:row>
    <x:row r="277" ht="22" customHeight="1">
      <x:c r="A277" s="30"/>
      <x:c r="B277" s="30"/>
      <x:c r="C277" s="30"/>
      <x:c r="D277" s="30"/>
      <x:c r="E277" s="30"/>
      <x:c r="F277" s="30"/>
      <x:c r="G277" s="30"/>
      <x:c r="H277" s="30"/>
      <x:c r="I277" s="30"/>
      <x:c r="J277" s="30"/>
      <x:c r="K277" s="30"/>
      <x:c r="L277" s="30"/>
      <x:c r="M277" s="30"/>
      <x:c r="N277" s="30"/>
      <x:c r="O277" s="30"/>
      <x:c r="P277" s="30"/>
      <x:c r="Q277" s="30"/>
      <x:c r="R277" s="30"/>
      <x:c r="S277" s="30"/>
      <x:c r="T277" s="30"/>
      <x:c r="U277" s="30"/>
      <x:c r="V277" s="30"/>
      <x:c r="W277" s="30"/>
      <x:c r="X277" s="30"/>
    </x:row>
    <x:row r="278" ht="22" customHeight="1">
      <x:c r="A278" s="30"/>
      <x:c r="B278" s="30"/>
      <x:c r="C278" s="30"/>
      <x:c r="D278" s="30"/>
      <x:c r="E278" s="30"/>
      <x:c r="F278" s="30"/>
      <x:c r="G278" s="30"/>
      <x:c r="H278" s="30"/>
      <x:c r="I278" s="30"/>
      <x:c r="J278" s="30"/>
      <x:c r="K278" s="30"/>
      <x:c r="L278" s="30"/>
      <x:c r="M278" s="30"/>
      <x:c r="N278" s="30"/>
      <x:c r="O278" s="30"/>
      <x:c r="P278" s="30"/>
      <x:c r="Q278" s="30"/>
      <x:c r="R278" s="30"/>
      <x:c r="S278" s="30"/>
      <x:c r="T278" s="30"/>
      <x:c r="U278" s="30"/>
      <x:c r="V278" s="30"/>
      <x:c r="W278" s="30"/>
      <x:c r="X278" s="30"/>
    </x:row>
    <x:row r="279" ht="22" customHeight="1">
      <x:c r="A279" s="30"/>
      <x:c r="B279" s="30"/>
      <x:c r="C279" s="30"/>
      <x:c r="D279" s="30"/>
      <x:c r="E279" s="30"/>
      <x:c r="F279" s="30"/>
      <x:c r="G279" s="30"/>
      <x:c r="H279" s="30"/>
      <x:c r="I279" s="30"/>
      <x:c r="J279" s="30"/>
      <x:c r="K279" s="30"/>
      <x:c r="L279" s="30"/>
      <x:c r="M279" s="30"/>
      <x:c r="N279" s="30"/>
      <x:c r="O279" s="30"/>
      <x:c r="P279" s="30"/>
      <x:c r="Q279" s="30"/>
      <x:c r="R279" s="30"/>
      <x:c r="S279" s="30"/>
      <x:c r="T279" s="30"/>
      <x:c r="U279" s="30"/>
      <x:c r="V279" s="30"/>
      <x:c r="W279" s="30"/>
      <x:c r="X279" s="30"/>
    </x:row>
    <x:row r="280" ht="22" customHeight="1">
      <x:c r="A280" s="30"/>
      <x:c r="B280" s="30"/>
      <x:c r="C280" s="30"/>
      <x:c r="D280" s="30"/>
      <x:c r="E280" s="30"/>
      <x:c r="F280" s="30"/>
      <x:c r="G280" s="30"/>
      <x:c r="H280" s="30"/>
      <x:c r="I280" s="30"/>
      <x:c r="J280" s="30"/>
      <x:c r="K280" s="30"/>
      <x:c r="L280" s="30"/>
      <x:c r="M280" s="30"/>
      <x:c r="N280" s="30"/>
      <x:c r="O280" s="30"/>
      <x:c r="P280" s="30"/>
      <x:c r="Q280" s="30"/>
      <x:c r="R280" s="30"/>
      <x:c r="S280" s="30"/>
      <x:c r="T280" s="30"/>
      <x:c r="U280" s="30"/>
      <x:c r="V280" s="30"/>
      <x:c r="W280" s="30"/>
      <x:c r="X280" s="30"/>
    </x:row>
    <x:row r="281" ht="22" customHeight="1">
      <x:c r="A281" s="30"/>
      <x:c r="B281" s="30"/>
      <x:c r="C281" s="30"/>
      <x:c r="D281" s="30"/>
      <x:c r="E281" s="30"/>
      <x:c r="F281" s="30"/>
      <x:c r="G281" s="30"/>
      <x:c r="H281" s="30"/>
      <x:c r="I281" s="30"/>
      <x:c r="J281" s="30"/>
      <x:c r="K281" s="30"/>
      <x:c r="L281" s="30"/>
      <x:c r="M281" s="30"/>
      <x:c r="N281" s="30"/>
      <x:c r="O281" s="30"/>
      <x:c r="P281" s="30"/>
      <x:c r="Q281" s="30"/>
      <x:c r="R281" s="30"/>
      <x:c r="S281" s="30"/>
      <x:c r="T281" s="30"/>
      <x:c r="U281" s="30"/>
      <x:c r="V281" s="30"/>
      <x:c r="W281" s="30"/>
      <x:c r="X281" s="30"/>
    </x:row>
    <x:row r="282" ht="22" customHeight="1">
      <x:c r="A282" s="30"/>
      <x:c r="B282" s="30"/>
      <x:c r="C282" s="30"/>
      <x:c r="D282" s="30"/>
      <x:c r="E282" s="30"/>
      <x:c r="F282" s="30"/>
      <x:c r="G282" s="30"/>
      <x:c r="H282" s="30"/>
      <x:c r="I282" s="30"/>
      <x:c r="J282" s="30"/>
      <x:c r="K282" s="30"/>
      <x:c r="L282" s="30"/>
      <x:c r="M282" s="30"/>
      <x:c r="N282" s="30"/>
      <x:c r="O282" s="30"/>
      <x:c r="P282" s="30"/>
      <x:c r="Q282" s="30"/>
      <x:c r="R282" s="30"/>
      <x:c r="S282" s="30"/>
      <x:c r="T282" s="30"/>
      <x:c r="U282" s="30"/>
      <x:c r="V282" s="30"/>
      <x:c r="W282" s="30"/>
      <x:c r="X282" s="30"/>
    </x:row>
    <x:row r="283" ht="22" customHeight="1">
      <x:c r="A283" s="30"/>
      <x:c r="B283" s="30"/>
      <x:c r="C283" s="30"/>
      <x:c r="D283" s="30"/>
      <x:c r="E283" s="30"/>
      <x:c r="F283" s="30"/>
      <x:c r="G283" s="30"/>
      <x:c r="H283" s="30"/>
      <x:c r="I283" s="30"/>
      <x:c r="J283" s="30"/>
      <x:c r="K283" s="30"/>
      <x:c r="L283" s="30"/>
      <x:c r="M283" s="30"/>
      <x:c r="N283" s="30"/>
      <x:c r="O283" s="30"/>
      <x:c r="P283" s="30"/>
      <x:c r="Q283" s="30"/>
      <x:c r="R283" s="30"/>
      <x:c r="S283" s="30"/>
      <x:c r="T283" s="30"/>
      <x:c r="U283" s="30"/>
      <x:c r="V283" s="30"/>
      <x:c r="W283" s="30"/>
      <x:c r="X283" s="30"/>
    </x:row>
    <x:row r="284" ht="22" customHeight="1">
      <x:c r="A284" s="30"/>
      <x:c r="B284" s="30"/>
      <x:c r="C284" s="30"/>
      <x:c r="D284" s="30"/>
      <x:c r="E284" s="30"/>
      <x:c r="F284" s="30"/>
      <x:c r="G284" s="30"/>
      <x:c r="H284" s="30"/>
      <x:c r="I284" s="30"/>
      <x:c r="J284" s="30"/>
      <x:c r="K284" s="30"/>
      <x:c r="L284" s="30"/>
      <x:c r="M284" s="30"/>
      <x:c r="N284" s="30"/>
      <x:c r="O284" s="30"/>
      <x:c r="P284" s="30"/>
      <x:c r="Q284" s="30"/>
      <x:c r="R284" s="30"/>
      <x:c r="S284" s="30"/>
      <x:c r="T284" s="30"/>
      <x:c r="U284" s="30"/>
      <x:c r="V284" s="30"/>
      <x:c r="W284" s="30"/>
      <x:c r="X284" s="30"/>
    </x:row>
    <x:row r="285" ht="22" customHeight="1">
      <x:c r="A285" s="30"/>
      <x:c r="B285" s="30"/>
      <x:c r="C285" s="30"/>
      <x:c r="D285" s="30"/>
      <x:c r="E285" s="30"/>
      <x:c r="F285" s="30"/>
      <x:c r="G285" s="30"/>
      <x:c r="H285" s="30"/>
      <x:c r="I285" s="30"/>
      <x:c r="J285" s="30"/>
      <x:c r="K285" s="30"/>
      <x:c r="L285" s="30"/>
      <x:c r="M285" s="30"/>
      <x:c r="N285" s="30"/>
      <x:c r="O285" s="30"/>
      <x:c r="P285" s="30"/>
      <x:c r="Q285" s="30"/>
      <x:c r="R285" s="30"/>
      <x:c r="S285" s="30"/>
      <x:c r="T285" s="30"/>
      <x:c r="U285" s="30"/>
      <x:c r="V285" s="30"/>
      <x:c r="W285" s="30"/>
      <x:c r="X285" s="30"/>
    </x:row>
    <x:row r="286" ht="22" customHeight="1">
      <x:c r="A286" s="30"/>
      <x:c r="B286" s="30"/>
      <x:c r="C286" s="30"/>
      <x:c r="D286" s="30"/>
      <x:c r="E286" s="30"/>
      <x:c r="F286" s="30"/>
      <x:c r="G286" s="30"/>
      <x:c r="H286" s="30"/>
      <x:c r="I286" s="30"/>
      <x:c r="J286" s="30"/>
      <x:c r="K286" s="30"/>
      <x:c r="L286" s="30"/>
      <x:c r="M286" s="30"/>
      <x:c r="N286" s="30"/>
      <x:c r="O286" s="30"/>
      <x:c r="P286" s="30"/>
      <x:c r="Q286" s="30"/>
      <x:c r="R286" s="30"/>
      <x:c r="S286" s="30"/>
      <x:c r="T286" s="30"/>
      <x:c r="U286" s="30"/>
      <x:c r="V286" s="30"/>
      <x:c r="W286" s="30"/>
      <x:c r="X286" s="30"/>
    </x:row>
    <x:row r="287" ht="22" customHeight="1">
      <x:c r="A287" s="30"/>
      <x:c r="B287" s="30"/>
      <x:c r="C287" s="30"/>
      <x:c r="D287" s="30"/>
      <x:c r="E287" s="30"/>
      <x:c r="F287" s="30"/>
      <x:c r="G287" s="30"/>
      <x:c r="H287" s="30"/>
      <x:c r="I287" s="30"/>
      <x:c r="J287" s="30"/>
      <x:c r="K287" s="30"/>
      <x:c r="L287" s="30"/>
      <x:c r="M287" s="30"/>
      <x:c r="N287" s="30"/>
      <x:c r="O287" s="30"/>
      <x:c r="P287" s="30"/>
      <x:c r="Q287" s="30"/>
      <x:c r="R287" s="30"/>
      <x:c r="S287" s="30"/>
      <x:c r="T287" s="30"/>
      <x:c r="U287" s="30"/>
      <x:c r="V287" s="30"/>
      <x:c r="W287" s="30"/>
      <x:c r="X287" s="30"/>
    </x:row>
    <x:row r="288" ht="22" customHeight="1">
      <x:c r="A288" s="30"/>
      <x:c r="B288" s="30"/>
      <x:c r="C288" s="30"/>
      <x:c r="D288" s="30"/>
      <x:c r="E288" s="30"/>
      <x:c r="F288" s="30"/>
      <x:c r="G288" s="30"/>
      <x:c r="H288" s="30"/>
      <x:c r="I288" s="30"/>
      <x:c r="J288" s="30"/>
      <x:c r="K288" s="30"/>
      <x:c r="L288" s="30"/>
      <x:c r="M288" s="30"/>
      <x:c r="N288" s="30"/>
      <x:c r="O288" s="30"/>
      <x:c r="P288" s="30"/>
      <x:c r="Q288" s="30"/>
      <x:c r="R288" s="30"/>
      <x:c r="S288" s="30"/>
      <x:c r="T288" s="30"/>
      <x:c r="U288" s="30"/>
      <x:c r="V288" s="30"/>
      <x:c r="W288" s="30"/>
      <x:c r="X288" s="30"/>
    </x:row>
    <x:row r="289" ht="22" customHeight="1">
      <x:c r="A289" s="30"/>
      <x:c r="B289" s="30"/>
      <x:c r="C289" s="30"/>
      <x:c r="D289" s="30"/>
      <x:c r="E289" s="30"/>
      <x:c r="F289" s="30"/>
      <x:c r="G289" s="30"/>
      <x:c r="H289" s="30"/>
      <x:c r="I289" s="30"/>
      <x:c r="J289" s="30"/>
      <x:c r="K289" s="30"/>
      <x:c r="L289" s="30"/>
      <x:c r="M289" s="30"/>
      <x:c r="N289" s="30"/>
      <x:c r="O289" s="30"/>
      <x:c r="P289" s="30"/>
      <x:c r="Q289" s="30"/>
      <x:c r="R289" s="30"/>
      <x:c r="S289" s="30"/>
      <x:c r="T289" s="30"/>
      <x:c r="U289" s="30"/>
      <x:c r="V289" s="30"/>
      <x:c r="W289" s="30"/>
      <x:c r="X289" s="30"/>
    </x:row>
    <x:row r="290" ht="22" customHeight="1">
      <x:c r="A290" s="30"/>
      <x:c r="B290" s="30"/>
      <x:c r="C290" s="30"/>
      <x:c r="D290" s="30"/>
      <x:c r="E290" s="30"/>
      <x:c r="F290" s="30"/>
      <x:c r="G290" s="30"/>
      <x:c r="H290" s="30"/>
      <x:c r="I290" s="30"/>
      <x:c r="J290" s="30"/>
      <x:c r="K290" s="30"/>
      <x:c r="L290" s="30"/>
      <x:c r="M290" s="30"/>
      <x:c r="N290" s="30"/>
      <x:c r="O290" s="30"/>
      <x:c r="P290" s="30"/>
      <x:c r="Q290" s="30"/>
      <x:c r="R290" s="30"/>
      <x:c r="S290" s="30"/>
      <x:c r="T290" s="30"/>
      <x:c r="U290" s="30"/>
      <x:c r="V290" s="30"/>
      <x:c r="W290" s="30"/>
      <x:c r="X290" s="30"/>
    </x:row>
    <x:row r="291" ht="22" customHeight="1">
      <x:c r="A291" s="30"/>
      <x:c r="B291" s="30"/>
      <x:c r="C291" s="30"/>
      <x:c r="D291" s="30"/>
      <x:c r="E291" s="30"/>
      <x:c r="F291" s="30"/>
      <x:c r="G291" s="30"/>
      <x:c r="H291" s="30"/>
      <x:c r="I291" s="30"/>
      <x:c r="J291" s="30"/>
      <x:c r="K291" s="30"/>
      <x:c r="L291" s="30"/>
      <x:c r="M291" s="30"/>
      <x:c r="N291" s="30"/>
      <x:c r="O291" s="30"/>
      <x:c r="P291" s="30"/>
      <x:c r="Q291" s="30"/>
      <x:c r="R291" s="30"/>
      <x:c r="S291" s="30"/>
      <x:c r="T291" s="30"/>
      <x:c r="U291" s="30"/>
      <x:c r="V291" s="30"/>
      <x:c r="W291" s="30"/>
      <x:c r="X291" s="30"/>
    </x:row>
    <x:row r="292" ht="22" customHeight="1">
      <x:c r="A292" s="30"/>
      <x:c r="B292" s="30"/>
      <x:c r="C292" s="30"/>
      <x:c r="D292" s="30"/>
      <x:c r="E292" s="30"/>
      <x:c r="F292" s="30"/>
      <x:c r="G292" s="30"/>
      <x:c r="H292" s="30"/>
      <x:c r="I292" s="30"/>
      <x:c r="J292" s="30"/>
      <x:c r="K292" s="30"/>
      <x:c r="L292" s="30"/>
      <x:c r="M292" s="30"/>
      <x:c r="N292" s="30"/>
      <x:c r="O292" s="30"/>
      <x:c r="P292" s="30"/>
      <x:c r="Q292" s="30"/>
      <x:c r="R292" s="30"/>
      <x:c r="S292" s="30"/>
      <x:c r="T292" s="30"/>
      <x:c r="U292" s="30"/>
      <x:c r="V292" s="30"/>
      <x:c r="W292" s="30"/>
      <x:c r="X292" s="30"/>
    </x:row>
    <x:row r="293" ht="22" customHeight="1">
      <x:c r="A293" s="30"/>
      <x:c r="B293" s="30"/>
      <x:c r="C293" s="30"/>
      <x:c r="D293" s="30"/>
      <x:c r="E293" s="30"/>
      <x:c r="F293" s="30"/>
      <x:c r="G293" s="30"/>
      <x:c r="H293" s="30"/>
      <x:c r="I293" s="30"/>
      <x:c r="J293" s="30"/>
      <x:c r="K293" s="30"/>
      <x:c r="L293" s="30"/>
      <x:c r="M293" s="30"/>
      <x:c r="N293" s="30"/>
      <x:c r="O293" s="30"/>
      <x:c r="P293" s="30"/>
      <x:c r="Q293" s="30"/>
      <x:c r="R293" s="30"/>
      <x:c r="S293" s="30"/>
      <x:c r="T293" s="30"/>
      <x:c r="U293" s="30"/>
      <x:c r="V293" s="30"/>
      <x:c r="W293" s="30"/>
      <x:c r="X293" s="30"/>
    </x:row>
    <x:row r="294" ht="22" customHeight="1">
      <x:c r="A294" s="30"/>
      <x:c r="B294" s="30"/>
      <x:c r="C294" s="30"/>
      <x:c r="D294" s="30"/>
      <x:c r="E294" s="30"/>
      <x:c r="F294" s="30"/>
      <x:c r="G294" s="30"/>
      <x:c r="H294" s="30"/>
      <x:c r="I294" s="30"/>
      <x:c r="J294" s="30"/>
      <x:c r="K294" s="30"/>
      <x:c r="L294" s="30"/>
      <x:c r="M294" s="30"/>
      <x:c r="N294" s="30"/>
      <x:c r="O294" s="30"/>
      <x:c r="P294" s="30"/>
      <x:c r="Q294" s="30"/>
      <x:c r="R294" s="30"/>
      <x:c r="S294" s="30"/>
      <x:c r="T294" s="30"/>
      <x:c r="U294" s="30"/>
      <x:c r="V294" s="30"/>
      <x:c r="W294" s="30"/>
      <x:c r="X294" s="30"/>
    </x:row>
    <x:row r="295" ht="22" customHeight="1">
      <x:c r="A295" s="30"/>
      <x:c r="B295" s="30"/>
      <x:c r="C295" s="30"/>
      <x:c r="D295" s="30"/>
      <x:c r="E295" s="30"/>
      <x:c r="F295" s="30"/>
      <x:c r="G295" s="30"/>
      <x:c r="H295" s="30"/>
      <x:c r="I295" s="30"/>
      <x:c r="J295" s="30"/>
      <x:c r="K295" s="30"/>
      <x:c r="L295" s="30"/>
      <x:c r="M295" s="30"/>
      <x:c r="N295" s="30"/>
      <x:c r="O295" s="30"/>
      <x:c r="P295" s="30"/>
      <x:c r="Q295" s="30"/>
      <x:c r="R295" s="30"/>
      <x:c r="S295" s="30"/>
      <x:c r="T295" s="30"/>
      <x:c r="U295" s="30"/>
      <x:c r="V295" s="30"/>
      <x:c r="W295" s="30"/>
      <x:c r="X295" s="30"/>
    </x:row>
    <x:row r="296" ht="22" customHeight="1">
      <x:c r="A296" s="30"/>
      <x:c r="B296" s="30"/>
      <x:c r="C296" s="30"/>
      <x:c r="D296" s="30"/>
      <x:c r="E296" s="30"/>
      <x:c r="F296" s="30"/>
      <x:c r="G296" s="30"/>
      <x:c r="H296" s="30"/>
      <x:c r="I296" s="30"/>
      <x:c r="J296" s="30"/>
      <x:c r="K296" s="30"/>
      <x:c r="L296" s="30"/>
      <x:c r="M296" s="30"/>
      <x:c r="N296" s="30"/>
      <x:c r="O296" s="30"/>
      <x:c r="P296" s="30"/>
      <x:c r="Q296" s="30"/>
      <x:c r="R296" s="30"/>
      <x:c r="S296" s="30"/>
      <x:c r="T296" s="30"/>
      <x:c r="U296" s="30"/>
      <x:c r="V296" s="30"/>
      <x:c r="W296" s="30"/>
      <x:c r="X296" s="30"/>
    </x:row>
    <x:row r="297" ht="22" customHeight="1">
      <x:c r="A297" s="30"/>
      <x:c r="B297" s="30"/>
      <x:c r="C297" s="30"/>
      <x:c r="D297" s="30"/>
      <x:c r="E297" s="30"/>
      <x:c r="F297" s="30"/>
      <x:c r="G297" s="30"/>
      <x:c r="H297" s="30"/>
      <x:c r="I297" s="30"/>
      <x:c r="J297" s="30"/>
      <x:c r="K297" s="30"/>
      <x:c r="L297" s="30"/>
      <x:c r="M297" s="30"/>
      <x:c r="N297" s="30"/>
      <x:c r="O297" s="30"/>
      <x:c r="P297" s="30"/>
      <x:c r="Q297" s="30"/>
      <x:c r="R297" s="30"/>
      <x:c r="S297" s="30"/>
      <x:c r="T297" s="30"/>
      <x:c r="U297" s="30"/>
      <x:c r="V297" s="30"/>
      <x:c r="W297" s="30"/>
      <x:c r="X297" s="30"/>
    </x:row>
    <x:row r="298" ht="22" customHeight="1">
      <x:c r="A298" s="30"/>
      <x:c r="B298" s="30"/>
      <x:c r="C298" s="30"/>
      <x:c r="D298" s="30"/>
      <x:c r="E298" s="30"/>
      <x:c r="F298" s="30"/>
      <x:c r="G298" s="30"/>
      <x:c r="H298" s="30"/>
      <x:c r="I298" s="30"/>
      <x:c r="J298" s="30"/>
      <x:c r="K298" s="30"/>
      <x:c r="L298" s="30"/>
      <x:c r="M298" s="30"/>
      <x:c r="N298" s="30"/>
      <x:c r="O298" s="30"/>
      <x:c r="P298" s="30"/>
      <x:c r="Q298" s="30"/>
      <x:c r="R298" s="30"/>
      <x:c r="S298" s="30"/>
      <x:c r="T298" s="30"/>
      <x:c r="U298" s="30"/>
      <x:c r="V298" s="30"/>
      <x:c r="W298" s="30"/>
      <x:c r="X298" s="30"/>
    </x:row>
    <x:row r="299" ht="22" customHeight="1">
      <x:c r="A299" s="30"/>
      <x:c r="B299" s="30"/>
      <x:c r="C299" s="30"/>
      <x:c r="D299" s="30"/>
      <x:c r="E299" s="30"/>
      <x:c r="F299" s="30"/>
      <x:c r="G299" s="30"/>
      <x:c r="H299" s="30"/>
      <x:c r="I299" s="30"/>
      <x:c r="J299" s="30"/>
      <x:c r="K299" s="30"/>
      <x:c r="L299" s="30"/>
      <x:c r="M299" s="30"/>
      <x:c r="N299" s="30"/>
      <x:c r="O299" s="30"/>
      <x:c r="P299" s="30"/>
      <x:c r="Q299" s="30"/>
      <x:c r="R299" s="30"/>
      <x:c r="S299" s="30"/>
      <x:c r="T299" s="30"/>
      <x:c r="U299" s="30"/>
      <x:c r="V299" s="30"/>
      <x:c r="W299" s="30"/>
      <x:c r="X299" s="30"/>
    </x:row>
    <x:row r="300" ht="22" customHeight="1">
      <x:c r="A300" s="30"/>
      <x:c r="B300" s="30"/>
      <x:c r="C300" s="30"/>
      <x:c r="D300" s="30"/>
      <x:c r="E300" s="30"/>
      <x:c r="F300" s="30"/>
      <x:c r="G300" s="30"/>
      <x:c r="H300" s="30"/>
      <x:c r="I300" s="30"/>
      <x:c r="J300" s="30"/>
      <x:c r="K300" s="30"/>
      <x:c r="L300" s="30"/>
      <x:c r="M300" s="30"/>
      <x:c r="N300" s="30"/>
      <x:c r="O300" s="30"/>
      <x:c r="P300" s="30"/>
      <x:c r="Q300" s="30"/>
      <x:c r="R300" s="30"/>
      <x:c r="S300" s="30"/>
      <x:c r="T300" s="30"/>
      <x:c r="U300" s="30"/>
      <x:c r="V300" s="30"/>
      <x:c r="W300" s="30"/>
      <x:c r="X300" s="30"/>
    </x:row>
    <x:row r="301" ht="22" customHeight="1">
      <x:c r="A301" s="30"/>
      <x:c r="B301" s="30"/>
      <x:c r="C301" s="30"/>
      <x:c r="D301" s="30"/>
      <x:c r="E301" s="30"/>
      <x:c r="F301" s="30"/>
      <x:c r="G301" s="30"/>
      <x:c r="H301" s="30"/>
      <x:c r="I301" s="30"/>
      <x:c r="J301" s="30"/>
      <x:c r="K301" s="30"/>
      <x:c r="L301" s="30"/>
      <x:c r="M301" s="30"/>
      <x:c r="N301" s="30"/>
      <x:c r="O301" s="30"/>
      <x:c r="P301" s="30"/>
      <x:c r="Q301" s="30"/>
      <x:c r="R301" s="30"/>
      <x:c r="S301" s="30"/>
      <x:c r="T301" s="30"/>
      <x:c r="U301" s="30"/>
      <x:c r="V301" s="30"/>
      <x:c r="W301" s="30"/>
      <x:c r="X301" s="30"/>
    </x:row>
    <x:row r="302" ht="22" customHeight="1">
      <x:c r="A302" s="30"/>
      <x:c r="B302" s="30"/>
      <x:c r="C302" s="30"/>
      <x:c r="D302" s="30"/>
      <x:c r="E302" s="30"/>
      <x:c r="F302" s="30"/>
      <x:c r="G302" s="30"/>
      <x:c r="H302" s="30"/>
      <x:c r="I302" s="30"/>
      <x:c r="J302" s="30"/>
      <x:c r="K302" s="30"/>
      <x:c r="L302" s="30"/>
      <x:c r="M302" s="30"/>
      <x:c r="N302" s="30"/>
      <x:c r="O302" s="30"/>
      <x:c r="P302" s="30"/>
      <x:c r="Q302" s="30"/>
      <x:c r="R302" s="30"/>
      <x:c r="S302" s="30"/>
      <x:c r="T302" s="30"/>
      <x:c r="U302" s="30"/>
      <x:c r="V302" s="30"/>
      <x:c r="W302" s="30"/>
      <x:c r="X302" s="30"/>
    </x:row>
    <x:row r="303" ht="22" customHeight="1">
      <x:c r="A303" s="30"/>
      <x:c r="B303" s="30"/>
      <x:c r="C303" s="30"/>
      <x:c r="D303" s="30"/>
      <x:c r="E303" s="30"/>
      <x:c r="F303" s="30"/>
      <x:c r="G303" s="30"/>
      <x:c r="H303" s="30"/>
      <x:c r="I303" s="30"/>
      <x:c r="J303" s="30"/>
      <x:c r="K303" s="30"/>
      <x:c r="L303" s="30"/>
      <x:c r="M303" s="30"/>
      <x:c r="N303" s="30"/>
      <x:c r="O303" s="30"/>
      <x:c r="P303" s="30"/>
      <x:c r="Q303" s="30"/>
      <x:c r="R303" s="30"/>
      <x:c r="S303" s="30"/>
      <x:c r="T303" s="30"/>
      <x:c r="U303" s="30"/>
      <x:c r="V303" s="30"/>
      <x:c r="W303" s="30"/>
      <x:c r="X303" s="30"/>
    </x:row>
    <x:row r="304" ht="22" customHeight="1">
      <x:c r="A304" s="30"/>
      <x:c r="B304" s="30"/>
      <x:c r="C304" s="30"/>
      <x:c r="D304" s="30"/>
      <x:c r="E304" s="30"/>
      <x:c r="F304" s="30"/>
      <x:c r="G304" s="30"/>
      <x:c r="H304" s="30"/>
      <x:c r="I304" s="30"/>
      <x:c r="J304" s="30"/>
      <x:c r="K304" s="30"/>
      <x:c r="L304" s="30"/>
      <x:c r="M304" s="30"/>
      <x:c r="N304" s="30"/>
      <x:c r="O304" s="30"/>
      <x:c r="P304" s="30"/>
      <x:c r="Q304" s="30"/>
      <x:c r="R304" s="30"/>
      <x:c r="S304" s="30"/>
      <x:c r="T304" s="30"/>
      <x:c r="U304" s="30"/>
      <x:c r="V304" s="30"/>
      <x:c r="W304" s="30"/>
      <x:c r="X304" s="30"/>
    </x:row>
    <x:row r="305" ht="22" customHeight="1">
      <x:c r="A305" s="30"/>
      <x:c r="B305" s="30"/>
      <x:c r="C305" s="30"/>
      <x:c r="D305" s="30"/>
      <x:c r="E305" s="30"/>
      <x:c r="F305" s="30"/>
      <x:c r="G305" s="30"/>
      <x:c r="H305" s="30"/>
      <x:c r="I305" s="30"/>
      <x:c r="J305" s="30"/>
      <x:c r="K305" s="30"/>
      <x:c r="L305" s="30"/>
      <x:c r="M305" s="30"/>
      <x:c r="N305" s="30"/>
      <x:c r="O305" s="30"/>
      <x:c r="P305" s="30"/>
      <x:c r="Q305" s="30"/>
      <x:c r="R305" s="30"/>
      <x:c r="S305" s="30"/>
      <x:c r="T305" s="30"/>
      <x:c r="U305" s="30"/>
      <x:c r="V305" s="30"/>
      <x:c r="W305" s="30"/>
      <x:c r="X305" s="30"/>
    </x:row>
    <x:row r="306" ht="22" customHeight="1">
      <x:c r="A306" s="30"/>
      <x:c r="B306" s="30"/>
      <x:c r="C306" s="30"/>
      <x:c r="D306" s="30"/>
      <x:c r="E306" s="30"/>
      <x:c r="F306" s="30"/>
      <x:c r="G306" s="30"/>
      <x:c r="H306" s="30"/>
      <x:c r="I306" s="30"/>
      <x:c r="J306" s="30"/>
      <x:c r="K306" s="30"/>
      <x:c r="L306" s="30"/>
      <x:c r="M306" s="30"/>
      <x:c r="N306" s="30"/>
      <x:c r="O306" s="30"/>
      <x:c r="P306" s="30"/>
      <x:c r="Q306" s="30"/>
      <x:c r="R306" s="30"/>
      <x:c r="S306" s="30"/>
      <x:c r="T306" s="30"/>
      <x:c r="U306" s="30"/>
      <x:c r="V306" s="30"/>
      <x:c r="W306" s="30"/>
      <x:c r="X306" s="30"/>
    </x:row>
    <x:row r="307" ht="22" customHeight="1">
      <x:c r="A307" s="30"/>
      <x:c r="B307" s="30"/>
      <x:c r="C307" s="30"/>
      <x:c r="D307" s="30"/>
      <x:c r="E307" s="30"/>
      <x:c r="F307" s="30"/>
      <x:c r="G307" s="30"/>
      <x:c r="H307" s="30"/>
      <x:c r="I307" s="30"/>
      <x:c r="J307" s="30"/>
      <x:c r="K307" s="30"/>
      <x:c r="L307" s="30"/>
      <x:c r="M307" s="30"/>
      <x:c r="N307" s="30"/>
      <x:c r="O307" s="30"/>
      <x:c r="P307" s="30"/>
      <x:c r="Q307" s="30"/>
      <x:c r="R307" s="30"/>
      <x:c r="S307" s="30"/>
      <x:c r="T307" s="30"/>
      <x:c r="U307" s="30"/>
      <x:c r="V307" s="30"/>
      <x:c r="W307" s="30"/>
      <x:c r="X307" s="30"/>
    </x:row>
    <x:row r="308" ht="22" customHeight="1">
      <x:c r="A308" s="30"/>
      <x:c r="B308" s="30"/>
      <x:c r="C308" s="30"/>
      <x:c r="D308" s="30"/>
      <x:c r="E308" s="30"/>
      <x:c r="F308" s="30"/>
      <x:c r="G308" s="30"/>
      <x:c r="H308" s="30"/>
      <x:c r="I308" s="30"/>
      <x:c r="J308" s="30"/>
      <x:c r="K308" s="30"/>
      <x:c r="L308" s="30"/>
      <x:c r="M308" s="30"/>
      <x:c r="N308" s="30"/>
      <x:c r="O308" s="30"/>
      <x:c r="P308" s="30"/>
      <x:c r="Q308" s="30"/>
      <x:c r="R308" s="30"/>
      <x:c r="S308" s="30"/>
      <x:c r="T308" s="30"/>
      <x:c r="U308" s="30"/>
      <x:c r="V308" s="30"/>
      <x:c r="W308" s="30"/>
      <x:c r="X308" s="30"/>
    </x:row>
    <x:row r="309" ht="22" customHeight="1">
      <x:c r="A309" s="30"/>
      <x:c r="B309" s="30"/>
      <x:c r="C309" s="30"/>
      <x:c r="D309" s="30"/>
      <x:c r="E309" s="30"/>
      <x:c r="F309" s="30"/>
      <x:c r="G309" s="30"/>
      <x:c r="H309" s="30"/>
      <x:c r="I309" s="30"/>
      <x:c r="J309" s="30"/>
      <x:c r="K309" s="30"/>
      <x:c r="L309" s="30"/>
      <x:c r="M309" s="30"/>
      <x:c r="N309" s="30"/>
      <x:c r="O309" s="30"/>
      <x:c r="P309" s="30"/>
      <x:c r="Q309" s="30"/>
      <x:c r="R309" s="30"/>
      <x:c r="S309" s="30"/>
      <x:c r="T309" s="30"/>
      <x:c r="U309" s="30"/>
      <x:c r="V309" s="30"/>
      <x:c r="W309" s="30"/>
      <x:c r="X309" s="30"/>
    </x:row>
    <x:row r="310" ht="22" customHeight="1">
      <x:c r="A310" s="30"/>
      <x:c r="B310" s="30"/>
      <x:c r="C310" s="30"/>
      <x:c r="D310" s="30"/>
      <x:c r="E310" s="30"/>
      <x:c r="F310" s="30"/>
      <x:c r="G310" s="30"/>
      <x:c r="H310" s="30"/>
      <x:c r="I310" s="30"/>
      <x:c r="J310" s="30"/>
      <x:c r="K310" s="30"/>
      <x:c r="L310" s="30"/>
      <x:c r="M310" s="30"/>
      <x:c r="N310" s="30"/>
      <x:c r="O310" s="30"/>
      <x:c r="P310" s="30"/>
      <x:c r="Q310" s="30"/>
      <x:c r="R310" s="30"/>
      <x:c r="S310" s="30"/>
      <x:c r="T310" s="30"/>
      <x:c r="U310" s="30"/>
      <x:c r="V310" s="30"/>
      <x:c r="W310" s="30"/>
      <x:c r="X310" s="30"/>
    </x:row>
    <x:row r="311" ht="22" customHeight="1">
      <x:c r="A311" s="30"/>
      <x:c r="B311" s="30"/>
      <x:c r="C311" s="30"/>
      <x:c r="D311" s="30"/>
      <x:c r="E311" s="30"/>
      <x:c r="F311" s="30"/>
      <x:c r="G311" s="30"/>
      <x:c r="H311" s="30"/>
      <x:c r="I311" s="30"/>
      <x:c r="J311" s="30"/>
      <x:c r="K311" s="30"/>
      <x:c r="L311" s="30"/>
      <x:c r="M311" s="30"/>
      <x:c r="N311" s="30"/>
      <x:c r="O311" s="30"/>
      <x:c r="P311" s="30"/>
      <x:c r="Q311" s="30"/>
      <x:c r="R311" s="30"/>
      <x:c r="S311" s="30"/>
      <x:c r="T311" s="30"/>
      <x:c r="U311" s="30"/>
      <x:c r="V311" s="30"/>
      <x:c r="W311" s="30"/>
      <x:c r="X311" s="30"/>
    </x:row>
    <x:row r="312" ht="22" customHeight="1">
      <x:c r="A312" s="30"/>
      <x:c r="B312" s="30"/>
      <x:c r="C312" s="30"/>
      <x:c r="D312" s="30"/>
      <x:c r="E312" s="30"/>
      <x:c r="F312" s="30"/>
      <x:c r="G312" s="30"/>
      <x:c r="H312" s="30"/>
      <x:c r="I312" s="30"/>
      <x:c r="J312" s="30"/>
      <x:c r="K312" s="30"/>
      <x:c r="L312" s="30"/>
      <x:c r="M312" s="30"/>
      <x:c r="N312" s="30"/>
      <x:c r="O312" s="30"/>
      <x:c r="P312" s="30"/>
      <x:c r="Q312" s="30"/>
      <x:c r="R312" s="30"/>
      <x:c r="S312" s="30"/>
      <x:c r="T312" s="30"/>
      <x:c r="U312" s="30"/>
      <x:c r="V312" s="30"/>
      <x:c r="W312" s="30"/>
      <x:c r="X312" s="30"/>
    </x:row>
    <x:row r="313" ht="22" customHeight="1">
      <x:c r="A313" s="30"/>
      <x:c r="B313" s="30"/>
      <x:c r="C313" s="30"/>
      <x:c r="D313" s="30"/>
      <x:c r="E313" s="30"/>
      <x:c r="F313" s="30"/>
      <x:c r="G313" s="30"/>
      <x:c r="H313" s="30"/>
      <x:c r="I313" s="30"/>
      <x:c r="J313" s="30"/>
      <x:c r="K313" s="30"/>
      <x:c r="L313" s="30"/>
      <x:c r="M313" s="30"/>
      <x:c r="N313" s="30"/>
      <x:c r="O313" s="30"/>
      <x:c r="P313" s="30"/>
      <x:c r="Q313" s="30"/>
      <x:c r="R313" s="30"/>
      <x:c r="S313" s="30"/>
      <x:c r="T313" s="30"/>
      <x:c r="U313" s="30"/>
      <x:c r="V313" s="30"/>
      <x:c r="W313" s="30"/>
      <x:c r="X313" s="30"/>
    </x:row>
    <x:row r="314" ht="22" customHeight="1">
      <x:c r="A314" s="30"/>
      <x:c r="B314" s="30"/>
      <x:c r="C314" s="30"/>
      <x:c r="D314" s="30"/>
      <x:c r="E314" s="30"/>
      <x:c r="F314" s="30"/>
      <x:c r="G314" s="30"/>
      <x:c r="H314" s="30"/>
      <x:c r="I314" s="30"/>
      <x:c r="J314" s="30"/>
      <x:c r="K314" s="30"/>
      <x:c r="L314" s="30"/>
      <x:c r="M314" s="30"/>
      <x:c r="N314" s="30"/>
      <x:c r="O314" s="30"/>
      <x:c r="P314" s="30"/>
      <x:c r="Q314" s="30"/>
      <x:c r="R314" s="30"/>
      <x:c r="S314" s="30"/>
      <x:c r="T314" s="30"/>
      <x:c r="U314" s="30"/>
      <x:c r="V314" s="30"/>
      <x:c r="W314" s="30"/>
      <x:c r="X314" s="30"/>
    </x:row>
    <x:row r="315" ht="22" customHeight="1">
      <x:c r="A315" s="30"/>
      <x:c r="B315" s="30"/>
      <x:c r="C315" s="30"/>
      <x:c r="D315" s="30"/>
      <x:c r="E315" s="30"/>
      <x:c r="F315" s="30"/>
      <x:c r="G315" s="30"/>
      <x:c r="H315" s="30"/>
      <x:c r="I315" s="30"/>
      <x:c r="J315" s="30"/>
      <x:c r="K315" s="30"/>
      <x:c r="L315" s="30"/>
      <x:c r="M315" s="30"/>
      <x:c r="N315" s="30"/>
      <x:c r="O315" s="30"/>
      <x:c r="P315" s="30"/>
      <x:c r="Q315" s="30"/>
      <x:c r="R315" s="30"/>
      <x:c r="S315" s="30"/>
      <x:c r="T315" s="30"/>
      <x:c r="U315" s="30"/>
      <x:c r="V315" s="30"/>
      <x:c r="W315" s="30"/>
      <x:c r="X315" s="30"/>
    </x:row>
    <x:row r="316" ht="22" customHeight="1">
      <x:c r="A316" s="30"/>
      <x:c r="B316" s="30"/>
      <x:c r="C316" s="30"/>
      <x:c r="D316" s="30"/>
      <x:c r="E316" s="30"/>
      <x:c r="F316" s="30"/>
      <x:c r="G316" s="30"/>
      <x:c r="H316" s="30"/>
      <x:c r="I316" s="30"/>
      <x:c r="J316" s="30"/>
      <x:c r="K316" s="30"/>
      <x:c r="L316" s="30"/>
      <x:c r="M316" s="30"/>
      <x:c r="N316" s="30"/>
      <x:c r="O316" s="30"/>
      <x:c r="P316" s="30"/>
      <x:c r="Q316" s="30"/>
      <x:c r="R316" s="30"/>
      <x:c r="S316" s="30"/>
      <x:c r="T316" s="30"/>
      <x:c r="U316" s="30"/>
      <x:c r="V316" s="30"/>
      <x:c r="W316" s="30"/>
      <x:c r="X316" s="30"/>
    </x:row>
    <x:row r="317" ht="22" customHeight="1">
      <x:c r="A317" s="30"/>
      <x:c r="B317" s="30"/>
      <x:c r="C317" s="30"/>
      <x:c r="D317" s="30"/>
      <x:c r="E317" s="30"/>
      <x:c r="F317" s="30"/>
      <x:c r="G317" s="30"/>
      <x:c r="H317" s="30"/>
      <x:c r="I317" s="30"/>
      <x:c r="J317" s="30"/>
      <x:c r="K317" s="30"/>
      <x:c r="L317" s="30"/>
      <x:c r="M317" s="30"/>
      <x:c r="N317" s="30"/>
      <x:c r="O317" s="30"/>
      <x:c r="P317" s="30"/>
      <x:c r="Q317" s="30"/>
      <x:c r="R317" s="30"/>
      <x:c r="S317" s="30"/>
      <x:c r="T317" s="30"/>
      <x:c r="U317" s="30"/>
      <x:c r="V317" s="30"/>
      <x:c r="W317" s="30"/>
      <x:c r="X317" s="30"/>
    </x:row>
    <x:row r="318" ht="22" customHeight="1">
      <x:c r="A318" s="30"/>
      <x:c r="B318" s="30"/>
      <x:c r="C318" s="30"/>
      <x:c r="D318" s="30"/>
      <x:c r="E318" s="30"/>
      <x:c r="F318" s="30"/>
      <x:c r="G318" s="30"/>
      <x:c r="H318" s="30"/>
      <x:c r="I318" s="30"/>
      <x:c r="J318" s="30"/>
      <x:c r="K318" s="30"/>
      <x:c r="L318" s="30"/>
      <x:c r="M318" s="30"/>
      <x:c r="N318" s="30"/>
      <x:c r="O318" s="30"/>
      <x:c r="P318" s="30"/>
      <x:c r="Q318" s="30"/>
      <x:c r="R318" s="30"/>
      <x:c r="S318" s="30"/>
      <x:c r="T318" s="30"/>
      <x:c r="U318" s="30"/>
      <x:c r="V318" s="30"/>
      <x:c r="W318" s="30"/>
      <x:c r="X318" s="30"/>
    </x:row>
    <x:row r="319" ht="22" customHeight="1">
      <x:c r="A319" s="30"/>
      <x:c r="B319" s="30"/>
      <x:c r="C319" s="30"/>
      <x:c r="D319" s="30"/>
      <x:c r="E319" s="30"/>
      <x:c r="F319" s="30"/>
      <x:c r="G319" s="30"/>
      <x:c r="H319" s="30"/>
      <x:c r="I319" s="30"/>
      <x:c r="J319" s="30"/>
      <x:c r="K319" s="30"/>
      <x:c r="L319" s="30"/>
      <x:c r="M319" s="30"/>
      <x:c r="N319" s="30"/>
      <x:c r="O319" s="30"/>
      <x:c r="P319" s="30"/>
      <x:c r="Q319" s="30"/>
      <x:c r="R319" s="30"/>
      <x:c r="S319" s="30"/>
      <x:c r="T319" s="30"/>
      <x:c r="U319" s="30"/>
      <x:c r="V319" s="30"/>
      <x:c r="W319" s="30"/>
      <x:c r="X319" s="30"/>
    </x:row>
    <x:row r="320" ht="22" customHeight="1">
      <x:c r="A320" s="30"/>
      <x:c r="B320" s="30"/>
      <x:c r="C320" s="30"/>
      <x:c r="D320" s="30"/>
      <x:c r="E320" s="30"/>
      <x:c r="F320" s="30"/>
      <x:c r="G320" s="30"/>
      <x:c r="H320" s="30"/>
      <x:c r="I320" s="30"/>
      <x:c r="J320" s="30"/>
      <x:c r="K320" s="30"/>
      <x:c r="L320" s="30"/>
      <x:c r="M320" s="30"/>
      <x:c r="N320" s="30"/>
      <x:c r="O320" s="30"/>
      <x:c r="P320" s="30"/>
      <x:c r="Q320" s="30"/>
      <x:c r="R320" s="30"/>
      <x:c r="S320" s="30"/>
      <x:c r="T320" s="30"/>
      <x:c r="U320" s="30"/>
      <x:c r="V320" s="30"/>
      <x:c r="W320" s="30"/>
      <x:c r="X320" s="30"/>
    </x:row>
    <x:row r="321" ht="22" customHeight="1">
      <x:c r="A321" s="30"/>
      <x:c r="B321" s="30"/>
      <x:c r="C321" s="30"/>
      <x:c r="D321" s="30"/>
      <x:c r="E321" s="30"/>
      <x:c r="F321" s="30"/>
      <x:c r="G321" s="30"/>
      <x:c r="H321" s="30"/>
      <x:c r="I321" s="30"/>
      <x:c r="J321" s="30"/>
      <x:c r="K321" s="30"/>
      <x:c r="L321" s="30"/>
      <x:c r="M321" s="30"/>
      <x:c r="N321" s="30"/>
      <x:c r="O321" s="30"/>
      <x:c r="P321" s="30"/>
      <x:c r="Q321" s="30"/>
      <x:c r="R321" s="30"/>
      <x:c r="S321" s="30"/>
      <x:c r="T321" s="30"/>
      <x:c r="U321" s="30"/>
      <x:c r="V321" s="30"/>
      <x:c r="W321" s="30"/>
      <x:c r="X321" s="30"/>
    </x:row>
    <x:row r="322" ht="22" customHeight="1">
      <x:c r="A322" s="30"/>
      <x:c r="B322" s="30"/>
      <x:c r="C322" s="30"/>
      <x:c r="D322" s="30"/>
      <x:c r="E322" s="30"/>
      <x:c r="F322" s="30"/>
      <x:c r="G322" s="30"/>
      <x:c r="H322" s="30"/>
      <x:c r="I322" s="30"/>
      <x:c r="J322" s="30"/>
      <x:c r="K322" s="30"/>
      <x:c r="L322" s="30"/>
      <x:c r="M322" s="30"/>
      <x:c r="N322" s="30"/>
      <x:c r="O322" s="30"/>
      <x:c r="P322" s="30"/>
      <x:c r="Q322" s="30"/>
      <x:c r="R322" s="30"/>
      <x:c r="S322" s="30"/>
      <x:c r="T322" s="30"/>
      <x:c r="U322" s="30"/>
      <x:c r="V322" s="30"/>
      <x:c r="W322" s="30"/>
      <x:c r="X322" s="30"/>
    </x:row>
    <x:row r="323" ht="22" customHeight="1">
      <x:c r="A323" s="30"/>
      <x:c r="B323" s="30"/>
      <x:c r="C323" s="30"/>
      <x:c r="D323" s="30"/>
      <x:c r="E323" s="30"/>
      <x:c r="F323" s="30"/>
      <x:c r="G323" s="30"/>
      <x:c r="H323" s="30"/>
      <x:c r="I323" s="30"/>
      <x:c r="J323" s="30"/>
      <x:c r="K323" s="30"/>
      <x:c r="L323" s="30"/>
      <x:c r="M323" s="30"/>
      <x:c r="N323" s="30"/>
      <x:c r="O323" s="30"/>
      <x:c r="P323" s="30"/>
      <x:c r="Q323" s="30"/>
      <x:c r="R323" s="30"/>
      <x:c r="S323" s="30"/>
      <x:c r="T323" s="30"/>
      <x:c r="U323" s="30"/>
      <x:c r="V323" s="30"/>
      <x:c r="W323" s="30"/>
      <x:c r="X323" s="30"/>
    </x:row>
    <x:row r="324" ht="22" customHeight="1">
      <x:c r="A324" s="30"/>
      <x:c r="B324" s="30"/>
      <x:c r="C324" s="30"/>
      <x:c r="D324" s="30"/>
      <x:c r="E324" s="30"/>
      <x:c r="F324" s="30"/>
      <x:c r="G324" s="30"/>
      <x:c r="H324" s="30"/>
      <x:c r="I324" s="30"/>
      <x:c r="J324" s="30"/>
      <x:c r="K324" s="30"/>
      <x:c r="L324" s="30"/>
      <x:c r="M324" s="30"/>
      <x:c r="N324" s="30"/>
      <x:c r="O324" s="30"/>
      <x:c r="P324" s="30"/>
      <x:c r="Q324" s="30"/>
      <x:c r="R324" s="30"/>
      <x:c r="S324" s="30"/>
      <x:c r="T324" s="30"/>
      <x:c r="U324" s="30"/>
      <x:c r="V324" s="30"/>
      <x:c r="W324" s="30"/>
      <x:c r="X324" s="30"/>
    </x:row>
    <x:row r="325" ht="22" customHeight="1">
      <x:c r="A325" s="30"/>
      <x:c r="B325" s="30"/>
      <x:c r="C325" s="30"/>
      <x:c r="D325" s="30"/>
      <x:c r="E325" s="30"/>
      <x:c r="F325" s="30"/>
      <x:c r="G325" s="30"/>
      <x:c r="H325" s="30"/>
      <x:c r="I325" s="30"/>
      <x:c r="J325" s="30"/>
      <x:c r="K325" s="30"/>
      <x:c r="L325" s="30"/>
      <x:c r="M325" s="30"/>
      <x:c r="N325" s="30"/>
      <x:c r="O325" s="30"/>
      <x:c r="P325" s="30"/>
      <x:c r="Q325" s="30"/>
      <x:c r="R325" s="30"/>
      <x:c r="S325" s="30"/>
      <x:c r="T325" s="30"/>
      <x:c r="U325" s="30"/>
      <x:c r="V325" s="30"/>
      <x:c r="W325" s="30"/>
      <x:c r="X325" s="30"/>
    </x:row>
    <x:row r="326" ht="22" customHeight="1">
      <x:c r="A326" s="30"/>
      <x:c r="B326" s="30"/>
      <x:c r="C326" s="30"/>
      <x:c r="D326" s="30"/>
      <x:c r="E326" s="30"/>
      <x:c r="F326" s="30"/>
      <x:c r="G326" s="30"/>
      <x:c r="H326" s="30"/>
      <x:c r="I326" s="30"/>
      <x:c r="J326" s="30"/>
      <x:c r="K326" s="30"/>
      <x:c r="L326" s="30"/>
      <x:c r="M326" s="30"/>
      <x:c r="N326" s="30"/>
      <x:c r="O326" s="30"/>
      <x:c r="P326" s="30"/>
      <x:c r="Q326" s="30"/>
      <x:c r="R326" s="30"/>
      <x:c r="S326" s="30"/>
      <x:c r="T326" s="30"/>
      <x:c r="U326" s="30"/>
      <x:c r="V326" s="30"/>
      <x:c r="W326" s="30"/>
      <x:c r="X326" s="30"/>
    </x:row>
    <x:row r="327" ht="22" customHeight="1">
      <x:c r="A327" s="30"/>
      <x:c r="B327" s="30"/>
      <x:c r="C327" s="30"/>
      <x:c r="D327" s="30"/>
      <x:c r="E327" s="30"/>
      <x:c r="F327" s="30"/>
      <x:c r="G327" s="30"/>
      <x:c r="H327" s="30"/>
      <x:c r="I327" s="30"/>
      <x:c r="J327" s="30"/>
      <x:c r="K327" s="30"/>
      <x:c r="L327" s="30"/>
      <x:c r="M327" s="30"/>
      <x:c r="N327" s="30"/>
      <x:c r="O327" s="30"/>
      <x:c r="P327" s="30"/>
      <x:c r="Q327" s="30"/>
      <x:c r="R327" s="30"/>
      <x:c r="S327" s="30"/>
      <x:c r="T327" s="30"/>
      <x:c r="U327" s="30"/>
      <x:c r="V327" s="30"/>
      <x:c r="W327" s="30"/>
      <x:c r="X327" s="30"/>
    </x:row>
    <x:row r="328" ht="22" customHeight="1">
      <x:c r="A328" s="30"/>
      <x:c r="B328" s="30"/>
      <x:c r="C328" s="30"/>
      <x:c r="D328" s="30"/>
      <x:c r="E328" s="30"/>
      <x:c r="F328" s="30"/>
      <x:c r="G328" s="30"/>
      <x:c r="H328" s="30"/>
      <x:c r="I328" s="30"/>
      <x:c r="J328" s="30"/>
      <x:c r="K328" s="30"/>
      <x:c r="L328" s="30"/>
      <x:c r="M328" s="30"/>
      <x:c r="N328" s="30"/>
      <x:c r="O328" s="30"/>
      <x:c r="P328" s="30"/>
      <x:c r="Q328" s="30"/>
      <x:c r="R328" s="30"/>
      <x:c r="S328" s="30"/>
      <x:c r="T328" s="30"/>
      <x:c r="U328" s="30"/>
      <x:c r="V328" s="30"/>
      <x:c r="W328" s="30"/>
      <x:c r="X328" s="30"/>
    </x:row>
    <x:row r="329" ht="22" customHeight="1">
      <x:c r="A329" s="30"/>
      <x:c r="B329" s="30"/>
      <x:c r="C329" s="30"/>
      <x:c r="D329" s="30"/>
      <x:c r="E329" s="30"/>
      <x:c r="F329" s="30"/>
      <x:c r="G329" s="30"/>
      <x:c r="H329" s="30"/>
      <x:c r="I329" s="30"/>
      <x:c r="J329" s="30"/>
      <x:c r="K329" s="30"/>
      <x:c r="L329" s="30"/>
      <x:c r="M329" s="30"/>
      <x:c r="N329" s="30"/>
      <x:c r="O329" s="30"/>
      <x:c r="P329" s="30"/>
      <x:c r="Q329" s="30"/>
      <x:c r="R329" s="30"/>
      <x:c r="S329" s="30"/>
      <x:c r="T329" s="30"/>
      <x:c r="U329" s="30"/>
      <x:c r="V329" s="30"/>
      <x:c r="W329" s="30"/>
      <x:c r="X329" s="30"/>
    </x:row>
  </x:sheetData>
  <x:conditionalFormatting sqref="O30:O5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