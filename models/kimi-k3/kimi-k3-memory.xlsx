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3f12c9004442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语言模型_Prefill" sheetId="1" r:id="R5a7c51f364724e4a"/>
    <x:sheet xmlns:r="http://schemas.openxmlformats.org/officeDocument/2006/relationships" name="语言模型_Decode" sheetId="2" r:id="Rdfcff843d32847b4"/>
    <x:sheet xmlns:r="http://schemas.openxmlformats.org/officeDocument/2006/relationships" name="全量含ViT_Prefill" sheetId="3" r:id="Rc8c102d079714d62"/>
    <x:sheet xmlns:r="http://schemas.openxmlformats.org/officeDocument/2006/relationships" name="全量含ViT_Decode" sheetId="4" r:id="R9ac39376cfb44e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"/>
    <x:numFmt numFmtId="201" formatCode="General"/>
    <x:numFmt numFmtId="202" formatCode="0.00000"/>
    <x:numFmt numFmtId="203" formatCode="0.0000"/>
    <x:numFmt numFmtId="204" formatCode="0.0%"/>
    <x:numFmt numFmtId="205" formatCode="0.000000"/>
    <x:numFmt numFmtId="206" formatCode="0"/>
  </x:numFmts>
  <x:fonts count="4">
    <x:font>
      <x:sz val="11"/>
      <x:name val="Carlito"/>
    </x:font>
    <x:font>
      <x:sz val="10"/>
      <x:name val="Arial"/>
    </x:font>
    <x:font>
      <x:b/>
      <x:sz val="10"/>
      <x:name val="Arial"/>
    </x:font>
    <x:font>
      <x:b/>
      <x:sz val="11"/>
      <x:color rgb="FF44546A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7">
    <x:border>
      <x:left/>
      <x:right/>
      <x:top/>
      <x:bottom/>
      <x:diagonal/>
    </x:border>
    <x:border>
      <x:left/>
      <x:right/>
      <x:top/>
      <x:bottom style="thin">
        <x:color rgb="FFA6A6A6"/>
      </x:bottom>
      <x:diagonal/>
    </x:border>
    <x:border>
      <x:left/>
      <x:right/>
      <x:top/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9D9D9"/>
      </x:top>
      <x:bottom/>
      <x:diagonal/>
    </x:border>
    <x:border>
      <x:left/>
      <x:right/>
      <x:top style="thin">
        <x:color rgb="FFD9D9D9"/>
      </x:top>
      <x:bottom style="thin">
        <x:color rgb="FFA6A6A6"/>
      </x:bottom>
      <x:diagonal/>
    </x:border>
    <x:border>
      <x:left/>
      <x:right/>
      <x:top style="medium">
        <x:color rgb="FF99999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4" borderId="3" xfId="0" applyNumberFormat="1" applyFont="1" applyFill="1" applyBorder="1" applyAlignment="1">
      <x:alignment vertical="center"/>
    </x:xf>
    <x:xf numFmtId="200" fontId="1" fillId="3" borderId="4" xfId="0" applyNumberFormat="1" applyFont="1" applyFill="1" applyBorder="1" applyAlignment="1">
      <x:alignment vertical="center"/>
    </x:xf>
    <x:xf numFmtId="201" fontId="1" fillId="4" borderId="3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  <x:xf numFmtId="202" fontId="1" fillId="0" borderId="4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203" fontId="1" fillId="0" borderId="2" xfId="0" applyNumberFormat="1" applyFont="1" applyFill="1" applyBorder="1" applyAlignment="1">
      <x:alignment vertical="center"/>
    </x:xf>
    <x:xf numFmtId="203" fontId="1" fillId="0" borderId="3" xfId="0" applyNumberFormat="1" applyFont="1" applyFill="1" applyBorder="1" applyAlignment="1">
      <x:alignment vertical="center"/>
    </x:xf>
    <x:xf numFmtId="203" fontId="2" fillId="2" borderId="5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204" fontId="1" fillId="0" borderId="3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203" fontId="1" fillId="0" borderId="4" xfId="0" applyNumberFormat="1" applyFont="1" applyFill="1" applyBorder="1" applyAlignment="1">
      <x:alignment vertical="center"/>
    </x:xf>
    <x:xf numFmtId="203" fontId="2" fillId="2" borderId="1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205" fontId="1" fillId="0" borderId="2" xfId="0" applyNumberFormat="1" applyFont="1" applyFill="1" applyBorder="1" applyAlignment="1">
      <x:alignment vertical="center"/>
    </x:xf>
    <x:xf numFmtId="206" fontId="1" fillId="0" borderId="2" xfId="0" applyNumberFormat="1" applyFont="1" applyFill="1" applyBorder="1" applyAlignment="1">
      <x:alignment vertical="center"/>
    </x:xf>
    <x:xf numFmtId="205" fontId="1" fillId="0" borderId="3" xfId="0" applyNumberFormat="1" applyFont="1" applyFill="1" applyBorder="1" applyAlignment="1">
      <x:alignment vertical="center"/>
    </x:xf>
    <x:xf numFmtId="206" fontId="1" fillId="0" borderId="3" xfId="0" applyNumberFormat="1" applyFont="1" applyFill="1" applyBorder="1" applyAlignment="1">
      <x:alignment vertical="center"/>
    </x:xf>
    <x:xf numFmtId="205" fontId="1" fillId="0" borderId="4" xfId="0" applyNumberFormat="1" applyFont="1" applyFill="1" applyBorder="1" applyAlignment="1">
      <x:alignment vertical="center"/>
    </x:xf>
    <x:xf numFmtId="206" fontId="1" fillId="0" borderId="4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5" fontId="1" fillId="0" borderId="6" xfId="0" applyNumberFormat="1" applyFont="1" applyFill="1" applyBorder="1" applyAlignment="1">
      <x:alignment vertical="center"/>
    </x:xf>
    <x:xf numFmtId="206" fontId="1" fillId="0" borderId="6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abea875add45b2" /><Relationship Type="http://schemas.openxmlformats.org/officeDocument/2006/relationships/theme" Target="/xl/theme/theme1.xml" Id="R4cbfebafa3f240ed" /><Relationship Type="http://schemas.openxmlformats.org/officeDocument/2006/relationships/sharedStrings" Target="/xl/sharedStrings.xml" Id="R1decf798e4804b84" /><Relationship Type="http://schemas.openxmlformats.org/officeDocument/2006/relationships/worksheet" Target="/xl/worksheets/sheet1.xml" Id="R5a7c51f364724e4a" /><Relationship Type="http://schemas.openxmlformats.org/officeDocument/2006/relationships/worksheet" Target="/xl/worksheets/sheet2.xml" Id="Rdfcff843d32847b4" /><Relationship Type="http://schemas.openxmlformats.org/officeDocument/2006/relationships/worksheet" Target="/xl/worksheets/sheet3.xml" Id="Rc8c102d079714d62" /><Relationship Type="http://schemas.openxmlformats.org/officeDocument/2006/relationships/worksheet" Target="/xl/worksheets/sheet4.xml" Id="R9ac39376cfb44e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26" hidden="0" customWidth="1"/>
    <x:col min="4" max="4" width="12" hidden="0" customWidth="1"/>
    <x:col min="5" max="5" width="14" hidden="0" customWidth="1"/>
    <x:col min="6" max="6" width="20" hidden="0" customWidth="1"/>
    <x:col min="7" max="7" width="18" hidden="0" customWidth="1"/>
    <x:col min="8" max="8" width="12" hidden="0" customWidth="1"/>
    <x:col min="9" max="9" width="12" hidden="0" customWidth="1"/>
    <x:col min="10" max="10" width="20" hidden="0" customWidth="1"/>
    <x:col min="11" max="11" width="22" hidden="0" customWidth="1"/>
    <x:col min="12" max="12" width="23" hidden="0" customWidth="1"/>
    <x:col min="13" max="13" width="14" hidden="0" customWidth="1"/>
    <x:col min="14" max="14" width="30" hidden="0" customWidth="1"/>
    <x:col min="15" max="15" width="16" hidden="0" customWidth="1"/>
    <x:col min="16" max="16" width="3" hidden="0" customWidth="1"/>
    <x:col min="17" max="17" width="32" hidden="0" customWidth="1"/>
    <x:col min="18" max="18" width="22" hidden="0" customWidth="1"/>
    <x:col min="19" max="19" width="28" hidden="0" customWidth="1"/>
    <x:col min="20" max="20" width="29" hidden="0" customWidth="1"/>
    <x:col min="21" max="21" width="26" hidden="0" customWidth="1"/>
    <x:col min="22" max="22" width="24" hidden="0" customWidth="1"/>
    <x:col min="23" max="23" width="24" hidden="0" customWidth="1"/>
    <x:col min="24" max="24" width="28" hidden="0" customWidth="1"/>
    <x:col min="25" max="25" width="26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</x:cols>
  <x:sheetData>
    <x:row r="1" ht="32" customHeight="1">
      <x:c r="A1" s="41" t="str">
        <x:v>结构</x:v>
      </x:c>
      <x:c r="B1" s="41" t="str">
        <x:v>权重</x:v>
      </x:c>
      <x:c r="C1" s="41" t="str">
        <x:v>权重维度</x:v>
      </x:c>
      <x:c r="D1" s="41" t="str">
        <x:v>数据类型</x:v>
      </x:c>
      <x:c r="E1" s="41" t="str">
        <x:v>全模型重复数</x:v>
      </x:c>
      <x:c r="F1" s="41" t="str">
        <x:v>单实例参数量</x:v>
      </x:c>
      <x:c r="G1" s="41" t="str">
        <x:v>TP 策略</x:v>
      </x:c>
      <x:c r="H1" s="41" t="str">
        <x:v>EP 策略</x:v>
      </x:c>
      <x:c r="I1" s="41" t="str">
        <x:v>共享专家</x:v>
      </x:c>
      <x:c r="J1" s="41" t="str">
        <x:v>全模型权重 GiB</x:v>
      </x:c>
      <x:c r="K1" s="41" t="str">
        <x:v>本 stage 单卡 GiB</x:v>
      </x:c>
      <x:c r="L1" s="41" t="str">
        <x:v>量化规则</x:v>
      </x:c>
      <x:c r="M1" s="41" t="str">
        <x:v>切分份数</x:v>
      </x:c>
      <x:c r="N1" s="41" t="str">
        <x:v>单卡权重维度</x:v>
      </x:c>
      <x:c r="O1" s="41" t="str">
        <x:v>单卡重复数</x:v>
      </x:c>
      <x:c r="P1" s="2"/>
      <x:c r="Q1" s="5" t="str">
        <x:v>并行配置</x:v>
      </x:c>
      <x:c r="R1" s="5" t="str">
        <x:v>值</x:v>
      </x:c>
      <x:c r="S1" s="5" t="str">
        <x:v>模型参数</x:v>
      </x:c>
      <x:c r="T1" s="5" t="str">
        <x:v>参数值</x:v>
      </x:c>
      <x:c r="U1" s="19" t="str">
        <x:v>Made by mindie-agent</x:v>
      </x:c>
      <x:c r="V1" s="19"/>
      <x:c r="W1" s="2"/>
      <x:c r="X1" s="2"/>
      <x:c r="Y1" s="2"/>
      <x:c r="Z1" s="2"/>
      <x:c r="AA1" s="5" t="str">
        <x:v>PP0 单卡 GiB</x:v>
      </x:c>
      <x:c r="AB1" s="5" t="str">
        <x:v>本卡主权重 bytes</x:v>
      </x:c>
      <x:c r="AC1" s="5" t="str">
        <x:v>本卡 scale bytes</x:v>
      </x:c>
      <x:c r="AD1" s="5" t="str">
        <x:v>本卡附加 bytes</x:v>
      </x:c>
      <x:c r="AE1" s="5" t="str">
        <x:v>全局主权重 bytes</x:v>
      </x:c>
      <x:c r="AF1" s="5" t="str">
        <x:v>全局 scale bytes</x:v>
      </x:c>
      <x:c r="AG1" s="5" t="str">
        <x:v>全局附加 bytes</x:v>
      </x:c>
    </x:row>
    <x:row r="2" ht="18" customHeight="1">
      <x:c r="A2" s="48" t="str">
        <x:v>Embedding / Output</x:v>
      </x:c>
      <x:c r="B2" s="48" t="str">
        <x:v>embed_tokens.weight</x:v>
      </x:c>
      <x:c r="C2" s="48" t="str">
        <x:v>[163840,7168]</x:v>
      </x:c>
      <x:c r="D2" s="49" t="str">
        <x:v>BF16</x:v>
      </x:c>
      <x:c r="E2" s="50" t="n">
        <x:v>1</x:v>
      </x:c>
      <x:c r="F2" s="50" t="n">
        <x:f>(163840)*(7168)</x:f>
        <x:v>1174405120</x:v>
      </x:c>
      <x:c r="G2" s="48" t="str">
        <x:v>Embedding TP</x:v>
      </x:c>
      <x:c r="H2" s="48" t="str">
        <x:v>None</x:v>
      </x:c>
      <x:c r="I2" s="48" t="str">
        <x:v>否</x:v>
      </x:c>
      <x:c r="J2" s="51" t="n">
        <x:f>E2*SUM(AE2:AG2)/1073741824</x:f>
        <x:v>2.1875</x:v>
      </x:c>
      <x:c r="K2" s="51" t="n">
        <x:f>AA2</x:f>
        <x:v>0.13671875</x:v>
      </x:c>
      <x:c r="L2" s="48" t="str">
        <x:f>IF(OR(D2="MXFP4",D2="MXFP8"),"group 32 / E8M0",IF(D2="INT8","channel / 8 B",IF(D2="INT4","channel / 16 B","")))</x:f>
      </x:c>
      <x:c r="M2" s="52" t="n">
        <x:f>$R$7</x:f>
        <x:v>16</x:v>
      </x:c>
      <x:c r="N2" s="48" t="str">
        <x:f>"["&amp;(163840/M2)&amp;","&amp;(7168)&amp;"]"</x:f>
        <x:v>[10240,7168]</x:v>
      </x:c>
      <x:c r="O2" s="50" t="n">
        <x:f>CHOOSE($R$22+1,1)</x:f>
        <x:v>1</x:v>
      </x:c>
      <x:c r="P2" s="2"/>
      <x:c r="Q2" s="6" t="str">
        <x:v>KDA 主体 TP</x:v>
      </x:c>
      <x:c r="R2" s="13" t="n">
        <x:v>16</x:v>
      </x:c>
      <x:c r="S2" s="6" t="str">
        <x:v>本 stage KDA 层数</x:v>
      </x:c>
      <x:c r="T2" s="6" t="n">
        <x:f>CHOOSE(R22+1,69)</x:f>
        <x:v>69</x:v>
      </x:c>
      <x:c r="U2" s="19"/>
      <x:c r="V2" s="19"/>
      <x:c r="W2" s="2"/>
      <x:c r="X2" s="2"/>
      <x:c r="Y2" s="2"/>
      <x:c r="Z2" s="2"/>
      <x:c r="AA2" s="38" t="n">
        <x:f>IF($R$30=1,SUM(AB2:AD2)*(1)/1073741824,NA())</x:f>
        <x:v>0.13671875</x:v>
      </x:c>
      <x:c r="AB2" s="39" t="n">
        <x:f>(163840/M2)*ROUNDUP((7168)*VLOOKUP(D2,$Q$32:$R$38,2,FALSE),0)</x:f>
        <x:v>146800640</x:v>
      </x:c>
      <x:c r="AC2" s="39" t="n">
        <x:f>IF(OR(D2="MXFP4",D2="MXFP8"),(163840/M2)*ROUNDUP((7168)/32,0),0)</x:f>
        <x:v>0</x:v>
      </x:c>
      <x:c r="AD2" s="39" t="n">
        <x:f>IF(D2="INT8",(163840/M2)*8,IF(D2="INT4",(163840/M2)*16,0))</x:f>
        <x:v>0</x:v>
      </x:c>
      <x:c r="AE2" s="39" t="n">
        <x:f>(163840)*ROUNDUP((7168)*VLOOKUP(D2,$Q$32:$R$38,2,FALSE),0)</x:f>
        <x:v>2348810240</x:v>
      </x:c>
      <x:c r="AF2" s="39" t="n">
        <x:f>IF(OR(D2="MXFP4",D2="MXFP8"),(163840)*ROUNDUP((7168)/32,0),0)</x:f>
        <x:v>0</x:v>
      </x:c>
      <x:c r="AG2" s="39" t="n">
        <x:f>IF(D2="INT8",(163840)*8,IF(D2="INT4",(163840)*16,0))</x:f>
        <x:v>0</x:v>
      </x:c>
    </x:row>
    <x:row r="3" ht="18" customHeight="1">
      <x:c r="A3" s="7" t="str">
        <x:v>Embedding / Output</x:v>
      </x:c>
      <x:c r="B3" s="7" t="str">
        <x:v>lm_head.weight</x:v>
      </x:c>
      <x:c r="C3" s="7" t="str">
        <x:v>[163840,7168]</x:v>
      </x:c>
      <x:c r="D3" s="10" t="str">
        <x:v>BF16</x:v>
      </x:c>
      <x:c r="E3" s="34" t="n">
        <x:v>1</x:v>
      </x:c>
      <x:c r="F3" s="34" t="n">
        <x:f>(163840)*(7168)</x:f>
        <x:v>1174405120</x:v>
      </x:c>
      <x:c r="G3" s="7" t="str">
        <x:v>LM head TP</x:v>
      </x:c>
      <x:c r="H3" s="7" t="str">
        <x:v>None</x:v>
      </x:c>
      <x:c r="I3" s="7" t="str">
        <x:v>否</x:v>
      </x:c>
      <x:c r="J3" s="44" t="n">
        <x:f>E3*SUM(AE3:AG3)/1073741824</x:f>
        <x:v>2.1875</x:v>
      </x:c>
      <x:c r="K3" s="44" t="n">
        <x:f>AA3</x:f>
        <x:v>0.13671875</x:v>
      </x:c>
      <x:c r="L3" s="7" t="str">
        <x:f>IF(OR(D3="MXFP4",D3="MXFP8"),"group 32 / E8M0",IF(D3="INT8","channel / 8 B",IF(D3="INT4","channel / 16 B","")))</x:f>
      </x:c>
      <x:c r="M3" s="45" t="n">
        <x:f>$R$6</x:f>
        <x:v>16</x:v>
      </x:c>
      <x:c r="N3" s="7" t="str">
        <x:f>"["&amp;(163840/M3)&amp;","&amp;(7168)&amp;"]"</x:f>
        <x:v>[10240,7168]</x:v>
      </x:c>
      <x:c r="O3" s="34" t="n">
        <x:f>CHOOSE($R$22+1,1)</x:f>
        <x:v>1</x:v>
      </x:c>
      <x:c r="P3" s="2"/>
      <x:c r="Q3" s="7" t="str">
        <x:v>KDA o_proj TP</x:v>
      </x:c>
      <x:c r="R3" s="14" t="n">
        <x:f>$R$2*1</x:f>
        <x:v>16</x:v>
      </x:c>
      <x:c r="S3" s="7" t="str">
        <x:v>本 stage Attention 层数</x:v>
      </x:c>
      <x:c r="T3" s="7" t="n">
        <x:f>CHOOSE(R22+1,24)</x:f>
        <x:v>24</x:v>
      </x:c>
      <x:c r="U3" s="2"/>
      <x:c r="V3" s="2"/>
      <x:c r="W3" s="2"/>
      <x:c r="X3" s="2"/>
      <x:c r="Y3" s="2"/>
      <x:c r="Z3" s="2"/>
      <x:c r="AA3" s="38" t="n">
        <x:f>IF($R$30=1,SUM(AB3:AD3)*(1)/1073741824,NA())</x:f>
        <x:v>0.13671875</x:v>
      </x:c>
      <x:c r="AB3" s="39" t="n">
        <x:f>(163840/M3)*ROUNDUP((7168)*VLOOKUP(D3,$Q$32:$R$38,2,FALSE),0)</x:f>
        <x:v>146800640</x:v>
      </x:c>
      <x:c r="AC3" s="39" t="n">
        <x:f>IF(OR(D3="MXFP4",D3="MXFP8"),(163840/M3)*ROUNDUP((7168)/32,0),0)</x:f>
        <x:v>0</x:v>
      </x:c>
      <x:c r="AD3" s="39" t="n">
        <x:f>IF(D3="INT8",(163840/M3)*8,IF(D3="INT4",(163840/M3)*16,0))</x:f>
        <x:v>0</x:v>
      </x:c>
      <x:c r="AE3" s="39" t="n">
        <x:f>(163840)*ROUNDUP((7168)*VLOOKUP(D3,$Q$32:$R$38,2,FALSE),0)</x:f>
        <x:v>2348810240</x:v>
      </x:c>
      <x:c r="AF3" s="39" t="n">
        <x:f>IF(OR(D3="MXFP4",D3="MXFP8"),(163840)*ROUNDUP((7168)/32,0),0)</x:f>
        <x:v>0</x:v>
      </x:c>
      <x:c r="AG3" s="39" t="n">
        <x:f>IF(D3="INT8",(163840)*8,IF(D3="INT4",(163840)*16,0))</x:f>
        <x:v>0</x:v>
      </x:c>
    </x:row>
    <x:row r="4" ht="18" customHeight="1">
      <x:c r="A4" s="48" t="str">
        <x:v>Decoder common</x:v>
      </x:c>
      <x:c r="B4" s="48" t="str">
        <x:v>input_layernorm.weight</x:v>
      </x:c>
      <x:c r="C4" s="48" t="str">
        <x:v>[7168]</x:v>
      </x:c>
      <x:c r="D4" s="49" t="str">
        <x:v>BF16</x:v>
      </x:c>
      <x:c r="E4" s="50" t="n">
        <x:v>93</x:v>
      </x:c>
      <x:c r="F4" s="50" t="n">
        <x:f>(7168)</x:f>
        <x:v>7168</x:v>
      </x:c>
      <x:c r="G4" s="48" t="str">
        <x:v>Replicated</x:v>
      </x:c>
      <x:c r="H4" s="48" t="str">
        <x:v>None</x:v>
      </x:c>
      <x:c r="I4" s="48" t="str">
        <x:v>否</x:v>
      </x:c>
      <x:c r="J4" s="51" t="n">
        <x:f>E4*SUM(AE4:AG4)/1073741824</x:f>
        <x:v>0.0012416839599609375</x:v>
      </x:c>
      <x:c r="K4" s="51" t="n">
        <x:f>AA4</x:f>
        <x:v>0.0012416839599609375</x:v>
      </x:c>
      <x:c r="L4" s="48" t="str">
        <x:f>IF(OR(D4="MXFP4",D4="MXFP8"),"group 32 / E8M0",IF(D4="INT8","channel / 8 B",IF(D4="INT4","channel / 16 B","")))</x:f>
      </x:c>
      <x:c r="M4" s="52" t="n">
        <x:f>1</x:f>
        <x:v>1</x:v>
      </x:c>
      <x:c r="N4" s="48" t="str">
        <x:f>"["&amp;(7168/M4)&amp;"]"</x:f>
        <x:v>[7168]</x:v>
      </x:c>
      <x:c r="O4" s="50" t="n">
        <x:f>CHOOSE($R$22+1,93)</x:f>
        <x:v>93</x:v>
      </x:c>
      <x:c r="P4" s="2"/>
      <x:c r="Q4" s="7" t="str">
        <x:v>Attention 主体 TP</x:v>
      </x:c>
      <x:c r="R4" s="14" t="n">
        <x:v>1</x:v>
      </x:c>
      <x:c r="S4" s="7" t="str">
        <x:v>KDA heads</x:v>
      </x:c>
      <x:c r="T4" s="7" t="n">
        <x:v>96</x:v>
      </x:c>
      <x:c r="U4" s="2"/>
      <x:c r="V4" s="2"/>
      <x:c r="W4" s="2"/>
      <x:c r="X4" s="2"/>
      <x:c r="Y4" s="2"/>
      <x:c r="Z4" s="2"/>
      <x:c r="AA4" s="38" t="n">
        <x:f>IF($R$30=1,SUM(AB4:AD4)*(93)/1073741824,NA())</x:f>
        <x:v>0.0012416839599609375</x:v>
      </x:c>
      <x:c r="AB4" s="39" t="n">
        <x:f>1*ROUNDUP((7168/M4)*VLOOKUP(D4,$Q$32:$R$38,2,FALSE),0)</x:f>
        <x:v>14336</x:v>
      </x:c>
      <x:c r="AC4" s="39" t="n">
        <x:f>IF(OR(D4="MXFP4",D4="MXFP8"),1*ROUNDUP((7168/M4)/32,0),0)</x:f>
        <x:v>0</x:v>
      </x:c>
      <x:c r="AD4" s="39" t="n">
        <x:f>IF(D4="INT8",(7168/M4)*8,IF(D4="INT4",(7168/M4)*16,0))</x:f>
        <x:v>0</x:v>
      </x:c>
      <x:c r="AE4" s="39" t="n">
        <x:f>1*ROUNDUP((7168)*VLOOKUP(D4,$Q$32:$R$38,2,FALSE),0)</x:f>
        <x:v>14336</x:v>
      </x:c>
      <x:c r="AF4" s="39" t="n">
        <x:f>IF(OR(D4="MXFP4",D4="MXFP8"),1*ROUNDUP((7168)/32,0),0)</x:f>
        <x:v>0</x:v>
      </x:c>
      <x:c r="AG4" s="39" t="n">
        <x:f>IF(D4="INT8",(7168)*8,IF(D4="INT4",(7168)*16,0))</x:f>
        <x:v>0</x:v>
      </x:c>
    </x:row>
    <x:row r="5" ht="18" customHeight="1">
      <x:c r="A5" s="7" t="str">
        <x:v>Decoder common</x:v>
      </x:c>
      <x:c r="B5" s="7" t="str">
        <x:v>post_attention_layernorm.weight</x:v>
      </x:c>
      <x:c r="C5" s="7" t="str">
        <x:v>[7168]</x:v>
      </x:c>
      <x:c r="D5" s="10" t="str">
        <x:v>BF16</x:v>
      </x:c>
      <x:c r="E5" s="34" t="n">
        <x:v>93</x:v>
      </x:c>
      <x:c r="F5" s="34" t="n">
        <x:f>(7168)</x:f>
        <x:v>7168</x:v>
      </x:c>
      <x:c r="G5" s="7" t="str">
        <x:v>Replicated</x:v>
      </x:c>
      <x:c r="H5" s="7" t="str">
        <x:v>None</x:v>
      </x:c>
      <x:c r="I5" s="7" t="str">
        <x:v>否</x:v>
      </x:c>
      <x:c r="J5" s="44" t="n">
        <x:f>E5*SUM(AE5:AG5)/1073741824</x:f>
        <x:v>0.0012416839599609375</x:v>
      </x:c>
      <x:c r="K5" s="44" t="n">
        <x:f>AA5</x:f>
        <x:v>0.0012416839599609375</x:v>
      </x:c>
      <x:c r="L5" s="7" t="str">
        <x:f>IF(OR(D5="MXFP4",D5="MXFP8"),"group 32 / E8M0",IF(D5="INT8","channel / 8 B",IF(D5="INT4","channel / 16 B","")))</x:f>
      </x:c>
      <x:c r="M5" s="45" t="n">
        <x:f>1</x:f>
        <x:v>1</x:v>
      </x:c>
      <x:c r="N5" s="7" t="str">
        <x:f>"["&amp;(7168/M5)&amp;"]"</x:f>
        <x:v>[7168]</x:v>
      </x:c>
      <x:c r="O5" s="34" t="n">
        <x:f>CHOOSE($R$22+1,93)</x:f>
        <x:v>93</x:v>
      </x:c>
      <x:c r="P5" s="2"/>
      <x:c r="Q5" s="7" t="str">
        <x:v>Attention o_proj TP</x:v>
      </x:c>
      <x:c r="R5" s="14" t="n">
        <x:f>$R$2*1</x:f>
        <x:v>16</x:v>
      </x:c>
      <x:c r="S5" s="7" t="str">
        <x:v>KDA head dim</x:v>
      </x:c>
      <x:c r="T5" s="7" t="n">
        <x:v>128</x:v>
      </x:c>
      <x:c r="U5" s="2"/>
      <x:c r="V5" s="2"/>
      <x:c r="W5" s="2"/>
      <x:c r="X5" s="2"/>
      <x:c r="Y5" s="2"/>
      <x:c r="Z5" s="2"/>
      <x:c r="AA5" s="38" t="n">
        <x:f>IF($R$30=1,SUM(AB5:AD5)*(93)/1073741824,NA())</x:f>
        <x:v>0.0012416839599609375</x:v>
      </x:c>
      <x:c r="AB5" s="39" t="n">
        <x:f>1*ROUNDUP((7168/M5)*VLOOKUP(D5,$Q$32:$R$38,2,FALSE),0)</x:f>
        <x:v>14336</x:v>
      </x:c>
      <x:c r="AC5" s="39" t="n">
        <x:f>IF(OR(D5="MXFP4",D5="MXFP8"),1*ROUNDUP((7168/M5)/32,0),0)</x:f>
        <x:v>0</x:v>
      </x:c>
      <x:c r="AD5" s="39" t="n">
        <x:f>IF(D5="INT8",(7168/M5)*8,IF(D5="INT4",(7168/M5)*16,0))</x:f>
        <x:v>0</x:v>
      </x:c>
      <x:c r="AE5" s="39" t="n">
        <x:f>1*ROUNDUP((7168)*VLOOKUP(D5,$Q$32:$R$38,2,FALSE),0)</x:f>
        <x:v>14336</x:v>
      </x:c>
      <x:c r="AF5" s="39" t="n">
        <x:f>IF(OR(D5="MXFP4",D5="MXFP8"),1*ROUNDUP((7168)/32,0),0)</x:f>
        <x:v>0</x:v>
      </x:c>
      <x:c r="AG5" s="39" t="n">
        <x:f>IF(D5="INT8",(7168)*8,IF(D5="INT4",(7168)*16,0))</x:f>
        <x:v>0</x:v>
      </x:c>
    </x:row>
    <x:row r="6" ht="18" customHeight="1">
      <x:c r="A6" s="7" t="str">
        <x:v>Decoder common</x:v>
      </x:c>
      <x:c r="B6" s="7" t="str">
        <x:v>self_attention_res_norm.weight</x:v>
      </x:c>
      <x:c r="C6" s="7" t="str">
        <x:v>[7168]</x:v>
      </x:c>
      <x:c r="D6" s="10" t="str">
        <x:v>BF16</x:v>
      </x:c>
      <x:c r="E6" s="34" t="n">
        <x:v>93</x:v>
      </x:c>
      <x:c r="F6" s="34" t="n">
        <x:f>(7168)</x:f>
        <x:v>7168</x:v>
      </x:c>
      <x:c r="G6" s="7" t="str">
        <x:v>Replicated</x:v>
      </x:c>
      <x:c r="H6" s="7" t="str">
        <x:v>None</x:v>
      </x:c>
      <x:c r="I6" s="7" t="str">
        <x:v>否</x:v>
      </x:c>
      <x:c r="J6" s="44" t="n">
        <x:f>E6*SUM(AE6:AG6)/1073741824</x:f>
        <x:v>0.0012416839599609375</x:v>
      </x:c>
      <x:c r="K6" s="44" t="n">
        <x:f>AA6</x:f>
        <x:v>0.0012416839599609375</x:v>
      </x:c>
      <x:c r="L6" s="7" t="str">
        <x:f>IF(OR(D6="MXFP4",D6="MXFP8"),"group 32 / E8M0",IF(D6="INT8","channel / 8 B",IF(D6="INT4","channel / 16 B","")))</x:f>
      </x:c>
      <x:c r="M6" s="45" t="n">
        <x:f>1</x:f>
        <x:v>1</x:v>
      </x:c>
      <x:c r="N6" s="7" t="str">
        <x:f>"["&amp;(7168/M6)&amp;"]"</x:f>
        <x:v>[7168]</x:v>
      </x:c>
      <x:c r="O6" s="34" t="n">
        <x:f>CHOOSE($R$22+1,93)</x:f>
        <x:v>93</x:v>
      </x:c>
      <x:c r="P6" s="2"/>
      <x:c r="Q6" s="7" t="str">
        <x:v>lm_head TP</x:v>
      </x:c>
      <x:c r="R6" s="14" t="n">
        <x:f>$R$2*1</x:f>
        <x:v>16</x:v>
      </x:c>
      <x:c r="S6" s="7" t="str">
        <x:v>Attention heads</x:v>
      </x:c>
      <x:c r="T6" s="7" t="n">
        <x:v>96</x:v>
      </x:c>
      <x:c r="U6" s="2"/>
      <x:c r="V6" s="2"/>
      <x:c r="W6" s="2"/>
      <x:c r="X6" s="2"/>
      <x:c r="Y6" s="2"/>
      <x:c r="Z6" s="2"/>
      <x:c r="AA6" s="38" t="n">
        <x:f>IF($R$30=1,SUM(AB6:AD6)*(93)/1073741824,NA())</x:f>
        <x:v>0.0012416839599609375</x:v>
      </x:c>
      <x:c r="AB6" s="39" t="n">
        <x:f>1*ROUNDUP((7168/M6)*VLOOKUP(D6,$Q$32:$R$38,2,FALSE),0)</x:f>
        <x:v>14336</x:v>
      </x:c>
      <x:c r="AC6" s="39" t="n">
        <x:f>IF(OR(D6="MXFP4",D6="MXFP8"),1*ROUNDUP((7168/M6)/32,0),0)</x:f>
        <x:v>0</x:v>
      </x:c>
      <x:c r="AD6" s="39" t="n">
        <x:f>IF(D6="INT8",(7168/M6)*8,IF(D6="INT4",(7168/M6)*16,0))</x:f>
        <x:v>0</x:v>
      </x:c>
      <x:c r="AE6" s="39" t="n">
        <x:f>1*ROUNDUP((7168)*VLOOKUP(D6,$Q$32:$R$38,2,FALSE),0)</x:f>
        <x:v>14336</x:v>
      </x:c>
      <x:c r="AF6" s="39" t="n">
        <x:f>IF(OR(D6="MXFP4",D6="MXFP8"),1*ROUNDUP((7168)/32,0),0)</x:f>
        <x:v>0</x:v>
      </x:c>
      <x:c r="AG6" s="39" t="n">
        <x:f>IF(D6="INT8",(7168)*8,IF(D6="INT4",(7168)*16,0))</x:f>
        <x:v>0</x:v>
      </x:c>
    </x:row>
    <x:row r="7" ht="18" customHeight="1">
      <x:c r="A7" s="7" t="str">
        <x:v>Decoder common</x:v>
      </x:c>
      <x:c r="B7" s="7" t="str">
        <x:v>mlp_res_norm.weight</x:v>
      </x:c>
      <x:c r="C7" s="7" t="str">
        <x:v>[7168]</x:v>
      </x:c>
      <x:c r="D7" s="10" t="str">
        <x:v>BF16</x:v>
      </x:c>
      <x:c r="E7" s="34" t="n">
        <x:v>93</x:v>
      </x:c>
      <x:c r="F7" s="34" t="n">
        <x:f>(7168)</x:f>
        <x:v>7168</x:v>
      </x:c>
      <x:c r="G7" s="7" t="str">
        <x:v>Replicated</x:v>
      </x:c>
      <x:c r="H7" s="7" t="str">
        <x:v>None</x:v>
      </x:c>
      <x:c r="I7" s="7" t="str">
        <x:v>否</x:v>
      </x:c>
      <x:c r="J7" s="44" t="n">
        <x:f>E7*SUM(AE7:AG7)/1073741824</x:f>
        <x:v>0.0012416839599609375</x:v>
      </x:c>
      <x:c r="K7" s="44" t="n">
        <x:f>AA7</x:f>
        <x:v>0.0012416839599609375</x:v>
      </x:c>
      <x:c r="L7" s="7" t="str">
        <x:f>IF(OR(D7="MXFP4",D7="MXFP8"),"group 32 / E8M0",IF(D7="INT8","channel / 8 B",IF(D7="INT4","channel / 16 B","")))</x:f>
      </x:c>
      <x:c r="M7" s="45" t="n">
        <x:f>1</x:f>
        <x:v>1</x:v>
      </x:c>
      <x:c r="N7" s="7" t="str">
        <x:f>"["&amp;(7168/M7)&amp;"]"</x:f>
        <x:v>[7168]</x:v>
      </x:c>
      <x:c r="O7" s="34" t="n">
        <x:f>CHOOSE($R$22+1,93)</x:f>
        <x:v>93</x:v>
      </x:c>
      <x:c r="P7" s="2"/>
      <x:c r="Q7" s="7" t="str">
        <x:v>embedding TP</x:v>
      </x:c>
      <x:c r="R7" s="14" t="n">
        <x:f>$R$2*1</x:f>
        <x:v>16</x:v>
      </x:c>
      <x:c r="S7" s="7" t="str">
        <x:v>Indexer query heads</x:v>
      </x:c>
      <x:c r="T7" s="7" t="n">
        <x:v>0</x:v>
      </x:c>
      <x:c r="U7" s="2"/>
      <x:c r="V7" s="2"/>
      <x:c r="W7" s="2"/>
      <x:c r="X7" s="2"/>
      <x:c r="Y7" s="2"/>
      <x:c r="Z7" s="2"/>
      <x:c r="AA7" s="38" t="n">
        <x:f>IF($R$30=1,SUM(AB7:AD7)*(93)/1073741824,NA())</x:f>
        <x:v>0.0012416839599609375</x:v>
      </x:c>
      <x:c r="AB7" s="39" t="n">
        <x:f>1*ROUNDUP((7168/M7)*VLOOKUP(D7,$Q$32:$R$38,2,FALSE),0)</x:f>
        <x:v>14336</x:v>
      </x:c>
      <x:c r="AC7" s="39" t="n">
        <x:f>IF(OR(D7="MXFP4",D7="MXFP8"),1*ROUNDUP((7168/M7)/32,0),0)</x:f>
        <x:v>0</x:v>
      </x:c>
      <x:c r="AD7" s="39" t="n">
        <x:f>IF(D7="INT8",(7168/M7)*8,IF(D7="INT4",(7168/M7)*16,0))</x:f>
        <x:v>0</x:v>
      </x:c>
      <x:c r="AE7" s="39" t="n">
        <x:f>1*ROUNDUP((7168)*VLOOKUP(D7,$Q$32:$R$38,2,FALSE),0)</x:f>
        <x:v>14336</x:v>
      </x:c>
      <x:c r="AF7" s="39" t="n">
        <x:f>IF(OR(D7="MXFP4",D7="MXFP8"),1*ROUNDUP((7168)/32,0),0)</x:f>
        <x:v>0</x:v>
      </x:c>
      <x:c r="AG7" s="39" t="n">
        <x:f>IF(D7="INT8",(7168)*8,IF(D7="INT4",(7168)*16,0))</x:f>
        <x:v>0</x:v>
      </x:c>
    </x:row>
    <x:row r="8" ht="18" customHeight="1">
      <x:c r="A8" s="7" t="str">
        <x:v>Decoder common</x:v>
      </x:c>
      <x:c r="B8" s="7" t="str">
        <x:v>self_attention_res_proj.weight</x:v>
      </x:c>
      <x:c r="C8" s="7" t="str">
        <x:v>[1,7168]</x:v>
      </x:c>
      <x:c r="D8" s="10" t="str">
        <x:v>BF16</x:v>
      </x:c>
      <x:c r="E8" s="34" t="n">
        <x:v>93</x:v>
      </x:c>
      <x:c r="F8" s="34" t="n">
        <x:f>(1)*(7168)</x:f>
        <x:v>7168</x:v>
      </x:c>
      <x:c r="G8" s="7" t="str">
        <x:v>Replicated</x:v>
      </x:c>
      <x:c r="H8" s="7" t="str">
        <x:v>None</x:v>
      </x:c>
      <x:c r="I8" s="7" t="str">
        <x:v>否</x:v>
      </x:c>
      <x:c r="J8" s="44" t="n">
        <x:f>E8*SUM(AE8:AG8)/1073741824</x:f>
        <x:v>0.0012416839599609375</x:v>
      </x:c>
      <x:c r="K8" s="44" t="n">
        <x:f>AA8</x:f>
        <x:v>0.0012416839599609375</x:v>
      </x:c>
      <x:c r="L8" s="7" t="str">
        <x:f>IF(OR(D8="MXFP4",D8="MXFP8"),"group 32 / E8M0",IF(D8="INT8","channel / 8 B",IF(D8="INT4","channel / 16 B","")))</x:f>
      </x:c>
      <x:c r="M8" s="45" t="n">
        <x:f>1</x:f>
        <x:v>1</x:v>
      </x:c>
      <x:c r="N8" s="7" t="str">
        <x:f>"["&amp;(1/M8)&amp;","&amp;(7168)&amp;"]"</x:f>
        <x:v>[1,7168]</x:v>
      </x:c>
      <x:c r="O8" s="34" t="n">
        <x:f>CHOOSE($R$22+1,93)</x:f>
        <x:v>93</x:v>
      </x:c>
      <x:c r="P8" s="2"/>
      <x:c r="Q8" s="7" t="str">
        <x:v>其他语言 TP</x:v>
      </x:c>
      <x:c r="R8" s="14" t="n">
        <x:f>$R$2*1</x:f>
        <x:v>16</x:v>
      </x:c>
      <x:c r="S8" s="7" t="str">
        <x:v>本 stage MoE 层数</x:v>
      </x:c>
      <x:c r="T8" s="7" t="n">
        <x:f>CHOOSE(R22+1,92)</x:f>
        <x:v>92</x:v>
      </x:c>
      <x:c r="U8" s="2"/>
      <x:c r="V8" s="2"/>
      <x:c r="W8" s="2"/>
      <x:c r="X8" s="2"/>
      <x:c r="Y8" s="2"/>
      <x:c r="Z8" s="2"/>
      <x:c r="AA8" s="38" t="n">
        <x:f>IF($R$30=1,SUM(AB8:AD8)*(93)/1073741824,NA())</x:f>
        <x:v>0.0012416839599609375</x:v>
      </x:c>
      <x:c r="AB8" s="39" t="n">
        <x:f>(1/M8)*ROUNDUP((7168)*VLOOKUP(D8,$Q$32:$R$38,2,FALSE),0)</x:f>
        <x:v>14336</x:v>
      </x:c>
      <x:c r="AC8" s="39" t="n">
        <x:f>IF(OR(D8="MXFP4",D8="MXFP8"),(1/M8)*ROUNDUP((7168)/32,0),0)</x:f>
        <x:v>0</x:v>
      </x:c>
      <x:c r="AD8" s="39" t="n">
        <x:f>IF(D8="INT8",(1/M8)*8,IF(D8="INT4",(1/M8)*16,0))</x:f>
        <x:v>0</x:v>
      </x:c>
      <x:c r="AE8" s="39" t="n">
        <x:f>(1)*ROUNDUP((7168)*VLOOKUP(D8,$Q$32:$R$38,2,FALSE),0)</x:f>
        <x:v>14336</x:v>
      </x:c>
      <x:c r="AF8" s="39" t="n">
        <x:f>IF(OR(D8="MXFP4",D8="MXFP8"),(1)*ROUNDUP((7168)/32,0),0)</x:f>
        <x:v>0</x:v>
      </x:c>
      <x:c r="AG8" s="39" t="n">
        <x:f>IF(D8="INT8",(1)*8,IF(D8="INT4",(1)*16,0))</x:f>
        <x:v>0</x:v>
      </x:c>
    </x:row>
    <x:row r="9" ht="18" customHeight="1">
      <x:c r="A9" s="7" t="str">
        <x:v>Decoder common</x:v>
      </x:c>
      <x:c r="B9" s="7" t="str">
        <x:v>mlp_res_proj.weight</x:v>
      </x:c>
      <x:c r="C9" s="7" t="str">
        <x:v>[1,7168]</x:v>
      </x:c>
      <x:c r="D9" s="10" t="str">
        <x:v>BF16</x:v>
      </x:c>
      <x:c r="E9" s="34" t="n">
        <x:v>93</x:v>
      </x:c>
      <x:c r="F9" s="34" t="n">
        <x:f>(1)*(7168)</x:f>
        <x:v>7168</x:v>
      </x:c>
      <x:c r="G9" s="7" t="str">
        <x:v>Replicated</x:v>
      </x:c>
      <x:c r="H9" s="7" t="str">
        <x:v>None</x:v>
      </x:c>
      <x:c r="I9" s="7" t="str">
        <x:v>否</x:v>
      </x:c>
      <x:c r="J9" s="44" t="n">
        <x:f>E9*SUM(AE9:AG9)/1073741824</x:f>
        <x:v>0.0012416839599609375</x:v>
      </x:c>
      <x:c r="K9" s="44" t="n">
        <x:f>AA9</x:f>
        <x:v>0.0012416839599609375</x:v>
      </x:c>
      <x:c r="L9" s="7" t="str">
        <x:f>IF(OR(D9="MXFP4",D9="MXFP8"),"group 32 / E8M0",IF(D9="INT8","channel / 8 B",IF(D9="INT4","channel / 16 B","")))</x:f>
      </x:c>
      <x:c r="M9" s="45" t="n">
        <x:f>1</x:f>
        <x:v>1</x:v>
      </x:c>
      <x:c r="N9" s="7" t="str">
        <x:f>"["&amp;(1/M9)&amp;","&amp;(7168)&amp;"]"</x:f>
        <x:v>[1,7168]</x:v>
      </x:c>
      <x:c r="O9" s="34" t="n">
        <x:f>CHOOSE($R$22+1,93)</x:f>
        <x:v>93</x:v>
      </x:c>
      <x:c r="P9" s="2"/>
      <x:c r="Q9" s="7" t="str">
        <x:v>EP</x:v>
      </x:c>
      <x:c r="R9" s="14" t="n">
        <x:v>128</x:v>
      </x:c>
      <x:c r="S9" s="7" t="str">
        <x:v>Routed experts / layer</x:v>
      </x:c>
      <x:c r="T9" s="7" t="n">
        <x:v>896</x:v>
      </x:c>
      <x:c r="U9" s="2"/>
      <x:c r="V9" s="2"/>
      <x:c r="W9" s="2"/>
      <x:c r="X9" s="2"/>
      <x:c r="Y9" s="2"/>
      <x:c r="Z9" s="2"/>
      <x:c r="AA9" s="38" t="n">
        <x:f>IF($R$30=1,SUM(AB9:AD9)*(93)/1073741824,NA())</x:f>
        <x:v>0.0012416839599609375</x:v>
      </x:c>
      <x:c r="AB9" s="39" t="n">
        <x:f>(1/M9)*ROUNDUP((7168)*VLOOKUP(D9,$Q$32:$R$38,2,FALSE),0)</x:f>
        <x:v>14336</x:v>
      </x:c>
      <x:c r="AC9" s="39" t="n">
        <x:f>IF(OR(D9="MXFP4",D9="MXFP8"),(1/M9)*ROUNDUP((7168)/32,0),0)</x:f>
        <x:v>0</x:v>
      </x:c>
      <x:c r="AD9" s="39" t="n">
        <x:f>IF(D9="INT8",(1/M9)*8,IF(D9="INT4",(1/M9)*16,0))</x:f>
        <x:v>0</x:v>
      </x:c>
      <x:c r="AE9" s="39" t="n">
        <x:f>(1)*ROUNDUP((7168)*VLOOKUP(D9,$Q$32:$R$38,2,FALSE),0)</x:f>
        <x:v>14336</x:v>
      </x:c>
      <x:c r="AF9" s="39" t="n">
        <x:f>IF(OR(D9="MXFP4",D9="MXFP8"),(1)*ROUNDUP((7168)/32,0),0)</x:f>
        <x:v>0</x:v>
      </x:c>
      <x:c r="AG9" s="39" t="n">
        <x:f>IF(D9="INT8",(1)*8,IF(D9="INT4",(1)*16,0))</x:f>
        <x:v>0</x:v>
      </x:c>
    </x:row>
    <x:row r="10" ht="18" customHeight="1">
      <x:c r="A10" s="7" t="str">
        <x:v>Decoder common</x:v>
      </x:c>
      <x:c r="B10" s="7" t="str">
        <x:v>final_norm.weight</x:v>
      </x:c>
      <x:c r="C10" s="7" t="str">
        <x:v>[7168]</x:v>
      </x:c>
      <x:c r="D10" s="10" t="str">
        <x:v>BF16</x:v>
      </x:c>
      <x:c r="E10" s="34" t="n">
        <x:v>1</x:v>
      </x:c>
      <x:c r="F10" s="34" t="n">
        <x:f>(7168)</x:f>
        <x:v>7168</x:v>
      </x:c>
      <x:c r="G10" s="7" t="str">
        <x:v>Replicated</x:v>
      </x:c>
      <x:c r="H10" s="7" t="str">
        <x:v>None</x:v>
      </x:c>
      <x:c r="I10" s="7" t="str">
        <x:v>否</x:v>
      </x:c>
      <x:c r="J10" s="44" t="n">
        <x:f>E10*SUM(AE10:AG10)/1073741824</x:f>
        <x:v>0.0000133514404296875</x:v>
      </x:c>
      <x:c r="K10" s="44" t="n">
        <x:f>AA10</x:f>
        <x:v>0.0000133514404296875</x:v>
      </x:c>
      <x:c r="L10" s="7" t="str">
        <x:f>IF(OR(D10="MXFP4",D10="MXFP8"),"group 32 / E8M0",IF(D10="INT8","channel / 8 B",IF(D10="INT4","channel / 16 B","")))</x:f>
      </x:c>
      <x:c r="M10" s="45" t="n">
        <x:f>1</x:f>
        <x:v>1</x:v>
      </x:c>
      <x:c r="N10" s="7" t="str">
        <x:f>"["&amp;(7168/M10)&amp;"]"</x:f>
        <x:v>[7168]</x:v>
      </x:c>
      <x:c r="O10" s="34" t="n">
        <x:f>CHOOSE($R$22+1,1)</x:f>
        <x:v>1</x:v>
      </x:c>
      <x:c r="P10" s="2"/>
      <x:c r="Q10" s="7" t="str">
        <x:v>共享专家 TP</x:v>
      </x:c>
      <x:c r="R10" s="14" t="n">
        <x:v>16</x:v>
      </x:c>
      <x:c r="S10" s="7" t="str">
        <x:v>Shared experts / layer</x:v>
      </x:c>
      <x:c r="T10" s="7" t="n">
        <x:v>2</x:v>
      </x:c>
      <x:c r="U10" s="2"/>
      <x:c r="V10" s="2"/>
      <x:c r="W10" s="2"/>
      <x:c r="X10" s="2"/>
      <x:c r="Y10" s="2"/>
      <x:c r="Z10" s="2"/>
      <x:c r="AA10" s="38" t="n">
        <x:f>IF($R$30=1,SUM(AB10:AD10)*(1)/1073741824,NA())</x:f>
        <x:v>0.0000133514404296875</x:v>
      </x:c>
      <x:c r="AB10" s="39" t="n">
        <x:f>1*ROUNDUP((7168/M10)*VLOOKUP(D10,$Q$32:$R$38,2,FALSE),0)</x:f>
        <x:v>14336</x:v>
      </x:c>
      <x:c r="AC10" s="39" t="n">
        <x:f>IF(OR(D10="MXFP4",D10="MXFP8"),1*ROUNDUP((7168/M10)/32,0),0)</x:f>
        <x:v>0</x:v>
      </x:c>
      <x:c r="AD10" s="39" t="n">
        <x:f>IF(D10="INT8",(7168/M10)*8,IF(D10="INT4",(7168/M10)*16,0))</x:f>
        <x:v>0</x:v>
      </x:c>
      <x:c r="AE10" s="39" t="n">
        <x:f>1*ROUNDUP((7168)*VLOOKUP(D10,$Q$32:$R$38,2,FALSE),0)</x:f>
        <x:v>14336</x:v>
      </x:c>
      <x:c r="AF10" s="39" t="n">
        <x:f>IF(OR(D10="MXFP4",D10="MXFP8"),1*ROUNDUP((7168)/32,0),0)</x:f>
        <x:v>0</x:v>
      </x:c>
      <x:c r="AG10" s="39" t="n">
        <x:f>IF(D10="INT8",(7168)*8,IF(D10="INT4",(7168)*16,0))</x:f>
        <x:v>0</x:v>
      </x:c>
    </x:row>
    <x:row r="11" ht="18" customHeight="1">
      <x:c r="A11" s="7" t="str">
        <x:v>Decoder common</x:v>
      </x:c>
      <x:c r="B11" s="7" t="str">
        <x:v>output_attn_res_norm.weight</x:v>
      </x:c>
      <x:c r="C11" s="7" t="str">
        <x:v>[7168]</x:v>
      </x:c>
      <x:c r="D11" s="10" t="str">
        <x:v>BF16</x:v>
      </x:c>
      <x:c r="E11" s="34" t="n">
        <x:v>1</x:v>
      </x:c>
      <x:c r="F11" s="34" t="n">
        <x:f>(7168)</x:f>
        <x:v>7168</x:v>
      </x:c>
      <x:c r="G11" s="7" t="str">
        <x:v>Replicated</x:v>
      </x:c>
      <x:c r="H11" s="7" t="str">
        <x:v>None</x:v>
      </x:c>
      <x:c r="I11" s="7" t="str">
        <x:v>否</x:v>
      </x:c>
      <x:c r="J11" s="44" t="n">
        <x:f>E11*SUM(AE11:AG11)/1073741824</x:f>
        <x:v>0.0000133514404296875</x:v>
      </x:c>
      <x:c r="K11" s="44" t="n">
        <x:f>AA11</x:f>
        <x:v>0.0000133514404296875</x:v>
      </x:c>
      <x:c r="L11" s="7" t="str">
        <x:f>IF(OR(D11="MXFP4",D11="MXFP8"),"group 32 / E8M0",IF(D11="INT8","channel / 8 B",IF(D11="INT4","channel / 16 B","")))</x:f>
      </x:c>
      <x:c r="M11" s="45" t="n">
        <x:f>1</x:f>
        <x:v>1</x:v>
      </x:c>
      <x:c r="N11" s="7" t="str">
        <x:f>"["&amp;(7168/M11)&amp;"]"</x:f>
        <x:v>[7168]</x:v>
      </x:c>
      <x:c r="O11" s="34" t="n">
        <x:f>CHOOSE($R$22+1,1)</x:f>
        <x:v>1</x:v>
      </x:c>
      <x:c r="P11" s="2"/>
      <x:c r="Q11" s="7" t="str">
        <x:v>DSA CP</x:v>
      </x:c>
      <x:c r="R11" s="15" t="n">
        <x:v>1</x:v>
      </x:c>
      <x:c r="S11" s="7" t="str">
        <x:v>MLA latent dim</x:v>
      </x:c>
      <x:c r="T11" s="7" t="n">
        <x:v>512</x:v>
      </x:c>
      <x:c r="U11" s="2"/>
      <x:c r="V11" s="2"/>
      <x:c r="W11" s="2"/>
      <x:c r="X11" s="2"/>
      <x:c r="Y11" s="2"/>
      <x:c r="Z11" s="2"/>
      <x:c r="AA11" s="38" t="n">
        <x:f>IF($R$30=1,SUM(AB11:AD11)*(1)/1073741824,NA())</x:f>
        <x:v>0.0000133514404296875</x:v>
      </x:c>
      <x:c r="AB11" s="39" t="n">
        <x:f>1*ROUNDUP((7168/M11)*VLOOKUP(D11,$Q$32:$R$38,2,FALSE),0)</x:f>
        <x:v>14336</x:v>
      </x:c>
      <x:c r="AC11" s="39" t="n">
        <x:f>IF(OR(D11="MXFP4",D11="MXFP8"),1*ROUNDUP((7168/M11)/32,0),0)</x:f>
        <x:v>0</x:v>
      </x:c>
      <x:c r="AD11" s="39" t="n">
        <x:f>IF(D11="INT8",(7168/M11)*8,IF(D11="INT4",(7168/M11)*16,0))</x:f>
        <x:v>0</x:v>
      </x:c>
      <x:c r="AE11" s="39" t="n">
        <x:f>1*ROUNDUP((7168)*VLOOKUP(D11,$Q$32:$R$38,2,FALSE),0)</x:f>
        <x:v>14336</x:v>
      </x:c>
      <x:c r="AF11" s="39" t="n">
        <x:f>IF(OR(D11="MXFP4",D11="MXFP8"),1*ROUNDUP((7168)/32,0),0)</x:f>
        <x:v>0</x:v>
      </x:c>
      <x:c r="AG11" s="39" t="n">
        <x:f>IF(D11="INT8",(7168)*8,IF(D11="INT4",(7168)*16,0))</x:f>
        <x:v>0</x:v>
      </x:c>
    </x:row>
    <x:row r="12" ht="18" customHeight="1">
      <x:c r="A12" s="7" t="str">
        <x:v>Decoder common</x:v>
      </x:c>
      <x:c r="B12" s="7" t="str">
        <x:v>output_attn_res_proj.weight</x:v>
      </x:c>
      <x:c r="C12" s="7" t="str">
        <x:v>[1,7168]</x:v>
      </x:c>
      <x:c r="D12" s="10" t="str">
        <x:v>BF16</x:v>
      </x:c>
      <x:c r="E12" s="34" t="n">
        <x:v>1</x:v>
      </x:c>
      <x:c r="F12" s="34" t="n">
        <x:f>(1)*(7168)</x:f>
        <x:v>7168</x:v>
      </x:c>
      <x:c r="G12" s="7" t="str">
        <x:v>Replicated</x:v>
      </x:c>
      <x:c r="H12" s="7" t="str">
        <x:v>None</x:v>
      </x:c>
      <x:c r="I12" s="7" t="str">
        <x:v>否</x:v>
      </x:c>
      <x:c r="J12" s="44" t="n">
        <x:f>E12*SUM(AE12:AG12)/1073741824</x:f>
        <x:v>0.0000133514404296875</x:v>
      </x:c>
      <x:c r="K12" s="44" t="n">
        <x:f>AA12</x:f>
        <x:v>0.0000133514404296875</x:v>
      </x:c>
      <x:c r="L12" s="7" t="str">
        <x:f>IF(OR(D12="MXFP4",D12="MXFP8"),"group 32 / E8M0",IF(D12="INT8","channel / 8 B",IF(D12="INT4","channel / 16 B","")))</x:f>
      </x:c>
      <x:c r="M12" s="45" t="n">
        <x:f>1</x:f>
        <x:v>1</x:v>
      </x:c>
      <x:c r="N12" s="7" t="str">
        <x:f>"["&amp;(1/M12)&amp;","&amp;(7168)&amp;"]"</x:f>
        <x:v>[1,7168]</x:v>
      </x:c>
      <x:c r="O12" s="34" t="n">
        <x:f>CHOOSE($R$22+1,1)</x:f>
        <x:v>1</x:v>
      </x:c>
      <x:c r="P12" s="2"/>
      <x:c r="Q12" s="7" t="str">
        <x:v>DCP</x:v>
      </x:c>
      <x:c r="R12" s="15" t="n">
        <x:v>1</x:v>
      </x:c>
      <x:c r="S12" s="7" t="str">
        <x:v>RoPE dim</x:v>
      </x:c>
      <x:c r="T12" s="7" t="n">
        <x:v>64</x:v>
      </x:c>
      <x:c r="U12" s="2"/>
      <x:c r="V12" s="2"/>
      <x:c r="W12" s="2"/>
      <x:c r="X12" s="2"/>
      <x:c r="Y12" s="2"/>
      <x:c r="Z12" s="2"/>
      <x:c r="AA12" s="38" t="n">
        <x:f>IF($R$30=1,SUM(AB12:AD12)*(1)/1073741824,NA())</x:f>
        <x:v>0.0000133514404296875</x:v>
      </x:c>
      <x:c r="AB12" s="39" t="n">
        <x:f>(1/M12)*ROUNDUP((7168)*VLOOKUP(D12,$Q$32:$R$38,2,FALSE),0)</x:f>
        <x:v>14336</x:v>
      </x:c>
      <x:c r="AC12" s="39" t="n">
        <x:f>IF(OR(D12="MXFP4",D12="MXFP8"),(1/M12)*ROUNDUP((7168)/32,0),0)</x:f>
        <x:v>0</x:v>
      </x:c>
      <x:c r="AD12" s="39" t="n">
        <x:f>IF(D12="INT8",(1/M12)*8,IF(D12="INT4",(1/M12)*16,0))</x:f>
        <x:v>0</x:v>
      </x:c>
      <x:c r="AE12" s="39" t="n">
        <x:f>(1)*ROUNDUP((7168)*VLOOKUP(D12,$Q$32:$R$38,2,FALSE),0)</x:f>
        <x:v>14336</x:v>
      </x:c>
      <x:c r="AF12" s="39" t="n">
        <x:f>IF(OR(D12="MXFP4",D12="MXFP8"),(1)*ROUNDUP((7168)/32,0),0)</x:f>
        <x:v>0</x:v>
      </x:c>
      <x:c r="AG12" s="39" t="n">
        <x:f>IF(D12="INT8",(1)*8,IF(D12="INT4",(1)*16,0))</x:f>
        <x:v>0</x:v>
      </x:c>
    </x:row>
    <x:row r="13" ht="18" customHeight="1">
      <x:c r="A13" s="48" t="str">
        <x:v>Dense MLP</x:v>
      </x:c>
      <x:c r="B13" s="48" t="str">
        <x:v>gate_proj.weight</x:v>
      </x:c>
      <x:c r="C13" s="48" t="str">
        <x:v>[33792,7168]</x:v>
      </x:c>
      <x:c r="D13" s="49" t="str">
        <x:v>BF16</x:v>
      </x:c>
      <x:c r="E13" s="50" t="n">
        <x:v>1</x:v>
      </x:c>
      <x:c r="F13" s="50" t="n">
        <x:f>(33792)*(7168)</x:f>
        <x:v>242221056</x:v>
      </x:c>
      <x:c r="G13" s="48" t="str">
        <x:v>Other TP</x:v>
      </x:c>
      <x:c r="H13" s="48" t="str">
        <x:v>None</x:v>
      </x:c>
      <x:c r="I13" s="48" t="str">
        <x:v>否</x:v>
      </x:c>
      <x:c r="J13" s="51" t="n">
        <x:f>E13*SUM(AE13:AG13)/1073741824</x:f>
        <x:v>0.451171875</x:v>
      </x:c>
      <x:c r="K13" s="51" t="n">
        <x:f>AA13</x:f>
        <x:v>0.0281982421875</x:v>
      </x:c>
      <x:c r="L13" s="48" t="str">
        <x:f>IF(OR(D13="MXFP4",D13="MXFP8"),"group 32 / E8M0",IF(D13="INT8","channel / 8 B",IF(D13="INT4","channel / 16 B","")))</x:f>
      </x:c>
      <x:c r="M13" s="52" t="n">
        <x:f>$R$8</x:f>
        <x:v>16</x:v>
      </x:c>
      <x:c r="N13" s="48" t="str">
        <x:f>"["&amp;(33792/M13)&amp;","&amp;(7168)&amp;"]"</x:f>
        <x:v>[2112,7168]</x:v>
      </x:c>
      <x:c r="O13" s="50" t="n">
        <x:f>CHOOSE($R$22+1,1)</x:f>
        <x:v>1</x:v>
      </x:c>
      <x:c r="P13" s="2"/>
      <x:c r="Q13" s="7" t="str">
        <x:v>MLA cache dtype</x:v>
      </x:c>
      <x:c r="R13" s="17" t="str">
        <x:v>BF16</x:v>
      </x:c>
      <x:c r="S13" s="7" t="str">
        <x:v>Indexer key dim</x:v>
      </x:c>
      <x:c r="T13" s="7" t="n">
        <x:v>0</x:v>
      </x:c>
      <x:c r="U13" s="2"/>
      <x:c r="V13" s="2"/>
      <x:c r="W13" s="2"/>
      <x:c r="X13" s="2"/>
      <x:c r="Y13" s="2"/>
      <x:c r="Z13" s="2"/>
      <x:c r="AA13" s="38" t="n">
        <x:f>IF($R$30=1,SUM(AB13:AD13)*(1)/1073741824,NA())</x:f>
        <x:v>0.0281982421875</x:v>
      </x:c>
      <x:c r="AB13" s="39" t="n">
        <x:f>(33792/M13)*ROUNDUP((7168)*VLOOKUP(D13,$Q$32:$R$38,2,FALSE),0)</x:f>
        <x:v>30277632</x:v>
      </x:c>
      <x:c r="AC13" s="39" t="n">
        <x:f>IF(OR(D13="MXFP4",D13="MXFP8"),(33792/M13)*ROUNDUP((7168)/32,0),0)</x:f>
        <x:v>0</x:v>
      </x:c>
      <x:c r="AD13" s="39" t="n">
        <x:f>IF(D13="INT8",(33792/M13)*8,IF(D13="INT4",(33792/M13)*16,0))</x:f>
        <x:v>0</x:v>
      </x:c>
      <x:c r="AE13" s="39" t="n">
        <x:f>(33792)*ROUNDUP((7168)*VLOOKUP(D13,$Q$32:$R$38,2,FALSE),0)</x:f>
        <x:v>484442112</x:v>
      </x:c>
      <x:c r="AF13" s="39" t="n">
        <x:f>IF(OR(D13="MXFP4",D13="MXFP8"),(33792)*ROUNDUP((7168)/32,0),0)</x:f>
        <x:v>0</x:v>
      </x:c>
      <x:c r="AG13" s="39" t="n">
        <x:f>IF(D13="INT8",(33792)*8,IF(D13="INT4",(33792)*16,0))</x:f>
        <x:v>0</x:v>
      </x:c>
    </x:row>
    <x:row r="14" ht="18" customHeight="1">
      <x:c r="A14" s="7" t="str">
        <x:v>Dense MLP</x:v>
      </x:c>
      <x:c r="B14" s="7" t="str">
        <x:v>up_proj.weight</x:v>
      </x:c>
      <x:c r="C14" s="7" t="str">
        <x:v>[33792,7168]</x:v>
      </x:c>
      <x:c r="D14" s="10" t="str">
        <x:v>BF16</x:v>
      </x:c>
      <x:c r="E14" s="34" t="n">
        <x:v>1</x:v>
      </x:c>
      <x:c r="F14" s="34" t="n">
        <x:f>(33792)*(7168)</x:f>
        <x:v>242221056</x:v>
      </x:c>
      <x:c r="G14" s="7" t="str">
        <x:v>Other TP</x:v>
      </x:c>
      <x:c r="H14" s="7" t="str">
        <x:v>None</x:v>
      </x:c>
      <x:c r="I14" s="7" t="str">
        <x:v>否</x:v>
      </x:c>
      <x:c r="J14" s="44" t="n">
        <x:f>E14*SUM(AE14:AG14)/1073741824</x:f>
        <x:v>0.451171875</x:v>
      </x:c>
      <x:c r="K14" s="44" t="n">
        <x:f>AA14</x:f>
        <x:v>0.0281982421875</x:v>
      </x:c>
      <x:c r="L14" s="7" t="str">
        <x:f>IF(OR(D14="MXFP4",D14="MXFP8"),"group 32 / E8M0",IF(D14="INT8","channel / 8 B",IF(D14="INT4","channel / 16 B","")))</x:f>
      </x:c>
      <x:c r="M14" s="45" t="n">
        <x:f>$R$8</x:f>
        <x:v>16</x:v>
      </x:c>
      <x:c r="N14" s="7" t="str">
        <x:f>"["&amp;(33792/M14)&amp;","&amp;(7168)&amp;"]"</x:f>
        <x:v>[2112,7168]</x:v>
      </x:c>
      <x:c r="O14" s="34" t="n">
        <x:f>CHOOSE($R$22+1,1)</x:f>
        <x:v>1</x:v>
      </x:c>
      <x:c r="P14" s="2"/>
      <x:c r="Q14" s="7" t="str">
        <x:v>Indexer cache dtype</x:v>
      </x:c>
      <x:c r="R14" s="17" t="str">
        <x:v>BF16</x:v>
      </x:c>
      <x:c r="S14" s="7" t="str">
        <x:v>Conv kernel</x:v>
      </x:c>
      <x:c r="T14" s="7" t="n">
        <x:v>4</x:v>
      </x:c>
      <x:c r="U14" s="2"/>
      <x:c r="V14" s="2"/>
      <x:c r="W14" s="2"/>
      <x:c r="X14" s="2"/>
      <x:c r="Y14" s="2"/>
      <x:c r="Z14" s="2"/>
      <x:c r="AA14" s="38" t="n">
        <x:f>IF($R$30=1,SUM(AB14:AD14)*(1)/1073741824,NA())</x:f>
        <x:v>0.0281982421875</x:v>
      </x:c>
      <x:c r="AB14" s="39" t="n">
        <x:f>(33792/M14)*ROUNDUP((7168)*VLOOKUP(D14,$Q$32:$R$38,2,FALSE),0)</x:f>
        <x:v>30277632</x:v>
      </x:c>
      <x:c r="AC14" s="39" t="n">
        <x:f>IF(OR(D14="MXFP4",D14="MXFP8"),(33792/M14)*ROUNDUP((7168)/32,0),0)</x:f>
        <x:v>0</x:v>
      </x:c>
      <x:c r="AD14" s="39" t="n">
        <x:f>IF(D14="INT8",(33792/M14)*8,IF(D14="INT4",(33792/M14)*16,0))</x:f>
        <x:v>0</x:v>
      </x:c>
      <x:c r="AE14" s="39" t="n">
        <x:f>(33792)*ROUNDUP((7168)*VLOOKUP(D14,$Q$32:$R$38,2,FALSE),0)</x:f>
        <x:v>484442112</x:v>
      </x:c>
      <x:c r="AF14" s="39" t="n">
        <x:f>IF(OR(D14="MXFP4",D14="MXFP8"),(33792)*ROUNDUP((7168)/32,0),0)</x:f>
        <x:v>0</x:v>
      </x:c>
      <x:c r="AG14" s="39" t="n">
        <x:f>IF(D14="INT8",(33792)*8,IF(D14="INT4",(33792)*16,0))</x:f>
        <x:v>0</x:v>
      </x:c>
    </x:row>
    <x:row r="15" ht="18" customHeight="1">
      <x:c r="A15" s="7" t="str">
        <x:v>Dense MLP</x:v>
      </x:c>
      <x:c r="B15" s="7" t="str">
        <x:v>down_proj.weight</x:v>
      </x:c>
      <x:c r="C15" s="7" t="str">
        <x:v>[7168,33792]</x:v>
      </x:c>
      <x:c r="D15" s="10" t="str">
        <x:v>BF16</x:v>
      </x:c>
      <x:c r="E15" s="34" t="n">
        <x:v>1</x:v>
      </x:c>
      <x:c r="F15" s="34" t="n">
        <x:f>(7168)*(33792)</x:f>
        <x:v>242221056</x:v>
      </x:c>
      <x:c r="G15" s="7" t="str">
        <x:v>Other TP</x:v>
      </x:c>
      <x:c r="H15" s="7" t="str">
        <x:v>None</x:v>
      </x:c>
      <x:c r="I15" s="7" t="str">
        <x:v>否</x:v>
      </x:c>
      <x:c r="J15" s="44" t="n">
        <x:f>E15*SUM(AE15:AG15)/1073741824</x:f>
        <x:v>0.451171875</x:v>
      </x:c>
      <x:c r="K15" s="44" t="n">
        <x:f>AA15</x:f>
        <x:v>0.0281982421875</x:v>
      </x:c>
      <x:c r="L15" s="7" t="str">
        <x:f>IF(OR(D15="MXFP4",D15="MXFP8"),"group 32 / E8M0",IF(D15="INT8","channel / 8 B",IF(D15="INT4","channel / 16 B","")))</x:f>
      </x:c>
      <x:c r="M15" s="45" t="n">
        <x:f>$R$8</x:f>
        <x:v>16</x:v>
      </x:c>
      <x:c r="N15" s="7" t="str">
        <x:f>"["&amp;(7168)&amp;","&amp;(33792/M15)&amp;"]"</x:f>
        <x:v>[7168,2112]</x:v>
      </x:c>
      <x:c r="O15" s="34" t="n">
        <x:f>CHOOSE($R$22+1,1)</x:f>
        <x:v>1</x:v>
      </x:c>
      <x:c r="P15" s="2"/>
      <x:c r="Q15" s="7" t="str">
        <x:v>Indexer scale bytes</x:v>
      </x:c>
      <x:c r="R15" s="15" t="n">
        <x:f>0</x:f>
        <x:v>0</x:v>
      </x:c>
      <x:c r="S15" s="7" t="str">
        <x:v>Cache block size</x:v>
      </x:c>
      <x:c r="T15" s="7" t="n">
        <x:f>R19</x:f>
        <x:v>128</x:v>
      </x:c>
      <x:c r="U15" s="2"/>
      <x:c r="V15" s="2"/>
      <x:c r="W15" s="2"/>
      <x:c r="X15" s="2"/>
      <x:c r="Y15" s="2"/>
      <x:c r="Z15" s="2"/>
      <x:c r="AA15" s="38" t="n">
        <x:f>IF($R$30=1,SUM(AB15:AD15)*(1)/1073741824,NA())</x:f>
        <x:v>0.0281982421875</x:v>
      </x:c>
      <x:c r="AB15" s="39" t="n">
        <x:f>(7168)*ROUNDUP((33792/M15)*VLOOKUP(D15,$Q$32:$R$38,2,FALSE),0)</x:f>
        <x:v>30277632</x:v>
      </x:c>
      <x:c r="AC15" s="39" t="n">
        <x:f>IF(OR(D15="MXFP4",D15="MXFP8"),(7168)*ROUNDUP((33792/M15)/32,0),0)</x:f>
        <x:v>0</x:v>
      </x:c>
      <x:c r="AD15" s="39" t="n">
        <x:f>IF(D15="INT8",(7168)*8,IF(D15="INT4",(7168)*16,0))</x:f>
        <x:v>0</x:v>
      </x:c>
      <x:c r="AE15" s="39" t="n">
        <x:f>(7168)*ROUNDUP((33792)*VLOOKUP(D15,$Q$32:$R$38,2,FALSE),0)</x:f>
        <x:v>484442112</x:v>
      </x:c>
      <x:c r="AF15" s="39" t="n">
        <x:f>IF(OR(D15="MXFP4",D15="MXFP8"),(7168)*ROUNDUP((33792)/32,0),0)</x:f>
        <x:v>0</x:v>
      </x:c>
      <x:c r="AG15" s="39" t="n">
        <x:f>IF(D15="INT8",(7168)*8,IF(D15="INT4",(7168)*16,0))</x:f>
        <x:v>0</x:v>
      </x:c>
    </x:row>
    <x:row r="16" ht="18" customHeight="1">
      <x:c r="A16" s="48" t="str">
        <x:v>KDA</x:v>
      </x:c>
      <x:c r="B16" s="48" t="str">
        <x:v>q_proj</x:v>
      </x:c>
      <x:c r="C16" s="48" t="str">
        <x:v>[12288,7168]</x:v>
      </x:c>
      <x:c r="D16" s="49" t="str">
        <x:v>BF16</x:v>
      </x:c>
      <x:c r="E16" s="50" t="n">
        <x:v>69</x:v>
      </x:c>
      <x:c r="F16" s="50" t="n">
        <x:f>(12288)*(7168)</x:f>
        <x:v>88080384</x:v>
      </x:c>
      <x:c r="G16" s="48" t="str">
        <x:v>KDA TP</x:v>
      </x:c>
      <x:c r="H16" s="48" t="str">
        <x:v>None</x:v>
      </x:c>
      <x:c r="I16" s="48" t="str">
        <x:v>否</x:v>
      </x:c>
      <x:c r="J16" s="51" t="n">
        <x:f>E16*SUM(AE16:AG16)/1073741824</x:f>
        <x:v>11.3203125</x:v>
      </x:c>
      <x:c r="K16" s="51" t="n">
        <x:f>AA16</x:f>
        <x:v>0.70751953125</x:v>
      </x:c>
      <x:c r="L16" s="48" t="str">
        <x:f>IF(OR(D16="MXFP4",D16="MXFP8"),"group 32 / E8M0",IF(D16="INT8","channel / 8 B",IF(D16="INT4","channel / 16 B","")))</x:f>
      </x:c>
      <x:c r="M16" s="52" t="n">
        <x:f>$R$2</x:f>
        <x:v>16</x:v>
      </x:c>
      <x:c r="N16" s="48" t="str">
        <x:f>"["&amp;(12288/M16)&amp;","&amp;(7168)&amp;"]"</x:f>
        <x:v>[768,7168]</x:v>
      </x:c>
      <x:c r="O16" s="50" t="n">
        <x:f>CHOOSE($R$22+1,69)</x:f>
        <x:v>69</x:v>
      </x:c>
      <x:c r="P16" s="2"/>
      <x:c r="Q16" s="7" t="str">
        <x:v>KDA conv bytes</x:v>
      </x:c>
      <x:c r="R16" s="14" t="n">
        <x:v>2</x:v>
      </x:c>
      <x:c r="S16" s="7" t="str">
        <x:v>单请求 token 数</x:v>
      </x:c>
      <x:c r="T16" s="7" t="n">
        <x:f>R18</x:f>
        <x:v>131072</x:v>
      </x:c>
      <x:c r="U16" s="2"/>
      <x:c r="V16" s="2"/>
      <x:c r="W16" s="2"/>
      <x:c r="X16" s="2"/>
      <x:c r="Y16" s="2"/>
      <x:c r="Z16" s="2"/>
      <x:c r="AA16" s="38" t="n">
        <x:f>IF($R$30=1,SUM(AB16:AD16)*(69)/1073741824,NA())</x:f>
        <x:v>0.70751953125</x:v>
      </x:c>
      <x:c r="AB16" s="39" t="n">
        <x:f>(12288/M16)*ROUNDUP((7168)*VLOOKUP(D16,$Q$32:$R$38,2,FALSE),0)</x:f>
        <x:v>11010048</x:v>
      </x:c>
      <x:c r="AC16" s="39" t="n">
        <x:f>IF(OR(D16="MXFP4",D16="MXFP8"),(12288/M16)*ROUNDUP((7168)/32,0),0)</x:f>
        <x:v>0</x:v>
      </x:c>
      <x:c r="AD16" s="39" t="n">
        <x:f>IF(D16="INT8",(12288/M16)*8,IF(D16="INT4",(12288/M16)*16,0))</x:f>
        <x:v>0</x:v>
      </x:c>
      <x:c r="AE16" s="39" t="n">
        <x:f>(12288)*ROUNDUP((7168)*VLOOKUP(D16,$Q$32:$R$38,2,FALSE),0)</x:f>
        <x:v>176160768</x:v>
      </x:c>
      <x:c r="AF16" s="39" t="n">
        <x:f>IF(OR(D16="MXFP4",D16="MXFP8"),(12288)*ROUNDUP((7168)/32,0),0)</x:f>
        <x:v>0</x:v>
      </x:c>
      <x:c r="AG16" s="39" t="n">
        <x:f>IF(D16="INT8",(12288)*8,IF(D16="INT4",(12288)*16,0))</x:f>
        <x:v>0</x:v>
      </x:c>
    </x:row>
    <x:row r="17" ht="18" customHeight="1">
      <x:c r="A17" s="7" t="str">
        <x:v>KDA</x:v>
      </x:c>
      <x:c r="B17" s="7" t="str">
        <x:v>k_proj</x:v>
      </x:c>
      <x:c r="C17" s="7" t="str">
        <x:v>[12288,7168]</x:v>
      </x:c>
      <x:c r="D17" s="10" t="str">
        <x:v>BF16</x:v>
      </x:c>
      <x:c r="E17" s="34" t="n">
        <x:v>69</x:v>
      </x:c>
      <x:c r="F17" s="34" t="n">
        <x:f>(12288)*(7168)</x:f>
        <x:v>88080384</x:v>
      </x:c>
      <x:c r="G17" s="7" t="str">
        <x:v>KDA TP</x:v>
      </x:c>
      <x:c r="H17" s="7" t="str">
        <x:v>None</x:v>
      </x:c>
      <x:c r="I17" s="7" t="str">
        <x:v>否</x:v>
      </x:c>
      <x:c r="J17" s="44" t="n">
        <x:f>E17*SUM(AE17:AG17)/1073741824</x:f>
        <x:v>11.3203125</x:v>
      </x:c>
      <x:c r="K17" s="44" t="n">
        <x:f>AA17</x:f>
        <x:v>0.70751953125</x:v>
      </x:c>
      <x:c r="L17" s="7" t="str">
        <x:f>IF(OR(D17="MXFP4",D17="MXFP8"),"group 32 / E8M0",IF(D17="INT8","channel / 8 B",IF(D17="INT4","channel / 16 B","")))</x:f>
      </x:c>
      <x:c r="M17" s="45" t="n">
        <x:f>$R$2</x:f>
        <x:v>16</x:v>
      </x:c>
      <x:c r="N17" s="7" t="str">
        <x:f>"["&amp;(12288/M17)&amp;","&amp;(7168)&amp;"]"</x:f>
        <x:v>[768,7168]</x:v>
      </x:c>
      <x:c r="O17" s="34" t="n">
        <x:f>CHOOSE($R$22+1,69)</x:f>
        <x:v>69</x:v>
      </x:c>
      <x:c r="P17" s="2"/>
      <x:c r="Q17" s="7" t="str">
        <x:v>KDA recurrent bytes</x:v>
      </x:c>
      <x:c r="R17" s="14" t="n">
        <x:v>4</x:v>
      </x:c>
      <x:c r="S17" s="7" t="str">
        <x:v>阶段</x:v>
      </x:c>
      <x:c r="T17" s="7" t="str">
        <x:v>Prefill</x:v>
      </x:c>
      <x:c r="U17" s="2"/>
      <x:c r="V17" s="2"/>
      <x:c r="W17" s="2"/>
      <x:c r="X17" s="2"/>
      <x:c r="Y17" s="2"/>
      <x:c r="Z17" s="2"/>
      <x:c r="AA17" s="38" t="n">
        <x:f>IF($R$30=1,SUM(AB17:AD17)*(69)/1073741824,NA())</x:f>
        <x:v>0.70751953125</x:v>
      </x:c>
      <x:c r="AB17" s="39" t="n">
        <x:f>(12288/M17)*ROUNDUP((7168)*VLOOKUP(D17,$Q$32:$R$38,2,FALSE),0)</x:f>
        <x:v>11010048</x:v>
      </x:c>
      <x:c r="AC17" s="39" t="n">
        <x:f>IF(OR(D17="MXFP4",D17="MXFP8"),(12288/M17)*ROUNDUP((7168)/32,0),0)</x:f>
        <x:v>0</x:v>
      </x:c>
      <x:c r="AD17" s="39" t="n">
        <x:f>IF(D17="INT8",(12288/M17)*8,IF(D17="INT4",(12288/M17)*16,0))</x:f>
        <x:v>0</x:v>
      </x:c>
      <x:c r="AE17" s="39" t="n">
        <x:f>(12288)*ROUNDUP((7168)*VLOOKUP(D17,$Q$32:$R$38,2,FALSE),0)</x:f>
        <x:v>176160768</x:v>
      </x:c>
      <x:c r="AF17" s="39" t="n">
        <x:f>IF(OR(D17="MXFP4",D17="MXFP8"),(12288)*ROUNDUP((7168)/32,0),0)</x:f>
        <x:v>0</x:v>
      </x:c>
      <x:c r="AG17" s="39" t="n">
        <x:f>IF(D17="INT8",(12288)*8,IF(D17="INT4",(12288)*16,0))</x:f>
        <x:v>0</x:v>
      </x:c>
    </x:row>
    <x:row r="18" ht="18" customHeight="1">
      <x:c r="A18" s="7" t="str">
        <x:v>KDA</x:v>
      </x:c>
      <x:c r="B18" s="7" t="str">
        <x:v>v_proj</x:v>
      </x:c>
      <x:c r="C18" s="7" t="str">
        <x:v>[12288,7168]</x:v>
      </x:c>
      <x:c r="D18" s="10" t="str">
        <x:v>BF16</x:v>
      </x:c>
      <x:c r="E18" s="34" t="n">
        <x:v>69</x:v>
      </x:c>
      <x:c r="F18" s="34" t="n">
        <x:f>(12288)*(7168)</x:f>
        <x:v>88080384</x:v>
      </x:c>
      <x:c r="G18" s="7" t="str">
        <x:v>KDA TP</x:v>
      </x:c>
      <x:c r="H18" s="7" t="str">
        <x:v>None</x:v>
      </x:c>
      <x:c r="I18" s="7" t="str">
        <x:v>否</x:v>
      </x:c>
      <x:c r="J18" s="44" t="n">
        <x:f>E18*SUM(AE18:AG18)/1073741824</x:f>
        <x:v>11.3203125</x:v>
      </x:c>
      <x:c r="K18" s="44" t="n">
        <x:f>AA18</x:f>
        <x:v>0.70751953125</x:v>
      </x:c>
      <x:c r="L18" s="7" t="str">
        <x:f>IF(OR(D18="MXFP4",D18="MXFP8"),"group 32 / E8M0",IF(D18="INT8","channel / 8 B",IF(D18="INT4","channel / 16 B","")))</x:f>
      </x:c>
      <x:c r="M18" s="45" t="n">
        <x:f>$R$2</x:f>
        <x:v>16</x:v>
      </x:c>
      <x:c r="N18" s="7" t="str">
        <x:f>"["&amp;(12288/M18)&amp;","&amp;(7168)&amp;"]"</x:f>
        <x:v>[768,7168]</x:v>
      </x:c>
      <x:c r="O18" s="34" t="n">
        <x:f>CHOOSE($R$22+1,69)</x:f>
        <x:v>69</x:v>
      </x:c>
      <x:c r="P18" s="2"/>
      <x:c r="Q18" s="7" t="str">
        <x:v>单请求 token 数</x:v>
      </x:c>
      <x:c r="R18" s="14" t="n">
        <x:v>131072</x:v>
      </x:c>
      <x:c r="S18" s="7" t="str">
        <x:v>ViT</x:v>
      </x:c>
      <x:c r="T18" s="7" t="str">
        <x:v>不含</x:v>
      </x:c>
      <x:c r="U18" s="2"/>
      <x:c r="V18" s="2"/>
      <x:c r="W18" s="2"/>
      <x:c r="X18" s="2"/>
      <x:c r="Y18" s="2"/>
      <x:c r="Z18" s="2"/>
      <x:c r="AA18" s="38" t="n">
        <x:f>IF($R$30=1,SUM(AB18:AD18)*(69)/1073741824,NA())</x:f>
        <x:v>0.70751953125</x:v>
      </x:c>
      <x:c r="AB18" s="39" t="n">
        <x:f>(12288/M18)*ROUNDUP((7168)*VLOOKUP(D18,$Q$32:$R$38,2,FALSE),0)</x:f>
        <x:v>11010048</x:v>
      </x:c>
      <x:c r="AC18" s="39" t="n">
        <x:f>IF(OR(D18="MXFP4",D18="MXFP8"),(12288/M18)*ROUNDUP((7168)/32,0),0)</x:f>
        <x:v>0</x:v>
      </x:c>
      <x:c r="AD18" s="39" t="n">
        <x:f>IF(D18="INT8",(12288/M18)*8,IF(D18="INT4",(12288/M18)*16,0))</x:f>
        <x:v>0</x:v>
      </x:c>
      <x:c r="AE18" s="39" t="n">
        <x:f>(12288)*ROUNDUP((7168)*VLOOKUP(D18,$Q$32:$R$38,2,FALSE),0)</x:f>
        <x:v>176160768</x:v>
      </x:c>
      <x:c r="AF18" s="39" t="n">
        <x:f>IF(OR(D18="MXFP4",D18="MXFP8"),(12288)*ROUNDUP((7168)/32,0),0)</x:f>
        <x:v>0</x:v>
      </x:c>
      <x:c r="AG18" s="39" t="n">
        <x:f>IF(D18="INT8",(12288)*8,IF(D18="INT4",(12288)*16,0))</x:f>
        <x:v>0</x:v>
      </x:c>
    </x:row>
    <x:row r="19" ht="18" customHeight="1">
      <x:c r="A19" s="7" t="str">
        <x:v>KDA</x:v>
      </x:c>
      <x:c r="B19" s="7" t="str">
        <x:v>q_conv1d.weight</x:v>
      </x:c>
      <x:c r="C19" s="7" t="str">
        <x:v>[12288,1,4]</x:v>
      </x:c>
      <x:c r="D19" s="10" t="str">
        <x:v>FP32</x:v>
      </x:c>
      <x:c r="E19" s="34" t="n">
        <x:v>69</x:v>
      </x:c>
      <x:c r="F19" s="34" t="n">
        <x:f>(12288)*(1)*(4)</x:f>
        <x:v>49152</x:v>
      </x:c>
      <x:c r="G19" s="7" t="str">
        <x:v>KDA TP</x:v>
      </x:c>
      <x:c r="H19" s="7" t="str">
        <x:v>None</x:v>
      </x:c>
      <x:c r="I19" s="7" t="str">
        <x:v>否</x:v>
      </x:c>
      <x:c r="J19" s="44" t="n">
        <x:f>E19*SUM(AE19:AG19)/1073741824</x:f>
        <x:v>0.01263427734375</x:v>
      </x:c>
      <x:c r="K19" s="44" t="n">
        <x:f>AA19</x:f>
        <x:v>0.000789642333984375</x:v>
      </x:c>
      <x:c r="L19" s="7" t="str">
        <x:f>IF(OR(D19="MXFP4",D19="MXFP8"),"group 32 / E8M0",IF(D19="INT8","channel / 8 B",IF(D19="INT4","channel / 16 B","")))</x:f>
      </x:c>
      <x:c r="M19" s="45" t="n">
        <x:f>$R$2</x:f>
        <x:v>16</x:v>
      </x:c>
      <x:c r="N19" s="7" t="str">
        <x:f>"["&amp;(12288/M19)&amp;","&amp;(1)&amp;","&amp;(4)&amp;"]"</x:f>
        <x:v>[768,1,4]</x:v>
      </x:c>
      <x:c r="O19" s="34" t="n">
        <x:f>CHOOSE($R$22+1,69)</x:f>
        <x:v>69</x:v>
      </x:c>
      <x:c r="P19" s="2"/>
      <x:c r="Q19" s="7" t="str">
        <x:v>Cache block size</x:v>
      </x:c>
      <x:c r="R19" s="14" t="n">
        <x:v>128</x:v>
      </x:c>
      <x:c r="S19" s="7" t="str">
        <x:v>KDA local heads</x:v>
      </x:c>
      <x:c r="T19" s="7" t="n">
        <x:f>T4/R2</x:f>
        <x:v>6</x:v>
      </x:c>
      <x:c r="U19" s="2"/>
      <x:c r="V19" s="2"/>
      <x:c r="W19" s="2"/>
      <x:c r="X19" s="2"/>
      <x:c r="Y19" s="2"/>
      <x:c r="Z19" s="2"/>
      <x:c r="AA19" s="38" t="n">
        <x:f>IF($R$30=1,SUM(AB19:AD19)*(69)/1073741824,NA())</x:f>
        <x:v>0.000789642333984375</x:v>
      </x:c>
      <x:c r="AB19" s="39" t="n">
        <x:f>(12288/M19)*(1)*ROUNDUP((4)*VLOOKUP(D19,$Q$32:$R$38,2,FALSE),0)</x:f>
        <x:v>12288</x:v>
      </x:c>
      <x:c r="AC19" s="39" t="n">
        <x:f>IF(OR(D19="MXFP4",D19="MXFP8"),(12288/M19)*(1)*ROUNDUP((4)/32,0),0)</x:f>
        <x:v>0</x:v>
      </x:c>
      <x:c r="AD19" s="39" t="n">
        <x:f>IF(D19="INT8",(12288/M19)*8,IF(D19="INT4",(12288/M19)*16,0))</x:f>
        <x:v>0</x:v>
      </x:c>
      <x:c r="AE19" s="39" t="n">
        <x:f>(12288)*(1)*ROUNDUP((4)*VLOOKUP(D19,$Q$32:$R$38,2,FALSE),0)</x:f>
        <x:v>196608</x:v>
      </x:c>
      <x:c r="AF19" s="39" t="n">
        <x:f>IF(OR(D19="MXFP4",D19="MXFP8"),(12288)*(1)*ROUNDUP((4)/32,0),0)</x:f>
        <x:v>0</x:v>
      </x:c>
      <x:c r="AG19" s="39" t="n">
        <x:f>IF(D19="INT8",(12288)*8,IF(D19="INT4",(12288)*16,0))</x:f>
        <x:v>0</x:v>
      </x:c>
    </x:row>
    <x:row r="20" ht="18" customHeight="1">
      <x:c r="A20" s="7" t="str">
        <x:v>KDA</x:v>
      </x:c>
      <x:c r="B20" s="7" t="str">
        <x:v>k_conv1d.weight</x:v>
      </x:c>
      <x:c r="C20" s="7" t="str">
        <x:v>[12288,1,4]</x:v>
      </x:c>
      <x:c r="D20" s="10" t="str">
        <x:v>FP32</x:v>
      </x:c>
      <x:c r="E20" s="34" t="n">
        <x:v>69</x:v>
      </x:c>
      <x:c r="F20" s="34" t="n">
        <x:f>(12288)*(1)*(4)</x:f>
        <x:v>49152</x:v>
      </x:c>
      <x:c r="G20" s="7" t="str">
        <x:v>KDA TP</x:v>
      </x:c>
      <x:c r="H20" s="7" t="str">
        <x:v>None</x:v>
      </x:c>
      <x:c r="I20" s="7" t="str">
        <x:v>否</x:v>
      </x:c>
      <x:c r="J20" s="44" t="n">
        <x:f>E20*SUM(AE20:AG20)/1073741824</x:f>
        <x:v>0.01263427734375</x:v>
      </x:c>
      <x:c r="K20" s="44" t="n">
        <x:f>AA20</x:f>
        <x:v>0.000789642333984375</x:v>
      </x:c>
      <x:c r="L20" s="7" t="str">
        <x:f>IF(OR(D20="MXFP4",D20="MXFP8"),"group 32 / E8M0",IF(D20="INT8","channel / 8 B",IF(D20="INT4","channel / 16 B","")))</x:f>
      </x:c>
      <x:c r="M20" s="45" t="n">
        <x:f>$R$2</x:f>
        <x:v>16</x:v>
      </x:c>
      <x:c r="N20" s="7" t="str">
        <x:f>"["&amp;(12288/M20)&amp;","&amp;(1)&amp;","&amp;(4)&amp;"]"</x:f>
        <x:v>[768,1,4]</x:v>
      </x:c>
      <x:c r="O20" s="34" t="n">
        <x:f>CHOOSE($R$22+1,69)</x:f>
        <x:v>69</x:v>
      </x:c>
      <x:c r="P20" s="2"/>
      <x:c r="Q20" s="7" t="str">
        <x:v>Speculative tokens</x:v>
      </x:c>
      <x:c r="R20" s="14" t="n">
        <x:v>0</x:v>
      </x:c>
      <x:c r="S20" s="7" t="str">
        <x:v>Attention projection heads</x:v>
      </x:c>
      <x:c r="T20" s="7" t="n">
        <x:f>T6/R4</x:f>
        <x:v>96</x:v>
      </x:c>
      <x:c r="U20" s="2"/>
      <x:c r="V20" s="2"/>
      <x:c r="W20" s="2"/>
      <x:c r="X20" s="2"/>
      <x:c r="Y20" s="2"/>
      <x:c r="Z20" s="2"/>
      <x:c r="AA20" s="38" t="n">
        <x:f>IF($R$30=1,SUM(AB20:AD20)*(69)/1073741824,NA())</x:f>
        <x:v>0.000789642333984375</x:v>
      </x:c>
      <x:c r="AB20" s="39" t="n">
        <x:f>(12288/M20)*(1)*ROUNDUP((4)*VLOOKUP(D20,$Q$32:$R$38,2,FALSE),0)</x:f>
        <x:v>12288</x:v>
      </x:c>
      <x:c r="AC20" s="39" t="n">
        <x:f>IF(OR(D20="MXFP4",D20="MXFP8"),(12288/M20)*(1)*ROUNDUP((4)/32,0),0)</x:f>
        <x:v>0</x:v>
      </x:c>
      <x:c r="AD20" s="39" t="n">
        <x:f>IF(D20="INT8",(12288/M20)*8,IF(D20="INT4",(12288/M20)*16,0))</x:f>
        <x:v>0</x:v>
      </x:c>
      <x:c r="AE20" s="39" t="n">
        <x:f>(12288)*(1)*ROUNDUP((4)*VLOOKUP(D20,$Q$32:$R$38,2,FALSE),0)</x:f>
        <x:v>196608</x:v>
      </x:c>
      <x:c r="AF20" s="39" t="n">
        <x:f>IF(OR(D20="MXFP4",D20="MXFP8"),(12288)*(1)*ROUNDUP((4)/32,0),0)</x:f>
        <x:v>0</x:v>
      </x:c>
      <x:c r="AG20" s="39" t="n">
        <x:f>IF(D20="INT8",(12288)*8,IF(D20="INT4",(12288)*16,0))</x:f>
        <x:v>0</x:v>
      </x:c>
    </x:row>
    <x:row r="21" ht="18" customHeight="1">
      <x:c r="A21" s="7" t="str">
        <x:v>KDA</x:v>
      </x:c>
      <x:c r="B21" s="7" t="str">
        <x:v>v_conv1d.weight</x:v>
      </x:c>
      <x:c r="C21" s="7" t="str">
        <x:v>[12288,1,4]</x:v>
      </x:c>
      <x:c r="D21" s="10" t="str">
        <x:v>FP32</x:v>
      </x:c>
      <x:c r="E21" s="34" t="n">
        <x:v>69</x:v>
      </x:c>
      <x:c r="F21" s="34" t="n">
        <x:f>(12288)*(1)*(4)</x:f>
        <x:v>49152</x:v>
      </x:c>
      <x:c r="G21" s="7" t="str">
        <x:v>KDA TP</x:v>
      </x:c>
      <x:c r="H21" s="7" t="str">
        <x:v>None</x:v>
      </x:c>
      <x:c r="I21" s="7" t="str">
        <x:v>否</x:v>
      </x:c>
      <x:c r="J21" s="44" t="n">
        <x:f>E21*SUM(AE21:AG21)/1073741824</x:f>
        <x:v>0.01263427734375</x:v>
      </x:c>
      <x:c r="K21" s="44" t="n">
        <x:f>AA21</x:f>
        <x:v>0.000789642333984375</x:v>
      </x:c>
      <x:c r="L21" s="7" t="str">
        <x:f>IF(OR(D21="MXFP4",D21="MXFP8"),"group 32 / E8M0",IF(D21="INT8","channel / 8 B",IF(D21="INT4","channel / 16 B","")))</x:f>
      </x:c>
      <x:c r="M21" s="45" t="n">
        <x:f>$R$2</x:f>
        <x:v>16</x:v>
      </x:c>
      <x:c r="N21" s="7" t="str">
        <x:f>"["&amp;(12288/M21)&amp;","&amp;(1)&amp;","&amp;(4)&amp;"]"</x:f>
        <x:v>[768,1,4]</x:v>
      </x:c>
      <x:c r="O21" s="34" t="n">
        <x:f>CHOOSE($R$22+1,69)</x:f>
        <x:v>69</x:v>
      </x:c>
      <x:c r="P21" s="2"/>
      <x:c r="Q21" s="7" t="str">
        <x:v>主缓存 context 切分</x:v>
      </x:c>
      <x:c r="R21" s="15" t="n">
        <x:f>R12</x:f>
        <x:v>1</x:v>
      </x:c>
      <x:c r="S21" s="7" t="str">
        <x:v>Indexer key heads</x:v>
      </x:c>
      <x:c r="T21" s="7" t="n">
        <x:v>0</x:v>
      </x:c>
      <x:c r="U21" s="2"/>
      <x:c r="V21" s="2"/>
      <x:c r="W21" s="2"/>
      <x:c r="X21" s="2"/>
      <x:c r="Y21" s="2"/>
      <x:c r="Z21" s="2"/>
      <x:c r="AA21" s="38" t="n">
        <x:f>IF($R$30=1,SUM(AB21:AD21)*(69)/1073741824,NA())</x:f>
        <x:v>0.000789642333984375</x:v>
      </x:c>
      <x:c r="AB21" s="39" t="n">
        <x:f>(12288/M21)*(1)*ROUNDUP((4)*VLOOKUP(D21,$Q$32:$R$38,2,FALSE),0)</x:f>
        <x:v>12288</x:v>
      </x:c>
      <x:c r="AC21" s="39" t="n">
        <x:f>IF(OR(D21="MXFP4",D21="MXFP8"),(12288/M21)*(1)*ROUNDUP((4)/32,0),0)</x:f>
        <x:v>0</x:v>
      </x:c>
      <x:c r="AD21" s="39" t="n">
        <x:f>IF(D21="INT8",(12288/M21)*8,IF(D21="INT4",(12288/M21)*16,0))</x:f>
        <x:v>0</x:v>
      </x:c>
      <x:c r="AE21" s="39" t="n">
        <x:f>(12288)*(1)*ROUNDUP((4)*VLOOKUP(D21,$Q$32:$R$38,2,FALSE),0)</x:f>
        <x:v>196608</x:v>
      </x:c>
      <x:c r="AF21" s="39" t="n">
        <x:f>IF(OR(D21="MXFP4",D21="MXFP8"),(12288)*(1)*ROUNDUP((4)/32,0),0)</x:f>
        <x:v>0</x:v>
      </x:c>
      <x:c r="AG21" s="39" t="n">
        <x:f>IF(D21="INT8",(12288)*8,IF(D21="INT4",(12288)*16,0))</x:f>
        <x:v>0</x:v>
      </x:c>
    </x:row>
    <x:row r="22" ht="18" customHeight="1">
      <x:c r="A22" s="7" t="str">
        <x:v>KDA</x:v>
      </x:c>
      <x:c r="B22" s="7" t="str">
        <x:v>A_log</x:v>
      </x:c>
      <x:c r="C22" s="7" t="str">
        <x:v>[96]</x:v>
      </x:c>
      <x:c r="D22" s="10" t="str">
        <x:v>FP32</x:v>
      </x:c>
      <x:c r="E22" s="34" t="n">
        <x:v>69</x:v>
      </x:c>
      <x:c r="F22" s="34" t="n">
        <x:f>(96)</x:f>
        <x:v>96</x:v>
      </x:c>
      <x:c r="G22" s="7" t="str">
        <x:v>KDA TP</x:v>
      </x:c>
      <x:c r="H22" s="7" t="str">
        <x:v>None</x:v>
      </x:c>
      <x:c r="I22" s="7" t="str">
        <x:v>否</x:v>
      </x:c>
      <x:c r="J22" s="44" t="n">
        <x:f>E22*SUM(AE22:AG22)/1073741824</x:f>
        <x:v>0.00002467632293701172</x:v>
      </x:c>
      <x:c r="K22" s="44" t="n">
        <x:f>AA22</x:f>
        <x:v>0.0000015422701835632324</x:v>
      </x:c>
      <x:c r="L22" s="7" t="str">
        <x:f>IF(OR(D22="MXFP4",D22="MXFP8"),"group 32 / E8M0",IF(D22="INT8","channel / 8 B",IF(D22="INT4","channel / 16 B","")))</x:f>
      </x:c>
      <x:c r="M22" s="45" t="n">
        <x:f>$R$2</x:f>
        <x:v>16</x:v>
      </x:c>
      <x:c r="N22" s="7" t="str">
        <x:f>"["&amp;(96/M22)&amp;"]"</x:f>
        <x:v>[6]</x:v>
      </x:c>
      <x:c r="O22" s="34" t="n">
        <x:f>CHOOSE($R$22+1,69)</x:f>
        <x:v>69</x:v>
      </x:c>
      <x:c r="P22" s="2"/>
      <x:c r="Q22" s="8" t="str">
        <x:v>当前 PP stage</x:v>
      </x:c>
      <x:c r="R22" s="16" t="n">
        <x:v>0</x:v>
      </x:c>
      <x:c r="S22" s="8" t="str">
        <x:v>Attention compute heads</x:v>
      </x:c>
      <x:c r="T22" s="8" t="n">
        <x:f>T20*R12</x:f>
        <x:v>96</x:v>
      </x:c>
      <x:c r="U22" s="2"/>
      <x:c r="V22" s="2"/>
      <x:c r="W22" s="2"/>
      <x:c r="X22" s="2"/>
      <x:c r="Y22" s="2"/>
      <x:c r="Z22" s="2"/>
      <x:c r="AA22" s="38" t="n">
        <x:f>IF($R$30=1,SUM(AB22:AD22)*(69)/1073741824,NA())</x:f>
        <x:v>0.0000015422701835632324</x:v>
      </x:c>
      <x:c r="AB22" s="39" t="n">
        <x:f>1*ROUNDUP((96/M22)*VLOOKUP(D22,$Q$32:$R$38,2,FALSE),0)</x:f>
        <x:v>24</x:v>
      </x:c>
      <x:c r="AC22" s="39" t="n">
        <x:f>IF(OR(D22="MXFP4",D22="MXFP8"),1*ROUNDUP((96/M22)/32,0),0)</x:f>
        <x:v>0</x:v>
      </x:c>
      <x:c r="AD22" s="39" t="n">
        <x:f>IF(D22="INT8",(96/M22)*8,IF(D22="INT4",(96/M22)*16,0))</x:f>
        <x:v>0</x:v>
      </x:c>
      <x:c r="AE22" s="39" t="n">
        <x:f>1*ROUNDUP((96)*VLOOKUP(D22,$Q$32:$R$38,2,FALSE),0)</x:f>
        <x:v>384</x:v>
      </x:c>
      <x:c r="AF22" s="39" t="n">
        <x:f>IF(OR(D22="MXFP4",D22="MXFP8"),1*ROUNDUP((96)/32,0),0)</x:f>
        <x:v>0</x:v>
      </x:c>
      <x:c r="AG22" s="39" t="n">
        <x:f>IF(D22="INT8",(96)*8,IF(D22="INT4",(96)*16,0))</x:f>
        <x:v>0</x:v>
      </x:c>
    </x:row>
    <x:row r="23" ht="18" customHeight="1">
      <x:c r="A23" s="7" t="str">
        <x:v>KDA</x:v>
      </x:c>
      <x:c r="B23" s="7" t="str">
        <x:v>f_a_proj</x:v>
      </x:c>
      <x:c r="C23" s="7" t="str">
        <x:v>[128,7168]</x:v>
      </x:c>
      <x:c r="D23" s="10" t="str">
        <x:v>BF16</x:v>
      </x:c>
      <x:c r="E23" s="34" t="n">
        <x:v>69</x:v>
      </x:c>
      <x:c r="F23" s="34" t="n">
        <x:f>(128)*(7168)</x:f>
        <x:v>917504</x:v>
      </x:c>
      <x:c r="G23" s="7" t="str">
        <x:v>Replicated</x:v>
      </x:c>
      <x:c r="H23" s="7" t="str">
        <x:v>None</x:v>
      </x:c>
      <x:c r="I23" s="7" t="str">
        <x:v>否</x:v>
      </x:c>
      <x:c r="J23" s="44" t="n">
        <x:f>E23*SUM(AE23:AG23)/1073741824</x:f>
        <x:v>0.117919921875</x:v>
      </x:c>
      <x:c r="K23" s="44" t="n">
        <x:f>AA23</x:f>
        <x:v>0.117919921875</x:v>
      </x:c>
      <x:c r="L23" s="7" t="str">
        <x:f>IF(OR(D23="MXFP4",D23="MXFP8"),"group 32 / E8M0",IF(D23="INT8","channel / 8 B",IF(D23="INT4","channel / 16 B","")))</x:f>
      </x:c>
      <x:c r="M23" s="45" t="n">
        <x:f>1</x:f>
        <x:v>1</x:v>
      </x:c>
      <x:c r="N23" s="7" t="str">
        <x:f>"["&amp;(128/M23)&amp;","&amp;(7168)&amp;"]"</x:f>
        <x:v>[128,7168]</x:v>
      </x:c>
      <x:c r="O23" s="34" t="n">
        <x:f>CHOOSE($R$22+1,69)</x:f>
        <x:v>69</x:v>
      </x:c>
      <x:c r="P23" s="2"/>
      <x:c r="Q23" s="6" t="str">
        <x:v>单卡权重 GiB</x:v>
      </x:c>
      <x:c r="R23" s="27" t="n">
        <x:f>SUM(K2:K48)</x:f>
        <x:v>32.57578741759062</x:v>
      </x:c>
      <x:c r="S23" s="5" t="str">
        <x:v>组网</x:v>
      </x:c>
      <x:c r="T23" s="5" t="str">
        <x:v>值</x:v>
      </x:c>
      <x:c r="U23" s="2"/>
      <x:c r="V23" s="2"/>
      <x:c r="W23" s="2"/>
      <x:c r="X23" s="2"/>
      <x:c r="Y23" s="2"/>
      <x:c r="Z23" s="2"/>
      <x:c r="AA23" s="38" t="n">
        <x:f>IF($R$30=1,SUM(AB23:AD23)*(69)/1073741824,NA())</x:f>
        <x:v>0.117919921875</x:v>
      </x:c>
      <x:c r="AB23" s="39" t="n">
        <x:f>(128/M23)*ROUNDUP((7168)*VLOOKUP(D23,$Q$32:$R$38,2,FALSE),0)</x:f>
        <x:v>1835008</x:v>
      </x:c>
      <x:c r="AC23" s="39" t="n">
        <x:f>IF(OR(D23="MXFP4",D23="MXFP8"),(128/M23)*ROUNDUP((7168)/32,0),0)</x:f>
        <x:v>0</x:v>
      </x:c>
      <x:c r="AD23" s="39" t="n">
        <x:f>IF(D23="INT8",(128/M23)*8,IF(D23="INT4",(128/M23)*16,0))</x:f>
        <x:v>0</x:v>
      </x:c>
      <x:c r="AE23" s="39" t="n">
        <x:f>(128)*ROUNDUP((7168)*VLOOKUP(D23,$Q$32:$R$38,2,FALSE),0)</x:f>
        <x:v>1835008</x:v>
      </x:c>
      <x:c r="AF23" s="39" t="n">
        <x:f>IF(OR(D23="MXFP4",D23="MXFP8"),(128)*ROUNDUP((7168)/32,0),0)</x:f>
        <x:v>0</x:v>
      </x:c>
      <x:c r="AG23" s="39" t="n">
        <x:f>IF(D23="INT8",(128)*8,IF(D23="INT4",(128)*16,0))</x:f>
        <x:v>0</x:v>
      </x:c>
    </x:row>
    <x:row r="24" ht="18" customHeight="1">
      <x:c r="A24" s="7" t="str">
        <x:v>KDA</x:v>
      </x:c>
      <x:c r="B24" s="7" t="str">
        <x:v>f_b_proj</x:v>
      </x:c>
      <x:c r="C24" s="7" t="str">
        <x:v>[12288,128]</x:v>
      </x:c>
      <x:c r="D24" s="10" t="str">
        <x:v>BF16</x:v>
      </x:c>
      <x:c r="E24" s="34" t="n">
        <x:v>69</x:v>
      </x:c>
      <x:c r="F24" s="34" t="n">
        <x:f>(12288)*(128)</x:f>
        <x:v>1572864</x:v>
      </x:c>
      <x:c r="G24" s="7" t="str">
        <x:v>KDA TP</x:v>
      </x:c>
      <x:c r="H24" s="7" t="str">
        <x:v>None</x:v>
      </x:c>
      <x:c r="I24" s="7" t="str">
        <x:v>否</x:v>
      </x:c>
      <x:c r="J24" s="44" t="n">
        <x:f>E24*SUM(AE24:AG24)/1073741824</x:f>
        <x:v>0.2021484375</x:v>
      </x:c>
      <x:c r="K24" s="44" t="n">
        <x:f>AA24</x:f>
        <x:v>0.01263427734375</x:v>
      </x:c>
      <x:c r="L24" s="7" t="str">
        <x:f>IF(OR(D24="MXFP4",D24="MXFP8"),"group 32 / E8M0",IF(D24="INT8","channel / 8 B",IF(D24="INT4","channel / 16 B","")))</x:f>
      </x:c>
      <x:c r="M24" s="45" t="n">
        <x:f>$R$2</x:f>
        <x:v>16</x:v>
      </x:c>
      <x:c r="N24" s="7" t="str">
        <x:f>"["&amp;(12288/M24)&amp;","&amp;(128)&amp;"]"</x:f>
        <x:v>[768,128]</x:v>
      </x:c>
      <x:c r="O24" s="34" t="n">
        <x:f>CHOOSE($R$22+1,69)</x:f>
        <x:v>69</x:v>
      </x:c>
      <x:c r="P24" s="2"/>
      <x:c r="Q24" s="7" t="str">
        <x:v>权重 + cache GiB</x:v>
      </x:c>
      <x:c r="R24" s="28" t="n">
        <x:f>R23+R27</x:f>
        <x:v>35.97694431990385</x:v>
      </x:c>
      <x:c r="S24" s="6" t="str">
        <x:v>DP</x:v>
      </x:c>
      <x:c r="T24" s="6" t="n">
        <x:f>R9/R2</x:f>
        <x:v>8</x:v>
      </x:c>
      <x:c r="U24" s="2"/>
      <x:c r="V24" s="2"/>
      <x:c r="W24" s="2"/>
      <x:c r="X24" s="2"/>
      <x:c r="Y24" s="2"/>
      <x:c r="Z24" s="2"/>
      <x:c r="AA24" s="38" t="n">
        <x:f>IF($R$30=1,SUM(AB24:AD24)*(69)/1073741824,NA())</x:f>
        <x:v>0.01263427734375</x:v>
      </x:c>
      <x:c r="AB24" s="39" t="n">
        <x:f>(12288/M24)*ROUNDUP((128)*VLOOKUP(D24,$Q$32:$R$38,2,FALSE),0)</x:f>
        <x:v>196608</x:v>
      </x:c>
      <x:c r="AC24" s="39" t="n">
        <x:f>IF(OR(D24="MXFP4",D24="MXFP8"),(12288/M24)*ROUNDUP((128)/32,0),0)</x:f>
        <x:v>0</x:v>
      </x:c>
      <x:c r="AD24" s="39" t="n">
        <x:f>IF(D24="INT8",(12288/M24)*8,IF(D24="INT4",(12288/M24)*16,0))</x:f>
        <x:v>0</x:v>
      </x:c>
      <x:c r="AE24" s="39" t="n">
        <x:f>(12288)*ROUNDUP((128)*VLOOKUP(D24,$Q$32:$R$38,2,FALSE),0)</x:f>
        <x:v>3145728</x:v>
      </x:c>
      <x:c r="AF24" s="39" t="n">
        <x:f>IF(OR(D24="MXFP4",D24="MXFP8"),(12288)*ROUNDUP((128)/32,0),0)</x:f>
        <x:v>0</x:v>
      </x:c>
      <x:c r="AG24" s="39" t="n">
        <x:f>IF(D24="INT8",(12288)*8,IF(D24="INT4",(12288)*16,0))</x:f>
        <x:v>0</x:v>
      </x:c>
    </x:row>
    <x:row r="25" ht="18" customHeight="1">
      <x:c r="A25" s="7" t="str">
        <x:v>KDA</x:v>
      </x:c>
      <x:c r="B25" s="7" t="str">
        <x:v>dt_bias</x:v>
      </x:c>
      <x:c r="C25" s="7" t="str">
        <x:v>[12288]</x:v>
      </x:c>
      <x:c r="D25" s="10" t="str">
        <x:v>FP32</x:v>
      </x:c>
      <x:c r="E25" s="34" t="n">
        <x:v>69</x:v>
      </x:c>
      <x:c r="F25" s="34" t="n">
        <x:f>(12288)</x:f>
        <x:v>12288</x:v>
      </x:c>
      <x:c r="G25" s="7" t="str">
        <x:v>KDA TP</x:v>
      </x:c>
      <x:c r="H25" s="7" t="str">
        <x:v>None</x:v>
      </x:c>
      <x:c r="I25" s="7" t="str">
        <x:v>否</x:v>
      </x:c>
      <x:c r="J25" s="44" t="n">
        <x:f>E25*SUM(AE25:AG25)/1073741824</x:f>
        <x:v>0.0031585693359375</x:v>
      </x:c>
      <x:c r="K25" s="44" t="n">
        <x:f>AA25</x:f>
        <x:v>0.00019741058349609375</x:v>
      </x:c>
      <x:c r="L25" s="7" t="str">
        <x:f>IF(OR(D25="MXFP4",D25="MXFP8"),"group 32 / E8M0",IF(D25="INT8","channel / 8 B",IF(D25="INT4","channel / 16 B","")))</x:f>
      </x:c>
      <x:c r="M25" s="45" t="n">
        <x:f>$R$2</x:f>
        <x:v>16</x:v>
      </x:c>
      <x:c r="N25" s="7" t="str">
        <x:f>"["&amp;(12288/M25)&amp;"]"</x:f>
        <x:v>[768]</x:v>
      </x:c>
      <x:c r="O25" s="34" t="n">
        <x:f>CHOOSE($R$22+1,69)</x:f>
        <x:v>69</x:v>
      </x:c>
      <x:c r="P25" s="2"/>
      <x:c r="Q25" s="7" t="str">
        <x:v>o_proj buffer GiB</x:v>
      </x:c>
      <x:c r="R25" s="28" t="n">
        <x:f>SUM(R57:R58)</x:f>
        <x:v>0</x:v>
      </x:c>
      <x:c r="S25" s="7" t="str">
        <x:v>PP</x:v>
      </x:c>
      <x:c r="T25" s="7" t="n">
        <x:v>1</x:v>
      </x:c>
      <x:c r="U25" s="2"/>
      <x:c r="V25" s="2"/>
      <x:c r="W25" s="2"/>
      <x:c r="X25" s="2"/>
      <x:c r="Y25" s="2"/>
      <x:c r="Z25" s="2"/>
      <x:c r="AA25" s="38" t="n">
        <x:f>IF($R$30=1,SUM(AB25:AD25)*(69)/1073741824,NA())</x:f>
        <x:v>0.00019741058349609375</x:v>
      </x:c>
      <x:c r="AB25" s="39" t="n">
        <x:f>1*ROUNDUP((12288/M25)*VLOOKUP(D25,$Q$32:$R$38,2,FALSE),0)</x:f>
        <x:v>3072</x:v>
      </x:c>
      <x:c r="AC25" s="39" t="n">
        <x:f>IF(OR(D25="MXFP4",D25="MXFP8"),1*ROUNDUP((12288/M25)/32,0),0)</x:f>
        <x:v>0</x:v>
      </x:c>
      <x:c r="AD25" s="39" t="n">
        <x:f>IF(D25="INT8",(12288/M25)*8,IF(D25="INT4",(12288/M25)*16,0))</x:f>
        <x:v>0</x:v>
      </x:c>
      <x:c r="AE25" s="39" t="n">
        <x:f>1*ROUNDUP((12288)*VLOOKUP(D25,$Q$32:$R$38,2,FALSE),0)</x:f>
        <x:v>49152</x:v>
      </x:c>
      <x:c r="AF25" s="39" t="n">
        <x:f>IF(OR(D25="MXFP4",D25="MXFP8"),1*ROUNDUP((12288)/32,0),0)</x:f>
        <x:v>0</x:v>
      </x:c>
      <x:c r="AG25" s="39" t="n">
        <x:f>IF(D25="INT8",(12288)*8,IF(D25="INT4",(12288)*16,0))</x:f>
        <x:v>0</x:v>
      </x:c>
    </x:row>
    <x:row r="26" ht="18" customHeight="1">
      <x:c r="A26" s="7" t="str">
        <x:v>KDA</x:v>
      </x:c>
      <x:c r="B26" s="7" t="str">
        <x:v>b_proj</x:v>
      </x:c>
      <x:c r="C26" s="7" t="str">
        <x:v>[96,7168]</x:v>
      </x:c>
      <x:c r="D26" s="10" t="str">
        <x:v>BF16</x:v>
      </x:c>
      <x:c r="E26" s="34" t="n">
        <x:v>69</x:v>
      </x:c>
      <x:c r="F26" s="34" t="n">
        <x:f>(96)*(7168)</x:f>
        <x:v>688128</x:v>
      </x:c>
      <x:c r="G26" s="7" t="str">
        <x:v>KDA TP</x:v>
      </x:c>
      <x:c r="H26" s="7" t="str">
        <x:v>None</x:v>
      </x:c>
      <x:c r="I26" s="7" t="str">
        <x:v>否</x:v>
      </x:c>
      <x:c r="J26" s="44" t="n">
        <x:f>E26*SUM(AE26:AG26)/1073741824</x:f>
        <x:v>0.08843994140625</x:v>
      </x:c>
      <x:c r="K26" s="44" t="n">
        <x:f>AA26</x:f>
        <x:v>0.005527496337890625</x:v>
      </x:c>
      <x:c r="L26" s="7" t="str">
        <x:f>IF(OR(D26="MXFP4",D26="MXFP8"),"group 32 / E8M0",IF(D26="INT8","channel / 8 B",IF(D26="INT4","channel / 16 B","")))</x:f>
      </x:c>
      <x:c r="M26" s="45" t="n">
        <x:f>$R$2</x:f>
        <x:v>16</x:v>
      </x:c>
      <x:c r="N26" s="7" t="str">
        <x:f>"["&amp;(96/M26)&amp;","&amp;(7168)&amp;"]"</x:f>
        <x:v>[6,7168]</x:v>
      </x:c>
      <x:c r="O26" s="34" t="n">
        <x:f>CHOOSE($R$22+1,69)</x:f>
        <x:v>69</x:v>
      </x:c>
      <x:c r="P26" s="2"/>
      <x:c r="Q26" s="7" t="str">
        <x:v>总参数量 T</x:v>
      </x:c>
      <x:c r="R26" s="28" t="n">
        <x:f>SUMPRODUCT(E2:E48,F2:F48)/1000000000000</x:f>
        <x:v>2.779484476</x:v>
      </x:c>
      <x:c r="S26" s="7" t="str">
        <x:v>EP / stage</x:v>
      </x:c>
      <x:c r="T26" s="7" t="n">
        <x:f>R9</x:f>
        <x:v>128</x:v>
      </x:c>
      <x:c r="U26" s="2"/>
      <x:c r="V26" s="2"/>
      <x:c r="W26" s="2"/>
      <x:c r="X26" s="2"/>
      <x:c r="Y26" s="2"/>
      <x:c r="Z26" s="2"/>
      <x:c r="AA26" s="38" t="n">
        <x:f>IF($R$30=1,SUM(AB26:AD26)*(69)/1073741824,NA())</x:f>
        <x:v>0.005527496337890625</x:v>
      </x:c>
      <x:c r="AB26" s="39" t="n">
        <x:f>(96/M26)*ROUNDUP((7168)*VLOOKUP(D26,$Q$32:$R$38,2,FALSE),0)</x:f>
        <x:v>86016</x:v>
      </x:c>
      <x:c r="AC26" s="39" t="n">
        <x:f>IF(OR(D26="MXFP4",D26="MXFP8"),(96/M26)*ROUNDUP((7168)/32,0),0)</x:f>
        <x:v>0</x:v>
      </x:c>
      <x:c r="AD26" s="39" t="n">
        <x:f>IF(D26="INT8",(96/M26)*8,IF(D26="INT4",(96/M26)*16,0))</x:f>
        <x:v>0</x:v>
      </x:c>
      <x:c r="AE26" s="39" t="n">
        <x:f>(96)*ROUNDUP((7168)*VLOOKUP(D26,$Q$32:$R$38,2,FALSE),0)</x:f>
        <x:v>1376256</x:v>
      </x:c>
      <x:c r="AF26" s="39" t="n">
        <x:f>IF(OR(D26="MXFP4",D26="MXFP8"),(96)*ROUNDUP((7168)/32,0),0)</x:f>
        <x:v>0</x:v>
      </x:c>
      <x:c r="AG26" s="39" t="n">
        <x:f>IF(D26="INT8",(96)*8,IF(D26="INT4",(96)*16,0))</x:f>
        <x:v>0</x:v>
      </x:c>
    </x:row>
    <x:row r="27" ht="18" customHeight="1">
      <x:c r="A27" s="7" t="str">
        <x:v>KDA</x:v>
      </x:c>
      <x:c r="B27" s="7" t="str">
        <x:v>g_proj</x:v>
      </x:c>
      <x:c r="C27" s="7" t="str">
        <x:v>[12288,7168]</x:v>
      </x:c>
      <x:c r="D27" s="10" t="str">
        <x:v>BF16</x:v>
      </x:c>
      <x:c r="E27" s="34" t="n">
        <x:v>69</x:v>
      </x:c>
      <x:c r="F27" s="34" t="n">
        <x:f>(12288)*(7168)</x:f>
        <x:v>88080384</x:v>
      </x:c>
      <x:c r="G27" s="7" t="str">
        <x:v>KDA TP</x:v>
      </x:c>
      <x:c r="H27" s="7" t="str">
        <x:v>None</x:v>
      </x:c>
      <x:c r="I27" s="7" t="str">
        <x:v>否</x:v>
      </x:c>
      <x:c r="J27" s="44" t="n">
        <x:f>E27*SUM(AE27:AG27)/1073741824</x:f>
        <x:v>11.3203125</x:v>
      </x:c>
      <x:c r="K27" s="44" t="n">
        <x:f>AA27</x:f>
        <x:v>0.70751953125</x:v>
      </x:c>
      <x:c r="L27" s="7" t="str">
        <x:f>IF(OR(D27="MXFP4",D27="MXFP8"),"group 32 / E8M0",IF(D27="INT8","channel / 8 B",IF(D27="INT4","channel / 16 B","")))</x:f>
      </x:c>
      <x:c r="M27" s="45" t="n">
        <x:f>$R$2</x:f>
        <x:v>16</x:v>
      </x:c>
      <x:c r="N27" s="7" t="str">
        <x:f>"["&amp;(12288/M27)&amp;","&amp;(7168)&amp;"]"</x:f>
        <x:v>[768,7168]</x:v>
      </x:c>
      <x:c r="O27" s="34" t="n">
        <x:f>CHOOSE($R$22+1,69)</x:f>
        <x:v>69</x:v>
      </x:c>
      <x:c r="P27" s="2"/>
      <x:c r="Q27" s="7" t="str">
        <x:v>单请求 cache GiB</x:v>
      </x:c>
      <x:c r="R27" s="28" t="n">
        <x:f>X63</x:f>
        <x:v>3.4011569023132324</x:v>
      </x:c>
      <x:c r="S27" s="7" t="str">
        <x:v>总设备数</x:v>
      </x:c>
      <x:c r="T27" s="7" t="n">
        <x:f>R9*T25</x:f>
        <x:v>128</x:v>
      </x:c>
      <x:c r="U27" s="2"/>
      <x:c r="V27" s="2"/>
      <x:c r="W27" s="2"/>
      <x:c r="X27" s="2"/>
      <x:c r="Y27" s="2"/>
      <x:c r="Z27" s="2"/>
      <x:c r="AA27" s="38" t="n">
        <x:f>IF($R$30=1,SUM(AB27:AD27)*(69)/1073741824,NA())</x:f>
        <x:v>0.70751953125</x:v>
      </x:c>
      <x:c r="AB27" s="39" t="n">
        <x:f>(12288/M27)*ROUNDUP((7168)*VLOOKUP(D27,$Q$32:$R$38,2,FALSE),0)</x:f>
        <x:v>11010048</x:v>
      </x:c>
      <x:c r="AC27" s="39" t="n">
        <x:f>IF(OR(D27="MXFP4",D27="MXFP8"),(12288/M27)*ROUNDUP((7168)/32,0),0)</x:f>
        <x:v>0</x:v>
      </x:c>
      <x:c r="AD27" s="39" t="n">
        <x:f>IF(D27="INT8",(12288/M27)*8,IF(D27="INT4",(12288/M27)*16,0))</x:f>
        <x:v>0</x:v>
      </x:c>
      <x:c r="AE27" s="39" t="n">
        <x:f>(12288)*ROUNDUP((7168)*VLOOKUP(D27,$Q$32:$R$38,2,FALSE),0)</x:f>
        <x:v>176160768</x:v>
      </x:c>
      <x:c r="AF27" s="39" t="n">
        <x:f>IF(OR(D27="MXFP4",D27="MXFP8"),(12288)*ROUNDUP((7168)/32,0),0)</x:f>
        <x:v>0</x:v>
      </x:c>
      <x:c r="AG27" s="39" t="n">
        <x:f>IF(D27="INT8",(12288)*8,IF(D27="INT4",(12288)*16,0))</x:f>
        <x:v>0</x:v>
      </x:c>
    </x:row>
    <x:row r="28" ht="18" customHeight="1">
      <x:c r="A28" s="7" t="str">
        <x:v>KDA</x:v>
      </x:c>
      <x:c r="B28" s="7" t="str">
        <x:v>o_norm.weight</x:v>
      </x:c>
      <x:c r="C28" s="7" t="str">
        <x:v>[128]</x:v>
      </x:c>
      <x:c r="D28" s="10" t="str">
        <x:v>BF16</x:v>
      </x:c>
      <x:c r="E28" s="34" t="n">
        <x:v>69</x:v>
      </x:c>
      <x:c r="F28" s="34" t="n">
        <x:f>(128)</x:f>
        <x:v>128</x:v>
      </x:c>
      <x:c r="G28" s="7" t="str">
        <x:v>Replicated</x:v>
      </x:c>
      <x:c r="H28" s="7" t="str">
        <x:v>None</x:v>
      </x:c>
      <x:c r="I28" s="7" t="str">
        <x:v>否</x:v>
      </x:c>
      <x:c r="J28" s="44" t="n">
        <x:f>E28*SUM(AE28:AG28)/1073741824</x:f>
        <x:v>0.000016450881958007812</x:v>
      </x:c>
      <x:c r="K28" s="44" t="n">
        <x:f>AA28</x:f>
        <x:v>0.000016450881958007812</x:v>
      </x:c>
      <x:c r="L28" s="7" t="str">
        <x:f>IF(OR(D28="MXFP4",D28="MXFP8"),"group 32 / E8M0",IF(D28="INT8","channel / 8 B",IF(D28="INT4","channel / 16 B","")))</x:f>
      </x:c>
      <x:c r="M28" s="45" t="n">
        <x:f>1</x:f>
        <x:v>1</x:v>
      </x:c>
      <x:c r="N28" s="7" t="str">
        <x:f>"["&amp;(128/M28)&amp;"]"</x:f>
        <x:v>[128]</x:v>
      </x:c>
      <x:c r="O28" s="34" t="n">
        <x:f>CHOOSE($R$22+1,69)</x:f>
        <x:v>69</x:v>
      </x:c>
      <x:c r="P28" s="2"/>
      <x:c r="Q28" s="7" t="str">
        <x:v>权重 + cache + buffer GiB</x:v>
      </x:c>
      <x:c r="R28" s="28" t="n">
        <x:f>R23+R27+R25</x:f>
        <x:v>35.97694431990385</x:v>
      </x:c>
      <x:c r="S28" s="8" t="str">
        <x:v>DCP</x:v>
      </x:c>
      <x:c r="T28" s="8" t="n">
        <x:f>R12</x:f>
        <x:v>1</x:v>
      </x:c>
      <x:c r="U28" s="2"/>
      <x:c r="V28" s="2"/>
      <x:c r="W28" s="2"/>
      <x:c r="X28" s="2"/>
      <x:c r="Y28" s="2"/>
      <x:c r="Z28" s="2"/>
      <x:c r="AA28" s="38" t="n">
        <x:f>IF($R$30=1,SUM(AB28:AD28)*(69)/1073741824,NA())</x:f>
        <x:v>0.000016450881958007812</x:v>
      </x:c>
      <x:c r="AB28" s="39" t="n">
        <x:f>1*ROUNDUP((128/M28)*VLOOKUP(D28,$Q$32:$R$38,2,FALSE),0)</x:f>
        <x:v>256</x:v>
      </x:c>
      <x:c r="AC28" s="39" t="n">
        <x:f>IF(OR(D28="MXFP4",D28="MXFP8"),1*ROUNDUP((128/M28)/32,0),0)</x:f>
        <x:v>0</x:v>
      </x:c>
      <x:c r="AD28" s="39" t="n">
        <x:f>IF(D28="INT8",(128/M28)*8,IF(D28="INT4",(128/M28)*16,0))</x:f>
        <x:v>0</x:v>
      </x:c>
      <x:c r="AE28" s="39" t="n">
        <x:f>1*ROUNDUP((128)*VLOOKUP(D28,$Q$32:$R$38,2,FALSE),0)</x:f>
        <x:v>256</x:v>
      </x:c>
      <x:c r="AF28" s="39" t="n">
        <x:f>IF(OR(D28="MXFP4",D28="MXFP8"),1*ROUNDUP((128)/32,0),0)</x:f>
        <x:v>0</x:v>
      </x:c>
      <x:c r="AG28" s="39" t="n">
        <x:f>IF(D28="INT8",(128)*8,IF(D28="INT4",(128)*16,0))</x:f>
        <x:v>0</x:v>
      </x:c>
    </x:row>
    <x:row r="29" ht="18" customHeight="1">
      <x:c r="A29" s="7" t="str">
        <x:v>KDA</x:v>
      </x:c>
      <x:c r="B29" s="7" t="str">
        <x:v>o_proj</x:v>
      </x:c>
      <x:c r="C29" s="7" t="str">
        <x:v>[7168,12288]</x:v>
      </x:c>
      <x:c r="D29" s="10" t="str">
        <x:v>BF16</x:v>
      </x:c>
      <x:c r="E29" s="34" t="n">
        <x:v>69</x:v>
      </x:c>
      <x:c r="F29" s="34" t="n">
        <x:f>(7168)*(12288)</x:f>
        <x:v>88080384</x:v>
      </x:c>
      <x:c r="G29" s="7" t="str">
        <x:v>KDA O TP</x:v>
      </x:c>
      <x:c r="H29" s="7" t="str">
        <x:v>None</x:v>
      </x:c>
      <x:c r="I29" s="7" t="str">
        <x:v>否</x:v>
      </x:c>
      <x:c r="J29" s="44" t="n">
        <x:f>E29*SUM(AE29:AG29)/1073741824</x:f>
        <x:v>11.3203125</x:v>
      </x:c>
      <x:c r="K29" s="44" t="n">
        <x:f>AA29</x:f>
        <x:v>0.70751953125</x:v>
      </x:c>
      <x:c r="L29" s="7" t="str">
        <x:f>IF(OR(D29="MXFP4",D29="MXFP8"),"group 32 / E8M0",IF(D29="INT8","channel / 8 B",IF(D29="INT4","channel / 16 B","")))</x:f>
      </x:c>
      <x:c r="M29" s="45" t="n">
        <x:f>$R$3</x:f>
        <x:v>16</x:v>
      </x:c>
      <x:c r="N29" s="7" t="str">
        <x:f>"["&amp;(7168)&amp;","&amp;(12288/M29)&amp;"]"</x:f>
        <x:v>[7168,768]</x:v>
      </x:c>
      <x:c r="O29" s="34" t="n">
        <x:f>CHOOSE($R$22+1,69)</x:f>
        <x:v>69</x:v>
      </x:c>
      <x:c r="P29" s="2"/>
      <x:c r="Q29" s="8" t="str">
        <x:v>本页 token 数</x:v>
      </x:c>
      <x:c r="R29" s="8" t="n">
        <x:f>R18</x:f>
        <x:v>131072</x:v>
      </x:c>
      <x:c r="S29" s="2"/>
      <x:c r="T29" s="2"/>
      <x:c r="U29" s="2"/>
      <x:c r="V29" s="2"/>
      <x:c r="W29" s="2"/>
      <x:c r="X29" s="2"/>
      <x:c r="Y29" s="2"/>
      <x:c r="Z29" s="2"/>
      <x:c r="AA29" s="38" t="n">
        <x:f>IF($R$30=1,SUM(AB29:AD29)*(69)/1073741824,NA())</x:f>
        <x:v>0.70751953125</x:v>
      </x:c>
      <x:c r="AB29" s="39" t="n">
        <x:f>(7168)*ROUNDUP((12288/M29)*VLOOKUP(D29,$Q$32:$R$38,2,FALSE),0)</x:f>
        <x:v>11010048</x:v>
      </x:c>
      <x:c r="AC29" s="39" t="n">
        <x:f>IF(OR(D29="MXFP4",D29="MXFP8"),(7168)*ROUNDUP((12288/M29)/32,0),0)</x:f>
        <x:v>0</x:v>
      </x:c>
      <x:c r="AD29" s="39" t="n">
        <x:f>IF(D29="INT8",(7168)*8,IF(D29="INT4",(7168)*16,0))</x:f>
        <x:v>0</x:v>
      </x:c>
      <x:c r="AE29" s="39" t="n">
        <x:f>(7168)*ROUNDUP((12288)*VLOOKUP(D29,$Q$32:$R$38,2,FALSE),0)</x:f>
        <x:v>176160768</x:v>
      </x:c>
      <x:c r="AF29" s="39" t="n">
        <x:f>IF(OR(D29="MXFP4",D29="MXFP8"),(7168)*ROUNDUP((12288)/32,0),0)</x:f>
        <x:v>0</x:v>
      </x:c>
      <x:c r="AG29" s="39" t="n">
        <x:f>IF(D29="INT8",(7168)*8,IF(D29="INT4",(7168)*16,0))</x:f>
        <x:v>0</x:v>
      </x:c>
    </x:row>
    <x:row r="30" ht="18" customHeight="1">
      <x:c r="A30" s="48" t="str">
        <x:v>Gated MLA</x:v>
      </x:c>
      <x:c r="B30" s="48" t="str">
        <x:v>q_a_proj</x:v>
      </x:c>
      <x:c r="C30" s="48" t="str">
        <x:v>[1536,7168]</x:v>
      </x:c>
      <x:c r="D30" s="49" t="str">
        <x:v>BF16</x:v>
      </x:c>
      <x:c r="E30" s="50" t="n">
        <x:v>24</x:v>
      </x:c>
      <x:c r="F30" s="50" t="n">
        <x:f>(1536)*(7168)</x:f>
        <x:v>11010048</x:v>
      </x:c>
      <x:c r="G30" s="48" t="str">
        <x:v>Replicated</x:v>
      </x:c>
      <x:c r="H30" s="48" t="str">
        <x:v>None</x:v>
      </x:c>
      <x:c r="I30" s="48" t="str">
        <x:v>否</x:v>
      </x:c>
      <x:c r="J30" s="51" t="n">
        <x:f>E30*SUM(AE30:AG30)/1073741824</x:f>
        <x:v>0.4921875</x:v>
      </x:c>
      <x:c r="K30" s="51" t="n">
        <x:f>AA30</x:f>
        <x:v>0.4921875</x:v>
      </x:c>
      <x:c r="L30" s="48" t="str">
        <x:f>IF(OR(D30="MXFP4",D30="MXFP8"),"group 32 / E8M0",IF(D30="INT8","channel / 8 B",IF(D30="INT4","channel / 16 B","")))</x:f>
      </x:c>
      <x:c r="M30" s="52" t="n">
        <x:f>1</x:f>
        <x:v>1</x:v>
      </x:c>
      <x:c r="N30" s="48" t="str">
        <x:f>"["&amp;(1536/M30)&amp;","&amp;(7168)&amp;"]"</x:f>
        <x:v>[1536,7168]</x:v>
      </x:c>
      <x:c r="O30" s="50" t="n">
        <x:f>CHOOSE($R$22+1,24)</x:f>
        <x:v>24</x:v>
      </x:c>
      <x:c r="P30" s="2"/>
      <x:c r="Q30" s="2" t="str">
        <x:v>参数校验（1=有效）</x:v>
      </x:c>
      <x:c r="R30" s="2" t="n">
        <x:f>IF(AND(AND(R2&gt;=1,R9&gt;=1,R12&gt;=1,R19&gt;=1,R18&gt;=1,R18&lt;=1048576,MOD(R9,R2)=0,MOD(T4,R2)=0,MOD(R2,R12)=0,R22&gt;=0,R22&lt;1,MOD(R22,1)=0,R20&gt;=0,MOD(R20,1)=0,R12=1,AND(R11=1,R13="BF16",R14="BF16"),R2&gt;=1,MOD(R2,1)=0,R3&gt;=1,MOD(R3,1)=0,R4&gt;=1,MOD(R4,1)=0,R5&gt;=1,MOD(R5,1)=0,R6&gt;=1,MOD(R6,1)=0,R7&gt;=1,MOD(R7,1)=0,R8&gt;=1,MOD(R8,1)=0,R9&gt;=1,MOD(R9,1)=0,R10&gt;=1,MOD(R10,1)=0,R11&gt;=1,MOD(R11,1)=0,R12&gt;=1,MOD(R12,1)=0,R16&gt;=1,MOD(R16,1)=0,R17&gt;=1,MOD(R17,1)=0,R18&gt;=1,MOD(R18,1)=0,R19&gt;=1,MOD(R19,1)=0,MOD(163840,R7)=0,MOD(163840,R6)=0,MOD(33792,R8)=0,MOD(12288,R2)=0,MOD(96,R2)=0,MOD(12288,R3)=0,MOD(18432,R4)=0,MOD(24576,R4)=0,MOD(12288,R4)=0,MOD(12288,R5)=0,MOD(6144,R10)=0)),1,0)</x:f>
        <x:v>1</x:v>
      </x:c>
      <x:c r="S30" s="2" t="str">
        <x:v>量化方案</x:v>
      </x:c>
      <x:c r="T30" s="2" t="str">
        <x:v>checkpoint</x:v>
      </x:c>
      <x:c r="U30" s="2"/>
      <x:c r="V30" s="2"/>
      <x:c r="W30" s="2"/>
      <x:c r="X30" s="2"/>
      <x:c r="Y30" s="2"/>
      <x:c r="Z30" s="2"/>
      <x:c r="AA30" s="38" t="n">
        <x:f>IF($R$30=1,SUM(AB30:AD30)*(24)/1073741824,NA())</x:f>
        <x:v>0.4921875</x:v>
      </x:c>
      <x:c r="AB30" s="39" t="n">
        <x:f>(1536/M30)*ROUNDUP((7168)*VLOOKUP(D30,$Q$32:$R$38,2,FALSE),0)</x:f>
        <x:v>22020096</x:v>
      </x:c>
      <x:c r="AC30" s="39" t="n">
        <x:f>IF(OR(D30="MXFP4",D30="MXFP8"),(1536/M30)*ROUNDUP((7168)/32,0),0)</x:f>
        <x:v>0</x:v>
      </x:c>
      <x:c r="AD30" s="39" t="n">
        <x:f>IF(D30="INT8",(1536/M30)*8,IF(D30="INT4",(1536/M30)*16,0))</x:f>
        <x:v>0</x:v>
      </x:c>
      <x:c r="AE30" s="39" t="n">
        <x:f>(1536)*ROUNDUP((7168)*VLOOKUP(D30,$Q$32:$R$38,2,FALSE),0)</x:f>
        <x:v>22020096</x:v>
      </x:c>
      <x:c r="AF30" s="39" t="n">
        <x:f>IF(OR(D30="MXFP4",D30="MXFP8"),(1536)*ROUNDUP((7168)/32,0),0)</x:f>
        <x:v>0</x:v>
      </x:c>
      <x:c r="AG30" s="39" t="n">
        <x:f>IF(D30="INT8",(1536)*8,IF(D30="INT4",(1536)*16,0))</x:f>
        <x:v>0</x:v>
      </x:c>
    </x:row>
    <x:row r="31" ht="18" customHeight="1">
      <x:c r="A31" s="7" t="str">
        <x:v>Gated MLA</x:v>
      </x:c>
      <x:c r="B31" s="7" t="str">
        <x:v>q_a_layernorm.weight</x:v>
      </x:c>
      <x:c r="C31" s="7" t="str">
        <x:v>[1536]</x:v>
      </x:c>
      <x:c r="D31" s="10" t="str">
        <x:v>BF16</x:v>
      </x:c>
      <x:c r="E31" s="34" t="n">
        <x:v>24</x:v>
      </x:c>
      <x:c r="F31" s="34" t="n">
        <x:f>(1536)</x:f>
        <x:v>1536</x:v>
      </x:c>
      <x:c r="G31" s="7" t="str">
        <x:v>Replicated</x:v>
      </x:c>
      <x:c r="H31" s="7" t="str">
        <x:v>None</x:v>
      </x:c>
      <x:c r="I31" s="7" t="str">
        <x:v>否</x:v>
      </x:c>
      <x:c r="J31" s="44" t="n">
        <x:f>E31*SUM(AE31:AG31)/1073741824</x:f>
        <x:v>0.00006866455078125</x:v>
      </x:c>
      <x:c r="K31" s="44" t="n">
        <x:f>AA31</x:f>
        <x:v>0.00006866455078125</x:v>
      </x:c>
      <x:c r="L31" s="7" t="str">
        <x:f>IF(OR(D31="MXFP4",D31="MXFP8"),"group 32 / E8M0",IF(D31="INT8","channel / 8 B",IF(D31="INT4","channel / 16 B","")))</x:f>
      </x:c>
      <x:c r="M31" s="45" t="n">
        <x:f>1</x:f>
        <x:v>1</x:v>
      </x:c>
      <x:c r="N31" s="7" t="str">
        <x:f>"["&amp;(1536/M31)&amp;"]"</x:f>
        <x:v>[1536]</x:v>
      </x:c>
      <x:c r="O31" s="34" t="n">
        <x:f>CHOOSE($R$22+1,24)</x:f>
        <x:v>24</x:v>
      </x:c>
      <x:c r="P31" s="2"/>
      <x:c r="Q31" s="5" t="str">
        <x:v>主权重类型</x:v>
      </x:c>
      <x:c r="R31" s="5" t="str">
        <x:v>主权重 bytes/元素</x:v>
      </x:c>
      <x:c r="S31" s="5" t="str">
        <x:v>Cache 单 token</x:v>
      </x:c>
      <x:c r="T31" s="5" t="str">
        <x:v>元素 bytes</x:v>
      </x:c>
      <x:c r="U31" s="5" t="str">
        <x:v>Scale bytes</x:v>
      </x:c>
      <x:c r="V31" s="5" t="str">
        <x:v>合计 bytes</x:v>
      </x:c>
      <x:c r="W31" s="2"/>
      <x:c r="X31" s="2"/>
      <x:c r="Y31" s="2"/>
      <x:c r="Z31" s="2"/>
      <x:c r="AA31" s="38" t="n">
        <x:f>IF($R$30=1,SUM(AB31:AD31)*(24)/1073741824,NA())</x:f>
        <x:v>0.00006866455078125</x:v>
      </x:c>
      <x:c r="AB31" s="39" t="n">
        <x:f>1*ROUNDUP((1536/M31)*VLOOKUP(D31,$Q$32:$R$38,2,FALSE),0)</x:f>
        <x:v>3072</x:v>
      </x:c>
      <x:c r="AC31" s="39" t="n">
        <x:f>IF(OR(D31="MXFP4",D31="MXFP8"),1*ROUNDUP((1536/M31)/32,0),0)</x:f>
        <x:v>0</x:v>
      </x:c>
      <x:c r="AD31" s="39" t="n">
        <x:f>IF(D31="INT8",(1536/M31)*8,IF(D31="INT4",(1536/M31)*16,0))</x:f>
        <x:v>0</x:v>
      </x:c>
      <x:c r="AE31" s="39" t="n">
        <x:f>1*ROUNDUP((1536)*VLOOKUP(D31,$Q$32:$R$38,2,FALSE),0)</x:f>
        <x:v>3072</x:v>
      </x:c>
      <x:c r="AF31" s="39" t="n">
        <x:f>IF(OR(D31="MXFP4",D31="MXFP8"),1*ROUNDUP((1536)/32,0),0)</x:f>
        <x:v>0</x:v>
      </x:c>
      <x:c r="AG31" s="39" t="n">
        <x:f>IF(D31="INT8",(1536)*8,IF(D31="INT4",(1536)*16,0))</x:f>
        <x:v>0</x:v>
      </x:c>
    </x:row>
    <x:row r="32" ht="18" customHeight="1">
      <x:c r="A32" s="7" t="str">
        <x:v>Gated MLA</x:v>
      </x:c>
      <x:c r="B32" s="7" t="str">
        <x:v>q_b_proj</x:v>
      </x:c>
      <x:c r="C32" s="7" t="str">
        <x:v>[18432,1536]</x:v>
      </x:c>
      <x:c r="D32" s="10" t="str">
        <x:v>BF16</x:v>
      </x:c>
      <x:c r="E32" s="34" t="n">
        <x:v>24</x:v>
      </x:c>
      <x:c r="F32" s="34" t="n">
        <x:f>(18432)*(1536)</x:f>
        <x:v>28311552</x:v>
      </x:c>
      <x:c r="G32" s="7" t="str">
        <x:v>DSA TP</x:v>
      </x:c>
      <x:c r="H32" s="7" t="str">
        <x:v>None</x:v>
      </x:c>
      <x:c r="I32" s="7" t="str">
        <x:v>否</x:v>
      </x:c>
      <x:c r="J32" s="44" t="n">
        <x:f>E32*SUM(AE32:AG32)/1073741824</x:f>
        <x:v>1.265625</x:v>
      </x:c>
      <x:c r="K32" s="44" t="n">
        <x:f>AA32</x:f>
        <x:v>1.265625</x:v>
      </x:c>
      <x:c r="L32" s="7" t="str">
        <x:f>IF(OR(D32="MXFP4",D32="MXFP8"),"group 32 / E8M0",IF(D32="INT8","channel / 8 B",IF(D32="INT4","channel / 16 B","")))</x:f>
      </x:c>
      <x:c r="M32" s="45" t="n">
        <x:f>$R$4</x:f>
        <x:v>1</x:v>
      </x:c>
      <x:c r="N32" s="7" t="str">
        <x:f>"["&amp;(18432/M32)&amp;","&amp;(1536)&amp;"]"</x:f>
        <x:v>[18432,1536]</x:v>
      </x:c>
      <x:c r="O32" s="34" t="n">
        <x:f>CHOOSE($R$22+1,24)</x:f>
        <x:v>24</x:v>
      </x:c>
      <x:c r="P32" s="2"/>
      <x:c r="Q32" s="6" t="str">
        <x:v>BF16</x:v>
      </x:c>
      <x:c r="R32" s="20" t="n">
        <x:v>2</x:v>
      </x:c>
      <x:c r="S32" s="6" t="str">
        <x:v>MLA latent</x:v>
      </x:c>
      <x:c r="T32" s="6" t="n">
        <x:f>IF(R13="BF16",2,1)</x:f>
        <x:v>2</x:v>
      </x:c>
      <x:c r="U32" s="6" t="n">
        <x:f>IF(R13="BF16",0,ROUNDUP(T11/128,0)*4)</x:f>
        <x:v>0</x:v>
      </x:c>
      <x:c r="V32" s="6" t="n">
        <x:f>T11*T32+U32</x:f>
        <x:v>1024</x:v>
      </x:c>
      <x:c r="W32" s="2"/>
      <x:c r="X32" s="2"/>
      <x:c r="Y32" s="2"/>
      <x:c r="Z32" s="2"/>
      <x:c r="AA32" s="38" t="n">
        <x:f>IF($R$30=1,SUM(AB32:AD32)*(24)/1073741824,NA())</x:f>
        <x:v>1.265625</x:v>
      </x:c>
      <x:c r="AB32" s="39" t="n">
        <x:f>(18432/M32)*ROUNDUP((1536)*VLOOKUP(D32,$Q$32:$R$38,2,FALSE),0)</x:f>
        <x:v>56623104</x:v>
      </x:c>
      <x:c r="AC32" s="39" t="n">
        <x:f>IF(OR(D32="MXFP4",D32="MXFP8"),(18432/M32)*ROUNDUP((1536)/32,0),0)</x:f>
        <x:v>0</x:v>
      </x:c>
      <x:c r="AD32" s="39" t="n">
        <x:f>IF(D32="INT8",(18432/M32)*8,IF(D32="INT4",(18432/M32)*16,0))</x:f>
        <x:v>0</x:v>
      </x:c>
      <x:c r="AE32" s="39" t="n">
        <x:f>(18432)*ROUNDUP((1536)*VLOOKUP(D32,$Q$32:$R$38,2,FALSE),0)</x:f>
        <x:v>56623104</x:v>
      </x:c>
      <x:c r="AF32" s="39" t="n">
        <x:f>IF(OR(D32="MXFP4",D32="MXFP8"),(18432)*ROUNDUP((1536)/32,0),0)</x:f>
        <x:v>0</x:v>
      </x:c>
      <x:c r="AG32" s="39" t="n">
        <x:f>IF(D32="INT8",(18432)*8,IF(D32="INT4",(18432)*16,0))</x:f>
        <x:v>0</x:v>
      </x:c>
    </x:row>
    <x:row r="33" ht="18" customHeight="1">
      <x:c r="A33" s="7" t="str">
        <x:v>Gated MLA</x:v>
      </x:c>
      <x:c r="B33" s="7" t="str">
        <x:v>kv_a_proj_with_mqa</x:v>
      </x:c>
      <x:c r="C33" s="7" t="str">
        <x:v>[576,7168]</x:v>
      </x:c>
      <x:c r="D33" s="10" t="str">
        <x:v>BF16</x:v>
      </x:c>
      <x:c r="E33" s="34" t="n">
        <x:v>24</x:v>
      </x:c>
      <x:c r="F33" s="34" t="n">
        <x:f>(576)*(7168)</x:f>
        <x:v>4128768</x:v>
      </x:c>
      <x:c r="G33" s="7" t="str">
        <x:v>Replicated</x:v>
      </x:c>
      <x:c r="H33" s="7" t="str">
        <x:v>None</x:v>
      </x:c>
      <x:c r="I33" s="7" t="str">
        <x:v>否</x:v>
      </x:c>
      <x:c r="J33" s="44" t="n">
        <x:f>E33*SUM(AE33:AG33)/1073741824</x:f>
        <x:v>0.1845703125</x:v>
      </x:c>
      <x:c r="K33" s="44" t="n">
        <x:f>AA33</x:f>
        <x:v>0.1845703125</x:v>
      </x:c>
      <x:c r="L33" s="7" t="str">
        <x:f>IF(OR(D33="MXFP4",D33="MXFP8"),"group 32 / E8M0",IF(D33="INT8","channel / 8 B",IF(D33="INT4","channel / 16 B","")))</x:f>
      </x:c>
      <x:c r="M33" s="45" t="n">
        <x:f>1</x:f>
        <x:v>1</x:v>
      </x:c>
      <x:c r="N33" s="7" t="str">
        <x:f>"["&amp;(576/M33)&amp;","&amp;(7168)&amp;"]"</x:f>
        <x:v>[576,7168]</x:v>
      </x:c>
      <x:c r="O33" s="34" t="n">
        <x:f>CHOOSE($R$22+1,24)</x:f>
        <x:v>24</x:v>
      </x:c>
      <x:c r="P33" s="2"/>
      <x:c r="Q33" s="7" t="str">
        <x:v>FP32</x:v>
      </x:c>
      <x:c r="R33" s="21" t="n">
        <x:v>4</x:v>
      </x:c>
      <x:c r="S33" s="7" t="str">
        <x:v>RoPE</x:v>
      </x:c>
      <x:c r="T33" s="7" t="n">
        <x:v>2</x:v>
      </x:c>
      <x:c r="U33" s="7" t="n">
        <x:v>0</x:v>
      </x:c>
      <x:c r="V33" s="7" t="n">
        <x:f>T12*T33</x:f>
        <x:v>128</x:v>
      </x:c>
      <x:c r="W33" s="2"/>
      <x:c r="X33" s="2"/>
      <x:c r="Y33" s="2"/>
      <x:c r="Z33" s="2"/>
      <x:c r="AA33" s="38" t="n">
        <x:f>IF($R$30=1,SUM(AB33:AD33)*(24)/1073741824,NA())</x:f>
        <x:v>0.1845703125</x:v>
      </x:c>
      <x:c r="AB33" s="39" t="n">
        <x:f>(576/M33)*ROUNDUP((7168)*VLOOKUP(D33,$Q$32:$R$38,2,FALSE),0)</x:f>
        <x:v>8257536</x:v>
      </x:c>
      <x:c r="AC33" s="39" t="n">
        <x:f>IF(OR(D33="MXFP4",D33="MXFP8"),(576/M33)*ROUNDUP((7168)/32,0),0)</x:f>
        <x:v>0</x:v>
      </x:c>
      <x:c r="AD33" s="39" t="n">
        <x:f>IF(D33="INT8",(576/M33)*8,IF(D33="INT4",(576/M33)*16,0))</x:f>
        <x:v>0</x:v>
      </x:c>
      <x:c r="AE33" s="39" t="n">
        <x:f>(576)*ROUNDUP((7168)*VLOOKUP(D33,$Q$32:$R$38,2,FALSE),0)</x:f>
        <x:v>8257536</x:v>
      </x:c>
      <x:c r="AF33" s="39" t="n">
        <x:f>IF(OR(D33="MXFP4",D33="MXFP8"),(576)*ROUNDUP((7168)/32,0),0)</x:f>
        <x:v>0</x:v>
      </x:c>
      <x:c r="AG33" s="39" t="n">
        <x:f>IF(D33="INT8",(576)*8,IF(D33="INT4",(576)*16,0))</x:f>
        <x:v>0</x:v>
      </x:c>
    </x:row>
    <x:row r="34" ht="18" customHeight="1">
      <x:c r="A34" s="7" t="str">
        <x:v>Gated MLA</x:v>
      </x:c>
      <x:c r="B34" s="7" t="str">
        <x:v>kv_a_layernorm.weight</x:v>
      </x:c>
      <x:c r="C34" s="7" t="str">
        <x:v>[512]</x:v>
      </x:c>
      <x:c r="D34" s="10" t="str">
        <x:v>BF16</x:v>
      </x:c>
      <x:c r="E34" s="34" t="n">
        <x:v>24</x:v>
      </x:c>
      <x:c r="F34" s="34" t="n">
        <x:f>(512)</x:f>
        <x:v>512</x:v>
      </x:c>
      <x:c r="G34" s="7" t="str">
        <x:v>Replicated</x:v>
      </x:c>
      <x:c r="H34" s="7" t="str">
        <x:v>None</x:v>
      </x:c>
      <x:c r="I34" s="7" t="str">
        <x:v>否</x:v>
      </x:c>
      <x:c r="J34" s="44" t="n">
        <x:f>E34*SUM(AE34:AG34)/1073741824</x:f>
        <x:v>0.00002288818359375</x:v>
      </x:c>
      <x:c r="K34" s="44" t="n">
        <x:f>AA34</x:f>
        <x:v>0.00002288818359375</x:v>
      </x:c>
      <x:c r="L34" s="7" t="str">
        <x:f>IF(OR(D34="MXFP4",D34="MXFP8"),"group 32 / E8M0",IF(D34="INT8","channel / 8 B",IF(D34="INT4","channel / 16 B","")))</x:f>
      </x:c>
      <x:c r="M34" s="45" t="n">
        <x:f>1</x:f>
        <x:v>1</x:v>
      </x:c>
      <x:c r="N34" s="7" t="str">
        <x:f>"["&amp;(512/M34)&amp;"]"</x:f>
        <x:v>[512]</x:v>
      </x:c>
      <x:c r="O34" s="34" t="n">
        <x:f>CHOOSE($R$22+1,24)</x:f>
        <x:v>24</x:v>
      </x:c>
      <x:c r="P34" s="2"/>
      <x:c r="Q34" s="7" t="str">
        <x:v>FP8</x:v>
      </x:c>
      <x:c r="R34" s="21" t="n">
        <x:v>1</x:v>
      </x:c>
      <x:c r="S34" s="7" t="str">
        <x:v>MLA 合计</x:v>
      </x:c>
      <x:c r="T34" s="7"/>
      <x:c r="U34" s="7"/>
      <x:c r="V34" s="7" t="n">
        <x:f>SUM(V32:V33)</x:f>
        <x:v>1152</x:v>
      </x:c>
      <x:c r="W34" s="2"/>
      <x:c r="X34" s="2"/>
      <x:c r="Y34" s="2"/>
      <x:c r="Z34" s="2"/>
      <x:c r="AA34" s="38" t="n">
        <x:f>IF($R$30=1,SUM(AB34:AD34)*(24)/1073741824,NA())</x:f>
        <x:v>0.00002288818359375</x:v>
      </x:c>
      <x:c r="AB34" s="39" t="n">
        <x:f>1*ROUNDUP((512/M34)*VLOOKUP(D34,$Q$32:$R$38,2,FALSE),0)</x:f>
        <x:v>1024</x:v>
      </x:c>
      <x:c r="AC34" s="39" t="n">
        <x:f>IF(OR(D34="MXFP4",D34="MXFP8"),1*ROUNDUP((512/M34)/32,0),0)</x:f>
        <x:v>0</x:v>
      </x:c>
      <x:c r="AD34" s="39" t="n">
        <x:f>IF(D34="INT8",(512/M34)*8,IF(D34="INT4",(512/M34)*16,0))</x:f>
        <x:v>0</x:v>
      </x:c>
      <x:c r="AE34" s="39" t="n">
        <x:f>1*ROUNDUP((512)*VLOOKUP(D34,$Q$32:$R$38,2,FALSE),0)</x:f>
        <x:v>1024</x:v>
      </x:c>
      <x:c r="AF34" s="39" t="n">
        <x:f>IF(OR(D34="MXFP4",D34="MXFP8"),1*ROUNDUP((512)/32,0),0)</x:f>
        <x:v>0</x:v>
      </x:c>
      <x:c r="AG34" s="39" t="n">
        <x:f>IF(D34="INT8",(512)*8,IF(D34="INT4",(512)*16,0))</x:f>
        <x:v>0</x:v>
      </x:c>
    </x:row>
    <x:row r="35" ht="18" customHeight="1">
      <x:c r="A35" s="7" t="str">
        <x:v>Gated MLA</x:v>
      </x:c>
      <x:c r="B35" s="7" t="str">
        <x:v>kv_b_proj</x:v>
      </x:c>
      <x:c r="C35" s="7" t="str">
        <x:v>[24576,512]</x:v>
      </x:c>
      <x:c r="D35" s="10" t="str">
        <x:v>BF16</x:v>
      </x:c>
      <x:c r="E35" s="34" t="n">
        <x:v>24</x:v>
      </x:c>
      <x:c r="F35" s="34" t="n">
        <x:f>(24576)*(512)</x:f>
        <x:v>12582912</x:v>
      </x:c>
      <x:c r="G35" s="7" t="str">
        <x:v>DSA TP</x:v>
      </x:c>
      <x:c r="H35" s="7" t="str">
        <x:v>None</x:v>
      </x:c>
      <x:c r="I35" s="7" t="str">
        <x:v>否</x:v>
      </x:c>
      <x:c r="J35" s="44" t="n">
        <x:f>E35*SUM(AE35:AG35)/1073741824</x:f>
        <x:v>0.5625</x:v>
      </x:c>
      <x:c r="K35" s="44" t="n">
        <x:f>AA35</x:f>
        <x:v>0.5625</x:v>
      </x:c>
      <x:c r="L35" s="7" t="str">
        <x:f>IF(OR(D35="MXFP4",D35="MXFP8"),"group 32 / E8M0",IF(D35="INT8","channel / 8 B",IF(D35="INT4","channel / 16 B","")))</x:f>
      </x:c>
      <x:c r="M35" s="45" t="n">
        <x:f>$R$4</x:f>
        <x:v>1</x:v>
      </x:c>
      <x:c r="N35" s="7" t="str">
        <x:f>"["&amp;(24576/M35)&amp;","&amp;(512)&amp;"]"</x:f>
        <x:v>[24576,512]</x:v>
      </x:c>
      <x:c r="O35" s="34" t="n">
        <x:f>CHOOSE($R$22+1,24)</x:f>
        <x:v>24</x:v>
      </x:c>
      <x:c r="P35" s="2"/>
      <x:c r="Q35" s="7" t="str">
        <x:v>MXFP4</x:v>
      </x:c>
      <x:c r="R35" s="21" t="n">
        <x:v>0.5</x:v>
      </x:c>
      <x:c r="S35" s="8" t="str">
        <x:v>Indexer</x:v>
      </x:c>
      <x:c r="T35" s="8" t="n">
        <x:f>IF(R14="BF16",2,1)</x:f>
        <x:v>2</x:v>
      </x:c>
      <x:c r="U35" s="8" t="n">
        <x:f>R15</x:f>
        <x:v>0</x:v>
      </x:c>
      <x:c r="V35" s="8" t="n">
        <x:f>T13*T35+U35</x:f>
        <x:v>0</x:v>
      </x:c>
      <x:c r="W35" s="2"/>
      <x:c r="X35" s="2"/>
      <x:c r="Y35" s="2"/>
      <x:c r="Z35" s="2"/>
      <x:c r="AA35" s="38" t="n">
        <x:f>IF($R$30=1,SUM(AB35:AD35)*(24)/1073741824,NA())</x:f>
        <x:v>0.5625</x:v>
      </x:c>
      <x:c r="AB35" s="39" t="n">
        <x:f>(24576/M35)*ROUNDUP((512)*VLOOKUP(D35,$Q$32:$R$38,2,FALSE),0)</x:f>
        <x:v>25165824</x:v>
      </x:c>
      <x:c r="AC35" s="39" t="n">
        <x:f>IF(OR(D35="MXFP4",D35="MXFP8"),(24576/M35)*ROUNDUP((512)/32,0),0)</x:f>
        <x:v>0</x:v>
      </x:c>
      <x:c r="AD35" s="39" t="n">
        <x:f>IF(D35="INT8",(24576/M35)*8,IF(D35="INT4",(24576/M35)*16,0))</x:f>
        <x:v>0</x:v>
      </x:c>
      <x:c r="AE35" s="39" t="n">
        <x:f>(24576)*ROUNDUP((512)*VLOOKUP(D35,$Q$32:$R$38,2,FALSE),0)</x:f>
        <x:v>25165824</x:v>
      </x:c>
      <x:c r="AF35" s="39" t="n">
        <x:f>IF(OR(D35="MXFP4",D35="MXFP8"),(24576)*ROUNDUP((512)/32,0),0)</x:f>
        <x:v>0</x:v>
      </x:c>
      <x:c r="AG35" s="39" t="n">
        <x:f>IF(D35="INT8",(24576)*8,IF(D35="INT4",(24576)*16,0))</x:f>
        <x:v>0</x:v>
      </x:c>
    </x:row>
    <x:row r="36" ht="18" customHeight="1">
      <x:c r="A36" s="7" t="str">
        <x:v>Gated MLA</x:v>
      </x:c>
      <x:c r="B36" s="7" t="str">
        <x:v>g_proj</x:v>
      </x:c>
      <x:c r="C36" s="7" t="str">
        <x:v>[12288,7168]</x:v>
      </x:c>
      <x:c r="D36" s="10" t="str">
        <x:v>BF16</x:v>
      </x:c>
      <x:c r="E36" s="34" t="n">
        <x:v>24</x:v>
      </x:c>
      <x:c r="F36" s="34" t="n">
        <x:f>(12288)*(7168)</x:f>
        <x:v>88080384</x:v>
      </x:c>
      <x:c r="G36" s="7" t="str">
        <x:v>DSA TP</x:v>
      </x:c>
      <x:c r="H36" s="7" t="str">
        <x:v>None</x:v>
      </x:c>
      <x:c r="I36" s="7" t="str">
        <x:v>否</x:v>
      </x:c>
      <x:c r="J36" s="44" t="n">
        <x:f>E36*SUM(AE36:AG36)/1073741824</x:f>
        <x:v>3.9375</x:v>
      </x:c>
      <x:c r="K36" s="44" t="n">
        <x:f>AA36</x:f>
        <x:v>3.9375</x:v>
      </x:c>
      <x:c r="L36" s="7" t="str">
        <x:f>IF(OR(D36="MXFP4",D36="MXFP8"),"group 32 / E8M0",IF(D36="INT8","channel / 8 B",IF(D36="INT4","channel / 16 B","")))</x:f>
      </x:c>
      <x:c r="M36" s="45" t="n">
        <x:f>$R$4</x:f>
        <x:v>1</x:v>
      </x:c>
      <x:c r="N36" s="7" t="str">
        <x:f>"["&amp;(12288/M36)&amp;","&amp;(7168)&amp;"]"</x:f>
        <x:v>[12288,7168]</x:v>
      </x:c>
      <x:c r="O36" s="34" t="n">
        <x:f>CHOOSE($R$22+1,24)</x:f>
        <x:v>24</x:v>
      </x:c>
      <x:c r="P36" s="2"/>
      <x:c r="Q36" s="7" t="str">
        <x:v>MXFP8</x:v>
      </x:c>
      <x:c r="R36" s="21" t="n">
        <x:v>1</x:v>
      </x:c>
      <x:c r="S36" s="2"/>
      <x:c r="T36" s="2"/>
      <x:c r="U36" s="2"/>
      <x:c r="V36" s="2"/>
      <x:c r="W36" s="2"/>
      <x:c r="X36" s="2"/>
      <x:c r="Y36" s="2"/>
      <x:c r="Z36" s="2"/>
      <x:c r="AA36" s="38" t="n">
        <x:f>IF($R$30=1,SUM(AB36:AD36)*(24)/1073741824,NA())</x:f>
        <x:v>3.9375</x:v>
      </x:c>
      <x:c r="AB36" s="39" t="n">
        <x:f>(12288/M36)*ROUNDUP((7168)*VLOOKUP(D36,$Q$32:$R$38,2,FALSE),0)</x:f>
        <x:v>176160768</x:v>
      </x:c>
      <x:c r="AC36" s="39" t="n">
        <x:f>IF(OR(D36="MXFP4",D36="MXFP8"),(12288/M36)*ROUNDUP((7168)/32,0),0)</x:f>
        <x:v>0</x:v>
      </x:c>
      <x:c r="AD36" s="39" t="n">
        <x:f>IF(D36="INT8",(12288/M36)*8,IF(D36="INT4",(12288/M36)*16,0))</x:f>
        <x:v>0</x:v>
      </x:c>
      <x:c r="AE36" s="39" t="n">
        <x:f>(12288)*ROUNDUP((7168)*VLOOKUP(D36,$Q$32:$R$38,2,FALSE),0)</x:f>
        <x:v>176160768</x:v>
      </x:c>
      <x:c r="AF36" s="39" t="n">
        <x:f>IF(OR(D36="MXFP4",D36="MXFP8"),(12288)*ROUNDUP((7168)/32,0),0)</x:f>
        <x:v>0</x:v>
      </x:c>
      <x:c r="AG36" s="39" t="n">
        <x:f>IF(D36="INT8",(12288)*8,IF(D36="INT4",(12288)*16,0))</x:f>
        <x:v>0</x:v>
      </x:c>
    </x:row>
    <x:row r="37" ht="18" customHeight="1">
      <x:c r="A37" s="7" t="str">
        <x:v>Gated MLA</x:v>
      </x:c>
      <x:c r="B37" s="7" t="str">
        <x:v>o_proj</x:v>
      </x:c>
      <x:c r="C37" s="7" t="str">
        <x:v>[7168,12288]</x:v>
      </x:c>
      <x:c r="D37" s="10" t="str">
        <x:v>BF16</x:v>
      </x:c>
      <x:c r="E37" s="34" t="n">
        <x:v>24</x:v>
      </x:c>
      <x:c r="F37" s="34" t="n">
        <x:f>(7168)*(12288)</x:f>
        <x:v>88080384</x:v>
      </x:c>
      <x:c r="G37" s="7" t="str">
        <x:v>DSA O TP</x:v>
      </x:c>
      <x:c r="H37" s="7" t="str">
        <x:v>None</x:v>
      </x:c>
      <x:c r="I37" s="7" t="str">
        <x:v>否</x:v>
      </x:c>
      <x:c r="J37" s="44" t="n">
        <x:f>E37*SUM(AE37:AG37)/1073741824</x:f>
        <x:v>3.9375</x:v>
      </x:c>
      <x:c r="K37" s="44" t="n">
        <x:f>AA37</x:f>
        <x:v>0.24609375</x:v>
      </x:c>
      <x:c r="L37" s="7" t="str">
        <x:f>IF(OR(D37="MXFP4",D37="MXFP8"),"group 32 / E8M0",IF(D37="INT8","channel / 8 B",IF(D37="INT4","channel / 16 B","")))</x:f>
      </x:c>
      <x:c r="M37" s="45" t="n">
        <x:f>$R$5</x:f>
        <x:v>16</x:v>
      </x:c>
      <x:c r="N37" s="7" t="str">
        <x:f>"["&amp;(7168)&amp;","&amp;(12288/M37)&amp;"]"</x:f>
        <x:v>[7168,768]</x:v>
      </x:c>
      <x:c r="O37" s="34" t="n">
        <x:f>CHOOSE($R$22+1,24)</x:f>
        <x:v>24</x:v>
      </x:c>
      <x:c r="P37" s="2"/>
      <x:c r="Q37" s="7" t="str">
        <x:v>INT4</x:v>
      </x:c>
      <x:c r="R37" s="21" t="n">
        <x:v>0.5</x:v>
      </x:c>
      <x:c r="S37" s="2"/>
      <x:c r="T37" s="2"/>
      <x:c r="U37" s="2"/>
      <x:c r="V37" s="2"/>
      <x:c r="W37" s="2"/>
      <x:c r="X37" s="2"/>
      <x:c r="Y37" s="2"/>
      <x:c r="Z37" s="2"/>
      <x:c r="AA37" s="38" t="n">
        <x:f>IF($R$30=1,SUM(AB37:AD37)*(24)/1073741824,NA())</x:f>
        <x:v>0.24609375</x:v>
      </x:c>
      <x:c r="AB37" s="39" t="n">
        <x:f>(7168)*ROUNDUP((12288/M37)*VLOOKUP(D37,$Q$32:$R$38,2,FALSE),0)</x:f>
        <x:v>11010048</x:v>
      </x:c>
      <x:c r="AC37" s="39" t="n">
        <x:f>IF(OR(D37="MXFP4",D37="MXFP8"),(7168)*ROUNDUP((12288/M37)/32,0),0)</x:f>
        <x:v>0</x:v>
      </x:c>
      <x:c r="AD37" s="39" t="n">
        <x:f>IF(D37="INT8",(7168)*8,IF(D37="INT4",(7168)*16,0))</x:f>
        <x:v>0</x:v>
      </x:c>
      <x:c r="AE37" s="39" t="n">
        <x:f>(7168)*ROUNDUP((12288)*VLOOKUP(D37,$Q$32:$R$38,2,FALSE),0)</x:f>
        <x:v>176160768</x:v>
      </x:c>
      <x:c r="AF37" s="39" t="n">
        <x:f>IF(OR(D37="MXFP4",D37="MXFP8"),(7168)*ROUNDUP((12288)/32,0),0)</x:f>
        <x:v>0</x:v>
      </x:c>
      <x:c r="AG37" s="39" t="n">
        <x:f>IF(D37="INT8",(7168)*8,IF(D37="INT4",(7168)*16,0))</x:f>
        <x:v>0</x:v>
      </x:c>
    </x:row>
    <x:row r="38" ht="18" customHeight="1">
      <x:c r="A38" s="48" t="str">
        <x:v>MoE</x:v>
      </x:c>
      <x:c r="B38" s="48" t="str">
        <x:v>router.weight</x:v>
      </x:c>
      <x:c r="C38" s="48" t="str">
        <x:v>[896,7168]</x:v>
      </x:c>
      <x:c r="D38" s="49" t="str">
        <x:v>BF16</x:v>
      </x:c>
      <x:c r="E38" s="50" t="n">
        <x:v>92</x:v>
      </x:c>
      <x:c r="F38" s="50" t="n">
        <x:f>(896)*(7168)</x:f>
        <x:v>6422528</x:v>
      </x:c>
      <x:c r="G38" s="48" t="str">
        <x:v>Replicated</x:v>
      </x:c>
      <x:c r="H38" s="48" t="str">
        <x:v>None</x:v>
      </x:c>
      <x:c r="I38" s="48" t="str">
        <x:v>否</x:v>
      </x:c>
      <x:c r="J38" s="51" t="n">
        <x:f>E38*SUM(AE38:AG38)/1073741824</x:f>
        <x:v>1.1005859375</x:v>
      </x:c>
      <x:c r="K38" s="51" t="n">
        <x:f>AA38</x:f>
        <x:v>1.1005859375</x:v>
      </x:c>
      <x:c r="L38" s="48" t="str">
        <x:f>IF(OR(D38="MXFP4",D38="MXFP8"),"group 32 / E8M0",IF(D38="INT8","channel / 8 B",IF(D38="INT4","channel / 16 B","")))</x:f>
      </x:c>
      <x:c r="M38" s="52" t="n">
        <x:f>1</x:f>
        <x:v>1</x:v>
      </x:c>
      <x:c r="N38" s="48" t="str">
        <x:f>"["&amp;(896/M38)&amp;","&amp;(7168)&amp;"]"</x:f>
        <x:v>[896,7168]</x:v>
      </x:c>
      <x:c r="O38" s="50" t="n">
        <x:f>CHOOSE($R$22+1,92)</x:f>
        <x:v>92</x:v>
      </x:c>
      <x:c r="P38" s="2"/>
      <x:c r="Q38" s="8" t="str">
        <x:v>INT8</x:v>
      </x:c>
      <x:c r="R38" s="22" t="n">
        <x:v>1</x:v>
      </x:c>
      <x:c r="S38" s="2"/>
      <x:c r="T38" s="2"/>
      <x:c r="U38" s="2"/>
      <x:c r="V38" s="2"/>
      <x:c r="W38" s="2"/>
      <x:c r="X38" s="2"/>
      <x:c r="Y38" s="2"/>
      <x:c r="Z38" s="2"/>
      <x:c r="AA38" s="38" t="n">
        <x:f>IF($R$30=1,SUM(AB38:AD38)*(92)/1073741824,NA())</x:f>
        <x:v>1.1005859375</x:v>
      </x:c>
      <x:c r="AB38" s="39" t="n">
        <x:f>(896/M38)*ROUNDUP((7168)*VLOOKUP(D38,$Q$32:$R$38,2,FALSE),0)</x:f>
        <x:v>12845056</x:v>
      </x:c>
      <x:c r="AC38" s="39" t="n">
        <x:f>IF(OR(D38="MXFP4",D38="MXFP8"),(896/M38)*ROUNDUP((7168)/32,0),0)</x:f>
        <x:v>0</x:v>
      </x:c>
      <x:c r="AD38" s="39" t="n">
        <x:f>IF(D38="INT8",(896/M38)*8,IF(D38="INT4",(896/M38)*16,0))</x:f>
        <x:v>0</x:v>
      </x:c>
      <x:c r="AE38" s="39" t="n">
        <x:f>(896)*ROUNDUP((7168)*VLOOKUP(D38,$Q$32:$R$38,2,FALSE),0)</x:f>
        <x:v>12845056</x:v>
      </x:c>
      <x:c r="AF38" s="39" t="n">
        <x:f>IF(OR(D38="MXFP4",D38="MXFP8"),(896)*ROUNDUP((7168)/32,0),0)</x:f>
        <x:v>0</x:v>
      </x:c>
      <x:c r="AG38" s="39" t="n">
        <x:f>IF(D38="INT8",(896)*8,IF(D38="INT4",(896)*16,0))</x:f>
        <x:v>0</x:v>
      </x:c>
    </x:row>
    <x:row r="39" ht="18" customHeight="1">
      <x:c r="A39" s="7" t="str">
        <x:v>MoE</x:v>
      </x:c>
      <x:c r="B39" s="7" t="str">
        <x:v>e_score_correction_bias</x:v>
      </x:c>
      <x:c r="C39" s="7" t="str">
        <x:v>[896]</x:v>
      </x:c>
      <x:c r="D39" s="10" t="str">
        <x:v>BF16</x:v>
      </x:c>
      <x:c r="E39" s="34" t="n">
        <x:v>92</x:v>
      </x:c>
      <x:c r="F39" s="34" t="n">
        <x:f>(896)</x:f>
        <x:v>896</x:v>
      </x:c>
      <x:c r="G39" s="7" t="str">
        <x:v>Replicated</x:v>
      </x:c>
      <x:c r="H39" s="7" t="str">
        <x:v>None</x:v>
      </x:c>
      <x:c r="I39" s="7" t="str">
        <x:v>否</x:v>
      </x:c>
      <x:c r="J39" s="44" t="n">
        <x:f>E39*SUM(AE39:AG39)/1073741824</x:f>
        <x:v>0.00015354156494140625</x:v>
      </x:c>
      <x:c r="K39" s="44" t="n">
        <x:f>AA39</x:f>
        <x:v>0.00015354156494140625</x:v>
      </x:c>
      <x:c r="L39" s="7" t="str">
        <x:f>IF(OR(D39="MXFP4",D39="MXFP8"),"group 32 / E8M0",IF(D39="INT8","channel / 8 B",IF(D39="INT4","channel / 16 B","")))</x:f>
      </x:c>
      <x:c r="M39" s="45" t="n">
        <x:f>1</x:f>
        <x:v>1</x:v>
      </x:c>
      <x:c r="N39" s="7" t="str">
        <x:f>"["&amp;(896/M39)&amp;"]"</x:f>
        <x:v>[896]</x:v>
      </x:c>
      <x:c r="O39" s="34" t="n">
        <x:f>CHOOSE($R$22+1,92)</x:f>
        <x:v>92</x:v>
      </x:c>
      <x:c r="P39" s="2"/>
      <x:c r="Q39" s="5" t="str">
        <x:v>结构</x:v>
      </x:c>
      <x:c r="R39" s="5" t="str">
        <x:v>单卡层数</x:v>
      </x:c>
      <x:c r="S39" s="5" t="str">
        <x:v>每层实例数</x:v>
      </x:c>
      <x:c r="T39" s="5" t="str">
        <x:v>单卡重复总数</x:v>
      </x:c>
      <x:c r="U39" s="5" t="str">
        <x:v>每实例 GiB</x:v>
      </x:c>
      <x:c r="V39" s="5" t="str">
        <x:v>单卡合计 GiB</x:v>
      </x:c>
      <x:c r="W39" s="5" t="str">
        <x:v>占权重比例</x:v>
      </x:c>
      <x:c r="X39" s="5" t="str">
        <x:v>组成</x:v>
      </x:c>
      <x:c r="Y39" s="2"/>
      <x:c r="Z39" s="2"/>
      <x:c r="AA39" s="38" t="n">
        <x:f>IF($R$30=1,SUM(AB39:AD39)*(92)/1073741824,NA())</x:f>
        <x:v>0.00015354156494140625</x:v>
      </x:c>
      <x:c r="AB39" s="39" t="n">
        <x:f>1*ROUNDUP((896/M39)*VLOOKUP(D39,$Q$32:$R$38,2,FALSE),0)</x:f>
        <x:v>1792</x:v>
      </x:c>
      <x:c r="AC39" s="39" t="n">
        <x:f>IF(OR(D39="MXFP4",D39="MXFP8"),1*ROUNDUP((896/M39)/32,0),0)</x:f>
        <x:v>0</x:v>
      </x:c>
      <x:c r="AD39" s="39" t="n">
        <x:f>IF(D39="INT8",(896/M39)*8,IF(D39="INT4",(896/M39)*16,0))</x:f>
        <x:v>0</x:v>
      </x:c>
      <x:c r="AE39" s="39" t="n">
        <x:f>1*ROUNDUP((896)*VLOOKUP(D39,$Q$32:$R$38,2,FALSE),0)</x:f>
        <x:v>1792</x:v>
      </x:c>
      <x:c r="AF39" s="39" t="n">
        <x:f>IF(OR(D39="MXFP4",D39="MXFP8"),1*ROUNDUP((896)/32,0),0)</x:f>
        <x:v>0</x:v>
      </x:c>
      <x:c r="AG39" s="39" t="n">
        <x:f>IF(D39="INT8",(896)*8,IF(D39="INT4",(896)*16,0))</x:f>
        <x:v>0</x:v>
      </x:c>
    </x:row>
    <x:row r="40" ht="18" customHeight="1">
      <x:c r="A40" s="7" t="str">
        <x:v>MoE</x:v>
      </x:c>
      <x:c r="B40" s="7" t="str">
        <x:v>routed_expert_down_proj</x:v>
      </x:c>
      <x:c r="C40" s="7" t="str">
        <x:v>[3584,7168]</x:v>
      </x:c>
      <x:c r="D40" s="10" t="str">
        <x:v>BF16</x:v>
      </x:c>
      <x:c r="E40" s="34" t="n">
        <x:v>92</x:v>
      </x:c>
      <x:c r="F40" s="34" t="n">
        <x:f>(3584)*(7168)</x:f>
        <x:v>25690112</x:v>
      </x:c>
      <x:c r="G40" s="7" t="str">
        <x:v>Replicated</x:v>
      </x:c>
      <x:c r="H40" s="7" t="str">
        <x:v>None</x:v>
      </x:c>
      <x:c r="I40" s="7" t="str">
        <x:v>否</x:v>
      </x:c>
      <x:c r="J40" s="44" t="n">
        <x:f>E40*SUM(AE40:AG40)/1073741824</x:f>
        <x:v>4.40234375</x:v>
      </x:c>
      <x:c r="K40" s="44" t="n">
        <x:f>AA40</x:f>
        <x:v>4.40234375</x:v>
      </x:c>
      <x:c r="L40" s="7" t="str">
        <x:f>IF(OR(D40="MXFP4",D40="MXFP8"),"group 32 / E8M0",IF(D40="INT8","channel / 8 B",IF(D40="INT4","channel / 16 B","")))</x:f>
      </x:c>
      <x:c r="M40" s="45" t="n">
        <x:f>1</x:f>
        <x:v>1</x:v>
      </x:c>
      <x:c r="N40" s="7" t="str">
        <x:f>"["&amp;(3584/M40)&amp;","&amp;(7168)&amp;"]"</x:f>
        <x:v>[3584,7168]</x:v>
      </x:c>
      <x:c r="O40" s="34" t="n">
        <x:f>CHOOSE($R$22+1,92)</x:f>
        <x:v>92</x:v>
      </x:c>
      <x:c r="P40" s="2"/>
      <x:c r="Q40" s="6" t="str">
        <x:v>embedding</x:v>
      </x:c>
      <x:c r="R40" s="6" t="n">
        <x:f>CHOOSE($R$22+1,1)</x:f>
        <x:v>1</x:v>
      </x:c>
      <x:c r="S40" s="6" t="n">
        <x:f>1</x:f>
        <x:v>1</x:v>
      </x:c>
      <x:c r="T40" s="6" t="n">
        <x:f>R40*S40</x:f>
        <x:v>1</x:v>
      </x:c>
      <x:c r="U40" s="27" t="n">
        <x:f>IF(T40=0,0,V40/T40)</x:f>
        <x:v>0.13671875</x:v>
      </x:c>
      <x:c r="V40" s="27" t="n">
        <x:f>SUM(K2)</x:f>
        <x:v>0.13671875</x:v>
      </x:c>
      <x:c r="W40" s="30" t="n">
        <x:f>V40/$R$23</x:f>
        <x:v>0.004196943829703812</x:v>
      </x:c>
      <x:c r="X40" s="6" t="str"/>
      <x:c r="Y40" s="2"/>
      <x:c r="Z40" s="2"/>
      <x:c r="AA40" s="38" t="n">
        <x:f>IF($R$30=1,SUM(AB40:AD40)*(92)/1073741824,NA())</x:f>
        <x:v>4.40234375</x:v>
      </x:c>
      <x:c r="AB40" s="39" t="n">
        <x:f>(3584/M40)*ROUNDUP((7168)*VLOOKUP(D40,$Q$32:$R$38,2,FALSE),0)</x:f>
        <x:v>51380224</x:v>
      </x:c>
      <x:c r="AC40" s="39" t="n">
        <x:f>IF(OR(D40="MXFP4",D40="MXFP8"),(3584/M40)*ROUNDUP((7168)/32,0),0)</x:f>
        <x:v>0</x:v>
      </x:c>
      <x:c r="AD40" s="39" t="n">
        <x:f>IF(D40="INT8",(3584/M40)*8,IF(D40="INT4",(3584/M40)*16,0))</x:f>
        <x:v>0</x:v>
      </x:c>
      <x:c r="AE40" s="39" t="n">
        <x:f>(3584)*ROUNDUP((7168)*VLOOKUP(D40,$Q$32:$R$38,2,FALSE),0)</x:f>
        <x:v>51380224</x:v>
      </x:c>
      <x:c r="AF40" s="39" t="n">
        <x:f>IF(OR(D40="MXFP4",D40="MXFP8"),(3584)*ROUNDUP((7168)/32,0),0)</x:f>
        <x:v>0</x:v>
      </x:c>
      <x:c r="AG40" s="39" t="n">
        <x:f>IF(D40="INT8",(3584)*8,IF(D40="INT4",(3584)*16,0))</x:f>
        <x:v>0</x:v>
      </x:c>
    </x:row>
    <x:row r="41" ht="18" customHeight="1">
      <x:c r="A41" s="7" t="str">
        <x:v>MoE</x:v>
      </x:c>
      <x:c r="B41" s="7" t="str">
        <x:v>routed_expert_norm.weight</x:v>
      </x:c>
      <x:c r="C41" s="7" t="str">
        <x:v>[3584]</x:v>
      </x:c>
      <x:c r="D41" s="10" t="str">
        <x:v>BF16</x:v>
      </x:c>
      <x:c r="E41" s="34" t="n">
        <x:v>92</x:v>
      </x:c>
      <x:c r="F41" s="34" t="n">
        <x:f>(3584)</x:f>
        <x:v>3584</x:v>
      </x:c>
      <x:c r="G41" s="7" t="str">
        <x:v>Replicated</x:v>
      </x:c>
      <x:c r="H41" s="7" t="str">
        <x:v>None</x:v>
      </x:c>
      <x:c r="I41" s="7" t="str">
        <x:v>否</x:v>
      </x:c>
      <x:c r="J41" s="44" t="n">
        <x:f>E41*SUM(AE41:AG41)/1073741824</x:f>
        <x:v>0.000614166259765625</x:v>
      </x:c>
      <x:c r="K41" s="44" t="n">
        <x:f>AA41</x:f>
        <x:v>0.000614166259765625</x:v>
      </x:c>
      <x:c r="L41" s="7" t="str">
        <x:f>IF(OR(D41="MXFP4",D41="MXFP8"),"group 32 / E8M0",IF(D41="INT8","channel / 8 B",IF(D41="INT4","channel / 16 B","")))</x:f>
      </x:c>
      <x:c r="M41" s="45" t="n">
        <x:f>1</x:f>
        <x:v>1</x:v>
      </x:c>
      <x:c r="N41" s="7" t="str">
        <x:f>"["&amp;(3584/M41)&amp;"]"</x:f>
        <x:v>[3584]</x:v>
      </x:c>
      <x:c r="O41" s="34" t="n">
        <x:f>CHOOSE($R$22+1,92)</x:f>
        <x:v>92</x:v>
      </x:c>
      <x:c r="P41" s="2"/>
      <x:c r="Q41" s="7" t="str">
        <x:v>lm_head</x:v>
      </x:c>
      <x:c r="R41" s="7" t="n">
        <x:f>CHOOSE($R$22+1,1)</x:f>
        <x:v>1</x:v>
      </x:c>
      <x:c r="S41" s="7" t="n">
        <x:f>1</x:f>
        <x:v>1</x:v>
      </x:c>
      <x:c r="T41" s="7" t="n">
        <x:f>R41*S41</x:f>
        <x:v>1</x:v>
      </x:c>
      <x:c r="U41" s="28" t="n">
        <x:f>IF(T41=0,0,V41/T41)</x:f>
        <x:v>0.13671875</x:v>
      </x:c>
      <x:c r="V41" s="28" t="n">
        <x:f>SUM(K3)</x:f>
        <x:v>0.13671875</x:v>
      </x:c>
      <x:c r="W41" s="31" t="n">
        <x:f>V41/$R$23</x:f>
        <x:v>0.004196943829703812</x:v>
      </x:c>
      <x:c r="X41" s="7" t="str"/>
      <x:c r="Y41" s="2"/>
      <x:c r="Z41" s="2"/>
      <x:c r="AA41" s="38" t="n">
        <x:f>IF($R$30=1,SUM(AB41:AD41)*(92)/1073741824,NA())</x:f>
        <x:v>0.000614166259765625</x:v>
      </x:c>
      <x:c r="AB41" s="39" t="n">
        <x:f>1*ROUNDUP((3584/M41)*VLOOKUP(D41,$Q$32:$R$38,2,FALSE),0)</x:f>
        <x:v>7168</x:v>
      </x:c>
      <x:c r="AC41" s="39" t="n">
        <x:f>IF(OR(D41="MXFP4",D41="MXFP8"),1*ROUNDUP((3584/M41)/32,0),0)</x:f>
        <x:v>0</x:v>
      </x:c>
      <x:c r="AD41" s="39" t="n">
        <x:f>IF(D41="INT8",(3584/M41)*8,IF(D41="INT4",(3584/M41)*16,0))</x:f>
        <x:v>0</x:v>
      </x:c>
      <x:c r="AE41" s="39" t="n">
        <x:f>1*ROUNDUP((3584)*VLOOKUP(D41,$Q$32:$R$38,2,FALSE),0)</x:f>
        <x:v>7168</x:v>
      </x:c>
      <x:c r="AF41" s="39" t="n">
        <x:f>IF(OR(D41="MXFP4",D41="MXFP8"),1*ROUNDUP((3584)/32,0),0)</x:f>
        <x:v>0</x:v>
      </x:c>
      <x:c r="AG41" s="39" t="n">
        <x:f>IF(D41="INT8",(3584)*8,IF(D41="INT4",(3584)*16,0))</x:f>
        <x:v>0</x:v>
      </x:c>
    </x:row>
    <x:row r="42" ht="18" customHeight="1">
      <x:c r="A42" s="7" t="str">
        <x:v>MoE</x:v>
      </x:c>
      <x:c r="B42" s="7" t="str">
        <x:v>routed_expert_up_proj</x:v>
      </x:c>
      <x:c r="C42" s="7" t="str">
        <x:v>[7168,3584]</x:v>
      </x:c>
      <x:c r="D42" s="10" t="str">
        <x:v>BF16</x:v>
      </x:c>
      <x:c r="E42" s="34" t="n">
        <x:v>92</x:v>
      </x:c>
      <x:c r="F42" s="34" t="n">
        <x:f>(7168)*(3584)</x:f>
        <x:v>25690112</x:v>
      </x:c>
      <x:c r="G42" s="7" t="str">
        <x:v>Replicated</x:v>
      </x:c>
      <x:c r="H42" s="7" t="str">
        <x:v>None</x:v>
      </x:c>
      <x:c r="I42" s="7" t="str">
        <x:v>否</x:v>
      </x:c>
      <x:c r="J42" s="44" t="n">
        <x:f>E42*SUM(AE42:AG42)/1073741824</x:f>
        <x:v>4.40234375</x:v>
      </x:c>
      <x:c r="K42" s="44" t="n">
        <x:f>AA42</x:f>
        <x:v>4.40234375</x:v>
      </x:c>
      <x:c r="L42" s="7" t="str">
        <x:f>IF(OR(D42="MXFP4",D42="MXFP8"),"group 32 / E8M0",IF(D42="INT8","channel / 8 B",IF(D42="INT4","channel / 16 B","")))</x:f>
      </x:c>
      <x:c r="M42" s="45" t="n">
        <x:f>1</x:f>
        <x:v>1</x:v>
      </x:c>
      <x:c r="N42" s="7" t="str">
        <x:f>"["&amp;(7168/M42)&amp;","&amp;(3584)&amp;"]"</x:f>
        <x:v>[7168,3584]</x:v>
      </x:c>
      <x:c r="O42" s="34" t="n">
        <x:f>CHOOSE($R$22+1,92)</x:f>
        <x:v>92</x:v>
      </x:c>
      <x:c r="P42" s="2"/>
      <x:c r="Q42" s="7" t="str">
        <x:v>Decoder norms / residual</x:v>
      </x:c>
      <x:c r="R42" s="7" t="n">
        <x:f>CHOOSE($R$22+1,93)</x:f>
        <x:v>93</x:v>
      </x:c>
      <x:c r="S42" s="7" t="n">
        <x:f>1</x:f>
        <x:v>1</x:v>
      </x:c>
      <x:c r="T42" s="7" t="n">
        <x:f>R42*S42</x:f>
        <x:v>93</x:v>
      </x:c>
      <x:c r="U42" s="28" t="n">
        <x:f>IF(T42=0,0,V42/T42)</x:f>
        <x:v>0.000080108642578125</x:v>
      </x:c>
      <x:c r="V42" s="28" t="n">
        <x:f>SUM(K4,K5,K6,K7,K8,K9)</x:f>
        <x:v>0.007450103759765625</x:v>
      </x:c>
      <x:c r="W42" s="31" t="n">
        <x:f>V42/$R$23</x:f>
        <x:v>0.00022870065009518816</x:v>
      </x:c>
      <x:c r="X42" s="7" t="str"/>
      <x:c r="Y42" s="2"/>
      <x:c r="Z42" s="2"/>
      <x:c r="AA42" s="38" t="n">
        <x:f>IF($R$30=1,SUM(AB42:AD42)*(92)/1073741824,NA())</x:f>
        <x:v>4.40234375</x:v>
      </x:c>
      <x:c r="AB42" s="39" t="n">
        <x:f>(7168/M42)*ROUNDUP((3584)*VLOOKUP(D42,$Q$32:$R$38,2,FALSE),0)</x:f>
        <x:v>51380224</x:v>
      </x:c>
      <x:c r="AC42" s="39" t="n">
        <x:f>IF(OR(D42="MXFP4",D42="MXFP8"),(7168/M42)*ROUNDUP((3584)/32,0),0)</x:f>
        <x:v>0</x:v>
      </x:c>
      <x:c r="AD42" s="39" t="n">
        <x:f>IF(D42="INT8",(7168/M42)*8,IF(D42="INT4",(7168/M42)*16,0))</x:f>
        <x:v>0</x:v>
      </x:c>
      <x:c r="AE42" s="39" t="n">
        <x:f>(7168)*ROUNDUP((3584)*VLOOKUP(D42,$Q$32:$R$38,2,FALSE),0)</x:f>
        <x:v>51380224</x:v>
      </x:c>
      <x:c r="AF42" s="39" t="n">
        <x:f>IF(OR(D42="MXFP4",D42="MXFP8"),(7168)*ROUNDUP((3584)/32,0),0)</x:f>
        <x:v>0</x:v>
      </x:c>
      <x:c r="AG42" s="39" t="n">
        <x:f>IF(D42="INT8",(7168)*8,IF(D42="INT4",(7168)*16,0))</x:f>
        <x:v>0</x:v>
      </x:c>
    </x:row>
    <x:row r="43" ht="18" customHeight="1">
      <x:c r="A43" s="7" t="str">
        <x:v>MoE</x:v>
      </x:c>
      <x:c r="B43" s="7" t="str">
        <x:v>experts.*.w1</x:v>
      </x:c>
      <x:c r="C43" s="7" t="str">
        <x:v>[3072,3584]</x:v>
      </x:c>
      <x:c r="D43" s="10" t="str">
        <x:v>MXFP4</x:v>
      </x:c>
      <x:c r="E43" s="34" t="n">
        <x:v>82432</x:v>
      </x:c>
      <x:c r="F43" s="34" t="n">
        <x:f>(3072)*(3584)</x:f>
        <x:v>11010048</x:v>
      </x:c>
      <x:c r="G43" s="7" t="str">
        <x:v>EP</x:v>
      </x:c>
      <x:c r="H43" s="7" t="str">
        <x:v>EP</x:v>
      </x:c>
      <x:c r="I43" s="7" t="str">
        <x:v>否</x:v>
      </x:c>
      <x:c r="J43" s="44" t="n">
        <x:f>E43*SUM(AE43:AG43)/1073741824</x:f>
        <x:v>449.0390625</x:v>
      </x:c>
      <x:c r="K43" s="44" t="n">
        <x:f>AA43</x:f>
        <x:v>3.50811767578125</x:v>
      </x:c>
      <x:c r="L43" s="7" t="str">
        <x:f>IF(OR(D43="MXFP4",D43="MXFP8"),"group 32 / E8M0",IF(D43="INT8","channel / 8 B",IF(D43="INT4","channel / 16 B","")))</x:f>
        <x:v>group 32 / E8M0</x:v>
      </x:c>
      <x:c r="M43" s="45" t="n">
        <x:f>1</x:f>
        <x:v>1</x:v>
      </x:c>
      <x:c r="N43" s="7" t="str">
        <x:f>"["&amp;(3072/M43)&amp;","&amp;(3584)&amp;"]"</x:f>
        <x:v>[3072,3584]</x:v>
      </x:c>
      <x:c r="O43" s="34" t="n">
        <x:f>CHOOSE($R$22+1,92*ROUNDUP(896/$R$9,0))</x:f>
        <x:v>644</x:v>
      </x:c>
      <x:c r="P43" s="2"/>
      <x:c r="Q43" s="7" t="str">
        <x:v>Final norm / residual</x:v>
      </x:c>
      <x:c r="R43" s="7" t="n">
        <x:f>CHOOSE($R$22+1,1)</x:f>
        <x:v>1</x:v>
      </x:c>
      <x:c r="S43" s="7" t="n">
        <x:f>1</x:f>
        <x:v>1</x:v>
      </x:c>
      <x:c r="T43" s="7" t="n">
        <x:f>R43*S43</x:f>
        <x:v>1</x:v>
      </x:c>
      <x:c r="U43" s="28" t="n">
        <x:f>IF(T43=0,0,V43/T43)</x:f>
        <x:v>0.0000400543212890625</x:v>
      </x:c>
      <x:c r="V43" s="28" t="n">
        <x:f>SUM(K10,K11,K12)</x:f>
        <x:v>0.0000400543212890625</x:v>
      </x:c>
      <x:c r="W43" s="31" t="n">
        <x:f>V43/$R$23</x:f>
        <x:v>0.0000012295733876085385</x:v>
      </x:c>
      <x:c r="X43" s="7" t="str"/>
      <x:c r="Y43" s="2"/>
      <x:c r="Z43" s="2"/>
      <x:c r="AA43" s="38" t="n">
        <x:f>IF($R$30=1,SUM(AB43:AD43)*(92*ROUNDUP(896/$R$9,0))/1073741824,NA())</x:f>
        <x:v>3.50811767578125</x:v>
      </x:c>
      <x:c r="AB43" s="39" t="n">
        <x:f>(3072/M43)*ROUNDUP((3584)*VLOOKUP(D43,$Q$32:$R$38,2,FALSE),0)</x:f>
        <x:v>5505024</x:v>
      </x:c>
      <x:c r="AC43" s="39" t="n">
        <x:f>IF(OR(D43="MXFP4",D43="MXFP8"),(3072/M43)*ROUNDUP((3584)/32,0),0)</x:f>
        <x:v>344064</x:v>
      </x:c>
      <x:c r="AD43" s="39" t="n">
        <x:f>IF(D43="INT8",(3072/M43)*8,IF(D43="INT4",(3072/M43)*16,0))</x:f>
        <x:v>0</x:v>
      </x:c>
      <x:c r="AE43" s="39" t="n">
        <x:f>(3072)*ROUNDUP((3584)*VLOOKUP(D43,$Q$32:$R$38,2,FALSE),0)</x:f>
        <x:v>5505024</x:v>
      </x:c>
      <x:c r="AF43" s="39" t="n">
        <x:f>IF(OR(D43="MXFP4",D43="MXFP8"),(3072)*ROUNDUP((3584)/32,0),0)</x:f>
        <x:v>344064</x:v>
      </x:c>
      <x:c r="AG43" s="39" t="n">
        <x:f>IF(D43="INT8",(3072)*8,IF(D43="INT4",(3072)*16,0))</x:f>
        <x:v>0</x:v>
      </x:c>
    </x:row>
    <x:row r="44" ht="18" customHeight="1">
      <x:c r="A44" s="7" t="str">
        <x:v>MoE</x:v>
      </x:c>
      <x:c r="B44" s="7" t="str">
        <x:v>experts.*.w3</x:v>
      </x:c>
      <x:c r="C44" s="7" t="str">
        <x:v>[3072,3584]</x:v>
      </x:c>
      <x:c r="D44" s="10" t="str">
        <x:v>MXFP4</x:v>
      </x:c>
      <x:c r="E44" s="34" t="n">
        <x:v>82432</x:v>
      </x:c>
      <x:c r="F44" s="34" t="n">
        <x:f>(3072)*(3584)</x:f>
        <x:v>11010048</x:v>
      </x:c>
      <x:c r="G44" s="7" t="str">
        <x:v>EP</x:v>
      </x:c>
      <x:c r="H44" s="7" t="str">
        <x:v>EP</x:v>
      </x:c>
      <x:c r="I44" s="7" t="str">
        <x:v>否</x:v>
      </x:c>
      <x:c r="J44" s="44" t="n">
        <x:f>E44*SUM(AE44:AG44)/1073741824</x:f>
        <x:v>449.0390625</x:v>
      </x:c>
      <x:c r="K44" s="44" t="n">
        <x:f>AA44</x:f>
        <x:v>3.50811767578125</x:v>
      </x:c>
      <x:c r="L44" s="7" t="str">
        <x:f>IF(OR(D44="MXFP4",D44="MXFP8"),"group 32 / E8M0",IF(D44="INT8","channel / 8 B",IF(D44="INT4","channel / 16 B","")))</x:f>
        <x:v>group 32 / E8M0</x:v>
      </x:c>
      <x:c r="M44" s="45" t="n">
        <x:f>1</x:f>
        <x:v>1</x:v>
      </x:c>
      <x:c r="N44" s="7" t="str">
        <x:f>"["&amp;(3072/M44)&amp;","&amp;(3584)&amp;"]"</x:f>
        <x:v>[3072,3584]</x:v>
      </x:c>
      <x:c r="O44" s="34" t="n">
        <x:f>CHOOSE($R$22+1,92*ROUNDUP(896/$R$9,0))</x:f>
        <x:v>644</x:v>
      </x:c>
      <x:c r="P44" s="2"/>
      <x:c r="Q44" s="7" t="str">
        <x:v>Dense MLP</x:v>
      </x:c>
      <x:c r="R44" s="7" t="n">
        <x:f>CHOOSE($R$22+1,1)</x:f>
        <x:v>1</x:v>
      </x:c>
      <x:c r="S44" s="7" t="n">
        <x:f>1</x:f>
        <x:v>1</x:v>
      </x:c>
      <x:c r="T44" s="7" t="n">
        <x:f>R44*S44</x:f>
        <x:v>1</x:v>
      </x:c>
      <x:c r="U44" s="28" t="n">
        <x:f>IF(T44=0,0,V44/T44)</x:f>
        <x:v>0.0845947265625</x:v>
      </x:c>
      <x:c r="V44" s="28" t="n">
        <x:f>SUM(K13,K14,K15)</x:f>
        <x:v>0.0845947265625</x:v>
      </x:c>
      <x:c r="W44" s="31" t="n">
        <x:f>V44/$R$23</x:f>
        <x:v>0.002596858994629233</x:v>
      </x:c>
      <x:c r="X44" s="7" t="str"/>
      <x:c r="Y44" s="2"/>
      <x:c r="Z44" s="2"/>
      <x:c r="AA44" s="38" t="n">
        <x:f>IF($R$30=1,SUM(AB44:AD44)*(92*ROUNDUP(896/$R$9,0))/1073741824,NA())</x:f>
        <x:v>3.50811767578125</x:v>
      </x:c>
      <x:c r="AB44" s="39" t="n">
        <x:f>(3072/M44)*ROUNDUP((3584)*VLOOKUP(D44,$Q$32:$R$38,2,FALSE),0)</x:f>
        <x:v>5505024</x:v>
      </x:c>
      <x:c r="AC44" s="39" t="n">
        <x:f>IF(OR(D44="MXFP4",D44="MXFP8"),(3072/M44)*ROUNDUP((3584)/32,0),0)</x:f>
        <x:v>344064</x:v>
      </x:c>
      <x:c r="AD44" s="39" t="n">
        <x:f>IF(D44="INT8",(3072/M44)*8,IF(D44="INT4",(3072/M44)*16,0))</x:f>
        <x:v>0</x:v>
      </x:c>
      <x:c r="AE44" s="39" t="n">
        <x:f>(3072)*ROUNDUP((3584)*VLOOKUP(D44,$Q$32:$R$38,2,FALSE),0)</x:f>
        <x:v>5505024</x:v>
      </x:c>
      <x:c r="AF44" s="39" t="n">
        <x:f>IF(OR(D44="MXFP4",D44="MXFP8"),(3072)*ROUNDUP((3584)/32,0),0)</x:f>
        <x:v>344064</x:v>
      </x:c>
      <x:c r="AG44" s="39" t="n">
        <x:f>IF(D44="INT8",(3072)*8,IF(D44="INT4",(3072)*16,0))</x:f>
        <x:v>0</x:v>
      </x:c>
    </x:row>
    <x:row r="45" ht="18" customHeight="1">
      <x:c r="A45" s="7" t="str">
        <x:v>MoE</x:v>
      </x:c>
      <x:c r="B45" s="7" t="str">
        <x:v>experts.*.w2</x:v>
      </x:c>
      <x:c r="C45" s="7" t="str">
        <x:v>[3584,3072]</x:v>
      </x:c>
      <x:c r="D45" s="10" t="str">
        <x:v>MXFP4</x:v>
      </x:c>
      <x:c r="E45" s="34" t="n">
        <x:v>82432</x:v>
      </x:c>
      <x:c r="F45" s="34" t="n">
        <x:f>(3584)*(3072)</x:f>
        <x:v>11010048</x:v>
      </x:c>
      <x:c r="G45" s="7" t="str">
        <x:v>EP</x:v>
      </x:c>
      <x:c r="H45" s="7" t="str">
        <x:v>EP</x:v>
      </x:c>
      <x:c r="I45" s="7" t="str">
        <x:v>否</x:v>
      </x:c>
      <x:c r="J45" s="44" t="n">
        <x:f>E45*SUM(AE45:AG45)/1073741824</x:f>
        <x:v>449.0390625</x:v>
      </x:c>
      <x:c r="K45" s="44" t="n">
        <x:f>AA45</x:f>
        <x:v>3.50811767578125</x:v>
      </x:c>
      <x:c r="L45" s="7" t="str">
        <x:f>IF(OR(D45="MXFP4",D45="MXFP8"),"group 32 / E8M0",IF(D45="INT8","channel / 8 B",IF(D45="INT4","channel / 16 B","")))</x:f>
        <x:v>group 32 / E8M0</x:v>
      </x:c>
      <x:c r="M45" s="45" t="n">
        <x:f>1</x:f>
        <x:v>1</x:v>
      </x:c>
      <x:c r="N45" s="7" t="str">
        <x:f>"["&amp;(3584/M45)&amp;","&amp;(3072)&amp;"]"</x:f>
        <x:v>[3584,3072]</x:v>
      </x:c>
      <x:c r="O45" s="34" t="n">
        <x:f>CHOOSE($R$22+1,92*ROUNDUP(896/$R$9,0))</x:f>
        <x:v>644</x:v>
      </x:c>
      <x:c r="P45" s="2"/>
      <x:c r="Q45" s="7" t="str">
        <x:v>KDA</x:v>
      </x:c>
      <x:c r="R45" s="7" t="n">
        <x:f>CHOOSE($R$22+1,69)</x:f>
        <x:v>69</x:v>
      </x:c>
      <x:c r="S45" s="7" t="n">
        <x:f>1</x:f>
        <x:v>1</x:v>
      </x:c>
      <x:c r="T45" s="7" t="n">
        <x:f>R45*S45</x:f>
        <x:v>69</x:v>
      </x:c>
      <x:c r="U45" s="28" t="n">
        <x:f>IF(T45=0,0,V45/T45)</x:f>
        <x:v>0.05327918380498886</x:v>
      </x:c>
      <x:c r="V45" s="28" t="n">
        <x:f>SUM(K16,K17,K18,K19,K20,K21,K22,K23,K24,K25,K26,K27,K28,K29)</x:f>
        <x:v>3.6762636825442314</x:v>
      </x:c>
      <x:c r="W45" s="31" t="n">
        <x:f>V45/$R$23</x:f>
        <x:v>0.11285264222221329</x:v>
      </x:c>
      <x:c r="X45" s="7" t="str"/>
      <x:c r="Y45" s="2"/>
      <x:c r="Z45" s="2"/>
      <x:c r="AA45" s="38" t="n">
        <x:f>IF($R$30=1,SUM(AB45:AD45)*(92*ROUNDUP(896/$R$9,0))/1073741824,NA())</x:f>
        <x:v>3.50811767578125</x:v>
      </x:c>
      <x:c r="AB45" s="39" t="n">
        <x:f>(3584/M45)*ROUNDUP((3072)*VLOOKUP(D45,$Q$32:$R$38,2,FALSE),0)</x:f>
        <x:v>5505024</x:v>
      </x:c>
      <x:c r="AC45" s="39" t="n">
        <x:f>IF(OR(D45="MXFP4",D45="MXFP8"),(3584/M45)*ROUNDUP((3072)/32,0),0)</x:f>
        <x:v>344064</x:v>
      </x:c>
      <x:c r="AD45" s="39" t="n">
        <x:f>IF(D45="INT8",(3584/M45)*8,IF(D45="INT4",(3584/M45)*16,0))</x:f>
        <x:v>0</x:v>
      </x:c>
      <x:c r="AE45" s="39" t="n">
        <x:f>(3584)*ROUNDUP((3072)*VLOOKUP(D45,$Q$32:$R$38,2,FALSE),0)</x:f>
        <x:v>5505024</x:v>
      </x:c>
      <x:c r="AF45" s="39" t="n">
        <x:f>IF(OR(D45="MXFP4",D45="MXFP8"),(3584)*ROUNDUP((3072)/32,0),0)</x:f>
        <x:v>344064</x:v>
      </x:c>
      <x:c r="AG45" s="39" t="n">
        <x:f>IF(D45="INT8",(3584)*8,IF(D45="INT4",(3584)*16,0))</x:f>
        <x:v>0</x:v>
      </x:c>
    </x:row>
    <x:row r="46" ht="18" customHeight="1">
      <x:c r="A46" s="7" t="str">
        <x:v>MoE</x:v>
      </x:c>
      <x:c r="B46" s="7" t="str">
        <x:v>shared_experts.gate_proj</x:v>
      </x:c>
      <x:c r="C46" s="7" t="str">
        <x:v>[6144,7168]</x:v>
      </x:c>
      <x:c r="D46" s="10" t="str">
        <x:v>BF16</x:v>
      </x:c>
      <x:c r="E46" s="34" t="n">
        <x:v>92</x:v>
      </x:c>
      <x:c r="F46" s="34" t="n">
        <x:f>(6144)*(7168)</x:f>
        <x:v>44040192</x:v>
      </x:c>
      <x:c r="G46" s="7" t="str">
        <x:v>Shared TP</x:v>
      </x:c>
      <x:c r="H46" s="7" t="str">
        <x:v>None</x:v>
      </x:c>
      <x:c r="I46" s="7" t="str">
        <x:v>是</x:v>
      </x:c>
      <x:c r="J46" s="44" t="n">
        <x:f>E46*SUM(AE46:AG46)/1073741824</x:f>
        <x:v>7.546875</x:v>
      </x:c>
      <x:c r="K46" s="44" t="n">
        <x:f>AA46</x:f>
        <x:v>0.4716796875</x:v>
      </x:c>
      <x:c r="L46" s="7" t="str">
        <x:f>IF(OR(D46="MXFP4",D46="MXFP8"),"group 32 / E8M0",IF(D46="INT8","channel / 8 B",IF(D46="INT4","channel / 16 B","")))</x:f>
      </x:c>
      <x:c r="M46" s="45" t="n">
        <x:f>$R$10</x:f>
        <x:v>16</x:v>
      </x:c>
      <x:c r="N46" s="7" t="str">
        <x:f>"["&amp;(6144/M46)&amp;","&amp;(7168)&amp;"]"</x:f>
        <x:v>[384,7168]</x:v>
      </x:c>
      <x:c r="O46" s="34" t="n">
        <x:f>CHOOSE($R$22+1,92)</x:f>
        <x:v>92</x:v>
      </x:c>
      <x:c r="P46" s="2"/>
      <x:c r="Q46" s="7" t="str">
        <x:v>Gated MLA</x:v>
      </x:c>
      <x:c r="R46" s="7" t="n">
        <x:f>CHOOSE($R$22+1,24)</x:f>
        <x:v>24</x:v>
      </x:c>
      <x:c r="S46" s="7" t="n">
        <x:f>1</x:f>
        <x:v>1</x:v>
      </x:c>
      <x:c r="T46" s="7" t="n">
        <x:f>R46*S46</x:f>
        <x:v>24</x:v>
      </x:c>
      <x:c r="U46" s="28" t="n">
        <x:f>IF(T46=0,0,V46/T46)</x:f>
        <x:v>0.2786903381347656</x:v>
      </x:c>
      <x:c r="V46" s="28" t="n">
        <x:f>SUM(K30,K31,K32,K33,K34,K35,K36,K37)</x:f>
        <x:v>6.688568115234375</x:v>
      </x:c>
      <x:c r="W46" s="31" t="n">
        <x:f>V46/$R$23</x:f>
        <x:v>0.20532329823661027</x:v>
      </x:c>
      <x:c r="X46" s="7" t="str"/>
      <x:c r="Y46" s="2"/>
      <x:c r="Z46" s="2"/>
      <x:c r="AA46" s="38" t="n">
        <x:f>IF($R$30=1,SUM(AB46:AD46)*(92)/1073741824,NA())</x:f>
        <x:v>0.4716796875</x:v>
      </x:c>
      <x:c r="AB46" s="39" t="n">
        <x:f>(6144/M46)*ROUNDUP((7168)*VLOOKUP(D46,$Q$32:$R$38,2,FALSE),0)</x:f>
        <x:v>5505024</x:v>
      </x:c>
      <x:c r="AC46" s="39" t="n">
        <x:f>IF(OR(D46="MXFP4",D46="MXFP8"),(6144/M46)*ROUNDUP((7168)/32,0),0)</x:f>
        <x:v>0</x:v>
      </x:c>
      <x:c r="AD46" s="39" t="n">
        <x:f>IF(D46="INT8",(6144/M46)*8,IF(D46="INT4",(6144/M46)*16,0))</x:f>
        <x:v>0</x:v>
      </x:c>
      <x:c r="AE46" s="39" t="n">
        <x:f>(6144)*ROUNDUP((7168)*VLOOKUP(D46,$Q$32:$R$38,2,FALSE),0)</x:f>
        <x:v>88080384</x:v>
      </x:c>
      <x:c r="AF46" s="39" t="n">
        <x:f>IF(OR(D46="MXFP4",D46="MXFP8"),(6144)*ROUNDUP((7168)/32,0),0)</x:f>
        <x:v>0</x:v>
      </x:c>
      <x:c r="AG46" s="39" t="n">
        <x:f>IF(D46="INT8",(6144)*8,IF(D46="INT4",(6144)*16,0))</x:f>
        <x:v>0</x:v>
      </x:c>
    </x:row>
    <x:row r="47" ht="18" customHeight="1">
      <x:c r="A47" s="7" t="str">
        <x:v>MoE</x:v>
      </x:c>
      <x:c r="B47" s="7" t="str">
        <x:v>shared_experts.up_proj</x:v>
      </x:c>
      <x:c r="C47" s="7" t="str">
        <x:v>[6144,7168]</x:v>
      </x:c>
      <x:c r="D47" s="10" t="str">
        <x:v>BF16</x:v>
      </x:c>
      <x:c r="E47" s="34" t="n">
        <x:v>92</x:v>
      </x:c>
      <x:c r="F47" s="34" t="n">
        <x:f>(6144)*(7168)</x:f>
        <x:v>44040192</x:v>
      </x:c>
      <x:c r="G47" s="7" t="str">
        <x:v>Shared TP</x:v>
      </x:c>
      <x:c r="H47" s="7" t="str">
        <x:v>None</x:v>
      </x:c>
      <x:c r="I47" s="7" t="str">
        <x:v>是</x:v>
      </x:c>
      <x:c r="J47" s="44" t="n">
        <x:f>E47*SUM(AE47:AG47)/1073741824</x:f>
        <x:v>7.546875</x:v>
      </x:c>
      <x:c r="K47" s="44" t="n">
        <x:f>AA47</x:f>
        <x:v>0.4716796875</x:v>
      </x:c>
      <x:c r="L47" s="7" t="str">
        <x:f>IF(OR(D47="MXFP4",D47="MXFP8"),"group 32 / E8M0",IF(D47="INT8","channel / 8 B",IF(D47="INT4","channel / 16 B","")))</x:f>
      </x:c>
      <x:c r="M47" s="45" t="n">
        <x:f>$R$10</x:f>
        <x:v>16</x:v>
      </x:c>
      <x:c r="N47" s="7" t="str">
        <x:f>"["&amp;(6144/M47)&amp;","&amp;(7168)&amp;"]"</x:f>
        <x:v>[384,7168]</x:v>
      </x:c>
      <x:c r="O47" s="34" t="n">
        <x:f>CHOOSE($R$22+1,92)</x:f>
        <x:v>92</x:v>
      </x:c>
      <x:c r="P47" s="2"/>
      <x:c r="Q47" s="7" t="str">
        <x:v>MoE router / latent</x:v>
      </x:c>
      <x:c r="R47" s="7" t="n">
        <x:f>CHOOSE($R$22+1,92)</x:f>
        <x:v>92</x:v>
      </x:c>
      <x:c r="S47" s="7" t="n">
        <x:f>1</x:f>
        <x:v>1</x:v>
      </x:c>
      <x:c r="T47" s="7" t="n">
        <x:f>R47*S47</x:f>
        <x:v>92</x:v>
      </x:c>
      <x:c r="U47" s="28" t="n">
        <x:f>IF(T47=0,0,V47/T47)</x:f>
        <x:v>0.10767436027526855</x:v>
      </x:c>
      <x:c r="V47" s="28" t="n">
        <x:f>SUM(K38,K39,K40,K41,K42)</x:f>
        <x:v>9.906041145324707</x:v>
      </x:c>
      <x:c r="W47" s="31" t="n">
        <x:f>V47/$R$23</x:f>
        <x:v>0.30409214728530365</x:v>
      </x:c>
      <x:c r="X47" s="7" t="str"/>
      <x:c r="Y47" s="2"/>
      <x:c r="Z47" s="2"/>
      <x:c r="AA47" s="38" t="n">
        <x:f>IF($R$30=1,SUM(AB47:AD47)*(92)/1073741824,NA())</x:f>
        <x:v>0.4716796875</x:v>
      </x:c>
      <x:c r="AB47" s="39" t="n">
        <x:f>(6144/M47)*ROUNDUP((7168)*VLOOKUP(D47,$Q$32:$R$38,2,FALSE),0)</x:f>
        <x:v>5505024</x:v>
      </x:c>
      <x:c r="AC47" s="39" t="n">
        <x:f>IF(OR(D47="MXFP4",D47="MXFP8"),(6144/M47)*ROUNDUP((7168)/32,0),0)</x:f>
        <x:v>0</x:v>
      </x:c>
      <x:c r="AD47" s="39" t="n">
        <x:f>IF(D47="INT8",(6144/M47)*8,IF(D47="INT4",(6144/M47)*16,0))</x:f>
        <x:v>0</x:v>
      </x:c>
      <x:c r="AE47" s="39" t="n">
        <x:f>(6144)*ROUNDUP((7168)*VLOOKUP(D47,$Q$32:$R$38,2,FALSE),0)</x:f>
        <x:v>88080384</x:v>
      </x:c>
      <x:c r="AF47" s="39" t="n">
        <x:f>IF(OR(D47="MXFP4",D47="MXFP8"),(6144)*ROUNDUP((7168)/32,0),0)</x:f>
        <x:v>0</x:v>
      </x:c>
      <x:c r="AG47" s="39" t="n">
        <x:f>IF(D47="INT8",(6144)*8,IF(D47="INT4",(6144)*16,0))</x:f>
        <x:v>0</x:v>
      </x:c>
    </x:row>
    <x:row r="48" ht="18" customHeight="1">
      <x:c r="A48" s="8" t="str">
        <x:v>MoE</x:v>
      </x:c>
      <x:c r="B48" s="8" t="str">
        <x:v>shared_experts.down_proj</x:v>
      </x:c>
      <x:c r="C48" s="8" t="str">
        <x:v>[7168,6144]</x:v>
      </x:c>
      <x:c r="D48" s="11" t="str">
        <x:v>BF16</x:v>
      </x:c>
      <x:c r="E48" s="35" t="n">
        <x:v>92</x:v>
      </x:c>
      <x:c r="F48" s="35" t="n">
        <x:f>(7168)*(6144)</x:f>
        <x:v>44040192</x:v>
      </x:c>
      <x:c r="G48" s="8" t="str">
        <x:v>Shared TP</x:v>
      </x:c>
      <x:c r="H48" s="8" t="str">
        <x:v>None</x:v>
      </x:c>
      <x:c r="I48" s="8" t="str">
        <x:v>是</x:v>
      </x:c>
      <x:c r="J48" s="46" t="n">
        <x:f>E48*SUM(AE48:AG48)/1073741824</x:f>
        <x:v>7.546875</x:v>
      </x:c>
      <x:c r="K48" s="46" t="n">
        <x:f>AA48</x:f>
        <x:v>0.4716796875</x:v>
      </x:c>
      <x:c r="L48" s="8" t="str">
        <x:f>IF(OR(D48="MXFP4",D48="MXFP8"),"group 32 / E8M0",IF(D48="INT8","channel / 8 B",IF(D48="INT4","channel / 16 B","")))</x:f>
      </x:c>
      <x:c r="M48" s="47" t="n">
        <x:f>$R$10</x:f>
        <x:v>16</x:v>
      </x:c>
      <x:c r="N48" s="8" t="str">
        <x:f>"["&amp;(7168)&amp;","&amp;(6144/M48)&amp;"]"</x:f>
        <x:v>[7168,384]</x:v>
      </x:c>
      <x:c r="O48" s="35" t="n">
        <x:f>CHOOSE($R$22+1,92)</x:f>
        <x:v>92</x:v>
      </x:c>
      <x:c r="P48" s="2"/>
      <x:c r="Q48" s="7" t="str">
        <x:v>Routed experts</x:v>
      </x:c>
      <x:c r="R48" s="7" t="n">
        <x:f>CHOOSE($R$22+1,92)</x:f>
        <x:v>92</x:v>
      </x:c>
      <x:c r="S48" s="7" t="n">
        <x:f>ROUNDUP($T$9/$R$9,0)</x:f>
        <x:v>7</x:v>
      </x:c>
      <x:c r="T48" s="7" t="n">
        <x:f>R48*S48</x:f>
        <x:v>644</x:v>
      </x:c>
      <x:c r="U48" s="28" t="n">
        <x:f>IF(T48=0,0,V48/T48)</x:f>
        <x:v>0.0163421630859375</x:v>
      </x:c>
      <x:c r="V48" s="28" t="n">
        <x:f>SUM(K43,K44,K45)</x:f>
        <x:v>10.52435302734375</x:v>
      </x:c>
      <x:c r="W48" s="31" t="n">
        <x:f>V48/$R$23</x:f>
        <x:v>0.32307286674091873</x:v>
      </x:c>
      <x:c r="X48" s="7" t="str"/>
      <x:c r="Y48" s="2"/>
      <x:c r="Z48" s="2"/>
      <x:c r="AA48" s="38" t="n">
        <x:f>IF($R$30=1,SUM(AB48:AD48)*(92)/1073741824,NA())</x:f>
        <x:v>0.4716796875</x:v>
      </x:c>
      <x:c r="AB48" s="39" t="n">
        <x:f>(7168)*ROUNDUP((6144/M48)*VLOOKUP(D48,$Q$32:$R$38,2,FALSE),0)</x:f>
        <x:v>5505024</x:v>
      </x:c>
      <x:c r="AC48" s="39" t="n">
        <x:f>IF(OR(D48="MXFP4",D48="MXFP8"),(7168)*ROUNDUP((6144/M48)/32,0),0)</x:f>
        <x:v>0</x:v>
      </x:c>
      <x:c r="AD48" s="39" t="n">
        <x:f>IF(D48="INT8",(7168)*8,IF(D48="INT4",(7168)*16,0))</x:f>
        <x:v>0</x:v>
      </x:c>
      <x:c r="AE48" s="39" t="n">
        <x:f>(7168)*ROUNDUP((6144)*VLOOKUP(D48,$Q$32:$R$38,2,FALSE),0)</x:f>
        <x:v>88080384</x:v>
      </x:c>
      <x:c r="AF48" s="39" t="n">
        <x:f>IF(OR(D48="MXFP4",D48="MXFP8"),(7168)*ROUNDUP((6144)/32,0),0)</x:f>
        <x:v>0</x:v>
      </x:c>
      <x:c r="AG48" s="39" t="n">
        <x:f>IF(D48="INT8",(7168)*8,IF(D48="INT4",(7168)*16,0))</x:f>
        <x:v>0</x:v>
      </x:c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7" t="str">
        <x:v>Shared experts</x:v>
      </x:c>
      <x:c r="R49" s="7" t="n">
        <x:f>CHOOSE($R$22+1,92)</x:f>
        <x:v>92</x:v>
      </x:c>
      <x:c r="S49" s="7" t="n">
        <x:f>1</x:f>
        <x:v>1</x:v>
      </x:c>
      <x:c r="T49" s="7" t="n">
        <x:f>R49*S49</x:f>
        <x:v>92</x:v>
      </x:c>
      <x:c r="U49" s="28" t="n">
        <x:f>IF(T49=0,0,V49/T49)</x:f>
        <x:v>0.015380859375</x:v>
      </x:c>
      <x:c r="V49" s="28" t="n">
        <x:f>SUM(K46,K47,K48)</x:f>
        <x:v>1.4150390625</x:v>
      </x:c>
      <x:c r="W49" s="31" t="n">
        <x:f>V49/$R$23</x:f>
        <x:v>0.04343836863743445</x:v>
      </x:c>
      <x:c r="X49" s="7" t="str">
        <x:v>2 experts 融合单元</x:v>
      </x:c>
      <x:c r="Y49" s="2"/>
      <x:c r="Z49" s="2"/>
      <x:c r="AA49" s="2"/>
      <x:c r="AB49" s="2"/>
      <x:c r="AC49" s="2"/>
      <x:c r="AD49" s="2"/>
      <x:c r="AE49" s="2"/>
      <x:c r="AF49" s="2"/>
      <x:c r="AG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6" t="str">
        <x:v>合计</x:v>
      </x:c>
      <x:c r="R50" s="26"/>
      <x:c r="S50" s="26"/>
      <x:c r="T50" s="26"/>
      <x:c r="U50" s="29"/>
      <x:c r="V50" s="29" t="n">
        <x:f>SUM(V40:V49)</x:f>
        <x:v>32.57578741759062</x:v>
      </x:c>
      <x:c r="W50" s="26"/>
      <x:c r="X50" s="26"/>
      <x:c r="Y50" s="2"/>
      <x:c r="Z50" s="2"/>
      <x:c r="AA50" s="2"/>
      <x:c r="AB50" s="2"/>
      <x:c r="AC50" s="2"/>
      <x:c r="AD50" s="2"/>
      <x:c r="AE50" s="2"/>
      <x:c r="AF50" s="2"/>
      <x:c r="AG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5" t="str">
        <x:v>运行 buffer</x:v>
      </x:c>
      <x:c r="R56" s="5" t="str">
        <x:v>GiB</x:v>
      </x:c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 t="str">
        <x:v>Attention o_proj full gather</x:v>
      </x:c>
      <x:c r="R57" s="32" t="n">
        <x:f>0</x:f>
        <x:v>0</x:v>
      </x:c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 t="str">
        <x:v>Attention o_proj transpose shard</x:v>
      </x:c>
      <x:c r="R58" s="32" t="n">
        <x:f>0</x:f>
        <x:v>0</x:v>
      </x:c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</x:row>
    <x:row r="62" ht="3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41" t="str">
        <x:v>Token 数</x:v>
      </x:c>
      <x:c r="R62" s="41" t="str">
        <x:v>本卡主缓存 token</x:v>
      </x:c>
      <x:c r="S62" s="41" t="str">
        <x:v>MLA latent+scale GiB</x:v>
      </x:c>
      <x:c r="T62" s="41" t="str">
        <x:v>RoPE GiB</x:v>
      </x:c>
      <x:c r="U62" s="41" t="str">
        <x:v>Indexer K+scale GiB</x:v>
      </x:c>
      <x:c r="V62" s="41" t="str">
        <x:v>KDA recurrent GiB</x:v>
      </x:c>
      <x:c r="W62" s="41" t="str">
        <x:v>KDA conv GiB</x:v>
      </x:c>
      <x:c r="X62" s="41" t="str">
        <x:v>单请求 cache GiB</x:v>
      </x:c>
      <x:c r="Y62" s="41" t="str">
        <x:v>权重 + cache GiB</x:v>
      </x:c>
      <x:c r="Z62" s="2"/>
      <x:c r="AA62" s="2"/>
      <x:c r="AB62" s="2"/>
      <x:c r="AC62" s="2"/>
      <x:c r="AD62" s="2"/>
      <x:c r="AE62" s="2"/>
      <x:c r="AF62" s="2"/>
      <x:c r="AG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33" t="n">
        <x:f>$R$18</x:f>
        <x:v>131072</x:v>
      </x:c>
      <x:c r="R63" s="33" t="n">
        <x:f>ROUNDUP(Q63/($R$19*$R$12),0)*$R$19</x:f>
        <x:v>131072</x:v>
      </x:c>
      <x:c r="S63" s="27" t="n">
        <x:f>R63*$T$3*$V$32/1073741824</x:f>
        <x:v>3</x:v>
      </x:c>
      <x:c r="T63" s="27" t="n">
        <x:f>R63*$T$3*$V$33/1073741824</x:f>
        <x:v>0.375</x:v>
      </x:c>
      <x:c r="U63" s="27" t="n">
        <x:f>R63*$R$12*$T$3*$V$35/1073741824</x:f>
        <x:v>0</x:v>
      </x:c>
      <x:c r="V63" s="27" t="n">
        <x:f>$T$2*($T$4/$R$2)*$T$5*$T$5*$R$17/1073741824</x:f>
        <x:v>0.0252685546875</x:v>
      </x:c>
      <x:c r="W63" s="27" t="n">
        <x:f>$T$2*3*($T$4/$R$2)*$T$5*($T$14-1+$R$20)*$R$16/1073741824</x:f>
        <x:v>0.0008883476257324219</x:v>
      </x:c>
      <x:c r="X63" s="27" t="n">
        <x:f>IF($R$30=1,SUM(S63:W63),NA())</x:f>
        <x:v>3.4011569023132324</x:v>
      </x:c>
      <x:c r="Y63" s="27" t="n">
        <x:f>$R$23+X63</x:f>
        <x:v>35.97694431990385</x:v>
      </x:c>
      <x:c r="Z63" s="2"/>
      <x:c r="AA63" s="2"/>
      <x:c r="AB63" s="2"/>
      <x:c r="AC63" s="2"/>
      <x:c r="AD63" s="2"/>
      <x:c r="AE63" s="2"/>
      <x:c r="AF63" s="2"/>
      <x:c r="AG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4" t="n">
        <x:v>1024</x:v>
      </x:c>
      <x:c r="R64" s="34" t="n">
        <x:f>ROUNDUP(Q64/($R$19*$R$12),0)*$R$19</x:f>
        <x:v>1024</x:v>
      </x:c>
      <x:c r="S64" s="28" t="n">
        <x:f>R64*$T$3*$V$32/1073741824</x:f>
        <x:v>0.0234375</x:v>
      </x:c>
      <x:c r="T64" s="28" t="n">
        <x:f>R64*$T$3*$V$33/1073741824</x:f>
        <x:v>0.0029296875</x:v>
      </x:c>
      <x:c r="U64" s="28" t="n">
        <x:f>R64*$R$12*$T$3*$V$35/1073741824</x:f>
        <x:v>0</x:v>
      </x:c>
      <x:c r="V64" s="28" t="n">
        <x:f>$T$2*($T$4/$R$2)*$T$5*$T$5*$R$17/1073741824</x:f>
        <x:v>0.0252685546875</x:v>
      </x:c>
      <x:c r="W64" s="28" t="n">
        <x:f>$T$2*3*($T$4/$R$2)*$T$5*($T$14-1+$R$20)*$R$16/1073741824</x:f>
        <x:v>0.0008883476257324219</x:v>
      </x:c>
      <x:c r="X64" s="28" t="n">
        <x:f>IF($R$30=1,SUM(S64:W64),NA())</x:f>
        <x:v>0.05252408981323242</x:v>
      </x:c>
      <x:c r="Y64" s="28" t="n">
        <x:f>$R$23+X64</x:f>
        <x:v>32.62831150740385</x:v>
      </x:c>
      <x:c r="Z64" s="2"/>
      <x:c r="AA64" s="2"/>
      <x:c r="AB64" s="2"/>
      <x:c r="AC64" s="2"/>
      <x:c r="AD64" s="2"/>
      <x:c r="AE64" s="2"/>
      <x:c r="AF64" s="2"/>
      <x:c r="AG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4" t="n">
        <x:v>4096</x:v>
      </x:c>
      <x:c r="R65" s="34" t="n">
        <x:f>ROUNDUP(Q65/($R$19*$R$12),0)*$R$19</x:f>
        <x:v>4096</x:v>
      </x:c>
      <x:c r="S65" s="28" t="n">
        <x:f>R65*$T$3*$V$32/1073741824</x:f>
        <x:v>0.09375</x:v>
      </x:c>
      <x:c r="T65" s="28" t="n">
        <x:f>R65*$T$3*$V$33/1073741824</x:f>
        <x:v>0.01171875</x:v>
      </x:c>
      <x:c r="U65" s="28" t="n">
        <x:f>R65*$R$12*$T$3*$V$35/1073741824</x:f>
        <x:v>0</x:v>
      </x:c>
      <x:c r="V65" s="28" t="n">
        <x:f>$T$2*($T$4/$R$2)*$T$5*$T$5*$R$17/1073741824</x:f>
        <x:v>0.0252685546875</x:v>
      </x:c>
      <x:c r="W65" s="28" t="n">
        <x:f>$T$2*3*($T$4/$R$2)*$T$5*($T$14-1+$R$20)*$R$16/1073741824</x:f>
        <x:v>0.0008883476257324219</x:v>
      </x:c>
      <x:c r="X65" s="28" t="n">
        <x:f>IF($R$30=1,SUM(S65:W65),NA())</x:f>
        <x:v>0.13162565231323242</x:v>
      </x:c>
      <x:c r="Y65" s="28" t="n">
        <x:f>$R$23+X65</x:f>
        <x:v>32.70741306990385</x:v>
      </x:c>
      <x:c r="Z65" s="2"/>
      <x:c r="AA65" s="2"/>
      <x:c r="AB65" s="2"/>
      <x:c r="AC65" s="2"/>
      <x:c r="AD65" s="2"/>
      <x:c r="AE65" s="2"/>
      <x:c r="AF65" s="2"/>
      <x:c r="AG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4" t="n">
        <x:v>8192</x:v>
      </x:c>
      <x:c r="R66" s="34" t="n">
        <x:f>ROUNDUP(Q66/($R$19*$R$12),0)*$R$19</x:f>
        <x:v>8192</x:v>
      </x:c>
      <x:c r="S66" s="28" t="n">
        <x:f>R66*$T$3*$V$32/1073741824</x:f>
        <x:v>0.1875</x:v>
      </x:c>
      <x:c r="T66" s="28" t="n">
        <x:f>R66*$T$3*$V$33/1073741824</x:f>
        <x:v>0.0234375</x:v>
      </x:c>
      <x:c r="U66" s="28" t="n">
        <x:f>R66*$R$12*$T$3*$V$35/1073741824</x:f>
        <x:v>0</x:v>
      </x:c>
      <x:c r="V66" s="28" t="n">
        <x:f>$T$2*($T$4/$R$2)*$T$5*$T$5*$R$17/1073741824</x:f>
        <x:v>0.0252685546875</x:v>
      </x:c>
      <x:c r="W66" s="28" t="n">
        <x:f>$T$2*3*($T$4/$R$2)*$T$5*($T$14-1+$R$20)*$R$16/1073741824</x:f>
        <x:v>0.0008883476257324219</x:v>
      </x:c>
      <x:c r="X66" s="28" t="n">
        <x:f>IF($R$30=1,SUM(S66:W66),NA())</x:f>
        <x:v>0.23709440231323242</x:v>
      </x:c>
      <x:c r="Y66" s="28" t="n">
        <x:f>$R$23+X66</x:f>
        <x:v>32.81288181990385</x:v>
      </x:c>
      <x:c r="Z66" s="2"/>
      <x:c r="AA66" s="2"/>
      <x:c r="AB66" s="2"/>
      <x:c r="AC66" s="2"/>
      <x:c r="AD66" s="2"/>
      <x:c r="AE66" s="2"/>
      <x:c r="AF66" s="2"/>
      <x:c r="AG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4" t="n">
        <x:v>16384</x:v>
      </x:c>
      <x:c r="R67" s="34" t="n">
        <x:f>ROUNDUP(Q67/($R$19*$R$12),0)*$R$19</x:f>
        <x:v>16384</x:v>
      </x:c>
      <x:c r="S67" s="28" t="n">
        <x:f>R67*$T$3*$V$32/1073741824</x:f>
        <x:v>0.375</x:v>
      </x:c>
      <x:c r="T67" s="28" t="n">
        <x:f>R67*$T$3*$V$33/1073741824</x:f>
        <x:v>0.046875</x:v>
      </x:c>
      <x:c r="U67" s="28" t="n">
        <x:f>R67*$R$12*$T$3*$V$35/1073741824</x:f>
        <x:v>0</x:v>
      </x:c>
      <x:c r="V67" s="28" t="n">
        <x:f>$T$2*($T$4/$R$2)*$T$5*$T$5*$R$17/1073741824</x:f>
        <x:v>0.0252685546875</x:v>
      </x:c>
      <x:c r="W67" s="28" t="n">
        <x:f>$T$2*3*($T$4/$R$2)*$T$5*($T$14-1+$R$20)*$R$16/1073741824</x:f>
        <x:v>0.0008883476257324219</x:v>
      </x:c>
      <x:c r="X67" s="28" t="n">
        <x:f>IF($R$30=1,SUM(S67:W67),NA())</x:f>
        <x:v>0.4480319023132324</x:v>
      </x:c>
      <x:c r="Y67" s="28" t="n">
        <x:f>$R$23+X67</x:f>
        <x:v>33.02381931990385</x:v>
      </x:c>
      <x:c r="Z67" s="2"/>
      <x:c r="AA67" s="2"/>
      <x:c r="AB67" s="2"/>
      <x:c r="AC67" s="2"/>
      <x:c r="AD67" s="2"/>
      <x:c r="AE67" s="2"/>
      <x:c r="AF67" s="2"/>
      <x:c r="AG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4" t="n">
        <x:v>32768</x:v>
      </x:c>
      <x:c r="R68" s="34" t="n">
        <x:f>ROUNDUP(Q68/($R$19*$R$12),0)*$R$19</x:f>
        <x:v>32768</x:v>
      </x:c>
      <x:c r="S68" s="28" t="n">
        <x:f>R68*$T$3*$V$32/1073741824</x:f>
        <x:v>0.75</x:v>
      </x:c>
      <x:c r="T68" s="28" t="n">
        <x:f>R68*$T$3*$V$33/1073741824</x:f>
        <x:v>0.09375</x:v>
      </x:c>
      <x:c r="U68" s="28" t="n">
        <x:f>R68*$R$12*$T$3*$V$35/1073741824</x:f>
        <x:v>0</x:v>
      </x:c>
      <x:c r="V68" s="28" t="n">
        <x:f>$T$2*($T$4/$R$2)*$T$5*$T$5*$R$17/1073741824</x:f>
        <x:v>0.0252685546875</x:v>
      </x:c>
      <x:c r="W68" s="28" t="n">
        <x:f>$T$2*3*($T$4/$R$2)*$T$5*($T$14-1+$R$20)*$R$16/1073741824</x:f>
        <x:v>0.0008883476257324219</x:v>
      </x:c>
      <x:c r="X68" s="28" t="n">
        <x:f>IF($R$30=1,SUM(S68:W68),NA())</x:f>
        <x:v>0.8699069023132324</x:v>
      </x:c>
      <x:c r="Y68" s="28" t="n">
        <x:f>$R$23+X68</x:f>
        <x:v>33.44569431990385</x:v>
      </x:c>
      <x:c r="Z68" s="2"/>
      <x:c r="AA68" s="2"/>
      <x:c r="AB68" s="2"/>
      <x:c r="AC68" s="2"/>
      <x:c r="AD68" s="2"/>
      <x:c r="AE68" s="2"/>
      <x:c r="AF68" s="2"/>
      <x:c r="AG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4" t="n">
        <x:v>65536</x:v>
      </x:c>
      <x:c r="R69" s="34" t="n">
        <x:f>ROUNDUP(Q69/($R$19*$R$12),0)*$R$19</x:f>
        <x:v>65536</x:v>
      </x:c>
      <x:c r="S69" s="28" t="n">
        <x:f>R69*$T$3*$V$32/1073741824</x:f>
        <x:v>1.5</x:v>
      </x:c>
      <x:c r="T69" s="28" t="n">
        <x:f>R69*$T$3*$V$33/1073741824</x:f>
        <x:v>0.1875</x:v>
      </x:c>
      <x:c r="U69" s="28" t="n">
        <x:f>R69*$R$12*$T$3*$V$35/1073741824</x:f>
        <x:v>0</x:v>
      </x:c>
      <x:c r="V69" s="28" t="n">
        <x:f>$T$2*($T$4/$R$2)*$T$5*$T$5*$R$17/1073741824</x:f>
        <x:v>0.0252685546875</x:v>
      </x:c>
      <x:c r="W69" s="28" t="n">
        <x:f>$T$2*3*($T$4/$R$2)*$T$5*($T$14-1+$R$20)*$R$16/1073741824</x:f>
        <x:v>0.0008883476257324219</x:v>
      </x:c>
      <x:c r="X69" s="28" t="n">
        <x:f>IF($R$30=1,SUM(S69:W69),NA())</x:f>
        <x:v>1.7136569023132324</x:v>
      </x:c>
      <x:c r="Y69" s="28" t="n">
        <x:f>$R$23+X69</x:f>
        <x:v>34.28944431990385</x:v>
      </x:c>
      <x:c r="Z69" s="2"/>
      <x:c r="AA69" s="2"/>
      <x:c r="AB69" s="2"/>
      <x:c r="AC69" s="2"/>
      <x:c r="AD69" s="2"/>
      <x:c r="AE69" s="2"/>
      <x:c r="AF69" s="2"/>
      <x:c r="AG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4" t="n">
        <x:v>131072</x:v>
      </x:c>
      <x:c r="R70" s="34" t="n">
        <x:f>ROUNDUP(Q70/($R$19*$R$12),0)*$R$19</x:f>
        <x:v>131072</x:v>
      </x:c>
      <x:c r="S70" s="28" t="n">
        <x:f>R70*$T$3*$V$32/1073741824</x:f>
        <x:v>3</x:v>
      </x:c>
      <x:c r="T70" s="28" t="n">
        <x:f>R70*$T$3*$V$33/1073741824</x:f>
        <x:v>0.375</x:v>
      </x:c>
      <x:c r="U70" s="28" t="n">
        <x:f>R70*$R$12*$T$3*$V$35/1073741824</x:f>
        <x:v>0</x:v>
      </x:c>
      <x:c r="V70" s="28" t="n">
        <x:f>$T$2*($T$4/$R$2)*$T$5*$T$5*$R$17/1073741824</x:f>
        <x:v>0.0252685546875</x:v>
      </x:c>
      <x:c r="W70" s="28" t="n">
        <x:f>$T$2*3*($T$4/$R$2)*$T$5*($T$14-1+$R$20)*$R$16/1073741824</x:f>
        <x:v>0.0008883476257324219</x:v>
      </x:c>
      <x:c r="X70" s="28" t="n">
        <x:f>IF($R$30=1,SUM(S70:W70),NA())</x:f>
        <x:v>3.4011569023132324</x:v>
      </x:c>
      <x:c r="Y70" s="28" t="n">
        <x:f>$R$23+X70</x:f>
        <x:v>35.97694431990385</x:v>
      </x:c>
      <x:c r="Z70" s="2"/>
      <x:c r="AA70" s="2"/>
      <x:c r="AB70" s="2"/>
      <x:c r="AC70" s="2"/>
      <x:c r="AD70" s="2"/>
      <x:c r="AE70" s="2"/>
      <x:c r="AF70" s="2"/>
      <x:c r="AG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4" t="n">
        <x:v>262144</x:v>
      </x:c>
      <x:c r="R71" s="34" t="n">
        <x:f>ROUNDUP(Q71/($R$19*$R$12),0)*$R$19</x:f>
        <x:v>262144</x:v>
      </x:c>
      <x:c r="S71" s="28" t="n">
        <x:f>R71*$T$3*$V$32/1073741824</x:f>
        <x:v>6</x:v>
      </x:c>
      <x:c r="T71" s="28" t="n">
        <x:f>R71*$T$3*$V$33/1073741824</x:f>
        <x:v>0.75</x:v>
      </x:c>
      <x:c r="U71" s="28" t="n">
        <x:f>R71*$R$12*$T$3*$V$35/1073741824</x:f>
        <x:v>0</x:v>
      </x:c>
      <x:c r="V71" s="28" t="n">
        <x:f>$T$2*($T$4/$R$2)*$T$5*$T$5*$R$17/1073741824</x:f>
        <x:v>0.0252685546875</x:v>
      </x:c>
      <x:c r="W71" s="28" t="n">
        <x:f>$T$2*3*($T$4/$R$2)*$T$5*($T$14-1+$R$20)*$R$16/1073741824</x:f>
        <x:v>0.0008883476257324219</x:v>
      </x:c>
      <x:c r="X71" s="28" t="n">
        <x:f>IF($R$30=1,SUM(S71:W71),NA())</x:f>
        <x:v>6.776156902313232</x:v>
      </x:c>
      <x:c r="Y71" s="28" t="n">
        <x:f>$R$23+X71</x:f>
        <x:v>39.35194431990385</x:v>
      </x:c>
      <x:c r="Z71" s="2"/>
      <x:c r="AA71" s="2"/>
      <x:c r="AB71" s="2"/>
      <x:c r="AC71" s="2"/>
      <x:c r="AD71" s="2"/>
      <x:c r="AE71" s="2"/>
      <x:c r="AF71" s="2"/>
      <x:c r="AG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6" t="n">
        <x:v>1048576</x:v>
      </x:c>
      <x:c r="R72" s="35" t="n">
        <x:f>ROUNDUP(Q72/($R$19*$R$12),0)*$R$19</x:f>
        <x:v>1048576</x:v>
      </x:c>
      <x:c r="S72" s="36" t="n">
        <x:f>R72*$T$3*$V$32/1073741824</x:f>
        <x:v>24</x:v>
      </x:c>
      <x:c r="T72" s="36" t="n">
        <x:f>R72*$T$3*$V$33/1073741824</x:f>
        <x:v>3</x:v>
      </x:c>
      <x:c r="U72" s="36" t="n">
        <x:f>R72*$R$12*$T$3*$V$35/1073741824</x:f>
        <x:v>0</x:v>
      </x:c>
      <x:c r="V72" s="36" t="n">
        <x:f>$T$2*($T$4/$R$2)*$T$5*$T$5*$R$17/1073741824</x:f>
        <x:v>0.0252685546875</x:v>
      </x:c>
      <x:c r="W72" s="36" t="n">
        <x:f>$T$2*3*($T$4/$R$2)*$T$5*($T$14-1+$R$20)*$R$16/1073741824</x:f>
        <x:v>0.0008883476257324219</x:v>
      </x:c>
      <x:c r="X72" s="36" t="n">
        <x:f>IF($R$30=1,SUM(S72:W72),NA())</x:f>
        <x:v>27.026156902313232</x:v>
      </x:c>
      <x:c r="Y72" s="36" t="n">
        <x:f>$R$23+X72</x:f>
        <x:v>59.60194431990385</x:v>
      </x:c>
      <x:c r="Z72" s="2"/>
      <x:c r="AA72" s="2"/>
      <x:c r="AB72" s="2"/>
      <x:c r="AC72" s="2"/>
      <x:c r="AD72" s="2"/>
      <x:c r="AE72" s="2"/>
      <x:c r="AF72" s="2"/>
      <x:c r="AG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5" t="str">
        <x:v>缓存组成</x:v>
      </x:c>
      <x:c r="R74" s="5" t="str">
        <x:v>本卡布局</x:v>
      </x:c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 t="str">
        <x:v>MLA 主缓存</x:v>
      </x:c>
      <x:c r="R75" s="2" t="str">
        <x:f>"[local_blocks, "&amp;R19&amp;", 1, "&amp;V34&amp;" bytes]"</x:f>
        <x:v>[local_blocks, 128, 1, 1152 bytes]</x:v>
      </x:c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 t="str">
        <x:v>RoPE</x:v>
      </x:c>
      <x:c r="R76" s="2" t="str">
        <x:v>BF16</x:v>
      </x:c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 t="str">
        <x:v>Indexer K</x:v>
      </x:c>
      <x:c r="R77" s="2" t="str">
        <x:v>不适用</x:v>
      </x:c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 t="str">
        <x:v>KDA recurrent</x:v>
      </x:c>
      <x:c r="R78" s="2" t="str">
        <x:v>FP32 / head TP</x:v>
      </x:c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 t="str">
        <x:v>KDA conv</x:v>
      </x:c>
      <x:c r="R79" s="2" t="str">
        <x:v>BF16 / head TP</x:v>
      </x:c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 t="str">
        <x:v>阶段</x:v>
      </x:c>
      <x:c r="R80" s="2" t="str">
        <x:v>Gated MLA BF16，KDA 按 head TP</x:v>
      </x:c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 t="str">
        <x:v>Indexer scale</x:v>
      </x:c>
      <x:c r="R81" s="2" t="str">
        <x:f>"不适用"</x:f>
        <x:v>不适用</x:v>
      </x:c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 t="str">
        <x:v>Cache dtype</x:v>
      </x:c>
      <x:c r="R82" s="2" t="str">
        <x:f>"MLA "&amp;R13&amp;" / Indexer "&amp;R14</x:f>
        <x:v>MLA BF16 / Indexer BF16</x:v>
      </x:c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5" t="str">
        <x:v>PP stage</x:v>
      </x:c>
      <x:c r="R86" s="5" t="str">
        <x:v>层范围</x:v>
      </x:c>
      <x:c r="S86" s="5" t="str">
        <x:v>层数</x:v>
      </x:c>
      <x:c r="T86" s="5" t="str">
        <x:v>KDA 层</x:v>
      </x:c>
      <x:c r="U86" s="5" t="str">
        <x:v>Attention 层</x:v>
      </x:c>
      <x:c r="V86" s="5" t="str">
        <x:v>MoE 层</x:v>
      </x:c>
      <x:c r="W86" s="5" t="str">
        <x:v>权重 GiB</x:v>
      </x:c>
      <x:c r="X86" s="5" t="str">
        <x:v>Cache GiB</x:v>
      </x:c>
      <x:c r="Y86" s="5" t="str">
        <x:v>合计 GiB</x:v>
      </x:c>
      <x:c r="Z86" s="5" t="str">
        <x:v>embedding</x:v>
      </x:c>
      <x:c r="AA86" s="5" t="str">
        <x:v>lm_head</x:v>
      </x:c>
      <x:c r="AB86" s="5" t="str">
        <x:v>ViT / MM</x:v>
      </x:c>
      <x:c r="AC86" s="5" t="str">
        <x:v>Buffer GiB</x:v>
      </x:c>
      <x:c r="AD86" s="2"/>
      <x:c r="AE86" s="2"/>
      <x:c r="AF86" s="2"/>
      <x:c r="AG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 t="n">
        <x:v>0</x:v>
      </x:c>
      <x:c r="R87" s="2" t="str">
        <x:v>1-93</x:v>
      </x:c>
      <x:c r="S87" s="2" t="n">
        <x:v>93</x:v>
      </x:c>
      <x:c r="T87" s="2" t="n">
        <x:v>69</x:v>
      </x:c>
      <x:c r="U87" s="2" t="n">
        <x:v>24</x:v>
      </x:c>
      <x:c r="V87" s="2" t="n">
        <x:v>92</x:v>
      </x:c>
      <x:c r="W87" s="32" t="n">
        <x:f>SUM(AA2:AA48)</x:f>
        <x:v>32.57578741759062</x:v>
      </x:c>
      <x:c r="X87" s="32" t="n">
        <x:f>IF($R$30=1,ROUNDUP($R$18/($R$19*$R$12),0)*$R$19*U87*($V$34+$R$12*$V$35)/1073741824+T87*($T$4/$R$2)*$T$5*$T$5*$R$17/1073741824+T87*3*($T$4/$R$2)*$T$5*($T$14-1+$R$20)*$R$16/1073741824,NA())</x:f>
        <x:v>3.4011569023132324</x:v>
      </x:c>
      <x:c r="Y87" s="32" t="n">
        <x:f>W87+X87+AC87</x:f>
        <x:v>35.97694431990385</x:v>
      </x:c>
      <x:c r="Z87" s="2" t="n">
        <x:v>1</x:v>
      </x:c>
      <x:c r="AA87" s="2" t="n">
        <x:v>1</x:v>
      </x:c>
      <x:c r="AB87" s="2" t="n">
        <x:v>0</x:v>
      </x:c>
      <x:c r="AC87" s="32" t="n">
        <x:f>0</x:f>
        <x:v>0</x:v>
      </x:c>
      <x:c r="AD87" s="2"/>
      <x:c r="AE87" s="2"/>
      <x:c r="AF87" s="2"/>
      <x:c r="AG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32"/>
      <x:c r="X88" s="32"/>
      <x:c r="Y88" s="32"/>
      <x:c r="Z88" s="2"/>
      <x:c r="AA88" s="2"/>
      <x:c r="AB88" s="2"/>
      <x:c r="AC88" s="32"/>
      <x:c r="AD88" s="2"/>
      <x:c r="AE88" s="2"/>
      <x:c r="AF88" s="2"/>
      <x:c r="AG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32"/>
      <x:c r="X89" s="32"/>
      <x:c r="Y89" s="32"/>
      <x:c r="Z89" s="2"/>
      <x:c r="AA89" s="2"/>
      <x:c r="AB89" s="2"/>
      <x:c r="AC89" s="32"/>
      <x:c r="AD89" s="2"/>
      <x:c r="AE89" s="2"/>
      <x:c r="AF89" s="2"/>
      <x:c r="AG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32"/>
      <x:c r="X90" s="32"/>
      <x:c r="Y90" s="32"/>
      <x:c r="Z90" s="2"/>
      <x:c r="AA90" s="2"/>
      <x:c r="AB90" s="2"/>
      <x:c r="AC90" s="32"/>
      <x:c r="AD90" s="2"/>
      <x:c r="AE90" s="2"/>
      <x:c r="AF90" s="2"/>
      <x:c r="AG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32"/>
      <x:c r="X91" s="32"/>
      <x:c r="Y91" s="32"/>
      <x:c r="Z91" s="2"/>
      <x:c r="AA91" s="2"/>
      <x:c r="AB91" s="2"/>
      <x:c r="AC91" s="32"/>
      <x:c r="AD91" s="2"/>
      <x:c r="AE91" s="2"/>
      <x:c r="AF91" s="2"/>
      <x:c r="AG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5" t="str">
        <x:v>最大单卡</x:v>
      </x:c>
      <x:c r="R92" s="5"/>
      <x:c r="S92" s="5"/>
      <x:c r="T92" s="5"/>
      <x:c r="U92" s="5"/>
      <x:c r="V92" s="5"/>
      <x:c r="W92" s="37" t="n">
        <x:f>MAX(W87:W87)</x:f>
        <x:v>32.57578741759062</x:v>
      </x:c>
      <x:c r="X92" s="37" t="n">
        <x:f>MAX(X87:X87)</x:f>
        <x:v>3.4011569023132324</x:v>
      </x:c>
      <x:c r="Y92" s="37" t="n">
        <x:f>MAX(Y87:Y87)</x:f>
        <x:v>35.97694431990385</x:v>
      </x:c>
      <x:c r="Z92" s="5"/>
      <x:c r="AA92" s="5"/>
      <x:c r="AB92" s="5"/>
      <x:c r="AC92" s="37" t="n">
        <x:f>MAX(AC87:AC87)</x:f>
        <x:v>0</x:v>
      </x:c>
      <x:c r="AD92" s="2"/>
      <x:c r="AE92" s="2"/>
      <x:c r="AF92" s="2"/>
      <x:c r="AG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</x:row>
  </x:sheetData>
  <x:mergeCells>
    <x:mergeCell ref="U1:V2"/>
  </x:mergeCells>
  <x:conditionalFormatting sqref="R30:R30">
    <x:cfRule type="cellIs" dxfId="0" priority="1" operator="equal">
      <x:formula>0</x:formula>
    </x:cfRule>
  </x:conditionalFormatting>
  <x:dataValidations count="8">
    <x:dataValidation type="whole" operator="between" sqref="R2:R12">
      <x:formula1>1</x:formula1>
      <x:formula2>65536</x:formula2>
    </x:dataValidation>
    <x:dataValidation type="whole" operator="between" sqref="R18">
      <x:formula1>1</x:formula1>
      <x:formula2>1048576</x:formula2>
    </x:dataValidation>
    <x:dataValidation type="whole" operator="between" sqref="R19">
      <x:formula1>1</x:formula1>
      <x:formula2>1048576</x:formula2>
    </x:dataValidation>
    <x:dataValidation type="whole" operator="between" sqref="R20">
      <x:formula1>0</x:formula1>
      <x:formula2>64</x:formula2>
    </x:dataValidation>
    <x:dataValidation type="list" sqref="R22">
      <x:formula1>"0"</x:formula1>
    </x:dataValidation>
    <x:dataValidation type="list" sqref="R13">
      <x:formula1>"BF16"</x:formula1>
    </x:dataValidation>
    <x:dataValidation type="list" sqref="R14">
      <x:formula1>"BF16"</x:formula1>
    </x:dataValidation>
    <x:dataValidation type="list" sqref="D2:D48">
      <x:formula1>"BF16,FP32,FP8,MXFP4,MXFP8,INT4,INT8"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26" hidden="0" customWidth="1"/>
    <x:col min="4" max="4" width="12" hidden="0" customWidth="1"/>
    <x:col min="5" max="5" width="14" hidden="0" customWidth="1"/>
    <x:col min="6" max="6" width="20" hidden="0" customWidth="1"/>
    <x:col min="7" max="7" width="18" hidden="0" customWidth="1"/>
    <x:col min="8" max="8" width="12" hidden="0" customWidth="1"/>
    <x:col min="9" max="9" width="12" hidden="0" customWidth="1"/>
    <x:col min="10" max="10" width="20" hidden="0" customWidth="1"/>
    <x:col min="11" max="11" width="22" hidden="0" customWidth="1"/>
    <x:col min="12" max="12" width="23" hidden="0" customWidth="1"/>
    <x:col min="13" max="13" width="14" hidden="0" customWidth="1"/>
    <x:col min="14" max="14" width="30" hidden="0" customWidth="1"/>
    <x:col min="15" max="15" width="16" hidden="0" customWidth="1"/>
    <x:col min="16" max="16" width="3" hidden="0" customWidth="1"/>
    <x:col min="17" max="17" width="32" hidden="0" customWidth="1"/>
    <x:col min="18" max="18" width="22" hidden="0" customWidth="1"/>
    <x:col min="19" max="19" width="28" hidden="0" customWidth="1"/>
    <x:col min="20" max="20" width="29" hidden="0" customWidth="1"/>
    <x:col min="21" max="21" width="26" hidden="0" customWidth="1"/>
    <x:col min="22" max="22" width="24" hidden="0" customWidth="1"/>
    <x:col min="23" max="23" width="24" hidden="0" customWidth="1"/>
    <x:col min="24" max="24" width="28" hidden="0" customWidth="1"/>
    <x:col min="25" max="25" width="26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</x:cols>
  <x:sheetData>
    <x:row r="1" ht="32" customHeight="1">
      <x:c r="A1" s="41" t="str">
        <x:v>结构</x:v>
      </x:c>
      <x:c r="B1" s="41" t="str">
        <x:v>权重</x:v>
      </x:c>
      <x:c r="C1" s="41" t="str">
        <x:v>权重维度</x:v>
      </x:c>
      <x:c r="D1" s="41" t="str">
        <x:v>数据类型</x:v>
      </x:c>
      <x:c r="E1" s="41" t="str">
        <x:v>全模型重复数</x:v>
      </x:c>
      <x:c r="F1" s="41" t="str">
        <x:v>单实例参数量</x:v>
      </x:c>
      <x:c r="G1" s="41" t="str">
        <x:v>TP 策略</x:v>
      </x:c>
      <x:c r="H1" s="41" t="str">
        <x:v>EP 策略</x:v>
      </x:c>
      <x:c r="I1" s="41" t="str">
        <x:v>共享专家</x:v>
      </x:c>
      <x:c r="J1" s="41" t="str">
        <x:v>全模型权重 GiB</x:v>
      </x:c>
      <x:c r="K1" s="41" t="str">
        <x:v>本 stage 单卡 GiB</x:v>
      </x:c>
      <x:c r="L1" s="41" t="str">
        <x:v>量化规则</x:v>
      </x:c>
      <x:c r="M1" s="41" t="str">
        <x:v>切分份数</x:v>
      </x:c>
      <x:c r="N1" s="41" t="str">
        <x:v>单卡权重维度</x:v>
      </x:c>
      <x:c r="O1" s="41" t="str">
        <x:v>单卡重复数</x:v>
      </x:c>
      <x:c r="P1" s="2"/>
      <x:c r="Q1" s="5" t="str">
        <x:v>并行配置</x:v>
      </x:c>
      <x:c r="R1" s="5" t="str">
        <x:v>值</x:v>
      </x:c>
      <x:c r="S1" s="5" t="str">
        <x:v>模型参数</x:v>
      </x:c>
      <x:c r="T1" s="5" t="str">
        <x:v>参数值</x:v>
      </x:c>
      <x:c r="U1" s="19" t="str">
        <x:v>Made by mindie-agent</x:v>
      </x:c>
      <x:c r="V1" s="19"/>
      <x:c r="W1" s="2"/>
      <x:c r="X1" s="2"/>
      <x:c r="Y1" s="2"/>
      <x:c r="Z1" s="2"/>
      <x:c r="AA1" s="5" t="str">
        <x:v>PP0 单卡 GiB</x:v>
      </x:c>
      <x:c r="AB1" s="5" t="str">
        <x:v>本卡主权重 bytes</x:v>
      </x:c>
      <x:c r="AC1" s="5" t="str">
        <x:v>本卡 scale bytes</x:v>
      </x:c>
      <x:c r="AD1" s="5" t="str">
        <x:v>本卡附加 bytes</x:v>
      </x:c>
      <x:c r="AE1" s="5" t="str">
        <x:v>全局主权重 bytes</x:v>
      </x:c>
      <x:c r="AF1" s="5" t="str">
        <x:v>全局 scale bytes</x:v>
      </x:c>
      <x:c r="AG1" s="5" t="str">
        <x:v>全局附加 bytes</x:v>
      </x:c>
    </x:row>
    <x:row r="2" ht="18" customHeight="1">
      <x:c r="A2" s="48" t="str">
        <x:v>Embedding / Output</x:v>
      </x:c>
      <x:c r="B2" s="48" t="str">
        <x:v>embed_tokens.weight</x:v>
      </x:c>
      <x:c r="C2" s="48" t="str">
        <x:v>[163840,7168]</x:v>
      </x:c>
      <x:c r="D2" s="49" t="str">
        <x:v>BF16</x:v>
      </x:c>
      <x:c r="E2" s="50" t="n">
        <x:v>1</x:v>
      </x:c>
      <x:c r="F2" s="50" t="n">
        <x:f>(163840)*(7168)</x:f>
        <x:v>1174405120</x:v>
      </x:c>
      <x:c r="G2" s="48" t="str">
        <x:v>Embedding TP</x:v>
      </x:c>
      <x:c r="H2" s="48" t="str">
        <x:v>None</x:v>
      </x:c>
      <x:c r="I2" s="48" t="str">
        <x:v>否</x:v>
      </x:c>
      <x:c r="J2" s="51" t="n">
        <x:f>E2*SUM(AE2:AG2)/1073741824</x:f>
        <x:v>2.1875</x:v>
      </x:c>
      <x:c r="K2" s="51" t="n">
        <x:f>AA2</x:f>
        <x:v>0.13671875</x:v>
      </x:c>
      <x:c r="L2" s="48" t="str">
        <x:f>IF(OR(D2="MXFP4",D2="MXFP8"),"group 32 / E8M0",IF(D2="INT8","channel / 8 B",IF(D2="INT4","channel / 16 B","")))</x:f>
      </x:c>
      <x:c r="M2" s="52" t="n">
        <x:f>$R$7</x:f>
        <x:v>16</x:v>
      </x:c>
      <x:c r="N2" s="48" t="str">
        <x:f>"["&amp;(163840/M2)&amp;","&amp;(7168)&amp;"]"</x:f>
        <x:v>[10240,7168]</x:v>
      </x:c>
      <x:c r="O2" s="50" t="n">
        <x:f>CHOOSE($R$22+1,1)</x:f>
        <x:v>1</x:v>
      </x:c>
      <x:c r="P2" s="2"/>
      <x:c r="Q2" s="6" t="str">
        <x:v>KDA 主体 TP</x:v>
      </x:c>
      <x:c r="R2" s="13" t="n">
        <x:v>16</x:v>
      </x:c>
      <x:c r="S2" s="6" t="str">
        <x:v>本 stage KDA 层数</x:v>
      </x:c>
      <x:c r="T2" s="6" t="n">
        <x:f>CHOOSE(R22+1,69)</x:f>
        <x:v>69</x:v>
      </x:c>
      <x:c r="U2" s="19"/>
      <x:c r="V2" s="19"/>
      <x:c r="W2" s="2"/>
      <x:c r="X2" s="2"/>
      <x:c r="Y2" s="2"/>
      <x:c r="Z2" s="2"/>
      <x:c r="AA2" s="38" t="n">
        <x:f>IF($R$30=1,SUM(AB2:AD2)*(1)/1073741824,NA())</x:f>
        <x:v>0.13671875</x:v>
      </x:c>
      <x:c r="AB2" s="39" t="n">
        <x:f>(163840/M2)*ROUNDUP((7168)*VLOOKUP(D2,$Q$32:$R$38,2,FALSE),0)</x:f>
        <x:v>146800640</x:v>
      </x:c>
      <x:c r="AC2" s="39" t="n">
        <x:f>IF(OR(D2="MXFP4",D2="MXFP8"),(163840/M2)*ROUNDUP((7168)/32,0),0)</x:f>
        <x:v>0</x:v>
      </x:c>
      <x:c r="AD2" s="39" t="n">
        <x:f>IF(D2="INT8",(163840/M2)*8,IF(D2="INT4",(163840/M2)*16,0))</x:f>
        <x:v>0</x:v>
      </x:c>
      <x:c r="AE2" s="39" t="n">
        <x:f>(163840)*ROUNDUP((7168)*VLOOKUP(D2,$Q$32:$R$38,2,FALSE),0)</x:f>
        <x:v>2348810240</x:v>
      </x:c>
      <x:c r="AF2" s="39" t="n">
        <x:f>IF(OR(D2="MXFP4",D2="MXFP8"),(163840)*ROUNDUP((7168)/32,0),0)</x:f>
        <x:v>0</x:v>
      </x:c>
      <x:c r="AG2" s="39" t="n">
        <x:f>IF(D2="INT8",(163840)*8,IF(D2="INT4",(163840)*16,0))</x:f>
        <x:v>0</x:v>
      </x:c>
    </x:row>
    <x:row r="3" ht="18" customHeight="1">
      <x:c r="A3" s="7" t="str">
        <x:v>Embedding / Output</x:v>
      </x:c>
      <x:c r="B3" s="7" t="str">
        <x:v>lm_head.weight</x:v>
      </x:c>
      <x:c r="C3" s="7" t="str">
        <x:v>[163840,7168]</x:v>
      </x:c>
      <x:c r="D3" s="10" t="str">
        <x:v>BF16</x:v>
      </x:c>
      <x:c r="E3" s="34" t="n">
        <x:v>1</x:v>
      </x:c>
      <x:c r="F3" s="34" t="n">
        <x:f>(163840)*(7168)</x:f>
        <x:v>1174405120</x:v>
      </x:c>
      <x:c r="G3" s="7" t="str">
        <x:v>LM head TP</x:v>
      </x:c>
      <x:c r="H3" s="7" t="str">
        <x:v>None</x:v>
      </x:c>
      <x:c r="I3" s="7" t="str">
        <x:v>否</x:v>
      </x:c>
      <x:c r="J3" s="44" t="n">
        <x:f>E3*SUM(AE3:AG3)/1073741824</x:f>
        <x:v>2.1875</x:v>
      </x:c>
      <x:c r="K3" s="44" t="n">
        <x:f>AA3</x:f>
        <x:v>0.13671875</x:v>
      </x:c>
      <x:c r="L3" s="7" t="str">
        <x:f>IF(OR(D3="MXFP4",D3="MXFP8"),"group 32 / E8M0",IF(D3="INT8","channel / 8 B",IF(D3="INT4","channel / 16 B","")))</x:f>
      </x:c>
      <x:c r="M3" s="45" t="n">
        <x:f>$R$6</x:f>
        <x:v>16</x:v>
      </x:c>
      <x:c r="N3" s="7" t="str">
        <x:f>"["&amp;(163840/M3)&amp;","&amp;(7168)&amp;"]"</x:f>
        <x:v>[10240,7168]</x:v>
      </x:c>
      <x:c r="O3" s="34" t="n">
        <x:f>CHOOSE($R$22+1,1)</x:f>
        <x:v>1</x:v>
      </x:c>
      <x:c r="P3" s="2"/>
      <x:c r="Q3" s="7" t="str">
        <x:v>KDA o_proj TP</x:v>
      </x:c>
      <x:c r="R3" s="14" t="n">
        <x:f>$R$2*1</x:f>
        <x:v>16</x:v>
      </x:c>
      <x:c r="S3" s="7" t="str">
        <x:v>本 stage Attention 层数</x:v>
      </x:c>
      <x:c r="T3" s="7" t="n">
        <x:f>CHOOSE(R22+1,24)</x:f>
        <x:v>24</x:v>
      </x:c>
      <x:c r="U3" s="2"/>
      <x:c r="V3" s="2"/>
      <x:c r="W3" s="2"/>
      <x:c r="X3" s="2"/>
      <x:c r="Y3" s="2"/>
      <x:c r="Z3" s="2"/>
      <x:c r="AA3" s="38" t="n">
        <x:f>IF($R$30=1,SUM(AB3:AD3)*(1)/1073741824,NA())</x:f>
        <x:v>0.13671875</x:v>
      </x:c>
      <x:c r="AB3" s="39" t="n">
        <x:f>(163840/M3)*ROUNDUP((7168)*VLOOKUP(D3,$Q$32:$R$38,2,FALSE),0)</x:f>
        <x:v>146800640</x:v>
      </x:c>
      <x:c r="AC3" s="39" t="n">
        <x:f>IF(OR(D3="MXFP4",D3="MXFP8"),(163840/M3)*ROUNDUP((7168)/32,0),0)</x:f>
        <x:v>0</x:v>
      </x:c>
      <x:c r="AD3" s="39" t="n">
        <x:f>IF(D3="INT8",(163840/M3)*8,IF(D3="INT4",(163840/M3)*16,0))</x:f>
        <x:v>0</x:v>
      </x:c>
      <x:c r="AE3" s="39" t="n">
        <x:f>(163840)*ROUNDUP((7168)*VLOOKUP(D3,$Q$32:$R$38,2,FALSE),0)</x:f>
        <x:v>2348810240</x:v>
      </x:c>
      <x:c r="AF3" s="39" t="n">
        <x:f>IF(OR(D3="MXFP4",D3="MXFP8"),(163840)*ROUNDUP((7168)/32,0),0)</x:f>
        <x:v>0</x:v>
      </x:c>
      <x:c r="AG3" s="39" t="n">
        <x:f>IF(D3="INT8",(163840)*8,IF(D3="INT4",(163840)*16,0))</x:f>
        <x:v>0</x:v>
      </x:c>
    </x:row>
    <x:row r="4" ht="18" customHeight="1">
      <x:c r="A4" s="48" t="str">
        <x:v>Decoder common</x:v>
      </x:c>
      <x:c r="B4" s="48" t="str">
        <x:v>input_layernorm.weight</x:v>
      </x:c>
      <x:c r="C4" s="48" t="str">
        <x:v>[7168]</x:v>
      </x:c>
      <x:c r="D4" s="49" t="str">
        <x:v>BF16</x:v>
      </x:c>
      <x:c r="E4" s="50" t="n">
        <x:v>93</x:v>
      </x:c>
      <x:c r="F4" s="50" t="n">
        <x:f>(7168)</x:f>
        <x:v>7168</x:v>
      </x:c>
      <x:c r="G4" s="48" t="str">
        <x:v>Replicated</x:v>
      </x:c>
      <x:c r="H4" s="48" t="str">
        <x:v>None</x:v>
      </x:c>
      <x:c r="I4" s="48" t="str">
        <x:v>否</x:v>
      </x:c>
      <x:c r="J4" s="51" t="n">
        <x:f>E4*SUM(AE4:AG4)/1073741824</x:f>
        <x:v>0.0012416839599609375</x:v>
      </x:c>
      <x:c r="K4" s="51" t="n">
        <x:f>AA4</x:f>
        <x:v>0.0012416839599609375</x:v>
      </x:c>
      <x:c r="L4" s="48" t="str">
        <x:f>IF(OR(D4="MXFP4",D4="MXFP8"),"group 32 / E8M0",IF(D4="INT8","channel / 8 B",IF(D4="INT4","channel / 16 B","")))</x:f>
      </x:c>
      <x:c r="M4" s="52" t="n">
        <x:f>1</x:f>
        <x:v>1</x:v>
      </x:c>
      <x:c r="N4" s="48" t="str">
        <x:f>"["&amp;(7168/M4)&amp;"]"</x:f>
        <x:v>[7168]</x:v>
      </x:c>
      <x:c r="O4" s="50" t="n">
        <x:f>CHOOSE($R$22+1,93)</x:f>
        <x:v>93</x:v>
      </x:c>
      <x:c r="P4" s="2"/>
      <x:c r="Q4" s="7" t="str">
        <x:v>Attention 主体 TP</x:v>
      </x:c>
      <x:c r="R4" s="14" t="n">
        <x:v>1</x:v>
      </x:c>
      <x:c r="S4" s="7" t="str">
        <x:v>KDA heads</x:v>
      </x:c>
      <x:c r="T4" s="7" t="n">
        <x:v>96</x:v>
      </x:c>
      <x:c r="U4" s="2"/>
      <x:c r="V4" s="2"/>
      <x:c r="W4" s="2"/>
      <x:c r="X4" s="2"/>
      <x:c r="Y4" s="2"/>
      <x:c r="Z4" s="2"/>
      <x:c r="AA4" s="38" t="n">
        <x:f>IF($R$30=1,SUM(AB4:AD4)*(93)/1073741824,NA())</x:f>
        <x:v>0.0012416839599609375</x:v>
      </x:c>
      <x:c r="AB4" s="39" t="n">
        <x:f>1*ROUNDUP((7168/M4)*VLOOKUP(D4,$Q$32:$R$38,2,FALSE),0)</x:f>
        <x:v>14336</x:v>
      </x:c>
      <x:c r="AC4" s="39" t="n">
        <x:f>IF(OR(D4="MXFP4",D4="MXFP8"),1*ROUNDUP((7168/M4)/32,0),0)</x:f>
        <x:v>0</x:v>
      </x:c>
      <x:c r="AD4" s="39" t="n">
        <x:f>IF(D4="INT8",(7168/M4)*8,IF(D4="INT4",(7168/M4)*16,0))</x:f>
        <x:v>0</x:v>
      </x:c>
      <x:c r="AE4" s="39" t="n">
        <x:f>1*ROUNDUP((7168)*VLOOKUP(D4,$Q$32:$R$38,2,FALSE),0)</x:f>
        <x:v>14336</x:v>
      </x:c>
      <x:c r="AF4" s="39" t="n">
        <x:f>IF(OR(D4="MXFP4",D4="MXFP8"),1*ROUNDUP((7168)/32,0),0)</x:f>
        <x:v>0</x:v>
      </x:c>
      <x:c r="AG4" s="39" t="n">
        <x:f>IF(D4="INT8",(7168)*8,IF(D4="INT4",(7168)*16,0))</x:f>
        <x:v>0</x:v>
      </x:c>
    </x:row>
    <x:row r="5" ht="18" customHeight="1">
      <x:c r="A5" s="7" t="str">
        <x:v>Decoder common</x:v>
      </x:c>
      <x:c r="B5" s="7" t="str">
        <x:v>post_attention_layernorm.weight</x:v>
      </x:c>
      <x:c r="C5" s="7" t="str">
        <x:v>[7168]</x:v>
      </x:c>
      <x:c r="D5" s="10" t="str">
        <x:v>BF16</x:v>
      </x:c>
      <x:c r="E5" s="34" t="n">
        <x:v>93</x:v>
      </x:c>
      <x:c r="F5" s="34" t="n">
        <x:f>(7168)</x:f>
        <x:v>7168</x:v>
      </x:c>
      <x:c r="G5" s="7" t="str">
        <x:v>Replicated</x:v>
      </x:c>
      <x:c r="H5" s="7" t="str">
        <x:v>None</x:v>
      </x:c>
      <x:c r="I5" s="7" t="str">
        <x:v>否</x:v>
      </x:c>
      <x:c r="J5" s="44" t="n">
        <x:f>E5*SUM(AE5:AG5)/1073741824</x:f>
        <x:v>0.0012416839599609375</x:v>
      </x:c>
      <x:c r="K5" s="44" t="n">
        <x:f>AA5</x:f>
        <x:v>0.0012416839599609375</x:v>
      </x:c>
      <x:c r="L5" s="7" t="str">
        <x:f>IF(OR(D5="MXFP4",D5="MXFP8"),"group 32 / E8M0",IF(D5="INT8","channel / 8 B",IF(D5="INT4","channel / 16 B","")))</x:f>
      </x:c>
      <x:c r="M5" s="45" t="n">
        <x:f>1</x:f>
        <x:v>1</x:v>
      </x:c>
      <x:c r="N5" s="7" t="str">
        <x:f>"["&amp;(7168/M5)&amp;"]"</x:f>
        <x:v>[7168]</x:v>
      </x:c>
      <x:c r="O5" s="34" t="n">
        <x:f>CHOOSE($R$22+1,93)</x:f>
        <x:v>93</x:v>
      </x:c>
      <x:c r="P5" s="2"/>
      <x:c r="Q5" s="7" t="str">
        <x:v>Attention o_proj TP</x:v>
      </x:c>
      <x:c r="R5" s="14" t="n">
        <x:f>$R$2*1</x:f>
        <x:v>16</x:v>
      </x:c>
      <x:c r="S5" s="7" t="str">
        <x:v>KDA head dim</x:v>
      </x:c>
      <x:c r="T5" s="7" t="n">
        <x:v>128</x:v>
      </x:c>
      <x:c r="U5" s="2"/>
      <x:c r="V5" s="2"/>
      <x:c r="W5" s="2"/>
      <x:c r="X5" s="2"/>
      <x:c r="Y5" s="2"/>
      <x:c r="Z5" s="2"/>
      <x:c r="AA5" s="38" t="n">
        <x:f>IF($R$30=1,SUM(AB5:AD5)*(93)/1073741824,NA())</x:f>
        <x:v>0.0012416839599609375</x:v>
      </x:c>
      <x:c r="AB5" s="39" t="n">
        <x:f>1*ROUNDUP((7168/M5)*VLOOKUP(D5,$Q$32:$R$38,2,FALSE),0)</x:f>
        <x:v>14336</x:v>
      </x:c>
      <x:c r="AC5" s="39" t="n">
        <x:f>IF(OR(D5="MXFP4",D5="MXFP8"),1*ROUNDUP((7168/M5)/32,0),0)</x:f>
        <x:v>0</x:v>
      </x:c>
      <x:c r="AD5" s="39" t="n">
        <x:f>IF(D5="INT8",(7168/M5)*8,IF(D5="INT4",(7168/M5)*16,0))</x:f>
        <x:v>0</x:v>
      </x:c>
      <x:c r="AE5" s="39" t="n">
        <x:f>1*ROUNDUP((7168)*VLOOKUP(D5,$Q$32:$R$38,2,FALSE),0)</x:f>
        <x:v>14336</x:v>
      </x:c>
      <x:c r="AF5" s="39" t="n">
        <x:f>IF(OR(D5="MXFP4",D5="MXFP8"),1*ROUNDUP((7168)/32,0),0)</x:f>
        <x:v>0</x:v>
      </x:c>
      <x:c r="AG5" s="39" t="n">
        <x:f>IF(D5="INT8",(7168)*8,IF(D5="INT4",(7168)*16,0))</x:f>
        <x:v>0</x:v>
      </x:c>
    </x:row>
    <x:row r="6" ht="18" customHeight="1">
      <x:c r="A6" s="7" t="str">
        <x:v>Decoder common</x:v>
      </x:c>
      <x:c r="B6" s="7" t="str">
        <x:v>self_attention_res_norm.weight</x:v>
      </x:c>
      <x:c r="C6" s="7" t="str">
        <x:v>[7168]</x:v>
      </x:c>
      <x:c r="D6" s="10" t="str">
        <x:v>BF16</x:v>
      </x:c>
      <x:c r="E6" s="34" t="n">
        <x:v>93</x:v>
      </x:c>
      <x:c r="F6" s="34" t="n">
        <x:f>(7168)</x:f>
        <x:v>7168</x:v>
      </x:c>
      <x:c r="G6" s="7" t="str">
        <x:v>Replicated</x:v>
      </x:c>
      <x:c r="H6" s="7" t="str">
        <x:v>None</x:v>
      </x:c>
      <x:c r="I6" s="7" t="str">
        <x:v>否</x:v>
      </x:c>
      <x:c r="J6" s="44" t="n">
        <x:f>E6*SUM(AE6:AG6)/1073741824</x:f>
        <x:v>0.0012416839599609375</x:v>
      </x:c>
      <x:c r="K6" s="44" t="n">
        <x:f>AA6</x:f>
        <x:v>0.0012416839599609375</x:v>
      </x:c>
      <x:c r="L6" s="7" t="str">
        <x:f>IF(OR(D6="MXFP4",D6="MXFP8"),"group 32 / E8M0",IF(D6="INT8","channel / 8 B",IF(D6="INT4","channel / 16 B","")))</x:f>
      </x:c>
      <x:c r="M6" s="45" t="n">
        <x:f>1</x:f>
        <x:v>1</x:v>
      </x:c>
      <x:c r="N6" s="7" t="str">
        <x:f>"["&amp;(7168/M6)&amp;"]"</x:f>
        <x:v>[7168]</x:v>
      </x:c>
      <x:c r="O6" s="34" t="n">
        <x:f>CHOOSE($R$22+1,93)</x:f>
        <x:v>93</x:v>
      </x:c>
      <x:c r="P6" s="2"/>
      <x:c r="Q6" s="7" t="str">
        <x:v>lm_head TP</x:v>
      </x:c>
      <x:c r="R6" s="14" t="n">
        <x:f>$R$2*1</x:f>
        <x:v>16</x:v>
      </x:c>
      <x:c r="S6" s="7" t="str">
        <x:v>Attention heads</x:v>
      </x:c>
      <x:c r="T6" s="7" t="n">
        <x:v>96</x:v>
      </x:c>
      <x:c r="U6" s="2"/>
      <x:c r="V6" s="2"/>
      <x:c r="W6" s="2"/>
      <x:c r="X6" s="2"/>
      <x:c r="Y6" s="2"/>
      <x:c r="Z6" s="2"/>
      <x:c r="AA6" s="38" t="n">
        <x:f>IF($R$30=1,SUM(AB6:AD6)*(93)/1073741824,NA())</x:f>
        <x:v>0.0012416839599609375</x:v>
      </x:c>
      <x:c r="AB6" s="39" t="n">
        <x:f>1*ROUNDUP((7168/M6)*VLOOKUP(D6,$Q$32:$R$38,2,FALSE),0)</x:f>
        <x:v>14336</x:v>
      </x:c>
      <x:c r="AC6" s="39" t="n">
        <x:f>IF(OR(D6="MXFP4",D6="MXFP8"),1*ROUNDUP((7168/M6)/32,0),0)</x:f>
        <x:v>0</x:v>
      </x:c>
      <x:c r="AD6" s="39" t="n">
        <x:f>IF(D6="INT8",(7168/M6)*8,IF(D6="INT4",(7168/M6)*16,0))</x:f>
        <x:v>0</x:v>
      </x:c>
      <x:c r="AE6" s="39" t="n">
        <x:f>1*ROUNDUP((7168)*VLOOKUP(D6,$Q$32:$R$38,2,FALSE),0)</x:f>
        <x:v>14336</x:v>
      </x:c>
      <x:c r="AF6" s="39" t="n">
        <x:f>IF(OR(D6="MXFP4",D6="MXFP8"),1*ROUNDUP((7168)/32,0),0)</x:f>
        <x:v>0</x:v>
      </x:c>
      <x:c r="AG6" s="39" t="n">
        <x:f>IF(D6="INT8",(7168)*8,IF(D6="INT4",(7168)*16,0))</x:f>
        <x:v>0</x:v>
      </x:c>
    </x:row>
    <x:row r="7" ht="18" customHeight="1">
      <x:c r="A7" s="7" t="str">
        <x:v>Decoder common</x:v>
      </x:c>
      <x:c r="B7" s="7" t="str">
        <x:v>mlp_res_norm.weight</x:v>
      </x:c>
      <x:c r="C7" s="7" t="str">
        <x:v>[7168]</x:v>
      </x:c>
      <x:c r="D7" s="10" t="str">
        <x:v>BF16</x:v>
      </x:c>
      <x:c r="E7" s="34" t="n">
        <x:v>93</x:v>
      </x:c>
      <x:c r="F7" s="34" t="n">
        <x:f>(7168)</x:f>
        <x:v>7168</x:v>
      </x:c>
      <x:c r="G7" s="7" t="str">
        <x:v>Replicated</x:v>
      </x:c>
      <x:c r="H7" s="7" t="str">
        <x:v>None</x:v>
      </x:c>
      <x:c r="I7" s="7" t="str">
        <x:v>否</x:v>
      </x:c>
      <x:c r="J7" s="44" t="n">
        <x:f>E7*SUM(AE7:AG7)/1073741824</x:f>
        <x:v>0.0012416839599609375</x:v>
      </x:c>
      <x:c r="K7" s="44" t="n">
        <x:f>AA7</x:f>
        <x:v>0.0012416839599609375</x:v>
      </x:c>
      <x:c r="L7" s="7" t="str">
        <x:f>IF(OR(D7="MXFP4",D7="MXFP8"),"group 32 / E8M0",IF(D7="INT8","channel / 8 B",IF(D7="INT4","channel / 16 B","")))</x:f>
      </x:c>
      <x:c r="M7" s="45" t="n">
        <x:f>1</x:f>
        <x:v>1</x:v>
      </x:c>
      <x:c r="N7" s="7" t="str">
        <x:f>"["&amp;(7168/M7)&amp;"]"</x:f>
        <x:v>[7168]</x:v>
      </x:c>
      <x:c r="O7" s="34" t="n">
        <x:f>CHOOSE($R$22+1,93)</x:f>
        <x:v>93</x:v>
      </x:c>
      <x:c r="P7" s="2"/>
      <x:c r="Q7" s="7" t="str">
        <x:v>embedding TP</x:v>
      </x:c>
      <x:c r="R7" s="14" t="n">
        <x:f>$R$2*1</x:f>
        <x:v>16</x:v>
      </x:c>
      <x:c r="S7" s="7" t="str">
        <x:v>Indexer query heads</x:v>
      </x:c>
      <x:c r="T7" s="7" t="n">
        <x:v>0</x:v>
      </x:c>
      <x:c r="U7" s="2"/>
      <x:c r="V7" s="2"/>
      <x:c r="W7" s="2"/>
      <x:c r="X7" s="2"/>
      <x:c r="Y7" s="2"/>
      <x:c r="Z7" s="2"/>
      <x:c r="AA7" s="38" t="n">
        <x:f>IF($R$30=1,SUM(AB7:AD7)*(93)/1073741824,NA())</x:f>
        <x:v>0.0012416839599609375</x:v>
      </x:c>
      <x:c r="AB7" s="39" t="n">
        <x:f>1*ROUNDUP((7168/M7)*VLOOKUP(D7,$Q$32:$R$38,2,FALSE),0)</x:f>
        <x:v>14336</x:v>
      </x:c>
      <x:c r="AC7" s="39" t="n">
        <x:f>IF(OR(D7="MXFP4",D7="MXFP8"),1*ROUNDUP((7168/M7)/32,0),0)</x:f>
        <x:v>0</x:v>
      </x:c>
      <x:c r="AD7" s="39" t="n">
        <x:f>IF(D7="INT8",(7168/M7)*8,IF(D7="INT4",(7168/M7)*16,0))</x:f>
        <x:v>0</x:v>
      </x:c>
      <x:c r="AE7" s="39" t="n">
        <x:f>1*ROUNDUP((7168)*VLOOKUP(D7,$Q$32:$R$38,2,FALSE),0)</x:f>
        <x:v>14336</x:v>
      </x:c>
      <x:c r="AF7" s="39" t="n">
        <x:f>IF(OR(D7="MXFP4",D7="MXFP8"),1*ROUNDUP((7168)/32,0),0)</x:f>
        <x:v>0</x:v>
      </x:c>
      <x:c r="AG7" s="39" t="n">
        <x:f>IF(D7="INT8",(7168)*8,IF(D7="INT4",(7168)*16,0))</x:f>
        <x:v>0</x:v>
      </x:c>
    </x:row>
    <x:row r="8" ht="18" customHeight="1">
      <x:c r="A8" s="7" t="str">
        <x:v>Decoder common</x:v>
      </x:c>
      <x:c r="B8" s="7" t="str">
        <x:v>self_attention_res_proj.weight</x:v>
      </x:c>
      <x:c r="C8" s="7" t="str">
        <x:v>[1,7168]</x:v>
      </x:c>
      <x:c r="D8" s="10" t="str">
        <x:v>BF16</x:v>
      </x:c>
      <x:c r="E8" s="34" t="n">
        <x:v>93</x:v>
      </x:c>
      <x:c r="F8" s="34" t="n">
        <x:f>(1)*(7168)</x:f>
        <x:v>7168</x:v>
      </x:c>
      <x:c r="G8" s="7" t="str">
        <x:v>Replicated</x:v>
      </x:c>
      <x:c r="H8" s="7" t="str">
        <x:v>None</x:v>
      </x:c>
      <x:c r="I8" s="7" t="str">
        <x:v>否</x:v>
      </x:c>
      <x:c r="J8" s="44" t="n">
        <x:f>E8*SUM(AE8:AG8)/1073741824</x:f>
        <x:v>0.0012416839599609375</x:v>
      </x:c>
      <x:c r="K8" s="44" t="n">
        <x:f>AA8</x:f>
        <x:v>0.0012416839599609375</x:v>
      </x:c>
      <x:c r="L8" s="7" t="str">
        <x:f>IF(OR(D8="MXFP4",D8="MXFP8"),"group 32 / E8M0",IF(D8="INT8","channel / 8 B",IF(D8="INT4","channel / 16 B","")))</x:f>
      </x:c>
      <x:c r="M8" s="45" t="n">
        <x:f>1</x:f>
        <x:v>1</x:v>
      </x:c>
      <x:c r="N8" s="7" t="str">
        <x:f>"["&amp;(1/M8)&amp;","&amp;(7168)&amp;"]"</x:f>
        <x:v>[1,7168]</x:v>
      </x:c>
      <x:c r="O8" s="34" t="n">
        <x:f>CHOOSE($R$22+1,93)</x:f>
        <x:v>93</x:v>
      </x:c>
      <x:c r="P8" s="2"/>
      <x:c r="Q8" s="7" t="str">
        <x:v>其他语言 TP</x:v>
      </x:c>
      <x:c r="R8" s="14" t="n">
        <x:f>$R$2*1</x:f>
        <x:v>16</x:v>
      </x:c>
      <x:c r="S8" s="7" t="str">
        <x:v>本 stage MoE 层数</x:v>
      </x:c>
      <x:c r="T8" s="7" t="n">
        <x:f>CHOOSE(R22+1,92)</x:f>
        <x:v>92</x:v>
      </x:c>
      <x:c r="U8" s="2"/>
      <x:c r="V8" s="2"/>
      <x:c r="W8" s="2"/>
      <x:c r="X8" s="2"/>
      <x:c r="Y8" s="2"/>
      <x:c r="Z8" s="2"/>
      <x:c r="AA8" s="38" t="n">
        <x:f>IF($R$30=1,SUM(AB8:AD8)*(93)/1073741824,NA())</x:f>
        <x:v>0.0012416839599609375</x:v>
      </x:c>
      <x:c r="AB8" s="39" t="n">
        <x:f>(1/M8)*ROUNDUP((7168)*VLOOKUP(D8,$Q$32:$R$38,2,FALSE),0)</x:f>
        <x:v>14336</x:v>
      </x:c>
      <x:c r="AC8" s="39" t="n">
        <x:f>IF(OR(D8="MXFP4",D8="MXFP8"),(1/M8)*ROUNDUP((7168)/32,0),0)</x:f>
        <x:v>0</x:v>
      </x:c>
      <x:c r="AD8" s="39" t="n">
        <x:f>IF(D8="INT8",(1/M8)*8,IF(D8="INT4",(1/M8)*16,0))</x:f>
        <x:v>0</x:v>
      </x:c>
      <x:c r="AE8" s="39" t="n">
        <x:f>(1)*ROUNDUP((7168)*VLOOKUP(D8,$Q$32:$R$38,2,FALSE),0)</x:f>
        <x:v>14336</x:v>
      </x:c>
      <x:c r="AF8" s="39" t="n">
        <x:f>IF(OR(D8="MXFP4",D8="MXFP8"),(1)*ROUNDUP((7168)/32,0),0)</x:f>
        <x:v>0</x:v>
      </x:c>
      <x:c r="AG8" s="39" t="n">
        <x:f>IF(D8="INT8",(1)*8,IF(D8="INT4",(1)*16,0))</x:f>
        <x:v>0</x:v>
      </x:c>
    </x:row>
    <x:row r="9" ht="18" customHeight="1">
      <x:c r="A9" s="7" t="str">
        <x:v>Decoder common</x:v>
      </x:c>
      <x:c r="B9" s="7" t="str">
        <x:v>mlp_res_proj.weight</x:v>
      </x:c>
      <x:c r="C9" s="7" t="str">
        <x:v>[1,7168]</x:v>
      </x:c>
      <x:c r="D9" s="10" t="str">
        <x:v>BF16</x:v>
      </x:c>
      <x:c r="E9" s="34" t="n">
        <x:v>93</x:v>
      </x:c>
      <x:c r="F9" s="34" t="n">
        <x:f>(1)*(7168)</x:f>
        <x:v>7168</x:v>
      </x:c>
      <x:c r="G9" s="7" t="str">
        <x:v>Replicated</x:v>
      </x:c>
      <x:c r="H9" s="7" t="str">
        <x:v>None</x:v>
      </x:c>
      <x:c r="I9" s="7" t="str">
        <x:v>否</x:v>
      </x:c>
      <x:c r="J9" s="44" t="n">
        <x:f>E9*SUM(AE9:AG9)/1073741824</x:f>
        <x:v>0.0012416839599609375</x:v>
      </x:c>
      <x:c r="K9" s="44" t="n">
        <x:f>AA9</x:f>
        <x:v>0.0012416839599609375</x:v>
      </x:c>
      <x:c r="L9" s="7" t="str">
        <x:f>IF(OR(D9="MXFP4",D9="MXFP8"),"group 32 / E8M0",IF(D9="INT8","channel / 8 B",IF(D9="INT4","channel / 16 B","")))</x:f>
      </x:c>
      <x:c r="M9" s="45" t="n">
        <x:f>1</x:f>
        <x:v>1</x:v>
      </x:c>
      <x:c r="N9" s="7" t="str">
        <x:f>"["&amp;(1/M9)&amp;","&amp;(7168)&amp;"]"</x:f>
        <x:v>[1,7168]</x:v>
      </x:c>
      <x:c r="O9" s="34" t="n">
        <x:f>CHOOSE($R$22+1,93)</x:f>
        <x:v>93</x:v>
      </x:c>
      <x:c r="P9" s="2"/>
      <x:c r="Q9" s="7" t="str">
        <x:v>EP</x:v>
      </x:c>
      <x:c r="R9" s="14" t="n">
        <x:v>128</x:v>
      </x:c>
      <x:c r="S9" s="7" t="str">
        <x:v>Routed experts / layer</x:v>
      </x:c>
      <x:c r="T9" s="7" t="n">
        <x:v>896</x:v>
      </x:c>
      <x:c r="U9" s="2"/>
      <x:c r="V9" s="2"/>
      <x:c r="W9" s="2"/>
      <x:c r="X9" s="2"/>
      <x:c r="Y9" s="2"/>
      <x:c r="Z9" s="2"/>
      <x:c r="AA9" s="38" t="n">
        <x:f>IF($R$30=1,SUM(AB9:AD9)*(93)/1073741824,NA())</x:f>
        <x:v>0.0012416839599609375</x:v>
      </x:c>
      <x:c r="AB9" s="39" t="n">
        <x:f>(1/M9)*ROUNDUP((7168)*VLOOKUP(D9,$Q$32:$R$38,2,FALSE),0)</x:f>
        <x:v>14336</x:v>
      </x:c>
      <x:c r="AC9" s="39" t="n">
        <x:f>IF(OR(D9="MXFP4",D9="MXFP8"),(1/M9)*ROUNDUP((7168)/32,0),0)</x:f>
        <x:v>0</x:v>
      </x:c>
      <x:c r="AD9" s="39" t="n">
        <x:f>IF(D9="INT8",(1/M9)*8,IF(D9="INT4",(1/M9)*16,0))</x:f>
        <x:v>0</x:v>
      </x:c>
      <x:c r="AE9" s="39" t="n">
        <x:f>(1)*ROUNDUP((7168)*VLOOKUP(D9,$Q$32:$R$38,2,FALSE),0)</x:f>
        <x:v>14336</x:v>
      </x:c>
      <x:c r="AF9" s="39" t="n">
        <x:f>IF(OR(D9="MXFP4",D9="MXFP8"),(1)*ROUNDUP((7168)/32,0),0)</x:f>
        <x:v>0</x:v>
      </x:c>
      <x:c r="AG9" s="39" t="n">
        <x:f>IF(D9="INT8",(1)*8,IF(D9="INT4",(1)*16,0))</x:f>
        <x:v>0</x:v>
      </x:c>
    </x:row>
    <x:row r="10" ht="18" customHeight="1">
      <x:c r="A10" s="7" t="str">
        <x:v>Decoder common</x:v>
      </x:c>
      <x:c r="B10" s="7" t="str">
        <x:v>final_norm.weight</x:v>
      </x:c>
      <x:c r="C10" s="7" t="str">
        <x:v>[7168]</x:v>
      </x:c>
      <x:c r="D10" s="10" t="str">
        <x:v>BF16</x:v>
      </x:c>
      <x:c r="E10" s="34" t="n">
        <x:v>1</x:v>
      </x:c>
      <x:c r="F10" s="34" t="n">
        <x:f>(7168)</x:f>
        <x:v>7168</x:v>
      </x:c>
      <x:c r="G10" s="7" t="str">
        <x:v>Replicated</x:v>
      </x:c>
      <x:c r="H10" s="7" t="str">
        <x:v>None</x:v>
      </x:c>
      <x:c r="I10" s="7" t="str">
        <x:v>否</x:v>
      </x:c>
      <x:c r="J10" s="44" t="n">
        <x:f>E10*SUM(AE10:AG10)/1073741824</x:f>
        <x:v>0.0000133514404296875</x:v>
      </x:c>
      <x:c r="K10" s="44" t="n">
        <x:f>AA10</x:f>
        <x:v>0.0000133514404296875</x:v>
      </x:c>
      <x:c r="L10" s="7" t="str">
        <x:f>IF(OR(D10="MXFP4",D10="MXFP8"),"group 32 / E8M0",IF(D10="INT8","channel / 8 B",IF(D10="INT4","channel / 16 B","")))</x:f>
      </x:c>
      <x:c r="M10" s="45" t="n">
        <x:f>1</x:f>
        <x:v>1</x:v>
      </x:c>
      <x:c r="N10" s="7" t="str">
        <x:f>"["&amp;(7168/M10)&amp;"]"</x:f>
        <x:v>[7168]</x:v>
      </x:c>
      <x:c r="O10" s="34" t="n">
        <x:f>CHOOSE($R$22+1,1)</x:f>
        <x:v>1</x:v>
      </x:c>
      <x:c r="P10" s="2"/>
      <x:c r="Q10" s="7" t="str">
        <x:v>共享专家 TP</x:v>
      </x:c>
      <x:c r="R10" s="14" t="n">
        <x:v>16</x:v>
      </x:c>
      <x:c r="S10" s="7" t="str">
        <x:v>Shared experts / layer</x:v>
      </x:c>
      <x:c r="T10" s="7" t="n">
        <x:v>2</x:v>
      </x:c>
      <x:c r="U10" s="2"/>
      <x:c r="V10" s="2"/>
      <x:c r="W10" s="2"/>
      <x:c r="X10" s="2"/>
      <x:c r="Y10" s="2"/>
      <x:c r="Z10" s="2"/>
      <x:c r="AA10" s="38" t="n">
        <x:f>IF($R$30=1,SUM(AB10:AD10)*(1)/1073741824,NA())</x:f>
        <x:v>0.0000133514404296875</x:v>
      </x:c>
      <x:c r="AB10" s="39" t="n">
        <x:f>1*ROUNDUP((7168/M10)*VLOOKUP(D10,$Q$32:$R$38,2,FALSE),0)</x:f>
        <x:v>14336</x:v>
      </x:c>
      <x:c r="AC10" s="39" t="n">
        <x:f>IF(OR(D10="MXFP4",D10="MXFP8"),1*ROUNDUP((7168/M10)/32,0),0)</x:f>
        <x:v>0</x:v>
      </x:c>
      <x:c r="AD10" s="39" t="n">
        <x:f>IF(D10="INT8",(7168/M10)*8,IF(D10="INT4",(7168/M10)*16,0))</x:f>
        <x:v>0</x:v>
      </x:c>
      <x:c r="AE10" s="39" t="n">
        <x:f>1*ROUNDUP((7168)*VLOOKUP(D10,$Q$32:$R$38,2,FALSE),0)</x:f>
        <x:v>14336</x:v>
      </x:c>
      <x:c r="AF10" s="39" t="n">
        <x:f>IF(OR(D10="MXFP4",D10="MXFP8"),1*ROUNDUP((7168)/32,0),0)</x:f>
        <x:v>0</x:v>
      </x:c>
      <x:c r="AG10" s="39" t="n">
        <x:f>IF(D10="INT8",(7168)*8,IF(D10="INT4",(7168)*16,0))</x:f>
        <x:v>0</x:v>
      </x:c>
    </x:row>
    <x:row r="11" ht="18" customHeight="1">
      <x:c r="A11" s="7" t="str">
        <x:v>Decoder common</x:v>
      </x:c>
      <x:c r="B11" s="7" t="str">
        <x:v>output_attn_res_norm.weight</x:v>
      </x:c>
      <x:c r="C11" s="7" t="str">
        <x:v>[7168]</x:v>
      </x:c>
      <x:c r="D11" s="10" t="str">
        <x:v>BF16</x:v>
      </x:c>
      <x:c r="E11" s="34" t="n">
        <x:v>1</x:v>
      </x:c>
      <x:c r="F11" s="34" t="n">
        <x:f>(7168)</x:f>
        <x:v>7168</x:v>
      </x:c>
      <x:c r="G11" s="7" t="str">
        <x:v>Replicated</x:v>
      </x:c>
      <x:c r="H11" s="7" t="str">
        <x:v>None</x:v>
      </x:c>
      <x:c r="I11" s="7" t="str">
        <x:v>否</x:v>
      </x:c>
      <x:c r="J11" s="44" t="n">
        <x:f>E11*SUM(AE11:AG11)/1073741824</x:f>
        <x:v>0.0000133514404296875</x:v>
      </x:c>
      <x:c r="K11" s="44" t="n">
        <x:f>AA11</x:f>
        <x:v>0.0000133514404296875</x:v>
      </x:c>
      <x:c r="L11" s="7" t="str">
        <x:f>IF(OR(D11="MXFP4",D11="MXFP8"),"group 32 / E8M0",IF(D11="INT8","channel / 8 B",IF(D11="INT4","channel / 16 B","")))</x:f>
      </x:c>
      <x:c r="M11" s="45" t="n">
        <x:f>1</x:f>
        <x:v>1</x:v>
      </x:c>
      <x:c r="N11" s="7" t="str">
        <x:f>"["&amp;(7168/M11)&amp;"]"</x:f>
        <x:v>[7168]</x:v>
      </x:c>
      <x:c r="O11" s="34" t="n">
        <x:f>CHOOSE($R$22+1,1)</x:f>
        <x:v>1</x:v>
      </x:c>
      <x:c r="P11" s="2"/>
      <x:c r="Q11" s="7" t="str">
        <x:v>DSA CP</x:v>
      </x:c>
      <x:c r="R11" s="15" t="n">
        <x:v>1</x:v>
      </x:c>
      <x:c r="S11" s="7" t="str">
        <x:v>MLA latent dim</x:v>
      </x:c>
      <x:c r="T11" s="7" t="n">
        <x:v>512</x:v>
      </x:c>
      <x:c r="U11" s="2"/>
      <x:c r="V11" s="2"/>
      <x:c r="W11" s="2"/>
      <x:c r="X11" s="2"/>
      <x:c r="Y11" s="2"/>
      <x:c r="Z11" s="2"/>
      <x:c r="AA11" s="38" t="n">
        <x:f>IF($R$30=1,SUM(AB11:AD11)*(1)/1073741824,NA())</x:f>
        <x:v>0.0000133514404296875</x:v>
      </x:c>
      <x:c r="AB11" s="39" t="n">
        <x:f>1*ROUNDUP((7168/M11)*VLOOKUP(D11,$Q$32:$R$38,2,FALSE),0)</x:f>
        <x:v>14336</x:v>
      </x:c>
      <x:c r="AC11" s="39" t="n">
        <x:f>IF(OR(D11="MXFP4",D11="MXFP8"),1*ROUNDUP((7168/M11)/32,0),0)</x:f>
        <x:v>0</x:v>
      </x:c>
      <x:c r="AD11" s="39" t="n">
        <x:f>IF(D11="INT8",(7168/M11)*8,IF(D11="INT4",(7168/M11)*16,0))</x:f>
        <x:v>0</x:v>
      </x:c>
      <x:c r="AE11" s="39" t="n">
        <x:f>1*ROUNDUP((7168)*VLOOKUP(D11,$Q$32:$R$38,2,FALSE),0)</x:f>
        <x:v>14336</x:v>
      </x:c>
      <x:c r="AF11" s="39" t="n">
        <x:f>IF(OR(D11="MXFP4",D11="MXFP8"),1*ROUNDUP((7168)/32,0),0)</x:f>
        <x:v>0</x:v>
      </x:c>
      <x:c r="AG11" s="39" t="n">
        <x:f>IF(D11="INT8",(7168)*8,IF(D11="INT4",(7168)*16,0))</x:f>
        <x:v>0</x:v>
      </x:c>
    </x:row>
    <x:row r="12" ht="18" customHeight="1">
      <x:c r="A12" s="7" t="str">
        <x:v>Decoder common</x:v>
      </x:c>
      <x:c r="B12" s="7" t="str">
        <x:v>output_attn_res_proj.weight</x:v>
      </x:c>
      <x:c r="C12" s="7" t="str">
        <x:v>[1,7168]</x:v>
      </x:c>
      <x:c r="D12" s="10" t="str">
        <x:v>BF16</x:v>
      </x:c>
      <x:c r="E12" s="34" t="n">
        <x:v>1</x:v>
      </x:c>
      <x:c r="F12" s="34" t="n">
        <x:f>(1)*(7168)</x:f>
        <x:v>7168</x:v>
      </x:c>
      <x:c r="G12" s="7" t="str">
        <x:v>Replicated</x:v>
      </x:c>
      <x:c r="H12" s="7" t="str">
        <x:v>None</x:v>
      </x:c>
      <x:c r="I12" s="7" t="str">
        <x:v>否</x:v>
      </x:c>
      <x:c r="J12" s="44" t="n">
        <x:f>E12*SUM(AE12:AG12)/1073741824</x:f>
        <x:v>0.0000133514404296875</x:v>
      </x:c>
      <x:c r="K12" s="44" t="n">
        <x:f>AA12</x:f>
        <x:v>0.0000133514404296875</x:v>
      </x:c>
      <x:c r="L12" s="7" t="str">
        <x:f>IF(OR(D12="MXFP4",D12="MXFP8"),"group 32 / E8M0",IF(D12="INT8","channel / 8 B",IF(D12="INT4","channel / 16 B","")))</x:f>
      </x:c>
      <x:c r="M12" s="45" t="n">
        <x:f>1</x:f>
        <x:v>1</x:v>
      </x:c>
      <x:c r="N12" s="7" t="str">
        <x:f>"["&amp;(1/M12)&amp;","&amp;(7168)&amp;"]"</x:f>
        <x:v>[1,7168]</x:v>
      </x:c>
      <x:c r="O12" s="34" t="n">
        <x:f>CHOOSE($R$22+1,1)</x:f>
        <x:v>1</x:v>
      </x:c>
      <x:c r="P12" s="2"/>
      <x:c r="Q12" s="7" t="str">
        <x:v>DCP</x:v>
      </x:c>
      <x:c r="R12" s="15" t="n">
        <x:v>1</x:v>
      </x:c>
      <x:c r="S12" s="7" t="str">
        <x:v>RoPE dim</x:v>
      </x:c>
      <x:c r="T12" s="7" t="n">
        <x:v>64</x:v>
      </x:c>
      <x:c r="U12" s="2"/>
      <x:c r="V12" s="2"/>
      <x:c r="W12" s="2"/>
      <x:c r="X12" s="2"/>
      <x:c r="Y12" s="2"/>
      <x:c r="Z12" s="2"/>
      <x:c r="AA12" s="38" t="n">
        <x:f>IF($R$30=1,SUM(AB12:AD12)*(1)/1073741824,NA())</x:f>
        <x:v>0.0000133514404296875</x:v>
      </x:c>
      <x:c r="AB12" s="39" t="n">
        <x:f>(1/M12)*ROUNDUP((7168)*VLOOKUP(D12,$Q$32:$R$38,2,FALSE),0)</x:f>
        <x:v>14336</x:v>
      </x:c>
      <x:c r="AC12" s="39" t="n">
        <x:f>IF(OR(D12="MXFP4",D12="MXFP8"),(1/M12)*ROUNDUP((7168)/32,0),0)</x:f>
        <x:v>0</x:v>
      </x:c>
      <x:c r="AD12" s="39" t="n">
        <x:f>IF(D12="INT8",(1/M12)*8,IF(D12="INT4",(1/M12)*16,0))</x:f>
        <x:v>0</x:v>
      </x:c>
      <x:c r="AE12" s="39" t="n">
        <x:f>(1)*ROUNDUP((7168)*VLOOKUP(D12,$Q$32:$R$38,2,FALSE),0)</x:f>
        <x:v>14336</x:v>
      </x:c>
      <x:c r="AF12" s="39" t="n">
        <x:f>IF(OR(D12="MXFP4",D12="MXFP8"),(1)*ROUNDUP((7168)/32,0),0)</x:f>
        <x:v>0</x:v>
      </x:c>
      <x:c r="AG12" s="39" t="n">
        <x:f>IF(D12="INT8",(1)*8,IF(D12="INT4",(1)*16,0))</x:f>
        <x:v>0</x:v>
      </x:c>
    </x:row>
    <x:row r="13" ht="18" customHeight="1">
      <x:c r="A13" s="48" t="str">
        <x:v>Dense MLP</x:v>
      </x:c>
      <x:c r="B13" s="48" t="str">
        <x:v>gate_proj.weight</x:v>
      </x:c>
      <x:c r="C13" s="48" t="str">
        <x:v>[33792,7168]</x:v>
      </x:c>
      <x:c r="D13" s="49" t="str">
        <x:v>BF16</x:v>
      </x:c>
      <x:c r="E13" s="50" t="n">
        <x:v>1</x:v>
      </x:c>
      <x:c r="F13" s="50" t="n">
        <x:f>(33792)*(7168)</x:f>
        <x:v>242221056</x:v>
      </x:c>
      <x:c r="G13" s="48" t="str">
        <x:v>Other TP</x:v>
      </x:c>
      <x:c r="H13" s="48" t="str">
        <x:v>None</x:v>
      </x:c>
      <x:c r="I13" s="48" t="str">
        <x:v>否</x:v>
      </x:c>
      <x:c r="J13" s="51" t="n">
        <x:f>E13*SUM(AE13:AG13)/1073741824</x:f>
        <x:v>0.451171875</x:v>
      </x:c>
      <x:c r="K13" s="51" t="n">
        <x:f>AA13</x:f>
        <x:v>0.0281982421875</x:v>
      </x:c>
      <x:c r="L13" s="48" t="str">
        <x:f>IF(OR(D13="MXFP4",D13="MXFP8"),"group 32 / E8M0",IF(D13="INT8","channel / 8 B",IF(D13="INT4","channel / 16 B","")))</x:f>
      </x:c>
      <x:c r="M13" s="52" t="n">
        <x:f>$R$8</x:f>
        <x:v>16</x:v>
      </x:c>
      <x:c r="N13" s="48" t="str">
        <x:f>"["&amp;(33792/M13)&amp;","&amp;(7168)&amp;"]"</x:f>
        <x:v>[2112,7168]</x:v>
      </x:c>
      <x:c r="O13" s="50" t="n">
        <x:f>CHOOSE($R$22+1,1)</x:f>
        <x:v>1</x:v>
      </x:c>
      <x:c r="P13" s="2"/>
      <x:c r="Q13" s="7" t="str">
        <x:v>MLA cache dtype</x:v>
      </x:c>
      <x:c r="R13" s="17" t="str">
        <x:v>BF16</x:v>
      </x:c>
      <x:c r="S13" s="7" t="str">
        <x:v>Indexer key dim</x:v>
      </x:c>
      <x:c r="T13" s="7" t="n">
        <x:v>0</x:v>
      </x:c>
      <x:c r="U13" s="2"/>
      <x:c r="V13" s="2"/>
      <x:c r="W13" s="2"/>
      <x:c r="X13" s="2"/>
      <x:c r="Y13" s="2"/>
      <x:c r="Z13" s="2"/>
      <x:c r="AA13" s="38" t="n">
        <x:f>IF($R$30=1,SUM(AB13:AD13)*(1)/1073741824,NA())</x:f>
        <x:v>0.0281982421875</x:v>
      </x:c>
      <x:c r="AB13" s="39" t="n">
        <x:f>(33792/M13)*ROUNDUP((7168)*VLOOKUP(D13,$Q$32:$R$38,2,FALSE),0)</x:f>
        <x:v>30277632</x:v>
      </x:c>
      <x:c r="AC13" s="39" t="n">
        <x:f>IF(OR(D13="MXFP4",D13="MXFP8"),(33792/M13)*ROUNDUP((7168)/32,0),0)</x:f>
        <x:v>0</x:v>
      </x:c>
      <x:c r="AD13" s="39" t="n">
        <x:f>IF(D13="INT8",(33792/M13)*8,IF(D13="INT4",(33792/M13)*16,0))</x:f>
        <x:v>0</x:v>
      </x:c>
      <x:c r="AE13" s="39" t="n">
        <x:f>(33792)*ROUNDUP((7168)*VLOOKUP(D13,$Q$32:$R$38,2,FALSE),0)</x:f>
        <x:v>484442112</x:v>
      </x:c>
      <x:c r="AF13" s="39" t="n">
        <x:f>IF(OR(D13="MXFP4",D13="MXFP8"),(33792)*ROUNDUP((7168)/32,0),0)</x:f>
        <x:v>0</x:v>
      </x:c>
      <x:c r="AG13" s="39" t="n">
        <x:f>IF(D13="INT8",(33792)*8,IF(D13="INT4",(33792)*16,0))</x:f>
        <x:v>0</x:v>
      </x:c>
    </x:row>
    <x:row r="14" ht="18" customHeight="1">
      <x:c r="A14" s="7" t="str">
        <x:v>Dense MLP</x:v>
      </x:c>
      <x:c r="B14" s="7" t="str">
        <x:v>up_proj.weight</x:v>
      </x:c>
      <x:c r="C14" s="7" t="str">
        <x:v>[33792,7168]</x:v>
      </x:c>
      <x:c r="D14" s="10" t="str">
        <x:v>BF16</x:v>
      </x:c>
      <x:c r="E14" s="34" t="n">
        <x:v>1</x:v>
      </x:c>
      <x:c r="F14" s="34" t="n">
        <x:f>(33792)*(7168)</x:f>
        <x:v>242221056</x:v>
      </x:c>
      <x:c r="G14" s="7" t="str">
        <x:v>Other TP</x:v>
      </x:c>
      <x:c r="H14" s="7" t="str">
        <x:v>None</x:v>
      </x:c>
      <x:c r="I14" s="7" t="str">
        <x:v>否</x:v>
      </x:c>
      <x:c r="J14" s="44" t="n">
        <x:f>E14*SUM(AE14:AG14)/1073741824</x:f>
        <x:v>0.451171875</x:v>
      </x:c>
      <x:c r="K14" s="44" t="n">
        <x:f>AA14</x:f>
        <x:v>0.0281982421875</x:v>
      </x:c>
      <x:c r="L14" s="7" t="str">
        <x:f>IF(OR(D14="MXFP4",D14="MXFP8"),"group 32 / E8M0",IF(D14="INT8","channel / 8 B",IF(D14="INT4","channel / 16 B","")))</x:f>
      </x:c>
      <x:c r="M14" s="45" t="n">
        <x:f>$R$8</x:f>
        <x:v>16</x:v>
      </x:c>
      <x:c r="N14" s="7" t="str">
        <x:f>"["&amp;(33792/M14)&amp;","&amp;(7168)&amp;"]"</x:f>
        <x:v>[2112,7168]</x:v>
      </x:c>
      <x:c r="O14" s="34" t="n">
        <x:f>CHOOSE($R$22+1,1)</x:f>
        <x:v>1</x:v>
      </x:c>
      <x:c r="P14" s="2"/>
      <x:c r="Q14" s="7" t="str">
        <x:v>Indexer cache dtype</x:v>
      </x:c>
      <x:c r="R14" s="17" t="str">
        <x:v>BF16</x:v>
      </x:c>
      <x:c r="S14" s="7" t="str">
        <x:v>Conv kernel</x:v>
      </x:c>
      <x:c r="T14" s="7" t="n">
        <x:v>4</x:v>
      </x:c>
      <x:c r="U14" s="2"/>
      <x:c r="V14" s="2"/>
      <x:c r="W14" s="2"/>
      <x:c r="X14" s="2"/>
      <x:c r="Y14" s="2"/>
      <x:c r="Z14" s="2"/>
      <x:c r="AA14" s="38" t="n">
        <x:f>IF($R$30=1,SUM(AB14:AD14)*(1)/1073741824,NA())</x:f>
        <x:v>0.0281982421875</x:v>
      </x:c>
      <x:c r="AB14" s="39" t="n">
        <x:f>(33792/M14)*ROUNDUP((7168)*VLOOKUP(D14,$Q$32:$R$38,2,FALSE),0)</x:f>
        <x:v>30277632</x:v>
      </x:c>
      <x:c r="AC14" s="39" t="n">
        <x:f>IF(OR(D14="MXFP4",D14="MXFP8"),(33792/M14)*ROUNDUP((7168)/32,0),0)</x:f>
        <x:v>0</x:v>
      </x:c>
      <x:c r="AD14" s="39" t="n">
        <x:f>IF(D14="INT8",(33792/M14)*8,IF(D14="INT4",(33792/M14)*16,0))</x:f>
        <x:v>0</x:v>
      </x:c>
      <x:c r="AE14" s="39" t="n">
        <x:f>(33792)*ROUNDUP((7168)*VLOOKUP(D14,$Q$32:$R$38,2,FALSE),0)</x:f>
        <x:v>484442112</x:v>
      </x:c>
      <x:c r="AF14" s="39" t="n">
        <x:f>IF(OR(D14="MXFP4",D14="MXFP8"),(33792)*ROUNDUP((7168)/32,0),0)</x:f>
        <x:v>0</x:v>
      </x:c>
      <x:c r="AG14" s="39" t="n">
        <x:f>IF(D14="INT8",(33792)*8,IF(D14="INT4",(33792)*16,0))</x:f>
        <x:v>0</x:v>
      </x:c>
    </x:row>
    <x:row r="15" ht="18" customHeight="1">
      <x:c r="A15" s="7" t="str">
        <x:v>Dense MLP</x:v>
      </x:c>
      <x:c r="B15" s="7" t="str">
        <x:v>down_proj.weight</x:v>
      </x:c>
      <x:c r="C15" s="7" t="str">
        <x:v>[7168,33792]</x:v>
      </x:c>
      <x:c r="D15" s="10" t="str">
        <x:v>BF16</x:v>
      </x:c>
      <x:c r="E15" s="34" t="n">
        <x:v>1</x:v>
      </x:c>
      <x:c r="F15" s="34" t="n">
        <x:f>(7168)*(33792)</x:f>
        <x:v>242221056</x:v>
      </x:c>
      <x:c r="G15" s="7" t="str">
        <x:v>Other TP</x:v>
      </x:c>
      <x:c r="H15" s="7" t="str">
        <x:v>None</x:v>
      </x:c>
      <x:c r="I15" s="7" t="str">
        <x:v>否</x:v>
      </x:c>
      <x:c r="J15" s="44" t="n">
        <x:f>E15*SUM(AE15:AG15)/1073741824</x:f>
        <x:v>0.451171875</x:v>
      </x:c>
      <x:c r="K15" s="44" t="n">
        <x:f>AA15</x:f>
        <x:v>0.0281982421875</x:v>
      </x:c>
      <x:c r="L15" s="7" t="str">
        <x:f>IF(OR(D15="MXFP4",D15="MXFP8"),"group 32 / E8M0",IF(D15="INT8","channel / 8 B",IF(D15="INT4","channel / 16 B","")))</x:f>
      </x:c>
      <x:c r="M15" s="45" t="n">
        <x:f>$R$8</x:f>
        <x:v>16</x:v>
      </x:c>
      <x:c r="N15" s="7" t="str">
        <x:f>"["&amp;(7168)&amp;","&amp;(33792/M15)&amp;"]"</x:f>
        <x:v>[7168,2112]</x:v>
      </x:c>
      <x:c r="O15" s="34" t="n">
        <x:f>CHOOSE($R$22+1,1)</x:f>
        <x:v>1</x:v>
      </x:c>
      <x:c r="P15" s="2"/>
      <x:c r="Q15" s="7" t="str">
        <x:v>Indexer scale bytes</x:v>
      </x:c>
      <x:c r="R15" s="15" t="n">
        <x:f>0</x:f>
        <x:v>0</x:v>
      </x:c>
      <x:c r="S15" s="7" t="str">
        <x:v>Cache block size</x:v>
      </x:c>
      <x:c r="T15" s="7" t="n">
        <x:f>R19</x:f>
        <x:v>128</x:v>
      </x:c>
      <x:c r="U15" s="2"/>
      <x:c r="V15" s="2"/>
      <x:c r="W15" s="2"/>
      <x:c r="X15" s="2"/>
      <x:c r="Y15" s="2"/>
      <x:c r="Z15" s="2"/>
      <x:c r="AA15" s="38" t="n">
        <x:f>IF($R$30=1,SUM(AB15:AD15)*(1)/1073741824,NA())</x:f>
        <x:v>0.0281982421875</x:v>
      </x:c>
      <x:c r="AB15" s="39" t="n">
        <x:f>(7168)*ROUNDUP((33792/M15)*VLOOKUP(D15,$Q$32:$R$38,2,FALSE),0)</x:f>
        <x:v>30277632</x:v>
      </x:c>
      <x:c r="AC15" s="39" t="n">
        <x:f>IF(OR(D15="MXFP4",D15="MXFP8"),(7168)*ROUNDUP((33792/M15)/32,0),0)</x:f>
        <x:v>0</x:v>
      </x:c>
      <x:c r="AD15" s="39" t="n">
        <x:f>IF(D15="INT8",(7168)*8,IF(D15="INT4",(7168)*16,0))</x:f>
        <x:v>0</x:v>
      </x:c>
      <x:c r="AE15" s="39" t="n">
        <x:f>(7168)*ROUNDUP((33792)*VLOOKUP(D15,$Q$32:$R$38,2,FALSE),0)</x:f>
        <x:v>484442112</x:v>
      </x:c>
      <x:c r="AF15" s="39" t="n">
        <x:f>IF(OR(D15="MXFP4",D15="MXFP8"),(7168)*ROUNDUP((33792)/32,0),0)</x:f>
        <x:v>0</x:v>
      </x:c>
      <x:c r="AG15" s="39" t="n">
        <x:f>IF(D15="INT8",(7168)*8,IF(D15="INT4",(7168)*16,0))</x:f>
        <x:v>0</x:v>
      </x:c>
    </x:row>
    <x:row r="16" ht="18" customHeight="1">
      <x:c r="A16" s="48" t="str">
        <x:v>KDA</x:v>
      </x:c>
      <x:c r="B16" s="48" t="str">
        <x:v>q_proj</x:v>
      </x:c>
      <x:c r="C16" s="48" t="str">
        <x:v>[12288,7168]</x:v>
      </x:c>
      <x:c r="D16" s="49" t="str">
        <x:v>BF16</x:v>
      </x:c>
      <x:c r="E16" s="50" t="n">
        <x:v>69</x:v>
      </x:c>
      <x:c r="F16" s="50" t="n">
        <x:f>(12288)*(7168)</x:f>
        <x:v>88080384</x:v>
      </x:c>
      <x:c r="G16" s="48" t="str">
        <x:v>KDA TP</x:v>
      </x:c>
      <x:c r="H16" s="48" t="str">
        <x:v>None</x:v>
      </x:c>
      <x:c r="I16" s="48" t="str">
        <x:v>否</x:v>
      </x:c>
      <x:c r="J16" s="51" t="n">
        <x:f>E16*SUM(AE16:AG16)/1073741824</x:f>
        <x:v>11.3203125</x:v>
      </x:c>
      <x:c r="K16" s="51" t="n">
        <x:f>AA16</x:f>
        <x:v>0.70751953125</x:v>
      </x:c>
      <x:c r="L16" s="48" t="str">
        <x:f>IF(OR(D16="MXFP4",D16="MXFP8"),"group 32 / E8M0",IF(D16="INT8","channel / 8 B",IF(D16="INT4","channel / 16 B","")))</x:f>
      </x:c>
      <x:c r="M16" s="52" t="n">
        <x:f>$R$2</x:f>
        <x:v>16</x:v>
      </x:c>
      <x:c r="N16" s="48" t="str">
        <x:f>"["&amp;(12288/M16)&amp;","&amp;(7168)&amp;"]"</x:f>
        <x:v>[768,7168]</x:v>
      </x:c>
      <x:c r="O16" s="50" t="n">
        <x:f>CHOOSE($R$22+1,69)</x:f>
        <x:v>69</x:v>
      </x:c>
      <x:c r="P16" s="2"/>
      <x:c r="Q16" s="7" t="str">
        <x:v>KDA conv bytes</x:v>
      </x:c>
      <x:c r="R16" s="14" t="n">
        <x:v>2</x:v>
      </x:c>
      <x:c r="S16" s="7" t="str">
        <x:v>单请求 token 数</x:v>
      </x:c>
      <x:c r="T16" s="7" t="n">
        <x:f>R18</x:f>
        <x:v>131072</x:v>
      </x:c>
      <x:c r="U16" s="2"/>
      <x:c r="V16" s="2"/>
      <x:c r="W16" s="2"/>
      <x:c r="X16" s="2"/>
      <x:c r="Y16" s="2"/>
      <x:c r="Z16" s="2"/>
      <x:c r="AA16" s="38" t="n">
        <x:f>IF($R$30=1,SUM(AB16:AD16)*(69)/1073741824,NA())</x:f>
        <x:v>0.70751953125</x:v>
      </x:c>
      <x:c r="AB16" s="39" t="n">
        <x:f>(12288/M16)*ROUNDUP((7168)*VLOOKUP(D16,$Q$32:$R$38,2,FALSE),0)</x:f>
        <x:v>11010048</x:v>
      </x:c>
      <x:c r="AC16" s="39" t="n">
        <x:f>IF(OR(D16="MXFP4",D16="MXFP8"),(12288/M16)*ROUNDUP((7168)/32,0),0)</x:f>
        <x:v>0</x:v>
      </x:c>
      <x:c r="AD16" s="39" t="n">
        <x:f>IF(D16="INT8",(12288/M16)*8,IF(D16="INT4",(12288/M16)*16,0))</x:f>
        <x:v>0</x:v>
      </x:c>
      <x:c r="AE16" s="39" t="n">
        <x:f>(12288)*ROUNDUP((7168)*VLOOKUP(D16,$Q$32:$R$38,2,FALSE),0)</x:f>
        <x:v>176160768</x:v>
      </x:c>
      <x:c r="AF16" s="39" t="n">
        <x:f>IF(OR(D16="MXFP4",D16="MXFP8"),(12288)*ROUNDUP((7168)/32,0),0)</x:f>
        <x:v>0</x:v>
      </x:c>
      <x:c r="AG16" s="39" t="n">
        <x:f>IF(D16="INT8",(12288)*8,IF(D16="INT4",(12288)*16,0))</x:f>
        <x:v>0</x:v>
      </x:c>
    </x:row>
    <x:row r="17" ht="18" customHeight="1">
      <x:c r="A17" s="7" t="str">
        <x:v>KDA</x:v>
      </x:c>
      <x:c r="B17" s="7" t="str">
        <x:v>k_proj</x:v>
      </x:c>
      <x:c r="C17" s="7" t="str">
        <x:v>[12288,7168]</x:v>
      </x:c>
      <x:c r="D17" s="10" t="str">
        <x:v>BF16</x:v>
      </x:c>
      <x:c r="E17" s="34" t="n">
        <x:v>69</x:v>
      </x:c>
      <x:c r="F17" s="34" t="n">
        <x:f>(12288)*(7168)</x:f>
        <x:v>88080384</x:v>
      </x:c>
      <x:c r="G17" s="7" t="str">
        <x:v>KDA TP</x:v>
      </x:c>
      <x:c r="H17" s="7" t="str">
        <x:v>None</x:v>
      </x:c>
      <x:c r="I17" s="7" t="str">
        <x:v>否</x:v>
      </x:c>
      <x:c r="J17" s="44" t="n">
        <x:f>E17*SUM(AE17:AG17)/1073741824</x:f>
        <x:v>11.3203125</x:v>
      </x:c>
      <x:c r="K17" s="44" t="n">
        <x:f>AA17</x:f>
        <x:v>0.70751953125</x:v>
      </x:c>
      <x:c r="L17" s="7" t="str">
        <x:f>IF(OR(D17="MXFP4",D17="MXFP8"),"group 32 / E8M0",IF(D17="INT8","channel / 8 B",IF(D17="INT4","channel / 16 B","")))</x:f>
      </x:c>
      <x:c r="M17" s="45" t="n">
        <x:f>$R$2</x:f>
        <x:v>16</x:v>
      </x:c>
      <x:c r="N17" s="7" t="str">
        <x:f>"["&amp;(12288/M17)&amp;","&amp;(7168)&amp;"]"</x:f>
        <x:v>[768,7168]</x:v>
      </x:c>
      <x:c r="O17" s="34" t="n">
        <x:f>CHOOSE($R$22+1,69)</x:f>
        <x:v>69</x:v>
      </x:c>
      <x:c r="P17" s="2"/>
      <x:c r="Q17" s="7" t="str">
        <x:v>KDA recurrent bytes</x:v>
      </x:c>
      <x:c r="R17" s="14" t="n">
        <x:v>4</x:v>
      </x:c>
      <x:c r="S17" s="7" t="str">
        <x:v>阶段</x:v>
      </x:c>
      <x:c r="T17" s="7" t="str">
        <x:v>Decode</x:v>
      </x:c>
      <x:c r="U17" s="2"/>
      <x:c r="V17" s="2"/>
      <x:c r="W17" s="2"/>
      <x:c r="X17" s="2"/>
      <x:c r="Y17" s="2"/>
      <x:c r="Z17" s="2"/>
      <x:c r="AA17" s="38" t="n">
        <x:f>IF($R$30=1,SUM(AB17:AD17)*(69)/1073741824,NA())</x:f>
        <x:v>0.70751953125</x:v>
      </x:c>
      <x:c r="AB17" s="39" t="n">
        <x:f>(12288/M17)*ROUNDUP((7168)*VLOOKUP(D17,$Q$32:$R$38,2,FALSE),0)</x:f>
        <x:v>11010048</x:v>
      </x:c>
      <x:c r="AC17" s="39" t="n">
        <x:f>IF(OR(D17="MXFP4",D17="MXFP8"),(12288/M17)*ROUNDUP((7168)/32,0),0)</x:f>
        <x:v>0</x:v>
      </x:c>
      <x:c r="AD17" s="39" t="n">
        <x:f>IF(D17="INT8",(12288/M17)*8,IF(D17="INT4",(12288/M17)*16,0))</x:f>
        <x:v>0</x:v>
      </x:c>
      <x:c r="AE17" s="39" t="n">
        <x:f>(12288)*ROUNDUP((7168)*VLOOKUP(D17,$Q$32:$R$38,2,FALSE),0)</x:f>
        <x:v>176160768</x:v>
      </x:c>
      <x:c r="AF17" s="39" t="n">
        <x:f>IF(OR(D17="MXFP4",D17="MXFP8"),(12288)*ROUNDUP((7168)/32,0),0)</x:f>
        <x:v>0</x:v>
      </x:c>
      <x:c r="AG17" s="39" t="n">
        <x:f>IF(D17="INT8",(12288)*8,IF(D17="INT4",(12288)*16,0))</x:f>
        <x:v>0</x:v>
      </x:c>
    </x:row>
    <x:row r="18" ht="18" customHeight="1">
      <x:c r="A18" s="7" t="str">
        <x:v>KDA</x:v>
      </x:c>
      <x:c r="B18" s="7" t="str">
        <x:v>v_proj</x:v>
      </x:c>
      <x:c r="C18" s="7" t="str">
        <x:v>[12288,7168]</x:v>
      </x:c>
      <x:c r="D18" s="10" t="str">
        <x:v>BF16</x:v>
      </x:c>
      <x:c r="E18" s="34" t="n">
        <x:v>69</x:v>
      </x:c>
      <x:c r="F18" s="34" t="n">
        <x:f>(12288)*(7168)</x:f>
        <x:v>88080384</x:v>
      </x:c>
      <x:c r="G18" s="7" t="str">
        <x:v>KDA TP</x:v>
      </x:c>
      <x:c r="H18" s="7" t="str">
        <x:v>None</x:v>
      </x:c>
      <x:c r="I18" s="7" t="str">
        <x:v>否</x:v>
      </x:c>
      <x:c r="J18" s="44" t="n">
        <x:f>E18*SUM(AE18:AG18)/1073741824</x:f>
        <x:v>11.3203125</x:v>
      </x:c>
      <x:c r="K18" s="44" t="n">
        <x:f>AA18</x:f>
        <x:v>0.70751953125</x:v>
      </x:c>
      <x:c r="L18" s="7" t="str">
        <x:f>IF(OR(D18="MXFP4",D18="MXFP8"),"group 32 / E8M0",IF(D18="INT8","channel / 8 B",IF(D18="INT4","channel / 16 B","")))</x:f>
      </x:c>
      <x:c r="M18" s="45" t="n">
        <x:f>$R$2</x:f>
        <x:v>16</x:v>
      </x:c>
      <x:c r="N18" s="7" t="str">
        <x:f>"["&amp;(12288/M18)&amp;","&amp;(7168)&amp;"]"</x:f>
        <x:v>[768,7168]</x:v>
      </x:c>
      <x:c r="O18" s="34" t="n">
        <x:f>CHOOSE($R$22+1,69)</x:f>
        <x:v>69</x:v>
      </x:c>
      <x:c r="P18" s="2"/>
      <x:c r="Q18" s="7" t="str">
        <x:v>单请求 token 数</x:v>
      </x:c>
      <x:c r="R18" s="14" t="n">
        <x:v>131072</x:v>
      </x:c>
      <x:c r="S18" s="7" t="str">
        <x:v>ViT</x:v>
      </x:c>
      <x:c r="T18" s="7" t="str">
        <x:v>不含</x:v>
      </x:c>
      <x:c r="U18" s="2"/>
      <x:c r="V18" s="2"/>
      <x:c r="W18" s="2"/>
      <x:c r="X18" s="2"/>
      <x:c r="Y18" s="2"/>
      <x:c r="Z18" s="2"/>
      <x:c r="AA18" s="38" t="n">
        <x:f>IF($R$30=1,SUM(AB18:AD18)*(69)/1073741824,NA())</x:f>
        <x:v>0.70751953125</x:v>
      </x:c>
      <x:c r="AB18" s="39" t="n">
        <x:f>(12288/M18)*ROUNDUP((7168)*VLOOKUP(D18,$Q$32:$R$38,2,FALSE),0)</x:f>
        <x:v>11010048</x:v>
      </x:c>
      <x:c r="AC18" s="39" t="n">
        <x:f>IF(OR(D18="MXFP4",D18="MXFP8"),(12288/M18)*ROUNDUP((7168)/32,0),0)</x:f>
        <x:v>0</x:v>
      </x:c>
      <x:c r="AD18" s="39" t="n">
        <x:f>IF(D18="INT8",(12288/M18)*8,IF(D18="INT4",(12288/M18)*16,0))</x:f>
        <x:v>0</x:v>
      </x:c>
      <x:c r="AE18" s="39" t="n">
        <x:f>(12288)*ROUNDUP((7168)*VLOOKUP(D18,$Q$32:$R$38,2,FALSE),0)</x:f>
        <x:v>176160768</x:v>
      </x:c>
      <x:c r="AF18" s="39" t="n">
        <x:f>IF(OR(D18="MXFP4",D18="MXFP8"),(12288)*ROUNDUP((7168)/32,0),0)</x:f>
        <x:v>0</x:v>
      </x:c>
      <x:c r="AG18" s="39" t="n">
        <x:f>IF(D18="INT8",(12288)*8,IF(D18="INT4",(12288)*16,0))</x:f>
        <x:v>0</x:v>
      </x:c>
    </x:row>
    <x:row r="19" ht="18" customHeight="1">
      <x:c r="A19" s="7" t="str">
        <x:v>KDA</x:v>
      </x:c>
      <x:c r="B19" s="7" t="str">
        <x:v>q_conv1d.weight</x:v>
      </x:c>
      <x:c r="C19" s="7" t="str">
        <x:v>[12288,1,4]</x:v>
      </x:c>
      <x:c r="D19" s="10" t="str">
        <x:v>FP32</x:v>
      </x:c>
      <x:c r="E19" s="34" t="n">
        <x:v>69</x:v>
      </x:c>
      <x:c r="F19" s="34" t="n">
        <x:f>(12288)*(1)*(4)</x:f>
        <x:v>49152</x:v>
      </x:c>
      <x:c r="G19" s="7" t="str">
        <x:v>KDA TP</x:v>
      </x:c>
      <x:c r="H19" s="7" t="str">
        <x:v>None</x:v>
      </x:c>
      <x:c r="I19" s="7" t="str">
        <x:v>否</x:v>
      </x:c>
      <x:c r="J19" s="44" t="n">
        <x:f>E19*SUM(AE19:AG19)/1073741824</x:f>
        <x:v>0.01263427734375</x:v>
      </x:c>
      <x:c r="K19" s="44" t="n">
        <x:f>AA19</x:f>
        <x:v>0.000789642333984375</x:v>
      </x:c>
      <x:c r="L19" s="7" t="str">
        <x:f>IF(OR(D19="MXFP4",D19="MXFP8"),"group 32 / E8M0",IF(D19="INT8","channel / 8 B",IF(D19="INT4","channel / 16 B","")))</x:f>
      </x:c>
      <x:c r="M19" s="45" t="n">
        <x:f>$R$2</x:f>
        <x:v>16</x:v>
      </x:c>
      <x:c r="N19" s="7" t="str">
        <x:f>"["&amp;(12288/M19)&amp;","&amp;(1)&amp;","&amp;(4)&amp;"]"</x:f>
        <x:v>[768,1,4]</x:v>
      </x:c>
      <x:c r="O19" s="34" t="n">
        <x:f>CHOOSE($R$22+1,69)</x:f>
        <x:v>69</x:v>
      </x:c>
      <x:c r="P19" s="2"/>
      <x:c r="Q19" s="7" t="str">
        <x:v>Cache block size</x:v>
      </x:c>
      <x:c r="R19" s="14" t="n">
        <x:v>128</x:v>
      </x:c>
      <x:c r="S19" s="7" t="str">
        <x:v>KDA local heads</x:v>
      </x:c>
      <x:c r="T19" s="7" t="n">
        <x:f>T4/R2</x:f>
        <x:v>6</x:v>
      </x:c>
      <x:c r="U19" s="2"/>
      <x:c r="V19" s="2"/>
      <x:c r="W19" s="2"/>
      <x:c r="X19" s="2"/>
      <x:c r="Y19" s="2"/>
      <x:c r="Z19" s="2"/>
      <x:c r="AA19" s="38" t="n">
        <x:f>IF($R$30=1,SUM(AB19:AD19)*(69)/1073741824,NA())</x:f>
        <x:v>0.000789642333984375</x:v>
      </x:c>
      <x:c r="AB19" s="39" t="n">
        <x:f>(12288/M19)*(1)*ROUNDUP((4)*VLOOKUP(D19,$Q$32:$R$38,2,FALSE),0)</x:f>
        <x:v>12288</x:v>
      </x:c>
      <x:c r="AC19" s="39" t="n">
        <x:f>IF(OR(D19="MXFP4",D19="MXFP8"),(12288/M19)*(1)*ROUNDUP((4)/32,0),0)</x:f>
        <x:v>0</x:v>
      </x:c>
      <x:c r="AD19" s="39" t="n">
        <x:f>IF(D19="INT8",(12288/M19)*8,IF(D19="INT4",(12288/M19)*16,0))</x:f>
        <x:v>0</x:v>
      </x:c>
      <x:c r="AE19" s="39" t="n">
        <x:f>(12288)*(1)*ROUNDUP((4)*VLOOKUP(D19,$Q$32:$R$38,2,FALSE),0)</x:f>
        <x:v>196608</x:v>
      </x:c>
      <x:c r="AF19" s="39" t="n">
        <x:f>IF(OR(D19="MXFP4",D19="MXFP8"),(12288)*(1)*ROUNDUP((4)/32,0),0)</x:f>
        <x:v>0</x:v>
      </x:c>
      <x:c r="AG19" s="39" t="n">
        <x:f>IF(D19="INT8",(12288)*8,IF(D19="INT4",(12288)*16,0))</x:f>
        <x:v>0</x:v>
      </x:c>
    </x:row>
    <x:row r="20" ht="18" customHeight="1">
      <x:c r="A20" s="7" t="str">
        <x:v>KDA</x:v>
      </x:c>
      <x:c r="B20" s="7" t="str">
        <x:v>k_conv1d.weight</x:v>
      </x:c>
      <x:c r="C20" s="7" t="str">
        <x:v>[12288,1,4]</x:v>
      </x:c>
      <x:c r="D20" s="10" t="str">
        <x:v>FP32</x:v>
      </x:c>
      <x:c r="E20" s="34" t="n">
        <x:v>69</x:v>
      </x:c>
      <x:c r="F20" s="34" t="n">
        <x:f>(12288)*(1)*(4)</x:f>
        <x:v>49152</x:v>
      </x:c>
      <x:c r="G20" s="7" t="str">
        <x:v>KDA TP</x:v>
      </x:c>
      <x:c r="H20" s="7" t="str">
        <x:v>None</x:v>
      </x:c>
      <x:c r="I20" s="7" t="str">
        <x:v>否</x:v>
      </x:c>
      <x:c r="J20" s="44" t="n">
        <x:f>E20*SUM(AE20:AG20)/1073741824</x:f>
        <x:v>0.01263427734375</x:v>
      </x:c>
      <x:c r="K20" s="44" t="n">
        <x:f>AA20</x:f>
        <x:v>0.000789642333984375</x:v>
      </x:c>
      <x:c r="L20" s="7" t="str">
        <x:f>IF(OR(D20="MXFP4",D20="MXFP8"),"group 32 / E8M0",IF(D20="INT8","channel / 8 B",IF(D20="INT4","channel / 16 B","")))</x:f>
      </x:c>
      <x:c r="M20" s="45" t="n">
        <x:f>$R$2</x:f>
        <x:v>16</x:v>
      </x:c>
      <x:c r="N20" s="7" t="str">
        <x:f>"["&amp;(12288/M20)&amp;","&amp;(1)&amp;","&amp;(4)&amp;"]"</x:f>
        <x:v>[768,1,4]</x:v>
      </x:c>
      <x:c r="O20" s="34" t="n">
        <x:f>CHOOSE($R$22+1,69)</x:f>
        <x:v>69</x:v>
      </x:c>
      <x:c r="P20" s="2"/>
      <x:c r="Q20" s="7" t="str">
        <x:v>Speculative tokens</x:v>
      </x:c>
      <x:c r="R20" s="14" t="n">
        <x:v>0</x:v>
      </x:c>
      <x:c r="S20" s="7" t="str">
        <x:v>Attention projection heads</x:v>
      </x:c>
      <x:c r="T20" s="7" t="n">
        <x:f>T6/R4</x:f>
        <x:v>96</x:v>
      </x:c>
      <x:c r="U20" s="2"/>
      <x:c r="V20" s="2"/>
      <x:c r="W20" s="2"/>
      <x:c r="X20" s="2"/>
      <x:c r="Y20" s="2"/>
      <x:c r="Z20" s="2"/>
      <x:c r="AA20" s="38" t="n">
        <x:f>IF($R$30=1,SUM(AB20:AD20)*(69)/1073741824,NA())</x:f>
        <x:v>0.000789642333984375</x:v>
      </x:c>
      <x:c r="AB20" s="39" t="n">
        <x:f>(12288/M20)*(1)*ROUNDUP((4)*VLOOKUP(D20,$Q$32:$R$38,2,FALSE),0)</x:f>
        <x:v>12288</x:v>
      </x:c>
      <x:c r="AC20" s="39" t="n">
        <x:f>IF(OR(D20="MXFP4",D20="MXFP8"),(12288/M20)*(1)*ROUNDUP((4)/32,0),0)</x:f>
        <x:v>0</x:v>
      </x:c>
      <x:c r="AD20" s="39" t="n">
        <x:f>IF(D20="INT8",(12288/M20)*8,IF(D20="INT4",(12288/M20)*16,0))</x:f>
        <x:v>0</x:v>
      </x:c>
      <x:c r="AE20" s="39" t="n">
        <x:f>(12288)*(1)*ROUNDUP((4)*VLOOKUP(D20,$Q$32:$R$38,2,FALSE),0)</x:f>
        <x:v>196608</x:v>
      </x:c>
      <x:c r="AF20" s="39" t="n">
        <x:f>IF(OR(D20="MXFP4",D20="MXFP8"),(12288)*(1)*ROUNDUP((4)/32,0),0)</x:f>
        <x:v>0</x:v>
      </x:c>
      <x:c r="AG20" s="39" t="n">
        <x:f>IF(D20="INT8",(12288)*8,IF(D20="INT4",(12288)*16,0))</x:f>
        <x:v>0</x:v>
      </x:c>
    </x:row>
    <x:row r="21" ht="18" customHeight="1">
      <x:c r="A21" s="7" t="str">
        <x:v>KDA</x:v>
      </x:c>
      <x:c r="B21" s="7" t="str">
        <x:v>v_conv1d.weight</x:v>
      </x:c>
      <x:c r="C21" s="7" t="str">
        <x:v>[12288,1,4]</x:v>
      </x:c>
      <x:c r="D21" s="10" t="str">
        <x:v>FP32</x:v>
      </x:c>
      <x:c r="E21" s="34" t="n">
        <x:v>69</x:v>
      </x:c>
      <x:c r="F21" s="34" t="n">
        <x:f>(12288)*(1)*(4)</x:f>
        <x:v>49152</x:v>
      </x:c>
      <x:c r="G21" s="7" t="str">
        <x:v>KDA TP</x:v>
      </x:c>
      <x:c r="H21" s="7" t="str">
        <x:v>None</x:v>
      </x:c>
      <x:c r="I21" s="7" t="str">
        <x:v>否</x:v>
      </x:c>
      <x:c r="J21" s="44" t="n">
        <x:f>E21*SUM(AE21:AG21)/1073741824</x:f>
        <x:v>0.01263427734375</x:v>
      </x:c>
      <x:c r="K21" s="44" t="n">
        <x:f>AA21</x:f>
        <x:v>0.000789642333984375</x:v>
      </x:c>
      <x:c r="L21" s="7" t="str">
        <x:f>IF(OR(D21="MXFP4",D21="MXFP8"),"group 32 / E8M0",IF(D21="INT8","channel / 8 B",IF(D21="INT4","channel / 16 B","")))</x:f>
      </x:c>
      <x:c r="M21" s="45" t="n">
        <x:f>$R$2</x:f>
        <x:v>16</x:v>
      </x:c>
      <x:c r="N21" s="7" t="str">
        <x:f>"["&amp;(12288/M21)&amp;","&amp;(1)&amp;","&amp;(4)&amp;"]"</x:f>
        <x:v>[768,1,4]</x:v>
      </x:c>
      <x:c r="O21" s="34" t="n">
        <x:f>CHOOSE($R$22+1,69)</x:f>
        <x:v>69</x:v>
      </x:c>
      <x:c r="P21" s="2"/>
      <x:c r="Q21" s="7" t="str">
        <x:v>主缓存 context 切分</x:v>
      </x:c>
      <x:c r="R21" s="15" t="n">
        <x:f>R12</x:f>
        <x:v>1</x:v>
      </x:c>
      <x:c r="S21" s="7" t="str">
        <x:v>Indexer key heads</x:v>
      </x:c>
      <x:c r="T21" s="7" t="n">
        <x:v>0</x:v>
      </x:c>
      <x:c r="U21" s="2"/>
      <x:c r="V21" s="2"/>
      <x:c r="W21" s="2"/>
      <x:c r="X21" s="2"/>
      <x:c r="Y21" s="2"/>
      <x:c r="Z21" s="2"/>
      <x:c r="AA21" s="38" t="n">
        <x:f>IF($R$30=1,SUM(AB21:AD21)*(69)/1073741824,NA())</x:f>
        <x:v>0.000789642333984375</x:v>
      </x:c>
      <x:c r="AB21" s="39" t="n">
        <x:f>(12288/M21)*(1)*ROUNDUP((4)*VLOOKUP(D21,$Q$32:$R$38,2,FALSE),0)</x:f>
        <x:v>12288</x:v>
      </x:c>
      <x:c r="AC21" s="39" t="n">
        <x:f>IF(OR(D21="MXFP4",D21="MXFP8"),(12288/M21)*(1)*ROUNDUP((4)/32,0),0)</x:f>
        <x:v>0</x:v>
      </x:c>
      <x:c r="AD21" s="39" t="n">
        <x:f>IF(D21="INT8",(12288/M21)*8,IF(D21="INT4",(12288/M21)*16,0))</x:f>
        <x:v>0</x:v>
      </x:c>
      <x:c r="AE21" s="39" t="n">
        <x:f>(12288)*(1)*ROUNDUP((4)*VLOOKUP(D21,$Q$32:$R$38,2,FALSE),0)</x:f>
        <x:v>196608</x:v>
      </x:c>
      <x:c r="AF21" s="39" t="n">
        <x:f>IF(OR(D21="MXFP4",D21="MXFP8"),(12288)*(1)*ROUNDUP((4)/32,0),0)</x:f>
        <x:v>0</x:v>
      </x:c>
      <x:c r="AG21" s="39" t="n">
        <x:f>IF(D21="INT8",(12288)*8,IF(D21="INT4",(12288)*16,0))</x:f>
        <x:v>0</x:v>
      </x:c>
    </x:row>
    <x:row r="22" ht="18" customHeight="1">
      <x:c r="A22" s="7" t="str">
        <x:v>KDA</x:v>
      </x:c>
      <x:c r="B22" s="7" t="str">
        <x:v>A_log</x:v>
      </x:c>
      <x:c r="C22" s="7" t="str">
        <x:v>[96]</x:v>
      </x:c>
      <x:c r="D22" s="10" t="str">
        <x:v>FP32</x:v>
      </x:c>
      <x:c r="E22" s="34" t="n">
        <x:v>69</x:v>
      </x:c>
      <x:c r="F22" s="34" t="n">
        <x:f>(96)</x:f>
        <x:v>96</x:v>
      </x:c>
      <x:c r="G22" s="7" t="str">
        <x:v>KDA TP</x:v>
      </x:c>
      <x:c r="H22" s="7" t="str">
        <x:v>None</x:v>
      </x:c>
      <x:c r="I22" s="7" t="str">
        <x:v>否</x:v>
      </x:c>
      <x:c r="J22" s="44" t="n">
        <x:f>E22*SUM(AE22:AG22)/1073741824</x:f>
        <x:v>0.00002467632293701172</x:v>
      </x:c>
      <x:c r="K22" s="44" t="n">
        <x:f>AA22</x:f>
        <x:v>0.0000015422701835632324</x:v>
      </x:c>
      <x:c r="L22" s="7" t="str">
        <x:f>IF(OR(D22="MXFP4",D22="MXFP8"),"group 32 / E8M0",IF(D22="INT8","channel / 8 B",IF(D22="INT4","channel / 16 B","")))</x:f>
      </x:c>
      <x:c r="M22" s="45" t="n">
        <x:f>$R$2</x:f>
        <x:v>16</x:v>
      </x:c>
      <x:c r="N22" s="7" t="str">
        <x:f>"["&amp;(96/M22)&amp;"]"</x:f>
        <x:v>[6]</x:v>
      </x:c>
      <x:c r="O22" s="34" t="n">
        <x:f>CHOOSE($R$22+1,69)</x:f>
        <x:v>69</x:v>
      </x:c>
      <x:c r="P22" s="2"/>
      <x:c r="Q22" s="8" t="str">
        <x:v>当前 PP stage</x:v>
      </x:c>
      <x:c r="R22" s="16" t="n">
        <x:v>0</x:v>
      </x:c>
      <x:c r="S22" s="8" t="str">
        <x:v>Attention compute heads</x:v>
      </x:c>
      <x:c r="T22" s="8" t="n">
        <x:f>T20*R12</x:f>
        <x:v>96</x:v>
      </x:c>
      <x:c r="U22" s="2"/>
      <x:c r="V22" s="2"/>
      <x:c r="W22" s="2"/>
      <x:c r="X22" s="2"/>
      <x:c r="Y22" s="2"/>
      <x:c r="Z22" s="2"/>
      <x:c r="AA22" s="38" t="n">
        <x:f>IF($R$30=1,SUM(AB22:AD22)*(69)/1073741824,NA())</x:f>
        <x:v>0.0000015422701835632324</x:v>
      </x:c>
      <x:c r="AB22" s="39" t="n">
        <x:f>1*ROUNDUP((96/M22)*VLOOKUP(D22,$Q$32:$R$38,2,FALSE),0)</x:f>
        <x:v>24</x:v>
      </x:c>
      <x:c r="AC22" s="39" t="n">
        <x:f>IF(OR(D22="MXFP4",D22="MXFP8"),1*ROUNDUP((96/M22)/32,0),0)</x:f>
        <x:v>0</x:v>
      </x:c>
      <x:c r="AD22" s="39" t="n">
        <x:f>IF(D22="INT8",(96/M22)*8,IF(D22="INT4",(96/M22)*16,0))</x:f>
        <x:v>0</x:v>
      </x:c>
      <x:c r="AE22" s="39" t="n">
        <x:f>1*ROUNDUP((96)*VLOOKUP(D22,$Q$32:$R$38,2,FALSE),0)</x:f>
        <x:v>384</x:v>
      </x:c>
      <x:c r="AF22" s="39" t="n">
        <x:f>IF(OR(D22="MXFP4",D22="MXFP8"),1*ROUNDUP((96)/32,0),0)</x:f>
        <x:v>0</x:v>
      </x:c>
      <x:c r="AG22" s="39" t="n">
        <x:f>IF(D22="INT8",(96)*8,IF(D22="INT4",(96)*16,0))</x:f>
        <x:v>0</x:v>
      </x:c>
    </x:row>
    <x:row r="23" ht="18" customHeight="1">
      <x:c r="A23" s="7" t="str">
        <x:v>KDA</x:v>
      </x:c>
      <x:c r="B23" s="7" t="str">
        <x:v>f_a_proj</x:v>
      </x:c>
      <x:c r="C23" s="7" t="str">
        <x:v>[128,7168]</x:v>
      </x:c>
      <x:c r="D23" s="10" t="str">
        <x:v>BF16</x:v>
      </x:c>
      <x:c r="E23" s="34" t="n">
        <x:v>69</x:v>
      </x:c>
      <x:c r="F23" s="34" t="n">
        <x:f>(128)*(7168)</x:f>
        <x:v>917504</x:v>
      </x:c>
      <x:c r="G23" s="7" t="str">
        <x:v>Replicated</x:v>
      </x:c>
      <x:c r="H23" s="7" t="str">
        <x:v>None</x:v>
      </x:c>
      <x:c r="I23" s="7" t="str">
        <x:v>否</x:v>
      </x:c>
      <x:c r="J23" s="44" t="n">
        <x:f>E23*SUM(AE23:AG23)/1073741824</x:f>
        <x:v>0.117919921875</x:v>
      </x:c>
      <x:c r="K23" s="44" t="n">
        <x:f>AA23</x:f>
        <x:v>0.117919921875</x:v>
      </x:c>
      <x:c r="L23" s="7" t="str">
        <x:f>IF(OR(D23="MXFP4",D23="MXFP8"),"group 32 / E8M0",IF(D23="INT8","channel / 8 B",IF(D23="INT4","channel / 16 B","")))</x:f>
      </x:c>
      <x:c r="M23" s="45" t="n">
        <x:f>1</x:f>
        <x:v>1</x:v>
      </x:c>
      <x:c r="N23" s="7" t="str">
        <x:f>"["&amp;(128/M23)&amp;","&amp;(7168)&amp;"]"</x:f>
        <x:v>[128,7168]</x:v>
      </x:c>
      <x:c r="O23" s="34" t="n">
        <x:f>CHOOSE($R$22+1,69)</x:f>
        <x:v>69</x:v>
      </x:c>
      <x:c r="P23" s="2"/>
      <x:c r="Q23" s="6" t="str">
        <x:v>单卡权重 GiB</x:v>
      </x:c>
      <x:c r="R23" s="27" t="n">
        <x:f>SUM(K2:K48)</x:f>
        <x:v>32.57578741759062</x:v>
      </x:c>
      <x:c r="S23" s="5" t="str">
        <x:v>组网</x:v>
      </x:c>
      <x:c r="T23" s="5" t="str">
        <x:v>值</x:v>
      </x:c>
      <x:c r="U23" s="2"/>
      <x:c r="V23" s="2"/>
      <x:c r="W23" s="2"/>
      <x:c r="X23" s="2"/>
      <x:c r="Y23" s="2"/>
      <x:c r="Z23" s="2"/>
      <x:c r="AA23" s="38" t="n">
        <x:f>IF($R$30=1,SUM(AB23:AD23)*(69)/1073741824,NA())</x:f>
        <x:v>0.117919921875</x:v>
      </x:c>
      <x:c r="AB23" s="39" t="n">
        <x:f>(128/M23)*ROUNDUP((7168)*VLOOKUP(D23,$Q$32:$R$38,2,FALSE),0)</x:f>
        <x:v>1835008</x:v>
      </x:c>
      <x:c r="AC23" s="39" t="n">
        <x:f>IF(OR(D23="MXFP4",D23="MXFP8"),(128/M23)*ROUNDUP((7168)/32,0),0)</x:f>
        <x:v>0</x:v>
      </x:c>
      <x:c r="AD23" s="39" t="n">
        <x:f>IF(D23="INT8",(128/M23)*8,IF(D23="INT4",(128/M23)*16,0))</x:f>
        <x:v>0</x:v>
      </x:c>
      <x:c r="AE23" s="39" t="n">
        <x:f>(128)*ROUNDUP((7168)*VLOOKUP(D23,$Q$32:$R$38,2,FALSE),0)</x:f>
        <x:v>1835008</x:v>
      </x:c>
      <x:c r="AF23" s="39" t="n">
        <x:f>IF(OR(D23="MXFP4",D23="MXFP8"),(128)*ROUNDUP((7168)/32,0),0)</x:f>
        <x:v>0</x:v>
      </x:c>
      <x:c r="AG23" s="39" t="n">
        <x:f>IF(D23="INT8",(128)*8,IF(D23="INT4",(128)*16,0))</x:f>
        <x:v>0</x:v>
      </x:c>
    </x:row>
    <x:row r="24" ht="18" customHeight="1">
      <x:c r="A24" s="7" t="str">
        <x:v>KDA</x:v>
      </x:c>
      <x:c r="B24" s="7" t="str">
        <x:v>f_b_proj</x:v>
      </x:c>
      <x:c r="C24" s="7" t="str">
        <x:v>[12288,128]</x:v>
      </x:c>
      <x:c r="D24" s="10" t="str">
        <x:v>BF16</x:v>
      </x:c>
      <x:c r="E24" s="34" t="n">
        <x:v>69</x:v>
      </x:c>
      <x:c r="F24" s="34" t="n">
        <x:f>(12288)*(128)</x:f>
        <x:v>1572864</x:v>
      </x:c>
      <x:c r="G24" s="7" t="str">
        <x:v>KDA TP</x:v>
      </x:c>
      <x:c r="H24" s="7" t="str">
        <x:v>None</x:v>
      </x:c>
      <x:c r="I24" s="7" t="str">
        <x:v>否</x:v>
      </x:c>
      <x:c r="J24" s="44" t="n">
        <x:f>E24*SUM(AE24:AG24)/1073741824</x:f>
        <x:v>0.2021484375</x:v>
      </x:c>
      <x:c r="K24" s="44" t="n">
        <x:f>AA24</x:f>
        <x:v>0.01263427734375</x:v>
      </x:c>
      <x:c r="L24" s="7" t="str">
        <x:f>IF(OR(D24="MXFP4",D24="MXFP8"),"group 32 / E8M0",IF(D24="INT8","channel / 8 B",IF(D24="INT4","channel / 16 B","")))</x:f>
      </x:c>
      <x:c r="M24" s="45" t="n">
        <x:f>$R$2</x:f>
        <x:v>16</x:v>
      </x:c>
      <x:c r="N24" s="7" t="str">
        <x:f>"["&amp;(12288/M24)&amp;","&amp;(128)&amp;"]"</x:f>
        <x:v>[768,128]</x:v>
      </x:c>
      <x:c r="O24" s="34" t="n">
        <x:f>CHOOSE($R$22+1,69)</x:f>
        <x:v>69</x:v>
      </x:c>
      <x:c r="P24" s="2"/>
      <x:c r="Q24" s="7" t="str">
        <x:v>权重 + cache GiB</x:v>
      </x:c>
      <x:c r="R24" s="28" t="n">
        <x:f>R23+R27</x:f>
        <x:v>35.97694431990385</x:v>
      </x:c>
      <x:c r="S24" s="6" t="str">
        <x:v>DP</x:v>
      </x:c>
      <x:c r="T24" s="6" t="n">
        <x:f>R9/R2</x:f>
        <x:v>8</x:v>
      </x:c>
      <x:c r="U24" s="2"/>
      <x:c r="V24" s="2"/>
      <x:c r="W24" s="2"/>
      <x:c r="X24" s="2"/>
      <x:c r="Y24" s="2"/>
      <x:c r="Z24" s="2"/>
      <x:c r="AA24" s="38" t="n">
        <x:f>IF($R$30=1,SUM(AB24:AD24)*(69)/1073741824,NA())</x:f>
        <x:v>0.01263427734375</x:v>
      </x:c>
      <x:c r="AB24" s="39" t="n">
        <x:f>(12288/M24)*ROUNDUP((128)*VLOOKUP(D24,$Q$32:$R$38,2,FALSE),0)</x:f>
        <x:v>196608</x:v>
      </x:c>
      <x:c r="AC24" s="39" t="n">
        <x:f>IF(OR(D24="MXFP4",D24="MXFP8"),(12288/M24)*ROUNDUP((128)/32,0),0)</x:f>
        <x:v>0</x:v>
      </x:c>
      <x:c r="AD24" s="39" t="n">
        <x:f>IF(D24="INT8",(12288/M24)*8,IF(D24="INT4",(12288/M24)*16,0))</x:f>
        <x:v>0</x:v>
      </x:c>
      <x:c r="AE24" s="39" t="n">
        <x:f>(12288)*ROUNDUP((128)*VLOOKUP(D24,$Q$32:$R$38,2,FALSE),0)</x:f>
        <x:v>3145728</x:v>
      </x:c>
      <x:c r="AF24" s="39" t="n">
        <x:f>IF(OR(D24="MXFP4",D24="MXFP8"),(12288)*ROUNDUP((128)/32,0),0)</x:f>
        <x:v>0</x:v>
      </x:c>
      <x:c r="AG24" s="39" t="n">
        <x:f>IF(D24="INT8",(12288)*8,IF(D24="INT4",(12288)*16,0))</x:f>
        <x:v>0</x:v>
      </x:c>
    </x:row>
    <x:row r="25" ht="18" customHeight="1">
      <x:c r="A25" s="7" t="str">
        <x:v>KDA</x:v>
      </x:c>
      <x:c r="B25" s="7" t="str">
        <x:v>dt_bias</x:v>
      </x:c>
      <x:c r="C25" s="7" t="str">
        <x:v>[12288]</x:v>
      </x:c>
      <x:c r="D25" s="10" t="str">
        <x:v>FP32</x:v>
      </x:c>
      <x:c r="E25" s="34" t="n">
        <x:v>69</x:v>
      </x:c>
      <x:c r="F25" s="34" t="n">
        <x:f>(12288)</x:f>
        <x:v>12288</x:v>
      </x:c>
      <x:c r="G25" s="7" t="str">
        <x:v>KDA TP</x:v>
      </x:c>
      <x:c r="H25" s="7" t="str">
        <x:v>None</x:v>
      </x:c>
      <x:c r="I25" s="7" t="str">
        <x:v>否</x:v>
      </x:c>
      <x:c r="J25" s="44" t="n">
        <x:f>E25*SUM(AE25:AG25)/1073741824</x:f>
        <x:v>0.0031585693359375</x:v>
      </x:c>
      <x:c r="K25" s="44" t="n">
        <x:f>AA25</x:f>
        <x:v>0.00019741058349609375</x:v>
      </x:c>
      <x:c r="L25" s="7" t="str">
        <x:f>IF(OR(D25="MXFP4",D25="MXFP8"),"group 32 / E8M0",IF(D25="INT8","channel / 8 B",IF(D25="INT4","channel / 16 B","")))</x:f>
      </x:c>
      <x:c r="M25" s="45" t="n">
        <x:f>$R$2</x:f>
        <x:v>16</x:v>
      </x:c>
      <x:c r="N25" s="7" t="str">
        <x:f>"["&amp;(12288/M25)&amp;"]"</x:f>
        <x:v>[768]</x:v>
      </x:c>
      <x:c r="O25" s="34" t="n">
        <x:f>CHOOSE($R$22+1,69)</x:f>
        <x:v>69</x:v>
      </x:c>
      <x:c r="P25" s="2"/>
      <x:c r="Q25" s="7" t="str">
        <x:v>o_proj buffer GiB</x:v>
      </x:c>
      <x:c r="R25" s="28" t="n">
        <x:f>SUM(R57:R58)</x:f>
        <x:v>0</x:v>
      </x:c>
      <x:c r="S25" s="7" t="str">
        <x:v>PP</x:v>
      </x:c>
      <x:c r="T25" s="7" t="n">
        <x:v>1</x:v>
      </x:c>
      <x:c r="U25" s="2"/>
      <x:c r="V25" s="2"/>
      <x:c r="W25" s="2"/>
      <x:c r="X25" s="2"/>
      <x:c r="Y25" s="2"/>
      <x:c r="Z25" s="2"/>
      <x:c r="AA25" s="38" t="n">
        <x:f>IF($R$30=1,SUM(AB25:AD25)*(69)/1073741824,NA())</x:f>
        <x:v>0.00019741058349609375</x:v>
      </x:c>
      <x:c r="AB25" s="39" t="n">
        <x:f>1*ROUNDUP((12288/M25)*VLOOKUP(D25,$Q$32:$R$38,2,FALSE),0)</x:f>
        <x:v>3072</x:v>
      </x:c>
      <x:c r="AC25" s="39" t="n">
        <x:f>IF(OR(D25="MXFP4",D25="MXFP8"),1*ROUNDUP((12288/M25)/32,0),0)</x:f>
        <x:v>0</x:v>
      </x:c>
      <x:c r="AD25" s="39" t="n">
        <x:f>IF(D25="INT8",(12288/M25)*8,IF(D25="INT4",(12288/M25)*16,0))</x:f>
        <x:v>0</x:v>
      </x:c>
      <x:c r="AE25" s="39" t="n">
        <x:f>1*ROUNDUP((12288)*VLOOKUP(D25,$Q$32:$R$38,2,FALSE),0)</x:f>
        <x:v>49152</x:v>
      </x:c>
      <x:c r="AF25" s="39" t="n">
        <x:f>IF(OR(D25="MXFP4",D25="MXFP8"),1*ROUNDUP((12288)/32,0),0)</x:f>
        <x:v>0</x:v>
      </x:c>
      <x:c r="AG25" s="39" t="n">
        <x:f>IF(D25="INT8",(12288)*8,IF(D25="INT4",(12288)*16,0))</x:f>
        <x:v>0</x:v>
      </x:c>
    </x:row>
    <x:row r="26" ht="18" customHeight="1">
      <x:c r="A26" s="7" t="str">
        <x:v>KDA</x:v>
      </x:c>
      <x:c r="B26" s="7" t="str">
        <x:v>b_proj</x:v>
      </x:c>
      <x:c r="C26" s="7" t="str">
        <x:v>[96,7168]</x:v>
      </x:c>
      <x:c r="D26" s="10" t="str">
        <x:v>BF16</x:v>
      </x:c>
      <x:c r="E26" s="34" t="n">
        <x:v>69</x:v>
      </x:c>
      <x:c r="F26" s="34" t="n">
        <x:f>(96)*(7168)</x:f>
        <x:v>688128</x:v>
      </x:c>
      <x:c r="G26" s="7" t="str">
        <x:v>KDA TP</x:v>
      </x:c>
      <x:c r="H26" s="7" t="str">
        <x:v>None</x:v>
      </x:c>
      <x:c r="I26" s="7" t="str">
        <x:v>否</x:v>
      </x:c>
      <x:c r="J26" s="44" t="n">
        <x:f>E26*SUM(AE26:AG26)/1073741824</x:f>
        <x:v>0.08843994140625</x:v>
      </x:c>
      <x:c r="K26" s="44" t="n">
        <x:f>AA26</x:f>
        <x:v>0.005527496337890625</x:v>
      </x:c>
      <x:c r="L26" s="7" t="str">
        <x:f>IF(OR(D26="MXFP4",D26="MXFP8"),"group 32 / E8M0",IF(D26="INT8","channel / 8 B",IF(D26="INT4","channel / 16 B","")))</x:f>
      </x:c>
      <x:c r="M26" s="45" t="n">
        <x:f>$R$2</x:f>
        <x:v>16</x:v>
      </x:c>
      <x:c r="N26" s="7" t="str">
        <x:f>"["&amp;(96/M26)&amp;","&amp;(7168)&amp;"]"</x:f>
        <x:v>[6,7168]</x:v>
      </x:c>
      <x:c r="O26" s="34" t="n">
        <x:f>CHOOSE($R$22+1,69)</x:f>
        <x:v>69</x:v>
      </x:c>
      <x:c r="P26" s="2"/>
      <x:c r="Q26" s="7" t="str">
        <x:v>总参数量 T</x:v>
      </x:c>
      <x:c r="R26" s="28" t="n">
        <x:f>SUMPRODUCT(E2:E48,F2:F48)/1000000000000</x:f>
        <x:v>2.779484476</x:v>
      </x:c>
      <x:c r="S26" s="7" t="str">
        <x:v>EP / stage</x:v>
      </x:c>
      <x:c r="T26" s="7" t="n">
        <x:f>R9</x:f>
        <x:v>128</x:v>
      </x:c>
      <x:c r="U26" s="2"/>
      <x:c r="V26" s="2"/>
      <x:c r="W26" s="2"/>
      <x:c r="X26" s="2"/>
      <x:c r="Y26" s="2"/>
      <x:c r="Z26" s="2"/>
      <x:c r="AA26" s="38" t="n">
        <x:f>IF($R$30=1,SUM(AB26:AD26)*(69)/1073741824,NA())</x:f>
        <x:v>0.005527496337890625</x:v>
      </x:c>
      <x:c r="AB26" s="39" t="n">
        <x:f>(96/M26)*ROUNDUP((7168)*VLOOKUP(D26,$Q$32:$R$38,2,FALSE),0)</x:f>
        <x:v>86016</x:v>
      </x:c>
      <x:c r="AC26" s="39" t="n">
        <x:f>IF(OR(D26="MXFP4",D26="MXFP8"),(96/M26)*ROUNDUP((7168)/32,0),0)</x:f>
        <x:v>0</x:v>
      </x:c>
      <x:c r="AD26" s="39" t="n">
        <x:f>IF(D26="INT8",(96/M26)*8,IF(D26="INT4",(96/M26)*16,0))</x:f>
        <x:v>0</x:v>
      </x:c>
      <x:c r="AE26" s="39" t="n">
        <x:f>(96)*ROUNDUP((7168)*VLOOKUP(D26,$Q$32:$R$38,2,FALSE),0)</x:f>
        <x:v>1376256</x:v>
      </x:c>
      <x:c r="AF26" s="39" t="n">
        <x:f>IF(OR(D26="MXFP4",D26="MXFP8"),(96)*ROUNDUP((7168)/32,0),0)</x:f>
        <x:v>0</x:v>
      </x:c>
      <x:c r="AG26" s="39" t="n">
        <x:f>IF(D26="INT8",(96)*8,IF(D26="INT4",(96)*16,0))</x:f>
        <x:v>0</x:v>
      </x:c>
    </x:row>
    <x:row r="27" ht="18" customHeight="1">
      <x:c r="A27" s="7" t="str">
        <x:v>KDA</x:v>
      </x:c>
      <x:c r="B27" s="7" t="str">
        <x:v>g_proj</x:v>
      </x:c>
      <x:c r="C27" s="7" t="str">
        <x:v>[12288,7168]</x:v>
      </x:c>
      <x:c r="D27" s="10" t="str">
        <x:v>BF16</x:v>
      </x:c>
      <x:c r="E27" s="34" t="n">
        <x:v>69</x:v>
      </x:c>
      <x:c r="F27" s="34" t="n">
        <x:f>(12288)*(7168)</x:f>
        <x:v>88080384</x:v>
      </x:c>
      <x:c r="G27" s="7" t="str">
        <x:v>KDA TP</x:v>
      </x:c>
      <x:c r="H27" s="7" t="str">
        <x:v>None</x:v>
      </x:c>
      <x:c r="I27" s="7" t="str">
        <x:v>否</x:v>
      </x:c>
      <x:c r="J27" s="44" t="n">
        <x:f>E27*SUM(AE27:AG27)/1073741824</x:f>
        <x:v>11.3203125</x:v>
      </x:c>
      <x:c r="K27" s="44" t="n">
        <x:f>AA27</x:f>
        <x:v>0.70751953125</x:v>
      </x:c>
      <x:c r="L27" s="7" t="str">
        <x:f>IF(OR(D27="MXFP4",D27="MXFP8"),"group 32 / E8M0",IF(D27="INT8","channel / 8 B",IF(D27="INT4","channel / 16 B","")))</x:f>
      </x:c>
      <x:c r="M27" s="45" t="n">
        <x:f>$R$2</x:f>
        <x:v>16</x:v>
      </x:c>
      <x:c r="N27" s="7" t="str">
        <x:f>"["&amp;(12288/M27)&amp;","&amp;(7168)&amp;"]"</x:f>
        <x:v>[768,7168]</x:v>
      </x:c>
      <x:c r="O27" s="34" t="n">
        <x:f>CHOOSE($R$22+1,69)</x:f>
        <x:v>69</x:v>
      </x:c>
      <x:c r="P27" s="2"/>
      <x:c r="Q27" s="7" t="str">
        <x:v>单请求 cache GiB</x:v>
      </x:c>
      <x:c r="R27" s="28" t="n">
        <x:f>X63</x:f>
        <x:v>3.4011569023132324</x:v>
      </x:c>
      <x:c r="S27" s="7" t="str">
        <x:v>总设备数</x:v>
      </x:c>
      <x:c r="T27" s="7" t="n">
        <x:f>R9*T25</x:f>
        <x:v>128</x:v>
      </x:c>
      <x:c r="U27" s="2"/>
      <x:c r="V27" s="2"/>
      <x:c r="W27" s="2"/>
      <x:c r="X27" s="2"/>
      <x:c r="Y27" s="2"/>
      <x:c r="Z27" s="2"/>
      <x:c r="AA27" s="38" t="n">
        <x:f>IF($R$30=1,SUM(AB27:AD27)*(69)/1073741824,NA())</x:f>
        <x:v>0.70751953125</x:v>
      </x:c>
      <x:c r="AB27" s="39" t="n">
        <x:f>(12288/M27)*ROUNDUP((7168)*VLOOKUP(D27,$Q$32:$R$38,2,FALSE),0)</x:f>
        <x:v>11010048</x:v>
      </x:c>
      <x:c r="AC27" s="39" t="n">
        <x:f>IF(OR(D27="MXFP4",D27="MXFP8"),(12288/M27)*ROUNDUP((7168)/32,0),0)</x:f>
        <x:v>0</x:v>
      </x:c>
      <x:c r="AD27" s="39" t="n">
        <x:f>IF(D27="INT8",(12288/M27)*8,IF(D27="INT4",(12288/M27)*16,0))</x:f>
        <x:v>0</x:v>
      </x:c>
      <x:c r="AE27" s="39" t="n">
        <x:f>(12288)*ROUNDUP((7168)*VLOOKUP(D27,$Q$32:$R$38,2,FALSE),0)</x:f>
        <x:v>176160768</x:v>
      </x:c>
      <x:c r="AF27" s="39" t="n">
        <x:f>IF(OR(D27="MXFP4",D27="MXFP8"),(12288)*ROUNDUP((7168)/32,0),0)</x:f>
        <x:v>0</x:v>
      </x:c>
      <x:c r="AG27" s="39" t="n">
        <x:f>IF(D27="INT8",(12288)*8,IF(D27="INT4",(12288)*16,0))</x:f>
        <x:v>0</x:v>
      </x:c>
    </x:row>
    <x:row r="28" ht="18" customHeight="1">
      <x:c r="A28" s="7" t="str">
        <x:v>KDA</x:v>
      </x:c>
      <x:c r="B28" s="7" t="str">
        <x:v>o_norm.weight</x:v>
      </x:c>
      <x:c r="C28" s="7" t="str">
        <x:v>[128]</x:v>
      </x:c>
      <x:c r="D28" s="10" t="str">
        <x:v>BF16</x:v>
      </x:c>
      <x:c r="E28" s="34" t="n">
        <x:v>69</x:v>
      </x:c>
      <x:c r="F28" s="34" t="n">
        <x:f>(128)</x:f>
        <x:v>128</x:v>
      </x:c>
      <x:c r="G28" s="7" t="str">
        <x:v>Replicated</x:v>
      </x:c>
      <x:c r="H28" s="7" t="str">
        <x:v>None</x:v>
      </x:c>
      <x:c r="I28" s="7" t="str">
        <x:v>否</x:v>
      </x:c>
      <x:c r="J28" s="44" t="n">
        <x:f>E28*SUM(AE28:AG28)/1073741824</x:f>
        <x:v>0.000016450881958007812</x:v>
      </x:c>
      <x:c r="K28" s="44" t="n">
        <x:f>AA28</x:f>
        <x:v>0.000016450881958007812</x:v>
      </x:c>
      <x:c r="L28" s="7" t="str">
        <x:f>IF(OR(D28="MXFP4",D28="MXFP8"),"group 32 / E8M0",IF(D28="INT8","channel / 8 B",IF(D28="INT4","channel / 16 B","")))</x:f>
      </x:c>
      <x:c r="M28" s="45" t="n">
        <x:f>1</x:f>
        <x:v>1</x:v>
      </x:c>
      <x:c r="N28" s="7" t="str">
        <x:f>"["&amp;(128/M28)&amp;"]"</x:f>
        <x:v>[128]</x:v>
      </x:c>
      <x:c r="O28" s="34" t="n">
        <x:f>CHOOSE($R$22+1,69)</x:f>
        <x:v>69</x:v>
      </x:c>
      <x:c r="P28" s="2"/>
      <x:c r="Q28" s="7" t="str">
        <x:v>权重 + cache + buffer GiB</x:v>
      </x:c>
      <x:c r="R28" s="28" t="n">
        <x:f>R23+R27+R25</x:f>
        <x:v>35.97694431990385</x:v>
      </x:c>
      <x:c r="S28" s="8" t="str">
        <x:v>DCP</x:v>
      </x:c>
      <x:c r="T28" s="8" t="n">
        <x:f>R12</x:f>
        <x:v>1</x:v>
      </x:c>
      <x:c r="U28" s="2"/>
      <x:c r="V28" s="2"/>
      <x:c r="W28" s="2"/>
      <x:c r="X28" s="2"/>
      <x:c r="Y28" s="2"/>
      <x:c r="Z28" s="2"/>
      <x:c r="AA28" s="38" t="n">
        <x:f>IF($R$30=1,SUM(AB28:AD28)*(69)/1073741824,NA())</x:f>
        <x:v>0.000016450881958007812</x:v>
      </x:c>
      <x:c r="AB28" s="39" t="n">
        <x:f>1*ROUNDUP((128/M28)*VLOOKUP(D28,$Q$32:$R$38,2,FALSE),0)</x:f>
        <x:v>256</x:v>
      </x:c>
      <x:c r="AC28" s="39" t="n">
        <x:f>IF(OR(D28="MXFP4",D28="MXFP8"),1*ROUNDUP((128/M28)/32,0),0)</x:f>
        <x:v>0</x:v>
      </x:c>
      <x:c r="AD28" s="39" t="n">
        <x:f>IF(D28="INT8",(128/M28)*8,IF(D28="INT4",(128/M28)*16,0))</x:f>
        <x:v>0</x:v>
      </x:c>
      <x:c r="AE28" s="39" t="n">
        <x:f>1*ROUNDUP((128)*VLOOKUP(D28,$Q$32:$R$38,2,FALSE),0)</x:f>
        <x:v>256</x:v>
      </x:c>
      <x:c r="AF28" s="39" t="n">
        <x:f>IF(OR(D28="MXFP4",D28="MXFP8"),1*ROUNDUP((128)/32,0),0)</x:f>
        <x:v>0</x:v>
      </x:c>
      <x:c r="AG28" s="39" t="n">
        <x:f>IF(D28="INT8",(128)*8,IF(D28="INT4",(128)*16,0))</x:f>
        <x:v>0</x:v>
      </x:c>
    </x:row>
    <x:row r="29" ht="18" customHeight="1">
      <x:c r="A29" s="7" t="str">
        <x:v>KDA</x:v>
      </x:c>
      <x:c r="B29" s="7" t="str">
        <x:v>o_proj</x:v>
      </x:c>
      <x:c r="C29" s="7" t="str">
        <x:v>[7168,12288]</x:v>
      </x:c>
      <x:c r="D29" s="10" t="str">
        <x:v>BF16</x:v>
      </x:c>
      <x:c r="E29" s="34" t="n">
        <x:v>69</x:v>
      </x:c>
      <x:c r="F29" s="34" t="n">
        <x:f>(7168)*(12288)</x:f>
        <x:v>88080384</x:v>
      </x:c>
      <x:c r="G29" s="7" t="str">
        <x:v>KDA O TP</x:v>
      </x:c>
      <x:c r="H29" s="7" t="str">
        <x:v>None</x:v>
      </x:c>
      <x:c r="I29" s="7" t="str">
        <x:v>否</x:v>
      </x:c>
      <x:c r="J29" s="44" t="n">
        <x:f>E29*SUM(AE29:AG29)/1073741824</x:f>
        <x:v>11.3203125</x:v>
      </x:c>
      <x:c r="K29" s="44" t="n">
        <x:f>AA29</x:f>
        <x:v>0.70751953125</x:v>
      </x:c>
      <x:c r="L29" s="7" t="str">
        <x:f>IF(OR(D29="MXFP4",D29="MXFP8"),"group 32 / E8M0",IF(D29="INT8","channel / 8 B",IF(D29="INT4","channel / 16 B","")))</x:f>
      </x:c>
      <x:c r="M29" s="45" t="n">
        <x:f>$R$3</x:f>
        <x:v>16</x:v>
      </x:c>
      <x:c r="N29" s="7" t="str">
        <x:f>"["&amp;(7168)&amp;","&amp;(12288/M29)&amp;"]"</x:f>
        <x:v>[7168,768]</x:v>
      </x:c>
      <x:c r="O29" s="34" t="n">
        <x:f>CHOOSE($R$22+1,69)</x:f>
        <x:v>69</x:v>
      </x:c>
      <x:c r="P29" s="2"/>
      <x:c r="Q29" s="8" t="str">
        <x:v>本页 token 数</x:v>
      </x:c>
      <x:c r="R29" s="8" t="n">
        <x:f>R18</x:f>
        <x:v>131072</x:v>
      </x:c>
      <x:c r="S29" s="2"/>
      <x:c r="T29" s="2"/>
      <x:c r="U29" s="2"/>
      <x:c r="V29" s="2"/>
      <x:c r="W29" s="2"/>
      <x:c r="X29" s="2"/>
      <x:c r="Y29" s="2"/>
      <x:c r="Z29" s="2"/>
      <x:c r="AA29" s="38" t="n">
        <x:f>IF($R$30=1,SUM(AB29:AD29)*(69)/1073741824,NA())</x:f>
        <x:v>0.70751953125</x:v>
      </x:c>
      <x:c r="AB29" s="39" t="n">
        <x:f>(7168)*ROUNDUP((12288/M29)*VLOOKUP(D29,$Q$32:$R$38,2,FALSE),0)</x:f>
        <x:v>11010048</x:v>
      </x:c>
      <x:c r="AC29" s="39" t="n">
        <x:f>IF(OR(D29="MXFP4",D29="MXFP8"),(7168)*ROUNDUP((12288/M29)/32,0),0)</x:f>
        <x:v>0</x:v>
      </x:c>
      <x:c r="AD29" s="39" t="n">
        <x:f>IF(D29="INT8",(7168)*8,IF(D29="INT4",(7168)*16,0))</x:f>
        <x:v>0</x:v>
      </x:c>
      <x:c r="AE29" s="39" t="n">
        <x:f>(7168)*ROUNDUP((12288)*VLOOKUP(D29,$Q$32:$R$38,2,FALSE),0)</x:f>
        <x:v>176160768</x:v>
      </x:c>
      <x:c r="AF29" s="39" t="n">
        <x:f>IF(OR(D29="MXFP4",D29="MXFP8"),(7168)*ROUNDUP((12288)/32,0),0)</x:f>
        <x:v>0</x:v>
      </x:c>
      <x:c r="AG29" s="39" t="n">
        <x:f>IF(D29="INT8",(7168)*8,IF(D29="INT4",(7168)*16,0))</x:f>
        <x:v>0</x:v>
      </x:c>
    </x:row>
    <x:row r="30" ht="18" customHeight="1">
      <x:c r="A30" s="48" t="str">
        <x:v>Gated MLA</x:v>
      </x:c>
      <x:c r="B30" s="48" t="str">
        <x:v>q_a_proj</x:v>
      </x:c>
      <x:c r="C30" s="48" t="str">
        <x:v>[1536,7168]</x:v>
      </x:c>
      <x:c r="D30" s="49" t="str">
        <x:v>BF16</x:v>
      </x:c>
      <x:c r="E30" s="50" t="n">
        <x:v>24</x:v>
      </x:c>
      <x:c r="F30" s="50" t="n">
        <x:f>(1536)*(7168)</x:f>
        <x:v>11010048</x:v>
      </x:c>
      <x:c r="G30" s="48" t="str">
        <x:v>Replicated</x:v>
      </x:c>
      <x:c r="H30" s="48" t="str">
        <x:v>None</x:v>
      </x:c>
      <x:c r="I30" s="48" t="str">
        <x:v>否</x:v>
      </x:c>
      <x:c r="J30" s="51" t="n">
        <x:f>E30*SUM(AE30:AG30)/1073741824</x:f>
        <x:v>0.4921875</x:v>
      </x:c>
      <x:c r="K30" s="51" t="n">
        <x:f>AA30</x:f>
        <x:v>0.4921875</x:v>
      </x:c>
      <x:c r="L30" s="48" t="str">
        <x:f>IF(OR(D30="MXFP4",D30="MXFP8"),"group 32 / E8M0",IF(D30="INT8","channel / 8 B",IF(D30="INT4","channel / 16 B","")))</x:f>
      </x:c>
      <x:c r="M30" s="52" t="n">
        <x:f>1</x:f>
        <x:v>1</x:v>
      </x:c>
      <x:c r="N30" s="48" t="str">
        <x:f>"["&amp;(1536/M30)&amp;","&amp;(7168)&amp;"]"</x:f>
        <x:v>[1536,7168]</x:v>
      </x:c>
      <x:c r="O30" s="50" t="n">
        <x:f>CHOOSE($R$22+1,24)</x:f>
        <x:v>24</x:v>
      </x:c>
      <x:c r="P30" s="2"/>
      <x:c r="Q30" s="2" t="str">
        <x:v>参数校验（1=有效）</x:v>
      </x:c>
      <x:c r="R30" s="2" t="n">
        <x:f>IF(AND(AND(R2&gt;=1,R9&gt;=1,R12&gt;=1,R19&gt;=1,R18&gt;=1,R18&lt;=1048576,MOD(R9,R2)=0,MOD(T4,R2)=0,MOD(R2,R12)=0,R22&gt;=0,R22&lt;1,MOD(R22,1)=0,R20&gt;=0,MOD(R20,1)=0,R11=1,AND(R11=1,R13="BF16",R14="BF16"),R2&gt;=1,MOD(R2,1)=0,R3&gt;=1,MOD(R3,1)=0,R4&gt;=1,MOD(R4,1)=0,R5&gt;=1,MOD(R5,1)=0,R6&gt;=1,MOD(R6,1)=0,R7&gt;=1,MOD(R7,1)=0,R8&gt;=1,MOD(R8,1)=0,R9&gt;=1,MOD(R9,1)=0,R10&gt;=1,MOD(R10,1)=0,R11&gt;=1,MOD(R11,1)=0,R12&gt;=1,MOD(R12,1)=0,R16&gt;=1,MOD(R16,1)=0,R17&gt;=1,MOD(R17,1)=0,R18&gt;=1,MOD(R18,1)=0,R19&gt;=1,MOD(R19,1)=0,MOD(163840,R7)=0,MOD(163840,R6)=0,MOD(33792,R8)=0,MOD(12288,R2)=0,MOD(96,R2)=0,MOD(12288,R3)=0,MOD(18432,R4)=0,MOD(24576,R4)=0,MOD(12288,R4)=0,MOD(12288,R5)=0,MOD(6144,R10)=0)),1,0)</x:f>
        <x:v>1</x:v>
      </x:c>
      <x:c r="S30" s="2" t="str">
        <x:v>量化方案</x:v>
      </x:c>
      <x:c r="T30" s="2" t="str">
        <x:v>checkpoint</x:v>
      </x:c>
      <x:c r="U30" s="2"/>
      <x:c r="V30" s="2"/>
      <x:c r="W30" s="2"/>
      <x:c r="X30" s="2"/>
      <x:c r="Y30" s="2"/>
      <x:c r="Z30" s="2"/>
      <x:c r="AA30" s="38" t="n">
        <x:f>IF($R$30=1,SUM(AB30:AD30)*(24)/1073741824,NA())</x:f>
        <x:v>0.4921875</x:v>
      </x:c>
      <x:c r="AB30" s="39" t="n">
        <x:f>(1536/M30)*ROUNDUP((7168)*VLOOKUP(D30,$Q$32:$R$38,2,FALSE),0)</x:f>
        <x:v>22020096</x:v>
      </x:c>
      <x:c r="AC30" s="39" t="n">
        <x:f>IF(OR(D30="MXFP4",D30="MXFP8"),(1536/M30)*ROUNDUP((7168)/32,0),0)</x:f>
        <x:v>0</x:v>
      </x:c>
      <x:c r="AD30" s="39" t="n">
        <x:f>IF(D30="INT8",(1536/M30)*8,IF(D30="INT4",(1536/M30)*16,0))</x:f>
        <x:v>0</x:v>
      </x:c>
      <x:c r="AE30" s="39" t="n">
        <x:f>(1536)*ROUNDUP((7168)*VLOOKUP(D30,$Q$32:$R$38,2,FALSE),0)</x:f>
        <x:v>22020096</x:v>
      </x:c>
      <x:c r="AF30" s="39" t="n">
        <x:f>IF(OR(D30="MXFP4",D30="MXFP8"),(1536)*ROUNDUP((7168)/32,0),0)</x:f>
        <x:v>0</x:v>
      </x:c>
      <x:c r="AG30" s="39" t="n">
        <x:f>IF(D30="INT8",(1536)*8,IF(D30="INT4",(1536)*16,0))</x:f>
        <x:v>0</x:v>
      </x:c>
    </x:row>
    <x:row r="31" ht="18" customHeight="1">
      <x:c r="A31" s="7" t="str">
        <x:v>Gated MLA</x:v>
      </x:c>
      <x:c r="B31" s="7" t="str">
        <x:v>q_a_layernorm.weight</x:v>
      </x:c>
      <x:c r="C31" s="7" t="str">
        <x:v>[1536]</x:v>
      </x:c>
      <x:c r="D31" s="10" t="str">
        <x:v>BF16</x:v>
      </x:c>
      <x:c r="E31" s="34" t="n">
        <x:v>24</x:v>
      </x:c>
      <x:c r="F31" s="34" t="n">
        <x:f>(1536)</x:f>
        <x:v>1536</x:v>
      </x:c>
      <x:c r="G31" s="7" t="str">
        <x:v>Replicated</x:v>
      </x:c>
      <x:c r="H31" s="7" t="str">
        <x:v>None</x:v>
      </x:c>
      <x:c r="I31" s="7" t="str">
        <x:v>否</x:v>
      </x:c>
      <x:c r="J31" s="44" t="n">
        <x:f>E31*SUM(AE31:AG31)/1073741824</x:f>
        <x:v>0.00006866455078125</x:v>
      </x:c>
      <x:c r="K31" s="44" t="n">
        <x:f>AA31</x:f>
        <x:v>0.00006866455078125</x:v>
      </x:c>
      <x:c r="L31" s="7" t="str">
        <x:f>IF(OR(D31="MXFP4",D31="MXFP8"),"group 32 / E8M0",IF(D31="INT8","channel / 8 B",IF(D31="INT4","channel / 16 B","")))</x:f>
      </x:c>
      <x:c r="M31" s="45" t="n">
        <x:f>1</x:f>
        <x:v>1</x:v>
      </x:c>
      <x:c r="N31" s="7" t="str">
        <x:f>"["&amp;(1536/M31)&amp;"]"</x:f>
        <x:v>[1536]</x:v>
      </x:c>
      <x:c r="O31" s="34" t="n">
        <x:f>CHOOSE($R$22+1,24)</x:f>
        <x:v>24</x:v>
      </x:c>
      <x:c r="P31" s="2"/>
      <x:c r="Q31" s="5" t="str">
        <x:v>主权重类型</x:v>
      </x:c>
      <x:c r="R31" s="5" t="str">
        <x:v>主权重 bytes/元素</x:v>
      </x:c>
      <x:c r="S31" s="5" t="str">
        <x:v>Cache 单 token</x:v>
      </x:c>
      <x:c r="T31" s="5" t="str">
        <x:v>元素 bytes</x:v>
      </x:c>
      <x:c r="U31" s="5" t="str">
        <x:v>Scale bytes</x:v>
      </x:c>
      <x:c r="V31" s="5" t="str">
        <x:v>合计 bytes</x:v>
      </x:c>
      <x:c r="W31" s="2"/>
      <x:c r="X31" s="2"/>
      <x:c r="Y31" s="2"/>
      <x:c r="Z31" s="2"/>
      <x:c r="AA31" s="38" t="n">
        <x:f>IF($R$30=1,SUM(AB31:AD31)*(24)/1073741824,NA())</x:f>
        <x:v>0.00006866455078125</x:v>
      </x:c>
      <x:c r="AB31" s="39" t="n">
        <x:f>1*ROUNDUP((1536/M31)*VLOOKUP(D31,$Q$32:$R$38,2,FALSE),0)</x:f>
        <x:v>3072</x:v>
      </x:c>
      <x:c r="AC31" s="39" t="n">
        <x:f>IF(OR(D31="MXFP4",D31="MXFP8"),1*ROUNDUP((1536/M31)/32,0),0)</x:f>
        <x:v>0</x:v>
      </x:c>
      <x:c r="AD31" s="39" t="n">
        <x:f>IF(D31="INT8",(1536/M31)*8,IF(D31="INT4",(1536/M31)*16,0))</x:f>
        <x:v>0</x:v>
      </x:c>
      <x:c r="AE31" s="39" t="n">
        <x:f>1*ROUNDUP((1536)*VLOOKUP(D31,$Q$32:$R$38,2,FALSE),0)</x:f>
        <x:v>3072</x:v>
      </x:c>
      <x:c r="AF31" s="39" t="n">
        <x:f>IF(OR(D31="MXFP4",D31="MXFP8"),1*ROUNDUP((1536)/32,0),0)</x:f>
        <x:v>0</x:v>
      </x:c>
      <x:c r="AG31" s="39" t="n">
        <x:f>IF(D31="INT8",(1536)*8,IF(D31="INT4",(1536)*16,0))</x:f>
        <x:v>0</x:v>
      </x:c>
    </x:row>
    <x:row r="32" ht="18" customHeight="1">
      <x:c r="A32" s="7" t="str">
        <x:v>Gated MLA</x:v>
      </x:c>
      <x:c r="B32" s="7" t="str">
        <x:v>q_b_proj</x:v>
      </x:c>
      <x:c r="C32" s="7" t="str">
        <x:v>[18432,1536]</x:v>
      </x:c>
      <x:c r="D32" s="10" t="str">
        <x:v>BF16</x:v>
      </x:c>
      <x:c r="E32" s="34" t="n">
        <x:v>24</x:v>
      </x:c>
      <x:c r="F32" s="34" t="n">
        <x:f>(18432)*(1536)</x:f>
        <x:v>28311552</x:v>
      </x:c>
      <x:c r="G32" s="7" t="str">
        <x:v>DSA TP</x:v>
      </x:c>
      <x:c r="H32" s="7" t="str">
        <x:v>None</x:v>
      </x:c>
      <x:c r="I32" s="7" t="str">
        <x:v>否</x:v>
      </x:c>
      <x:c r="J32" s="44" t="n">
        <x:f>E32*SUM(AE32:AG32)/1073741824</x:f>
        <x:v>1.265625</x:v>
      </x:c>
      <x:c r="K32" s="44" t="n">
        <x:f>AA32</x:f>
        <x:v>1.265625</x:v>
      </x:c>
      <x:c r="L32" s="7" t="str">
        <x:f>IF(OR(D32="MXFP4",D32="MXFP8"),"group 32 / E8M0",IF(D32="INT8","channel / 8 B",IF(D32="INT4","channel / 16 B","")))</x:f>
      </x:c>
      <x:c r="M32" s="45" t="n">
        <x:f>$R$4</x:f>
        <x:v>1</x:v>
      </x:c>
      <x:c r="N32" s="7" t="str">
        <x:f>"["&amp;(18432/M32)&amp;","&amp;(1536)&amp;"]"</x:f>
        <x:v>[18432,1536]</x:v>
      </x:c>
      <x:c r="O32" s="34" t="n">
        <x:f>CHOOSE($R$22+1,24)</x:f>
        <x:v>24</x:v>
      </x:c>
      <x:c r="P32" s="2"/>
      <x:c r="Q32" s="6" t="str">
        <x:v>BF16</x:v>
      </x:c>
      <x:c r="R32" s="20" t="n">
        <x:v>2</x:v>
      </x:c>
      <x:c r="S32" s="6" t="str">
        <x:v>MLA latent</x:v>
      </x:c>
      <x:c r="T32" s="6" t="n">
        <x:f>IF(R13="BF16",2,1)</x:f>
        <x:v>2</x:v>
      </x:c>
      <x:c r="U32" s="6" t="n">
        <x:f>IF(R13="BF16",0,ROUNDUP(T11/128,0)*4)</x:f>
        <x:v>0</x:v>
      </x:c>
      <x:c r="V32" s="6" t="n">
        <x:f>T11*T32+U32</x:f>
        <x:v>1024</x:v>
      </x:c>
      <x:c r="W32" s="2"/>
      <x:c r="X32" s="2"/>
      <x:c r="Y32" s="2"/>
      <x:c r="Z32" s="2"/>
      <x:c r="AA32" s="38" t="n">
        <x:f>IF($R$30=1,SUM(AB32:AD32)*(24)/1073741824,NA())</x:f>
        <x:v>1.265625</x:v>
      </x:c>
      <x:c r="AB32" s="39" t="n">
        <x:f>(18432/M32)*ROUNDUP((1536)*VLOOKUP(D32,$Q$32:$R$38,2,FALSE),0)</x:f>
        <x:v>56623104</x:v>
      </x:c>
      <x:c r="AC32" s="39" t="n">
        <x:f>IF(OR(D32="MXFP4",D32="MXFP8"),(18432/M32)*ROUNDUP((1536)/32,0),0)</x:f>
        <x:v>0</x:v>
      </x:c>
      <x:c r="AD32" s="39" t="n">
        <x:f>IF(D32="INT8",(18432/M32)*8,IF(D32="INT4",(18432/M32)*16,0))</x:f>
        <x:v>0</x:v>
      </x:c>
      <x:c r="AE32" s="39" t="n">
        <x:f>(18432)*ROUNDUP((1536)*VLOOKUP(D32,$Q$32:$R$38,2,FALSE),0)</x:f>
        <x:v>56623104</x:v>
      </x:c>
      <x:c r="AF32" s="39" t="n">
        <x:f>IF(OR(D32="MXFP4",D32="MXFP8"),(18432)*ROUNDUP((1536)/32,0),0)</x:f>
        <x:v>0</x:v>
      </x:c>
      <x:c r="AG32" s="39" t="n">
        <x:f>IF(D32="INT8",(18432)*8,IF(D32="INT4",(18432)*16,0))</x:f>
        <x:v>0</x:v>
      </x:c>
    </x:row>
    <x:row r="33" ht="18" customHeight="1">
      <x:c r="A33" s="7" t="str">
        <x:v>Gated MLA</x:v>
      </x:c>
      <x:c r="B33" s="7" t="str">
        <x:v>kv_a_proj_with_mqa</x:v>
      </x:c>
      <x:c r="C33" s="7" t="str">
        <x:v>[576,7168]</x:v>
      </x:c>
      <x:c r="D33" s="10" t="str">
        <x:v>BF16</x:v>
      </x:c>
      <x:c r="E33" s="34" t="n">
        <x:v>24</x:v>
      </x:c>
      <x:c r="F33" s="34" t="n">
        <x:f>(576)*(7168)</x:f>
        <x:v>4128768</x:v>
      </x:c>
      <x:c r="G33" s="7" t="str">
        <x:v>Replicated</x:v>
      </x:c>
      <x:c r="H33" s="7" t="str">
        <x:v>None</x:v>
      </x:c>
      <x:c r="I33" s="7" t="str">
        <x:v>否</x:v>
      </x:c>
      <x:c r="J33" s="44" t="n">
        <x:f>E33*SUM(AE33:AG33)/1073741824</x:f>
        <x:v>0.1845703125</x:v>
      </x:c>
      <x:c r="K33" s="44" t="n">
        <x:f>AA33</x:f>
        <x:v>0.1845703125</x:v>
      </x:c>
      <x:c r="L33" s="7" t="str">
        <x:f>IF(OR(D33="MXFP4",D33="MXFP8"),"group 32 / E8M0",IF(D33="INT8","channel / 8 B",IF(D33="INT4","channel / 16 B","")))</x:f>
      </x:c>
      <x:c r="M33" s="45" t="n">
        <x:f>1</x:f>
        <x:v>1</x:v>
      </x:c>
      <x:c r="N33" s="7" t="str">
        <x:f>"["&amp;(576/M33)&amp;","&amp;(7168)&amp;"]"</x:f>
        <x:v>[576,7168]</x:v>
      </x:c>
      <x:c r="O33" s="34" t="n">
        <x:f>CHOOSE($R$22+1,24)</x:f>
        <x:v>24</x:v>
      </x:c>
      <x:c r="P33" s="2"/>
      <x:c r="Q33" s="7" t="str">
        <x:v>FP32</x:v>
      </x:c>
      <x:c r="R33" s="21" t="n">
        <x:v>4</x:v>
      </x:c>
      <x:c r="S33" s="7" t="str">
        <x:v>RoPE</x:v>
      </x:c>
      <x:c r="T33" s="7" t="n">
        <x:v>2</x:v>
      </x:c>
      <x:c r="U33" s="7" t="n">
        <x:v>0</x:v>
      </x:c>
      <x:c r="V33" s="7" t="n">
        <x:f>T12*T33</x:f>
        <x:v>128</x:v>
      </x:c>
      <x:c r="W33" s="2"/>
      <x:c r="X33" s="2"/>
      <x:c r="Y33" s="2"/>
      <x:c r="Z33" s="2"/>
      <x:c r="AA33" s="38" t="n">
        <x:f>IF($R$30=1,SUM(AB33:AD33)*(24)/1073741824,NA())</x:f>
        <x:v>0.1845703125</x:v>
      </x:c>
      <x:c r="AB33" s="39" t="n">
        <x:f>(576/M33)*ROUNDUP((7168)*VLOOKUP(D33,$Q$32:$R$38,2,FALSE),0)</x:f>
        <x:v>8257536</x:v>
      </x:c>
      <x:c r="AC33" s="39" t="n">
        <x:f>IF(OR(D33="MXFP4",D33="MXFP8"),(576/M33)*ROUNDUP((7168)/32,0),0)</x:f>
        <x:v>0</x:v>
      </x:c>
      <x:c r="AD33" s="39" t="n">
        <x:f>IF(D33="INT8",(576/M33)*8,IF(D33="INT4",(576/M33)*16,0))</x:f>
        <x:v>0</x:v>
      </x:c>
      <x:c r="AE33" s="39" t="n">
        <x:f>(576)*ROUNDUP((7168)*VLOOKUP(D33,$Q$32:$R$38,2,FALSE),0)</x:f>
        <x:v>8257536</x:v>
      </x:c>
      <x:c r="AF33" s="39" t="n">
        <x:f>IF(OR(D33="MXFP4",D33="MXFP8"),(576)*ROUNDUP((7168)/32,0),0)</x:f>
        <x:v>0</x:v>
      </x:c>
      <x:c r="AG33" s="39" t="n">
        <x:f>IF(D33="INT8",(576)*8,IF(D33="INT4",(576)*16,0))</x:f>
        <x:v>0</x:v>
      </x:c>
    </x:row>
    <x:row r="34" ht="18" customHeight="1">
      <x:c r="A34" s="7" t="str">
        <x:v>Gated MLA</x:v>
      </x:c>
      <x:c r="B34" s="7" t="str">
        <x:v>kv_a_layernorm.weight</x:v>
      </x:c>
      <x:c r="C34" s="7" t="str">
        <x:v>[512]</x:v>
      </x:c>
      <x:c r="D34" s="10" t="str">
        <x:v>BF16</x:v>
      </x:c>
      <x:c r="E34" s="34" t="n">
        <x:v>24</x:v>
      </x:c>
      <x:c r="F34" s="34" t="n">
        <x:f>(512)</x:f>
        <x:v>512</x:v>
      </x:c>
      <x:c r="G34" s="7" t="str">
        <x:v>Replicated</x:v>
      </x:c>
      <x:c r="H34" s="7" t="str">
        <x:v>None</x:v>
      </x:c>
      <x:c r="I34" s="7" t="str">
        <x:v>否</x:v>
      </x:c>
      <x:c r="J34" s="44" t="n">
        <x:f>E34*SUM(AE34:AG34)/1073741824</x:f>
        <x:v>0.00002288818359375</x:v>
      </x:c>
      <x:c r="K34" s="44" t="n">
        <x:f>AA34</x:f>
        <x:v>0.00002288818359375</x:v>
      </x:c>
      <x:c r="L34" s="7" t="str">
        <x:f>IF(OR(D34="MXFP4",D34="MXFP8"),"group 32 / E8M0",IF(D34="INT8","channel / 8 B",IF(D34="INT4","channel / 16 B","")))</x:f>
      </x:c>
      <x:c r="M34" s="45" t="n">
        <x:f>1</x:f>
        <x:v>1</x:v>
      </x:c>
      <x:c r="N34" s="7" t="str">
        <x:f>"["&amp;(512/M34)&amp;"]"</x:f>
        <x:v>[512]</x:v>
      </x:c>
      <x:c r="O34" s="34" t="n">
        <x:f>CHOOSE($R$22+1,24)</x:f>
        <x:v>24</x:v>
      </x:c>
      <x:c r="P34" s="2"/>
      <x:c r="Q34" s="7" t="str">
        <x:v>FP8</x:v>
      </x:c>
      <x:c r="R34" s="21" t="n">
        <x:v>1</x:v>
      </x:c>
      <x:c r="S34" s="7" t="str">
        <x:v>MLA 合计</x:v>
      </x:c>
      <x:c r="T34" s="7"/>
      <x:c r="U34" s="7"/>
      <x:c r="V34" s="7" t="n">
        <x:f>SUM(V32:V33)</x:f>
        <x:v>1152</x:v>
      </x:c>
      <x:c r="W34" s="2"/>
      <x:c r="X34" s="2"/>
      <x:c r="Y34" s="2"/>
      <x:c r="Z34" s="2"/>
      <x:c r="AA34" s="38" t="n">
        <x:f>IF($R$30=1,SUM(AB34:AD34)*(24)/1073741824,NA())</x:f>
        <x:v>0.00002288818359375</x:v>
      </x:c>
      <x:c r="AB34" s="39" t="n">
        <x:f>1*ROUNDUP((512/M34)*VLOOKUP(D34,$Q$32:$R$38,2,FALSE),0)</x:f>
        <x:v>1024</x:v>
      </x:c>
      <x:c r="AC34" s="39" t="n">
        <x:f>IF(OR(D34="MXFP4",D34="MXFP8"),1*ROUNDUP((512/M34)/32,0),0)</x:f>
        <x:v>0</x:v>
      </x:c>
      <x:c r="AD34" s="39" t="n">
        <x:f>IF(D34="INT8",(512/M34)*8,IF(D34="INT4",(512/M34)*16,0))</x:f>
        <x:v>0</x:v>
      </x:c>
      <x:c r="AE34" s="39" t="n">
        <x:f>1*ROUNDUP((512)*VLOOKUP(D34,$Q$32:$R$38,2,FALSE),0)</x:f>
        <x:v>1024</x:v>
      </x:c>
      <x:c r="AF34" s="39" t="n">
        <x:f>IF(OR(D34="MXFP4",D34="MXFP8"),1*ROUNDUP((512)/32,0),0)</x:f>
        <x:v>0</x:v>
      </x:c>
      <x:c r="AG34" s="39" t="n">
        <x:f>IF(D34="INT8",(512)*8,IF(D34="INT4",(512)*16,0))</x:f>
        <x:v>0</x:v>
      </x:c>
    </x:row>
    <x:row r="35" ht="18" customHeight="1">
      <x:c r="A35" s="7" t="str">
        <x:v>Gated MLA</x:v>
      </x:c>
      <x:c r="B35" s="7" t="str">
        <x:v>kv_b_proj</x:v>
      </x:c>
      <x:c r="C35" s="7" t="str">
        <x:v>[24576,512]</x:v>
      </x:c>
      <x:c r="D35" s="10" t="str">
        <x:v>BF16</x:v>
      </x:c>
      <x:c r="E35" s="34" t="n">
        <x:v>24</x:v>
      </x:c>
      <x:c r="F35" s="34" t="n">
        <x:f>(24576)*(512)</x:f>
        <x:v>12582912</x:v>
      </x:c>
      <x:c r="G35" s="7" t="str">
        <x:v>DSA TP</x:v>
      </x:c>
      <x:c r="H35" s="7" t="str">
        <x:v>None</x:v>
      </x:c>
      <x:c r="I35" s="7" t="str">
        <x:v>否</x:v>
      </x:c>
      <x:c r="J35" s="44" t="n">
        <x:f>E35*SUM(AE35:AG35)/1073741824</x:f>
        <x:v>0.5625</x:v>
      </x:c>
      <x:c r="K35" s="44" t="n">
        <x:f>AA35</x:f>
        <x:v>0.5625</x:v>
      </x:c>
      <x:c r="L35" s="7" t="str">
        <x:f>IF(OR(D35="MXFP4",D35="MXFP8"),"group 32 / E8M0",IF(D35="INT8","channel / 8 B",IF(D35="INT4","channel / 16 B","")))</x:f>
      </x:c>
      <x:c r="M35" s="45" t="n">
        <x:f>$R$4</x:f>
        <x:v>1</x:v>
      </x:c>
      <x:c r="N35" s="7" t="str">
        <x:f>"["&amp;(24576/M35)&amp;","&amp;(512)&amp;"]"</x:f>
        <x:v>[24576,512]</x:v>
      </x:c>
      <x:c r="O35" s="34" t="n">
        <x:f>CHOOSE($R$22+1,24)</x:f>
        <x:v>24</x:v>
      </x:c>
      <x:c r="P35" s="2"/>
      <x:c r="Q35" s="7" t="str">
        <x:v>MXFP4</x:v>
      </x:c>
      <x:c r="R35" s="21" t="n">
        <x:v>0.5</x:v>
      </x:c>
      <x:c r="S35" s="8" t="str">
        <x:v>Indexer</x:v>
      </x:c>
      <x:c r="T35" s="8" t="n">
        <x:f>IF(R14="BF16",2,1)</x:f>
        <x:v>2</x:v>
      </x:c>
      <x:c r="U35" s="8" t="n">
        <x:f>R15</x:f>
        <x:v>0</x:v>
      </x:c>
      <x:c r="V35" s="8" t="n">
        <x:f>T13*T35+U35</x:f>
        <x:v>0</x:v>
      </x:c>
      <x:c r="W35" s="2"/>
      <x:c r="X35" s="2"/>
      <x:c r="Y35" s="2"/>
      <x:c r="Z35" s="2"/>
      <x:c r="AA35" s="38" t="n">
        <x:f>IF($R$30=1,SUM(AB35:AD35)*(24)/1073741824,NA())</x:f>
        <x:v>0.5625</x:v>
      </x:c>
      <x:c r="AB35" s="39" t="n">
        <x:f>(24576/M35)*ROUNDUP((512)*VLOOKUP(D35,$Q$32:$R$38,2,FALSE),0)</x:f>
        <x:v>25165824</x:v>
      </x:c>
      <x:c r="AC35" s="39" t="n">
        <x:f>IF(OR(D35="MXFP4",D35="MXFP8"),(24576/M35)*ROUNDUP((512)/32,0),0)</x:f>
        <x:v>0</x:v>
      </x:c>
      <x:c r="AD35" s="39" t="n">
        <x:f>IF(D35="INT8",(24576/M35)*8,IF(D35="INT4",(24576/M35)*16,0))</x:f>
        <x:v>0</x:v>
      </x:c>
      <x:c r="AE35" s="39" t="n">
        <x:f>(24576)*ROUNDUP((512)*VLOOKUP(D35,$Q$32:$R$38,2,FALSE),0)</x:f>
        <x:v>25165824</x:v>
      </x:c>
      <x:c r="AF35" s="39" t="n">
        <x:f>IF(OR(D35="MXFP4",D35="MXFP8"),(24576)*ROUNDUP((512)/32,0),0)</x:f>
        <x:v>0</x:v>
      </x:c>
      <x:c r="AG35" s="39" t="n">
        <x:f>IF(D35="INT8",(24576)*8,IF(D35="INT4",(24576)*16,0))</x:f>
        <x:v>0</x:v>
      </x:c>
    </x:row>
    <x:row r="36" ht="18" customHeight="1">
      <x:c r="A36" s="7" t="str">
        <x:v>Gated MLA</x:v>
      </x:c>
      <x:c r="B36" s="7" t="str">
        <x:v>g_proj</x:v>
      </x:c>
      <x:c r="C36" s="7" t="str">
        <x:v>[12288,7168]</x:v>
      </x:c>
      <x:c r="D36" s="10" t="str">
        <x:v>BF16</x:v>
      </x:c>
      <x:c r="E36" s="34" t="n">
        <x:v>24</x:v>
      </x:c>
      <x:c r="F36" s="34" t="n">
        <x:f>(12288)*(7168)</x:f>
        <x:v>88080384</x:v>
      </x:c>
      <x:c r="G36" s="7" t="str">
        <x:v>DSA TP</x:v>
      </x:c>
      <x:c r="H36" s="7" t="str">
        <x:v>None</x:v>
      </x:c>
      <x:c r="I36" s="7" t="str">
        <x:v>否</x:v>
      </x:c>
      <x:c r="J36" s="44" t="n">
        <x:f>E36*SUM(AE36:AG36)/1073741824</x:f>
        <x:v>3.9375</x:v>
      </x:c>
      <x:c r="K36" s="44" t="n">
        <x:f>AA36</x:f>
        <x:v>3.9375</x:v>
      </x:c>
      <x:c r="L36" s="7" t="str">
        <x:f>IF(OR(D36="MXFP4",D36="MXFP8"),"group 32 / E8M0",IF(D36="INT8","channel / 8 B",IF(D36="INT4","channel / 16 B","")))</x:f>
      </x:c>
      <x:c r="M36" s="45" t="n">
        <x:f>$R$4</x:f>
        <x:v>1</x:v>
      </x:c>
      <x:c r="N36" s="7" t="str">
        <x:f>"["&amp;(12288/M36)&amp;","&amp;(7168)&amp;"]"</x:f>
        <x:v>[12288,7168]</x:v>
      </x:c>
      <x:c r="O36" s="34" t="n">
        <x:f>CHOOSE($R$22+1,24)</x:f>
        <x:v>24</x:v>
      </x:c>
      <x:c r="P36" s="2"/>
      <x:c r="Q36" s="7" t="str">
        <x:v>MXFP8</x:v>
      </x:c>
      <x:c r="R36" s="21" t="n">
        <x:v>1</x:v>
      </x:c>
      <x:c r="S36" s="2"/>
      <x:c r="T36" s="2"/>
      <x:c r="U36" s="2"/>
      <x:c r="V36" s="2"/>
      <x:c r="W36" s="2"/>
      <x:c r="X36" s="2"/>
      <x:c r="Y36" s="2"/>
      <x:c r="Z36" s="2"/>
      <x:c r="AA36" s="38" t="n">
        <x:f>IF($R$30=1,SUM(AB36:AD36)*(24)/1073741824,NA())</x:f>
        <x:v>3.9375</x:v>
      </x:c>
      <x:c r="AB36" s="39" t="n">
        <x:f>(12288/M36)*ROUNDUP((7168)*VLOOKUP(D36,$Q$32:$R$38,2,FALSE),0)</x:f>
        <x:v>176160768</x:v>
      </x:c>
      <x:c r="AC36" s="39" t="n">
        <x:f>IF(OR(D36="MXFP4",D36="MXFP8"),(12288/M36)*ROUNDUP((7168)/32,0),0)</x:f>
        <x:v>0</x:v>
      </x:c>
      <x:c r="AD36" s="39" t="n">
        <x:f>IF(D36="INT8",(12288/M36)*8,IF(D36="INT4",(12288/M36)*16,0))</x:f>
        <x:v>0</x:v>
      </x:c>
      <x:c r="AE36" s="39" t="n">
        <x:f>(12288)*ROUNDUP((7168)*VLOOKUP(D36,$Q$32:$R$38,2,FALSE),0)</x:f>
        <x:v>176160768</x:v>
      </x:c>
      <x:c r="AF36" s="39" t="n">
        <x:f>IF(OR(D36="MXFP4",D36="MXFP8"),(12288)*ROUNDUP((7168)/32,0),0)</x:f>
        <x:v>0</x:v>
      </x:c>
      <x:c r="AG36" s="39" t="n">
        <x:f>IF(D36="INT8",(12288)*8,IF(D36="INT4",(12288)*16,0))</x:f>
        <x:v>0</x:v>
      </x:c>
    </x:row>
    <x:row r="37" ht="18" customHeight="1">
      <x:c r="A37" s="7" t="str">
        <x:v>Gated MLA</x:v>
      </x:c>
      <x:c r="B37" s="7" t="str">
        <x:v>o_proj</x:v>
      </x:c>
      <x:c r="C37" s="7" t="str">
        <x:v>[7168,12288]</x:v>
      </x:c>
      <x:c r="D37" s="10" t="str">
        <x:v>BF16</x:v>
      </x:c>
      <x:c r="E37" s="34" t="n">
        <x:v>24</x:v>
      </x:c>
      <x:c r="F37" s="34" t="n">
        <x:f>(7168)*(12288)</x:f>
        <x:v>88080384</x:v>
      </x:c>
      <x:c r="G37" s="7" t="str">
        <x:v>DSA O TP</x:v>
      </x:c>
      <x:c r="H37" s="7" t="str">
        <x:v>None</x:v>
      </x:c>
      <x:c r="I37" s="7" t="str">
        <x:v>否</x:v>
      </x:c>
      <x:c r="J37" s="44" t="n">
        <x:f>E37*SUM(AE37:AG37)/1073741824</x:f>
        <x:v>3.9375</x:v>
      </x:c>
      <x:c r="K37" s="44" t="n">
        <x:f>AA37</x:f>
        <x:v>0.24609375</x:v>
      </x:c>
      <x:c r="L37" s="7" t="str">
        <x:f>IF(OR(D37="MXFP4",D37="MXFP8"),"group 32 / E8M0",IF(D37="INT8","channel / 8 B",IF(D37="INT4","channel / 16 B","")))</x:f>
      </x:c>
      <x:c r="M37" s="45" t="n">
        <x:f>$R$5</x:f>
        <x:v>16</x:v>
      </x:c>
      <x:c r="N37" s="7" t="str">
        <x:f>"["&amp;(7168)&amp;","&amp;(12288/M37)&amp;"]"</x:f>
        <x:v>[7168,768]</x:v>
      </x:c>
      <x:c r="O37" s="34" t="n">
        <x:f>CHOOSE($R$22+1,24)</x:f>
        <x:v>24</x:v>
      </x:c>
      <x:c r="P37" s="2"/>
      <x:c r="Q37" s="7" t="str">
        <x:v>INT4</x:v>
      </x:c>
      <x:c r="R37" s="21" t="n">
        <x:v>0.5</x:v>
      </x:c>
      <x:c r="S37" s="2"/>
      <x:c r="T37" s="2"/>
      <x:c r="U37" s="2"/>
      <x:c r="V37" s="2"/>
      <x:c r="W37" s="2"/>
      <x:c r="X37" s="2"/>
      <x:c r="Y37" s="2"/>
      <x:c r="Z37" s="2"/>
      <x:c r="AA37" s="38" t="n">
        <x:f>IF($R$30=1,SUM(AB37:AD37)*(24)/1073741824,NA())</x:f>
        <x:v>0.24609375</x:v>
      </x:c>
      <x:c r="AB37" s="39" t="n">
        <x:f>(7168)*ROUNDUP((12288/M37)*VLOOKUP(D37,$Q$32:$R$38,2,FALSE),0)</x:f>
        <x:v>11010048</x:v>
      </x:c>
      <x:c r="AC37" s="39" t="n">
        <x:f>IF(OR(D37="MXFP4",D37="MXFP8"),(7168)*ROUNDUP((12288/M37)/32,0),0)</x:f>
        <x:v>0</x:v>
      </x:c>
      <x:c r="AD37" s="39" t="n">
        <x:f>IF(D37="INT8",(7168)*8,IF(D37="INT4",(7168)*16,0))</x:f>
        <x:v>0</x:v>
      </x:c>
      <x:c r="AE37" s="39" t="n">
        <x:f>(7168)*ROUNDUP((12288)*VLOOKUP(D37,$Q$32:$R$38,2,FALSE),0)</x:f>
        <x:v>176160768</x:v>
      </x:c>
      <x:c r="AF37" s="39" t="n">
        <x:f>IF(OR(D37="MXFP4",D37="MXFP8"),(7168)*ROUNDUP((12288)/32,0),0)</x:f>
        <x:v>0</x:v>
      </x:c>
      <x:c r="AG37" s="39" t="n">
        <x:f>IF(D37="INT8",(7168)*8,IF(D37="INT4",(7168)*16,0))</x:f>
        <x:v>0</x:v>
      </x:c>
    </x:row>
    <x:row r="38" ht="18" customHeight="1">
      <x:c r="A38" s="48" t="str">
        <x:v>MoE</x:v>
      </x:c>
      <x:c r="B38" s="48" t="str">
        <x:v>router.weight</x:v>
      </x:c>
      <x:c r="C38" s="48" t="str">
        <x:v>[896,7168]</x:v>
      </x:c>
      <x:c r="D38" s="49" t="str">
        <x:v>BF16</x:v>
      </x:c>
      <x:c r="E38" s="50" t="n">
        <x:v>92</x:v>
      </x:c>
      <x:c r="F38" s="50" t="n">
        <x:f>(896)*(7168)</x:f>
        <x:v>6422528</x:v>
      </x:c>
      <x:c r="G38" s="48" t="str">
        <x:v>Replicated</x:v>
      </x:c>
      <x:c r="H38" s="48" t="str">
        <x:v>None</x:v>
      </x:c>
      <x:c r="I38" s="48" t="str">
        <x:v>否</x:v>
      </x:c>
      <x:c r="J38" s="51" t="n">
        <x:f>E38*SUM(AE38:AG38)/1073741824</x:f>
        <x:v>1.1005859375</x:v>
      </x:c>
      <x:c r="K38" s="51" t="n">
        <x:f>AA38</x:f>
        <x:v>1.1005859375</x:v>
      </x:c>
      <x:c r="L38" s="48" t="str">
        <x:f>IF(OR(D38="MXFP4",D38="MXFP8"),"group 32 / E8M0",IF(D38="INT8","channel / 8 B",IF(D38="INT4","channel / 16 B","")))</x:f>
      </x:c>
      <x:c r="M38" s="52" t="n">
        <x:f>1</x:f>
        <x:v>1</x:v>
      </x:c>
      <x:c r="N38" s="48" t="str">
        <x:f>"["&amp;(896/M38)&amp;","&amp;(7168)&amp;"]"</x:f>
        <x:v>[896,7168]</x:v>
      </x:c>
      <x:c r="O38" s="50" t="n">
        <x:f>CHOOSE($R$22+1,92)</x:f>
        <x:v>92</x:v>
      </x:c>
      <x:c r="P38" s="2"/>
      <x:c r="Q38" s="8" t="str">
        <x:v>INT8</x:v>
      </x:c>
      <x:c r="R38" s="22" t="n">
        <x:v>1</x:v>
      </x:c>
      <x:c r="S38" s="2"/>
      <x:c r="T38" s="2"/>
      <x:c r="U38" s="2"/>
      <x:c r="V38" s="2"/>
      <x:c r="W38" s="2"/>
      <x:c r="X38" s="2"/>
      <x:c r="Y38" s="2"/>
      <x:c r="Z38" s="2"/>
      <x:c r="AA38" s="38" t="n">
        <x:f>IF($R$30=1,SUM(AB38:AD38)*(92)/1073741824,NA())</x:f>
        <x:v>1.1005859375</x:v>
      </x:c>
      <x:c r="AB38" s="39" t="n">
        <x:f>(896/M38)*ROUNDUP((7168)*VLOOKUP(D38,$Q$32:$R$38,2,FALSE),0)</x:f>
        <x:v>12845056</x:v>
      </x:c>
      <x:c r="AC38" s="39" t="n">
        <x:f>IF(OR(D38="MXFP4",D38="MXFP8"),(896/M38)*ROUNDUP((7168)/32,0),0)</x:f>
        <x:v>0</x:v>
      </x:c>
      <x:c r="AD38" s="39" t="n">
        <x:f>IF(D38="INT8",(896/M38)*8,IF(D38="INT4",(896/M38)*16,0))</x:f>
        <x:v>0</x:v>
      </x:c>
      <x:c r="AE38" s="39" t="n">
        <x:f>(896)*ROUNDUP((7168)*VLOOKUP(D38,$Q$32:$R$38,2,FALSE),0)</x:f>
        <x:v>12845056</x:v>
      </x:c>
      <x:c r="AF38" s="39" t="n">
        <x:f>IF(OR(D38="MXFP4",D38="MXFP8"),(896)*ROUNDUP((7168)/32,0),0)</x:f>
        <x:v>0</x:v>
      </x:c>
      <x:c r="AG38" s="39" t="n">
        <x:f>IF(D38="INT8",(896)*8,IF(D38="INT4",(896)*16,0))</x:f>
        <x:v>0</x:v>
      </x:c>
    </x:row>
    <x:row r="39" ht="18" customHeight="1">
      <x:c r="A39" s="7" t="str">
        <x:v>MoE</x:v>
      </x:c>
      <x:c r="B39" s="7" t="str">
        <x:v>e_score_correction_bias</x:v>
      </x:c>
      <x:c r="C39" s="7" t="str">
        <x:v>[896]</x:v>
      </x:c>
      <x:c r="D39" s="10" t="str">
        <x:v>BF16</x:v>
      </x:c>
      <x:c r="E39" s="34" t="n">
        <x:v>92</x:v>
      </x:c>
      <x:c r="F39" s="34" t="n">
        <x:f>(896)</x:f>
        <x:v>896</x:v>
      </x:c>
      <x:c r="G39" s="7" t="str">
        <x:v>Replicated</x:v>
      </x:c>
      <x:c r="H39" s="7" t="str">
        <x:v>None</x:v>
      </x:c>
      <x:c r="I39" s="7" t="str">
        <x:v>否</x:v>
      </x:c>
      <x:c r="J39" s="44" t="n">
        <x:f>E39*SUM(AE39:AG39)/1073741824</x:f>
        <x:v>0.00015354156494140625</x:v>
      </x:c>
      <x:c r="K39" s="44" t="n">
        <x:f>AA39</x:f>
        <x:v>0.00015354156494140625</x:v>
      </x:c>
      <x:c r="L39" s="7" t="str">
        <x:f>IF(OR(D39="MXFP4",D39="MXFP8"),"group 32 / E8M0",IF(D39="INT8","channel / 8 B",IF(D39="INT4","channel / 16 B","")))</x:f>
      </x:c>
      <x:c r="M39" s="45" t="n">
        <x:f>1</x:f>
        <x:v>1</x:v>
      </x:c>
      <x:c r="N39" s="7" t="str">
        <x:f>"["&amp;(896/M39)&amp;"]"</x:f>
        <x:v>[896]</x:v>
      </x:c>
      <x:c r="O39" s="34" t="n">
        <x:f>CHOOSE($R$22+1,92)</x:f>
        <x:v>92</x:v>
      </x:c>
      <x:c r="P39" s="2"/>
      <x:c r="Q39" s="5" t="str">
        <x:v>结构</x:v>
      </x:c>
      <x:c r="R39" s="5" t="str">
        <x:v>单卡层数</x:v>
      </x:c>
      <x:c r="S39" s="5" t="str">
        <x:v>每层实例数</x:v>
      </x:c>
      <x:c r="T39" s="5" t="str">
        <x:v>单卡重复总数</x:v>
      </x:c>
      <x:c r="U39" s="5" t="str">
        <x:v>每实例 GiB</x:v>
      </x:c>
      <x:c r="V39" s="5" t="str">
        <x:v>单卡合计 GiB</x:v>
      </x:c>
      <x:c r="W39" s="5" t="str">
        <x:v>占权重比例</x:v>
      </x:c>
      <x:c r="X39" s="5" t="str">
        <x:v>组成</x:v>
      </x:c>
      <x:c r="Y39" s="2"/>
      <x:c r="Z39" s="2"/>
      <x:c r="AA39" s="38" t="n">
        <x:f>IF($R$30=1,SUM(AB39:AD39)*(92)/1073741824,NA())</x:f>
        <x:v>0.00015354156494140625</x:v>
      </x:c>
      <x:c r="AB39" s="39" t="n">
        <x:f>1*ROUNDUP((896/M39)*VLOOKUP(D39,$Q$32:$R$38,2,FALSE),0)</x:f>
        <x:v>1792</x:v>
      </x:c>
      <x:c r="AC39" s="39" t="n">
        <x:f>IF(OR(D39="MXFP4",D39="MXFP8"),1*ROUNDUP((896/M39)/32,0),0)</x:f>
        <x:v>0</x:v>
      </x:c>
      <x:c r="AD39" s="39" t="n">
        <x:f>IF(D39="INT8",(896/M39)*8,IF(D39="INT4",(896/M39)*16,0))</x:f>
        <x:v>0</x:v>
      </x:c>
      <x:c r="AE39" s="39" t="n">
        <x:f>1*ROUNDUP((896)*VLOOKUP(D39,$Q$32:$R$38,2,FALSE),0)</x:f>
        <x:v>1792</x:v>
      </x:c>
      <x:c r="AF39" s="39" t="n">
        <x:f>IF(OR(D39="MXFP4",D39="MXFP8"),1*ROUNDUP((896)/32,0),0)</x:f>
        <x:v>0</x:v>
      </x:c>
      <x:c r="AG39" s="39" t="n">
        <x:f>IF(D39="INT8",(896)*8,IF(D39="INT4",(896)*16,0))</x:f>
        <x:v>0</x:v>
      </x:c>
    </x:row>
    <x:row r="40" ht="18" customHeight="1">
      <x:c r="A40" s="7" t="str">
        <x:v>MoE</x:v>
      </x:c>
      <x:c r="B40" s="7" t="str">
        <x:v>routed_expert_down_proj</x:v>
      </x:c>
      <x:c r="C40" s="7" t="str">
        <x:v>[3584,7168]</x:v>
      </x:c>
      <x:c r="D40" s="10" t="str">
        <x:v>BF16</x:v>
      </x:c>
      <x:c r="E40" s="34" t="n">
        <x:v>92</x:v>
      </x:c>
      <x:c r="F40" s="34" t="n">
        <x:f>(3584)*(7168)</x:f>
        <x:v>25690112</x:v>
      </x:c>
      <x:c r="G40" s="7" t="str">
        <x:v>Replicated</x:v>
      </x:c>
      <x:c r="H40" s="7" t="str">
        <x:v>None</x:v>
      </x:c>
      <x:c r="I40" s="7" t="str">
        <x:v>否</x:v>
      </x:c>
      <x:c r="J40" s="44" t="n">
        <x:f>E40*SUM(AE40:AG40)/1073741824</x:f>
        <x:v>4.40234375</x:v>
      </x:c>
      <x:c r="K40" s="44" t="n">
        <x:f>AA40</x:f>
        <x:v>4.40234375</x:v>
      </x:c>
      <x:c r="L40" s="7" t="str">
        <x:f>IF(OR(D40="MXFP4",D40="MXFP8"),"group 32 / E8M0",IF(D40="INT8","channel / 8 B",IF(D40="INT4","channel / 16 B","")))</x:f>
      </x:c>
      <x:c r="M40" s="45" t="n">
        <x:f>1</x:f>
        <x:v>1</x:v>
      </x:c>
      <x:c r="N40" s="7" t="str">
        <x:f>"["&amp;(3584/M40)&amp;","&amp;(7168)&amp;"]"</x:f>
        <x:v>[3584,7168]</x:v>
      </x:c>
      <x:c r="O40" s="34" t="n">
        <x:f>CHOOSE($R$22+1,92)</x:f>
        <x:v>92</x:v>
      </x:c>
      <x:c r="P40" s="2"/>
      <x:c r="Q40" s="6" t="str">
        <x:v>embedding</x:v>
      </x:c>
      <x:c r="R40" s="6" t="n">
        <x:f>CHOOSE($R$22+1,1)</x:f>
        <x:v>1</x:v>
      </x:c>
      <x:c r="S40" s="6" t="n">
        <x:f>1</x:f>
        <x:v>1</x:v>
      </x:c>
      <x:c r="T40" s="6" t="n">
        <x:f>R40*S40</x:f>
        <x:v>1</x:v>
      </x:c>
      <x:c r="U40" s="27" t="n">
        <x:f>IF(T40=0,0,V40/T40)</x:f>
        <x:v>0.13671875</x:v>
      </x:c>
      <x:c r="V40" s="27" t="n">
        <x:f>SUM(K2)</x:f>
        <x:v>0.13671875</x:v>
      </x:c>
      <x:c r="W40" s="30" t="n">
        <x:f>V40/$R$23</x:f>
        <x:v>0.004196943829703812</x:v>
      </x:c>
      <x:c r="X40" s="6" t="str"/>
      <x:c r="Y40" s="2"/>
      <x:c r="Z40" s="2"/>
      <x:c r="AA40" s="38" t="n">
        <x:f>IF($R$30=1,SUM(AB40:AD40)*(92)/1073741824,NA())</x:f>
        <x:v>4.40234375</x:v>
      </x:c>
      <x:c r="AB40" s="39" t="n">
        <x:f>(3584/M40)*ROUNDUP((7168)*VLOOKUP(D40,$Q$32:$R$38,2,FALSE),0)</x:f>
        <x:v>51380224</x:v>
      </x:c>
      <x:c r="AC40" s="39" t="n">
        <x:f>IF(OR(D40="MXFP4",D40="MXFP8"),(3584/M40)*ROUNDUP((7168)/32,0),0)</x:f>
        <x:v>0</x:v>
      </x:c>
      <x:c r="AD40" s="39" t="n">
        <x:f>IF(D40="INT8",(3584/M40)*8,IF(D40="INT4",(3584/M40)*16,0))</x:f>
        <x:v>0</x:v>
      </x:c>
      <x:c r="AE40" s="39" t="n">
        <x:f>(3584)*ROUNDUP((7168)*VLOOKUP(D40,$Q$32:$R$38,2,FALSE),0)</x:f>
        <x:v>51380224</x:v>
      </x:c>
      <x:c r="AF40" s="39" t="n">
        <x:f>IF(OR(D40="MXFP4",D40="MXFP8"),(3584)*ROUNDUP((7168)/32,0),0)</x:f>
        <x:v>0</x:v>
      </x:c>
      <x:c r="AG40" s="39" t="n">
        <x:f>IF(D40="INT8",(3584)*8,IF(D40="INT4",(3584)*16,0))</x:f>
        <x:v>0</x:v>
      </x:c>
    </x:row>
    <x:row r="41" ht="18" customHeight="1">
      <x:c r="A41" s="7" t="str">
        <x:v>MoE</x:v>
      </x:c>
      <x:c r="B41" s="7" t="str">
        <x:v>routed_expert_norm.weight</x:v>
      </x:c>
      <x:c r="C41" s="7" t="str">
        <x:v>[3584]</x:v>
      </x:c>
      <x:c r="D41" s="10" t="str">
        <x:v>BF16</x:v>
      </x:c>
      <x:c r="E41" s="34" t="n">
        <x:v>92</x:v>
      </x:c>
      <x:c r="F41" s="34" t="n">
        <x:f>(3584)</x:f>
        <x:v>3584</x:v>
      </x:c>
      <x:c r="G41" s="7" t="str">
        <x:v>Replicated</x:v>
      </x:c>
      <x:c r="H41" s="7" t="str">
        <x:v>None</x:v>
      </x:c>
      <x:c r="I41" s="7" t="str">
        <x:v>否</x:v>
      </x:c>
      <x:c r="J41" s="44" t="n">
        <x:f>E41*SUM(AE41:AG41)/1073741824</x:f>
        <x:v>0.000614166259765625</x:v>
      </x:c>
      <x:c r="K41" s="44" t="n">
        <x:f>AA41</x:f>
        <x:v>0.000614166259765625</x:v>
      </x:c>
      <x:c r="L41" s="7" t="str">
        <x:f>IF(OR(D41="MXFP4",D41="MXFP8"),"group 32 / E8M0",IF(D41="INT8","channel / 8 B",IF(D41="INT4","channel / 16 B","")))</x:f>
      </x:c>
      <x:c r="M41" s="45" t="n">
        <x:f>1</x:f>
        <x:v>1</x:v>
      </x:c>
      <x:c r="N41" s="7" t="str">
        <x:f>"["&amp;(3584/M41)&amp;"]"</x:f>
        <x:v>[3584]</x:v>
      </x:c>
      <x:c r="O41" s="34" t="n">
        <x:f>CHOOSE($R$22+1,92)</x:f>
        <x:v>92</x:v>
      </x:c>
      <x:c r="P41" s="2"/>
      <x:c r="Q41" s="7" t="str">
        <x:v>lm_head</x:v>
      </x:c>
      <x:c r="R41" s="7" t="n">
        <x:f>CHOOSE($R$22+1,1)</x:f>
        <x:v>1</x:v>
      </x:c>
      <x:c r="S41" s="7" t="n">
        <x:f>1</x:f>
        <x:v>1</x:v>
      </x:c>
      <x:c r="T41" s="7" t="n">
        <x:f>R41*S41</x:f>
        <x:v>1</x:v>
      </x:c>
      <x:c r="U41" s="28" t="n">
        <x:f>IF(T41=0,0,V41/T41)</x:f>
        <x:v>0.13671875</x:v>
      </x:c>
      <x:c r="V41" s="28" t="n">
        <x:f>SUM(K3)</x:f>
        <x:v>0.13671875</x:v>
      </x:c>
      <x:c r="W41" s="31" t="n">
        <x:f>V41/$R$23</x:f>
        <x:v>0.004196943829703812</x:v>
      </x:c>
      <x:c r="X41" s="7" t="str"/>
      <x:c r="Y41" s="2"/>
      <x:c r="Z41" s="2"/>
      <x:c r="AA41" s="38" t="n">
        <x:f>IF($R$30=1,SUM(AB41:AD41)*(92)/1073741824,NA())</x:f>
        <x:v>0.000614166259765625</x:v>
      </x:c>
      <x:c r="AB41" s="39" t="n">
        <x:f>1*ROUNDUP((3584/M41)*VLOOKUP(D41,$Q$32:$R$38,2,FALSE),0)</x:f>
        <x:v>7168</x:v>
      </x:c>
      <x:c r="AC41" s="39" t="n">
        <x:f>IF(OR(D41="MXFP4",D41="MXFP8"),1*ROUNDUP((3584/M41)/32,0),0)</x:f>
        <x:v>0</x:v>
      </x:c>
      <x:c r="AD41" s="39" t="n">
        <x:f>IF(D41="INT8",(3584/M41)*8,IF(D41="INT4",(3584/M41)*16,0))</x:f>
        <x:v>0</x:v>
      </x:c>
      <x:c r="AE41" s="39" t="n">
        <x:f>1*ROUNDUP((3584)*VLOOKUP(D41,$Q$32:$R$38,2,FALSE),0)</x:f>
        <x:v>7168</x:v>
      </x:c>
      <x:c r="AF41" s="39" t="n">
        <x:f>IF(OR(D41="MXFP4",D41="MXFP8"),1*ROUNDUP((3584)/32,0),0)</x:f>
        <x:v>0</x:v>
      </x:c>
      <x:c r="AG41" s="39" t="n">
        <x:f>IF(D41="INT8",(3584)*8,IF(D41="INT4",(3584)*16,0))</x:f>
        <x:v>0</x:v>
      </x:c>
    </x:row>
    <x:row r="42" ht="18" customHeight="1">
      <x:c r="A42" s="7" t="str">
        <x:v>MoE</x:v>
      </x:c>
      <x:c r="B42" s="7" t="str">
        <x:v>routed_expert_up_proj</x:v>
      </x:c>
      <x:c r="C42" s="7" t="str">
        <x:v>[7168,3584]</x:v>
      </x:c>
      <x:c r="D42" s="10" t="str">
        <x:v>BF16</x:v>
      </x:c>
      <x:c r="E42" s="34" t="n">
        <x:v>92</x:v>
      </x:c>
      <x:c r="F42" s="34" t="n">
        <x:f>(7168)*(3584)</x:f>
        <x:v>25690112</x:v>
      </x:c>
      <x:c r="G42" s="7" t="str">
        <x:v>Replicated</x:v>
      </x:c>
      <x:c r="H42" s="7" t="str">
        <x:v>None</x:v>
      </x:c>
      <x:c r="I42" s="7" t="str">
        <x:v>否</x:v>
      </x:c>
      <x:c r="J42" s="44" t="n">
        <x:f>E42*SUM(AE42:AG42)/1073741824</x:f>
        <x:v>4.40234375</x:v>
      </x:c>
      <x:c r="K42" s="44" t="n">
        <x:f>AA42</x:f>
        <x:v>4.40234375</x:v>
      </x:c>
      <x:c r="L42" s="7" t="str">
        <x:f>IF(OR(D42="MXFP4",D42="MXFP8"),"group 32 / E8M0",IF(D42="INT8","channel / 8 B",IF(D42="INT4","channel / 16 B","")))</x:f>
      </x:c>
      <x:c r="M42" s="45" t="n">
        <x:f>1</x:f>
        <x:v>1</x:v>
      </x:c>
      <x:c r="N42" s="7" t="str">
        <x:f>"["&amp;(7168/M42)&amp;","&amp;(3584)&amp;"]"</x:f>
        <x:v>[7168,3584]</x:v>
      </x:c>
      <x:c r="O42" s="34" t="n">
        <x:f>CHOOSE($R$22+1,92)</x:f>
        <x:v>92</x:v>
      </x:c>
      <x:c r="P42" s="2"/>
      <x:c r="Q42" s="7" t="str">
        <x:v>Decoder norms / residual</x:v>
      </x:c>
      <x:c r="R42" s="7" t="n">
        <x:f>CHOOSE($R$22+1,93)</x:f>
        <x:v>93</x:v>
      </x:c>
      <x:c r="S42" s="7" t="n">
        <x:f>1</x:f>
        <x:v>1</x:v>
      </x:c>
      <x:c r="T42" s="7" t="n">
        <x:f>R42*S42</x:f>
        <x:v>93</x:v>
      </x:c>
      <x:c r="U42" s="28" t="n">
        <x:f>IF(T42=0,0,V42/T42)</x:f>
        <x:v>0.000080108642578125</x:v>
      </x:c>
      <x:c r="V42" s="28" t="n">
        <x:f>SUM(K4,K5,K6,K7,K8,K9)</x:f>
        <x:v>0.007450103759765625</x:v>
      </x:c>
      <x:c r="W42" s="31" t="n">
        <x:f>V42/$R$23</x:f>
        <x:v>0.00022870065009518816</x:v>
      </x:c>
      <x:c r="X42" s="7" t="str"/>
      <x:c r="Y42" s="2"/>
      <x:c r="Z42" s="2"/>
      <x:c r="AA42" s="38" t="n">
        <x:f>IF($R$30=1,SUM(AB42:AD42)*(92)/1073741824,NA())</x:f>
        <x:v>4.40234375</x:v>
      </x:c>
      <x:c r="AB42" s="39" t="n">
        <x:f>(7168/M42)*ROUNDUP((3584)*VLOOKUP(D42,$Q$32:$R$38,2,FALSE),0)</x:f>
        <x:v>51380224</x:v>
      </x:c>
      <x:c r="AC42" s="39" t="n">
        <x:f>IF(OR(D42="MXFP4",D42="MXFP8"),(7168/M42)*ROUNDUP((3584)/32,0),0)</x:f>
        <x:v>0</x:v>
      </x:c>
      <x:c r="AD42" s="39" t="n">
        <x:f>IF(D42="INT8",(7168/M42)*8,IF(D42="INT4",(7168/M42)*16,0))</x:f>
        <x:v>0</x:v>
      </x:c>
      <x:c r="AE42" s="39" t="n">
        <x:f>(7168)*ROUNDUP((3584)*VLOOKUP(D42,$Q$32:$R$38,2,FALSE),0)</x:f>
        <x:v>51380224</x:v>
      </x:c>
      <x:c r="AF42" s="39" t="n">
        <x:f>IF(OR(D42="MXFP4",D42="MXFP8"),(7168)*ROUNDUP((3584)/32,0),0)</x:f>
        <x:v>0</x:v>
      </x:c>
      <x:c r="AG42" s="39" t="n">
        <x:f>IF(D42="INT8",(7168)*8,IF(D42="INT4",(7168)*16,0))</x:f>
        <x:v>0</x:v>
      </x:c>
    </x:row>
    <x:row r="43" ht="18" customHeight="1">
      <x:c r="A43" s="7" t="str">
        <x:v>MoE</x:v>
      </x:c>
      <x:c r="B43" s="7" t="str">
        <x:v>experts.*.w1</x:v>
      </x:c>
      <x:c r="C43" s="7" t="str">
        <x:v>[3072,3584]</x:v>
      </x:c>
      <x:c r="D43" s="10" t="str">
        <x:v>MXFP4</x:v>
      </x:c>
      <x:c r="E43" s="34" t="n">
        <x:v>82432</x:v>
      </x:c>
      <x:c r="F43" s="34" t="n">
        <x:f>(3072)*(3584)</x:f>
        <x:v>11010048</x:v>
      </x:c>
      <x:c r="G43" s="7" t="str">
        <x:v>EP</x:v>
      </x:c>
      <x:c r="H43" s="7" t="str">
        <x:v>EP</x:v>
      </x:c>
      <x:c r="I43" s="7" t="str">
        <x:v>否</x:v>
      </x:c>
      <x:c r="J43" s="44" t="n">
        <x:f>E43*SUM(AE43:AG43)/1073741824</x:f>
        <x:v>449.0390625</x:v>
      </x:c>
      <x:c r="K43" s="44" t="n">
        <x:f>AA43</x:f>
        <x:v>3.50811767578125</x:v>
      </x:c>
      <x:c r="L43" s="7" t="str">
        <x:f>IF(OR(D43="MXFP4",D43="MXFP8"),"group 32 / E8M0",IF(D43="INT8","channel / 8 B",IF(D43="INT4","channel / 16 B","")))</x:f>
        <x:v>group 32 / E8M0</x:v>
      </x:c>
      <x:c r="M43" s="45" t="n">
        <x:f>1</x:f>
        <x:v>1</x:v>
      </x:c>
      <x:c r="N43" s="7" t="str">
        <x:f>"["&amp;(3072/M43)&amp;","&amp;(3584)&amp;"]"</x:f>
        <x:v>[3072,3584]</x:v>
      </x:c>
      <x:c r="O43" s="34" t="n">
        <x:f>CHOOSE($R$22+1,92*ROUNDUP(896/$R$9,0))</x:f>
        <x:v>644</x:v>
      </x:c>
      <x:c r="P43" s="2"/>
      <x:c r="Q43" s="7" t="str">
        <x:v>Final norm / residual</x:v>
      </x:c>
      <x:c r="R43" s="7" t="n">
        <x:f>CHOOSE($R$22+1,1)</x:f>
        <x:v>1</x:v>
      </x:c>
      <x:c r="S43" s="7" t="n">
        <x:f>1</x:f>
        <x:v>1</x:v>
      </x:c>
      <x:c r="T43" s="7" t="n">
        <x:f>R43*S43</x:f>
        <x:v>1</x:v>
      </x:c>
      <x:c r="U43" s="28" t="n">
        <x:f>IF(T43=0,0,V43/T43)</x:f>
        <x:v>0.0000400543212890625</x:v>
      </x:c>
      <x:c r="V43" s="28" t="n">
        <x:f>SUM(K10,K11,K12)</x:f>
        <x:v>0.0000400543212890625</x:v>
      </x:c>
      <x:c r="W43" s="31" t="n">
        <x:f>V43/$R$23</x:f>
        <x:v>0.0000012295733876085385</x:v>
      </x:c>
      <x:c r="X43" s="7" t="str"/>
      <x:c r="Y43" s="2"/>
      <x:c r="Z43" s="2"/>
      <x:c r="AA43" s="38" t="n">
        <x:f>IF($R$30=1,SUM(AB43:AD43)*(92*ROUNDUP(896/$R$9,0))/1073741824,NA())</x:f>
        <x:v>3.50811767578125</x:v>
      </x:c>
      <x:c r="AB43" s="39" t="n">
        <x:f>(3072/M43)*ROUNDUP((3584)*VLOOKUP(D43,$Q$32:$R$38,2,FALSE),0)</x:f>
        <x:v>5505024</x:v>
      </x:c>
      <x:c r="AC43" s="39" t="n">
        <x:f>IF(OR(D43="MXFP4",D43="MXFP8"),(3072/M43)*ROUNDUP((3584)/32,0),0)</x:f>
        <x:v>344064</x:v>
      </x:c>
      <x:c r="AD43" s="39" t="n">
        <x:f>IF(D43="INT8",(3072/M43)*8,IF(D43="INT4",(3072/M43)*16,0))</x:f>
        <x:v>0</x:v>
      </x:c>
      <x:c r="AE43" s="39" t="n">
        <x:f>(3072)*ROUNDUP((3584)*VLOOKUP(D43,$Q$32:$R$38,2,FALSE),0)</x:f>
        <x:v>5505024</x:v>
      </x:c>
      <x:c r="AF43" s="39" t="n">
        <x:f>IF(OR(D43="MXFP4",D43="MXFP8"),(3072)*ROUNDUP((3584)/32,0),0)</x:f>
        <x:v>344064</x:v>
      </x:c>
      <x:c r="AG43" s="39" t="n">
        <x:f>IF(D43="INT8",(3072)*8,IF(D43="INT4",(3072)*16,0))</x:f>
        <x:v>0</x:v>
      </x:c>
    </x:row>
    <x:row r="44" ht="18" customHeight="1">
      <x:c r="A44" s="7" t="str">
        <x:v>MoE</x:v>
      </x:c>
      <x:c r="B44" s="7" t="str">
        <x:v>experts.*.w3</x:v>
      </x:c>
      <x:c r="C44" s="7" t="str">
        <x:v>[3072,3584]</x:v>
      </x:c>
      <x:c r="D44" s="10" t="str">
        <x:v>MXFP4</x:v>
      </x:c>
      <x:c r="E44" s="34" t="n">
        <x:v>82432</x:v>
      </x:c>
      <x:c r="F44" s="34" t="n">
        <x:f>(3072)*(3584)</x:f>
        <x:v>11010048</x:v>
      </x:c>
      <x:c r="G44" s="7" t="str">
        <x:v>EP</x:v>
      </x:c>
      <x:c r="H44" s="7" t="str">
        <x:v>EP</x:v>
      </x:c>
      <x:c r="I44" s="7" t="str">
        <x:v>否</x:v>
      </x:c>
      <x:c r="J44" s="44" t="n">
        <x:f>E44*SUM(AE44:AG44)/1073741824</x:f>
        <x:v>449.0390625</x:v>
      </x:c>
      <x:c r="K44" s="44" t="n">
        <x:f>AA44</x:f>
        <x:v>3.50811767578125</x:v>
      </x:c>
      <x:c r="L44" s="7" t="str">
        <x:f>IF(OR(D44="MXFP4",D44="MXFP8"),"group 32 / E8M0",IF(D44="INT8","channel / 8 B",IF(D44="INT4","channel / 16 B","")))</x:f>
        <x:v>group 32 / E8M0</x:v>
      </x:c>
      <x:c r="M44" s="45" t="n">
        <x:f>1</x:f>
        <x:v>1</x:v>
      </x:c>
      <x:c r="N44" s="7" t="str">
        <x:f>"["&amp;(3072/M44)&amp;","&amp;(3584)&amp;"]"</x:f>
        <x:v>[3072,3584]</x:v>
      </x:c>
      <x:c r="O44" s="34" t="n">
        <x:f>CHOOSE($R$22+1,92*ROUNDUP(896/$R$9,0))</x:f>
        <x:v>644</x:v>
      </x:c>
      <x:c r="P44" s="2"/>
      <x:c r="Q44" s="7" t="str">
        <x:v>Dense MLP</x:v>
      </x:c>
      <x:c r="R44" s="7" t="n">
        <x:f>CHOOSE($R$22+1,1)</x:f>
        <x:v>1</x:v>
      </x:c>
      <x:c r="S44" s="7" t="n">
        <x:f>1</x:f>
        <x:v>1</x:v>
      </x:c>
      <x:c r="T44" s="7" t="n">
        <x:f>R44*S44</x:f>
        <x:v>1</x:v>
      </x:c>
      <x:c r="U44" s="28" t="n">
        <x:f>IF(T44=0,0,V44/T44)</x:f>
        <x:v>0.0845947265625</x:v>
      </x:c>
      <x:c r="V44" s="28" t="n">
        <x:f>SUM(K13,K14,K15)</x:f>
        <x:v>0.0845947265625</x:v>
      </x:c>
      <x:c r="W44" s="31" t="n">
        <x:f>V44/$R$23</x:f>
        <x:v>0.002596858994629233</x:v>
      </x:c>
      <x:c r="X44" s="7" t="str"/>
      <x:c r="Y44" s="2"/>
      <x:c r="Z44" s="2"/>
      <x:c r="AA44" s="38" t="n">
        <x:f>IF($R$30=1,SUM(AB44:AD44)*(92*ROUNDUP(896/$R$9,0))/1073741824,NA())</x:f>
        <x:v>3.50811767578125</x:v>
      </x:c>
      <x:c r="AB44" s="39" t="n">
        <x:f>(3072/M44)*ROUNDUP((3584)*VLOOKUP(D44,$Q$32:$R$38,2,FALSE),0)</x:f>
        <x:v>5505024</x:v>
      </x:c>
      <x:c r="AC44" s="39" t="n">
        <x:f>IF(OR(D44="MXFP4",D44="MXFP8"),(3072/M44)*ROUNDUP((3584)/32,0),0)</x:f>
        <x:v>344064</x:v>
      </x:c>
      <x:c r="AD44" s="39" t="n">
        <x:f>IF(D44="INT8",(3072/M44)*8,IF(D44="INT4",(3072/M44)*16,0))</x:f>
        <x:v>0</x:v>
      </x:c>
      <x:c r="AE44" s="39" t="n">
        <x:f>(3072)*ROUNDUP((3584)*VLOOKUP(D44,$Q$32:$R$38,2,FALSE),0)</x:f>
        <x:v>5505024</x:v>
      </x:c>
      <x:c r="AF44" s="39" t="n">
        <x:f>IF(OR(D44="MXFP4",D44="MXFP8"),(3072)*ROUNDUP((3584)/32,0),0)</x:f>
        <x:v>344064</x:v>
      </x:c>
      <x:c r="AG44" s="39" t="n">
        <x:f>IF(D44="INT8",(3072)*8,IF(D44="INT4",(3072)*16,0))</x:f>
        <x:v>0</x:v>
      </x:c>
    </x:row>
    <x:row r="45" ht="18" customHeight="1">
      <x:c r="A45" s="7" t="str">
        <x:v>MoE</x:v>
      </x:c>
      <x:c r="B45" s="7" t="str">
        <x:v>experts.*.w2</x:v>
      </x:c>
      <x:c r="C45" s="7" t="str">
        <x:v>[3584,3072]</x:v>
      </x:c>
      <x:c r="D45" s="10" t="str">
        <x:v>MXFP4</x:v>
      </x:c>
      <x:c r="E45" s="34" t="n">
        <x:v>82432</x:v>
      </x:c>
      <x:c r="F45" s="34" t="n">
        <x:f>(3584)*(3072)</x:f>
        <x:v>11010048</x:v>
      </x:c>
      <x:c r="G45" s="7" t="str">
        <x:v>EP</x:v>
      </x:c>
      <x:c r="H45" s="7" t="str">
        <x:v>EP</x:v>
      </x:c>
      <x:c r="I45" s="7" t="str">
        <x:v>否</x:v>
      </x:c>
      <x:c r="J45" s="44" t="n">
        <x:f>E45*SUM(AE45:AG45)/1073741824</x:f>
        <x:v>449.0390625</x:v>
      </x:c>
      <x:c r="K45" s="44" t="n">
        <x:f>AA45</x:f>
        <x:v>3.50811767578125</x:v>
      </x:c>
      <x:c r="L45" s="7" t="str">
        <x:f>IF(OR(D45="MXFP4",D45="MXFP8"),"group 32 / E8M0",IF(D45="INT8","channel / 8 B",IF(D45="INT4","channel / 16 B","")))</x:f>
        <x:v>group 32 / E8M0</x:v>
      </x:c>
      <x:c r="M45" s="45" t="n">
        <x:f>1</x:f>
        <x:v>1</x:v>
      </x:c>
      <x:c r="N45" s="7" t="str">
        <x:f>"["&amp;(3584/M45)&amp;","&amp;(3072)&amp;"]"</x:f>
        <x:v>[3584,3072]</x:v>
      </x:c>
      <x:c r="O45" s="34" t="n">
        <x:f>CHOOSE($R$22+1,92*ROUNDUP(896/$R$9,0))</x:f>
        <x:v>644</x:v>
      </x:c>
      <x:c r="P45" s="2"/>
      <x:c r="Q45" s="7" t="str">
        <x:v>KDA</x:v>
      </x:c>
      <x:c r="R45" s="7" t="n">
        <x:f>CHOOSE($R$22+1,69)</x:f>
        <x:v>69</x:v>
      </x:c>
      <x:c r="S45" s="7" t="n">
        <x:f>1</x:f>
        <x:v>1</x:v>
      </x:c>
      <x:c r="T45" s="7" t="n">
        <x:f>R45*S45</x:f>
        <x:v>69</x:v>
      </x:c>
      <x:c r="U45" s="28" t="n">
        <x:f>IF(T45=0,0,V45/T45)</x:f>
        <x:v>0.05327918380498886</x:v>
      </x:c>
      <x:c r="V45" s="28" t="n">
        <x:f>SUM(K16,K17,K18,K19,K20,K21,K22,K23,K24,K25,K26,K27,K28,K29)</x:f>
        <x:v>3.6762636825442314</x:v>
      </x:c>
      <x:c r="W45" s="31" t="n">
        <x:f>V45/$R$23</x:f>
        <x:v>0.11285264222221329</x:v>
      </x:c>
      <x:c r="X45" s="7" t="str"/>
      <x:c r="Y45" s="2"/>
      <x:c r="Z45" s="2"/>
      <x:c r="AA45" s="38" t="n">
        <x:f>IF($R$30=1,SUM(AB45:AD45)*(92*ROUNDUP(896/$R$9,0))/1073741824,NA())</x:f>
        <x:v>3.50811767578125</x:v>
      </x:c>
      <x:c r="AB45" s="39" t="n">
        <x:f>(3584/M45)*ROUNDUP((3072)*VLOOKUP(D45,$Q$32:$R$38,2,FALSE),0)</x:f>
        <x:v>5505024</x:v>
      </x:c>
      <x:c r="AC45" s="39" t="n">
        <x:f>IF(OR(D45="MXFP4",D45="MXFP8"),(3584/M45)*ROUNDUP((3072)/32,0),0)</x:f>
        <x:v>344064</x:v>
      </x:c>
      <x:c r="AD45" s="39" t="n">
        <x:f>IF(D45="INT8",(3584/M45)*8,IF(D45="INT4",(3584/M45)*16,0))</x:f>
        <x:v>0</x:v>
      </x:c>
      <x:c r="AE45" s="39" t="n">
        <x:f>(3584)*ROUNDUP((3072)*VLOOKUP(D45,$Q$32:$R$38,2,FALSE),0)</x:f>
        <x:v>5505024</x:v>
      </x:c>
      <x:c r="AF45" s="39" t="n">
        <x:f>IF(OR(D45="MXFP4",D45="MXFP8"),(3584)*ROUNDUP((3072)/32,0),0)</x:f>
        <x:v>344064</x:v>
      </x:c>
      <x:c r="AG45" s="39" t="n">
        <x:f>IF(D45="INT8",(3584)*8,IF(D45="INT4",(3584)*16,0))</x:f>
        <x:v>0</x:v>
      </x:c>
    </x:row>
    <x:row r="46" ht="18" customHeight="1">
      <x:c r="A46" s="7" t="str">
        <x:v>MoE</x:v>
      </x:c>
      <x:c r="B46" s="7" t="str">
        <x:v>shared_experts.gate_proj</x:v>
      </x:c>
      <x:c r="C46" s="7" t="str">
        <x:v>[6144,7168]</x:v>
      </x:c>
      <x:c r="D46" s="10" t="str">
        <x:v>BF16</x:v>
      </x:c>
      <x:c r="E46" s="34" t="n">
        <x:v>92</x:v>
      </x:c>
      <x:c r="F46" s="34" t="n">
        <x:f>(6144)*(7168)</x:f>
        <x:v>44040192</x:v>
      </x:c>
      <x:c r="G46" s="7" t="str">
        <x:v>Shared TP</x:v>
      </x:c>
      <x:c r="H46" s="7" t="str">
        <x:v>None</x:v>
      </x:c>
      <x:c r="I46" s="7" t="str">
        <x:v>是</x:v>
      </x:c>
      <x:c r="J46" s="44" t="n">
        <x:f>E46*SUM(AE46:AG46)/1073741824</x:f>
        <x:v>7.546875</x:v>
      </x:c>
      <x:c r="K46" s="44" t="n">
        <x:f>AA46</x:f>
        <x:v>0.4716796875</x:v>
      </x:c>
      <x:c r="L46" s="7" t="str">
        <x:f>IF(OR(D46="MXFP4",D46="MXFP8"),"group 32 / E8M0",IF(D46="INT8","channel / 8 B",IF(D46="INT4","channel / 16 B","")))</x:f>
      </x:c>
      <x:c r="M46" s="45" t="n">
        <x:f>$R$10</x:f>
        <x:v>16</x:v>
      </x:c>
      <x:c r="N46" s="7" t="str">
        <x:f>"["&amp;(6144/M46)&amp;","&amp;(7168)&amp;"]"</x:f>
        <x:v>[384,7168]</x:v>
      </x:c>
      <x:c r="O46" s="34" t="n">
        <x:f>CHOOSE($R$22+1,92)</x:f>
        <x:v>92</x:v>
      </x:c>
      <x:c r="P46" s="2"/>
      <x:c r="Q46" s="7" t="str">
        <x:v>Gated MLA</x:v>
      </x:c>
      <x:c r="R46" s="7" t="n">
        <x:f>CHOOSE($R$22+1,24)</x:f>
        <x:v>24</x:v>
      </x:c>
      <x:c r="S46" s="7" t="n">
        <x:f>1</x:f>
        <x:v>1</x:v>
      </x:c>
      <x:c r="T46" s="7" t="n">
        <x:f>R46*S46</x:f>
        <x:v>24</x:v>
      </x:c>
      <x:c r="U46" s="28" t="n">
        <x:f>IF(T46=0,0,V46/T46)</x:f>
        <x:v>0.2786903381347656</x:v>
      </x:c>
      <x:c r="V46" s="28" t="n">
        <x:f>SUM(K30,K31,K32,K33,K34,K35,K36,K37)</x:f>
        <x:v>6.688568115234375</x:v>
      </x:c>
      <x:c r="W46" s="31" t="n">
        <x:f>V46/$R$23</x:f>
        <x:v>0.20532329823661027</x:v>
      </x:c>
      <x:c r="X46" s="7" t="str"/>
      <x:c r="Y46" s="2"/>
      <x:c r="Z46" s="2"/>
      <x:c r="AA46" s="38" t="n">
        <x:f>IF($R$30=1,SUM(AB46:AD46)*(92)/1073741824,NA())</x:f>
        <x:v>0.4716796875</x:v>
      </x:c>
      <x:c r="AB46" s="39" t="n">
        <x:f>(6144/M46)*ROUNDUP((7168)*VLOOKUP(D46,$Q$32:$R$38,2,FALSE),0)</x:f>
        <x:v>5505024</x:v>
      </x:c>
      <x:c r="AC46" s="39" t="n">
        <x:f>IF(OR(D46="MXFP4",D46="MXFP8"),(6144/M46)*ROUNDUP((7168)/32,0),0)</x:f>
        <x:v>0</x:v>
      </x:c>
      <x:c r="AD46" s="39" t="n">
        <x:f>IF(D46="INT8",(6144/M46)*8,IF(D46="INT4",(6144/M46)*16,0))</x:f>
        <x:v>0</x:v>
      </x:c>
      <x:c r="AE46" s="39" t="n">
        <x:f>(6144)*ROUNDUP((7168)*VLOOKUP(D46,$Q$32:$R$38,2,FALSE),0)</x:f>
        <x:v>88080384</x:v>
      </x:c>
      <x:c r="AF46" s="39" t="n">
        <x:f>IF(OR(D46="MXFP4",D46="MXFP8"),(6144)*ROUNDUP((7168)/32,0),0)</x:f>
        <x:v>0</x:v>
      </x:c>
      <x:c r="AG46" s="39" t="n">
        <x:f>IF(D46="INT8",(6144)*8,IF(D46="INT4",(6144)*16,0))</x:f>
        <x:v>0</x:v>
      </x:c>
    </x:row>
    <x:row r="47" ht="18" customHeight="1">
      <x:c r="A47" s="7" t="str">
        <x:v>MoE</x:v>
      </x:c>
      <x:c r="B47" s="7" t="str">
        <x:v>shared_experts.up_proj</x:v>
      </x:c>
      <x:c r="C47" s="7" t="str">
        <x:v>[6144,7168]</x:v>
      </x:c>
      <x:c r="D47" s="10" t="str">
        <x:v>BF16</x:v>
      </x:c>
      <x:c r="E47" s="34" t="n">
        <x:v>92</x:v>
      </x:c>
      <x:c r="F47" s="34" t="n">
        <x:f>(6144)*(7168)</x:f>
        <x:v>44040192</x:v>
      </x:c>
      <x:c r="G47" s="7" t="str">
        <x:v>Shared TP</x:v>
      </x:c>
      <x:c r="H47" s="7" t="str">
        <x:v>None</x:v>
      </x:c>
      <x:c r="I47" s="7" t="str">
        <x:v>是</x:v>
      </x:c>
      <x:c r="J47" s="44" t="n">
        <x:f>E47*SUM(AE47:AG47)/1073741824</x:f>
        <x:v>7.546875</x:v>
      </x:c>
      <x:c r="K47" s="44" t="n">
        <x:f>AA47</x:f>
        <x:v>0.4716796875</x:v>
      </x:c>
      <x:c r="L47" s="7" t="str">
        <x:f>IF(OR(D47="MXFP4",D47="MXFP8"),"group 32 / E8M0",IF(D47="INT8","channel / 8 B",IF(D47="INT4","channel / 16 B","")))</x:f>
      </x:c>
      <x:c r="M47" s="45" t="n">
        <x:f>$R$10</x:f>
        <x:v>16</x:v>
      </x:c>
      <x:c r="N47" s="7" t="str">
        <x:f>"["&amp;(6144/M47)&amp;","&amp;(7168)&amp;"]"</x:f>
        <x:v>[384,7168]</x:v>
      </x:c>
      <x:c r="O47" s="34" t="n">
        <x:f>CHOOSE($R$22+1,92)</x:f>
        <x:v>92</x:v>
      </x:c>
      <x:c r="P47" s="2"/>
      <x:c r="Q47" s="7" t="str">
        <x:v>MoE router / latent</x:v>
      </x:c>
      <x:c r="R47" s="7" t="n">
        <x:f>CHOOSE($R$22+1,92)</x:f>
        <x:v>92</x:v>
      </x:c>
      <x:c r="S47" s="7" t="n">
        <x:f>1</x:f>
        <x:v>1</x:v>
      </x:c>
      <x:c r="T47" s="7" t="n">
        <x:f>R47*S47</x:f>
        <x:v>92</x:v>
      </x:c>
      <x:c r="U47" s="28" t="n">
        <x:f>IF(T47=0,0,V47/T47)</x:f>
        <x:v>0.10767436027526855</x:v>
      </x:c>
      <x:c r="V47" s="28" t="n">
        <x:f>SUM(K38,K39,K40,K41,K42)</x:f>
        <x:v>9.906041145324707</x:v>
      </x:c>
      <x:c r="W47" s="31" t="n">
        <x:f>V47/$R$23</x:f>
        <x:v>0.30409214728530365</x:v>
      </x:c>
      <x:c r="X47" s="7" t="str"/>
      <x:c r="Y47" s="2"/>
      <x:c r="Z47" s="2"/>
      <x:c r="AA47" s="38" t="n">
        <x:f>IF($R$30=1,SUM(AB47:AD47)*(92)/1073741824,NA())</x:f>
        <x:v>0.4716796875</x:v>
      </x:c>
      <x:c r="AB47" s="39" t="n">
        <x:f>(6144/M47)*ROUNDUP((7168)*VLOOKUP(D47,$Q$32:$R$38,2,FALSE),0)</x:f>
        <x:v>5505024</x:v>
      </x:c>
      <x:c r="AC47" s="39" t="n">
        <x:f>IF(OR(D47="MXFP4",D47="MXFP8"),(6144/M47)*ROUNDUP((7168)/32,0),0)</x:f>
        <x:v>0</x:v>
      </x:c>
      <x:c r="AD47" s="39" t="n">
        <x:f>IF(D47="INT8",(6144/M47)*8,IF(D47="INT4",(6144/M47)*16,0))</x:f>
        <x:v>0</x:v>
      </x:c>
      <x:c r="AE47" s="39" t="n">
        <x:f>(6144)*ROUNDUP((7168)*VLOOKUP(D47,$Q$32:$R$38,2,FALSE),0)</x:f>
        <x:v>88080384</x:v>
      </x:c>
      <x:c r="AF47" s="39" t="n">
        <x:f>IF(OR(D47="MXFP4",D47="MXFP8"),(6144)*ROUNDUP((7168)/32,0),0)</x:f>
        <x:v>0</x:v>
      </x:c>
      <x:c r="AG47" s="39" t="n">
        <x:f>IF(D47="INT8",(6144)*8,IF(D47="INT4",(6144)*16,0))</x:f>
        <x:v>0</x:v>
      </x:c>
    </x:row>
    <x:row r="48" ht="18" customHeight="1">
      <x:c r="A48" s="8" t="str">
        <x:v>MoE</x:v>
      </x:c>
      <x:c r="B48" s="8" t="str">
        <x:v>shared_experts.down_proj</x:v>
      </x:c>
      <x:c r="C48" s="8" t="str">
        <x:v>[7168,6144]</x:v>
      </x:c>
      <x:c r="D48" s="11" t="str">
        <x:v>BF16</x:v>
      </x:c>
      <x:c r="E48" s="35" t="n">
        <x:v>92</x:v>
      </x:c>
      <x:c r="F48" s="35" t="n">
        <x:f>(7168)*(6144)</x:f>
        <x:v>44040192</x:v>
      </x:c>
      <x:c r="G48" s="8" t="str">
        <x:v>Shared TP</x:v>
      </x:c>
      <x:c r="H48" s="8" t="str">
        <x:v>None</x:v>
      </x:c>
      <x:c r="I48" s="8" t="str">
        <x:v>是</x:v>
      </x:c>
      <x:c r="J48" s="46" t="n">
        <x:f>E48*SUM(AE48:AG48)/1073741824</x:f>
        <x:v>7.546875</x:v>
      </x:c>
      <x:c r="K48" s="46" t="n">
        <x:f>AA48</x:f>
        <x:v>0.4716796875</x:v>
      </x:c>
      <x:c r="L48" s="8" t="str">
        <x:f>IF(OR(D48="MXFP4",D48="MXFP8"),"group 32 / E8M0",IF(D48="INT8","channel / 8 B",IF(D48="INT4","channel / 16 B","")))</x:f>
      </x:c>
      <x:c r="M48" s="47" t="n">
        <x:f>$R$10</x:f>
        <x:v>16</x:v>
      </x:c>
      <x:c r="N48" s="8" t="str">
        <x:f>"["&amp;(7168)&amp;","&amp;(6144/M48)&amp;"]"</x:f>
        <x:v>[7168,384]</x:v>
      </x:c>
      <x:c r="O48" s="35" t="n">
        <x:f>CHOOSE($R$22+1,92)</x:f>
        <x:v>92</x:v>
      </x:c>
      <x:c r="P48" s="2"/>
      <x:c r="Q48" s="7" t="str">
        <x:v>Routed experts</x:v>
      </x:c>
      <x:c r="R48" s="7" t="n">
        <x:f>CHOOSE($R$22+1,92)</x:f>
        <x:v>92</x:v>
      </x:c>
      <x:c r="S48" s="7" t="n">
        <x:f>ROUNDUP($T$9/$R$9,0)</x:f>
        <x:v>7</x:v>
      </x:c>
      <x:c r="T48" s="7" t="n">
        <x:f>R48*S48</x:f>
        <x:v>644</x:v>
      </x:c>
      <x:c r="U48" s="28" t="n">
        <x:f>IF(T48=0,0,V48/T48)</x:f>
        <x:v>0.0163421630859375</x:v>
      </x:c>
      <x:c r="V48" s="28" t="n">
        <x:f>SUM(K43,K44,K45)</x:f>
        <x:v>10.52435302734375</x:v>
      </x:c>
      <x:c r="W48" s="31" t="n">
        <x:f>V48/$R$23</x:f>
        <x:v>0.32307286674091873</x:v>
      </x:c>
      <x:c r="X48" s="7" t="str"/>
      <x:c r="Y48" s="2"/>
      <x:c r="Z48" s="2"/>
      <x:c r="AA48" s="38" t="n">
        <x:f>IF($R$30=1,SUM(AB48:AD48)*(92)/1073741824,NA())</x:f>
        <x:v>0.4716796875</x:v>
      </x:c>
      <x:c r="AB48" s="39" t="n">
        <x:f>(7168)*ROUNDUP((6144/M48)*VLOOKUP(D48,$Q$32:$R$38,2,FALSE),0)</x:f>
        <x:v>5505024</x:v>
      </x:c>
      <x:c r="AC48" s="39" t="n">
        <x:f>IF(OR(D48="MXFP4",D48="MXFP8"),(7168)*ROUNDUP((6144/M48)/32,0),0)</x:f>
        <x:v>0</x:v>
      </x:c>
      <x:c r="AD48" s="39" t="n">
        <x:f>IF(D48="INT8",(7168)*8,IF(D48="INT4",(7168)*16,0))</x:f>
        <x:v>0</x:v>
      </x:c>
      <x:c r="AE48" s="39" t="n">
        <x:f>(7168)*ROUNDUP((6144)*VLOOKUP(D48,$Q$32:$R$38,2,FALSE),0)</x:f>
        <x:v>88080384</x:v>
      </x:c>
      <x:c r="AF48" s="39" t="n">
        <x:f>IF(OR(D48="MXFP4",D48="MXFP8"),(7168)*ROUNDUP((6144)/32,0),0)</x:f>
        <x:v>0</x:v>
      </x:c>
      <x:c r="AG48" s="39" t="n">
        <x:f>IF(D48="INT8",(7168)*8,IF(D48="INT4",(7168)*16,0))</x:f>
        <x:v>0</x:v>
      </x:c>
    </x:row>
    <x:row r="49" ht="18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7" t="str">
        <x:v>Shared experts</x:v>
      </x:c>
      <x:c r="R49" s="7" t="n">
        <x:f>CHOOSE($R$22+1,92)</x:f>
        <x:v>92</x:v>
      </x:c>
      <x:c r="S49" s="7" t="n">
        <x:f>1</x:f>
        <x:v>1</x:v>
      </x:c>
      <x:c r="T49" s="7" t="n">
        <x:f>R49*S49</x:f>
        <x:v>92</x:v>
      </x:c>
      <x:c r="U49" s="28" t="n">
        <x:f>IF(T49=0,0,V49/T49)</x:f>
        <x:v>0.015380859375</x:v>
      </x:c>
      <x:c r="V49" s="28" t="n">
        <x:f>SUM(K46,K47,K48)</x:f>
        <x:v>1.4150390625</x:v>
      </x:c>
      <x:c r="W49" s="31" t="n">
        <x:f>V49/$R$23</x:f>
        <x:v>0.04343836863743445</x:v>
      </x:c>
      <x:c r="X49" s="7" t="str">
        <x:v>2 experts 融合单元</x:v>
      </x:c>
      <x:c r="Y49" s="2"/>
      <x:c r="Z49" s="2"/>
      <x:c r="AA49" s="2"/>
      <x:c r="AB49" s="2"/>
      <x:c r="AC49" s="2"/>
      <x:c r="AD49" s="2"/>
      <x:c r="AE49" s="2"/>
      <x:c r="AF49" s="2"/>
      <x:c r="AG49" s="2"/>
    </x:row>
    <x:row r="50" ht="18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6" t="str">
        <x:v>合计</x:v>
      </x:c>
      <x:c r="R50" s="26"/>
      <x:c r="S50" s="26"/>
      <x:c r="T50" s="26"/>
      <x:c r="U50" s="29"/>
      <x:c r="V50" s="29" t="n">
        <x:f>SUM(V40:V49)</x:f>
        <x:v>32.57578741759062</x:v>
      </x:c>
      <x:c r="W50" s="26"/>
      <x:c r="X50" s="26"/>
      <x:c r="Y50" s="2"/>
      <x:c r="Z50" s="2"/>
      <x:c r="AA50" s="2"/>
      <x:c r="AB50" s="2"/>
      <x:c r="AC50" s="2"/>
      <x:c r="AD50" s="2"/>
      <x:c r="AE50" s="2"/>
      <x:c r="AF50" s="2"/>
      <x:c r="AG50" s="2"/>
    </x:row>
    <x:row r="51" ht="18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  <x:c r="AA51" s="2"/>
      <x:c r="AB51" s="2"/>
      <x:c r="AC51" s="2"/>
      <x:c r="AD51" s="2"/>
      <x:c r="AE51" s="2"/>
      <x:c r="AF51" s="2"/>
      <x:c r="AG51" s="2"/>
    </x:row>
    <x:row r="52" ht="18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  <x:c r="AA52" s="2"/>
      <x:c r="AB52" s="2"/>
      <x:c r="AC52" s="2"/>
      <x:c r="AD52" s="2"/>
      <x:c r="AE52" s="2"/>
      <x:c r="AF52" s="2"/>
      <x:c r="AG52" s="2"/>
    </x:row>
    <x:row r="53" ht="18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2"/>
      <x:c r="AB53" s="2"/>
      <x:c r="AC53" s="2"/>
      <x:c r="AD53" s="2"/>
      <x:c r="AE53" s="2"/>
      <x:c r="AF53" s="2"/>
      <x:c r="AG53" s="2"/>
    </x:row>
    <x:row r="54" ht="18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2"/>
      <x:c r="AB54" s="2"/>
      <x:c r="AC54" s="2"/>
      <x:c r="AD54" s="2"/>
      <x:c r="AE54" s="2"/>
      <x:c r="AF54" s="2"/>
      <x:c r="AG54" s="2"/>
    </x:row>
    <x:row r="55" ht="18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2"/>
      <x:c r="AB55" s="2"/>
      <x:c r="AC55" s="2"/>
      <x:c r="AD55" s="2"/>
      <x:c r="AE55" s="2"/>
      <x:c r="AF55" s="2"/>
      <x:c r="AG55" s="2"/>
    </x:row>
    <x:row r="56" ht="18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5" t="str">
        <x:v>运行 buffer</x:v>
      </x:c>
      <x:c r="R56" s="5" t="str">
        <x:v>GiB</x:v>
      </x:c>
      <x:c r="S56" s="2"/>
      <x:c r="T56" s="2"/>
      <x:c r="U56" s="2"/>
      <x:c r="V56" s="2"/>
      <x:c r="W56" s="2"/>
      <x:c r="X56" s="2"/>
      <x:c r="Y56" s="2"/>
      <x:c r="Z56" s="2"/>
      <x:c r="AA56" s="2"/>
      <x:c r="AB56" s="2"/>
      <x:c r="AC56" s="2"/>
      <x:c r="AD56" s="2"/>
      <x:c r="AE56" s="2"/>
      <x:c r="AF56" s="2"/>
      <x:c r="AG56" s="2"/>
    </x:row>
    <x:row r="57" ht="18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 t="str">
        <x:v>Attention o_proj full gather</x:v>
      </x:c>
      <x:c r="R57" s="32" t="n">
        <x:f>0</x:f>
        <x:v>0</x:v>
      </x:c>
      <x:c r="S57" s="2"/>
      <x:c r="T57" s="2"/>
      <x:c r="U57" s="2"/>
      <x:c r="V57" s="2"/>
      <x:c r="W57" s="2"/>
      <x:c r="X57" s="2"/>
      <x:c r="Y57" s="2"/>
      <x:c r="Z57" s="2"/>
      <x:c r="AA57" s="2"/>
      <x:c r="AB57" s="2"/>
      <x:c r="AC57" s="2"/>
      <x:c r="AD57" s="2"/>
      <x:c r="AE57" s="2"/>
      <x:c r="AF57" s="2"/>
      <x:c r="AG57" s="2"/>
    </x:row>
    <x:row r="58" ht="18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 t="str">
        <x:v>Attention o_proj transpose shard</x:v>
      </x:c>
      <x:c r="R58" s="32" t="n">
        <x:f>0</x:f>
        <x:v>0</x:v>
      </x:c>
      <x:c r="S58" s="2"/>
      <x:c r="T58" s="2"/>
      <x:c r="U58" s="2"/>
      <x:c r="V58" s="2"/>
      <x:c r="W58" s="2"/>
      <x:c r="X58" s="2"/>
      <x:c r="Y58" s="2"/>
      <x:c r="Z58" s="2"/>
      <x:c r="AA58" s="2"/>
      <x:c r="AB58" s="2"/>
      <x:c r="AC58" s="2"/>
      <x:c r="AD58" s="2"/>
      <x:c r="AE58" s="2"/>
      <x:c r="AF58" s="2"/>
      <x:c r="AG58" s="2"/>
    </x:row>
    <x:row r="59" ht="18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2"/>
      <x:c r="AB59" s="2"/>
      <x:c r="AC59" s="2"/>
      <x:c r="AD59" s="2"/>
      <x:c r="AE59" s="2"/>
      <x:c r="AF59" s="2"/>
      <x:c r="AG59" s="2"/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</x:row>
    <x:row r="62" ht="3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41" t="str">
        <x:v>Token 数</x:v>
      </x:c>
      <x:c r="R62" s="41" t="str">
        <x:v>本卡主缓存 token</x:v>
      </x:c>
      <x:c r="S62" s="41" t="str">
        <x:v>MLA latent+scale GiB</x:v>
      </x:c>
      <x:c r="T62" s="41" t="str">
        <x:v>RoPE GiB</x:v>
      </x:c>
      <x:c r="U62" s="41" t="str">
        <x:v>Indexer K+scale GiB</x:v>
      </x:c>
      <x:c r="V62" s="41" t="str">
        <x:v>KDA recurrent GiB</x:v>
      </x:c>
      <x:c r="W62" s="41" t="str">
        <x:v>KDA conv GiB</x:v>
      </x:c>
      <x:c r="X62" s="41" t="str">
        <x:v>单请求 cache GiB</x:v>
      </x:c>
      <x:c r="Y62" s="41" t="str">
        <x:v>权重 + cache GiB</x:v>
      </x:c>
      <x:c r="Z62" s="2"/>
      <x:c r="AA62" s="2"/>
      <x:c r="AB62" s="2"/>
      <x:c r="AC62" s="2"/>
      <x:c r="AD62" s="2"/>
      <x:c r="AE62" s="2"/>
      <x:c r="AF62" s="2"/>
      <x:c r="AG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33" t="n">
        <x:f>$R$18</x:f>
        <x:v>131072</x:v>
      </x:c>
      <x:c r="R63" s="33" t="n">
        <x:f>ROUNDUP(Q63/($R$19*$R$12),0)*$R$19</x:f>
        <x:v>131072</x:v>
      </x:c>
      <x:c r="S63" s="27" t="n">
        <x:f>R63*$T$3*$V$32/1073741824</x:f>
        <x:v>3</x:v>
      </x:c>
      <x:c r="T63" s="27" t="n">
        <x:f>R63*$T$3*$V$33/1073741824</x:f>
        <x:v>0.375</x:v>
      </x:c>
      <x:c r="U63" s="27" t="n">
        <x:f>R63*$R$12*$T$3*$V$35/1073741824</x:f>
        <x:v>0</x:v>
      </x:c>
      <x:c r="V63" s="27" t="n">
        <x:f>$T$2*($T$4/$R$2)*$T$5*$T$5*$R$17/1073741824</x:f>
        <x:v>0.0252685546875</x:v>
      </x:c>
      <x:c r="W63" s="27" t="n">
        <x:f>$T$2*3*($T$4/$R$2)*$T$5*($T$14-1+$R$20)*$R$16/1073741824</x:f>
        <x:v>0.0008883476257324219</x:v>
      </x:c>
      <x:c r="X63" s="27" t="n">
        <x:f>IF($R$30=1,SUM(S63:W63),NA())</x:f>
        <x:v>3.4011569023132324</x:v>
      </x:c>
      <x:c r="Y63" s="27" t="n">
        <x:f>$R$23+X63</x:f>
        <x:v>35.97694431990385</x:v>
      </x:c>
      <x:c r="Z63" s="2"/>
      <x:c r="AA63" s="2"/>
      <x:c r="AB63" s="2"/>
      <x:c r="AC63" s="2"/>
      <x:c r="AD63" s="2"/>
      <x:c r="AE63" s="2"/>
      <x:c r="AF63" s="2"/>
      <x:c r="AG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4" t="n">
        <x:v>1024</x:v>
      </x:c>
      <x:c r="R64" s="34" t="n">
        <x:f>ROUNDUP(Q64/($R$19*$R$12),0)*$R$19</x:f>
        <x:v>1024</x:v>
      </x:c>
      <x:c r="S64" s="28" t="n">
        <x:f>R64*$T$3*$V$32/1073741824</x:f>
        <x:v>0.0234375</x:v>
      </x:c>
      <x:c r="T64" s="28" t="n">
        <x:f>R64*$T$3*$V$33/1073741824</x:f>
        <x:v>0.0029296875</x:v>
      </x:c>
      <x:c r="U64" s="28" t="n">
        <x:f>R64*$R$12*$T$3*$V$35/1073741824</x:f>
        <x:v>0</x:v>
      </x:c>
      <x:c r="V64" s="28" t="n">
        <x:f>$T$2*($T$4/$R$2)*$T$5*$T$5*$R$17/1073741824</x:f>
        <x:v>0.0252685546875</x:v>
      </x:c>
      <x:c r="W64" s="28" t="n">
        <x:f>$T$2*3*($T$4/$R$2)*$T$5*($T$14-1+$R$20)*$R$16/1073741824</x:f>
        <x:v>0.0008883476257324219</x:v>
      </x:c>
      <x:c r="X64" s="28" t="n">
        <x:f>IF($R$30=1,SUM(S64:W64),NA())</x:f>
        <x:v>0.05252408981323242</x:v>
      </x:c>
      <x:c r="Y64" s="28" t="n">
        <x:f>$R$23+X64</x:f>
        <x:v>32.62831150740385</x:v>
      </x:c>
      <x:c r="Z64" s="2"/>
      <x:c r="AA64" s="2"/>
      <x:c r="AB64" s="2"/>
      <x:c r="AC64" s="2"/>
      <x:c r="AD64" s="2"/>
      <x:c r="AE64" s="2"/>
      <x:c r="AF64" s="2"/>
      <x:c r="AG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4" t="n">
        <x:v>4096</x:v>
      </x:c>
      <x:c r="R65" s="34" t="n">
        <x:f>ROUNDUP(Q65/($R$19*$R$12),0)*$R$19</x:f>
        <x:v>4096</x:v>
      </x:c>
      <x:c r="S65" s="28" t="n">
        <x:f>R65*$T$3*$V$32/1073741824</x:f>
        <x:v>0.09375</x:v>
      </x:c>
      <x:c r="T65" s="28" t="n">
        <x:f>R65*$T$3*$V$33/1073741824</x:f>
        <x:v>0.01171875</x:v>
      </x:c>
      <x:c r="U65" s="28" t="n">
        <x:f>R65*$R$12*$T$3*$V$35/1073741824</x:f>
        <x:v>0</x:v>
      </x:c>
      <x:c r="V65" s="28" t="n">
        <x:f>$T$2*($T$4/$R$2)*$T$5*$T$5*$R$17/1073741824</x:f>
        <x:v>0.0252685546875</x:v>
      </x:c>
      <x:c r="W65" s="28" t="n">
        <x:f>$T$2*3*($T$4/$R$2)*$T$5*($T$14-1+$R$20)*$R$16/1073741824</x:f>
        <x:v>0.0008883476257324219</x:v>
      </x:c>
      <x:c r="X65" s="28" t="n">
        <x:f>IF($R$30=1,SUM(S65:W65),NA())</x:f>
        <x:v>0.13162565231323242</x:v>
      </x:c>
      <x:c r="Y65" s="28" t="n">
        <x:f>$R$23+X65</x:f>
        <x:v>32.70741306990385</x:v>
      </x:c>
      <x:c r="Z65" s="2"/>
      <x:c r="AA65" s="2"/>
      <x:c r="AB65" s="2"/>
      <x:c r="AC65" s="2"/>
      <x:c r="AD65" s="2"/>
      <x:c r="AE65" s="2"/>
      <x:c r="AF65" s="2"/>
      <x:c r="AG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4" t="n">
        <x:v>8192</x:v>
      </x:c>
      <x:c r="R66" s="34" t="n">
        <x:f>ROUNDUP(Q66/($R$19*$R$12),0)*$R$19</x:f>
        <x:v>8192</x:v>
      </x:c>
      <x:c r="S66" s="28" t="n">
        <x:f>R66*$T$3*$V$32/1073741824</x:f>
        <x:v>0.1875</x:v>
      </x:c>
      <x:c r="T66" s="28" t="n">
        <x:f>R66*$T$3*$V$33/1073741824</x:f>
        <x:v>0.0234375</x:v>
      </x:c>
      <x:c r="U66" s="28" t="n">
        <x:f>R66*$R$12*$T$3*$V$35/1073741824</x:f>
        <x:v>0</x:v>
      </x:c>
      <x:c r="V66" s="28" t="n">
        <x:f>$T$2*($T$4/$R$2)*$T$5*$T$5*$R$17/1073741824</x:f>
        <x:v>0.0252685546875</x:v>
      </x:c>
      <x:c r="W66" s="28" t="n">
        <x:f>$T$2*3*($T$4/$R$2)*$T$5*($T$14-1+$R$20)*$R$16/1073741824</x:f>
        <x:v>0.0008883476257324219</x:v>
      </x:c>
      <x:c r="X66" s="28" t="n">
        <x:f>IF($R$30=1,SUM(S66:W66),NA())</x:f>
        <x:v>0.23709440231323242</x:v>
      </x:c>
      <x:c r="Y66" s="28" t="n">
        <x:f>$R$23+X66</x:f>
        <x:v>32.81288181990385</x:v>
      </x:c>
      <x:c r="Z66" s="2"/>
      <x:c r="AA66" s="2"/>
      <x:c r="AB66" s="2"/>
      <x:c r="AC66" s="2"/>
      <x:c r="AD66" s="2"/>
      <x:c r="AE66" s="2"/>
      <x:c r="AF66" s="2"/>
      <x:c r="AG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4" t="n">
        <x:v>16384</x:v>
      </x:c>
      <x:c r="R67" s="34" t="n">
        <x:f>ROUNDUP(Q67/($R$19*$R$12),0)*$R$19</x:f>
        <x:v>16384</x:v>
      </x:c>
      <x:c r="S67" s="28" t="n">
        <x:f>R67*$T$3*$V$32/1073741824</x:f>
        <x:v>0.375</x:v>
      </x:c>
      <x:c r="T67" s="28" t="n">
        <x:f>R67*$T$3*$V$33/1073741824</x:f>
        <x:v>0.046875</x:v>
      </x:c>
      <x:c r="U67" s="28" t="n">
        <x:f>R67*$R$12*$T$3*$V$35/1073741824</x:f>
        <x:v>0</x:v>
      </x:c>
      <x:c r="V67" s="28" t="n">
        <x:f>$T$2*($T$4/$R$2)*$T$5*$T$5*$R$17/1073741824</x:f>
        <x:v>0.0252685546875</x:v>
      </x:c>
      <x:c r="W67" s="28" t="n">
        <x:f>$T$2*3*($T$4/$R$2)*$T$5*($T$14-1+$R$20)*$R$16/1073741824</x:f>
        <x:v>0.0008883476257324219</x:v>
      </x:c>
      <x:c r="X67" s="28" t="n">
        <x:f>IF($R$30=1,SUM(S67:W67),NA())</x:f>
        <x:v>0.4480319023132324</x:v>
      </x:c>
      <x:c r="Y67" s="28" t="n">
        <x:f>$R$23+X67</x:f>
        <x:v>33.02381931990385</x:v>
      </x:c>
      <x:c r="Z67" s="2"/>
      <x:c r="AA67" s="2"/>
      <x:c r="AB67" s="2"/>
      <x:c r="AC67" s="2"/>
      <x:c r="AD67" s="2"/>
      <x:c r="AE67" s="2"/>
      <x:c r="AF67" s="2"/>
      <x:c r="AG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4" t="n">
        <x:v>32768</x:v>
      </x:c>
      <x:c r="R68" s="34" t="n">
        <x:f>ROUNDUP(Q68/($R$19*$R$12),0)*$R$19</x:f>
        <x:v>32768</x:v>
      </x:c>
      <x:c r="S68" s="28" t="n">
        <x:f>R68*$T$3*$V$32/1073741824</x:f>
        <x:v>0.75</x:v>
      </x:c>
      <x:c r="T68" s="28" t="n">
        <x:f>R68*$T$3*$V$33/1073741824</x:f>
        <x:v>0.09375</x:v>
      </x:c>
      <x:c r="U68" s="28" t="n">
        <x:f>R68*$R$12*$T$3*$V$35/1073741824</x:f>
        <x:v>0</x:v>
      </x:c>
      <x:c r="V68" s="28" t="n">
        <x:f>$T$2*($T$4/$R$2)*$T$5*$T$5*$R$17/1073741824</x:f>
        <x:v>0.0252685546875</x:v>
      </x:c>
      <x:c r="W68" s="28" t="n">
        <x:f>$T$2*3*($T$4/$R$2)*$T$5*($T$14-1+$R$20)*$R$16/1073741824</x:f>
        <x:v>0.0008883476257324219</x:v>
      </x:c>
      <x:c r="X68" s="28" t="n">
        <x:f>IF($R$30=1,SUM(S68:W68),NA())</x:f>
        <x:v>0.8699069023132324</x:v>
      </x:c>
      <x:c r="Y68" s="28" t="n">
        <x:f>$R$23+X68</x:f>
        <x:v>33.44569431990385</x:v>
      </x:c>
      <x:c r="Z68" s="2"/>
      <x:c r="AA68" s="2"/>
      <x:c r="AB68" s="2"/>
      <x:c r="AC68" s="2"/>
      <x:c r="AD68" s="2"/>
      <x:c r="AE68" s="2"/>
      <x:c r="AF68" s="2"/>
      <x:c r="AG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4" t="n">
        <x:v>65536</x:v>
      </x:c>
      <x:c r="R69" s="34" t="n">
        <x:f>ROUNDUP(Q69/($R$19*$R$12),0)*$R$19</x:f>
        <x:v>65536</x:v>
      </x:c>
      <x:c r="S69" s="28" t="n">
        <x:f>R69*$T$3*$V$32/1073741824</x:f>
        <x:v>1.5</x:v>
      </x:c>
      <x:c r="T69" s="28" t="n">
        <x:f>R69*$T$3*$V$33/1073741824</x:f>
        <x:v>0.1875</x:v>
      </x:c>
      <x:c r="U69" s="28" t="n">
        <x:f>R69*$R$12*$T$3*$V$35/1073741824</x:f>
        <x:v>0</x:v>
      </x:c>
      <x:c r="V69" s="28" t="n">
        <x:f>$T$2*($T$4/$R$2)*$T$5*$T$5*$R$17/1073741824</x:f>
        <x:v>0.0252685546875</x:v>
      </x:c>
      <x:c r="W69" s="28" t="n">
        <x:f>$T$2*3*($T$4/$R$2)*$T$5*($T$14-1+$R$20)*$R$16/1073741824</x:f>
        <x:v>0.0008883476257324219</x:v>
      </x:c>
      <x:c r="X69" s="28" t="n">
        <x:f>IF($R$30=1,SUM(S69:W69),NA())</x:f>
        <x:v>1.7136569023132324</x:v>
      </x:c>
      <x:c r="Y69" s="28" t="n">
        <x:f>$R$23+X69</x:f>
        <x:v>34.28944431990385</x:v>
      </x:c>
      <x:c r="Z69" s="2"/>
      <x:c r="AA69" s="2"/>
      <x:c r="AB69" s="2"/>
      <x:c r="AC69" s="2"/>
      <x:c r="AD69" s="2"/>
      <x:c r="AE69" s="2"/>
      <x:c r="AF69" s="2"/>
      <x:c r="AG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4" t="n">
        <x:v>131072</x:v>
      </x:c>
      <x:c r="R70" s="34" t="n">
        <x:f>ROUNDUP(Q70/($R$19*$R$12),0)*$R$19</x:f>
        <x:v>131072</x:v>
      </x:c>
      <x:c r="S70" s="28" t="n">
        <x:f>R70*$T$3*$V$32/1073741824</x:f>
        <x:v>3</x:v>
      </x:c>
      <x:c r="T70" s="28" t="n">
        <x:f>R70*$T$3*$V$33/1073741824</x:f>
        <x:v>0.375</x:v>
      </x:c>
      <x:c r="U70" s="28" t="n">
        <x:f>R70*$R$12*$T$3*$V$35/1073741824</x:f>
        <x:v>0</x:v>
      </x:c>
      <x:c r="V70" s="28" t="n">
        <x:f>$T$2*($T$4/$R$2)*$T$5*$T$5*$R$17/1073741824</x:f>
        <x:v>0.0252685546875</x:v>
      </x:c>
      <x:c r="W70" s="28" t="n">
        <x:f>$T$2*3*($T$4/$R$2)*$T$5*($T$14-1+$R$20)*$R$16/1073741824</x:f>
        <x:v>0.0008883476257324219</x:v>
      </x:c>
      <x:c r="X70" s="28" t="n">
        <x:f>IF($R$30=1,SUM(S70:W70),NA())</x:f>
        <x:v>3.4011569023132324</x:v>
      </x:c>
      <x:c r="Y70" s="28" t="n">
        <x:f>$R$23+X70</x:f>
        <x:v>35.97694431990385</x:v>
      </x:c>
      <x:c r="Z70" s="2"/>
      <x:c r="AA70" s="2"/>
      <x:c r="AB70" s="2"/>
      <x:c r="AC70" s="2"/>
      <x:c r="AD70" s="2"/>
      <x:c r="AE70" s="2"/>
      <x:c r="AF70" s="2"/>
      <x:c r="AG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4" t="n">
        <x:v>262144</x:v>
      </x:c>
      <x:c r="R71" s="34" t="n">
        <x:f>ROUNDUP(Q71/($R$19*$R$12),0)*$R$19</x:f>
        <x:v>262144</x:v>
      </x:c>
      <x:c r="S71" s="28" t="n">
        <x:f>R71*$T$3*$V$32/1073741824</x:f>
        <x:v>6</x:v>
      </x:c>
      <x:c r="T71" s="28" t="n">
        <x:f>R71*$T$3*$V$33/1073741824</x:f>
        <x:v>0.75</x:v>
      </x:c>
      <x:c r="U71" s="28" t="n">
        <x:f>R71*$R$12*$T$3*$V$35/1073741824</x:f>
        <x:v>0</x:v>
      </x:c>
      <x:c r="V71" s="28" t="n">
        <x:f>$T$2*($T$4/$R$2)*$T$5*$T$5*$R$17/1073741824</x:f>
        <x:v>0.0252685546875</x:v>
      </x:c>
      <x:c r="W71" s="28" t="n">
        <x:f>$T$2*3*($T$4/$R$2)*$T$5*($T$14-1+$R$20)*$R$16/1073741824</x:f>
        <x:v>0.0008883476257324219</x:v>
      </x:c>
      <x:c r="X71" s="28" t="n">
        <x:f>IF($R$30=1,SUM(S71:W71),NA())</x:f>
        <x:v>6.776156902313232</x:v>
      </x:c>
      <x:c r="Y71" s="28" t="n">
        <x:f>$R$23+X71</x:f>
        <x:v>39.35194431990385</x:v>
      </x:c>
      <x:c r="Z71" s="2"/>
      <x:c r="AA71" s="2"/>
      <x:c r="AB71" s="2"/>
      <x:c r="AC71" s="2"/>
      <x:c r="AD71" s="2"/>
      <x:c r="AE71" s="2"/>
      <x:c r="AF71" s="2"/>
      <x:c r="AG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6" t="n">
        <x:v>1048576</x:v>
      </x:c>
      <x:c r="R72" s="35" t="n">
        <x:f>ROUNDUP(Q72/($R$19*$R$12),0)*$R$19</x:f>
        <x:v>1048576</x:v>
      </x:c>
      <x:c r="S72" s="36" t="n">
        <x:f>R72*$T$3*$V$32/1073741824</x:f>
        <x:v>24</x:v>
      </x:c>
      <x:c r="T72" s="36" t="n">
        <x:f>R72*$T$3*$V$33/1073741824</x:f>
        <x:v>3</x:v>
      </x:c>
      <x:c r="U72" s="36" t="n">
        <x:f>R72*$R$12*$T$3*$V$35/1073741824</x:f>
        <x:v>0</x:v>
      </x:c>
      <x:c r="V72" s="36" t="n">
        <x:f>$T$2*($T$4/$R$2)*$T$5*$T$5*$R$17/1073741824</x:f>
        <x:v>0.0252685546875</x:v>
      </x:c>
      <x:c r="W72" s="36" t="n">
        <x:f>$T$2*3*($T$4/$R$2)*$T$5*($T$14-1+$R$20)*$R$16/1073741824</x:f>
        <x:v>0.0008883476257324219</x:v>
      </x:c>
      <x:c r="X72" s="36" t="n">
        <x:f>IF($R$30=1,SUM(S72:W72),NA())</x:f>
        <x:v>27.026156902313232</x:v>
      </x:c>
      <x:c r="Y72" s="36" t="n">
        <x:f>$R$23+X72</x:f>
        <x:v>59.60194431990385</x:v>
      </x:c>
      <x:c r="Z72" s="2"/>
      <x:c r="AA72" s="2"/>
      <x:c r="AB72" s="2"/>
      <x:c r="AC72" s="2"/>
      <x:c r="AD72" s="2"/>
      <x:c r="AE72" s="2"/>
      <x:c r="AF72" s="2"/>
      <x:c r="AG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5" t="str">
        <x:v>缓存组成</x:v>
      </x:c>
      <x:c r="R74" s="5" t="str">
        <x:v>本卡布局</x:v>
      </x:c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 t="str">
        <x:v>MLA 主缓存</x:v>
      </x:c>
      <x:c r="R75" s="2" t="str">
        <x:f>"[local_blocks, "&amp;R19&amp;", 1, "&amp;V34&amp;" bytes]"</x:f>
        <x:v>[local_blocks, 128, 1, 1152 bytes]</x:v>
      </x:c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 t="str">
        <x:v>RoPE</x:v>
      </x:c>
      <x:c r="R76" s="2" t="str">
        <x:v>BF16</x:v>
      </x:c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 t="str">
        <x:v>Indexer K</x:v>
      </x:c>
      <x:c r="R77" s="2" t="str">
        <x:v>不适用</x:v>
      </x:c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 t="str">
        <x:v>KDA recurrent</x:v>
      </x:c>
      <x:c r="R78" s="2" t="str">
        <x:v>FP32 / head TP</x:v>
      </x:c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 t="str">
        <x:v>KDA conv</x:v>
      </x:c>
      <x:c r="R79" s="2" t="str">
        <x:v>BF16 / head TP</x:v>
      </x:c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 t="str">
        <x:v>阶段</x:v>
      </x:c>
      <x:c r="R80" s="2" t="str">
        <x:v>Gated MLA BF16，KDA 按 head TP</x:v>
      </x:c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 t="str">
        <x:v>Indexer scale</x:v>
      </x:c>
      <x:c r="R81" s="2" t="str">
        <x:f>"不适用"</x:f>
        <x:v>不适用</x:v>
      </x:c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 t="str">
        <x:v>Cache dtype</x:v>
      </x:c>
      <x:c r="R82" s="2" t="str">
        <x:f>"MLA "&amp;R13&amp;" / Indexer "&amp;R14</x:f>
        <x:v>MLA BF16 / Indexer BF16</x:v>
      </x:c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5" t="str">
        <x:v>PP stage</x:v>
      </x:c>
      <x:c r="R86" s="5" t="str">
        <x:v>层范围</x:v>
      </x:c>
      <x:c r="S86" s="5" t="str">
        <x:v>层数</x:v>
      </x:c>
      <x:c r="T86" s="5" t="str">
        <x:v>KDA 层</x:v>
      </x:c>
      <x:c r="U86" s="5" t="str">
        <x:v>Attention 层</x:v>
      </x:c>
      <x:c r="V86" s="5" t="str">
        <x:v>MoE 层</x:v>
      </x:c>
      <x:c r="W86" s="5" t="str">
        <x:v>权重 GiB</x:v>
      </x:c>
      <x:c r="X86" s="5" t="str">
        <x:v>Cache GiB</x:v>
      </x:c>
      <x:c r="Y86" s="5" t="str">
        <x:v>合计 GiB</x:v>
      </x:c>
      <x:c r="Z86" s="5" t="str">
        <x:v>embedding</x:v>
      </x:c>
      <x:c r="AA86" s="5" t="str">
        <x:v>lm_head</x:v>
      </x:c>
      <x:c r="AB86" s="5" t="str">
        <x:v>ViT / MM</x:v>
      </x:c>
      <x:c r="AC86" s="5" t="str">
        <x:v>Buffer GiB</x:v>
      </x:c>
      <x:c r="AD86" s="2"/>
      <x:c r="AE86" s="2"/>
      <x:c r="AF86" s="2"/>
      <x:c r="AG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 t="n">
        <x:v>0</x:v>
      </x:c>
      <x:c r="R87" s="2" t="str">
        <x:v>1-93</x:v>
      </x:c>
      <x:c r="S87" s="2" t="n">
        <x:v>93</x:v>
      </x:c>
      <x:c r="T87" s="2" t="n">
        <x:v>69</x:v>
      </x:c>
      <x:c r="U87" s="2" t="n">
        <x:v>24</x:v>
      </x:c>
      <x:c r="V87" s="2" t="n">
        <x:v>92</x:v>
      </x:c>
      <x:c r="W87" s="32" t="n">
        <x:f>SUM(AA2:AA48)</x:f>
        <x:v>32.57578741759062</x:v>
      </x:c>
      <x:c r="X87" s="32" t="n">
        <x:f>IF($R$30=1,ROUNDUP($R$18/($R$19*$R$12),0)*$R$19*U87*($V$34+$R$12*$V$35)/1073741824+T87*($T$4/$R$2)*$T$5*$T$5*$R$17/1073741824+T87*3*($T$4/$R$2)*$T$5*($T$14-1+$R$20)*$R$16/1073741824,NA())</x:f>
        <x:v>3.4011569023132324</x:v>
      </x:c>
      <x:c r="Y87" s="32" t="n">
        <x:f>W87+X87+AC87</x:f>
        <x:v>35.97694431990385</x:v>
      </x:c>
      <x:c r="Z87" s="2" t="n">
        <x:v>1</x:v>
      </x:c>
      <x:c r="AA87" s="2" t="n">
        <x:v>1</x:v>
      </x:c>
      <x:c r="AB87" s="2" t="n">
        <x:v>0</x:v>
      </x:c>
      <x:c r="AC87" s="32" t="n">
        <x:f>0</x:f>
        <x:v>0</x:v>
      </x:c>
      <x:c r="AD87" s="2"/>
      <x:c r="AE87" s="2"/>
      <x:c r="AF87" s="2"/>
      <x:c r="AG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32"/>
      <x:c r="X88" s="32"/>
      <x:c r="Y88" s="32"/>
      <x:c r="Z88" s="2"/>
      <x:c r="AA88" s="2"/>
      <x:c r="AB88" s="2"/>
      <x:c r="AC88" s="32"/>
      <x:c r="AD88" s="2"/>
      <x:c r="AE88" s="2"/>
      <x:c r="AF88" s="2"/>
      <x:c r="AG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32"/>
      <x:c r="X89" s="32"/>
      <x:c r="Y89" s="32"/>
      <x:c r="Z89" s="2"/>
      <x:c r="AA89" s="2"/>
      <x:c r="AB89" s="2"/>
      <x:c r="AC89" s="32"/>
      <x:c r="AD89" s="2"/>
      <x:c r="AE89" s="2"/>
      <x:c r="AF89" s="2"/>
      <x:c r="AG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32"/>
      <x:c r="X90" s="32"/>
      <x:c r="Y90" s="32"/>
      <x:c r="Z90" s="2"/>
      <x:c r="AA90" s="2"/>
      <x:c r="AB90" s="2"/>
      <x:c r="AC90" s="32"/>
      <x:c r="AD90" s="2"/>
      <x:c r="AE90" s="2"/>
      <x:c r="AF90" s="2"/>
      <x:c r="AG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32"/>
      <x:c r="X91" s="32"/>
      <x:c r="Y91" s="32"/>
      <x:c r="Z91" s="2"/>
      <x:c r="AA91" s="2"/>
      <x:c r="AB91" s="2"/>
      <x:c r="AC91" s="32"/>
      <x:c r="AD91" s="2"/>
      <x:c r="AE91" s="2"/>
      <x:c r="AF91" s="2"/>
      <x:c r="AG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5" t="str">
        <x:v>最大单卡</x:v>
      </x:c>
      <x:c r="R92" s="5"/>
      <x:c r="S92" s="5"/>
      <x:c r="T92" s="5"/>
      <x:c r="U92" s="5"/>
      <x:c r="V92" s="5"/>
      <x:c r="W92" s="37" t="n">
        <x:f>MAX(W87:W87)</x:f>
        <x:v>32.57578741759062</x:v>
      </x:c>
      <x:c r="X92" s="37" t="n">
        <x:f>MAX(X87:X87)</x:f>
        <x:v>3.4011569023132324</x:v>
      </x:c>
      <x:c r="Y92" s="37" t="n">
        <x:f>MAX(Y87:Y87)</x:f>
        <x:v>35.97694431990385</x:v>
      </x:c>
      <x:c r="Z92" s="5"/>
      <x:c r="AA92" s="5"/>
      <x:c r="AB92" s="5"/>
      <x:c r="AC92" s="37" t="n">
        <x:f>MAX(AC87:AC87)</x:f>
        <x:v>0</x:v>
      </x:c>
      <x:c r="AD92" s="2"/>
      <x:c r="AE92" s="2"/>
      <x:c r="AF92" s="2"/>
      <x:c r="AG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</x:row>
  </x:sheetData>
  <x:mergeCells>
    <x:mergeCell ref="U1:V2"/>
  </x:mergeCells>
  <x:conditionalFormatting sqref="R30:R30">
    <x:cfRule type="cellIs" dxfId="1" priority="1" operator="equal">
      <x:formula>0</x:formula>
    </x:cfRule>
  </x:conditionalFormatting>
  <x:dataValidations count="8">
    <x:dataValidation type="whole" operator="between" sqref="R2:R12">
      <x:formula1>1</x:formula1>
      <x:formula2>65536</x:formula2>
    </x:dataValidation>
    <x:dataValidation type="whole" operator="between" sqref="R18">
      <x:formula1>1</x:formula1>
      <x:formula2>1048576</x:formula2>
    </x:dataValidation>
    <x:dataValidation type="whole" operator="between" sqref="R19">
      <x:formula1>1</x:formula1>
      <x:formula2>1048576</x:formula2>
    </x:dataValidation>
    <x:dataValidation type="whole" operator="between" sqref="R20">
      <x:formula1>0</x:formula1>
      <x:formula2>64</x:formula2>
    </x:dataValidation>
    <x:dataValidation type="list" sqref="R22">
      <x:formula1>"0"</x:formula1>
    </x:dataValidation>
    <x:dataValidation type="list" sqref="R13">
      <x:formula1>"BF16"</x:formula1>
    </x:dataValidation>
    <x:dataValidation type="list" sqref="R14">
      <x:formula1>"BF16"</x:formula1>
    </x:dataValidation>
    <x:dataValidation type="list" sqref="D2:D48">
      <x:formula1>"BF16,FP32,FP8,MXFP4,MXFP8,INT4,INT8"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26" hidden="0" customWidth="1"/>
    <x:col min="4" max="4" width="12" hidden="0" customWidth="1"/>
    <x:col min="5" max="5" width="14" hidden="0" customWidth="1"/>
    <x:col min="6" max="6" width="20" hidden="0" customWidth="1"/>
    <x:col min="7" max="7" width="18" hidden="0" customWidth="1"/>
    <x:col min="8" max="8" width="12" hidden="0" customWidth="1"/>
    <x:col min="9" max="9" width="12" hidden="0" customWidth="1"/>
    <x:col min="10" max="10" width="20" hidden="0" customWidth="1"/>
    <x:col min="11" max="11" width="22" hidden="0" customWidth="1"/>
    <x:col min="12" max="12" width="23" hidden="0" customWidth="1"/>
    <x:col min="13" max="13" width="14" hidden="0" customWidth="1"/>
    <x:col min="14" max="14" width="30" hidden="0" customWidth="1"/>
    <x:col min="15" max="15" width="16" hidden="0" customWidth="1"/>
    <x:col min="16" max="16" width="3" hidden="0" customWidth="1"/>
    <x:col min="17" max="17" width="32" hidden="0" customWidth="1"/>
    <x:col min="18" max="18" width="22" hidden="0" customWidth="1"/>
    <x:col min="19" max="19" width="28" hidden="0" customWidth="1"/>
    <x:col min="20" max="20" width="29" hidden="0" customWidth="1"/>
    <x:col min="21" max="21" width="26" hidden="0" customWidth="1"/>
    <x:col min="22" max="22" width="24" hidden="0" customWidth="1"/>
    <x:col min="23" max="23" width="24" hidden="0" customWidth="1"/>
    <x:col min="24" max="24" width="28" hidden="0" customWidth="1"/>
    <x:col min="25" max="25" width="26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</x:cols>
  <x:sheetData>
    <x:row r="1" ht="32" customHeight="1">
      <x:c r="A1" s="41" t="str">
        <x:v>结构</x:v>
      </x:c>
      <x:c r="B1" s="41" t="str">
        <x:v>权重</x:v>
      </x:c>
      <x:c r="C1" s="41" t="str">
        <x:v>权重维度</x:v>
      </x:c>
      <x:c r="D1" s="41" t="str">
        <x:v>数据类型</x:v>
      </x:c>
      <x:c r="E1" s="41" t="str">
        <x:v>全模型重复数</x:v>
      </x:c>
      <x:c r="F1" s="41" t="str">
        <x:v>单实例参数量</x:v>
      </x:c>
      <x:c r="G1" s="41" t="str">
        <x:v>TP 策略</x:v>
      </x:c>
      <x:c r="H1" s="41" t="str">
        <x:v>EP 策略</x:v>
      </x:c>
      <x:c r="I1" s="41" t="str">
        <x:v>共享专家</x:v>
      </x:c>
      <x:c r="J1" s="41" t="str">
        <x:v>全模型权重 GiB</x:v>
      </x:c>
      <x:c r="K1" s="41" t="str">
        <x:v>本 stage 单卡 GiB</x:v>
      </x:c>
      <x:c r="L1" s="41" t="str">
        <x:v>量化规则</x:v>
      </x:c>
      <x:c r="M1" s="41" t="str">
        <x:v>切分份数</x:v>
      </x:c>
      <x:c r="N1" s="41" t="str">
        <x:v>单卡权重维度</x:v>
      </x:c>
      <x:c r="O1" s="41" t="str">
        <x:v>单卡重复数</x:v>
      </x:c>
      <x:c r="P1" s="2"/>
      <x:c r="Q1" s="5" t="str">
        <x:v>并行配置</x:v>
      </x:c>
      <x:c r="R1" s="5" t="str">
        <x:v>值</x:v>
      </x:c>
      <x:c r="S1" s="5" t="str">
        <x:v>模型参数</x:v>
      </x:c>
      <x:c r="T1" s="5" t="str">
        <x:v>参数值</x:v>
      </x:c>
      <x:c r="U1" s="19" t="str">
        <x:v>Made by mindie-agent</x:v>
      </x:c>
      <x:c r="V1" s="19"/>
      <x:c r="W1" s="2"/>
      <x:c r="X1" s="2"/>
      <x:c r="Y1" s="2"/>
      <x:c r="Z1" s="2"/>
      <x:c r="AA1" s="5" t="str">
        <x:v>PP0 单卡 GiB</x:v>
      </x:c>
      <x:c r="AB1" s="5" t="str">
        <x:v>本卡主权重 bytes</x:v>
      </x:c>
      <x:c r="AC1" s="5" t="str">
        <x:v>本卡 scale bytes</x:v>
      </x:c>
      <x:c r="AD1" s="5" t="str">
        <x:v>本卡附加 bytes</x:v>
      </x:c>
      <x:c r="AE1" s="5" t="str">
        <x:v>全局主权重 bytes</x:v>
      </x:c>
      <x:c r="AF1" s="5" t="str">
        <x:v>全局 scale bytes</x:v>
      </x:c>
      <x:c r="AG1" s="5" t="str">
        <x:v>全局附加 bytes</x:v>
      </x:c>
    </x:row>
    <x:row r="2" ht="18" customHeight="1">
      <x:c r="A2" s="48" t="str">
        <x:v>Embedding / Output</x:v>
      </x:c>
      <x:c r="B2" s="48" t="str">
        <x:v>embed_tokens.weight</x:v>
      </x:c>
      <x:c r="C2" s="48" t="str">
        <x:v>[163840,7168]</x:v>
      </x:c>
      <x:c r="D2" s="49" t="str">
        <x:v>BF16</x:v>
      </x:c>
      <x:c r="E2" s="50" t="n">
        <x:v>1</x:v>
      </x:c>
      <x:c r="F2" s="50" t="n">
        <x:f>(163840)*(7168)</x:f>
        <x:v>1174405120</x:v>
      </x:c>
      <x:c r="G2" s="48" t="str">
        <x:v>Embedding TP</x:v>
      </x:c>
      <x:c r="H2" s="48" t="str">
        <x:v>None</x:v>
      </x:c>
      <x:c r="I2" s="48" t="str">
        <x:v>否</x:v>
      </x:c>
      <x:c r="J2" s="51" t="n">
        <x:f>E2*SUM(AE2:AG2)/1073741824</x:f>
        <x:v>2.1875</x:v>
      </x:c>
      <x:c r="K2" s="51" t="n">
        <x:f>AA2</x:f>
        <x:v>0.13671875</x:v>
      </x:c>
      <x:c r="L2" s="48" t="str">
        <x:f>IF(OR(D2="MXFP4",D2="MXFP8"),"group 32 / E8M0",IF(D2="INT8","channel / 8 B",IF(D2="INT4","channel / 16 B","")))</x:f>
      </x:c>
      <x:c r="M2" s="52" t="n">
        <x:f>$R$7</x:f>
        <x:v>16</x:v>
      </x:c>
      <x:c r="N2" s="48" t="str">
        <x:f>"["&amp;(163840/M2)&amp;","&amp;(7168)&amp;"]"</x:f>
        <x:v>[10240,7168]</x:v>
      </x:c>
      <x:c r="O2" s="50" t="n">
        <x:f>CHOOSE($R$22+1,1)</x:f>
        <x:v>1</x:v>
      </x:c>
      <x:c r="P2" s="2"/>
      <x:c r="Q2" s="6" t="str">
        <x:v>KDA 主体 TP</x:v>
      </x:c>
      <x:c r="R2" s="13" t="n">
        <x:v>16</x:v>
      </x:c>
      <x:c r="S2" s="6" t="str">
        <x:v>本 stage KDA 层数</x:v>
      </x:c>
      <x:c r="T2" s="6" t="n">
        <x:f>CHOOSE(R22+1,69)</x:f>
        <x:v>69</x:v>
      </x:c>
      <x:c r="U2" s="19"/>
      <x:c r="V2" s="19"/>
      <x:c r="W2" s="2"/>
      <x:c r="X2" s="2"/>
      <x:c r="Y2" s="2"/>
      <x:c r="Z2" s="2"/>
      <x:c r="AA2" s="38" t="n">
        <x:f>IF($R$30=1,SUM(AB2:AD2)*(1)/1073741824,NA())</x:f>
        <x:v>0.13671875</x:v>
      </x:c>
      <x:c r="AB2" s="39" t="n">
        <x:f>(163840/M2)*ROUNDUP((7168)*VLOOKUP(D2,$Q$32:$R$38,2,FALSE),0)</x:f>
        <x:v>146800640</x:v>
      </x:c>
      <x:c r="AC2" s="39" t="n">
        <x:f>IF(OR(D2="MXFP4",D2="MXFP8"),(163840/M2)*ROUNDUP((7168)/32,0),0)</x:f>
        <x:v>0</x:v>
      </x:c>
      <x:c r="AD2" s="39" t="n">
        <x:f>IF(D2="INT8",(163840/M2)*8,IF(D2="INT4",(163840/M2)*16,0))</x:f>
        <x:v>0</x:v>
      </x:c>
      <x:c r="AE2" s="39" t="n">
        <x:f>(163840)*ROUNDUP((7168)*VLOOKUP(D2,$Q$32:$R$38,2,FALSE),0)</x:f>
        <x:v>2348810240</x:v>
      </x:c>
      <x:c r="AF2" s="39" t="n">
        <x:f>IF(OR(D2="MXFP4",D2="MXFP8"),(163840)*ROUNDUP((7168)/32,0),0)</x:f>
        <x:v>0</x:v>
      </x:c>
      <x:c r="AG2" s="39" t="n">
        <x:f>IF(D2="INT8",(163840)*8,IF(D2="INT4",(163840)*16,0))</x:f>
        <x:v>0</x:v>
      </x:c>
    </x:row>
    <x:row r="3" ht="18" customHeight="1">
      <x:c r="A3" s="7" t="str">
        <x:v>Embedding / Output</x:v>
      </x:c>
      <x:c r="B3" s="7" t="str">
        <x:v>lm_head.weight</x:v>
      </x:c>
      <x:c r="C3" s="7" t="str">
        <x:v>[163840,7168]</x:v>
      </x:c>
      <x:c r="D3" s="10" t="str">
        <x:v>BF16</x:v>
      </x:c>
      <x:c r="E3" s="34" t="n">
        <x:v>1</x:v>
      </x:c>
      <x:c r="F3" s="34" t="n">
        <x:f>(163840)*(7168)</x:f>
        <x:v>1174405120</x:v>
      </x:c>
      <x:c r="G3" s="7" t="str">
        <x:v>LM head TP</x:v>
      </x:c>
      <x:c r="H3" s="7" t="str">
        <x:v>None</x:v>
      </x:c>
      <x:c r="I3" s="7" t="str">
        <x:v>否</x:v>
      </x:c>
      <x:c r="J3" s="44" t="n">
        <x:f>E3*SUM(AE3:AG3)/1073741824</x:f>
        <x:v>2.1875</x:v>
      </x:c>
      <x:c r="K3" s="44" t="n">
        <x:f>AA3</x:f>
        <x:v>0.13671875</x:v>
      </x:c>
      <x:c r="L3" s="7" t="str">
        <x:f>IF(OR(D3="MXFP4",D3="MXFP8"),"group 32 / E8M0",IF(D3="INT8","channel / 8 B",IF(D3="INT4","channel / 16 B","")))</x:f>
      </x:c>
      <x:c r="M3" s="45" t="n">
        <x:f>$R$6</x:f>
        <x:v>16</x:v>
      </x:c>
      <x:c r="N3" s="7" t="str">
        <x:f>"["&amp;(163840/M3)&amp;","&amp;(7168)&amp;"]"</x:f>
        <x:v>[10240,7168]</x:v>
      </x:c>
      <x:c r="O3" s="34" t="n">
        <x:f>CHOOSE($R$22+1,1)</x:f>
        <x:v>1</x:v>
      </x:c>
      <x:c r="P3" s="2"/>
      <x:c r="Q3" s="7" t="str">
        <x:v>KDA o_proj TP</x:v>
      </x:c>
      <x:c r="R3" s="14" t="n">
        <x:f>$R$2*1</x:f>
        <x:v>16</x:v>
      </x:c>
      <x:c r="S3" s="7" t="str">
        <x:v>本 stage Attention 层数</x:v>
      </x:c>
      <x:c r="T3" s="7" t="n">
        <x:f>CHOOSE(R22+1,24)</x:f>
        <x:v>24</x:v>
      </x:c>
      <x:c r="U3" s="2"/>
      <x:c r="V3" s="2"/>
      <x:c r="W3" s="2"/>
      <x:c r="X3" s="2"/>
      <x:c r="Y3" s="2"/>
      <x:c r="Z3" s="2"/>
      <x:c r="AA3" s="38" t="n">
        <x:f>IF($R$30=1,SUM(AB3:AD3)*(1)/1073741824,NA())</x:f>
        <x:v>0.13671875</x:v>
      </x:c>
      <x:c r="AB3" s="39" t="n">
        <x:f>(163840/M3)*ROUNDUP((7168)*VLOOKUP(D3,$Q$32:$R$38,2,FALSE),0)</x:f>
        <x:v>146800640</x:v>
      </x:c>
      <x:c r="AC3" s="39" t="n">
        <x:f>IF(OR(D3="MXFP4",D3="MXFP8"),(163840/M3)*ROUNDUP((7168)/32,0),0)</x:f>
        <x:v>0</x:v>
      </x:c>
      <x:c r="AD3" s="39" t="n">
        <x:f>IF(D3="INT8",(163840/M3)*8,IF(D3="INT4",(163840/M3)*16,0))</x:f>
        <x:v>0</x:v>
      </x:c>
      <x:c r="AE3" s="39" t="n">
        <x:f>(163840)*ROUNDUP((7168)*VLOOKUP(D3,$Q$32:$R$38,2,FALSE),0)</x:f>
        <x:v>2348810240</x:v>
      </x:c>
      <x:c r="AF3" s="39" t="n">
        <x:f>IF(OR(D3="MXFP4",D3="MXFP8"),(163840)*ROUNDUP((7168)/32,0),0)</x:f>
        <x:v>0</x:v>
      </x:c>
      <x:c r="AG3" s="39" t="n">
        <x:f>IF(D3="INT8",(163840)*8,IF(D3="INT4",(163840)*16,0))</x:f>
        <x:v>0</x:v>
      </x:c>
    </x:row>
    <x:row r="4" ht="18" customHeight="1">
      <x:c r="A4" s="48" t="str">
        <x:v>Decoder common</x:v>
      </x:c>
      <x:c r="B4" s="48" t="str">
        <x:v>input_layernorm.weight</x:v>
      </x:c>
      <x:c r="C4" s="48" t="str">
        <x:v>[7168]</x:v>
      </x:c>
      <x:c r="D4" s="49" t="str">
        <x:v>BF16</x:v>
      </x:c>
      <x:c r="E4" s="50" t="n">
        <x:v>93</x:v>
      </x:c>
      <x:c r="F4" s="50" t="n">
        <x:f>(7168)</x:f>
        <x:v>7168</x:v>
      </x:c>
      <x:c r="G4" s="48" t="str">
        <x:v>Replicated</x:v>
      </x:c>
      <x:c r="H4" s="48" t="str">
        <x:v>None</x:v>
      </x:c>
      <x:c r="I4" s="48" t="str">
        <x:v>否</x:v>
      </x:c>
      <x:c r="J4" s="51" t="n">
        <x:f>E4*SUM(AE4:AG4)/1073741824</x:f>
        <x:v>0.0012416839599609375</x:v>
      </x:c>
      <x:c r="K4" s="51" t="n">
        <x:f>AA4</x:f>
        <x:v>0.0012416839599609375</x:v>
      </x:c>
      <x:c r="L4" s="48" t="str">
        <x:f>IF(OR(D4="MXFP4",D4="MXFP8"),"group 32 / E8M0",IF(D4="INT8","channel / 8 B",IF(D4="INT4","channel / 16 B","")))</x:f>
      </x:c>
      <x:c r="M4" s="52" t="n">
        <x:f>1</x:f>
        <x:v>1</x:v>
      </x:c>
      <x:c r="N4" s="48" t="str">
        <x:f>"["&amp;(7168/M4)&amp;"]"</x:f>
        <x:v>[7168]</x:v>
      </x:c>
      <x:c r="O4" s="50" t="n">
        <x:f>CHOOSE($R$22+1,93)</x:f>
        <x:v>93</x:v>
      </x:c>
      <x:c r="P4" s="2"/>
      <x:c r="Q4" s="7" t="str">
        <x:v>Attention 主体 TP</x:v>
      </x:c>
      <x:c r="R4" s="14" t="n">
        <x:v>1</x:v>
      </x:c>
      <x:c r="S4" s="7" t="str">
        <x:v>KDA heads</x:v>
      </x:c>
      <x:c r="T4" s="7" t="n">
        <x:v>96</x:v>
      </x:c>
      <x:c r="U4" s="2"/>
      <x:c r="V4" s="2"/>
      <x:c r="W4" s="2"/>
      <x:c r="X4" s="2"/>
      <x:c r="Y4" s="2"/>
      <x:c r="Z4" s="2"/>
      <x:c r="AA4" s="38" t="n">
        <x:f>IF($R$30=1,SUM(AB4:AD4)*(93)/1073741824,NA())</x:f>
        <x:v>0.0012416839599609375</x:v>
      </x:c>
      <x:c r="AB4" s="39" t="n">
        <x:f>1*ROUNDUP((7168/M4)*VLOOKUP(D4,$Q$32:$R$38,2,FALSE),0)</x:f>
        <x:v>14336</x:v>
      </x:c>
      <x:c r="AC4" s="39" t="n">
        <x:f>IF(OR(D4="MXFP4",D4="MXFP8"),1*ROUNDUP((7168/M4)/32,0),0)</x:f>
        <x:v>0</x:v>
      </x:c>
      <x:c r="AD4" s="39" t="n">
        <x:f>IF(D4="INT8",(7168/M4)*8,IF(D4="INT4",(7168/M4)*16,0))</x:f>
        <x:v>0</x:v>
      </x:c>
      <x:c r="AE4" s="39" t="n">
        <x:f>1*ROUNDUP((7168)*VLOOKUP(D4,$Q$32:$R$38,2,FALSE),0)</x:f>
        <x:v>14336</x:v>
      </x:c>
      <x:c r="AF4" s="39" t="n">
        <x:f>IF(OR(D4="MXFP4",D4="MXFP8"),1*ROUNDUP((7168)/32,0),0)</x:f>
        <x:v>0</x:v>
      </x:c>
      <x:c r="AG4" s="39" t="n">
        <x:f>IF(D4="INT8",(7168)*8,IF(D4="INT4",(7168)*16,0))</x:f>
        <x:v>0</x:v>
      </x:c>
    </x:row>
    <x:row r="5" ht="18" customHeight="1">
      <x:c r="A5" s="7" t="str">
        <x:v>Decoder common</x:v>
      </x:c>
      <x:c r="B5" s="7" t="str">
        <x:v>post_attention_layernorm.weight</x:v>
      </x:c>
      <x:c r="C5" s="7" t="str">
        <x:v>[7168]</x:v>
      </x:c>
      <x:c r="D5" s="10" t="str">
        <x:v>BF16</x:v>
      </x:c>
      <x:c r="E5" s="34" t="n">
        <x:v>93</x:v>
      </x:c>
      <x:c r="F5" s="34" t="n">
        <x:f>(7168)</x:f>
        <x:v>7168</x:v>
      </x:c>
      <x:c r="G5" s="7" t="str">
        <x:v>Replicated</x:v>
      </x:c>
      <x:c r="H5" s="7" t="str">
        <x:v>None</x:v>
      </x:c>
      <x:c r="I5" s="7" t="str">
        <x:v>否</x:v>
      </x:c>
      <x:c r="J5" s="44" t="n">
        <x:f>E5*SUM(AE5:AG5)/1073741824</x:f>
        <x:v>0.0012416839599609375</x:v>
      </x:c>
      <x:c r="K5" s="44" t="n">
        <x:f>AA5</x:f>
        <x:v>0.0012416839599609375</x:v>
      </x:c>
      <x:c r="L5" s="7" t="str">
        <x:f>IF(OR(D5="MXFP4",D5="MXFP8"),"group 32 / E8M0",IF(D5="INT8","channel / 8 B",IF(D5="INT4","channel / 16 B","")))</x:f>
      </x:c>
      <x:c r="M5" s="45" t="n">
        <x:f>1</x:f>
        <x:v>1</x:v>
      </x:c>
      <x:c r="N5" s="7" t="str">
        <x:f>"["&amp;(7168/M5)&amp;"]"</x:f>
        <x:v>[7168]</x:v>
      </x:c>
      <x:c r="O5" s="34" t="n">
        <x:f>CHOOSE($R$22+1,93)</x:f>
        <x:v>93</x:v>
      </x:c>
      <x:c r="P5" s="2"/>
      <x:c r="Q5" s="7" t="str">
        <x:v>Attention o_proj TP</x:v>
      </x:c>
      <x:c r="R5" s="14" t="n">
        <x:f>$R$2*1</x:f>
        <x:v>16</x:v>
      </x:c>
      <x:c r="S5" s="7" t="str">
        <x:v>KDA head dim</x:v>
      </x:c>
      <x:c r="T5" s="7" t="n">
        <x:v>128</x:v>
      </x:c>
      <x:c r="U5" s="2"/>
      <x:c r="V5" s="2"/>
      <x:c r="W5" s="2"/>
      <x:c r="X5" s="2"/>
      <x:c r="Y5" s="2"/>
      <x:c r="Z5" s="2"/>
      <x:c r="AA5" s="38" t="n">
        <x:f>IF($R$30=1,SUM(AB5:AD5)*(93)/1073741824,NA())</x:f>
        <x:v>0.0012416839599609375</x:v>
      </x:c>
      <x:c r="AB5" s="39" t="n">
        <x:f>1*ROUNDUP((7168/M5)*VLOOKUP(D5,$Q$32:$R$38,2,FALSE),0)</x:f>
        <x:v>14336</x:v>
      </x:c>
      <x:c r="AC5" s="39" t="n">
        <x:f>IF(OR(D5="MXFP4",D5="MXFP8"),1*ROUNDUP((7168/M5)/32,0),0)</x:f>
        <x:v>0</x:v>
      </x:c>
      <x:c r="AD5" s="39" t="n">
        <x:f>IF(D5="INT8",(7168/M5)*8,IF(D5="INT4",(7168/M5)*16,0))</x:f>
        <x:v>0</x:v>
      </x:c>
      <x:c r="AE5" s="39" t="n">
        <x:f>1*ROUNDUP((7168)*VLOOKUP(D5,$Q$32:$R$38,2,FALSE),0)</x:f>
        <x:v>14336</x:v>
      </x:c>
      <x:c r="AF5" s="39" t="n">
        <x:f>IF(OR(D5="MXFP4",D5="MXFP8"),1*ROUNDUP((7168)/32,0),0)</x:f>
        <x:v>0</x:v>
      </x:c>
      <x:c r="AG5" s="39" t="n">
        <x:f>IF(D5="INT8",(7168)*8,IF(D5="INT4",(7168)*16,0))</x:f>
        <x:v>0</x:v>
      </x:c>
    </x:row>
    <x:row r="6" ht="18" customHeight="1">
      <x:c r="A6" s="7" t="str">
        <x:v>Decoder common</x:v>
      </x:c>
      <x:c r="B6" s="7" t="str">
        <x:v>self_attention_res_norm.weight</x:v>
      </x:c>
      <x:c r="C6" s="7" t="str">
        <x:v>[7168]</x:v>
      </x:c>
      <x:c r="D6" s="10" t="str">
        <x:v>BF16</x:v>
      </x:c>
      <x:c r="E6" s="34" t="n">
        <x:v>93</x:v>
      </x:c>
      <x:c r="F6" s="34" t="n">
        <x:f>(7168)</x:f>
        <x:v>7168</x:v>
      </x:c>
      <x:c r="G6" s="7" t="str">
        <x:v>Replicated</x:v>
      </x:c>
      <x:c r="H6" s="7" t="str">
        <x:v>None</x:v>
      </x:c>
      <x:c r="I6" s="7" t="str">
        <x:v>否</x:v>
      </x:c>
      <x:c r="J6" s="44" t="n">
        <x:f>E6*SUM(AE6:AG6)/1073741824</x:f>
        <x:v>0.0012416839599609375</x:v>
      </x:c>
      <x:c r="K6" s="44" t="n">
        <x:f>AA6</x:f>
        <x:v>0.0012416839599609375</x:v>
      </x:c>
      <x:c r="L6" s="7" t="str">
        <x:f>IF(OR(D6="MXFP4",D6="MXFP8"),"group 32 / E8M0",IF(D6="INT8","channel / 8 B",IF(D6="INT4","channel / 16 B","")))</x:f>
      </x:c>
      <x:c r="M6" s="45" t="n">
        <x:f>1</x:f>
        <x:v>1</x:v>
      </x:c>
      <x:c r="N6" s="7" t="str">
        <x:f>"["&amp;(7168/M6)&amp;"]"</x:f>
        <x:v>[7168]</x:v>
      </x:c>
      <x:c r="O6" s="34" t="n">
        <x:f>CHOOSE($R$22+1,93)</x:f>
        <x:v>93</x:v>
      </x:c>
      <x:c r="P6" s="2"/>
      <x:c r="Q6" s="7" t="str">
        <x:v>lm_head TP</x:v>
      </x:c>
      <x:c r="R6" s="14" t="n">
        <x:f>$R$2*1</x:f>
        <x:v>16</x:v>
      </x:c>
      <x:c r="S6" s="7" t="str">
        <x:v>Attention heads</x:v>
      </x:c>
      <x:c r="T6" s="7" t="n">
        <x:v>96</x:v>
      </x:c>
      <x:c r="U6" s="2"/>
      <x:c r="V6" s="2"/>
      <x:c r="W6" s="2"/>
      <x:c r="X6" s="2"/>
      <x:c r="Y6" s="2"/>
      <x:c r="Z6" s="2"/>
      <x:c r="AA6" s="38" t="n">
        <x:f>IF($R$30=1,SUM(AB6:AD6)*(93)/1073741824,NA())</x:f>
        <x:v>0.0012416839599609375</x:v>
      </x:c>
      <x:c r="AB6" s="39" t="n">
        <x:f>1*ROUNDUP((7168/M6)*VLOOKUP(D6,$Q$32:$R$38,2,FALSE),0)</x:f>
        <x:v>14336</x:v>
      </x:c>
      <x:c r="AC6" s="39" t="n">
        <x:f>IF(OR(D6="MXFP4",D6="MXFP8"),1*ROUNDUP((7168/M6)/32,0),0)</x:f>
        <x:v>0</x:v>
      </x:c>
      <x:c r="AD6" s="39" t="n">
        <x:f>IF(D6="INT8",(7168/M6)*8,IF(D6="INT4",(7168/M6)*16,0))</x:f>
        <x:v>0</x:v>
      </x:c>
      <x:c r="AE6" s="39" t="n">
        <x:f>1*ROUNDUP((7168)*VLOOKUP(D6,$Q$32:$R$38,2,FALSE),0)</x:f>
        <x:v>14336</x:v>
      </x:c>
      <x:c r="AF6" s="39" t="n">
        <x:f>IF(OR(D6="MXFP4",D6="MXFP8"),1*ROUNDUP((7168)/32,0),0)</x:f>
        <x:v>0</x:v>
      </x:c>
      <x:c r="AG6" s="39" t="n">
        <x:f>IF(D6="INT8",(7168)*8,IF(D6="INT4",(7168)*16,0))</x:f>
        <x:v>0</x:v>
      </x:c>
    </x:row>
    <x:row r="7" ht="18" customHeight="1">
      <x:c r="A7" s="7" t="str">
        <x:v>Decoder common</x:v>
      </x:c>
      <x:c r="B7" s="7" t="str">
        <x:v>mlp_res_norm.weight</x:v>
      </x:c>
      <x:c r="C7" s="7" t="str">
        <x:v>[7168]</x:v>
      </x:c>
      <x:c r="D7" s="10" t="str">
        <x:v>BF16</x:v>
      </x:c>
      <x:c r="E7" s="34" t="n">
        <x:v>93</x:v>
      </x:c>
      <x:c r="F7" s="34" t="n">
        <x:f>(7168)</x:f>
        <x:v>7168</x:v>
      </x:c>
      <x:c r="G7" s="7" t="str">
        <x:v>Replicated</x:v>
      </x:c>
      <x:c r="H7" s="7" t="str">
        <x:v>None</x:v>
      </x:c>
      <x:c r="I7" s="7" t="str">
        <x:v>否</x:v>
      </x:c>
      <x:c r="J7" s="44" t="n">
        <x:f>E7*SUM(AE7:AG7)/1073741824</x:f>
        <x:v>0.0012416839599609375</x:v>
      </x:c>
      <x:c r="K7" s="44" t="n">
        <x:f>AA7</x:f>
        <x:v>0.0012416839599609375</x:v>
      </x:c>
      <x:c r="L7" s="7" t="str">
        <x:f>IF(OR(D7="MXFP4",D7="MXFP8"),"group 32 / E8M0",IF(D7="INT8","channel / 8 B",IF(D7="INT4","channel / 16 B","")))</x:f>
      </x:c>
      <x:c r="M7" s="45" t="n">
        <x:f>1</x:f>
        <x:v>1</x:v>
      </x:c>
      <x:c r="N7" s="7" t="str">
        <x:f>"["&amp;(7168/M7)&amp;"]"</x:f>
        <x:v>[7168]</x:v>
      </x:c>
      <x:c r="O7" s="34" t="n">
        <x:f>CHOOSE($R$22+1,93)</x:f>
        <x:v>93</x:v>
      </x:c>
      <x:c r="P7" s="2"/>
      <x:c r="Q7" s="7" t="str">
        <x:v>embedding TP</x:v>
      </x:c>
      <x:c r="R7" s="14" t="n">
        <x:f>$R$2*1</x:f>
        <x:v>16</x:v>
      </x:c>
      <x:c r="S7" s="7" t="str">
        <x:v>Indexer query heads</x:v>
      </x:c>
      <x:c r="T7" s="7" t="n">
        <x:v>0</x:v>
      </x:c>
      <x:c r="U7" s="2"/>
      <x:c r="V7" s="2"/>
      <x:c r="W7" s="2"/>
      <x:c r="X7" s="2"/>
      <x:c r="Y7" s="2"/>
      <x:c r="Z7" s="2"/>
      <x:c r="AA7" s="38" t="n">
        <x:f>IF($R$30=1,SUM(AB7:AD7)*(93)/1073741824,NA())</x:f>
        <x:v>0.0012416839599609375</x:v>
      </x:c>
      <x:c r="AB7" s="39" t="n">
        <x:f>1*ROUNDUP((7168/M7)*VLOOKUP(D7,$Q$32:$R$38,2,FALSE),0)</x:f>
        <x:v>14336</x:v>
      </x:c>
      <x:c r="AC7" s="39" t="n">
        <x:f>IF(OR(D7="MXFP4",D7="MXFP8"),1*ROUNDUP((7168/M7)/32,0),0)</x:f>
        <x:v>0</x:v>
      </x:c>
      <x:c r="AD7" s="39" t="n">
        <x:f>IF(D7="INT8",(7168/M7)*8,IF(D7="INT4",(7168/M7)*16,0))</x:f>
        <x:v>0</x:v>
      </x:c>
      <x:c r="AE7" s="39" t="n">
        <x:f>1*ROUNDUP((7168)*VLOOKUP(D7,$Q$32:$R$38,2,FALSE),0)</x:f>
        <x:v>14336</x:v>
      </x:c>
      <x:c r="AF7" s="39" t="n">
        <x:f>IF(OR(D7="MXFP4",D7="MXFP8"),1*ROUNDUP((7168)/32,0),0)</x:f>
        <x:v>0</x:v>
      </x:c>
      <x:c r="AG7" s="39" t="n">
        <x:f>IF(D7="INT8",(7168)*8,IF(D7="INT4",(7168)*16,0))</x:f>
        <x:v>0</x:v>
      </x:c>
    </x:row>
    <x:row r="8" ht="18" customHeight="1">
      <x:c r="A8" s="7" t="str">
        <x:v>Decoder common</x:v>
      </x:c>
      <x:c r="B8" s="7" t="str">
        <x:v>self_attention_res_proj.weight</x:v>
      </x:c>
      <x:c r="C8" s="7" t="str">
        <x:v>[1,7168]</x:v>
      </x:c>
      <x:c r="D8" s="10" t="str">
        <x:v>BF16</x:v>
      </x:c>
      <x:c r="E8" s="34" t="n">
        <x:v>93</x:v>
      </x:c>
      <x:c r="F8" s="34" t="n">
        <x:f>(1)*(7168)</x:f>
        <x:v>7168</x:v>
      </x:c>
      <x:c r="G8" s="7" t="str">
        <x:v>Replicated</x:v>
      </x:c>
      <x:c r="H8" s="7" t="str">
        <x:v>None</x:v>
      </x:c>
      <x:c r="I8" s="7" t="str">
        <x:v>否</x:v>
      </x:c>
      <x:c r="J8" s="44" t="n">
        <x:f>E8*SUM(AE8:AG8)/1073741824</x:f>
        <x:v>0.0012416839599609375</x:v>
      </x:c>
      <x:c r="K8" s="44" t="n">
        <x:f>AA8</x:f>
        <x:v>0.0012416839599609375</x:v>
      </x:c>
      <x:c r="L8" s="7" t="str">
        <x:f>IF(OR(D8="MXFP4",D8="MXFP8"),"group 32 / E8M0",IF(D8="INT8","channel / 8 B",IF(D8="INT4","channel / 16 B","")))</x:f>
      </x:c>
      <x:c r="M8" s="45" t="n">
        <x:f>1</x:f>
        <x:v>1</x:v>
      </x:c>
      <x:c r="N8" s="7" t="str">
        <x:f>"["&amp;(1/M8)&amp;","&amp;(7168)&amp;"]"</x:f>
        <x:v>[1,7168]</x:v>
      </x:c>
      <x:c r="O8" s="34" t="n">
        <x:f>CHOOSE($R$22+1,93)</x:f>
        <x:v>93</x:v>
      </x:c>
      <x:c r="P8" s="2"/>
      <x:c r="Q8" s="7" t="str">
        <x:v>其他语言 TP</x:v>
      </x:c>
      <x:c r="R8" s="14" t="n">
        <x:f>$R$2*1</x:f>
        <x:v>16</x:v>
      </x:c>
      <x:c r="S8" s="7" t="str">
        <x:v>本 stage MoE 层数</x:v>
      </x:c>
      <x:c r="T8" s="7" t="n">
        <x:f>CHOOSE(R22+1,92)</x:f>
        <x:v>92</x:v>
      </x:c>
      <x:c r="U8" s="2"/>
      <x:c r="V8" s="2"/>
      <x:c r="W8" s="2"/>
      <x:c r="X8" s="2"/>
      <x:c r="Y8" s="2"/>
      <x:c r="Z8" s="2"/>
      <x:c r="AA8" s="38" t="n">
        <x:f>IF($R$30=1,SUM(AB8:AD8)*(93)/1073741824,NA())</x:f>
        <x:v>0.0012416839599609375</x:v>
      </x:c>
      <x:c r="AB8" s="39" t="n">
        <x:f>(1/M8)*ROUNDUP((7168)*VLOOKUP(D8,$Q$32:$R$38,2,FALSE),0)</x:f>
        <x:v>14336</x:v>
      </x:c>
      <x:c r="AC8" s="39" t="n">
        <x:f>IF(OR(D8="MXFP4",D8="MXFP8"),(1/M8)*ROUNDUP((7168)/32,0),0)</x:f>
        <x:v>0</x:v>
      </x:c>
      <x:c r="AD8" s="39" t="n">
        <x:f>IF(D8="INT8",(1/M8)*8,IF(D8="INT4",(1/M8)*16,0))</x:f>
        <x:v>0</x:v>
      </x:c>
      <x:c r="AE8" s="39" t="n">
        <x:f>(1)*ROUNDUP((7168)*VLOOKUP(D8,$Q$32:$R$38,2,FALSE),0)</x:f>
        <x:v>14336</x:v>
      </x:c>
      <x:c r="AF8" s="39" t="n">
        <x:f>IF(OR(D8="MXFP4",D8="MXFP8"),(1)*ROUNDUP((7168)/32,0),0)</x:f>
        <x:v>0</x:v>
      </x:c>
      <x:c r="AG8" s="39" t="n">
        <x:f>IF(D8="INT8",(1)*8,IF(D8="INT4",(1)*16,0))</x:f>
        <x:v>0</x:v>
      </x:c>
    </x:row>
    <x:row r="9" ht="18" customHeight="1">
      <x:c r="A9" s="7" t="str">
        <x:v>Decoder common</x:v>
      </x:c>
      <x:c r="B9" s="7" t="str">
        <x:v>mlp_res_proj.weight</x:v>
      </x:c>
      <x:c r="C9" s="7" t="str">
        <x:v>[1,7168]</x:v>
      </x:c>
      <x:c r="D9" s="10" t="str">
        <x:v>BF16</x:v>
      </x:c>
      <x:c r="E9" s="34" t="n">
        <x:v>93</x:v>
      </x:c>
      <x:c r="F9" s="34" t="n">
        <x:f>(1)*(7168)</x:f>
        <x:v>7168</x:v>
      </x:c>
      <x:c r="G9" s="7" t="str">
        <x:v>Replicated</x:v>
      </x:c>
      <x:c r="H9" s="7" t="str">
        <x:v>None</x:v>
      </x:c>
      <x:c r="I9" s="7" t="str">
        <x:v>否</x:v>
      </x:c>
      <x:c r="J9" s="44" t="n">
        <x:f>E9*SUM(AE9:AG9)/1073741824</x:f>
        <x:v>0.0012416839599609375</x:v>
      </x:c>
      <x:c r="K9" s="44" t="n">
        <x:f>AA9</x:f>
        <x:v>0.0012416839599609375</x:v>
      </x:c>
      <x:c r="L9" s="7" t="str">
        <x:f>IF(OR(D9="MXFP4",D9="MXFP8"),"group 32 / E8M0",IF(D9="INT8","channel / 8 B",IF(D9="INT4","channel / 16 B","")))</x:f>
      </x:c>
      <x:c r="M9" s="45" t="n">
        <x:f>1</x:f>
        <x:v>1</x:v>
      </x:c>
      <x:c r="N9" s="7" t="str">
        <x:f>"["&amp;(1/M9)&amp;","&amp;(7168)&amp;"]"</x:f>
        <x:v>[1,7168]</x:v>
      </x:c>
      <x:c r="O9" s="34" t="n">
        <x:f>CHOOSE($R$22+1,93)</x:f>
        <x:v>93</x:v>
      </x:c>
      <x:c r="P9" s="2"/>
      <x:c r="Q9" s="7" t="str">
        <x:v>EP</x:v>
      </x:c>
      <x:c r="R9" s="14" t="n">
        <x:v>128</x:v>
      </x:c>
      <x:c r="S9" s="7" t="str">
        <x:v>Routed experts / layer</x:v>
      </x:c>
      <x:c r="T9" s="7" t="n">
        <x:v>896</x:v>
      </x:c>
      <x:c r="U9" s="2"/>
      <x:c r="V9" s="2"/>
      <x:c r="W9" s="2"/>
      <x:c r="X9" s="2"/>
      <x:c r="Y9" s="2"/>
      <x:c r="Z9" s="2"/>
      <x:c r="AA9" s="38" t="n">
        <x:f>IF($R$30=1,SUM(AB9:AD9)*(93)/1073741824,NA())</x:f>
        <x:v>0.0012416839599609375</x:v>
      </x:c>
      <x:c r="AB9" s="39" t="n">
        <x:f>(1/M9)*ROUNDUP((7168)*VLOOKUP(D9,$Q$32:$R$38,2,FALSE),0)</x:f>
        <x:v>14336</x:v>
      </x:c>
      <x:c r="AC9" s="39" t="n">
        <x:f>IF(OR(D9="MXFP4",D9="MXFP8"),(1/M9)*ROUNDUP((7168)/32,0),0)</x:f>
        <x:v>0</x:v>
      </x:c>
      <x:c r="AD9" s="39" t="n">
        <x:f>IF(D9="INT8",(1/M9)*8,IF(D9="INT4",(1/M9)*16,0))</x:f>
        <x:v>0</x:v>
      </x:c>
      <x:c r="AE9" s="39" t="n">
        <x:f>(1)*ROUNDUP((7168)*VLOOKUP(D9,$Q$32:$R$38,2,FALSE),0)</x:f>
        <x:v>14336</x:v>
      </x:c>
      <x:c r="AF9" s="39" t="n">
        <x:f>IF(OR(D9="MXFP4",D9="MXFP8"),(1)*ROUNDUP((7168)/32,0),0)</x:f>
        <x:v>0</x:v>
      </x:c>
      <x:c r="AG9" s="39" t="n">
        <x:f>IF(D9="INT8",(1)*8,IF(D9="INT4",(1)*16,0))</x:f>
        <x:v>0</x:v>
      </x:c>
    </x:row>
    <x:row r="10" ht="18" customHeight="1">
      <x:c r="A10" s="7" t="str">
        <x:v>Decoder common</x:v>
      </x:c>
      <x:c r="B10" s="7" t="str">
        <x:v>final_norm.weight</x:v>
      </x:c>
      <x:c r="C10" s="7" t="str">
        <x:v>[7168]</x:v>
      </x:c>
      <x:c r="D10" s="10" t="str">
        <x:v>BF16</x:v>
      </x:c>
      <x:c r="E10" s="34" t="n">
        <x:v>1</x:v>
      </x:c>
      <x:c r="F10" s="34" t="n">
        <x:f>(7168)</x:f>
        <x:v>7168</x:v>
      </x:c>
      <x:c r="G10" s="7" t="str">
        <x:v>Replicated</x:v>
      </x:c>
      <x:c r="H10" s="7" t="str">
        <x:v>None</x:v>
      </x:c>
      <x:c r="I10" s="7" t="str">
        <x:v>否</x:v>
      </x:c>
      <x:c r="J10" s="44" t="n">
        <x:f>E10*SUM(AE10:AG10)/1073741824</x:f>
        <x:v>0.0000133514404296875</x:v>
      </x:c>
      <x:c r="K10" s="44" t="n">
        <x:f>AA10</x:f>
        <x:v>0.0000133514404296875</x:v>
      </x:c>
      <x:c r="L10" s="7" t="str">
        <x:f>IF(OR(D10="MXFP4",D10="MXFP8"),"group 32 / E8M0",IF(D10="INT8","channel / 8 B",IF(D10="INT4","channel / 16 B","")))</x:f>
      </x:c>
      <x:c r="M10" s="45" t="n">
        <x:f>1</x:f>
        <x:v>1</x:v>
      </x:c>
      <x:c r="N10" s="7" t="str">
        <x:f>"["&amp;(7168/M10)&amp;"]"</x:f>
        <x:v>[7168]</x:v>
      </x:c>
      <x:c r="O10" s="34" t="n">
        <x:f>CHOOSE($R$22+1,1)</x:f>
        <x:v>1</x:v>
      </x:c>
      <x:c r="P10" s="2"/>
      <x:c r="Q10" s="7" t="str">
        <x:v>共享专家 TP</x:v>
      </x:c>
      <x:c r="R10" s="14" t="n">
        <x:v>16</x:v>
      </x:c>
      <x:c r="S10" s="7" t="str">
        <x:v>Shared experts / layer</x:v>
      </x:c>
      <x:c r="T10" s="7" t="n">
        <x:v>2</x:v>
      </x:c>
      <x:c r="U10" s="2"/>
      <x:c r="V10" s="2"/>
      <x:c r="W10" s="2"/>
      <x:c r="X10" s="2"/>
      <x:c r="Y10" s="2"/>
      <x:c r="Z10" s="2"/>
      <x:c r="AA10" s="38" t="n">
        <x:f>IF($R$30=1,SUM(AB10:AD10)*(1)/1073741824,NA())</x:f>
        <x:v>0.0000133514404296875</x:v>
      </x:c>
      <x:c r="AB10" s="39" t="n">
        <x:f>1*ROUNDUP((7168/M10)*VLOOKUP(D10,$Q$32:$R$38,2,FALSE),0)</x:f>
        <x:v>14336</x:v>
      </x:c>
      <x:c r="AC10" s="39" t="n">
        <x:f>IF(OR(D10="MXFP4",D10="MXFP8"),1*ROUNDUP((7168/M10)/32,0),0)</x:f>
        <x:v>0</x:v>
      </x:c>
      <x:c r="AD10" s="39" t="n">
        <x:f>IF(D10="INT8",(7168/M10)*8,IF(D10="INT4",(7168/M10)*16,0))</x:f>
        <x:v>0</x:v>
      </x:c>
      <x:c r="AE10" s="39" t="n">
        <x:f>1*ROUNDUP((7168)*VLOOKUP(D10,$Q$32:$R$38,2,FALSE),0)</x:f>
        <x:v>14336</x:v>
      </x:c>
      <x:c r="AF10" s="39" t="n">
        <x:f>IF(OR(D10="MXFP4",D10="MXFP8"),1*ROUNDUP((7168)/32,0),0)</x:f>
        <x:v>0</x:v>
      </x:c>
      <x:c r="AG10" s="39" t="n">
        <x:f>IF(D10="INT8",(7168)*8,IF(D10="INT4",(7168)*16,0))</x:f>
        <x:v>0</x:v>
      </x:c>
    </x:row>
    <x:row r="11" ht="18" customHeight="1">
      <x:c r="A11" s="7" t="str">
        <x:v>Decoder common</x:v>
      </x:c>
      <x:c r="B11" s="7" t="str">
        <x:v>output_attn_res_norm.weight</x:v>
      </x:c>
      <x:c r="C11" s="7" t="str">
        <x:v>[7168]</x:v>
      </x:c>
      <x:c r="D11" s="10" t="str">
        <x:v>BF16</x:v>
      </x:c>
      <x:c r="E11" s="34" t="n">
        <x:v>1</x:v>
      </x:c>
      <x:c r="F11" s="34" t="n">
        <x:f>(7168)</x:f>
        <x:v>7168</x:v>
      </x:c>
      <x:c r="G11" s="7" t="str">
        <x:v>Replicated</x:v>
      </x:c>
      <x:c r="H11" s="7" t="str">
        <x:v>None</x:v>
      </x:c>
      <x:c r="I11" s="7" t="str">
        <x:v>否</x:v>
      </x:c>
      <x:c r="J11" s="44" t="n">
        <x:f>E11*SUM(AE11:AG11)/1073741824</x:f>
        <x:v>0.0000133514404296875</x:v>
      </x:c>
      <x:c r="K11" s="44" t="n">
        <x:f>AA11</x:f>
        <x:v>0.0000133514404296875</x:v>
      </x:c>
      <x:c r="L11" s="7" t="str">
        <x:f>IF(OR(D11="MXFP4",D11="MXFP8"),"group 32 / E8M0",IF(D11="INT8","channel / 8 B",IF(D11="INT4","channel / 16 B","")))</x:f>
      </x:c>
      <x:c r="M11" s="45" t="n">
        <x:f>1</x:f>
        <x:v>1</x:v>
      </x:c>
      <x:c r="N11" s="7" t="str">
        <x:f>"["&amp;(7168/M11)&amp;"]"</x:f>
        <x:v>[7168]</x:v>
      </x:c>
      <x:c r="O11" s="34" t="n">
        <x:f>CHOOSE($R$22+1,1)</x:f>
        <x:v>1</x:v>
      </x:c>
      <x:c r="P11" s="2"/>
      <x:c r="Q11" s="7" t="str">
        <x:v>DSA CP</x:v>
      </x:c>
      <x:c r="R11" s="15" t="n">
        <x:v>1</x:v>
      </x:c>
      <x:c r="S11" s="7" t="str">
        <x:v>MLA latent dim</x:v>
      </x:c>
      <x:c r="T11" s="7" t="n">
        <x:v>512</x:v>
      </x:c>
      <x:c r="U11" s="2"/>
      <x:c r="V11" s="2"/>
      <x:c r="W11" s="2"/>
      <x:c r="X11" s="2"/>
      <x:c r="Y11" s="2"/>
      <x:c r="Z11" s="2"/>
      <x:c r="AA11" s="38" t="n">
        <x:f>IF($R$30=1,SUM(AB11:AD11)*(1)/1073741824,NA())</x:f>
        <x:v>0.0000133514404296875</x:v>
      </x:c>
      <x:c r="AB11" s="39" t="n">
        <x:f>1*ROUNDUP((7168/M11)*VLOOKUP(D11,$Q$32:$R$38,2,FALSE),0)</x:f>
        <x:v>14336</x:v>
      </x:c>
      <x:c r="AC11" s="39" t="n">
        <x:f>IF(OR(D11="MXFP4",D11="MXFP8"),1*ROUNDUP((7168/M11)/32,0),0)</x:f>
        <x:v>0</x:v>
      </x:c>
      <x:c r="AD11" s="39" t="n">
        <x:f>IF(D11="INT8",(7168/M11)*8,IF(D11="INT4",(7168/M11)*16,0))</x:f>
        <x:v>0</x:v>
      </x:c>
      <x:c r="AE11" s="39" t="n">
        <x:f>1*ROUNDUP((7168)*VLOOKUP(D11,$Q$32:$R$38,2,FALSE),0)</x:f>
        <x:v>14336</x:v>
      </x:c>
      <x:c r="AF11" s="39" t="n">
        <x:f>IF(OR(D11="MXFP4",D11="MXFP8"),1*ROUNDUP((7168)/32,0),0)</x:f>
        <x:v>0</x:v>
      </x:c>
      <x:c r="AG11" s="39" t="n">
        <x:f>IF(D11="INT8",(7168)*8,IF(D11="INT4",(7168)*16,0))</x:f>
        <x:v>0</x:v>
      </x:c>
    </x:row>
    <x:row r="12" ht="18" customHeight="1">
      <x:c r="A12" s="7" t="str">
        <x:v>Decoder common</x:v>
      </x:c>
      <x:c r="B12" s="7" t="str">
        <x:v>output_attn_res_proj.weight</x:v>
      </x:c>
      <x:c r="C12" s="7" t="str">
        <x:v>[1,7168]</x:v>
      </x:c>
      <x:c r="D12" s="10" t="str">
        <x:v>BF16</x:v>
      </x:c>
      <x:c r="E12" s="34" t="n">
        <x:v>1</x:v>
      </x:c>
      <x:c r="F12" s="34" t="n">
        <x:f>(1)*(7168)</x:f>
        <x:v>7168</x:v>
      </x:c>
      <x:c r="G12" s="7" t="str">
        <x:v>Replicated</x:v>
      </x:c>
      <x:c r="H12" s="7" t="str">
        <x:v>None</x:v>
      </x:c>
      <x:c r="I12" s="7" t="str">
        <x:v>否</x:v>
      </x:c>
      <x:c r="J12" s="44" t="n">
        <x:f>E12*SUM(AE12:AG12)/1073741824</x:f>
        <x:v>0.0000133514404296875</x:v>
      </x:c>
      <x:c r="K12" s="44" t="n">
        <x:f>AA12</x:f>
        <x:v>0.0000133514404296875</x:v>
      </x:c>
      <x:c r="L12" s="7" t="str">
        <x:f>IF(OR(D12="MXFP4",D12="MXFP8"),"group 32 / E8M0",IF(D12="INT8","channel / 8 B",IF(D12="INT4","channel / 16 B","")))</x:f>
      </x:c>
      <x:c r="M12" s="45" t="n">
        <x:f>1</x:f>
        <x:v>1</x:v>
      </x:c>
      <x:c r="N12" s="7" t="str">
        <x:f>"["&amp;(1/M12)&amp;","&amp;(7168)&amp;"]"</x:f>
        <x:v>[1,7168]</x:v>
      </x:c>
      <x:c r="O12" s="34" t="n">
        <x:f>CHOOSE($R$22+1,1)</x:f>
        <x:v>1</x:v>
      </x:c>
      <x:c r="P12" s="2"/>
      <x:c r="Q12" s="7" t="str">
        <x:v>DCP</x:v>
      </x:c>
      <x:c r="R12" s="15" t="n">
        <x:v>1</x:v>
      </x:c>
      <x:c r="S12" s="7" t="str">
        <x:v>RoPE dim</x:v>
      </x:c>
      <x:c r="T12" s="7" t="n">
        <x:v>64</x:v>
      </x:c>
      <x:c r="U12" s="2"/>
      <x:c r="V12" s="2"/>
      <x:c r="W12" s="2"/>
      <x:c r="X12" s="2"/>
      <x:c r="Y12" s="2"/>
      <x:c r="Z12" s="2"/>
      <x:c r="AA12" s="38" t="n">
        <x:f>IF($R$30=1,SUM(AB12:AD12)*(1)/1073741824,NA())</x:f>
        <x:v>0.0000133514404296875</x:v>
      </x:c>
      <x:c r="AB12" s="39" t="n">
        <x:f>(1/M12)*ROUNDUP((7168)*VLOOKUP(D12,$Q$32:$R$38,2,FALSE),0)</x:f>
        <x:v>14336</x:v>
      </x:c>
      <x:c r="AC12" s="39" t="n">
        <x:f>IF(OR(D12="MXFP4",D12="MXFP8"),(1/M12)*ROUNDUP((7168)/32,0),0)</x:f>
        <x:v>0</x:v>
      </x:c>
      <x:c r="AD12" s="39" t="n">
        <x:f>IF(D12="INT8",(1/M12)*8,IF(D12="INT4",(1/M12)*16,0))</x:f>
        <x:v>0</x:v>
      </x:c>
      <x:c r="AE12" s="39" t="n">
        <x:f>(1)*ROUNDUP((7168)*VLOOKUP(D12,$Q$32:$R$38,2,FALSE),0)</x:f>
        <x:v>14336</x:v>
      </x:c>
      <x:c r="AF12" s="39" t="n">
        <x:f>IF(OR(D12="MXFP4",D12="MXFP8"),(1)*ROUNDUP((7168)/32,0),0)</x:f>
        <x:v>0</x:v>
      </x:c>
      <x:c r="AG12" s="39" t="n">
        <x:f>IF(D12="INT8",(1)*8,IF(D12="INT4",(1)*16,0))</x:f>
        <x:v>0</x:v>
      </x:c>
    </x:row>
    <x:row r="13" ht="18" customHeight="1">
      <x:c r="A13" s="48" t="str">
        <x:v>Dense MLP</x:v>
      </x:c>
      <x:c r="B13" s="48" t="str">
        <x:v>gate_proj.weight</x:v>
      </x:c>
      <x:c r="C13" s="48" t="str">
        <x:v>[33792,7168]</x:v>
      </x:c>
      <x:c r="D13" s="49" t="str">
        <x:v>BF16</x:v>
      </x:c>
      <x:c r="E13" s="50" t="n">
        <x:v>1</x:v>
      </x:c>
      <x:c r="F13" s="50" t="n">
        <x:f>(33792)*(7168)</x:f>
        <x:v>242221056</x:v>
      </x:c>
      <x:c r="G13" s="48" t="str">
        <x:v>Other TP</x:v>
      </x:c>
      <x:c r="H13" s="48" t="str">
        <x:v>None</x:v>
      </x:c>
      <x:c r="I13" s="48" t="str">
        <x:v>否</x:v>
      </x:c>
      <x:c r="J13" s="51" t="n">
        <x:f>E13*SUM(AE13:AG13)/1073741824</x:f>
        <x:v>0.451171875</x:v>
      </x:c>
      <x:c r="K13" s="51" t="n">
        <x:f>AA13</x:f>
        <x:v>0.0281982421875</x:v>
      </x:c>
      <x:c r="L13" s="48" t="str">
        <x:f>IF(OR(D13="MXFP4",D13="MXFP8"),"group 32 / E8M0",IF(D13="INT8","channel / 8 B",IF(D13="INT4","channel / 16 B","")))</x:f>
      </x:c>
      <x:c r="M13" s="52" t="n">
        <x:f>$R$8</x:f>
        <x:v>16</x:v>
      </x:c>
      <x:c r="N13" s="48" t="str">
        <x:f>"["&amp;(33792/M13)&amp;","&amp;(7168)&amp;"]"</x:f>
        <x:v>[2112,7168]</x:v>
      </x:c>
      <x:c r="O13" s="50" t="n">
        <x:f>CHOOSE($R$22+1,1)</x:f>
        <x:v>1</x:v>
      </x:c>
      <x:c r="P13" s="2"/>
      <x:c r="Q13" s="7" t="str">
        <x:v>MLA cache dtype</x:v>
      </x:c>
      <x:c r="R13" s="17" t="str">
        <x:v>BF16</x:v>
      </x:c>
      <x:c r="S13" s="7" t="str">
        <x:v>Indexer key dim</x:v>
      </x:c>
      <x:c r="T13" s="7" t="n">
        <x:v>0</x:v>
      </x:c>
      <x:c r="U13" s="2"/>
      <x:c r="V13" s="2"/>
      <x:c r="W13" s="2"/>
      <x:c r="X13" s="2"/>
      <x:c r="Y13" s="2"/>
      <x:c r="Z13" s="2"/>
      <x:c r="AA13" s="38" t="n">
        <x:f>IF($R$30=1,SUM(AB13:AD13)*(1)/1073741824,NA())</x:f>
        <x:v>0.0281982421875</x:v>
      </x:c>
      <x:c r="AB13" s="39" t="n">
        <x:f>(33792/M13)*ROUNDUP((7168)*VLOOKUP(D13,$Q$32:$R$38,2,FALSE),0)</x:f>
        <x:v>30277632</x:v>
      </x:c>
      <x:c r="AC13" s="39" t="n">
        <x:f>IF(OR(D13="MXFP4",D13="MXFP8"),(33792/M13)*ROUNDUP((7168)/32,0),0)</x:f>
        <x:v>0</x:v>
      </x:c>
      <x:c r="AD13" s="39" t="n">
        <x:f>IF(D13="INT8",(33792/M13)*8,IF(D13="INT4",(33792/M13)*16,0))</x:f>
        <x:v>0</x:v>
      </x:c>
      <x:c r="AE13" s="39" t="n">
        <x:f>(33792)*ROUNDUP((7168)*VLOOKUP(D13,$Q$32:$R$38,2,FALSE),0)</x:f>
        <x:v>484442112</x:v>
      </x:c>
      <x:c r="AF13" s="39" t="n">
        <x:f>IF(OR(D13="MXFP4",D13="MXFP8"),(33792)*ROUNDUP((7168)/32,0),0)</x:f>
        <x:v>0</x:v>
      </x:c>
      <x:c r="AG13" s="39" t="n">
        <x:f>IF(D13="INT8",(33792)*8,IF(D13="INT4",(33792)*16,0))</x:f>
        <x:v>0</x:v>
      </x:c>
    </x:row>
    <x:row r="14" ht="18" customHeight="1">
      <x:c r="A14" s="7" t="str">
        <x:v>Dense MLP</x:v>
      </x:c>
      <x:c r="B14" s="7" t="str">
        <x:v>up_proj.weight</x:v>
      </x:c>
      <x:c r="C14" s="7" t="str">
        <x:v>[33792,7168]</x:v>
      </x:c>
      <x:c r="D14" s="10" t="str">
        <x:v>BF16</x:v>
      </x:c>
      <x:c r="E14" s="34" t="n">
        <x:v>1</x:v>
      </x:c>
      <x:c r="F14" s="34" t="n">
        <x:f>(33792)*(7168)</x:f>
        <x:v>242221056</x:v>
      </x:c>
      <x:c r="G14" s="7" t="str">
        <x:v>Other TP</x:v>
      </x:c>
      <x:c r="H14" s="7" t="str">
        <x:v>None</x:v>
      </x:c>
      <x:c r="I14" s="7" t="str">
        <x:v>否</x:v>
      </x:c>
      <x:c r="J14" s="44" t="n">
        <x:f>E14*SUM(AE14:AG14)/1073741824</x:f>
        <x:v>0.451171875</x:v>
      </x:c>
      <x:c r="K14" s="44" t="n">
        <x:f>AA14</x:f>
        <x:v>0.0281982421875</x:v>
      </x:c>
      <x:c r="L14" s="7" t="str">
        <x:f>IF(OR(D14="MXFP4",D14="MXFP8"),"group 32 / E8M0",IF(D14="INT8","channel / 8 B",IF(D14="INT4","channel / 16 B","")))</x:f>
      </x:c>
      <x:c r="M14" s="45" t="n">
        <x:f>$R$8</x:f>
        <x:v>16</x:v>
      </x:c>
      <x:c r="N14" s="7" t="str">
        <x:f>"["&amp;(33792/M14)&amp;","&amp;(7168)&amp;"]"</x:f>
        <x:v>[2112,7168]</x:v>
      </x:c>
      <x:c r="O14" s="34" t="n">
        <x:f>CHOOSE($R$22+1,1)</x:f>
        <x:v>1</x:v>
      </x:c>
      <x:c r="P14" s="2"/>
      <x:c r="Q14" s="7" t="str">
        <x:v>Indexer cache dtype</x:v>
      </x:c>
      <x:c r="R14" s="17" t="str">
        <x:v>BF16</x:v>
      </x:c>
      <x:c r="S14" s="7" t="str">
        <x:v>Conv kernel</x:v>
      </x:c>
      <x:c r="T14" s="7" t="n">
        <x:v>4</x:v>
      </x:c>
      <x:c r="U14" s="2"/>
      <x:c r="V14" s="2"/>
      <x:c r="W14" s="2"/>
      <x:c r="X14" s="2"/>
      <x:c r="Y14" s="2"/>
      <x:c r="Z14" s="2"/>
      <x:c r="AA14" s="38" t="n">
        <x:f>IF($R$30=1,SUM(AB14:AD14)*(1)/1073741824,NA())</x:f>
        <x:v>0.0281982421875</x:v>
      </x:c>
      <x:c r="AB14" s="39" t="n">
        <x:f>(33792/M14)*ROUNDUP((7168)*VLOOKUP(D14,$Q$32:$R$38,2,FALSE),0)</x:f>
        <x:v>30277632</x:v>
      </x:c>
      <x:c r="AC14" s="39" t="n">
        <x:f>IF(OR(D14="MXFP4",D14="MXFP8"),(33792/M14)*ROUNDUP((7168)/32,0),0)</x:f>
        <x:v>0</x:v>
      </x:c>
      <x:c r="AD14" s="39" t="n">
        <x:f>IF(D14="INT8",(33792/M14)*8,IF(D14="INT4",(33792/M14)*16,0))</x:f>
        <x:v>0</x:v>
      </x:c>
      <x:c r="AE14" s="39" t="n">
        <x:f>(33792)*ROUNDUP((7168)*VLOOKUP(D14,$Q$32:$R$38,2,FALSE),0)</x:f>
        <x:v>484442112</x:v>
      </x:c>
      <x:c r="AF14" s="39" t="n">
        <x:f>IF(OR(D14="MXFP4",D14="MXFP8"),(33792)*ROUNDUP((7168)/32,0),0)</x:f>
        <x:v>0</x:v>
      </x:c>
      <x:c r="AG14" s="39" t="n">
        <x:f>IF(D14="INT8",(33792)*8,IF(D14="INT4",(33792)*16,0))</x:f>
        <x:v>0</x:v>
      </x:c>
    </x:row>
    <x:row r="15" ht="18" customHeight="1">
      <x:c r="A15" s="7" t="str">
        <x:v>Dense MLP</x:v>
      </x:c>
      <x:c r="B15" s="7" t="str">
        <x:v>down_proj.weight</x:v>
      </x:c>
      <x:c r="C15" s="7" t="str">
        <x:v>[7168,33792]</x:v>
      </x:c>
      <x:c r="D15" s="10" t="str">
        <x:v>BF16</x:v>
      </x:c>
      <x:c r="E15" s="34" t="n">
        <x:v>1</x:v>
      </x:c>
      <x:c r="F15" s="34" t="n">
        <x:f>(7168)*(33792)</x:f>
        <x:v>242221056</x:v>
      </x:c>
      <x:c r="G15" s="7" t="str">
        <x:v>Other TP</x:v>
      </x:c>
      <x:c r="H15" s="7" t="str">
        <x:v>None</x:v>
      </x:c>
      <x:c r="I15" s="7" t="str">
        <x:v>否</x:v>
      </x:c>
      <x:c r="J15" s="44" t="n">
        <x:f>E15*SUM(AE15:AG15)/1073741824</x:f>
        <x:v>0.451171875</x:v>
      </x:c>
      <x:c r="K15" s="44" t="n">
        <x:f>AA15</x:f>
        <x:v>0.0281982421875</x:v>
      </x:c>
      <x:c r="L15" s="7" t="str">
        <x:f>IF(OR(D15="MXFP4",D15="MXFP8"),"group 32 / E8M0",IF(D15="INT8","channel / 8 B",IF(D15="INT4","channel / 16 B","")))</x:f>
      </x:c>
      <x:c r="M15" s="45" t="n">
        <x:f>$R$8</x:f>
        <x:v>16</x:v>
      </x:c>
      <x:c r="N15" s="7" t="str">
        <x:f>"["&amp;(7168)&amp;","&amp;(33792/M15)&amp;"]"</x:f>
        <x:v>[7168,2112]</x:v>
      </x:c>
      <x:c r="O15" s="34" t="n">
        <x:f>CHOOSE($R$22+1,1)</x:f>
        <x:v>1</x:v>
      </x:c>
      <x:c r="P15" s="2"/>
      <x:c r="Q15" s="7" t="str">
        <x:v>Indexer scale bytes</x:v>
      </x:c>
      <x:c r="R15" s="15" t="n">
        <x:f>0</x:f>
        <x:v>0</x:v>
      </x:c>
      <x:c r="S15" s="7" t="str">
        <x:v>Cache block size</x:v>
      </x:c>
      <x:c r="T15" s="7" t="n">
        <x:f>R19</x:f>
        <x:v>128</x:v>
      </x:c>
      <x:c r="U15" s="2"/>
      <x:c r="V15" s="2"/>
      <x:c r="W15" s="2"/>
      <x:c r="X15" s="2"/>
      <x:c r="Y15" s="2"/>
      <x:c r="Z15" s="2"/>
      <x:c r="AA15" s="38" t="n">
        <x:f>IF($R$30=1,SUM(AB15:AD15)*(1)/1073741824,NA())</x:f>
        <x:v>0.0281982421875</x:v>
      </x:c>
      <x:c r="AB15" s="39" t="n">
        <x:f>(7168)*ROUNDUP((33792/M15)*VLOOKUP(D15,$Q$32:$R$38,2,FALSE),0)</x:f>
        <x:v>30277632</x:v>
      </x:c>
      <x:c r="AC15" s="39" t="n">
        <x:f>IF(OR(D15="MXFP4",D15="MXFP8"),(7168)*ROUNDUP((33792/M15)/32,0),0)</x:f>
        <x:v>0</x:v>
      </x:c>
      <x:c r="AD15" s="39" t="n">
        <x:f>IF(D15="INT8",(7168)*8,IF(D15="INT4",(7168)*16,0))</x:f>
        <x:v>0</x:v>
      </x:c>
      <x:c r="AE15" s="39" t="n">
        <x:f>(7168)*ROUNDUP((33792)*VLOOKUP(D15,$Q$32:$R$38,2,FALSE),0)</x:f>
        <x:v>484442112</x:v>
      </x:c>
      <x:c r="AF15" s="39" t="n">
        <x:f>IF(OR(D15="MXFP4",D15="MXFP8"),(7168)*ROUNDUP((33792)/32,0),0)</x:f>
        <x:v>0</x:v>
      </x:c>
      <x:c r="AG15" s="39" t="n">
        <x:f>IF(D15="INT8",(7168)*8,IF(D15="INT4",(7168)*16,0))</x:f>
        <x:v>0</x:v>
      </x:c>
    </x:row>
    <x:row r="16" ht="18" customHeight="1">
      <x:c r="A16" s="48" t="str">
        <x:v>KDA</x:v>
      </x:c>
      <x:c r="B16" s="48" t="str">
        <x:v>q_proj</x:v>
      </x:c>
      <x:c r="C16" s="48" t="str">
        <x:v>[12288,7168]</x:v>
      </x:c>
      <x:c r="D16" s="49" t="str">
        <x:v>BF16</x:v>
      </x:c>
      <x:c r="E16" s="50" t="n">
        <x:v>69</x:v>
      </x:c>
      <x:c r="F16" s="50" t="n">
        <x:f>(12288)*(7168)</x:f>
        <x:v>88080384</x:v>
      </x:c>
      <x:c r="G16" s="48" t="str">
        <x:v>KDA TP</x:v>
      </x:c>
      <x:c r="H16" s="48" t="str">
        <x:v>None</x:v>
      </x:c>
      <x:c r="I16" s="48" t="str">
        <x:v>否</x:v>
      </x:c>
      <x:c r="J16" s="51" t="n">
        <x:f>E16*SUM(AE16:AG16)/1073741824</x:f>
        <x:v>11.3203125</x:v>
      </x:c>
      <x:c r="K16" s="51" t="n">
        <x:f>AA16</x:f>
        <x:v>0.70751953125</x:v>
      </x:c>
      <x:c r="L16" s="48" t="str">
        <x:f>IF(OR(D16="MXFP4",D16="MXFP8"),"group 32 / E8M0",IF(D16="INT8","channel / 8 B",IF(D16="INT4","channel / 16 B","")))</x:f>
      </x:c>
      <x:c r="M16" s="52" t="n">
        <x:f>$R$2</x:f>
        <x:v>16</x:v>
      </x:c>
      <x:c r="N16" s="48" t="str">
        <x:f>"["&amp;(12288/M16)&amp;","&amp;(7168)&amp;"]"</x:f>
        <x:v>[768,7168]</x:v>
      </x:c>
      <x:c r="O16" s="50" t="n">
        <x:f>CHOOSE($R$22+1,69)</x:f>
        <x:v>69</x:v>
      </x:c>
      <x:c r="P16" s="2"/>
      <x:c r="Q16" s="7" t="str">
        <x:v>KDA conv bytes</x:v>
      </x:c>
      <x:c r="R16" s="14" t="n">
        <x:v>2</x:v>
      </x:c>
      <x:c r="S16" s="7" t="str">
        <x:v>单请求 token 数</x:v>
      </x:c>
      <x:c r="T16" s="7" t="n">
        <x:f>R18</x:f>
        <x:v>131072</x:v>
      </x:c>
      <x:c r="U16" s="2"/>
      <x:c r="V16" s="2"/>
      <x:c r="W16" s="2"/>
      <x:c r="X16" s="2"/>
      <x:c r="Y16" s="2"/>
      <x:c r="Z16" s="2"/>
      <x:c r="AA16" s="38" t="n">
        <x:f>IF($R$30=1,SUM(AB16:AD16)*(69)/1073741824,NA())</x:f>
        <x:v>0.70751953125</x:v>
      </x:c>
      <x:c r="AB16" s="39" t="n">
        <x:f>(12288/M16)*ROUNDUP((7168)*VLOOKUP(D16,$Q$32:$R$38,2,FALSE),0)</x:f>
        <x:v>11010048</x:v>
      </x:c>
      <x:c r="AC16" s="39" t="n">
        <x:f>IF(OR(D16="MXFP4",D16="MXFP8"),(12288/M16)*ROUNDUP((7168)/32,0),0)</x:f>
        <x:v>0</x:v>
      </x:c>
      <x:c r="AD16" s="39" t="n">
        <x:f>IF(D16="INT8",(12288/M16)*8,IF(D16="INT4",(12288/M16)*16,0))</x:f>
        <x:v>0</x:v>
      </x:c>
      <x:c r="AE16" s="39" t="n">
        <x:f>(12288)*ROUNDUP((7168)*VLOOKUP(D16,$Q$32:$R$38,2,FALSE),0)</x:f>
        <x:v>176160768</x:v>
      </x:c>
      <x:c r="AF16" s="39" t="n">
        <x:f>IF(OR(D16="MXFP4",D16="MXFP8"),(12288)*ROUNDUP((7168)/32,0),0)</x:f>
        <x:v>0</x:v>
      </x:c>
      <x:c r="AG16" s="39" t="n">
        <x:f>IF(D16="INT8",(12288)*8,IF(D16="INT4",(12288)*16,0))</x:f>
        <x:v>0</x:v>
      </x:c>
    </x:row>
    <x:row r="17" ht="18" customHeight="1">
      <x:c r="A17" s="7" t="str">
        <x:v>KDA</x:v>
      </x:c>
      <x:c r="B17" s="7" t="str">
        <x:v>k_proj</x:v>
      </x:c>
      <x:c r="C17" s="7" t="str">
        <x:v>[12288,7168]</x:v>
      </x:c>
      <x:c r="D17" s="10" t="str">
        <x:v>BF16</x:v>
      </x:c>
      <x:c r="E17" s="34" t="n">
        <x:v>69</x:v>
      </x:c>
      <x:c r="F17" s="34" t="n">
        <x:f>(12288)*(7168)</x:f>
        <x:v>88080384</x:v>
      </x:c>
      <x:c r="G17" s="7" t="str">
        <x:v>KDA TP</x:v>
      </x:c>
      <x:c r="H17" s="7" t="str">
        <x:v>None</x:v>
      </x:c>
      <x:c r="I17" s="7" t="str">
        <x:v>否</x:v>
      </x:c>
      <x:c r="J17" s="44" t="n">
        <x:f>E17*SUM(AE17:AG17)/1073741824</x:f>
        <x:v>11.3203125</x:v>
      </x:c>
      <x:c r="K17" s="44" t="n">
        <x:f>AA17</x:f>
        <x:v>0.70751953125</x:v>
      </x:c>
      <x:c r="L17" s="7" t="str">
        <x:f>IF(OR(D17="MXFP4",D17="MXFP8"),"group 32 / E8M0",IF(D17="INT8","channel / 8 B",IF(D17="INT4","channel / 16 B","")))</x:f>
      </x:c>
      <x:c r="M17" s="45" t="n">
        <x:f>$R$2</x:f>
        <x:v>16</x:v>
      </x:c>
      <x:c r="N17" s="7" t="str">
        <x:f>"["&amp;(12288/M17)&amp;","&amp;(7168)&amp;"]"</x:f>
        <x:v>[768,7168]</x:v>
      </x:c>
      <x:c r="O17" s="34" t="n">
        <x:f>CHOOSE($R$22+1,69)</x:f>
        <x:v>69</x:v>
      </x:c>
      <x:c r="P17" s="2"/>
      <x:c r="Q17" s="7" t="str">
        <x:v>KDA recurrent bytes</x:v>
      </x:c>
      <x:c r="R17" s="14" t="n">
        <x:v>4</x:v>
      </x:c>
      <x:c r="S17" s="7" t="str">
        <x:v>阶段</x:v>
      </x:c>
      <x:c r="T17" s="7" t="str">
        <x:v>Prefill</x:v>
      </x:c>
      <x:c r="U17" s="2"/>
      <x:c r="V17" s="2"/>
      <x:c r="W17" s="2"/>
      <x:c r="X17" s="2"/>
      <x:c r="Y17" s="2"/>
      <x:c r="Z17" s="2"/>
      <x:c r="AA17" s="38" t="n">
        <x:f>IF($R$30=1,SUM(AB17:AD17)*(69)/1073741824,NA())</x:f>
        <x:v>0.70751953125</x:v>
      </x:c>
      <x:c r="AB17" s="39" t="n">
        <x:f>(12288/M17)*ROUNDUP((7168)*VLOOKUP(D17,$Q$32:$R$38,2,FALSE),0)</x:f>
        <x:v>11010048</x:v>
      </x:c>
      <x:c r="AC17" s="39" t="n">
        <x:f>IF(OR(D17="MXFP4",D17="MXFP8"),(12288/M17)*ROUNDUP((7168)/32,0),0)</x:f>
        <x:v>0</x:v>
      </x:c>
      <x:c r="AD17" s="39" t="n">
        <x:f>IF(D17="INT8",(12288/M17)*8,IF(D17="INT4",(12288/M17)*16,0))</x:f>
        <x:v>0</x:v>
      </x:c>
      <x:c r="AE17" s="39" t="n">
        <x:f>(12288)*ROUNDUP((7168)*VLOOKUP(D17,$Q$32:$R$38,2,FALSE),0)</x:f>
        <x:v>176160768</x:v>
      </x:c>
      <x:c r="AF17" s="39" t="n">
        <x:f>IF(OR(D17="MXFP4",D17="MXFP8"),(12288)*ROUNDUP((7168)/32,0),0)</x:f>
        <x:v>0</x:v>
      </x:c>
      <x:c r="AG17" s="39" t="n">
        <x:f>IF(D17="INT8",(12288)*8,IF(D17="INT4",(12288)*16,0))</x:f>
        <x:v>0</x:v>
      </x:c>
    </x:row>
    <x:row r="18" ht="18" customHeight="1">
      <x:c r="A18" s="7" t="str">
        <x:v>KDA</x:v>
      </x:c>
      <x:c r="B18" s="7" t="str">
        <x:v>v_proj</x:v>
      </x:c>
      <x:c r="C18" s="7" t="str">
        <x:v>[12288,7168]</x:v>
      </x:c>
      <x:c r="D18" s="10" t="str">
        <x:v>BF16</x:v>
      </x:c>
      <x:c r="E18" s="34" t="n">
        <x:v>69</x:v>
      </x:c>
      <x:c r="F18" s="34" t="n">
        <x:f>(12288)*(7168)</x:f>
        <x:v>88080384</x:v>
      </x:c>
      <x:c r="G18" s="7" t="str">
        <x:v>KDA TP</x:v>
      </x:c>
      <x:c r="H18" s="7" t="str">
        <x:v>None</x:v>
      </x:c>
      <x:c r="I18" s="7" t="str">
        <x:v>否</x:v>
      </x:c>
      <x:c r="J18" s="44" t="n">
        <x:f>E18*SUM(AE18:AG18)/1073741824</x:f>
        <x:v>11.3203125</x:v>
      </x:c>
      <x:c r="K18" s="44" t="n">
        <x:f>AA18</x:f>
        <x:v>0.70751953125</x:v>
      </x:c>
      <x:c r="L18" s="7" t="str">
        <x:f>IF(OR(D18="MXFP4",D18="MXFP8"),"group 32 / E8M0",IF(D18="INT8","channel / 8 B",IF(D18="INT4","channel / 16 B","")))</x:f>
      </x:c>
      <x:c r="M18" s="45" t="n">
        <x:f>$R$2</x:f>
        <x:v>16</x:v>
      </x:c>
      <x:c r="N18" s="7" t="str">
        <x:f>"["&amp;(12288/M18)&amp;","&amp;(7168)&amp;"]"</x:f>
        <x:v>[768,7168]</x:v>
      </x:c>
      <x:c r="O18" s="34" t="n">
        <x:f>CHOOSE($R$22+1,69)</x:f>
        <x:v>69</x:v>
      </x:c>
      <x:c r="P18" s="2"/>
      <x:c r="Q18" s="7" t="str">
        <x:v>单请求 token 数</x:v>
      </x:c>
      <x:c r="R18" s="14" t="n">
        <x:v>131072</x:v>
      </x:c>
      <x:c r="S18" s="7" t="str">
        <x:v>ViT</x:v>
      </x:c>
      <x:c r="T18" s="7" t="str">
        <x:v>包含</x:v>
      </x:c>
      <x:c r="U18" s="2"/>
      <x:c r="V18" s="2"/>
      <x:c r="W18" s="2"/>
      <x:c r="X18" s="2"/>
      <x:c r="Y18" s="2"/>
      <x:c r="Z18" s="2"/>
      <x:c r="AA18" s="38" t="n">
        <x:f>IF($R$30=1,SUM(AB18:AD18)*(69)/1073741824,NA())</x:f>
        <x:v>0.70751953125</x:v>
      </x:c>
      <x:c r="AB18" s="39" t="n">
        <x:f>(12288/M18)*ROUNDUP((7168)*VLOOKUP(D18,$Q$32:$R$38,2,FALSE),0)</x:f>
        <x:v>11010048</x:v>
      </x:c>
      <x:c r="AC18" s="39" t="n">
        <x:f>IF(OR(D18="MXFP4",D18="MXFP8"),(12288/M18)*ROUNDUP((7168)/32,0),0)</x:f>
        <x:v>0</x:v>
      </x:c>
      <x:c r="AD18" s="39" t="n">
        <x:f>IF(D18="INT8",(12288/M18)*8,IF(D18="INT4",(12288/M18)*16,0))</x:f>
        <x:v>0</x:v>
      </x:c>
      <x:c r="AE18" s="39" t="n">
        <x:f>(12288)*ROUNDUP((7168)*VLOOKUP(D18,$Q$32:$R$38,2,FALSE),0)</x:f>
        <x:v>176160768</x:v>
      </x:c>
      <x:c r="AF18" s="39" t="n">
        <x:f>IF(OR(D18="MXFP4",D18="MXFP8"),(12288)*ROUNDUP((7168)/32,0),0)</x:f>
        <x:v>0</x:v>
      </x:c>
      <x:c r="AG18" s="39" t="n">
        <x:f>IF(D18="INT8",(12288)*8,IF(D18="INT4",(12288)*16,0))</x:f>
        <x:v>0</x:v>
      </x:c>
    </x:row>
    <x:row r="19" ht="18" customHeight="1">
      <x:c r="A19" s="7" t="str">
        <x:v>KDA</x:v>
      </x:c>
      <x:c r="B19" s="7" t="str">
        <x:v>q_conv1d.weight</x:v>
      </x:c>
      <x:c r="C19" s="7" t="str">
        <x:v>[12288,1,4]</x:v>
      </x:c>
      <x:c r="D19" s="10" t="str">
        <x:v>FP32</x:v>
      </x:c>
      <x:c r="E19" s="34" t="n">
        <x:v>69</x:v>
      </x:c>
      <x:c r="F19" s="34" t="n">
        <x:f>(12288)*(1)*(4)</x:f>
        <x:v>49152</x:v>
      </x:c>
      <x:c r="G19" s="7" t="str">
        <x:v>KDA TP</x:v>
      </x:c>
      <x:c r="H19" s="7" t="str">
        <x:v>None</x:v>
      </x:c>
      <x:c r="I19" s="7" t="str">
        <x:v>否</x:v>
      </x:c>
      <x:c r="J19" s="44" t="n">
        <x:f>E19*SUM(AE19:AG19)/1073741824</x:f>
        <x:v>0.01263427734375</x:v>
      </x:c>
      <x:c r="K19" s="44" t="n">
        <x:f>AA19</x:f>
        <x:v>0.000789642333984375</x:v>
      </x:c>
      <x:c r="L19" s="7" t="str">
        <x:f>IF(OR(D19="MXFP4",D19="MXFP8"),"group 32 / E8M0",IF(D19="INT8","channel / 8 B",IF(D19="INT4","channel / 16 B","")))</x:f>
      </x:c>
      <x:c r="M19" s="45" t="n">
        <x:f>$R$2</x:f>
        <x:v>16</x:v>
      </x:c>
      <x:c r="N19" s="7" t="str">
        <x:f>"["&amp;(12288/M19)&amp;","&amp;(1)&amp;","&amp;(4)&amp;"]"</x:f>
        <x:v>[768,1,4]</x:v>
      </x:c>
      <x:c r="O19" s="34" t="n">
        <x:f>CHOOSE($R$22+1,69)</x:f>
        <x:v>69</x:v>
      </x:c>
      <x:c r="P19" s="2"/>
      <x:c r="Q19" s="7" t="str">
        <x:v>Cache block size</x:v>
      </x:c>
      <x:c r="R19" s="14" t="n">
        <x:v>128</x:v>
      </x:c>
      <x:c r="S19" s="7" t="str">
        <x:v>KDA local heads</x:v>
      </x:c>
      <x:c r="T19" s="7" t="n">
        <x:f>T4/R2</x:f>
        <x:v>6</x:v>
      </x:c>
      <x:c r="U19" s="2"/>
      <x:c r="V19" s="2"/>
      <x:c r="W19" s="2"/>
      <x:c r="X19" s="2"/>
      <x:c r="Y19" s="2"/>
      <x:c r="Z19" s="2"/>
      <x:c r="AA19" s="38" t="n">
        <x:f>IF($R$30=1,SUM(AB19:AD19)*(69)/1073741824,NA())</x:f>
        <x:v>0.000789642333984375</x:v>
      </x:c>
      <x:c r="AB19" s="39" t="n">
        <x:f>(12288/M19)*(1)*ROUNDUP((4)*VLOOKUP(D19,$Q$32:$R$38,2,FALSE),0)</x:f>
        <x:v>12288</x:v>
      </x:c>
      <x:c r="AC19" s="39" t="n">
        <x:f>IF(OR(D19="MXFP4",D19="MXFP8"),(12288/M19)*(1)*ROUNDUP((4)/32,0),0)</x:f>
        <x:v>0</x:v>
      </x:c>
      <x:c r="AD19" s="39" t="n">
        <x:f>IF(D19="INT8",(12288/M19)*8,IF(D19="INT4",(12288/M19)*16,0))</x:f>
        <x:v>0</x:v>
      </x:c>
      <x:c r="AE19" s="39" t="n">
        <x:f>(12288)*(1)*ROUNDUP((4)*VLOOKUP(D19,$Q$32:$R$38,2,FALSE),0)</x:f>
        <x:v>196608</x:v>
      </x:c>
      <x:c r="AF19" s="39" t="n">
        <x:f>IF(OR(D19="MXFP4",D19="MXFP8"),(12288)*(1)*ROUNDUP((4)/32,0),0)</x:f>
        <x:v>0</x:v>
      </x:c>
      <x:c r="AG19" s="39" t="n">
        <x:f>IF(D19="INT8",(12288)*8,IF(D19="INT4",(12288)*16,0))</x:f>
        <x:v>0</x:v>
      </x:c>
    </x:row>
    <x:row r="20" ht="18" customHeight="1">
      <x:c r="A20" s="7" t="str">
        <x:v>KDA</x:v>
      </x:c>
      <x:c r="B20" s="7" t="str">
        <x:v>k_conv1d.weight</x:v>
      </x:c>
      <x:c r="C20" s="7" t="str">
        <x:v>[12288,1,4]</x:v>
      </x:c>
      <x:c r="D20" s="10" t="str">
        <x:v>FP32</x:v>
      </x:c>
      <x:c r="E20" s="34" t="n">
        <x:v>69</x:v>
      </x:c>
      <x:c r="F20" s="34" t="n">
        <x:f>(12288)*(1)*(4)</x:f>
        <x:v>49152</x:v>
      </x:c>
      <x:c r="G20" s="7" t="str">
        <x:v>KDA TP</x:v>
      </x:c>
      <x:c r="H20" s="7" t="str">
        <x:v>None</x:v>
      </x:c>
      <x:c r="I20" s="7" t="str">
        <x:v>否</x:v>
      </x:c>
      <x:c r="J20" s="44" t="n">
        <x:f>E20*SUM(AE20:AG20)/1073741824</x:f>
        <x:v>0.01263427734375</x:v>
      </x:c>
      <x:c r="K20" s="44" t="n">
        <x:f>AA20</x:f>
        <x:v>0.000789642333984375</x:v>
      </x:c>
      <x:c r="L20" s="7" t="str">
        <x:f>IF(OR(D20="MXFP4",D20="MXFP8"),"group 32 / E8M0",IF(D20="INT8","channel / 8 B",IF(D20="INT4","channel / 16 B","")))</x:f>
      </x:c>
      <x:c r="M20" s="45" t="n">
        <x:f>$R$2</x:f>
        <x:v>16</x:v>
      </x:c>
      <x:c r="N20" s="7" t="str">
        <x:f>"["&amp;(12288/M20)&amp;","&amp;(1)&amp;","&amp;(4)&amp;"]"</x:f>
        <x:v>[768,1,4]</x:v>
      </x:c>
      <x:c r="O20" s="34" t="n">
        <x:f>CHOOSE($R$22+1,69)</x:f>
        <x:v>69</x:v>
      </x:c>
      <x:c r="P20" s="2"/>
      <x:c r="Q20" s="7" t="str">
        <x:v>Speculative tokens</x:v>
      </x:c>
      <x:c r="R20" s="14" t="n">
        <x:v>0</x:v>
      </x:c>
      <x:c r="S20" s="7" t="str">
        <x:v>Attention projection heads</x:v>
      </x:c>
      <x:c r="T20" s="7" t="n">
        <x:f>T6/R4</x:f>
        <x:v>96</x:v>
      </x:c>
      <x:c r="U20" s="2"/>
      <x:c r="V20" s="2"/>
      <x:c r="W20" s="2"/>
      <x:c r="X20" s="2"/>
      <x:c r="Y20" s="2"/>
      <x:c r="Z20" s="2"/>
      <x:c r="AA20" s="38" t="n">
        <x:f>IF($R$30=1,SUM(AB20:AD20)*(69)/1073741824,NA())</x:f>
        <x:v>0.000789642333984375</x:v>
      </x:c>
      <x:c r="AB20" s="39" t="n">
        <x:f>(12288/M20)*(1)*ROUNDUP((4)*VLOOKUP(D20,$Q$32:$R$38,2,FALSE),0)</x:f>
        <x:v>12288</x:v>
      </x:c>
      <x:c r="AC20" s="39" t="n">
        <x:f>IF(OR(D20="MXFP4",D20="MXFP8"),(12288/M20)*(1)*ROUNDUP((4)/32,0),0)</x:f>
        <x:v>0</x:v>
      </x:c>
      <x:c r="AD20" s="39" t="n">
        <x:f>IF(D20="INT8",(12288/M20)*8,IF(D20="INT4",(12288/M20)*16,0))</x:f>
        <x:v>0</x:v>
      </x:c>
      <x:c r="AE20" s="39" t="n">
        <x:f>(12288)*(1)*ROUNDUP((4)*VLOOKUP(D20,$Q$32:$R$38,2,FALSE),0)</x:f>
        <x:v>196608</x:v>
      </x:c>
      <x:c r="AF20" s="39" t="n">
        <x:f>IF(OR(D20="MXFP4",D20="MXFP8"),(12288)*(1)*ROUNDUP((4)/32,0),0)</x:f>
        <x:v>0</x:v>
      </x:c>
      <x:c r="AG20" s="39" t="n">
        <x:f>IF(D20="INT8",(12288)*8,IF(D20="INT4",(12288)*16,0))</x:f>
        <x:v>0</x:v>
      </x:c>
    </x:row>
    <x:row r="21" ht="18" customHeight="1">
      <x:c r="A21" s="7" t="str">
        <x:v>KDA</x:v>
      </x:c>
      <x:c r="B21" s="7" t="str">
        <x:v>v_conv1d.weight</x:v>
      </x:c>
      <x:c r="C21" s="7" t="str">
        <x:v>[12288,1,4]</x:v>
      </x:c>
      <x:c r="D21" s="10" t="str">
        <x:v>FP32</x:v>
      </x:c>
      <x:c r="E21" s="34" t="n">
        <x:v>69</x:v>
      </x:c>
      <x:c r="F21" s="34" t="n">
        <x:f>(12288)*(1)*(4)</x:f>
        <x:v>49152</x:v>
      </x:c>
      <x:c r="G21" s="7" t="str">
        <x:v>KDA TP</x:v>
      </x:c>
      <x:c r="H21" s="7" t="str">
        <x:v>None</x:v>
      </x:c>
      <x:c r="I21" s="7" t="str">
        <x:v>否</x:v>
      </x:c>
      <x:c r="J21" s="44" t="n">
        <x:f>E21*SUM(AE21:AG21)/1073741824</x:f>
        <x:v>0.01263427734375</x:v>
      </x:c>
      <x:c r="K21" s="44" t="n">
        <x:f>AA21</x:f>
        <x:v>0.000789642333984375</x:v>
      </x:c>
      <x:c r="L21" s="7" t="str">
        <x:f>IF(OR(D21="MXFP4",D21="MXFP8"),"group 32 / E8M0",IF(D21="INT8","channel / 8 B",IF(D21="INT4","channel / 16 B","")))</x:f>
      </x:c>
      <x:c r="M21" s="45" t="n">
        <x:f>$R$2</x:f>
        <x:v>16</x:v>
      </x:c>
      <x:c r="N21" s="7" t="str">
        <x:f>"["&amp;(12288/M21)&amp;","&amp;(1)&amp;","&amp;(4)&amp;"]"</x:f>
        <x:v>[768,1,4]</x:v>
      </x:c>
      <x:c r="O21" s="34" t="n">
        <x:f>CHOOSE($R$22+1,69)</x:f>
        <x:v>69</x:v>
      </x:c>
      <x:c r="P21" s="2"/>
      <x:c r="Q21" s="7" t="str">
        <x:v>主缓存 context 切分</x:v>
      </x:c>
      <x:c r="R21" s="15" t="n">
        <x:f>R12</x:f>
        <x:v>1</x:v>
      </x:c>
      <x:c r="S21" s="7" t="str">
        <x:v>Indexer key heads</x:v>
      </x:c>
      <x:c r="T21" s="7" t="n">
        <x:v>0</x:v>
      </x:c>
      <x:c r="U21" s="2"/>
      <x:c r="V21" s="2"/>
      <x:c r="W21" s="2"/>
      <x:c r="X21" s="2"/>
      <x:c r="Y21" s="2"/>
      <x:c r="Z21" s="2"/>
      <x:c r="AA21" s="38" t="n">
        <x:f>IF($R$30=1,SUM(AB21:AD21)*(69)/1073741824,NA())</x:f>
        <x:v>0.000789642333984375</x:v>
      </x:c>
      <x:c r="AB21" s="39" t="n">
        <x:f>(12288/M21)*(1)*ROUNDUP((4)*VLOOKUP(D21,$Q$32:$R$38,2,FALSE),0)</x:f>
        <x:v>12288</x:v>
      </x:c>
      <x:c r="AC21" s="39" t="n">
        <x:f>IF(OR(D21="MXFP4",D21="MXFP8"),(12288/M21)*(1)*ROUNDUP((4)/32,0),0)</x:f>
        <x:v>0</x:v>
      </x:c>
      <x:c r="AD21" s="39" t="n">
        <x:f>IF(D21="INT8",(12288/M21)*8,IF(D21="INT4",(12288/M21)*16,0))</x:f>
        <x:v>0</x:v>
      </x:c>
      <x:c r="AE21" s="39" t="n">
        <x:f>(12288)*(1)*ROUNDUP((4)*VLOOKUP(D21,$Q$32:$R$38,2,FALSE),0)</x:f>
        <x:v>196608</x:v>
      </x:c>
      <x:c r="AF21" s="39" t="n">
        <x:f>IF(OR(D21="MXFP4",D21="MXFP8"),(12288)*(1)*ROUNDUP((4)/32,0),0)</x:f>
        <x:v>0</x:v>
      </x:c>
      <x:c r="AG21" s="39" t="n">
        <x:f>IF(D21="INT8",(12288)*8,IF(D21="INT4",(12288)*16,0))</x:f>
        <x:v>0</x:v>
      </x:c>
    </x:row>
    <x:row r="22" ht="18" customHeight="1">
      <x:c r="A22" s="7" t="str">
        <x:v>KDA</x:v>
      </x:c>
      <x:c r="B22" s="7" t="str">
        <x:v>A_log</x:v>
      </x:c>
      <x:c r="C22" s="7" t="str">
        <x:v>[96]</x:v>
      </x:c>
      <x:c r="D22" s="10" t="str">
        <x:v>FP32</x:v>
      </x:c>
      <x:c r="E22" s="34" t="n">
        <x:v>69</x:v>
      </x:c>
      <x:c r="F22" s="34" t="n">
        <x:f>(96)</x:f>
        <x:v>96</x:v>
      </x:c>
      <x:c r="G22" s="7" t="str">
        <x:v>KDA TP</x:v>
      </x:c>
      <x:c r="H22" s="7" t="str">
        <x:v>None</x:v>
      </x:c>
      <x:c r="I22" s="7" t="str">
        <x:v>否</x:v>
      </x:c>
      <x:c r="J22" s="44" t="n">
        <x:f>E22*SUM(AE22:AG22)/1073741824</x:f>
        <x:v>0.00002467632293701172</x:v>
      </x:c>
      <x:c r="K22" s="44" t="n">
        <x:f>AA22</x:f>
        <x:v>0.0000015422701835632324</x:v>
      </x:c>
      <x:c r="L22" s="7" t="str">
        <x:f>IF(OR(D22="MXFP4",D22="MXFP8"),"group 32 / E8M0",IF(D22="INT8","channel / 8 B",IF(D22="INT4","channel / 16 B","")))</x:f>
      </x:c>
      <x:c r="M22" s="45" t="n">
        <x:f>$R$2</x:f>
        <x:v>16</x:v>
      </x:c>
      <x:c r="N22" s="7" t="str">
        <x:f>"["&amp;(96/M22)&amp;"]"</x:f>
        <x:v>[6]</x:v>
      </x:c>
      <x:c r="O22" s="34" t="n">
        <x:f>CHOOSE($R$22+1,69)</x:f>
        <x:v>69</x:v>
      </x:c>
      <x:c r="P22" s="2"/>
      <x:c r="Q22" s="8" t="str">
        <x:v>当前 PP stage</x:v>
      </x:c>
      <x:c r="R22" s="16" t="n">
        <x:v>0</x:v>
      </x:c>
      <x:c r="S22" s="8" t="str">
        <x:v>Attention compute heads</x:v>
      </x:c>
      <x:c r="T22" s="8" t="n">
        <x:f>T20*R12</x:f>
        <x:v>96</x:v>
      </x:c>
      <x:c r="U22" s="2"/>
      <x:c r="V22" s="2"/>
      <x:c r="W22" s="2"/>
      <x:c r="X22" s="2"/>
      <x:c r="Y22" s="2"/>
      <x:c r="Z22" s="2"/>
      <x:c r="AA22" s="38" t="n">
        <x:f>IF($R$30=1,SUM(AB22:AD22)*(69)/1073741824,NA())</x:f>
        <x:v>0.0000015422701835632324</x:v>
      </x:c>
      <x:c r="AB22" s="39" t="n">
        <x:f>1*ROUNDUP((96/M22)*VLOOKUP(D22,$Q$32:$R$38,2,FALSE),0)</x:f>
        <x:v>24</x:v>
      </x:c>
      <x:c r="AC22" s="39" t="n">
        <x:f>IF(OR(D22="MXFP4",D22="MXFP8"),1*ROUNDUP((96/M22)/32,0),0)</x:f>
        <x:v>0</x:v>
      </x:c>
      <x:c r="AD22" s="39" t="n">
        <x:f>IF(D22="INT8",(96/M22)*8,IF(D22="INT4",(96/M22)*16,0))</x:f>
        <x:v>0</x:v>
      </x:c>
      <x:c r="AE22" s="39" t="n">
        <x:f>1*ROUNDUP((96)*VLOOKUP(D22,$Q$32:$R$38,2,FALSE),0)</x:f>
        <x:v>384</x:v>
      </x:c>
      <x:c r="AF22" s="39" t="n">
        <x:f>IF(OR(D22="MXFP4",D22="MXFP8"),1*ROUNDUP((96)/32,0),0)</x:f>
        <x:v>0</x:v>
      </x:c>
      <x:c r="AG22" s="39" t="n">
        <x:f>IF(D22="INT8",(96)*8,IF(D22="INT4",(96)*16,0))</x:f>
        <x:v>0</x:v>
      </x:c>
    </x:row>
    <x:row r="23" ht="18" customHeight="1">
      <x:c r="A23" s="7" t="str">
        <x:v>KDA</x:v>
      </x:c>
      <x:c r="B23" s="7" t="str">
        <x:v>f_a_proj</x:v>
      </x:c>
      <x:c r="C23" s="7" t="str">
        <x:v>[128,7168]</x:v>
      </x:c>
      <x:c r="D23" s="10" t="str">
        <x:v>BF16</x:v>
      </x:c>
      <x:c r="E23" s="34" t="n">
        <x:v>69</x:v>
      </x:c>
      <x:c r="F23" s="34" t="n">
        <x:f>(128)*(7168)</x:f>
        <x:v>917504</x:v>
      </x:c>
      <x:c r="G23" s="7" t="str">
        <x:v>Replicated</x:v>
      </x:c>
      <x:c r="H23" s="7" t="str">
        <x:v>None</x:v>
      </x:c>
      <x:c r="I23" s="7" t="str">
        <x:v>否</x:v>
      </x:c>
      <x:c r="J23" s="44" t="n">
        <x:f>E23*SUM(AE23:AG23)/1073741824</x:f>
        <x:v>0.117919921875</x:v>
      </x:c>
      <x:c r="K23" s="44" t="n">
        <x:f>AA23</x:f>
        <x:v>0.117919921875</x:v>
      </x:c>
      <x:c r="L23" s="7" t="str">
        <x:f>IF(OR(D23="MXFP4",D23="MXFP8"),"group 32 / E8M0",IF(D23="INT8","channel / 8 B",IF(D23="INT4","channel / 16 B","")))</x:f>
      </x:c>
      <x:c r="M23" s="45" t="n">
        <x:f>1</x:f>
        <x:v>1</x:v>
      </x:c>
      <x:c r="N23" s="7" t="str">
        <x:f>"["&amp;(128/M23)&amp;","&amp;(7168)&amp;"]"</x:f>
        <x:v>[128,7168]</x:v>
      </x:c>
      <x:c r="O23" s="34" t="n">
        <x:f>CHOOSE($R$22+1,69)</x:f>
        <x:v>69</x:v>
      </x:c>
      <x:c r="P23" s="2"/>
      <x:c r="Q23" s="6" t="str">
        <x:v>单卡权重 GiB</x:v>
      </x:c>
      <x:c r="R23" s="27" t="n">
        <x:f>SUM(K2:K59)</x:f>
        <x:v>33.409058444201946</x:v>
      </x:c>
      <x:c r="S23" s="5" t="str">
        <x:v>组网</x:v>
      </x:c>
      <x:c r="T23" s="5" t="str">
        <x:v>值</x:v>
      </x:c>
      <x:c r="U23" s="2"/>
      <x:c r="V23" s="2"/>
      <x:c r="W23" s="2"/>
      <x:c r="X23" s="2"/>
      <x:c r="Y23" s="2"/>
      <x:c r="Z23" s="2"/>
      <x:c r="AA23" s="38" t="n">
        <x:f>IF($R$30=1,SUM(AB23:AD23)*(69)/1073741824,NA())</x:f>
        <x:v>0.117919921875</x:v>
      </x:c>
      <x:c r="AB23" s="39" t="n">
        <x:f>(128/M23)*ROUNDUP((7168)*VLOOKUP(D23,$Q$32:$R$38,2,FALSE),0)</x:f>
        <x:v>1835008</x:v>
      </x:c>
      <x:c r="AC23" s="39" t="n">
        <x:f>IF(OR(D23="MXFP4",D23="MXFP8"),(128/M23)*ROUNDUP((7168)/32,0),0)</x:f>
        <x:v>0</x:v>
      </x:c>
      <x:c r="AD23" s="39" t="n">
        <x:f>IF(D23="INT8",(128/M23)*8,IF(D23="INT4",(128/M23)*16,0))</x:f>
        <x:v>0</x:v>
      </x:c>
      <x:c r="AE23" s="39" t="n">
        <x:f>(128)*ROUNDUP((7168)*VLOOKUP(D23,$Q$32:$R$38,2,FALSE),0)</x:f>
        <x:v>1835008</x:v>
      </x:c>
      <x:c r="AF23" s="39" t="n">
        <x:f>IF(OR(D23="MXFP4",D23="MXFP8"),(128)*ROUNDUP((7168)/32,0),0)</x:f>
        <x:v>0</x:v>
      </x:c>
      <x:c r="AG23" s="39" t="n">
        <x:f>IF(D23="INT8",(128)*8,IF(D23="INT4",(128)*16,0))</x:f>
        <x:v>0</x:v>
      </x:c>
    </x:row>
    <x:row r="24" ht="18" customHeight="1">
      <x:c r="A24" s="7" t="str">
        <x:v>KDA</x:v>
      </x:c>
      <x:c r="B24" s="7" t="str">
        <x:v>f_b_proj</x:v>
      </x:c>
      <x:c r="C24" s="7" t="str">
        <x:v>[12288,128]</x:v>
      </x:c>
      <x:c r="D24" s="10" t="str">
        <x:v>BF16</x:v>
      </x:c>
      <x:c r="E24" s="34" t="n">
        <x:v>69</x:v>
      </x:c>
      <x:c r="F24" s="34" t="n">
        <x:f>(12288)*(128)</x:f>
        <x:v>1572864</x:v>
      </x:c>
      <x:c r="G24" s="7" t="str">
        <x:v>KDA TP</x:v>
      </x:c>
      <x:c r="H24" s="7" t="str">
        <x:v>None</x:v>
      </x:c>
      <x:c r="I24" s="7" t="str">
        <x:v>否</x:v>
      </x:c>
      <x:c r="J24" s="44" t="n">
        <x:f>E24*SUM(AE24:AG24)/1073741824</x:f>
        <x:v>0.2021484375</x:v>
      </x:c>
      <x:c r="K24" s="44" t="n">
        <x:f>AA24</x:f>
        <x:v>0.01263427734375</x:v>
      </x:c>
      <x:c r="L24" s="7" t="str">
        <x:f>IF(OR(D24="MXFP4",D24="MXFP8"),"group 32 / E8M0",IF(D24="INT8","channel / 8 B",IF(D24="INT4","channel / 16 B","")))</x:f>
      </x:c>
      <x:c r="M24" s="45" t="n">
        <x:f>$R$2</x:f>
        <x:v>16</x:v>
      </x:c>
      <x:c r="N24" s="7" t="str">
        <x:f>"["&amp;(12288/M24)&amp;","&amp;(128)&amp;"]"</x:f>
        <x:v>[768,128]</x:v>
      </x:c>
      <x:c r="O24" s="34" t="n">
        <x:f>CHOOSE($R$22+1,69)</x:f>
        <x:v>69</x:v>
      </x:c>
      <x:c r="P24" s="2"/>
      <x:c r="Q24" s="7" t="str">
        <x:v>权重 + cache GiB</x:v>
      </x:c>
      <x:c r="R24" s="28" t="n">
        <x:f>R23+R27</x:f>
        <x:v>36.81021534651518</x:v>
      </x:c>
      <x:c r="S24" s="6" t="str">
        <x:v>DP</x:v>
      </x:c>
      <x:c r="T24" s="6" t="n">
        <x:f>R9/R2</x:f>
        <x:v>8</x:v>
      </x:c>
      <x:c r="U24" s="2"/>
      <x:c r="V24" s="2"/>
      <x:c r="W24" s="2"/>
      <x:c r="X24" s="2"/>
      <x:c r="Y24" s="2"/>
      <x:c r="Z24" s="2"/>
      <x:c r="AA24" s="38" t="n">
        <x:f>IF($R$30=1,SUM(AB24:AD24)*(69)/1073741824,NA())</x:f>
        <x:v>0.01263427734375</x:v>
      </x:c>
      <x:c r="AB24" s="39" t="n">
        <x:f>(12288/M24)*ROUNDUP((128)*VLOOKUP(D24,$Q$32:$R$38,2,FALSE),0)</x:f>
        <x:v>196608</x:v>
      </x:c>
      <x:c r="AC24" s="39" t="n">
        <x:f>IF(OR(D24="MXFP4",D24="MXFP8"),(12288/M24)*ROUNDUP((128)/32,0),0)</x:f>
        <x:v>0</x:v>
      </x:c>
      <x:c r="AD24" s="39" t="n">
        <x:f>IF(D24="INT8",(12288/M24)*8,IF(D24="INT4",(12288/M24)*16,0))</x:f>
        <x:v>0</x:v>
      </x:c>
      <x:c r="AE24" s="39" t="n">
        <x:f>(12288)*ROUNDUP((128)*VLOOKUP(D24,$Q$32:$R$38,2,FALSE),0)</x:f>
        <x:v>3145728</x:v>
      </x:c>
      <x:c r="AF24" s="39" t="n">
        <x:f>IF(OR(D24="MXFP4",D24="MXFP8"),(12288)*ROUNDUP((128)/32,0),0)</x:f>
        <x:v>0</x:v>
      </x:c>
      <x:c r="AG24" s="39" t="n">
        <x:f>IF(D24="INT8",(12288)*8,IF(D24="INT4",(12288)*16,0))</x:f>
        <x:v>0</x:v>
      </x:c>
    </x:row>
    <x:row r="25" ht="18" customHeight="1">
      <x:c r="A25" s="7" t="str">
        <x:v>KDA</x:v>
      </x:c>
      <x:c r="B25" s="7" t="str">
        <x:v>dt_bias</x:v>
      </x:c>
      <x:c r="C25" s="7" t="str">
        <x:v>[12288]</x:v>
      </x:c>
      <x:c r="D25" s="10" t="str">
        <x:v>FP32</x:v>
      </x:c>
      <x:c r="E25" s="34" t="n">
        <x:v>69</x:v>
      </x:c>
      <x:c r="F25" s="34" t="n">
        <x:f>(12288)</x:f>
        <x:v>12288</x:v>
      </x:c>
      <x:c r="G25" s="7" t="str">
        <x:v>KDA TP</x:v>
      </x:c>
      <x:c r="H25" s="7" t="str">
        <x:v>None</x:v>
      </x:c>
      <x:c r="I25" s="7" t="str">
        <x:v>否</x:v>
      </x:c>
      <x:c r="J25" s="44" t="n">
        <x:f>E25*SUM(AE25:AG25)/1073741824</x:f>
        <x:v>0.0031585693359375</x:v>
      </x:c>
      <x:c r="K25" s="44" t="n">
        <x:f>AA25</x:f>
        <x:v>0.00019741058349609375</x:v>
      </x:c>
      <x:c r="L25" s="7" t="str">
        <x:f>IF(OR(D25="MXFP4",D25="MXFP8"),"group 32 / E8M0",IF(D25="INT8","channel / 8 B",IF(D25="INT4","channel / 16 B","")))</x:f>
      </x:c>
      <x:c r="M25" s="45" t="n">
        <x:f>$R$2</x:f>
        <x:v>16</x:v>
      </x:c>
      <x:c r="N25" s="7" t="str">
        <x:f>"["&amp;(12288/M25)&amp;"]"</x:f>
        <x:v>[768]</x:v>
      </x:c>
      <x:c r="O25" s="34" t="n">
        <x:f>CHOOSE($R$22+1,69)</x:f>
        <x:v>69</x:v>
      </x:c>
      <x:c r="P25" s="2"/>
      <x:c r="Q25" s="7" t="str">
        <x:v>o_proj buffer GiB</x:v>
      </x:c>
      <x:c r="R25" s="28" t="n">
        <x:f>SUM(R57:R58)</x:f>
        <x:v>0</x:v>
      </x:c>
      <x:c r="S25" s="7" t="str">
        <x:v>PP</x:v>
      </x:c>
      <x:c r="T25" s="7" t="n">
        <x:v>1</x:v>
      </x:c>
      <x:c r="U25" s="2"/>
      <x:c r="V25" s="2"/>
      <x:c r="W25" s="2"/>
      <x:c r="X25" s="2"/>
      <x:c r="Y25" s="2"/>
      <x:c r="Z25" s="2"/>
      <x:c r="AA25" s="38" t="n">
        <x:f>IF($R$30=1,SUM(AB25:AD25)*(69)/1073741824,NA())</x:f>
        <x:v>0.00019741058349609375</x:v>
      </x:c>
      <x:c r="AB25" s="39" t="n">
        <x:f>1*ROUNDUP((12288/M25)*VLOOKUP(D25,$Q$32:$R$38,2,FALSE),0)</x:f>
        <x:v>3072</x:v>
      </x:c>
      <x:c r="AC25" s="39" t="n">
        <x:f>IF(OR(D25="MXFP4",D25="MXFP8"),1*ROUNDUP((12288/M25)/32,0),0)</x:f>
        <x:v>0</x:v>
      </x:c>
      <x:c r="AD25" s="39" t="n">
        <x:f>IF(D25="INT8",(12288/M25)*8,IF(D25="INT4",(12288/M25)*16,0))</x:f>
        <x:v>0</x:v>
      </x:c>
      <x:c r="AE25" s="39" t="n">
        <x:f>1*ROUNDUP((12288)*VLOOKUP(D25,$Q$32:$R$38,2,FALSE),0)</x:f>
        <x:v>49152</x:v>
      </x:c>
      <x:c r="AF25" s="39" t="n">
        <x:f>IF(OR(D25="MXFP4",D25="MXFP8"),1*ROUNDUP((12288)/32,0),0)</x:f>
        <x:v>0</x:v>
      </x:c>
      <x:c r="AG25" s="39" t="n">
        <x:f>IF(D25="INT8",(12288)*8,IF(D25="INT4",(12288)*16,0))</x:f>
        <x:v>0</x:v>
      </x:c>
    </x:row>
    <x:row r="26" ht="18" customHeight="1">
      <x:c r="A26" s="7" t="str">
        <x:v>KDA</x:v>
      </x:c>
      <x:c r="B26" s="7" t="str">
        <x:v>b_proj</x:v>
      </x:c>
      <x:c r="C26" s="7" t="str">
        <x:v>[96,7168]</x:v>
      </x:c>
      <x:c r="D26" s="10" t="str">
        <x:v>BF16</x:v>
      </x:c>
      <x:c r="E26" s="34" t="n">
        <x:v>69</x:v>
      </x:c>
      <x:c r="F26" s="34" t="n">
        <x:f>(96)*(7168)</x:f>
        <x:v>688128</x:v>
      </x:c>
      <x:c r="G26" s="7" t="str">
        <x:v>KDA TP</x:v>
      </x:c>
      <x:c r="H26" s="7" t="str">
        <x:v>None</x:v>
      </x:c>
      <x:c r="I26" s="7" t="str">
        <x:v>否</x:v>
      </x:c>
      <x:c r="J26" s="44" t="n">
        <x:f>E26*SUM(AE26:AG26)/1073741824</x:f>
        <x:v>0.08843994140625</x:v>
      </x:c>
      <x:c r="K26" s="44" t="n">
        <x:f>AA26</x:f>
        <x:v>0.005527496337890625</x:v>
      </x:c>
      <x:c r="L26" s="7" t="str">
        <x:f>IF(OR(D26="MXFP4",D26="MXFP8"),"group 32 / E8M0",IF(D26="INT8","channel / 8 B",IF(D26="INT4","channel / 16 B","")))</x:f>
      </x:c>
      <x:c r="M26" s="45" t="n">
        <x:f>$R$2</x:f>
        <x:v>16</x:v>
      </x:c>
      <x:c r="N26" s="7" t="str">
        <x:f>"["&amp;(96/M26)&amp;","&amp;(7168)&amp;"]"</x:f>
        <x:v>[6,7168]</x:v>
      </x:c>
      <x:c r="O26" s="34" t="n">
        <x:f>CHOOSE($R$22+1,69)</x:f>
        <x:v>69</x:v>
      </x:c>
      <x:c r="P26" s="2"/>
      <x:c r="Q26" s="7" t="str">
        <x:v>总参数量 T</x:v>
      </x:c>
      <x:c r="R26" s="28" t="n">
        <x:f>SUMPRODUCT(E2:E59,F2:F59)/1000000000000</x:f>
        <x:v>2.779931834976</x:v>
      </x:c>
      <x:c r="S26" s="7" t="str">
        <x:v>EP / stage</x:v>
      </x:c>
      <x:c r="T26" s="7" t="n">
        <x:f>R9</x:f>
        <x:v>128</x:v>
      </x:c>
      <x:c r="U26" s="2"/>
      <x:c r="V26" s="2"/>
      <x:c r="W26" s="2"/>
      <x:c r="X26" s="2"/>
      <x:c r="Y26" s="2"/>
      <x:c r="Z26" s="2"/>
      <x:c r="AA26" s="38" t="n">
        <x:f>IF($R$30=1,SUM(AB26:AD26)*(69)/1073741824,NA())</x:f>
        <x:v>0.005527496337890625</x:v>
      </x:c>
      <x:c r="AB26" s="39" t="n">
        <x:f>(96/M26)*ROUNDUP((7168)*VLOOKUP(D26,$Q$32:$R$38,2,FALSE),0)</x:f>
        <x:v>86016</x:v>
      </x:c>
      <x:c r="AC26" s="39" t="n">
        <x:f>IF(OR(D26="MXFP4",D26="MXFP8"),(96/M26)*ROUNDUP((7168)/32,0),0)</x:f>
        <x:v>0</x:v>
      </x:c>
      <x:c r="AD26" s="39" t="n">
        <x:f>IF(D26="INT8",(96/M26)*8,IF(D26="INT4",(96/M26)*16,0))</x:f>
        <x:v>0</x:v>
      </x:c>
      <x:c r="AE26" s="39" t="n">
        <x:f>(96)*ROUNDUP((7168)*VLOOKUP(D26,$Q$32:$R$38,2,FALSE),0)</x:f>
        <x:v>1376256</x:v>
      </x:c>
      <x:c r="AF26" s="39" t="n">
        <x:f>IF(OR(D26="MXFP4",D26="MXFP8"),(96)*ROUNDUP((7168)/32,0),0)</x:f>
        <x:v>0</x:v>
      </x:c>
      <x:c r="AG26" s="39" t="n">
        <x:f>IF(D26="INT8",(96)*8,IF(D26="INT4",(96)*16,0))</x:f>
        <x:v>0</x:v>
      </x:c>
    </x:row>
    <x:row r="27" ht="18" customHeight="1">
      <x:c r="A27" s="7" t="str">
        <x:v>KDA</x:v>
      </x:c>
      <x:c r="B27" s="7" t="str">
        <x:v>g_proj</x:v>
      </x:c>
      <x:c r="C27" s="7" t="str">
        <x:v>[12288,7168]</x:v>
      </x:c>
      <x:c r="D27" s="10" t="str">
        <x:v>BF16</x:v>
      </x:c>
      <x:c r="E27" s="34" t="n">
        <x:v>69</x:v>
      </x:c>
      <x:c r="F27" s="34" t="n">
        <x:f>(12288)*(7168)</x:f>
        <x:v>88080384</x:v>
      </x:c>
      <x:c r="G27" s="7" t="str">
        <x:v>KDA TP</x:v>
      </x:c>
      <x:c r="H27" s="7" t="str">
        <x:v>None</x:v>
      </x:c>
      <x:c r="I27" s="7" t="str">
        <x:v>否</x:v>
      </x:c>
      <x:c r="J27" s="44" t="n">
        <x:f>E27*SUM(AE27:AG27)/1073741824</x:f>
        <x:v>11.3203125</x:v>
      </x:c>
      <x:c r="K27" s="44" t="n">
        <x:f>AA27</x:f>
        <x:v>0.70751953125</x:v>
      </x:c>
      <x:c r="L27" s="7" t="str">
        <x:f>IF(OR(D27="MXFP4",D27="MXFP8"),"group 32 / E8M0",IF(D27="INT8","channel / 8 B",IF(D27="INT4","channel / 16 B","")))</x:f>
      </x:c>
      <x:c r="M27" s="45" t="n">
        <x:f>$R$2</x:f>
        <x:v>16</x:v>
      </x:c>
      <x:c r="N27" s="7" t="str">
        <x:f>"["&amp;(12288/M27)&amp;","&amp;(7168)&amp;"]"</x:f>
        <x:v>[768,7168]</x:v>
      </x:c>
      <x:c r="O27" s="34" t="n">
        <x:f>CHOOSE($R$22+1,69)</x:f>
        <x:v>69</x:v>
      </x:c>
      <x:c r="P27" s="2"/>
      <x:c r="Q27" s="7" t="str">
        <x:v>单请求 cache GiB</x:v>
      </x:c>
      <x:c r="R27" s="28" t="n">
        <x:f>X63</x:f>
        <x:v>3.4011569023132324</x:v>
      </x:c>
      <x:c r="S27" s="7" t="str">
        <x:v>总设备数</x:v>
      </x:c>
      <x:c r="T27" s="7" t="n">
        <x:f>R9*T25</x:f>
        <x:v>128</x:v>
      </x:c>
      <x:c r="U27" s="2"/>
      <x:c r="V27" s="2"/>
      <x:c r="W27" s="2"/>
      <x:c r="X27" s="2"/>
      <x:c r="Y27" s="2"/>
      <x:c r="Z27" s="2"/>
      <x:c r="AA27" s="38" t="n">
        <x:f>IF($R$30=1,SUM(AB27:AD27)*(69)/1073741824,NA())</x:f>
        <x:v>0.70751953125</x:v>
      </x:c>
      <x:c r="AB27" s="39" t="n">
        <x:f>(12288/M27)*ROUNDUP((7168)*VLOOKUP(D27,$Q$32:$R$38,2,FALSE),0)</x:f>
        <x:v>11010048</x:v>
      </x:c>
      <x:c r="AC27" s="39" t="n">
        <x:f>IF(OR(D27="MXFP4",D27="MXFP8"),(12288/M27)*ROUNDUP((7168)/32,0),0)</x:f>
        <x:v>0</x:v>
      </x:c>
      <x:c r="AD27" s="39" t="n">
        <x:f>IF(D27="INT8",(12288/M27)*8,IF(D27="INT4",(12288/M27)*16,0))</x:f>
        <x:v>0</x:v>
      </x:c>
      <x:c r="AE27" s="39" t="n">
        <x:f>(12288)*ROUNDUP((7168)*VLOOKUP(D27,$Q$32:$R$38,2,FALSE),0)</x:f>
        <x:v>176160768</x:v>
      </x:c>
      <x:c r="AF27" s="39" t="n">
        <x:f>IF(OR(D27="MXFP4",D27="MXFP8"),(12288)*ROUNDUP((7168)/32,0),0)</x:f>
        <x:v>0</x:v>
      </x:c>
      <x:c r="AG27" s="39" t="n">
        <x:f>IF(D27="INT8",(12288)*8,IF(D27="INT4",(12288)*16,0))</x:f>
        <x:v>0</x:v>
      </x:c>
    </x:row>
    <x:row r="28" ht="18" customHeight="1">
      <x:c r="A28" s="7" t="str">
        <x:v>KDA</x:v>
      </x:c>
      <x:c r="B28" s="7" t="str">
        <x:v>o_norm.weight</x:v>
      </x:c>
      <x:c r="C28" s="7" t="str">
        <x:v>[128]</x:v>
      </x:c>
      <x:c r="D28" s="10" t="str">
        <x:v>BF16</x:v>
      </x:c>
      <x:c r="E28" s="34" t="n">
        <x:v>69</x:v>
      </x:c>
      <x:c r="F28" s="34" t="n">
        <x:f>(128)</x:f>
        <x:v>128</x:v>
      </x:c>
      <x:c r="G28" s="7" t="str">
        <x:v>Replicated</x:v>
      </x:c>
      <x:c r="H28" s="7" t="str">
        <x:v>None</x:v>
      </x:c>
      <x:c r="I28" s="7" t="str">
        <x:v>否</x:v>
      </x:c>
      <x:c r="J28" s="44" t="n">
        <x:f>E28*SUM(AE28:AG28)/1073741824</x:f>
        <x:v>0.000016450881958007812</x:v>
      </x:c>
      <x:c r="K28" s="44" t="n">
        <x:f>AA28</x:f>
        <x:v>0.000016450881958007812</x:v>
      </x:c>
      <x:c r="L28" s="7" t="str">
        <x:f>IF(OR(D28="MXFP4",D28="MXFP8"),"group 32 / E8M0",IF(D28="INT8","channel / 8 B",IF(D28="INT4","channel / 16 B","")))</x:f>
      </x:c>
      <x:c r="M28" s="45" t="n">
        <x:f>1</x:f>
        <x:v>1</x:v>
      </x:c>
      <x:c r="N28" s="7" t="str">
        <x:f>"["&amp;(128/M28)&amp;"]"</x:f>
        <x:v>[128]</x:v>
      </x:c>
      <x:c r="O28" s="34" t="n">
        <x:f>CHOOSE($R$22+1,69)</x:f>
        <x:v>69</x:v>
      </x:c>
      <x:c r="P28" s="2"/>
      <x:c r="Q28" s="7" t="str">
        <x:v>权重 + cache + buffer GiB</x:v>
      </x:c>
      <x:c r="R28" s="28" t="n">
        <x:f>R23+R27+R25</x:f>
        <x:v>36.81021534651518</x:v>
      </x:c>
      <x:c r="S28" s="8" t="str">
        <x:v>DCP</x:v>
      </x:c>
      <x:c r="T28" s="8" t="n">
        <x:f>R12</x:f>
        <x:v>1</x:v>
      </x:c>
      <x:c r="U28" s="2"/>
      <x:c r="V28" s="2"/>
      <x:c r="W28" s="2"/>
      <x:c r="X28" s="2"/>
      <x:c r="Y28" s="2"/>
      <x:c r="Z28" s="2"/>
      <x:c r="AA28" s="38" t="n">
        <x:f>IF($R$30=1,SUM(AB28:AD28)*(69)/1073741824,NA())</x:f>
        <x:v>0.000016450881958007812</x:v>
      </x:c>
      <x:c r="AB28" s="39" t="n">
        <x:f>1*ROUNDUP((128/M28)*VLOOKUP(D28,$Q$32:$R$38,2,FALSE),0)</x:f>
        <x:v>256</x:v>
      </x:c>
      <x:c r="AC28" s="39" t="n">
        <x:f>IF(OR(D28="MXFP4",D28="MXFP8"),1*ROUNDUP((128/M28)/32,0),0)</x:f>
        <x:v>0</x:v>
      </x:c>
      <x:c r="AD28" s="39" t="n">
        <x:f>IF(D28="INT8",(128/M28)*8,IF(D28="INT4",(128/M28)*16,0))</x:f>
        <x:v>0</x:v>
      </x:c>
      <x:c r="AE28" s="39" t="n">
        <x:f>1*ROUNDUP((128)*VLOOKUP(D28,$Q$32:$R$38,2,FALSE),0)</x:f>
        <x:v>256</x:v>
      </x:c>
      <x:c r="AF28" s="39" t="n">
        <x:f>IF(OR(D28="MXFP4",D28="MXFP8"),1*ROUNDUP((128)/32,0),0)</x:f>
        <x:v>0</x:v>
      </x:c>
      <x:c r="AG28" s="39" t="n">
        <x:f>IF(D28="INT8",(128)*8,IF(D28="INT4",(128)*16,0))</x:f>
        <x:v>0</x:v>
      </x:c>
    </x:row>
    <x:row r="29" ht="18" customHeight="1">
      <x:c r="A29" s="7" t="str">
        <x:v>KDA</x:v>
      </x:c>
      <x:c r="B29" s="7" t="str">
        <x:v>o_proj</x:v>
      </x:c>
      <x:c r="C29" s="7" t="str">
        <x:v>[7168,12288]</x:v>
      </x:c>
      <x:c r="D29" s="10" t="str">
        <x:v>BF16</x:v>
      </x:c>
      <x:c r="E29" s="34" t="n">
        <x:v>69</x:v>
      </x:c>
      <x:c r="F29" s="34" t="n">
        <x:f>(7168)*(12288)</x:f>
        <x:v>88080384</x:v>
      </x:c>
      <x:c r="G29" s="7" t="str">
        <x:v>KDA O TP</x:v>
      </x:c>
      <x:c r="H29" s="7" t="str">
        <x:v>None</x:v>
      </x:c>
      <x:c r="I29" s="7" t="str">
        <x:v>否</x:v>
      </x:c>
      <x:c r="J29" s="44" t="n">
        <x:f>E29*SUM(AE29:AG29)/1073741824</x:f>
        <x:v>11.3203125</x:v>
      </x:c>
      <x:c r="K29" s="44" t="n">
        <x:f>AA29</x:f>
        <x:v>0.70751953125</x:v>
      </x:c>
      <x:c r="L29" s="7" t="str">
        <x:f>IF(OR(D29="MXFP4",D29="MXFP8"),"group 32 / E8M0",IF(D29="INT8","channel / 8 B",IF(D29="INT4","channel / 16 B","")))</x:f>
      </x:c>
      <x:c r="M29" s="45" t="n">
        <x:f>$R$3</x:f>
        <x:v>16</x:v>
      </x:c>
      <x:c r="N29" s="7" t="str">
        <x:f>"["&amp;(7168)&amp;","&amp;(12288/M29)&amp;"]"</x:f>
        <x:v>[7168,768]</x:v>
      </x:c>
      <x:c r="O29" s="34" t="n">
        <x:f>CHOOSE($R$22+1,69)</x:f>
        <x:v>69</x:v>
      </x:c>
      <x:c r="P29" s="2"/>
      <x:c r="Q29" s="8" t="str">
        <x:v>本页 token 数</x:v>
      </x:c>
      <x:c r="R29" s="8" t="n">
        <x:f>R18</x:f>
        <x:v>131072</x:v>
      </x:c>
      <x:c r="S29" s="2"/>
      <x:c r="T29" s="2"/>
      <x:c r="U29" s="2"/>
      <x:c r="V29" s="2"/>
      <x:c r="W29" s="2"/>
      <x:c r="X29" s="2"/>
      <x:c r="Y29" s="2"/>
      <x:c r="Z29" s="2"/>
      <x:c r="AA29" s="38" t="n">
        <x:f>IF($R$30=1,SUM(AB29:AD29)*(69)/1073741824,NA())</x:f>
        <x:v>0.70751953125</x:v>
      </x:c>
      <x:c r="AB29" s="39" t="n">
        <x:f>(7168)*ROUNDUP((12288/M29)*VLOOKUP(D29,$Q$32:$R$38,2,FALSE),0)</x:f>
        <x:v>11010048</x:v>
      </x:c>
      <x:c r="AC29" s="39" t="n">
        <x:f>IF(OR(D29="MXFP4",D29="MXFP8"),(7168)*ROUNDUP((12288/M29)/32,0),0)</x:f>
        <x:v>0</x:v>
      </x:c>
      <x:c r="AD29" s="39" t="n">
        <x:f>IF(D29="INT8",(7168)*8,IF(D29="INT4",(7168)*16,0))</x:f>
        <x:v>0</x:v>
      </x:c>
      <x:c r="AE29" s="39" t="n">
        <x:f>(7168)*ROUNDUP((12288)*VLOOKUP(D29,$Q$32:$R$38,2,FALSE),0)</x:f>
        <x:v>176160768</x:v>
      </x:c>
      <x:c r="AF29" s="39" t="n">
        <x:f>IF(OR(D29="MXFP4",D29="MXFP8"),(7168)*ROUNDUP((12288)/32,0),0)</x:f>
        <x:v>0</x:v>
      </x:c>
      <x:c r="AG29" s="39" t="n">
        <x:f>IF(D29="INT8",(7168)*8,IF(D29="INT4",(7168)*16,0))</x:f>
        <x:v>0</x:v>
      </x:c>
    </x:row>
    <x:row r="30" ht="18" customHeight="1">
      <x:c r="A30" s="48" t="str">
        <x:v>Gated MLA</x:v>
      </x:c>
      <x:c r="B30" s="48" t="str">
        <x:v>q_a_proj</x:v>
      </x:c>
      <x:c r="C30" s="48" t="str">
        <x:v>[1536,7168]</x:v>
      </x:c>
      <x:c r="D30" s="49" t="str">
        <x:v>BF16</x:v>
      </x:c>
      <x:c r="E30" s="50" t="n">
        <x:v>24</x:v>
      </x:c>
      <x:c r="F30" s="50" t="n">
        <x:f>(1536)*(7168)</x:f>
        <x:v>11010048</x:v>
      </x:c>
      <x:c r="G30" s="48" t="str">
        <x:v>Replicated</x:v>
      </x:c>
      <x:c r="H30" s="48" t="str">
        <x:v>None</x:v>
      </x:c>
      <x:c r="I30" s="48" t="str">
        <x:v>否</x:v>
      </x:c>
      <x:c r="J30" s="51" t="n">
        <x:f>E30*SUM(AE30:AG30)/1073741824</x:f>
        <x:v>0.4921875</x:v>
      </x:c>
      <x:c r="K30" s="51" t="n">
        <x:f>AA30</x:f>
        <x:v>0.4921875</x:v>
      </x:c>
      <x:c r="L30" s="48" t="str">
        <x:f>IF(OR(D30="MXFP4",D30="MXFP8"),"group 32 / E8M0",IF(D30="INT8","channel / 8 B",IF(D30="INT4","channel / 16 B","")))</x:f>
      </x:c>
      <x:c r="M30" s="52" t="n">
        <x:f>1</x:f>
        <x:v>1</x:v>
      </x:c>
      <x:c r="N30" s="48" t="str">
        <x:f>"["&amp;(1536/M30)&amp;","&amp;(7168)&amp;"]"</x:f>
        <x:v>[1536,7168]</x:v>
      </x:c>
      <x:c r="O30" s="50" t="n">
        <x:f>CHOOSE($R$22+1,24)</x:f>
        <x:v>24</x:v>
      </x:c>
      <x:c r="P30" s="2"/>
      <x:c r="Q30" s="2" t="str">
        <x:v>参数校验（1=有效）</x:v>
      </x:c>
      <x:c r="R30" s="2" t="n">
        <x:f>IF(AND(AND(R2&gt;=1,R9&gt;=1,R12&gt;=1,R19&gt;=1,R18&gt;=1,R18&lt;=1048576,MOD(R9,R2)=0,MOD(T4,R2)=0,MOD(R2,R12)=0,R22&gt;=0,R22&lt;1,MOD(R22,1)=0,R20&gt;=0,MOD(R20,1)=0,R12=1,AND(R11=1,R13="BF16",R14="BF16"),R2&gt;=1,MOD(R2,1)=0,R3&gt;=1,MOD(R3,1)=0,R4&gt;=1,MOD(R4,1)=0,R5&gt;=1,MOD(R5,1)=0,R6&gt;=1,MOD(R6,1)=0,R7&gt;=1,MOD(R7,1)=0,R8&gt;=1,MOD(R8,1)=0,R9&gt;=1,MOD(R9,1)=0,R10&gt;=1,MOD(R10,1)=0,R11&gt;=1,MOD(R11,1)=0,R12&gt;=1,MOD(R12,1)=0,R16&gt;=1,MOD(R16,1)=0,R17&gt;=1,MOD(R17,1)=0,R18&gt;=1,MOD(R18,1)=0,R19&gt;=1,MOD(R19,1)=0,MOD(163840,R7)=0,MOD(163840,R6)=0,MOD(33792,R8)=0,MOD(12288,R2)=0,MOD(96,R2)=0,MOD(12288,R3)=0,MOD(18432,R4)=0,MOD(24576,R4)=0,MOD(12288,R4)=0,MOD(12288,R5)=0,MOD(6144,R10)=0)),1,0)</x:f>
        <x:v>1</x:v>
      </x:c>
      <x:c r="S30" s="2" t="str">
        <x:v>量化方案</x:v>
      </x:c>
      <x:c r="T30" s="2" t="str">
        <x:v>checkpoint</x:v>
      </x:c>
      <x:c r="U30" s="2"/>
      <x:c r="V30" s="2"/>
      <x:c r="W30" s="2"/>
      <x:c r="X30" s="2"/>
      <x:c r="Y30" s="2"/>
      <x:c r="Z30" s="2"/>
      <x:c r="AA30" s="38" t="n">
        <x:f>IF($R$30=1,SUM(AB30:AD30)*(24)/1073741824,NA())</x:f>
        <x:v>0.4921875</x:v>
      </x:c>
      <x:c r="AB30" s="39" t="n">
        <x:f>(1536/M30)*ROUNDUP((7168)*VLOOKUP(D30,$Q$32:$R$38,2,FALSE),0)</x:f>
        <x:v>22020096</x:v>
      </x:c>
      <x:c r="AC30" s="39" t="n">
        <x:f>IF(OR(D30="MXFP4",D30="MXFP8"),(1536/M30)*ROUNDUP((7168)/32,0),0)</x:f>
        <x:v>0</x:v>
      </x:c>
      <x:c r="AD30" s="39" t="n">
        <x:f>IF(D30="INT8",(1536/M30)*8,IF(D30="INT4",(1536/M30)*16,0))</x:f>
        <x:v>0</x:v>
      </x:c>
      <x:c r="AE30" s="39" t="n">
        <x:f>(1536)*ROUNDUP((7168)*VLOOKUP(D30,$Q$32:$R$38,2,FALSE),0)</x:f>
        <x:v>22020096</x:v>
      </x:c>
      <x:c r="AF30" s="39" t="n">
        <x:f>IF(OR(D30="MXFP4",D30="MXFP8"),(1536)*ROUNDUP((7168)/32,0),0)</x:f>
        <x:v>0</x:v>
      </x:c>
      <x:c r="AG30" s="39" t="n">
        <x:f>IF(D30="INT8",(1536)*8,IF(D30="INT4",(1536)*16,0))</x:f>
        <x:v>0</x:v>
      </x:c>
    </x:row>
    <x:row r="31" ht="18" customHeight="1">
      <x:c r="A31" s="7" t="str">
        <x:v>Gated MLA</x:v>
      </x:c>
      <x:c r="B31" s="7" t="str">
        <x:v>q_a_layernorm.weight</x:v>
      </x:c>
      <x:c r="C31" s="7" t="str">
        <x:v>[1536]</x:v>
      </x:c>
      <x:c r="D31" s="10" t="str">
        <x:v>BF16</x:v>
      </x:c>
      <x:c r="E31" s="34" t="n">
        <x:v>24</x:v>
      </x:c>
      <x:c r="F31" s="34" t="n">
        <x:f>(1536)</x:f>
        <x:v>1536</x:v>
      </x:c>
      <x:c r="G31" s="7" t="str">
        <x:v>Replicated</x:v>
      </x:c>
      <x:c r="H31" s="7" t="str">
        <x:v>None</x:v>
      </x:c>
      <x:c r="I31" s="7" t="str">
        <x:v>否</x:v>
      </x:c>
      <x:c r="J31" s="44" t="n">
        <x:f>E31*SUM(AE31:AG31)/1073741824</x:f>
        <x:v>0.00006866455078125</x:v>
      </x:c>
      <x:c r="K31" s="44" t="n">
        <x:f>AA31</x:f>
        <x:v>0.00006866455078125</x:v>
      </x:c>
      <x:c r="L31" s="7" t="str">
        <x:f>IF(OR(D31="MXFP4",D31="MXFP8"),"group 32 / E8M0",IF(D31="INT8","channel / 8 B",IF(D31="INT4","channel / 16 B","")))</x:f>
      </x:c>
      <x:c r="M31" s="45" t="n">
        <x:f>1</x:f>
        <x:v>1</x:v>
      </x:c>
      <x:c r="N31" s="7" t="str">
        <x:f>"["&amp;(1536/M31)&amp;"]"</x:f>
        <x:v>[1536]</x:v>
      </x:c>
      <x:c r="O31" s="34" t="n">
        <x:f>CHOOSE($R$22+1,24)</x:f>
        <x:v>24</x:v>
      </x:c>
      <x:c r="P31" s="2"/>
      <x:c r="Q31" s="5" t="str">
        <x:v>主权重类型</x:v>
      </x:c>
      <x:c r="R31" s="5" t="str">
        <x:v>主权重 bytes/元素</x:v>
      </x:c>
      <x:c r="S31" s="5" t="str">
        <x:v>Cache 单 token</x:v>
      </x:c>
      <x:c r="T31" s="5" t="str">
        <x:v>元素 bytes</x:v>
      </x:c>
      <x:c r="U31" s="5" t="str">
        <x:v>Scale bytes</x:v>
      </x:c>
      <x:c r="V31" s="5" t="str">
        <x:v>合计 bytes</x:v>
      </x:c>
      <x:c r="W31" s="2"/>
      <x:c r="X31" s="2"/>
      <x:c r="Y31" s="2"/>
      <x:c r="Z31" s="2"/>
      <x:c r="AA31" s="38" t="n">
        <x:f>IF($R$30=1,SUM(AB31:AD31)*(24)/1073741824,NA())</x:f>
        <x:v>0.00006866455078125</x:v>
      </x:c>
      <x:c r="AB31" s="39" t="n">
        <x:f>1*ROUNDUP((1536/M31)*VLOOKUP(D31,$Q$32:$R$38,2,FALSE),0)</x:f>
        <x:v>3072</x:v>
      </x:c>
      <x:c r="AC31" s="39" t="n">
        <x:f>IF(OR(D31="MXFP4",D31="MXFP8"),1*ROUNDUP((1536/M31)/32,0),0)</x:f>
        <x:v>0</x:v>
      </x:c>
      <x:c r="AD31" s="39" t="n">
        <x:f>IF(D31="INT8",(1536/M31)*8,IF(D31="INT4",(1536/M31)*16,0))</x:f>
        <x:v>0</x:v>
      </x:c>
      <x:c r="AE31" s="39" t="n">
        <x:f>1*ROUNDUP((1536)*VLOOKUP(D31,$Q$32:$R$38,2,FALSE),0)</x:f>
        <x:v>3072</x:v>
      </x:c>
      <x:c r="AF31" s="39" t="n">
        <x:f>IF(OR(D31="MXFP4",D31="MXFP8"),1*ROUNDUP((1536)/32,0),0)</x:f>
        <x:v>0</x:v>
      </x:c>
      <x:c r="AG31" s="39" t="n">
        <x:f>IF(D31="INT8",(1536)*8,IF(D31="INT4",(1536)*16,0))</x:f>
        <x:v>0</x:v>
      </x:c>
    </x:row>
    <x:row r="32" ht="18" customHeight="1">
      <x:c r="A32" s="7" t="str">
        <x:v>Gated MLA</x:v>
      </x:c>
      <x:c r="B32" s="7" t="str">
        <x:v>q_b_proj</x:v>
      </x:c>
      <x:c r="C32" s="7" t="str">
        <x:v>[18432,1536]</x:v>
      </x:c>
      <x:c r="D32" s="10" t="str">
        <x:v>BF16</x:v>
      </x:c>
      <x:c r="E32" s="34" t="n">
        <x:v>24</x:v>
      </x:c>
      <x:c r="F32" s="34" t="n">
        <x:f>(18432)*(1536)</x:f>
        <x:v>28311552</x:v>
      </x:c>
      <x:c r="G32" s="7" t="str">
        <x:v>DSA TP</x:v>
      </x:c>
      <x:c r="H32" s="7" t="str">
        <x:v>None</x:v>
      </x:c>
      <x:c r="I32" s="7" t="str">
        <x:v>否</x:v>
      </x:c>
      <x:c r="J32" s="44" t="n">
        <x:f>E32*SUM(AE32:AG32)/1073741824</x:f>
        <x:v>1.265625</x:v>
      </x:c>
      <x:c r="K32" s="44" t="n">
        <x:f>AA32</x:f>
        <x:v>1.265625</x:v>
      </x:c>
      <x:c r="L32" s="7" t="str">
        <x:f>IF(OR(D32="MXFP4",D32="MXFP8"),"group 32 / E8M0",IF(D32="INT8","channel / 8 B",IF(D32="INT4","channel / 16 B","")))</x:f>
      </x:c>
      <x:c r="M32" s="45" t="n">
        <x:f>$R$4</x:f>
        <x:v>1</x:v>
      </x:c>
      <x:c r="N32" s="7" t="str">
        <x:f>"["&amp;(18432/M32)&amp;","&amp;(1536)&amp;"]"</x:f>
        <x:v>[18432,1536]</x:v>
      </x:c>
      <x:c r="O32" s="34" t="n">
        <x:f>CHOOSE($R$22+1,24)</x:f>
        <x:v>24</x:v>
      </x:c>
      <x:c r="P32" s="2"/>
      <x:c r="Q32" s="6" t="str">
        <x:v>BF16</x:v>
      </x:c>
      <x:c r="R32" s="20" t="n">
        <x:v>2</x:v>
      </x:c>
      <x:c r="S32" s="6" t="str">
        <x:v>MLA latent</x:v>
      </x:c>
      <x:c r="T32" s="6" t="n">
        <x:f>IF(R13="BF16",2,1)</x:f>
        <x:v>2</x:v>
      </x:c>
      <x:c r="U32" s="6" t="n">
        <x:f>IF(R13="BF16",0,ROUNDUP(T11/128,0)*4)</x:f>
        <x:v>0</x:v>
      </x:c>
      <x:c r="V32" s="6" t="n">
        <x:f>T11*T32+U32</x:f>
        <x:v>1024</x:v>
      </x:c>
      <x:c r="W32" s="2"/>
      <x:c r="X32" s="2"/>
      <x:c r="Y32" s="2"/>
      <x:c r="Z32" s="2"/>
      <x:c r="AA32" s="38" t="n">
        <x:f>IF($R$30=1,SUM(AB32:AD32)*(24)/1073741824,NA())</x:f>
        <x:v>1.265625</x:v>
      </x:c>
      <x:c r="AB32" s="39" t="n">
        <x:f>(18432/M32)*ROUNDUP((1536)*VLOOKUP(D32,$Q$32:$R$38,2,FALSE),0)</x:f>
        <x:v>56623104</x:v>
      </x:c>
      <x:c r="AC32" s="39" t="n">
        <x:f>IF(OR(D32="MXFP4",D32="MXFP8"),(18432/M32)*ROUNDUP((1536)/32,0),0)</x:f>
        <x:v>0</x:v>
      </x:c>
      <x:c r="AD32" s="39" t="n">
        <x:f>IF(D32="INT8",(18432/M32)*8,IF(D32="INT4",(18432/M32)*16,0))</x:f>
        <x:v>0</x:v>
      </x:c>
      <x:c r="AE32" s="39" t="n">
        <x:f>(18432)*ROUNDUP((1536)*VLOOKUP(D32,$Q$32:$R$38,2,FALSE),0)</x:f>
        <x:v>56623104</x:v>
      </x:c>
      <x:c r="AF32" s="39" t="n">
        <x:f>IF(OR(D32="MXFP4",D32="MXFP8"),(18432)*ROUNDUP((1536)/32,0),0)</x:f>
        <x:v>0</x:v>
      </x:c>
      <x:c r="AG32" s="39" t="n">
        <x:f>IF(D32="INT8",(18432)*8,IF(D32="INT4",(18432)*16,0))</x:f>
        <x:v>0</x:v>
      </x:c>
    </x:row>
    <x:row r="33" ht="18" customHeight="1">
      <x:c r="A33" s="7" t="str">
        <x:v>Gated MLA</x:v>
      </x:c>
      <x:c r="B33" s="7" t="str">
        <x:v>kv_a_proj_with_mqa</x:v>
      </x:c>
      <x:c r="C33" s="7" t="str">
        <x:v>[576,7168]</x:v>
      </x:c>
      <x:c r="D33" s="10" t="str">
        <x:v>BF16</x:v>
      </x:c>
      <x:c r="E33" s="34" t="n">
        <x:v>24</x:v>
      </x:c>
      <x:c r="F33" s="34" t="n">
        <x:f>(576)*(7168)</x:f>
        <x:v>4128768</x:v>
      </x:c>
      <x:c r="G33" s="7" t="str">
        <x:v>Replicated</x:v>
      </x:c>
      <x:c r="H33" s="7" t="str">
        <x:v>None</x:v>
      </x:c>
      <x:c r="I33" s="7" t="str">
        <x:v>否</x:v>
      </x:c>
      <x:c r="J33" s="44" t="n">
        <x:f>E33*SUM(AE33:AG33)/1073741824</x:f>
        <x:v>0.1845703125</x:v>
      </x:c>
      <x:c r="K33" s="44" t="n">
        <x:f>AA33</x:f>
        <x:v>0.1845703125</x:v>
      </x:c>
      <x:c r="L33" s="7" t="str">
        <x:f>IF(OR(D33="MXFP4",D33="MXFP8"),"group 32 / E8M0",IF(D33="INT8","channel / 8 B",IF(D33="INT4","channel / 16 B","")))</x:f>
      </x:c>
      <x:c r="M33" s="45" t="n">
        <x:f>1</x:f>
        <x:v>1</x:v>
      </x:c>
      <x:c r="N33" s="7" t="str">
        <x:f>"["&amp;(576/M33)&amp;","&amp;(7168)&amp;"]"</x:f>
        <x:v>[576,7168]</x:v>
      </x:c>
      <x:c r="O33" s="34" t="n">
        <x:f>CHOOSE($R$22+1,24)</x:f>
        <x:v>24</x:v>
      </x:c>
      <x:c r="P33" s="2"/>
      <x:c r="Q33" s="7" t="str">
        <x:v>FP32</x:v>
      </x:c>
      <x:c r="R33" s="21" t="n">
        <x:v>4</x:v>
      </x:c>
      <x:c r="S33" s="7" t="str">
        <x:v>RoPE</x:v>
      </x:c>
      <x:c r="T33" s="7" t="n">
        <x:v>2</x:v>
      </x:c>
      <x:c r="U33" s="7" t="n">
        <x:v>0</x:v>
      </x:c>
      <x:c r="V33" s="7" t="n">
        <x:f>T12*T33</x:f>
        <x:v>128</x:v>
      </x:c>
      <x:c r="W33" s="2"/>
      <x:c r="X33" s="2"/>
      <x:c r="Y33" s="2"/>
      <x:c r="Z33" s="2"/>
      <x:c r="AA33" s="38" t="n">
        <x:f>IF($R$30=1,SUM(AB33:AD33)*(24)/1073741824,NA())</x:f>
        <x:v>0.1845703125</x:v>
      </x:c>
      <x:c r="AB33" s="39" t="n">
        <x:f>(576/M33)*ROUNDUP((7168)*VLOOKUP(D33,$Q$32:$R$38,2,FALSE),0)</x:f>
        <x:v>8257536</x:v>
      </x:c>
      <x:c r="AC33" s="39" t="n">
        <x:f>IF(OR(D33="MXFP4",D33="MXFP8"),(576/M33)*ROUNDUP((7168)/32,0),0)</x:f>
        <x:v>0</x:v>
      </x:c>
      <x:c r="AD33" s="39" t="n">
        <x:f>IF(D33="INT8",(576/M33)*8,IF(D33="INT4",(576/M33)*16,0))</x:f>
        <x:v>0</x:v>
      </x:c>
      <x:c r="AE33" s="39" t="n">
        <x:f>(576)*ROUNDUP((7168)*VLOOKUP(D33,$Q$32:$R$38,2,FALSE),0)</x:f>
        <x:v>8257536</x:v>
      </x:c>
      <x:c r="AF33" s="39" t="n">
        <x:f>IF(OR(D33="MXFP4",D33="MXFP8"),(576)*ROUNDUP((7168)/32,0),0)</x:f>
        <x:v>0</x:v>
      </x:c>
      <x:c r="AG33" s="39" t="n">
        <x:f>IF(D33="INT8",(576)*8,IF(D33="INT4",(576)*16,0))</x:f>
        <x:v>0</x:v>
      </x:c>
    </x:row>
    <x:row r="34" ht="18" customHeight="1">
      <x:c r="A34" s="7" t="str">
        <x:v>Gated MLA</x:v>
      </x:c>
      <x:c r="B34" s="7" t="str">
        <x:v>kv_a_layernorm.weight</x:v>
      </x:c>
      <x:c r="C34" s="7" t="str">
        <x:v>[512]</x:v>
      </x:c>
      <x:c r="D34" s="10" t="str">
        <x:v>BF16</x:v>
      </x:c>
      <x:c r="E34" s="34" t="n">
        <x:v>24</x:v>
      </x:c>
      <x:c r="F34" s="34" t="n">
        <x:f>(512)</x:f>
        <x:v>512</x:v>
      </x:c>
      <x:c r="G34" s="7" t="str">
        <x:v>Replicated</x:v>
      </x:c>
      <x:c r="H34" s="7" t="str">
        <x:v>None</x:v>
      </x:c>
      <x:c r="I34" s="7" t="str">
        <x:v>否</x:v>
      </x:c>
      <x:c r="J34" s="44" t="n">
        <x:f>E34*SUM(AE34:AG34)/1073741824</x:f>
        <x:v>0.00002288818359375</x:v>
      </x:c>
      <x:c r="K34" s="44" t="n">
        <x:f>AA34</x:f>
        <x:v>0.00002288818359375</x:v>
      </x:c>
      <x:c r="L34" s="7" t="str">
        <x:f>IF(OR(D34="MXFP4",D34="MXFP8"),"group 32 / E8M0",IF(D34="INT8","channel / 8 B",IF(D34="INT4","channel / 16 B","")))</x:f>
      </x:c>
      <x:c r="M34" s="45" t="n">
        <x:f>1</x:f>
        <x:v>1</x:v>
      </x:c>
      <x:c r="N34" s="7" t="str">
        <x:f>"["&amp;(512/M34)&amp;"]"</x:f>
        <x:v>[512]</x:v>
      </x:c>
      <x:c r="O34" s="34" t="n">
        <x:f>CHOOSE($R$22+1,24)</x:f>
        <x:v>24</x:v>
      </x:c>
      <x:c r="P34" s="2"/>
      <x:c r="Q34" s="7" t="str">
        <x:v>FP8</x:v>
      </x:c>
      <x:c r="R34" s="21" t="n">
        <x:v>1</x:v>
      </x:c>
      <x:c r="S34" s="7" t="str">
        <x:v>MLA 合计</x:v>
      </x:c>
      <x:c r="T34" s="7"/>
      <x:c r="U34" s="7"/>
      <x:c r="V34" s="7" t="n">
        <x:f>SUM(V32:V33)</x:f>
        <x:v>1152</x:v>
      </x:c>
      <x:c r="W34" s="2"/>
      <x:c r="X34" s="2"/>
      <x:c r="Y34" s="2"/>
      <x:c r="Z34" s="2"/>
      <x:c r="AA34" s="38" t="n">
        <x:f>IF($R$30=1,SUM(AB34:AD34)*(24)/1073741824,NA())</x:f>
        <x:v>0.00002288818359375</x:v>
      </x:c>
      <x:c r="AB34" s="39" t="n">
        <x:f>1*ROUNDUP((512/M34)*VLOOKUP(D34,$Q$32:$R$38,2,FALSE),0)</x:f>
        <x:v>1024</x:v>
      </x:c>
      <x:c r="AC34" s="39" t="n">
        <x:f>IF(OR(D34="MXFP4",D34="MXFP8"),1*ROUNDUP((512/M34)/32,0),0)</x:f>
        <x:v>0</x:v>
      </x:c>
      <x:c r="AD34" s="39" t="n">
        <x:f>IF(D34="INT8",(512/M34)*8,IF(D34="INT4",(512/M34)*16,0))</x:f>
        <x:v>0</x:v>
      </x:c>
      <x:c r="AE34" s="39" t="n">
        <x:f>1*ROUNDUP((512)*VLOOKUP(D34,$Q$32:$R$38,2,FALSE),0)</x:f>
        <x:v>1024</x:v>
      </x:c>
      <x:c r="AF34" s="39" t="n">
        <x:f>IF(OR(D34="MXFP4",D34="MXFP8"),1*ROUNDUP((512)/32,0),0)</x:f>
        <x:v>0</x:v>
      </x:c>
      <x:c r="AG34" s="39" t="n">
        <x:f>IF(D34="INT8",(512)*8,IF(D34="INT4",(512)*16,0))</x:f>
        <x:v>0</x:v>
      </x:c>
    </x:row>
    <x:row r="35" ht="18" customHeight="1">
      <x:c r="A35" s="7" t="str">
        <x:v>Gated MLA</x:v>
      </x:c>
      <x:c r="B35" s="7" t="str">
        <x:v>kv_b_proj</x:v>
      </x:c>
      <x:c r="C35" s="7" t="str">
        <x:v>[24576,512]</x:v>
      </x:c>
      <x:c r="D35" s="10" t="str">
        <x:v>BF16</x:v>
      </x:c>
      <x:c r="E35" s="34" t="n">
        <x:v>24</x:v>
      </x:c>
      <x:c r="F35" s="34" t="n">
        <x:f>(24576)*(512)</x:f>
        <x:v>12582912</x:v>
      </x:c>
      <x:c r="G35" s="7" t="str">
        <x:v>DSA TP</x:v>
      </x:c>
      <x:c r="H35" s="7" t="str">
        <x:v>None</x:v>
      </x:c>
      <x:c r="I35" s="7" t="str">
        <x:v>否</x:v>
      </x:c>
      <x:c r="J35" s="44" t="n">
        <x:f>E35*SUM(AE35:AG35)/1073741824</x:f>
        <x:v>0.5625</x:v>
      </x:c>
      <x:c r="K35" s="44" t="n">
        <x:f>AA35</x:f>
        <x:v>0.5625</x:v>
      </x:c>
      <x:c r="L35" s="7" t="str">
        <x:f>IF(OR(D35="MXFP4",D35="MXFP8"),"group 32 / E8M0",IF(D35="INT8","channel / 8 B",IF(D35="INT4","channel / 16 B","")))</x:f>
      </x:c>
      <x:c r="M35" s="45" t="n">
        <x:f>$R$4</x:f>
        <x:v>1</x:v>
      </x:c>
      <x:c r="N35" s="7" t="str">
        <x:f>"["&amp;(24576/M35)&amp;","&amp;(512)&amp;"]"</x:f>
        <x:v>[24576,512]</x:v>
      </x:c>
      <x:c r="O35" s="34" t="n">
        <x:f>CHOOSE($R$22+1,24)</x:f>
        <x:v>24</x:v>
      </x:c>
      <x:c r="P35" s="2"/>
      <x:c r="Q35" s="7" t="str">
        <x:v>MXFP4</x:v>
      </x:c>
      <x:c r="R35" s="21" t="n">
        <x:v>0.5</x:v>
      </x:c>
      <x:c r="S35" s="8" t="str">
        <x:v>Indexer</x:v>
      </x:c>
      <x:c r="T35" s="8" t="n">
        <x:f>IF(R14="BF16",2,1)</x:f>
        <x:v>2</x:v>
      </x:c>
      <x:c r="U35" s="8" t="n">
        <x:f>R15</x:f>
        <x:v>0</x:v>
      </x:c>
      <x:c r="V35" s="8" t="n">
        <x:f>T13*T35+U35</x:f>
        <x:v>0</x:v>
      </x:c>
      <x:c r="W35" s="2"/>
      <x:c r="X35" s="2"/>
      <x:c r="Y35" s="2"/>
      <x:c r="Z35" s="2"/>
      <x:c r="AA35" s="38" t="n">
        <x:f>IF($R$30=1,SUM(AB35:AD35)*(24)/1073741824,NA())</x:f>
        <x:v>0.5625</x:v>
      </x:c>
      <x:c r="AB35" s="39" t="n">
        <x:f>(24576/M35)*ROUNDUP((512)*VLOOKUP(D35,$Q$32:$R$38,2,FALSE),0)</x:f>
        <x:v>25165824</x:v>
      </x:c>
      <x:c r="AC35" s="39" t="n">
        <x:f>IF(OR(D35="MXFP4",D35="MXFP8"),(24576/M35)*ROUNDUP((512)/32,0),0)</x:f>
        <x:v>0</x:v>
      </x:c>
      <x:c r="AD35" s="39" t="n">
        <x:f>IF(D35="INT8",(24576/M35)*8,IF(D35="INT4",(24576/M35)*16,0))</x:f>
        <x:v>0</x:v>
      </x:c>
      <x:c r="AE35" s="39" t="n">
        <x:f>(24576)*ROUNDUP((512)*VLOOKUP(D35,$Q$32:$R$38,2,FALSE),0)</x:f>
        <x:v>25165824</x:v>
      </x:c>
      <x:c r="AF35" s="39" t="n">
        <x:f>IF(OR(D35="MXFP4",D35="MXFP8"),(24576)*ROUNDUP((512)/32,0),0)</x:f>
        <x:v>0</x:v>
      </x:c>
      <x:c r="AG35" s="39" t="n">
        <x:f>IF(D35="INT8",(24576)*8,IF(D35="INT4",(24576)*16,0))</x:f>
        <x:v>0</x:v>
      </x:c>
    </x:row>
    <x:row r="36" ht="18" customHeight="1">
      <x:c r="A36" s="7" t="str">
        <x:v>Gated MLA</x:v>
      </x:c>
      <x:c r="B36" s="7" t="str">
        <x:v>g_proj</x:v>
      </x:c>
      <x:c r="C36" s="7" t="str">
        <x:v>[12288,7168]</x:v>
      </x:c>
      <x:c r="D36" s="10" t="str">
        <x:v>BF16</x:v>
      </x:c>
      <x:c r="E36" s="34" t="n">
        <x:v>24</x:v>
      </x:c>
      <x:c r="F36" s="34" t="n">
        <x:f>(12288)*(7168)</x:f>
        <x:v>88080384</x:v>
      </x:c>
      <x:c r="G36" s="7" t="str">
        <x:v>DSA TP</x:v>
      </x:c>
      <x:c r="H36" s="7" t="str">
        <x:v>None</x:v>
      </x:c>
      <x:c r="I36" s="7" t="str">
        <x:v>否</x:v>
      </x:c>
      <x:c r="J36" s="44" t="n">
        <x:f>E36*SUM(AE36:AG36)/1073741824</x:f>
        <x:v>3.9375</x:v>
      </x:c>
      <x:c r="K36" s="44" t="n">
        <x:f>AA36</x:f>
        <x:v>3.9375</x:v>
      </x:c>
      <x:c r="L36" s="7" t="str">
        <x:f>IF(OR(D36="MXFP4",D36="MXFP8"),"group 32 / E8M0",IF(D36="INT8","channel / 8 B",IF(D36="INT4","channel / 16 B","")))</x:f>
      </x:c>
      <x:c r="M36" s="45" t="n">
        <x:f>$R$4</x:f>
        <x:v>1</x:v>
      </x:c>
      <x:c r="N36" s="7" t="str">
        <x:f>"["&amp;(12288/M36)&amp;","&amp;(7168)&amp;"]"</x:f>
        <x:v>[12288,7168]</x:v>
      </x:c>
      <x:c r="O36" s="34" t="n">
        <x:f>CHOOSE($R$22+1,24)</x:f>
        <x:v>24</x:v>
      </x:c>
      <x:c r="P36" s="2"/>
      <x:c r="Q36" s="7" t="str">
        <x:v>MXFP8</x:v>
      </x:c>
      <x:c r="R36" s="21" t="n">
        <x:v>1</x:v>
      </x:c>
      <x:c r="S36" s="2"/>
      <x:c r="T36" s="2"/>
      <x:c r="U36" s="2"/>
      <x:c r="V36" s="2"/>
      <x:c r="W36" s="2"/>
      <x:c r="X36" s="2"/>
      <x:c r="Y36" s="2"/>
      <x:c r="Z36" s="2"/>
      <x:c r="AA36" s="38" t="n">
        <x:f>IF($R$30=1,SUM(AB36:AD36)*(24)/1073741824,NA())</x:f>
        <x:v>3.9375</x:v>
      </x:c>
      <x:c r="AB36" s="39" t="n">
        <x:f>(12288/M36)*ROUNDUP((7168)*VLOOKUP(D36,$Q$32:$R$38,2,FALSE),0)</x:f>
        <x:v>176160768</x:v>
      </x:c>
      <x:c r="AC36" s="39" t="n">
        <x:f>IF(OR(D36="MXFP4",D36="MXFP8"),(12288/M36)*ROUNDUP((7168)/32,0),0)</x:f>
        <x:v>0</x:v>
      </x:c>
      <x:c r="AD36" s="39" t="n">
        <x:f>IF(D36="INT8",(12288/M36)*8,IF(D36="INT4",(12288/M36)*16,0))</x:f>
        <x:v>0</x:v>
      </x:c>
      <x:c r="AE36" s="39" t="n">
        <x:f>(12288)*ROUNDUP((7168)*VLOOKUP(D36,$Q$32:$R$38,2,FALSE),0)</x:f>
        <x:v>176160768</x:v>
      </x:c>
      <x:c r="AF36" s="39" t="n">
        <x:f>IF(OR(D36="MXFP4",D36="MXFP8"),(12288)*ROUNDUP((7168)/32,0),0)</x:f>
        <x:v>0</x:v>
      </x:c>
      <x:c r="AG36" s="39" t="n">
        <x:f>IF(D36="INT8",(12288)*8,IF(D36="INT4",(12288)*16,0))</x:f>
        <x:v>0</x:v>
      </x:c>
    </x:row>
    <x:row r="37" ht="18" customHeight="1">
      <x:c r="A37" s="7" t="str">
        <x:v>Gated MLA</x:v>
      </x:c>
      <x:c r="B37" s="7" t="str">
        <x:v>o_proj</x:v>
      </x:c>
      <x:c r="C37" s="7" t="str">
        <x:v>[7168,12288]</x:v>
      </x:c>
      <x:c r="D37" s="10" t="str">
        <x:v>BF16</x:v>
      </x:c>
      <x:c r="E37" s="34" t="n">
        <x:v>24</x:v>
      </x:c>
      <x:c r="F37" s="34" t="n">
        <x:f>(7168)*(12288)</x:f>
        <x:v>88080384</x:v>
      </x:c>
      <x:c r="G37" s="7" t="str">
        <x:v>DSA O TP</x:v>
      </x:c>
      <x:c r="H37" s="7" t="str">
        <x:v>None</x:v>
      </x:c>
      <x:c r="I37" s="7" t="str">
        <x:v>否</x:v>
      </x:c>
      <x:c r="J37" s="44" t="n">
        <x:f>E37*SUM(AE37:AG37)/1073741824</x:f>
        <x:v>3.9375</x:v>
      </x:c>
      <x:c r="K37" s="44" t="n">
        <x:f>AA37</x:f>
        <x:v>0.24609375</x:v>
      </x:c>
      <x:c r="L37" s="7" t="str">
        <x:f>IF(OR(D37="MXFP4",D37="MXFP8"),"group 32 / E8M0",IF(D37="INT8","channel / 8 B",IF(D37="INT4","channel / 16 B","")))</x:f>
      </x:c>
      <x:c r="M37" s="45" t="n">
        <x:f>$R$5</x:f>
        <x:v>16</x:v>
      </x:c>
      <x:c r="N37" s="7" t="str">
        <x:f>"["&amp;(7168)&amp;","&amp;(12288/M37)&amp;"]"</x:f>
        <x:v>[7168,768]</x:v>
      </x:c>
      <x:c r="O37" s="34" t="n">
        <x:f>CHOOSE($R$22+1,24)</x:f>
        <x:v>24</x:v>
      </x:c>
      <x:c r="P37" s="2"/>
      <x:c r="Q37" s="7" t="str">
        <x:v>INT4</x:v>
      </x:c>
      <x:c r="R37" s="21" t="n">
        <x:v>0.5</x:v>
      </x:c>
      <x:c r="S37" s="2"/>
      <x:c r="T37" s="2"/>
      <x:c r="U37" s="2"/>
      <x:c r="V37" s="2"/>
      <x:c r="W37" s="2"/>
      <x:c r="X37" s="2"/>
      <x:c r="Y37" s="2"/>
      <x:c r="Z37" s="2"/>
      <x:c r="AA37" s="38" t="n">
        <x:f>IF($R$30=1,SUM(AB37:AD37)*(24)/1073741824,NA())</x:f>
        <x:v>0.24609375</x:v>
      </x:c>
      <x:c r="AB37" s="39" t="n">
        <x:f>(7168)*ROUNDUP((12288/M37)*VLOOKUP(D37,$Q$32:$R$38,2,FALSE),0)</x:f>
        <x:v>11010048</x:v>
      </x:c>
      <x:c r="AC37" s="39" t="n">
        <x:f>IF(OR(D37="MXFP4",D37="MXFP8"),(7168)*ROUNDUP((12288/M37)/32,0),0)</x:f>
        <x:v>0</x:v>
      </x:c>
      <x:c r="AD37" s="39" t="n">
        <x:f>IF(D37="INT8",(7168)*8,IF(D37="INT4",(7168)*16,0))</x:f>
        <x:v>0</x:v>
      </x:c>
      <x:c r="AE37" s="39" t="n">
        <x:f>(7168)*ROUNDUP((12288)*VLOOKUP(D37,$Q$32:$R$38,2,FALSE),0)</x:f>
        <x:v>176160768</x:v>
      </x:c>
      <x:c r="AF37" s="39" t="n">
        <x:f>IF(OR(D37="MXFP4",D37="MXFP8"),(7168)*ROUNDUP((12288)/32,0),0)</x:f>
        <x:v>0</x:v>
      </x:c>
      <x:c r="AG37" s="39" t="n">
        <x:f>IF(D37="INT8",(7168)*8,IF(D37="INT4",(7168)*16,0))</x:f>
        <x:v>0</x:v>
      </x:c>
    </x:row>
    <x:row r="38" ht="18" customHeight="1">
      <x:c r="A38" s="48" t="str">
        <x:v>MoE</x:v>
      </x:c>
      <x:c r="B38" s="48" t="str">
        <x:v>router.weight</x:v>
      </x:c>
      <x:c r="C38" s="48" t="str">
        <x:v>[896,7168]</x:v>
      </x:c>
      <x:c r="D38" s="49" t="str">
        <x:v>BF16</x:v>
      </x:c>
      <x:c r="E38" s="50" t="n">
        <x:v>92</x:v>
      </x:c>
      <x:c r="F38" s="50" t="n">
        <x:f>(896)*(7168)</x:f>
        <x:v>6422528</x:v>
      </x:c>
      <x:c r="G38" s="48" t="str">
        <x:v>Replicated</x:v>
      </x:c>
      <x:c r="H38" s="48" t="str">
        <x:v>None</x:v>
      </x:c>
      <x:c r="I38" s="48" t="str">
        <x:v>否</x:v>
      </x:c>
      <x:c r="J38" s="51" t="n">
        <x:f>E38*SUM(AE38:AG38)/1073741824</x:f>
        <x:v>1.1005859375</x:v>
      </x:c>
      <x:c r="K38" s="51" t="n">
        <x:f>AA38</x:f>
        <x:v>1.1005859375</x:v>
      </x:c>
      <x:c r="L38" s="48" t="str">
        <x:f>IF(OR(D38="MXFP4",D38="MXFP8"),"group 32 / E8M0",IF(D38="INT8","channel / 8 B",IF(D38="INT4","channel / 16 B","")))</x:f>
      </x:c>
      <x:c r="M38" s="52" t="n">
        <x:f>1</x:f>
        <x:v>1</x:v>
      </x:c>
      <x:c r="N38" s="48" t="str">
        <x:f>"["&amp;(896/M38)&amp;","&amp;(7168)&amp;"]"</x:f>
        <x:v>[896,7168]</x:v>
      </x:c>
      <x:c r="O38" s="50" t="n">
        <x:f>CHOOSE($R$22+1,92)</x:f>
        <x:v>92</x:v>
      </x:c>
      <x:c r="P38" s="2"/>
      <x:c r="Q38" s="8" t="str">
        <x:v>INT8</x:v>
      </x:c>
      <x:c r="R38" s="22" t="n">
        <x:v>1</x:v>
      </x:c>
      <x:c r="S38" s="2"/>
      <x:c r="T38" s="2"/>
      <x:c r="U38" s="2"/>
      <x:c r="V38" s="2"/>
      <x:c r="W38" s="2"/>
      <x:c r="X38" s="2"/>
      <x:c r="Y38" s="2"/>
      <x:c r="Z38" s="2"/>
      <x:c r="AA38" s="38" t="n">
        <x:f>IF($R$30=1,SUM(AB38:AD38)*(92)/1073741824,NA())</x:f>
        <x:v>1.1005859375</x:v>
      </x:c>
      <x:c r="AB38" s="39" t="n">
        <x:f>(896/M38)*ROUNDUP((7168)*VLOOKUP(D38,$Q$32:$R$38,2,FALSE),0)</x:f>
        <x:v>12845056</x:v>
      </x:c>
      <x:c r="AC38" s="39" t="n">
        <x:f>IF(OR(D38="MXFP4",D38="MXFP8"),(896/M38)*ROUNDUP((7168)/32,0),0)</x:f>
        <x:v>0</x:v>
      </x:c>
      <x:c r="AD38" s="39" t="n">
        <x:f>IF(D38="INT8",(896/M38)*8,IF(D38="INT4",(896/M38)*16,0))</x:f>
        <x:v>0</x:v>
      </x:c>
      <x:c r="AE38" s="39" t="n">
        <x:f>(896)*ROUNDUP((7168)*VLOOKUP(D38,$Q$32:$R$38,2,FALSE),0)</x:f>
        <x:v>12845056</x:v>
      </x:c>
      <x:c r="AF38" s="39" t="n">
        <x:f>IF(OR(D38="MXFP4",D38="MXFP8"),(896)*ROUNDUP((7168)/32,0),0)</x:f>
        <x:v>0</x:v>
      </x:c>
      <x:c r="AG38" s="39" t="n">
        <x:f>IF(D38="INT8",(896)*8,IF(D38="INT4",(896)*16,0))</x:f>
        <x:v>0</x:v>
      </x:c>
    </x:row>
    <x:row r="39" ht="18" customHeight="1">
      <x:c r="A39" s="7" t="str">
        <x:v>MoE</x:v>
      </x:c>
      <x:c r="B39" s="7" t="str">
        <x:v>e_score_correction_bias</x:v>
      </x:c>
      <x:c r="C39" s="7" t="str">
        <x:v>[896]</x:v>
      </x:c>
      <x:c r="D39" s="10" t="str">
        <x:v>BF16</x:v>
      </x:c>
      <x:c r="E39" s="34" t="n">
        <x:v>92</x:v>
      </x:c>
      <x:c r="F39" s="34" t="n">
        <x:f>(896)</x:f>
        <x:v>896</x:v>
      </x:c>
      <x:c r="G39" s="7" t="str">
        <x:v>Replicated</x:v>
      </x:c>
      <x:c r="H39" s="7" t="str">
        <x:v>None</x:v>
      </x:c>
      <x:c r="I39" s="7" t="str">
        <x:v>否</x:v>
      </x:c>
      <x:c r="J39" s="44" t="n">
        <x:f>E39*SUM(AE39:AG39)/1073741824</x:f>
        <x:v>0.00015354156494140625</x:v>
      </x:c>
      <x:c r="K39" s="44" t="n">
        <x:f>AA39</x:f>
        <x:v>0.00015354156494140625</x:v>
      </x:c>
      <x:c r="L39" s="7" t="str">
        <x:f>IF(OR(D39="MXFP4",D39="MXFP8"),"group 32 / E8M0",IF(D39="INT8","channel / 8 B",IF(D39="INT4","channel / 16 B","")))</x:f>
      </x:c>
      <x:c r="M39" s="45" t="n">
        <x:f>1</x:f>
        <x:v>1</x:v>
      </x:c>
      <x:c r="N39" s="7" t="str">
        <x:f>"["&amp;(896/M39)&amp;"]"</x:f>
        <x:v>[896]</x:v>
      </x:c>
      <x:c r="O39" s="34" t="n">
        <x:f>CHOOSE($R$22+1,92)</x:f>
        <x:v>92</x:v>
      </x:c>
      <x:c r="P39" s="2"/>
      <x:c r="Q39" s="5" t="str">
        <x:v>结构</x:v>
      </x:c>
      <x:c r="R39" s="5" t="str">
        <x:v>单卡层数</x:v>
      </x:c>
      <x:c r="S39" s="5" t="str">
        <x:v>每层实例数</x:v>
      </x:c>
      <x:c r="T39" s="5" t="str">
        <x:v>单卡重复总数</x:v>
      </x:c>
      <x:c r="U39" s="5" t="str">
        <x:v>每实例 GiB</x:v>
      </x:c>
      <x:c r="V39" s="5" t="str">
        <x:v>单卡合计 GiB</x:v>
      </x:c>
      <x:c r="W39" s="5" t="str">
        <x:v>占权重比例</x:v>
      </x:c>
      <x:c r="X39" s="5" t="str">
        <x:v>组成</x:v>
      </x:c>
      <x:c r="Y39" s="2"/>
      <x:c r="Z39" s="2"/>
      <x:c r="AA39" s="38" t="n">
        <x:f>IF($R$30=1,SUM(AB39:AD39)*(92)/1073741824,NA())</x:f>
        <x:v>0.00015354156494140625</x:v>
      </x:c>
      <x:c r="AB39" s="39" t="n">
        <x:f>1*ROUNDUP((896/M39)*VLOOKUP(D39,$Q$32:$R$38,2,FALSE),0)</x:f>
        <x:v>1792</x:v>
      </x:c>
      <x:c r="AC39" s="39" t="n">
        <x:f>IF(OR(D39="MXFP4",D39="MXFP8"),1*ROUNDUP((896/M39)/32,0),0)</x:f>
        <x:v>0</x:v>
      </x:c>
      <x:c r="AD39" s="39" t="n">
        <x:f>IF(D39="INT8",(896/M39)*8,IF(D39="INT4",(896/M39)*16,0))</x:f>
        <x:v>0</x:v>
      </x:c>
      <x:c r="AE39" s="39" t="n">
        <x:f>1*ROUNDUP((896)*VLOOKUP(D39,$Q$32:$R$38,2,FALSE),0)</x:f>
        <x:v>1792</x:v>
      </x:c>
      <x:c r="AF39" s="39" t="n">
        <x:f>IF(OR(D39="MXFP4",D39="MXFP8"),1*ROUNDUP((896)/32,0),0)</x:f>
        <x:v>0</x:v>
      </x:c>
      <x:c r="AG39" s="39" t="n">
        <x:f>IF(D39="INT8",(896)*8,IF(D39="INT4",(896)*16,0))</x:f>
        <x:v>0</x:v>
      </x:c>
    </x:row>
    <x:row r="40" ht="18" customHeight="1">
      <x:c r="A40" s="7" t="str">
        <x:v>MoE</x:v>
      </x:c>
      <x:c r="B40" s="7" t="str">
        <x:v>routed_expert_down_proj</x:v>
      </x:c>
      <x:c r="C40" s="7" t="str">
        <x:v>[3584,7168]</x:v>
      </x:c>
      <x:c r="D40" s="10" t="str">
        <x:v>BF16</x:v>
      </x:c>
      <x:c r="E40" s="34" t="n">
        <x:v>92</x:v>
      </x:c>
      <x:c r="F40" s="34" t="n">
        <x:f>(3584)*(7168)</x:f>
        <x:v>25690112</x:v>
      </x:c>
      <x:c r="G40" s="7" t="str">
        <x:v>Replicated</x:v>
      </x:c>
      <x:c r="H40" s="7" t="str">
        <x:v>None</x:v>
      </x:c>
      <x:c r="I40" s="7" t="str">
        <x:v>否</x:v>
      </x:c>
      <x:c r="J40" s="44" t="n">
        <x:f>E40*SUM(AE40:AG40)/1073741824</x:f>
        <x:v>4.40234375</x:v>
      </x:c>
      <x:c r="K40" s="44" t="n">
        <x:f>AA40</x:f>
        <x:v>4.40234375</x:v>
      </x:c>
      <x:c r="L40" s="7" t="str">
        <x:f>IF(OR(D40="MXFP4",D40="MXFP8"),"group 32 / E8M0",IF(D40="INT8","channel / 8 B",IF(D40="INT4","channel / 16 B","")))</x:f>
      </x:c>
      <x:c r="M40" s="45" t="n">
        <x:f>1</x:f>
        <x:v>1</x:v>
      </x:c>
      <x:c r="N40" s="7" t="str">
        <x:f>"["&amp;(3584/M40)&amp;","&amp;(7168)&amp;"]"</x:f>
        <x:v>[3584,7168]</x:v>
      </x:c>
      <x:c r="O40" s="34" t="n">
        <x:f>CHOOSE($R$22+1,92)</x:f>
        <x:v>92</x:v>
      </x:c>
      <x:c r="P40" s="2"/>
      <x:c r="Q40" s="6" t="str">
        <x:v>embedding</x:v>
      </x:c>
      <x:c r="R40" s="6" t="n">
        <x:f>CHOOSE($R$22+1,1)</x:f>
        <x:v>1</x:v>
      </x:c>
      <x:c r="S40" s="6" t="n">
        <x:f>1</x:f>
        <x:v>1</x:v>
      </x:c>
      <x:c r="T40" s="6" t="n">
        <x:f>R40*S40</x:f>
        <x:v>1</x:v>
      </x:c>
      <x:c r="U40" s="27" t="n">
        <x:f>IF(T40=0,0,V40/T40)</x:f>
        <x:v>0.13671875</x:v>
      </x:c>
      <x:c r="V40" s="27" t="n">
        <x:f>SUM(K2)</x:f>
        <x:v>0.13671875</x:v>
      </x:c>
      <x:c r="W40" s="30" t="n">
        <x:f>V40/$R$23</x:f>
        <x:v>0.004092265881372876</x:v>
      </x:c>
      <x:c r="X40" s="6" t="str"/>
      <x:c r="Y40" s="2"/>
      <x:c r="Z40" s="2"/>
      <x:c r="AA40" s="38" t="n">
        <x:f>IF($R$30=1,SUM(AB40:AD40)*(92)/1073741824,NA())</x:f>
        <x:v>4.40234375</x:v>
      </x:c>
      <x:c r="AB40" s="39" t="n">
        <x:f>(3584/M40)*ROUNDUP((7168)*VLOOKUP(D40,$Q$32:$R$38,2,FALSE),0)</x:f>
        <x:v>51380224</x:v>
      </x:c>
      <x:c r="AC40" s="39" t="n">
        <x:f>IF(OR(D40="MXFP4",D40="MXFP8"),(3584/M40)*ROUNDUP((7168)/32,0),0)</x:f>
        <x:v>0</x:v>
      </x:c>
      <x:c r="AD40" s="39" t="n">
        <x:f>IF(D40="INT8",(3584/M40)*8,IF(D40="INT4",(3584/M40)*16,0))</x:f>
        <x:v>0</x:v>
      </x:c>
      <x:c r="AE40" s="39" t="n">
        <x:f>(3584)*ROUNDUP((7168)*VLOOKUP(D40,$Q$32:$R$38,2,FALSE),0)</x:f>
        <x:v>51380224</x:v>
      </x:c>
      <x:c r="AF40" s="39" t="n">
        <x:f>IF(OR(D40="MXFP4",D40="MXFP8"),(3584)*ROUNDUP((7168)/32,0),0)</x:f>
        <x:v>0</x:v>
      </x:c>
      <x:c r="AG40" s="39" t="n">
        <x:f>IF(D40="INT8",(3584)*8,IF(D40="INT4",(3584)*16,0))</x:f>
        <x:v>0</x:v>
      </x:c>
    </x:row>
    <x:row r="41" ht="18" customHeight="1">
      <x:c r="A41" s="7" t="str">
        <x:v>MoE</x:v>
      </x:c>
      <x:c r="B41" s="7" t="str">
        <x:v>routed_expert_norm.weight</x:v>
      </x:c>
      <x:c r="C41" s="7" t="str">
        <x:v>[3584]</x:v>
      </x:c>
      <x:c r="D41" s="10" t="str">
        <x:v>BF16</x:v>
      </x:c>
      <x:c r="E41" s="34" t="n">
        <x:v>92</x:v>
      </x:c>
      <x:c r="F41" s="34" t="n">
        <x:f>(3584)</x:f>
        <x:v>3584</x:v>
      </x:c>
      <x:c r="G41" s="7" t="str">
        <x:v>Replicated</x:v>
      </x:c>
      <x:c r="H41" s="7" t="str">
        <x:v>None</x:v>
      </x:c>
      <x:c r="I41" s="7" t="str">
        <x:v>否</x:v>
      </x:c>
      <x:c r="J41" s="44" t="n">
        <x:f>E41*SUM(AE41:AG41)/1073741824</x:f>
        <x:v>0.000614166259765625</x:v>
      </x:c>
      <x:c r="K41" s="44" t="n">
        <x:f>AA41</x:f>
        <x:v>0.000614166259765625</x:v>
      </x:c>
      <x:c r="L41" s="7" t="str">
        <x:f>IF(OR(D41="MXFP4",D41="MXFP8"),"group 32 / E8M0",IF(D41="INT8","channel / 8 B",IF(D41="INT4","channel / 16 B","")))</x:f>
      </x:c>
      <x:c r="M41" s="45" t="n">
        <x:f>1</x:f>
        <x:v>1</x:v>
      </x:c>
      <x:c r="N41" s="7" t="str">
        <x:f>"["&amp;(3584/M41)&amp;"]"</x:f>
        <x:v>[3584]</x:v>
      </x:c>
      <x:c r="O41" s="34" t="n">
        <x:f>CHOOSE($R$22+1,92)</x:f>
        <x:v>92</x:v>
      </x:c>
      <x:c r="P41" s="2"/>
      <x:c r="Q41" s="7" t="str">
        <x:v>lm_head</x:v>
      </x:c>
      <x:c r="R41" s="7" t="n">
        <x:f>CHOOSE($R$22+1,1)</x:f>
        <x:v>1</x:v>
      </x:c>
      <x:c r="S41" s="7" t="n">
        <x:f>1</x:f>
        <x:v>1</x:v>
      </x:c>
      <x:c r="T41" s="7" t="n">
        <x:f>R41*S41</x:f>
        <x:v>1</x:v>
      </x:c>
      <x:c r="U41" s="28" t="n">
        <x:f>IF(T41=0,0,V41/T41)</x:f>
        <x:v>0.13671875</x:v>
      </x:c>
      <x:c r="V41" s="28" t="n">
        <x:f>SUM(K3)</x:f>
        <x:v>0.13671875</x:v>
      </x:c>
      <x:c r="W41" s="31" t="n">
        <x:f>V41/$R$23</x:f>
        <x:v>0.004092265881372876</x:v>
      </x:c>
      <x:c r="X41" s="7" t="str"/>
      <x:c r="Y41" s="2"/>
      <x:c r="Z41" s="2"/>
      <x:c r="AA41" s="38" t="n">
        <x:f>IF($R$30=1,SUM(AB41:AD41)*(92)/1073741824,NA())</x:f>
        <x:v>0.000614166259765625</x:v>
      </x:c>
      <x:c r="AB41" s="39" t="n">
        <x:f>1*ROUNDUP((3584/M41)*VLOOKUP(D41,$Q$32:$R$38,2,FALSE),0)</x:f>
        <x:v>7168</x:v>
      </x:c>
      <x:c r="AC41" s="39" t="n">
        <x:f>IF(OR(D41="MXFP4",D41="MXFP8"),1*ROUNDUP((3584/M41)/32,0),0)</x:f>
        <x:v>0</x:v>
      </x:c>
      <x:c r="AD41" s="39" t="n">
        <x:f>IF(D41="INT8",(3584/M41)*8,IF(D41="INT4",(3584/M41)*16,0))</x:f>
        <x:v>0</x:v>
      </x:c>
      <x:c r="AE41" s="39" t="n">
        <x:f>1*ROUNDUP((3584)*VLOOKUP(D41,$Q$32:$R$38,2,FALSE),0)</x:f>
        <x:v>7168</x:v>
      </x:c>
      <x:c r="AF41" s="39" t="n">
        <x:f>IF(OR(D41="MXFP4",D41="MXFP8"),1*ROUNDUP((3584)/32,0),0)</x:f>
        <x:v>0</x:v>
      </x:c>
      <x:c r="AG41" s="39" t="n">
        <x:f>IF(D41="INT8",(3584)*8,IF(D41="INT4",(3584)*16,0))</x:f>
        <x:v>0</x:v>
      </x:c>
    </x:row>
    <x:row r="42" ht="18" customHeight="1">
      <x:c r="A42" s="7" t="str">
        <x:v>MoE</x:v>
      </x:c>
      <x:c r="B42" s="7" t="str">
        <x:v>routed_expert_up_proj</x:v>
      </x:c>
      <x:c r="C42" s="7" t="str">
        <x:v>[7168,3584]</x:v>
      </x:c>
      <x:c r="D42" s="10" t="str">
        <x:v>BF16</x:v>
      </x:c>
      <x:c r="E42" s="34" t="n">
        <x:v>92</x:v>
      </x:c>
      <x:c r="F42" s="34" t="n">
        <x:f>(7168)*(3584)</x:f>
        <x:v>25690112</x:v>
      </x:c>
      <x:c r="G42" s="7" t="str">
        <x:v>Replicated</x:v>
      </x:c>
      <x:c r="H42" s="7" t="str">
        <x:v>None</x:v>
      </x:c>
      <x:c r="I42" s="7" t="str">
        <x:v>否</x:v>
      </x:c>
      <x:c r="J42" s="44" t="n">
        <x:f>E42*SUM(AE42:AG42)/1073741824</x:f>
        <x:v>4.40234375</x:v>
      </x:c>
      <x:c r="K42" s="44" t="n">
        <x:f>AA42</x:f>
        <x:v>4.40234375</x:v>
      </x:c>
      <x:c r="L42" s="7" t="str">
        <x:f>IF(OR(D42="MXFP4",D42="MXFP8"),"group 32 / E8M0",IF(D42="INT8","channel / 8 B",IF(D42="INT4","channel / 16 B","")))</x:f>
      </x:c>
      <x:c r="M42" s="45" t="n">
        <x:f>1</x:f>
        <x:v>1</x:v>
      </x:c>
      <x:c r="N42" s="7" t="str">
        <x:f>"["&amp;(7168/M42)&amp;","&amp;(3584)&amp;"]"</x:f>
        <x:v>[7168,3584]</x:v>
      </x:c>
      <x:c r="O42" s="34" t="n">
        <x:f>CHOOSE($R$22+1,92)</x:f>
        <x:v>92</x:v>
      </x:c>
      <x:c r="P42" s="2"/>
      <x:c r="Q42" s="7" t="str">
        <x:v>Decoder norms / residual</x:v>
      </x:c>
      <x:c r="R42" s="7" t="n">
        <x:f>CHOOSE($R$22+1,93)</x:f>
        <x:v>93</x:v>
      </x:c>
      <x:c r="S42" s="7" t="n">
        <x:f>1</x:f>
        <x:v>1</x:v>
      </x:c>
      <x:c r="T42" s="7" t="n">
        <x:f>R42*S42</x:f>
        <x:v>93</x:v>
      </x:c>
      <x:c r="U42" s="28" t="n">
        <x:f>IF(T42=0,0,V42/T42)</x:f>
        <x:v>0.000080108642578125</x:v>
      </x:c>
      <x:c r="V42" s="28" t="n">
        <x:f>SUM(K4,K5,K6,K7,K8,K9)</x:f>
        <x:v>0.007450103759765625</x:v>
      </x:c>
      <x:c r="W42" s="31" t="n">
        <x:f>V42/$R$23</x:f>
        <x:v>0.0002229965197076235</x:v>
      </x:c>
      <x:c r="X42" s="7" t="str"/>
      <x:c r="Y42" s="2"/>
      <x:c r="Z42" s="2"/>
      <x:c r="AA42" s="38" t="n">
        <x:f>IF($R$30=1,SUM(AB42:AD42)*(92)/1073741824,NA())</x:f>
        <x:v>4.40234375</x:v>
      </x:c>
      <x:c r="AB42" s="39" t="n">
        <x:f>(7168/M42)*ROUNDUP((3584)*VLOOKUP(D42,$Q$32:$R$38,2,FALSE),0)</x:f>
        <x:v>51380224</x:v>
      </x:c>
      <x:c r="AC42" s="39" t="n">
        <x:f>IF(OR(D42="MXFP4",D42="MXFP8"),(7168/M42)*ROUNDUP((3584)/32,0),0)</x:f>
        <x:v>0</x:v>
      </x:c>
      <x:c r="AD42" s="39" t="n">
        <x:f>IF(D42="INT8",(7168/M42)*8,IF(D42="INT4",(7168/M42)*16,0))</x:f>
        <x:v>0</x:v>
      </x:c>
      <x:c r="AE42" s="39" t="n">
        <x:f>(7168)*ROUNDUP((3584)*VLOOKUP(D42,$Q$32:$R$38,2,FALSE),0)</x:f>
        <x:v>51380224</x:v>
      </x:c>
      <x:c r="AF42" s="39" t="n">
        <x:f>IF(OR(D42="MXFP4",D42="MXFP8"),(7168)*ROUNDUP((3584)/32,0),0)</x:f>
        <x:v>0</x:v>
      </x:c>
      <x:c r="AG42" s="39" t="n">
        <x:f>IF(D42="INT8",(7168)*8,IF(D42="INT4",(7168)*16,0))</x:f>
        <x:v>0</x:v>
      </x:c>
    </x:row>
    <x:row r="43" ht="18" customHeight="1">
      <x:c r="A43" s="7" t="str">
        <x:v>MoE</x:v>
      </x:c>
      <x:c r="B43" s="7" t="str">
        <x:v>experts.*.w1</x:v>
      </x:c>
      <x:c r="C43" s="7" t="str">
        <x:v>[3072,3584]</x:v>
      </x:c>
      <x:c r="D43" s="10" t="str">
        <x:v>MXFP4</x:v>
      </x:c>
      <x:c r="E43" s="34" t="n">
        <x:v>82432</x:v>
      </x:c>
      <x:c r="F43" s="34" t="n">
        <x:f>(3072)*(3584)</x:f>
        <x:v>11010048</x:v>
      </x:c>
      <x:c r="G43" s="7" t="str">
        <x:v>EP</x:v>
      </x:c>
      <x:c r="H43" s="7" t="str">
        <x:v>EP</x:v>
      </x:c>
      <x:c r="I43" s="7" t="str">
        <x:v>否</x:v>
      </x:c>
      <x:c r="J43" s="44" t="n">
        <x:f>E43*SUM(AE43:AG43)/1073741824</x:f>
        <x:v>449.0390625</x:v>
      </x:c>
      <x:c r="K43" s="44" t="n">
        <x:f>AA43</x:f>
        <x:v>3.50811767578125</x:v>
      </x:c>
      <x:c r="L43" s="7" t="str">
        <x:f>IF(OR(D43="MXFP4",D43="MXFP8"),"group 32 / E8M0",IF(D43="INT8","channel / 8 B",IF(D43="INT4","channel / 16 B","")))</x:f>
        <x:v>group 32 / E8M0</x:v>
      </x:c>
      <x:c r="M43" s="45" t="n">
        <x:f>1</x:f>
        <x:v>1</x:v>
      </x:c>
      <x:c r="N43" s="7" t="str">
        <x:f>"["&amp;(3072/M43)&amp;","&amp;(3584)&amp;"]"</x:f>
        <x:v>[3072,3584]</x:v>
      </x:c>
      <x:c r="O43" s="34" t="n">
        <x:f>CHOOSE($R$22+1,92*ROUNDUP(896/$R$9,0))</x:f>
        <x:v>644</x:v>
      </x:c>
      <x:c r="P43" s="2"/>
      <x:c r="Q43" s="7" t="str">
        <x:v>Final norm / residual</x:v>
      </x:c>
      <x:c r="R43" s="7" t="n">
        <x:f>CHOOSE($R$22+1,1)</x:f>
        <x:v>1</x:v>
      </x:c>
      <x:c r="S43" s="7" t="n">
        <x:f>1</x:f>
        <x:v>1</x:v>
      </x:c>
      <x:c r="T43" s="7" t="n">
        <x:f>R43*S43</x:f>
        <x:v>1</x:v>
      </x:c>
      <x:c r="U43" s="28" t="n">
        <x:f>IF(T43=0,0,V43/T43)</x:f>
        <x:v>0.0000400543212890625</x:v>
      </x:c>
      <x:c r="V43" s="28" t="n">
        <x:f>SUM(K10,K11,K12)</x:f>
        <x:v>0.0000400543212890625</x:v>
      </x:c>
      <x:c r="W43" s="31" t="n">
        <x:f>V43/$R$23</x:f>
        <x:v>0.0000011989060199334597</x:v>
      </x:c>
      <x:c r="X43" s="7" t="str"/>
      <x:c r="Y43" s="2"/>
      <x:c r="Z43" s="2"/>
      <x:c r="AA43" s="38" t="n">
        <x:f>IF($R$30=1,SUM(AB43:AD43)*(92*ROUNDUP(896/$R$9,0))/1073741824,NA())</x:f>
        <x:v>3.50811767578125</x:v>
      </x:c>
      <x:c r="AB43" s="39" t="n">
        <x:f>(3072/M43)*ROUNDUP((3584)*VLOOKUP(D43,$Q$32:$R$38,2,FALSE),0)</x:f>
        <x:v>5505024</x:v>
      </x:c>
      <x:c r="AC43" s="39" t="n">
        <x:f>IF(OR(D43="MXFP4",D43="MXFP8"),(3072/M43)*ROUNDUP((3584)/32,0),0)</x:f>
        <x:v>344064</x:v>
      </x:c>
      <x:c r="AD43" s="39" t="n">
        <x:f>IF(D43="INT8",(3072/M43)*8,IF(D43="INT4",(3072/M43)*16,0))</x:f>
        <x:v>0</x:v>
      </x:c>
      <x:c r="AE43" s="39" t="n">
        <x:f>(3072)*ROUNDUP((3584)*VLOOKUP(D43,$Q$32:$R$38,2,FALSE),0)</x:f>
        <x:v>5505024</x:v>
      </x:c>
      <x:c r="AF43" s="39" t="n">
        <x:f>IF(OR(D43="MXFP4",D43="MXFP8"),(3072)*ROUNDUP((3584)/32,0),0)</x:f>
        <x:v>344064</x:v>
      </x:c>
      <x:c r="AG43" s="39" t="n">
        <x:f>IF(D43="INT8",(3072)*8,IF(D43="INT4",(3072)*16,0))</x:f>
        <x:v>0</x:v>
      </x:c>
    </x:row>
    <x:row r="44" ht="18" customHeight="1">
      <x:c r="A44" s="7" t="str">
        <x:v>MoE</x:v>
      </x:c>
      <x:c r="B44" s="7" t="str">
        <x:v>experts.*.w3</x:v>
      </x:c>
      <x:c r="C44" s="7" t="str">
        <x:v>[3072,3584]</x:v>
      </x:c>
      <x:c r="D44" s="10" t="str">
        <x:v>MXFP4</x:v>
      </x:c>
      <x:c r="E44" s="34" t="n">
        <x:v>82432</x:v>
      </x:c>
      <x:c r="F44" s="34" t="n">
        <x:f>(3072)*(3584)</x:f>
        <x:v>11010048</x:v>
      </x:c>
      <x:c r="G44" s="7" t="str">
        <x:v>EP</x:v>
      </x:c>
      <x:c r="H44" s="7" t="str">
        <x:v>EP</x:v>
      </x:c>
      <x:c r="I44" s="7" t="str">
        <x:v>否</x:v>
      </x:c>
      <x:c r="J44" s="44" t="n">
        <x:f>E44*SUM(AE44:AG44)/1073741824</x:f>
        <x:v>449.0390625</x:v>
      </x:c>
      <x:c r="K44" s="44" t="n">
        <x:f>AA44</x:f>
        <x:v>3.50811767578125</x:v>
      </x:c>
      <x:c r="L44" s="7" t="str">
        <x:f>IF(OR(D44="MXFP4",D44="MXFP8"),"group 32 / E8M0",IF(D44="INT8","channel / 8 B",IF(D44="INT4","channel / 16 B","")))</x:f>
        <x:v>group 32 / E8M0</x:v>
      </x:c>
      <x:c r="M44" s="45" t="n">
        <x:f>1</x:f>
        <x:v>1</x:v>
      </x:c>
      <x:c r="N44" s="7" t="str">
        <x:f>"["&amp;(3072/M44)&amp;","&amp;(3584)&amp;"]"</x:f>
        <x:v>[3072,3584]</x:v>
      </x:c>
      <x:c r="O44" s="34" t="n">
        <x:f>CHOOSE($R$22+1,92*ROUNDUP(896/$R$9,0))</x:f>
        <x:v>644</x:v>
      </x:c>
      <x:c r="P44" s="2"/>
      <x:c r="Q44" s="7" t="str">
        <x:v>Dense MLP</x:v>
      </x:c>
      <x:c r="R44" s="7" t="n">
        <x:f>CHOOSE($R$22+1,1)</x:f>
        <x:v>1</x:v>
      </x:c>
      <x:c r="S44" s="7" t="n">
        <x:f>1</x:f>
        <x:v>1</x:v>
      </x:c>
      <x:c r="T44" s="7" t="n">
        <x:f>R44*S44</x:f>
        <x:v>1</x:v>
      </x:c>
      <x:c r="U44" s="28" t="n">
        <x:f>IF(T44=0,0,V44/T44)</x:f>
        <x:v>0.0845947265625</x:v>
      </x:c>
      <x:c r="V44" s="28" t="n">
        <x:f>SUM(K13,K14,K15)</x:f>
        <x:v>0.0845947265625</x:v>
      </x:c>
      <x:c r="W44" s="31" t="n">
        <x:f>V44/$R$23</x:f>
        <x:v>0.002532089514099467</x:v>
      </x:c>
      <x:c r="X44" s="7" t="str"/>
      <x:c r="Y44" s="2"/>
      <x:c r="Z44" s="2"/>
      <x:c r="AA44" s="38" t="n">
        <x:f>IF($R$30=1,SUM(AB44:AD44)*(92*ROUNDUP(896/$R$9,0))/1073741824,NA())</x:f>
        <x:v>3.50811767578125</x:v>
      </x:c>
      <x:c r="AB44" s="39" t="n">
        <x:f>(3072/M44)*ROUNDUP((3584)*VLOOKUP(D44,$Q$32:$R$38,2,FALSE),0)</x:f>
        <x:v>5505024</x:v>
      </x:c>
      <x:c r="AC44" s="39" t="n">
        <x:f>IF(OR(D44="MXFP4",D44="MXFP8"),(3072/M44)*ROUNDUP((3584)/32,0),0)</x:f>
        <x:v>344064</x:v>
      </x:c>
      <x:c r="AD44" s="39" t="n">
        <x:f>IF(D44="INT8",(3072/M44)*8,IF(D44="INT4",(3072/M44)*16,0))</x:f>
        <x:v>0</x:v>
      </x:c>
      <x:c r="AE44" s="39" t="n">
        <x:f>(3072)*ROUNDUP((3584)*VLOOKUP(D44,$Q$32:$R$38,2,FALSE),0)</x:f>
        <x:v>5505024</x:v>
      </x:c>
      <x:c r="AF44" s="39" t="n">
        <x:f>IF(OR(D44="MXFP4",D44="MXFP8"),(3072)*ROUNDUP((3584)/32,0),0)</x:f>
        <x:v>344064</x:v>
      </x:c>
      <x:c r="AG44" s="39" t="n">
        <x:f>IF(D44="INT8",(3072)*8,IF(D44="INT4",(3072)*16,0))</x:f>
        <x:v>0</x:v>
      </x:c>
    </x:row>
    <x:row r="45" ht="18" customHeight="1">
      <x:c r="A45" s="7" t="str">
        <x:v>MoE</x:v>
      </x:c>
      <x:c r="B45" s="7" t="str">
        <x:v>experts.*.w2</x:v>
      </x:c>
      <x:c r="C45" s="7" t="str">
        <x:v>[3584,3072]</x:v>
      </x:c>
      <x:c r="D45" s="10" t="str">
        <x:v>MXFP4</x:v>
      </x:c>
      <x:c r="E45" s="34" t="n">
        <x:v>82432</x:v>
      </x:c>
      <x:c r="F45" s="34" t="n">
        <x:f>(3584)*(3072)</x:f>
        <x:v>11010048</x:v>
      </x:c>
      <x:c r="G45" s="7" t="str">
        <x:v>EP</x:v>
      </x:c>
      <x:c r="H45" s="7" t="str">
        <x:v>EP</x:v>
      </x:c>
      <x:c r="I45" s="7" t="str">
        <x:v>否</x:v>
      </x:c>
      <x:c r="J45" s="44" t="n">
        <x:f>E45*SUM(AE45:AG45)/1073741824</x:f>
        <x:v>449.0390625</x:v>
      </x:c>
      <x:c r="K45" s="44" t="n">
        <x:f>AA45</x:f>
        <x:v>3.50811767578125</x:v>
      </x:c>
      <x:c r="L45" s="7" t="str">
        <x:f>IF(OR(D45="MXFP4",D45="MXFP8"),"group 32 / E8M0",IF(D45="INT8","channel / 8 B",IF(D45="INT4","channel / 16 B","")))</x:f>
        <x:v>group 32 / E8M0</x:v>
      </x:c>
      <x:c r="M45" s="45" t="n">
        <x:f>1</x:f>
        <x:v>1</x:v>
      </x:c>
      <x:c r="N45" s="7" t="str">
        <x:f>"["&amp;(3584/M45)&amp;","&amp;(3072)&amp;"]"</x:f>
        <x:v>[3584,3072]</x:v>
      </x:c>
      <x:c r="O45" s="34" t="n">
        <x:f>CHOOSE($R$22+1,92*ROUNDUP(896/$R$9,0))</x:f>
        <x:v>644</x:v>
      </x:c>
      <x:c r="P45" s="2"/>
      <x:c r="Q45" s="7" t="str">
        <x:v>KDA</x:v>
      </x:c>
      <x:c r="R45" s="7" t="n">
        <x:f>CHOOSE($R$22+1,69)</x:f>
        <x:v>69</x:v>
      </x:c>
      <x:c r="S45" s="7" t="n">
        <x:f>1</x:f>
        <x:v>1</x:v>
      </x:c>
      <x:c r="T45" s="7" t="n">
        <x:f>R45*S45</x:f>
        <x:v>69</x:v>
      </x:c>
      <x:c r="U45" s="28" t="n">
        <x:f>IF(T45=0,0,V45/T45)</x:f>
        <x:v>0.05327918380498886</x:v>
      </x:c>
      <x:c r="V45" s="28" t="n">
        <x:f>SUM(K16,K17,K18,K19,K20,K21,K22,K23,K24,K25,K26,K27,K28,K29)</x:f>
        <x:v>3.6762636825442314</x:v>
      </x:c>
      <x:c r="W45" s="31" t="n">
        <x:f>V45/$R$23</x:f>
        <x:v>0.11003793143958648</x:v>
      </x:c>
      <x:c r="X45" s="7" t="str"/>
      <x:c r="Y45" s="2"/>
      <x:c r="Z45" s="2"/>
      <x:c r="AA45" s="38" t="n">
        <x:f>IF($R$30=1,SUM(AB45:AD45)*(92*ROUNDUP(896/$R$9,0))/1073741824,NA())</x:f>
        <x:v>3.50811767578125</x:v>
      </x:c>
      <x:c r="AB45" s="39" t="n">
        <x:f>(3584/M45)*ROUNDUP((3072)*VLOOKUP(D45,$Q$32:$R$38,2,FALSE),0)</x:f>
        <x:v>5505024</x:v>
      </x:c>
      <x:c r="AC45" s="39" t="n">
        <x:f>IF(OR(D45="MXFP4",D45="MXFP8"),(3584/M45)*ROUNDUP((3072)/32,0),0)</x:f>
        <x:v>344064</x:v>
      </x:c>
      <x:c r="AD45" s="39" t="n">
        <x:f>IF(D45="INT8",(3584/M45)*8,IF(D45="INT4",(3584/M45)*16,0))</x:f>
        <x:v>0</x:v>
      </x:c>
      <x:c r="AE45" s="39" t="n">
        <x:f>(3584)*ROUNDUP((3072)*VLOOKUP(D45,$Q$32:$R$38,2,FALSE),0)</x:f>
        <x:v>5505024</x:v>
      </x:c>
      <x:c r="AF45" s="39" t="n">
        <x:f>IF(OR(D45="MXFP4",D45="MXFP8"),(3584)*ROUNDUP((3072)/32,0),0)</x:f>
        <x:v>344064</x:v>
      </x:c>
      <x:c r="AG45" s="39" t="n">
        <x:f>IF(D45="INT8",(3584)*8,IF(D45="INT4",(3584)*16,0))</x:f>
        <x:v>0</x:v>
      </x:c>
    </x:row>
    <x:row r="46" ht="18" customHeight="1">
      <x:c r="A46" s="7" t="str">
        <x:v>MoE</x:v>
      </x:c>
      <x:c r="B46" s="7" t="str">
        <x:v>shared_experts.gate_proj</x:v>
      </x:c>
      <x:c r="C46" s="7" t="str">
        <x:v>[6144,7168]</x:v>
      </x:c>
      <x:c r="D46" s="10" t="str">
        <x:v>BF16</x:v>
      </x:c>
      <x:c r="E46" s="34" t="n">
        <x:v>92</x:v>
      </x:c>
      <x:c r="F46" s="34" t="n">
        <x:f>(6144)*(7168)</x:f>
        <x:v>44040192</x:v>
      </x:c>
      <x:c r="G46" s="7" t="str">
        <x:v>Shared TP</x:v>
      </x:c>
      <x:c r="H46" s="7" t="str">
        <x:v>None</x:v>
      </x:c>
      <x:c r="I46" s="7" t="str">
        <x:v>是</x:v>
      </x:c>
      <x:c r="J46" s="44" t="n">
        <x:f>E46*SUM(AE46:AG46)/1073741824</x:f>
        <x:v>7.546875</x:v>
      </x:c>
      <x:c r="K46" s="44" t="n">
        <x:f>AA46</x:f>
        <x:v>0.4716796875</x:v>
      </x:c>
      <x:c r="L46" s="7" t="str">
        <x:f>IF(OR(D46="MXFP4",D46="MXFP8"),"group 32 / E8M0",IF(D46="INT8","channel / 8 B",IF(D46="INT4","channel / 16 B","")))</x:f>
      </x:c>
      <x:c r="M46" s="45" t="n">
        <x:f>$R$10</x:f>
        <x:v>16</x:v>
      </x:c>
      <x:c r="N46" s="7" t="str">
        <x:f>"["&amp;(6144/M46)&amp;","&amp;(7168)&amp;"]"</x:f>
        <x:v>[384,7168]</x:v>
      </x:c>
      <x:c r="O46" s="34" t="n">
        <x:f>CHOOSE($R$22+1,92)</x:f>
        <x:v>92</x:v>
      </x:c>
      <x:c r="P46" s="2"/>
      <x:c r="Q46" s="7" t="str">
        <x:v>Gated MLA</x:v>
      </x:c>
      <x:c r="R46" s="7" t="n">
        <x:f>CHOOSE($R$22+1,24)</x:f>
        <x:v>24</x:v>
      </x:c>
      <x:c r="S46" s="7" t="n">
        <x:f>1</x:f>
        <x:v>1</x:v>
      </x:c>
      <x:c r="T46" s="7" t="n">
        <x:f>R46*S46</x:f>
        <x:v>24</x:v>
      </x:c>
      <x:c r="U46" s="28" t="n">
        <x:f>IF(T46=0,0,V46/T46)</x:f>
        <x:v>0.2786903381347656</x:v>
      </x:c>
      <x:c r="V46" s="28" t="n">
        <x:f>SUM(K30,K31,K32,K33,K34,K35,K36,K37)</x:f>
        <x:v>6.688568115234375</x:v>
      </x:c>
      <x:c r="W46" s="31" t="n">
        <x:f>V46/$R$23</x:f>
        <x:v>0.20020223336749432</x:v>
      </x:c>
      <x:c r="X46" s="7" t="str"/>
      <x:c r="Y46" s="2"/>
      <x:c r="Z46" s="2"/>
      <x:c r="AA46" s="38" t="n">
        <x:f>IF($R$30=1,SUM(AB46:AD46)*(92)/1073741824,NA())</x:f>
        <x:v>0.4716796875</x:v>
      </x:c>
      <x:c r="AB46" s="39" t="n">
        <x:f>(6144/M46)*ROUNDUP((7168)*VLOOKUP(D46,$Q$32:$R$38,2,FALSE),0)</x:f>
        <x:v>5505024</x:v>
      </x:c>
      <x:c r="AC46" s="39" t="n">
        <x:f>IF(OR(D46="MXFP4",D46="MXFP8"),(6144/M46)*ROUNDUP((7168)/32,0),0)</x:f>
        <x:v>0</x:v>
      </x:c>
      <x:c r="AD46" s="39" t="n">
        <x:f>IF(D46="INT8",(6144/M46)*8,IF(D46="INT4",(6144/M46)*16,0))</x:f>
        <x:v>0</x:v>
      </x:c>
      <x:c r="AE46" s="39" t="n">
        <x:f>(6144)*ROUNDUP((7168)*VLOOKUP(D46,$Q$32:$R$38,2,FALSE),0)</x:f>
        <x:v>88080384</x:v>
      </x:c>
      <x:c r="AF46" s="39" t="n">
        <x:f>IF(OR(D46="MXFP4",D46="MXFP8"),(6144)*ROUNDUP((7168)/32,0),0)</x:f>
        <x:v>0</x:v>
      </x:c>
      <x:c r="AG46" s="39" t="n">
        <x:f>IF(D46="INT8",(6144)*8,IF(D46="INT4",(6144)*16,0))</x:f>
        <x:v>0</x:v>
      </x:c>
    </x:row>
    <x:row r="47" ht="18" customHeight="1">
      <x:c r="A47" s="7" t="str">
        <x:v>MoE</x:v>
      </x:c>
      <x:c r="B47" s="7" t="str">
        <x:v>shared_experts.up_proj</x:v>
      </x:c>
      <x:c r="C47" s="7" t="str">
        <x:v>[6144,7168]</x:v>
      </x:c>
      <x:c r="D47" s="10" t="str">
        <x:v>BF16</x:v>
      </x:c>
      <x:c r="E47" s="34" t="n">
        <x:v>92</x:v>
      </x:c>
      <x:c r="F47" s="34" t="n">
        <x:f>(6144)*(7168)</x:f>
        <x:v>44040192</x:v>
      </x:c>
      <x:c r="G47" s="7" t="str">
        <x:v>Shared TP</x:v>
      </x:c>
      <x:c r="H47" s="7" t="str">
        <x:v>None</x:v>
      </x:c>
      <x:c r="I47" s="7" t="str">
        <x:v>是</x:v>
      </x:c>
      <x:c r="J47" s="44" t="n">
        <x:f>E47*SUM(AE47:AG47)/1073741824</x:f>
        <x:v>7.546875</x:v>
      </x:c>
      <x:c r="K47" s="44" t="n">
        <x:f>AA47</x:f>
        <x:v>0.4716796875</x:v>
      </x:c>
      <x:c r="L47" s="7" t="str">
        <x:f>IF(OR(D47="MXFP4",D47="MXFP8"),"group 32 / E8M0",IF(D47="INT8","channel / 8 B",IF(D47="INT4","channel / 16 B","")))</x:f>
      </x:c>
      <x:c r="M47" s="45" t="n">
        <x:f>$R$10</x:f>
        <x:v>16</x:v>
      </x:c>
      <x:c r="N47" s="7" t="str">
        <x:f>"["&amp;(6144/M47)&amp;","&amp;(7168)&amp;"]"</x:f>
        <x:v>[384,7168]</x:v>
      </x:c>
      <x:c r="O47" s="34" t="n">
        <x:f>CHOOSE($R$22+1,92)</x:f>
        <x:v>92</x:v>
      </x:c>
      <x:c r="P47" s="2"/>
      <x:c r="Q47" s="7" t="str">
        <x:v>MoE router / latent</x:v>
      </x:c>
      <x:c r="R47" s="7" t="n">
        <x:f>CHOOSE($R$22+1,92)</x:f>
        <x:v>92</x:v>
      </x:c>
      <x:c r="S47" s="7" t="n">
        <x:f>1</x:f>
        <x:v>1</x:v>
      </x:c>
      <x:c r="T47" s="7" t="n">
        <x:f>R47*S47</x:f>
        <x:v>92</x:v>
      </x:c>
      <x:c r="U47" s="28" t="n">
        <x:f>IF(T47=0,0,V47/T47)</x:f>
        <x:v>0.10767436027526855</x:v>
      </x:c>
      <x:c r="V47" s="28" t="n">
        <x:f>SUM(K38,K39,K40,K41,K42)</x:f>
        <x:v>9.906041145324707</x:v>
      </x:c>
      <x:c r="W47" s="31" t="n">
        <x:f>V47/$R$23</x:f>
        <x:v>0.29650764213751357</x:v>
      </x:c>
      <x:c r="X47" s="7" t="str"/>
      <x:c r="Y47" s="2"/>
      <x:c r="Z47" s="2"/>
      <x:c r="AA47" s="38" t="n">
        <x:f>IF($R$30=1,SUM(AB47:AD47)*(92)/1073741824,NA())</x:f>
        <x:v>0.4716796875</x:v>
      </x:c>
      <x:c r="AB47" s="39" t="n">
        <x:f>(6144/M47)*ROUNDUP((7168)*VLOOKUP(D47,$Q$32:$R$38,2,FALSE),0)</x:f>
        <x:v>5505024</x:v>
      </x:c>
      <x:c r="AC47" s="39" t="n">
        <x:f>IF(OR(D47="MXFP4",D47="MXFP8"),(6144/M47)*ROUNDUP((7168)/32,0),0)</x:f>
        <x:v>0</x:v>
      </x:c>
      <x:c r="AD47" s="39" t="n">
        <x:f>IF(D47="INT8",(6144/M47)*8,IF(D47="INT4",(6144/M47)*16,0))</x:f>
        <x:v>0</x:v>
      </x:c>
      <x:c r="AE47" s="39" t="n">
        <x:f>(6144)*ROUNDUP((7168)*VLOOKUP(D47,$Q$32:$R$38,2,FALSE),0)</x:f>
        <x:v>88080384</x:v>
      </x:c>
      <x:c r="AF47" s="39" t="n">
        <x:f>IF(OR(D47="MXFP4",D47="MXFP8"),(6144)*ROUNDUP((7168)/32,0),0)</x:f>
        <x:v>0</x:v>
      </x:c>
      <x:c r="AG47" s="39" t="n">
        <x:f>IF(D47="INT8",(6144)*8,IF(D47="INT4",(6144)*16,0))</x:f>
        <x:v>0</x:v>
      </x:c>
    </x:row>
    <x:row r="48" ht="18" customHeight="1">
      <x:c r="A48" s="7" t="str">
        <x:v>MoE</x:v>
      </x:c>
      <x:c r="B48" s="7" t="str">
        <x:v>shared_experts.down_proj</x:v>
      </x:c>
      <x:c r="C48" s="7" t="str">
        <x:v>[7168,6144]</x:v>
      </x:c>
      <x:c r="D48" s="10" t="str">
        <x:v>BF16</x:v>
      </x:c>
      <x:c r="E48" s="34" t="n">
        <x:v>92</x:v>
      </x:c>
      <x:c r="F48" s="34" t="n">
        <x:f>(7168)*(6144)</x:f>
        <x:v>44040192</x:v>
      </x:c>
      <x:c r="G48" s="7" t="str">
        <x:v>Shared TP</x:v>
      </x:c>
      <x:c r="H48" s="7" t="str">
        <x:v>None</x:v>
      </x:c>
      <x:c r="I48" s="7" t="str">
        <x:v>是</x:v>
      </x:c>
      <x:c r="J48" s="44" t="n">
        <x:f>E48*SUM(AE48:AG48)/1073741824</x:f>
        <x:v>7.546875</x:v>
      </x:c>
      <x:c r="K48" s="44" t="n">
        <x:f>AA48</x:f>
        <x:v>0.4716796875</x:v>
      </x:c>
      <x:c r="L48" s="7" t="str">
        <x:f>IF(OR(D48="MXFP4",D48="MXFP8"),"group 32 / E8M0",IF(D48="INT8","channel / 8 B",IF(D48="INT4","channel / 16 B","")))</x:f>
      </x:c>
      <x:c r="M48" s="45" t="n">
        <x:f>$R$10</x:f>
        <x:v>16</x:v>
      </x:c>
      <x:c r="N48" s="7" t="str">
        <x:f>"["&amp;(7168)&amp;","&amp;(6144/M48)&amp;"]"</x:f>
        <x:v>[7168,384]</x:v>
      </x:c>
      <x:c r="O48" s="34" t="n">
        <x:f>CHOOSE($R$22+1,92)</x:f>
        <x:v>92</x:v>
      </x:c>
      <x:c r="P48" s="2"/>
      <x:c r="Q48" s="7" t="str">
        <x:v>Routed experts</x:v>
      </x:c>
      <x:c r="R48" s="7" t="n">
        <x:f>CHOOSE($R$22+1,92)</x:f>
        <x:v>92</x:v>
      </x:c>
      <x:c r="S48" s="7" t="n">
        <x:f>ROUNDUP($T$9/$R$9,0)</x:f>
        <x:v>7</x:v>
      </x:c>
      <x:c r="T48" s="7" t="n">
        <x:f>R48*S48</x:f>
        <x:v>644</x:v>
      </x:c>
      <x:c r="U48" s="28" t="n">
        <x:f>IF(T48=0,0,V48/T48)</x:f>
        <x:v>0.0163421630859375</x:v>
      </x:c>
      <x:c r="V48" s="28" t="n">
        <x:f>SUM(K43,K44,K45)</x:f>
        <x:v>10.52435302734375</x:v>
      </x:c>
      <x:c r="W48" s="31" t="n">
        <x:f>V48/$R$23</x:f>
        <x:v>0.3150149545495564</x:v>
      </x:c>
      <x:c r="X48" s="7" t="str"/>
      <x:c r="Y48" s="2"/>
      <x:c r="Z48" s="2"/>
      <x:c r="AA48" s="38" t="n">
        <x:f>IF($R$30=1,SUM(AB48:AD48)*(92)/1073741824,NA())</x:f>
        <x:v>0.4716796875</x:v>
      </x:c>
      <x:c r="AB48" s="39" t="n">
        <x:f>(7168)*ROUNDUP((6144/M48)*VLOOKUP(D48,$Q$32:$R$38,2,FALSE),0)</x:f>
        <x:v>5505024</x:v>
      </x:c>
      <x:c r="AC48" s="39" t="n">
        <x:f>IF(OR(D48="MXFP4",D48="MXFP8"),(7168)*ROUNDUP((6144/M48)/32,0),0)</x:f>
        <x:v>0</x:v>
      </x:c>
      <x:c r="AD48" s="39" t="n">
        <x:f>IF(D48="INT8",(7168)*8,IF(D48="INT4",(7168)*16,0))</x:f>
        <x:v>0</x:v>
      </x:c>
      <x:c r="AE48" s="39" t="n">
        <x:f>(7168)*ROUNDUP((6144)*VLOOKUP(D48,$Q$32:$R$38,2,FALSE),0)</x:f>
        <x:v>88080384</x:v>
      </x:c>
      <x:c r="AF48" s="39" t="n">
        <x:f>IF(OR(D48="MXFP4",D48="MXFP8"),(7168)*ROUNDUP((6144)/32,0),0)</x:f>
        <x:v>0</x:v>
      </x:c>
      <x:c r="AG48" s="39" t="n">
        <x:f>IF(D48="INT8",(7168)*8,IF(D48="INT4",(7168)*16,0))</x:f>
        <x:v>0</x:v>
      </x:c>
    </x:row>
    <x:row r="49" ht="18" customHeight="1">
      <x:c r="A49" s="48" t="str">
        <x:v>ViT patch</x:v>
      </x:c>
      <x:c r="B49" s="48" t="str">
        <x:v>patch_embed.proj.weight</x:v>
      </x:c>
      <x:c r="C49" s="48" t="str">
        <x:v>[1024,3,14,14]</x:v>
      </x:c>
      <x:c r="D49" s="49" t="str">
        <x:v>BF16</x:v>
      </x:c>
      <x:c r="E49" s="50" t="n">
        <x:v>1</x:v>
      </x:c>
      <x:c r="F49" s="50" t="n">
        <x:f>(1024)*(3)*(14)*(14)</x:f>
        <x:v>602112</x:v>
      </x:c>
      <x:c r="G49" s="48" t="str">
        <x:v>Replicated</x:v>
      </x:c>
      <x:c r="H49" s="48" t="str">
        <x:v>None</x:v>
      </x:c>
      <x:c r="I49" s="48" t="str">
        <x:v>否</x:v>
      </x:c>
      <x:c r="J49" s="51" t="n">
        <x:f>E49*SUM(AE49:AG49)/1073741824</x:f>
        <x:v>0.00112152099609375</x:v>
      </x:c>
      <x:c r="K49" s="51" t="n">
        <x:f>AA49</x:f>
        <x:v>0.00112152099609375</x:v>
      </x:c>
      <x:c r="L49" s="48" t="str">
        <x:f>IF(OR(D49="MXFP4",D49="MXFP8"),"group 32 / E8M0",IF(D49="INT8","channel / 8 B",IF(D49="INT4","channel / 16 B","")))</x:f>
      </x:c>
      <x:c r="M49" s="52" t="n">
        <x:f>1</x:f>
        <x:v>1</x:v>
      </x:c>
      <x:c r="N49" s="48" t="str">
        <x:f>"["&amp;(1024/M49)&amp;","&amp;(3)&amp;","&amp;(14)&amp;","&amp;(14)&amp;"]"</x:f>
        <x:v>[1024,3,14,14]</x:v>
      </x:c>
      <x:c r="O49" s="50" t="n">
        <x:f>CHOOSE($R$22+1,1)</x:f>
        <x:v>1</x:v>
      </x:c>
      <x:c r="P49" s="2"/>
      <x:c r="Q49" s="7" t="str">
        <x:v>Shared experts</x:v>
      </x:c>
      <x:c r="R49" s="7" t="n">
        <x:f>CHOOSE($R$22+1,92)</x:f>
        <x:v>92</x:v>
      </x:c>
      <x:c r="S49" s="7" t="n">
        <x:f>1</x:f>
        <x:v>1</x:v>
      </x:c>
      <x:c r="T49" s="7" t="n">
        <x:f>R49*S49</x:f>
        <x:v>92</x:v>
      </x:c>
      <x:c r="U49" s="28" t="n">
        <x:f>IF(T49=0,0,V49/T49)</x:f>
        <x:v>0.015380859375</x:v>
      </x:c>
      <x:c r="V49" s="28" t="n">
        <x:f>SUM(K46,K47,K48)</x:f>
        <x:v>1.4150390625</x:v>
      </x:c>
      <x:c r="W49" s="31" t="n">
        <x:f>V49/$R$23</x:f>
        <x:v>0.042354951872209265</x:v>
      </x:c>
      <x:c r="X49" s="7" t="str">
        <x:v>2 experts 融合单元</x:v>
      </x:c>
      <x:c r="Y49" s="2"/>
      <x:c r="Z49" s="2"/>
      <x:c r="AA49" s="38" t="n">
        <x:f>IF($R$30=1,SUM(AB49:AD49)*(1)/1073741824,NA())</x:f>
        <x:v>0.00112152099609375</x:v>
      </x:c>
      <x:c r="AB49" s="39" t="n">
        <x:f>(1024/M49)*(3)*(14)*ROUNDUP((14)*VLOOKUP(D49,$Q$32:$R$38,2,FALSE),0)</x:f>
        <x:v>1204224</x:v>
      </x:c>
      <x:c r="AC49" s="39" t="n">
        <x:f>IF(OR(D49="MXFP4",D49="MXFP8"),(1024/M49)*(3)*(14)*ROUNDUP((14)/32,0),0)</x:f>
        <x:v>0</x:v>
      </x:c>
      <x:c r="AD49" s="39" t="n">
        <x:f>IF(D49="INT8",(1024/M49)*8,IF(D49="INT4",(1024/M49)*16,0))</x:f>
        <x:v>0</x:v>
      </x:c>
      <x:c r="AE49" s="39" t="n">
        <x:f>(1024)*(3)*(14)*ROUNDUP((14)*VLOOKUP(D49,$Q$32:$R$38,2,FALSE),0)</x:f>
        <x:v>1204224</x:v>
      </x:c>
      <x:c r="AF49" s="39" t="n">
        <x:f>IF(OR(D49="MXFP4",D49="MXFP8"),(1024)*(3)*(14)*ROUNDUP((14)/32,0),0)</x:f>
        <x:v>0</x:v>
      </x:c>
      <x:c r="AG49" s="39" t="n">
        <x:f>IF(D49="INT8",(1024)*8,IF(D49="INT4",(1024)*16,0))</x:f>
        <x:v>0</x:v>
      </x:c>
    </x:row>
    <x:row r="50" ht="18" customHeight="1">
      <x:c r="A50" s="7" t="str">
        <x:v>ViT patch</x:v>
      </x:c>
      <x:c r="B50" s="7" t="str">
        <x:v>patch_embed.pos_emb.weight</x:v>
      </x:c>
      <x:c r="C50" s="7" t="str">
        <x:v>[64,64,1024]</x:v>
      </x:c>
      <x:c r="D50" s="10" t="str">
        <x:v>BF16</x:v>
      </x:c>
      <x:c r="E50" s="34" t="n">
        <x:v>1</x:v>
      </x:c>
      <x:c r="F50" s="34" t="n">
        <x:f>(64)*(64)*(1024)</x:f>
        <x:v>4194304</x:v>
      </x:c>
      <x:c r="G50" s="7" t="str">
        <x:v>Replicated</x:v>
      </x:c>
      <x:c r="H50" s="7" t="str">
        <x:v>None</x:v>
      </x:c>
      <x:c r="I50" s="7" t="str">
        <x:v>否</x:v>
      </x:c>
      <x:c r="J50" s="44" t="n">
        <x:f>E50*SUM(AE50:AG50)/1073741824</x:f>
        <x:v>0.0078125</x:v>
      </x:c>
      <x:c r="K50" s="44" t="n">
        <x:f>AA50</x:f>
        <x:v>0.0078125</x:v>
      </x:c>
      <x:c r="L50" s="7" t="str">
        <x:f>IF(OR(D50="MXFP4",D50="MXFP8"),"group 32 / E8M0",IF(D50="INT8","channel / 8 B",IF(D50="INT4","channel / 16 B","")))</x:f>
      </x:c>
      <x:c r="M50" s="45" t="n">
        <x:f>1</x:f>
        <x:v>1</x:v>
      </x:c>
      <x:c r="N50" s="7" t="str">
        <x:f>"["&amp;(64/M50)&amp;","&amp;(64)&amp;","&amp;(1024)&amp;"]"</x:f>
        <x:v>[64,64,1024]</x:v>
      </x:c>
      <x:c r="O50" s="34" t="n">
        <x:f>CHOOSE($R$22+1,1)</x:f>
        <x:v>1</x:v>
      </x:c>
      <x:c r="P50" s="2"/>
      <x:c r="Q50" s="7" t="str">
        <x:v>ViT blocks</x:v>
      </x:c>
      <x:c r="R50" s="7" t="n">
        <x:f>CHOOSE($R$22+1,27)</x:f>
        <x:v>27</x:v>
      </x:c>
      <x:c r="S50" s="7" t="n">
        <x:f>1</x:f>
        <x:v>1</x:v>
      </x:c>
      <x:c r="T50" s="7" t="n">
        <x:f>R50*S50</x:f>
        <x:v>27</x:v>
      </x:c>
      <x:c r="U50" s="28" t="n">
        <x:f>IF(T50=0,0,V50/T50)</x:f>
        <x:v>0.027347564697265625</x:v>
      </x:c>
      <x:c r="V50" s="28" t="n">
        <x:f>SUM(K51,K52,K53,K54,K55)</x:f>
        <x:v>0.7383842468261719</x:v>
      </x:c>
      <x:c r="W50" s="31" t="n">
        <x:f>V50/$R$23</x:f>
        <x:v>0.022101318660607643</x:v>
      </x:c>
      <x:c r="X50" s="7" t="str"/>
      <x:c r="Y50" s="2"/>
      <x:c r="Z50" s="2"/>
      <x:c r="AA50" s="38" t="n">
        <x:f>IF($R$30=1,SUM(AB50:AD50)*(1)/1073741824,NA())</x:f>
        <x:v>0.0078125</x:v>
      </x:c>
      <x:c r="AB50" s="39" t="n">
        <x:f>(64/M50)*(64)*ROUNDUP((1024)*VLOOKUP(D50,$Q$32:$R$38,2,FALSE),0)</x:f>
        <x:v>8388608</x:v>
      </x:c>
      <x:c r="AC50" s="39" t="n">
        <x:f>IF(OR(D50="MXFP4",D50="MXFP8"),(64/M50)*(64)*ROUNDUP((1024)/32,0),0)</x:f>
        <x:v>0</x:v>
      </x:c>
      <x:c r="AD50" s="39" t="n">
        <x:f>IF(D50="INT8",(64/M50)*8,IF(D50="INT4",(64/M50)*16,0))</x:f>
        <x:v>0</x:v>
      </x:c>
      <x:c r="AE50" s="39" t="n">
        <x:f>(64)*(64)*ROUNDUP((1024)*VLOOKUP(D50,$Q$32:$R$38,2,FALSE),0)</x:f>
        <x:v>8388608</x:v>
      </x:c>
      <x:c r="AF50" s="39" t="n">
        <x:f>IF(OR(D50="MXFP4",D50="MXFP8"),(64)*(64)*ROUNDUP((1024)/32,0),0)</x:f>
        <x:v>0</x:v>
      </x:c>
      <x:c r="AG50" s="39" t="n">
        <x:f>IF(D50="INT8",(64)*8,IF(D50="INT4",(64)*16,0))</x:f>
        <x:v>0</x:v>
      </x:c>
    </x:row>
    <x:row r="51" ht="18" customHeight="1">
      <x:c r="A51" s="48" t="str">
        <x:v>ViT blocks</x:v>
      </x:c>
      <x:c r="B51" s="48" t="str">
        <x:v>blocks.*.{norm0,norm1}.weight</x:v>
      </x:c>
      <x:c r="C51" s="48" t="str">
        <x:v>[1024]</x:v>
      </x:c>
      <x:c r="D51" s="49" t="str">
        <x:v>BF16</x:v>
      </x:c>
      <x:c r="E51" s="50" t="n">
        <x:v>54</x:v>
      </x:c>
      <x:c r="F51" s="50" t="n">
        <x:f>(1024)</x:f>
        <x:v>1024</x:v>
      </x:c>
      <x:c r="G51" s="48" t="str">
        <x:v>Replicated</x:v>
      </x:c>
      <x:c r="H51" s="48" t="str">
        <x:v>None</x:v>
      </x:c>
      <x:c r="I51" s="48" t="str">
        <x:v>否</x:v>
      </x:c>
      <x:c r="J51" s="51" t="n">
        <x:f>E51*SUM(AE51:AG51)/1073741824</x:f>
        <x:v>0.000102996826171875</x:v>
      </x:c>
      <x:c r="K51" s="51" t="n">
        <x:f>AA51</x:f>
        <x:v>0.000102996826171875</x:v>
      </x:c>
      <x:c r="L51" s="48" t="str">
        <x:f>IF(OR(D51="MXFP4",D51="MXFP8"),"group 32 / E8M0",IF(D51="INT8","channel / 8 B",IF(D51="INT4","channel / 16 B","")))</x:f>
      </x:c>
      <x:c r="M51" s="52" t="n">
        <x:f>1</x:f>
        <x:v>1</x:v>
      </x:c>
      <x:c r="N51" s="48" t="str">
        <x:f>"["&amp;(1024/M51)&amp;"]"</x:f>
        <x:v>[1024]</x:v>
      </x:c>
      <x:c r="O51" s="50" t="n">
        <x:f>CHOOSE($R$22+1,54)</x:f>
        <x:v>54</x:v>
      </x:c>
      <x:c r="P51" s="2"/>
      <x:c r="Q51" s="7" t="str">
        <x:v>ViT patch / final / MM</x:v>
      </x:c>
      <x:c r="R51" s="7" t="n">
        <x:f>CHOOSE($R$22+1,1)</x:f>
        <x:v>1</x:v>
      </x:c>
      <x:c r="S51" s="7" t="n">
        <x:f>1</x:f>
        <x:v>1</x:v>
      </x:c>
      <x:c r="T51" s="7" t="n">
        <x:f>R51*S51</x:f>
        <x:v>1</x:v>
      </x:c>
      <x:c r="U51" s="28" t="n">
        <x:f>IF(T51=0,0,V51/T51)</x:f>
        <x:v>0.09488677978515625</x:v>
      </x:c>
      <x:c r="V51" s="28" t="n">
        <x:f>SUM(K49,K50,K56,K57,K58,K59)</x:f>
        <x:v>0.09488677978515625</x:v>
      </x:c>
      <x:c r="W51" s="31" t="n">
        <x:f>V51/$R$23</x:f>
        <x:v>0.002840151270459512</x:v>
      </x:c>
      <x:c r="X51" s="7" t="str"/>
      <x:c r="Y51" s="2"/>
      <x:c r="Z51" s="2"/>
      <x:c r="AA51" s="38" t="n">
        <x:f>IF($R$30=1,SUM(AB51:AD51)*(54)/1073741824,NA())</x:f>
        <x:v>0.000102996826171875</x:v>
      </x:c>
      <x:c r="AB51" s="39" t="n">
        <x:f>1*ROUNDUP((1024/M51)*VLOOKUP(D51,$Q$32:$R$38,2,FALSE),0)</x:f>
        <x:v>2048</x:v>
      </x:c>
      <x:c r="AC51" s="39" t="n">
        <x:f>IF(OR(D51="MXFP4",D51="MXFP8"),1*ROUNDUP((1024/M51)/32,0),0)</x:f>
        <x:v>0</x:v>
      </x:c>
      <x:c r="AD51" s="39" t="n">
        <x:f>IF(D51="INT8",(1024/M51)*8,IF(D51="INT4",(1024/M51)*16,0))</x:f>
        <x:v>0</x:v>
      </x:c>
      <x:c r="AE51" s="39" t="n">
        <x:f>1*ROUNDUP((1024)*VLOOKUP(D51,$Q$32:$R$38,2,FALSE),0)</x:f>
        <x:v>2048</x:v>
      </x:c>
      <x:c r="AF51" s="39" t="n">
        <x:f>IF(OR(D51="MXFP4",D51="MXFP8"),1*ROUNDUP((1024)/32,0),0)</x:f>
        <x:v>0</x:v>
      </x:c>
      <x:c r="AG51" s="39" t="n">
        <x:f>IF(D51="INT8",(1024)*8,IF(D51="INT4",(1024)*16,0))</x:f>
        <x:v>0</x:v>
      </x:c>
    </x:row>
    <x:row r="52" ht="18" customHeight="1">
      <x:c r="A52" s="7" t="str">
        <x:v>ViT blocks</x:v>
      </x:c>
      <x:c r="B52" s="7" t="str">
        <x:v>blocks.*.wqkv.weight</x:v>
      </x:c>
      <x:c r="C52" s="7" t="str">
        <x:v>[4608,1024]</x:v>
      </x:c>
      <x:c r="D52" s="10" t="str">
        <x:v>BF16</x:v>
      </x:c>
      <x:c r="E52" s="34" t="n">
        <x:v>27</x:v>
      </x:c>
      <x:c r="F52" s="34" t="n">
        <x:f>(4608)*(1024)</x:f>
        <x:v>4718592</x:v>
      </x:c>
      <x:c r="G52" s="7" t="str">
        <x:v>Replicated</x:v>
      </x:c>
      <x:c r="H52" s="7" t="str">
        <x:v>None</x:v>
      </x:c>
      <x:c r="I52" s="7" t="str">
        <x:v>否</x:v>
      </x:c>
      <x:c r="J52" s="44" t="n">
        <x:f>E52*SUM(AE52:AG52)/1073741824</x:f>
        <x:v>0.2373046875</x:v>
      </x:c>
      <x:c r="K52" s="44" t="n">
        <x:f>AA52</x:f>
        <x:v>0.2373046875</x:v>
      </x:c>
      <x:c r="L52" s="7" t="str">
        <x:f>IF(OR(D52="MXFP4",D52="MXFP8"),"group 32 / E8M0",IF(D52="INT8","channel / 8 B",IF(D52="INT4","channel / 16 B","")))</x:f>
      </x:c>
      <x:c r="M52" s="45" t="n">
        <x:f>1</x:f>
        <x:v>1</x:v>
      </x:c>
      <x:c r="N52" s="7" t="str">
        <x:f>"["&amp;(4608/M52)&amp;","&amp;(1024)&amp;"]"</x:f>
        <x:v>[4608,1024]</x:v>
      </x:c>
      <x:c r="O52" s="34" t="n">
        <x:f>CHOOSE($R$22+1,27)</x:f>
        <x:v>27</x:v>
      </x:c>
      <x:c r="P52" s="2"/>
      <x:c r="Q52" s="26" t="str">
        <x:v>合计</x:v>
      </x:c>
      <x:c r="R52" s="26"/>
      <x:c r="S52" s="26"/>
      <x:c r="T52" s="26"/>
      <x:c r="U52" s="29"/>
      <x:c r="V52" s="29" t="n">
        <x:f>SUM(V40:V51)</x:f>
        <x:v>33.409058444201946</x:v>
      </x:c>
      <x:c r="W52" s="26"/>
      <x:c r="X52" s="26"/>
      <x:c r="Y52" s="2"/>
      <x:c r="Z52" s="2"/>
      <x:c r="AA52" s="38" t="n">
        <x:f>IF($R$30=1,SUM(AB52:AD52)*(27)/1073741824,NA())</x:f>
        <x:v>0.2373046875</x:v>
      </x:c>
      <x:c r="AB52" s="39" t="n">
        <x:f>(4608/M52)*ROUNDUP((1024)*VLOOKUP(D52,$Q$32:$R$38,2,FALSE),0)</x:f>
        <x:v>9437184</x:v>
      </x:c>
      <x:c r="AC52" s="39" t="n">
        <x:f>IF(OR(D52="MXFP4",D52="MXFP8"),(4608/M52)*ROUNDUP((1024)/32,0),0)</x:f>
        <x:v>0</x:v>
      </x:c>
      <x:c r="AD52" s="39" t="n">
        <x:f>IF(D52="INT8",(4608/M52)*8,IF(D52="INT4",(4608/M52)*16,0))</x:f>
        <x:v>0</x:v>
      </x:c>
      <x:c r="AE52" s="39" t="n">
        <x:f>(4608)*ROUNDUP((1024)*VLOOKUP(D52,$Q$32:$R$38,2,FALSE),0)</x:f>
        <x:v>9437184</x:v>
      </x:c>
      <x:c r="AF52" s="39" t="n">
        <x:f>IF(OR(D52="MXFP4",D52="MXFP8"),(4608)*ROUNDUP((1024)/32,0),0)</x:f>
        <x:v>0</x:v>
      </x:c>
      <x:c r="AG52" s="39" t="n">
        <x:f>IF(D52="INT8",(4608)*8,IF(D52="INT4",(4608)*16,0))</x:f>
        <x:v>0</x:v>
      </x:c>
    </x:row>
    <x:row r="53" ht="18" customHeight="1">
      <x:c r="A53" s="7" t="str">
        <x:v>ViT blocks</x:v>
      </x:c>
      <x:c r="B53" s="7" t="str">
        <x:v>blocks.*.wo.weight</x:v>
      </x:c>
      <x:c r="C53" s="7" t="str">
        <x:v>[1024,1536]</x:v>
      </x:c>
      <x:c r="D53" s="10" t="str">
        <x:v>BF16</x:v>
      </x:c>
      <x:c r="E53" s="34" t="n">
        <x:v>27</x:v>
      </x:c>
      <x:c r="F53" s="34" t="n">
        <x:f>(1024)*(1536)</x:f>
        <x:v>1572864</x:v>
      </x:c>
      <x:c r="G53" s="7" t="str">
        <x:v>Replicated</x:v>
      </x:c>
      <x:c r="H53" s="7" t="str">
        <x:v>None</x:v>
      </x:c>
      <x:c r="I53" s="7" t="str">
        <x:v>否</x:v>
      </x:c>
      <x:c r="J53" s="44" t="n">
        <x:f>E53*SUM(AE53:AG53)/1073741824</x:f>
        <x:v>0.0791015625</x:v>
      </x:c>
      <x:c r="K53" s="44" t="n">
        <x:f>AA53</x:f>
        <x:v>0.0791015625</x:v>
      </x:c>
      <x:c r="L53" s="7" t="str">
        <x:f>IF(OR(D53="MXFP4",D53="MXFP8"),"group 32 / E8M0",IF(D53="INT8","channel / 8 B",IF(D53="INT4","channel / 16 B","")))</x:f>
      </x:c>
      <x:c r="M53" s="45" t="n">
        <x:f>1</x:f>
        <x:v>1</x:v>
      </x:c>
      <x:c r="N53" s="7" t="str">
        <x:f>"["&amp;(1024/M53)&amp;","&amp;(1536)&amp;"]"</x:f>
        <x:v>[1024,1536]</x:v>
      </x:c>
      <x:c r="O53" s="34" t="n">
        <x:f>CHOOSE($R$22+1,27)</x:f>
        <x:v>27</x:v>
      </x:c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38" t="n">
        <x:f>IF($R$30=1,SUM(AB53:AD53)*(27)/1073741824,NA())</x:f>
        <x:v>0.0791015625</x:v>
      </x:c>
      <x:c r="AB53" s="39" t="n">
        <x:f>(1024/M53)*ROUNDUP((1536)*VLOOKUP(D53,$Q$32:$R$38,2,FALSE),0)</x:f>
        <x:v>3145728</x:v>
      </x:c>
      <x:c r="AC53" s="39" t="n">
        <x:f>IF(OR(D53="MXFP4",D53="MXFP8"),(1024/M53)*ROUNDUP((1536)/32,0),0)</x:f>
        <x:v>0</x:v>
      </x:c>
      <x:c r="AD53" s="39" t="n">
        <x:f>IF(D53="INT8",(1024/M53)*8,IF(D53="INT4",(1024/M53)*16,0))</x:f>
        <x:v>0</x:v>
      </x:c>
      <x:c r="AE53" s="39" t="n">
        <x:f>(1024)*ROUNDUP((1536)*VLOOKUP(D53,$Q$32:$R$38,2,FALSE),0)</x:f>
        <x:v>3145728</x:v>
      </x:c>
      <x:c r="AF53" s="39" t="n">
        <x:f>IF(OR(D53="MXFP4",D53="MXFP8"),(1024)*ROUNDUP((1536)/32,0),0)</x:f>
        <x:v>0</x:v>
      </x:c>
      <x:c r="AG53" s="39" t="n">
        <x:f>IF(D53="INT8",(1024)*8,IF(D53="INT4",(1024)*16,0))</x:f>
        <x:v>0</x:v>
      </x:c>
    </x:row>
    <x:row r="54" ht="18" customHeight="1">
      <x:c r="A54" s="7" t="str">
        <x:v>ViT blocks</x:v>
      </x:c>
      <x:c r="B54" s="7" t="str">
        <x:v>blocks.*.mlp.fc0.weight</x:v>
      </x:c>
      <x:c r="C54" s="7" t="str">
        <x:v>[4096,1024]</x:v>
      </x:c>
      <x:c r="D54" s="10" t="str">
        <x:v>BF16</x:v>
      </x:c>
      <x:c r="E54" s="34" t="n">
        <x:v>27</x:v>
      </x:c>
      <x:c r="F54" s="34" t="n">
        <x:f>(4096)*(1024)</x:f>
        <x:v>4194304</x:v>
      </x:c>
      <x:c r="G54" s="7" t="str">
        <x:v>Replicated</x:v>
      </x:c>
      <x:c r="H54" s="7" t="str">
        <x:v>None</x:v>
      </x:c>
      <x:c r="I54" s="7" t="str">
        <x:v>否</x:v>
      </x:c>
      <x:c r="J54" s="44" t="n">
        <x:f>E54*SUM(AE54:AG54)/1073741824</x:f>
        <x:v>0.2109375</x:v>
      </x:c>
      <x:c r="K54" s="44" t="n">
        <x:f>AA54</x:f>
        <x:v>0.2109375</x:v>
      </x:c>
      <x:c r="L54" s="7" t="str">
        <x:f>IF(OR(D54="MXFP4",D54="MXFP8"),"group 32 / E8M0",IF(D54="INT8","channel / 8 B",IF(D54="INT4","channel / 16 B","")))</x:f>
      </x:c>
      <x:c r="M54" s="45" t="n">
        <x:f>1</x:f>
        <x:v>1</x:v>
      </x:c>
      <x:c r="N54" s="7" t="str">
        <x:f>"["&amp;(4096/M54)&amp;","&amp;(1024)&amp;"]"</x:f>
        <x:v>[4096,1024]</x:v>
      </x:c>
      <x:c r="O54" s="34" t="n">
        <x:f>CHOOSE($R$22+1,27)</x:f>
        <x:v>27</x:v>
      </x:c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38" t="n">
        <x:f>IF($R$30=1,SUM(AB54:AD54)*(27)/1073741824,NA())</x:f>
        <x:v>0.2109375</x:v>
      </x:c>
      <x:c r="AB54" s="39" t="n">
        <x:f>(4096/M54)*ROUNDUP((1024)*VLOOKUP(D54,$Q$32:$R$38,2,FALSE),0)</x:f>
        <x:v>8388608</x:v>
      </x:c>
      <x:c r="AC54" s="39" t="n">
        <x:f>IF(OR(D54="MXFP4",D54="MXFP8"),(4096/M54)*ROUNDUP((1024)/32,0),0)</x:f>
        <x:v>0</x:v>
      </x:c>
      <x:c r="AD54" s="39" t="n">
        <x:f>IF(D54="INT8",(4096/M54)*8,IF(D54="INT4",(4096/M54)*16,0))</x:f>
        <x:v>0</x:v>
      </x:c>
      <x:c r="AE54" s="39" t="n">
        <x:f>(4096)*ROUNDUP((1024)*VLOOKUP(D54,$Q$32:$R$38,2,FALSE),0)</x:f>
        <x:v>8388608</x:v>
      </x:c>
      <x:c r="AF54" s="39" t="n">
        <x:f>IF(OR(D54="MXFP4",D54="MXFP8"),(4096)*ROUNDUP((1024)/32,0),0)</x:f>
        <x:v>0</x:v>
      </x:c>
      <x:c r="AG54" s="39" t="n">
        <x:f>IF(D54="INT8",(4096)*8,IF(D54="INT4",(4096)*16,0))</x:f>
        <x:v>0</x:v>
      </x:c>
    </x:row>
    <x:row r="55" ht="18" customHeight="1">
      <x:c r="A55" s="7" t="str">
        <x:v>ViT blocks</x:v>
      </x:c>
      <x:c r="B55" s="7" t="str">
        <x:v>blocks.*.mlp.fc1.weight</x:v>
      </x:c>
      <x:c r="C55" s="7" t="str">
        <x:v>[1024,4096]</x:v>
      </x:c>
      <x:c r="D55" s="10" t="str">
        <x:v>BF16</x:v>
      </x:c>
      <x:c r="E55" s="34" t="n">
        <x:v>27</x:v>
      </x:c>
      <x:c r="F55" s="34" t="n">
        <x:f>(1024)*(4096)</x:f>
        <x:v>4194304</x:v>
      </x:c>
      <x:c r="G55" s="7" t="str">
        <x:v>Replicated</x:v>
      </x:c>
      <x:c r="H55" s="7" t="str">
        <x:v>None</x:v>
      </x:c>
      <x:c r="I55" s="7" t="str">
        <x:v>否</x:v>
      </x:c>
      <x:c r="J55" s="44" t="n">
        <x:f>E55*SUM(AE55:AG55)/1073741824</x:f>
        <x:v>0.2109375</x:v>
      </x:c>
      <x:c r="K55" s="44" t="n">
        <x:f>AA55</x:f>
        <x:v>0.2109375</x:v>
      </x:c>
      <x:c r="L55" s="7" t="str">
        <x:f>IF(OR(D55="MXFP4",D55="MXFP8"),"group 32 / E8M0",IF(D55="INT8","channel / 8 B",IF(D55="INT4","channel / 16 B","")))</x:f>
      </x:c>
      <x:c r="M55" s="45" t="n">
        <x:f>1</x:f>
        <x:v>1</x:v>
      </x:c>
      <x:c r="N55" s="7" t="str">
        <x:f>"["&amp;(1024/M55)&amp;","&amp;(4096)&amp;"]"</x:f>
        <x:v>[1024,4096]</x:v>
      </x:c>
      <x:c r="O55" s="34" t="n">
        <x:f>CHOOSE($R$22+1,27)</x:f>
        <x:v>27</x:v>
      </x:c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38" t="n">
        <x:f>IF($R$30=1,SUM(AB55:AD55)*(27)/1073741824,NA())</x:f>
        <x:v>0.2109375</x:v>
      </x:c>
      <x:c r="AB55" s="39" t="n">
        <x:f>(1024/M55)*ROUNDUP((4096)*VLOOKUP(D55,$Q$32:$R$38,2,FALSE),0)</x:f>
        <x:v>8388608</x:v>
      </x:c>
      <x:c r="AC55" s="39" t="n">
        <x:f>IF(OR(D55="MXFP4",D55="MXFP8"),(1024/M55)*ROUNDUP((4096)/32,0),0)</x:f>
        <x:v>0</x:v>
      </x:c>
      <x:c r="AD55" s="39" t="n">
        <x:f>IF(D55="INT8",(1024/M55)*8,IF(D55="INT4",(1024/M55)*16,0))</x:f>
        <x:v>0</x:v>
      </x:c>
      <x:c r="AE55" s="39" t="n">
        <x:f>(1024)*ROUNDUP((4096)*VLOOKUP(D55,$Q$32:$R$38,2,FALSE),0)</x:f>
        <x:v>8388608</x:v>
      </x:c>
      <x:c r="AF55" s="39" t="n">
        <x:f>IF(OR(D55="MXFP4",D55="MXFP8"),(1024)*ROUNDUP((4096)/32,0),0)</x:f>
        <x:v>0</x:v>
      </x:c>
      <x:c r="AG55" s="39" t="n">
        <x:f>IF(D55="INT8",(1024)*8,IF(D55="INT4",(1024)*16,0))</x:f>
        <x:v>0</x:v>
      </x:c>
    </x:row>
    <x:row r="56" ht="18" customHeight="1">
      <x:c r="A56" s="48" t="str">
        <x:v>ViT final</x:v>
      </x:c>
      <x:c r="B56" s="48" t="str">
        <x:v>encoder.final_layernorm.weight</x:v>
      </x:c>
      <x:c r="C56" s="48" t="str">
        <x:v>[1024]</x:v>
      </x:c>
      <x:c r="D56" s="49" t="str">
        <x:v>BF16</x:v>
      </x:c>
      <x:c r="E56" s="50" t="n">
        <x:v>1</x:v>
      </x:c>
      <x:c r="F56" s="50" t="n">
        <x:f>(1024)</x:f>
        <x:v>1024</x:v>
      </x:c>
      <x:c r="G56" s="48" t="str">
        <x:v>Replicated</x:v>
      </x:c>
      <x:c r="H56" s="48" t="str">
        <x:v>None</x:v>
      </x:c>
      <x:c r="I56" s="48" t="str">
        <x:v>否</x:v>
      </x:c>
      <x:c r="J56" s="51" t="n">
        <x:f>E56*SUM(AE56:AG56)/1073741824</x:f>
        <x:v>0.0000019073486328125</x:v>
      </x:c>
      <x:c r="K56" s="51" t="n">
        <x:f>AA56</x:f>
        <x:v>0.0000019073486328125</x:v>
      </x:c>
      <x:c r="L56" s="48" t="str">
        <x:f>IF(OR(D56="MXFP4",D56="MXFP8"),"group 32 / E8M0",IF(D56="INT8","channel / 8 B",IF(D56="INT4","channel / 16 B","")))</x:f>
      </x:c>
      <x:c r="M56" s="52" t="n">
        <x:f>1</x:f>
        <x:v>1</x:v>
      </x:c>
      <x:c r="N56" s="48" t="str">
        <x:f>"["&amp;(1024/M56)&amp;"]"</x:f>
        <x:v>[1024]</x:v>
      </x:c>
      <x:c r="O56" s="50" t="n">
        <x:f>CHOOSE($R$22+1,1)</x:f>
        <x:v>1</x:v>
      </x:c>
      <x:c r="P56" s="2"/>
      <x:c r="Q56" s="5" t="str">
        <x:v>运行 buffer</x:v>
      </x:c>
      <x:c r="R56" s="5" t="str">
        <x:v>GiB</x:v>
      </x:c>
      <x:c r="S56" s="2"/>
      <x:c r="T56" s="2"/>
      <x:c r="U56" s="2"/>
      <x:c r="V56" s="2"/>
      <x:c r="W56" s="2"/>
      <x:c r="X56" s="2"/>
      <x:c r="Y56" s="2"/>
      <x:c r="Z56" s="2"/>
      <x:c r="AA56" s="38" t="n">
        <x:f>IF($R$30=1,SUM(AB56:AD56)*(1)/1073741824,NA())</x:f>
        <x:v>0.0000019073486328125</x:v>
      </x:c>
      <x:c r="AB56" s="39" t="n">
        <x:f>1*ROUNDUP((1024/M56)*VLOOKUP(D56,$Q$32:$R$38,2,FALSE),0)</x:f>
        <x:v>2048</x:v>
      </x:c>
      <x:c r="AC56" s="39" t="n">
        <x:f>IF(OR(D56="MXFP4",D56="MXFP8"),1*ROUNDUP((1024/M56)/32,0),0)</x:f>
        <x:v>0</x:v>
      </x:c>
      <x:c r="AD56" s="39" t="n">
        <x:f>IF(D56="INT8",(1024/M56)*8,IF(D56="INT4",(1024/M56)*16,0))</x:f>
        <x:v>0</x:v>
      </x:c>
      <x:c r="AE56" s="39" t="n">
        <x:f>1*ROUNDUP((1024)*VLOOKUP(D56,$Q$32:$R$38,2,FALSE),0)</x:f>
        <x:v>2048</x:v>
      </x:c>
      <x:c r="AF56" s="39" t="n">
        <x:f>IF(OR(D56="MXFP4",D56="MXFP8"),1*ROUNDUP((1024)/32,0),0)</x:f>
        <x:v>0</x:v>
      </x:c>
      <x:c r="AG56" s="39" t="n">
        <x:f>IF(D56="INT8",(1024)*8,IF(D56="INT4",(1024)*16,0))</x:f>
        <x:v>0</x:v>
      </x:c>
    </x:row>
    <x:row r="57" ht="18" customHeight="1">
      <x:c r="A57" s="48" t="str">
        <x:v>MM projector</x:v>
      </x:c>
      <x:c r="B57" s="48" t="str">
        <x:v>proj.0.weight</x:v>
      </x:c>
      <x:c r="C57" s="48" t="str">
        <x:v>[4096,4096]</x:v>
      </x:c>
      <x:c r="D57" s="49" t="str">
        <x:v>BF16</x:v>
      </x:c>
      <x:c r="E57" s="50" t="n">
        <x:v>1</x:v>
      </x:c>
      <x:c r="F57" s="50" t="n">
        <x:f>(4096)*(4096)</x:f>
        <x:v>16777216</x:v>
      </x:c>
      <x:c r="G57" s="48" t="str">
        <x:v>Replicated</x:v>
      </x:c>
      <x:c r="H57" s="48" t="str">
        <x:v>None</x:v>
      </x:c>
      <x:c r="I57" s="48" t="str">
        <x:v>否</x:v>
      </x:c>
      <x:c r="J57" s="51" t="n">
        <x:f>E57*SUM(AE57:AG57)/1073741824</x:f>
        <x:v>0.03125</x:v>
      </x:c>
      <x:c r="K57" s="51" t="n">
        <x:f>AA57</x:f>
        <x:v>0.03125</x:v>
      </x:c>
      <x:c r="L57" s="48" t="str">
        <x:f>IF(OR(D57="MXFP4",D57="MXFP8"),"group 32 / E8M0",IF(D57="INT8","channel / 8 B",IF(D57="INT4","channel / 16 B","")))</x:f>
      </x:c>
      <x:c r="M57" s="52" t="n">
        <x:f>1</x:f>
        <x:v>1</x:v>
      </x:c>
      <x:c r="N57" s="48" t="str">
        <x:f>"["&amp;(4096/M57)&amp;","&amp;(4096)&amp;"]"</x:f>
        <x:v>[4096,4096]</x:v>
      </x:c>
      <x:c r="O57" s="50" t="n">
        <x:f>CHOOSE($R$22+1,1)</x:f>
        <x:v>1</x:v>
      </x:c>
      <x:c r="P57" s="2"/>
      <x:c r="Q57" s="2" t="str">
        <x:v>Attention o_proj full gather</x:v>
      </x:c>
      <x:c r="R57" s="32" t="n">
        <x:f>0</x:f>
        <x:v>0</x:v>
      </x:c>
      <x:c r="S57" s="2"/>
      <x:c r="T57" s="2"/>
      <x:c r="U57" s="2"/>
      <x:c r="V57" s="2"/>
      <x:c r="W57" s="2"/>
      <x:c r="X57" s="2"/>
      <x:c r="Y57" s="2"/>
      <x:c r="Z57" s="2"/>
      <x:c r="AA57" s="38" t="n">
        <x:f>IF($R$30=1,SUM(AB57:AD57)*(1)/1073741824,NA())</x:f>
        <x:v>0.03125</x:v>
      </x:c>
      <x:c r="AB57" s="39" t="n">
        <x:f>(4096/M57)*ROUNDUP((4096)*VLOOKUP(D57,$Q$32:$R$38,2,FALSE),0)</x:f>
        <x:v>33554432</x:v>
      </x:c>
      <x:c r="AC57" s="39" t="n">
        <x:f>IF(OR(D57="MXFP4",D57="MXFP8"),(4096/M57)*ROUNDUP((4096)/32,0),0)</x:f>
        <x:v>0</x:v>
      </x:c>
      <x:c r="AD57" s="39" t="n">
        <x:f>IF(D57="INT8",(4096/M57)*8,IF(D57="INT4",(4096/M57)*16,0))</x:f>
        <x:v>0</x:v>
      </x:c>
      <x:c r="AE57" s="39" t="n">
        <x:f>(4096)*ROUNDUP((4096)*VLOOKUP(D57,$Q$32:$R$38,2,FALSE),0)</x:f>
        <x:v>33554432</x:v>
      </x:c>
      <x:c r="AF57" s="39" t="n">
        <x:f>IF(OR(D57="MXFP4",D57="MXFP8"),(4096)*ROUNDUP((4096)/32,0),0)</x:f>
        <x:v>0</x:v>
      </x:c>
      <x:c r="AG57" s="39" t="n">
        <x:f>IF(D57="INT8",(4096)*8,IF(D57="INT4",(4096)*16,0))</x:f>
        <x:v>0</x:v>
      </x:c>
    </x:row>
    <x:row r="58" ht="18" customHeight="1">
      <x:c r="A58" s="7" t="str">
        <x:v>MM projector</x:v>
      </x:c>
      <x:c r="B58" s="7" t="str">
        <x:v>proj.2.weight</x:v>
      </x:c>
      <x:c r="C58" s="7" t="str">
        <x:v>[7168,4096]</x:v>
      </x:c>
      <x:c r="D58" s="10" t="str">
        <x:v>BF16</x:v>
      </x:c>
      <x:c r="E58" s="34" t="n">
        <x:v>1</x:v>
      </x:c>
      <x:c r="F58" s="34" t="n">
        <x:f>(7168)*(4096)</x:f>
        <x:v>29360128</x:v>
      </x:c>
      <x:c r="G58" s="7" t="str">
        <x:v>Replicated</x:v>
      </x:c>
      <x:c r="H58" s="7" t="str">
        <x:v>None</x:v>
      </x:c>
      <x:c r="I58" s="7" t="str">
        <x:v>否</x:v>
      </x:c>
      <x:c r="J58" s="44" t="n">
        <x:f>E58*SUM(AE58:AG58)/1073741824</x:f>
        <x:v>0.0546875</x:v>
      </x:c>
      <x:c r="K58" s="44" t="n">
        <x:f>AA58</x:f>
        <x:v>0.0546875</x:v>
      </x:c>
      <x:c r="L58" s="7" t="str">
        <x:f>IF(OR(D58="MXFP4",D58="MXFP8"),"group 32 / E8M0",IF(D58="INT8","channel / 8 B",IF(D58="INT4","channel / 16 B","")))</x:f>
      </x:c>
      <x:c r="M58" s="45" t="n">
        <x:f>1</x:f>
        <x:v>1</x:v>
      </x:c>
      <x:c r="N58" s="7" t="str">
        <x:f>"["&amp;(7168/M58)&amp;","&amp;(4096)&amp;"]"</x:f>
        <x:v>[7168,4096]</x:v>
      </x:c>
      <x:c r="O58" s="34" t="n">
        <x:f>CHOOSE($R$22+1,1)</x:f>
        <x:v>1</x:v>
      </x:c>
      <x:c r="P58" s="2"/>
      <x:c r="Q58" s="2" t="str">
        <x:v>Attention o_proj transpose shard</x:v>
      </x:c>
      <x:c r="R58" s="32" t="n">
        <x:f>0</x:f>
        <x:v>0</x:v>
      </x:c>
      <x:c r="S58" s="2"/>
      <x:c r="T58" s="2"/>
      <x:c r="U58" s="2"/>
      <x:c r="V58" s="2"/>
      <x:c r="W58" s="2"/>
      <x:c r="X58" s="2"/>
      <x:c r="Y58" s="2"/>
      <x:c r="Z58" s="2"/>
      <x:c r="AA58" s="38" t="n">
        <x:f>IF($R$30=1,SUM(AB58:AD58)*(1)/1073741824,NA())</x:f>
        <x:v>0.0546875</x:v>
      </x:c>
      <x:c r="AB58" s="39" t="n">
        <x:f>(7168/M58)*ROUNDUP((4096)*VLOOKUP(D58,$Q$32:$R$38,2,FALSE),0)</x:f>
        <x:v>58720256</x:v>
      </x:c>
      <x:c r="AC58" s="39" t="n">
        <x:f>IF(OR(D58="MXFP4",D58="MXFP8"),(7168/M58)*ROUNDUP((4096)/32,0),0)</x:f>
        <x:v>0</x:v>
      </x:c>
      <x:c r="AD58" s="39" t="n">
        <x:f>IF(D58="INT8",(7168/M58)*8,IF(D58="INT4",(7168/M58)*16,0))</x:f>
        <x:v>0</x:v>
      </x:c>
      <x:c r="AE58" s="39" t="n">
        <x:f>(7168)*ROUNDUP((4096)*VLOOKUP(D58,$Q$32:$R$38,2,FALSE),0)</x:f>
        <x:v>58720256</x:v>
      </x:c>
      <x:c r="AF58" s="39" t="n">
        <x:f>IF(OR(D58="MXFP4",D58="MXFP8"),(7168)*ROUNDUP((4096)/32,0),0)</x:f>
        <x:v>0</x:v>
      </x:c>
      <x:c r="AG58" s="39" t="n">
        <x:f>IF(D58="INT8",(7168)*8,IF(D58="INT4",(7168)*16,0))</x:f>
        <x:v>0</x:v>
      </x:c>
    </x:row>
    <x:row r="59" ht="18" customHeight="1">
      <x:c r="A59" s="8" t="str">
        <x:v>MM projector</x:v>
      </x:c>
      <x:c r="B59" s="8" t="str">
        <x:v>post_norm.weight</x:v>
      </x:c>
      <x:c r="C59" s="8" t="str">
        <x:v>[7168]</x:v>
      </x:c>
      <x:c r="D59" s="11" t="str">
        <x:v>BF16</x:v>
      </x:c>
      <x:c r="E59" s="35" t="n">
        <x:v>1</x:v>
      </x:c>
      <x:c r="F59" s="35" t="n">
        <x:f>(7168)</x:f>
        <x:v>7168</x:v>
      </x:c>
      <x:c r="G59" s="8" t="str">
        <x:v>Replicated</x:v>
      </x:c>
      <x:c r="H59" s="8" t="str">
        <x:v>None</x:v>
      </x:c>
      <x:c r="I59" s="8" t="str">
        <x:v>否</x:v>
      </x:c>
      <x:c r="J59" s="46" t="n">
        <x:f>E59*SUM(AE59:AG59)/1073741824</x:f>
        <x:v>0.0000133514404296875</x:v>
      </x:c>
      <x:c r="K59" s="46" t="n">
        <x:f>AA59</x:f>
        <x:v>0.0000133514404296875</x:v>
      </x:c>
      <x:c r="L59" s="8" t="str">
        <x:f>IF(OR(D59="MXFP4",D59="MXFP8"),"group 32 / E8M0",IF(D59="INT8","channel / 8 B",IF(D59="INT4","channel / 16 B","")))</x:f>
      </x:c>
      <x:c r="M59" s="47" t="n">
        <x:f>1</x:f>
        <x:v>1</x:v>
      </x:c>
      <x:c r="N59" s="8" t="str">
        <x:f>"["&amp;(7168/M59)&amp;"]"</x:f>
        <x:v>[7168]</x:v>
      </x:c>
      <x:c r="O59" s="35" t="n">
        <x:f>CHOOSE($R$22+1,1)</x:f>
        <x:v>1</x:v>
      </x:c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38" t="n">
        <x:f>IF($R$30=1,SUM(AB59:AD59)*(1)/1073741824,NA())</x:f>
        <x:v>0.0000133514404296875</x:v>
      </x:c>
      <x:c r="AB59" s="39" t="n">
        <x:f>1*ROUNDUP((7168/M59)*VLOOKUP(D59,$Q$32:$R$38,2,FALSE),0)</x:f>
        <x:v>14336</x:v>
      </x:c>
      <x:c r="AC59" s="39" t="n">
        <x:f>IF(OR(D59="MXFP4",D59="MXFP8"),1*ROUNDUP((7168/M59)/32,0),0)</x:f>
        <x:v>0</x:v>
      </x:c>
      <x:c r="AD59" s="39" t="n">
        <x:f>IF(D59="INT8",(7168/M59)*8,IF(D59="INT4",(7168/M59)*16,0))</x:f>
        <x:v>0</x:v>
      </x:c>
      <x:c r="AE59" s="39" t="n">
        <x:f>1*ROUNDUP((7168)*VLOOKUP(D59,$Q$32:$R$38,2,FALSE),0)</x:f>
        <x:v>14336</x:v>
      </x:c>
      <x:c r="AF59" s="39" t="n">
        <x:f>IF(OR(D59="MXFP4",D59="MXFP8"),1*ROUNDUP((7168)/32,0),0)</x:f>
        <x:v>0</x:v>
      </x:c>
      <x:c r="AG59" s="39" t="n">
        <x:f>IF(D59="INT8",(7168)*8,IF(D59="INT4",(7168)*16,0))</x:f>
        <x:v>0</x:v>
      </x:c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</x:row>
    <x:row r="62" ht="3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41" t="str">
        <x:v>Token 数</x:v>
      </x:c>
      <x:c r="R62" s="41" t="str">
        <x:v>本卡主缓存 token</x:v>
      </x:c>
      <x:c r="S62" s="41" t="str">
        <x:v>MLA latent+scale GiB</x:v>
      </x:c>
      <x:c r="T62" s="41" t="str">
        <x:v>RoPE GiB</x:v>
      </x:c>
      <x:c r="U62" s="41" t="str">
        <x:v>Indexer K+scale GiB</x:v>
      </x:c>
      <x:c r="V62" s="41" t="str">
        <x:v>KDA recurrent GiB</x:v>
      </x:c>
      <x:c r="W62" s="41" t="str">
        <x:v>KDA conv GiB</x:v>
      </x:c>
      <x:c r="X62" s="41" t="str">
        <x:v>单请求 cache GiB</x:v>
      </x:c>
      <x:c r="Y62" s="41" t="str">
        <x:v>权重 + cache GiB</x:v>
      </x:c>
      <x:c r="Z62" s="2"/>
      <x:c r="AA62" s="2"/>
      <x:c r="AB62" s="2"/>
      <x:c r="AC62" s="2"/>
      <x:c r="AD62" s="2"/>
      <x:c r="AE62" s="2"/>
      <x:c r="AF62" s="2"/>
      <x:c r="AG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33" t="n">
        <x:f>$R$18</x:f>
        <x:v>131072</x:v>
      </x:c>
      <x:c r="R63" s="33" t="n">
        <x:f>ROUNDUP(Q63/($R$19*$R$12),0)*$R$19</x:f>
        <x:v>131072</x:v>
      </x:c>
      <x:c r="S63" s="27" t="n">
        <x:f>R63*$T$3*$V$32/1073741824</x:f>
        <x:v>3</x:v>
      </x:c>
      <x:c r="T63" s="27" t="n">
        <x:f>R63*$T$3*$V$33/1073741824</x:f>
        <x:v>0.375</x:v>
      </x:c>
      <x:c r="U63" s="27" t="n">
        <x:f>R63*$R$12*$T$3*$V$35/1073741824</x:f>
        <x:v>0</x:v>
      </x:c>
      <x:c r="V63" s="27" t="n">
        <x:f>$T$2*($T$4/$R$2)*$T$5*$T$5*$R$17/1073741824</x:f>
        <x:v>0.0252685546875</x:v>
      </x:c>
      <x:c r="W63" s="27" t="n">
        <x:f>$T$2*3*($T$4/$R$2)*$T$5*($T$14-1+$R$20)*$R$16/1073741824</x:f>
        <x:v>0.0008883476257324219</x:v>
      </x:c>
      <x:c r="X63" s="27" t="n">
        <x:f>IF($R$30=1,SUM(S63:W63),NA())</x:f>
        <x:v>3.4011569023132324</x:v>
      </x:c>
      <x:c r="Y63" s="27" t="n">
        <x:f>$R$23+X63</x:f>
        <x:v>36.81021534651518</x:v>
      </x:c>
      <x:c r="Z63" s="2"/>
      <x:c r="AA63" s="2"/>
      <x:c r="AB63" s="2"/>
      <x:c r="AC63" s="2"/>
      <x:c r="AD63" s="2"/>
      <x:c r="AE63" s="2"/>
      <x:c r="AF63" s="2"/>
      <x:c r="AG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4" t="n">
        <x:v>1024</x:v>
      </x:c>
      <x:c r="R64" s="34" t="n">
        <x:f>ROUNDUP(Q64/($R$19*$R$12),0)*$R$19</x:f>
        <x:v>1024</x:v>
      </x:c>
      <x:c r="S64" s="28" t="n">
        <x:f>R64*$T$3*$V$32/1073741824</x:f>
        <x:v>0.0234375</x:v>
      </x:c>
      <x:c r="T64" s="28" t="n">
        <x:f>R64*$T$3*$V$33/1073741824</x:f>
        <x:v>0.0029296875</x:v>
      </x:c>
      <x:c r="U64" s="28" t="n">
        <x:f>R64*$R$12*$T$3*$V$35/1073741824</x:f>
        <x:v>0</x:v>
      </x:c>
      <x:c r="V64" s="28" t="n">
        <x:f>$T$2*($T$4/$R$2)*$T$5*$T$5*$R$17/1073741824</x:f>
        <x:v>0.0252685546875</x:v>
      </x:c>
      <x:c r="W64" s="28" t="n">
        <x:f>$T$2*3*($T$4/$R$2)*$T$5*($T$14-1+$R$20)*$R$16/1073741824</x:f>
        <x:v>0.0008883476257324219</x:v>
      </x:c>
      <x:c r="X64" s="28" t="n">
        <x:f>IF($R$30=1,SUM(S64:W64),NA())</x:f>
        <x:v>0.05252408981323242</x:v>
      </x:c>
      <x:c r="Y64" s="28" t="n">
        <x:f>$R$23+X64</x:f>
        <x:v>33.46158253401518</x:v>
      </x:c>
      <x:c r="Z64" s="2"/>
      <x:c r="AA64" s="2"/>
      <x:c r="AB64" s="2"/>
      <x:c r="AC64" s="2"/>
      <x:c r="AD64" s="2"/>
      <x:c r="AE64" s="2"/>
      <x:c r="AF64" s="2"/>
      <x:c r="AG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4" t="n">
        <x:v>4096</x:v>
      </x:c>
      <x:c r="R65" s="34" t="n">
        <x:f>ROUNDUP(Q65/($R$19*$R$12),0)*$R$19</x:f>
        <x:v>4096</x:v>
      </x:c>
      <x:c r="S65" s="28" t="n">
        <x:f>R65*$T$3*$V$32/1073741824</x:f>
        <x:v>0.09375</x:v>
      </x:c>
      <x:c r="T65" s="28" t="n">
        <x:f>R65*$T$3*$V$33/1073741824</x:f>
        <x:v>0.01171875</x:v>
      </x:c>
      <x:c r="U65" s="28" t="n">
        <x:f>R65*$R$12*$T$3*$V$35/1073741824</x:f>
        <x:v>0</x:v>
      </x:c>
      <x:c r="V65" s="28" t="n">
        <x:f>$T$2*($T$4/$R$2)*$T$5*$T$5*$R$17/1073741824</x:f>
        <x:v>0.0252685546875</x:v>
      </x:c>
      <x:c r="W65" s="28" t="n">
        <x:f>$T$2*3*($T$4/$R$2)*$T$5*($T$14-1+$R$20)*$R$16/1073741824</x:f>
        <x:v>0.0008883476257324219</x:v>
      </x:c>
      <x:c r="X65" s="28" t="n">
        <x:f>IF($R$30=1,SUM(S65:W65),NA())</x:f>
        <x:v>0.13162565231323242</x:v>
      </x:c>
      <x:c r="Y65" s="28" t="n">
        <x:f>$R$23+X65</x:f>
        <x:v>33.54068409651518</x:v>
      </x:c>
      <x:c r="Z65" s="2"/>
      <x:c r="AA65" s="2"/>
      <x:c r="AB65" s="2"/>
      <x:c r="AC65" s="2"/>
      <x:c r="AD65" s="2"/>
      <x:c r="AE65" s="2"/>
      <x:c r="AF65" s="2"/>
      <x:c r="AG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4" t="n">
        <x:v>8192</x:v>
      </x:c>
      <x:c r="R66" s="34" t="n">
        <x:f>ROUNDUP(Q66/($R$19*$R$12),0)*$R$19</x:f>
        <x:v>8192</x:v>
      </x:c>
      <x:c r="S66" s="28" t="n">
        <x:f>R66*$T$3*$V$32/1073741824</x:f>
        <x:v>0.1875</x:v>
      </x:c>
      <x:c r="T66" s="28" t="n">
        <x:f>R66*$T$3*$V$33/1073741824</x:f>
        <x:v>0.0234375</x:v>
      </x:c>
      <x:c r="U66" s="28" t="n">
        <x:f>R66*$R$12*$T$3*$V$35/1073741824</x:f>
        <x:v>0</x:v>
      </x:c>
      <x:c r="V66" s="28" t="n">
        <x:f>$T$2*($T$4/$R$2)*$T$5*$T$5*$R$17/1073741824</x:f>
        <x:v>0.0252685546875</x:v>
      </x:c>
      <x:c r="W66" s="28" t="n">
        <x:f>$T$2*3*($T$4/$R$2)*$T$5*($T$14-1+$R$20)*$R$16/1073741824</x:f>
        <x:v>0.0008883476257324219</x:v>
      </x:c>
      <x:c r="X66" s="28" t="n">
        <x:f>IF($R$30=1,SUM(S66:W66),NA())</x:f>
        <x:v>0.23709440231323242</x:v>
      </x:c>
      <x:c r="Y66" s="28" t="n">
        <x:f>$R$23+X66</x:f>
        <x:v>33.64615284651518</x:v>
      </x:c>
      <x:c r="Z66" s="2"/>
      <x:c r="AA66" s="2"/>
      <x:c r="AB66" s="2"/>
      <x:c r="AC66" s="2"/>
      <x:c r="AD66" s="2"/>
      <x:c r="AE66" s="2"/>
      <x:c r="AF66" s="2"/>
      <x:c r="AG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4" t="n">
        <x:v>16384</x:v>
      </x:c>
      <x:c r="R67" s="34" t="n">
        <x:f>ROUNDUP(Q67/($R$19*$R$12),0)*$R$19</x:f>
        <x:v>16384</x:v>
      </x:c>
      <x:c r="S67" s="28" t="n">
        <x:f>R67*$T$3*$V$32/1073741824</x:f>
        <x:v>0.375</x:v>
      </x:c>
      <x:c r="T67" s="28" t="n">
        <x:f>R67*$T$3*$V$33/1073741824</x:f>
        <x:v>0.046875</x:v>
      </x:c>
      <x:c r="U67" s="28" t="n">
        <x:f>R67*$R$12*$T$3*$V$35/1073741824</x:f>
        <x:v>0</x:v>
      </x:c>
      <x:c r="V67" s="28" t="n">
        <x:f>$T$2*($T$4/$R$2)*$T$5*$T$5*$R$17/1073741824</x:f>
        <x:v>0.0252685546875</x:v>
      </x:c>
      <x:c r="W67" s="28" t="n">
        <x:f>$T$2*3*($T$4/$R$2)*$T$5*($T$14-1+$R$20)*$R$16/1073741824</x:f>
        <x:v>0.0008883476257324219</x:v>
      </x:c>
      <x:c r="X67" s="28" t="n">
        <x:f>IF($R$30=1,SUM(S67:W67),NA())</x:f>
        <x:v>0.4480319023132324</x:v>
      </x:c>
      <x:c r="Y67" s="28" t="n">
        <x:f>$R$23+X67</x:f>
        <x:v>33.85709034651518</x:v>
      </x:c>
      <x:c r="Z67" s="2"/>
      <x:c r="AA67" s="2"/>
      <x:c r="AB67" s="2"/>
      <x:c r="AC67" s="2"/>
      <x:c r="AD67" s="2"/>
      <x:c r="AE67" s="2"/>
      <x:c r="AF67" s="2"/>
      <x:c r="AG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4" t="n">
        <x:v>32768</x:v>
      </x:c>
      <x:c r="R68" s="34" t="n">
        <x:f>ROUNDUP(Q68/($R$19*$R$12),0)*$R$19</x:f>
        <x:v>32768</x:v>
      </x:c>
      <x:c r="S68" s="28" t="n">
        <x:f>R68*$T$3*$V$32/1073741824</x:f>
        <x:v>0.75</x:v>
      </x:c>
      <x:c r="T68" s="28" t="n">
        <x:f>R68*$T$3*$V$33/1073741824</x:f>
        <x:v>0.09375</x:v>
      </x:c>
      <x:c r="U68" s="28" t="n">
        <x:f>R68*$R$12*$T$3*$V$35/1073741824</x:f>
        <x:v>0</x:v>
      </x:c>
      <x:c r="V68" s="28" t="n">
        <x:f>$T$2*($T$4/$R$2)*$T$5*$T$5*$R$17/1073741824</x:f>
        <x:v>0.0252685546875</x:v>
      </x:c>
      <x:c r="W68" s="28" t="n">
        <x:f>$T$2*3*($T$4/$R$2)*$T$5*($T$14-1+$R$20)*$R$16/1073741824</x:f>
        <x:v>0.0008883476257324219</x:v>
      </x:c>
      <x:c r="X68" s="28" t="n">
        <x:f>IF($R$30=1,SUM(S68:W68),NA())</x:f>
        <x:v>0.8699069023132324</x:v>
      </x:c>
      <x:c r="Y68" s="28" t="n">
        <x:f>$R$23+X68</x:f>
        <x:v>34.27896534651518</x:v>
      </x:c>
      <x:c r="Z68" s="2"/>
      <x:c r="AA68" s="2"/>
      <x:c r="AB68" s="2"/>
      <x:c r="AC68" s="2"/>
      <x:c r="AD68" s="2"/>
      <x:c r="AE68" s="2"/>
      <x:c r="AF68" s="2"/>
      <x:c r="AG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4" t="n">
        <x:v>65536</x:v>
      </x:c>
      <x:c r="R69" s="34" t="n">
        <x:f>ROUNDUP(Q69/($R$19*$R$12),0)*$R$19</x:f>
        <x:v>65536</x:v>
      </x:c>
      <x:c r="S69" s="28" t="n">
        <x:f>R69*$T$3*$V$32/1073741824</x:f>
        <x:v>1.5</x:v>
      </x:c>
      <x:c r="T69" s="28" t="n">
        <x:f>R69*$T$3*$V$33/1073741824</x:f>
        <x:v>0.1875</x:v>
      </x:c>
      <x:c r="U69" s="28" t="n">
        <x:f>R69*$R$12*$T$3*$V$35/1073741824</x:f>
        <x:v>0</x:v>
      </x:c>
      <x:c r="V69" s="28" t="n">
        <x:f>$T$2*($T$4/$R$2)*$T$5*$T$5*$R$17/1073741824</x:f>
        <x:v>0.0252685546875</x:v>
      </x:c>
      <x:c r="W69" s="28" t="n">
        <x:f>$T$2*3*($T$4/$R$2)*$T$5*($T$14-1+$R$20)*$R$16/1073741824</x:f>
        <x:v>0.0008883476257324219</x:v>
      </x:c>
      <x:c r="X69" s="28" t="n">
        <x:f>IF($R$30=1,SUM(S69:W69),NA())</x:f>
        <x:v>1.7136569023132324</x:v>
      </x:c>
      <x:c r="Y69" s="28" t="n">
        <x:f>$R$23+X69</x:f>
        <x:v>35.12271534651518</x:v>
      </x:c>
      <x:c r="Z69" s="2"/>
      <x:c r="AA69" s="2"/>
      <x:c r="AB69" s="2"/>
      <x:c r="AC69" s="2"/>
      <x:c r="AD69" s="2"/>
      <x:c r="AE69" s="2"/>
      <x:c r="AF69" s="2"/>
      <x:c r="AG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4" t="n">
        <x:v>131072</x:v>
      </x:c>
      <x:c r="R70" s="34" t="n">
        <x:f>ROUNDUP(Q70/($R$19*$R$12),0)*$R$19</x:f>
        <x:v>131072</x:v>
      </x:c>
      <x:c r="S70" s="28" t="n">
        <x:f>R70*$T$3*$V$32/1073741824</x:f>
        <x:v>3</x:v>
      </x:c>
      <x:c r="T70" s="28" t="n">
        <x:f>R70*$T$3*$V$33/1073741824</x:f>
        <x:v>0.375</x:v>
      </x:c>
      <x:c r="U70" s="28" t="n">
        <x:f>R70*$R$12*$T$3*$V$35/1073741824</x:f>
        <x:v>0</x:v>
      </x:c>
      <x:c r="V70" s="28" t="n">
        <x:f>$T$2*($T$4/$R$2)*$T$5*$T$5*$R$17/1073741824</x:f>
        <x:v>0.0252685546875</x:v>
      </x:c>
      <x:c r="W70" s="28" t="n">
        <x:f>$T$2*3*($T$4/$R$2)*$T$5*($T$14-1+$R$20)*$R$16/1073741824</x:f>
        <x:v>0.0008883476257324219</x:v>
      </x:c>
      <x:c r="X70" s="28" t="n">
        <x:f>IF($R$30=1,SUM(S70:W70),NA())</x:f>
        <x:v>3.4011569023132324</x:v>
      </x:c>
      <x:c r="Y70" s="28" t="n">
        <x:f>$R$23+X70</x:f>
        <x:v>36.81021534651518</x:v>
      </x:c>
      <x:c r="Z70" s="2"/>
      <x:c r="AA70" s="2"/>
      <x:c r="AB70" s="2"/>
      <x:c r="AC70" s="2"/>
      <x:c r="AD70" s="2"/>
      <x:c r="AE70" s="2"/>
      <x:c r="AF70" s="2"/>
      <x:c r="AG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4" t="n">
        <x:v>262144</x:v>
      </x:c>
      <x:c r="R71" s="34" t="n">
        <x:f>ROUNDUP(Q71/($R$19*$R$12),0)*$R$19</x:f>
        <x:v>262144</x:v>
      </x:c>
      <x:c r="S71" s="28" t="n">
        <x:f>R71*$T$3*$V$32/1073741824</x:f>
        <x:v>6</x:v>
      </x:c>
      <x:c r="T71" s="28" t="n">
        <x:f>R71*$T$3*$V$33/1073741824</x:f>
        <x:v>0.75</x:v>
      </x:c>
      <x:c r="U71" s="28" t="n">
        <x:f>R71*$R$12*$T$3*$V$35/1073741824</x:f>
        <x:v>0</x:v>
      </x:c>
      <x:c r="V71" s="28" t="n">
        <x:f>$T$2*($T$4/$R$2)*$T$5*$T$5*$R$17/1073741824</x:f>
        <x:v>0.0252685546875</x:v>
      </x:c>
      <x:c r="W71" s="28" t="n">
        <x:f>$T$2*3*($T$4/$R$2)*$T$5*($T$14-1+$R$20)*$R$16/1073741824</x:f>
        <x:v>0.0008883476257324219</x:v>
      </x:c>
      <x:c r="X71" s="28" t="n">
        <x:f>IF($R$30=1,SUM(S71:W71),NA())</x:f>
        <x:v>6.776156902313232</x:v>
      </x:c>
      <x:c r="Y71" s="28" t="n">
        <x:f>$R$23+X71</x:f>
        <x:v>40.18521534651518</x:v>
      </x:c>
      <x:c r="Z71" s="2"/>
      <x:c r="AA71" s="2"/>
      <x:c r="AB71" s="2"/>
      <x:c r="AC71" s="2"/>
      <x:c r="AD71" s="2"/>
      <x:c r="AE71" s="2"/>
      <x:c r="AF71" s="2"/>
      <x:c r="AG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6" t="n">
        <x:v>1048576</x:v>
      </x:c>
      <x:c r="R72" s="35" t="n">
        <x:f>ROUNDUP(Q72/($R$19*$R$12),0)*$R$19</x:f>
        <x:v>1048576</x:v>
      </x:c>
      <x:c r="S72" s="36" t="n">
        <x:f>R72*$T$3*$V$32/1073741824</x:f>
        <x:v>24</x:v>
      </x:c>
      <x:c r="T72" s="36" t="n">
        <x:f>R72*$T$3*$V$33/1073741824</x:f>
        <x:v>3</x:v>
      </x:c>
      <x:c r="U72" s="36" t="n">
        <x:f>R72*$R$12*$T$3*$V$35/1073741824</x:f>
        <x:v>0</x:v>
      </x:c>
      <x:c r="V72" s="36" t="n">
        <x:f>$T$2*($T$4/$R$2)*$T$5*$T$5*$R$17/1073741824</x:f>
        <x:v>0.0252685546875</x:v>
      </x:c>
      <x:c r="W72" s="36" t="n">
        <x:f>$T$2*3*($T$4/$R$2)*$T$5*($T$14-1+$R$20)*$R$16/1073741824</x:f>
        <x:v>0.0008883476257324219</x:v>
      </x:c>
      <x:c r="X72" s="36" t="n">
        <x:f>IF($R$30=1,SUM(S72:W72),NA())</x:f>
        <x:v>27.026156902313232</x:v>
      </x:c>
      <x:c r="Y72" s="36" t="n">
        <x:f>$R$23+X72</x:f>
        <x:v>60.43521534651518</x:v>
      </x:c>
      <x:c r="Z72" s="2"/>
      <x:c r="AA72" s="2"/>
      <x:c r="AB72" s="2"/>
      <x:c r="AC72" s="2"/>
      <x:c r="AD72" s="2"/>
      <x:c r="AE72" s="2"/>
      <x:c r="AF72" s="2"/>
      <x:c r="AG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5" t="str">
        <x:v>缓存组成</x:v>
      </x:c>
      <x:c r="R74" s="5" t="str">
        <x:v>本卡布局</x:v>
      </x:c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 t="str">
        <x:v>MLA 主缓存</x:v>
      </x:c>
      <x:c r="R75" s="2" t="str">
        <x:f>"[local_blocks, "&amp;R19&amp;", 1, "&amp;V34&amp;" bytes]"</x:f>
        <x:v>[local_blocks, 128, 1, 1152 bytes]</x:v>
      </x:c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 t="str">
        <x:v>RoPE</x:v>
      </x:c>
      <x:c r="R76" s="2" t="str">
        <x:v>BF16</x:v>
      </x:c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 t="str">
        <x:v>Indexer K</x:v>
      </x:c>
      <x:c r="R77" s="2" t="str">
        <x:v>不适用</x:v>
      </x:c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 t="str">
        <x:v>KDA recurrent</x:v>
      </x:c>
      <x:c r="R78" s="2" t="str">
        <x:v>FP32 / head TP</x:v>
      </x:c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 t="str">
        <x:v>KDA conv</x:v>
      </x:c>
      <x:c r="R79" s="2" t="str">
        <x:v>BF16 / head TP</x:v>
      </x:c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 t="str">
        <x:v>阶段</x:v>
      </x:c>
      <x:c r="R80" s="2" t="str">
        <x:v>Gated MLA BF16，KDA 按 head TP</x:v>
      </x:c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 t="str">
        <x:v>Indexer scale</x:v>
      </x:c>
      <x:c r="R81" s="2" t="str">
        <x:f>"不适用"</x:f>
        <x:v>不适用</x:v>
      </x:c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 t="str">
        <x:v>Cache dtype</x:v>
      </x:c>
      <x:c r="R82" s="2" t="str">
        <x:f>"MLA "&amp;R13&amp;" / Indexer "&amp;R14</x:f>
        <x:v>MLA BF16 / Indexer BF16</x:v>
      </x:c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5" t="str">
        <x:v>PP stage</x:v>
      </x:c>
      <x:c r="R86" s="5" t="str">
        <x:v>层范围</x:v>
      </x:c>
      <x:c r="S86" s="5" t="str">
        <x:v>层数</x:v>
      </x:c>
      <x:c r="T86" s="5" t="str">
        <x:v>KDA 层</x:v>
      </x:c>
      <x:c r="U86" s="5" t="str">
        <x:v>Attention 层</x:v>
      </x:c>
      <x:c r="V86" s="5" t="str">
        <x:v>MoE 层</x:v>
      </x:c>
      <x:c r="W86" s="5" t="str">
        <x:v>权重 GiB</x:v>
      </x:c>
      <x:c r="X86" s="5" t="str">
        <x:v>Cache GiB</x:v>
      </x:c>
      <x:c r="Y86" s="5" t="str">
        <x:v>合计 GiB</x:v>
      </x:c>
      <x:c r="Z86" s="5" t="str">
        <x:v>embedding</x:v>
      </x:c>
      <x:c r="AA86" s="5" t="str">
        <x:v>lm_head</x:v>
      </x:c>
      <x:c r="AB86" s="5" t="str">
        <x:v>ViT / MM</x:v>
      </x:c>
      <x:c r="AC86" s="5" t="str">
        <x:v>Buffer GiB</x:v>
      </x:c>
      <x:c r="AD86" s="2"/>
      <x:c r="AE86" s="2"/>
      <x:c r="AF86" s="2"/>
      <x:c r="AG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 t="n">
        <x:v>0</x:v>
      </x:c>
      <x:c r="R87" s="2" t="str">
        <x:v>1-93</x:v>
      </x:c>
      <x:c r="S87" s="2" t="n">
        <x:v>93</x:v>
      </x:c>
      <x:c r="T87" s="2" t="n">
        <x:v>69</x:v>
      </x:c>
      <x:c r="U87" s="2" t="n">
        <x:v>24</x:v>
      </x:c>
      <x:c r="V87" s="2" t="n">
        <x:v>92</x:v>
      </x:c>
      <x:c r="W87" s="32" t="n">
        <x:f>SUM(AA2:AA59)</x:f>
        <x:v>33.409058444201946</x:v>
      </x:c>
      <x:c r="X87" s="32" t="n">
        <x:f>IF($R$30=1,ROUNDUP($R$18/($R$19*$R$12),0)*$R$19*U87*($V$34+$R$12*$V$35)/1073741824+T87*($T$4/$R$2)*$T$5*$T$5*$R$17/1073741824+T87*3*($T$4/$R$2)*$T$5*($T$14-1+$R$20)*$R$16/1073741824,NA())</x:f>
        <x:v>3.4011569023132324</x:v>
      </x:c>
      <x:c r="Y87" s="32" t="n">
        <x:f>W87+X87+AC87</x:f>
        <x:v>36.81021534651518</x:v>
      </x:c>
      <x:c r="Z87" s="2" t="n">
        <x:v>1</x:v>
      </x:c>
      <x:c r="AA87" s="2" t="n">
        <x:v>1</x:v>
      </x:c>
      <x:c r="AB87" s="2" t="n">
        <x:v>1</x:v>
      </x:c>
      <x:c r="AC87" s="32" t="n">
        <x:f>0</x:f>
        <x:v>0</x:v>
      </x:c>
      <x:c r="AD87" s="2"/>
      <x:c r="AE87" s="2"/>
      <x:c r="AF87" s="2"/>
      <x:c r="AG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32"/>
      <x:c r="X88" s="32"/>
      <x:c r="Y88" s="32"/>
      <x:c r="Z88" s="2"/>
      <x:c r="AA88" s="2"/>
      <x:c r="AB88" s="2"/>
      <x:c r="AC88" s="32"/>
      <x:c r="AD88" s="2"/>
      <x:c r="AE88" s="2"/>
      <x:c r="AF88" s="2"/>
      <x:c r="AG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32"/>
      <x:c r="X89" s="32"/>
      <x:c r="Y89" s="32"/>
      <x:c r="Z89" s="2"/>
      <x:c r="AA89" s="2"/>
      <x:c r="AB89" s="2"/>
      <x:c r="AC89" s="32"/>
      <x:c r="AD89" s="2"/>
      <x:c r="AE89" s="2"/>
      <x:c r="AF89" s="2"/>
      <x:c r="AG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32"/>
      <x:c r="X90" s="32"/>
      <x:c r="Y90" s="32"/>
      <x:c r="Z90" s="2"/>
      <x:c r="AA90" s="2"/>
      <x:c r="AB90" s="2"/>
      <x:c r="AC90" s="32"/>
      <x:c r="AD90" s="2"/>
      <x:c r="AE90" s="2"/>
      <x:c r="AF90" s="2"/>
      <x:c r="AG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32"/>
      <x:c r="X91" s="32"/>
      <x:c r="Y91" s="32"/>
      <x:c r="Z91" s="2"/>
      <x:c r="AA91" s="2"/>
      <x:c r="AB91" s="2"/>
      <x:c r="AC91" s="32"/>
      <x:c r="AD91" s="2"/>
      <x:c r="AE91" s="2"/>
      <x:c r="AF91" s="2"/>
      <x:c r="AG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5" t="str">
        <x:v>最大单卡</x:v>
      </x:c>
      <x:c r="R92" s="5"/>
      <x:c r="S92" s="5"/>
      <x:c r="T92" s="5"/>
      <x:c r="U92" s="5"/>
      <x:c r="V92" s="5"/>
      <x:c r="W92" s="37" t="n">
        <x:f>MAX(W87:W87)</x:f>
        <x:v>33.409058444201946</x:v>
      </x:c>
      <x:c r="X92" s="37" t="n">
        <x:f>MAX(X87:X87)</x:f>
        <x:v>3.4011569023132324</x:v>
      </x:c>
      <x:c r="Y92" s="37" t="n">
        <x:f>MAX(Y87:Y87)</x:f>
        <x:v>36.81021534651518</x:v>
      </x:c>
      <x:c r="Z92" s="5"/>
      <x:c r="AA92" s="5"/>
      <x:c r="AB92" s="5"/>
      <x:c r="AC92" s="37" t="n">
        <x:f>MAX(AC87:AC87)</x:f>
        <x:v>0</x:v>
      </x:c>
      <x:c r="AD92" s="2"/>
      <x:c r="AE92" s="2"/>
      <x:c r="AF92" s="2"/>
      <x:c r="AG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</x:row>
  </x:sheetData>
  <x:mergeCells>
    <x:mergeCell ref="U1:V2"/>
  </x:mergeCells>
  <x:conditionalFormatting sqref="R30:R30">
    <x:cfRule type="cellIs" dxfId="2" priority="1" operator="equal">
      <x:formula>0</x:formula>
    </x:cfRule>
  </x:conditionalFormatting>
  <x:dataValidations count="8">
    <x:dataValidation type="whole" operator="between" sqref="R2:R12">
      <x:formula1>1</x:formula1>
      <x:formula2>65536</x:formula2>
    </x:dataValidation>
    <x:dataValidation type="whole" operator="between" sqref="R18">
      <x:formula1>1</x:formula1>
      <x:formula2>1048576</x:formula2>
    </x:dataValidation>
    <x:dataValidation type="whole" operator="between" sqref="R19">
      <x:formula1>1</x:formula1>
      <x:formula2>1048576</x:formula2>
    </x:dataValidation>
    <x:dataValidation type="whole" operator="between" sqref="R20">
      <x:formula1>0</x:formula1>
      <x:formula2>64</x:formula2>
    </x:dataValidation>
    <x:dataValidation type="list" sqref="R22">
      <x:formula1>"0"</x:formula1>
    </x:dataValidation>
    <x:dataValidation type="list" sqref="R13">
      <x:formula1>"BF16"</x:formula1>
    </x:dataValidation>
    <x:dataValidation type="list" sqref="R14">
      <x:formula1>"BF16"</x:formula1>
    </x:dataValidation>
    <x:dataValidation type="list" sqref="D2:D59">
      <x:formula1>"BF16,FP32,FP8,MXFP4,MXFP8,INT4,INT8"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>
      <x:pane xSplit="2" ySplit="1" topLeftCell="C2" activePane="bottomRight" state="frozen"/>
    </x:sheetView>
  </x:sheetViews>
  <x:sheetFormatPr defaultRowHeight="15"/>
  <x:cols>
    <x:col min="1" max="1" width="23" hidden="0" customWidth="1"/>
    <x:col min="2" max="2" width="36" hidden="0" customWidth="1"/>
    <x:col min="3" max="3" width="26" hidden="0" customWidth="1"/>
    <x:col min="4" max="4" width="12" hidden="0" customWidth="1"/>
    <x:col min="5" max="5" width="14" hidden="0" customWidth="1"/>
    <x:col min="6" max="6" width="20" hidden="0" customWidth="1"/>
    <x:col min="7" max="7" width="18" hidden="0" customWidth="1"/>
    <x:col min="8" max="8" width="12" hidden="0" customWidth="1"/>
    <x:col min="9" max="9" width="12" hidden="0" customWidth="1"/>
    <x:col min="10" max="10" width="20" hidden="0" customWidth="1"/>
    <x:col min="11" max="11" width="22" hidden="0" customWidth="1"/>
    <x:col min="12" max="12" width="23" hidden="0" customWidth="1"/>
    <x:col min="13" max="13" width="14" hidden="0" customWidth="1"/>
    <x:col min="14" max="14" width="30" hidden="0" customWidth="1"/>
    <x:col min="15" max="15" width="16" hidden="0" customWidth="1"/>
    <x:col min="16" max="16" width="3" hidden="0" customWidth="1"/>
    <x:col min="17" max="17" width="32" hidden="0" customWidth="1"/>
    <x:col min="18" max="18" width="22" hidden="0" customWidth="1"/>
    <x:col min="19" max="19" width="28" hidden="0" customWidth="1"/>
    <x:col min="20" max="20" width="29" hidden="0" customWidth="1"/>
    <x:col min="21" max="21" width="26" hidden="0" customWidth="1"/>
    <x:col min="22" max="22" width="24" hidden="0" customWidth="1"/>
    <x:col min="23" max="23" width="24" hidden="0" customWidth="1"/>
    <x:col min="24" max="24" width="28" hidden="0" customWidth="1"/>
    <x:col min="25" max="25" width="26" hidden="0" customWidth="1"/>
    <x:col min="26" max="26" width="18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  <x:col min="32" max="32" width="24" hidden="0" customWidth="1"/>
    <x:col min="33" max="33" width="24" hidden="0" customWidth="1"/>
  </x:cols>
  <x:sheetData>
    <x:row r="1" ht="32" customHeight="1">
      <x:c r="A1" s="41" t="str">
        <x:v>结构</x:v>
      </x:c>
      <x:c r="B1" s="41" t="str">
        <x:v>权重</x:v>
      </x:c>
      <x:c r="C1" s="41" t="str">
        <x:v>权重维度</x:v>
      </x:c>
      <x:c r="D1" s="41" t="str">
        <x:v>数据类型</x:v>
      </x:c>
      <x:c r="E1" s="41" t="str">
        <x:v>全模型重复数</x:v>
      </x:c>
      <x:c r="F1" s="41" t="str">
        <x:v>单实例参数量</x:v>
      </x:c>
      <x:c r="G1" s="41" t="str">
        <x:v>TP 策略</x:v>
      </x:c>
      <x:c r="H1" s="41" t="str">
        <x:v>EP 策略</x:v>
      </x:c>
      <x:c r="I1" s="41" t="str">
        <x:v>共享专家</x:v>
      </x:c>
      <x:c r="J1" s="41" t="str">
        <x:v>全模型权重 GiB</x:v>
      </x:c>
      <x:c r="K1" s="41" t="str">
        <x:v>本 stage 单卡 GiB</x:v>
      </x:c>
      <x:c r="L1" s="41" t="str">
        <x:v>量化规则</x:v>
      </x:c>
      <x:c r="M1" s="41" t="str">
        <x:v>切分份数</x:v>
      </x:c>
      <x:c r="N1" s="41" t="str">
        <x:v>单卡权重维度</x:v>
      </x:c>
      <x:c r="O1" s="41" t="str">
        <x:v>单卡重复数</x:v>
      </x:c>
      <x:c r="P1" s="2"/>
      <x:c r="Q1" s="5" t="str">
        <x:v>并行配置</x:v>
      </x:c>
      <x:c r="R1" s="5" t="str">
        <x:v>值</x:v>
      </x:c>
      <x:c r="S1" s="5" t="str">
        <x:v>模型参数</x:v>
      </x:c>
      <x:c r="T1" s="5" t="str">
        <x:v>参数值</x:v>
      </x:c>
      <x:c r="U1" s="19" t="str">
        <x:v>Made by mindie-agent</x:v>
      </x:c>
      <x:c r="V1" s="19"/>
      <x:c r="W1" s="2"/>
      <x:c r="X1" s="2"/>
      <x:c r="Y1" s="2"/>
      <x:c r="Z1" s="2"/>
      <x:c r="AA1" s="5" t="str">
        <x:v>PP0 单卡 GiB</x:v>
      </x:c>
      <x:c r="AB1" s="5" t="str">
        <x:v>本卡主权重 bytes</x:v>
      </x:c>
      <x:c r="AC1" s="5" t="str">
        <x:v>本卡 scale bytes</x:v>
      </x:c>
      <x:c r="AD1" s="5" t="str">
        <x:v>本卡附加 bytes</x:v>
      </x:c>
      <x:c r="AE1" s="5" t="str">
        <x:v>全局主权重 bytes</x:v>
      </x:c>
      <x:c r="AF1" s="5" t="str">
        <x:v>全局 scale bytes</x:v>
      </x:c>
      <x:c r="AG1" s="5" t="str">
        <x:v>全局附加 bytes</x:v>
      </x:c>
    </x:row>
    <x:row r="2" ht="18" customHeight="1">
      <x:c r="A2" s="48" t="str">
        <x:v>Embedding / Output</x:v>
      </x:c>
      <x:c r="B2" s="48" t="str">
        <x:v>embed_tokens.weight</x:v>
      </x:c>
      <x:c r="C2" s="48" t="str">
        <x:v>[163840,7168]</x:v>
      </x:c>
      <x:c r="D2" s="49" t="str">
        <x:v>BF16</x:v>
      </x:c>
      <x:c r="E2" s="50" t="n">
        <x:v>1</x:v>
      </x:c>
      <x:c r="F2" s="50" t="n">
        <x:f>(163840)*(7168)</x:f>
        <x:v>1174405120</x:v>
      </x:c>
      <x:c r="G2" s="48" t="str">
        <x:v>Embedding TP</x:v>
      </x:c>
      <x:c r="H2" s="48" t="str">
        <x:v>None</x:v>
      </x:c>
      <x:c r="I2" s="48" t="str">
        <x:v>否</x:v>
      </x:c>
      <x:c r="J2" s="51" t="n">
        <x:f>E2*SUM(AE2:AG2)/1073741824</x:f>
        <x:v>2.1875</x:v>
      </x:c>
      <x:c r="K2" s="51" t="n">
        <x:f>AA2</x:f>
        <x:v>0.13671875</x:v>
      </x:c>
      <x:c r="L2" s="48" t="str">
        <x:f>IF(OR(D2="MXFP4",D2="MXFP8"),"group 32 / E8M0",IF(D2="INT8","channel / 8 B",IF(D2="INT4","channel / 16 B","")))</x:f>
      </x:c>
      <x:c r="M2" s="52" t="n">
        <x:f>$R$7</x:f>
        <x:v>16</x:v>
      </x:c>
      <x:c r="N2" s="48" t="str">
        <x:f>"["&amp;(163840/M2)&amp;","&amp;(7168)&amp;"]"</x:f>
        <x:v>[10240,7168]</x:v>
      </x:c>
      <x:c r="O2" s="50" t="n">
        <x:f>CHOOSE($R$22+1,1)</x:f>
        <x:v>1</x:v>
      </x:c>
      <x:c r="P2" s="2"/>
      <x:c r="Q2" s="6" t="str">
        <x:v>KDA 主体 TP</x:v>
      </x:c>
      <x:c r="R2" s="13" t="n">
        <x:v>16</x:v>
      </x:c>
      <x:c r="S2" s="6" t="str">
        <x:v>本 stage KDA 层数</x:v>
      </x:c>
      <x:c r="T2" s="6" t="n">
        <x:f>CHOOSE(R22+1,69)</x:f>
        <x:v>69</x:v>
      </x:c>
      <x:c r="U2" s="19"/>
      <x:c r="V2" s="19"/>
      <x:c r="W2" s="2"/>
      <x:c r="X2" s="2"/>
      <x:c r="Y2" s="2"/>
      <x:c r="Z2" s="2"/>
      <x:c r="AA2" s="38" t="n">
        <x:f>IF($R$30=1,SUM(AB2:AD2)*(1)/1073741824,NA())</x:f>
        <x:v>0.13671875</x:v>
      </x:c>
      <x:c r="AB2" s="39" t="n">
        <x:f>(163840/M2)*ROUNDUP((7168)*VLOOKUP(D2,$Q$32:$R$38,2,FALSE),0)</x:f>
        <x:v>146800640</x:v>
      </x:c>
      <x:c r="AC2" s="39" t="n">
        <x:f>IF(OR(D2="MXFP4",D2="MXFP8"),(163840/M2)*ROUNDUP((7168)/32,0),0)</x:f>
        <x:v>0</x:v>
      </x:c>
      <x:c r="AD2" s="39" t="n">
        <x:f>IF(D2="INT8",(163840/M2)*8,IF(D2="INT4",(163840/M2)*16,0))</x:f>
        <x:v>0</x:v>
      </x:c>
      <x:c r="AE2" s="39" t="n">
        <x:f>(163840)*ROUNDUP((7168)*VLOOKUP(D2,$Q$32:$R$38,2,FALSE),0)</x:f>
        <x:v>2348810240</x:v>
      </x:c>
      <x:c r="AF2" s="39" t="n">
        <x:f>IF(OR(D2="MXFP4",D2="MXFP8"),(163840)*ROUNDUP((7168)/32,0),0)</x:f>
        <x:v>0</x:v>
      </x:c>
      <x:c r="AG2" s="39" t="n">
        <x:f>IF(D2="INT8",(163840)*8,IF(D2="INT4",(163840)*16,0))</x:f>
        <x:v>0</x:v>
      </x:c>
    </x:row>
    <x:row r="3" ht="18" customHeight="1">
      <x:c r="A3" s="7" t="str">
        <x:v>Embedding / Output</x:v>
      </x:c>
      <x:c r="B3" s="7" t="str">
        <x:v>lm_head.weight</x:v>
      </x:c>
      <x:c r="C3" s="7" t="str">
        <x:v>[163840,7168]</x:v>
      </x:c>
      <x:c r="D3" s="10" t="str">
        <x:v>BF16</x:v>
      </x:c>
      <x:c r="E3" s="34" t="n">
        <x:v>1</x:v>
      </x:c>
      <x:c r="F3" s="34" t="n">
        <x:f>(163840)*(7168)</x:f>
        <x:v>1174405120</x:v>
      </x:c>
      <x:c r="G3" s="7" t="str">
        <x:v>LM head TP</x:v>
      </x:c>
      <x:c r="H3" s="7" t="str">
        <x:v>None</x:v>
      </x:c>
      <x:c r="I3" s="7" t="str">
        <x:v>否</x:v>
      </x:c>
      <x:c r="J3" s="44" t="n">
        <x:f>E3*SUM(AE3:AG3)/1073741824</x:f>
        <x:v>2.1875</x:v>
      </x:c>
      <x:c r="K3" s="44" t="n">
        <x:f>AA3</x:f>
        <x:v>0.13671875</x:v>
      </x:c>
      <x:c r="L3" s="7" t="str">
        <x:f>IF(OR(D3="MXFP4",D3="MXFP8"),"group 32 / E8M0",IF(D3="INT8","channel / 8 B",IF(D3="INT4","channel / 16 B","")))</x:f>
      </x:c>
      <x:c r="M3" s="45" t="n">
        <x:f>$R$6</x:f>
        <x:v>16</x:v>
      </x:c>
      <x:c r="N3" s="7" t="str">
        <x:f>"["&amp;(163840/M3)&amp;","&amp;(7168)&amp;"]"</x:f>
        <x:v>[10240,7168]</x:v>
      </x:c>
      <x:c r="O3" s="34" t="n">
        <x:f>CHOOSE($R$22+1,1)</x:f>
        <x:v>1</x:v>
      </x:c>
      <x:c r="P3" s="2"/>
      <x:c r="Q3" s="7" t="str">
        <x:v>KDA o_proj TP</x:v>
      </x:c>
      <x:c r="R3" s="14" t="n">
        <x:f>$R$2*1</x:f>
        <x:v>16</x:v>
      </x:c>
      <x:c r="S3" s="7" t="str">
        <x:v>本 stage Attention 层数</x:v>
      </x:c>
      <x:c r="T3" s="7" t="n">
        <x:f>CHOOSE(R22+1,24)</x:f>
        <x:v>24</x:v>
      </x:c>
      <x:c r="U3" s="2"/>
      <x:c r="V3" s="2"/>
      <x:c r="W3" s="2"/>
      <x:c r="X3" s="2"/>
      <x:c r="Y3" s="2"/>
      <x:c r="Z3" s="2"/>
      <x:c r="AA3" s="38" t="n">
        <x:f>IF($R$30=1,SUM(AB3:AD3)*(1)/1073741824,NA())</x:f>
        <x:v>0.13671875</x:v>
      </x:c>
      <x:c r="AB3" s="39" t="n">
        <x:f>(163840/M3)*ROUNDUP((7168)*VLOOKUP(D3,$Q$32:$R$38,2,FALSE),0)</x:f>
        <x:v>146800640</x:v>
      </x:c>
      <x:c r="AC3" s="39" t="n">
        <x:f>IF(OR(D3="MXFP4",D3="MXFP8"),(163840/M3)*ROUNDUP((7168)/32,0),0)</x:f>
        <x:v>0</x:v>
      </x:c>
      <x:c r="AD3" s="39" t="n">
        <x:f>IF(D3="INT8",(163840/M3)*8,IF(D3="INT4",(163840/M3)*16,0))</x:f>
        <x:v>0</x:v>
      </x:c>
      <x:c r="AE3" s="39" t="n">
        <x:f>(163840)*ROUNDUP((7168)*VLOOKUP(D3,$Q$32:$R$38,2,FALSE),0)</x:f>
        <x:v>2348810240</x:v>
      </x:c>
      <x:c r="AF3" s="39" t="n">
        <x:f>IF(OR(D3="MXFP4",D3="MXFP8"),(163840)*ROUNDUP((7168)/32,0),0)</x:f>
        <x:v>0</x:v>
      </x:c>
      <x:c r="AG3" s="39" t="n">
        <x:f>IF(D3="INT8",(163840)*8,IF(D3="INT4",(163840)*16,0))</x:f>
        <x:v>0</x:v>
      </x:c>
    </x:row>
    <x:row r="4" ht="18" customHeight="1">
      <x:c r="A4" s="48" t="str">
        <x:v>Decoder common</x:v>
      </x:c>
      <x:c r="B4" s="48" t="str">
        <x:v>input_layernorm.weight</x:v>
      </x:c>
      <x:c r="C4" s="48" t="str">
        <x:v>[7168]</x:v>
      </x:c>
      <x:c r="D4" s="49" t="str">
        <x:v>BF16</x:v>
      </x:c>
      <x:c r="E4" s="50" t="n">
        <x:v>93</x:v>
      </x:c>
      <x:c r="F4" s="50" t="n">
        <x:f>(7168)</x:f>
        <x:v>7168</x:v>
      </x:c>
      <x:c r="G4" s="48" t="str">
        <x:v>Replicated</x:v>
      </x:c>
      <x:c r="H4" s="48" t="str">
        <x:v>None</x:v>
      </x:c>
      <x:c r="I4" s="48" t="str">
        <x:v>否</x:v>
      </x:c>
      <x:c r="J4" s="51" t="n">
        <x:f>E4*SUM(AE4:AG4)/1073741824</x:f>
        <x:v>0.0012416839599609375</x:v>
      </x:c>
      <x:c r="K4" s="51" t="n">
        <x:f>AA4</x:f>
        <x:v>0.0012416839599609375</x:v>
      </x:c>
      <x:c r="L4" s="48" t="str">
        <x:f>IF(OR(D4="MXFP4",D4="MXFP8"),"group 32 / E8M0",IF(D4="INT8","channel / 8 B",IF(D4="INT4","channel / 16 B","")))</x:f>
      </x:c>
      <x:c r="M4" s="52" t="n">
        <x:f>1</x:f>
        <x:v>1</x:v>
      </x:c>
      <x:c r="N4" s="48" t="str">
        <x:f>"["&amp;(7168/M4)&amp;"]"</x:f>
        <x:v>[7168]</x:v>
      </x:c>
      <x:c r="O4" s="50" t="n">
        <x:f>CHOOSE($R$22+1,93)</x:f>
        <x:v>93</x:v>
      </x:c>
      <x:c r="P4" s="2"/>
      <x:c r="Q4" s="7" t="str">
        <x:v>Attention 主体 TP</x:v>
      </x:c>
      <x:c r="R4" s="14" t="n">
        <x:v>1</x:v>
      </x:c>
      <x:c r="S4" s="7" t="str">
        <x:v>KDA heads</x:v>
      </x:c>
      <x:c r="T4" s="7" t="n">
        <x:v>96</x:v>
      </x:c>
      <x:c r="U4" s="2"/>
      <x:c r="V4" s="2"/>
      <x:c r="W4" s="2"/>
      <x:c r="X4" s="2"/>
      <x:c r="Y4" s="2"/>
      <x:c r="Z4" s="2"/>
      <x:c r="AA4" s="38" t="n">
        <x:f>IF($R$30=1,SUM(AB4:AD4)*(93)/1073741824,NA())</x:f>
        <x:v>0.0012416839599609375</x:v>
      </x:c>
      <x:c r="AB4" s="39" t="n">
        <x:f>1*ROUNDUP((7168/M4)*VLOOKUP(D4,$Q$32:$R$38,2,FALSE),0)</x:f>
        <x:v>14336</x:v>
      </x:c>
      <x:c r="AC4" s="39" t="n">
        <x:f>IF(OR(D4="MXFP4",D4="MXFP8"),1*ROUNDUP((7168/M4)/32,0),0)</x:f>
        <x:v>0</x:v>
      </x:c>
      <x:c r="AD4" s="39" t="n">
        <x:f>IF(D4="INT8",(7168/M4)*8,IF(D4="INT4",(7168/M4)*16,0))</x:f>
        <x:v>0</x:v>
      </x:c>
      <x:c r="AE4" s="39" t="n">
        <x:f>1*ROUNDUP((7168)*VLOOKUP(D4,$Q$32:$R$38,2,FALSE),0)</x:f>
        <x:v>14336</x:v>
      </x:c>
      <x:c r="AF4" s="39" t="n">
        <x:f>IF(OR(D4="MXFP4",D4="MXFP8"),1*ROUNDUP((7168)/32,0),0)</x:f>
        <x:v>0</x:v>
      </x:c>
      <x:c r="AG4" s="39" t="n">
        <x:f>IF(D4="INT8",(7168)*8,IF(D4="INT4",(7168)*16,0))</x:f>
        <x:v>0</x:v>
      </x:c>
    </x:row>
    <x:row r="5" ht="18" customHeight="1">
      <x:c r="A5" s="7" t="str">
        <x:v>Decoder common</x:v>
      </x:c>
      <x:c r="B5" s="7" t="str">
        <x:v>post_attention_layernorm.weight</x:v>
      </x:c>
      <x:c r="C5" s="7" t="str">
        <x:v>[7168]</x:v>
      </x:c>
      <x:c r="D5" s="10" t="str">
        <x:v>BF16</x:v>
      </x:c>
      <x:c r="E5" s="34" t="n">
        <x:v>93</x:v>
      </x:c>
      <x:c r="F5" s="34" t="n">
        <x:f>(7168)</x:f>
        <x:v>7168</x:v>
      </x:c>
      <x:c r="G5" s="7" t="str">
        <x:v>Replicated</x:v>
      </x:c>
      <x:c r="H5" s="7" t="str">
        <x:v>None</x:v>
      </x:c>
      <x:c r="I5" s="7" t="str">
        <x:v>否</x:v>
      </x:c>
      <x:c r="J5" s="44" t="n">
        <x:f>E5*SUM(AE5:AG5)/1073741824</x:f>
        <x:v>0.0012416839599609375</x:v>
      </x:c>
      <x:c r="K5" s="44" t="n">
        <x:f>AA5</x:f>
        <x:v>0.0012416839599609375</x:v>
      </x:c>
      <x:c r="L5" s="7" t="str">
        <x:f>IF(OR(D5="MXFP4",D5="MXFP8"),"group 32 / E8M0",IF(D5="INT8","channel / 8 B",IF(D5="INT4","channel / 16 B","")))</x:f>
      </x:c>
      <x:c r="M5" s="45" t="n">
        <x:f>1</x:f>
        <x:v>1</x:v>
      </x:c>
      <x:c r="N5" s="7" t="str">
        <x:f>"["&amp;(7168/M5)&amp;"]"</x:f>
        <x:v>[7168]</x:v>
      </x:c>
      <x:c r="O5" s="34" t="n">
        <x:f>CHOOSE($R$22+1,93)</x:f>
        <x:v>93</x:v>
      </x:c>
      <x:c r="P5" s="2"/>
      <x:c r="Q5" s="7" t="str">
        <x:v>Attention o_proj TP</x:v>
      </x:c>
      <x:c r="R5" s="14" t="n">
        <x:f>$R$2*1</x:f>
        <x:v>16</x:v>
      </x:c>
      <x:c r="S5" s="7" t="str">
        <x:v>KDA head dim</x:v>
      </x:c>
      <x:c r="T5" s="7" t="n">
        <x:v>128</x:v>
      </x:c>
      <x:c r="U5" s="2"/>
      <x:c r="V5" s="2"/>
      <x:c r="W5" s="2"/>
      <x:c r="X5" s="2"/>
      <x:c r="Y5" s="2"/>
      <x:c r="Z5" s="2"/>
      <x:c r="AA5" s="38" t="n">
        <x:f>IF($R$30=1,SUM(AB5:AD5)*(93)/1073741824,NA())</x:f>
        <x:v>0.0012416839599609375</x:v>
      </x:c>
      <x:c r="AB5" s="39" t="n">
        <x:f>1*ROUNDUP((7168/M5)*VLOOKUP(D5,$Q$32:$R$38,2,FALSE),0)</x:f>
        <x:v>14336</x:v>
      </x:c>
      <x:c r="AC5" s="39" t="n">
        <x:f>IF(OR(D5="MXFP4",D5="MXFP8"),1*ROUNDUP((7168/M5)/32,0),0)</x:f>
        <x:v>0</x:v>
      </x:c>
      <x:c r="AD5" s="39" t="n">
        <x:f>IF(D5="INT8",(7168/M5)*8,IF(D5="INT4",(7168/M5)*16,0))</x:f>
        <x:v>0</x:v>
      </x:c>
      <x:c r="AE5" s="39" t="n">
        <x:f>1*ROUNDUP((7168)*VLOOKUP(D5,$Q$32:$R$38,2,FALSE),0)</x:f>
        <x:v>14336</x:v>
      </x:c>
      <x:c r="AF5" s="39" t="n">
        <x:f>IF(OR(D5="MXFP4",D5="MXFP8"),1*ROUNDUP((7168)/32,0),0)</x:f>
        <x:v>0</x:v>
      </x:c>
      <x:c r="AG5" s="39" t="n">
        <x:f>IF(D5="INT8",(7168)*8,IF(D5="INT4",(7168)*16,0))</x:f>
        <x:v>0</x:v>
      </x:c>
    </x:row>
    <x:row r="6" ht="18" customHeight="1">
      <x:c r="A6" s="7" t="str">
        <x:v>Decoder common</x:v>
      </x:c>
      <x:c r="B6" s="7" t="str">
        <x:v>self_attention_res_norm.weight</x:v>
      </x:c>
      <x:c r="C6" s="7" t="str">
        <x:v>[7168]</x:v>
      </x:c>
      <x:c r="D6" s="10" t="str">
        <x:v>BF16</x:v>
      </x:c>
      <x:c r="E6" s="34" t="n">
        <x:v>93</x:v>
      </x:c>
      <x:c r="F6" s="34" t="n">
        <x:f>(7168)</x:f>
        <x:v>7168</x:v>
      </x:c>
      <x:c r="G6" s="7" t="str">
        <x:v>Replicated</x:v>
      </x:c>
      <x:c r="H6" s="7" t="str">
        <x:v>None</x:v>
      </x:c>
      <x:c r="I6" s="7" t="str">
        <x:v>否</x:v>
      </x:c>
      <x:c r="J6" s="44" t="n">
        <x:f>E6*SUM(AE6:AG6)/1073741824</x:f>
        <x:v>0.0012416839599609375</x:v>
      </x:c>
      <x:c r="K6" s="44" t="n">
        <x:f>AA6</x:f>
        <x:v>0.0012416839599609375</x:v>
      </x:c>
      <x:c r="L6" s="7" t="str">
        <x:f>IF(OR(D6="MXFP4",D6="MXFP8"),"group 32 / E8M0",IF(D6="INT8","channel / 8 B",IF(D6="INT4","channel / 16 B","")))</x:f>
      </x:c>
      <x:c r="M6" s="45" t="n">
        <x:f>1</x:f>
        <x:v>1</x:v>
      </x:c>
      <x:c r="N6" s="7" t="str">
        <x:f>"["&amp;(7168/M6)&amp;"]"</x:f>
        <x:v>[7168]</x:v>
      </x:c>
      <x:c r="O6" s="34" t="n">
        <x:f>CHOOSE($R$22+1,93)</x:f>
        <x:v>93</x:v>
      </x:c>
      <x:c r="P6" s="2"/>
      <x:c r="Q6" s="7" t="str">
        <x:v>lm_head TP</x:v>
      </x:c>
      <x:c r="R6" s="14" t="n">
        <x:f>$R$2*1</x:f>
        <x:v>16</x:v>
      </x:c>
      <x:c r="S6" s="7" t="str">
        <x:v>Attention heads</x:v>
      </x:c>
      <x:c r="T6" s="7" t="n">
        <x:v>96</x:v>
      </x:c>
      <x:c r="U6" s="2"/>
      <x:c r="V6" s="2"/>
      <x:c r="W6" s="2"/>
      <x:c r="X6" s="2"/>
      <x:c r="Y6" s="2"/>
      <x:c r="Z6" s="2"/>
      <x:c r="AA6" s="38" t="n">
        <x:f>IF($R$30=1,SUM(AB6:AD6)*(93)/1073741824,NA())</x:f>
        <x:v>0.0012416839599609375</x:v>
      </x:c>
      <x:c r="AB6" s="39" t="n">
        <x:f>1*ROUNDUP((7168/M6)*VLOOKUP(D6,$Q$32:$R$38,2,FALSE),0)</x:f>
        <x:v>14336</x:v>
      </x:c>
      <x:c r="AC6" s="39" t="n">
        <x:f>IF(OR(D6="MXFP4",D6="MXFP8"),1*ROUNDUP((7168/M6)/32,0),0)</x:f>
        <x:v>0</x:v>
      </x:c>
      <x:c r="AD6" s="39" t="n">
        <x:f>IF(D6="INT8",(7168/M6)*8,IF(D6="INT4",(7168/M6)*16,0))</x:f>
        <x:v>0</x:v>
      </x:c>
      <x:c r="AE6" s="39" t="n">
        <x:f>1*ROUNDUP((7168)*VLOOKUP(D6,$Q$32:$R$38,2,FALSE),0)</x:f>
        <x:v>14336</x:v>
      </x:c>
      <x:c r="AF6" s="39" t="n">
        <x:f>IF(OR(D6="MXFP4",D6="MXFP8"),1*ROUNDUP((7168)/32,0),0)</x:f>
        <x:v>0</x:v>
      </x:c>
      <x:c r="AG6" s="39" t="n">
        <x:f>IF(D6="INT8",(7168)*8,IF(D6="INT4",(7168)*16,0))</x:f>
        <x:v>0</x:v>
      </x:c>
    </x:row>
    <x:row r="7" ht="18" customHeight="1">
      <x:c r="A7" s="7" t="str">
        <x:v>Decoder common</x:v>
      </x:c>
      <x:c r="B7" s="7" t="str">
        <x:v>mlp_res_norm.weight</x:v>
      </x:c>
      <x:c r="C7" s="7" t="str">
        <x:v>[7168]</x:v>
      </x:c>
      <x:c r="D7" s="10" t="str">
        <x:v>BF16</x:v>
      </x:c>
      <x:c r="E7" s="34" t="n">
        <x:v>93</x:v>
      </x:c>
      <x:c r="F7" s="34" t="n">
        <x:f>(7168)</x:f>
        <x:v>7168</x:v>
      </x:c>
      <x:c r="G7" s="7" t="str">
        <x:v>Replicated</x:v>
      </x:c>
      <x:c r="H7" s="7" t="str">
        <x:v>None</x:v>
      </x:c>
      <x:c r="I7" s="7" t="str">
        <x:v>否</x:v>
      </x:c>
      <x:c r="J7" s="44" t="n">
        <x:f>E7*SUM(AE7:AG7)/1073741824</x:f>
        <x:v>0.0012416839599609375</x:v>
      </x:c>
      <x:c r="K7" s="44" t="n">
        <x:f>AA7</x:f>
        <x:v>0.0012416839599609375</x:v>
      </x:c>
      <x:c r="L7" s="7" t="str">
        <x:f>IF(OR(D7="MXFP4",D7="MXFP8"),"group 32 / E8M0",IF(D7="INT8","channel / 8 B",IF(D7="INT4","channel / 16 B","")))</x:f>
      </x:c>
      <x:c r="M7" s="45" t="n">
        <x:f>1</x:f>
        <x:v>1</x:v>
      </x:c>
      <x:c r="N7" s="7" t="str">
        <x:f>"["&amp;(7168/M7)&amp;"]"</x:f>
        <x:v>[7168]</x:v>
      </x:c>
      <x:c r="O7" s="34" t="n">
        <x:f>CHOOSE($R$22+1,93)</x:f>
        <x:v>93</x:v>
      </x:c>
      <x:c r="P7" s="2"/>
      <x:c r="Q7" s="7" t="str">
        <x:v>embedding TP</x:v>
      </x:c>
      <x:c r="R7" s="14" t="n">
        <x:f>$R$2*1</x:f>
        <x:v>16</x:v>
      </x:c>
      <x:c r="S7" s="7" t="str">
        <x:v>Indexer query heads</x:v>
      </x:c>
      <x:c r="T7" s="7" t="n">
        <x:v>0</x:v>
      </x:c>
      <x:c r="U7" s="2"/>
      <x:c r="V7" s="2"/>
      <x:c r="W7" s="2"/>
      <x:c r="X7" s="2"/>
      <x:c r="Y7" s="2"/>
      <x:c r="Z7" s="2"/>
      <x:c r="AA7" s="38" t="n">
        <x:f>IF($R$30=1,SUM(AB7:AD7)*(93)/1073741824,NA())</x:f>
        <x:v>0.0012416839599609375</x:v>
      </x:c>
      <x:c r="AB7" s="39" t="n">
        <x:f>1*ROUNDUP((7168/M7)*VLOOKUP(D7,$Q$32:$R$38,2,FALSE),0)</x:f>
        <x:v>14336</x:v>
      </x:c>
      <x:c r="AC7" s="39" t="n">
        <x:f>IF(OR(D7="MXFP4",D7="MXFP8"),1*ROUNDUP((7168/M7)/32,0),0)</x:f>
        <x:v>0</x:v>
      </x:c>
      <x:c r="AD7" s="39" t="n">
        <x:f>IF(D7="INT8",(7168/M7)*8,IF(D7="INT4",(7168/M7)*16,0))</x:f>
        <x:v>0</x:v>
      </x:c>
      <x:c r="AE7" s="39" t="n">
        <x:f>1*ROUNDUP((7168)*VLOOKUP(D7,$Q$32:$R$38,2,FALSE),0)</x:f>
        <x:v>14336</x:v>
      </x:c>
      <x:c r="AF7" s="39" t="n">
        <x:f>IF(OR(D7="MXFP4",D7="MXFP8"),1*ROUNDUP((7168)/32,0),0)</x:f>
        <x:v>0</x:v>
      </x:c>
      <x:c r="AG7" s="39" t="n">
        <x:f>IF(D7="INT8",(7168)*8,IF(D7="INT4",(7168)*16,0))</x:f>
        <x:v>0</x:v>
      </x:c>
    </x:row>
    <x:row r="8" ht="18" customHeight="1">
      <x:c r="A8" s="7" t="str">
        <x:v>Decoder common</x:v>
      </x:c>
      <x:c r="B8" s="7" t="str">
        <x:v>self_attention_res_proj.weight</x:v>
      </x:c>
      <x:c r="C8" s="7" t="str">
        <x:v>[1,7168]</x:v>
      </x:c>
      <x:c r="D8" s="10" t="str">
        <x:v>BF16</x:v>
      </x:c>
      <x:c r="E8" s="34" t="n">
        <x:v>93</x:v>
      </x:c>
      <x:c r="F8" s="34" t="n">
        <x:f>(1)*(7168)</x:f>
        <x:v>7168</x:v>
      </x:c>
      <x:c r="G8" s="7" t="str">
        <x:v>Replicated</x:v>
      </x:c>
      <x:c r="H8" s="7" t="str">
        <x:v>None</x:v>
      </x:c>
      <x:c r="I8" s="7" t="str">
        <x:v>否</x:v>
      </x:c>
      <x:c r="J8" s="44" t="n">
        <x:f>E8*SUM(AE8:AG8)/1073741824</x:f>
        <x:v>0.0012416839599609375</x:v>
      </x:c>
      <x:c r="K8" s="44" t="n">
        <x:f>AA8</x:f>
        <x:v>0.0012416839599609375</x:v>
      </x:c>
      <x:c r="L8" s="7" t="str">
        <x:f>IF(OR(D8="MXFP4",D8="MXFP8"),"group 32 / E8M0",IF(D8="INT8","channel / 8 B",IF(D8="INT4","channel / 16 B","")))</x:f>
      </x:c>
      <x:c r="M8" s="45" t="n">
        <x:f>1</x:f>
        <x:v>1</x:v>
      </x:c>
      <x:c r="N8" s="7" t="str">
        <x:f>"["&amp;(1/M8)&amp;","&amp;(7168)&amp;"]"</x:f>
        <x:v>[1,7168]</x:v>
      </x:c>
      <x:c r="O8" s="34" t="n">
        <x:f>CHOOSE($R$22+1,93)</x:f>
        <x:v>93</x:v>
      </x:c>
      <x:c r="P8" s="2"/>
      <x:c r="Q8" s="7" t="str">
        <x:v>其他语言 TP</x:v>
      </x:c>
      <x:c r="R8" s="14" t="n">
        <x:f>$R$2*1</x:f>
        <x:v>16</x:v>
      </x:c>
      <x:c r="S8" s="7" t="str">
        <x:v>本 stage MoE 层数</x:v>
      </x:c>
      <x:c r="T8" s="7" t="n">
        <x:f>CHOOSE(R22+1,92)</x:f>
        <x:v>92</x:v>
      </x:c>
      <x:c r="U8" s="2"/>
      <x:c r="V8" s="2"/>
      <x:c r="W8" s="2"/>
      <x:c r="X8" s="2"/>
      <x:c r="Y8" s="2"/>
      <x:c r="Z8" s="2"/>
      <x:c r="AA8" s="38" t="n">
        <x:f>IF($R$30=1,SUM(AB8:AD8)*(93)/1073741824,NA())</x:f>
        <x:v>0.0012416839599609375</x:v>
      </x:c>
      <x:c r="AB8" s="39" t="n">
        <x:f>(1/M8)*ROUNDUP((7168)*VLOOKUP(D8,$Q$32:$R$38,2,FALSE),0)</x:f>
        <x:v>14336</x:v>
      </x:c>
      <x:c r="AC8" s="39" t="n">
        <x:f>IF(OR(D8="MXFP4",D8="MXFP8"),(1/M8)*ROUNDUP((7168)/32,0),0)</x:f>
        <x:v>0</x:v>
      </x:c>
      <x:c r="AD8" s="39" t="n">
        <x:f>IF(D8="INT8",(1/M8)*8,IF(D8="INT4",(1/M8)*16,0))</x:f>
        <x:v>0</x:v>
      </x:c>
      <x:c r="AE8" s="39" t="n">
        <x:f>(1)*ROUNDUP((7168)*VLOOKUP(D8,$Q$32:$R$38,2,FALSE),0)</x:f>
        <x:v>14336</x:v>
      </x:c>
      <x:c r="AF8" s="39" t="n">
        <x:f>IF(OR(D8="MXFP4",D8="MXFP8"),(1)*ROUNDUP((7168)/32,0),0)</x:f>
        <x:v>0</x:v>
      </x:c>
      <x:c r="AG8" s="39" t="n">
        <x:f>IF(D8="INT8",(1)*8,IF(D8="INT4",(1)*16,0))</x:f>
        <x:v>0</x:v>
      </x:c>
    </x:row>
    <x:row r="9" ht="18" customHeight="1">
      <x:c r="A9" s="7" t="str">
        <x:v>Decoder common</x:v>
      </x:c>
      <x:c r="B9" s="7" t="str">
        <x:v>mlp_res_proj.weight</x:v>
      </x:c>
      <x:c r="C9" s="7" t="str">
        <x:v>[1,7168]</x:v>
      </x:c>
      <x:c r="D9" s="10" t="str">
        <x:v>BF16</x:v>
      </x:c>
      <x:c r="E9" s="34" t="n">
        <x:v>93</x:v>
      </x:c>
      <x:c r="F9" s="34" t="n">
        <x:f>(1)*(7168)</x:f>
        <x:v>7168</x:v>
      </x:c>
      <x:c r="G9" s="7" t="str">
        <x:v>Replicated</x:v>
      </x:c>
      <x:c r="H9" s="7" t="str">
        <x:v>None</x:v>
      </x:c>
      <x:c r="I9" s="7" t="str">
        <x:v>否</x:v>
      </x:c>
      <x:c r="J9" s="44" t="n">
        <x:f>E9*SUM(AE9:AG9)/1073741824</x:f>
        <x:v>0.0012416839599609375</x:v>
      </x:c>
      <x:c r="K9" s="44" t="n">
        <x:f>AA9</x:f>
        <x:v>0.0012416839599609375</x:v>
      </x:c>
      <x:c r="L9" s="7" t="str">
        <x:f>IF(OR(D9="MXFP4",D9="MXFP8"),"group 32 / E8M0",IF(D9="INT8","channel / 8 B",IF(D9="INT4","channel / 16 B","")))</x:f>
      </x:c>
      <x:c r="M9" s="45" t="n">
        <x:f>1</x:f>
        <x:v>1</x:v>
      </x:c>
      <x:c r="N9" s="7" t="str">
        <x:f>"["&amp;(1/M9)&amp;","&amp;(7168)&amp;"]"</x:f>
        <x:v>[1,7168]</x:v>
      </x:c>
      <x:c r="O9" s="34" t="n">
        <x:f>CHOOSE($R$22+1,93)</x:f>
        <x:v>93</x:v>
      </x:c>
      <x:c r="P9" s="2"/>
      <x:c r="Q9" s="7" t="str">
        <x:v>EP</x:v>
      </x:c>
      <x:c r="R9" s="14" t="n">
        <x:v>128</x:v>
      </x:c>
      <x:c r="S9" s="7" t="str">
        <x:v>Routed experts / layer</x:v>
      </x:c>
      <x:c r="T9" s="7" t="n">
        <x:v>896</x:v>
      </x:c>
      <x:c r="U9" s="2"/>
      <x:c r="V9" s="2"/>
      <x:c r="W9" s="2"/>
      <x:c r="X9" s="2"/>
      <x:c r="Y9" s="2"/>
      <x:c r="Z9" s="2"/>
      <x:c r="AA9" s="38" t="n">
        <x:f>IF($R$30=1,SUM(AB9:AD9)*(93)/1073741824,NA())</x:f>
        <x:v>0.0012416839599609375</x:v>
      </x:c>
      <x:c r="AB9" s="39" t="n">
        <x:f>(1/M9)*ROUNDUP((7168)*VLOOKUP(D9,$Q$32:$R$38,2,FALSE),0)</x:f>
        <x:v>14336</x:v>
      </x:c>
      <x:c r="AC9" s="39" t="n">
        <x:f>IF(OR(D9="MXFP4",D9="MXFP8"),(1/M9)*ROUNDUP((7168)/32,0),0)</x:f>
        <x:v>0</x:v>
      </x:c>
      <x:c r="AD9" s="39" t="n">
        <x:f>IF(D9="INT8",(1/M9)*8,IF(D9="INT4",(1/M9)*16,0))</x:f>
        <x:v>0</x:v>
      </x:c>
      <x:c r="AE9" s="39" t="n">
        <x:f>(1)*ROUNDUP((7168)*VLOOKUP(D9,$Q$32:$R$38,2,FALSE),0)</x:f>
        <x:v>14336</x:v>
      </x:c>
      <x:c r="AF9" s="39" t="n">
        <x:f>IF(OR(D9="MXFP4",D9="MXFP8"),(1)*ROUNDUP((7168)/32,0),0)</x:f>
        <x:v>0</x:v>
      </x:c>
      <x:c r="AG9" s="39" t="n">
        <x:f>IF(D9="INT8",(1)*8,IF(D9="INT4",(1)*16,0))</x:f>
        <x:v>0</x:v>
      </x:c>
    </x:row>
    <x:row r="10" ht="18" customHeight="1">
      <x:c r="A10" s="7" t="str">
        <x:v>Decoder common</x:v>
      </x:c>
      <x:c r="B10" s="7" t="str">
        <x:v>final_norm.weight</x:v>
      </x:c>
      <x:c r="C10" s="7" t="str">
        <x:v>[7168]</x:v>
      </x:c>
      <x:c r="D10" s="10" t="str">
        <x:v>BF16</x:v>
      </x:c>
      <x:c r="E10" s="34" t="n">
        <x:v>1</x:v>
      </x:c>
      <x:c r="F10" s="34" t="n">
        <x:f>(7168)</x:f>
        <x:v>7168</x:v>
      </x:c>
      <x:c r="G10" s="7" t="str">
        <x:v>Replicated</x:v>
      </x:c>
      <x:c r="H10" s="7" t="str">
        <x:v>None</x:v>
      </x:c>
      <x:c r="I10" s="7" t="str">
        <x:v>否</x:v>
      </x:c>
      <x:c r="J10" s="44" t="n">
        <x:f>E10*SUM(AE10:AG10)/1073741824</x:f>
        <x:v>0.0000133514404296875</x:v>
      </x:c>
      <x:c r="K10" s="44" t="n">
        <x:f>AA10</x:f>
        <x:v>0.0000133514404296875</x:v>
      </x:c>
      <x:c r="L10" s="7" t="str">
        <x:f>IF(OR(D10="MXFP4",D10="MXFP8"),"group 32 / E8M0",IF(D10="INT8","channel / 8 B",IF(D10="INT4","channel / 16 B","")))</x:f>
      </x:c>
      <x:c r="M10" s="45" t="n">
        <x:f>1</x:f>
        <x:v>1</x:v>
      </x:c>
      <x:c r="N10" s="7" t="str">
        <x:f>"["&amp;(7168/M10)&amp;"]"</x:f>
        <x:v>[7168]</x:v>
      </x:c>
      <x:c r="O10" s="34" t="n">
        <x:f>CHOOSE($R$22+1,1)</x:f>
        <x:v>1</x:v>
      </x:c>
      <x:c r="P10" s="2"/>
      <x:c r="Q10" s="7" t="str">
        <x:v>共享专家 TP</x:v>
      </x:c>
      <x:c r="R10" s="14" t="n">
        <x:v>16</x:v>
      </x:c>
      <x:c r="S10" s="7" t="str">
        <x:v>Shared experts / layer</x:v>
      </x:c>
      <x:c r="T10" s="7" t="n">
        <x:v>2</x:v>
      </x:c>
      <x:c r="U10" s="2"/>
      <x:c r="V10" s="2"/>
      <x:c r="W10" s="2"/>
      <x:c r="X10" s="2"/>
      <x:c r="Y10" s="2"/>
      <x:c r="Z10" s="2"/>
      <x:c r="AA10" s="38" t="n">
        <x:f>IF($R$30=1,SUM(AB10:AD10)*(1)/1073741824,NA())</x:f>
        <x:v>0.0000133514404296875</x:v>
      </x:c>
      <x:c r="AB10" s="39" t="n">
        <x:f>1*ROUNDUP((7168/M10)*VLOOKUP(D10,$Q$32:$R$38,2,FALSE),0)</x:f>
        <x:v>14336</x:v>
      </x:c>
      <x:c r="AC10" s="39" t="n">
        <x:f>IF(OR(D10="MXFP4",D10="MXFP8"),1*ROUNDUP((7168/M10)/32,0),0)</x:f>
        <x:v>0</x:v>
      </x:c>
      <x:c r="AD10" s="39" t="n">
        <x:f>IF(D10="INT8",(7168/M10)*8,IF(D10="INT4",(7168/M10)*16,0))</x:f>
        <x:v>0</x:v>
      </x:c>
      <x:c r="AE10" s="39" t="n">
        <x:f>1*ROUNDUP((7168)*VLOOKUP(D10,$Q$32:$R$38,2,FALSE),0)</x:f>
        <x:v>14336</x:v>
      </x:c>
      <x:c r="AF10" s="39" t="n">
        <x:f>IF(OR(D10="MXFP4",D10="MXFP8"),1*ROUNDUP((7168)/32,0),0)</x:f>
        <x:v>0</x:v>
      </x:c>
      <x:c r="AG10" s="39" t="n">
        <x:f>IF(D10="INT8",(7168)*8,IF(D10="INT4",(7168)*16,0))</x:f>
        <x:v>0</x:v>
      </x:c>
    </x:row>
    <x:row r="11" ht="18" customHeight="1">
      <x:c r="A11" s="7" t="str">
        <x:v>Decoder common</x:v>
      </x:c>
      <x:c r="B11" s="7" t="str">
        <x:v>output_attn_res_norm.weight</x:v>
      </x:c>
      <x:c r="C11" s="7" t="str">
        <x:v>[7168]</x:v>
      </x:c>
      <x:c r="D11" s="10" t="str">
        <x:v>BF16</x:v>
      </x:c>
      <x:c r="E11" s="34" t="n">
        <x:v>1</x:v>
      </x:c>
      <x:c r="F11" s="34" t="n">
        <x:f>(7168)</x:f>
        <x:v>7168</x:v>
      </x:c>
      <x:c r="G11" s="7" t="str">
        <x:v>Replicated</x:v>
      </x:c>
      <x:c r="H11" s="7" t="str">
        <x:v>None</x:v>
      </x:c>
      <x:c r="I11" s="7" t="str">
        <x:v>否</x:v>
      </x:c>
      <x:c r="J11" s="44" t="n">
        <x:f>E11*SUM(AE11:AG11)/1073741824</x:f>
        <x:v>0.0000133514404296875</x:v>
      </x:c>
      <x:c r="K11" s="44" t="n">
        <x:f>AA11</x:f>
        <x:v>0.0000133514404296875</x:v>
      </x:c>
      <x:c r="L11" s="7" t="str">
        <x:f>IF(OR(D11="MXFP4",D11="MXFP8"),"group 32 / E8M0",IF(D11="INT8","channel / 8 B",IF(D11="INT4","channel / 16 B","")))</x:f>
      </x:c>
      <x:c r="M11" s="45" t="n">
        <x:f>1</x:f>
        <x:v>1</x:v>
      </x:c>
      <x:c r="N11" s="7" t="str">
        <x:f>"["&amp;(7168/M11)&amp;"]"</x:f>
        <x:v>[7168]</x:v>
      </x:c>
      <x:c r="O11" s="34" t="n">
        <x:f>CHOOSE($R$22+1,1)</x:f>
        <x:v>1</x:v>
      </x:c>
      <x:c r="P11" s="2"/>
      <x:c r="Q11" s="7" t="str">
        <x:v>DSA CP</x:v>
      </x:c>
      <x:c r="R11" s="15" t="n">
        <x:v>1</x:v>
      </x:c>
      <x:c r="S11" s="7" t="str">
        <x:v>MLA latent dim</x:v>
      </x:c>
      <x:c r="T11" s="7" t="n">
        <x:v>512</x:v>
      </x:c>
      <x:c r="U11" s="2"/>
      <x:c r="V11" s="2"/>
      <x:c r="W11" s="2"/>
      <x:c r="X11" s="2"/>
      <x:c r="Y11" s="2"/>
      <x:c r="Z11" s="2"/>
      <x:c r="AA11" s="38" t="n">
        <x:f>IF($R$30=1,SUM(AB11:AD11)*(1)/1073741824,NA())</x:f>
        <x:v>0.0000133514404296875</x:v>
      </x:c>
      <x:c r="AB11" s="39" t="n">
        <x:f>1*ROUNDUP((7168/M11)*VLOOKUP(D11,$Q$32:$R$38,2,FALSE),0)</x:f>
        <x:v>14336</x:v>
      </x:c>
      <x:c r="AC11" s="39" t="n">
        <x:f>IF(OR(D11="MXFP4",D11="MXFP8"),1*ROUNDUP((7168/M11)/32,0),0)</x:f>
        <x:v>0</x:v>
      </x:c>
      <x:c r="AD11" s="39" t="n">
        <x:f>IF(D11="INT8",(7168/M11)*8,IF(D11="INT4",(7168/M11)*16,0))</x:f>
        <x:v>0</x:v>
      </x:c>
      <x:c r="AE11" s="39" t="n">
        <x:f>1*ROUNDUP((7168)*VLOOKUP(D11,$Q$32:$R$38,2,FALSE),0)</x:f>
        <x:v>14336</x:v>
      </x:c>
      <x:c r="AF11" s="39" t="n">
        <x:f>IF(OR(D11="MXFP4",D11="MXFP8"),1*ROUNDUP((7168)/32,0),0)</x:f>
        <x:v>0</x:v>
      </x:c>
      <x:c r="AG11" s="39" t="n">
        <x:f>IF(D11="INT8",(7168)*8,IF(D11="INT4",(7168)*16,0))</x:f>
        <x:v>0</x:v>
      </x:c>
    </x:row>
    <x:row r="12" ht="18" customHeight="1">
      <x:c r="A12" s="7" t="str">
        <x:v>Decoder common</x:v>
      </x:c>
      <x:c r="B12" s="7" t="str">
        <x:v>output_attn_res_proj.weight</x:v>
      </x:c>
      <x:c r="C12" s="7" t="str">
        <x:v>[1,7168]</x:v>
      </x:c>
      <x:c r="D12" s="10" t="str">
        <x:v>BF16</x:v>
      </x:c>
      <x:c r="E12" s="34" t="n">
        <x:v>1</x:v>
      </x:c>
      <x:c r="F12" s="34" t="n">
        <x:f>(1)*(7168)</x:f>
        <x:v>7168</x:v>
      </x:c>
      <x:c r="G12" s="7" t="str">
        <x:v>Replicated</x:v>
      </x:c>
      <x:c r="H12" s="7" t="str">
        <x:v>None</x:v>
      </x:c>
      <x:c r="I12" s="7" t="str">
        <x:v>否</x:v>
      </x:c>
      <x:c r="J12" s="44" t="n">
        <x:f>E12*SUM(AE12:AG12)/1073741824</x:f>
        <x:v>0.0000133514404296875</x:v>
      </x:c>
      <x:c r="K12" s="44" t="n">
        <x:f>AA12</x:f>
        <x:v>0.0000133514404296875</x:v>
      </x:c>
      <x:c r="L12" s="7" t="str">
        <x:f>IF(OR(D12="MXFP4",D12="MXFP8"),"group 32 / E8M0",IF(D12="INT8","channel / 8 B",IF(D12="INT4","channel / 16 B","")))</x:f>
      </x:c>
      <x:c r="M12" s="45" t="n">
        <x:f>1</x:f>
        <x:v>1</x:v>
      </x:c>
      <x:c r="N12" s="7" t="str">
        <x:f>"["&amp;(1/M12)&amp;","&amp;(7168)&amp;"]"</x:f>
        <x:v>[1,7168]</x:v>
      </x:c>
      <x:c r="O12" s="34" t="n">
        <x:f>CHOOSE($R$22+1,1)</x:f>
        <x:v>1</x:v>
      </x:c>
      <x:c r="P12" s="2"/>
      <x:c r="Q12" s="7" t="str">
        <x:v>DCP</x:v>
      </x:c>
      <x:c r="R12" s="15" t="n">
        <x:v>1</x:v>
      </x:c>
      <x:c r="S12" s="7" t="str">
        <x:v>RoPE dim</x:v>
      </x:c>
      <x:c r="T12" s="7" t="n">
        <x:v>64</x:v>
      </x:c>
      <x:c r="U12" s="2"/>
      <x:c r="V12" s="2"/>
      <x:c r="W12" s="2"/>
      <x:c r="X12" s="2"/>
      <x:c r="Y12" s="2"/>
      <x:c r="Z12" s="2"/>
      <x:c r="AA12" s="38" t="n">
        <x:f>IF($R$30=1,SUM(AB12:AD12)*(1)/1073741824,NA())</x:f>
        <x:v>0.0000133514404296875</x:v>
      </x:c>
      <x:c r="AB12" s="39" t="n">
        <x:f>(1/M12)*ROUNDUP((7168)*VLOOKUP(D12,$Q$32:$R$38,2,FALSE),0)</x:f>
        <x:v>14336</x:v>
      </x:c>
      <x:c r="AC12" s="39" t="n">
        <x:f>IF(OR(D12="MXFP4",D12="MXFP8"),(1/M12)*ROUNDUP((7168)/32,0),0)</x:f>
        <x:v>0</x:v>
      </x:c>
      <x:c r="AD12" s="39" t="n">
        <x:f>IF(D12="INT8",(1/M12)*8,IF(D12="INT4",(1/M12)*16,0))</x:f>
        <x:v>0</x:v>
      </x:c>
      <x:c r="AE12" s="39" t="n">
        <x:f>(1)*ROUNDUP((7168)*VLOOKUP(D12,$Q$32:$R$38,2,FALSE),0)</x:f>
        <x:v>14336</x:v>
      </x:c>
      <x:c r="AF12" s="39" t="n">
        <x:f>IF(OR(D12="MXFP4",D12="MXFP8"),(1)*ROUNDUP((7168)/32,0),0)</x:f>
        <x:v>0</x:v>
      </x:c>
      <x:c r="AG12" s="39" t="n">
        <x:f>IF(D12="INT8",(1)*8,IF(D12="INT4",(1)*16,0))</x:f>
        <x:v>0</x:v>
      </x:c>
    </x:row>
    <x:row r="13" ht="18" customHeight="1">
      <x:c r="A13" s="48" t="str">
        <x:v>Dense MLP</x:v>
      </x:c>
      <x:c r="B13" s="48" t="str">
        <x:v>gate_proj.weight</x:v>
      </x:c>
      <x:c r="C13" s="48" t="str">
        <x:v>[33792,7168]</x:v>
      </x:c>
      <x:c r="D13" s="49" t="str">
        <x:v>BF16</x:v>
      </x:c>
      <x:c r="E13" s="50" t="n">
        <x:v>1</x:v>
      </x:c>
      <x:c r="F13" s="50" t="n">
        <x:f>(33792)*(7168)</x:f>
        <x:v>242221056</x:v>
      </x:c>
      <x:c r="G13" s="48" t="str">
        <x:v>Other TP</x:v>
      </x:c>
      <x:c r="H13" s="48" t="str">
        <x:v>None</x:v>
      </x:c>
      <x:c r="I13" s="48" t="str">
        <x:v>否</x:v>
      </x:c>
      <x:c r="J13" s="51" t="n">
        <x:f>E13*SUM(AE13:AG13)/1073741824</x:f>
        <x:v>0.451171875</x:v>
      </x:c>
      <x:c r="K13" s="51" t="n">
        <x:f>AA13</x:f>
        <x:v>0.0281982421875</x:v>
      </x:c>
      <x:c r="L13" s="48" t="str">
        <x:f>IF(OR(D13="MXFP4",D13="MXFP8"),"group 32 / E8M0",IF(D13="INT8","channel / 8 B",IF(D13="INT4","channel / 16 B","")))</x:f>
      </x:c>
      <x:c r="M13" s="52" t="n">
        <x:f>$R$8</x:f>
        <x:v>16</x:v>
      </x:c>
      <x:c r="N13" s="48" t="str">
        <x:f>"["&amp;(33792/M13)&amp;","&amp;(7168)&amp;"]"</x:f>
        <x:v>[2112,7168]</x:v>
      </x:c>
      <x:c r="O13" s="50" t="n">
        <x:f>CHOOSE($R$22+1,1)</x:f>
        <x:v>1</x:v>
      </x:c>
      <x:c r="P13" s="2"/>
      <x:c r="Q13" s="7" t="str">
        <x:v>MLA cache dtype</x:v>
      </x:c>
      <x:c r="R13" s="17" t="str">
        <x:v>BF16</x:v>
      </x:c>
      <x:c r="S13" s="7" t="str">
        <x:v>Indexer key dim</x:v>
      </x:c>
      <x:c r="T13" s="7" t="n">
        <x:v>0</x:v>
      </x:c>
      <x:c r="U13" s="2"/>
      <x:c r="V13" s="2"/>
      <x:c r="W13" s="2"/>
      <x:c r="X13" s="2"/>
      <x:c r="Y13" s="2"/>
      <x:c r="Z13" s="2"/>
      <x:c r="AA13" s="38" t="n">
        <x:f>IF($R$30=1,SUM(AB13:AD13)*(1)/1073741824,NA())</x:f>
        <x:v>0.0281982421875</x:v>
      </x:c>
      <x:c r="AB13" s="39" t="n">
        <x:f>(33792/M13)*ROUNDUP((7168)*VLOOKUP(D13,$Q$32:$R$38,2,FALSE),0)</x:f>
        <x:v>30277632</x:v>
      </x:c>
      <x:c r="AC13" s="39" t="n">
        <x:f>IF(OR(D13="MXFP4",D13="MXFP8"),(33792/M13)*ROUNDUP((7168)/32,0),0)</x:f>
        <x:v>0</x:v>
      </x:c>
      <x:c r="AD13" s="39" t="n">
        <x:f>IF(D13="INT8",(33792/M13)*8,IF(D13="INT4",(33792/M13)*16,0))</x:f>
        <x:v>0</x:v>
      </x:c>
      <x:c r="AE13" s="39" t="n">
        <x:f>(33792)*ROUNDUP((7168)*VLOOKUP(D13,$Q$32:$R$38,2,FALSE),0)</x:f>
        <x:v>484442112</x:v>
      </x:c>
      <x:c r="AF13" s="39" t="n">
        <x:f>IF(OR(D13="MXFP4",D13="MXFP8"),(33792)*ROUNDUP((7168)/32,0),0)</x:f>
        <x:v>0</x:v>
      </x:c>
      <x:c r="AG13" s="39" t="n">
        <x:f>IF(D13="INT8",(33792)*8,IF(D13="INT4",(33792)*16,0))</x:f>
        <x:v>0</x:v>
      </x:c>
    </x:row>
    <x:row r="14" ht="18" customHeight="1">
      <x:c r="A14" s="7" t="str">
        <x:v>Dense MLP</x:v>
      </x:c>
      <x:c r="B14" s="7" t="str">
        <x:v>up_proj.weight</x:v>
      </x:c>
      <x:c r="C14" s="7" t="str">
        <x:v>[33792,7168]</x:v>
      </x:c>
      <x:c r="D14" s="10" t="str">
        <x:v>BF16</x:v>
      </x:c>
      <x:c r="E14" s="34" t="n">
        <x:v>1</x:v>
      </x:c>
      <x:c r="F14" s="34" t="n">
        <x:f>(33792)*(7168)</x:f>
        <x:v>242221056</x:v>
      </x:c>
      <x:c r="G14" s="7" t="str">
        <x:v>Other TP</x:v>
      </x:c>
      <x:c r="H14" s="7" t="str">
        <x:v>None</x:v>
      </x:c>
      <x:c r="I14" s="7" t="str">
        <x:v>否</x:v>
      </x:c>
      <x:c r="J14" s="44" t="n">
        <x:f>E14*SUM(AE14:AG14)/1073741824</x:f>
        <x:v>0.451171875</x:v>
      </x:c>
      <x:c r="K14" s="44" t="n">
        <x:f>AA14</x:f>
        <x:v>0.0281982421875</x:v>
      </x:c>
      <x:c r="L14" s="7" t="str">
        <x:f>IF(OR(D14="MXFP4",D14="MXFP8"),"group 32 / E8M0",IF(D14="INT8","channel / 8 B",IF(D14="INT4","channel / 16 B","")))</x:f>
      </x:c>
      <x:c r="M14" s="45" t="n">
        <x:f>$R$8</x:f>
        <x:v>16</x:v>
      </x:c>
      <x:c r="N14" s="7" t="str">
        <x:f>"["&amp;(33792/M14)&amp;","&amp;(7168)&amp;"]"</x:f>
        <x:v>[2112,7168]</x:v>
      </x:c>
      <x:c r="O14" s="34" t="n">
        <x:f>CHOOSE($R$22+1,1)</x:f>
        <x:v>1</x:v>
      </x:c>
      <x:c r="P14" s="2"/>
      <x:c r="Q14" s="7" t="str">
        <x:v>Indexer cache dtype</x:v>
      </x:c>
      <x:c r="R14" s="17" t="str">
        <x:v>BF16</x:v>
      </x:c>
      <x:c r="S14" s="7" t="str">
        <x:v>Conv kernel</x:v>
      </x:c>
      <x:c r="T14" s="7" t="n">
        <x:v>4</x:v>
      </x:c>
      <x:c r="U14" s="2"/>
      <x:c r="V14" s="2"/>
      <x:c r="W14" s="2"/>
      <x:c r="X14" s="2"/>
      <x:c r="Y14" s="2"/>
      <x:c r="Z14" s="2"/>
      <x:c r="AA14" s="38" t="n">
        <x:f>IF($R$30=1,SUM(AB14:AD14)*(1)/1073741824,NA())</x:f>
        <x:v>0.0281982421875</x:v>
      </x:c>
      <x:c r="AB14" s="39" t="n">
        <x:f>(33792/M14)*ROUNDUP((7168)*VLOOKUP(D14,$Q$32:$R$38,2,FALSE),0)</x:f>
        <x:v>30277632</x:v>
      </x:c>
      <x:c r="AC14" s="39" t="n">
        <x:f>IF(OR(D14="MXFP4",D14="MXFP8"),(33792/M14)*ROUNDUP((7168)/32,0),0)</x:f>
        <x:v>0</x:v>
      </x:c>
      <x:c r="AD14" s="39" t="n">
        <x:f>IF(D14="INT8",(33792/M14)*8,IF(D14="INT4",(33792/M14)*16,0))</x:f>
        <x:v>0</x:v>
      </x:c>
      <x:c r="AE14" s="39" t="n">
        <x:f>(33792)*ROUNDUP((7168)*VLOOKUP(D14,$Q$32:$R$38,2,FALSE),0)</x:f>
        <x:v>484442112</x:v>
      </x:c>
      <x:c r="AF14" s="39" t="n">
        <x:f>IF(OR(D14="MXFP4",D14="MXFP8"),(33792)*ROUNDUP((7168)/32,0),0)</x:f>
        <x:v>0</x:v>
      </x:c>
      <x:c r="AG14" s="39" t="n">
        <x:f>IF(D14="INT8",(33792)*8,IF(D14="INT4",(33792)*16,0))</x:f>
        <x:v>0</x:v>
      </x:c>
    </x:row>
    <x:row r="15" ht="18" customHeight="1">
      <x:c r="A15" s="7" t="str">
        <x:v>Dense MLP</x:v>
      </x:c>
      <x:c r="B15" s="7" t="str">
        <x:v>down_proj.weight</x:v>
      </x:c>
      <x:c r="C15" s="7" t="str">
        <x:v>[7168,33792]</x:v>
      </x:c>
      <x:c r="D15" s="10" t="str">
        <x:v>BF16</x:v>
      </x:c>
      <x:c r="E15" s="34" t="n">
        <x:v>1</x:v>
      </x:c>
      <x:c r="F15" s="34" t="n">
        <x:f>(7168)*(33792)</x:f>
        <x:v>242221056</x:v>
      </x:c>
      <x:c r="G15" s="7" t="str">
        <x:v>Other TP</x:v>
      </x:c>
      <x:c r="H15" s="7" t="str">
        <x:v>None</x:v>
      </x:c>
      <x:c r="I15" s="7" t="str">
        <x:v>否</x:v>
      </x:c>
      <x:c r="J15" s="44" t="n">
        <x:f>E15*SUM(AE15:AG15)/1073741824</x:f>
        <x:v>0.451171875</x:v>
      </x:c>
      <x:c r="K15" s="44" t="n">
        <x:f>AA15</x:f>
        <x:v>0.0281982421875</x:v>
      </x:c>
      <x:c r="L15" s="7" t="str">
        <x:f>IF(OR(D15="MXFP4",D15="MXFP8"),"group 32 / E8M0",IF(D15="INT8","channel / 8 B",IF(D15="INT4","channel / 16 B","")))</x:f>
      </x:c>
      <x:c r="M15" s="45" t="n">
        <x:f>$R$8</x:f>
        <x:v>16</x:v>
      </x:c>
      <x:c r="N15" s="7" t="str">
        <x:f>"["&amp;(7168)&amp;","&amp;(33792/M15)&amp;"]"</x:f>
        <x:v>[7168,2112]</x:v>
      </x:c>
      <x:c r="O15" s="34" t="n">
        <x:f>CHOOSE($R$22+1,1)</x:f>
        <x:v>1</x:v>
      </x:c>
      <x:c r="P15" s="2"/>
      <x:c r="Q15" s="7" t="str">
        <x:v>Indexer scale bytes</x:v>
      </x:c>
      <x:c r="R15" s="15" t="n">
        <x:f>0</x:f>
        <x:v>0</x:v>
      </x:c>
      <x:c r="S15" s="7" t="str">
        <x:v>Cache block size</x:v>
      </x:c>
      <x:c r="T15" s="7" t="n">
        <x:f>R19</x:f>
        <x:v>128</x:v>
      </x:c>
      <x:c r="U15" s="2"/>
      <x:c r="V15" s="2"/>
      <x:c r="W15" s="2"/>
      <x:c r="X15" s="2"/>
      <x:c r="Y15" s="2"/>
      <x:c r="Z15" s="2"/>
      <x:c r="AA15" s="38" t="n">
        <x:f>IF($R$30=1,SUM(AB15:AD15)*(1)/1073741824,NA())</x:f>
        <x:v>0.0281982421875</x:v>
      </x:c>
      <x:c r="AB15" s="39" t="n">
        <x:f>(7168)*ROUNDUP((33792/M15)*VLOOKUP(D15,$Q$32:$R$38,2,FALSE),0)</x:f>
        <x:v>30277632</x:v>
      </x:c>
      <x:c r="AC15" s="39" t="n">
        <x:f>IF(OR(D15="MXFP4",D15="MXFP8"),(7168)*ROUNDUP((33792/M15)/32,0),0)</x:f>
        <x:v>0</x:v>
      </x:c>
      <x:c r="AD15" s="39" t="n">
        <x:f>IF(D15="INT8",(7168)*8,IF(D15="INT4",(7168)*16,0))</x:f>
        <x:v>0</x:v>
      </x:c>
      <x:c r="AE15" s="39" t="n">
        <x:f>(7168)*ROUNDUP((33792)*VLOOKUP(D15,$Q$32:$R$38,2,FALSE),0)</x:f>
        <x:v>484442112</x:v>
      </x:c>
      <x:c r="AF15" s="39" t="n">
        <x:f>IF(OR(D15="MXFP4",D15="MXFP8"),(7168)*ROUNDUP((33792)/32,0),0)</x:f>
        <x:v>0</x:v>
      </x:c>
      <x:c r="AG15" s="39" t="n">
        <x:f>IF(D15="INT8",(7168)*8,IF(D15="INT4",(7168)*16,0))</x:f>
        <x:v>0</x:v>
      </x:c>
    </x:row>
    <x:row r="16" ht="18" customHeight="1">
      <x:c r="A16" s="48" t="str">
        <x:v>KDA</x:v>
      </x:c>
      <x:c r="B16" s="48" t="str">
        <x:v>q_proj</x:v>
      </x:c>
      <x:c r="C16" s="48" t="str">
        <x:v>[12288,7168]</x:v>
      </x:c>
      <x:c r="D16" s="49" t="str">
        <x:v>BF16</x:v>
      </x:c>
      <x:c r="E16" s="50" t="n">
        <x:v>69</x:v>
      </x:c>
      <x:c r="F16" s="50" t="n">
        <x:f>(12288)*(7168)</x:f>
        <x:v>88080384</x:v>
      </x:c>
      <x:c r="G16" s="48" t="str">
        <x:v>KDA TP</x:v>
      </x:c>
      <x:c r="H16" s="48" t="str">
        <x:v>None</x:v>
      </x:c>
      <x:c r="I16" s="48" t="str">
        <x:v>否</x:v>
      </x:c>
      <x:c r="J16" s="51" t="n">
        <x:f>E16*SUM(AE16:AG16)/1073741824</x:f>
        <x:v>11.3203125</x:v>
      </x:c>
      <x:c r="K16" s="51" t="n">
        <x:f>AA16</x:f>
        <x:v>0.70751953125</x:v>
      </x:c>
      <x:c r="L16" s="48" t="str">
        <x:f>IF(OR(D16="MXFP4",D16="MXFP8"),"group 32 / E8M0",IF(D16="INT8","channel / 8 B",IF(D16="INT4","channel / 16 B","")))</x:f>
      </x:c>
      <x:c r="M16" s="52" t="n">
        <x:f>$R$2</x:f>
        <x:v>16</x:v>
      </x:c>
      <x:c r="N16" s="48" t="str">
        <x:f>"["&amp;(12288/M16)&amp;","&amp;(7168)&amp;"]"</x:f>
        <x:v>[768,7168]</x:v>
      </x:c>
      <x:c r="O16" s="50" t="n">
        <x:f>CHOOSE($R$22+1,69)</x:f>
        <x:v>69</x:v>
      </x:c>
      <x:c r="P16" s="2"/>
      <x:c r="Q16" s="7" t="str">
        <x:v>KDA conv bytes</x:v>
      </x:c>
      <x:c r="R16" s="14" t="n">
        <x:v>2</x:v>
      </x:c>
      <x:c r="S16" s="7" t="str">
        <x:v>单请求 token 数</x:v>
      </x:c>
      <x:c r="T16" s="7" t="n">
        <x:f>R18</x:f>
        <x:v>131072</x:v>
      </x:c>
      <x:c r="U16" s="2"/>
      <x:c r="V16" s="2"/>
      <x:c r="W16" s="2"/>
      <x:c r="X16" s="2"/>
      <x:c r="Y16" s="2"/>
      <x:c r="Z16" s="2"/>
      <x:c r="AA16" s="38" t="n">
        <x:f>IF($R$30=1,SUM(AB16:AD16)*(69)/1073741824,NA())</x:f>
        <x:v>0.70751953125</x:v>
      </x:c>
      <x:c r="AB16" s="39" t="n">
        <x:f>(12288/M16)*ROUNDUP((7168)*VLOOKUP(D16,$Q$32:$R$38,2,FALSE),0)</x:f>
        <x:v>11010048</x:v>
      </x:c>
      <x:c r="AC16" s="39" t="n">
        <x:f>IF(OR(D16="MXFP4",D16="MXFP8"),(12288/M16)*ROUNDUP((7168)/32,0),0)</x:f>
        <x:v>0</x:v>
      </x:c>
      <x:c r="AD16" s="39" t="n">
        <x:f>IF(D16="INT8",(12288/M16)*8,IF(D16="INT4",(12288/M16)*16,0))</x:f>
        <x:v>0</x:v>
      </x:c>
      <x:c r="AE16" s="39" t="n">
        <x:f>(12288)*ROUNDUP((7168)*VLOOKUP(D16,$Q$32:$R$38,2,FALSE),0)</x:f>
        <x:v>176160768</x:v>
      </x:c>
      <x:c r="AF16" s="39" t="n">
        <x:f>IF(OR(D16="MXFP4",D16="MXFP8"),(12288)*ROUNDUP((7168)/32,0),0)</x:f>
        <x:v>0</x:v>
      </x:c>
      <x:c r="AG16" s="39" t="n">
        <x:f>IF(D16="INT8",(12288)*8,IF(D16="INT4",(12288)*16,0))</x:f>
        <x:v>0</x:v>
      </x:c>
    </x:row>
    <x:row r="17" ht="18" customHeight="1">
      <x:c r="A17" s="7" t="str">
        <x:v>KDA</x:v>
      </x:c>
      <x:c r="B17" s="7" t="str">
        <x:v>k_proj</x:v>
      </x:c>
      <x:c r="C17" s="7" t="str">
        <x:v>[12288,7168]</x:v>
      </x:c>
      <x:c r="D17" s="10" t="str">
        <x:v>BF16</x:v>
      </x:c>
      <x:c r="E17" s="34" t="n">
        <x:v>69</x:v>
      </x:c>
      <x:c r="F17" s="34" t="n">
        <x:f>(12288)*(7168)</x:f>
        <x:v>88080384</x:v>
      </x:c>
      <x:c r="G17" s="7" t="str">
        <x:v>KDA TP</x:v>
      </x:c>
      <x:c r="H17" s="7" t="str">
        <x:v>None</x:v>
      </x:c>
      <x:c r="I17" s="7" t="str">
        <x:v>否</x:v>
      </x:c>
      <x:c r="J17" s="44" t="n">
        <x:f>E17*SUM(AE17:AG17)/1073741824</x:f>
        <x:v>11.3203125</x:v>
      </x:c>
      <x:c r="K17" s="44" t="n">
        <x:f>AA17</x:f>
        <x:v>0.70751953125</x:v>
      </x:c>
      <x:c r="L17" s="7" t="str">
        <x:f>IF(OR(D17="MXFP4",D17="MXFP8"),"group 32 / E8M0",IF(D17="INT8","channel / 8 B",IF(D17="INT4","channel / 16 B","")))</x:f>
      </x:c>
      <x:c r="M17" s="45" t="n">
        <x:f>$R$2</x:f>
        <x:v>16</x:v>
      </x:c>
      <x:c r="N17" s="7" t="str">
        <x:f>"["&amp;(12288/M17)&amp;","&amp;(7168)&amp;"]"</x:f>
        <x:v>[768,7168]</x:v>
      </x:c>
      <x:c r="O17" s="34" t="n">
        <x:f>CHOOSE($R$22+1,69)</x:f>
        <x:v>69</x:v>
      </x:c>
      <x:c r="P17" s="2"/>
      <x:c r="Q17" s="7" t="str">
        <x:v>KDA recurrent bytes</x:v>
      </x:c>
      <x:c r="R17" s="14" t="n">
        <x:v>4</x:v>
      </x:c>
      <x:c r="S17" s="7" t="str">
        <x:v>阶段</x:v>
      </x:c>
      <x:c r="T17" s="7" t="str">
        <x:v>Decode</x:v>
      </x:c>
      <x:c r="U17" s="2"/>
      <x:c r="V17" s="2"/>
      <x:c r="W17" s="2"/>
      <x:c r="X17" s="2"/>
      <x:c r="Y17" s="2"/>
      <x:c r="Z17" s="2"/>
      <x:c r="AA17" s="38" t="n">
        <x:f>IF($R$30=1,SUM(AB17:AD17)*(69)/1073741824,NA())</x:f>
        <x:v>0.70751953125</x:v>
      </x:c>
      <x:c r="AB17" s="39" t="n">
        <x:f>(12288/M17)*ROUNDUP((7168)*VLOOKUP(D17,$Q$32:$R$38,2,FALSE),0)</x:f>
        <x:v>11010048</x:v>
      </x:c>
      <x:c r="AC17" s="39" t="n">
        <x:f>IF(OR(D17="MXFP4",D17="MXFP8"),(12288/M17)*ROUNDUP((7168)/32,0),0)</x:f>
        <x:v>0</x:v>
      </x:c>
      <x:c r="AD17" s="39" t="n">
        <x:f>IF(D17="INT8",(12288/M17)*8,IF(D17="INT4",(12288/M17)*16,0))</x:f>
        <x:v>0</x:v>
      </x:c>
      <x:c r="AE17" s="39" t="n">
        <x:f>(12288)*ROUNDUP((7168)*VLOOKUP(D17,$Q$32:$R$38,2,FALSE),0)</x:f>
        <x:v>176160768</x:v>
      </x:c>
      <x:c r="AF17" s="39" t="n">
        <x:f>IF(OR(D17="MXFP4",D17="MXFP8"),(12288)*ROUNDUP((7168)/32,0),0)</x:f>
        <x:v>0</x:v>
      </x:c>
      <x:c r="AG17" s="39" t="n">
        <x:f>IF(D17="INT8",(12288)*8,IF(D17="INT4",(12288)*16,0))</x:f>
        <x:v>0</x:v>
      </x:c>
    </x:row>
    <x:row r="18" ht="18" customHeight="1">
      <x:c r="A18" s="7" t="str">
        <x:v>KDA</x:v>
      </x:c>
      <x:c r="B18" s="7" t="str">
        <x:v>v_proj</x:v>
      </x:c>
      <x:c r="C18" s="7" t="str">
        <x:v>[12288,7168]</x:v>
      </x:c>
      <x:c r="D18" s="10" t="str">
        <x:v>BF16</x:v>
      </x:c>
      <x:c r="E18" s="34" t="n">
        <x:v>69</x:v>
      </x:c>
      <x:c r="F18" s="34" t="n">
        <x:f>(12288)*(7168)</x:f>
        <x:v>88080384</x:v>
      </x:c>
      <x:c r="G18" s="7" t="str">
        <x:v>KDA TP</x:v>
      </x:c>
      <x:c r="H18" s="7" t="str">
        <x:v>None</x:v>
      </x:c>
      <x:c r="I18" s="7" t="str">
        <x:v>否</x:v>
      </x:c>
      <x:c r="J18" s="44" t="n">
        <x:f>E18*SUM(AE18:AG18)/1073741824</x:f>
        <x:v>11.3203125</x:v>
      </x:c>
      <x:c r="K18" s="44" t="n">
        <x:f>AA18</x:f>
        <x:v>0.70751953125</x:v>
      </x:c>
      <x:c r="L18" s="7" t="str">
        <x:f>IF(OR(D18="MXFP4",D18="MXFP8"),"group 32 / E8M0",IF(D18="INT8","channel / 8 B",IF(D18="INT4","channel / 16 B","")))</x:f>
      </x:c>
      <x:c r="M18" s="45" t="n">
        <x:f>$R$2</x:f>
        <x:v>16</x:v>
      </x:c>
      <x:c r="N18" s="7" t="str">
        <x:f>"["&amp;(12288/M18)&amp;","&amp;(7168)&amp;"]"</x:f>
        <x:v>[768,7168]</x:v>
      </x:c>
      <x:c r="O18" s="34" t="n">
        <x:f>CHOOSE($R$22+1,69)</x:f>
        <x:v>69</x:v>
      </x:c>
      <x:c r="P18" s="2"/>
      <x:c r="Q18" s="7" t="str">
        <x:v>单请求 token 数</x:v>
      </x:c>
      <x:c r="R18" s="14" t="n">
        <x:v>131072</x:v>
      </x:c>
      <x:c r="S18" s="7" t="str">
        <x:v>ViT</x:v>
      </x:c>
      <x:c r="T18" s="7" t="str">
        <x:v>包含</x:v>
      </x:c>
      <x:c r="U18" s="2"/>
      <x:c r="V18" s="2"/>
      <x:c r="W18" s="2"/>
      <x:c r="X18" s="2"/>
      <x:c r="Y18" s="2"/>
      <x:c r="Z18" s="2"/>
      <x:c r="AA18" s="38" t="n">
        <x:f>IF($R$30=1,SUM(AB18:AD18)*(69)/1073741824,NA())</x:f>
        <x:v>0.70751953125</x:v>
      </x:c>
      <x:c r="AB18" s="39" t="n">
        <x:f>(12288/M18)*ROUNDUP((7168)*VLOOKUP(D18,$Q$32:$R$38,2,FALSE),0)</x:f>
        <x:v>11010048</x:v>
      </x:c>
      <x:c r="AC18" s="39" t="n">
        <x:f>IF(OR(D18="MXFP4",D18="MXFP8"),(12288/M18)*ROUNDUP((7168)/32,0),0)</x:f>
        <x:v>0</x:v>
      </x:c>
      <x:c r="AD18" s="39" t="n">
        <x:f>IF(D18="INT8",(12288/M18)*8,IF(D18="INT4",(12288/M18)*16,0))</x:f>
        <x:v>0</x:v>
      </x:c>
      <x:c r="AE18" s="39" t="n">
        <x:f>(12288)*ROUNDUP((7168)*VLOOKUP(D18,$Q$32:$R$38,2,FALSE),0)</x:f>
        <x:v>176160768</x:v>
      </x:c>
      <x:c r="AF18" s="39" t="n">
        <x:f>IF(OR(D18="MXFP4",D18="MXFP8"),(12288)*ROUNDUP((7168)/32,0),0)</x:f>
        <x:v>0</x:v>
      </x:c>
      <x:c r="AG18" s="39" t="n">
        <x:f>IF(D18="INT8",(12288)*8,IF(D18="INT4",(12288)*16,0))</x:f>
        <x:v>0</x:v>
      </x:c>
    </x:row>
    <x:row r="19" ht="18" customHeight="1">
      <x:c r="A19" s="7" t="str">
        <x:v>KDA</x:v>
      </x:c>
      <x:c r="B19" s="7" t="str">
        <x:v>q_conv1d.weight</x:v>
      </x:c>
      <x:c r="C19" s="7" t="str">
        <x:v>[12288,1,4]</x:v>
      </x:c>
      <x:c r="D19" s="10" t="str">
        <x:v>FP32</x:v>
      </x:c>
      <x:c r="E19" s="34" t="n">
        <x:v>69</x:v>
      </x:c>
      <x:c r="F19" s="34" t="n">
        <x:f>(12288)*(1)*(4)</x:f>
        <x:v>49152</x:v>
      </x:c>
      <x:c r="G19" s="7" t="str">
        <x:v>KDA TP</x:v>
      </x:c>
      <x:c r="H19" s="7" t="str">
        <x:v>None</x:v>
      </x:c>
      <x:c r="I19" s="7" t="str">
        <x:v>否</x:v>
      </x:c>
      <x:c r="J19" s="44" t="n">
        <x:f>E19*SUM(AE19:AG19)/1073741824</x:f>
        <x:v>0.01263427734375</x:v>
      </x:c>
      <x:c r="K19" s="44" t="n">
        <x:f>AA19</x:f>
        <x:v>0.000789642333984375</x:v>
      </x:c>
      <x:c r="L19" s="7" t="str">
        <x:f>IF(OR(D19="MXFP4",D19="MXFP8"),"group 32 / E8M0",IF(D19="INT8","channel / 8 B",IF(D19="INT4","channel / 16 B","")))</x:f>
      </x:c>
      <x:c r="M19" s="45" t="n">
        <x:f>$R$2</x:f>
        <x:v>16</x:v>
      </x:c>
      <x:c r="N19" s="7" t="str">
        <x:f>"["&amp;(12288/M19)&amp;","&amp;(1)&amp;","&amp;(4)&amp;"]"</x:f>
        <x:v>[768,1,4]</x:v>
      </x:c>
      <x:c r="O19" s="34" t="n">
        <x:f>CHOOSE($R$22+1,69)</x:f>
        <x:v>69</x:v>
      </x:c>
      <x:c r="P19" s="2"/>
      <x:c r="Q19" s="7" t="str">
        <x:v>Cache block size</x:v>
      </x:c>
      <x:c r="R19" s="14" t="n">
        <x:v>128</x:v>
      </x:c>
      <x:c r="S19" s="7" t="str">
        <x:v>KDA local heads</x:v>
      </x:c>
      <x:c r="T19" s="7" t="n">
        <x:f>T4/R2</x:f>
        <x:v>6</x:v>
      </x:c>
      <x:c r="U19" s="2"/>
      <x:c r="V19" s="2"/>
      <x:c r="W19" s="2"/>
      <x:c r="X19" s="2"/>
      <x:c r="Y19" s="2"/>
      <x:c r="Z19" s="2"/>
      <x:c r="AA19" s="38" t="n">
        <x:f>IF($R$30=1,SUM(AB19:AD19)*(69)/1073741824,NA())</x:f>
        <x:v>0.000789642333984375</x:v>
      </x:c>
      <x:c r="AB19" s="39" t="n">
        <x:f>(12288/M19)*(1)*ROUNDUP((4)*VLOOKUP(D19,$Q$32:$R$38,2,FALSE),0)</x:f>
        <x:v>12288</x:v>
      </x:c>
      <x:c r="AC19" s="39" t="n">
        <x:f>IF(OR(D19="MXFP4",D19="MXFP8"),(12288/M19)*(1)*ROUNDUP((4)/32,0),0)</x:f>
        <x:v>0</x:v>
      </x:c>
      <x:c r="AD19" s="39" t="n">
        <x:f>IF(D19="INT8",(12288/M19)*8,IF(D19="INT4",(12288/M19)*16,0))</x:f>
        <x:v>0</x:v>
      </x:c>
      <x:c r="AE19" s="39" t="n">
        <x:f>(12288)*(1)*ROUNDUP((4)*VLOOKUP(D19,$Q$32:$R$38,2,FALSE),0)</x:f>
        <x:v>196608</x:v>
      </x:c>
      <x:c r="AF19" s="39" t="n">
        <x:f>IF(OR(D19="MXFP4",D19="MXFP8"),(12288)*(1)*ROUNDUP((4)/32,0),0)</x:f>
        <x:v>0</x:v>
      </x:c>
      <x:c r="AG19" s="39" t="n">
        <x:f>IF(D19="INT8",(12288)*8,IF(D19="INT4",(12288)*16,0))</x:f>
        <x:v>0</x:v>
      </x:c>
    </x:row>
    <x:row r="20" ht="18" customHeight="1">
      <x:c r="A20" s="7" t="str">
        <x:v>KDA</x:v>
      </x:c>
      <x:c r="B20" s="7" t="str">
        <x:v>k_conv1d.weight</x:v>
      </x:c>
      <x:c r="C20" s="7" t="str">
        <x:v>[12288,1,4]</x:v>
      </x:c>
      <x:c r="D20" s="10" t="str">
        <x:v>FP32</x:v>
      </x:c>
      <x:c r="E20" s="34" t="n">
        <x:v>69</x:v>
      </x:c>
      <x:c r="F20" s="34" t="n">
        <x:f>(12288)*(1)*(4)</x:f>
        <x:v>49152</x:v>
      </x:c>
      <x:c r="G20" s="7" t="str">
        <x:v>KDA TP</x:v>
      </x:c>
      <x:c r="H20" s="7" t="str">
        <x:v>None</x:v>
      </x:c>
      <x:c r="I20" s="7" t="str">
        <x:v>否</x:v>
      </x:c>
      <x:c r="J20" s="44" t="n">
        <x:f>E20*SUM(AE20:AG20)/1073741824</x:f>
        <x:v>0.01263427734375</x:v>
      </x:c>
      <x:c r="K20" s="44" t="n">
        <x:f>AA20</x:f>
        <x:v>0.000789642333984375</x:v>
      </x:c>
      <x:c r="L20" s="7" t="str">
        <x:f>IF(OR(D20="MXFP4",D20="MXFP8"),"group 32 / E8M0",IF(D20="INT8","channel / 8 B",IF(D20="INT4","channel / 16 B","")))</x:f>
      </x:c>
      <x:c r="M20" s="45" t="n">
        <x:f>$R$2</x:f>
        <x:v>16</x:v>
      </x:c>
      <x:c r="N20" s="7" t="str">
        <x:f>"["&amp;(12288/M20)&amp;","&amp;(1)&amp;","&amp;(4)&amp;"]"</x:f>
        <x:v>[768,1,4]</x:v>
      </x:c>
      <x:c r="O20" s="34" t="n">
        <x:f>CHOOSE($R$22+1,69)</x:f>
        <x:v>69</x:v>
      </x:c>
      <x:c r="P20" s="2"/>
      <x:c r="Q20" s="7" t="str">
        <x:v>Speculative tokens</x:v>
      </x:c>
      <x:c r="R20" s="14" t="n">
        <x:v>0</x:v>
      </x:c>
      <x:c r="S20" s="7" t="str">
        <x:v>Attention projection heads</x:v>
      </x:c>
      <x:c r="T20" s="7" t="n">
        <x:f>T6/R4</x:f>
        <x:v>96</x:v>
      </x:c>
      <x:c r="U20" s="2"/>
      <x:c r="V20" s="2"/>
      <x:c r="W20" s="2"/>
      <x:c r="X20" s="2"/>
      <x:c r="Y20" s="2"/>
      <x:c r="Z20" s="2"/>
      <x:c r="AA20" s="38" t="n">
        <x:f>IF($R$30=1,SUM(AB20:AD20)*(69)/1073741824,NA())</x:f>
        <x:v>0.000789642333984375</x:v>
      </x:c>
      <x:c r="AB20" s="39" t="n">
        <x:f>(12288/M20)*(1)*ROUNDUP((4)*VLOOKUP(D20,$Q$32:$R$38,2,FALSE),0)</x:f>
        <x:v>12288</x:v>
      </x:c>
      <x:c r="AC20" s="39" t="n">
        <x:f>IF(OR(D20="MXFP4",D20="MXFP8"),(12288/M20)*(1)*ROUNDUP((4)/32,0),0)</x:f>
        <x:v>0</x:v>
      </x:c>
      <x:c r="AD20" s="39" t="n">
        <x:f>IF(D20="INT8",(12288/M20)*8,IF(D20="INT4",(12288/M20)*16,0))</x:f>
        <x:v>0</x:v>
      </x:c>
      <x:c r="AE20" s="39" t="n">
        <x:f>(12288)*(1)*ROUNDUP((4)*VLOOKUP(D20,$Q$32:$R$38,2,FALSE),0)</x:f>
        <x:v>196608</x:v>
      </x:c>
      <x:c r="AF20" s="39" t="n">
        <x:f>IF(OR(D20="MXFP4",D20="MXFP8"),(12288)*(1)*ROUNDUP((4)/32,0),0)</x:f>
        <x:v>0</x:v>
      </x:c>
      <x:c r="AG20" s="39" t="n">
        <x:f>IF(D20="INT8",(12288)*8,IF(D20="INT4",(12288)*16,0))</x:f>
        <x:v>0</x:v>
      </x:c>
    </x:row>
    <x:row r="21" ht="18" customHeight="1">
      <x:c r="A21" s="7" t="str">
        <x:v>KDA</x:v>
      </x:c>
      <x:c r="B21" s="7" t="str">
        <x:v>v_conv1d.weight</x:v>
      </x:c>
      <x:c r="C21" s="7" t="str">
        <x:v>[12288,1,4]</x:v>
      </x:c>
      <x:c r="D21" s="10" t="str">
        <x:v>FP32</x:v>
      </x:c>
      <x:c r="E21" s="34" t="n">
        <x:v>69</x:v>
      </x:c>
      <x:c r="F21" s="34" t="n">
        <x:f>(12288)*(1)*(4)</x:f>
        <x:v>49152</x:v>
      </x:c>
      <x:c r="G21" s="7" t="str">
        <x:v>KDA TP</x:v>
      </x:c>
      <x:c r="H21" s="7" t="str">
        <x:v>None</x:v>
      </x:c>
      <x:c r="I21" s="7" t="str">
        <x:v>否</x:v>
      </x:c>
      <x:c r="J21" s="44" t="n">
        <x:f>E21*SUM(AE21:AG21)/1073741824</x:f>
        <x:v>0.01263427734375</x:v>
      </x:c>
      <x:c r="K21" s="44" t="n">
        <x:f>AA21</x:f>
        <x:v>0.000789642333984375</x:v>
      </x:c>
      <x:c r="L21" s="7" t="str">
        <x:f>IF(OR(D21="MXFP4",D21="MXFP8"),"group 32 / E8M0",IF(D21="INT8","channel / 8 B",IF(D21="INT4","channel / 16 B","")))</x:f>
      </x:c>
      <x:c r="M21" s="45" t="n">
        <x:f>$R$2</x:f>
        <x:v>16</x:v>
      </x:c>
      <x:c r="N21" s="7" t="str">
        <x:f>"["&amp;(12288/M21)&amp;","&amp;(1)&amp;","&amp;(4)&amp;"]"</x:f>
        <x:v>[768,1,4]</x:v>
      </x:c>
      <x:c r="O21" s="34" t="n">
        <x:f>CHOOSE($R$22+1,69)</x:f>
        <x:v>69</x:v>
      </x:c>
      <x:c r="P21" s="2"/>
      <x:c r="Q21" s="7" t="str">
        <x:v>主缓存 context 切分</x:v>
      </x:c>
      <x:c r="R21" s="15" t="n">
        <x:f>R12</x:f>
        <x:v>1</x:v>
      </x:c>
      <x:c r="S21" s="7" t="str">
        <x:v>Indexer key heads</x:v>
      </x:c>
      <x:c r="T21" s="7" t="n">
        <x:v>0</x:v>
      </x:c>
      <x:c r="U21" s="2"/>
      <x:c r="V21" s="2"/>
      <x:c r="W21" s="2"/>
      <x:c r="X21" s="2"/>
      <x:c r="Y21" s="2"/>
      <x:c r="Z21" s="2"/>
      <x:c r="AA21" s="38" t="n">
        <x:f>IF($R$30=1,SUM(AB21:AD21)*(69)/1073741824,NA())</x:f>
        <x:v>0.000789642333984375</x:v>
      </x:c>
      <x:c r="AB21" s="39" t="n">
        <x:f>(12288/M21)*(1)*ROUNDUP((4)*VLOOKUP(D21,$Q$32:$R$38,2,FALSE),0)</x:f>
        <x:v>12288</x:v>
      </x:c>
      <x:c r="AC21" s="39" t="n">
        <x:f>IF(OR(D21="MXFP4",D21="MXFP8"),(12288/M21)*(1)*ROUNDUP((4)/32,0),0)</x:f>
        <x:v>0</x:v>
      </x:c>
      <x:c r="AD21" s="39" t="n">
        <x:f>IF(D21="INT8",(12288/M21)*8,IF(D21="INT4",(12288/M21)*16,0))</x:f>
        <x:v>0</x:v>
      </x:c>
      <x:c r="AE21" s="39" t="n">
        <x:f>(12288)*(1)*ROUNDUP((4)*VLOOKUP(D21,$Q$32:$R$38,2,FALSE),0)</x:f>
        <x:v>196608</x:v>
      </x:c>
      <x:c r="AF21" s="39" t="n">
        <x:f>IF(OR(D21="MXFP4",D21="MXFP8"),(12288)*(1)*ROUNDUP((4)/32,0),0)</x:f>
        <x:v>0</x:v>
      </x:c>
      <x:c r="AG21" s="39" t="n">
        <x:f>IF(D21="INT8",(12288)*8,IF(D21="INT4",(12288)*16,0))</x:f>
        <x:v>0</x:v>
      </x:c>
    </x:row>
    <x:row r="22" ht="18" customHeight="1">
      <x:c r="A22" s="7" t="str">
        <x:v>KDA</x:v>
      </x:c>
      <x:c r="B22" s="7" t="str">
        <x:v>A_log</x:v>
      </x:c>
      <x:c r="C22" s="7" t="str">
        <x:v>[96]</x:v>
      </x:c>
      <x:c r="D22" s="10" t="str">
        <x:v>FP32</x:v>
      </x:c>
      <x:c r="E22" s="34" t="n">
        <x:v>69</x:v>
      </x:c>
      <x:c r="F22" s="34" t="n">
        <x:f>(96)</x:f>
        <x:v>96</x:v>
      </x:c>
      <x:c r="G22" s="7" t="str">
        <x:v>KDA TP</x:v>
      </x:c>
      <x:c r="H22" s="7" t="str">
        <x:v>None</x:v>
      </x:c>
      <x:c r="I22" s="7" t="str">
        <x:v>否</x:v>
      </x:c>
      <x:c r="J22" s="44" t="n">
        <x:f>E22*SUM(AE22:AG22)/1073741824</x:f>
        <x:v>0.00002467632293701172</x:v>
      </x:c>
      <x:c r="K22" s="44" t="n">
        <x:f>AA22</x:f>
        <x:v>0.0000015422701835632324</x:v>
      </x:c>
      <x:c r="L22" s="7" t="str">
        <x:f>IF(OR(D22="MXFP4",D22="MXFP8"),"group 32 / E8M0",IF(D22="INT8","channel / 8 B",IF(D22="INT4","channel / 16 B","")))</x:f>
      </x:c>
      <x:c r="M22" s="45" t="n">
        <x:f>$R$2</x:f>
        <x:v>16</x:v>
      </x:c>
      <x:c r="N22" s="7" t="str">
        <x:f>"["&amp;(96/M22)&amp;"]"</x:f>
        <x:v>[6]</x:v>
      </x:c>
      <x:c r="O22" s="34" t="n">
        <x:f>CHOOSE($R$22+1,69)</x:f>
        <x:v>69</x:v>
      </x:c>
      <x:c r="P22" s="2"/>
      <x:c r="Q22" s="8" t="str">
        <x:v>当前 PP stage</x:v>
      </x:c>
      <x:c r="R22" s="16" t="n">
        <x:v>0</x:v>
      </x:c>
      <x:c r="S22" s="8" t="str">
        <x:v>Attention compute heads</x:v>
      </x:c>
      <x:c r="T22" s="8" t="n">
        <x:f>T20*R12</x:f>
        <x:v>96</x:v>
      </x:c>
      <x:c r="U22" s="2"/>
      <x:c r="V22" s="2"/>
      <x:c r="W22" s="2"/>
      <x:c r="X22" s="2"/>
      <x:c r="Y22" s="2"/>
      <x:c r="Z22" s="2"/>
      <x:c r="AA22" s="38" t="n">
        <x:f>IF($R$30=1,SUM(AB22:AD22)*(69)/1073741824,NA())</x:f>
        <x:v>0.0000015422701835632324</x:v>
      </x:c>
      <x:c r="AB22" s="39" t="n">
        <x:f>1*ROUNDUP((96/M22)*VLOOKUP(D22,$Q$32:$R$38,2,FALSE),0)</x:f>
        <x:v>24</x:v>
      </x:c>
      <x:c r="AC22" s="39" t="n">
        <x:f>IF(OR(D22="MXFP4",D22="MXFP8"),1*ROUNDUP((96/M22)/32,0),0)</x:f>
        <x:v>0</x:v>
      </x:c>
      <x:c r="AD22" s="39" t="n">
        <x:f>IF(D22="INT8",(96/M22)*8,IF(D22="INT4",(96/M22)*16,0))</x:f>
        <x:v>0</x:v>
      </x:c>
      <x:c r="AE22" s="39" t="n">
        <x:f>1*ROUNDUP((96)*VLOOKUP(D22,$Q$32:$R$38,2,FALSE),0)</x:f>
        <x:v>384</x:v>
      </x:c>
      <x:c r="AF22" s="39" t="n">
        <x:f>IF(OR(D22="MXFP4",D22="MXFP8"),1*ROUNDUP((96)/32,0),0)</x:f>
        <x:v>0</x:v>
      </x:c>
      <x:c r="AG22" s="39" t="n">
        <x:f>IF(D22="INT8",(96)*8,IF(D22="INT4",(96)*16,0))</x:f>
        <x:v>0</x:v>
      </x:c>
    </x:row>
    <x:row r="23" ht="18" customHeight="1">
      <x:c r="A23" s="7" t="str">
        <x:v>KDA</x:v>
      </x:c>
      <x:c r="B23" s="7" t="str">
        <x:v>f_a_proj</x:v>
      </x:c>
      <x:c r="C23" s="7" t="str">
        <x:v>[128,7168]</x:v>
      </x:c>
      <x:c r="D23" s="10" t="str">
        <x:v>BF16</x:v>
      </x:c>
      <x:c r="E23" s="34" t="n">
        <x:v>69</x:v>
      </x:c>
      <x:c r="F23" s="34" t="n">
        <x:f>(128)*(7168)</x:f>
        <x:v>917504</x:v>
      </x:c>
      <x:c r="G23" s="7" t="str">
        <x:v>Replicated</x:v>
      </x:c>
      <x:c r="H23" s="7" t="str">
        <x:v>None</x:v>
      </x:c>
      <x:c r="I23" s="7" t="str">
        <x:v>否</x:v>
      </x:c>
      <x:c r="J23" s="44" t="n">
        <x:f>E23*SUM(AE23:AG23)/1073741824</x:f>
        <x:v>0.117919921875</x:v>
      </x:c>
      <x:c r="K23" s="44" t="n">
        <x:f>AA23</x:f>
        <x:v>0.117919921875</x:v>
      </x:c>
      <x:c r="L23" s="7" t="str">
        <x:f>IF(OR(D23="MXFP4",D23="MXFP8"),"group 32 / E8M0",IF(D23="INT8","channel / 8 B",IF(D23="INT4","channel / 16 B","")))</x:f>
      </x:c>
      <x:c r="M23" s="45" t="n">
        <x:f>1</x:f>
        <x:v>1</x:v>
      </x:c>
      <x:c r="N23" s="7" t="str">
        <x:f>"["&amp;(128/M23)&amp;","&amp;(7168)&amp;"]"</x:f>
        <x:v>[128,7168]</x:v>
      </x:c>
      <x:c r="O23" s="34" t="n">
        <x:f>CHOOSE($R$22+1,69)</x:f>
        <x:v>69</x:v>
      </x:c>
      <x:c r="P23" s="2"/>
      <x:c r="Q23" s="6" t="str">
        <x:v>单卡权重 GiB</x:v>
      </x:c>
      <x:c r="R23" s="27" t="n">
        <x:f>SUM(K2:K59)</x:f>
        <x:v>33.409058444201946</x:v>
      </x:c>
      <x:c r="S23" s="5" t="str">
        <x:v>组网</x:v>
      </x:c>
      <x:c r="T23" s="5" t="str">
        <x:v>值</x:v>
      </x:c>
      <x:c r="U23" s="2"/>
      <x:c r="V23" s="2"/>
      <x:c r="W23" s="2"/>
      <x:c r="X23" s="2"/>
      <x:c r="Y23" s="2"/>
      <x:c r="Z23" s="2"/>
      <x:c r="AA23" s="38" t="n">
        <x:f>IF($R$30=1,SUM(AB23:AD23)*(69)/1073741824,NA())</x:f>
        <x:v>0.117919921875</x:v>
      </x:c>
      <x:c r="AB23" s="39" t="n">
        <x:f>(128/M23)*ROUNDUP((7168)*VLOOKUP(D23,$Q$32:$R$38,2,FALSE),0)</x:f>
        <x:v>1835008</x:v>
      </x:c>
      <x:c r="AC23" s="39" t="n">
        <x:f>IF(OR(D23="MXFP4",D23="MXFP8"),(128/M23)*ROUNDUP((7168)/32,0),0)</x:f>
        <x:v>0</x:v>
      </x:c>
      <x:c r="AD23" s="39" t="n">
        <x:f>IF(D23="INT8",(128/M23)*8,IF(D23="INT4",(128/M23)*16,0))</x:f>
        <x:v>0</x:v>
      </x:c>
      <x:c r="AE23" s="39" t="n">
        <x:f>(128)*ROUNDUP((7168)*VLOOKUP(D23,$Q$32:$R$38,2,FALSE),0)</x:f>
        <x:v>1835008</x:v>
      </x:c>
      <x:c r="AF23" s="39" t="n">
        <x:f>IF(OR(D23="MXFP4",D23="MXFP8"),(128)*ROUNDUP((7168)/32,0),0)</x:f>
        <x:v>0</x:v>
      </x:c>
      <x:c r="AG23" s="39" t="n">
        <x:f>IF(D23="INT8",(128)*8,IF(D23="INT4",(128)*16,0))</x:f>
        <x:v>0</x:v>
      </x:c>
    </x:row>
    <x:row r="24" ht="18" customHeight="1">
      <x:c r="A24" s="7" t="str">
        <x:v>KDA</x:v>
      </x:c>
      <x:c r="B24" s="7" t="str">
        <x:v>f_b_proj</x:v>
      </x:c>
      <x:c r="C24" s="7" t="str">
        <x:v>[12288,128]</x:v>
      </x:c>
      <x:c r="D24" s="10" t="str">
        <x:v>BF16</x:v>
      </x:c>
      <x:c r="E24" s="34" t="n">
        <x:v>69</x:v>
      </x:c>
      <x:c r="F24" s="34" t="n">
        <x:f>(12288)*(128)</x:f>
        <x:v>1572864</x:v>
      </x:c>
      <x:c r="G24" s="7" t="str">
        <x:v>KDA TP</x:v>
      </x:c>
      <x:c r="H24" s="7" t="str">
        <x:v>None</x:v>
      </x:c>
      <x:c r="I24" s="7" t="str">
        <x:v>否</x:v>
      </x:c>
      <x:c r="J24" s="44" t="n">
        <x:f>E24*SUM(AE24:AG24)/1073741824</x:f>
        <x:v>0.2021484375</x:v>
      </x:c>
      <x:c r="K24" s="44" t="n">
        <x:f>AA24</x:f>
        <x:v>0.01263427734375</x:v>
      </x:c>
      <x:c r="L24" s="7" t="str">
        <x:f>IF(OR(D24="MXFP4",D24="MXFP8"),"group 32 / E8M0",IF(D24="INT8","channel / 8 B",IF(D24="INT4","channel / 16 B","")))</x:f>
      </x:c>
      <x:c r="M24" s="45" t="n">
        <x:f>$R$2</x:f>
        <x:v>16</x:v>
      </x:c>
      <x:c r="N24" s="7" t="str">
        <x:f>"["&amp;(12288/M24)&amp;","&amp;(128)&amp;"]"</x:f>
        <x:v>[768,128]</x:v>
      </x:c>
      <x:c r="O24" s="34" t="n">
        <x:f>CHOOSE($R$22+1,69)</x:f>
        <x:v>69</x:v>
      </x:c>
      <x:c r="P24" s="2"/>
      <x:c r="Q24" s="7" t="str">
        <x:v>权重 + cache GiB</x:v>
      </x:c>
      <x:c r="R24" s="28" t="n">
        <x:f>R23+R27</x:f>
        <x:v>36.81021534651518</x:v>
      </x:c>
      <x:c r="S24" s="6" t="str">
        <x:v>DP</x:v>
      </x:c>
      <x:c r="T24" s="6" t="n">
        <x:f>R9/R2</x:f>
        <x:v>8</x:v>
      </x:c>
      <x:c r="U24" s="2"/>
      <x:c r="V24" s="2"/>
      <x:c r="W24" s="2"/>
      <x:c r="X24" s="2"/>
      <x:c r="Y24" s="2"/>
      <x:c r="Z24" s="2"/>
      <x:c r="AA24" s="38" t="n">
        <x:f>IF($R$30=1,SUM(AB24:AD24)*(69)/1073741824,NA())</x:f>
        <x:v>0.01263427734375</x:v>
      </x:c>
      <x:c r="AB24" s="39" t="n">
        <x:f>(12288/M24)*ROUNDUP((128)*VLOOKUP(D24,$Q$32:$R$38,2,FALSE),0)</x:f>
        <x:v>196608</x:v>
      </x:c>
      <x:c r="AC24" s="39" t="n">
        <x:f>IF(OR(D24="MXFP4",D24="MXFP8"),(12288/M24)*ROUNDUP((128)/32,0),0)</x:f>
        <x:v>0</x:v>
      </x:c>
      <x:c r="AD24" s="39" t="n">
        <x:f>IF(D24="INT8",(12288/M24)*8,IF(D24="INT4",(12288/M24)*16,0))</x:f>
        <x:v>0</x:v>
      </x:c>
      <x:c r="AE24" s="39" t="n">
        <x:f>(12288)*ROUNDUP((128)*VLOOKUP(D24,$Q$32:$R$38,2,FALSE),0)</x:f>
        <x:v>3145728</x:v>
      </x:c>
      <x:c r="AF24" s="39" t="n">
        <x:f>IF(OR(D24="MXFP4",D24="MXFP8"),(12288)*ROUNDUP((128)/32,0),0)</x:f>
        <x:v>0</x:v>
      </x:c>
      <x:c r="AG24" s="39" t="n">
        <x:f>IF(D24="INT8",(12288)*8,IF(D24="INT4",(12288)*16,0))</x:f>
        <x:v>0</x:v>
      </x:c>
    </x:row>
    <x:row r="25" ht="18" customHeight="1">
      <x:c r="A25" s="7" t="str">
        <x:v>KDA</x:v>
      </x:c>
      <x:c r="B25" s="7" t="str">
        <x:v>dt_bias</x:v>
      </x:c>
      <x:c r="C25" s="7" t="str">
        <x:v>[12288]</x:v>
      </x:c>
      <x:c r="D25" s="10" t="str">
        <x:v>FP32</x:v>
      </x:c>
      <x:c r="E25" s="34" t="n">
        <x:v>69</x:v>
      </x:c>
      <x:c r="F25" s="34" t="n">
        <x:f>(12288)</x:f>
        <x:v>12288</x:v>
      </x:c>
      <x:c r="G25" s="7" t="str">
        <x:v>KDA TP</x:v>
      </x:c>
      <x:c r="H25" s="7" t="str">
        <x:v>None</x:v>
      </x:c>
      <x:c r="I25" s="7" t="str">
        <x:v>否</x:v>
      </x:c>
      <x:c r="J25" s="44" t="n">
        <x:f>E25*SUM(AE25:AG25)/1073741824</x:f>
        <x:v>0.0031585693359375</x:v>
      </x:c>
      <x:c r="K25" s="44" t="n">
        <x:f>AA25</x:f>
        <x:v>0.00019741058349609375</x:v>
      </x:c>
      <x:c r="L25" s="7" t="str">
        <x:f>IF(OR(D25="MXFP4",D25="MXFP8"),"group 32 / E8M0",IF(D25="INT8","channel / 8 B",IF(D25="INT4","channel / 16 B","")))</x:f>
      </x:c>
      <x:c r="M25" s="45" t="n">
        <x:f>$R$2</x:f>
        <x:v>16</x:v>
      </x:c>
      <x:c r="N25" s="7" t="str">
        <x:f>"["&amp;(12288/M25)&amp;"]"</x:f>
        <x:v>[768]</x:v>
      </x:c>
      <x:c r="O25" s="34" t="n">
        <x:f>CHOOSE($R$22+1,69)</x:f>
        <x:v>69</x:v>
      </x:c>
      <x:c r="P25" s="2"/>
      <x:c r="Q25" s="7" t="str">
        <x:v>o_proj buffer GiB</x:v>
      </x:c>
      <x:c r="R25" s="28" t="n">
        <x:f>SUM(R57:R58)</x:f>
        <x:v>0</x:v>
      </x:c>
      <x:c r="S25" s="7" t="str">
        <x:v>PP</x:v>
      </x:c>
      <x:c r="T25" s="7" t="n">
        <x:v>1</x:v>
      </x:c>
      <x:c r="U25" s="2"/>
      <x:c r="V25" s="2"/>
      <x:c r="W25" s="2"/>
      <x:c r="X25" s="2"/>
      <x:c r="Y25" s="2"/>
      <x:c r="Z25" s="2"/>
      <x:c r="AA25" s="38" t="n">
        <x:f>IF($R$30=1,SUM(AB25:AD25)*(69)/1073741824,NA())</x:f>
        <x:v>0.00019741058349609375</x:v>
      </x:c>
      <x:c r="AB25" s="39" t="n">
        <x:f>1*ROUNDUP((12288/M25)*VLOOKUP(D25,$Q$32:$R$38,2,FALSE),0)</x:f>
        <x:v>3072</x:v>
      </x:c>
      <x:c r="AC25" s="39" t="n">
        <x:f>IF(OR(D25="MXFP4",D25="MXFP8"),1*ROUNDUP((12288/M25)/32,0),0)</x:f>
        <x:v>0</x:v>
      </x:c>
      <x:c r="AD25" s="39" t="n">
        <x:f>IF(D25="INT8",(12288/M25)*8,IF(D25="INT4",(12288/M25)*16,0))</x:f>
        <x:v>0</x:v>
      </x:c>
      <x:c r="AE25" s="39" t="n">
        <x:f>1*ROUNDUP((12288)*VLOOKUP(D25,$Q$32:$R$38,2,FALSE),0)</x:f>
        <x:v>49152</x:v>
      </x:c>
      <x:c r="AF25" s="39" t="n">
        <x:f>IF(OR(D25="MXFP4",D25="MXFP8"),1*ROUNDUP((12288)/32,0),0)</x:f>
        <x:v>0</x:v>
      </x:c>
      <x:c r="AG25" s="39" t="n">
        <x:f>IF(D25="INT8",(12288)*8,IF(D25="INT4",(12288)*16,0))</x:f>
        <x:v>0</x:v>
      </x:c>
    </x:row>
    <x:row r="26" ht="18" customHeight="1">
      <x:c r="A26" s="7" t="str">
        <x:v>KDA</x:v>
      </x:c>
      <x:c r="B26" s="7" t="str">
        <x:v>b_proj</x:v>
      </x:c>
      <x:c r="C26" s="7" t="str">
        <x:v>[96,7168]</x:v>
      </x:c>
      <x:c r="D26" s="10" t="str">
        <x:v>BF16</x:v>
      </x:c>
      <x:c r="E26" s="34" t="n">
        <x:v>69</x:v>
      </x:c>
      <x:c r="F26" s="34" t="n">
        <x:f>(96)*(7168)</x:f>
        <x:v>688128</x:v>
      </x:c>
      <x:c r="G26" s="7" t="str">
        <x:v>KDA TP</x:v>
      </x:c>
      <x:c r="H26" s="7" t="str">
        <x:v>None</x:v>
      </x:c>
      <x:c r="I26" s="7" t="str">
        <x:v>否</x:v>
      </x:c>
      <x:c r="J26" s="44" t="n">
        <x:f>E26*SUM(AE26:AG26)/1073741824</x:f>
        <x:v>0.08843994140625</x:v>
      </x:c>
      <x:c r="K26" s="44" t="n">
        <x:f>AA26</x:f>
        <x:v>0.005527496337890625</x:v>
      </x:c>
      <x:c r="L26" s="7" t="str">
        <x:f>IF(OR(D26="MXFP4",D26="MXFP8"),"group 32 / E8M0",IF(D26="INT8","channel / 8 B",IF(D26="INT4","channel / 16 B","")))</x:f>
      </x:c>
      <x:c r="M26" s="45" t="n">
        <x:f>$R$2</x:f>
        <x:v>16</x:v>
      </x:c>
      <x:c r="N26" s="7" t="str">
        <x:f>"["&amp;(96/M26)&amp;","&amp;(7168)&amp;"]"</x:f>
        <x:v>[6,7168]</x:v>
      </x:c>
      <x:c r="O26" s="34" t="n">
        <x:f>CHOOSE($R$22+1,69)</x:f>
        <x:v>69</x:v>
      </x:c>
      <x:c r="P26" s="2"/>
      <x:c r="Q26" s="7" t="str">
        <x:v>总参数量 T</x:v>
      </x:c>
      <x:c r="R26" s="28" t="n">
        <x:f>SUMPRODUCT(E2:E59,F2:F59)/1000000000000</x:f>
        <x:v>2.779931834976</x:v>
      </x:c>
      <x:c r="S26" s="7" t="str">
        <x:v>EP / stage</x:v>
      </x:c>
      <x:c r="T26" s="7" t="n">
        <x:f>R9</x:f>
        <x:v>128</x:v>
      </x:c>
      <x:c r="U26" s="2"/>
      <x:c r="V26" s="2"/>
      <x:c r="W26" s="2"/>
      <x:c r="X26" s="2"/>
      <x:c r="Y26" s="2"/>
      <x:c r="Z26" s="2"/>
      <x:c r="AA26" s="38" t="n">
        <x:f>IF($R$30=1,SUM(AB26:AD26)*(69)/1073741824,NA())</x:f>
        <x:v>0.005527496337890625</x:v>
      </x:c>
      <x:c r="AB26" s="39" t="n">
        <x:f>(96/M26)*ROUNDUP((7168)*VLOOKUP(D26,$Q$32:$R$38,2,FALSE),0)</x:f>
        <x:v>86016</x:v>
      </x:c>
      <x:c r="AC26" s="39" t="n">
        <x:f>IF(OR(D26="MXFP4",D26="MXFP8"),(96/M26)*ROUNDUP((7168)/32,0),0)</x:f>
        <x:v>0</x:v>
      </x:c>
      <x:c r="AD26" s="39" t="n">
        <x:f>IF(D26="INT8",(96/M26)*8,IF(D26="INT4",(96/M26)*16,0))</x:f>
        <x:v>0</x:v>
      </x:c>
      <x:c r="AE26" s="39" t="n">
        <x:f>(96)*ROUNDUP((7168)*VLOOKUP(D26,$Q$32:$R$38,2,FALSE),0)</x:f>
        <x:v>1376256</x:v>
      </x:c>
      <x:c r="AF26" s="39" t="n">
        <x:f>IF(OR(D26="MXFP4",D26="MXFP8"),(96)*ROUNDUP((7168)/32,0),0)</x:f>
        <x:v>0</x:v>
      </x:c>
      <x:c r="AG26" s="39" t="n">
        <x:f>IF(D26="INT8",(96)*8,IF(D26="INT4",(96)*16,0))</x:f>
        <x:v>0</x:v>
      </x:c>
    </x:row>
    <x:row r="27" ht="18" customHeight="1">
      <x:c r="A27" s="7" t="str">
        <x:v>KDA</x:v>
      </x:c>
      <x:c r="B27" s="7" t="str">
        <x:v>g_proj</x:v>
      </x:c>
      <x:c r="C27" s="7" t="str">
        <x:v>[12288,7168]</x:v>
      </x:c>
      <x:c r="D27" s="10" t="str">
        <x:v>BF16</x:v>
      </x:c>
      <x:c r="E27" s="34" t="n">
        <x:v>69</x:v>
      </x:c>
      <x:c r="F27" s="34" t="n">
        <x:f>(12288)*(7168)</x:f>
        <x:v>88080384</x:v>
      </x:c>
      <x:c r="G27" s="7" t="str">
        <x:v>KDA TP</x:v>
      </x:c>
      <x:c r="H27" s="7" t="str">
        <x:v>None</x:v>
      </x:c>
      <x:c r="I27" s="7" t="str">
        <x:v>否</x:v>
      </x:c>
      <x:c r="J27" s="44" t="n">
        <x:f>E27*SUM(AE27:AG27)/1073741824</x:f>
        <x:v>11.3203125</x:v>
      </x:c>
      <x:c r="K27" s="44" t="n">
        <x:f>AA27</x:f>
        <x:v>0.70751953125</x:v>
      </x:c>
      <x:c r="L27" s="7" t="str">
        <x:f>IF(OR(D27="MXFP4",D27="MXFP8"),"group 32 / E8M0",IF(D27="INT8","channel / 8 B",IF(D27="INT4","channel / 16 B","")))</x:f>
      </x:c>
      <x:c r="M27" s="45" t="n">
        <x:f>$R$2</x:f>
        <x:v>16</x:v>
      </x:c>
      <x:c r="N27" s="7" t="str">
        <x:f>"["&amp;(12288/M27)&amp;","&amp;(7168)&amp;"]"</x:f>
        <x:v>[768,7168]</x:v>
      </x:c>
      <x:c r="O27" s="34" t="n">
        <x:f>CHOOSE($R$22+1,69)</x:f>
        <x:v>69</x:v>
      </x:c>
      <x:c r="P27" s="2"/>
      <x:c r="Q27" s="7" t="str">
        <x:v>单请求 cache GiB</x:v>
      </x:c>
      <x:c r="R27" s="28" t="n">
        <x:f>X63</x:f>
        <x:v>3.4011569023132324</x:v>
      </x:c>
      <x:c r="S27" s="7" t="str">
        <x:v>总设备数</x:v>
      </x:c>
      <x:c r="T27" s="7" t="n">
        <x:f>R9*T25</x:f>
        <x:v>128</x:v>
      </x:c>
      <x:c r="U27" s="2"/>
      <x:c r="V27" s="2"/>
      <x:c r="W27" s="2"/>
      <x:c r="X27" s="2"/>
      <x:c r="Y27" s="2"/>
      <x:c r="Z27" s="2"/>
      <x:c r="AA27" s="38" t="n">
        <x:f>IF($R$30=1,SUM(AB27:AD27)*(69)/1073741824,NA())</x:f>
        <x:v>0.70751953125</x:v>
      </x:c>
      <x:c r="AB27" s="39" t="n">
        <x:f>(12288/M27)*ROUNDUP((7168)*VLOOKUP(D27,$Q$32:$R$38,2,FALSE),0)</x:f>
        <x:v>11010048</x:v>
      </x:c>
      <x:c r="AC27" s="39" t="n">
        <x:f>IF(OR(D27="MXFP4",D27="MXFP8"),(12288/M27)*ROUNDUP((7168)/32,0),0)</x:f>
        <x:v>0</x:v>
      </x:c>
      <x:c r="AD27" s="39" t="n">
        <x:f>IF(D27="INT8",(12288/M27)*8,IF(D27="INT4",(12288/M27)*16,0))</x:f>
        <x:v>0</x:v>
      </x:c>
      <x:c r="AE27" s="39" t="n">
        <x:f>(12288)*ROUNDUP((7168)*VLOOKUP(D27,$Q$32:$R$38,2,FALSE),0)</x:f>
        <x:v>176160768</x:v>
      </x:c>
      <x:c r="AF27" s="39" t="n">
        <x:f>IF(OR(D27="MXFP4",D27="MXFP8"),(12288)*ROUNDUP((7168)/32,0),0)</x:f>
        <x:v>0</x:v>
      </x:c>
      <x:c r="AG27" s="39" t="n">
        <x:f>IF(D27="INT8",(12288)*8,IF(D27="INT4",(12288)*16,0))</x:f>
        <x:v>0</x:v>
      </x:c>
    </x:row>
    <x:row r="28" ht="18" customHeight="1">
      <x:c r="A28" s="7" t="str">
        <x:v>KDA</x:v>
      </x:c>
      <x:c r="B28" s="7" t="str">
        <x:v>o_norm.weight</x:v>
      </x:c>
      <x:c r="C28" s="7" t="str">
        <x:v>[128]</x:v>
      </x:c>
      <x:c r="D28" s="10" t="str">
        <x:v>BF16</x:v>
      </x:c>
      <x:c r="E28" s="34" t="n">
        <x:v>69</x:v>
      </x:c>
      <x:c r="F28" s="34" t="n">
        <x:f>(128)</x:f>
        <x:v>128</x:v>
      </x:c>
      <x:c r="G28" s="7" t="str">
        <x:v>Replicated</x:v>
      </x:c>
      <x:c r="H28" s="7" t="str">
        <x:v>None</x:v>
      </x:c>
      <x:c r="I28" s="7" t="str">
        <x:v>否</x:v>
      </x:c>
      <x:c r="J28" s="44" t="n">
        <x:f>E28*SUM(AE28:AG28)/1073741824</x:f>
        <x:v>0.000016450881958007812</x:v>
      </x:c>
      <x:c r="K28" s="44" t="n">
        <x:f>AA28</x:f>
        <x:v>0.000016450881958007812</x:v>
      </x:c>
      <x:c r="L28" s="7" t="str">
        <x:f>IF(OR(D28="MXFP4",D28="MXFP8"),"group 32 / E8M0",IF(D28="INT8","channel / 8 B",IF(D28="INT4","channel / 16 B","")))</x:f>
      </x:c>
      <x:c r="M28" s="45" t="n">
        <x:f>1</x:f>
        <x:v>1</x:v>
      </x:c>
      <x:c r="N28" s="7" t="str">
        <x:f>"["&amp;(128/M28)&amp;"]"</x:f>
        <x:v>[128]</x:v>
      </x:c>
      <x:c r="O28" s="34" t="n">
        <x:f>CHOOSE($R$22+1,69)</x:f>
        <x:v>69</x:v>
      </x:c>
      <x:c r="P28" s="2"/>
      <x:c r="Q28" s="7" t="str">
        <x:v>权重 + cache + buffer GiB</x:v>
      </x:c>
      <x:c r="R28" s="28" t="n">
        <x:f>R23+R27+R25</x:f>
        <x:v>36.81021534651518</x:v>
      </x:c>
      <x:c r="S28" s="8" t="str">
        <x:v>DCP</x:v>
      </x:c>
      <x:c r="T28" s="8" t="n">
        <x:f>R12</x:f>
        <x:v>1</x:v>
      </x:c>
      <x:c r="U28" s="2"/>
      <x:c r="V28" s="2"/>
      <x:c r="W28" s="2"/>
      <x:c r="X28" s="2"/>
      <x:c r="Y28" s="2"/>
      <x:c r="Z28" s="2"/>
      <x:c r="AA28" s="38" t="n">
        <x:f>IF($R$30=1,SUM(AB28:AD28)*(69)/1073741824,NA())</x:f>
        <x:v>0.000016450881958007812</x:v>
      </x:c>
      <x:c r="AB28" s="39" t="n">
        <x:f>1*ROUNDUP((128/M28)*VLOOKUP(D28,$Q$32:$R$38,2,FALSE),0)</x:f>
        <x:v>256</x:v>
      </x:c>
      <x:c r="AC28" s="39" t="n">
        <x:f>IF(OR(D28="MXFP4",D28="MXFP8"),1*ROUNDUP((128/M28)/32,0),0)</x:f>
        <x:v>0</x:v>
      </x:c>
      <x:c r="AD28" s="39" t="n">
        <x:f>IF(D28="INT8",(128/M28)*8,IF(D28="INT4",(128/M28)*16,0))</x:f>
        <x:v>0</x:v>
      </x:c>
      <x:c r="AE28" s="39" t="n">
        <x:f>1*ROUNDUP((128)*VLOOKUP(D28,$Q$32:$R$38,2,FALSE),0)</x:f>
        <x:v>256</x:v>
      </x:c>
      <x:c r="AF28" s="39" t="n">
        <x:f>IF(OR(D28="MXFP4",D28="MXFP8"),1*ROUNDUP((128)/32,0),0)</x:f>
        <x:v>0</x:v>
      </x:c>
      <x:c r="AG28" s="39" t="n">
        <x:f>IF(D28="INT8",(128)*8,IF(D28="INT4",(128)*16,0))</x:f>
        <x:v>0</x:v>
      </x:c>
    </x:row>
    <x:row r="29" ht="18" customHeight="1">
      <x:c r="A29" s="7" t="str">
        <x:v>KDA</x:v>
      </x:c>
      <x:c r="B29" s="7" t="str">
        <x:v>o_proj</x:v>
      </x:c>
      <x:c r="C29" s="7" t="str">
        <x:v>[7168,12288]</x:v>
      </x:c>
      <x:c r="D29" s="10" t="str">
        <x:v>BF16</x:v>
      </x:c>
      <x:c r="E29" s="34" t="n">
        <x:v>69</x:v>
      </x:c>
      <x:c r="F29" s="34" t="n">
        <x:f>(7168)*(12288)</x:f>
        <x:v>88080384</x:v>
      </x:c>
      <x:c r="G29" s="7" t="str">
        <x:v>KDA O TP</x:v>
      </x:c>
      <x:c r="H29" s="7" t="str">
        <x:v>None</x:v>
      </x:c>
      <x:c r="I29" s="7" t="str">
        <x:v>否</x:v>
      </x:c>
      <x:c r="J29" s="44" t="n">
        <x:f>E29*SUM(AE29:AG29)/1073741824</x:f>
        <x:v>11.3203125</x:v>
      </x:c>
      <x:c r="K29" s="44" t="n">
        <x:f>AA29</x:f>
        <x:v>0.70751953125</x:v>
      </x:c>
      <x:c r="L29" s="7" t="str">
        <x:f>IF(OR(D29="MXFP4",D29="MXFP8"),"group 32 / E8M0",IF(D29="INT8","channel / 8 B",IF(D29="INT4","channel / 16 B","")))</x:f>
      </x:c>
      <x:c r="M29" s="45" t="n">
        <x:f>$R$3</x:f>
        <x:v>16</x:v>
      </x:c>
      <x:c r="N29" s="7" t="str">
        <x:f>"["&amp;(7168)&amp;","&amp;(12288/M29)&amp;"]"</x:f>
        <x:v>[7168,768]</x:v>
      </x:c>
      <x:c r="O29" s="34" t="n">
        <x:f>CHOOSE($R$22+1,69)</x:f>
        <x:v>69</x:v>
      </x:c>
      <x:c r="P29" s="2"/>
      <x:c r="Q29" s="8" t="str">
        <x:v>本页 token 数</x:v>
      </x:c>
      <x:c r="R29" s="8" t="n">
        <x:f>R18</x:f>
        <x:v>131072</x:v>
      </x:c>
      <x:c r="S29" s="2"/>
      <x:c r="T29" s="2"/>
      <x:c r="U29" s="2"/>
      <x:c r="V29" s="2"/>
      <x:c r="W29" s="2"/>
      <x:c r="X29" s="2"/>
      <x:c r="Y29" s="2"/>
      <x:c r="Z29" s="2"/>
      <x:c r="AA29" s="38" t="n">
        <x:f>IF($R$30=1,SUM(AB29:AD29)*(69)/1073741824,NA())</x:f>
        <x:v>0.70751953125</x:v>
      </x:c>
      <x:c r="AB29" s="39" t="n">
        <x:f>(7168)*ROUNDUP((12288/M29)*VLOOKUP(D29,$Q$32:$R$38,2,FALSE),0)</x:f>
        <x:v>11010048</x:v>
      </x:c>
      <x:c r="AC29" s="39" t="n">
        <x:f>IF(OR(D29="MXFP4",D29="MXFP8"),(7168)*ROUNDUP((12288/M29)/32,0),0)</x:f>
        <x:v>0</x:v>
      </x:c>
      <x:c r="AD29" s="39" t="n">
        <x:f>IF(D29="INT8",(7168)*8,IF(D29="INT4",(7168)*16,0))</x:f>
        <x:v>0</x:v>
      </x:c>
      <x:c r="AE29" s="39" t="n">
        <x:f>(7168)*ROUNDUP((12288)*VLOOKUP(D29,$Q$32:$R$38,2,FALSE),0)</x:f>
        <x:v>176160768</x:v>
      </x:c>
      <x:c r="AF29" s="39" t="n">
        <x:f>IF(OR(D29="MXFP4",D29="MXFP8"),(7168)*ROUNDUP((12288)/32,0),0)</x:f>
        <x:v>0</x:v>
      </x:c>
      <x:c r="AG29" s="39" t="n">
        <x:f>IF(D29="INT8",(7168)*8,IF(D29="INT4",(7168)*16,0))</x:f>
        <x:v>0</x:v>
      </x:c>
    </x:row>
    <x:row r="30" ht="18" customHeight="1">
      <x:c r="A30" s="48" t="str">
        <x:v>Gated MLA</x:v>
      </x:c>
      <x:c r="B30" s="48" t="str">
        <x:v>q_a_proj</x:v>
      </x:c>
      <x:c r="C30" s="48" t="str">
        <x:v>[1536,7168]</x:v>
      </x:c>
      <x:c r="D30" s="49" t="str">
        <x:v>BF16</x:v>
      </x:c>
      <x:c r="E30" s="50" t="n">
        <x:v>24</x:v>
      </x:c>
      <x:c r="F30" s="50" t="n">
        <x:f>(1536)*(7168)</x:f>
        <x:v>11010048</x:v>
      </x:c>
      <x:c r="G30" s="48" t="str">
        <x:v>Replicated</x:v>
      </x:c>
      <x:c r="H30" s="48" t="str">
        <x:v>None</x:v>
      </x:c>
      <x:c r="I30" s="48" t="str">
        <x:v>否</x:v>
      </x:c>
      <x:c r="J30" s="51" t="n">
        <x:f>E30*SUM(AE30:AG30)/1073741824</x:f>
        <x:v>0.4921875</x:v>
      </x:c>
      <x:c r="K30" s="51" t="n">
        <x:f>AA30</x:f>
        <x:v>0.4921875</x:v>
      </x:c>
      <x:c r="L30" s="48" t="str">
        <x:f>IF(OR(D30="MXFP4",D30="MXFP8"),"group 32 / E8M0",IF(D30="INT8","channel / 8 B",IF(D30="INT4","channel / 16 B","")))</x:f>
      </x:c>
      <x:c r="M30" s="52" t="n">
        <x:f>1</x:f>
        <x:v>1</x:v>
      </x:c>
      <x:c r="N30" s="48" t="str">
        <x:f>"["&amp;(1536/M30)&amp;","&amp;(7168)&amp;"]"</x:f>
        <x:v>[1536,7168]</x:v>
      </x:c>
      <x:c r="O30" s="50" t="n">
        <x:f>CHOOSE($R$22+1,24)</x:f>
        <x:v>24</x:v>
      </x:c>
      <x:c r="P30" s="2"/>
      <x:c r="Q30" s="2" t="str">
        <x:v>参数校验（1=有效）</x:v>
      </x:c>
      <x:c r="R30" s="2" t="n">
        <x:f>IF(AND(AND(R2&gt;=1,R9&gt;=1,R12&gt;=1,R19&gt;=1,R18&gt;=1,R18&lt;=1048576,MOD(R9,R2)=0,MOD(T4,R2)=0,MOD(R2,R12)=0,R22&gt;=0,R22&lt;1,MOD(R22,1)=0,R20&gt;=0,MOD(R20,1)=0,R11=1,AND(R11=1,R13="BF16",R14="BF16"),R2&gt;=1,MOD(R2,1)=0,R3&gt;=1,MOD(R3,1)=0,R4&gt;=1,MOD(R4,1)=0,R5&gt;=1,MOD(R5,1)=0,R6&gt;=1,MOD(R6,1)=0,R7&gt;=1,MOD(R7,1)=0,R8&gt;=1,MOD(R8,1)=0,R9&gt;=1,MOD(R9,1)=0,R10&gt;=1,MOD(R10,1)=0,R11&gt;=1,MOD(R11,1)=0,R12&gt;=1,MOD(R12,1)=0,R16&gt;=1,MOD(R16,1)=0,R17&gt;=1,MOD(R17,1)=0,R18&gt;=1,MOD(R18,1)=0,R19&gt;=1,MOD(R19,1)=0,MOD(163840,R7)=0,MOD(163840,R6)=0,MOD(33792,R8)=0,MOD(12288,R2)=0,MOD(96,R2)=0,MOD(12288,R3)=0,MOD(18432,R4)=0,MOD(24576,R4)=0,MOD(12288,R4)=0,MOD(12288,R5)=0,MOD(6144,R10)=0)),1,0)</x:f>
        <x:v>1</x:v>
      </x:c>
      <x:c r="S30" s="2" t="str">
        <x:v>量化方案</x:v>
      </x:c>
      <x:c r="T30" s="2" t="str">
        <x:v>checkpoint</x:v>
      </x:c>
      <x:c r="U30" s="2"/>
      <x:c r="V30" s="2"/>
      <x:c r="W30" s="2"/>
      <x:c r="X30" s="2"/>
      <x:c r="Y30" s="2"/>
      <x:c r="Z30" s="2"/>
      <x:c r="AA30" s="38" t="n">
        <x:f>IF($R$30=1,SUM(AB30:AD30)*(24)/1073741824,NA())</x:f>
        <x:v>0.4921875</x:v>
      </x:c>
      <x:c r="AB30" s="39" t="n">
        <x:f>(1536/M30)*ROUNDUP((7168)*VLOOKUP(D30,$Q$32:$R$38,2,FALSE),0)</x:f>
        <x:v>22020096</x:v>
      </x:c>
      <x:c r="AC30" s="39" t="n">
        <x:f>IF(OR(D30="MXFP4",D30="MXFP8"),(1536/M30)*ROUNDUP((7168)/32,0),0)</x:f>
        <x:v>0</x:v>
      </x:c>
      <x:c r="AD30" s="39" t="n">
        <x:f>IF(D30="INT8",(1536/M30)*8,IF(D30="INT4",(1536/M30)*16,0))</x:f>
        <x:v>0</x:v>
      </x:c>
      <x:c r="AE30" s="39" t="n">
        <x:f>(1536)*ROUNDUP((7168)*VLOOKUP(D30,$Q$32:$R$38,2,FALSE),0)</x:f>
        <x:v>22020096</x:v>
      </x:c>
      <x:c r="AF30" s="39" t="n">
        <x:f>IF(OR(D30="MXFP4",D30="MXFP8"),(1536)*ROUNDUP((7168)/32,0),0)</x:f>
        <x:v>0</x:v>
      </x:c>
      <x:c r="AG30" s="39" t="n">
        <x:f>IF(D30="INT8",(1536)*8,IF(D30="INT4",(1536)*16,0))</x:f>
        <x:v>0</x:v>
      </x:c>
    </x:row>
    <x:row r="31" ht="18" customHeight="1">
      <x:c r="A31" s="7" t="str">
        <x:v>Gated MLA</x:v>
      </x:c>
      <x:c r="B31" s="7" t="str">
        <x:v>q_a_layernorm.weight</x:v>
      </x:c>
      <x:c r="C31" s="7" t="str">
        <x:v>[1536]</x:v>
      </x:c>
      <x:c r="D31" s="10" t="str">
        <x:v>BF16</x:v>
      </x:c>
      <x:c r="E31" s="34" t="n">
        <x:v>24</x:v>
      </x:c>
      <x:c r="F31" s="34" t="n">
        <x:f>(1536)</x:f>
        <x:v>1536</x:v>
      </x:c>
      <x:c r="G31" s="7" t="str">
        <x:v>Replicated</x:v>
      </x:c>
      <x:c r="H31" s="7" t="str">
        <x:v>None</x:v>
      </x:c>
      <x:c r="I31" s="7" t="str">
        <x:v>否</x:v>
      </x:c>
      <x:c r="J31" s="44" t="n">
        <x:f>E31*SUM(AE31:AG31)/1073741824</x:f>
        <x:v>0.00006866455078125</x:v>
      </x:c>
      <x:c r="K31" s="44" t="n">
        <x:f>AA31</x:f>
        <x:v>0.00006866455078125</x:v>
      </x:c>
      <x:c r="L31" s="7" t="str">
        <x:f>IF(OR(D31="MXFP4",D31="MXFP8"),"group 32 / E8M0",IF(D31="INT8","channel / 8 B",IF(D31="INT4","channel / 16 B","")))</x:f>
      </x:c>
      <x:c r="M31" s="45" t="n">
        <x:f>1</x:f>
        <x:v>1</x:v>
      </x:c>
      <x:c r="N31" s="7" t="str">
        <x:f>"["&amp;(1536/M31)&amp;"]"</x:f>
        <x:v>[1536]</x:v>
      </x:c>
      <x:c r="O31" s="34" t="n">
        <x:f>CHOOSE($R$22+1,24)</x:f>
        <x:v>24</x:v>
      </x:c>
      <x:c r="P31" s="2"/>
      <x:c r="Q31" s="5" t="str">
        <x:v>主权重类型</x:v>
      </x:c>
      <x:c r="R31" s="5" t="str">
        <x:v>主权重 bytes/元素</x:v>
      </x:c>
      <x:c r="S31" s="5" t="str">
        <x:v>Cache 单 token</x:v>
      </x:c>
      <x:c r="T31" s="5" t="str">
        <x:v>元素 bytes</x:v>
      </x:c>
      <x:c r="U31" s="5" t="str">
        <x:v>Scale bytes</x:v>
      </x:c>
      <x:c r="V31" s="5" t="str">
        <x:v>合计 bytes</x:v>
      </x:c>
      <x:c r="W31" s="2"/>
      <x:c r="X31" s="2"/>
      <x:c r="Y31" s="2"/>
      <x:c r="Z31" s="2"/>
      <x:c r="AA31" s="38" t="n">
        <x:f>IF($R$30=1,SUM(AB31:AD31)*(24)/1073741824,NA())</x:f>
        <x:v>0.00006866455078125</x:v>
      </x:c>
      <x:c r="AB31" s="39" t="n">
        <x:f>1*ROUNDUP((1536/M31)*VLOOKUP(D31,$Q$32:$R$38,2,FALSE),0)</x:f>
        <x:v>3072</x:v>
      </x:c>
      <x:c r="AC31" s="39" t="n">
        <x:f>IF(OR(D31="MXFP4",D31="MXFP8"),1*ROUNDUP((1536/M31)/32,0),0)</x:f>
        <x:v>0</x:v>
      </x:c>
      <x:c r="AD31" s="39" t="n">
        <x:f>IF(D31="INT8",(1536/M31)*8,IF(D31="INT4",(1536/M31)*16,0))</x:f>
        <x:v>0</x:v>
      </x:c>
      <x:c r="AE31" s="39" t="n">
        <x:f>1*ROUNDUP((1536)*VLOOKUP(D31,$Q$32:$R$38,2,FALSE),0)</x:f>
        <x:v>3072</x:v>
      </x:c>
      <x:c r="AF31" s="39" t="n">
        <x:f>IF(OR(D31="MXFP4",D31="MXFP8"),1*ROUNDUP((1536)/32,0),0)</x:f>
        <x:v>0</x:v>
      </x:c>
      <x:c r="AG31" s="39" t="n">
        <x:f>IF(D31="INT8",(1536)*8,IF(D31="INT4",(1536)*16,0))</x:f>
        <x:v>0</x:v>
      </x:c>
    </x:row>
    <x:row r="32" ht="18" customHeight="1">
      <x:c r="A32" s="7" t="str">
        <x:v>Gated MLA</x:v>
      </x:c>
      <x:c r="B32" s="7" t="str">
        <x:v>q_b_proj</x:v>
      </x:c>
      <x:c r="C32" s="7" t="str">
        <x:v>[18432,1536]</x:v>
      </x:c>
      <x:c r="D32" s="10" t="str">
        <x:v>BF16</x:v>
      </x:c>
      <x:c r="E32" s="34" t="n">
        <x:v>24</x:v>
      </x:c>
      <x:c r="F32" s="34" t="n">
        <x:f>(18432)*(1536)</x:f>
        <x:v>28311552</x:v>
      </x:c>
      <x:c r="G32" s="7" t="str">
        <x:v>DSA TP</x:v>
      </x:c>
      <x:c r="H32" s="7" t="str">
        <x:v>None</x:v>
      </x:c>
      <x:c r="I32" s="7" t="str">
        <x:v>否</x:v>
      </x:c>
      <x:c r="J32" s="44" t="n">
        <x:f>E32*SUM(AE32:AG32)/1073741824</x:f>
        <x:v>1.265625</x:v>
      </x:c>
      <x:c r="K32" s="44" t="n">
        <x:f>AA32</x:f>
        <x:v>1.265625</x:v>
      </x:c>
      <x:c r="L32" s="7" t="str">
        <x:f>IF(OR(D32="MXFP4",D32="MXFP8"),"group 32 / E8M0",IF(D32="INT8","channel / 8 B",IF(D32="INT4","channel / 16 B","")))</x:f>
      </x:c>
      <x:c r="M32" s="45" t="n">
        <x:f>$R$4</x:f>
        <x:v>1</x:v>
      </x:c>
      <x:c r="N32" s="7" t="str">
        <x:f>"["&amp;(18432/M32)&amp;","&amp;(1536)&amp;"]"</x:f>
        <x:v>[18432,1536]</x:v>
      </x:c>
      <x:c r="O32" s="34" t="n">
        <x:f>CHOOSE($R$22+1,24)</x:f>
        <x:v>24</x:v>
      </x:c>
      <x:c r="P32" s="2"/>
      <x:c r="Q32" s="6" t="str">
        <x:v>BF16</x:v>
      </x:c>
      <x:c r="R32" s="20" t="n">
        <x:v>2</x:v>
      </x:c>
      <x:c r="S32" s="6" t="str">
        <x:v>MLA latent</x:v>
      </x:c>
      <x:c r="T32" s="6" t="n">
        <x:f>IF(R13="BF16",2,1)</x:f>
        <x:v>2</x:v>
      </x:c>
      <x:c r="U32" s="6" t="n">
        <x:f>IF(R13="BF16",0,ROUNDUP(T11/128,0)*4)</x:f>
        <x:v>0</x:v>
      </x:c>
      <x:c r="V32" s="6" t="n">
        <x:f>T11*T32+U32</x:f>
        <x:v>1024</x:v>
      </x:c>
      <x:c r="W32" s="2"/>
      <x:c r="X32" s="2"/>
      <x:c r="Y32" s="2"/>
      <x:c r="Z32" s="2"/>
      <x:c r="AA32" s="38" t="n">
        <x:f>IF($R$30=1,SUM(AB32:AD32)*(24)/1073741824,NA())</x:f>
        <x:v>1.265625</x:v>
      </x:c>
      <x:c r="AB32" s="39" t="n">
        <x:f>(18432/M32)*ROUNDUP((1536)*VLOOKUP(D32,$Q$32:$R$38,2,FALSE),0)</x:f>
        <x:v>56623104</x:v>
      </x:c>
      <x:c r="AC32" s="39" t="n">
        <x:f>IF(OR(D32="MXFP4",D32="MXFP8"),(18432/M32)*ROUNDUP((1536)/32,0),0)</x:f>
        <x:v>0</x:v>
      </x:c>
      <x:c r="AD32" s="39" t="n">
        <x:f>IF(D32="INT8",(18432/M32)*8,IF(D32="INT4",(18432/M32)*16,0))</x:f>
        <x:v>0</x:v>
      </x:c>
      <x:c r="AE32" s="39" t="n">
        <x:f>(18432)*ROUNDUP((1536)*VLOOKUP(D32,$Q$32:$R$38,2,FALSE),0)</x:f>
        <x:v>56623104</x:v>
      </x:c>
      <x:c r="AF32" s="39" t="n">
        <x:f>IF(OR(D32="MXFP4",D32="MXFP8"),(18432)*ROUNDUP((1536)/32,0),0)</x:f>
        <x:v>0</x:v>
      </x:c>
      <x:c r="AG32" s="39" t="n">
        <x:f>IF(D32="INT8",(18432)*8,IF(D32="INT4",(18432)*16,0))</x:f>
        <x:v>0</x:v>
      </x:c>
    </x:row>
    <x:row r="33" ht="18" customHeight="1">
      <x:c r="A33" s="7" t="str">
        <x:v>Gated MLA</x:v>
      </x:c>
      <x:c r="B33" s="7" t="str">
        <x:v>kv_a_proj_with_mqa</x:v>
      </x:c>
      <x:c r="C33" s="7" t="str">
        <x:v>[576,7168]</x:v>
      </x:c>
      <x:c r="D33" s="10" t="str">
        <x:v>BF16</x:v>
      </x:c>
      <x:c r="E33" s="34" t="n">
        <x:v>24</x:v>
      </x:c>
      <x:c r="F33" s="34" t="n">
        <x:f>(576)*(7168)</x:f>
        <x:v>4128768</x:v>
      </x:c>
      <x:c r="G33" s="7" t="str">
        <x:v>Replicated</x:v>
      </x:c>
      <x:c r="H33" s="7" t="str">
        <x:v>None</x:v>
      </x:c>
      <x:c r="I33" s="7" t="str">
        <x:v>否</x:v>
      </x:c>
      <x:c r="J33" s="44" t="n">
        <x:f>E33*SUM(AE33:AG33)/1073741824</x:f>
        <x:v>0.1845703125</x:v>
      </x:c>
      <x:c r="K33" s="44" t="n">
        <x:f>AA33</x:f>
        <x:v>0.1845703125</x:v>
      </x:c>
      <x:c r="L33" s="7" t="str">
        <x:f>IF(OR(D33="MXFP4",D33="MXFP8"),"group 32 / E8M0",IF(D33="INT8","channel / 8 B",IF(D33="INT4","channel / 16 B","")))</x:f>
      </x:c>
      <x:c r="M33" s="45" t="n">
        <x:f>1</x:f>
        <x:v>1</x:v>
      </x:c>
      <x:c r="N33" s="7" t="str">
        <x:f>"["&amp;(576/M33)&amp;","&amp;(7168)&amp;"]"</x:f>
        <x:v>[576,7168]</x:v>
      </x:c>
      <x:c r="O33" s="34" t="n">
        <x:f>CHOOSE($R$22+1,24)</x:f>
        <x:v>24</x:v>
      </x:c>
      <x:c r="P33" s="2"/>
      <x:c r="Q33" s="7" t="str">
        <x:v>FP32</x:v>
      </x:c>
      <x:c r="R33" s="21" t="n">
        <x:v>4</x:v>
      </x:c>
      <x:c r="S33" s="7" t="str">
        <x:v>RoPE</x:v>
      </x:c>
      <x:c r="T33" s="7" t="n">
        <x:v>2</x:v>
      </x:c>
      <x:c r="U33" s="7" t="n">
        <x:v>0</x:v>
      </x:c>
      <x:c r="V33" s="7" t="n">
        <x:f>T12*T33</x:f>
        <x:v>128</x:v>
      </x:c>
      <x:c r="W33" s="2"/>
      <x:c r="X33" s="2"/>
      <x:c r="Y33" s="2"/>
      <x:c r="Z33" s="2"/>
      <x:c r="AA33" s="38" t="n">
        <x:f>IF($R$30=1,SUM(AB33:AD33)*(24)/1073741824,NA())</x:f>
        <x:v>0.1845703125</x:v>
      </x:c>
      <x:c r="AB33" s="39" t="n">
        <x:f>(576/M33)*ROUNDUP((7168)*VLOOKUP(D33,$Q$32:$R$38,2,FALSE),0)</x:f>
        <x:v>8257536</x:v>
      </x:c>
      <x:c r="AC33" s="39" t="n">
        <x:f>IF(OR(D33="MXFP4",D33="MXFP8"),(576/M33)*ROUNDUP((7168)/32,0),0)</x:f>
        <x:v>0</x:v>
      </x:c>
      <x:c r="AD33" s="39" t="n">
        <x:f>IF(D33="INT8",(576/M33)*8,IF(D33="INT4",(576/M33)*16,0))</x:f>
        <x:v>0</x:v>
      </x:c>
      <x:c r="AE33" s="39" t="n">
        <x:f>(576)*ROUNDUP((7168)*VLOOKUP(D33,$Q$32:$R$38,2,FALSE),0)</x:f>
        <x:v>8257536</x:v>
      </x:c>
      <x:c r="AF33" s="39" t="n">
        <x:f>IF(OR(D33="MXFP4",D33="MXFP8"),(576)*ROUNDUP((7168)/32,0),0)</x:f>
        <x:v>0</x:v>
      </x:c>
      <x:c r="AG33" s="39" t="n">
        <x:f>IF(D33="INT8",(576)*8,IF(D33="INT4",(576)*16,0))</x:f>
        <x:v>0</x:v>
      </x:c>
    </x:row>
    <x:row r="34" ht="18" customHeight="1">
      <x:c r="A34" s="7" t="str">
        <x:v>Gated MLA</x:v>
      </x:c>
      <x:c r="B34" s="7" t="str">
        <x:v>kv_a_layernorm.weight</x:v>
      </x:c>
      <x:c r="C34" s="7" t="str">
        <x:v>[512]</x:v>
      </x:c>
      <x:c r="D34" s="10" t="str">
        <x:v>BF16</x:v>
      </x:c>
      <x:c r="E34" s="34" t="n">
        <x:v>24</x:v>
      </x:c>
      <x:c r="F34" s="34" t="n">
        <x:f>(512)</x:f>
        <x:v>512</x:v>
      </x:c>
      <x:c r="G34" s="7" t="str">
        <x:v>Replicated</x:v>
      </x:c>
      <x:c r="H34" s="7" t="str">
        <x:v>None</x:v>
      </x:c>
      <x:c r="I34" s="7" t="str">
        <x:v>否</x:v>
      </x:c>
      <x:c r="J34" s="44" t="n">
        <x:f>E34*SUM(AE34:AG34)/1073741824</x:f>
        <x:v>0.00002288818359375</x:v>
      </x:c>
      <x:c r="K34" s="44" t="n">
        <x:f>AA34</x:f>
        <x:v>0.00002288818359375</x:v>
      </x:c>
      <x:c r="L34" s="7" t="str">
        <x:f>IF(OR(D34="MXFP4",D34="MXFP8"),"group 32 / E8M0",IF(D34="INT8","channel / 8 B",IF(D34="INT4","channel / 16 B","")))</x:f>
      </x:c>
      <x:c r="M34" s="45" t="n">
        <x:f>1</x:f>
        <x:v>1</x:v>
      </x:c>
      <x:c r="N34" s="7" t="str">
        <x:f>"["&amp;(512/M34)&amp;"]"</x:f>
        <x:v>[512]</x:v>
      </x:c>
      <x:c r="O34" s="34" t="n">
        <x:f>CHOOSE($R$22+1,24)</x:f>
        <x:v>24</x:v>
      </x:c>
      <x:c r="P34" s="2"/>
      <x:c r="Q34" s="7" t="str">
        <x:v>FP8</x:v>
      </x:c>
      <x:c r="R34" s="21" t="n">
        <x:v>1</x:v>
      </x:c>
      <x:c r="S34" s="7" t="str">
        <x:v>MLA 合计</x:v>
      </x:c>
      <x:c r="T34" s="7"/>
      <x:c r="U34" s="7"/>
      <x:c r="V34" s="7" t="n">
        <x:f>SUM(V32:V33)</x:f>
        <x:v>1152</x:v>
      </x:c>
      <x:c r="W34" s="2"/>
      <x:c r="X34" s="2"/>
      <x:c r="Y34" s="2"/>
      <x:c r="Z34" s="2"/>
      <x:c r="AA34" s="38" t="n">
        <x:f>IF($R$30=1,SUM(AB34:AD34)*(24)/1073741824,NA())</x:f>
        <x:v>0.00002288818359375</x:v>
      </x:c>
      <x:c r="AB34" s="39" t="n">
        <x:f>1*ROUNDUP((512/M34)*VLOOKUP(D34,$Q$32:$R$38,2,FALSE),0)</x:f>
        <x:v>1024</x:v>
      </x:c>
      <x:c r="AC34" s="39" t="n">
        <x:f>IF(OR(D34="MXFP4",D34="MXFP8"),1*ROUNDUP((512/M34)/32,0),0)</x:f>
        <x:v>0</x:v>
      </x:c>
      <x:c r="AD34" s="39" t="n">
        <x:f>IF(D34="INT8",(512/M34)*8,IF(D34="INT4",(512/M34)*16,0))</x:f>
        <x:v>0</x:v>
      </x:c>
      <x:c r="AE34" s="39" t="n">
        <x:f>1*ROUNDUP((512)*VLOOKUP(D34,$Q$32:$R$38,2,FALSE),0)</x:f>
        <x:v>1024</x:v>
      </x:c>
      <x:c r="AF34" s="39" t="n">
        <x:f>IF(OR(D34="MXFP4",D34="MXFP8"),1*ROUNDUP((512)/32,0),0)</x:f>
        <x:v>0</x:v>
      </x:c>
      <x:c r="AG34" s="39" t="n">
        <x:f>IF(D34="INT8",(512)*8,IF(D34="INT4",(512)*16,0))</x:f>
        <x:v>0</x:v>
      </x:c>
    </x:row>
    <x:row r="35" ht="18" customHeight="1">
      <x:c r="A35" s="7" t="str">
        <x:v>Gated MLA</x:v>
      </x:c>
      <x:c r="B35" s="7" t="str">
        <x:v>kv_b_proj</x:v>
      </x:c>
      <x:c r="C35" s="7" t="str">
        <x:v>[24576,512]</x:v>
      </x:c>
      <x:c r="D35" s="10" t="str">
        <x:v>BF16</x:v>
      </x:c>
      <x:c r="E35" s="34" t="n">
        <x:v>24</x:v>
      </x:c>
      <x:c r="F35" s="34" t="n">
        <x:f>(24576)*(512)</x:f>
        <x:v>12582912</x:v>
      </x:c>
      <x:c r="G35" s="7" t="str">
        <x:v>DSA TP</x:v>
      </x:c>
      <x:c r="H35" s="7" t="str">
        <x:v>None</x:v>
      </x:c>
      <x:c r="I35" s="7" t="str">
        <x:v>否</x:v>
      </x:c>
      <x:c r="J35" s="44" t="n">
        <x:f>E35*SUM(AE35:AG35)/1073741824</x:f>
        <x:v>0.5625</x:v>
      </x:c>
      <x:c r="K35" s="44" t="n">
        <x:f>AA35</x:f>
        <x:v>0.5625</x:v>
      </x:c>
      <x:c r="L35" s="7" t="str">
        <x:f>IF(OR(D35="MXFP4",D35="MXFP8"),"group 32 / E8M0",IF(D35="INT8","channel / 8 B",IF(D35="INT4","channel / 16 B","")))</x:f>
      </x:c>
      <x:c r="M35" s="45" t="n">
        <x:f>$R$4</x:f>
        <x:v>1</x:v>
      </x:c>
      <x:c r="N35" s="7" t="str">
        <x:f>"["&amp;(24576/M35)&amp;","&amp;(512)&amp;"]"</x:f>
        <x:v>[24576,512]</x:v>
      </x:c>
      <x:c r="O35" s="34" t="n">
        <x:f>CHOOSE($R$22+1,24)</x:f>
        <x:v>24</x:v>
      </x:c>
      <x:c r="P35" s="2"/>
      <x:c r="Q35" s="7" t="str">
        <x:v>MXFP4</x:v>
      </x:c>
      <x:c r="R35" s="21" t="n">
        <x:v>0.5</x:v>
      </x:c>
      <x:c r="S35" s="8" t="str">
        <x:v>Indexer</x:v>
      </x:c>
      <x:c r="T35" s="8" t="n">
        <x:f>IF(R14="BF16",2,1)</x:f>
        <x:v>2</x:v>
      </x:c>
      <x:c r="U35" s="8" t="n">
        <x:f>R15</x:f>
        <x:v>0</x:v>
      </x:c>
      <x:c r="V35" s="8" t="n">
        <x:f>T13*T35+U35</x:f>
        <x:v>0</x:v>
      </x:c>
      <x:c r="W35" s="2"/>
      <x:c r="X35" s="2"/>
      <x:c r="Y35" s="2"/>
      <x:c r="Z35" s="2"/>
      <x:c r="AA35" s="38" t="n">
        <x:f>IF($R$30=1,SUM(AB35:AD35)*(24)/1073741824,NA())</x:f>
        <x:v>0.5625</x:v>
      </x:c>
      <x:c r="AB35" s="39" t="n">
        <x:f>(24576/M35)*ROUNDUP((512)*VLOOKUP(D35,$Q$32:$R$38,2,FALSE),0)</x:f>
        <x:v>25165824</x:v>
      </x:c>
      <x:c r="AC35" s="39" t="n">
        <x:f>IF(OR(D35="MXFP4",D35="MXFP8"),(24576/M35)*ROUNDUP((512)/32,0),0)</x:f>
        <x:v>0</x:v>
      </x:c>
      <x:c r="AD35" s="39" t="n">
        <x:f>IF(D35="INT8",(24576/M35)*8,IF(D35="INT4",(24576/M35)*16,0))</x:f>
        <x:v>0</x:v>
      </x:c>
      <x:c r="AE35" s="39" t="n">
        <x:f>(24576)*ROUNDUP((512)*VLOOKUP(D35,$Q$32:$R$38,2,FALSE),0)</x:f>
        <x:v>25165824</x:v>
      </x:c>
      <x:c r="AF35" s="39" t="n">
        <x:f>IF(OR(D35="MXFP4",D35="MXFP8"),(24576)*ROUNDUP((512)/32,0),0)</x:f>
        <x:v>0</x:v>
      </x:c>
      <x:c r="AG35" s="39" t="n">
        <x:f>IF(D35="INT8",(24576)*8,IF(D35="INT4",(24576)*16,0))</x:f>
        <x:v>0</x:v>
      </x:c>
    </x:row>
    <x:row r="36" ht="18" customHeight="1">
      <x:c r="A36" s="7" t="str">
        <x:v>Gated MLA</x:v>
      </x:c>
      <x:c r="B36" s="7" t="str">
        <x:v>g_proj</x:v>
      </x:c>
      <x:c r="C36" s="7" t="str">
        <x:v>[12288,7168]</x:v>
      </x:c>
      <x:c r="D36" s="10" t="str">
        <x:v>BF16</x:v>
      </x:c>
      <x:c r="E36" s="34" t="n">
        <x:v>24</x:v>
      </x:c>
      <x:c r="F36" s="34" t="n">
        <x:f>(12288)*(7168)</x:f>
        <x:v>88080384</x:v>
      </x:c>
      <x:c r="G36" s="7" t="str">
        <x:v>DSA TP</x:v>
      </x:c>
      <x:c r="H36" s="7" t="str">
        <x:v>None</x:v>
      </x:c>
      <x:c r="I36" s="7" t="str">
        <x:v>否</x:v>
      </x:c>
      <x:c r="J36" s="44" t="n">
        <x:f>E36*SUM(AE36:AG36)/1073741824</x:f>
        <x:v>3.9375</x:v>
      </x:c>
      <x:c r="K36" s="44" t="n">
        <x:f>AA36</x:f>
        <x:v>3.9375</x:v>
      </x:c>
      <x:c r="L36" s="7" t="str">
        <x:f>IF(OR(D36="MXFP4",D36="MXFP8"),"group 32 / E8M0",IF(D36="INT8","channel / 8 B",IF(D36="INT4","channel / 16 B","")))</x:f>
      </x:c>
      <x:c r="M36" s="45" t="n">
        <x:f>$R$4</x:f>
        <x:v>1</x:v>
      </x:c>
      <x:c r="N36" s="7" t="str">
        <x:f>"["&amp;(12288/M36)&amp;","&amp;(7168)&amp;"]"</x:f>
        <x:v>[12288,7168]</x:v>
      </x:c>
      <x:c r="O36" s="34" t="n">
        <x:f>CHOOSE($R$22+1,24)</x:f>
        <x:v>24</x:v>
      </x:c>
      <x:c r="P36" s="2"/>
      <x:c r="Q36" s="7" t="str">
        <x:v>MXFP8</x:v>
      </x:c>
      <x:c r="R36" s="21" t="n">
        <x:v>1</x:v>
      </x:c>
      <x:c r="S36" s="2"/>
      <x:c r="T36" s="2"/>
      <x:c r="U36" s="2"/>
      <x:c r="V36" s="2"/>
      <x:c r="W36" s="2"/>
      <x:c r="X36" s="2"/>
      <x:c r="Y36" s="2"/>
      <x:c r="Z36" s="2"/>
      <x:c r="AA36" s="38" t="n">
        <x:f>IF($R$30=1,SUM(AB36:AD36)*(24)/1073741824,NA())</x:f>
        <x:v>3.9375</x:v>
      </x:c>
      <x:c r="AB36" s="39" t="n">
        <x:f>(12288/M36)*ROUNDUP((7168)*VLOOKUP(D36,$Q$32:$R$38,2,FALSE),0)</x:f>
        <x:v>176160768</x:v>
      </x:c>
      <x:c r="AC36" s="39" t="n">
        <x:f>IF(OR(D36="MXFP4",D36="MXFP8"),(12288/M36)*ROUNDUP((7168)/32,0),0)</x:f>
        <x:v>0</x:v>
      </x:c>
      <x:c r="AD36" s="39" t="n">
        <x:f>IF(D36="INT8",(12288/M36)*8,IF(D36="INT4",(12288/M36)*16,0))</x:f>
        <x:v>0</x:v>
      </x:c>
      <x:c r="AE36" s="39" t="n">
        <x:f>(12288)*ROUNDUP((7168)*VLOOKUP(D36,$Q$32:$R$38,2,FALSE),0)</x:f>
        <x:v>176160768</x:v>
      </x:c>
      <x:c r="AF36" s="39" t="n">
        <x:f>IF(OR(D36="MXFP4",D36="MXFP8"),(12288)*ROUNDUP((7168)/32,0),0)</x:f>
        <x:v>0</x:v>
      </x:c>
      <x:c r="AG36" s="39" t="n">
        <x:f>IF(D36="INT8",(12288)*8,IF(D36="INT4",(12288)*16,0))</x:f>
        <x:v>0</x:v>
      </x:c>
    </x:row>
    <x:row r="37" ht="18" customHeight="1">
      <x:c r="A37" s="7" t="str">
        <x:v>Gated MLA</x:v>
      </x:c>
      <x:c r="B37" s="7" t="str">
        <x:v>o_proj</x:v>
      </x:c>
      <x:c r="C37" s="7" t="str">
        <x:v>[7168,12288]</x:v>
      </x:c>
      <x:c r="D37" s="10" t="str">
        <x:v>BF16</x:v>
      </x:c>
      <x:c r="E37" s="34" t="n">
        <x:v>24</x:v>
      </x:c>
      <x:c r="F37" s="34" t="n">
        <x:f>(7168)*(12288)</x:f>
        <x:v>88080384</x:v>
      </x:c>
      <x:c r="G37" s="7" t="str">
        <x:v>DSA O TP</x:v>
      </x:c>
      <x:c r="H37" s="7" t="str">
        <x:v>None</x:v>
      </x:c>
      <x:c r="I37" s="7" t="str">
        <x:v>否</x:v>
      </x:c>
      <x:c r="J37" s="44" t="n">
        <x:f>E37*SUM(AE37:AG37)/1073741824</x:f>
        <x:v>3.9375</x:v>
      </x:c>
      <x:c r="K37" s="44" t="n">
        <x:f>AA37</x:f>
        <x:v>0.24609375</x:v>
      </x:c>
      <x:c r="L37" s="7" t="str">
        <x:f>IF(OR(D37="MXFP4",D37="MXFP8"),"group 32 / E8M0",IF(D37="INT8","channel / 8 B",IF(D37="INT4","channel / 16 B","")))</x:f>
      </x:c>
      <x:c r="M37" s="45" t="n">
        <x:f>$R$5</x:f>
        <x:v>16</x:v>
      </x:c>
      <x:c r="N37" s="7" t="str">
        <x:f>"["&amp;(7168)&amp;","&amp;(12288/M37)&amp;"]"</x:f>
        <x:v>[7168,768]</x:v>
      </x:c>
      <x:c r="O37" s="34" t="n">
        <x:f>CHOOSE($R$22+1,24)</x:f>
        <x:v>24</x:v>
      </x:c>
      <x:c r="P37" s="2"/>
      <x:c r="Q37" s="7" t="str">
        <x:v>INT4</x:v>
      </x:c>
      <x:c r="R37" s="21" t="n">
        <x:v>0.5</x:v>
      </x:c>
      <x:c r="S37" s="2"/>
      <x:c r="T37" s="2"/>
      <x:c r="U37" s="2"/>
      <x:c r="V37" s="2"/>
      <x:c r="W37" s="2"/>
      <x:c r="X37" s="2"/>
      <x:c r="Y37" s="2"/>
      <x:c r="Z37" s="2"/>
      <x:c r="AA37" s="38" t="n">
        <x:f>IF($R$30=1,SUM(AB37:AD37)*(24)/1073741824,NA())</x:f>
        <x:v>0.24609375</x:v>
      </x:c>
      <x:c r="AB37" s="39" t="n">
        <x:f>(7168)*ROUNDUP((12288/M37)*VLOOKUP(D37,$Q$32:$R$38,2,FALSE),0)</x:f>
        <x:v>11010048</x:v>
      </x:c>
      <x:c r="AC37" s="39" t="n">
        <x:f>IF(OR(D37="MXFP4",D37="MXFP8"),(7168)*ROUNDUP((12288/M37)/32,0),0)</x:f>
        <x:v>0</x:v>
      </x:c>
      <x:c r="AD37" s="39" t="n">
        <x:f>IF(D37="INT8",(7168)*8,IF(D37="INT4",(7168)*16,0))</x:f>
        <x:v>0</x:v>
      </x:c>
      <x:c r="AE37" s="39" t="n">
        <x:f>(7168)*ROUNDUP((12288)*VLOOKUP(D37,$Q$32:$R$38,2,FALSE),0)</x:f>
        <x:v>176160768</x:v>
      </x:c>
      <x:c r="AF37" s="39" t="n">
        <x:f>IF(OR(D37="MXFP4",D37="MXFP8"),(7168)*ROUNDUP((12288)/32,0),0)</x:f>
        <x:v>0</x:v>
      </x:c>
      <x:c r="AG37" s="39" t="n">
        <x:f>IF(D37="INT8",(7168)*8,IF(D37="INT4",(7168)*16,0))</x:f>
        <x:v>0</x:v>
      </x:c>
    </x:row>
    <x:row r="38" ht="18" customHeight="1">
      <x:c r="A38" s="48" t="str">
        <x:v>MoE</x:v>
      </x:c>
      <x:c r="B38" s="48" t="str">
        <x:v>router.weight</x:v>
      </x:c>
      <x:c r="C38" s="48" t="str">
        <x:v>[896,7168]</x:v>
      </x:c>
      <x:c r="D38" s="49" t="str">
        <x:v>BF16</x:v>
      </x:c>
      <x:c r="E38" s="50" t="n">
        <x:v>92</x:v>
      </x:c>
      <x:c r="F38" s="50" t="n">
        <x:f>(896)*(7168)</x:f>
        <x:v>6422528</x:v>
      </x:c>
      <x:c r="G38" s="48" t="str">
        <x:v>Replicated</x:v>
      </x:c>
      <x:c r="H38" s="48" t="str">
        <x:v>None</x:v>
      </x:c>
      <x:c r="I38" s="48" t="str">
        <x:v>否</x:v>
      </x:c>
      <x:c r="J38" s="51" t="n">
        <x:f>E38*SUM(AE38:AG38)/1073741824</x:f>
        <x:v>1.1005859375</x:v>
      </x:c>
      <x:c r="K38" s="51" t="n">
        <x:f>AA38</x:f>
        <x:v>1.1005859375</x:v>
      </x:c>
      <x:c r="L38" s="48" t="str">
        <x:f>IF(OR(D38="MXFP4",D38="MXFP8"),"group 32 / E8M0",IF(D38="INT8","channel / 8 B",IF(D38="INT4","channel / 16 B","")))</x:f>
      </x:c>
      <x:c r="M38" s="52" t="n">
        <x:f>1</x:f>
        <x:v>1</x:v>
      </x:c>
      <x:c r="N38" s="48" t="str">
        <x:f>"["&amp;(896/M38)&amp;","&amp;(7168)&amp;"]"</x:f>
        <x:v>[896,7168]</x:v>
      </x:c>
      <x:c r="O38" s="50" t="n">
        <x:f>CHOOSE($R$22+1,92)</x:f>
        <x:v>92</x:v>
      </x:c>
      <x:c r="P38" s="2"/>
      <x:c r="Q38" s="8" t="str">
        <x:v>INT8</x:v>
      </x:c>
      <x:c r="R38" s="22" t="n">
        <x:v>1</x:v>
      </x:c>
      <x:c r="S38" s="2"/>
      <x:c r="T38" s="2"/>
      <x:c r="U38" s="2"/>
      <x:c r="V38" s="2"/>
      <x:c r="W38" s="2"/>
      <x:c r="X38" s="2"/>
      <x:c r="Y38" s="2"/>
      <x:c r="Z38" s="2"/>
      <x:c r="AA38" s="38" t="n">
        <x:f>IF($R$30=1,SUM(AB38:AD38)*(92)/1073741824,NA())</x:f>
        <x:v>1.1005859375</x:v>
      </x:c>
      <x:c r="AB38" s="39" t="n">
        <x:f>(896/M38)*ROUNDUP((7168)*VLOOKUP(D38,$Q$32:$R$38,2,FALSE),0)</x:f>
        <x:v>12845056</x:v>
      </x:c>
      <x:c r="AC38" s="39" t="n">
        <x:f>IF(OR(D38="MXFP4",D38="MXFP8"),(896/M38)*ROUNDUP((7168)/32,0),0)</x:f>
        <x:v>0</x:v>
      </x:c>
      <x:c r="AD38" s="39" t="n">
        <x:f>IF(D38="INT8",(896/M38)*8,IF(D38="INT4",(896/M38)*16,0))</x:f>
        <x:v>0</x:v>
      </x:c>
      <x:c r="AE38" s="39" t="n">
        <x:f>(896)*ROUNDUP((7168)*VLOOKUP(D38,$Q$32:$R$38,2,FALSE),0)</x:f>
        <x:v>12845056</x:v>
      </x:c>
      <x:c r="AF38" s="39" t="n">
        <x:f>IF(OR(D38="MXFP4",D38="MXFP8"),(896)*ROUNDUP((7168)/32,0),0)</x:f>
        <x:v>0</x:v>
      </x:c>
      <x:c r="AG38" s="39" t="n">
        <x:f>IF(D38="INT8",(896)*8,IF(D38="INT4",(896)*16,0))</x:f>
        <x:v>0</x:v>
      </x:c>
    </x:row>
    <x:row r="39" ht="18" customHeight="1">
      <x:c r="A39" s="7" t="str">
        <x:v>MoE</x:v>
      </x:c>
      <x:c r="B39" s="7" t="str">
        <x:v>e_score_correction_bias</x:v>
      </x:c>
      <x:c r="C39" s="7" t="str">
        <x:v>[896]</x:v>
      </x:c>
      <x:c r="D39" s="10" t="str">
        <x:v>BF16</x:v>
      </x:c>
      <x:c r="E39" s="34" t="n">
        <x:v>92</x:v>
      </x:c>
      <x:c r="F39" s="34" t="n">
        <x:f>(896)</x:f>
        <x:v>896</x:v>
      </x:c>
      <x:c r="G39" s="7" t="str">
        <x:v>Replicated</x:v>
      </x:c>
      <x:c r="H39" s="7" t="str">
        <x:v>None</x:v>
      </x:c>
      <x:c r="I39" s="7" t="str">
        <x:v>否</x:v>
      </x:c>
      <x:c r="J39" s="44" t="n">
        <x:f>E39*SUM(AE39:AG39)/1073741824</x:f>
        <x:v>0.00015354156494140625</x:v>
      </x:c>
      <x:c r="K39" s="44" t="n">
        <x:f>AA39</x:f>
        <x:v>0.00015354156494140625</x:v>
      </x:c>
      <x:c r="L39" s="7" t="str">
        <x:f>IF(OR(D39="MXFP4",D39="MXFP8"),"group 32 / E8M0",IF(D39="INT8","channel / 8 B",IF(D39="INT4","channel / 16 B","")))</x:f>
      </x:c>
      <x:c r="M39" s="45" t="n">
        <x:f>1</x:f>
        <x:v>1</x:v>
      </x:c>
      <x:c r="N39" s="7" t="str">
        <x:f>"["&amp;(896/M39)&amp;"]"</x:f>
        <x:v>[896]</x:v>
      </x:c>
      <x:c r="O39" s="34" t="n">
        <x:f>CHOOSE($R$22+1,92)</x:f>
        <x:v>92</x:v>
      </x:c>
      <x:c r="P39" s="2"/>
      <x:c r="Q39" s="5" t="str">
        <x:v>结构</x:v>
      </x:c>
      <x:c r="R39" s="5" t="str">
        <x:v>单卡层数</x:v>
      </x:c>
      <x:c r="S39" s="5" t="str">
        <x:v>每层实例数</x:v>
      </x:c>
      <x:c r="T39" s="5" t="str">
        <x:v>单卡重复总数</x:v>
      </x:c>
      <x:c r="U39" s="5" t="str">
        <x:v>每实例 GiB</x:v>
      </x:c>
      <x:c r="V39" s="5" t="str">
        <x:v>单卡合计 GiB</x:v>
      </x:c>
      <x:c r="W39" s="5" t="str">
        <x:v>占权重比例</x:v>
      </x:c>
      <x:c r="X39" s="5" t="str">
        <x:v>组成</x:v>
      </x:c>
      <x:c r="Y39" s="2"/>
      <x:c r="Z39" s="2"/>
      <x:c r="AA39" s="38" t="n">
        <x:f>IF($R$30=1,SUM(AB39:AD39)*(92)/1073741824,NA())</x:f>
        <x:v>0.00015354156494140625</x:v>
      </x:c>
      <x:c r="AB39" s="39" t="n">
        <x:f>1*ROUNDUP((896/M39)*VLOOKUP(D39,$Q$32:$R$38,2,FALSE),0)</x:f>
        <x:v>1792</x:v>
      </x:c>
      <x:c r="AC39" s="39" t="n">
        <x:f>IF(OR(D39="MXFP4",D39="MXFP8"),1*ROUNDUP((896/M39)/32,0),0)</x:f>
        <x:v>0</x:v>
      </x:c>
      <x:c r="AD39" s="39" t="n">
        <x:f>IF(D39="INT8",(896/M39)*8,IF(D39="INT4",(896/M39)*16,0))</x:f>
        <x:v>0</x:v>
      </x:c>
      <x:c r="AE39" s="39" t="n">
        <x:f>1*ROUNDUP((896)*VLOOKUP(D39,$Q$32:$R$38,2,FALSE),0)</x:f>
        <x:v>1792</x:v>
      </x:c>
      <x:c r="AF39" s="39" t="n">
        <x:f>IF(OR(D39="MXFP4",D39="MXFP8"),1*ROUNDUP((896)/32,0),0)</x:f>
        <x:v>0</x:v>
      </x:c>
      <x:c r="AG39" s="39" t="n">
        <x:f>IF(D39="INT8",(896)*8,IF(D39="INT4",(896)*16,0))</x:f>
        <x:v>0</x:v>
      </x:c>
    </x:row>
    <x:row r="40" ht="18" customHeight="1">
      <x:c r="A40" s="7" t="str">
        <x:v>MoE</x:v>
      </x:c>
      <x:c r="B40" s="7" t="str">
        <x:v>routed_expert_down_proj</x:v>
      </x:c>
      <x:c r="C40" s="7" t="str">
        <x:v>[3584,7168]</x:v>
      </x:c>
      <x:c r="D40" s="10" t="str">
        <x:v>BF16</x:v>
      </x:c>
      <x:c r="E40" s="34" t="n">
        <x:v>92</x:v>
      </x:c>
      <x:c r="F40" s="34" t="n">
        <x:f>(3584)*(7168)</x:f>
        <x:v>25690112</x:v>
      </x:c>
      <x:c r="G40" s="7" t="str">
        <x:v>Replicated</x:v>
      </x:c>
      <x:c r="H40" s="7" t="str">
        <x:v>None</x:v>
      </x:c>
      <x:c r="I40" s="7" t="str">
        <x:v>否</x:v>
      </x:c>
      <x:c r="J40" s="44" t="n">
        <x:f>E40*SUM(AE40:AG40)/1073741824</x:f>
        <x:v>4.40234375</x:v>
      </x:c>
      <x:c r="K40" s="44" t="n">
        <x:f>AA40</x:f>
        <x:v>4.40234375</x:v>
      </x:c>
      <x:c r="L40" s="7" t="str">
        <x:f>IF(OR(D40="MXFP4",D40="MXFP8"),"group 32 / E8M0",IF(D40="INT8","channel / 8 B",IF(D40="INT4","channel / 16 B","")))</x:f>
      </x:c>
      <x:c r="M40" s="45" t="n">
        <x:f>1</x:f>
        <x:v>1</x:v>
      </x:c>
      <x:c r="N40" s="7" t="str">
        <x:f>"["&amp;(3584/M40)&amp;","&amp;(7168)&amp;"]"</x:f>
        <x:v>[3584,7168]</x:v>
      </x:c>
      <x:c r="O40" s="34" t="n">
        <x:f>CHOOSE($R$22+1,92)</x:f>
        <x:v>92</x:v>
      </x:c>
      <x:c r="P40" s="2"/>
      <x:c r="Q40" s="6" t="str">
        <x:v>embedding</x:v>
      </x:c>
      <x:c r="R40" s="6" t="n">
        <x:f>CHOOSE($R$22+1,1)</x:f>
        <x:v>1</x:v>
      </x:c>
      <x:c r="S40" s="6" t="n">
        <x:f>1</x:f>
        <x:v>1</x:v>
      </x:c>
      <x:c r="T40" s="6" t="n">
        <x:f>R40*S40</x:f>
        <x:v>1</x:v>
      </x:c>
      <x:c r="U40" s="27" t="n">
        <x:f>IF(T40=0,0,V40/T40)</x:f>
        <x:v>0.13671875</x:v>
      </x:c>
      <x:c r="V40" s="27" t="n">
        <x:f>SUM(K2)</x:f>
        <x:v>0.13671875</x:v>
      </x:c>
      <x:c r="W40" s="30" t="n">
        <x:f>V40/$R$23</x:f>
        <x:v>0.004092265881372876</x:v>
      </x:c>
      <x:c r="X40" s="6" t="str"/>
      <x:c r="Y40" s="2"/>
      <x:c r="Z40" s="2"/>
      <x:c r="AA40" s="38" t="n">
        <x:f>IF($R$30=1,SUM(AB40:AD40)*(92)/1073741824,NA())</x:f>
        <x:v>4.40234375</x:v>
      </x:c>
      <x:c r="AB40" s="39" t="n">
        <x:f>(3584/M40)*ROUNDUP((7168)*VLOOKUP(D40,$Q$32:$R$38,2,FALSE),0)</x:f>
        <x:v>51380224</x:v>
      </x:c>
      <x:c r="AC40" s="39" t="n">
        <x:f>IF(OR(D40="MXFP4",D40="MXFP8"),(3584/M40)*ROUNDUP((7168)/32,0),0)</x:f>
        <x:v>0</x:v>
      </x:c>
      <x:c r="AD40" s="39" t="n">
        <x:f>IF(D40="INT8",(3584/M40)*8,IF(D40="INT4",(3584/M40)*16,0))</x:f>
        <x:v>0</x:v>
      </x:c>
      <x:c r="AE40" s="39" t="n">
        <x:f>(3584)*ROUNDUP((7168)*VLOOKUP(D40,$Q$32:$R$38,2,FALSE),0)</x:f>
        <x:v>51380224</x:v>
      </x:c>
      <x:c r="AF40" s="39" t="n">
        <x:f>IF(OR(D40="MXFP4",D40="MXFP8"),(3584)*ROUNDUP((7168)/32,0),0)</x:f>
        <x:v>0</x:v>
      </x:c>
      <x:c r="AG40" s="39" t="n">
        <x:f>IF(D40="INT8",(3584)*8,IF(D40="INT4",(3584)*16,0))</x:f>
        <x:v>0</x:v>
      </x:c>
    </x:row>
    <x:row r="41" ht="18" customHeight="1">
      <x:c r="A41" s="7" t="str">
        <x:v>MoE</x:v>
      </x:c>
      <x:c r="B41" s="7" t="str">
        <x:v>routed_expert_norm.weight</x:v>
      </x:c>
      <x:c r="C41" s="7" t="str">
        <x:v>[3584]</x:v>
      </x:c>
      <x:c r="D41" s="10" t="str">
        <x:v>BF16</x:v>
      </x:c>
      <x:c r="E41" s="34" t="n">
        <x:v>92</x:v>
      </x:c>
      <x:c r="F41" s="34" t="n">
        <x:f>(3584)</x:f>
        <x:v>3584</x:v>
      </x:c>
      <x:c r="G41" s="7" t="str">
        <x:v>Replicated</x:v>
      </x:c>
      <x:c r="H41" s="7" t="str">
        <x:v>None</x:v>
      </x:c>
      <x:c r="I41" s="7" t="str">
        <x:v>否</x:v>
      </x:c>
      <x:c r="J41" s="44" t="n">
        <x:f>E41*SUM(AE41:AG41)/1073741824</x:f>
        <x:v>0.000614166259765625</x:v>
      </x:c>
      <x:c r="K41" s="44" t="n">
        <x:f>AA41</x:f>
        <x:v>0.000614166259765625</x:v>
      </x:c>
      <x:c r="L41" s="7" t="str">
        <x:f>IF(OR(D41="MXFP4",D41="MXFP8"),"group 32 / E8M0",IF(D41="INT8","channel / 8 B",IF(D41="INT4","channel / 16 B","")))</x:f>
      </x:c>
      <x:c r="M41" s="45" t="n">
        <x:f>1</x:f>
        <x:v>1</x:v>
      </x:c>
      <x:c r="N41" s="7" t="str">
        <x:f>"["&amp;(3584/M41)&amp;"]"</x:f>
        <x:v>[3584]</x:v>
      </x:c>
      <x:c r="O41" s="34" t="n">
        <x:f>CHOOSE($R$22+1,92)</x:f>
        <x:v>92</x:v>
      </x:c>
      <x:c r="P41" s="2"/>
      <x:c r="Q41" s="7" t="str">
        <x:v>lm_head</x:v>
      </x:c>
      <x:c r="R41" s="7" t="n">
        <x:f>CHOOSE($R$22+1,1)</x:f>
        <x:v>1</x:v>
      </x:c>
      <x:c r="S41" s="7" t="n">
        <x:f>1</x:f>
        <x:v>1</x:v>
      </x:c>
      <x:c r="T41" s="7" t="n">
        <x:f>R41*S41</x:f>
        <x:v>1</x:v>
      </x:c>
      <x:c r="U41" s="28" t="n">
        <x:f>IF(T41=0,0,V41/T41)</x:f>
        <x:v>0.13671875</x:v>
      </x:c>
      <x:c r="V41" s="28" t="n">
        <x:f>SUM(K3)</x:f>
        <x:v>0.13671875</x:v>
      </x:c>
      <x:c r="W41" s="31" t="n">
        <x:f>V41/$R$23</x:f>
        <x:v>0.004092265881372876</x:v>
      </x:c>
      <x:c r="X41" s="7" t="str"/>
      <x:c r="Y41" s="2"/>
      <x:c r="Z41" s="2"/>
      <x:c r="AA41" s="38" t="n">
        <x:f>IF($R$30=1,SUM(AB41:AD41)*(92)/1073741824,NA())</x:f>
        <x:v>0.000614166259765625</x:v>
      </x:c>
      <x:c r="AB41" s="39" t="n">
        <x:f>1*ROUNDUP((3584/M41)*VLOOKUP(D41,$Q$32:$R$38,2,FALSE),0)</x:f>
        <x:v>7168</x:v>
      </x:c>
      <x:c r="AC41" s="39" t="n">
        <x:f>IF(OR(D41="MXFP4",D41="MXFP8"),1*ROUNDUP((3584/M41)/32,0),0)</x:f>
        <x:v>0</x:v>
      </x:c>
      <x:c r="AD41" s="39" t="n">
        <x:f>IF(D41="INT8",(3584/M41)*8,IF(D41="INT4",(3584/M41)*16,0))</x:f>
        <x:v>0</x:v>
      </x:c>
      <x:c r="AE41" s="39" t="n">
        <x:f>1*ROUNDUP((3584)*VLOOKUP(D41,$Q$32:$R$38,2,FALSE),0)</x:f>
        <x:v>7168</x:v>
      </x:c>
      <x:c r="AF41" s="39" t="n">
        <x:f>IF(OR(D41="MXFP4",D41="MXFP8"),1*ROUNDUP((3584)/32,0),0)</x:f>
        <x:v>0</x:v>
      </x:c>
      <x:c r="AG41" s="39" t="n">
        <x:f>IF(D41="INT8",(3584)*8,IF(D41="INT4",(3584)*16,0))</x:f>
        <x:v>0</x:v>
      </x:c>
    </x:row>
    <x:row r="42" ht="18" customHeight="1">
      <x:c r="A42" s="7" t="str">
        <x:v>MoE</x:v>
      </x:c>
      <x:c r="B42" s="7" t="str">
        <x:v>routed_expert_up_proj</x:v>
      </x:c>
      <x:c r="C42" s="7" t="str">
        <x:v>[7168,3584]</x:v>
      </x:c>
      <x:c r="D42" s="10" t="str">
        <x:v>BF16</x:v>
      </x:c>
      <x:c r="E42" s="34" t="n">
        <x:v>92</x:v>
      </x:c>
      <x:c r="F42" s="34" t="n">
        <x:f>(7168)*(3584)</x:f>
        <x:v>25690112</x:v>
      </x:c>
      <x:c r="G42" s="7" t="str">
        <x:v>Replicated</x:v>
      </x:c>
      <x:c r="H42" s="7" t="str">
        <x:v>None</x:v>
      </x:c>
      <x:c r="I42" s="7" t="str">
        <x:v>否</x:v>
      </x:c>
      <x:c r="J42" s="44" t="n">
        <x:f>E42*SUM(AE42:AG42)/1073741824</x:f>
        <x:v>4.40234375</x:v>
      </x:c>
      <x:c r="K42" s="44" t="n">
        <x:f>AA42</x:f>
        <x:v>4.40234375</x:v>
      </x:c>
      <x:c r="L42" s="7" t="str">
        <x:f>IF(OR(D42="MXFP4",D42="MXFP8"),"group 32 / E8M0",IF(D42="INT8","channel / 8 B",IF(D42="INT4","channel / 16 B","")))</x:f>
      </x:c>
      <x:c r="M42" s="45" t="n">
        <x:f>1</x:f>
        <x:v>1</x:v>
      </x:c>
      <x:c r="N42" s="7" t="str">
        <x:f>"["&amp;(7168/M42)&amp;","&amp;(3584)&amp;"]"</x:f>
        <x:v>[7168,3584]</x:v>
      </x:c>
      <x:c r="O42" s="34" t="n">
        <x:f>CHOOSE($R$22+1,92)</x:f>
        <x:v>92</x:v>
      </x:c>
      <x:c r="P42" s="2"/>
      <x:c r="Q42" s="7" t="str">
        <x:v>Decoder norms / residual</x:v>
      </x:c>
      <x:c r="R42" s="7" t="n">
        <x:f>CHOOSE($R$22+1,93)</x:f>
        <x:v>93</x:v>
      </x:c>
      <x:c r="S42" s="7" t="n">
        <x:f>1</x:f>
        <x:v>1</x:v>
      </x:c>
      <x:c r="T42" s="7" t="n">
        <x:f>R42*S42</x:f>
        <x:v>93</x:v>
      </x:c>
      <x:c r="U42" s="28" t="n">
        <x:f>IF(T42=0,0,V42/T42)</x:f>
        <x:v>0.000080108642578125</x:v>
      </x:c>
      <x:c r="V42" s="28" t="n">
        <x:f>SUM(K4,K5,K6,K7,K8,K9)</x:f>
        <x:v>0.007450103759765625</x:v>
      </x:c>
      <x:c r="W42" s="31" t="n">
        <x:f>V42/$R$23</x:f>
        <x:v>0.0002229965197076235</x:v>
      </x:c>
      <x:c r="X42" s="7" t="str"/>
      <x:c r="Y42" s="2"/>
      <x:c r="Z42" s="2"/>
      <x:c r="AA42" s="38" t="n">
        <x:f>IF($R$30=1,SUM(AB42:AD42)*(92)/1073741824,NA())</x:f>
        <x:v>4.40234375</x:v>
      </x:c>
      <x:c r="AB42" s="39" t="n">
        <x:f>(7168/M42)*ROUNDUP((3584)*VLOOKUP(D42,$Q$32:$R$38,2,FALSE),0)</x:f>
        <x:v>51380224</x:v>
      </x:c>
      <x:c r="AC42" s="39" t="n">
        <x:f>IF(OR(D42="MXFP4",D42="MXFP8"),(7168/M42)*ROUNDUP((3584)/32,0),0)</x:f>
        <x:v>0</x:v>
      </x:c>
      <x:c r="AD42" s="39" t="n">
        <x:f>IF(D42="INT8",(7168/M42)*8,IF(D42="INT4",(7168/M42)*16,0))</x:f>
        <x:v>0</x:v>
      </x:c>
      <x:c r="AE42" s="39" t="n">
        <x:f>(7168)*ROUNDUP((3584)*VLOOKUP(D42,$Q$32:$R$38,2,FALSE),0)</x:f>
        <x:v>51380224</x:v>
      </x:c>
      <x:c r="AF42" s="39" t="n">
        <x:f>IF(OR(D42="MXFP4",D42="MXFP8"),(7168)*ROUNDUP((3584)/32,0),0)</x:f>
        <x:v>0</x:v>
      </x:c>
      <x:c r="AG42" s="39" t="n">
        <x:f>IF(D42="INT8",(7168)*8,IF(D42="INT4",(7168)*16,0))</x:f>
        <x:v>0</x:v>
      </x:c>
    </x:row>
    <x:row r="43" ht="18" customHeight="1">
      <x:c r="A43" s="7" t="str">
        <x:v>MoE</x:v>
      </x:c>
      <x:c r="B43" s="7" t="str">
        <x:v>experts.*.w1</x:v>
      </x:c>
      <x:c r="C43" s="7" t="str">
        <x:v>[3072,3584]</x:v>
      </x:c>
      <x:c r="D43" s="10" t="str">
        <x:v>MXFP4</x:v>
      </x:c>
      <x:c r="E43" s="34" t="n">
        <x:v>82432</x:v>
      </x:c>
      <x:c r="F43" s="34" t="n">
        <x:f>(3072)*(3584)</x:f>
        <x:v>11010048</x:v>
      </x:c>
      <x:c r="G43" s="7" t="str">
        <x:v>EP</x:v>
      </x:c>
      <x:c r="H43" s="7" t="str">
        <x:v>EP</x:v>
      </x:c>
      <x:c r="I43" s="7" t="str">
        <x:v>否</x:v>
      </x:c>
      <x:c r="J43" s="44" t="n">
        <x:f>E43*SUM(AE43:AG43)/1073741824</x:f>
        <x:v>449.0390625</x:v>
      </x:c>
      <x:c r="K43" s="44" t="n">
        <x:f>AA43</x:f>
        <x:v>3.50811767578125</x:v>
      </x:c>
      <x:c r="L43" s="7" t="str">
        <x:f>IF(OR(D43="MXFP4",D43="MXFP8"),"group 32 / E8M0",IF(D43="INT8","channel / 8 B",IF(D43="INT4","channel / 16 B","")))</x:f>
        <x:v>group 32 / E8M0</x:v>
      </x:c>
      <x:c r="M43" s="45" t="n">
        <x:f>1</x:f>
        <x:v>1</x:v>
      </x:c>
      <x:c r="N43" s="7" t="str">
        <x:f>"["&amp;(3072/M43)&amp;","&amp;(3584)&amp;"]"</x:f>
        <x:v>[3072,3584]</x:v>
      </x:c>
      <x:c r="O43" s="34" t="n">
        <x:f>CHOOSE($R$22+1,92*ROUNDUP(896/$R$9,0))</x:f>
        <x:v>644</x:v>
      </x:c>
      <x:c r="P43" s="2"/>
      <x:c r="Q43" s="7" t="str">
        <x:v>Final norm / residual</x:v>
      </x:c>
      <x:c r="R43" s="7" t="n">
        <x:f>CHOOSE($R$22+1,1)</x:f>
        <x:v>1</x:v>
      </x:c>
      <x:c r="S43" s="7" t="n">
        <x:f>1</x:f>
        <x:v>1</x:v>
      </x:c>
      <x:c r="T43" s="7" t="n">
        <x:f>R43*S43</x:f>
        <x:v>1</x:v>
      </x:c>
      <x:c r="U43" s="28" t="n">
        <x:f>IF(T43=0,0,V43/T43)</x:f>
        <x:v>0.0000400543212890625</x:v>
      </x:c>
      <x:c r="V43" s="28" t="n">
        <x:f>SUM(K10,K11,K12)</x:f>
        <x:v>0.0000400543212890625</x:v>
      </x:c>
      <x:c r="W43" s="31" t="n">
        <x:f>V43/$R$23</x:f>
        <x:v>0.0000011989060199334597</x:v>
      </x:c>
      <x:c r="X43" s="7" t="str"/>
      <x:c r="Y43" s="2"/>
      <x:c r="Z43" s="2"/>
      <x:c r="AA43" s="38" t="n">
        <x:f>IF($R$30=1,SUM(AB43:AD43)*(92*ROUNDUP(896/$R$9,0))/1073741824,NA())</x:f>
        <x:v>3.50811767578125</x:v>
      </x:c>
      <x:c r="AB43" s="39" t="n">
        <x:f>(3072/M43)*ROUNDUP((3584)*VLOOKUP(D43,$Q$32:$R$38,2,FALSE),0)</x:f>
        <x:v>5505024</x:v>
      </x:c>
      <x:c r="AC43" s="39" t="n">
        <x:f>IF(OR(D43="MXFP4",D43="MXFP8"),(3072/M43)*ROUNDUP((3584)/32,0),0)</x:f>
        <x:v>344064</x:v>
      </x:c>
      <x:c r="AD43" s="39" t="n">
        <x:f>IF(D43="INT8",(3072/M43)*8,IF(D43="INT4",(3072/M43)*16,0))</x:f>
        <x:v>0</x:v>
      </x:c>
      <x:c r="AE43" s="39" t="n">
        <x:f>(3072)*ROUNDUP((3584)*VLOOKUP(D43,$Q$32:$R$38,2,FALSE),0)</x:f>
        <x:v>5505024</x:v>
      </x:c>
      <x:c r="AF43" s="39" t="n">
        <x:f>IF(OR(D43="MXFP4",D43="MXFP8"),(3072)*ROUNDUP((3584)/32,0),0)</x:f>
        <x:v>344064</x:v>
      </x:c>
      <x:c r="AG43" s="39" t="n">
        <x:f>IF(D43="INT8",(3072)*8,IF(D43="INT4",(3072)*16,0))</x:f>
        <x:v>0</x:v>
      </x:c>
    </x:row>
    <x:row r="44" ht="18" customHeight="1">
      <x:c r="A44" s="7" t="str">
        <x:v>MoE</x:v>
      </x:c>
      <x:c r="B44" s="7" t="str">
        <x:v>experts.*.w3</x:v>
      </x:c>
      <x:c r="C44" s="7" t="str">
        <x:v>[3072,3584]</x:v>
      </x:c>
      <x:c r="D44" s="10" t="str">
        <x:v>MXFP4</x:v>
      </x:c>
      <x:c r="E44" s="34" t="n">
        <x:v>82432</x:v>
      </x:c>
      <x:c r="F44" s="34" t="n">
        <x:f>(3072)*(3584)</x:f>
        <x:v>11010048</x:v>
      </x:c>
      <x:c r="G44" s="7" t="str">
        <x:v>EP</x:v>
      </x:c>
      <x:c r="H44" s="7" t="str">
        <x:v>EP</x:v>
      </x:c>
      <x:c r="I44" s="7" t="str">
        <x:v>否</x:v>
      </x:c>
      <x:c r="J44" s="44" t="n">
        <x:f>E44*SUM(AE44:AG44)/1073741824</x:f>
        <x:v>449.0390625</x:v>
      </x:c>
      <x:c r="K44" s="44" t="n">
        <x:f>AA44</x:f>
        <x:v>3.50811767578125</x:v>
      </x:c>
      <x:c r="L44" s="7" t="str">
        <x:f>IF(OR(D44="MXFP4",D44="MXFP8"),"group 32 / E8M0",IF(D44="INT8","channel / 8 B",IF(D44="INT4","channel / 16 B","")))</x:f>
        <x:v>group 32 / E8M0</x:v>
      </x:c>
      <x:c r="M44" s="45" t="n">
        <x:f>1</x:f>
        <x:v>1</x:v>
      </x:c>
      <x:c r="N44" s="7" t="str">
        <x:f>"["&amp;(3072/M44)&amp;","&amp;(3584)&amp;"]"</x:f>
        <x:v>[3072,3584]</x:v>
      </x:c>
      <x:c r="O44" s="34" t="n">
        <x:f>CHOOSE($R$22+1,92*ROUNDUP(896/$R$9,0))</x:f>
        <x:v>644</x:v>
      </x:c>
      <x:c r="P44" s="2"/>
      <x:c r="Q44" s="7" t="str">
        <x:v>Dense MLP</x:v>
      </x:c>
      <x:c r="R44" s="7" t="n">
        <x:f>CHOOSE($R$22+1,1)</x:f>
        <x:v>1</x:v>
      </x:c>
      <x:c r="S44" s="7" t="n">
        <x:f>1</x:f>
        <x:v>1</x:v>
      </x:c>
      <x:c r="T44" s="7" t="n">
        <x:f>R44*S44</x:f>
        <x:v>1</x:v>
      </x:c>
      <x:c r="U44" s="28" t="n">
        <x:f>IF(T44=0,0,V44/T44)</x:f>
        <x:v>0.0845947265625</x:v>
      </x:c>
      <x:c r="V44" s="28" t="n">
        <x:f>SUM(K13,K14,K15)</x:f>
        <x:v>0.0845947265625</x:v>
      </x:c>
      <x:c r="W44" s="31" t="n">
        <x:f>V44/$R$23</x:f>
        <x:v>0.002532089514099467</x:v>
      </x:c>
      <x:c r="X44" s="7" t="str"/>
      <x:c r="Y44" s="2"/>
      <x:c r="Z44" s="2"/>
      <x:c r="AA44" s="38" t="n">
        <x:f>IF($R$30=1,SUM(AB44:AD44)*(92*ROUNDUP(896/$R$9,0))/1073741824,NA())</x:f>
        <x:v>3.50811767578125</x:v>
      </x:c>
      <x:c r="AB44" s="39" t="n">
        <x:f>(3072/M44)*ROUNDUP((3584)*VLOOKUP(D44,$Q$32:$R$38,2,FALSE),0)</x:f>
        <x:v>5505024</x:v>
      </x:c>
      <x:c r="AC44" s="39" t="n">
        <x:f>IF(OR(D44="MXFP4",D44="MXFP8"),(3072/M44)*ROUNDUP((3584)/32,0),0)</x:f>
        <x:v>344064</x:v>
      </x:c>
      <x:c r="AD44" s="39" t="n">
        <x:f>IF(D44="INT8",(3072/M44)*8,IF(D44="INT4",(3072/M44)*16,0))</x:f>
        <x:v>0</x:v>
      </x:c>
      <x:c r="AE44" s="39" t="n">
        <x:f>(3072)*ROUNDUP((3584)*VLOOKUP(D44,$Q$32:$R$38,2,FALSE),0)</x:f>
        <x:v>5505024</x:v>
      </x:c>
      <x:c r="AF44" s="39" t="n">
        <x:f>IF(OR(D44="MXFP4",D44="MXFP8"),(3072)*ROUNDUP((3584)/32,0),0)</x:f>
        <x:v>344064</x:v>
      </x:c>
      <x:c r="AG44" s="39" t="n">
        <x:f>IF(D44="INT8",(3072)*8,IF(D44="INT4",(3072)*16,0))</x:f>
        <x:v>0</x:v>
      </x:c>
    </x:row>
    <x:row r="45" ht="18" customHeight="1">
      <x:c r="A45" s="7" t="str">
        <x:v>MoE</x:v>
      </x:c>
      <x:c r="B45" s="7" t="str">
        <x:v>experts.*.w2</x:v>
      </x:c>
      <x:c r="C45" s="7" t="str">
        <x:v>[3584,3072]</x:v>
      </x:c>
      <x:c r="D45" s="10" t="str">
        <x:v>MXFP4</x:v>
      </x:c>
      <x:c r="E45" s="34" t="n">
        <x:v>82432</x:v>
      </x:c>
      <x:c r="F45" s="34" t="n">
        <x:f>(3584)*(3072)</x:f>
        <x:v>11010048</x:v>
      </x:c>
      <x:c r="G45" s="7" t="str">
        <x:v>EP</x:v>
      </x:c>
      <x:c r="H45" s="7" t="str">
        <x:v>EP</x:v>
      </x:c>
      <x:c r="I45" s="7" t="str">
        <x:v>否</x:v>
      </x:c>
      <x:c r="J45" s="44" t="n">
        <x:f>E45*SUM(AE45:AG45)/1073741824</x:f>
        <x:v>449.0390625</x:v>
      </x:c>
      <x:c r="K45" s="44" t="n">
        <x:f>AA45</x:f>
        <x:v>3.50811767578125</x:v>
      </x:c>
      <x:c r="L45" s="7" t="str">
        <x:f>IF(OR(D45="MXFP4",D45="MXFP8"),"group 32 / E8M0",IF(D45="INT8","channel / 8 B",IF(D45="INT4","channel / 16 B","")))</x:f>
        <x:v>group 32 / E8M0</x:v>
      </x:c>
      <x:c r="M45" s="45" t="n">
        <x:f>1</x:f>
        <x:v>1</x:v>
      </x:c>
      <x:c r="N45" s="7" t="str">
        <x:f>"["&amp;(3584/M45)&amp;","&amp;(3072)&amp;"]"</x:f>
        <x:v>[3584,3072]</x:v>
      </x:c>
      <x:c r="O45" s="34" t="n">
        <x:f>CHOOSE($R$22+1,92*ROUNDUP(896/$R$9,0))</x:f>
        <x:v>644</x:v>
      </x:c>
      <x:c r="P45" s="2"/>
      <x:c r="Q45" s="7" t="str">
        <x:v>KDA</x:v>
      </x:c>
      <x:c r="R45" s="7" t="n">
        <x:f>CHOOSE($R$22+1,69)</x:f>
        <x:v>69</x:v>
      </x:c>
      <x:c r="S45" s="7" t="n">
        <x:f>1</x:f>
        <x:v>1</x:v>
      </x:c>
      <x:c r="T45" s="7" t="n">
        <x:f>R45*S45</x:f>
        <x:v>69</x:v>
      </x:c>
      <x:c r="U45" s="28" t="n">
        <x:f>IF(T45=0,0,V45/T45)</x:f>
        <x:v>0.05327918380498886</x:v>
      </x:c>
      <x:c r="V45" s="28" t="n">
        <x:f>SUM(K16,K17,K18,K19,K20,K21,K22,K23,K24,K25,K26,K27,K28,K29)</x:f>
        <x:v>3.6762636825442314</x:v>
      </x:c>
      <x:c r="W45" s="31" t="n">
        <x:f>V45/$R$23</x:f>
        <x:v>0.11003793143958648</x:v>
      </x:c>
      <x:c r="X45" s="7" t="str"/>
      <x:c r="Y45" s="2"/>
      <x:c r="Z45" s="2"/>
      <x:c r="AA45" s="38" t="n">
        <x:f>IF($R$30=1,SUM(AB45:AD45)*(92*ROUNDUP(896/$R$9,0))/1073741824,NA())</x:f>
        <x:v>3.50811767578125</x:v>
      </x:c>
      <x:c r="AB45" s="39" t="n">
        <x:f>(3584/M45)*ROUNDUP((3072)*VLOOKUP(D45,$Q$32:$R$38,2,FALSE),0)</x:f>
        <x:v>5505024</x:v>
      </x:c>
      <x:c r="AC45" s="39" t="n">
        <x:f>IF(OR(D45="MXFP4",D45="MXFP8"),(3584/M45)*ROUNDUP((3072)/32,0),0)</x:f>
        <x:v>344064</x:v>
      </x:c>
      <x:c r="AD45" s="39" t="n">
        <x:f>IF(D45="INT8",(3584/M45)*8,IF(D45="INT4",(3584/M45)*16,0))</x:f>
        <x:v>0</x:v>
      </x:c>
      <x:c r="AE45" s="39" t="n">
        <x:f>(3584)*ROUNDUP((3072)*VLOOKUP(D45,$Q$32:$R$38,2,FALSE),0)</x:f>
        <x:v>5505024</x:v>
      </x:c>
      <x:c r="AF45" s="39" t="n">
        <x:f>IF(OR(D45="MXFP4",D45="MXFP8"),(3584)*ROUNDUP((3072)/32,0),0)</x:f>
        <x:v>344064</x:v>
      </x:c>
      <x:c r="AG45" s="39" t="n">
        <x:f>IF(D45="INT8",(3584)*8,IF(D45="INT4",(3584)*16,0))</x:f>
        <x:v>0</x:v>
      </x:c>
    </x:row>
    <x:row r="46" ht="18" customHeight="1">
      <x:c r="A46" s="7" t="str">
        <x:v>MoE</x:v>
      </x:c>
      <x:c r="B46" s="7" t="str">
        <x:v>shared_experts.gate_proj</x:v>
      </x:c>
      <x:c r="C46" s="7" t="str">
        <x:v>[6144,7168]</x:v>
      </x:c>
      <x:c r="D46" s="10" t="str">
        <x:v>BF16</x:v>
      </x:c>
      <x:c r="E46" s="34" t="n">
        <x:v>92</x:v>
      </x:c>
      <x:c r="F46" s="34" t="n">
        <x:f>(6144)*(7168)</x:f>
        <x:v>44040192</x:v>
      </x:c>
      <x:c r="G46" s="7" t="str">
        <x:v>Shared TP</x:v>
      </x:c>
      <x:c r="H46" s="7" t="str">
        <x:v>None</x:v>
      </x:c>
      <x:c r="I46" s="7" t="str">
        <x:v>是</x:v>
      </x:c>
      <x:c r="J46" s="44" t="n">
        <x:f>E46*SUM(AE46:AG46)/1073741824</x:f>
        <x:v>7.546875</x:v>
      </x:c>
      <x:c r="K46" s="44" t="n">
        <x:f>AA46</x:f>
        <x:v>0.4716796875</x:v>
      </x:c>
      <x:c r="L46" s="7" t="str">
        <x:f>IF(OR(D46="MXFP4",D46="MXFP8"),"group 32 / E8M0",IF(D46="INT8","channel / 8 B",IF(D46="INT4","channel / 16 B","")))</x:f>
      </x:c>
      <x:c r="M46" s="45" t="n">
        <x:f>$R$10</x:f>
        <x:v>16</x:v>
      </x:c>
      <x:c r="N46" s="7" t="str">
        <x:f>"["&amp;(6144/M46)&amp;","&amp;(7168)&amp;"]"</x:f>
        <x:v>[384,7168]</x:v>
      </x:c>
      <x:c r="O46" s="34" t="n">
        <x:f>CHOOSE($R$22+1,92)</x:f>
        <x:v>92</x:v>
      </x:c>
      <x:c r="P46" s="2"/>
      <x:c r="Q46" s="7" t="str">
        <x:v>Gated MLA</x:v>
      </x:c>
      <x:c r="R46" s="7" t="n">
        <x:f>CHOOSE($R$22+1,24)</x:f>
        <x:v>24</x:v>
      </x:c>
      <x:c r="S46" s="7" t="n">
        <x:f>1</x:f>
        <x:v>1</x:v>
      </x:c>
      <x:c r="T46" s="7" t="n">
        <x:f>R46*S46</x:f>
        <x:v>24</x:v>
      </x:c>
      <x:c r="U46" s="28" t="n">
        <x:f>IF(T46=0,0,V46/T46)</x:f>
        <x:v>0.2786903381347656</x:v>
      </x:c>
      <x:c r="V46" s="28" t="n">
        <x:f>SUM(K30,K31,K32,K33,K34,K35,K36,K37)</x:f>
        <x:v>6.688568115234375</x:v>
      </x:c>
      <x:c r="W46" s="31" t="n">
        <x:f>V46/$R$23</x:f>
        <x:v>0.20020223336749432</x:v>
      </x:c>
      <x:c r="X46" s="7" t="str"/>
      <x:c r="Y46" s="2"/>
      <x:c r="Z46" s="2"/>
      <x:c r="AA46" s="38" t="n">
        <x:f>IF($R$30=1,SUM(AB46:AD46)*(92)/1073741824,NA())</x:f>
        <x:v>0.4716796875</x:v>
      </x:c>
      <x:c r="AB46" s="39" t="n">
        <x:f>(6144/M46)*ROUNDUP((7168)*VLOOKUP(D46,$Q$32:$R$38,2,FALSE),0)</x:f>
        <x:v>5505024</x:v>
      </x:c>
      <x:c r="AC46" s="39" t="n">
        <x:f>IF(OR(D46="MXFP4",D46="MXFP8"),(6144/M46)*ROUNDUP((7168)/32,0),0)</x:f>
        <x:v>0</x:v>
      </x:c>
      <x:c r="AD46" s="39" t="n">
        <x:f>IF(D46="INT8",(6144/M46)*8,IF(D46="INT4",(6144/M46)*16,0))</x:f>
        <x:v>0</x:v>
      </x:c>
      <x:c r="AE46" s="39" t="n">
        <x:f>(6144)*ROUNDUP((7168)*VLOOKUP(D46,$Q$32:$R$38,2,FALSE),0)</x:f>
        <x:v>88080384</x:v>
      </x:c>
      <x:c r="AF46" s="39" t="n">
        <x:f>IF(OR(D46="MXFP4",D46="MXFP8"),(6144)*ROUNDUP((7168)/32,0),0)</x:f>
        <x:v>0</x:v>
      </x:c>
      <x:c r="AG46" s="39" t="n">
        <x:f>IF(D46="INT8",(6144)*8,IF(D46="INT4",(6144)*16,0))</x:f>
        <x:v>0</x:v>
      </x:c>
    </x:row>
    <x:row r="47" ht="18" customHeight="1">
      <x:c r="A47" s="7" t="str">
        <x:v>MoE</x:v>
      </x:c>
      <x:c r="B47" s="7" t="str">
        <x:v>shared_experts.up_proj</x:v>
      </x:c>
      <x:c r="C47" s="7" t="str">
        <x:v>[6144,7168]</x:v>
      </x:c>
      <x:c r="D47" s="10" t="str">
        <x:v>BF16</x:v>
      </x:c>
      <x:c r="E47" s="34" t="n">
        <x:v>92</x:v>
      </x:c>
      <x:c r="F47" s="34" t="n">
        <x:f>(6144)*(7168)</x:f>
        <x:v>44040192</x:v>
      </x:c>
      <x:c r="G47" s="7" t="str">
        <x:v>Shared TP</x:v>
      </x:c>
      <x:c r="H47" s="7" t="str">
        <x:v>None</x:v>
      </x:c>
      <x:c r="I47" s="7" t="str">
        <x:v>是</x:v>
      </x:c>
      <x:c r="J47" s="44" t="n">
        <x:f>E47*SUM(AE47:AG47)/1073741824</x:f>
        <x:v>7.546875</x:v>
      </x:c>
      <x:c r="K47" s="44" t="n">
        <x:f>AA47</x:f>
        <x:v>0.4716796875</x:v>
      </x:c>
      <x:c r="L47" s="7" t="str">
        <x:f>IF(OR(D47="MXFP4",D47="MXFP8"),"group 32 / E8M0",IF(D47="INT8","channel / 8 B",IF(D47="INT4","channel / 16 B","")))</x:f>
      </x:c>
      <x:c r="M47" s="45" t="n">
        <x:f>$R$10</x:f>
        <x:v>16</x:v>
      </x:c>
      <x:c r="N47" s="7" t="str">
        <x:f>"["&amp;(6144/M47)&amp;","&amp;(7168)&amp;"]"</x:f>
        <x:v>[384,7168]</x:v>
      </x:c>
      <x:c r="O47" s="34" t="n">
        <x:f>CHOOSE($R$22+1,92)</x:f>
        <x:v>92</x:v>
      </x:c>
      <x:c r="P47" s="2"/>
      <x:c r="Q47" s="7" t="str">
        <x:v>MoE router / latent</x:v>
      </x:c>
      <x:c r="R47" s="7" t="n">
        <x:f>CHOOSE($R$22+1,92)</x:f>
        <x:v>92</x:v>
      </x:c>
      <x:c r="S47" s="7" t="n">
        <x:f>1</x:f>
        <x:v>1</x:v>
      </x:c>
      <x:c r="T47" s="7" t="n">
        <x:f>R47*S47</x:f>
        <x:v>92</x:v>
      </x:c>
      <x:c r="U47" s="28" t="n">
        <x:f>IF(T47=0,0,V47/T47)</x:f>
        <x:v>0.10767436027526855</x:v>
      </x:c>
      <x:c r="V47" s="28" t="n">
        <x:f>SUM(K38,K39,K40,K41,K42)</x:f>
        <x:v>9.906041145324707</x:v>
      </x:c>
      <x:c r="W47" s="31" t="n">
        <x:f>V47/$R$23</x:f>
        <x:v>0.29650764213751357</x:v>
      </x:c>
      <x:c r="X47" s="7" t="str"/>
      <x:c r="Y47" s="2"/>
      <x:c r="Z47" s="2"/>
      <x:c r="AA47" s="38" t="n">
        <x:f>IF($R$30=1,SUM(AB47:AD47)*(92)/1073741824,NA())</x:f>
        <x:v>0.4716796875</x:v>
      </x:c>
      <x:c r="AB47" s="39" t="n">
        <x:f>(6144/M47)*ROUNDUP((7168)*VLOOKUP(D47,$Q$32:$R$38,2,FALSE),0)</x:f>
        <x:v>5505024</x:v>
      </x:c>
      <x:c r="AC47" s="39" t="n">
        <x:f>IF(OR(D47="MXFP4",D47="MXFP8"),(6144/M47)*ROUNDUP((7168)/32,0),0)</x:f>
        <x:v>0</x:v>
      </x:c>
      <x:c r="AD47" s="39" t="n">
        <x:f>IF(D47="INT8",(6144/M47)*8,IF(D47="INT4",(6144/M47)*16,0))</x:f>
        <x:v>0</x:v>
      </x:c>
      <x:c r="AE47" s="39" t="n">
        <x:f>(6144)*ROUNDUP((7168)*VLOOKUP(D47,$Q$32:$R$38,2,FALSE),0)</x:f>
        <x:v>88080384</x:v>
      </x:c>
      <x:c r="AF47" s="39" t="n">
        <x:f>IF(OR(D47="MXFP4",D47="MXFP8"),(6144)*ROUNDUP((7168)/32,0),0)</x:f>
        <x:v>0</x:v>
      </x:c>
      <x:c r="AG47" s="39" t="n">
        <x:f>IF(D47="INT8",(6144)*8,IF(D47="INT4",(6144)*16,0))</x:f>
        <x:v>0</x:v>
      </x:c>
    </x:row>
    <x:row r="48" ht="18" customHeight="1">
      <x:c r="A48" s="7" t="str">
        <x:v>MoE</x:v>
      </x:c>
      <x:c r="B48" s="7" t="str">
        <x:v>shared_experts.down_proj</x:v>
      </x:c>
      <x:c r="C48" s="7" t="str">
        <x:v>[7168,6144]</x:v>
      </x:c>
      <x:c r="D48" s="10" t="str">
        <x:v>BF16</x:v>
      </x:c>
      <x:c r="E48" s="34" t="n">
        <x:v>92</x:v>
      </x:c>
      <x:c r="F48" s="34" t="n">
        <x:f>(7168)*(6144)</x:f>
        <x:v>44040192</x:v>
      </x:c>
      <x:c r="G48" s="7" t="str">
        <x:v>Shared TP</x:v>
      </x:c>
      <x:c r="H48" s="7" t="str">
        <x:v>None</x:v>
      </x:c>
      <x:c r="I48" s="7" t="str">
        <x:v>是</x:v>
      </x:c>
      <x:c r="J48" s="44" t="n">
        <x:f>E48*SUM(AE48:AG48)/1073741824</x:f>
        <x:v>7.546875</x:v>
      </x:c>
      <x:c r="K48" s="44" t="n">
        <x:f>AA48</x:f>
        <x:v>0.4716796875</x:v>
      </x:c>
      <x:c r="L48" s="7" t="str">
        <x:f>IF(OR(D48="MXFP4",D48="MXFP8"),"group 32 / E8M0",IF(D48="INT8","channel / 8 B",IF(D48="INT4","channel / 16 B","")))</x:f>
      </x:c>
      <x:c r="M48" s="45" t="n">
        <x:f>$R$10</x:f>
        <x:v>16</x:v>
      </x:c>
      <x:c r="N48" s="7" t="str">
        <x:f>"["&amp;(7168)&amp;","&amp;(6144/M48)&amp;"]"</x:f>
        <x:v>[7168,384]</x:v>
      </x:c>
      <x:c r="O48" s="34" t="n">
        <x:f>CHOOSE($R$22+1,92)</x:f>
        <x:v>92</x:v>
      </x:c>
      <x:c r="P48" s="2"/>
      <x:c r="Q48" s="7" t="str">
        <x:v>Routed experts</x:v>
      </x:c>
      <x:c r="R48" s="7" t="n">
        <x:f>CHOOSE($R$22+1,92)</x:f>
        <x:v>92</x:v>
      </x:c>
      <x:c r="S48" s="7" t="n">
        <x:f>ROUNDUP($T$9/$R$9,0)</x:f>
        <x:v>7</x:v>
      </x:c>
      <x:c r="T48" s="7" t="n">
        <x:f>R48*S48</x:f>
        <x:v>644</x:v>
      </x:c>
      <x:c r="U48" s="28" t="n">
        <x:f>IF(T48=0,0,V48/T48)</x:f>
        <x:v>0.0163421630859375</x:v>
      </x:c>
      <x:c r="V48" s="28" t="n">
        <x:f>SUM(K43,K44,K45)</x:f>
        <x:v>10.52435302734375</x:v>
      </x:c>
      <x:c r="W48" s="31" t="n">
        <x:f>V48/$R$23</x:f>
        <x:v>0.3150149545495564</x:v>
      </x:c>
      <x:c r="X48" s="7" t="str"/>
      <x:c r="Y48" s="2"/>
      <x:c r="Z48" s="2"/>
      <x:c r="AA48" s="38" t="n">
        <x:f>IF($R$30=1,SUM(AB48:AD48)*(92)/1073741824,NA())</x:f>
        <x:v>0.4716796875</x:v>
      </x:c>
      <x:c r="AB48" s="39" t="n">
        <x:f>(7168)*ROUNDUP((6144/M48)*VLOOKUP(D48,$Q$32:$R$38,2,FALSE),0)</x:f>
        <x:v>5505024</x:v>
      </x:c>
      <x:c r="AC48" s="39" t="n">
        <x:f>IF(OR(D48="MXFP4",D48="MXFP8"),(7168)*ROUNDUP((6144/M48)/32,0),0)</x:f>
        <x:v>0</x:v>
      </x:c>
      <x:c r="AD48" s="39" t="n">
        <x:f>IF(D48="INT8",(7168)*8,IF(D48="INT4",(7168)*16,0))</x:f>
        <x:v>0</x:v>
      </x:c>
      <x:c r="AE48" s="39" t="n">
        <x:f>(7168)*ROUNDUP((6144)*VLOOKUP(D48,$Q$32:$R$38,2,FALSE),0)</x:f>
        <x:v>88080384</x:v>
      </x:c>
      <x:c r="AF48" s="39" t="n">
        <x:f>IF(OR(D48="MXFP4",D48="MXFP8"),(7168)*ROUNDUP((6144)/32,0),0)</x:f>
        <x:v>0</x:v>
      </x:c>
      <x:c r="AG48" s="39" t="n">
        <x:f>IF(D48="INT8",(7168)*8,IF(D48="INT4",(7168)*16,0))</x:f>
        <x:v>0</x:v>
      </x:c>
    </x:row>
    <x:row r="49" ht="18" customHeight="1">
      <x:c r="A49" s="48" t="str">
        <x:v>ViT patch</x:v>
      </x:c>
      <x:c r="B49" s="48" t="str">
        <x:v>patch_embed.proj.weight</x:v>
      </x:c>
      <x:c r="C49" s="48" t="str">
        <x:v>[1024,3,14,14]</x:v>
      </x:c>
      <x:c r="D49" s="49" t="str">
        <x:v>BF16</x:v>
      </x:c>
      <x:c r="E49" s="50" t="n">
        <x:v>1</x:v>
      </x:c>
      <x:c r="F49" s="50" t="n">
        <x:f>(1024)*(3)*(14)*(14)</x:f>
        <x:v>602112</x:v>
      </x:c>
      <x:c r="G49" s="48" t="str">
        <x:v>Replicated</x:v>
      </x:c>
      <x:c r="H49" s="48" t="str">
        <x:v>None</x:v>
      </x:c>
      <x:c r="I49" s="48" t="str">
        <x:v>否</x:v>
      </x:c>
      <x:c r="J49" s="51" t="n">
        <x:f>E49*SUM(AE49:AG49)/1073741824</x:f>
        <x:v>0.00112152099609375</x:v>
      </x:c>
      <x:c r="K49" s="51" t="n">
        <x:f>AA49</x:f>
        <x:v>0.00112152099609375</x:v>
      </x:c>
      <x:c r="L49" s="48" t="str">
        <x:f>IF(OR(D49="MXFP4",D49="MXFP8"),"group 32 / E8M0",IF(D49="INT8","channel / 8 B",IF(D49="INT4","channel / 16 B","")))</x:f>
      </x:c>
      <x:c r="M49" s="52" t="n">
        <x:f>1</x:f>
        <x:v>1</x:v>
      </x:c>
      <x:c r="N49" s="48" t="str">
        <x:f>"["&amp;(1024/M49)&amp;","&amp;(3)&amp;","&amp;(14)&amp;","&amp;(14)&amp;"]"</x:f>
        <x:v>[1024,3,14,14]</x:v>
      </x:c>
      <x:c r="O49" s="50" t="n">
        <x:f>CHOOSE($R$22+1,1)</x:f>
        <x:v>1</x:v>
      </x:c>
      <x:c r="P49" s="2"/>
      <x:c r="Q49" s="7" t="str">
        <x:v>Shared experts</x:v>
      </x:c>
      <x:c r="R49" s="7" t="n">
        <x:f>CHOOSE($R$22+1,92)</x:f>
        <x:v>92</x:v>
      </x:c>
      <x:c r="S49" s="7" t="n">
        <x:f>1</x:f>
        <x:v>1</x:v>
      </x:c>
      <x:c r="T49" s="7" t="n">
        <x:f>R49*S49</x:f>
        <x:v>92</x:v>
      </x:c>
      <x:c r="U49" s="28" t="n">
        <x:f>IF(T49=0,0,V49/T49)</x:f>
        <x:v>0.015380859375</x:v>
      </x:c>
      <x:c r="V49" s="28" t="n">
        <x:f>SUM(K46,K47,K48)</x:f>
        <x:v>1.4150390625</x:v>
      </x:c>
      <x:c r="W49" s="31" t="n">
        <x:f>V49/$R$23</x:f>
        <x:v>0.042354951872209265</x:v>
      </x:c>
      <x:c r="X49" s="7" t="str">
        <x:v>2 experts 融合单元</x:v>
      </x:c>
      <x:c r="Y49" s="2"/>
      <x:c r="Z49" s="2"/>
      <x:c r="AA49" s="38" t="n">
        <x:f>IF($R$30=1,SUM(AB49:AD49)*(1)/1073741824,NA())</x:f>
        <x:v>0.00112152099609375</x:v>
      </x:c>
      <x:c r="AB49" s="39" t="n">
        <x:f>(1024/M49)*(3)*(14)*ROUNDUP((14)*VLOOKUP(D49,$Q$32:$R$38,2,FALSE),0)</x:f>
        <x:v>1204224</x:v>
      </x:c>
      <x:c r="AC49" s="39" t="n">
        <x:f>IF(OR(D49="MXFP4",D49="MXFP8"),(1024/M49)*(3)*(14)*ROUNDUP((14)/32,0),0)</x:f>
        <x:v>0</x:v>
      </x:c>
      <x:c r="AD49" s="39" t="n">
        <x:f>IF(D49="INT8",(1024/M49)*8,IF(D49="INT4",(1024/M49)*16,0))</x:f>
        <x:v>0</x:v>
      </x:c>
      <x:c r="AE49" s="39" t="n">
        <x:f>(1024)*(3)*(14)*ROUNDUP((14)*VLOOKUP(D49,$Q$32:$R$38,2,FALSE),0)</x:f>
        <x:v>1204224</x:v>
      </x:c>
      <x:c r="AF49" s="39" t="n">
        <x:f>IF(OR(D49="MXFP4",D49="MXFP8"),(1024)*(3)*(14)*ROUNDUP((14)/32,0),0)</x:f>
        <x:v>0</x:v>
      </x:c>
      <x:c r="AG49" s="39" t="n">
        <x:f>IF(D49="INT8",(1024)*8,IF(D49="INT4",(1024)*16,0))</x:f>
        <x:v>0</x:v>
      </x:c>
    </x:row>
    <x:row r="50" ht="18" customHeight="1">
      <x:c r="A50" s="7" t="str">
        <x:v>ViT patch</x:v>
      </x:c>
      <x:c r="B50" s="7" t="str">
        <x:v>patch_embed.pos_emb.weight</x:v>
      </x:c>
      <x:c r="C50" s="7" t="str">
        <x:v>[64,64,1024]</x:v>
      </x:c>
      <x:c r="D50" s="10" t="str">
        <x:v>BF16</x:v>
      </x:c>
      <x:c r="E50" s="34" t="n">
        <x:v>1</x:v>
      </x:c>
      <x:c r="F50" s="34" t="n">
        <x:f>(64)*(64)*(1024)</x:f>
        <x:v>4194304</x:v>
      </x:c>
      <x:c r="G50" s="7" t="str">
        <x:v>Replicated</x:v>
      </x:c>
      <x:c r="H50" s="7" t="str">
        <x:v>None</x:v>
      </x:c>
      <x:c r="I50" s="7" t="str">
        <x:v>否</x:v>
      </x:c>
      <x:c r="J50" s="44" t="n">
        <x:f>E50*SUM(AE50:AG50)/1073741824</x:f>
        <x:v>0.0078125</x:v>
      </x:c>
      <x:c r="K50" s="44" t="n">
        <x:f>AA50</x:f>
        <x:v>0.0078125</x:v>
      </x:c>
      <x:c r="L50" s="7" t="str">
        <x:f>IF(OR(D50="MXFP4",D50="MXFP8"),"group 32 / E8M0",IF(D50="INT8","channel / 8 B",IF(D50="INT4","channel / 16 B","")))</x:f>
      </x:c>
      <x:c r="M50" s="45" t="n">
        <x:f>1</x:f>
        <x:v>1</x:v>
      </x:c>
      <x:c r="N50" s="7" t="str">
        <x:f>"["&amp;(64/M50)&amp;","&amp;(64)&amp;","&amp;(1024)&amp;"]"</x:f>
        <x:v>[64,64,1024]</x:v>
      </x:c>
      <x:c r="O50" s="34" t="n">
        <x:f>CHOOSE($R$22+1,1)</x:f>
        <x:v>1</x:v>
      </x:c>
      <x:c r="P50" s="2"/>
      <x:c r="Q50" s="7" t="str">
        <x:v>ViT blocks</x:v>
      </x:c>
      <x:c r="R50" s="7" t="n">
        <x:f>CHOOSE($R$22+1,27)</x:f>
        <x:v>27</x:v>
      </x:c>
      <x:c r="S50" s="7" t="n">
        <x:f>1</x:f>
        <x:v>1</x:v>
      </x:c>
      <x:c r="T50" s="7" t="n">
        <x:f>R50*S50</x:f>
        <x:v>27</x:v>
      </x:c>
      <x:c r="U50" s="28" t="n">
        <x:f>IF(T50=0,0,V50/T50)</x:f>
        <x:v>0.027347564697265625</x:v>
      </x:c>
      <x:c r="V50" s="28" t="n">
        <x:f>SUM(K51,K52,K53,K54,K55)</x:f>
        <x:v>0.7383842468261719</x:v>
      </x:c>
      <x:c r="W50" s="31" t="n">
        <x:f>V50/$R$23</x:f>
        <x:v>0.022101318660607643</x:v>
      </x:c>
      <x:c r="X50" s="7" t="str"/>
      <x:c r="Y50" s="2"/>
      <x:c r="Z50" s="2"/>
      <x:c r="AA50" s="38" t="n">
        <x:f>IF($R$30=1,SUM(AB50:AD50)*(1)/1073741824,NA())</x:f>
        <x:v>0.0078125</x:v>
      </x:c>
      <x:c r="AB50" s="39" t="n">
        <x:f>(64/M50)*(64)*ROUNDUP((1024)*VLOOKUP(D50,$Q$32:$R$38,2,FALSE),0)</x:f>
        <x:v>8388608</x:v>
      </x:c>
      <x:c r="AC50" s="39" t="n">
        <x:f>IF(OR(D50="MXFP4",D50="MXFP8"),(64/M50)*(64)*ROUNDUP((1024)/32,0),0)</x:f>
        <x:v>0</x:v>
      </x:c>
      <x:c r="AD50" s="39" t="n">
        <x:f>IF(D50="INT8",(64/M50)*8,IF(D50="INT4",(64/M50)*16,0))</x:f>
        <x:v>0</x:v>
      </x:c>
      <x:c r="AE50" s="39" t="n">
        <x:f>(64)*(64)*ROUNDUP((1024)*VLOOKUP(D50,$Q$32:$R$38,2,FALSE),0)</x:f>
        <x:v>8388608</x:v>
      </x:c>
      <x:c r="AF50" s="39" t="n">
        <x:f>IF(OR(D50="MXFP4",D50="MXFP8"),(64)*(64)*ROUNDUP((1024)/32,0),0)</x:f>
        <x:v>0</x:v>
      </x:c>
      <x:c r="AG50" s="39" t="n">
        <x:f>IF(D50="INT8",(64)*8,IF(D50="INT4",(64)*16,0))</x:f>
        <x:v>0</x:v>
      </x:c>
    </x:row>
    <x:row r="51" ht="18" customHeight="1">
      <x:c r="A51" s="48" t="str">
        <x:v>ViT blocks</x:v>
      </x:c>
      <x:c r="B51" s="48" t="str">
        <x:v>blocks.*.{norm0,norm1}.weight</x:v>
      </x:c>
      <x:c r="C51" s="48" t="str">
        <x:v>[1024]</x:v>
      </x:c>
      <x:c r="D51" s="49" t="str">
        <x:v>BF16</x:v>
      </x:c>
      <x:c r="E51" s="50" t="n">
        <x:v>54</x:v>
      </x:c>
      <x:c r="F51" s="50" t="n">
        <x:f>(1024)</x:f>
        <x:v>1024</x:v>
      </x:c>
      <x:c r="G51" s="48" t="str">
        <x:v>Replicated</x:v>
      </x:c>
      <x:c r="H51" s="48" t="str">
        <x:v>None</x:v>
      </x:c>
      <x:c r="I51" s="48" t="str">
        <x:v>否</x:v>
      </x:c>
      <x:c r="J51" s="51" t="n">
        <x:f>E51*SUM(AE51:AG51)/1073741824</x:f>
        <x:v>0.000102996826171875</x:v>
      </x:c>
      <x:c r="K51" s="51" t="n">
        <x:f>AA51</x:f>
        <x:v>0.000102996826171875</x:v>
      </x:c>
      <x:c r="L51" s="48" t="str">
        <x:f>IF(OR(D51="MXFP4",D51="MXFP8"),"group 32 / E8M0",IF(D51="INT8","channel / 8 B",IF(D51="INT4","channel / 16 B","")))</x:f>
      </x:c>
      <x:c r="M51" s="52" t="n">
        <x:f>1</x:f>
        <x:v>1</x:v>
      </x:c>
      <x:c r="N51" s="48" t="str">
        <x:f>"["&amp;(1024/M51)&amp;"]"</x:f>
        <x:v>[1024]</x:v>
      </x:c>
      <x:c r="O51" s="50" t="n">
        <x:f>CHOOSE($R$22+1,54)</x:f>
        <x:v>54</x:v>
      </x:c>
      <x:c r="P51" s="2"/>
      <x:c r="Q51" s="7" t="str">
        <x:v>ViT patch / final / MM</x:v>
      </x:c>
      <x:c r="R51" s="7" t="n">
        <x:f>CHOOSE($R$22+1,1)</x:f>
        <x:v>1</x:v>
      </x:c>
      <x:c r="S51" s="7" t="n">
        <x:f>1</x:f>
        <x:v>1</x:v>
      </x:c>
      <x:c r="T51" s="7" t="n">
        <x:f>R51*S51</x:f>
        <x:v>1</x:v>
      </x:c>
      <x:c r="U51" s="28" t="n">
        <x:f>IF(T51=0,0,V51/T51)</x:f>
        <x:v>0.09488677978515625</x:v>
      </x:c>
      <x:c r="V51" s="28" t="n">
        <x:f>SUM(K49,K50,K56,K57,K58,K59)</x:f>
        <x:v>0.09488677978515625</x:v>
      </x:c>
      <x:c r="W51" s="31" t="n">
        <x:f>V51/$R$23</x:f>
        <x:v>0.002840151270459512</x:v>
      </x:c>
      <x:c r="X51" s="7" t="str"/>
      <x:c r="Y51" s="2"/>
      <x:c r="Z51" s="2"/>
      <x:c r="AA51" s="38" t="n">
        <x:f>IF($R$30=1,SUM(AB51:AD51)*(54)/1073741824,NA())</x:f>
        <x:v>0.000102996826171875</x:v>
      </x:c>
      <x:c r="AB51" s="39" t="n">
        <x:f>1*ROUNDUP((1024/M51)*VLOOKUP(D51,$Q$32:$R$38,2,FALSE),0)</x:f>
        <x:v>2048</x:v>
      </x:c>
      <x:c r="AC51" s="39" t="n">
        <x:f>IF(OR(D51="MXFP4",D51="MXFP8"),1*ROUNDUP((1024/M51)/32,0),0)</x:f>
        <x:v>0</x:v>
      </x:c>
      <x:c r="AD51" s="39" t="n">
        <x:f>IF(D51="INT8",(1024/M51)*8,IF(D51="INT4",(1024/M51)*16,0))</x:f>
        <x:v>0</x:v>
      </x:c>
      <x:c r="AE51" s="39" t="n">
        <x:f>1*ROUNDUP((1024)*VLOOKUP(D51,$Q$32:$R$38,2,FALSE),0)</x:f>
        <x:v>2048</x:v>
      </x:c>
      <x:c r="AF51" s="39" t="n">
        <x:f>IF(OR(D51="MXFP4",D51="MXFP8"),1*ROUNDUP((1024)/32,0),0)</x:f>
        <x:v>0</x:v>
      </x:c>
      <x:c r="AG51" s="39" t="n">
        <x:f>IF(D51="INT8",(1024)*8,IF(D51="INT4",(1024)*16,0))</x:f>
        <x:v>0</x:v>
      </x:c>
    </x:row>
    <x:row r="52" ht="18" customHeight="1">
      <x:c r="A52" s="7" t="str">
        <x:v>ViT blocks</x:v>
      </x:c>
      <x:c r="B52" s="7" t="str">
        <x:v>blocks.*.wqkv.weight</x:v>
      </x:c>
      <x:c r="C52" s="7" t="str">
        <x:v>[4608,1024]</x:v>
      </x:c>
      <x:c r="D52" s="10" t="str">
        <x:v>BF16</x:v>
      </x:c>
      <x:c r="E52" s="34" t="n">
        <x:v>27</x:v>
      </x:c>
      <x:c r="F52" s="34" t="n">
        <x:f>(4608)*(1024)</x:f>
        <x:v>4718592</x:v>
      </x:c>
      <x:c r="G52" s="7" t="str">
        <x:v>Replicated</x:v>
      </x:c>
      <x:c r="H52" s="7" t="str">
        <x:v>None</x:v>
      </x:c>
      <x:c r="I52" s="7" t="str">
        <x:v>否</x:v>
      </x:c>
      <x:c r="J52" s="44" t="n">
        <x:f>E52*SUM(AE52:AG52)/1073741824</x:f>
        <x:v>0.2373046875</x:v>
      </x:c>
      <x:c r="K52" s="44" t="n">
        <x:f>AA52</x:f>
        <x:v>0.2373046875</x:v>
      </x:c>
      <x:c r="L52" s="7" t="str">
        <x:f>IF(OR(D52="MXFP4",D52="MXFP8"),"group 32 / E8M0",IF(D52="INT8","channel / 8 B",IF(D52="INT4","channel / 16 B","")))</x:f>
      </x:c>
      <x:c r="M52" s="45" t="n">
        <x:f>1</x:f>
        <x:v>1</x:v>
      </x:c>
      <x:c r="N52" s="7" t="str">
        <x:f>"["&amp;(4608/M52)&amp;","&amp;(1024)&amp;"]"</x:f>
        <x:v>[4608,1024]</x:v>
      </x:c>
      <x:c r="O52" s="34" t="n">
        <x:f>CHOOSE($R$22+1,27)</x:f>
        <x:v>27</x:v>
      </x:c>
      <x:c r="P52" s="2"/>
      <x:c r="Q52" s="26" t="str">
        <x:v>合计</x:v>
      </x:c>
      <x:c r="R52" s="26"/>
      <x:c r="S52" s="26"/>
      <x:c r="T52" s="26"/>
      <x:c r="U52" s="29"/>
      <x:c r="V52" s="29" t="n">
        <x:f>SUM(V40:V51)</x:f>
        <x:v>33.409058444201946</x:v>
      </x:c>
      <x:c r="W52" s="26"/>
      <x:c r="X52" s="26"/>
      <x:c r="Y52" s="2"/>
      <x:c r="Z52" s="2"/>
      <x:c r="AA52" s="38" t="n">
        <x:f>IF($R$30=1,SUM(AB52:AD52)*(27)/1073741824,NA())</x:f>
        <x:v>0.2373046875</x:v>
      </x:c>
      <x:c r="AB52" s="39" t="n">
        <x:f>(4608/M52)*ROUNDUP((1024)*VLOOKUP(D52,$Q$32:$R$38,2,FALSE),0)</x:f>
        <x:v>9437184</x:v>
      </x:c>
      <x:c r="AC52" s="39" t="n">
        <x:f>IF(OR(D52="MXFP4",D52="MXFP8"),(4608/M52)*ROUNDUP((1024)/32,0),0)</x:f>
        <x:v>0</x:v>
      </x:c>
      <x:c r="AD52" s="39" t="n">
        <x:f>IF(D52="INT8",(4608/M52)*8,IF(D52="INT4",(4608/M52)*16,0))</x:f>
        <x:v>0</x:v>
      </x:c>
      <x:c r="AE52" s="39" t="n">
        <x:f>(4608)*ROUNDUP((1024)*VLOOKUP(D52,$Q$32:$R$38,2,FALSE),0)</x:f>
        <x:v>9437184</x:v>
      </x:c>
      <x:c r="AF52" s="39" t="n">
        <x:f>IF(OR(D52="MXFP4",D52="MXFP8"),(4608)*ROUNDUP((1024)/32,0),0)</x:f>
        <x:v>0</x:v>
      </x:c>
      <x:c r="AG52" s="39" t="n">
        <x:f>IF(D52="INT8",(4608)*8,IF(D52="INT4",(4608)*16,0))</x:f>
        <x:v>0</x:v>
      </x:c>
    </x:row>
    <x:row r="53" ht="18" customHeight="1">
      <x:c r="A53" s="7" t="str">
        <x:v>ViT blocks</x:v>
      </x:c>
      <x:c r="B53" s="7" t="str">
        <x:v>blocks.*.wo.weight</x:v>
      </x:c>
      <x:c r="C53" s="7" t="str">
        <x:v>[1024,1536]</x:v>
      </x:c>
      <x:c r="D53" s="10" t="str">
        <x:v>BF16</x:v>
      </x:c>
      <x:c r="E53" s="34" t="n">
        <x:v>27</x:v>
      </x:c>
      <x:c r="F53" s="34" t="n">
        <x:f>(1024)*(1536)</x:f>
        <x:v>1572864</x:v>
      </x:c>
      <x:c r="G53" s="7" t="str">
        <x:v>Replicated</x:v>
      </x:c>
      <x:c r="H53" s="7" t="str">
        <x:v>None</x:v>
      </x:c>
      <x:c r="I53" s="7" t="str">
        <x:v>否</x:v>
      </x:c>
      <x:c r="J53" s="44" t="n">
        <x:f>E53*SUM(AE53:AG53)/1073741824</x:f>
        <x:v>0.0791015625</x:v>
      </x:c>
      <x:c r="K53" s="44" t="n">
        <x:f>AA53</x:f>
        <x:v>0.0791015625</x:v>
      </x:c>
      <x:c r="L53" s="7" t="str">
        <x:f>IF(OR(D53="MXFP4",D53="MXFP8"),"group 32 / E8M0",IF(D53="INT8","channel / 8 B",IF(D53="INT4","channel / 16 B","")))</x:f>
      </x:c>
      <x:c r="M53" s="45" t="n">
        <x:f>1</x:f>
        <x:v>1</x:v>
      </x:c>
      <x:c r="N53" s="7" t="str">
        <x:f>"["&amp;(1024/M53)&amp;","&amp;(1536)&amp;"]"</x:f>
        <x:v>[1024,1536]</x:v>
      </x:c>
      <x:c r="O53" s="34" t="n">
        <x:f>CHOOSE($R$22+1,27)</x:f>
        <x:v>27</x:v>
      </x:c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  <x:c r="AA53" s="38" t="n">
        <x:f>IF($R$30=1,SUM(AB53:AD53)*(27)/1073741824,NA())</x:f>
        <x:v>0.0791015625</x:v>
      </x:c>
      <x:c r="AB53" s="39" t="n">
        <x:f>(1024/M53)*ROUNDUP((1536)*VLOOKUP(D53,$Q$32:$R$38,2,FALSE),0)</x:f>
        <x:v>3145728</x:v>
      </x:c>
      <x:c r="AC53" s="39" t="n">
        <x:f>IF(OR(D53="MXFP4",D53="MXFP8"),(1024/M53)*ROUNDUP((1536)/32,0),0)</x:f>
        <x:v>0</x:v>
      </x:c>
      <x:c r="AD53" s="39" t="n">
        <x:f>IF(D53="INT8",(1024/M53)*8,IF(D53="INT4",(1024/M53)*16,0))</x:f>
        <x:v>0</x:v>
      </x:c>
      <x:c r="AE53" s="39" t="n">
        <x:f>(1024)*ROUNDUP((1536)*VLOOKUP(D53,$Q$32:$R$38,2,FALSE),0)</x:f>
        <x:v>3145728</x:v>
      </x:c>
      <x:c r="AF53" s="39" t="n">
        <x:f>IF(OR(D53="MXFP4",D53="MXFP8"),(1024)*ROUNDUP((1536)/32,0),0)</x:f>
        <x:v>0</x:v>
      </x:c>
      <x:c r="AG53" s="39" t="n">
        <x:f>IF(D53="INT8",(1024)*8,IF(D53="INT4",(1024)*16,0))</x:f>
        <x:v>0</x:v>
      </x:c>
    </x:row>
    <x:row r="54" ht="18" customHeight="1">
      <x:c r="A54" s="7" t="str">
        <x:v>ViT blocks</x:v>
      </x:c>
      <x:c r="B54" s="7" t="str">
        <x:v>blocks.*.mlp.fc0.weight</x:v>
      </x:c>
      <x:c r="C54" s="7" t="str">
        <x:v>[4096,1024]</x:v>
      </x:c>
      <x:c r="D54" s="10" t="str">
        <x:v>BF16</x:v>
      </x:c>
      <x:c r="E54" s="34" t="n">
        <x:v>27</x:v>
      </x:c>
      <x:c r="F54" s="34" t="n">
        <x:f>(4096)*(1024)</x:f>
        <x:v>4194304</x:v>
      </x:c>
      <x:c r="G54" s="7" t="str">
        <x:v>Replicated</x:v>
      </x:c>
      <x:c r="H54" s="7" t="str">
        <x:v>None</x:v>
      </x:c>
      <x:c r="I54" s="7" t="str">
        <x:v>否</x:v>
      </x:c>
      <x:c r="J54" s="44" t="n">
        <x:f>E54*SUM(AE54:AG54)/1073741824</x:f>
        <x:v>0.2109375</x:v>
      </x:c>
      <x:c r="K54" s="44" t="n">
        <x:f>AA54</x:f>
        <x:v>0.2109375</x:v>
      </x:c>
      <x:c r="L54" s="7" t="str">
        <x:f>IF(OR(D54="MXFP4",D54="MXFP8"),"group 32 / E8M0",IF(D54="INT8","channel / 8 B",IF(D54="INT4","channel / 16 B","")))</x:f>
      </x:c>
      <x:c r="M54" s="45" t="n">
        <x:f>1</x:f>
        <x:v>1</x:v>
      </x:c>
      <x:c r="N54" s="7" t="str">
        <x:f>"["&amp;(4096/M54)&amp;","&amp;(1024)&amp;"]"</x:f>
        <x:v>[4096,1024]</x:v>
      </x:c>
      <x:c r="O54" s="34" t="n">
        <x:f>CHOOSE($R$22+1,27)</x:f>
        <x:v>27</x:v>
      </x:c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  <x:c r="AA54" s="38" t="n">
        <x:f>IF($R$30=1,SUM(AB54:AD54)*(27)/1073741824,NA())</x:f>
        <x:v>0.2109375</x:v>
      </x:c>
      <x:c r="AB54" s="39" t="n">
        <x:f>(4096/M54)*ROUNDUP((1024)*VLOOKUP(D54,$Q$32:$R$38,2,FALSE),0)</x:f>
        <x:v>8388608</x:v>
      </x:c>
      <x:c r="AC54" s="39" t="n">
        <x:f>IF(OR(D54="MXFP4",D54="MXFP8"),(4096/M54)*ROUNDUP((1024)/32,0),0)</x:f>
        <x:v>0</x:v>
      </x:c>
      <x:c r="AD54" s="39" t="n">
        <x:f>IF(D54="INT8",(4096/M54)*8,IF(D54="INT4",(4096/M54)*16,0))</x:f>
        <x:v>0</x:v>
      </x:c>
      <x:c r="AE54" s="39" t="n">
        <x:f>(4096)*ROUNDUP((1024)*VLOOKUP(D54,$Q$32:$R$38,2,FALSE),0)</x:f>
        <x:v>8388608</x:v>
      </x:c>
      <x:c r="AF54" s="39" t="n">
        <x:f>IF(OR(D54="MXFP4",D54="MXFP8"),(4096)*ROUNDUP((1024)/32,0),0)</x:f>
        <x:v>0</x:v>
      </x:c>
      <x:c r="AG54" s="39" t="n">
        <x:f>IF(D54="INT8",(4096)*8,IF(D54="INT4",(4096)*16,0))</x:f>
        <x:v>0</x:v>
      </x:c>
    </x:row>
    <x:row r="55" ht="18" customHeight="1">
      <x:c r="A55" s="7" t="str">
        <x:v>ViT blocks</x:v>
      </x:c>
      <x:c r="B55" s="7" t="str">
        <x:v>blocks.*.mlp.fc1.weight</x:v>
      </x:c>
      <x:c r="C55" s="7" t="str">
        <x:v>[1024,4096]</x:v>
      </x:c>
      <x:c r="D55" s="10" t="str">
        <x:v>BF16</x:v>
      </x:c>
      <x:c r="E55" s="34" t="n">
        <x:v>27</x:v>
      </x:c>
      <x:c r="F55" s="34" t="n">
        <x:f>(1024)*(4096)</x:f>
        <x:v>4194304</x:v>
      </x:c>
      <x:c r="G55" s="7" t="str">
        <x:v>Replicated</x:v>
      </x:c>
      <x:c r="H55" s="7" t="str">
        <x:v>None</x:v>
      </x:c>
      <x:c r="I55" s="7" t="str">
        <x:v>否</x:v>
      </x:c>
      <x:c r="J55" s="44" t="n">
        <x:f>E55*SUM(AE55:AG55)/1073741824</x:f>
        <x:v>0.2109375</x:v>
      </x:c>
      <x:c r="K55" s="44" t="n">
        <x:f>AA55</x:f>
        <x:v>0.2109375</x:v>
      </x:c>
      <x:c r="L55" s="7" t="str">
        <x:f>IF(OR(D55="MXFP4",D55="MXFP8"),"group 32 / E8M0",IF(D55="INT8","channel / 8 B",IF(D55="INT4","channel / 16 B","")))</x:f>
      </x:c>
      <x:c r="M55" s="45" t="n">
        <x:f>1</x:f>
        <x:v>1</x:v>
      </x:c>
      <x:c r="N55" s="7" t="str">
        <x:f>"["&amp;(1024/M55)&amp;","&amp;(4096)&amp;"]"</x:f>
        <x:v>[1024,4096]</x:v>
      </x:c>
      <x:c r="O55" s="34" t="n">
        <x:f>CHOOSE($R$22+1,27)</x:f>
        <x:v>27</x:v>
      </x:c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  <x:c r="AA55" s="38" t="n">
        <x:f>IF($R$30=1,SUM(AB55:AD55)*(27)/1073741824,NA())</x:f>
        <x:v>0.2109375</x:v>
      </x:c>
      <x:c r="AB55" s="39" t="n">
        <x:f>(1024/M55)*ROUNDUP((4096)*VLOOKUP(D55,$Q$32:$R$38,2,FALSE),0)</x:f>
        <x:v>8388608</x:v>
      </x:c>
      <x:c r="AC55" s="39" t="n">
        <x:f>IF(OR(D55="MXFP4",D55="MXFP8"),(1024/M55)*ROUNDUP((4096)/32,0),0)</x:f>
        <x:v>0</x:v>
      </x:c>
      <x:c r="AD55" s="39" t="n">
        <x:f>IF(D55="INT8",(1024/M55)*8,IF(D55="INT4",(1024/M55)*16,0))</x:f>
        <x:v>0</x:v>
      </x:c>
      <x:c r="AE55" s="39" t="n">
        <x:f>(1024)*ROUNDUP((4096)*VLOOKUP(D55,$Q$32:$R$38,2,FALSE),0)</x:f>
        <x:v>8388608</x:v>
      </x:c>
      <x:c r="AF55" s="39" t="n">
        <x:f>IF(OR(D55="MXFP4",D55="MXFP8"),(1024)*ROUNDUP((4096)/32,0),0)</x:f>
        <x:v>0</x:v>
      </x:c>
      <x:c r="AG55" s="39" t="n">
        <x:f>IF(D55="INT8",(1024)*8,IF(D55="INT4",(1024)*16,0))</x:f>
        <x:v>0</x:v>
      </x:c>
    </x:row>
    <x:row r="56" ht="18" customHeight="1">
      <x:c r="A56" s="48" t="str">
        <x:v>ViT final</x:v>
      </x:c>
      <x:c r="B56" s="48" t="str">
        <x:v>encoder.final_layernorm.weight</x:v>
      </x:c>
      <x:c r="C56" s="48" t="str">
        <x:v>[1024]</x:v>
      </x:c>
      <x:c r="D56" s="49" t="str">
        <x:v>BF16</x:v>
      </x:c>
      <x:c r="E56" s="50" t="n">
        <x:v>1</x:v>
      </x:c>
      <x:c r="F56" s="50" t="n">
        <x:f>(1024)</x:f>
        <x:v>1024</x:v>
      </x:c>
      <x:c r="G56" s="48" t="str">
        <x:v>Replicated</x:v>
      </x:c>
      <x:c r="H56" s="48" t="str">
        <x:v>None</x:v>
      </x:c>
      <x:c r="I56" s="48" t="str">
        <x:v>否</x:v>
      </x:c>
      <x:c r="J56" s="51" t="n">
        <x:f>E56*SUM(AE56:AG56)/1073741824</x:f>
        <x:v>0.0000019073486328125</x:v>
      </x:c>
      <x:c r="K56" s="51" t="n">
        <x:f>AA56</x:f>
        <x:v>0.0000019073486328125</x:v>
      </x:c>
      <x:c r="L56" s="48" t="str">
        <x:f>IF(OR(D56="MXFP4",D56="MXFP8"),"group 32 / E8M0",IF(D56="INT8","channel / 8 B",IF(D56="INT4","channel / 16 B","")))</x:f>
      </x:c>
      <x:c r="M56" s="52" t="n">
        <x:f>1</x:f>
        <x:v>1</x:v>
      </x:c>
      <x:c r="N56" s="48" t="str">
        <x:f>"["&amp;(1024/M56)&amp;"]"</x:f>
        <x:v>[1024]</x:v>
      </x:c>
      <x:c r="O56" s="50" t="n">
        <x:f>CHOOSE($R$22+1,1)</x:f>
        <x:v>1</x:v>
      </x:c>
      <x:c r="P56" s="2"/>
      <x:c r="Q56" s="5" t="str">
        <x:v>运行 buffer</x:v>
      </x:c>
      <x:c r="R56" s="5" t="str">
        <x:v>GiB</x:v>
      </x:c>
      <x:c r="S56" s="2"/>
      <x:c r="T56" s="2"/>
      <x:c r="U56" s="2"/>
      <x:c r="V56" s="2"/>
      <x:c r="W56" s="2"/>
      <x:c r="X56" s="2"/>
      <x:c r="Y56" s="2"/>
      <x:c r="Z56" s="2"/>
      <x:c r="AA56" s="38" t="n">
        <x:f>IF($R$30=1,SUM(AB56:AD56)*(1)/1073741824,NA())</x:f>
        <x:v>0.0000019073486328125</x:v>
      </x:c>
      <x:c r="AB56" s="39" t="n">
        <x:f>1*ROUNDUP((1024/M56)*VLOOKUP(D56,$Q$32:$R$38,2,FALSE),0)</x:f>
        <x:v>2048</x:v>
      </x:c>
      <x:c r="AC56" s="39" t="n">
        <x:f>IF(OR(D56="MXFP4",D56="MXFP8"),1*ROUNDUP((1024/M56)/32,0),0)</x:f>
        <x:v>0</x:v>
      </x:c>
      <x:c r="AD56" s="39" t="n">
        <x:f>IF(D56="INT8",(1024/M56)*8,IF(D56="INT4",(1024/M56)*16,0))</x:f>
        <x:v>0</x:v>
      </x:c>
      <x:c r="AE56" s="39" t="n">
        <x:f>1*ROUNDUP((1024)*VLOOKUP(D56,$Q$32:$R$38,2,FALSE),0)</x:f>
        <x:v>2048</x:v>
      </x:c>
      <x:c r="AF56" s="39" t="n">
        <x:f>IF(OR(D56="MXFP4",D56="MXFP8"),1*ROUNDUP((1024)/32,0),0)</x:f>
        <x:v>0</x:v>
      </x:c>
      <x:c r="AG56" s="39" t="n">
        <x:f>IF(D56="INT8",(1024)*8,IF(D56="INT4",(1024)*16,0))</x:f>
        <x:v>0</x:v>
      </x:c>
    </x:row>
    <x:row r="57" ht="18" customHeight="1">
      <x:c r="A57" s="48" t="str">
        <x:v>MM projector</x:v>
      </x:c>
      <x:c r="B57" s="48" t="str">
        <x:v>proj.0.weight</x:v>
      </x:c>
      <x:c r="C57" s="48" t="str">
        <x:v>[4096,4096]</x:v>
      </x:c>
      <x:c r="D57" s="49" t="str">
        <x:v>BF16</x:v>
      </x:c>
      <x:c r="E57" s="50" t="n">
        <x:v>1</x:v>
      </x:c>
      <x:c r="F57" s="50" t="n">
        <x:f>(4096)*(4096)</x:f>
        <x:v>16777216</x:v>
      </x:c>
      <x:c r="G57" s="48" t="str">
        <x:v>Replicated</x:v>
      </x:c>
      <x:c r="H57" s="48" t="str">
        <x:v>None</x:v>
      </x:c>
      <x:c r="I57" s="48" t="str">
        <x:v>否</x:v>
      </x:c>
      <x:c r="J57" s="51" t="n">
        <x:f>E57*SUM(AE57:AG57)/1073741824</x:f>
        <x:v>0.03125</x:v>
      </x:c>
      <x:c r="K57" s="51" t="n">
        <x:f>AA57</x:f>
        <x:v>0.03125</x:v>
      </x:c>
      <x:c r="L57" s="48" t="str">
        <x:f>IF(OR(D57="MXFP4",D57="MXFP8"),"group 32 / E8M0",IF(D57="INT8","channel / 8 B",IF(D57="INT4","channel / 16 B","")))</x:f>
      </x:c>
      <x:c r="M57" s="52" t="n">
        <x:f>1</x:f>
        <x:v>1</x:v>
      </x:c>
      <x:c r="N57" s="48" t="str">
        <x:f>"["&amp;(4096/M57)&amp;","&amp;(4096)&amp;"]"</x:f>
        <x:v>[4096,4096]</x:v>
      </x:c>
      <x:c r="O57" s="50" t="n">
        <x:f>CHOOSE($R$22+1,1)</x:f>
        <x:v>1</x:v>
      </x:c>
      <x:c r="P57" s="2"/>
      <x:c r="Q57" s="2" t="str">
        <x:v>Attention o_proj full gather</x:v>
      </x:c>
      <x:c r="R57" s="32" t="n">
        <x:f>0</x:f>
        <x:v>0</x:v>
      </x:c>
      <x:c r="S57" s="2"/>
      <x:c r="T57" s="2"/>
      <x:c r="U57" s="2"/>
      <x:c r="V57" s="2"/>
      <x:c r="W57" s="2"/>
      <x:c r="X57" s="2"/>
      <x:c r="Y57" s="2"/>
      <x:c r="Z57" s="2"/>
      <x:c r="AA57" s="38" t="n">
        <x:f>IF($R$30=1,SUM(AB57:AD57)*(1)/1073741824,NA())</x:f>
        <x:v>0.03125</x:v>
      </x:c>
      <x:c r="AB57" s="39" t="n">
        <x:f>(4096/M57)*ROUNDUP((4096)*VLOOKUP(D57,$Q$32:$R$38,2,FALSE),0)</x:f>
        <x:v>33554432</x:v>
      </x:c>
      <x:c r="AC57" s="39" t="n">
        <x:f>IF(OR(D57="MXFP4",D57="MXFP8"),(4096/M57)*ROUNDUP((4096)/32,0),0)</x:f>
        <x:v>0</x:v>
      </x:c>
      <x:c r="AD57" s="39" t="n">
        <x:f>IF(D57="INT8",(4096/M57)*8,IF(D57="INT4",(4096/M57)*16,0))</x:f>
        <x:v>0</x:v>
      </x:c>
      <x:c r="AE57" s="39" t="n">
        <x:f>(4096)*ROUNDUP((4096)*VLOOKUP(D57,$Q$32:$R$38,2,FALSE),0)</x:f>
        <x:v>33554432</x:v>
      </x:c>
      <x:c r="AF57" s="39" t="n">
        <x:f>IF(OR(D57="MXFP4",D57="MXFP8"),(4096)*ROUNDUP((4096)/32,0),0)</x:f>
        <x:v>0</x:v>
      </x:c>
      <x:c r="AG57" s="39" t="n">
        <x:f>IF(D57="INT8",(4096)*8,IF(D57="INT4",(4096)*16,0))</x:f>
        <x:v>0</x:v>
      </x:c>
    </x:row>
    <x:row r="58" ht="18" customHeight="1">
      <x:c r="A58" s="7" t="str">
        <x:v>MM projector</x:v>
      </x:c>
      <x:c r="B58" s="7" t="str">
        <x:v>proj.2.weight</x:v>
      </x:c>
      <x:c r="C58" s="7" t="str">
        <x:v>[7168,4096]</x:v>
      </x:c>
      <x:c r="D58" s="10" t="str">
        <x:v>BF16</x:v>
      </x:c>
      <x:c r="E58" s="34" t="n">
        <x:v>1</x:v>
      </x:c>
      <x:c r="F58" s="34" t="n">
        <x:f>(7168)*(4096)</x:f>
        <x:v>29360128</x:v>
      </x:c>
      <x:c r="G58" s="7" t="str">
        <x:v>Replicated</x:v>
      </x:c>
      <x:c r="H58" s="7" t="str">
        <x:v>None</x:v>
      </x:c>
      <x:c r="I58" s="7" t="str">
        <x:v>否</x:v>
      </x:c>
      <x:c r="J58" s="44" t="n">
        <x:f>E58*SUM(AE58:AG58)/1073741824</x:f>
        <x:v>0.0546875</x:v>
      </x:c>
      <x:c r="K58" s="44" t="n">
        <x:f>AA58</x:f>
        <x:v>0.0546875</x:v>
      </x:c>
      <x:c r="L58" s="7" t="str">
        <x:f>IF(OR(D58="MXFP4",D58="MXFP8"),"group 32 / E8M0",IF(D58="INT8","channel / 8 B",IF(D58="INT4","channel / 16 B","")))</x:f>
      </x:c>
      <x:c r="M58" s="45" t="n">
        <x:f>1</x:f>
        <x:v>1</x:v>
      </x:c>
      <x:c r="N58" s="7" t="str">
        <x:f>"["&amp;(7168/M58)&amp;","&amp;(4096)&amp;"]"</x:f>
        <x:v>[7168,4096]</x:v>
      </x:c>
      <x:c r="O58" s="34" t="n">
        <x:f>CHOOSE($R$22+1,1)</x:f>
        <x:v>1</x:v>
      </x:c>
      <x:c r="P58" s="2"/>
      <x:c r="Q58" s="2" t="str">
        <x:v>Attention o_proj transpose shard</x:v>
      </x:c>
      <x:c r="R58" s="32" t="n">
        <x:f>0</x:f>
        <x:v>0</x:v>
      </x:c>
      <x:c r="S58" s="2"/>
      <x:c r="T58" s="2"/>
      <x:c r="U58" s="2"/>
      <x:c r="V58" s="2"/>
      <x:c r="W58" s="2"/>
      <x:c r="X58" s="2"/>
      <x:c r="Y58" s="2"/>
      <x:c r="Z58" s="2"/>
      <x:c r="AA58" s="38" t="n">
        <x:f>IF($R$30=1,SUM(AB58:AD58)*(1)/1073741824,NA())</x:f>
        <x:v>0.0546875</x:v>
      </x:c>
      <x:c r="AB58" s="39" t="n">
        <x:f>(7168/M58)*ROUNDUP((4096)*VLOOKUP(D58,$Q$32:$R$38,2,FALSE),0)</x:f>
        <x:v>58720256</x:v>
      </x:c>
      <x:c r="AC58" s="39" t="n">
        <x:f>IF(OR(D58="MXFP4",D58="MXFP8"),(7168/M58)*ROUNDUP((4096)/32,0),0)</x:f>
        <x:v>0</x:v>
      </x:c>
      <x:c r="AD58" s="39" t="n">
        <x:f>IF(D58="INT8",(7168/M58)*8,IF(D58="INT4",(7168/M58)*16,0))</x:f>
        <x:v>0</x:v>
      </x:c>
      <x:c r="AE58" s="39" t="n">
        <x:f>(7168)*ROUNDUP((4096)*VLOOKUP(D58,$Q$32:$R$38,2,FALSE),0)</x:f>
        <x:v>58720256</x:v>
      </x:c>
      <x:c r="AF58" s="39" t="n">
        <x:f>IF(OR(D58="MXFP4",D58="MXFP8"),(7168)*ROUNDUP((4096)/32,0),0)</x:f>
        <x:v>0</x:v>
      </x:c>
      <x:c r="AG58" s="39" t="n">
        <x:f>IF(D58="INT8",(7168)*8,IF(D58="INT4",(7168)*16,0))</x:f>
        <x:v>0</x:v>
      </x:c>
    </x:row>
    <x:row r="59" ht="18" customHeight="1">
      <x:c r="A59" s="8" t="str">
        <x:v>MM projector</x:v>
      </x:c>
      <x:c r="B59" s="8" t="str">
        <x:v>post_norm.weight</x:v>
      </x:c>
      <x:c r="C59" s="8" t="str">
        <x:v>[7168]</x:v>
      </x:c>
      <x:c r="D59" s="11" t="str">
        <x:v>BF16</x:v>
      </x:c>
      <x:c r="E59" s="35" t="n">
        <x:v>1</x:v>
      </x:c>
      <x:c r="F59" s="35" t="n">
        <x:f>(7168)</x:f>
        <x:v>7168</x:v>
      </x:c>
      <x:c r="G59" s="8" t="str">
        <x:v>Replicated</x:v>
      </x:c>
      <x:c r="H59" s="8" t="str">
        <x:v>None</x:v>
      </x:c>
      <x:c r="I59" s="8" t="str">
        <x:v>否</x:v>
      </x:c>
      <x:c r="J59" s="46" t="n">
        <x:f>E59*SUM(AE59:AG59)/1073741824</x:f>
        <x:v>0.0000133514404296875</x:v>
      </x:c>
      <x:c r="K59" s="46" t="n">
        <x:f>AA59</x:f>
        <x:v>0.0000133514404296875</x:v>
      </x:c>
      <x:c r="L59" s="8" t="str">
        <x:f>IF(OR(D59="MXFP4",D59="MXFP8"),"group 32 / E8M0",IF(D59="INT8","channel / 8 B",IF(D59="INT4","channel / 16 B","")))</x:f>
      </x:c>
      <x:c r="M59" s="47" t="n">
        <x:f>1</x:f>
        <x:v>1</x:v>
      </x:c>
      <x:c r="N59" s="8" t="str">
        <x:f>"["&amp;(7168/M59)&amp;"]"</x:f>
        <x:v>[7168]</x:v>
      </x:c>
      <x:c r="O59" s="35" t="n">
        <x:f>CHOOSE($R$22+1,1)</x:f>
        <x:v>1</x:v>
      </x:c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  <x:c r="AA59" s="38" t="n">
        <x:f>IF($R$30=1,SUM(AB59:AD59)*(1)/1073741824,NA())</x:f>
        <x:v>0.0000133514404296875</x:v>
      </x:c>
      <x:c r="AB59" s="39" t="n">
        <x:f>1*ROUNDUP((7168/M59)*VLOOKUP(D59,$Q$32:$R$38,2,FALSE),0)</x:f>
        <x:v>14336</x:v>
      </x:c>
      <x:c r="AC59" s="39" t="n">
        <x:f>IF(OR(D59="MXFP4",D59="MXFP8"),1*ROUNDUP((7168/M59)/32,0),0)</x:f>
        <x:v>0</x:v>
      </x:c>
      <x:c r="AD59" s="39" t="n">
        <x:f>IF(D59="INT8",(7168/M59)*8,IF(D59="INT4",(7168/M59)*16,0))</x:f>
        <x:v>0</x:v>
      </x:c>
      <x:c r="AE59" s="39" t="n">
        <x:f>1*ROUNDUP((7168)*VLOOKUP(D59,$Q$32:$R$38,2,FALSE),0)</x:f>
        <x:v>14336</x:v>
      </x:c>
      <x:c r="AF59" s="39" t="n">
        <x:f>IF(OR(D59="MXFP4",D59="MXFP8"),1*ROUNDUP((7168)/32,0),0)</x:f>
        <x:v>0</x:v>
      </x:c>
      <x:c r="AG59" s="39" t="n">
        <x:f>IF(D59="INT8",(7168)*8,IF(D59="INT4",(7168)*16,0))</x:f>
        <x:v>0</x:v>
      </x:c>
    </x:row>
    <x:row r="60" ht="18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  <x:c r="AA60" s="2"/>
      <x:c r="AB60" s="2"/>
      <x:c r="AC60" s="2"/>
      <x:c r="AD60" s="2"/>
      <x:c r="AE60" s="2"/>
      <x:c r="AF60" s="2"/>
      <x:c r="AG60" s="2"/>
    </x:row>
    <x:row r="61" ht="18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  <x:c r="AA61" s="2"/>
      <x:c r="AB61" s="2"/>
      <x:c r="AC61" s="2"/>
      <x:c r="AD61" s="2"/>
      <x:c r="AE61" s="2"/>
      <x:c r="AF61" s="2"/>
      <x:c r="AG61" s="2"/>
    </x:row>
    <x:row r="62" ht="32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41" t="str">
        <x:v>Token 数</x:v>
      </x:c>
      <x:c r="R62" s="41" t="str">
        <x:v>本卡主缓存 token</x:v>
      </x:c>
      <x:c r="S62" s="41" t="str">
        <x:v>MLA latent+scale GiB</x:v>
      </x:c>
      <x:c r="T62" s="41" t="str">
        <x:v>RoPE GiB</x:v>
      </x:c>
      <x:c r="U62" s="41" t="str">
        <x:v>Indexer K+scale GiB</x:v>
      </x:c>
      <x:c r="V62" s="41" t="str">
        <x:v>KDA recurrent GiB</x:v>
      </x:c>
      <x:c r="W62" s="41" t="str">
        <x:v>KDA conv GiB</x:v>
      </x:c>
      <x:c r="X62" s="41" t="str">
        <x:v>单请求 cache GiB</x:v>
      </x:c>
      <x:c r="Y62" s="41" t="str">
        <x:v>权重 + cache GiB</x:v>
      </x:c>
      <x:c r="Z62" s="2"/>
      <x:c r="AA62" s="2"/>
      <x:c r="AB62" s="2"/>
      <x:c r="AC62" s="2"/>
      <x:c r="AD62" s="2"/>
      <x:c r="AE62" s="2"/>
      <x:c r="AF62" s="2"/>
      <x:c r="AG62" s="2"/>
    </x:row>
    <x:row r="63" ht="18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33" t="n">
        <x:f>$R$18</x:f>
        <x:v>131072</x:v>
      </x:c>
      <x:c r="R63" s="33" t="n">
        <x:f>ROUNDUP(Q63/($R$19*$R$12),0)*$R$19</x:f>
        <x:v>131072</x:v>
      </x:c>
      <x:c r="S63" s="27" t="n">
        <x:f>R63*$T$3*$V$32/1073741824</x:f>
        <x:v>3</x:v>
      </x:c>
      <x:c r="T63" s="27" t="n">
        <x:f>R63*$T$3*$V$33/1073741824</x:f>
        <x:v>0.375</x:v>
      </x:c>
      <x:c r="U63" s="27" t="n">
        <x:f>R63*$R$12*$T$3*$V$35/1073741824</x:f>
        <x:v>0</x:v>
      </x:c>
      <x:c r="V63" s="27" t="n">
        <x:f>$T$2*($T$4/$R$2)*$T$5*$T$5*$R$17/1073741824</x:f>
        <x:v>0.0252685546875</x:v>
      </x:c>
      <x:c r="W63" s="27" t="n">
        <x:f>$T$2*3*($T$4/$R$2)*$T$5*($T$14-1+$R$20)*$R$16/1073741824</x:f>
        <x:v>0.0008883476257324219</x:v>
      </x:c>
      <x:c r="X63" s="27" t="n">
        <x:f>IF($R$30=1,SUM(S63:W63),NA())</x:f>
        <x:v>3.4011569023132324</x:v>
      </x:c>
      <x:c r="Y63" s="27" t="n">
        <x:f>$R$23+X63</x:f>
        <x:v>36.81021534651518</x:v>
      </x:c>
      <x:c r="Z63" s="2"/>
      <x:c r="AA63" s="2"/>
      <x:c r="AB63" s="2"/>
      <x:c r="AC63" s="2"/>
      <x:c r="AD63" s="2"/>
      <x:c r="AE63" s="2"/>
      <x:c r="AF63" s="2"/>
      <x:c r="AG63" s="2"/>
    </x:row>
    <x:row r="64" ht="18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14" t="n">
        <x:v>1024</x:v>
      </x:c>
      <x:c r="R64" s="34" t="n">
        <x:f>ROUNDUP(Q64/($R$19*$R$12),0)*$R$19</x:f>
        <x:v>1024</x:v>
      </x:c>
      <x:c r="S64" s="28" t="n">
        <x:f>R64*$T$3*$V$32/1073741824</x:f>
        <x:v>0.0234375</x:v>
      </x:c>
      <x:c r="T64" s="28" t="n">
        <x:f>R64*$T$3*$V$33/1073741824</x:f>
        <x:v>0.0029296875</x:v>
      </x:c>
      <x:c r="U64" s="28" t="n">
        <x:f>R64*$R$12*$T$3*$V$35/1073741824</x:f>
        <x:v>0</x:v>
      </x:c>
      <x:c r="V64" s="28" t="n">
        <x:f>$T$2*($T$4/$R$2)*$T$5*$T$5*$R$17/1073741824</x:f>
        <x:v>0.0252685546875</x:v>
      </x:c>
      <x:c r="W64" s="28" t="n">
        <x:f>$T$2*3*($T$4/$R$2)*$T$5*($T$14-1+$R$20)*$R$16/1073741824</x:f>
        <x:v>0.0008883476257324219</x:v>
      </x:c>
      <x:c r="X64" s="28" t="n">
        <x:f>IF($R$30=1,SUM(S64:W64),NA())</x:f>
        <x:v>0.05252408981323242</x:v>
      </x:c>
      <x:c r="Y64" s="28" t="n">
        <x:f>$R$23+X64</x:f>
        <x:v>33.46158253401518</x:v>
      </x:c>
      <x:c r="Z64" s="2"/>
      <x:c r="AA64" s="2"/>
      <x:c r="AB64" s="2"/>
      <x:c r="AC64" s="2"/>
      <x:c r="AD64" s="2"/>
      <x:c r="AE64" s="2"/>
      <x:c r="AF64" s="2"/>
      <x:c r="AG64" s="2"/>
    </x:row>
    <x:row r="65" ht="18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14" t="n">
        <x:v>4096</x:v>
      </x:c>
      <x:c r="R65" s="34" t="n">
        <x:f>ROUNDUP(Q65/($R$19*$R$12),0)*$R$19</x:f>
        <x:v>4096</x:v>
      </x:c>
      <x:c r="S65" s="28" t="n">
        <x:f>R65*$T$3*$V$32/1073741824</x:f>
        <x:v>0.09375</x:v>
      </x:c>
      <x:c r="T65" s="28" t="n">
        <x:f>R65*$T$3*$V$33/1073741824</x:f>
        <x:v>0.01171875</x:v>
      </x:c>
      <x:c r="U65" s="28" t="n">
        <x:f>R65*$R$12*$T$3*$V$35/1073741824</x:f>
        <x:v>0</x:v>
      </x:c>
      <x:c r="V65" s="28" t="n">
        <x:f>$T$2*($T$4/$R$2)*$T$5*$T$5*$R$17/1073741824</x:f>
        <x:v>0.0252685546875</x:v>
      </x:c>
      <x:c r="W65" s="28" t="n">
        <x:f>$T$2*3*($T$4/$R$2)*$T$5*($T$14-1+$R$20)*$R$16/1073741824</x:f>
        <x:v>0.0008883476257324219</x:v>
      </x:c>
      <x:c r="X65" s="28" t="n">
        <x:f>IF($R$30=1,SUM(S65:W65),NA())</x:f>
        <x:v>0.13162565231323242</x:v>
      </x:c>
      <x:c r="Y65" s="28" t="n">
        <x:f>$R$23+X65</x:f>
        <x:v>33.54068409651518</x:v>
      </x:c>
      <x:c r="Z65" s="2"/>
      <x:c r="AA65" s="2"/>
      <x:c r="AB65" s="2"/>
      <x:c r="AC65" s="2"/>
      <x:c r="AD65" s="2"/>
      <x:c r="AE65" s="2"/>
      <x:c r="AF65" s="2"/>
      <x:c r="AG65" s="2"/>
    </x:row>
    <x:row r="66" ht="18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14" t="n">
        <x:v>8192</x:v>
      </x:c>
      <x:c r="R66" s="34" t="n">
        <x:f>ROUNDUP(Q66/($R$19*$R$12),0)*$R$19</x:f>
        <x:v>8192</x:v>
      </x:c>
      <x:c r="S66" s="28" t="n">
        <x:f>R66*$T$3*$V$32/1073741824</x:f>
        <x:v>0.1875</x:v>
      </x:c>
      <x:c r="T66" s="28" t="n">
        <x:f>R66*$T$3*$V$33/1073741824</x:f>
        <x:v>0.0234375</x:v>
      </x:c>
      <x:c r="U66" s="28" t="n">
        <x:f>R66*$R$12*$T$3*$V$35/1073741824</x:f>
        <x:v>0</x:v>
      </x:c>
      <x:c r="V66" s="28" t="n">
        <x:f>$T$2*($T$4/$R$2)*$T$5*$T$5*$R$17/1073741824</x:f>
        <x:v>0.0252685546875</x:v>
      </x:c>
      <x:c r="W66" s="28" t="n">
        <x:f>$T$2*3*($T$4/$R$2)*$T$5*($T$14-1+$R$20)*$R$16/1073741824</x:f>
        <x:v>0.0008883476257324219</x:v>
      </x:c>
      <x:c r="X66" s="28" t="n">
        <x:f>IF($R$30=1,SUM(S66:W66),NA())</x:f>
        <x:v>0.23709440231323242</x:v>
      </x:c>
      <x:c r="Y66" s="28" t="n">
        <x:f>$R$23+X66</x:f>
        <x:v>33.64615284651518</x:v>
      </x:c>
      <x:c r="Z66" s="2"/>
      <x:c r="AA66" s="2"/>
      <x:c r="AB66" s="2"/>
      <x:c r="AC66" s="2"/>
      <x:c r="AD66" s="2"/>
      <x:c r="AE66" s="2"/>
      <x:c r="AF66" s="2"/>
      <x:c r="AG66" s="2"/>
    </x:row>
    <x:row r="67" ht="18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14" t="n">
        <x:v>16384</x:v>
      </x:c>
      <x:c r="R67" s="34" t="n">
        <x:f>ROUNDUP(Q67/($R$19*$R$12),0)*$R$19</x:f>
        <x:v>16384</x:v>
      </x:c>
      <x:c r="S67" s="28" t="n">
        <x:f>R67*$T$3*$V$32/1073741824</x:f>
        <x:v>0.375</x:v>
      </x:c>
      <x:c r="T67" s="28" t="n">
        <x:f>R67*$T$3*$V$33/1073741824</x:f>
        <x:v>0.046875</x:v>
      </x:c>
      <x:c r="U67" s="28" t="n">
        <x:f>R67*$R$12*$T$3*$V$35/1073741824</x:f>
        <x:v>0</x:v>
      </x:c>
      <x:c r="V67" s="28" t="n">
        <x:f>$T$2*($T$4/$R$2)*$T$5*$T$5*$R$17/1073741824</x:f>
        <x:v>0.0252685546875</x:v>
      </x:c>
      <x:c r="W67" s="28" t="n">
        <x:f>$T$2*3*($T$4/$R$2)*$T$5*($T$14-1+$R$20)*$R$16/1073741824</x:f>
        <x:v>0.0008883476257324219</x:v>
      </x:c>
      <x:c r="X67" s="28" t="n">
        <x:f>IF($R$30=1,SUM(S67:W67),NA())</x:f>
        <x:v>0.4480319023132324</x:v>
      </x:c>
      <x:c r="Y67" s="28" t="n">
        <x:f>$R$23+X67</x:f>
        <x:v>33.85709034651518</x:v>
      </x:c>
      <x:c r="Z67" s="2"/>
      <x:c r="AA67" s="2"/>
      <x:c r="AB67" s="2"/>
      <x:c r="AC67" s="2"/>
      <x:c r="AD67" s="2"/>
      <x:c r="AE67" s="2"/>
      <x:c r="AF67" s="2"/>
      <x:c r="AG67" s="2"/>
    </x:row>
    <x:row r="68" ht="18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14" t="n">
        <x:v>32768</x:v>
      </x:c>
      <x:c r="R68" s="34" t="n">
        <x:f>ROUNDUP(Q68/($R$19*$R$12),0)*$R$19</x:f>
        <x:v>32768</x:v>
      </x:c>
      <x:c r="S68" s="28" t="n">
        <x:f>R68*$T$3*$V$32/1073741824</x:f>
        <x:v>0.75</x:v>
      </x:c>
      <x:c r="T68" s="28" t="n">
        <x:f>R68*$T$3*$V$33/1073741824</x:f>
        <x:v>0.09375</x:v>
      </x:c>
      <x:c r="U68" s="28" t="n">
        <x:f>R68*$R$12*$T$3*$V$35/1073741824</x:f>
        <x:v>0</x:v>
      </x:c>
      <x:c r="V68" s="28" t="n">
        <x:f>$T$2*($T$4/$R$2)*$T$5*$T$5*$R$17/1073741824</x:f>
        <x:v>0.0252685546875</x:v>
      </x:c>
      <x:c r="W68" s="28" t="n">
        <x:f>$T$2*3*($T$4/$R$2)*$T$5*($T$14-1+$R$20)*$R$16/1073741824</x:f>
        <x:v>0.0008883476257324219</x:v>
      </x:c>
      <x:c r="X68" s="28" t="n">
        <x:f>IF($R$30=1,SUM(S68:W68),NA())</x:f>
        <x:v>0.8699069023132324</x:v>
      </x:c>
      <x:c r="Y68" s="28" t="n">
        <x:f>$R$23+X68</x:f>
        <x:v>34.27896534651518</x:v>
      </x:c>
      <x:c r="Z68" s="2"/>
      <x:c r="AA68" s="2"/>
      <x:c r="AB68" s="2"/>
      <x:c r="AC68" s="2"/>
      <x:c r="AD68" s="2"/>
      <x:c r="AE68" s="2"/>
      <x:c r="AF68" s="2"/>
      <x:c r="AG68" s="2"/>
    </x:row>
    <x:row r="69" ht="18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14" t="n">
        <x:v>65536</x:v>
      </x:c>
      <x:c r="R69" s="34" t="n">
        <x:f>ROUNDUP(Q69/($R$19*$R$12),0)*$R$19</x:f>
        <x:v>65536</x:v>
      </x:c>
      <x:c r="S69" s="28" t="n">
        <x:f>R69*$T$3*$V$32/1073741824</x:f>
        <x:v>1.5</x:v>
      </x:c>
      <x:c r="T69" s="28" t="n">
        <x:f>R69*$T$3*$V$33/1073741824</x:f>
        <x:v>0.1875</x:v>
      </x:c>
      <x:c r="U69" s="28" t="n">
        <x:f>R69*$R$12*$T$3*$V$35/1073741824</x:f>
        <x:v>0</x:v>
      </x:c>
      <x:c r="V69" s="28" t="n">
        <x:f>$T$2*($T$4/$R$2)*$T$5*$T$5*$R$17/1073741824</x:f>
        <x:v>0.0252685546875</x:v>
      </x:c>
      <x:c r="W69" s="28" t="n">
        <x:f>$T$2*3*($T$4/$R$2)*$T$5*($T$14-1+$R$20)*$R$16/1073741824</x:f>
        <x:v>0.0008883476257324219</x:v>
      </x:c>
      <x:c r="X69" s="28" t="n">
        <x:f>IF($R$30=1,SUM(S69:W69),NA())</x:f>
        <x:v>1.7136569023132324</x:v>
      </x:c>
      <x:c r="Y69" s="28" t="n">
        <x:f>$R$23+X69</x:f>
        <x:v>35.12271534651518</x:v>
      </x:c>
      <x:c r="Z69" s="2"/>
      <x:c r="AA69" s="2"/>
      <x:c r="AB69" s="2"/>
      <x:c r="AC69" s="2"/>
      <x:c r="AD69" s="2"/>
      <x:c r="AE69" s="2"/>
      <x:c r="AF69" s="2"/>
      <x:c r="AG69" s="2"/>
    </x:row>
    <x:row r="70" ht="18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14" t="n">
        <x:v>131072</x:v>
      </x:c>
      <x:c r="R70" s="34" t="n">
        <x:f>ROUNDUP(Q70/($R$19*$R$12),0)*$R$19</x:f>
        <x:v>131072</x:v>
      </x:c>
      <x:c r="S70" s="28" t="n">
        <x:f>R70*$T$3*$V$32/1073741824</x:f>
        <x:v>3</x:v>
      </x:c>
      <x:c r="T70" s="28" t="n">
        <x:f>R70*$T$3*$V$33/1073741824</x:f>
        <x:v>0.375</x:v>
      </x:c>
      <x:c r="U70" s="28" t="n">
        <x:f>R70*$R$12*$T$3*$V$35/1073741824</x:f>
        <x:v>0</x:v>
      </x:c>
      <x:c r="V70" s="28" t="n">
        <x:f>$T$2*($T$4/$R$2)*$T$5*$T$5*$R$17/1073741824</x:f>
        <x:v>0.0252685546875</x:v>
      </x:c>
      <x:c r="W70" s="28" t="n">
        <x:f>$T$2*3*($T$4/$R$2)*$T$5*($T$14-1+$R$20)*$R$16/1073741824</x:f>
        <x:v>0.0008883476257324219</x:v>
      </x:c>
      <x:c r="X70" s="28" t="n">
        <x:f>IF($R$30=1,SUM(S70:W70),NA())</x:f>
        <x:v>3.4011569023132324</x:v>
      </x:c>
      <x:c r="Y70" s="28" t="n">
        <x:f>$R$23+X70</x:f>
        <x:v>36.81021534651518</x:v>
      </x:c>
      <x:c r="Z70" s="2"/>
      <x:c r="AA70" s="2"/>
      <x:c r="AB70" s="2"/>
      <x:c r="AC70" s="2"/>
      <x:c r="AD70" s="2"/>
      <x:c r="AE70" s="2"/>
      <x:c r="AF70" s="2"/>
      <x:c r="AG70" s="2"/>
    </x:row>
    <x:row r="71" ht="18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14" t="n">
        <x:v>262144</x:v>
      </x:c>
      <x:c r="R71" s="34" t="n">
        <x:f>ROUNDUP(Q71/($R$19*$R$12),0)*$R$19</x:f>
        <x:v>262144</x:v>
      </x:c>
      <x:c r="S71" s="28" t="n">
        <x:f>R71*$T$3*$V$32/1073741824</x:f>
        <x:v>6</x:v>
      </x:c>
      <x:c r="T71" s="28" t="n">
        <x:f>R71*$T$3*$V$33/1073741824</x:f>
        <x:v>0.75</x:v>
      </x:c>
      <x:c r="U71" s="28" t="n">
        <x:f>R71*$R$12*$T$3*$V$35/1073741824</x:f>
        <x:v>0</x:v>
      </x:c>
      <x:c r="V71" s="28" t="n">
        <x:f>$T$2*($T$4/$R$2)*$T$5*$T$5*$R$17/1073741824</x:f>
        <x:v>0.0252685546875</x:v>
      </x:c>
      <x:c r="W71" s="28" t="n">
        <x:f>$T$2*3*($T$4/$R$2)*$T$5*($T$14-1+$R$20)*$R$16/1073741824</x:f>
        <x:v>0.0008883476257324219</x:v>
      </x:c>
      <x:c r="X71" s="28" t="n">
        <x:f>IF($R$30=1,SUM(S71:W71),NA())</x:f>
        <x:v>6.776156902313232</x:v>
      </x:c>
      <x:c r="Y71" s="28" t="n">
        <x:f>$R$23+X71</x:f>
        <x:v>40.18521534651518</x:v>
      </x:c>
      <x:c r="Z71" s="2"/>
      <x:c r="AA71" s="2"/>
      <x:c r="AB71" s="2"/>
      <x:c r="AC71" s="2"/>
      <x:c r="AD71" s="2"/>
      <x:c r="AE71" s="2"/>
      <x:c r="AF71" s="2"/>
      <x:c r="AG71" s="2"/>
    </x:row>
    <x:row r="72" ht="18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16" t="n">
        <x:v>1048576</x:v>
      </x:c>
      <x:c r="R72" s="35" t="n">
        <x:f>ROUNDUP(Q72/($R$19*$R$12),0)*$R$19</x:f>
        <x:v>1048576</x:v>
      </x:c>
      <x:c r="S72" s="36" t="n">
        <x:f>R72*$T$3*$V$32/1073741824</x:f>
        <x:v>24</x:v>
      </x:c>
      <x:c r="T72" s="36" t="n">
        <x:f>R72*$T$3*$V$33/1073741824</x:f>
        <x:v>3</x:v>
      </x:c>
      <x:c r="U72" s="36" t="n">
        <x:f>R72*$R$12*$T$3*$V$35/1073741824</x:f>
        <x:v>0</x:v>
      </x:c>
      <x:c r="V72" s="36" t="n">
        <x:f>$T$2*($T$4/$R$2)*$T$5*$T$5*$R$17/1073741824</x:f>
        <x:v>0.0252685546875</x:v>
      </x:c>
      <x:c r="W72" s="36" t="n">
        <x:f>$T$2*3*($T$4/$R$2)*$T$5*($T$14-1+$R$20)*$R$16/1073741824</x:f>
        <x:v>0.0008883476257324219</x:v>
      </x:c>
      <x:c r="X72" s="36" t="n">
        <x:f>IF($R$30=1,SUM(S72:W72),NA())</x:f>
        <x:v>27.026156902313232</x:v>
      </x:c>
      <x:c r="Y72" s="36" t="n">
        <x:f>$R$23+X72</x:f>
        <x:v>60.43521534651518</x:v>
      </x:c>
      <x:c r="Z72" s="2"/>
      <x:c r="AA72" s="2"/>
      <x:c r="AB72" s="2"/>
      <x:c r="AC72" s="2"/>
      <x:c r="AD72" s="2"/>
      <x:c r="AE72" s="2"/>
      <x:c r="AF72" s="2"/>
      <x:c r="AG72" s="2"/>
    </x:row>
    <x:row r="73" ht="18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  <x:c r="AA73" s="2"/>
      <x:c r="AB73" s="2"/>
      <x:c r="AC73" s="2"/>
      <x:c r="AD73" s="2"/>
      <x:c r="AE73" s="2"/>
      <x:c r="AF73" s="2"/>
      <x:c r="AG73" s="2"/>
    </x:row>
    <x:row r="74" ht="18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5" t="str">
        <x:v>缓存组成</x:v>
      </x:c>
      <x:c r="R74" s="5" t="str">
        <x:v>本卡布局</x:v>
      </x:c>
      <x:c r="S74" s="2"/>
      <x:c r="T74" s="2"/>
      <x:c r="U74" s="2"/>
      <x:c r="V74" s="2"/>
      <x:c r="W74" s="2"/>
      <x:c r="X74" s="2"/>
      <x:c r="Y74" s="2"/>
      <x:c r="Z74" s="2"/>
      <x:c r="AA74" s="2"/>
      <x:c r="AB74" s="2"/>
      <x:c r="AC74" s="2"/>
      <x:c r="AD74" s="2"/>
      <x:c r="AE74" s="2"/>
      <x:c r="AF74" s="2"/>
      <x:c r="AG74" s="2"/>
    </x:row>
    <x:row r="75" ht="18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 t="str">
        <x:v>MLA 主缓存</x:v>
      </x:c>
      <x:c r="R75" s="2" t="str">
        <x:f>"[local_blocks, "&amp;R19&amp;", 1, "&amp;V34&amp;" bytes]"</x:f>
        <x:v>[local_blocks, 128, 1, 1152 bytes]</x:v>
      </x:c>
      <x:c r="S75" s="2"/>
      <x:c r="T75" s="2"/>
      <x:c r="U75" s="2"/>
      <x:c r="V75" s="2"/>
      <x:c r="W75" s="2"/>
      <x:c r="X75" s="2"/>
      <x:c r="Y75" s="2"/>
      <x:c r="Z75" s="2"/>
      <x:c r="AA75" s="2"/>
      <x:c r="AB75" s="2"/>
      <x:c r="AC75" s="2"/>
      <x:c r="AD75" s="2"/>
      <x:c r="AE75" s="2"/>
      <x:c r="AF75" s="2"/>
      <x:c r="AG75" s="2"/>
    </x:row>
    <x:row r="76" ht="18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 t="str">
        <x:v>RoPE</x:v>
      </x:c>
      <x:c r="R76" s="2" t="str">
        <x:v>BF16</x:v>
      </x:c>
      <x:c r="S76" s="2"/>
      <x:c r="T76" s="2"/>
      <x:c r="U76" s="2"/>
      <x:c r="V76" s="2"/>
      <x:c r="W76" s="2"/>
      <x:c r="X76" s="2"/>
      <x:c r="Y76" s="2"/>
      <x:c r="Z76" s="2"/>
      <x:c r="AA76" s="2"/>
      <x:c r="AB76" s="2"/>
      <x:c r="AC76" s="2"/>
      <x:c r="AD76" s="2"/>
      <x:c r="AE76" s="2"/>
      <x:c r="AF76" s="2"/>
      <x:c r="AG76" s="2"/>
    </x:row>
    <x:row r="77" ht="18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 t="str">
        <x:v>Indexer K</x:v>
      </x:c>
      <x:c r="R77" s="2" t="str">
        <x:v>不适用</x:v>
      </x:c>
      <x:c r="S77" s="2"/>
      <x:c r="T77" s="2"/>
      <x:c r="U77" s="2"/>
      <x:c r="V77" s="2"/>
      <x:c r="W77" s="2"/>
      <x:c r="X77" s="2"/>
      <x:c r="Y77" s="2"/>
      <x:c r="Z77" s="2"/>
      <x:c r="AA77" s="2"/>
      <x:c r="AB77" s="2"/>
      <x:c r="AC77" s="2"/>
      <x:c r="AD77" s="2"/>
      <x:c r="AE77" s="2"/>
      <x:c r="AF77" s="2"/>
      <x:c r="AG77" s="2"/>
    </x:row>
    <x:row r="78" ht="18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 t="str">
        <x:v>KDA recurrent</x:v>
      </x:c>
      <x:c r="R78" s="2" t="str">
        <x:v>FP32 / head TP</x:v>
      </x:c>
      <x:c r="S78" s="2"/>
      <x:c r="T78" s="2"/>
      <x:c r="U78" s="2"/>
      <x:c r="V78" s="2"/>
      <x:c r="W78" s="2"/>
      <x:c r="X78" s="2"/>
      <x:c r="Y78" s="2"/>
      <x:c r="Z78" s="2"/>
      <x:c r="AA78" s="2"/>
      <x:c r="AB78" s="2"/>
      <x:c r="AC78" s="2"/>
      <x:c r="AD78" s="2"/>
      <x:c r="AE78" s="2"/>
      <x:c r="AF78" s="2"/>
      <x:c r="AG78" s="2"/>
    </x:row>
    <x:row r="79" ht="18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 t="str">
        <x:v>KDA conv</x:v>
      </x:c>
      <x:c r="R79" s="2" t="str">
        <x:v>BF16 / head TP</x:v>
      </x:c>
      <x:c r="S79" s="2"/>
      <x:c r="T79" s="2"/>
      <x:c r="U79" s="2"/>
      <x:c r="V79" s="2"/>
      <x:c r="W79" s="2"/>
      <x:c r="X79" s="2"/>
      <x:c r="Y79" s="2"/>
      <x:c r="Z79" s="2"/>
      <x:c r="AA79" s="2"/>
      <x:c r="AB79" s="2"/>
      <x:c r="AC79" s="2"/>
      <x:c r="AD79" s="2"/>
      <x:c r="AE79" s="2"/>
      <x:c r="AF79" s="2"/>
      <x:c r="AG79" s="2"/>
    </x:row>
    <x:row r="80" ht="18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 t="str">
        <x:v>阶段</x:v>
      </x:c>
      <x:c r="R80" s="2" t="str">
        <x:v>Gated MLA BF16，KDA 按 head TP</x:v>
      </x:c>
      <x:c r="S80" s="2"/>
      <x:c r="T80" s="2"/>
      <x:c r="U80" s="2"/>
      <x:c r="V80" s="2"/>
      <x:c r="W80" s="2"/>
      <x:c r="X80" s="2"/>
      <x:c r="Y80" s="2"/>
      <x:c r="Z80" s="2"/>
      <x:c r="AA80" s="2"/>
      <x:c r="AB80" s="2"/>
      <x:c r="AC80" s="2"/>
      <x:c r="AD80" s="2"/>
      <x:c r="AE80" s="2"/>
      <x:c r="AF80" s="2"/>
      <x:c r="AG80" s="2"/>
    </x:row>
    <x:row r="81" ht="18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 t="str">
        <x:v>Indexer scale</x:v>
      </x:c>
      <x:c r="R81" s="2" t="str">
        <x:f>"不适用"</x:f>
        <x:v>不适用</x:v>
      </x:c>
      <x:c r="S81" s="2"/>
      <x:c r="T81" s="2"/>
      <x:c r="U81" s="2"/>
      <x:c r="V81" s="2"/>
      <x:c r="W81" s="2"/>
      <x:c r="X81" s="2"/>
      <x:c r="Y81" s="2"/>
      <x:c r="Z81" s="2"/>
      <x:c r="AA81" s="2"/>
      <x:c r="AB81" s="2"/>
      <x:c r="AC81" s="2"/>
      <x:c r="AD81" s="2"/>
      <x:c r="AE81" s="2"/>
      <x:c r="AF81" s="2"/>
      <x:c r="AG81" s="2"/>
    </x:row>
    <x:row r="82" ht="18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 t="str">
        <x:v>Cache dtype</x:v>
      </x:c>
      <x:c r="R82" s="2" t="str">
        <x:f>"MLA "&amp;R13&amp;" / Indexer "&amp;R14</x:f>
        <x:v>MLA BF16 / Indexer BF16</x:v>
      </x:c>
      <x:c r="S82" s="2"/>
      <x:c r="T82" s="2"/>
      <x:c r="U82" s="2"/>
      <x:c r="V82" s="2"/>
      <x:c r="W82" s="2"/>
      <x:c r="X82" s="2"/>
      <x:c r="Y82" s="2"/>
      <x:c r="Z82" s="2"/>
      <x:c r="AA82" s="2"/>
      <x:c r="AB82" s="2"/>
      <x:c r="AC82" s="2"/>
      <x:c r="AD82" s="2"/>
      <x:c r="AE82" s="2"/>
      <x:c r="AF82" s="2"/>
      <x:c r="AG82" s="2"/>
    </x:row>
    <x:row r="83" ht="18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  <x:c r="AA83" s="2"/>
      <x:c r="AB83" s="2"/>
      <x:c r="AC83" s="2"/>
      <x:c r="AD83" s="2"/>
      <x:c r="AE83" s="2"/>
      <x:c r="AF83" s="2"/>
      <x:c r="AG83" s="2"/>
    </x:row>
    <x:row r="84" ht="18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  <x:c r="AA84" s="2"/>
      <x:c r="AB84" s="2"/>
      <x:c r="AC84" s="2"/>
      <x:c r="AD84" s="2"/>
      <x:c r="AE84" s="2"/>
      <x:c r="AF84" s="2"/>
      <x:c r="AG84" s="2"/>
    </x:row>
    <x:row r="85" ht="18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  <x:c r="AA85" s="2"/>
      <x:c r="AB85" s="2"/>
      <x:c r="AC85" s="2"/>
      <x:c r="AD85" s="2"/>
      <x:c r="AE85" s="2"/>
      <x:c r="AF85" s="2"/>
      <x:c r="AG85" s="2"/>
    </x:row>
    <x:row r="86" ht="18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5" t="str">
        <x:v>PP stage</x:v>
      </x:c>
      <x:c r="R86" s="5" t="str">
        <x:v>层范围</x:v>
      </x:c>
      <x:c r="S86" s="5" t="str">
        <x:v>层数</x:v>
      </x:c>
      <x:c r="T86" s="5" t="str">
        <x:v>KDA 层</x:v>
      </x:c>
      <x:c r="U86" s="5" t="str">
        <x:v>Attention 层</x:v>
      </x:c>
      <x:c r="V86" s="5" t="str">
        <x:v>MoE 层</x:v>
      </x:c>
      <x:c r="W86" s="5" t="str">
        <x:v>权重 GiB</x:v>
      </x:c>
      <x:c r="X86" s="5" t="str">
        <x:v>Cache GiB</x:v>
      </x:c>
      <x:c r="Y86" s="5" t="str">
        <x:v>合计 GiB</x:v>
      </x:c>
      <x:c r="Z86" s="5" t="str">
        <x:v>embedding</x:v>
      </x:c>
      <x:c r="AA86" s="5" t="str">
        <x:v>lm_head</x:v>
      </x:c>
      <x:c r="AB86" s="5" t="str">
        <x:v>ViT / MM</x:v>
      </x:c>
      <x:c r="AC86" s="5" t="str">
        <x:v>Buffer GiB</x:v>
      </x:c>
      <x:c r="AD86" s="2"/>
      <x:c r="AE86" s="2"/>
      <x:c r="AF86" s="2"/>
      <x:c r="AG86" s="2"/>
    </x:row>
    <x:row r="87" ht="18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 t="n">
        <x:v>0</x:v>
      </x:c>
      <x:c r="R87" s="2" t="str">
        <x:v>1-93</x:v>
      </x:c>
      <x:c r="S87" s="2" t="n">
        <x:v>93</x:v>
      </x:c>
      <x:c r="T87" s="2" t="n">
        <x:v>69</x:v>
      </x:c>
      <x:c r="U87" s="2" t="n">
        <x:v>24</x:v>
      </x:c>
      <x:c r="V87" s="2" t="n">
        <x:v>92</x:v>
      </x:c>
      <x:c r="W87" s="32" t="n">
        <x:f>SUM(AA2:AA59)</x:f>
        <x:v>33.409058444201946</x:v>
      </x:c>
      <x:c r="X87" s="32" t="n">
        <x:f>IF($R$30=1,ROUNDUP($R$18/($R$19*$R$12),0)*$R$19*U87*($V$34+$R$12*$V$35)/1073741824+T87*($T$4/$R$2)*$T$5*$T$5*$R$17/1073741824+T87*3*($T$4/$R$2)*$T$5*($T$14-1+$R$20)*$R$16/1073741824,NA())</x:f>
        <x:v>3.4011569023132324</x:v>
      </x:c>
      <x:c r="Y87" s="32" t="n">
        <x:f>W87+X87+AC87</x:f>
        <x:v>36.81021534651518</x:v>
      </x:c>
      <x:c r="Z87" s="2" t="n">
        <x:v>1</x:v>
      </x:c>
      <x:c r="AA87" s="2" t="n">
        <x:v>1</x:v>
      </x:c>
      <x:c r="AB87" s="2" t="n">
        <x:v>1</x:v>
      </x:c>
      <x:c r="AC87" s="32" t="n">
        <x:f>0</x:f>
        <x:v>0</x:v>
      </x:c>
      <x:c r="AD87" s="2"/>
      <x:c r="AE87" s="2"/>
      <x:c r="AF87" s="2"/>
      <x:c r="AG87" s="2"/>
    </x:row>
    <x:row r="88" ht="18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32"/>
      <x:c r="X88" s="32"/>
      <x:c r="Y88" s="32"/>
      <x:c r="Z88" s="2"/>
      <x:c r="AA88" s="2"/>
      <x:c r="AB88" s="2"/>
      <x:c r="AC88" s="32"/>
      <x:c r="AD88" s="2"/>
      <x:c r="AE88" s="2"/>
      <x:c r="AF88" s="2"/>
      <x:c r="AG88" s="2"/>
    </x:row>
    <x:row r="89" ht="18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32"/>
      <x:c r="X89" s="32"/>
      <x:c r="Y89" s="32"/>
      <x:c r="Z89" s="2"/>
      <x:c r="AA89" s="2"/>
      <x:c r="AB89" s="2"/>
      <x:c r="AC89" s="32"/>
      <x:c r="AD89" s="2"/>
      <x:c r="AE89" s="2"/>
      <x:c r="AF89" s="2"/>
      <x:c r="AG89" s="2"/>
    </x:row>
    <x:row r="90" ht="18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32"/>
      <x:c r="X90" s="32"/>
      <x:c r="Y90" s="32"/>
      <x:c r="Z90" s="2"/>
      <x:c r="AA90" s="2"/>
      <x:c r="AB90" s="2"/>
      <x:c r="AC90" s="32"/>
      <x:c r="AD90" s="2"/>
      <x:c r="AE90" s="2"/>
      <x:c r="AF90" s="2"/>
      <x:c r="AG90" s="2"/>
    </x:row>
    <x:row r="91" ht="18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32"/>
      <x:c r="X91" s="32"/>
      <x:c r="Y91" s="32"/>
      <x:c r="Z91" s="2"/>
      <x:c r="AA91" s="2"/>
      <x:c r="AB91" s="2"/>
      <x:c r="AC91" s="32"/>
      <x:c r="AD91" s="2"/>
      <x:c r="AE91" s="2"/>
      <x:c r="AF91" s="2"/>
      <x:c r="AG91" s="2"/>
    </x:row>
    <x:row r="92" ht="18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5" t="str">
        <x:v>最大单卡</x:v>
      </x:c>
      <x:c r="R92" s="5"/>
      <x:c r="S92" s="5"/>
      <x:c r="T92" s="5"/>
      <x:c r="U92" s="5"/>
      <x:c r="V92" s="5"/>
      <x:c r="W92" s="37" t="n">
        <x:f>MAX(W87:W87)</x:f>
        <x:v>33.409058444201946</x:v>
      </x:c>
      <x:c r="X92" s="37" t="n">
        <x:f>MAX(X87:X87)</x:f>
        <x:v>3.4011569023132324</x:v>
      </x:c>
      <x:c r="Y92" s="37" t="n">
        <x:f>MAX(Y87:Y87)</x:f>
        <x:v>36.81021534651518</x:v>
      </x:c>
      <x:c r="Z92" s="5"/>
      <x:c r="AA92" s="5"/>
      <x:c r="AB92" s="5"/>
      <x:c r="AC92" s="37" t="n">
        <x:f>MAX(AC87:AC87)</x:f>
        <x:v>0</x:v>
      </x:c>
      <x:c r="AD92" s="2"/>
      <x:c r="AE92" s="2"/>
      <x:c r="AF92" s="2"/>
      <x:c r="AG92" s="2"/>
    </x:row>
    <x:row r="93" ht="18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  <x:c r="AA93" s="2"/>
      <x:c r="AB93" s="2"/>
      <x:c r="AC93" s="2"/>
      <x:c r="AD93" s="2"/>
      <x:c r="AE93" s="2"/>
      <x:c r="AF93" s="2"/>
      <x:c r="AG93" s="2"/>
    </x:row>
    <x:row r="94" ht="18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  <x:c r="AA94" s="2"/>
      <x:c r="AB94" s="2"/>
      <x:c r="AC94" s="2"/>
      <x:c r="AD94" s="2"/>
      <x:c r="AE94" s="2"/>
      <x:c r="AF94" s="2"/>
      <x:c r="AG94" s="2"/>
    </x:row>
    <x:row r="95" ht="18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  <x:c r="AA95" s="2"/>
      <x:c r="AB95" s="2"/>
      <x:c r="AC95" s="2"/>
      <x:c r="AD95" s="2"/>
      <x:c r="AE95" s="2"/>
      <x:c r="AF95" s="2"/>
      <x:c r="AG95" s="2"/>
    </x:row>
    <x:row r="96" ht="18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  <x:c r="AA96" s="2"/>
      <x:c r="AB96" s="2"/>
      <x:c r="AC96" s="2"/>
      <x:c r="AD96" s="2"/>
      <x:c r="AE96" s="2"/>
      <x:c r="AF96" s="2"/>
      <x:c r="AG96" s="2"/>
    </x:row>
    <x:row r="97" ht="18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  <x:c r="AA97" s="2"/>
      <x:c r="AB97" s="2"/>
      <x:c r="AC97" s="2"/>
      <x:c r="AD97" s="2"/>
      <x:c r="AE97" s="2"/>
      <x:c r="AF97" s="2"/>
      <x:c r="AG97" s="2"/>
    </x:row>
    <x:row r="98" ht="18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  <x:c r="AA98" s="2"/>
      <x:c r="AB98" s="2"/>
      <x:c r="AC98" s="2"/>
      <x:c r="AD98" s="2"/>
      <x:c r="AE98" s="2"/>
      <x:c r="AF98" s="2"/>
      <x:c r="AG98" s="2"/>
    </x:row>
  </x:sheetData>
  <x:mergeCells>
    <x:mergeCell ref="U1:V2"/>
  </x:mergeCells>
  <x:conditionalFormatting sqref="R30:R30">
    <x:cfRule type="cellIs" dxfId="3" priority="1" operator="equal">
      <x:formula>0</x:formula>
    </x:cfRule>
  </x:conditionalFormatting>
  <x:dataValidations count="8">
    <x:dataValidation type="whole" operator="between" sqref="R2:R12">
      <x:formula1>1</x:formula1>
      <x:formula2>65536</x:formula2>
    </x:dataValidation>
    <x:dataValidation type="whole" operator="between" sqref="R18">
      <x:formula1>1</x:formula1>
      <x:formula2>1048576</x:formula2>
    </x:dataValidation>
    <x:dataValidation type="whole" operator="between" sqref="R19">
      <x:formula1>1</x:formula1>
      <x:formula2>1048576</x:formula2>
    </x:dataValidation>
    <x:dataValidation type="whole" operator="between" sqref="R20">
      <x:formula1>0</x:formula1>
      <x:formula2>64</x:formula2>
    </x:dataValidation>
    <x:dataValidation type="list" sqref="R22">
      <x:formula1>"0"</x:formula1>
    </x:dataValidation>
    <x:dataValidation type="list" sqref="R13">
      <x:formula1>"BF16"</x:formula1>
    </x:dataValidation>
    <x:dataValidation type="list" sqref="R14">
      <x:formula1>"BF16"</x:formula1>
    </x:dataValidation>
    <x:dataValidation type="list" sqref="D2:D59">
      <x:formula1>"BF16,FP32,FP8,MXFP4,MXFP8,INT4,INT8"</x:formula1>
    </x:dataValidation>
  </x:dataValidations>
  <x:pageMargins left="0.7" right="0.7" top="0.75" bottom="0.75" header="0.3" footer="0.3"/>
</x:worksheet>
</file>