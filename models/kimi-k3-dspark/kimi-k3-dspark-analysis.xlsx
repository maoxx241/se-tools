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8e83e3d51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ill" sheetId="1" r:id="R070dcea449ad466c"/>
    <x:sheet xmlns:r="http://schemas.openxmlformats.org/officeDocument/2006/relationships" name="Decode" sheetId="2" r:id="Rc7bfa200ed55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##"/>
    <x:numFmt numFmtId="201" formatCode="0.0000"/>
    <x:numFmt numFmtId="202" formatCode="#,##0.####"/>
    <x:numFmt numFmtId="203" formatCode="0.000000"/>
    <x:numFmt numFmtId="204" formatCode="0.0%"/>
    <x:numFmt numFmtId="205" formatCode="0.000"/>
    <x:numFmt numFmtId="206" formatCode="0.00%"/>
    <x:numFmt numFmtId="207" formatCode="0%"/>
  </x:numFmts>
  <x:fonts count="5">
    <x:font>
      <x:sz val="11"/>
      <x:name val="Carlito"/>
    </x:font>
    <x:font>
      <x:b/>
      <x:sz val="10"/>
      <x:color rgb="FF000000"/>
      <x:name val="Arial"/>
    </x:font>
    <x:font>
      <x:b/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8EEF5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2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3" borderId="2" xfId="0" applyNumberFormat="1" applyFont="1" applyFill="1" applyBorder="1"/>
    <x:xf numFmtId="200" fontId="3" fillId="4" borderId="2" xfId="0" applyNumberFormat="1" applyFont="1" applyFill="1" applyBorder="1"/>
    <x:xf numFmtId="0" fontId="3" fillId="3" borderId="2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3" fillId="4" borderId="2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/>
    </x:xf>
    <x:xf numFmtId="204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3" fontId="3" fillId="6" borderId="0" xfId="0" applyNumberFormat="1" applyFont="1" applyFill="1" applyBorder="1" applyAlignment="1">
      <x:alignment vertical="center"/>
    </x:xf>
    <x:xf numFmtId="207" fontId="3" fillId="6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203" fontId="3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A32020"/>
      </x:font>
      <x:fill>
        <x:patternFill patternType="solid">
          <x:bgColor rgb="FFFDE9E7"/>
        </x:patternFill>
      </x:fill>
    </x:dxf>
    <x:dxf>
      <x:font>
        <x:color rgb="FFA3202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0b8c3d0bb43bd" /><Relationship Type="http://schemas.openxmlformats.org/officeDocument/2006/relationships/theme" Target="/xl/theme/theme1.xml" Id="R3f4dfdfe0b434e2c" /><Relationship Type="http://schemas.openxmlformats.org/officeDocument/2006/relationships/sharedStrings" Target="/xl/sharedStrings.xml" Id="R8c974188948e4e6d" /><Relationship Type="http://schemas.openxmlformats.org/officeDocument/2006/relationships/worksheet" Target="/xl/worksheets/sheet1.xml" Id="R070dcea449ad466c" /><Relationship Type="http://schemas.openxmlformats.org/officeDocument/2006/relationships/worksheet" Target="/xl/worksheets/sheet2.xml" Id="Rc7bfa200ed5549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Input</x:v>
      </x:c>
      <x:c r="B2" s="30" t="str">
        <x:v>fc.weight</x:v>
      </x:c>
      <x:c r="C2" s="30" t="str">
        <x:v>[7168, 35840]</x:v>
      </x:c>
      <x:c r="D2" s="30" t="str">
        <x:v>BF16</x:v>
      </x:c>
      <x:c r="E2" s="32" t="n">
        <x:v>2</x:v>
      </x:c>
      <x:c r="F2" s="33" t="n">
        <x:v>1</x:v>
      </x:c>
      <x:c r="G2" s="33" t="n">
        <x:v>256901120</x:v>
      </x:c>
      <x:c r="H2" s="33" t="str">
        <x:v>TP</x:v>
      </x:c>
      <x:c r="I2" s="33" t="n">
        <x:f>'Prefill'!$P$12</x:f>
        <x:v>8</x:v>
      </x:c>
      <x:c r="J2" s="34" t="n">
        <x:f>E2*F2*G2/1073741824</x:f>
        <x:v>0.478515625</x:v>
      </x:c>
      <x:c r="K2" s="34" t="n">
        <x:f>J2/I2</x:f>
        <x:v>0.059814453125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Input</x:v>
      </x:c>
      <x:c r="B3" s="30" t="str">
        <x:v>hidden_norm.weight</x:v>
      </x:c>
      <x:c r="C3" s="30" t="str">
        <x:v>[7168]</x:v>
      </x:c>
      <x:c r="D3" s="30" t="str">
        <x:v>BF16</x:v>
      </x:c>
      <x:c r="E3" s="32" t="n">
        <x:v>2</x:v>
      </x:c>
      <x:c r="F3" s="33" t="n">
        <x:v>1</x:v>
      </x:c>
      <x:c r="G3" s="33" t="n">
        <x:v>7168</x:v>
      </x:c>
      <x:c r="H3" s="33" t="str">
        <x:v>Replicated</x:v>
      </x:c>
      <x:c r="I3" s="33" t="n">
        <x:f>1</x:f>
        <x:v>1</x:v>
      </x:c>
      <x:c r="J3" s="34" t="n">
        <x:f>E3*F3*G3/1073741824</x:f>
        <x:v>0.0000133514404296875</x:v>
      </x:c>
      <x:c r="K3" s="34" t="n">
        <x:f>J3/I3</x:f>
        <x:v>0.0000133514404296875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Attention</x:v>
      </x:c>
      <x:c r="B4" s="30" t="str">
        <x:v>q_proj.weight</x:v>
      </x:c>
      <x:c r="C4" s="30" t="str">
        <x:v>[4096, 7168]</x:v>
      </x:c>
      <x:c r="D4" s="30" t="str">
        <x:v>BF16</x:v>
      </x:c>
      <x:c r="E4" s="32" t="n">
        <x:v>2</x:v>
      </x:c>
      <x:c r="F4" s="33" t="n">
        <x:v>5</x:v>
      </x:c>
      <x:c r="G4" s="33" t="n">
        <x:v>29360128</x:v>
      </x:c>
      <x:c r="H4" s="33" t="str">
        <x:v>TP</x:v>
      </x:c>
      <x:c r="I4" s="33" t="n">
        <x:f>'Prefill'!$P$12</x:f>
        <x:v>8</x:v>
      </x:c>
      <x:c r="J4" s="34" t="n">
        <x:f>E4*F4*G4/1073741824</x:f>
        <x:v>0.2734375</x:v>
      </x:c>
      <x:c r="K4" s="34" t="n">
        <x:f>J4/I4</x:f>
        <x:v>0.0341796875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Attention</x:v>
      </x:c>
      <x:c r="B5" s="30" t="str">
        <x:v>k_proj.weight</x:v>
      </x:c>
      <x:c r="C5" s="30" t="str">
        <x:v>[1024, 7168]</x:v>
      </x:c>
      <x:c r="D5" s="30" t="str">
        <x:v>BF16</x:v>
      </x:c>
      <x:c r="E5" s="32" t="n">
        <x:v>2</x:v>
      </x:c>
      <x:c r="F5" s="33" t="n">
        <x:v>5</x:v>
      </x:c>
      <x:c r="G5" s="33" t="n">
        <x:v>7340032</x:v>
      </x:c>
      <x:c r="H5" s="33" t="str">
        <x:v>TP</x:v>
      </x:c>
      <x:c r="I5" s="33" t="n">
        <x:f>'Prefill'!$P$12</x:f>
        <x:v>8</x:v>
      </x:c>
      <x:c r="J5" s="34" t="n">
        <x:f>E5*F5*G5/1073741824</x:f>
        <x:v>0.068359375</x:v>
      </x:c>
      <x:c r="K5" s="34" t="n">
        <x:f>J5/I5</x:f>
        <x:v>0.008544921875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Attention</x:v>
      </x:c>
      <x:c r="B6" s="30" t="str">
        <x:v>v_proj.weight</x:v>
      </x:c>
      <x:c r="C6" s="30" t="str">
        <x:v>[1024, 7168]</x:v>
      </x:c>
      <x:c r="D6" s="30" t="str">
        <x:v>BF16</x:v>
      </x:c>
      <x:c r="E6" s="32" t="n">
        <x:v>2</x:v>
      </x:c>
      <x:c r="F6" s="33" t="n">
        <x:v>5</x:v>
      </x:c>
      <x:c r="G6" s="33" t="n">
        <x:v>7340032</x:v>
      </x:c>
      <x:c r="H6" s="33" t="str">
        <x:v>TP</x:v>
      </x:c>
      <x:c r="I6" s="33" t="n">
        <x:f>'Prefill'!$P$12</x:f>
        <x:v>8</x:v>
      </x:c>
      <x:c r="J6" s="34" t="n">
        <x:f>E6*F6*G6/1073741824</x:f>
        <x:v>0.068359375</x:v>
      </x:c>
      <x:c r="K6" s="34" t="n">
        <x:f>J6/I6</x:f>
        <x:v>0.008544921875</x:v>
      </x:c>
      <x:c r="L6" s="30"/>
      <x:c r="M6" s="30"/>
      <x:c r="N6" s="30"/>
      <x:c r="O6" s="35" t="str">
        <x:v>投机采样步数</x:v>
      </x:c>
      <x:c r="P6" s="36" t="n">
        <x:v>0</x:v>
      </x:c>
    </x:row>
    <x:row r="7">
      <x:c r="A7" s="30" t="str">
        <x:v>Attention</x:v>
      </x:c>
      <x:c r="B7" s="30" t="str">
        <x:v>o_proj.weight</x:v>
      </x:c>
      <x:c r="C7" s="30" t="str">
        <x:v>[7168, 4096]</x:v>
      </x:c>
      <x:c r="D7" s="30" t="str">
        <x:v>BF16</x:v>
      </x:c>
      <x:c r="E7" s="32" t="n">
        <x:v>2</x:v>
      </x:c>
      <x:c r="F7" s="33" t="n">
        <x:v>5</x:v>
      </x:c>
      <x:c r="G7" s="33" t="n">
        <x:v>29360128</x:v>
      </x:c>
      <x:c r="H7" s="33" t="str">
        <x:v>O Proj TP</x:v>
      </x:c>
      <x:c r="I7" s="33" t="n">
        <x:f>IF('Prefill'!$P$19&gt;0,'Prefill'!$P$19,'Prefill'!$P$12)</x:f>
        <x:v>8</x:v>
      </x:c>
      <x:c r="J7" s="34" t="n">
        <x:f>E7*F7*G7/1073741824</x:f>
        <x:v>0.2734375</x:v>
      </x:c>
      <x:c r="K7" s="34" t="n">
        <x:f>J7/I7</x:f>
        <x:v>0.0341796875</x:v>
      </x:c>
      <x:c r="L7" s="30"/>
      <x:c r="M7" s="30"/>
      <x:c r="N7" s="30"/>
      <x:c r="O7" s="35" t="str">
        <x:v>当前 Step Token 数</x:v>
      </x:c>
      <x:c r="P7" s="37" t="n">
        <x:f>MIN($P$2,$P$3*$P$4)</x:f>
        <x:v>8192</x:v>
      </x:c>
    </x:row>
    <x:row r="8">
      <x:c r="A8" s="30" t="str">
        <x:v>Attention</x:v>
      </x:c>
      <x:c r="B8" s="30" t="str">
        <x:v>q_norm.weight</x:v>
      </x:c>
      <x:c r="C8" s="30" t="str">
        <x:v>[64]</x:v>
      </x:c>
      <x:c r="D8" s="30" t="str">
        <x:v>BF16</x:v>
      </x:c>
      <x:c r="E8" s="32" t="n">
        <x:v>2</x:v>
      </x:c>
      <x:c r="F8" s="33" t="n">
        <x:v>5</x:v>
      </x:c>
      <x:c r="G8" s="33" t="n">
        <x:v>64</x:v>
      </x:c>
      <x:c r="H8" s="33" t="str">
        <x:v>Replicated</x:v>
      </x:c>
      <x:c r="I8" s="33" t="n">
        <x:f>1</x:f>
        <x:v>1</x:v>
      </x:c>
      <x:c r="J8" s="34" t="n">
        <x:f>E8*F8*G8/1073741824</x:f>
        <x:v>5.960464477539062e-7</x:v>
      </x:c>
      <x:c r="K8" s="34" t="n">
        <x:f>J8/I8</x:f>
        <x:v>5.960464477539062e-7</x:v>
      </x:c>
      <x:c r="L8" s="30"/>
      <x:c r="M8" s="30"/>
      <x:c r="N8" s="30"/>
      <x:c r="O8" s="35" t="str">
        <x:v>本 Step 采样行数</x:v>
      </x:c>
      <x:c r="P8" s="37" t="n">
        <x:f>MIN($P$3,$P$7)</x:f>
        <x:v>128</x:v>
      </x:c>
    </x:row>
    <x:row r="9">
      <x:c r="A9" s="30" t="str">
        <x:v>Attention</x:v>
      </x:c>
      <x:c r="B9" s="30" t="str">
        <x:v>k_norm.weight</x:v>
      </x:c>
      <x:c r="C9" s="30" t="str">
        <x:v>[64]</x:v>
      </x:c>
      <x:c r="D9" s="30" t="str">
        <x:v>BF16</x:v>
      </x:c>
      <x:c r="E9" s="32" t="n">
        <x:v>2</x:v>
      </x:c>
      <x:c r="F9" s="33" t="n">
        <x:v>5</x:v>
      </x:c>
      <x:c r="G9" s="33" t="n">
        <x:v>64</x:v>
      </x:c>
      <x:c r="H9" s="33" t="str">
        <x:v>Replicated</x:v>
      </x:c>
      <x:c r="I9" s="33" t="n">
        <x:f>1</x:f>
        <x:v>1</x:v>
      </x:c>
      <x:c r="J9" s="34" t="n">
        <x:f>E9*F9*G9/1073741824</x:f>
        <x:v>5.960464477539062e-7</x:v>
      </x:c>
      <x:c r="K9" s="34" t="n">
        <x:f>J9/I9</x:f>
        <x:v>5.960464477539062e-7</x:v>
      </x:c>
      <x:c r="L9" s="30"/>
      <x:c r="M9" s="30"/>
      <x:c r="N9" s="30"/>
      <x:c r="O9" s="30"/>
      <x:c r="P9" s="30"/>
    </x:row>
    <x:row r="10">
      <x:c r="A10" s="30" t="str">
        <x:v>Backbone</x:v>
      </x:c>
      <x:c r="B10" s="30" t="str">
        <x:v>input_layernorm.weight</x:v>
      </x:c>
      <x:c r="C10" s="30" t="str">
        <x:v>[7168]</x:v>
      </x:c>
      <x:c r="D10" s="30" t="str">
        <x:v>BF16</x:v>
      </x:c>
      <x:c r="E10" s="32" t="n">
        <x:v>2</x:v>
      </x:c>
      <x:c r="F10" s="33" t="n">
        <x:v>5</x:v>
      </x:c>
      <x:c r="G10" s="33" t="n">
        <x:v>7168</x:v>
      </x:c>
      <x:c r="H10" s="33" t="str">
        <x:v>Replicated</x:v>
      </x:c>
      <x:c r="I10" s="33" t="n">
        <x:f>1</x:f>
        <x:v>1</x:v>
      </x:c>
      <x:c r="J10" s="34" t="n">
        <x:f>E10*F10*G10/1073741824</x:f>
        <x:v>0.0000667572021484375</x:v>
      </x:c>
      <x:c r="K10" s="34" t="n">
        <x:f>J10/I10</x:f>
        <x:v>0.0000667572021484375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Backbone</x:v>
      </x:c>
      <x:c r="B11" s="30" t="str">
        <x:v>post_attention_layernorm.weight</x:v>
      </x:c>
      <x:c r="C11" s="30" t="str">
        <x:v>[7168]</x:v>
      </x:c>
      <x:c r="D11" s="30" t="str">
        <x:v>BF16</x:v>
      </x:c>
      <x:c r="E11" s="32" t="n">
        <x:v>2</x:v>
      </x:c>
      <x:c r="F11" s="33" t="n">
        <x:v>5</x:v>
      </x:c>
      <x:c r="G11" s="33" t="n">
        <x:v>7168</x:v>
      </x:c>
      <x:c r="H11" s="33" t="str">
        <x:v>Replicated</x:v>
      </x:c>
      <x:c r="I11" s="33" t="n">
        <x:f>1</x:f>
        <x:v>1</x:v>
      </x:c>
      <x:c r="J11" s="34" t="n">
        <x:f>E11*F11*G11/1073741824</x:f>
        <x:v>0.0000667572021484375</x:v>
      </x:c>
      <x:c r="K11" s="34" t="n">
        <x:f>J11/I11</x:f>
        <x:v>0.0000667572021484375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Dense MLP</x:v>
      </x:c>
      <x:c r="B12" s="30" t="str">
        <x:v>mlp.gate_proj.weight</x:v>
      </x:c>
      <x:c r="C12" s="30" t="str">
        <x:v>[14336, 7168]</x:v>
      </x:c>
      <x:c r="D12" s="30" t="str">
        <x:v>BF16</x:v>
      </x:c>
      <x:c r="E12" s="32" t="n">
        <x:v>2</x:v>
      </x:c>
      <x:c r="F12" s="33" t="n">
        <x:v>5</x:v>
      </x:c>
      <x:c r="G12" s="33" t="n">
        <x:v>102760448</x:v>
      </x:c>
      <x:c r="H12" s="33" t="str">
        <x:v>TP</x:v>
      </x:c>
      <x:c r="I12" s="33" t="n">
        <x:f>'Prefill'!$P$12</x:f>
        <x:v>8</x:v>
      </x:c>
      <x:c r="J12" s="34" t="n">
        <x:f>E12*F12*G12/1073741824</x:f>
        <x:v>0.95703125</x:v>
      </x:c>
      <x:c r="K12" s="34" t="n">
        <x:f>J12/I12</x:f>
        <x:v>0.11962890625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Dense MLP</x:v>
      </x:c>
      <x:c r="B13" s="30" t="str">
        <x:v>mlp.up_proj.weight</x:v>
      </x:c>
      <x:c r="C13" s="30" t="str">
        <x:v>[14336, 7168]</x:v>
      </x:c>
      <x:c r="D13" s="30" t="str">
        <x:v>BF16</x:v>
      </x:c>
      <x:c r="E13" s="32" t="n">
        <x:v>2</x:v>
      </x:c>
      <x:c r="F13" s="33" t="n">
        <x:v>5</x:v>
      </x:c>
      <x:c r="G13" s="33" t="n">
        <x:v>102760448</x:v>
      </x:c>
      <x:c r="H13" s="33" t="str">
        <x:v>TP</x:v>
      </x:c>
      <x:c r="I13" s="33" t="n">
        <x:f>'Prefill'!$P$12</x:f>
        <x:v>8</x:v>
      </x:c>
      <x:c r="J13" s="34" t="n">
        <x:f>E13*F13*G13/1073741824</x:f>
        <x:v>0.95703125</x:v>
      </x:c>
      <x:c r="K13" s="34" t="n">
        <x:f>J13/I13</x:f>
        <x:v>0.11962890625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Dense MLP</x:v>
      </x:c>
      <x:c r="B14" s="30" t="str">
        <x:v>mlp.down_proj.weight</x:v>
      </x:c>
      <x:c r="C14" s="30" t="str">
        <x:v>[7168, 14336]</x:v>
      </x:c>
      <x:c r="D14" s="30" t="str">
        <x:v>BF16</x:v>
      </x:c>
      <x:c r="E14" s="32" t="n">
        <x:v>2</x:v>
      </x:c>
      <x:c r="F14" s="33" t="n">
        <x:v>5</x:v>
      </x:c>
      <x:c r="G14" s="33" t="n">
        <x:v>102760448</x:v>
      </x:c>
      <x:c r="H14" s="33" t="str">
        <x:v>TP</x:v>
      </x:c>
      <x:c r="I14" s="33" t="n">
        <x:f>'Prefill'!$P$12</x:f>
        <x:v>8</x:v>
      </x:c>
      <x:c r="J14" s="34" t="n">
        <x:f>E14*F14*G14/1073741824</x:f>
        <x:v>0.95703125</x:v>
      </x:c>
      <x:c r="K14" s="34" t="n">
        <x:f>J14/I14</x:f>
        <x:v>0.11962890625</x:v>
      </x:c>
      <x:c r="L14" s="30"/>
      <x:c r="M14" s="30"/>
      <x:c r="N14" s="30"/>
      <x:c r="O14" s="35" t="str">
        <x:v>EP</x:v>
      </x:c>
      <x:c r="P14" s="36" t="n">
        <x:v>1</x:v>
      </x:c>
    </x:row>
    <x:row r="15">
      <x:c r="A15" s="30" t="str">
        <x:v>Output</x:v>
      </x:c>
      <x:c r="B15" s="30" t="str">
        <x:v>norm.weight</x:v>
      </x:c>
      <x:c r="C15" s="30" t="str">
        <x:v>[7168]</x:v>
      </x:c>
      <x:c r="D15" s="30" t="str">
        <x:v>BF16</x:v>
      </x:c>
      <x:c r="E15" s="32" t="n">
        <x:v>2</x:v>
      </x:c>
      <x:c r="F15" s="33" t="n">
        <x:v>1</x:v>
      </x:c>
      <x:c r="G15" s="33" t="n">
        <x:v>7168</x:v>
      </x:c>
      <x:c r="H15" s="33" t="str">
        <x:v>Replicated</x:v>
      </x:c>
      <x:c r="I15" s="33" t="n">
        <x:f>1</x:f>
        <x:v>1</x:v>
      </x:c>
      <x:c r="J15" s="34" t="n">
        <x:f>E15*F15*G15/1073741824</x:f>
        <x:v>0.0000133514404296875</x:v>
      </x:c>
      <x:c r="K15" s="34" t="n">
        <x:f>J15/I15</x:f>
        <x:v>0.0000133514404296875</x:v>
      </x:c>
      <x:c r="L15" s="30"/>
      <x:c r="M15" s="30"/>
      <x:c r="N15" s="30"/>
      <x:c r="O15" s="35" t="str">
        <x:v>PCP（1 表示关闭）</x:v>
      </x:c>
      <x:c r="P15" s="36" t="n">
        <x:v>1</x:v>
      </x:c>
    </x:row>
    <x:row r="16">
      <x:c r="A16" s="30" t="str">
        <x:v>Markov Head</x:v>
      </x:c>
      <x:c r="B16" s="30" t="str">
        <x:v>markov_w1.weight</x:v>
      </x:c>
      <x:c r="C16" s="30" t="str">
        <x:v>[163840, 256]</x:v>
      </x:c>
      <x:c r="D16" s="30" t="str">
        <x:v>BF16</x:v>
      </x:c>
      <x:c r="E16" s="32" t="n">
        <x:v>2</x:v>
      </x:c>
      <x:c r="F16" s="33" t="n">
        <x:v>1</x:v>
      </x:c>
      <x:c r="G16" s="33" t="n">
        <x:v>41943040</x:v>
      </x:c>
      <x:c r="H16" s="33" t="str">
        <x:v>Embedding TP</x:v>
      </x:c>
      <x:c r="I16" s="33" t="n">
        <x:f>IF('Prefill'!$P$21&gt;0,'Prefill'!$P$21,'Prefill'!$P$12)</x:f>
        <x:v>8</x:v>
      </x:c>
      <x:c r="J16" s="34" t="n">
        <x:f>E16*F16*G16/1073741824</x:f>
        <x:v>0.078125</x:v>
      </x:c>
      <x:c r="K16" s="34" t="n">
        <x:f>J16/I16</x:f>
        <x:v>0.009765625</x:v>
      </x:c>
      <x:c r="L16" s="30"/>
      <x:c r="M16" s="30"/>
      <x:c r="N16" s="30"/>
      <x:c r="O16" s="35"/>
      <x:c r="P16" s="35"/>
    </x:row>
    <x:row r="17">
      <x:c r="A17" s="30" t="str">
        <x:v>Markov Head</x:v>
      </x:c>
      <x:c r="B17" s="30" t="str">
        <x:v>markov_w2.weight</x:v>
      </x:c>
      <x:c r="C17" s="30" t="str">
        <x:v>[163840, 256]</x:v>
      </x:c>
      <x:c r="D17" s="30" t="str">
        <x:v>BF16</x:v>
      </x:c>
      <x:c r="E17" s="32" t="n">
        <x:v>2</x:v>
      </x:c>
      <x:c r="F17" s="33" t="n">
        <x:v>1</x:v>
      </x:c>
      <x:c r="G17" s="33" t="n">
        <x:v>41943040</x:v>
      </x:c>
      <x:c r="H17" s="33" t="str">
        <x:v>LM Head TP</x:v>
      </x:c>
      <x:c r="I17" s="33" t="n">
        <x:f>IF('Prefill'!$P$20&gt;0,'Prefill'!$P$20,'Prefill'!$P$12)</x:f>
        <x:v>8</x:v>
      </x:c>
      <x:c r="J17" s="34" t="n">
        <x:f>E17*F17*G17/1073741824</x:f>
        <x:v>0.078125</x:v>
      </x:c>
      <x:c r="K17" s="34" t="n">
        <x:f>J17/I17</x:f>
        <x:v>0.009765625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Confidence Head</x:v>
      </x:c>
      <x:c r="B18" s="30" t="str">
        <x:v>confidence_head.proj.weight</x:v>
      </x:c>
      <x:c r="C18" s="30" t="str">
        <x:v>[1, 7424]</x:v>
      </x:c>
      <x:c r="D18" s="30" t="str">
        <x:v>BF16</x:v>
      </x:c>
      <x:c r="E18" s="32" t="n">
        <x:v>2</x:v>
      </x:c>
      <x:c r="F18" s="33" t="n">
        <x:v>1</x:v>
      </x:c>
      <x:c r="G18" s="33" t="n">
        <x:v>7424</x:v>
      </x:c>
      <x:c r="H18" s="33" t="str">
        <x:v>Replicated</x:v>
      </x:c>
      <x:c r="I18" s="33" t="n">
        <x:f>1</x:f>
        <x:v>1</x:v>
      </x:c>
      <x:c r="J18" s="34" t="n">
        <x:f>E18*F18*G18/1073741824</x:f>
        <x:v>0.000013828277587890625</x:v>
      </x:c>
      <x:c r="K18" s="34" t="n">
        <x:f>J18/I18</x:f>
        <x:v>0.000013828277587890625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Confidence Head</x:v>
      </x:c>
      <x:c r="B19" s="30" t="str">
        <x:v>confidence_head.proj.bias</x:v>
      </x:c>
      <x:c r="C19" s="30" t="str">
        <x:v>[1]</x:v>
      </x:c>
      <x:c r="D19" s="30" t="str">
        <x:v>BF16</x:v>
      </x:c>
      <x:c r="E19" s="32" t="n">
        <x:v>2</x:v>
      </x:c>
      <x:c r="F19" s="33" t="n">
        <x:v>1</x:v>
      </x:c>
      <x:c r="G19" s="33" t="n">
        <x:v>1</x:v>
      </x:c>
      <x:c r="H19" s="33" t="str">
        <x:v>Replicated</x:v>
      </x:c>
      <x:c r="I19" s="33" t="n">
        <x:f>1</x:f>
        <x:v>1</x:v>
      </x:c>
      <x:c r="J19" s="34" t="n">
        <x:f>E19*F19*G19/1073741824</x:f>
        <x:v>1.862645149230957e-9</x:v>
      </x:c>
      <x:c r="K19" s="34" t="n">
        <x:f>J19/I19</x:f>
        <x:v>1.862645149230957e-9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9" t="str">
        <x:v>合计</x:v>
      </x:c>
      <x:c r="B20" s="39"/>
      <x:c r="C20" s="39"/>
      <x:c r="D20" s="39"/>
      <x:c r="E20" s="39"/>
      <x:c r="F20" s="39"/>
      <x:c r="G20" s="39"/>
      <x:c r="H20" s="39"/>
      <x:c r="I20" s="39"/>
      <x:c r="J20" s="40" t="n">
        <x:f>SUM(J2:J19)</x:f>
        <x:v>4.189628364518285</x:v>
      </x:c>
      <x:c r="K20" s="40" t="n">
        <x:f>SUM(K2:K19)</x:f>
        <x:v>0.5238568801432848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 ht="30" customHeight="1">
      <x:c r="A22" s="18" t="str">
        <x:v>并行策略</x:v>
      </x:c>
      <x:c r="B22" s="18" t="str">
        <x:v>模块</x:v>
      </x:c>
      <x:c r="C22" s="18" t="str">
        <x:v>通信位置</x:v>
      </x:c>
      <x:c r="D22" s="18" t="str">
        <x:v>Collective</x:v>
      </x:c>
      <x:c r="E22" s="18" t="str">
        <x:v>本 Rank 输入元素/次</x:v>
      </x:c>
      <x:c r="F22" s="18" t="str">
        <x:v>字节/元素</x:v>
      </x:c>
      <x:c r="G22" s="18" t="str">
        <x:v>通信组大小</x:v>
      </x:c>
      <x:c r="H22" s="18" t="str">
        <x:v>次数/Step</x:v>
      </x:c>
      <x:c r="I22" s="18" t="str">
        <x:v>有效负载 MiB/次</x:v>
      </x:c>
      <x:c r="J22" s="18" t="str">
        <x:v>单 Rank 发送 MiB/次</x:v>
      </x:c>
      <x:c r="K22" s="18" t="str">
        <x:v>单 Rank 发送 MiB/Step</x:v>
      </x:c>
      <x:c r="L22" s="18" t="str">
        <x:v>通信组发送 MiB/Step</x:v>
      </x:c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TP</x:v>
      </x:c>
      <x:c r="B23" s="30" t="str">
        <x:v>Input Projection</x:v>
      </x:c>
      <x:c r="C23" s="30" t="str">
        <x:v>Column Parallel 输出</x:v>
      </x:c>
      <x:c r="D23" s="30" t="str">
        <x:v>Ring AllGather</x:v>
      </x:c>
      <x:c r="E23" s="33" t="n">
        <x:f>'Prefill'!$P$7*7168/'Prefill'!$P$12</x:f>
        <x:v>7340032</x:v>
      </x:c>
      <x:c r="F23" s="33" t="n">
        <x:f>'Prefill'!$P$28</x:f>
        <x:v>2</x:v>
      </x:c>
      <x:c r="G23" s="33" t="n">
        <x:f>'Prefill'!$P$12</x:f>
        <x:v>8</x:v>
      </x:c>
      <x:c r="H23" s="33" t="n">
        <x:f>IF('Prefill'!$P$12&gt;1,1,0)</x:f>
        <x:v>1</x:v>
      </x:c>
      <x:c r="I23" s="34" t="n">
        <x:f>E23*F23/1048576</x:f>
        <x:v>14</x:v>
      </x:c>
      <x:c r="J23" s="34" t="n">
        <x:f>I23*(IF(G23&gt;1,G23-1,0))</x:f>
        <x:v>98</x:v>
      </x:c>
      <x:c r="K23" s="34" t="n">
        <x:f>J23*H23</x:f>
        <x:v>98</x:v>
      </x:c>
      <x:c r="L23" s="34" t="n">
        <x:f>K23*G23</x:f>
        <x:v>784</x:v>
      </x:c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SP</x:v>
      </x:c>
      <x:c r="B24" s="30" t="str">
        <x:v>Attention</x:v>
      </x:c>
      <x:c r="C24" s="30" t="str">
        <x:v>Attention 前</x:v>
      </x:c>
      <x:c r="D24" s="30" t="str">
        <x:v>Ring AllGather</x:v>
      </x:c>
      <x:c r="E24" s="33" t="n">
        <x:f>((ROUNDUP('Prefill'!$P$7/'Prefill'!$P$12,0)*'Prefill'!$P$12)/'Prefill'!$P$12)*7168</x:f>
        <x:v>7340032</x:v>
      </x:c>
      <x:c r="F24" s="33" t="n">
        <x:f>'Prefill'!$P$28</x:f>
        <x:v>2</x:v>
      </x:c>
      <x:c r="G24" s="33" t="n">
        <x:f>'Prefill'!$P$12</x:f>
        <x:v>8</x:v>
      </x:c>
      <x:c r="H24" s="33" t="n">
        <x:f>5*IF(AND('Prefill'!$P$13&lt;&gt;0,'Prefill'!$P$12&gt;1,'Prefill'!$P$22=0),1,0)</x:f>
        <x:v>5</x:v>
      </x:c>
      <x:c r="I24" s="34" t="n">
        <x:f>E24*F24/1048576</x:f>
        <x:v>14</x:v>
      </x:c>
      <x:c r="J24" s="34" t="n">
        <x:f>I24*(IF(G24&gt;1,G24-1,0))</x:f>
        <x:v>98</x:v>
      </x:c>
      <x:c r="K24" s="34" t="n">
        <x:f>J24*H24</x:f>
        <x:v>490</x:v>
      </x:c>
      <x:c r="L24" s="34" t="n">
        <x:f>K24*G24</x:f>
        <x:v>3920</x:v>
      </x:c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SP</x:v>
      </x:c>
      <x:c r="B25" s="30" t="str">
        <x:v>Attention</x:v>
      </x:c>
      <x:c r="C25" s="30" t="str">
        <x:v>O Proj 后</x:v>
      </x:c>
      <x:c r="D25" s="30" t="str">
        <x:v>Ring ReduceScatter</x:v>
      </x:c>
      <x:c r="E25" s="33" t="n">
        <x:f>(ROUNDUP('Prefill'!$P$7/'Prefill'!$P$12,0)*'Prefill'!$P$12)*7168</x:f>
        <x:v>58720256</x:v>
      </x:c>
      <x:c r="F25" s="33" t="n">
        <x:f>'Prefill'!$P$28</x:f>
        <x:v>2</x:v>
      </x:c>
      <x:c r="G25" s="33" t="n">
        <x:f>'Prefill'!$P$12</x:f>
        <x:v>8</x:v>
      </x:c>
      <x:c r="H25" s="33" t="n">
        <x:f>5*IF(AND('Prefill'!$P$13&lt;&gt;0,'Prefill'!$P$12&gt;1,'Prefill'!$P$22=0),1,0)</x:f>
        <x:v>5</x:v>
      </x:c>
      <x:c r="I25" s="34" t="n">
        <x:f>E25*F25/1048576</x:f>
        <x:v>112</x:v>
      </x:c>
      <x:c r="J25" s="34" t="n">
        <x:f>I25*(IF(G25&gt;1,(G25-1)/G25,0))</x:f>
        <x:v>98</x:v>
      </x:c>
      <x:c r="K25" s="34" t="n">
        <x:f>J25*H25</x:f>
        <x:v>490</x:v>
      </x:c>
      <x:c r="L25" s="34" t="n">
        <x:f>K25*G25</x:f>
        <x:v>3920</x:v>
      </x:c>
      <x:c r="M25" s="30"/>
      <x:c r="N25" s="30"/>
      <x:c r="O25" s="30"/>
      <x:c r="P25" s="30"/>
    </x:row>
    <x:row r="26">
      <x:c r="A26" s="30" t="str">
        <x:v>O Proj TP</x:v>
      </x:c>
      <x:c r="B26" s="30" t="str">
        <x:v>Attention</x:v>
      </x:c>
      <x:c r="C26" s="30" t="str">
        <x:v>非 SP 标准 TP</x:v>
      </x:c>
      <x:c r="D26" s="30" t="str">
        <x:v>Ring AllReduce</x:v>
      </x:c>
      <x:c r="E26" s="33" t="n">
        <x:f>'Prefill'!$P$7*7168</x:f>
        <x:v>58720256</x:v>
      </x:c>
      <x:c r="F26" s="33" t="n">
        <x:f>'Prefill'!$P$28</x:f>
        <x:v>2</x:v>
      </x:c>
      <x:c r="G26" s="33" t="n">
        <x:f>IF('Prefill'!$P$19&gt;0,'Prefill'!$P$19,'Prefill'!$P$12)</x:f>
        <x:v>8</x:v>
      </x:c>
      <x:c r="H26" s="33" t="n">
        <x:f>5*IF(AND('Prefill'!$P$13=0,IF('Prefill'!$P$19&gt;0,'Prefill'!$P$19,'Prefill'!$P$12)&gt;1,'Prefill'!$P$22=0),1,0)</x:f>
        <x:v>0</x:v>
      </x:c>
      <x:c r="I26" s="34" t="n">
        <x:f>E26*F26/1048576</x:f>
        <x:v>112</x:v>
      </x:c>
      <x:c r="J26" s="34" t="n">
        <x:f>I26*(IF(G26&gt;1,2*(G26-1)/G26,0))</x:f>
        <x:v>196</x:v>
      </x:c>
      <x:c r="K26" s="34" t="n">
        <x:f>J26*H26</x:f>
        <x:v>0</x:v>
      </x:c>
      <x:c r="L26" s="34" t="n">
        <x:f>K26*G26</x:f>
        <x:v>0</x:v>
      </x:c>
      <x:c r="M26" s="30"/>
      <x:c r="N26" s="30"/>
      <x:c r="O26" s="30"/>
      <x:c r="P26" s="30"/>
    </x:row>
    <x:row r="27">
      <x:c r="A27" s="30" t="str">
        <x:v>Fine O TP</x:v>
      </x:c>
      <x:c r="B27" s="30" t="str">
        <x:v>Attention</x:v>
      </x:c>
      <x:c r="C27" s="30" t="str">
        <x:v>O Proj 输入</x:v>
      </x:c>
      <x:c r="D27" s="30" t="str">
        <x:v>Equal-split AllToAll</x:v>
      </x:c>
      <x:c r="E27" s="33" t="n">
        <x:f>'Prefill'!$P$7*4096</x:f>
        <x:v>33554432</x:v>
      </x:c>
      <x:c r="F27" s="33" t="n">
        <x:f>'Prefill'!$P$28</x:f>
        <x:v>2</x:v>
      </x:c>
      <x:c r="G27" s="33" t="n">
        <x:f>IF('Prefill'!$P$19&gt;0,'Prefill'!$P$19,'Prefill'!$P$12)</x:f>
        <x:v>8</x:v>
      </x:c>
      <x:c r="H27" s="33" t="n">
        <x:f>5*IF(AND(IF('Prefill'!$P$19&gt;0,'Prefill'!$P$19,'Prefill'!$P$12)&gt;1,'Prefill'!$P$22&lt;&gt;0),1,0)</x:f>
        <x:v>0</x:v>
      </x:c>
      <x:c r="I27" s="34" t="n">
        <x:f>E27*F27/1048576</x:f>
        <x:v>64</x:v>
      </x:c>
      <x:c r="J27" s="34" t="n">
        <x:f>I27*(IF(G27&gt;1,(G27-1)/G27,0))</x:f>
        <x:v>56</x:v>
      </x:c>
      <x:c r="K27" s="34" t="n">
        <x:f>J27*H27</x:f>
        <x:v>0</x:v>
      </x:c>
      <x:c r="L27" s="34" t="n">
        <x:f>K27*G27</x:f>
        <x:v>0</x:v>
      </x:c>
      <x:c r="M27" s="30"/>
      <x:c r="N27" s="30"/>
      <x:c r="O27" s="31" t="str">
        <x:v>通信参数</x:v>
      </x:c>
      <x:c r="P27" s="31"/>
    </x:row>
    <x:row r="28">
      <x:c r="A28" s="30" t="str">
        <x:v>Fine O TP</x:v>
      </x:c>
      <x:c r="B28" s="30" t="str">
        <x:v>Attention</x:v>
      </x:c>
      <x:c r="C28" s="30" t="str">
        <x:v>O Proj 输出</x:v>
      </x:c>
      <x:c r="D28" s="30" t="str">
        <x:v>Ring ReduceScatter</x:v>
      </x:c>
      <x:c r="E28" s="33" t="n">
        <x:f>'Prefill'!$P$7*IF('Prefill'!$P$19&gt;0,'Prefill'!$P$19,'Prefill'!$P$12)*7168</x:f>
        <x:v>469762048</x:v>
      </x:c>
      <x:c r="F28" s="33" t="n">
        <x:f>'Prefill'!$P$28</x:f>
        <x:v>2</x:v>
      </x:c>
      <x:c r="G28" s="33" t="n">
        <x:f>IF('Prefill'!$P$19&gt;0,'Prefill'!$P$19,'Prefill'!$P$12)</x:f>
        <x:v>8</x:v>
      </x:c>
      <x:c r="H28" s="33" t="n">
        <x:f>5*IF(AND(IF('Prefill'!$P$19&gt;0,'Prefill'!$P$19,'Prefill'!$P$12)&gt;1,'Prefill'!$P$22&lt;&gt;0),1,0)</x:f>
        <x:v>0</x:v>
      </x:c>
      <x:c r="I28" s="34" t="n">
        <x:f>E28*F28/1048576</x:f>
        <x:v>896</x:v>
      </x:c>
      <x:c r="J28" s="34" t="n">
        <x:f>I28*(IF(G28&gt;1,(G28-1)/G28,0))</x:f>
        <x:v>784</x:v>
      </x:c>
      <x:c r="K28" s="34" t="n">
        <x:f>J28*H28</x:f>
        <x:v>0</x:v>
      </x:c>
      <x:c r="L28" s="34" t="n">
        <x:f>K28*G28</x:f>
        <x:v>0</x:v>
      </x:c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SP</x:v>
      </x:c>
      <x:c r="B29" s="30" t="str">
        <x:v>Dense MLP</x:v>
      </x:c>
      <x:c r="C29" s="30" t="str">
        <x:v>Down Proj 输出</x:v>
      </x:c>
      <x:c r="D29" s="30" t="str">
        <x:v>Ring AllReduce</x:v>
      </x:c>
      <x:c r="E29" s="33" t="n">
        <x:f>IF('Prefill'!$P$13&lt;&gt;0,((ROUNDUP('Prefill'!$P$7/'Prefill'!$P$12,0)*'Prefill'!$P$12)/'Prefill'!$P$12),'Prefill'!$P$7)*7168</x:f>
        <x:v>7340032</x:v>
      </x:c>
      <x:c r="F29" s="33" t="n">
        <x:f>'Prefill'!$P$28</x:f>
        <x:v>2</x:v>
      </x:c>
      <x:c r="G29" s="33" t="n">
        <x:f>'Prefill'!$P$12</x:f>
        <x:v>8</x:v>
      </x:c>
      <x:c r="H29" s="33" t="n">
        <x:f>5*IF('Prefill'!$P$12&gt;1,1,0)</x:f>
        <x:v>5</x:v>
      </x:c>
      <x:c r="I29" s="34" t="n">
        <x:f>E29*F29/1048576</x:f>
        <x:v>14</x:v>
      </x:c>
      <x:c r="J29" s="34" t="n">
        <x:f>I29*(IF(G29&gt;1,2*(G29-1)/G29,0))</x:f>
        <x:v>24.5</x:v>
      </x:c>
      <x:c r="K29" s="34" t="n">
        <x:f>J29*H29</x:f>
        <x:v>122.5</x:v>
      </x:c>
      <x:c r="L29" s="34" t="n">
        <x:f>K29*G29</x:f>
        <x:v>980</x:v>
      </x:c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PCP</x:v>
      </x:c>
      <x:c r="B30" s="30" t="str">
        <x:v>Attention KV</x:v>
      </x:c>
      <x:c r="C30" s="30" t="str">
        <x:v>KV Cache 写入前</x:v>
      </x:c>
      <x:c r="D30" s="30" t="str">
        <x:v>Ring AllGather</x:v>
      </x:c>
      <x:c r="E30" s="33" t="n">
        <x:f>((ROUNDUP('Prefill'!$P$7/'Prefill'!$P$15,0)*'Prefill'!$P$15)/'Prefill'!$P$15)*2*MAX(1,16/'Prefill'!$P$12)*64</x:f>
        <x:v>2097152</x:v>
      </x:c>
      <x:c r="F30" s="33" t="n">
        <x:f>'Prefill'!$P$28</x:f>
        <x:v>2</x:v>
      </x:c>
      <x:c r="G30" s="33" t="n">
        <x:f>'Prefill'!$P$15</x:f>
        <x:v>1</x:v>
      </x:c>
      <x:c r="H30" s="33" t="n">
        <x:f>5*IF('Prefill'!$P$15&gt;1,1,0)</x:f>
        <x:v>0</x:v>
      </x:c>
      <x:c r="I30" s="34" t="n">
        <x:f>E30*F30/1048576</x:f>
        <x:v>4</x:v>
      </x:c>
      <x:c r="J30" s="34" t="n">
        <x:f>I30*(IF(G30&gt;1,G30-1,0))</x:f>
        <x:v>0</x:v>
      </x:c>
      <x:c r="K30" s="34" t="n">
        <x:f>J30*H30</x:f>
        <x:v>0</x:v>
      </x:c>
      <x:c r="L30" s="34" t="n">
        <x:f>K30*G30</x:f>
        <x:v>0</x:v>
      </x:c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SP</x:v>
      </x:c>
      <x:c r="B31" s="30" t="str">
        <x:v>Model Output</x:v>
      </x:c>
      <x:c r="C31" s="30" t="str">
        <x:v>Final Norm 后</x:v>
      </x:c>
      <x:c r="D31" s="30" t="str">
        <x:v>Ring AllGather</x:v>
      </x:c>
      <x:c r="E31" s="33" t="n">
        <x:f>((ROUNDUP('Prefill'!$P$7/'Prefill'!$P$12,0)*'Prefill'!$P$12)/'Prefill'!$P$12)*7168</x:f>
        <x:v>7340032</x:v>
      </x:c>
      <x:c r="F31" s="33" t="n">
        <x:f>'Prefill'!$P$28</x:f>
        <x:v>2</x:v>
      </x:c>
      <x:c r="G31" s="33" t="n">
        <x:f>'Prefill'!$P$12</x:f>
        <x:v>8</x:v>
      </x:c>
      <x:c r="H31" s="33" t="n">
        <x:f>IF(AND('Prefill'!$P$13&lt;&gt;0,'Prefill'!$P$12&gt;1),1,0)</x:f>
        <x:v>1</x:v>
      </x:c>
      <x:c r="I31" s="34" t="n">
        <x:f>E31*F31/1048576</x:f>
        <x:v>14</x:v>
      </x:c>
      <x:c r="J31" s="34" t="n">
        <x:f>I31*(IF(G31&gt;1,G31-1,0))</x:f>
        <x:v>98</x:v>
      </x:c>
      <x:c r="K31" s="34" t="n">
        <x:f>J31*H31</x:f>
        <x:v>98</x:v>
      </x:c>
      <x:c r="L31" s="34" t="n">
        <x:f>K31*G31</x:f>
        <x:v>784</x:v>
      </x:c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LM Head TP</x:v>
      </x:c>
      <x:c r="B32" s="30" t="str">
        <x:v>LM Head</x:v>
      </x:c>
      <x:c r="C32" s="30" t="str">
        <x:v>完整 Logits</x:v>
      </x:c>
      <x:c r="D32" s="30" t="str">
        <x:v>Ring AllGather</x:v>
      </x:c>
      <x:c r="E32" s="33" t="n">
        <x:f>'Prefill'!$P$8*163840/IF('Prefill'!$P$20&gt;0,'Prefill'!$P$20,'Prefill'!$P$12)</x:f>
        <x:v>2621440</x:v>
      </x:c>
      <x:c r="F32" s="33" t="n">
        <x:f>'Prefill'!$P$28</x:f>
        <x:v>2</x:v>
      </x:c>
      <x:c r="G32" s="33" t="n">
        <x:f>IF('Prefill'!$P$20&gt;0,'Prefill'!$P$20,'Prefill'!$P$12)</x:f>
        <x:v>8</x:v>
      </x:c>
      <x:c r="H32" s="33" t="n">
        <x:f>IF(AND(IF('Prefill'!$P$20&gt;0,'Prefill'!$P$20,'Prefill'!$P$12)&gt;1,'Prefill'!$P$23=0,'Prefill'!$P$33=0),1,0)</x:f>
        <x:v>0</x:v>
      </x:c>
      <x:c r="I32" s="34" t="n">
        <x:f>E32*F32/1048576</x:f>
        <x:v>5</x:v>
      </x:c>
      <x:c r="J32" s="34" t="n">
        <x:f>I32*(IF(G32&gt;1,G32-1,0))</x:f>
        <x:v>35</x:v>
      </x:c>
      <x:c r="K32" s="34" t="n">
        <x:f>J32*H32</x:f>
        <x:v>0</x:v>
      </x:c>
      <x:c r="L32" s="34" t="n">
        <x:f>K32*G32</x:f>
        <x:v>0</x:v>
      </x:c>
      <x:c r="M32" s="30"/>
      <x:c r="N32" s="30"/>
      <x:c r="O32" s="35" t="str">
        <x:v>跨 EP Rank 路由比例</x:v>
      </x:c>
      <x:c r="P32" s="41" t="n">
        <x:f>IF($P$14&gt;1,($P$14-1)/$P$14,0)</x:f>
        <x:v>0</x:v>
      </x:c>
    </x:row>
    <x:row r="33">
      <x:c r="A33" s="30" t="str">
        <x:v>LM Head TP</x:v>
      </x:c>
      <x:c r="B33" s="30" t="str">
        <x:v>LM Head</x:v>
      </x:c>
      <x:c r="C33" s="30" t="str">
        <x:v>Reduce Sample</x:v>
      </x:c>
      <x:c r="D33" s="30" t="str">
        <x:v>Ring AllGather</x:v>
      </x:c>
      <x:c r="E33" s="33" t="n">
        <x:f>'Prefill'!$P$8*'Prefill'!$P$34</x:f>
        <x:v>32768</x:v>
      </x:c>
      <x:c r="F33" s="33" t="n">
        <x:f>('Prefill'!$P$28+'Prefill'!$P$31)</x:f>
        <x:v>6</x:v>
      </x:c>
      <x:c r="G33" s="33" t="n">
        <x:f>IF('Prefill'!$P$20&gt;0,'Prefill'!$P$20,'Prefill'!$P$12)</x:f>
        <x:v>8</x:v>
      </x:c>
      <x:c r="H33" s="33" t="n">
        <x:f>IF(AND(IF('Prefill'!$P$20&gt;0,'Prefill'!$P$20,'Prefill'!$P$12)&gt;1,'Prefill'!$P$23=0,'Prefill'!$P$33&lt;&gt;0),1,0)</x:f>
        <x:v>1</x:v>
      </x:c>
      <x:c r="I33" s="34" t="n">
        <x:f>E33*F33/1048576</x:f>
        <x:v>0.1875</x:v>
      </x:c>
      <x:c r="J33" s="34" t="n">
        <x:f>I33*(IF(G33&gt;1,G33-1,0))</x:f>
        <x:v>1.3125</x:v>
      </x:c>
      <x:c r="K33" s="34" t="n">
        <x:f>J33*H33</x:f>
        <x:v>1.3125</x:v>
      </x:c>
      <x:c r="L33" s="34" t="n">
        <x:f>K33*G33</x:f>
        <x:v>10.5</x:v>
      </x:c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Fine LM Head TP</x:v>
      </x:c>
      <x:c r="B34" s="30" t="str">
        <x:v>LM Head</x:v>
      </x:c>
      <x:c r="C34" s="30" t="str">
        <x:v>Hidden 输入</x:v>
      </x:c>
      <x:c r="D34" s="30" t="str">
        <x:v>Ring AllGather</x:v>
      </x:c>
      <x:c r="E34" s="33" t="n">
        <x:f>'Prefill'!$P$8*7168</x:f>
        <x:v>917504</x:v>
      </x:c>
      <x:c r="F34" s="33" t="n">
        <x:f>'Prefill'!$P$28</x:f>
        <x:v>2</x:v>
      </x:c>
      <x:c r="G34" s="33" t="n">
        <x:f>IF('Prefill'!$P$20&gt;0,'Prefill'!$P$20,'Prefill'!$P$12)</x:f>
        <x:v>8</x:v>
      </x:c>
      <x:c r="H34" s="33" t="n">
        <x:f>IF(AND(IF('Prefill'!$P$20&gt;0,'Prefill'!$P$20,'Prefill'!$P$12)&gt;1,'Prefill'!$P$23&lt;&gt;0),1,0)</x:f>
        <x:v>0</x:v>
      </x:c>
      <x:c r="I34" s="34" t="n">
        <x:f>E34*F34/1048576</x:f>
        <x:v>1.75</x:v>
      </x:c>
      <x:c r="J34" s="34" t="n">
        <x:f>I34*(IF(G34&gt;1,G34-1,0))</x:f>
        <x:v>12.25</x:v>
      </x:c>
      <x:c r="K34" s="34" t="n">
        <x:f>J34*H34</x:f>
        <x:v>0</x:v>
      </x:c>
      <x:c r="L34" s="34" t="n">
        <x:f>K34*G34</x:f>
        <x:v>0</x:v>
      </x:c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Fine LM Head TP</x:v>
      </x:c>
      <x:c r="B35" s="30" t="str">
        <x:v>LM Head</x:v>
      </x:c>
      <x:c r="C35" s="30" t="str">
        <x:v>完整 Logits</x:v>
      </x:c>
      <x:c r="D35" s="30" t="str">
        <x:v>Equal-split AllToAll</x:v>
      </x:c>
      <x:c r="E35" s="33" t="n">
        <x:f>'Prefill'!$P$8*163840</x:f>
        <x:v>20971520</x:v>
      </x:c>
      <x:c r="F35" s="33" t="n">
        <x:f>'Prefill'!$P$28</x:f>
        <x:v>2</x:v>
      </x:c>
      <x:c r="G35" s="33" t="n">
        <x:f>IF('Prefill'!$P$20&gt;0,'Prefill'!$P$20,'Prefill'!$P$12)</x:f>
        <x:v>8</x:v>
      </x:c>
      <x:c r="H35" s="33" t="n">
        <x:f>IF(AND(IF('Prefill'!$P$20&gt;0,'Prefill'!$P$20,'Prefill'!$P$12)&gt;1,'Prefill'!$P$23&lt;&gt;0,'Prefill'!$P$33=0),1,0)</x:f>
        <x:v>0</x:v>
      </x:c>
      <x:c r="I35" s="34" t="n">
        <x:f>E35*F35/1048576</x:f>
        <x:v>40</x:v>
      </x:c>
      <x:c r="J35" s="34" t="n">
        <x:f>I35*(IF(G35&gt;1,(G35-1)/G35,0))</x:f>
        <x:v>35</x:v>
      </x:c>
      <x:c r="K35" s="34" t="n">
        <x:f>J35*H35</x:f>
        <x:v>0</x:v>
      </x:c>
      <x:c r="L35" s="34" t="n">
        <x:f>K35*G35</x:f>
        <x:v>0</x:v>
      </x:c>
      <x:c r="M35" s="30"/>
      <x:c r="N35" s="30"/>
      <x:c r="O35" s="30"/>
      <x:c r="P35" s="30"/>
    </x:row>
    <x:row r="36">
      <x:c r="A36" s="30" t="str">
        <x:v>Fine LM Head TP</x:v>
      </x:c>
      <x:c r="B36" s="30" t="str">
        <x:v>LM Head</x:v>
      </x:c>
      <x:c r="C36" s="30" t="str">
        <x:v>Reduce Sample</x:v>
      </x:c>
      <x:c r="D36" s="30" t="str">
        <x:v>Ring AllGather</x:v>
      </x:c>
      <x:c r="E36" s="33" t="n">
        <x:f>'Prefill'!$P$8*'Prefill'!$P$34</x:f>
        <x:v>32768</x:v>
      </x:c>
      <x:c r="F36" s="33" t="n">
        <x:f>('Prefill'!$P$28+'Prefill'!$P$31)</x:f>
        <x:v>6</x:v>
      </x:c>
      <x:c r="G36" s="33" t="n">
        <x:f>IF('Prefill'!$P$20&gt;0,'Prefill'!$P$20,'Prefill'!$P$12)</x:f>
        <x:v>8</x:v>
      </x:c>
      <x:c r="H36" s="33" t="n">
        <x:f>IF(AND(IF('Prefill'!$P$20&gt;0,'Prefill'!$P$20,'Prefill'!$P$12)&gt;1,'Prefill'!$P$23&lt;&gt;0,'Prefill'!$P$33&lt;&gt;0),1,0)</x:f>
        <x:v>0</x:v>
      </x:c>
      <x:c r="I36" s="34" t="n">
        <x:f>E36*F36/1048576</x:f>
        <x:v>0.1875</x:v>
      </x:c>
      <x:c r="J36" s="34" t="n">
        <x:f>I36*(IF(G36&gt;1,G36-1,0))</x:f>
        <x:v>1.3125</x:v>
      </x:c>
      <x:c r="K36" s="34" t="n">
        <x:f>J36*H36</x:f>
        <x:v>0</x:v>
      </x:c>
      <x:c r="L36" s="34" t="n">
        <x:f>K36*G36</x:f>
        <x:v>0</x:v>
      </x:c>
      <x:c r="M36" s="30"/>
      <x:c r="N36" s="30"/>
      <x:c r="O36" s="30"/>
      <x:c r="P36" s="30"/>
    </x:row>
    <x:row r="37">
      <x:c r="A37" s="39" t="str">
        <x:v>合计</x:v>
      </x:c>
      <x:c r="B37" s="39"/>
      <x:c r="C37" s="39"/>
      <x:c r="D37" s="39"/>
      <x:c r="E37" s="39"/>
      <x:c r="F37" s="39"/>
      <x:c r="G37" s="39"/>
      <x:c r="H37" s="39"/>
      <x:c r="I37" s="40"/>
      <x:c r="J37" s="40"/>
      <x:c r="K37" s="40" t="n">
        <x:f>SUM(K23:K36)</x:f>
        <x:v>1299.8125</x:v>
      </x:c>
      <x:c r="L37" s="40" t="n">
        <x:f>SUM(L23:L36)</x:f>
        <x:v>10398.5</x:v>
      </x:c>
      <x:c r="M37" s="30"/>
      <x:c r="N37" s="30"/>
      <x:c r="O37" s="30"/>
      <x:c r="P37" s="30"/>
    </x:row>
    <x:row r="70" ht="23" customHeight="1">
      <x:c r="A70" s="42" t="str">
        <x:v>PD 带宽争用耗时评估</x:v>
      </x:c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</x:row>
    <x:row r="71" ht="23" customHeight="1">
      <x:c r="A71" s="30" t="str">
        <x:v>Prefill 当前表参数；100 GB/s 为归一化示例。所列事件的带宽项，不等于完整 forward 耗时。</x:v>
      </x:c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</x:row>
    <x:row r="72" ht="38" customHeight="1">
      <x:c r="A72" s="45" t="str">
        <x:v>带宽降幅</x:v>
      </x:c>
      <x:c r="B72" s="45" t="str">
        <x:v>输入</x:v>
      </x:c>
      <x:c r="C72" s="45" t="str">
        <x:v>争用覆盖率</x:v>
      </x:c>
      <x:c r="D72" s="45" t="str">
        <x:v>输入</x:v>
      </x:c>
      <x:c r="E72" s="45" t="str">
        <x:v>基线 forward ms</x:v>
      </x:c>
      <x:c r="F72" s="45" t="str">
        <x:v>实测输入</x:v>
      </x:c>
      <x:c r="G72" s="45" t="str">
        <x:v>默认带宽 GB/s</x:v>
      </x:c>
      <x:c r="H72" s="45" t="str">
        <x:v>输入</x:v>
      </x:c>
      <x:c r="I72" s="30"/>
      <x:c r="J72" s="30"/>
      <x:c r="K72" s="30"/>
      <x:c r="L72" s="30"/>
    </x:row>
    <x:row r="73" ht="23" customHeight="1">
      <x:c r="A73" s="30"/>
      <x:c r="B73" s="47" t="n">
        <x:v>0.1</x:v>
      </x:c>
      <x:c r="C73" s="30"/>
      <x:c r="D73" s="47" t="n">
        <x:v>1</x:v>
      </x:c>
      <x:c r="E73" s="30"/>
      <x:c r="F73" s="48"/>
      <x:c r="G73" s="30"/>
      <x:c r="H73" s="48" t="n">
        <x:v>100</x:v>
      </x:c>
      <x:c r="I73" s="30"/>
      <x:c r="J73" s="30"/>
      <x:c r="K73" s="30"/>
      <x:c r="L73" s="30"/>
    </x:row>
    <x:row r="74" ht="38" customHeight="1">
      <x:c r="A74" s="45" t="str">
        <x:v>通信基线 ms</x:v>
      </x:c>
      <x:c r="B74" s="45" t="str">
        <x:v>结果</x:v>
      </x:c>
      <x:c r="C74" s="45" t="str">
        <x:v>通信争用后 ms</x:v>
      </x:c>
      <x:c r="D74" s="45" t="str">
        <x:v>结果</x:v>
      </x:c>
      <x:c r="E74" s="45" t="str">
        <x:v>forward 增量 ms</x:v>
      </x:c>
      <x:c r="F74" s="45" t="str">
        <x:v>结果</x:v>
      </x:c>
      <x:c r="G74" s="45" t="str">
        <x:v>forward 新耗时 ms</x:v>
      </x:c>
      <x:c r="H74" s="45" t="str">
        <x:v>结果</x:v>
      </x:c>
      <x:c r="I74" s="45" t="str">
        <x:v>forward 增幅</x:v>
      </x:c>
      <x:c r="J74" s="45" t="str">
        <x:v>结果</x:v>
      </x:c>
      <x:c r="K74" s="45" t="str">
        <x:v>输入状态</x:v>
      </x:c>
      <x:c r="L74" s="45" t="str">
        <x:v>状态</x:v>
      </x:c>
    </x:row>
    <x:row r="75" ht="23" customHeight="1">
      <x:c r="A75" s="49"/>
      <x:c r="B75" s="49" t="n">
        <x:f>SUM(G79:G92)</x:f>
        <x:v>13.629521919999998</x:v>
      </x:c>
      <x:c r="C75" s="49"/>
      <x:c r="D75" s="49" t="n">
        <x:f>SUM(H79:H92)</x:f>
        <x:v>15.143913244444445</x:v>
      </x:c>
      <x:c r="E75" s="49"/>
      <x:c r="F75" s="49" t="n">
        <x:f>SUM(K79:K92)</x:f>
        <x:v>1.5143913244444445</x:v>
      </x:c>
      <x:c r="G75" s="49"/>
      <x:c r="H75" s="49" t="str">
        <x:f>IF(AND(ISNUMBER($F$73),$F$73&gt;0,$F$73&gt;=SUMPRODUCT(G79:G92,J79:J92)),$F$73+F75,"")</x:f>
      </x:c>
      <x:c r="I75" s="49"/>
      <x:c r="J75" s="50" t="str">
        <x:f>IF(AND(ISNUMBER($F$73),$F$73&gt;0,$F$73&gt;=SUMPRODUCT(G79:G92,J79:J92)),F75/$F$73,"")</x:f>
      </x:c>
      <x:c r="K75" s="49"/>
      <x:c r="L75" s="49" t="str">
        <x:f>IF($F$73="","待填基线",IF(AND(ISNUMBER($F$73),$F$73&gt;0,$F$73&gt;=SUMPRODUCT(G79:G92,J79:J92)),"已填基线","基线/暴露不一致"))</x:f>
        <x:v>待填基线</x:v>
      </x:c>
    </x:row>
    <x:row r="76" ht="23" customHeight="1">
      <x:c r="A76" s="30" t="str">
        <x:v>共享比例=0 表示独立链路；暴露系数=0 表示增量完全隐藏。默认均为 1，降幅只作用于带宽项。</x:v>
      </x:c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</x:row>
    <x:row r="77" ht="23" customHeight="1">
      <x:c r="A77" s="30" t="str">
        <x:v>P: AllToAllV + 4 B 计数 Ring；D: A3 BF16 MC2 FullMesh。每事件带宽按端点发送量定义。</x:v>
      </x:c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</x:row>
    <x:row r="78" ht="38" customHeight="1">
      <x:c r="A78" s="45" t="str">
        <x:v>并行域</x:v>
      </x:c>
      <x:c r="B78" s="45" t="str">
        <x:v>模块</x:v>
      </x:c>
      <x:c r="C78" s="45" t="str">
        <x:v>通信事件</x:v>
      </x:c>
      <x:c r="D78" s="45" t="str">
        <x:v>GB/Rank/Step</x:v>
      </x:c>
      <x:c r="E78" s="45" t="str">
        <x:v>有效带宽 GB/s</x:v>
      </x:c>
      <x:c r="F78" s="45" t="str">
        <x:v>共享比例</x:v>
      </x:c>
      <x:c r="G78" s="45" t="str">
        <x:v>基线带宽项 ms</x:v>
      </x:c>
      <x:c r="H78" s="45" t="str">
        <x:v>争用后带宽项 ms</x:v>
      </x:c>
      <x:c r="I78" s="45" t="str">
        <x:v>通信增量 ms</x:v>
      </x:c>
      <x:c r="J78" s="45" t="str">
        <x:v>暴露系数</x:v>
      </x:c>
      <x:c r="K78" s="45" t="str">
        <x:v>forward 增量 ms</x:v>
      </x:c>
      <x:c r="L78" s="45" t="str">
        <x:v>公式口径</x:v>
      </x:c>
    </x:row>
    <x:row r="79" ht="23" customHeight="1">
      <x:c r="A79" s="30" t="str">
        <x:v>TP</x:v>
      </x:c>
      <x:c r="B79" s="30" t="str">
        <x:v>Input Projection</x:v>
      </x:c>
      <x:c r="C79" s="30" t="str">
        <x:v>Column Parallel 输出</x:v>
      </x:c>
      <x:c r="D79" s="34" t="n">
        <x:f>(K23*2^20)/1e9</x:f>
        <x:v>0.102760448</x:v>
      </x:c>
      <x:c r="E79" s="51" t="n">
        <x:f>$H$73</x:f>
        <x:v>100</x:v>
      </x:c>
      <x:c r="F79" s="52" t="n">
        <x:v>1</x:v>
      </x:c>
      <x:c r="G79" s="34" t="n">
        <x:f>IF(AND(ISNUMBER(E79),E79&gt;0,ISNUMBER($B$73),$B$73&gt;=0,$B$73&lt;1,ISNUMBER($D$73),$D$73&gt;=0,$D$73&lt;=1,ISNUMBER(F79),F79&gt;=0,F79&lt;=1,ISNUMBER(J79),J79&gt;=0,J79&lt;=1),D79/E79*1000,NA())</x:f>
        <x:v>1.0276044800000002</x:v>
      </x:c>
      <x:c r="H79" s="34" t="n">
        <x:f>G79+I79</x:f>
        <x:v>1.1417827555555558</x:v>
      </x:c>
      <x:c r="I79" s="34" t="n">
        <x:f>G79*F79*$D$73*$B$73/(1-$B$73)</x:f>
        <x:v>0.11417827555555557</x:v>
      </x:c>
      <x:c r="J79" s="52" t="n">
        <x:v>1</x:v>
      </x:c>
      <x:c r="K79" s="34" t="n">
        <x:f>I79*J79</x:f>
        <x:v>0.11417827555555557</x:v>
      </x:c>
      <x:c r="L79" s="30" t="str">
        <x:v>原通信行 23</x:v>
      </x:c>
    </x:row>
    <x:row r="80" ht="23" customHeight="1">
      <x:c r="A80" s="30" t="str">
        <x:v>SP</x:v>
      </x:c>
      <x:c r="B80" s="30" t="str">
        <x:v>Attention</x:v>
      </x:c>
      <x:c r="C80" s="30" t="str">
        <x:v>Attention 前</x:v>
      </x:c>
      <x:c r="D80" s="34" t="n">
        <x:f>(K24*2^20)/1e9</x:f>
        <x:v>0.51380224</x:v>
      </x:c>
      <x:c r="E80" s="51" t="n">
        <x:f>$H$73</x:f>
        <x:v>100</x:v>
      </x:c>
      <x:c r="F80" s="52" t="n">
        <x:v>1</x:v>
      </x:c>
      <x:c r="G80" s="34" t="n">
        <x:f>IF(AND(ISNUMBER(E80),E80&gt;0,ISNUMBER($B$73),$B$73&gt;=0,$B$73&lt;1,ISNUMBER($D$73),$D$73&gt;=0,$D$73&lt;=1,ISNUMBER(F80),F80&gt;=0,F80&lt;=1,ISNUMBER(J80),J80&gt;=0,J80&lt;=1),D80/E80*1000,NA())</x:f>
        <x:v>5.1380224</x:v>
      </x:c>
      <x:c r="H80" s="34" t="n">
        <x:f>G80+I80</x:f>
        <x:v>5.708913777777777</x:v>
      </x:c>
      <x:c r="I80" s="34" t="n">
        <x:f>G80*F80*$D$73*$B$73/(1-$B$73)</x:f>
        <x:v>0.5708913777777778</x:v>
      </x:c>
      <x:c r="J80" s="52" t="n">
        <x:v>1</x:v>
      </x:c>
      <x:c r="K80" s="34" t="n">
        <x:f>I80*J80</x:f>
        <x:v>0.5708913777777778</x:v>
      </x:c>
      <x:c r="L80" s="30" t="str">
        <x:v>原通信行 24</x:v>
      </x:c>
    </x:row>
    <x:row r="81" ht="23" customHeight="1">
      <x:c r="A81" s="30" t="str">
        <x:v>SP</x:v>
      </x:c>
      <x:c r="B81" s="30" t="str">
        <x:v>Attention</x:v>
      </x:c>
      <x:c r="C81" s="30" t="str">
        <x:v>O Proj 后</x:v>
      </x:c>
      <x:c r="D81" s="34" t="n">
        <x:f>(K25*2^20)/1e9</x:f>
        <x:v>0.51380224</x:v>
      </x:c>
      <x:c r="E81" s="51" t="n">
        <x:f>$H$73</x:f>
        <x:v>100</x:v>
      </x:c>
      <x:c r="F81" s="52" t="n">
        <x:v>1</x:v>
      </x:c>
      <x:c r="G81" s="34" t="n">
        <x:f>IF(AND(ISNUMBER(E81),E81&gt;0,ISNUMBER($B$73),$B$73&gt;=0,$B$73&lt;1,ISNUMBER($D$73),$D$73&gt;=0,$D$73&lt;=1,ISNUMBER(F81),F81&gt;=0,F81&lt;=1,ISNUMBER(J81),J81&gt;=0,J81&lt;=1),D81/E81*1000,NA())</x:f>
        <x:v>5.1380224</x:v>
      </x:c>
      <x:c r="H81" s="34" t="n">
        <x:f>G81+I81</x:f>
        <x:v>5.708913777777777</x:v>
      </x:c>
      <x:c r="I81" s="34" t="n">
        <x:f>G81*F81*$D$73*$B$73/(1-$B$73)</x:f>
        <x:v>0.5708913777777778</x:v>
      </x:c>
      <x:c r="J81" s="52" t="n">
        <x:v>1</x:v>
      </x:c>
      <x:c r="K81" s="34" t="n">
        <x:f>I81*J81</x:f>
        <x:v>0.5708913777777778</x:v>
      </x:c>
      <x:c r="L81" s="30" t="str">
        <x:v>原通信行 25</x:v>
      </x:c>
    </x:row>
    <x:row r="82" ht="23" customHeight="1">
      <x:c r="A82" s="30" t="str">
        <x:v>O Proj TP</x:v>
      </x:c>
      <x:c r="B82" s="30" t="str">
        <x:v>Attention</x:v>
      </x:c>
      <x:c r="C82" s="30" t="str">
        <x:v>非 SP 标准 TP</x:v>
      </x:c>
      <x:c r="D82" s="34" t="n">
        <x:f>(K26*2^20)/1e9</x:f>
        <x:v>0</x:v>
      </x:c>
      <x:c r="E82" s="51" t="n">
        <x:f>$H$73</x:f>
        <x:v>100</x:v>
      </x:c>
      <x:c r="F82" s="52" t="n">
        <x:v>1</x:v>
      </x:c>
      <x:c r="G82" s="34" t="n">
        <x:f>IF(AND(ISNUMBER(E82),E82&gt;0,ISNUMBER($B$73),$B$73&gt;=0,$B$73&lt;1,ISNUMBER($D$73),$D$73&gt;=0,$D$73&lt;=1,ISNUMBER(F82),F82&gt;=0,F82&lt;=1,ISNUMBER(J82),J82&gt;=0,J82&lt;=1),D82/E82*1000,NA())</x:f>
        <x:v>0</x:v>
      </x:c>
      <x:c r="H82" s="34" t="n">
        <x:f>G82+I82</x:f>
        <x:v>0</x:v>
      </x:c>
      <x:c r="I82" s="34" t="n">
        <x:f>G82*F82*$D$73*$B$73/(1-$B$73)</x:f>
        <x:v>0</x:v>
      </x:c>
      <x:c r="J82" s="52" t="n">
        <x:v>1</x:v>
      </x:c>
      <x:c r="K82" s="34" t="n">
        <x:f>I82*J82</x:f>
        <x:v>0</x:v>
      </x:c>
      <x:c r="L82" s="30" t="str">
        <x:v>原通信行 26</x:v>
      </x:c>
    </x:row>
    <x:row r="83" ht="23" customHeight="1">
      <x:c r="A83" s="30" t="str">
        <x:v>Fine O TP</x:v>
      </x:c>
      <x:c r="B83" s="30" t="str">
        <x:v>Attention</x:v>
      </x:c>
      <x:c r="C83" s="30" t="str">
        <x:v>O Proj 输入</x:v>
      </x:c>
      <x:c r="D83" s="34" t="n">
        <x:f>(K27*2^20)/1e9</x:f>
        <x:v>0</x:v>
      </x:c>
      <x:c r="E83" s="51" t="n">
        <x:f>$H$73</x:f>
        <x:v>100</x:v>
      </x:c>
      <x:c r="F83" s="52" t="n">
        <x:v>1</x:v>
      </x:c>
      <x:c r="G83" s="34" t="n">
        <x:f>IF(AND(ISNUMBER(E83),E83&gt;0,ISNUMBER($B$73),$B$73&gt;=0,$B$73&lt;1,ISNUMBER($D$73),$D$73&gt;=0,$D$73&lt;=1,ISNUMBER(F83),F83&gt;=0,F83&lt;=1,ISNUMBER(J83),J83&gt;=0,J83&lt;=1),D83/E83*1000,NA())</x:f>
        <x:v>0</x:v>
      </x:c>
      <x:c r="H83" s="34" t="n">
        <x:f>G83+I83</x:f>
        <x:v>0</x:v>
      </x:c>
      <x:c r="I83" s="34" t="n">
        <x:f>G83*F83*$D$73*$B$73/(1-$B$73)</x:f>
        <x:v>0</x:v>
      </x:c>
      <x:c r="J83" s="52" t="n">
        <x:v>1</x:v>
      </x:c>
      <x:c r="K83" s="34" t="n">
        <x:f>I83*J83</x:f>
        <x:v>0</x:v>
      </x:c>
      <x:c r="L83" s="30" t="str">
        <x:v>原通信行 27</x:v>
      </x:c>
    </x:row>
    <x:row r="84" ht="23" customHeight="1">
      <x:c r="A84" s="30" t="str">
        <x:v>Fine O TP</x:v>
      </x:c>
      <x:c r="B84" s="30" t="str">
        <x:v>Attention</x:v>
      </x:c>
      <x:c r="C84" s="30" t="str">
        <x:v>O Proj 输出</x:v>
      </x:c>
      <x:c r="D84" s="34" t="n">
        <x:f>(K28*2^20)/1e9</x:f>
        <x:v>0</x:v>
      </x:c>
      <x:c r="E84" s="51" t="n">
        <x:f>$H$73</x:f>
        <x:v>100</x:v>
      </x:c>
      <x:c r="F84" s="52" t="n">
        <x:v>1</x:v>
      </x:c>
      <x:c r="G84" s="34" t="n">
        <x:f>IF(AND(ISNUMBER(E84),E84&gt;0,ISNUMBER($B$73),$B$73&gt;=0,$B$73&lt;1,ISNUMBER($D$73),$D$73&gt;=0,$D$73&lt;=1,ISNUMBER(F84),F84&gt;=0,F84&lt;=1,ISNUMBER(J84),J84&gt;=0,J84&lt;=1),D84/E84*1000,NA())</x:f>
        <x:v>0</x:v>
      </x:c>
      <x:c r="H84" s="34" t="n">
        <x:f>G84+I84</x:f>
        <x:v>0</x:v>
      </x:c>
      <x:c r="I84" s="34" t="n">
        <x:f>G84*F84*$D$73*$B$73/(1-$B$73)</x:f>
        <x:v>0</x:v>
      </x:c>
      <x:c r="J84" s="52" t="n">
        <x:v>1</x:v>
      </x:c>
      <x:c r="K84" s="34" t="n">
        <x:f>I84*J84</x:f>
        <x:v>0</x:v>
      </x:c>
      <x:c r="L84" s="30" t="str">
        <x:v>原通信行 28</x:v>
      </x:c>
    </x:row>
    <x:row r="85" ht="23" customHeight="1">
      <x:c r="A85" s="30" t="str">
        <x:v>SP</x:v>
      </x:c>
      <x:c r="B85" s="30" t="str">
        <x:v>Dense MLP</x:v>
      </x:c>
      <x:c r="C85" s="30" t="str">
        <x:v>Down Proj 输出</x:v>
      </x:c>
      <x:c r="D85" s="34" t="n">
        <x:f>(K29*2^20)/1e9</x:f>
        <x:v>0.12845056</x:v>
      </x:c>
      <x:c r="E85" s="51" t="n">
        <x:f>$H$73</x:f>
        <x:v>100</x:v>
      </x:c>
      <x:c r="F85" s="52" t="n">
        <x:v>1</x:v>
      </x:c>
      <x:c r="G85" s="34" t="n">
        <x:f>IF(AND(ISNUMBER(E85),E85&gt;0,ISNUMBER($B$73),$B$73&gt;=0,$B$73&lt;1,ISNUMBER($D$73),$D$73&gt;=0,$D$73&lt;=1,ISNUMBER(F85),F85&gt;=0,F85&lt;=1,ISNUMBER(J85),J85&gt;=0,J85&lt;=1),D85/E85*1000,NA())</x:f>
        <x:v>1.2845056</x:v>
      </x:c>
      <x:c r="H85" s="34" t="n">
        <x:f>G85+I85</x:f>
        <x:v>1.4272284444444443</x:v>
      </x:c>
      <x:c r="I85" s="34" t="n">
        <x:f>G85*F85*$D$73*$B$73/(1-$B$73)</x:f>
        <x:v>0.14272284444444444</x:v>
      </x:c>
      <x:c r="J85" s="52" t="n">
        <x:v>1</x:v>
      </x:c>
      <x:c r="K85" s="34" t="n">
        <x:f>I85*J85</x:f>
        <x:v>0.14272284444444444</x:v>
      </x:c>
      <x:c r="L85" s="30" t="str">
        <x:v>原通信行 29</x:v>
      </x:c>
    </x:row>
    <x:row r="86" ht="23" customHeight="1">
      <x:c r="A86" s="30" t="str">
        <x:v>PCP</x:v>
      </x:c>
      <x:c r="B86" s="30" t="str">
        <x:v>Attention KV</x:v>
      </x:c>
      <x:c r="C86" s="30" t="str">
        <x:v>KV Cache 写入前</x:v>
      </x:c>
      <x:c r="D86" s="34" t="n">
        <x:f>(K30*2^20)/1e9</x:f>
        <x:v>0</x:v>
      </x:c>
      <x:c r="E86" s="51" t="n">
        <x:f>$H$73</x:f>
        <x:v>100</x:v>
      </x:c>
      <x:c r="F86" s="52" t="n">
        <x:v>1</x:v>
      </x:c>
      <x:c r="G86" s="34" t="n">
        <x:f>IF(AND(ISNUMBER(E86),E86&gt;0,ISNUMBER($B$73),$B$73&gt;=0,$B$73&lt;1,ISNUMBER($D$73),$D$73&gt;=0,$D$73&lt;=1,ISNUMBER(F86),F86&gt;=0,F86&lt;=1,ISNUMBER(J86),J86&gt;=0,J86&lt;=1),D86/E86*1000,NA())</x:f>
        <x:v>0</x:v>
      </x:c>
      <x:c r="H86" s="34" t="n">
        <x:f>G86+I86</x:f>
        <x:v>0</x:v>
      </x:c>
      <x:c r="I86" s="34" t="n">
        <x:f>G86*F86*$D$73*$B$73/(1-$B$73)</x:f>
        <x:v>0</x:v>
      </x:c>
      <x:c r="J86" s="52" t="n">
        <x:v>1</x:v>
      </x:c>
      <x:c r="K86" s="34" t="n">
        <x:f>I86*J86</x:f>
        <x:v>0</x:v>
      </x:c>
      <x:c r="L86" s="30" t="str">
        <x:v>原通信行 30</x:v>
      </x:c>
    </x:row>
    <x:row r="87" ht="23" customHeight="1">
      <x:c r="A87" s="30" t="str">
        <x:v>SP</x:v>
      </x:c>
      <x:c r="B87" s="30" t="str">
        <x:v>Model Output</x:v>
      </x:c>
      <x:c r="C87" s="30" t="str">
        <x:v>Final Norm 后</x:v>
      </x:c>
      <x:c r="D87" s="34" t="n">
        <x:f>(K31*2^20)/1e9</x:f>
        <x:v>0.102760448</x:v>
      </x:c>
      <x:c r="E87" s="51" t="n">
        <x:f>$H$73</x:f>
        <x:v>100</x:v>
      </x:c>
      <x:c r="F87" s="52" t="n">
        <x:v>1</x:v>
      </x:c>
      <x:c r="G87" s="34" t="n">
        <x:f>IF(AND(ISNUMBER(E87),E87&gt;0,ISNUMBER($B$73),$B$73&gt;=0,$B$73&lt;1,ISNUMBER($D$73),$D$73&gt;=0,$D$73&lt;=1,ISNUMBER(F87),F87&gt;=0,F87&lt;=1,ISNUMBER(J87),J87&gt;=0,J87&lt;=1),D87/E87*1000,NA())</x:f>
        <x:v>1.0276044800000002</x:v>
      </x:c>
      <x:c r="H87" s="34" t="n">
        <x:f>G87+I87</x:f>
        <x:v>1.1417827555555558</x:v>
      </x:c>
      <x:c r="I87" s="34" t="n">
        <x:f>G87*F87*$D$73*$B$73/(1-$B$73)</x:f>
        <x:v>0.11417827555555557</x:v>
      </x:c>
      <x:c r="J87" s="52" t="n">
        <x:v>1</x:v>
      </x:c>
      <x:c r="K87" s="34" t="n">
        <x:f>I87*J87</x:f>
        <x:v>0.11417827555555557</x:v>
      </x:c>
      <x:c r="L87" s="30" t="str">
        <x:v>原通信行 31</x:v>
      </x:c>
    </x:row>
    <x:row r="88" ht="23" customHeight="1">
      <x:c r="A88" s="30" t="str">
        <x:v>LM Head TP</x:v>
      </x:c>
      <x:c r="B88" s="30" t="str">
        <x:v>LM Head</x:v>
      </x:c>
      <x:c r="C88" s="30" t="str">
        <x:v>完整 Logits</x:v>
      </x:c>
      <x:c r="D88" s="34" t="n">
        <x:f>(K32*2^20)/1e9</x:f>
        <x:v>0</x:v>
      </x:c>
      <x:c r="E88" s="51" t="n">
        <x:f>$H$73</x:f>
        <x:v>100</x:v>
      </x:c>
      <x:c r="F88" s="52" t="n">
        <x:v>1</x:v>
      </x:c>
      <x:c r="G88" s="34" t="n">
        <x:f>IF(AND(ISNUMBER(E88),E88&gt;0,ISNUMBER($B$73),$B$73&gt;=0,$B$73&lt;1,ISNUMBER($D$73),$D$73&gt;=0,$D$73&lt;=1,ISNUMBER(F88),F88&gt;=0,F88&lt;=1,ISNUMBER(J88),J88&gt;=0,J88&lt;=1),D88/E88*1000,NA())</x:f>
        <x:v>0</x:v>
      </x:c>
      <x:c r="H88" s="34" t="n">
        <x:f>G88+I88</x:f>
        <x:v>0</x:v>
      </x:c>
      <x:c r="I88" s="34" t="n">
        <x:f>G88*F88*$D$73*$B$73/(1-$B$73)</x:f>
        <x:v>0</x:v>
      </x:c>
      <x:c r="J88" s="52" t="n">
        <x:v>1</x:v>
      </x:c>
      <x:c r="K88" s="34" t="n">
        <x:f>I88*J88</x:f>
        <x:v>0</x:v>
      </x:c>
      <x:c r="L88" s="30" t="str">
        <x:v>原通信行 32</x:v>
      </x:c>
    </x:row>
    <x:row r="89" ht="23" customHeight="1">
      <x:c r="A89" s="30" t="str">
        <x:v>LM Head TP</x:v>
      </x:c>
      <x:c r="B89" s="30" t="str">
        <x:v>LM Head</x:v>
      </x:c>
      <x:c r="C89" s="30" t="str">
        <x:v>Reduce Sample</x:v>
      </x:c>
      <x:c r="D89" s="34" t="n">
        <x:f>(K33*2^20)/1e9</x:f>
        <x:v>0.001376256</x:v>
      </x:c>
      <x:c r="E89" s="51" t="n">
        <x:f>$H$73</x:f>
        <x:v>100</x:v>
      </x:c>
      <x:c r="F89" s="52" t="n">
        <x:v>1</x:v>
      </x:c>
      <x:c r="G89" s="34" t="n">
        <x:f>IF(AND(ISNUMBER(E89),E89&gt;0,ISNUMBER($B$73),$B$73&gt;=0,$B$73&lt;1,ISNUMBER($D$73),$D$73&gt;=0,$D$73&lt;=1,ISNUMBER(F89),F89&gt;=0,F89&lt;=1,ISNUMBER(J89),J89&gt;=0,J89&lt;=1),D89/E89*1000,NA())</x:f>
        <x:v>0.01376256</x:v>
      </x:c>
      <x:c r="H89" s="34" t="n">
        <x:f>G89+I89</x:f>
        <x:v>0.015291733333333333</x:v>
      </x:c>
      <x:c r="I89" s="34" t="n">
        <x:f>G89*F89*$D$73*$B$73/(1-$B$73)</x:f>
        <x:v>0.0015291733333333336</x:v>
      </x:c>
      <x:c r="J89" s="52" t="n">
        <x:v>1</x:v>
      </x:c>
      <x:c r="K89" s="34" t="n">
        <x:f>I89*J89</x:f>
        <x:v>0.0015291733333333336</x:v>
      </x:c>
      <x:c r="L89" s="30" t="str">
        <x:v>原通信行 33</x:v>
      </x:c>
    </x:row>
    <x:row r="90" ht="23" customHeight="1">
      <x:c r="A90" s="30" t="str">
        <x:v>Fine LM Head TP</x:v>
      </x:c>
      <x:c r="B90" s="30" t="str">
        <x:v>LM Head</x:v>
      </x:c>
      <x:c r="C90" s="30" t="str">
        <x:v>Hidden 输入</x:v>
      </x:c>
      <x:c r="D90" s="34" t="n">
        <x:f>(K34*2^20)/1e9</x:f>
        <x:v>0</x:v>
      </x:c>
      <x:c r="E90" s="51" t="n">
        <x:f>$H$73</x:f>
        <x:v>100</x:v>
      </x:c>
      <x:c r="F90" s="52" t="n">
        <x:v>1</x:v>
      </x:c>
      <x:c r="G90" s="34" t="n">
        <x:f>IF(AND(ISNUMBER(E90),E90&gt;0,ISNUMBER($B$73),$B$73&gt;=0,$B$73&lt;1,ISNUMBER($D$73),$D$73&gt;=0,$D$73&lt;=1,ISNUMBER(F90),F90&gt;=0,F90&lt;=1,ISNUMBER(J90),J90&gt;=0,J90&lt;=1),D90/E90*1000,NA())</x:f>
        <x:v>0</x:v>
      </x:c>
      <x:c r="H90" s="34" t="n">
        <x:f>G90+I90</x:f>
        <x:v>0</x:v>
      </x:c>
      <x:c r="I90" s="34" t="n">
        <x:f>G90*F90*$D$73*$B$73/(1-$B$73)</x:f>
        <x:v>0</x:v>
      </x:c>
      <x:c r="J90" s="52" t="n">
        <x:v>1</x:v>
      </x:c>
      <x:c r="K90" s="34" t="n">
        <x:f>I90*J90</x:f>
        <x:v>0</x:v>
      </x:c>
      <x:c r="L90" s="30" t="str">
        <x:v>原通信行 34</x:v>
      </x:c>
    </x:row>
    <x:row r="91" ht="23" customHeight="1">
      <x:c r="A91" s="30" t="str">
        <x:v>Fine LM Head TP</x:v>
      </x:c>
      <x:c r="B91" s="30" t="str">
        <x:v>LM Head</x:v>
      </x:c>
      <x:c r="C91" s="30" t="str">
        <x:v>完整 Logits</x:v>
      </x:c>
      <x:c r="D91" s="34" t="n">
        <x:f>(K35*2^20)/1e9</x:f>
        <x:v>0</x:v>
      </x:c>
      <x:c r="E91" s="51" t="n">
        <x:f>$H$73</x:f>
        <x:v>100</x:v>
      </x:c>
      <x:c r="F91" s="52" t="n">
        <x:v>1</x:v>
      </x:c>
      <x:c r="G91" s="34" t="n">
        <x:f>IF(AND(ISNUMBER(E91),E91&gt;0,ISNUMBER($B$73),$B$73&gt;=0,$B$73&lt;1,ISNUMBER($D$73),$D$73&gt;=0,$D$73&lt;=1,ISNUMBER(F91),F91&gt;=0,F91&lt;=1,ISNUMBER(J91),J91&gt;=0,J91&lt;=1),D91/E91*1000,NA())</x:f>
        <x:v>0</x:v>
      </x:c>
      <x:c r="H91" s="34" t="n">
        <x:f>G91+I91</x:f>
        <x:v>0</x:v>
      </x:c>
      <x:c r="I91" s="34" t="n">
        <x:f>G91*F91*$D$73*$B$73/(1-$B$73)</x:f>
        <x:v>0</x:v>
      </x:c>
      <x:c r="J91" s="52" t="n">
        <x:v>1</x:v>
      </x:c>
      <x:c r="K91" s="34" t="n">
        <x:f>I91*J91</x:f>
        <x:v>0</x:v>
      </x:c>
      <x:c r="L91" s="30" t="str">
        <x:v>原通信行 35</x:v>
      </x:c>
    </x:row>
    <x:row r="92" ht="23" customHeight="1">
      <x:c r="A92" s="30" t="str">
        <x:v>Fine LM Head TP</x:v>
      </x:c>
      <x:c r="B92" s="30" t="str">
        <x:v>LM Head</x:v>
      </x:c>
      <x:c r="C92" s="30" t="str">
        <x:v>Reduce Sample</x:v>
      </x:c>
      <x:c r="D92" s="34" t="n">
        <x:f>(K36*2^20)/1e9</x:f>
        <x:v>0</x:v>
      </x:c>
      <x:c r="E92" s="51" t="n">
        <x:f>$H$73</x:f>
        <x:v>100</x:v>
      </x:c>
      <x:c r="F92" s="52" t="n">
        <x:v>1</x:v>
      </x:c>
      <x:c r="G92" s="34" t="n">
        <x:f>IF(AND(ISNUMBER(E92),E92&gt;0,ISNUMBER($B$73),$B$73&gt;=0,$B$73&lt;1,ISNUMBER($D$73),$D$73&gt;=0,$D$73&lt;=1,ISNUMBER(F92),F92&gt;=0,F92&lt;=1,ISNUMBER(J92),J92&gt;=0,J92&lt;=1),D92/E92*1000,NA())</x:f>
        <x:v>0</x:v>
      </x:c>
      <x:c r="H92" s="34" t="n">
        <x:f>G92+I92</x:f>
        <x:v>0</x:v>
      </x:c>
      <x:c r="I92" s="34" t="n">
        <x:f>G92*F92*$D$73*$B$73/(1-$B$73)</x:f>
        <x:v>0</x:v>
      </x:c>
      <x:c r="J92" s="52" t="n">
        <x:v>1</x:v>
      </x:c>
      <x:c r="K92" s="34" t="n">
        <x:f>I92*J92</x:f>
        <x:v>0</x:v>
      </x:c>
      <x:c r="L92" s="30" t="str">
        <x:v>原通信行 36</x:v>
      </x:c>
    </x:row>
    <x:row r="93" ht="23" customHeight="1">
      <x:c r="A93" s="53" t="str">
        <x:v>所列事件串行相加</x:v>
      </x:c>
      <x:c r="B93" s="53"/>
      <x:c r="C93" s="53"/>
      <x:c r="D93" s="54" t="n">
        <x:f>SUM(D79:D92)</x:f>
        <x:v>1.3629521919999996</x:v>
      </x:c>
      <x:c r="E93" s="54"/>
      <x:c r="F93" s="53"/>
      <x:c r="G93" s="54" t="n">
        <x:f>SUM(G79:G92)</x:f>
        <x:v>13.629521919999998</x:v>
      </x:c>
      <x:c r="H93" s="54" t="n">
        <x:f>SUM(H79:H92)</x:f>
        <x:v>15.143913244444445</x:v>
      </x:c>
      <x:c r="I93" s="54" t="n">
        <x:f>SUM(I79:I92)</x:f>
        <x:v>1.5143913244444445</x:v>
      </x:c>
      <x:c r="J93" s="53"/>
      <x:c r="K93" s="54" t="n">
        <x:f>SUM(K79:K92)</x:f>
        <x:v>1.5143913244444445</x:v>
      </x:c>
      <x:c r="L93" s="53"/>
    </x:row>
  </x:sheetData>
  <x:conditionalFormatting sqref="L75:L75">
    <x:cfRule type="containsText" dxfId="0" priority="1" operator="containsText" text="不一致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Input</x:v>
      </x:c>
      <x:c r="B2" s="30" t="str">
        <x:v>fc.weight</x:v>
      </x:c>
      <x:c r="C2" s="30" t="str">
        <x:v>[7168, 35840]</x:v>
      </x:c>
      <x:c r="D2" s="30" t="str">
        <x:v>BF16</x:v>
      </x:c>
      <x:c r="E2" s="32" t="n">
        <x:v>2</x:v>
      </x:c>
      <x:c r="F2" s="33" t="n">
        <x:v>1</x:v>
      </x:c>
      <x:c r="G2" s="33" t="n">
        <x:v>256901120</x:v>
      </x:c>
      <x:c r="H2" s="33" t="str">
        <x:v>TP</x:v>
      </x:c>
      <x:c r="I2" s="33" t="n">
        <x:f>'Decode'!$P$12</x:f>
        <x:v>8</x:v>
      </x:c>
      <x:c r="J2" s="34" t="n">
        <x:f>E2*F2*G2/1073741824</x:f>
        <x:v>0.478515625</x:v>
      </x:c>
      <x:c r="K2" s="34" t="n">
        <x:f>J2/I2</x:f>
        <x:v>0.059814453125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Input</x:v>
      </x:c>
      <x:c r="B3" s="30" t="str">
        <x:v>hidden_norm.weight</x:v>
      </x:c>
      <x:c r="C3" s="30" t="str">
        <x:v>[7168]</x:v>
      </x:c>
      <x:c r="D3" s="30" t="str">
        <x:v>BF16</x:v>
      </x:c>
      <x:c r="E3" s="32" t="n">
        <x:v>2</x:v>
      </x:c>
      <x:c r="F3" s="33" t="n">
        <x:v>1</x:v>
      </x:c>
      <x:c r="G3" s="33" t="n">
        <x:v>7168</x:v>
      </x:c>
      <x:c r="H3" s="33" t="str">
        <x:v>Replicated</x:v>
      </x:c>
      <x:c r="I3" s="33" t="n">
        <x:f>1</x:f>
        <x:v>1</x:v>
      </x:c>
      <x:c r="J3" s="34" t="n">
        <x:f>E3*F3*G3/1073741824</x:f>
        <x:v>0.0000133514404296875</x:v>
      </x:c>
      <x:c r="K3" s="34" t="n">
        <x:f>J3/I3</x:f>
        <x:v>0.0000133514404296875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Attention</x:v>
      </x:c>
      <x:c r="B4" s="30" t="str">
        <x:v>q_proj.weight</x:v>
      </x:c>
      <x:c r="C4" s="30" t="str">
        <x:v>[4096, 7168]</x:v>
      </x:c>
      <x:c r="D4" s="30" t="str">
        <x:v>BF16</x:v>
      </x:c>
      <x:c r="E4" s="32" t="n">
        <x:v>2</x:v>
      </x:c>
      <x:c r="F4" s="33" t="n">
        <x:v>5</x:v>
      </x:c>
      <x:c r="G4" s="33" t="n">
        <x:v>29360128</x:v>
      </x:c>
      <x:c r="H4" s="33" t="str">
        <x:v>TP</x:v>
      </x:c>
      <x:c r="I4" s="33" t="n">
        <x:f>'Decode'!$P$12</x:f>
        <x:v>8</x:v>
      </x:c>
      <x:c r="J4" s="34" t="n">
        <x:f>E4*F4*G4/1073741824</x:f>
        <x:v>0.2734375</x:v>
      </x:c>
      <x:c r="K4" s="34" t="n">
        <x:f>J4/I4</x:f>
        <x:v>0.0341796875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Attention</x:v>
      </x:c>
      <x:c r="B5" s="30" t="str">
        <x:v>k_proj.weight</x:v>
      </x:c>
      <x:c r="C5" s="30" t="str">
        <x:v>[1024, 7168]</x:v>
      </x:c>
      <x:c r="D5" s="30" t="str">
        <x:v>BF16</x:v>
      </x:c>
      <x:c r="E5" s="32" t="n">
        <x:v>2</x:v>
      </x:c>
      <x:c r="F5" s="33" t="n">
        <x:v>5</x:v>
      </x:c>
      <x:c r="G5" s="33" t="n">
        <x:v>7340032</x:v>
      </x:c>
      <x:c r="H5" s="33" t="str">
        <x:v>TP</x:v>
      </x:c>
      <x:c r="I5" s="33" t="n">
        <x:f>'Decode'!$P$12</x:f>
        <x:v>8</x:v>
      </x:c>
      <x:c r="J5" s="34" t="n">
        <x:f>E5*F5*G5/1073741824</x:f>
        <x:v>0.068359375</x:v>
      </x:c>
      <x:c r="K5" s="34" t="n">
        <x:f>J5/I5</x:f>
        <x:v>0.008544921875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Attention</x:v>
      </x:c>
      <x:c r="B6" s="30" t="str">
        <x:v>v_proj.weight</x:v>
      </x:c>
      <x:c r="C6" s="30" t="str">
        <x:v>[1024, 7168]</x:v>
      </x:c>
      <x:c r="D6" s="30" t="str">
        <x:v>BF16</x:v>
      </x:c>
      <x:c r="E6" s="32" t="n">
        <x:v>2</x:v>
      </x:c>
      <x:c r="F6" s="33" t="n">
        <x:v>5</x:v>
      </x:c>
      <x:c r="G6" s="33" t="n">
        <x:v>7340032</x:v>
      </x:c>
      <x:c r="H6" s="33" t="str">
        <x:v>TP</x:v>
      </x:c>
      <x:c r="I6" s="33" t="n">
        <x:f>'Decode'!$P$12</x:f>
        <x:v>8</x:v>
      </x:c>
      <x:c r="J6" s="34" t="n">
        <x:f>E6*F6*G6/1073741824</x:f>
        <x:v>0.068359375</x:v>
      </x:c>
      <x:c r="K6" s="34" t="n">
        <x:f>J6/I6</x:f>
        <x:v>0.008544921875</x:v>
      </x:c>
      <x:c r="L6" s="30"/>
      <x:c r="M6" s="30"/>
      <x:c r="N6" s="30"/>
      <x:c r="O6" s="35" t="str">
        <x:v>投机采样步数</x:v>
      </x:c>
      <x:c r="P6" s="36" t="n">
        <x:v>7</x:v>
      </x:c>
    </x:row>
    <x:row r="7">
      <x:c r="A7" s="30" t="str">
        <x:v>Attention</x:v>
      </x:c>
      <x:c r="B7" s="30" t="str">
        <x:v>o_proj.weight</x:v>
      </x:c>
      <x:c r="C7" s="30" t="str">
        <x:v>[7168, 4096]</x:v>
      </x:c>
      <x:c r="D7" s="30" t="str">
        <x:v>BF16</x:v>
      </x:c>
      <x:c r="E7" s="32" t="n">
        <x:v>2</x:v>
      </x:c>
      <x:c r="F7" s="33" t="n">
        <x:v>5</x:v>
      </x:c>
      <x:c r="G7" s="33" t="n">
        <x:v>29360128</x:v>
      </x:c>
      <x:c r="H7" s="33" t="str">
        <x:v>O Proj TP</x:v>
      </x:c>
      <x:c r="I7" s="33" t="n">
        <x:f>IF('Decode'!$P$19&gt;0,'Decode'!$P$19,'Decode'!$P$12)</x:f>
        <x:v>8</x:v>
      </x:c>
      <x:c r="J7" s="34" t="n">
        <x:f>E7*F7*G7/1073741824</x:f>
        <x:v>0.2734375</x:v>
      </x:c>
      <x:c r="K7" s="34" t="n">
        <x:f>J7/I7</x:f>
        <x:v>0.0341796875</x:v>
      </x:c>
      <x:c r="L7" s="30"/>
      <x:c r="M7" s="30"/>
      <x:c r="N7" s="30"/>
      <x:c r="O7" s="35" t="str">
        <x:v>当前 Step Token 数</x:v>
      </x:c>
      <x:c r="P7" s="37" t="n">
        <x:f>MIN($P$2,$P$3*($P$6+1))</x:f>
        <x:v>1024</x:v>
      </x:c>
    </x:row>
    <x:row r="8">
      <x:c r="A8" s="30" t="str">
        <x:v>Attention</x:v>
      </x:c>
      <x:c r="B8" s="30" t="str">
        <x:v>q_norm.weight</x:v>
      </x:c>
      <x:c r="C8" s="30" t="str">
        <x:v>[64]</x:v>
      </x:c>
      <x:c r="D8" s="30" t="str">
        <x:v>BF16</x:v>
      </x:c>
      <x:c r="E8" s="32" t="n">
        <x:v>2</x:v>
      </x:c>
      <x:c r="F8" s="33" t="n">
        <x:v>5</x:v>
      </x:c>
      <x:c r="G8" s="33" t="n">
        <x:v>64</x:v>
      </x:c>
      <x:c r="H8" s="33" t="str">
        <x:v>Replicated</x:v>
      </x:c>
      <x:c r="I8" s="33" t="n">
        <x:f>1</x:f>
        <x:v>1</x:v>
      </x:c>
      <x:c r="J8" s="34" t="n">
        <x:f>E8*F8*G8/1073741824</x:f>
        <x:v>5.960464477539062e-7</x:v>
      </x:c>
      <x:c r="K8" s="34" t="n">
        <x:f>J8/I8</x:f>
        <x:v>5.960464477539062e-7</x:v>
      </x:c>
      <x:c r="L8" s="30"/>
      <x:c r="M8" s="30"/>
      <x:c r="N8" s="30"/>
      <x:c r="O8" s="35" t="str">
        <x:v>本 Step 采样行数</x:v>
      </x:c>
      <x:c r="P8" s="37" t="n">
        <x:f>MIN($P$7,$P$3*($P$6+1))</x:f>
        <x:v>1024</x:v>
      </x:c>
    </x:row>
    <x:row r="9">
      <x:c r="A9" s="30" t="str">
        <x:v>Attention</x:v>
      </x:c>
      <x:c r="B9" s="30" t="str">
        <x:v>k_norm.weight</x:v>
      </x:c>
      <x:c r="C9" s="30" t="str">
        <x:v>[64]</x:v>
      </x:c>
      <x:c r="D9" s="30" t="str">
        <x:v>BF16</x:v>
      </x:c>
      <x:c r="E9" s="32" t="n">
        <x:v>2</x:v>
      </x:c>
      <x:c r="F9" s="33" t="n">
        <x:v>5</x:v>
      </x:c>
      <x:c r="G9" s="33" t="n">
        <x:v>64</x:v>
      </x:c>
      <x:c r="H9" s="33" t="str">
        <x:v>Replicated</x:v>
      </x:c>
      <x:c r="I9" s="33" t="n">
        <x:f>1</x:f>
        <x:v>1</x:v>
      </x:c>
      <x:c r="J9" s="34" t="n">
        <x:f>E9*F9*G9/1073741824</x:f>
        <x:v>5.960464477539062e-7</x:v>
      </x:c>
      <x:c r="K9" s="34" t="n">
        <x:f>J9/I9</x:f>
        <x:v>5.960464477539062e-7</x:v>
      </x:c>
      <x:c r="L9" s="30"/>
      <x:c r="M9" s="30"/>
      <x:c r="N9" s="30"/>
      <x:c r="O9" s="30"/>
      <x:c r="P9" s="30"/>
    </x:row>
    <x:row r="10">
      <x:c r="A10" s="30" t="str">
        <x:v>Backbone</x:v>
      </x:c>
      <x:c r="B10" s="30" t="str">
        <x:v>input_layernorm.weight</x:v>
      </x:c>
      <x:c r="C10" s="30" t="str">
        <x:v>[7168]</x:v>
      </x:c>
      <x:c r="D10" s="30" t="str">
        <x:v>BF16</x:v>
      </x:c>
      <x:c r="E10" s="32" t="n">
        <x:v>2</x:v>
      </x:c>
      <x:c r="F10" s="33" t="n">
        <x:v>5</x:v>
      </x:c>
      <x:c r="G10" s="33" t="n">
        <x:v>7168</x:v>
      </x:c>
      <x:c r="H10" s="33" t="str">
        <x:v>Replicated</x:v>
      </x:c>
      <x:c r="I10" s="33" t="n">
        <x:f>1</x:f>
        <x:v>1</x:v>
      </x:c>
      <x:c r="J10" s="34" t="n">
        <x:f>E10*F10*G10/1073741824</x:f>
        <x:v>0.0000667572021484375</x:v>
      </x:c>
      <x:c r="K10" s="34" t="n">
        <x:f>J10/I10</x:f>
        <x:v>0.0000667572021484375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Backbone</x:v>
      </x:c>
      <x:c r="B11" s="30" t="str">
        <x:v>post_attention_layernorm.weight</x:v>
      </x:c>
      <x:c r="C11" s="30" t="str">
        <x:v>[7168]</x:v>
      </x:c>
      <x:c r="D11" s="30" t="str">
        <x:v>BF16</x:v>
      </x:c>
      <x:c r="E11" s="32" t="n">
        <x:v>2</x:v>
      </x:c>
      <x:c r="F11" s="33" t="n">
        <x:v>5</x:v>
      </x:c>
      <x:c r="G11" s="33" t="n">
        <x:v>7168</x:v>
      </x:c>
      <x:c r="H11" s="33" t="str">
        <x:v>Replicated</x:v>
      </x:c>
      <x:c r="I11" s="33" t="n">
        <x:f>1</x:f>
        <x:v>1</x:v>
      </x:c>
      <x:c r="J11" s="34" t="n">
        <x:f>E11*F11*G11/1073741824</x:f>
        <x:v>0.0000667572021484375</x:v>
      </x:c>
      <x:c r="K11" s="34" t="n">
        <x:f>J11/I11</x:f>
        <x:v>0.0000667572021484375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Dense MLP</x:v>
      </x:c>
      <x:c r="B12" s="30" t="str">
        <x:v>mlp.gate_proj.weight</x:v>
      </x:c>
      <x:c r="C12" s="30" t="str">
        <x:v>[14336, 7168]</x:v>
      </x:c>
      <x:c r="D12" s="30" t="str">
        <x:v>BF16</x:v>
      </x:c>
      <x:c r="E12" s="32" t="n">
        <x:v>2</x:v>
      </x:c>
      <x:c r="F12" s="33" t="n">
        <x:v>5</x:v>
      </x:c>
      <x:c r="G12" s="33" t="n">
        <x:v>102760448</x:v>
      </x:c>
      <x:c r="H12" s="33" t="str">
        <x:v>TP</x:v>
      </x:c>
      <x:c r="I12" s="33" t="n">
        <x:f>'Decode'!$P$12</x:f>
        <x:v>8</x:v>
      </x:c>
      <x:c r="J12" s="34" t="n">
        <x:f>E12*F12*G12/1073741824</x:f>
        <x:v>0.95703125</x:v>
      </x:c>
      <x:c r="K12" s="34" t="n">
        <x:f>J12/I12</x:f>
        <x:v>0.11962890625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Dense MLP</x:v>
      </x:c>
      <x:c r="B13" s="30" t="str">
        <x:v>mlp.up_proj.weight</x:v>
      </x:c>
      <x:c r="C13" s="30" t="str">
        <x:v>[14336, 7168]</x:v>
      </x:c>
      <x:c r="D13" s="30" t="str">
        <x:v>BF16</x:v>
      </x:c>
      <x:c r="E13" s="32" t="n">
        <x:v>2</x:v>
      </x:c>
      <x:c r="F13" s="33" t="n">
        <x:v>5</x:v>
      </x:c>
      <x:c r="G13" s="33" t="n">
        <x:v>102760448</x:v>
      </x:c>
      <x:c r="H13" s="33" t="str">
        <x:v>TP</x:v>
      </x:c>
      <x:c r="I13" s="33" t="n">
        <x:f>'Decode'!$P$12</x:f>
        <x:v>8</x:v>
      </x:c>
      <x:c r="J13" s="34" t="n">
        <x:f>E13*F13*G13/1073741824</x:f>
        <x:v>0.95703125</x:v>
      </x:c>
      <x:c r="K13" s="34" t="n">
        <x:f>J13/I13</x:f>
        <x:v>0.11962890625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Dense MLP</x:v>
      </x:c>
      <x:c r="B14" s="30" t="str">
        <x:v>mlp.down_proj.weight</x:v>
      </x:c>
      <x:c r="C14" s="30" t="str">
        <x:v>[7168, 14336]</x:v>
      </x:c>
      <x:c r="D14" s="30" t="str">
        <x:v>BF16</x:v>
      </x:c>
      <x:c r="E14" s="32" t="n">
        <x:v>2</x:v>
      </x:c>
      <x:c r="F14" s="33" t="n">
        <x:v>5</x:v>
      </x:c>
      <x:c r="G14" s="33" t="n">
        <x:v>102760448</x:v>
      </x:c>
      <x:c r="H14" s="33" t="str">
        <x:v>TP</x:v>
      </x:c>
      <x:c r="I14" s="33" t="n">
        <x:f>'Decode'!$P$12</x:f>
        <x:v>8</x:v>
      </x:c>
      <x:c r="J14" s="34" t="n">
        <x:f>E14*F14*G14/1073741824</x:f>
        <x:v>0.95703125</x:v>
      </x:c>
      <x:c r="K14" s="34" t="n">
        <x:f>J14/I14</x:f>
        <x:v>0.11962890625</x:v>
      </x:c>
      <x:c r="L14" s="30"/>
      <x:c r="M14" s="30"/>
      <x:c r="N14" s="30"/>
      <x:c r="O14" s="35" t="str">
        <x:v>EP</x:v>
      </x:c>
      <x:c r="P14" s="36" t="n">
        <x:v>1</x:v>
      </x:c>
    </x:row>
    <x:row r="15">
      <x:c r="A15" s="30" t="str">
        <x:v>Output</x:v>
      </x:c>
      <x:c r="B15" s="30" t="str">
        <x:v>norm.weight</x:v>
      </x:c>
      <x:c r="C15" s="30" t="str">
        <x:v>[7168]</x:v>
      </x:c>
      <x:c r="D15" s="30" t="str">
        <x:v>BF16</x:v>
      </x:c>
      <x:c r="E15" s="32" t="n">
        <x:v>2</x:v>
      </x:c>
      <x:c r="F15" s="33" t="n">
        <x:v>1</x:v>
      </x:c>
      <x:c r="G15" s="33" t="n">
        <x:v>7168</x:v>
      </x:c>
      <x:c r="H15" s="33" t="str">
        <x:v>Replicated</x:v>
      </x:c>
      <x:c r="I15" s="33" t="n">
        <x:f>1</x:f>
        <x:v>1</x:v>
      </x:c>
      <x:c r="J15" s="34" t="n">
        <x:f>E15*F15*G15/1073741824</x:f>
        <x:v>0.0000133514404296875</x:v>
      </x:c>
      <x:c r="K15" s="34" t="n">
        <x:f>J15/I15</x:f>
        <x:v>0.0000133514404296875</x:v>
      </x:c>
      <x:c r="L15" s="30"/>
      <x:c r="M15" s="30"/>
      <x:c r="N15" s="30"/>
      <x:c r="O15" s="35"/>
      <x:c r="P15" s="35"/>
    </x:row>
    <x:row r="16">
      <x:c r="A16" s="30" t="str">
        <x:v>Markov Head</x:v>
      </x:c>
      <x:c r="B16" s="30" t="str">
        <x:v>markov_w1.weight</x:v>
      </x:c>
      <x:c r="C16" s="30" t="str">
        <x:v>[163840, 256]</x:v>
      </x:c>
      <x:c r="D16" s="30" t="str">
        <x:v>BF16</x:v>
      </x:c>
      <x:c r="E16" s="32" t="n">
        <x:v>2</x:v>
      </x:c>
      <x:c r="F16" s="33" t="n">
        <x:v>1</x:v>
      </x:c>
      <x:c r="G16" s="33" t="n">
        <x:v>41943040</x:v>
      </x:c>
      <x:c r="H16" s="33" t="str">
        <x:v>Embedding TP</x:v>
      </x:c>
      <x:c r="I16" s="33" t="n">
        <x:f>IF('Decode'!$P$21&gt;0,'Decode'!$P$21,'Decode'!$P$12)</x:f>
        <x:v>8</x:v>
      </x:c>
      <x:c r="J16" s="34" t="n">
        <x:f>E16*F16*G16/1073741824</x:f>
        <x:v>0.078125</x:v>
      </x:c>
      <x:c r="K16" s="34" t="n">
        <x:f>J16/I16</x:f>
        <x:v>0.009765625</x:v>
      </x:c>
      <x:c r="L16" s="30"/>
      <x:c r="M16" s="30"/>
      <x:c r="N16" s="30"/>
      <x:c r="O16" s="35" t="str">
        <x:v>DCP（1 表示关闭）</x:v>
      </x:c>
      <x:c r="P16" s="36" t="n">
        <x:v>1</x:v>
      </x:c>
    </x:row>
    <x:row r="17">
      <x:c r="A17" s="30" t="str">
        <x:v>Markov Head</x:v>
      </x:c>
      <x:c r="B17" s="30" t="str">
        <x:v>markov_w2.weight</x:v>
      </x:c>
      <x:c r="C17" s="30" t="str">
        <x:v>[163840, 256]</x:v>
      </x:c>
      <x:c r="D17" s="30" t="str">
        <x:v>BF16</x:v>
      </x:c>
      <x:c r="E17" s="32" t="n">
        <x:v>2</x:v>
      </x:c>
      <x:c r="F17" s="33" t="n">
        <x:v>1</x:v>
      </x:c>
      <x:c r="G17" s="33" t="n">
        <x:v>41943040</x:v>
      </x:c>
      <x:c r="H17" s="33" t="str">
        <x:v>LM Head TP</x:v>
      </x:c>
      <x:c r="I17" s="33" t="n">
        <x:f>IF('Decode'!$P$20&gt;0,'Decode'!$P$20,'Decode'!$P$12)</x:f>
        <x:v>8</x:v>
      </x:c>
      <x:c r="J17" s="34" t="n">
        <x:f>E17*F17*G17/1073741824</x:f>
        <x:v>0.078125</x:v>
      </x:c>
      <x:c r="K17" s="34" t="n">
        <x:f>J17/I17</x:f>
        <x:v>0.009765625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Confidence Head</x:v>
      </x:c>
      <x:c r="B18" s="30" t="str">
        <x:v>confidence_head.proj.weight</x:v>
      </x:c>
      <x:c r="C18" s="30" t="str">
        <x:v>[1, 7424]</x:v>
      </x:c>
      <x:c r="D18" s="30" t="str">
        <x:v>BF16</x:v>
      </x:c>
      <x:c r="E18" s="32" t="n">
        <x:v>2</x:v>
      </x:c>
      <x:c r="F18" s="33" t="n">
        <x:v>1</x:v>
      </x:c>
      <x:c r="G18" s="33" t="n">
        <x:v>7424</x:v>
      </x:c>
      <x:c r="H18" s="33" t="str">
        <x:v>Replicated</x:v>
      </x:c>
      <x:c r="I18" s="33" t="n">
        <x:f>1</x:f>
        <x:v>1</x:v>
      </x:c>
      <x:c r="J18" s="34" t="n">
        <x:f>E18*F18*G18/1073741824</x:f>
        <x:v>0.000013828277587890625</x:v>
      </x:c>
      <x:c r="K18" s="34" t="n">
        <x:f>J18/I18</x:f>
        <x:v>0.000013828277587890625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Confidence Head</x:v>
      </x:c>
      <x:c r="B19" s="30" t="str">
        <x:v>confidence_head.proj.bias</x:v>
      </x:c>
      <x:c r="C19" s="30" t="str">
        <x:v>[1]</x:v>
      </x:c>
      <x:c r="D19" s="30" t="str">
        <x:v>BF16</x:v>
      </x:c>
      <x:c r="E19" s="32" t="n">
        <x:v>2</x:v>
      </x:c>
      <x:c r="F19" s="33" t="n">
        <x:v>1</x:v>
      </x:c>
      <x:c r="G19" s="33" t="n">
        <x:v>1</x:v>
      </x:c>
      <x:c r="H19" s="33" t="str">
        <x:v>Replicated</x:v>
      </x:c>
      <x:c r="I19" s="33" t="n">
        <x:f>1</x:f>
        <x:v>1</x:v>
      </x:c>
      <x:c r="J19" s="34" t="n">
        <x:f>E19*F19*G19/1073741824</x:f>
        <x:v>1.862645149230957e-9</x:v>
      </x:c>
      <x:c r="K19" s="34" t="n">
        <x:f>J19/I19</x:f>
        <x:v>1.862645149230957e-9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9" t="str">
        <x:v>合计</x:v>
      </x:c>
      <x:c r="B20" s="39"/>
      <x:c r="C20" s="39"/>
      <x:c r="D20" s="39"/>
      <x:c r="E20" s="39"/>
      <x:c r="F20" s="39"/>
      <x:c r="G20" s="39"/>
      <x:c r="H20" s="39"/>
      <x:c r="I20" s="39"/>
      <x:c r="J20" s="40" t="n">
        <x:f>SUM(J2:J19)</x:f>
        <x:v>4.189628364518285</x:v>
      </x:c>
      <x:c r="K20" s="40" t="n">
        <x:f>SUM(K2:K19)</x:f>
        <x:v>0.5238568801432848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 ht="30" customHeight="1">
      <x:c r="A22" s="18" t="str">
        <x:v>并行策略</x:v>
      </x:c>
      <x:c r="B22" s="18" t="str">
        <x:v>模块</x:v>
      </x:c>
      <x:c r="C22" s="18" t="str">
        <x:v>通信位置</x:v>
      </x:c>
      <x:c r="D22" s="18" t="str">
        <x:v>Collective</x:v>
      </x:c>
      <x:c r="E22" s="18" t="str">
        <x:v>本 Rank 输入元素/次</x:v>
      </x:c>
      <x:c r="F22" s="18" t="str">
        <x:v>字节/元素</x:v>
      </x:c>
      <x:c r="G22" s="18" t="str">
        <x:v>通信组大小</x:v>
      </x:c>
      <x:c r="H22" s="18" t="str">
        <x:v>次数/Step</x:v>
      </x:c>
      <x:c r="I22" s="18" t="str">
        <x:v>有效负载 MiB/次</x:v>
      </x:c>
      <x:c r="J22" s="18" t="str">
        <x:v>单 Rank 发送 MiB/次</x:v>
      </x:c>
      <x:c r="K22" s="18" t="str">
        <x:v>单 Rank 发送 MiB/Step</x:v>
      </x:c>
      <x:c r="L22" s="18" t="str">
        <x:v>通信组发送 MiB/Step</x:v>
      </x:c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TP</x:v>
      </x:c>
      <x:c r="B23" s="30" t="str">
        <x:v>Input Projection</x:v>
      </x:c>
      <x:c r="C23" s="30" t="str">
        <x:v>Column Parallel 输出</x:v>
      </x:c>
      <x:c r="D23" s="30" t="str">
        <x:v>Ring AllGather</x:v>
      </x:c>
      <x:c r="E23" s="33" t="n">
        <x:f>'Decode'!$P$7*7168/'Decode'!$P$12</x:f>
        <x:v>917504</x:v>
      </x:c>
      <x:c r="F23" s="33" t="n">
        <x:f>'Decode'!$P$28</x:f>
        <x:v>2</x:v>
      </x:c>
      <x:c r="G23" s="33" t="n">
        <x:f>'Decode'!$P$12</x:f>
        <x:v>8</x:v>
      </x:c>
      <x:c r="H23" s="33" t="n">
        <x:f>IF('Decode'!$P$12&gt;1,1,0)</x:f>
        <x:v>1</x:v>
      </x:c>
      <x:c r="I23" s="34" t="n">
        <x:f>E23*F23/1048576</x:f>
        <x:v>1.75</x:v>
      </x:c>
      <x:c r="J23" s="34" t="n">
        <x:f>I23*(IF(G23&gt;1,G23-1,0))</x:f>
        <x:v>12.25</x:v>
      </x:c>
      <x:c r="K23" s="34" t="n">
        <x:f>J23*H23</x:f>
        <x:v>12.25</x:v>
      </x:c>
      <x:c r="L23" s="34" t="n">
        <x:f>K23*G23</x:f>
        <x:v>98</x:v>
      </x:c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SP</x:v>
      </x:c>
      <x:c r="B24" s="30" t="str">
        <x:v>Attention</x:v>
      </x:c>
      <x:c r="C24" s="30" t="str">
        <x:v>Attention 前</x:v>
      </x:c>
      <x:c r="D24" s="30" t="str">
        <x:v>Ring AllGather</x:v>
      </x:c>
      <x:c r="E24" s="33" t="n">
        <x:f>((ROUNDUP('Decode'!$P$7/'Decode'!$P$12,0)*'Decode'!$P$12)/'Decode'!$P$12)*7168</x:f>
        <x:v>917504</x:v>
      </x:c>
      <x:c r="F24" s="33" t="n">
        <x:f>'Decode'!$P$28</x:f>
        <x:v>2</x:v>
      </x:c>
      <x:c r="G24" s="33" t="n">
        <x:f>'Decode'!$P$12</x:f>
        <x:v>8</x:v>
      </x:c>
      <x:c r="H24" s="33" t="n">
        <x:f>5*IF(AND('Decode'!$P$13&lt;&gt;0,'Decode'!$P$12&gt;1,'Decode'!$P$22=0),1,0)</x:f>
        <x:v>5</x:v>
      </x:c>
      <x:c r="I24" s="34" t="n">
        <x:f>E24*F24/1048576</x:f>
        <x:v>1.75</x:v>
      </x:c>
      <x:c r="J24" s="34" t="n">
        <x:f>I24*(IF(G24&gt;1,G24-1,0))</x:f>
        <x:v>12.25</x:v>
      </x:c>
      <x:c r="K24" s="34" t="n">
        <x:f>J24*H24</x:f>
        <x:v>61.25</x:v>
      </x:c>
      <x:c r="L24" s="34" t="n">
        <x:f>K24*G24</x:f>
        <x:v>490</x:v>
      </x:c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SP</x:v>
      </x:c>
      <x:c r="B25" s="30" t="str">
        <x:v>Attention</x:v>
      </x:c>
      <x:c r="C25" s="30" t="str">
        <x:v>O Proj 后</x:v>
      </x:c>
      <x:c r="D25" s="30" t="str">
        <x:v>Ring ReduceScatter</x:v>
      </x:c>
      <x:c r="E25" s="33" t="n">
        <x:f>(ROUNDUP('Decode'!$P$7/'Decode'!$P$12,0)*'Decode'!$P$12)*7168</x:f>
        <x:v>7340032</x:v>
      </x:c>
      <x:c r="F25" s="33" t="n">
        <x:f>'Decode'!$P$28</x:f>
        <x:v>2</x:v>
      </x:c>
      <x:c r="G25" s="33" t="n">
        <x:f>'Decode'!$P$12</x:f>
        <x:v>8</x:v>
      </x:c>
      <x:c r="H25" s="33" t="n">
        <x:f>5*IF(AND('Decode'!$P$13&lt;&gt;0,'Decode'!$P$12&gt;1,'Decode'!$P$22=0),1,0)</x:f>
        <x:v>5</x:v>
      </x:c>
      <x:c r="I25" s="34" t="n">
        <x:f>E25*F25/1048576</x:f>
        <x:v>14</x:v>
      </x:c>
      <x:c r="J25" s="34" t="n">
        <x:f>I25*(IF(G25&gt;1,(G25-1)/G25,0))</x:f>
        <x:v>12.25</x:v>
      </x:c>
      <x:c r="K25" s="34" t="n">
        <x:f>J25*H25</x:f>
        <x:v>61.25</x:v>
      </x:c>
      <x:c r="L25" s="34" t="n">
        <x:f>K25*G25</x:f>
        <x:v>490</x:v>
      </x:c>
      <x:c r="M25" s="30"/>
      <x:c r="N25" s="30"/>
      <x:c r="O25" s="30"/>
      <x:c r="P25" s="30"/>
    </x:row>
    <x:row r="26">
      <x:c r="A26" s="30" t="str">
        <x:v>O Proj TP</x:v>
      </x:c>
      <x:c r="B26" s="30" t="str">
        <x:v>Attention</x:v>
      </x:c>
      <x:c r="C26" s="30" t="str">
        <x:v>非 SP 标准 TP</x:v>
      </x:c>
      <x:c r="D26" s="30" t="str">
        <x:v>Ring AllReduce</x:v>
      </x:c>
      <x:c r="E26" s="33" t="n">
        <x:f>'Decode'!$P$7*7168</x:f>
        <x:v>7340032</x:v>
      </x:c>
      <x:c r="F26" s="33" t="n">
        <x:f>'Decode'!$P$28</x:f>
        <x:v>2</x:v>
      </x:c>
      <x:c r="G26" s="33" t="n">
        <x:f>IF('Decode'!$P$19&gt;0,'Decode'!$P$19,'Decode'!$P$12)</x:f>
        <x:v>8</x:v>
      </x:c>
      <x:c r="H26" s="33" t="n">
        <x:f>5*IF(AND('Decode'!$P$13=0,IF('Decode'!$P$19&gt;0,'Decode'!$P$19,'Decode'!$P$12)&gt;1,'Decode'!$P$22=0),1,0)</x:f>
        <x:v>0</x:v>
      </x:c>
      <x:c r="I26" s="34" t="n">
        <x:f>E26*F26/1048576</x:f>
        <x:v>14</x:v>
      </x:c>
      <x:c r="J26" s="34" t="n">
        <x:f>I26*(IF(G26&gt;1,2*(G26-1)/G26,0))</x:f>
        <x:v>24.5</x:v>
      </x:c>
      <x:c r="K26" s="34" t="n">
        <x:f>J26*H26</x:f>
        <x:v>0</x:v>
      </x:c>
      <x:c r="L26" s="34" t="n">
        <x:f>K26*G26</x:f>
        <x:v>0</x:v>
      </x:c>
      <x:c r="M26" s="30"/>
      <x:c r="N26" s="30"/>
      <x:c r="O26" s="30"/>
      <x:c r="P26" s="30"/>
    </x:row>
    <x:row r="27">
      <x:c r="A27" s="30" t="str">
        <x:v>Fine O TP</x:v>
      </x:c>
      <x:c r="B27" s="30" t="str">
        <x:v>Attention</x:v>
      </x:c>
      <x:c r="C27" s="30" t="str">
        <x:v>O Proj 输入</x:v>
      </x:c>
      <x:c r="D27" s="30" t="str">
        <x:v>Equal-split AllToAll</x:v>
      </x:c>
      <x:c r="E27" s="33" t="n">
        <x:f>'Decode'!$P$7*4096</x:f>
        <x:v>4194304</x:v>
      </x:c>
      <x:c r="F27" s="33" t="n">
        <x:f>'Decode'!$P$28</x:f>
        <x:v>2</x:v>
      </x:c>
      <x:c r="G27" s="33" t="n">
        <x:f>IF('Decode'!$P$19&gt;0,'Decode'!$P$19,'Decode'!$P$12)</x:f>
        <x:v>8</x:v>
      </x:c>
      <x:c r="H27" s="33" t="n">
        <x:f>5*IF(AND(IF('Decode'!$P$19&gt;0,'Decode'!$P$19,'Decode'!$P$12)&gt;1,'Decode'!$P$22&lt;&gt;0),1,0)</x:f>
        <x:v>0</x:v>
      </x:c>
      <x:c r="I27" s="34" t="n">
        <x:f>E27*F27/1048576</x:f>
        <x:v>8</x:v>
      </x:c>
      <x:c r="J27" s="34" t="n">
        <x:f>I27*(IF(G27&gt;1,(G27-1)/G27,0))</x:f>
        <x:v>7</x:v>
      </x:c>
      <x:c r="K27" s="34" t="n">
        <x:f>J27*H27</x:f>
        <x:v>0</x:v>
      </x:c>
      <x:c r="L27" s="34" t="n">
        <x:f>K27*G27</x:f>
        <x:v>0</x:v>
      </x:c>
      <x:c r="M27" s="30"/>
      <x:c r="N27" s="30"/>
      <x:c r="O27" s="31" t="str">
        <x:v>通信参数</x:v>
      </x:c>
      <x:c r="P27" s="31"/>
    </x:row>
    <x:row r="28">
      <x:c r="A28" s="30" t="str">
        <x:v>Fine O TP</x:v>
      </x:c>
      <x:c r="B28" s="30" t="str">
        <x:v>Attention</x:v>
      </x:c>
      <x:c r="C28" s="30" t="str">
        <x:v>O Proj 输出</x:v>
      </x:c>
      <x:c r="D28" s="30" t="str">
        <x:v>Ring ReduceScatter</x:v>
      </x:c>
      <x:c r="E28" s="33" t="n">
        <x:f>'Decode'!$P$7*IF('Decode'!$P$19&gt;0,'Decode'!$P$19,'Decode'!$P$12)*7168</x:f>
        <x:v>58720256</x:v>
      </x:c>
      <x:c r="F28" s="33" t="n">
        <x:f>'Decode'!$P$28</x:f>
        <x:v>2</x:v>
      </x:c>
      <x:c r="G28" s="33" t="n">
        <x:f>IF('Decode'!$P$19&gt;0,'Decode'!$P$19,'Decode'!$P$12)</x:f>
        <x:v>8</x:v>
      </x:c>
      <x:c r="H28" s="33" t="n">
        <x:f>5*IF(AND(IF('Decode'!$P$19&gt;0,'Decode'!$P$19,'Decode'!$P$12)&gt;1,'Decode'!$P$22&lt;&gt;0),1,0)</x:f>
        <x:v>0</x:v>
      </x:c>
      <x:c r="I28" s="34" t="n">
        <x:f>E28*F28/1048576</x:f>
        <x:v>112</x:v>
      </x:c>
      <x:c r="J28" s="34" t="n">
        <x:f>I28*(IF(G28&gt;1,(G28-1)/G28,0))</x:f>
        <x:v>98</x:v>
      </x:c>
      <x:c r="K28" s="34" t="n">
        <x:f>J28*H28</x:f>
        <x:v>0</x:v>
      </x:c>
      <x:c r="L28" s="34" t="n">
        <x:f>K28*G28</x:f>
        <x:v>0</x:v>
      </x:c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SP</x:v>
      </x:c>
      <x:c r="B29" s="30" t="str">
        <x:v>Dense MLP</x:v>
      </x:c>
      <x:c r="C29" s="30" t="str">
        <x:v>Down Proj 输出</x:v>
      </x:c>
      <x:c r="D29" s="30" t="str">
        <x:v>Ring AllReduce</x:v>
      </x:c>
      <x:c r="E29" s="33" t="n">
        <x:f>IF('Decode'!$P$13&lt;&gt;0,((ROUNDUP('Decode'!$P$7/'Decode'!$P$12,0)*'Decode'!$P$12)/'Decode'!$P$12),'Decode'!$P$7)*7168</x:f>
        <x:v>917504</x:v>
      </x:c>
      <x:c r="F29" s="33" t="n">
        <x:f>'Decode'!$P$28</x:f>
        <x:v>2</x:v>
      </x:c>
      <x:c r="G29" s="33" t="n">
        <x:f>'Decode'!$P$12</x:f>
        <x:v>8</x:v>
      </x:c>
      <x:c r="H29" s="33" t="n">
        <x:f>5*IF('Decode'!$P$12&gt;1,1,0)</x:f>
        <x:v>5</x:v>
      </x:c>
      <x:c r="I29" s="34" t="n">
        <x:f>E29*F29/1048576</x:f>
        <x:v>1.75</x:v>
      </x:c>
      <x:c r="J29" s="34" t="n">
        <x:f>I29*(IF(G29&gt;1,2*(G29-1)/G29,0))</x:f>
        <x:v>3.0625</x:v>
      </x:c>
      <x:c r="K29" s="34" t="n">
        <x:f>J29*H29</x:f>
        <x:v>15.3125</x:v>
      </x:c>
      <x:c r="L29" s="34" t="n">
        <x:f>K29*G29</x:f>
        <x:v>122.5</x:v>
      </x:c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DCP</x:v>
      </x:c>
      <x:c r="B30" s="30" t="str">
        <x:v>Attention</x:v>
      </x:c>
      <x:c r="C30" s="30" t="str">
        <x:v>Query</x:v>
      </x:c>
      <x:c r="D30" s="30" t="str">
        <x:v>Ring AllGather</x:v>
      </x:c>
      <x:c r="E30" s="33" t="n">
        <x:f>'Decode'!$P$7*(64/'Decode'!$P$12)*64</x:f>
        <x:v>524288</x:v>
      </x:c>
      <x:c r="F30" s="33" t="n">
        <x:f>'Decode'!$P$28</x:f>
        <x:v>2</x:v>
      </x:c>
      <x:c r="G30" s="33" t="n">
        <x:f>'Decode'!$P$16</x:f>
        <x:v>1</x:v>
      </x:c>
      <x:c r="H30" s="33" t="n">
        <x:f>5*IF('Decode'!$P$16&gt;1,1,0)</x:f>
        <x:v>0</x:v>
      </x:c>
      <x:c r="I30" s="34" t="n">
        <x:f>E30*F30/1048576</x:f>
        <x:v>1</x:v>
      </x:c>
      <x:c r="J30" s="34" t="n">
        <x:f>I30*(IF(G30&gt;1,G30-1,0))</x:f>
        <x:v>0</x:v>
      </x:c>
      <x:c r="K30" s="34" t="n">
        <x:f>J30*H30</x:f>
        <x:v>0</x:v>
      </x:c>
      <x:c r="L30" s="34" t="n">
        <x:f>K30*G30</x:f>
        <x:v>0</x:v>
      </x:c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DCP</x:v>
      </x:c>
      <x:c r="B31" s="30" t="str">
        <x:v>Attention</x:v>
      </x:c>
      <x:c r="C31" s="30" t="str">
        <x:v>LSE</x:v>
      </x:c>
      <x:c r="D31" s="30" t="str">
        <x:v>Ring AllGather</x:v>
      </x:c>
      <x:c r="E31" s="33" t="n">
        <x:f>'Decode'!$P$7*(64*'Decode'!$P$16/'Decode'!$P$12)</x:f>
        <x:v>8192</x:v>
      </x:c>
      <x:c r="F31" s="33" t="n">
        <x:f>'Decode'!$P$29</x:f>
        <x:v>4</x:v>
      </x:c>
      <x:c r="G31" s="33" t="n">
        <x:f>'Decode'!$P$16</x:f>
        <x:v>1</x:v>
      </x:c>
      <x:c r="H31" s="33" t="n">
        <x:f>5*IF('Decode'!$P$16&gt;1,1,0)</x:f>
        <x:v>0</x:v>
      </x:c>
      <x:c r="I31" s="34" t="n">
        <x:f>E31*F31/1048576</x:f>
        <x:v>0.03125</x:v>
      </x:c>
      <x:c r="J31" s="34" t="n">
        <x:f>I31*(IF(G31&gt;1,G31-1,0))</x:f>
        <x:v>0</x:v>
      </x:c>
      <x:c r="K31" s="34" t="n">
        <x:f>J31*H31</x:f>
        <x:v>0</x:v>
      </x:c>
      <x:c r="L31" s="34" t="n">
        <x:f>K31*G31</x:f>
        <x:v>0</x:v>
      </x:c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DCP</x:v>
      </x:c>
      <x:c r="B32" s="30" t="str">
        <x:v>Attention</x:v>
      </x:c>
      <x:c r="C32" s="30" t="str">
        <x:v>Attention 输出</x:v>
      </x:c>
      <x:c r="D32" s="30" t="str">
        <x:v>Ring ReduceScatter</x:v>
      </x:c>
      <x:c r="E32" s="33" t="n">
        <x:f>'Decode'!$P$7*(64*'Decode'!$P$16/'Decode'!$P$12)*64</x:f>
        <x:v>524288</x:v>
      </x:c>
      <x:c r="F32" s="33" t="n">
        <x:f>'Decode'!$P$28</x:f>
        <x:v>2</x:v>
      </x:c>
      <x:c r="G32" s="33" t="n">
        <x:f>'Decode'!$P$16</x:f>
        <x:v>1</x:v>
      </x:c>
      <x:c r="H32" s="33" t="n">
        <x:f>5*IF('Decode'!$P$16&gt;1,1,0)</x:f>
        <x:v>0</x:v>
      </x:c>
      <x:c r="I32" s="34" t="n">
        <x:f>E32*F32/1048576</x:f>
        <x:v>1</x:v>
      </x:c>
      <x:c r="J32" s="34" t="n">
        <x:f>I32*(IF(G32&gt;1,(G32-1)/G32,0))</x:f>
        <x:v>0</x:v>
      </x:c>
      <x:c r="K32" s="34" t="n">
        <x:f>J32*H32</x:f>
        <x:v>0</x:v>
      </x:c>
      <x:c r="L32" s="34" t="n">
        <x:f>K32*G32</x:f>
        <x:v>0</x:v>
      </x:c>
      <x:c r="M32" s="30"/>
      <x:c r="N32" s="30"/>
      <x:c r="O32" s="35" t="str">
        <x:v>跨 EP Rank 路由比例</x:v>
      </x:c>
      <x:c r="P32" s="41" t="n">
        <x:f>IF($P$14&gt;1,($P$14-1)/$P$14,0)</x:f>
        <x:v>0</x:v>
      </x:c>
    </x:row>
    <x:row r="33">
      <x:c r="A33" s="30" t="str">
        <x:v>SP</x:v>
      </x:c>
      <x:c r="B33" s="30" t="str">
        <x:v>Model Output</x:v>
      </x:c>
      <x:c r="C33" s="30" t="str">
        <x:v>Final Norm 后</x:v>
      </x:c>
      <x:c r="D33" s="30" t="str">
        <x:v>Ring AllGather</x:v>
      </x:c>
      <x:c r="E33" s="33" t="n">
        <x:f>((ROUNDUP('Decode'!$P$7/'Decode'!$P$12,0)*'Decode'!$P$12)/'Decode'!$P$12)*7168</x:f>
        <x:v>917504</x:v>
      </x:c>
      <x:c r="F33" s="33" t="n">
        <x:f>'Decode'!$P$28</x:f>
        <x:v>2</x:v>
      </x:c>
      <x:c r="G33" s="33" t="n">
        <x:f>'Decode'!$P$12</x:f>
        <x:v>8</x:v>
      </x:c>
      <x:c r="H33" s="33" t="n">
        <x:f>IF(AND('Decode'!$P$13&lt;&gt;0,'Decode'!$P$12&gt;1),1,0)</x:f>
        <x:v>1</x:v>
      </x:c>
      <x:c r="I33" s="34" t="n">
        <x:f>E33*F33/1048576</x:f>
        <x:v>1.75</x:v>
      </x:c>
      <x:c r="J33" s="34" t="n">
        <x:f>I33*(IF(G33&gt;1,G33-1,0))</x:f>
        <x:v>12.25</x:v>
      </x:c>
      <x:c r="K33" s="34" t="n">
        <x:f>J33*H33</x:f>
        <x:v>12.25</x:v>
      </x:c>
      <x:c r="L33" s="34" t="n">
        <x:f>K33*G33</x:f>
        <x:v>98</x:v>
      </x:c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LM Head TP</x:v>
      </x:c>
      <x:c r="B34" s="30" t="str">
        <x:v>LM Head</x:v>
      </x:c>
      <x:c r="C34" s="30" t="str">
        <x:v>完整 Logits</x:v>
      </x:c>
      <x:c r="D34" s="30" t="str">
        <x:v>Ring AllGather</x:v>
      </x:c>
      <x:c r="E34" s="33" t="n">
        <x:f>'Decode'!$P$8*163840/IF('Decode'!$P$20&gt;0,'Decode'!$P$20,'Decode'!$P$12)</x:f>
        <x:v>20971520</x:v>
      </x:c>
      <x:c r="F34" s="33" t="n">
        <x:f>'Decode'!$P$28</x:f>
        <x:v>2</x:v>
      </x:c>
      <x:c r="G34" s="33" t="n">
        <x:f>IF('Decode'!$P$20&gt;0,'Decode'!$P$20,'Decode'!$P$12)</x:f>
        <x:v>8</x:v>
      </x:c>
      <x:c r="H34" s="33" t="n">
        <x:f>IF(AND(IF('Decode'!$P$20&gt;0,'Decode'!$P$20,'Decode'!$P$12)&gt;1,'Decode'!$P$23=0,'Decode'!$P$33=0),1,0)</x:f>
        <x:v>0</x:v>
      </x:c>
      <x:c r="I34" s="34" t="n">
        <x:f>E34*F34/1048576</x:f>
        <x:v>40</x:v>
      </x:c>
      <x:c r="J34" s="34" t="n">
        <x:f>I34*(IF(G34&gt;1,G34-1,0))</x:f>
        <x:v>280</x:v>
      </x:c>
      <x:c r="K34" s="34" t="n">
        <x:f>J34*H34</x:f>
        <x:v>0</x:v>
      </x:c>
      <x:c r="L34" s="34" t="n">
        <x:f>K34*G34</x:f>
        <x:v>0</x:v>
      </x:c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LM Head TP</x:v>
      </x:c>
      <x:c r="B35" s="30" t="str">
        <x:v>LM Head</x:v>
      </x:c>
      <x:c r="C35" s="30" t="str">
        <x:v>Reduce Sample</x:v>
      </x:c>
      <x:c r="D35" s="30" t="str">
        <x:v>Ring AllGather</x:v>
      </x:c>
      <x:c r="E35" s="33" t="n">
        <x:f>'Decode'!$P$8*'Decode'!$P$34</x:f>
        <x:v>262144</x:v>
      </x:c>
      <x:c r="F35" s="33" t="n">
        <x:f>('Decode'!$P$28+'Decode'!$P$31)</x:f>
        <x:v>6</x:v>
      </x:c>
      <x:c r="G35" s="33" t="n">
        <x:f>IF('Decode'!$P$20&gt;0,'Decode'!$P$20,'Decode'!$P$12)</x:f>
        <x:v>8</x:v>
      </x:c>
      <x:c r="H35" s="33" t="n">
        <x:f>IF(AND(IF('Decode'!$P$20&gt;0,'Decode'!$P$20,'Decode'!$P$12)&gt;1,'Decode'!$P$23=0,'Decode'!$P$33&lt;&gt;0),1,0)</x:f>
        <x:v>1</x:v>
      </x:c>
      <x:c r="I35" s="34" t="n">
        <x:f>E35*F35/1048576</x:f>
        <x:v>1.5</x:v>
      </x:c>
      <x:c r="J35" s="34" t="n">
        <x:f>I35*(IF(G35&gt;1,G35-1,0))</x:f>
        <x:v>10.5</x:v>
      </x:c>
      <x:c r="K35" s="34" t="n">
        <x:f>J35*H35</x:f>
        <x:v>10.5</x:v>
      </x:c>
      <x:c r="L35" s="34" t="n">
        <x:f>K35*G35</x:f>
        <x:v>84</x:v>
      </x:c>
      <x:c r="M35" s="30"/>
      <x:c r="N35" s="30"/>
      <x:c r="O35" s="30"/>
      <x:c r="P35" s="30"/>
    </x:row>
    <x:row r="36">
      <x:c r="A36" s="30" t="str">
        <x:v>Fine LM Head TP</x:v>
      </x:c>
      <x:c r="B36" s="30" t="str">
        <x:v>LM Head</x:v>
      </x:c>
      <x:c r="C36" s="30" t="str">
        <x:v>Hidden 输入</x:v>
      </x:c>
      <x:c r="D36" s="30" t="str">
        <x:v>Ring AllGather</x:v>
      </x:c>
      <x:c r="E36" s="33" t="n">
        <x:f>'Decode'!$P$8*7168</x:f>
        <x:v>7340032</x:v>
      </x:c>
      <x:c r="F36" s="33" t="n">
        <x:f>'Decode'!$P$28</x:f>
        <x:v>2</x:v>
      </x:c>
      <x:c r="G36" s="33" t="n">
        <x:f>IF('Decode'!$P$20&gt;0,'Decode'!$P$20,'Decode'!$P$12)</x:f>
        <x:v>8</x:v>
      </x:c>
      <x:c r="H36" s="33" t="n">
        <x:f>IF(AND(IF('Decode'!$P$20&gt;0,'Decode'!$P$20,'Decode'!$P$12)&gt;1,'Decode'!$P$23&lt;&gt;0),1,0)</x:f>
        <x:v>0</x:v>
      </x:c>
      <x:c r="I36" s="34" t="n">
        <x:f>E36*F36/1048576</x:f>
        <x:v>14</x:v>
      </x:c>
      <x:c r="J36" s="34" t="n">
        <x:f>I36*(IF(G36&gt;1,G36-1,0))</x:f>
        <x:v>98</x:v>
      </x:c>
      <x:c r="K36" s="34" t="n">
        <x:f>J36*H36</x:f>
        <x:v>0</x:v>
      </x:c>
      <x:c r="L36" s="34" t="n">
        <x:f>K36*G36</x:f>
        <x:v>0</x:v>
      </x:c>
      <x:c r="M36" s="30"/>
      <x:c r="N36" s="30"/>
      <x:c r="O36" s="30"/>
      <x:c r="P36" s="30"/>
    </x:row>
    <x:row r="37">
      <x:c r="A37" s="30" t="str">
        <x:v>Fine LM Head TP</x:v>
      </x:c>
      <x:c r="B37" s="30" t="str">
        <x:v>LM Head</x:v>
      </x:c>
      <x:c r="C37" s="30" t="str">
        <x:v>完整 Logits</x:v>
      </x:c>
      <x:c r="D37" s="30" t="str">
        <x:v>Equal-split AllToAll</x:v>
      </x:c>
      <x:c r="E37" s="33" t="n">
        <x:f>'Decode'!$P$8*163840</x:f>
        <x:v>167772160</x:v>
      </x:c>
      <x:c r="F37" s="33" t="n">
        <x:f>'Decode'!$P$28</x:f>
        <x:v>2</x:v>
      </x:c>
      <x:c r="G37" s="33" t="n">
        <x:f>IF('Decode'!$P$20&gt;0,'Decode'!$P$20,'Decode'!$P$12)</x:f>
        <x:v>8</x:v>
      </x:c>
      <x:c r="H37" s="33" t="n">
        <x:f>IF(AND(IF('Decode'!$P$20&gt;0,'Decode'!$P$20,'Decode'!$P$12)&gt;1,'Decode'!$P$23&lt;&gt;0,'Decode'!$P$33=0),1,0)</x:f>
        <x:v>0</x:v>
      </x:c>
      <x:c r="I37" s="34" t="n">
        <x:f>E37*F37/1048576</x:f>
        <x:v>320</x:v>
      </x:c>
      <x:c r="J37" s="34" t="n">
        <x:f>I37*(IF(G37&gt;1,(G37-1)/G37,0))</x:f>
        <x:v>280</x:v>
      </x:c>
      <x:c r="K37" s="34" t="n">
        <x:f>J37*H37</x:f>
        <x:v>0</x:v>
      </x:c>
      <x:c r="L37" s="34" t="n">
        <x:f>K37*G37</x:f>
        <x:v>0</x:v>
      </x:c>
      <x:c r="M37" s="30"/>
      <x:c r="N37" s="30"/>
      <x:c r="O37" s="30"/>
      <x:c r="P37" s="30"/>
    </x:row>
    <x:row r="38">
      <x:c r="A38" s="30" t="str">
        <x:v>Fine LM Head TP</x:v>
      </x:c>
      <x:c r="B38" s="30" t="str">
        <x:v>LM Head</x:v>
      </x:c>
      <x:c r="C38" s="30" t="str">
        <x:v>Reduce Sample</x:v>
      </x:c>
      <x:c r="D38" s="30" t="str">
        <x:v>Ring AllGather</x:v>
      </x:c>
      <x:c r="E38" s="33" t="n">
        <x:f>'Decode'!$P$8*'Decode'!$P$34</x:f>
        <x:v>262144</x:v>
      </x:c>
      <x:c r="F38" s="33" t="n">
        <x:f>('Decode'!$P$28+'Decode'!$P$31)</x:f>
        <x:v>6</x:v>
      </x:c>
      <x:c r="G38" s="33" t="n">
        <x:f>IF('Decode'!$P$20&gt;0,'Decode'!$P$20,'Decode'!$P$12)</x:f>
        <x:v>8</x:v>
      </x:c>
      <x:c r="H38" s="33" t="n">
        <x:f>IF(AND(IF('Decode'!$P$20&gt;0,'Decode'!$P$20,'Decode'!$P$12)&gt;1,'Decode'!$P$23&lt;&gt;0,'Decode'!$P$33&lt;&gt;0),1,0)</x:f>
        <x:v>0</x:v>
      </x:c>
      <x:c r="I38" s="34" t="n">
        <x:f>E38*F38/1048576</x:f>
        <x:v>1.5</x:v>
      </x:c>
      <x:c r="J38" s="34" t="n">
        <x:f>I38*(IF(G38&gt;1,G38-1,0))</x:f>
        <x:v>10.5</x:v>
      </x:c>
      <x:c r="K38" s="34" t="n">
        <x:f>J38*H38</x:f>
        <x:v>0</x:v>
      </x:c>
      <x:c r="L38" s="34" t="n">
        <x:f>K38*G38</x:f>
        <x:v>0</x:v>
      </x:c>
      <x:c r="M38" s="30"/>
      <x:c r="N38" s="30"/>
      <x:c r="O38" s="30"/>
      <x:c r="P38" s="30"/>
    </x:row>
    <x:row r="39">
      <x:c r="A39" s="39" t="str">
        <x:v>合计</x:v>
      </x:c>
      <x:c r="B39" s="39"/>
      <x:c r="C39" s="39"/>
      <x:c r="D39" s="39"/>
      <x:c r="E39" s="39"/>
      <x:c r="F39" s="39"/>
      <x:c r="G39" s="39"/>
      <x:c r="H39" s="39"/>
      <x:c r="I39" s="40"/>
      <x:c r="J39" s="40"/>
      <x:c r="K39" s="40" t="n">
        <x:f>SUM(K23:K38)</x:f>
        <x:v>172.8125</x:v>
      </x:c>
      <x:c r="L39" s="40" t="n">
        <x:f>SUM(L23:L38)</x:f>
        <x:v>1382.5</x:v>
      </x:c>
      <x:c r="M39" s="30"/>
      <x:c r="N39" s="30"/>
      <x:c r="O39" s="30"/>
      <x:c r="P39" s="30"/>
    </x:row>
    <x:row r="70" ht="23" customHeight="1">
      <x:c r="A70" s="42" t="str">
        <x:v>PD 带宽争用耗时评估</x:v>
      </x:c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</x:row>
    <x:row r="71" ht="23" customHeight="1">
      <x:c r="A71" s="30" t="str">
        <x:v>Decode 当前表参数；100 GB/s 为归一化示例。所列事件的带宽项，不等于完整 forward 耗时。</x:v>
      </x:c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</x:row>
    <x:row r="72" ht="38" customHeight="1">
      <x:c r="A72" s="45" t="str">
        <x:v>带宽降幅</x:v>
      </x:c>
      <x:c r="B72" s="45" t="str">
        <x:v>输入</x:v>
      </x:c>
      <x:c r="C72" s="45" t="str">
        <x:v>争用覆盖率</x:v>
      </x:c>
      <x:c r="D72" s="45" t="str">
        <x:v>输入</x:v>
      </x:c>
      <x:c r="E72" s="45" t="str">
        <x:v>基线 forward ms</x:v>
      </x:c>
      <x:c r="F72" s="45" t="str">
        <x:v>实测输入</x:v>
      </x:c>
      <x:c r="G72" s="45" t="str">
        <x:v>默认带宽 GB/s</x:v>
      </x:c>
      <x:c r="H72" s="45" t="str">
        <x:v>输入</x:v>
      </x:c>
      <x:c r="I72" s="30"/>
      <x:c r="J72" s="30"/>
      <x:c r="K72" s="30"/>
      <x:c r="L72" s="30"/>
    </x:row>
    <x:row r="73" ht="23" customHeight="1">
      <x:c r="A73" s="30"/>
      <x:c r="B73" s="47" t="n">
        <x:v>0.1</x:v>
      </x:c>
      <x:c r="C73" s="30"/>
      <x:c r="D73" s="47" t="n">
        <x:v>1</x:v>
      </x:c>
      <x:c r="E73" s="30"/>
      <x:c r="F73" s="48"/>
      <x:c r="G73" s="30"/>
      <x:c r="H73" s="48" t="n">
        <x:v>100</x:v>
      </x:c>
      <x:c r="I73" s="30"/>
      <x:c r="J73" s="30"/>
      <x:c r="K73" s="30"/>
      <x:c r="L73" s="30"/>
    </x:row>
    <x:row r="74" ht="38" customHeight="1">
      <x:c r="A74" s="45" t="str">
        <x:v>通信基线 ms</x:v>
      </x:c>
      <x:c r="B74" s="45" t="str">
        <x:v>结果</x:v>
      </x:c>
      <x:c r="C74" s="45" t="str">
        <x:v>通信争用后 ms</x:v>
      </x:c>
      <x:c r="D74" s="45" t="str">
        <x:v>结果</x:v>
      </x:c>
      <x:c r="E74" s="45" t="str">
        <x:v>forward 增量 ms</x:v>
      </x:c>
      <x:c r="F74" s="45" t="str">
        <x:v>结果</x:v>
      </x:c>
      <x:c r="G74" s="45" t="str">
        <x:v>forward 新耗时 ms</x:v>
      </x:c>
      <x:c r="H74" s="45" t="str">
        <x:v>结果</x:v>
      </x:c>
      <x:c r="I74" s="45" t="str">
        <x:v>forward 增幅</x:v>
      </x:c>
      <x:c r="J74" s="45" t="str">
        <x:v>结果</x:v>
      </x:c>
      <x:c r="K74" s="45" t="str">
        <x:v>输入状态</x:v>
      </x:c>
      <x:c r="L74" s="45" t="str">
        <x:v>状态</x:v>
      </x:c>
    </x:row>
    <x:row r="75" ht="23" customHeight="1">
      <x:c r="A75" s="49"/>
      <x:c r="B75" s="49" t="n">
        <x:f>SUM(G79:G94)</x:f>
        <x:v>1.8120703999999999</x:v>
      </x:c>
      <x:c r="C75" s="49"/>
      <x:c r="D75" s="49" t="n">
        <x:f>SUM(H79:H94)</x:f>
        <x:v>2.0134115555555554</x:v>
      </x:c>
      <x:c r="E75" s="49"/>
      <x:c r="F75" s="49" t="n">
        <x:f>SUM(K79:K94)</x:f>
        <x:v>0.20134115555555557</x:v>
      </x:c>
      <x:c r="G75" s="49"/>
      <x:c r="H75" s="49" t="str">
        <x:f>IF(AND(ISNUMBER($F$73),$F$73&gt;0,$F$73&gt;=SUMPRODUCT(G79:G94,J79:J94)),$F$73+F75,"")</x:f>
      </x:c>
      <x:c r="I75" s="49"/>
      <x:c r="J75" s="50" t="str">
        <x:f>IF(AND(ISNUMBER($F$73),$F$73&gt;0,$F$73&gt;=SUMPRODUCT(G79:G94,J79:J94)),F75/$F$73,"")</x:f>
      </x:c>
      <x:c r="K75" s="49"/>
      <x:c r="L75" s="49" t="str">
        <x:f>IF($F$73="","待填基线",IF(AND(ISNUMBER($F$73),$F$73&gt;0,$F$73&gt;=SUMPRODUCT(G79:G94,J79:J94)),"已填基线","基线/暴露不一致"))</x:f>
        <x:v>待填基线</x:v>
      </x:c>
    </x:row>
    <x:row r="76" ht="23" customHeight="1">
      <x:c r="A76" s="30" t="str">
        <x:v>共享比例=0 表示独立链路；暴露系数=0 表示增量完全隐藏。默认均为 1，降幅只作用于带宽项。</x:v>
      </x:c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</x:row>
    <x:row r="77" ht="23" customHeight="1">
      <x:c r="A77" s="30" t="str">
        <x:v>P: AllToAllV + 4 B 计数 Ring；D: A3 BF16 MC2 FullMesh。每事件带宽按端点发送量定义。</x:v>
      </x:c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</x:row>
    <x:row r="78" ht="38" customHeight="1">
      <x:c r="A78" s="45" t="str">
        <x:v>并行域</x:v>
      </x:c>
      <x:c r="B78" s="45" t="str">
        <x:v>模块</x:v>
      </x:c>
      <x:c r="C78" s="45" t="str">
        <x:v>通信事件</x:v>
      </x:c>
      <x:c r="D78" s="45" t="str">
        <x:v>GB/Rank/Step</x:v>
      </x:c>
      <x:c r="E78" s="45" t="str">
        <x:v>有效带宽 GB/s</x:v>
      </x:c>
      <x:c r="F78" s="45" t="str">
        <x:v>共享比例</x:v>
      </x:c>
      <x:c r="G78" s="45" t="str">
        <x:v>基线带宽项 ms</x:v>
      </x:c>
      <x:c r="H78" s="45" t="str">
        <x:v>争用后带宽项 ms</x:v>
      </x:c>
      <x:c r="I78" s="45" t="str">
        <x:v>通信增量 ms</x:v>
      </x:c>
      <x:c r="J78" s="45" t="str">
        <x:v>暴露系数</x:v>
      </x:c>
      <x:c r="K78" s="45" t="str">
        <x:v>forward 增量 ms</x:v>
      </x:c>
      <x:c r="L78" s="45" t="str">
        <x:v>公式口径</x:v>
      </x:c>
    </x:row>
    <x:row r="79" ht="23" customHeight="1">
      <x:c r="A79" s="30" t="str">
        <x:v>TP</x:v>
      </x:c>
      <x:c r="B79" s="30" t="str">
        <x:v>Input Projection</x:v>
      </x:c>
      <x:c r="C79" s="30" t="str">
        <x:v>Column Parallel 输出</x:v>
      </x:c>
      <x:c r="D79" s="34" t="n">
        <x:f>(K23*2^20)/1e9</x:f>
        <x:v>0.012845056</x:v>
      </x:c>
      <x:c r="E79" s="51" t="n">
        <x:f>$H$73</x:f>
        <x:v>100</x:v>
      </x:c>
      <x:c r="F79" s="52" t="n">
        <x:v>1</x:v>
      </x:c>
      <x:c r="G79" s="34" t="n">
        <x:f>IF(AND(ISNUMBER(E79),E79&gt;0,ISNUMBER($B$73),$B$73&gt;=0,$B$73&lt;1,ISNUMBER($D$73),$D$73&gt;=0,$D$73&lt;=1,ISNUMBER(F79),F79&gt;=0,F79&lt;=1,ISNUMBER(J79),J79&gt;=0,J79&lt;=1),D79/E79*1000,NA())</x:f>
        <x:v>0.12845056000000002</x:v>
      </x:c>
      <x:c r="H79" s="34" t="n">
        <x:f>G79+I79</x:f>
        <x:v>0.14272284444444447</x:v>
      </x:c>
      <x:c r="I79" s="34" t="n">
        <x:f>G79*F79*$D$73*$B$73/(1-$B$73)</x:f>
        <x:v>0.014272284444444446</x:v>
      </x:c>
      <x:c r="J79" s="52" t="n">
        <x:v>1</x:v>
      </x:c>
      <x:c r="K79" s="34" t="n">
        <x:f>I79*J79</x:f>
        <x:v>0.014272284444444446</x:v>
      </x:c>
      <x:c r="L79" s="30" t="str">
        <x:v>原通信行 23</x:v>
      </x:c>
    </x:row>
    <x:row r="80" ht="23" customHeight="1">
      <x:c r="A80" s="30" t="str">
        <x:v>SP</x:v>
      </x:c>
      <x:c r="B80" s="30" t="str">
        <x:v>Attention</x:v>
      </x:c>
      <x:c r="C80" s="30" t="str">
        <x:v>Attention 前</x:v>
      </x:c>
      <x:c r="D80" s="34" t="n">
        <x:f>(K24*2^20)/1e9</x:f>
        <x:v>0.06422528</x:v>
      </x:c>
      <x:c r="E80" s="51" t="n">
        <x:f>$H$73</x:f>
        <x:v>100</x:v>
      </x:c>
      <x:c r="F80" s="52" t="n">
        <x:v>1</x:v>
      </x:c>
      <x:c r="G80" s="34" t="n">
        <x:f>IF(AND(ISNUMBER(E80),E80&gt;0,ISNUMBER($B$73),$B$73&gt;=0,$B$73&lt;1,ISNUMBER($D$73),$D$73&gt;=0,$D$73&lt;=1,ISNUMBER(F80),F80&gt;=0,F80&lt;=1,ISNUMBER(J80),J80&gt;=0,J80&lt;=1),D80/E80*1000,NA())</x:f>
        <x:v>0.6422528</x:v>
      </x:c>
      <x:c r="H80" s="34" t="n">
        <x:f>G80+I80</x:f>
        <x:v>0.7136142222222221</x:v>
      </x:c>
      <x:c r="I80" s="34" t="n">
        <x:f>G80*F80*$D$73*$B$73/(1-$B$73)</x:f>
        <x:v>0.07136142222222222</x:v>
      </x:c>
      <x:c r="J80" s="52" t="n">
        <x:v>1</x:v>
      </x:c>
      <x:c r="K80" s="34" t="n">
        <x:f>I80*J80</x:f>
        <x:v>0.07136142222222222</x:v>
      </x:c>
      <x:c r="L80" s="30" t="str">
        <x:v>原通信行 24</x:v>
      </x:c>
    </x:row>
    <x:row r="81" ht="23" customHeight="1">
      <x:c r="A81" s="30" t="str">
        <x:v>SP</x:v>
      </x:c>
      <x:c r="B81" s="30" t="str">
        <x:v>Attention</x:v>
      </x:c>
      <x:c r="C81" s="30" t="str">
        <x:v>O Proj 后</x:v>
      </x:c>
      <x:c r="D81" s="34" t="n">
        <x:f>(K25*2^20)/1e9</x:f>
        <x:v>0.06422528</x:v>
      </x:c>
      <x:c r="E81" s="51" t="n">
        <x:f>$H$73</x:f>
        <x:v>100</x:v>
      </x:c>
      <x:c r="F81" s="52" t="n">
        <x:v>1</x:v>
      </x:c>
      <x:c r="G81" s="34" t="n">
        <x:f>IF(AND(ISNUMBER(E81),E81&gt;0,ISNUMBER($B$73),$B$73&gt;=0,$B$73&lt;1,ISNUMBER($D$73),$D$73&gt;=0,$D$73&lt;=1,ISNUMBER(F81),F81&gt;=0,F81&lt;=1,ISNUMBER(J81),J81&gt;=0,J81&lt;=1),D81/E81*1000,NA())</x:f>
        <x:v>0.6422528</x:v>
      </x:c>
      <x:c r="H81" s="34" t="n">
        <x:f>G81+I81</x:f>
        <x:v>0.7136142222222221</x:v>
      </x:c>
      <x:c r="I81" s="34" t="n">
        <x:f>G81*F81*$D$73*$B$73/(1-$B$73)</x:f>
        <x:v>0.07136142222222222</x:v>
      </x:c>
      <x:c r="J81" s="52" t="n">
        <x:v>1</x:v>
      </x:c>
      <x:c r="K81" s="34" t="n">
        <x:f>I81*J81</x:f>
        <x:v>0.07136142222222222</x:v>
      </x:c>
      <x:c r="L81" s="30" t="str">
        <x:v>原通信行 25</x:v>
      </x:c>
    </x:row>
    <x:row r="82" ht="23" customHeight="1">
      <x:c r="A82" s="30" t="str">
        <x:v>O Proj TP</x:v>
      </x:c>
      <x:c r="B82" s="30" t="str">
        <x:v>Attention</x:v>
      </x:c>
      <x:c r="C82" s="30" t="str">
        <x:v>非 SP 标准 TP</x:v>
      </x:c>
      <x:c r="D82" s="34" t="n">
        <x:f>(K26*2^20)/1e9</x:f>
        <x:v>0</x:v>
      </x:c>
      <x:c r="E82" s="51" t="n">
        <x:f>$H$73</x:f>
        <x:v>100</x:v>
      </x:c>
      <x:c r="F82" s="52" t="n">
        <x:v>1</x:v>
      </x:c>
      <x:c r="G82" s="34" t="n">
        <x:f>IF(AND(ISNUMBER(E82),E82&gt;0,ISNUMBER($B$73),$B$73&gt;=0,$B$73&lt;1,ISNUMBER($D$73),$D$73&gt;=0,$D$73&lt;=1,ISNUMBER(F82),F82&gt;=0,F82&lt;=1,ISNUMBER(J82),J82&gt;=0,J82&lt;=1),D82/E82*1000,NA())</x:f>
        <x:v>0</x:v>
      </x:c>
      <x:c r="H82" s="34" t="n">
        <x:f>G82+I82</x:f>
        <x:v>0</x:v>
      </x:c>
      <x:c r="I82" s="34" t="n">
        <x:f>G82*F82*$D$73*$B$73/(1-$B$73)</x:f>
        <x:v>0</x:v>
      </x:c>
      <x:c r="J82" s="52" t="n">
        <x:v>1</x:v>
      </x:c>
      <x:c r="K82" s="34" t="n">
        <x:f>I82*J82</x:f>
        <x:v>0</x:v>
      </x:c>
      <x:c r="L82" s="30" t="str">
        <x:v>原通信行 26</x:v>
      </x:c>
    </x:row>
    <x:row r="83" ht="23" customHeight="1">
      <x:c r="A83" s="30" t="str">
        <x:v>Fine O TP</x:v>
      </x:c>
      <x:c r="B83" s="30" t="str">
        <x:v>Attention</x:v>
      </x:c>
      <x:c r="C83" s="30" t="str">
        <x:v>O Proj 输入</x:v>
      </x:c>
      <x:c r="D83" s="34" t="n">
        <x:f>(K27*2^20)/1e9</x:f>
        <x:v>0</x:v>
      </x:c>
      <x:c r="E83" s="51" t="n">
        <x:f>$H$73</x:f>
        <x:v>100</x:v>
      </x:c>
      <x:c r="F83" s="52" t="n">
        <x:v>1</x:v>
      </x:c>
      <x:c r="G83" s="34" t="n">
        <x:f>IF(AND(ISNUMBER(E83),E83&gt;0,ISNUMBER($B$73),$B$73&gt;=0,$B$73&lt;1,ISNUMBER($D$73),$D$73&gt;=0,$D$73&lt;=1,ISNUMBER(F83),F83&gt;=0,F83&lt;=1,ISNUMBER(J83),J83&gt;=0,J83&lt;=1),D83/E83*1000,NA())</x:f>
        <x:v>0</x:v>
      </x:c>
      <x:c r="H83" s="34" t="n">
        <x:f>G83+I83</x:f>
        <x:v>0</x:v>
      </x:c>
      <x:c r="I83" s="34" t="n">
        <x:f>G83*F83*$D$73*$B$73/(1-$B$73)</x:f>
        <x:v>0</x:v>
      </x:c>
      <x:c r="J83" s="52" t="n">
        <x:v>1</x:v>
      </x:c>
      <x:c r="K83" s="34" t="n">
        <x:f>I83*J83</x:f>
        <x:v>0</x:v>
      </x:c>
      <x:c r="L83" s="30" t="str">
        <x:v>原通信行 27</x:v>
      </x:c>
    </x:row>
    <x:row r="84" ht="23" customHeight="1">
      <x:c r="A84" s="30" t="str">
        <x:v>Fine O TP</x:v>
      </x:c>
      <x:c r="B84" s="30" t="str">
        <x:v>Attention</x:v>
      </x:c>
      <x:c r="C84" s="30" t="str">
        <x:v>O Proj 输出</x:v>
      </x:c>
      <x:c r="D84" s="34" t="n">
        <x:f>(K28*2^20)/1e9</x:f>
        <x:v>0</x:v>
      </x:c>
      <x:c r="E84" s="51" t="n">
        <x:f>$H$73</x:f>
        <x:v>100</x:v>
      </x:c>
      <x:c r="F84" s="52" t="n">
        <x:v>1</x:v>
      </x:c>
      <x:c r="G84" s="34" t="n">
        <x:f>IF(AND(ISNUMBER(E84),E84&gt;0,ISNUMBER($B$73),$B$73&gt;=0,$B$73&lt;1,ISNUMBER($D$73),$D$73&gt;=0,$D$73&lt;=1,ISNUMBER(F84),F84&gt;=0,F84&lt;=1,ISNUMBER(J84),J84&gt;=0,J84&lt;=1),D84/E84*1000,NA())</x:f>
        <x:v>0</x:v>
      </x:c>
      <x:c r="H84" s="34" t="n">
        <x:f>G84+I84</x:f>
        <x:v>0</x:v>
      </x:c>
      <x:c r="I84" s="34" t="n">
        <x:f>G84*F84*$D$73*$B$73/(1-$B$73)</x:f>
        <x:v>0</x:v>
      </x:c>
      <x:c r="J84" s="52" t="n">
        <x:v>1</x:v>
      </x:c>
      <x:c r="K84" s="34" t="n">
        <x:f>I84*J84</x:f>
        <x:v>0</x:v>
      </x:c>
      <x:c r="L84" s="30" t="str">
        <x:v>原通信行 28</x:v>
      </x:c>
    </x:row>
    <x:row r="85" ht="23" customHeight="1">
      <x:c r="A85" s="30" t="str">
        <x:v>SP</x:v>
      </x:c>
      <x:c r="B85" s="30" t="str">
        <x:v>Dense MLP</x:v>
      </x:c>
      <x:c r="C85" s="30" t="str">
        <x:v>Down Proj 输出</x:v>
      </x:c>
      <x:c r="D85" s="34" t="n">
        <x:f>(K29*2^20)/1e9</x:f>
        <x:v>0.01605632</x:v>
      </x:c>
      <x:c r="E85" s="51" t="n">
        <x:f>$H$73</x:f>
        <x:v>100</x:v>
      </x:c>
      <x:c r="F85" s="52" t="n">
        <x:v>1</x:v>
      </x:c>
      <x:c r="G85" s="34" t="n">
        <x:f>IF(AND(ISNUMBER(E85),E85&gt;0,ISNUMBER($B$73),$B$73&gt;=0,$B$73&lt;1,ISNUMBER($D$73),$D$73&gt;=0,$D$73&lt;=1,ISNUMBER(F85),F85&gt;=0,F85&lt;=1,ISNUMBER(J85),J85&gt;=0,J85&lt;=1),D85/E85*1000,NA())</x:f>
        <x:v>0.1605632</x:v>
      </x:c>
      <x:c r="H85" s="34" t="n">
        <x:f>G85+I85</x:f>
        <x:v>0.17840355555555554</x:v>
      </x:c>
      <x:c r="I85" s="34" t="n">
        <x:f>G85*F85*$D$73*$B$73/(1-$B$73)</x:f>
        <x:v>0.017840355555555555</x:v>
      </x:c>
      <x:c r="J85" s="52" t="n">
        <x:v>1</x:v>
      </x:c>
      <x:c r="K85" s="34" t="n">
        <x:f>I85*J85</x:f>
        <x:v>0.017840355555555555</x:v>
      </x:c>
      <x:c r="L85" s="30" t="str">
        <x:v>原通信行 29</x:v>
      </x:c>
    </x:row>
    <x:row r="86" ht="23" customHeight="1">
      <x:c r="A86" s="30" t="str">
        <x:v>DCP</x:v>
      </x:c>
      <x:c r="B86" s="30" t="str">
        <x:v>Attention</x:v>
      </x:c>
      <x:c r="C86" s="30" t="str">
        <x:v>Query</x:v>
      </x:c>
      <x:c r="D86" s="34" t="n">
        <x:f>(K30*2^20)/1e9</x:f>
        <x:v>0</x:v>
      </x:c>
      <x:c r="E86" s="51" t="n">
        <x:f>$H$73</x:f>
        <x:v>100</x:v>
      </x:c>
      <x:c r="F86" s="52" t="n">
        <x:v>1</x:v>
      </x:c>
      <x:c r="G86" s="34" t="n">
        <x:f>IF(AND(ISNUMBER(E86),E86&gt;0,ISNUMBER($B$73),$B$73&gt;=0,$B$73&lt;1,ISNUMBER($D$73),$D$73&gt;=0,$D$73&lt;=1,ISNUMBER(F86),F86&gt;=0,F86&lt;=1,ISNUMBER(J86),J86&gt;=0,J86&lt;=1),D86/E86*1000,NA())</x:f>
        <x:v>0</x:v>
      </x:c>
      <x:c r="H86" s="34" t="n">
        <x:f>G86+I86</x:f>
        <x:v>0</x:v>
      </x:c>
      <x:c r="I86" s="34" t="n">
        <x:f>G86*F86*$D$73*$B$73/(1-$B$73)</x:f>
        <x:v>0</x:v>
      </x:c>
      <x:c r="J86" s="52" t="n">
        <x:v>1</x:v>
      </x:c>
      <x:c r="K86" s="34" t="n">
        <x:f>I86*J86</x:f>
        <x:v>0</x:v>
      </x:c>
      <x:c r="L86" s="30" t="str">
        <x:v>原通信行 30</x:v>
      </x:c>
    </x:row>
    <x:row r="87" ht="23" customHeight="1">
      <x:c r="A87" s="30" t="str">
        <x:v>DCP</x:v>
      </x:c>
      <x:c r="B87" s="30" t="str">
        <x:v>Attention</x:v>
      </x:c>
      <x:c r="C87" s="30" t="str">
        <x:v>LSE</x:v>
      </x:c>
      <x:c r="D87" s="34" t="n">
        <x:f>(K31*2^20)/1e9</x:f>
        <x:v>0</x:v>
      </x:c>
      <x:c r="E87" s="51" t="n">
        <x:f>$H$73</x:f>
        <x:v>100</x:v>
      </x:c>
      <x:c r="F87" s="52" t="n">
        <x:v>1</x:v>
      </x:c>
      <x:c r="G87" s="34" t="n">
        <x:f>IF(AND(ISNUMBER(E87),E87&gt;0,ISNUMBER($B$73),$B$73&gt;=0,$B$73&lt;1,ISNUMBER($D$73),$D$73&gt;=0,$D$73&lt;=1,ISNUMBER(F87),F87&gt;=0,F87&lt;=1,ISNUMBER(J87),J87&gt;=0,J87&lt;=1),D87/E87*1000,NA())</x:f>
        <x:v>0</x:v>
      </x:c>
      <x:c r="H87" s="34" t="n">
        <x:f>G87+I87</x:f>
        <x:v>0</x:v>
      </x:c>
      <x:c r="I87" s="34" t="n">
        <x:f>G87*F87*$D$73*$B$73/(1-$B$73)</x:f>
        <x:v>0</x:v>
      </x:c>
      <x:c r="J87" s="52" t="n">
        <x:v>1</x:v>
      </x:c>
      <x:c r="K87" s="34" t="n">
        <x:f>I87*J87</x:f>
        <x:v>0</x:v>
      </x:c>
      <x:c r="L87" s="30" t="str">
        <x:v>原通信行 31</x:v>
      </x:c>
    </x:row>
    <x:row r="88" ht="23" customHeight="1">
      <x:c r="A88" s="30" t="str">
        <x:v>DCP</x:v>
      </x:c>
      <x:c r="B88" s="30" t="str">
        <x:v>Attention</x:v>
      </x:c>
      <x:c r="C88" s="30" t="str">
        <x:v>Attention 输出</x:v>
      </x:c>
      <x:c r="D88" s="34" t="n">
        <x:f>(K32*2^20)/1e9</x:f>
        <x:v>0</x:v>
      </x:c>
      <x:c r="E88" s="51" t="n">
        <x:f>$H$73</x:f>
        <x:v>100</x:v>
      </x:c>
      <x:c r="F88" s="52" t="n">
        <x:v>1</x:v>
      </x:c>
      <x:c r="G88" s="34" t="n">
        <x:f>IF(AND(ISNUMBER(E88),E88&gt;0,ISNUMBER($B$73),$B$73&gt;=0,$B$73&lt;1,ISNUMBER($D$73),$D$73&gt;=0,$D$73&lt;=1,ISNUMBER(F88),F88&gt;=0,F88&lt;=1,ISNUMBER(J88),J88&gt;=0,J88&lt;=1),D88/E88*1000,NA())</x:f>
        <x:v>0</x:v>
      </x:c>
      <x:c r="H88" s="34" t="n">
        <x:f>G88+I88</x:f>
        <x:v>0</x:v>
      </x:c>
      <x:c r="I88" s="34" t="n">
        <x:f>G88*F88*$D$73*$B$73/(1-$B$73)</x:f>
        <x:v>0</x:v>
      </x:c>
      <x:c r="J88" s="52" t="n">
        <x:v>1</x:v>
      </x:c>
      <x:c r="K88" s="34" t="n">
        <x:f>I88*J88</x:f>
        <x:v>0</x:v>
      </x:c>
      <x:c r="L88" s="30" t="str">
        <x:v>原通信行 32</x:v>
      </x:c>
    </x:row>
    <x:row r="89" ht="23" customHeight="1">
      <x:c r="A89" s="30" t="str">
        <x:v>SP</x:v>
      </x:c>
      <x:c r="B89" s="30" t="str">
        <x:v>Model Output</x:v>
      </x:c>
      <x:c r="C89" s="30" t="str">
        <x:v>Final Norm 后</x:v>
      </x:c>
      <x:c r="D89" s="34" t="n">
        <x:f>(K33*2^20)/1e9</x:f>
        <x:v>0.012845056</x:v>
      </x:c>
      <x:c r="E89" s="51" t="n">
        <x:f>$H$73</x:f>
        <x:v>100</x:v>
      </x:c>
      <x:c r="F89" s="52" t="n">
        <x:v>1</x:v>
      </x:c>
      <x:c r="G89" s="34" t="n">
        <x:f>IF(AND(ISNUMBER(E89),E89&gt;0,ISNUMBER($B$73),$B$73&gt;=0,$B$73&lt;1,ISNUMBER($D$73),$D$73&gt;=0,$D$73&lt;=1,ISNUMBER(F89),F89&gt;=0,F89&lt;=1,ISNUMBER(J89),J89&gt;=0,J89&lt;=1),D89/E89*1000,NA())</x:f>
        <x:v>0.12845056000000002</x:v>
      </x:c>
      <x:c r="H89" s="34" t="n">
        <x:f>G89+I89</x:f>
        <x:v>0.14272284444444447</x:v>
      </x:c>
      <x:c r="I89" s="34" t="n">
        <x:f>G89*F89*$D$73*$B$73/(1-$B$73)</x:f>
        <x:v>0.014272284444444446</x:v>
      </x:c>
      <x:c r="J89" s="52" t="n">
        <x:v>1</x:v>
      </x:c>
      <x:c r="K89" s="34" t="n">
        <x:f>I89*J89</x:f>
        <x:v>0.014272284444444446</x:v>
      </x:c>
      <x:c r="L89" s="30" t="str">
        <x:v>原通信行 33</x:v>
      </x:c>
    </x:row>
    <x:row r="90" ht="23" customHeight="1">
      <x:c r="A90" s="30" t="str">
        <x:v>LM Head TP</x:v>
      </x:c>
      <x:c r="B90" s="30" t="str">
        <x:v>LM Head</x:v>
      </x:c>
      <x:c r="C90" s="30" t="str">
        <x:v>完整 Logits</x:v>
      </x:c>
      <x:c r="D90" s="34" t="n">
        <x:f>(K34*2^20)/1e9</x:f>
        <x:v>0</x:v>
      </x:c>
      <x:c r="E90" s="51" t="n">
        <x:f>$H$73</x:f>
        <x:v>100</x:v>
      </x:c>
      <x:c r="F90" s="52" t="n">
        <x:v>1</x:v>
      </x:c>
      <x:c r="G90" s="34" t="n">
        <x:f>IF(AND(ISNUMBER(E90),E90&gt;0,ISNUMBER($B$73),$B$73&gt;=0,$B$73&lt;1,ISNUMBER($D$73),$D$73&gt;=0,$D$73&lt;=1,ISNUMBER(F90),F90&gt;=0,F90&lt;=1,ISNUMBER(J90),J90&gt;=0,J90&lt;=1),D90/E90*1000,NA())</x:f>
        <x:v>0</x:v>
      </x:c>
      <x:c r="H90" s="34" t="n">
        <x:f>G90+I90</x:f>
        <x:v>0</x:v>
      </x:c>
      <x:c r="I90" s="34" t="n">
        <x:f>G90*F90*$D$73*$B$73/(1-$B$73)</x:f>
        <x:v>0</x:v>
      </x:c>
      <x:c r="J90" s="52" t="n">
        <x:v>1</x:v>
      </x:c>
      <x:c r="K90" s="34" t="n">
        <x:f>I90*J90</x:f>
        <x:v>0</x:v>
      </x:c>
      <x:c r="L90" s="30" t="str">
        <x:v>原通信行 34</x:v>
      </x:c>
    </x:row>
    <x:row r="91" ht="23" customHeight="1">
      <x:c r="A91" s="30" t="str">
        <x:v>LM Head TP</x:v>
      </x:c>
      <x:c r="B91" s="30" t="str">
        <x:v>LM Head</x:v>
      </x:c>
      <x:c r="C91" s="30" t="str">
        <x:v>Reduce Sample</x:v>
      </x:c>
      <x:c r="D91" s="34" t="n">
        <x:f>(K35*2^20)/1e9</x:f>
        <x:v>0.011010048</x:v>
      </x:c>
      <x:c r="E91" s="51" t="n">
        <x:f>$H$73</x:f>
        <x:v>100</x:v>
      </x:c>
      <x:c r="F91" s="52" t="n">
        <x:v>1</x:v>
      </x:c>
      <x:c r="G91" s="34" t="n">
        <x:f>IF(AND(ISNUMBER(E91),E91&gt;0,ISNUMBER($B$73),$B$73&gt;=0,$B$73&lt;1,ISNUMBER($D$73),$D$73&gt;=0,$D$73&lt;=1,ISNUMBER(F91),F91&gt;=0,F91&lt;=1,ISNUMBER(J91),J91&gt;=0,J91&lt;=1),D91/E91*1000,NA())</x:f>
        <x:v>0.11010048</x:v>
      </x:c>
      <x:c r="H91" s="34" t="n">
        <x:f>G91+I91</x:f>
        <x:v>0.12233386666666667</x:v>
      </x:c>
      <x:c r="I91" s="34" t="n">
        <x:f>G91*F91*$D$73*$B$73/(1-$B$73)</x:f>
        <x:v>0.012233386666666669</x:v>
      </x:c>
      <x:c r="J91" s="52" t="n">
        <x:v>1</x:v>
      </x:c>
      <x:c r="K91" s="34" t="n">
        <x:f>I91*J91</x:f>
        <x:v>0.012233386666666669</x:v>
      </x:c>
      <x:c r="L91" s="30" t="str">
        <x:v>原通信行 35</x:v>
      </x:c>
    </x:row>
    <x:row r="92" ht="23" customHeight="1">
      <x:c r="A92" s="30" t="str">
        <x:v>Fine LM Head TP</x:v>
      </x:c>
      <x:c r="B92" s="30" t="str">
        <x:v>LM Head</x:v>
      </x:c>
      <x:c r="C92" s="30" t="str">
        <x:v>Hidden 输入</x:v>
      </x:c>
      <x:c r="D92" s="34" t="n">
        <x:f>(K36*2^20)/1e9</x:f>
        <x:v>0</x:v>
      </x:c>
      <x:c r="E92" s="51" t="n">
        <x:f>$H$73</x:f>
        <x:v>100</x:v>
      </x:c>
      <x:c r="F92" s="52" t="n">
        <x:v>1</x:v>
      </x:c>
      <x:c r="G92" s="34" t="n">
        <x:f>IF(AND(ISNUMBER(E92),E92&gt;0,ISNUMBER($B$73),$B$73&gt;=0,$B$73&lt;1,ISNUMBER($D$73),$D$73&gt;=0,$D$73&lt;=1,ISNUMBER(F92),F92&gt;=0,F92&lt;=1,ISNUMBER(J92),J92&gt;=0,J92&lt;=1),D92/E92*1000,NA())</x:f>
        <x:v>0</x:v>
      </x:c>
      <x:c r="H92" s="34" t="n">
        <x:f>G92+I92</x:f>
        <x:v>0</x:v>
      </x:c>
      <x:c r="I92" s="34" t="n">
        <x:f>G92*F92*$D$73*$B$73/(1-$B$73)</x:f>
        <x:v>0</x:v>
      </x:c>
      <x:c r="J92" s="52" t="n">
        <x:v>1</x:v>
      </x:c>
      <x:c r="K92" s="34" t="n">
        <x:f>I92*J92</x:f>
        <x:v>0</x:v>
      </x:c>
      <x:c r="L92" s="30" t="str">
        <x:v>原通信行 36</x:v>
      </x:c>
    </x:row>
    <x:row r="93" ht="23" customHeight="1">
      <x:c r="A93" s="30" t="str">
        <x:v>Fine LM Head TP</x:v>
      </x:c>
      <x:c r="B93" s="30" t="str">
        <x:v>LM Head</x:v>
      </x:c>
      <x:c r="C93" s="30" t="str">
        <x:v>完整 Logits</x:v>
      </x:c>
      <x:c r="D93" s="34" t="n">
        <x:f>(K37*2^20)/1e9</x:f>
        <x:v>0</x:v>
      </x:c>
      <x:c r="E93" s="51" t="n">
        <x:f>$H$73</x:f>
        <x:v>100</x:v>
      </x:c>
      <x:c r="F93" s="52" t="n">
        <x:v>1</x:v>
      </x:c>
      <x:c r="G93" s="34" t="n">
        <x:f>IF(AND(ISNUMBER(E93),E93&gt;0,ISNUMBER($B$73),$B$73&gt;=0,$B$73&lt;1,ISNUMBER($D$73),$D$73&gt;=0,$D$73&lt;=1,ISNUMBER(F93),F93&gt;=0,F93&lt;=1,ISNUMBER(J93),J93&gt;=0,J93&lt;=1),D93/E93*1000,NA())</x:f>
        <x:v>0</x:v>
      </x:c>
      <x:c r="H93" s="34" t="n">
        <x:f>G93+I93</x:f>
        <x:v>0</x:v>
      </x:c>
      <x:c r="I93" s="34" t="n">
        <x:f>G93*F93*$D$73*$B$73/(1-$B$73)</x:f>
        <x:v>0</x:v>
      </x:c>
      <x:c r="J93" s="52" t="n">
        <x:v>1</x:v>
      </x:c>
      <x:c r="K93" s="34" t="n">
        <x:f>I93*J93</x:f>
        <x:v>0</x:v>
      </x:c>
      <x:c r="L93" s="30" t="str">
        <x:v>原通信行 37</x:v>
      </x:c>
    </x:row>
    <x:row r="94" ht="23" customHeight="1">
      <x:c r="A94" s="30" t="str">
        <x:v>Fine LM Head TP</x:v>
      </x:c>
      <x:c r="B94" s="30" t="str">
        <x:v>LM Head</x:v>
      </x:c>
      <x:c r="C94" s="30" t="str">
        <x:v>Reduce Sample</x:v>
      </x:c>
      <x:c r="D94" s="34" t="n">
        <x:f>(K38*2^20)/1e9</x:f>
        <x:v>0</x:v>
      </x:c>
      <x:c r="E94" s="51" t="n">
        <x:f>$H$73</x:f>
        <x:v>100</x:v>
      </x:c>
      <x:c r="F94" s="52" t="n">
        <x:v>1</x:v>
      </x:c>
      <x:c r="G94" s="34" t="n">
        <x:f>IF(AND(ISNUMBER(E94),E94&gt;0,ISNUMBER($B$73),$B$73&gt;=0,$B$73&lt;1,ISNUMBER($D$73),$D$73&gt;=0,$D$73&lt;=1,ISNUMBER(F94),F94&gt;=0,F94&lt;=1,ISNUMBER(J94),J94&gt;=0,J94&lt;=1),D94/E94*1000,NA())</x:f>
        <x:v>0</x:v>
      </x:c>
      <x:c r="H94" s="34" t="n">
        <x:f>G94+I94</x:f>
        <x:v>0</x:v>
      </x:c>
      <x:c r="I94" s="34" t="n">
        <x:f>G94*F94*$D$73*$B$73/(1-$B$73)</x:f>
        <x:v>0</x:v>
      </x:c>
      <x:c r="J94" s="52" t="n">
        <x:v>1</x:v>
      </x:c>
      <x:c r="K94" s="34" t="n">
        <x:f>I94*J94</x:f>
        <x:v>0</x:v>
      </x:c>
      <x:c r="L94" s="30" t="str">
        <x:v>原通信行 38</x:v>
      </x:c>
    </x:row>
    <x:row r="95" ht="23" customHeight="1">
      <x:c r="A95" s="53" t="str">
        <x:v>所列事件串行相加</x:v>
      </x:c>
      <x:c r="B95" s="53"/>
      <x:c r="C95" s="53"/>
      <x:c r="D95" s="54" t="n">
        <x:f>SUM(D79:D94)</x:f>
        <x:v>0.18120703999999996</x:v>
      </x:c>
      <x:c r="E95" s="54"/>
      <x:c r="F95" s="53"/>
      <x:c r="G95" s="54" t="n">
        <x:f>SUM(G79:G94)</x:f>
        <x:v>1.8120703999999999</x:v>
      </x:c>
      <x:c r="H95" s="54" t="n">
        <x:f>SUM(H79:H94)</x:f>
        <x:v>2.0134115555555554</x:v>
      </x:c>
      <x:c r="I95" s="54" t="n">
        <x:f>SUM(I79:I94)</x:f>
        <x:v>0.20134115555555557</x:v>
      </x:c>
      <x:c r="J95" s="53"/>
      <x:c r="K95" s="54" t="n">
        <x:f>SUM(K79:K94)</x:f>
        <x:v>0.20134115555555557</x:v>
      </x:c>
      <x:c r="L95" s="53"/>
    </x:row>
  </x:sheetData>
  <x:conditionalFormatting sqref="L75:L75">
    <x:cfRule type="containsText" dxfId="1" priority="1" operator="containsText" text="不一致"/>
  </x:conditionalFormatting>
  <x:pageMargins left="0.7" right="0.7" top="0.75" bottom="0.75" header="0.3" footer="0.3"/>
</x:worksheet>
</file>