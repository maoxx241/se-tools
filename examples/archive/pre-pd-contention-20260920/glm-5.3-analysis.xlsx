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e08c2844b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2471534fb227480d"/>
    <x:sheet xmlns:r="http://schemas.openxmlformats.org/officeDocument/2006/relationships" name="Decode" sheetId="2" r:id="Rd97884c94015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.0000"/>
    <x:numFmt numFmtId="202" formatCode="#,##0.####"/>
    <x:numFmt numFmtId="203" formatCode="0.000000"/>
  </x:numFmts>
  <x:fonts count="4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201" fontId="3" fillId="4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fdeef6fd04535" /><Relationship Type="http://schemas.openxmlformats.org/officeDocument/2006/relationships/theme" Target="/xl/theme/theme1.xml" Id="R8eba9cd02f7541d7" /><Relationship Type="http://schemas.openxmlformats.org/officeDocument/2006/relationships/sharedStrings" Target="/xl/sharedStrings.xml" Id="R2fa6d11de7bf4e98" /><Relationship Type="http://schemas.openxmlformats.org/officeDocument/2006/relationships/worksheet" Target="/xl/worksheets/sheet1.xml" Id="R2471534fb227480d" /><Relationship Type="http://schemas.openxmlformats.org/officeDocument/2006/relationships/worksheet" Target="/xl/worksheets/sheet2.xml" Id="Rd97884c940154e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[154880, 6144]</x:v>
      </x:c>
      <x:c r="D2" s="30" t="str">
        <x:v>BF16</x:v>
      </x:c>
      <x:c r="E2" s="32" t="n">
        <x:v>2</x:v>
      </x:c>
      <x:c r="F2" s="33" t="n">
        <x:v>1</x:v>
      </x:c>
      <x:c r="G2" s="33" t="n">
        <x:v>951582720</x:v>
      </x:c>
      <x:c r="H2" s="33" t="str">
        <x:v>Embedding TP</x:v>
      </x:c>
      <x:c r="I2" s="33" t="n">
        <x:f>IF('Prefill'!$P$21&gt;0,'Prefill'!$P$21,'Prefill'!$P$12)</x:f>
        <x:v>8</x:v>
      </x:c>
      <x:c r="J2" s="34" t="n">
        <x:f>E2*F2*G2/1073741824</x:f>
        <x:v>1.7724609375</x:v>
      </x:c>
      <x:c r="K2" s="34" t="n">
        <x:f>J2/I2</x:f>
        <x:v>0.2215576171875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[154880, 6144]</x:v>
      </x:c>
      <x:c r="D3" s="30" t="str">
        <x:v>BF16</x:v>
      </x:c>
      <x:c r="E3" s="32" t="n">
        <x:v>2</x:v>
      </x:c>
      <x:c r="F3" s="33" t="n">
        <x:v>1</x:v>
      </x:c>
      <x:c r="G3" s="33" t="n">
        <x:v>951582720</x:v>
      </x:c>
      <x:c r="H3" s="33" t="str">
        <x:v>LM Head TP</x:v>
      </x:c>
      <x:c r="I3" s="33" t="n">
        <x:f>IF('Prefill'!$P$20&gt;0,'Prefill'!$P$20,'Prefill'!$P$12)</x:f>
        <x:v>8</x:v>
      </x:c>
      <x:c r="J3" s="34" t="n">
        <x:f>E3*F3*G3/1073741824</x:f>
        <x:v>1.7724609375</x:v>
      </x:c>
      <x:c r="K3" s="34" t="n">
        <x:f>J3/I3</x:f>
        <x:v>0.2215576171875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[6144]</x:v>
      </x:c>
      <x:c r="D4" s="30" t="str">
        <x:v>BF16</x:v>
      </x:c>
      <x:c r="E4" s="32" t="n">
        <x:v>2</x:v>
      </x:c>
      <x:c r="F4" s="33" t="n">
        <x:v>1</x:v>
      </x:c>
      <x:c r="G4" s="33" t="n">
        <x:v>6144</x:v>
      </x:c>
      <x:c r="H4" s="33" t="str">
        <x:v>Replicated</x:v>
      </x:c>
      <x:c r="I4" s="33" t="n">
        <x:f>1</x:f>
        <x:v>1</x:v>
      </x:c>
      <x:c r="J4" s="34" t="n">
        <x:f>E4*F4*G4/1073741824</x:f>
        <x:v>0.000011444091796875</x:v>
      </x:c>
      <x:c r="K4" s="34" t="n">
        <x:f>J4/I4</x:f>
        <x:v>0.000011444091796875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[6144]</x:v>
      </x:c>
      <x:c r="D5" s="30" t="str">
        <x:v>BF16</x:v>
      </x:c>
      <x:c r="E5" s="32" t="n">
        <x:v>2</x:v>
      </x:c>
      <x:c r="F5" s="33" t="n">
        <x:v>79</x:v>
      </x:c>
      <x:c r="G5" s="33" t="n">
        <x:v>6144</x:v>
      </x:c>
      <x:c r="H5" s="33" t="str">
        <x:v>Replicated</x:v>
      </x:c>
      <x:c r="I5" s="33" t="n">
        <x:f>1</x:f>
        <x:v>1</x:v>
      </x:c>
      <x:c r="J5" s="34" t="n">
        <x:f>E5*F5*G5/1073741824</x:f>
        <x:v>0.000904083251953125</x:v>
      </x:c>
      <x:c r="K5" s="34" t="n">
        <x:f>J5/I5</x:f>
        <x:v>0.000904083251953125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[6144]</x:v>
      </x:c>
      <x:c r="D6" s="30" t="str">
        <x:v>BF16</x:v>
      </x:c>
      <x:c r="E6" s="32" t="n">
        <x:v>2</x:v>
      </x:c>
      <x:c r="F6" s="33" t="n">
        <x:v>79</x:v>
      </x:c>
      <x:c r="G6" s="33" t="n">
        <x:v>6144</x:v>
      </x:c>
      <x:c r="H6" s="33" t="str">
        <x:v>Replicated</x:v>
      </x:c>
      <x:c r="I6" s="33" t="n">
        <x:f>1</x:f>
        <x:v>1</x:v>
      </x:c>
      <x:c r="J6" s="34" t="n">
        <x:f>E6*F6*G6/1073741824</x:f>
        <x:v>0.000904083251953125</x:v>
      </x:c>
      <x:c r="K6" s="34" t="n">
        <x:f>J6/I6</x:f>
        <x:v>0.000904083251953125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Dense MLP</x:v>
      </x:c>
      <x:c r="B7" s="30" t="str">
        <x:v>mlp.gate_proj.weight</x:v>
      </x:c>
      <x:c r="C7" s="30" t="str">
        <x:v>[12288, 6144]</x:v>
      </x:c>
      <x:c r="D7" s="30" t="str">
        <x:v>FP8 E4M3</x:v>
      </x:c>
      <x:c r="E7" s="32" t="n">
        <x:v>1</x:v>
      </x:c>
      <x:c r="F7" s="33" t="n">
        <x:v>3</x:v>
      </x:c>
      <x:c r="G7" s="33" t="n">
        <x:v>75497472</x:v>
      </x:c>
      <x:c r="H7" s="33" t="str">
        <x:v>TP</x:v>
      </x:c>
      <x:c r="I7" s="33" t="n">
        <x:f>'Prefill'!$P$12</x:f>
        <x:v>8</x:v>
      </x:c>
      <x:c r="J7" s="34" t="n">
        <x:f>E7*F7*G7/1073741824</x:f>
        <x:v>0.2109375</x:v>
      </x:c>
      <x:c r="K7" s="34" t="n">
        <x:f>J7/I7</x:f>
        <x:v>0.0263671875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Dense MLP</x:v>
      </x:c>
      <x:c r="B8" s="30" t="str">
        <x:v>mlp.gate_proj.weight_scale</x:v>
      </x:c>
      <x:c r="C8" s="30" t="str">
        <x:v>[96, 48]</x:v>
      </x:c>
      <x:c r="D8" s="30" t="str">
        <x:v>F32</x:v>
      </x:c>
      <x:c r="E8" s="32" t="n">
        <x:v>4</x:v>
      </x:c>
      <x:c r="F8" s="33" t="n">
        <x:v>3</x:v>
      </x:c>
      <x:c r="G8" s="33" t="n">
        <x:v>4608</x:v>
      </x:c>
      <x:c r="H8" s="33" t="str">
        <x:v>TP</x:v>
      </x:c>
      <x:c r="I8" s="33" t="n">
        <x:f>'Prefill'!$P$12</x:f>
        <x:v>8</x:v>
      </x:c>
      <x:c r="J8" s="34" t="n">
        <x:f>E8*F8*G8/1073741824</x:f>
        <x:v>0.0000514984130859375</x:v>
      </x:c>
      <x:c r="K8" s="34" t="n">
        <x:f>J8/I8</x:f>
        <x:v>0.0000064373016357421875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Dense MLP</x:v>
      </x:c>
      <x:c r="B9" s="30" t="str">
        <x:v>mlp.up_proj.weight</x:v>
      </x:c>
      <x:c r="C9" s="30" t="str">
        <x:v>[12288, 6144]</x:v>
      </x:c>
      <x:c r="D9" s="30" t="str">
        <x:v>FP8 E4M3</x:v>
      </x:c>
      <x:c r="E9" s="32" t="n">
        <x:v>1</x:v>
      </x:c>
      <x:c r="F9" s="33" t="n">
        <x:v>3</x:v>
      </x:c>
      <x:c r="G9" s="33" t="n">
        <x:v>75497472</x:v>
      </x:c>
      <x:c r="H9" s="33" t="str">
        <x:v>TP</x:v>
      </x:c>
      <x:c r="I9" s="33" t="n">
        <x:f>'Prefill'!$P$12</x:f>
        <x:v>8</x:v>
      </x:c>
      <x:c r="J9" s="34" t="n">
        <x:f>E9*F9*G9/1073741824</x:f>
        <x:v>0.2109375</x:v>
      </x:c>
      <x:c r="K9" s="34" t="n">
        <x:f>J9/I9</x:f>
        <x:v>0.0263671875</x:v>
      </x:c>
      <x:c r="L9" s="30"/>
      <x:c r="M9" s="30"/>
      <x:c r="N9" s="30"/>
      <x:c r="O9" s="30"/>
      <x:c r="P9" s="30"/>
    </x:row>
    <x:row r="10">
      <x:c r="A10" s="30" t="str">
        <x:v>Dense MLP</x:v>
      </x:c>
      <x:c r="B10" s="30" t="str">
        <x:v>mlp.up_proj.weight_scale</x:v>
      </x:c>
      <x:c r="C10" s="30" t="str">
        <x:v>[96, 48]</x:v>
      </x:c>
      <x:c r="D10" s="30" t="str">
        <x:v>F32</x:v>
      </x:c>
      <x:c r="E10" s="32" t="n">
        <x:v>4</x:v>
      </x:c>
      <x:c r="F10" s="33" t="n">
        <x:v>3</x:v>
      </x:c>
      <x:c r="G10" s="33" t="n">
        <x:v>4608</x:v>
      </x:c>
      <x:c r="H10" s="33" t="str">
        <x:v>TP</x:v>
      </x:c>
      <x:c r="I10" s="33" t="n">
        <x:f>'Prefill'!$P$12</x:f>
        <x:v>8</x:v>
      </x:c>
      <x:c r="J10" s="34" t="n">
        <x:f>E10*F10*G10/1073741824</x:f>
        <x:v>0.0000514984130859375</x:v>
      </x:c>
      <x:c r="K10" s="34" t="n">
        <x:f>J10/I10</x:f>
        <x:v>0.0000064373016357421875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Dense MLP</x:v>
      </x:c>
      <x:c r="B11" s="30" t="str">
        <x:v>mlp.down_proj.weight</x:v>
      </x:c>
      <x:c r="C11" s="30" t="str">
        <x:v>[6144, 12288]</x:v>
      </x:c>
      <x:c r="D11" s="30" t="str">
        <x:v>FP8 E4M3</x:v>
      </x:c>
      <x:c r="E11" s="32" t="n">
        <x:v>1</x:v>
      </x:c>
      <x:c r="F11" s="33" t="n">
        <x:v>3</x:v>
      </x:c>
      <x:c r="G11" s="33" t="n">
        <x:v>75497472</x:v>
      </x:c>
      <x:c r="H11" s="33" t="str">
        <x:v>TP</x:v>
      </x:c>
      <x:c r="I11" s="33" t="n">
        <x:f>'Prefill'!$P$12</x:f>
        <x:v>8</x:v>
      </x:c>
      <x:c r="J11" s="34" t="n">
        <x:f>E11*F11*G11/1073741824</x:f>
        <x:v>0.2109375</x:v>
      </x:c>
      <x:c r="K11" s="34" t="n">
        <x:f>J11/I11</x:f>
        <x:v>0.0263671875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Dense MLP</x:v>
      </x:c>
      <x:c r="B12" s="30" t="str">
        <x:v>mlp.down_proj.weight_scale</x:v>
      </x:c>
      <x:c r="C12" s="30" t="str">
        <x:v>[48, 96]</x:v>
      </x:c>
      <x:c r="D12" s="30" t="str">
        <x:v>F32</x:v>
      </x:c>
      <x:c r="E12" s="32" t="n">
        <x:v>4</x:v>
      </x:c>
      <x:c r="F12" s="33" t="n">
        <x:v>3</x:v>
      </x:c>
      <x:c r="G12" s="33" t="n">
        <x:v>4608</x:v>
      </x:c>
      <x:c r="H12" s="33" t="str">
        <x:v>TP</x:v>
      </x:c>
      <x:c r="I12" s="33" t="n">
        <x:f>'Prefill'!$P$12</x:f>
        <x:v>8</x:v>
      </x:c>
      <x:c r="J12" s="34" t="n">
        <x:f>E12*F12*G12/1073741824</x:f>
        <x:v>0.0000514984130859375</x:v>
      </x:c>
      <x:c r="K12" s="34" t="n">
        <x:f>J12/I12</x:f>
        <x:v>0.0000064373016357421875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MoE Router</x:v>
      </x:c>
      <x:c r="B13" s="30" t="str">
        <x:v>mlp.gate.weight</x:v>
      </x:c>
      <x:c r="C13" s="30" t="str">
        <x:v>[256, 6144]</x:v>
      </x:c>
      <x:c r="D13" s="30" t="str">
        <x:v>BF16</x:v>
      </x:c>
      <x:c r="E13" s="32" t="n">
        <x:v>2</x:v>
      </x:c>
      <x:c r="F13" s="33" t="n">
        <x:v>76</x:v>
      </x:c>
      <x:c r="G13" s="33" t="n">
        <x:v>1572864</x:v>
      </x:c>
      <x:c r="H13" s="33" t="str">
        <x:v>Replicated</x:v>
      </x:c>
      <x:c r="I13" s="33" t="n">
        <x:f>1</x:f>
        <x:v>1</x:v>
      </x:c>
      <x:c r="J13" s="34" t="n">
        <x:f>E13*F13*G13/1073741824</x:f>
        <x:v>0.22265625</x:v>
      </x:c>
      <x:c r="K13" s="34" t="n">
        <x:f>J13/I13</x:f>
        <x:v>0.22265625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MoE Router</x:v>
      </x:c>
      <x:c r="B14" s="30" t="str">
        <x:v>mlp.gate.e_score_correction_bias</x:v>
      </x:c>
      <x:c r="C14" s="30" t="str">
        <x:v>[256]</x:v>
      </x:c>
      <x:c r="D14" s="30" t="str">
        <x:v>F32</x:v>
      </x:c>
      <x:c r="E14" s="32" t="n">
        <x:v>4</x:v>
      </x:c>
      <x:c r="F14" s="33" t="n">
        <x:v>76</x:v>
      </x:c>
      <x:c r="G14" s="33" t="n">
        <x:v>256</x:v>
      </x:c>
      <x:c r="H14" s="33" t="str">
        <x:v>Replicated</x:v>
      </x:c>
      <x:c r="I14" s="33" t="n">
        <x:f>1</x:f>
        <x:v>1</x:v>
      </x:c>
      <x:c r="J14" s="34" t="n">
        <x:f>E14*F14*G14/1073741824</x:f>
        <x:v>0.000072479248046875</x:v>
      </x:c>
      <x:c r="K14" s="34" t="n">
        <x:f>J14/I14</x:f>
        <x:v>0.000072479248046875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Routed Experts</x:v>
      </x:c>
      <x:c r="B15" s="30" t="str">
        <x:v>mlp.experts.gate_proj.weight</x:v>
      </x:c>
      <x:c r="C15" s="30" t="str">
        <x:v>[2048, 6144]</x:v>
      </x:c>
      <x:c r="D15" s="30" t="str">
        <x:v>FP8 E4M3</x:v>
      </x:c>
      <x:c r="E15" s="32" t="n">
        <x:v>1</x:v>
      </x:c>
      <x:c r="F15" s="33" t="n">
        <x:v>19456</x:v>
      </x:c>
      <x:c r="G15" s="33" t="n">
        <x:v>12582912</x:v>
      </x:c>
      <x:c r="H15" s="33" t="str">
        <x:v>EP</x:v>
      </x:c>
      <x:c r="I15" s="33" t="n">
        <x:f>'Prefill'!$P$14</x:f>
        <x:v>8</x:v>
      </x:c>
      <x:c r="J15" s="34" t="n">
        <x:f>E15*F15*G15/1073741824</x:f>
        <x:v>228</x:v>
      </x:c>
      <x:c r="K15" s="34" t="n">
        <x:f>J15/I15</x:f>
        <x:v>28.5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Routed Experts</x:v>
      </x:c>
      <x:c r="B16" s="30" t="str">
        <x:v>mlp.experts.gate_proj.weight_scale</x:v>
      </x:c>
      <x:c r="C16" s="30" t="str">
        <x:v>[16, 48]</x:v>
      </x:c>
      <x:c r="D16" s="30" t="str">
        <x:v>F32</x:v>
      </x:c>
      <x:c r="E16" s="32" t="n">
        <x:v>4</x:v>
      </x:c>
      <x:c r="F16" s="33" t="n">
        <x:v>19456</x:v>
      </x:c>
      <x:c r="G16" s="33" t="n">
        <x:v>768</x:v>
      </x:c>
      <x:c r="H16" s="33" t="str">
        <x:v>EP</x:v>
      </x:c>
      <x:c r="I16" s="33" t="n">
        <x:f>'Prefill'!$P$14</x:f>
        <x:v>8</x:v>
      </x:c>
      <x:c r="J16" s="34" t="n">
        <x:f>E16*F16*G16/1073741824</x:f>
        <x:v>0.0556640625</x:v>
      </x:c>
      <x:c r="K16" s="34" t="n">
        <x:f>J16/I16</x:f>
        <x:v>0.0069580078125</x:v>
      </x:c>
      <x:c r="L16" s="30"/>
      <x:c r="M16" s="30"/>
      <x:c r="N16" s="30"/>
      <x:c r="O16" s="35"/>
      <x:c r="P16" s="35"/>
    </x:row>
    <x:row r="17">
      <x:c r="A17" s="30" t="str">
        <x:v>Routed Experts</x:v>
      </x:c>
      <x:c r="B17" s="30" t="str">
        <x:v>mlp.experts.up_proj.weight</x:v>
      </x:c>
      <x:c r="C17" s="30" t="str">
        <x:v>[2048, 6144]</x:v>
      </x:c>
      <x:c r="D17" s="30" t="str">
        <x:v>FP8 E4M3</x:v>
      </x:c>
      <x:c r="E17" s="32" t="n">
        <x:v>1</x:v>
      </x:c>
      <x:c r="F17" s="33" t="n">
        <x:v>19456</x:v>
      </x:c>
      <x:c r="G17" s="33" t="n">
        <x:v>12582912</x:v>
      </x:c>
      <x:c r="H17" s="33" t="str">
        <x:v>EP</x:v>
      </x:c>
      <x:c r="I17" s="33" t="n">
        <x:f>'Prefill'!$P$14</x:f>
        <x:v>8</x:v>
      </x:c>
      <x:c r="J17" s="34" t="n">
        <x:f>E17*F17*G17/1073741824</x:f>
        <x:v>228</x:v>
      </x:c>
      <x:c r="K17" s="34" t="n">
        <x:f>J17/I17</x:f>
        <x:v>28.5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Routed Experts</x:v>
      </x:c>
      <x:c r="B18" s="30" t="str">
        <x:v>mlp.experts.up_proj.weight_scale</x:v>
      </x:c>
      <x:c r="C18" s="30" t="str">
        <x:v>[16, 48]</x:v>
      </x:c>
      <x:c r="D18" s="30" t="str">
        <x:v>F32</x:v>
      </x:c>
      <x:c r="E18" s="32" t="n">
        <x:v>4</x:v>
      </x:c>
      <x:c r="F18" s="33" t="n">
        <x:v>19456</x:v>
      </x:c>
      <x:c r="G18" s="33" t="n">
        <x:v>768</x:v>
      </x:c>
      <x:c r="H18" s="33" t="str">
        <x:v>EP</x:v>
      </x:c>
      <x:c r="I18" s="33" t="n">
        <x:f>'Prefill'!$P$14</x:f>
        <x:v>8</x:v>
      </x:c>
      <x:c r="J18" s="34" t="n">
        <x:f>E18*F18*G18/1073741824</x:f>
        <x:v>0.0556640625</x:v>
      </x:c>
      <x:c r="K18" s="34" t="n">
        <x:f>J18/I18</x:f>
        <x:v>0.0069580078125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Routed Experts</x:v>
      </x:c>
      <x:c r="B19" s="30" t="str">
        <x:v>mlp.experts.down_proj.weight</x:v>
      </x:c>
      <x:c r="C19" s="30" t="str">
        <x:v>[6144, 2048]</x:v>
      </x:c>
      <x:c r="D19" s="30" t="str">
        <x:v>FP8 E4M3</x:v>
      </x:c>
      <x:c r="E19" s="32" t="n">
        <x:v>1</x:v>
      </x:c>
      <x:c r="F19" s="33" t="n">
        <x:v>19456</x:v>
      </x:c>
      <x:c r="G19" s="33" t="n">
        <x:v>12582912</x:v>
      </x:c>
      <x:c r="H19" s="33" t="str">
        <x:v>EP</x:v>
      </x:c>
      <x:c r="I19" s="33" t="n">
        <x:f>'Prefill'!$P$14</x:f>
        <x:v>8</x:v>
      </x:c>
      <x:c r="J19" s="34" t="n">
        <x:f>E19*F19*G19/1073741824</x:f>
        <x:v>228</x:v>
      </x:c>
      <x:c r="K19" s="34" t="n">
        <x:f>J19/I19</x:f>
        <x:v>28.5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Routed Experts</x:v>
      </x:c>
      <x:c r="B20" s="30" t="str">
        <x:v>mlp.experts.down_proj.weight_scale</x:v>
      </x:c>
      <x:c r="C20" s="30" t="str">
        <x:v>[48, 16]</x:v>
      </x:c>
      <x:c r="D20" s="30" t="str">
        <x:v>F32</x:v>
      </x:c>
      <x:c r="E20" s="32" t="n">
        <x:v>4</x:v>
      </x:c>
      <x:c r="F20" s="33" t="n">
        <x:v>19456</x:v>
      </x:c>
      <x:c r="G20" s="33" t="n">
        <x:v>768</x:v>
      </x:c>
      <x:c r="H20" s="33" t="str">
        <x:v>EP</x:v>
      </x:c>
      <x:c r="I20" s="33" t="n">
        <x:f>'Prefill'!$P$14</x:f>
        <x:v>8</x:v>
      </x:c>
      <x:c r="J20" s="34" t="n">
        <x:f>E20*F20*G20/1073741824</x:f>
        <x:v>0.0556640625</x:v>
      </x:c>
      <x:c r="K20" s="34" t="n">
        <x:f>J20/I20</x:f>
        <x:v>0.0069580078125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Shared Experts</x:v>
      </x:c>
      <x:c r="B21" s="30" t="str">
        <x:v>mlp.shared_experts.gate_proj.weight</x:v>
      </x:c>
      <x:c r="C21" s="30" t="str">
        <x:v>[2048, 6144]</x:v>
      </x:c>
      <x:c r="D21" s="30" t="str">
        <x:v>FP8 E4M3</x:v>
      </x:c>
      <x:c r="E21" s="32" t="n">
        <x:v>1</x:v>
      </x:c>
      <x:c r="F21" s="33" t="n">
        <x:v>76</x:v>
      </x:c>
      <x:c r="G21" s="33" t="n">
        <x:v>12582912</x:v>
      </x:c>
      <x:c r="H21" s="33" t="str">
        <x:v>共享专家 TP/DP</x:v>
      </x:c>
      <x:c r="I21" s="33" t="n">
        <x:f>IF('Prefill'!$P$17="TP",'Prefill'!$P$18,1)</x:f>
        <x:v>8</x:v>
      </x:c>
      <x:c r="J21" s="34" t="n">
        <x:f>E21*F21*G21/1073741824</x:f>
        <x:v>0.890625</x:v>
      </x:c>
      <x:c r="K21" s="34" t="n">
        <x:f>J21/I21</x:f>
        <x:v>0.111328125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Shared Experts</x:v>
      </x:c>
      <x:c r="B22" s="30" t="str">
        <x:v>mlp.shared_experts.gate_proj.weight_scale</x:v>
      </x:c>
      <x:c r="C22" s="30" t="str">
        <x:v>[16, 48]</x:v>
      </x:c>
      <x:c r="D22" s="30" t="str">
        <x:v>F32</x:v>
      </x:c>
      <x:c r="E22" s="32" t="n">
        <x:v>4</x:v>
      </x:c>
      <x:c r="F22" s="33" t="n">
        <x:v>76</x:v>
      </x:c>
      <x:c r="G22" s="33" t="n">
        <x:v>768</x:v>
      </x:c>
      <x:c r="H22" s="33" t="str">
        <x:v>共享专家 TP/DP</x:v>
      </x:c>
      <x:c r="I22" s="33" t="n">
        <x:f>IF('Prefill'!$P$17="TP",'Prefill'!$P$18,1)</x:f>
        <x:v>8</x:v>
      </x:c>
      <x:c r="J22" s="34" t="n">
        <x:f>E22*F22*G22/1073741824</x:f>
        <x:v>0.000217437744140625</x:v>
      </x:c>
      <x:c r="K22" s="34" t="n">
        <x:f>J22/I22</x:f>
        <x:v>0.000027179718017578125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Shared Experts</x:v>
      </x:c>
      <x:c r="B23" s="30" t="str">
        <x:v>mlp.shared_experts.up_proj.weight</x:v>
      </x:c>
      <x:c r="C23" s="30" t="str">
        <x:v>[2048, 6144]</x:v>
      </x:c>
      <x:c r="D23" s="30" t="str">
        <x:v>FP8 E4M3</x:v>
      </x:c>
      <x:c r="E23" s="32" t="n">
        <x:v>1</x:v>
      </x:c>
      <x:c r="F23" s="33" t="n">
        <x:v>76</x:v>
      </x:c>
      <x:c r="G23" s="33" t="n">
        <x:v>12582912</x:v>
      </x:c>
      <x:c r="H23" s="33" t="str">
        <x:v>共享专家 TP/DP</x:v>
      </x:c>
      <x:c r="I23" s="33" t="n">
        <x:f>IF('Prefill'!$P$17="TP",'Prefill'!$P$18,1)</x:f>
        <x:v>8</x:v>
      </x:c>
      <x:c r="J23" s="34" t="n">
        <x:f>E23*F23*G23/1073741824</x:f>
        <x:v>0.890625</x:v>
      </x:c>
      <x:c r="K23" s="34" t="n">
        <x:f>J23/I23</x:f>
        <x:v>0.111328125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Shared Experts</x:v>
      </x:c>
      <x:c r="B24" s="30" t="str">
        <x:v>mlp.shared_experts.up_proj.weight_scale</x:v>
      </x:c>
      <x:c r="C24" s="30" t="str">
        <x:v>[16, 48]</x:v>
      </x:c>
      <x:c r="D24" s="30" t="str">
        <x:v>F32</x:v>
      </x:c>
      <x:c r="E24" s="32" t="n">
        <x:v>4</x:v>
      </x:c>
      <x:c r="F24" s="33" t="n">
        <x:v>76</x:v>
      </x:c>
      <x:c r="G24" s="33" t="n">
        <x:v>768</x:v>
      </x:c>
      <x:c r="H24" s="33" t="str">
        <x:v>共享专家 TP/DP</x:v>
      </x:c>
      <x:c r="I24" s="33" t="n">
        <x:f>IF('Prefill'!$P$17="TP",'Prefill'!$P$18,1)</x:f>
        <x:v>8</x:v>
      </x:c>
      <x:c r="J24" s="34" t="n">
        <x:f>E24*F24*G24/1073741824</x:f>
        <x:v>0.000217437744140625</x:v>
      </x:c>
      <x:c r="K24" s="34" t="n">
        <x:f>J24/I24</x:f>
        <x:v>0.000027179718017578125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Shared Experts</x:v>
      </x:c>
      <x:c r="B25" s="30" t="str">
        <x:v>mlp.shared_experts.down_proj.weight</x:v>
      </x:c>
      <x:c r="C25" s="30" t="str">
        <x:v>[6144, 2048]</x:v>
      </x:c>
      <x:c r="D25" s="30" t="str">
        <x:v>FP8 E4M3</x:v>
      </x:c>
      <x:c r="E25" s="32" t="n">
        <x:v>1</x:v>
      </x:c>
      <x:c r="F25" s="33" t="n">
        <x:v>76</x:v>
      </x:c>
      <x:c r="G25" s="33" t="n">
        <x:v>12582912</x:v>
      </x:c>
      <x:c r="H25" s="33" t="str">
        <x:v>共享专家 TP/DP</x:v>
      </x:c>
      <x:c r="I25" s="33" t="n">
        <x:f>IF('Prefill'!$P$17="TP",'Prefill'!$P$18,1)</x:f>
        <x:v>8</x:v>
      </x:c>
      <x:c r="J25" s="34" t="n">
        <x:f>E25*F25*G25/1073741824</x:f>
        <x:v>0.890625</x:v>
      </x:c>
      <x:c r="K25" s="34" t="n">
        <x:f>J25/I25</x:f>
        <x:v>0.111328125</x:v>
      </x:c>
      <x:c r="L25" s="30"/>
      <x:c r="M25" s="30"/>
      <x:c r="N25" s="30"/>
      <x:c r="O25" s="35" t="str">
        <x:v>DSA CP（0/1）</x:v>
      </x:c>
      <x:c r="P25" s="36" t="n">
        <x:v>1</x:v>
      </x:c>
    </x:row>
    <x:row r="26">
      <x:c r="A26" s="30" t="str">
        <x:v>Shared Experts</x:v>
      </x:c>
      <x:c r="B26" s="30" t="str">
        <x:v>mlp.shared_experts.down_proj.weight_scale</x:v>
      </x:c>
      <x:c r="C26" s="30" t="str">
        <x:v>[48, 16]</x:v>
      </x:c>
      <x:c r="D26" s="30" t="str">
        <x:v>F32</x:v>
      </x:c>
      <x:c r="E26" s="32" t="n">
        <x:v>4</x:v>
      </x:c>
      <x:c r="F26" s="33" t="n">
        <x:v>76</x:v>
      </x:c>
      <x:c r="G26" s="33" t="n">
        <x:v>768</x:v>
      </x:c>
      <x:c r="H26" s="33" t="str">
        <x:v>共享专家 TP/DP</x:v>
      </x:c>
      <x:c r="I26" s="33" t="n">
        <x:f>IF('Prefill'!$P$17="TP",'Prefill'!$P$18,1)</x:f>
        <x:v>8</x:v>
      </x:c>
      <x:c r="J26" s="34" t="n">
        <x:f>E26*F26*G26/1073741824</x:f>
        <x:v>0.000217437744140625</x:v>
      </x:c>
      <x:c r="K26" s="34" t="n">
        <x:f>J26/I26</x:f>
        <x:v>0.000027179718017578125</x:v>
      </x:c>
      <x:c r="L26" s="30"/>
      <x:c r="M26" s="30"/>
      <x:c r="N26" s="30"/>
      <x:c r="O26" s="30"/>
      <x:c r="P26" s="30"/>
    </x:row>
    <x:row r="27">
      <x:c r="A27" s="30" t="str">
        <x:v>MLA</x:v>
      </x:c>
      <x:c r="B27" s="30" t="str">
        <x:v>q_a_proj.weight</x:v>
      </x:c>
      <x:c r="C27" s="30" t="str">
        <x:v>[2048, 6144]</x:v>
      </x:c>
      <x:c r="D27" s="30" t="str">
        <x:v>FP8 E4M3</x:v>
      </x:c>
      <x:c r="E27" s="32" t="n">
        <x:v>1</x:v>
      </x:c>
      <x:c r="F27" s="33" t="n">
        <x:v>79</x:v>
      </x:c>
      <x:c r="G27" s="33" t="n">
        <x:v>12582912</x:v>
      </x:c>
      <x:c r="H27" s="33" t="str">
        <x:v>Replicated</x:v>
      </x:c>
      <x:c r="I27" s="33" t="n">
        <x:f>1</x:f>
        <x:v>1</x:v>
      </x:c>
      <x:c r="J27" s="34" t="n">
        <x:f>E27*F27*G27/1073741824</x:f>
        <x:v>0.92578125</x:v>
      </x:c>
      <x:c r="K27" s="34" t="n">
        <x:f>J27/I27</x:f>
        <x:v>0.92578125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MLA</x:v>
      </x:c>
      <x:c r="B28" s="30" t="str">
        <x:v>q_a_proj.weight_scale</x:v>
      </x:c>
      <x:c r="C28" s="30" t="str">
        <x:v>[16, 48]</x:v>
      </x:c>
      <x:c r="D28" s="30" t="str">
        <x:v>F32</x:v>
      </x:c>
      <x:c r="E28" s="32" t="n">
        <x:v>4</x:v>
      </x:c>
      <x:c r="F28" s="33" t="n">
        <x:v>79</x:v>
      </x:c>
      <x:c r="G28" s="33" t="n">
        <x:v>768</x:v>
      </x:c>
      <x:c r="H28" s="33" t="str">
        <x:v>Replicated</x:v>
      </x:c>
      <x:c r="I28" s="33" t="n">
        <x:f>1</x:f>
        <x:v>1</x:v>
      </x:c>
      <x:c r="J28" s="34" t="n">
        <x:f>E28*F28*G28/1073741824</x:f>
        <x:v>0.00022602081298828125</x:v>
      </x:c>
      <x:c r="K28" s="34" t="n">
        <x:f>J28/I28</x:f>
        <x:v>0.00022602081298828125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MLA</x:v>
      </x:c>
      <x:c r="B29" s="30" t="str">
        <x:v>q_a_layernorm.weight</x:v>
      </x:c>
      <x:c r="C29" s="30" t="str">
        <x:v>[2048]</x:v>
      </x:c>
      <x:c r="D29" s="30" t="str">
        <x:v>BF16</x:v>
      </x:c>
      <x:c r="E29" s="32" t="n">
        <x:v>2</x:v>
      </x:c>
      <x:c r="F29" s="33" t="n">
        <x:v>79</x:v>
      </x:c>
      <x:c r="G29" s="33" t="n">
        <x:v>2048</x:v>
      </x:c>
      <x:c r="H29" s="33" t="str">
        <x:v>Replicated</x:v>
      </x:c>
      <x:c r="I29" s="33" t="n">
        <x:f>1</x:f>
        <x:v>1</x:v>
      </x:c>
      <x:c r="J29" s="34" t="n">
        <x:f>E29*F29*G29/1073741824</x:f>
        <x:v>0.000301361083984375</x:v>
      </x:c>
      <x:c r="K29" s="34" t="n">
        <x:f>J29/I29</x:f>
        <x:v>0.000301361083984375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MLA</x:v>
      </x:c>
      <x:c r="B30" s="30" t="str">
        <x:v>q_b_proj.weight</x:v>
      </x:c>
      <x:c r="C30" s="30" t="str">
        <x:v>[16384, 2048]</x:v>
      </x:c>
      <x:c r="D30" s="30" t="str">
        <x:v>FP8 E4M3</x:v>
      </x:c>
      <x:c r="E30" s="32" t="n">
        <x:v>1</x:v>
      </x:c>
      <x:c r="F30" s="33" t="n">
        <x:v>79</x:v>
      </x:c>
      <x:c r="G30" s="33" t="n">
        <x:v>33554432</x:v>
      </x:c>
      <x:c r="H30" s="33" t="str">
        <x:v>DSA CP / TP</x:v>
      </x:c>
      <x:c r="I30" s="33" t="n">
        <x:f>IF('Prefill'!$P$25&lt;&gt;0,1,'Prefill'!$P$12)</x:f>
        <x:v>1</x:v>
      </x:c>
      <x:c r="J30" s="34" t="n">
        <x:f>E30*F30*G30/1073741824</x:f>
        <x:v>2.46875</x:v>
      </x:c>
      <x:c r="K30" s="34" t="n">
        <x:f>J30/I30</x:f>
        <x:v>2.46875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MLA</x:v>
      </x:c>
      <x:c r="B31" s="30" t="str">
        <x:v>q_b_proj.weight_scale</x:v>
      </x:c>
      <x:c r="C31" s="30" t="str">
        <x:v>[128, 16]</x:v>
      </x:c>
      <x:c r="D31" s="30" t="str">
        <x:v>F32</x:v>
      </x:c>
      <x:c r="E31" s="32" t="n">
        <x:v>4</x:v>
      </x:c>
      <x:c r="F31" s="33" t="n">
        <x:v>79</x:v>
      </x:c>
      <x:c r="G31" s="33" t="n">
        <x:v>2048</x:v>
      </x:c>
      <x:c r="H31" s="33" t="str">
        <x:v>DSA CP / TP</x:v>
      </x:c>
      <x:c r="I31" s="33" t="n">
        <x:f>IF('Prefill'!$P$25&lt;&gt;0,1,'Prefill'!$P$12)</x:f>
        <x:v>1</x:v>
      </x:c>
      <x:c r="J31" s="34" t="n">
        <x:f>E31*F31*G31/1073741824</x:f>
        <x:v>0.00060272216796875</x:v>
      </x:c>
      <x:c r="K31" s="34" t="n">
        <x:f>J31/I31</x:f>
        <x:v>0.00060272216796875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MLA</x:v>
      </x:c>
      <x:c r="B32" s="30" t="str">
        <x:v>kv_a_proj_with_mqa.weight</x:v>
      </x:c>
      <x:c r="C32" s="30" t="str">
        <x:v>[576, 6144]</x:v>
      </x:c>
      <x:c r="D32" s="30" t="str">
        <x:v>FP8 E4M3</x:v>
      </x:c>
      <x:c r="E32" s="32" t="n">
        <x:v>1</x:v>
      </x:c>
      <x:c r="F32" s="33" t="n">
        <x:v>79</x:v>
      </x:c>
      <x:c r="G32" s="33" t="n">
        <x:v>3538944</x:v>
      </x:c>
      <x:c r="H32" s="33" t="str">
        <x:v>Replicated</x:v>
      </x:c>
      <x:c r="I32" s="33" t="n">
        <x:f>1</x:f>
        <x:v>1</x:v>
      </x:c>
      <x:c r="J32" s="34" t="n">
        <x:f>E32*F32*G32/1073741824</x:f>
        <x:v>0.2603759765625</x:v>
      </x:c>
      <x:c r="K32" s="34" t="n">
        <x:f>J32/I32</x:f>
        <x:v>0.2603759765625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MLA</x:v>
      </x:c>
      <x:c r="B33" s="30" t="str">
        <x:v>kv_a_proj_with_mqa.weight_scale</x:v>
      </x:c>
      <x:c r="C33" s="30" t="str">
        <x:v>[5, 48]</x:v>
      </x:c>
      <x:c r="D33" s="30" t="str">
        <x:v>F32</x:v>
      </x:c>
      <x:c r="E33" s="32" t="n">
        <x:v>4</x:v>
      </x:c>
      <x:c r="F33" s="33" t="n">
        <x:v>79</x:v>
      </x:c>
      <x:c r="G33" s="33" t="n">
        <x:v>240</x:v>
      </x:c>
      <x:c r="H33" s="33" t="str">
        <x:v>Replicated</x:v>
      </x:c>
      <x:c r="I33" s="33" t="n">
        <x:f>1</x:f>
        <x:v>1</x:v>
      </x:c>
      <x:c r="J33" s="34" t="n">
        <x:f>E33*F33*G33/1073741824</x:f>
        <x:v>0.00007063150405883789</x:v>
      </x:c>
      <x:c r="K33" s="34" t="n">
        <x:f>J33/I33</x:f>
        <x:v>0.00007063150405883789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MLA</x:v>
      </x:c>
      <x:c r="B34" s="30" t="str">
        <x:v>kv_a_layernorm.weight</x:v>
      </x:c>
      <x:c r="C34" s="30" t="str">
        <x:v>[512]</x:v>
      </x:c>
      <x:c r="D34" s="30" t="str">
        <x:v>BF16</x:v>
      </x:c>
      <x:c r="E34" s="32" t="n">
        <x:v>2</x:v>
      </x:c>
      <x:c r="F34" s="33" t="n">
        <x:v>79</x:v>
      </x:c>
      <x:c r="G34" s="33" t="n">
        <x:v>512</x:v>
      </x:c>
      <x:c r="H34" s="33" t="str">
        <x:v>Replicated</x:v>
      </x:c>
      <x:c r="I34" s="33" t="n">
        <x:f>1</x:f>
        <x:v>1</x:v>
      </x:c>
      <x:c r="J34" s="34" t="n">
        <x:f>E34*F34*G34/1073741824</x:f>
        <x:v>0.00007534027099609375</x:v>
      </x:c>
      <x:c r="K34" s="34" t="n">
        <x:f>J34/I34</x:f>
        <x:v>0.00007534027099609375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MLA</x:v>
      </x:c>
      <x:c r="B35" s="30" t="str">
        <x:v>kv_b_proj.weight</x:v>
      </x:c>
      <x:c r="C35" s="30" t="str">
        <x:v>[28672, 512]</x:v>
      </x:c>
      <x:c r="D35" s="30" t="str">
        <x:v>FP8 E4M3</x:v>
      </x:c>
      <x:c r="E35" s="32" t="n">
        <x:v>1</x:v>
      </x:c>
      <x:c r="F35" s="33" t="n">
        <x:v>79</x:v>
      </x:c>
      <x:c r="G35" s="33" t="n">
        <x:v>14680064</x:v>
      </x:c>
      <x:c r="H35" s="33" t="str">
        <x:v>DSA CP / TP</x:v>
      </x:c>
      <x:c r="I35" s="33" t="n">
        <x:f>IF('Prefill'!$P$25&lt;&gt;0,1,'Prefill'!$P$12)</x:f>
        <x:v>1</x:v>
      </x:c>
      <x:c r="J35" s="34" t="n">
        <x:f>E35*F35*G35/1073741824</x:f>
        <x:v>1.080078125</x:v>
      </x:c>
      <x:c r="K35" s="34" t="n">
        <x:f>J35/I35</x:f>
        <x:v>1.080078125</x:v>
      </x:c>
      <x:c r="L35" s="30"/>
      <x:c r="M35" s="30"/>
      <x:c r="N35" s="30"/>
      <x:c r="O35" s="30"/>
      <x:c r="P35" s="30"/>
    </x:row>
    <x:row r="36">
      <x:c r="A36" s="30" t="str">
        <x:v>MLA</x:v>
      </x:c>
      <x:c r="B36" s="30" t="str">
        <x:v>kv_b_proj.weight_scale</x:v>
      </x:c>
      <x:c r="C36" s="30" t="str">
        <x:v>[224, 4]</x:v>
      </x:c>
      <x:c r="D36" s="30" t="str">
        <x:v>F32</x:v>
      </x:c>
      <x:c r="E36" s="32" t="n">
        <x:v>4</x:v>
      </x:c>
      <x:c r="F36" s="33" t="n">
        <x:v>79</x:v>
      </x:c>
      <x:c r="G36" s="33" t="n">
        <x:v>896</x:v>
      </x:c>
      <x:c r="H36" s="33" t="str">
        <x:v>DSA CP / TP</x:v>
      </x:c>
      <x:c r="I36" s="33" t="n">
        <x:f>IF('Prefill'!$P$25&lt;&gt;0,1,'Prefill'!$P$12)</x:f>
        <x:v>1</x:v>
      </x:c>
      <x:c r="J36" s="34" t="n">
        <x:f>E36*F36*G36/1073741824</x:f>
        <x:v>0.0002636909484863281</x:v>
      </x:c>
      <x:c r="K36" s="34" t="n">
        <x:f>J36/I36</x:f>
        <x:v>0.0002636909484863281</x:v>
      </x:c>
      <x:c r="L36" s="30"/>
      <x:c r="M36" s="30"/>
      <x:c r="N36" s="30"/>
      <x:c r="O36" s="30"/>
      <x:c r="P36" s="30"/>
    </x:row>
    <x:row r="37">
      <x:c r="A37" s="30" t="str">
        <x:v>MLA</x:v>
      </x:c>
      <x:c r="B37" s="30" t="str">
        <x:v>o_proj.weight</x:v>
      </x:c>
      <x:c r="C37" s="30" t="str">
        <x:v>[6144, 16384]</x:v>
      </x:c>
      <x:c r="D37" s="30" t="str">
        <x:v>FP8 E4M3</x:v>
      </x:c>
      <x:c r="E37" s="32" t="n">
        <x:v>1</x:v>
      </x:c>
      <x:c r="F37" s="33" t="n">
        <x:v>79</x:v>
      </x:c>
      <x:c r="G37" s="33" t="n">
        <x:v>100663296</x:v>
      </x:c>
      <x:c r="H37" s="33" t="str">
        <x:v>O Proj TP</x:v>
      </x:c>
      <x:c r="I37" s="33" t="n">
        <x:f>IF('Prefill'!$P$19&gt;0,'Prefill'!$P$19,'Prefill'!$P$12)</x:f>
        <x:v>8</x:v>
      </x:c>
      <x:c r="J37" s="34" t="n">
        <x:f>E37*F37*G37/1073741824</x:f>
        <x:v>7.40625</x:v>
      </x:c>
      <x:c r="K37" s="34" t="n">
        <x:f>J37/I37</x:f>
        <x:v>0.92578125</x:v>
      </x:c>
      <x:c r="L37" s="30"/>
      <x:c r="M37" s="30"/>
      <x:c r="N37" s="30"/>
      <x:c r="O37" s="30"/>
      <x:c r="P37" s="30"/>
    </x:row>
    <x:row r="38">
      <x:c r="A38" s="30" t="str">
        <x:v>MLA</x:v>
      </x:c>
      <x:c r="B38" s="30" t="str">
        <x:v>o_proj.weight_scale</x:v>
      </x:c>
      <x:c r="C38" s="30" t="str">
        <x:v>[48, 128]</x:v>
      </x:c>
      <x:c r="D38" s="30" t="str">
        <x:v>F32</x:v>
      </x:c>
      <x:c r="E38" s="32" t="n">
        <x:v>4</x:v>
      </x:c>
      <x:c r="F38" s="33" t="n">
        <x:v>79</x:v>
      </x:c>
      <x:c r="G38" s="33" t="n">
        <x:v>6144</x:v>
      </x:c>
      <x:c r="H38" s="33" t="str">
        <x:v>O Proj TP</x:v>
      </x:c>
      <x:c r="I38" s="33" t="n">
        <x:f>IF('Prefill'!$P$19&gt;0,'Prefill'!$P$19,'Prefill'!$P$12)</x:f>
        <x:v>8</x:v>
      </x:c>
      <x:c r="J38" s="34" t="n">
        <x:f>E38*F38*G38/1073741824</x:f>
        <x:v>0.00180816650390625</x:v>
      </x:c>
      <x:c r="K38" s="34" t="n">
        <x:f>J38/I38</x:f>
        <x:v>0.00022602081298828125</x:v>
      </x:c>
      <x:c r="L38" s="30"/>
      <x:c r="M38" s="30"/>
      <x:c r="N38" s="30"/>
      <x:c r="O38" s="30"/>
      <x:c r="P38" s="30"/>
    </x:row>
    <x:row r="39">
      <x:c r="A39" s="30" t="str">
        <x:v>Indexer</x:v>
      </x:c>
      <x:c r="B39" s="30" t="str">
        <x:v>indexer.k_norm.weight</x:v>
      </x:c>
      <x:c r="C39" s="30" t="str">
        <x:v>[128]</x:v>
      </x:c>
      <x:c r="D39" s="30" t="str">
        <x:v>BF16</x:v>
      </x:c>
      <x:c r="E39" s="32" t="n">
        <x:v>2</x:v>
      </x:c>
      <x:c r="F39" s="33" t="n">
        <x:v>22</x:v>
      </x:c>
      <x:c r="G39" s="33" t="n">
        <x:v>128</x:v>
      </x:c>
      <x:c r="H39" s="33" t="str">
        <x:v>Replicated</x:v>
      </x:c>
      <x:c r="I39" s="33" t="n">
        <x:f>1</x:f>
        <x:v>1</x:v>
      </x:c>
      <x:c r="J39" s="34" t="n">
        <x:f>E39*F39*G39/1073741824</x:f>
        <x:v>0.000005245208740234375</x:v>
      </x:c>
      <x:c r="K39" s="34" t="n">
        <x:f>J39/I39</x:f>
        <x:v>0.000005245208740234375</x:v>
      </x:c>
      <x:c r="L39" s="30"/>
      <x:c r="M39" s="30"/>
      <x:c r="N39" s="30"/>
      <x:c r="O39" s="30"/>
      <x:c r="P39" s="30"/>
    </x:row>
    <x:row r="40">
      <x:c r="A40" s="30" t="str">
        <x:v>Indexer</x:v>
      </x:c>
      <x:c r="B40" s="30" t="str">
        <x:v>indexer.k_norm.bias</x:v>
      </x:c>
      <x:c r="C40" s="30" t="str">
        <x:v>[128]</x:v>
      </x:c>
      <x:c r="D40" s="30" t="str">
        <x:v>BF16</x:v>
      </x:c>
      <x:c r="E40" s="32" t="n">
        <x:v>2</x:v>
      </x:c>
      <x:c r="F40" s="33" t="n">
        <x:v>22</x:v>
      </x:c>
      <x:c r="G40" s="33" t="n">
        <x:v>128</x:v>
      </x:c>
      <x:c r="H40" s="33" t="str">
        <x:v>Replicated</x:v>
      </x:c>
      <x:c r="I40" s="33" t="n">
        <x:f>1</x:f>
        <x:v>1</x:v>
      </x:c>
      <x:c r="J40" s="34" t="n">
        <x:f>E40*F40*G40/1073741824</x:f>
        <x:v>0.000005245208740234375</x:v>
      </x:c>
      <x:c r="K40" s="34" t="n">
        <x:f>J40/I40</x:f>
        <x:v>0.000005245208740234375</x:v>
      </x:c>
      <x:c r="L40" s="30"/>
      <x:c r="M40" s="30"/>
      <x:c r="N40" s="30"/>
      <x:c r="O40" s="30"/>
      <x:c r="P40" s="30"/>
    </x:row>
    <x:row r="41">
      <x:c r="A41" s="30" t="str">
        <x:v>Indexer</x:v>
      </x:c>
      <x:c r="B41" s="30" t="str">
        <x:v>indexer.wk.weight</x:v>
      </x:c>
      <x:c r="C41" s="30" t="str">
        <x:v>[128, 6144]</x:v>
      </x:c>
      <x:c r="D41" s="30" t="str">
        <x:v>FP8 E4M3</x:v>
      </x:c>
      <x:c r="E41" s="32" t="n">
        <x:v>1</x:v>
      </x:c>
      <x:c r="F41" s="33" t="n">
        <x:v>22</x:v>
      </x:c>
      <x:c r="G41" s="33" t="n">
        <x:v>786432</x:v>
      </x:c>
      <x:c r="H41" s="33" t="str">
        <x:v>Replicated</x:v>
      </x:c>
      <x:c r="I41" s="33" t="n">
        <x:f>1</x:f>
        <x:v>1</x:v>
      </x:c>
      <x:c r="J41" s="34" t="n">
        <x:f>E41*F41*G41/1073741824</x:f>
        <x:v>0.01611328125</x:v>
      </x:c>
      <x:c r="K41" s="34" t="n">
        <x:f>J41/I41</x:f>
        <x:v>0.01611328125</x:v>
      </x:c>
      <x:c r="L41" s="30"/>
      <x:c r="M41" s="30"/>
      <x:c r="N41" s="30"/>
      <x:c r="O41" s="30"/>
      <x:c r="P41" s="30"/>
    </x:row>
    <x:row r="42">
      <x:c r="A42" s="30" t="str">
        <x:v>Indexer</x:v>
      </x:c>
      <x:c r="B42" s="30" t="str">
        <x:v>indexer.wk.weight_scale</x:v>
      </x:c>
      <x:c r="C42" s="30" t="str">
        <x:v>[1, 48]</x:v>
      </x:c>
      <x:c r="D42" s="30" t="str">
        <x:v>F32</x:v>
      </x:c>
      <x:c r="E42" s="32" t="n">
        <x:v>4</x:v>
      </x:c>
      <x:c r="F42" s="33" t="n">
        <x:v>22</x:v>
      </x:c>
      <x:c r="G42" s="33" t="n">
        <x:v>48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0.000003933906555175781</x:v>
      </x:c>
      <x:c r="K42" s="34" t="n">
        <x:f>J42/I42</x:f>
        <x:v>0.000003933906555175781</x:v>
      </x:c>
      <x:c r="L42" s="30"/>
      <x:c r="M42" s="30"/>
      <x:c r="N42" s="30"/>
      <x:c r="O42" s="30"/>
      <x:c r="P42" s="30"/>
    </x:row>
    <x:row r="43">
      <x:c r="A43" s="30" t="str">
        <x:v>Indexer</x:v>
      </x:c>
      <x:c r="B43" s="30" t="str">
        <x:v>indexer.wq_b.weight</x:v>
      </x:c>
      <x:c r="C43" s="30" t="str">
        <x:v>[4096, 2048]</x:v>
      </x:c>
      <x:c r="D43" s="30" t="str">
        <x:v>FP8 E4M3</x:v>
      </x:c>
      <x:c r="E43" s="32" t="n">
        <x:v>1</x:v>
      </x:c>
      <x:c r="F43" s="33" t="n">
        <x:v>22</x:v>
      </x:c>
      <x:c r="G43" s="33" t="n">
        <x:v>8388608</x:v>
      </x:c>
      <x:c r="H43" s="33" t="str">
        <x:v>Replicated</x:v>
      </x:c>
      <x:c r="I43" s="33" t="n">
        <x:f>1</x:f>
        <x:v>1</x:v>
      </x:c>
      <x:c r="J43" s="34" t="n">
        <x:f>E43*F43*G43/1073741824</x:f>
        <x:v>0.171875</x:v>
      </x:c>
      <x:c r="K43" s="34" t="n">
        <x:f>J43/I43</x:f>
        <x:v>0.171875</x:v>
      </x:c>
      <x:c r="L43" s="30"/>
      <x:c r="M43" s="30"/>
      <x:c r="N43" s="30"/>
      <x:c r="O43" s="30"/>
      <x:c r="P43" s="30"/>
    </x:row>
    <x:row r="44">
      <x:c r="A44" s="30" t="str">
        <x:v>Indexer</x:v>
      </x:c>
      <x:c r="B44" s="30" t="str">
        <x:v>indexer.wq_b.weight_scale</x:v>
      </x:c>
      <x:c r="C44" s="30" t="str">
        <x:v>[32, 16]</x:v>
      </x:c>
      <x:c r="D44" s="30" t="str">
        <x:v>F32</x:v>
      </x:c>
      <x:c r="E44" s="32" t="n">
        <x:v>4</x:v>
      </x:c>
      <x:c r="F44" s="33" t="n">
        <x:v>22</x:v>
      </x:c>
      <x:c r="G44" s="33" t="n">
        <x:v>512</x:v>
      </x:c>
      <x:c r="H44" s="33" t="str">
        <x:v>Replicated</x:v>
      </x:c>
      <x:c r="I44" s="33" t="n">
        <x:f>1</x:f>
        <x:v>1</x:v>
      </x:c>
      <x:c r="J44" s="34" t="n">
        <x:f>E44*F44*G44/1073741824</x:f>
        <x:v>0.000041961669921875</x:v>
      </x:c>
      <x:c r="K44" s="34" t="n">
        <x:f>J44/I44</x:f>
        <x:v>0.000041961669921875</x:v>
      </x:c>
      <x:c r="L44" s="30"/>
      <x:c r="M44" s="30"/>
      <x:c r="N44" s="30"/>
      <x:c r="O44" s="30"/>
      <x:c r="P44" s="30"/>
    </x:row>
    <x:row r="45">
      <x:c r="A45" s="30" t="str">
        <x:v>Indexer</x:v>
      </x:c>
      <x:c r="B45" s="30" t="str">
        <x:v>indexer.weights_proj.weight</x:v>
      </x:c>
      <x:c r="C45" s="30" t="str">
        <x:v>[32, 6144]</x:v>
      </x:c>
      <x:c r="D45" s="30" t="str">
        <x:v>BF16</x:v>
      </x:c>
      <x:c r="E45" s="32" t="n">
        <x:v>2</x:v>
      </x:c>
      <x:c r="F45" s="33" t="n">
        <x:v>22</x:v>
      </x:c>
      <x:c r="G45" s="33" t="n">
        <x:v>196608</x:v>
      </x:c>
      <x:c r="H45" s="33" t="str">
        <x:v>Replicated</x:v>
      </x:c>
      <x:c r="I45" s="33" t="n">
        <x:f>1</x:f>
        <x:v>1</x:v>
      </x:c>
      <x:c r="J45" s="34" t="n">
        <x:f>E45*F45*G45/1073741824</x:f>
        <x:v>0.008056640625</x:v>
      </x:c>
      <x:c r="K45" s="34" t="n">
        <x:f>J45/I45</x:f>
        <x:v>0.008056640625</x:v>
      </x:c>
      <x:c r="L45" s="30"/>
      <x:c r="M45" s="30"/>
      <x:c r="N45" s="30"/>
      <x:c r="O45" s="30"/>
      <x:c r="P45" s="30"/>
    </x:row>
    <x:row r="46">
      <x:c r="A46" s="30" t="str">
        <x:v>MTP</x:v>
      </x:c>
      <x:c r="B46" s="30" t="str">
        <x:v>eh_proj.weight</x:v>
      </x:c>
      <x:c r="C46" s="30" t="str">
        <x:v>[6144, 12288]</x:v>
      </x:c>
      <x:c r="D46" s="30" t="str">
        <x:v>BF16</x:v>
      </x:c>
      <x:c r="E46" s="32" t="n">
        <x:v>2</x:v>
      </x:c>
      <x:c r="F46" s="33" t="n">
        <x:v>1</x:v>
      </x:c>
      <x:c r="G46" s="33" t="n">
        <x:v>75497472</x:v>
      </x:c>
      <x:c r="H46" s="33" t="str">
        <x:v>Replicated</x:v>
      </x:c>
      <x:c r="I46" s="33" t="n">
        <x:f>1</x:f>
        <x:v>1</x:v>
      </x:c>
      <x:c r="J46" s="34" t="n">
        <x:f>E46*F46*G46/1073741824</x:f>
        <x:v>0.140625</x:v>
      </x:c>
      <x:c r="K46" s="34" t="n">
        <x:f>J46/I46</x:f>
        <x:v>0.140625</x:v>
      </x:c>
      <x:c r="L46" s="30"/>
      <x:c r="M46" s="30"/>
      <x:c r="N46" s="30"/>
      <x:c r="O46" s="30"/>
      <x:c r="P46" s="30"/>
    </x:row>
    <x:row r="47">
      <x:c r="A47" s="30" t="str">
        <x:v>MTP</x:v>
      </x:c>
      <x:c r="B47" s="30" t="str">
        <x:v>enorm.weight</x:v>
      </x:c>
      <x:c r="C47" s="30" t="str">
        <x:v>[6144]</x:v>
      </x:c>
      <x:c r="D47" s="30" t="str">
        <x:v>BF16</x:v>
      </x:c>
      <x:c r="E47" s="32" t="n">
        <x:v>2</x:v>
      </x:c>
      <x:c r="F47" s="33" t="n">
        <x:v>1</x:v>
      </x:c>
      <x:c r="G47" s="33" t="n">
        <x:v>6144</x:v>
      </x:c>
      <x:c r="H47" s="33" t="str">
        <x:v>Replicated</x:v>
      </x:c>
      <x:c r="I47" s="33" t="n">
        <x:f>1</x:f>
        <x:v>1</x:v>
      </x:c>
      <x:c r="J47" s="34" t="n">
        <x:f>E47*F47*G47/1073741824</x:f>
        <x:v>0.000011444091796875</x:v>
      </x:c>
      <x:c r="K47" s="34" t="n">
        <x:f>J47/I47</x:f>
        <x:v>0.000011444091796875</x:v>
      </x:c>
      <x:c r="L47" s="30"/>
      <x:c r="M47" s="30"/>
      <x:c r="N47" s="30"/>
      <x:c r="O47" s="30"/>
      <x:c r="P47" s="30"/>
    </x:row>
    <x:row r="48">
      <x:c r="A48" s="30" t="str">
        <x:v>MTP</x:v>
      </x:c>
      <x:c r="B48" s="30" t="str">
        <x:v>hnorm.weight</x:v>
      </x:c>
      <x:c r="C48" s="30" t="str">
        <x:v>[6144]</x:v>
      </x:c>
      <x:c r="D48" s="30" t="str">
        <x:v>BF16</x:v>
      </x:c>
      <x:c r="E48" s="32" t="n">
        <x:v>2</x:v>
      </x:c>
      <x:c r="F48" s="33" t="n">
        <x:v>1</x:v>
      </x:c>
      <x:c r="G48" s="33" t="n">
        <x:v>6144</x:v>
      </x:c>
      <x:c r="H48" s="33" t="str">
        <x:v>Replicated</x:v>
      </x:c>
      <x:c r="I48" s="33" t="n">
        <x:f>1</x:f>
        <x:v>1</x:v>
      </x:c>
      <x:c r="J48" s="34" t="n">
        <x:f>E48*F48*G48/1073741824</x:f>
        <x:v>0.000011444091796875</x:v>
      </x:c>
      <x:c r="K48" s="34" t="n">
        <x:f>J48/I48</x:f>
        <x:v>0.000011444091796875</x:v>
      </x:c>
      <x:c r="L48" s="30"/>
      <x:c r="M48" s="30"/>
      <x:c r="N48" s="30"/>
      <x:c r="O48" s="30"/>
      <x:c r="P48" s="30"/>
    </x:row>
    <x:row r="49">
      <x:c r="A49" s="30" t="str">
        <x:v>MTP</x:v>
      </x:c>
      <x:c r="B49" s="30" t="str">
        <x:v>shared_head.norm.weight</x:v>
      </x:c>
      <x:c r="C49" s="30" t="str">
        <x:v>[6144]</x:v>
      </x:c>
      <x:c r="D49" s="30" t="str">
        <x:v>BF16</x:v>
      </x:c>
      <x:c r="E49" s="32" t="n">
        <x:v>2</x:v>
      </x:c>
      <x:c r="F49" s="33" t="n">
        <x:v>1</x:v>
      </x:c>
      <x:c r="G49" s="33" t="n">
        <x:v>6144</x:v>
      </x:c>
      <x:c r="H49" s="33" t="str">
        <x:v>Replicated</x:v>
      </x:c>
      <x:c r="I49" s="33" t="n">
        <x:f>1</x:f>
        <x:v>1</x:v>
      </x:c>
      <x:c r="J49" s="34" t="n">
        <x:f>E49*F49*G49/1073741824</x:f>
        <x:v>0.000011444091796875</x:v>
      </x:c>
      <x:c r="K49" s="34" t="n">
        <x:f>J49/I49</x:f>
        <x:v>0.000011444091796875</x:v>
      </x:c>
      <x:c r="L49" s="30"/>
      <x:c r="M49" s="30"/>
      <x:c r="N49" s="30"/>
      <x:c r="O49" s="30"/>
      <x:c r="P49" s="30"/>
    </x:row>
    <x:row r="50">
      <x:c r="A50" s="40" t="str">
        <x:v>合计</x:v>
      </x:c>
      <x:c r="B50" s="40"/>
      <x:c r="C50" s="40"/>
      <x:c r="D50" s="40"/>
      <x:c r="E50" s="40"/>
      <x:c r="F50" s="40"/>
      <x:c r="G50" s="40"/>
      <x:c r="H50" s="40"/>
      <x:c r="I50" s="40"/>
      <x:c r="J50" s="41" t="n">
        <x:f>SUM(J2:J49)</x:f>
        <x:v>703.7233006358147</x:v>
      </x:c>
      <x:c r="K50" s="41" t="n">
        <x:f>SUM(K2:K49)</x:f>
        <x:v>92.60101741552353</x:v>
      </x:c>
      <x:c r="L50" s="30"/>
      <x:c r="M50" s="30"/>
      <x:c r="N50" s="30"/>
      <x:c r="O50" s="30"/>
      <x:c r="P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</x:row>
    <x:row r="52" ht="30" customHeight="1">
      <x:c r="A52" s="18" t="str">
        <x:v>并行策略</x:v>
      </x:c>
      <x:c r="B52" s="18" t="str">
        <x:v>模块</x:v>
      </x:c>
      <x:c r="C52" s="18" t="str">
        <x:v>通信位置</x:v>
      </x:c>
      <x:c r="D52" s="18" t="str">
        <x:v>Collective</x:v>
      </x:c>
      <x:c r="E52" s="18" t="str">
        <x:v>本 Rank 输入元素/次</x:v>
      </x:c>
      <x:c r="F52" s="18" t="str">
        <x:v>字节/元素</x:v>
      </x:c>
      <x:c r="G52" s="18" t="str">
        <x:v>通信组大小</x:v>
      </x:c>
      <x:c r="H52" s="18" t="str">
        <x:v>次数/Step</x:v>
      </x:c>
      <x:c r="I52" s="18" t="str">
        <x:v>有效负载 MiB/次</x:v>
      </x:c>
      <x:c r="J52" s="18" t="str">
        <x:v>单 Rank 发送 MiB/次</x:v>
      </x:c>
      <x:c r="K52" s="18" t="str">
        <x:v>单 Rank 发送 MiB/Step</x:v>
      </x:c>
      <x:c r="L52" s="18" t="str">
        <x:v>通信组发送 MiB/Step</x:v>
      </x:c>
      <x:c r="M52" s="30"/>
      <x:c r="N52" s="30"/>
      <x:c r="O52" s="30"/>
      <x:c r="P52" s="30"/>
    </x:row>
    <x:row r="53">
      <x:c r="A53" s="30" t="str">
        <x:v>Embedding TP</x:v>
      </x:c>
      <x:c r="B53" s="30" t="str">
        <x:v>Embedding</x:v>
      </x:c>
      <x:c r="C53" s="30" t="str">
        <x:v>标准 TP 输出</x:v>
      </x:c>
      <x:c r="D53" s="30" t="str">
        <x:v>Ring AllReduce</x:v>
      </x:c>
      <x:c r="E53" s="33" t="n">
        <x:f>'Prefill'!$P$7*6144</x:f>
        <x:v>50331648</x:v>
      </x:c>
      <x:c r="F53" s="33" t="n">
        <x:f>'Prefill'!$P$28</x:f>
        <x:v>2</x:v>
      </x:c>
      <x:c r="G53" s="33" t="n">
        <x:f>IF('Prefill'!$P$21&gt;0,'Prefill'!$P$21,'Prefill'!$P$12)</x:f>
        <x:v>8</x:v>
      </x:c>
      <x:c r="H53" s="33" t="n">
        <x:f>IF(AND(IF('Prefill'!$P$21&gt;0,'Prefill'!$P$21,'Prefill'!$P$12)&gt;1,'Prefill'!$P$24=0),1,0)</x:f>
        <x:v>1</x:v>
      </x:c>
      <x:c r="I53" s="34" t="n">
        <x:f>E53*F53/1048576</x:f>
        <x:v>96</x:v>
      </x:c>
      <x:c r="J53" s="34" t="n">
        <x:f>I53*(IF(G53&gt;1,2*(G53-1)/G53,0))</x:f>
        <x:v>168</x:v>
      </x:c>
      <x:c r="K53" s="34" t="n">
        <x:f>J53*H53</x:f>
        <x:v>168</x:v>
      </x:c>
      <x:c r="L53" s="34" t="n">
        <x:f>K53*G53</x:f>
        <x:v>1344</x:v>
      </x:c>
      <x:c r="M53" s="30"/>
      <x:c r="N53" s="30"/>
      <x:c r="O53" s="30"/>
      <x:c r="P53" s="30"/>
    </x:row>
    <x:row r="54">
      <x:c r="A54" s="30" t="str">
        <x:v>Embedding TP</x:v>
      </x:c>
      <x:c r="B54" s="30" t="str">
        <x:v>Embedding</x:v>
      </x:c>
      <x:c r="C54" s="30" t="str">
        <x:v>Fine TP Token ID</x:v>
      </x:c>
      <x:c r="D54" s="30" t="str">
        <x:v>Ring AllGather</x:v>
      </x:c>
      <x:c r="E54" s="33" t="n">
        <x:f>'Prefill'!$P$7</x:f>
        <x:v>8192</x:v>
      </x:c>
      <x:c r="F54" s="33" t="n">
        <x:f>'Prefill'!$P$30</x:f>
        <x:v>8</x:v>
      </x:c>
      <x:c r="G54" s="33" t="n">
        <x:f>IF('Prefill'!$P$21&gt;0,'Prefill'!$P$21,'Prefill'!$P$12)</x:f>
        <x:v>8</x:v>
      </x:c>
      <x:c r="H54" s="33" t="n">
        <x:f>IF(AND(IF('Prefill'!$P$21&gt;0,'Prefill'!$P$21,'Prefill'!$P$12)&gt;1,'Prefill'!$P$24&lt;&gt;0),1,0)</x:f>
        <x:v>0</x:v>
      </x:c>
      <x:c r="I54" s="34" t="n">
        <x:f>E54*F54/1048576</x:f>
        <x:v>0.0625</x:v>
      </x:c>
      <x:c r="J54" s="34" t="n">
        <x:f>I54*(IF(G54&gt;1,G54-1,0))</x:f>
        <x:v>0.4375</x:v>
      </x:c>
      <x:c r="K54" s="34" t="n">
        <x:f>J54*H54</x:f>
        <x:v>0</x:v>
      </x:c>
      <x:c r="L54" s="34" t="n">
        <x:f>K54*G54</x:f>
        <x:v>0</x:v>
      </x:c>
      <x:c r="M54" s="30"/>
      <x:c r="N54" s="30"/>
      <x:c r="O54" s="30"/>
      <x:c r="P54" s="30"/>
    </x:row>
    <x:row r="55">
      <x:c r="A55" s="30" t="str">
        <x:v>Embedding TP</x:v>
      </x:c>
      <x:c r="B55" s="30" t="str">
        <x:v>Embedding</x:v>
      </x:c>
      <x:c r="C55" s="30" t="str">
        <x:v>Fine TP Hidden</x:v>
      </x:c>
      <x:c r="D55" s="30" t="str">
        <x:v>Ring ReduceScatter</x:v>
      </x:c>
      <x:c r="E55" s="33" t="n">
        <x:f>'Prefill'!$P$7*IF('Prefill'!$P$21&gt;0,'Prefill'!$P$21,'Prefill'!$P$12)*6144</x:f>
        <x:v>402653184</x:v>
      </x:c>
      <x:c r="F55" s="33" t="n">
        <x:f>'Prefill'!$P$28</x:f>
        <x:v>2</x:v>
      </x:c>
      <x:c r="G55" s="33" t="n">
        <x:f>IF('Prefill'!$P$21&gt;0,'Prefill'!$P$21,'Prefill'!$P$12)</x:f>
        <x:v>8</x:v>
      </x:c>
      <x:c r="H55" s="33" t="n">
        <x:f>IF(AND(IF('Prefill'!$P$21&gt;0,'Prefill'!$P$21,'Prefill'!$P$12)&gt;1,'Prefill'!$P$24&lt;&gt;0),1,0)</x:f>
        <x:v>0</x:v>
      </x:c>
      <x:c r="I55" s="34" t="n">
        <x:f>E55*F55/1048576</x:f>
        <x:v>768</x:v>
      </x:c>
      <x:c r="J55" s="34" t="n">
        <x:f>I55*(IF(G55&gt;1,(G55-1)/G55,0))</x:f>
        <x:v>672</x:v>
      </x:c>
      <x:c r="K55" s="34" t="n">
        <x:f>J55*H55</x:f>
        <x:v>0</x:v>
      </x:c>
      <x:c r="L55" s="34" t="n">
        <x:f>K55*G55</x:f>
        <x:v>0</x:v>
      </x:c>
      <x:c r="M55" s="30"/>
      <x:c r="N55" s="30"/>
      <x:c r="O55" s="30"/>
      <x:c r="P55" s="30"/>
    </x:row>
    <x:row r="56">
      <x:c r="A56" s="30" t="str">
        <x:v>DSA CP</x:v>
      </x:c>
      <x:c r="B56" s="30" t="str">
        <x:v>Sparse Attention</x:v>
      </x:c>
      <x:c r="C56" s="30" t="str">
        <x:v>Q/KV 投影输入</x:v>
      </x:c>
      <x:c r="D56" s="30" t="str">
        <x:v>Ring AllGather</x:v>
      </x:c>
      <x:c r="E56" s="33" t="n">
        <x:f>((ROUNDUP('Prefill'!$P$7/'Prefill'!$P$12,0)*'Prefill'!$P$12)/'Prefill'!$P$12)*6144</x:f>
        <x:v>6291456</x:v>
      </x:c>
      <x:c r="F56" s="33" t="n">
        <x:f>'Prefill'!$P$28</x:f>
        <x:v>2</x:v>
      </x:c>
      <x:c r="G56" s="33" t="n">
        <x:f>'Prefill'!$P$12</x:f>
        <x:v>8</x:v>
      </x:c>
      <x:c r="H56" s="33" t="n">
        <x:f>79*IF(AND('Prefill'!$P$25&lt;&gt;0,'Prefill'!$P$12&gt;1),1,0)</x:f>
        <x:v>79</x:v>
      </x:c>
      <x:c r="I56" s="34" t="n">
        <x:f>E56*F56/1048576</x:f>
        <x:v>12</x:v>
      </x:c>
      <x:c r="J56" s="34" t="n">
        <x:f>I56*(IF(G56&gt;1,G56-1,0))</x:f>
        <x:v>84</x:v>
      </x:c>
      <x:c r="K56" s="34" t="n">
        <x:f>J56*H56</x:f>
        <x:v>6636</x:v>
      </x:c>
      <x:c r="L56" s="34" t="n">
        <x:f>K56*G56</x:f>
        <x:v>53088</x:v>
      </x:c>
      <x:c r="M56" s="30"/>
      <x:c r="N56" s="30"/>
      <x:c r="O56" s="30"/>
      <x:c r="P56" s="30"/>
    </x:row>
    <x:row r="57">
      <x:c r="A57" s="30" t="str">
        <x:v>DSA CP</x:v>
      </x:c>
      <x:c r="B57" s="30" t="str">
        <x:v>Sparse Attention</x:v>
      </x:c>
      <x:c r="C57" s="30" t="str">
        <x:v>恢复 TP Head Layout</x:v>
      </x:c>
      <x:c r="D57" s="30" t="str">
        <x:v>Equal-split AllToAll</x:v>
      </x:c>
      <x:c r="E57" s="33" t="n">
        <x:f>((ROUNDUP('Prefill'!$P$7/'Prefill'!$P$12,0)*'Prefill'!$P$12)/'Prefill'!$P$12)*64*256</x:f>
        <x:v>16777216</x:v>
      </x:c>
      <x:c r="F57" s="33" t="n">
        <x:f>'Prefill'!$P$28</x:f>
        <x:v>2</x:v>
      </x:c>
      <x:c r="G57" s="33" t="n">
        <x:f>'Prefill'!$P$12</x:f>
        <x:v>8</x:v>
      </x:c>
      <x:c r="H57" s="33" t="n">
        <x:f>79*IF(AND('Prefill'!$P$25&lt;&gt;0,'Prefill'!$P$12&gt;1),1,0)</x:f>
        <x:v>79</x:v>
      </x:c>
      <x:c r="I57" s="34" t="n">
        <x:f>E57*F57/1048576</x:f>
        <x:v>32</x:v>
      </x:c>
      <x:c r="J57" s="34" t="n">
        <x:f>I57*(IF(G57&gt;1,(G57-1)/G57,0))</x:f>
        <x:v>28</x:v>
      </x:c>
      <x:c r="K57" s="34" t="n">
        <x:f>J57*H57</x:f>
        <x:v>2212</x:v>
      </x:c>
      <x:c r="L57" s="34" t="n">
        <x:f>K57*G57</x:f>
        <x:v>17696</x:v>
      </x:c>
      <x:c r="M57" s="30"/>
      <x:c r="N57" s="30"/>
      <x:c r="O57" s="30"/>
      <x:c r="P57" s="30"/>
    </x:row>
    <x:row r="58">
      <x:c r="A58" s="30" t="str">
        <x:v>DSA CP</x:v>
      </x:c>
      <x:c r="B58" s="30" t="str">
        <x:v>Indexer</x:v>
      </x:c>
      <x:c r="C58" s="30" t="str">
        <x:v>Top-k Index</x:v>
      </x:c>
      <x:c r="D58" s="30" t="str">
        <x:v>Ring AllGather</x:v>
      </x:c>
      <x:c r="E58" s="33" t="n">
        <x:f>((ROUNDUP('Prefill'!$P$7/'Prefill'!$P$12,0)*'Prefill'!$P$12)/'Prefill'!$P$12)*2048</x:f>
        <x:v>2097152</x:v>
      </x:c>
      <x:c r="F58" s="33" t="n">
        <x:f>'Prefill'!$P$31</x:f>
        <x:v>4</x:v>
      </x:c>
      <x:c r="G58" s="33" t="n">
        <x:f>'Prefill'!$P$12</x:f>
        <x:v>8</x:v>
      </x:c>
      <x:c r="H58" s="33" t="n">
        <x:f>22*IF(AND('Prefill'!$P$25&lt;&gt;0,'Prefill'!$P$12&gt;1),1,0)</x:f>
        <x:v>22</x:v>
      </x:c>
      <x:c r="I58" s="34" t="n">
        <x:f>E58*F58/1048576</x:f>
        <x:v>8</x:v>
      </x:c>
      <x:c r="J58" s="34" t="n">
        <x:f>I58*(IF(G58&gt;1,G58-1,0))</x:f>
        <x:v>56</x:v>
      </x:c>
      <x:c r="K58" s="34" t="n">
        <x:f>J58*H58</x:f>
        <x:v>1232</x:v>
      </x:c>
      <x:c r="L58" s="34" t="n">
        <x:f>K58*G58</x:f>
        <x:v>9856</x:v>
      </x:c>
      <x:c r="M58" s="30"/>
      <x:c r="N58" s="30"/>
      <x:c r="O58" s="30"/>
      <x:c r="P58" s="30"/>
    </x:row>
    <x:row r="59">
      <x:c r="A59" s="30" t="str">
        <x:v>O Proj TP</x:v>
      </x:c>
      <x:c r="B59" s="30" t="str">
        <x:v>Sparse Attention</x:v>
      </x:c>
      <x:c r="C59" s="30" t="str">
        <x:v>DSA CP 关闭</x:v>
      </x:c>
      <x:c r="D59" s="30" t="str">
        <x:v>Ring AllReduce</x:v>
      </x:c>
      <x:c r="E59" s="33" t="n">
        <x:f>'Prefill'!$P$7*6144</x:f>
        <x:v>50331648</x:v>
      </x:c>
      <x:c r="F59" s="33" t="n">
        <x:f>'Prefill'!$P$28</x:f>
        <x:v>2</x:v>
      </x:c>
      <x:c r="G59" s="33" t="n">
        <x:f>IF('Prefill'!$P$19&gt;0,'Prefill'!$P$19,'Prefill'!$P$12)</x:f>
        <x:v>8</x:v>
      </x:c>
      <x:c r="H59" s="33" t="n">
        <x:f>79*IF(AND('Prefill'!$P$25=0,IF('Prefill'!$P$19&gt;0,'Prefill'!$P$19,'Prefill'!$P$12)&gt;1),1,0)</x:f>
        <x:v>0</x:v>
      </x:c>
      <x:c r="I59" s="34" t="n">
        <x:f>E59*F59/1048576</x:f>
        <x:v>96</x:v>
      </x:c>
      <x:c r="J59" s="34" t="n">
        <x:f>I59*(IF(G59&gt;1,2*(G59-1)/G59,0))</x:f>
        <x:v>168</x:v>
      </x:c>
      <x:c r="K59" s="34" t="n">
        <x:f>J59*H59</x:f>
        <x:v>0</x:v>
      </x:c>
      <x:c r="L59" s="34" t="n">
        <x:f>K59*G59</x:f>
        <x:v>0</x:v>
      </x:c>
      <x:c r="M59" s="30"/>
      <x:c r="N59" s="30"/>
      <x:c r="O59" s="30"/>
      <x:c r="P59" s="30"/>
    </x:row>
    <x:row r="60">
      <x:c r="A60" s="30" t="str">
        <x:v>SP</x:v>
      </x:c>
      <x:c r="B60" s="30" t="str">
        <x:v>Dense MLP</x:v>
      </x:c>
      <x:c r="C60" s="30" t="str">
        <x:v>Down Proj 输出</x:v>
      </x:c>
      <x:c r="D60" s="30" t="str">
        <x:v>Ring AllReduce</x:v>
      </x:c>
      <x:c r="E60" s="33" t="n">
        <x:f>IF('Prefill'!$P$13&lt;&gt;0,((ROUNDUP('Prefill'!$P$7/'Prefill'!$P$12,0)*'Prefill'!$P$12)/'Prefill'!$P$12),'Prefill'!$P$7)*6144</x:f>
        <x:v>6291456</x:v>
      </x:c>
      <x:c r="F60" s="33" t="n">
        <x:f>'Prefill'!$P$28</x:f>
        <x:v>2</x:v>
      </x:c>
      <x:c r="G60" s="33" t="n">
        <x:f>'Prefill'!$P$12</x:f>
        <x:v>8</x:v>
      </x:c>
      <x:c r="H60" s="33" t="n">
        <x:f>3*IF('Prefill'!$P$12&gt;1,1,0)</x:f>
        <x:v>3</x:v>
      </x:c>
      <x:c r="I60" s="34" t="n">
        <x:f>E60*F60/1048576</x:f>
        <x:v>12</x:v>
      </x:c>
      <x:c r="J60" s="34" t="n">
        <x:f>I60*(IF(G60&gt;1,2*(G60-1)/G60,0))</x:f>
        <x:v>21</x:v>
      </x:c>
      <x:c r="K60" s="34" t="n">
        <x:f>J60*H60</x:f>
        <x:v>63</x:v>
      </x:c>
      <x:c r="L60" s="34" t="n">
        <x:f>K60*G60</x:f>
        <x:v>504</x:v>
      </x:c>
      <x:c r="M60" s="30"/>
      <x:c r="N60" s="30"/>
      <x:c r="O60" s="30"/>
      <x:c r="P60" s="30"/>
    </x:row>
    <x:row r="61">
      <x:c r="A61" s="30" t="str">
        <x:v>EP</x:v>
      </x:c>
      <x:c r="B61" s="30" t="str">
        <x:v>Routed Experts</x:v>
      </x:c>
      <x:c r="C61" s="30" t="str">
        <x:v>Dispatch Hidden</x:v>
      </x:c>
      <x:c r="D61" s="30" t="str">
        <x:v>AllToAllV（跨 Rank 发送）</x:v>
      </x:c>
      <x:c r="E61" s="33" t="n">
        <x:f>IF('Prefill'!$P$13&lt;&gt;0,((ROUNDUP('Prefill'!$P$7/'Prefill'!$P$12,0)*'Prefill'!$P$12)/'Prefill'!$P$12),'Prefill'!$P$7)*8*'Prefill'!$P$32*6144</x:f>
        <x:v>44040192</x:v>
      </x:c>
      <x:c r="F61" s="33" t="n">
        <x:f>'Prefill'!$P$28</x:f>
        <x:v>2</x:v>
      </x:c>
      <x:c r="G61" s="33" t="n">
        <x:f>'Prefill'!$P$14</x:f>
        <x:v>8</x:v>
      </x:c>
      <x:c r="H61" s="33" t="n">
        <x:f>76*IF('Prefill'!$P$14&gt;1,1,0)</x:f>
        <x:v>76</x:v>
      </x:c>
      <x:c r="I61" s="34" t="n">
        <x:f>E61*F61/1048576</x:f>
        <x:v>84</x:v>
      </x:c>
      <x:c r="J61" s="34" t="n">
        <x:f>I61*(1)</x:f>
        <x:v>84</x:v>
      </x:c>
      <x:c r="K61" s="34" t="n">
        <x:f>J61*H61</x:f>
        <x:v>6384</x:v>
      </x:c>
      <x:c r="L61" s="34" t="n">
        <x:f>K61*G61</x:f>
        <x:v>51072</x:v>
      </x:c>
      <x:c r="M61" s="30"/>
      <x:c r="N61" s="30"/>
      <x:c r="O61" s="30"/>
      <x:c r="P61" s="30"/>
    </x:row>
    <x:row r="62">
      <x:c r="A62" s="30" t="str">
        <x:v>EP</x:v>
      </x:c>
      <x:c r="B62" s="30" t="str">
        <x:v>Routed Experts</x:v>
      </x:c>
      <x:c r="C62" s="30" t="str">
        <x:v>Combine Hidden</x:v>
      </x:c>
      <x:c r="D62" s="30" t="str">
        <x:v>AllToAllV（跨 Rank 发送）</x:v>
      </x:c>
      <x:c r="E62" s="33" t="n">
        <x:f>IF('Prefill'!$P$13&lt;&gt;0,((ROUNDUP('Prefill'!$P$7/'Prefill'!$P$12,0)*'Prefill'!$P$12)/'Prefill'!$P$12),'Prefill'!$P$7)*8*'Prefill'!$P$32*6144</x:f>
        <x:v>44040192</x:v>
      </x:c>
      <x:c r="F62" s="33" t="n">
        <x:f>'Prefill'!$P$28</x:f>
        <x:v>2</x:v>
      </x:c>
      <x:c r="G62" s="33" t="n">
        <x:f>'Prefill'!$P$14</x:f>
        <x:v>8</x:v>
      </x:c>
      <x:c r="H62" s="33" t="n">
        <x:f>76*IF('Prefill'!$P$14&gt;1,1,0)</x:f>
        <x:v>76</x:v>
      </x:c>
      <x:c r="I62" s="34" t="n">
        <x:f>E62*F62/1048576</x:f>
        <x:v>84</x:v>
      </x:c>
      <x:c r="J62" s="34" t="n">
        <x:f>I62*(1)</x:f>
        <x:v>84</x:v>
      </x:c>
      <x:c r="K62" s="34" t="n">
        <x:f>J62*H62</x:f>
        <x:v>6384</x:v>
      </x:c>
      <x:c r="L62" s="34" t="n">
        <x:f>K62*G62</x:f>
        <x:v>51072</x:v>
      </x:c>
      <x:c r="M62" s="30"/>
      <x:c r="N62" s="30"/>
      <x:c r="O62" s="30"/>
      <x:c r="P62" s="30"/>
    </x:row>
    <x:row r="63">
      <x:c r="A63" s="30" t="str">
        <x:v>DP</x:v>
      </x:c>
      <x:c r="B63" s="30" t="str">
        <x:v>MoE</x:v>
      </x:c>
      <x:c r="C63" s="30" t="str">
        <x:v>Hidden 输入</x:v>
      </x:c>
      <x:c r="D63" s="30" t="str">
        <x:v>Ring AllGather</x:v>
      </x:c>
      <x:c r="E63" s="33" t="n">
        <x:f>'Prefill'!$P$7*6144</x:f>
        <x:v>50331648</x:v>
      </x:c>
      <x:c r="F63" s="33" t="n">
        <x:f>'Prefill'!$P$28</x:f>
        <x:v>2</x:v>
      </x:c>
      <x:c r="G63" s="33" t="n">
        <x:f>'Prefill'!$P$11</x:f>
        <x:v>1</x:v>
      </x:c>
      <x:c r="H63" s="33" t="n">
        <x:f>76*IF(AND('Prefill'!$P$11&gt;1,'Prefill'!$P$14=1),1,0)</x:f>
        <x:v>0</x:v>
      </x:c>
      <x:c r="I63" s="34" t="n">
        <x:f>E63*F63/1048576</x:f>
        <x:v>96</x:v>
      </x:c>
      <x:c r="J63" s="34" t="n">
        <x:f>I63*(IF(G63&gt;1,G63-1,0))</x:f>
        <x:v>0</x:v>
      </x:c>
      <x:c r="K63" s="34" t="n">
        <x:f>J63*H63</x:f>
        <x:v>0</x:v>
      </x:c>
      <x:c r="L63" s="34" t="n">
        <x:f>K63*G63</x:f>
        <x:v>0</x:v>
      </x:c>
      <x:c r="M63" s="30"/>
      <x:c r="N63" s="30"/>
      <x:c r="O63" s="30"/>
      <x:c r="P63" s="30"/>
    </x:row>
    <x:row r="64">
      <x:c r="A64" s="30" t="str">
        <x:v>DP</x:v>
      </x:c>
      <x:c r="B64" s="30" t="str">
        <x:v>MoE Router</x:v>
      </x:c>
      <x:c r="C64" s="30" t="str">
        <x:v>Router Logits</x:v>
      </x:c>
      <x:c r="D64" s="30" t="str">
        <x:v>Ring AllGather</x:v>
      </x:c>
      <x:c r="E64" s="33" t="n">
        <x:f>'Prefill'!$P$7*256</x:f>
        <x:v>2097152</x:v>
      </x:c>
      <x:c r="F64" s="33" t="n">
        <x:f>'Prefill'!$P$28</x:f>
        <x:v>2</x:v>
      </x:c>
      <x:c r="G64" s="33" t="n">
        <x:f>'Prefill'!$P$11</x:f>
        <x:v>1</x:v>
      </x:c>
      <x:c r="H64" s="33" t="n">
        <x:f>76*IF(AND('Prefill'!$P$11&gt;1,'Prefill'!$P$14=1),1,0)</x:f>
        <x:v>0</x:v>
      </x:c>
      <x:c r="I64" s="34" t="n">
        <x:f>E64*F64/1048576</x:f>
        <x:v>4</x:v>
      </x:c>
      <x:c r="J64" s="34" t="n">
        <x:f>I64*(IF(G64&gt;1,G64-1,0))</x:f>
        <x:v>0</x:v>
      </x:c>
      <x:c r="K64" s="34" t="n">
        <x:f>J64*H64</x:f>
        <x:v>0</x:v>
      </x:c>
      <x:c r="L64" s="34" t="n">
        <x:f>K64*G64</x:f>
        <x:v>0</x:v>
      </x:c>
      <x:c r="M64" s="30"/>
      <x:c r="N64" s="30"/>
      <x:c r="O64" s="30"/>
      <x:c r="P64" s="30"/>
    </x:row>
    <x:row r="65">
      <x:c r="A65" s="30" t="str">
        <x:v>DP</x:v>
      </x:c>
      <x:c r="B65" s="30" t="str">
        <x:v>MoE</x:v>
      </x:c>
      <x:c r="C65" s="30" t="str">
        <x:v>Routed Expert 输出</x:v>
      </x:c>
      <x:c r="D65" s="30" t="str">
        <x:v>Ring ReduceScatter</x:v>
      </x:c>
      <x:c r="E65" s="33" t="n">
        <x:f>'Prefill'!$P$7*'Prefill'!$P$11*6144</x:f>
        <x:v>50331648</x:v>
      </x:c>
      <x:c r="F65" s="33" t="n">
        <x:f>'Prefill'!$P$28</x:f>
        <x:v>2</x:v>
      </x:c>
      <x:c r="G65" s="33" t="n">
        <x:f>'Prefill'!$P$11</x:f>
        <x:v>1</x:v>
      </x:c>
      <x:c r="H65" s="33" t="n">
        <x:f>76*IF(AND('Prefill'!$P$11&gt;1,'Prefill'!$P$14=1),1,0)</x:f>
        <x:v>0</x:v>
      </x:c>
      <x:c r="I65" s="34" t="n">
        <x:f>E65*F65/1048576</x:f>
        <x:v>96</x:v>
      </x:c>
      <x:c r="J65" s="34" t="n">
        <x:f>I65*(IF(G65&gt;1,(G65-1)/G65,0))</x:f>
        <x:v>0</x:v>
      </x:c>
      <x:c r="K65" s="34" t="n">
        <x:f>J65*H65</x:f>
        <x:v>0</x:v>
      </x:c>
      <x:c r="L65" s="34" t="n">
        <x:f>K65*G65</x:f>
        <x:v>0</x:v>
      </x:c>
      <x:c r="M65" s="30"/>
      <x:c r="N65" s="30"/>
      <x:c r="O65" s="30"/>
      <x:c r="P65" s="30"/>
    </x:row>
    <x:row r="66">
      <x:c r="A66" s="30" t="str">
        <x:v>共享专家 TP</x:v>
      </x:c>
      <x:c r="B66" s="30" t="str">
        <x:v>Shared Experts</x:v>
      </x:c>
      <x:c r="C66" s="30" t="str">
        <x:v>SP 输入</x:v>
      </x:c>
      <x:c r="D66" s="30" t="str">
        <x:v>Ring AllGather</x:v>
      </x:c>
      <x:c r="E66" s="33" t="n">
        <x:f>((ROUNDUP('Prefill'!$P$7/'Prefill'!$P$12,0)*'Prefill'!$P$12)/'Prefill'!$P$12)*6144</x:f>
        <x:v>6291456</x:v>
      </x:c>
      <x:c r="F66" s="33" t="n">
        <x:f>'Prefill'!$P$28</x:f>
        <x:v>2</x:v>
      </x:c>
      <x:c r="G66" s="33" t="n">
        <x:f>IF('Prefill'!$P$17="TP",'Prefill'!$P$18,1)</x:f>
        <x:v>8</x:v>
      </x:c>
      <x:c r="H66" s="33" t="n">
        <x:f>76*IF(AND('Prefill'!$P$17="TP",IF('Prefill'!$P$17="TP",'Prefill'!$P$18,1)&gt;1,'Prefill'!$P$13&lt;&gt;0),1,0)</x:f>
        <x:v>76</x:v>
      </x:c>
      <x:c r="I66" s="34" t="n">
        <x:f>E66*F66/1048576</x:f>
        <x:v>12</x:v>
      </x:c>
      <x:c r="J66" s="34" t="n">
        <x:f>I66*(IF(G66&gt;1,G66-1,0))</x:f>
        <x:v>84</x:v>
      </x:c>
      <x:c r="K66" s="34" t="n">
        <x:f>J66*H66</x:f>
        <x:v>6384</x:v>
      </x:c>
      <x:c r="L66" s="34" t="n">
        <x:f>K66*G66</x:f>
        <x:v>51072</x:v>
      </x:c>
      <x:c r="M66" s="30"/>
      <x:c r="N66" s="30"/>
      <x:c r="O66" s="30"/>
      <x:c r="P66" s="30"/>
    </x:row>
    <x:row r="67">
      <x:c r="A67" s="30" t="str">
        <x:v>共享专家 TP</x:v>
      </x:c>
      <x:c r="B67" s="30" t="str">
        <x:v>Shared Experts</x:v>
      </x:c>
      <x:c r="C67" s="30" t="str">
        <x:v>SP 输出</x:v>
      </x:c>
      <x:c r="D67" s="30" t="str">
        <x:v>Ring ReduceScatter</x:v>
      </x:c>
      <x:c r="E67" s="33" t="n">
        <x:f>(ROUNDUP('Prefill'!$P$7/'Prefill'!$P$12,0)*'Prefill'!$P$12)*6144</x:f>
        <x:v>50331648</x:v>
      </x:c>
      <x:c r="F67" s="33" t="n">
        <x:f>'Prefill'!$P$28</x:f>
        <x:v>2</x:v>
      </x:c>
      <x:c r="G67" s="33" t="n">
        <x:f>IF('Prefill'!$P$17="TP",'Prefill'!$P$18,1)</x:f>
        <x:v>8</x:v>
      </x:c>
      <x:c r="H67" s="33" t="n">
        <x:f>76*IF(AND('Prefill'!$P$17="TP",IF('Prefill'!$P$17="TP",'Prefill'!$P$18,1)&gt;1,'Prefill'!$P$13&lt;&gt;0),1,0)</x:f>
        <x:v>76</x:v>
      </x:c>
      <x:c r="I67" s="34" t="n">
        <x:f>E67*F67/1048576</x:f>
        <x:v>96</x:v>
      </x:c>
      <x:c r="J67" s="34" t="n">
        <x:f>I67*(IF(G67&gt;1,(G67-1)/G67,0))</x:f>
        <x:v>84</x:v>
      </x:c>
      <x:c r="K67" s="34" t="n">
        <x:f>J67*H67</x:f>
        <x:v>6384</x:v>
      </x:c>
      <x:c r="L67" s="34" t="n">
        <x:f>K67*G67</x:f>
        <x:v>51072</x:v>
      </x:c>
      <x:c r="M67" s="30"/>
      <x:c r="N67" s="30"/>
      <x:c r="O67" s="30"/>
      <x:c r="P67" s="30"/>
    </x:row>
    <x:row r="68">
      <x:c r="A68" s="30" t="str">
        <x:v>共享专家 TP</x:v>
      </x:c>
      <x:c r="B68" s="30" t="str">
        <x:v>Shared Experts</x:v>
      </x:c>
      <x:c r="C68" s="30" t="str">
        <x:v>非 SP 输出</x:v>
      </x:c>
      <x:c r="D68" s="30" t="str">
        <x:v>Ring AllReduce</x:v>
      </x:c>
      <x:c r="E68" s="33" t="n">
        <x:f>'Prefill'!$P$7*6144</x:f>
        <x:v>50331648</x:v>
      </x:c>
      <x:c r="F68" s="33" t="n">
        <x:f>'Prefill'!$P$28</x:f>
        <x:v>2</x:v>
      </x:c>
      <x:c r="G68" s="33" t="n">
        <x:f>IF('Prefill'!$P$17="TP",'Prefill'!$P$18,1)</x:f>
        <x:v>8</x:v>
      </x:c>
      <x:c r="H68" s="33" t="n">
        <x:f>76*IF(AND('Prefill'!$P$17="TP",IF('Prefill'!$P$17="TP",'Prefill'!$P$18,1)&gt;1,'Prefill'!$P$13=0),1,0)</x:f>
        <x:v>0</x:v>
      </x:c>
      <x:c r="I68" s="34" t="n">
        <x:f>E68*F68/1048576</x:f>
        <x:v>96</x:v>
      </x:c>
      <x:c r="J68" s="34" t="n">
        <x:f>I68*(IF(G68&gt;1,2*(G68-1)/G68,0))</x:f>
        <x:v>168</x:v>
      </x:c>
      <x:c r="K68" s="34" t="n">
        <x:f>J68*H68</x:f>
        <x:v>0</x:v>
      </x:c>
      <x:c r="L68" s="34" t="n">
        <x:f>K68*G68</x:f>
        <x:v>0</x:v>
      </x:c>
      <x:c r="M68" s="30"/>
      <x:c r="N68" s="30"/>
      <x:c r="O68" s="30"/>
      <x:c r="P68" s="30"/>
    </x:row>
    <x:row r="69">
      <x:c r="A69" s="30" t="str">
        <x:v>PCP</x:v>
      </x:c>
      <x:c r="B69" s="30" t="str">
        <x:v>MoE</x:v>
      </x:c>
      <x:c r="C69" s="30" t="str">
        <x:v>Hidden 输入</x:v>
      </x:c>
      <x:c r="D69" s="30" t="str">
        <x:v>Ring AllGather</x:v>
      </x:c>
      <x:c r="E69" s="33" t="n">
        <x:f>((ROUNDUP('Prefill'!$P$7/'Prefill'!$P$15,0)*'Prefill'!$P$15)/'Prefill'!$P$15)*6144</x:f>
        <x:v>50331648</x:v>
      </x:c>
      <x:c r="F69" s="33" t="n">
        <x:f>'Prefill'!$P$28</x:f>
        <x:v>2</x:v>
      </x:c>
      <x:c r="G69" s="33" t="n">
        <x:f>'Prefill'!$P$15</x:f>
        <x:v>1</x:v>
      </x:c>
      <x:c r="H69" s="33" t="n">
        <x:f>76*IF('Prefill'!$P$15&gt;1,1,0)</x:f>
        <x:v>0</x:v>
      </x:c>
      <x:c r="I69" s="34" t="n">
        <x:f>E69*F69/1048576</x:f>
        <x:v>96</x:v>
      </x:c>
      <x:c r="J69" s="34" t="n">
        <x:f>I69*(IF(G69&gt;1,G69-1,0))</x:f>
        <x:v>0</x:v>
      </x:c>
      <x:c r="K69" s="34" t="n">
        <x:f>J69*H69</x:f>
        <x:v>0</x:v>
      </x:c>
      <x:c r="L69" s="34" t="n">
        <x:f>K69*G69</x:f>
        <x:v>0</x:v>
      </x:c>
      <x:c r="M69" s="30"/>
      <x:c r="N69" s="30"/>
      <x:c r="O69" s="30"/>
      <x:c r="P69" s="30"/>
    </x:row>
    <x:row r="70">
      <x:c r="A70" s="30" t="str">
        <x:v>PCP</x:v>
      </x:c>
      <x:c r="B70" s="30" t="str">
        <x:v>MoE Router</x:v>
      </x:c>
      <x:c r="C70" s="30" t="str">
        <x:v>Router Logits</x:v>
      </x:c>
      <x:c r="D70" s="30" t="str">
        <x:v>Ring AllGather</x:v>
      </x:c>
      <x:c r="E70" s="33" t="n">
        <x:f>((ROUNDUP('Prefill'!$P$7/'Prefill'!$P$15,0)*'Prefill'!$P$15)/'Prefill'!$P$15)*256</x:f>
        <x:v>2097152</x:v>
      </x:c>
      <x:c r="F70" s="33" t="n">
        <x:f>'Prefill'!$P$28</x:f>
        <x:v>2</x:v>
      </x:c>
      <x:c r="G70" s="33" t="n">
        <x:f>'Prefill'!$P$15</x:f>
        <x:v>1</x:v>
      </x:c>
      <x:c r="H70" s="33" t="n">
        <x:f>76*IF('Prefill'!$P$15&gt;1,1,0)</x:f>
        <x:v>0</x:v>
      </x:c>
      <x:c r="I70" s="34" t="n">
        <x:f>E70*F70/1048576</x:f>
        <x:v>4</x:v>
      </x:c>
      <x:c r="J70" s="34" t="n">
        <x:f>I70*(IF(G70&gt;1,G70-1,0))</x:f>
        <x:v>0</x:v>
      </x:c>
      <x:c r="K70" s="34" t="n">
        <x:f>J70*H70</x:f>
        <x:v>0</x:v>
      </x:c>
      <x:c r="L70" s="34" t="n">
        <x:f>K70*G70</x:f>
        <x:v>0</x:v>
      </x:c>
      <x:c r="M70" s="30"/>
      <x:c r="N70" s="30"/>
      <x:c r="O70" s="30"/>
      <x:c r="P70" s="30"/>
    </x:row>
    <x:row r="71">
      <x:c r="A71" s="30" t="str">
        <x:v>PCP</x:v>
      </x:c>
      <x:c r="B71" s="30" t="str">
        <x:v>MoE</x:v>
      </x:c>
      <x:c r="C71" s="30" t="str">
        <x:v>Routed Expert 输出</x:v>
      </x:c>
      <x:c r="D71" s="30" t="str">
        <x:v>Ring ReduceScatter</x:v>
      </x:c>
      <x:c r="E71" s="33" t="n">
        <x:f>(ROUNDUP('Prefill'!$P$7/'Prefill'!$P$15,0)*'Prefill'!$P$15)*6144</x:f>
        <x:v>50331648</x:v>
      </x:c>
      <x:c r="F71" s="33" t="n">
        <x:f>'Prefill'!$P$28</x:f>
        <x:v>2</x:v>
      </x:c>
      <x:c r="G71" s="33" t="n">
        <x:f>'Prefill'!$P$15</x:f>
        <x:v>1</x:v>
      </x:c>
      <x:c r="H71" s="33" t="n">
        <x:f>76*IF('Prefill'!$P$15&gt;1,1,0)</x:f>
        <x:v>0</x:v>
      </x:c>
      <x:c r="I71" s="34" t="n">
        <x:f>E71*F71/1048576</x:f>
        <x:v>96</x:v>
      </x:c>
      <x:c r="J71" s="34" t="n">
        <x:f>I71*(IF(G71&gt;1,(G71-1)/G71,0))</x:f>
        <x:v>0</x:v>
      </x:c>
      <x:c r="K71" s="34" t="n">
        <x:f>J71*H71</x:f>
        <x:v>0</x:v>
      </x:c>
      <x:c r="L71" s="34" t="n">
        <x:f>K71*G71</x:f>
        <x:v>0</x:v>
      </x:c>
      <x:c r="M71" s="30"/>
      <x:c r="N71" s="30"/>
      <x:c r="O71" s="30"/>
      <x:c r="P71" s="30"/>
    </x:row>
    <x:row r="72">
      <x:c r="A72" s="30" t="str">
        <x:v>PCP</x:v>
      </x:c>
      <x:c r="B72" s="30" t="str">
        <x:v>Attention KV</x:v>
      </x:c>
      <x:c r="C72" s="30" t="str">
        <x:v>KV Cache 写入前</x:v>
      </x:c>
      <x:c r="D72" s="30" t="str">
        <x:v>Ring AllGather</x:v>
      </x:c>
      <x:c r="E72" s="33" t="n">
        <x:f>((ROUNDUP('Prefill'!$P$7/'Prefill'!$P$15,0)*'Prefill'!$P$15)/'Prefill'!$P$15)*576</x:f>
        <x:v>4718592</x:v>
      </x:c>
      <x:c r="F72" s="33" t="n">
        <x:f>'Prefill'!$P$28</x:f>
        <x:v>2</x:v>
      </x:c>
      <x:c r="G72" s="33" t="n">
        <x:f>'Prefill'!$P$15</x:f>
        <x:v>1</x:v>
      </x:c>
      <x:c r="H72" s="33" t="n">
        <x:f>79*IF('Prefill'!$P$15&gt;1,1,0)</x:f>
        <x:v>0</x:v>
      </x:c>
      <x:c r="I72" s="34" t="n">
        <x:f>E72*F72/1048576</x:f>
        <x:v>9</x:v>
      </x:c>
      <x:c r="J72" s="34" t="n">
        <x:f>I72*(IF(G72&gt;1,G72-1,0))</x:f>
        <x:v>0</x:v>
      </x:c>
      <x:c r="K72" s="34" t="n">
        <x:f>J72*H72</x:f>
        <x:v>0</x:v>
      </x:c>
      <x:c r="L72" s="34" t="n">
        <x:f>K72*G72</x:f>
        <x:v>0</x:v>
      </x:c>
      <x:c r="M72" s="30"/>
      <x:c r="N72" s="30"/>
      <x:c r="O72" s="30"/>
      <x:c r="P72" s="30"/>
    </x:row>
    <x:row r="73">
      <x:c r="A73" s="30" t="str">
        <x:v>SP</x:v>
      </x:c>
      <x:c r="B73" s="30" t="str">
        <x:v>Model Output</x:v>
      </x:c>
      <x:c r="C73" s="30" t="str">
        <x:v>Final Norm 后</x:v>
      </x:c>
      <x:c r="D73" s="30" t="str">
        <x:v>Ring AllGather</x:v>
      </x:c>
      <x:c r="E73" s="33" t="n">
        <x:f>((ROUNDUP('Prefill'!$P$7/'Prefill'!$P$12,0)*'Prefill'!$P$12)/'Prefill'!$P$12)*6144</x:f>
        <x:v>6291456</x:v>
      </x:c>
      <x:c r="F73" s="33" t="n">
        <x:f>'Prefill'!$P$28</x:f>
        <x:v>2</x:v>
      </x:c>
      <x:c r="G73" s="33" t="n">
        <x:f>'Prefill'!$P$12</x:f>
        <x:v>8</x:v>
      </x:c>
      <x:c r="H73" s="33" t="n">
        <x:f>IF(AND('Prefill'!$P$13&lt;&gt;0,'Prefill'!$P$12&gt;1),1,0)</x:f>
        <x:v>1</x:v>
      </x:c>
      <x:c r="I73" s="34" t="n">
        <x:f>E73*F73/1048576</x:f>
        <x:v>12</x:v>
      </x:c>
      <x:c r="J73" s="34" t="n">
        <x:f>I73*(IF(G73&gt;1,G73-1,0))</x:f>
        <x:v>84</x:v>
      </x:c>
      <x:c r="K73" s="34" t="n">
        <x:f>J73*H73</x:f>
        <x:v>84</x:v>
      </x:c>
      <x:c r="L73" s="34" t="n">
        <x:f>K73*G73</x:f>
        <x:v>672</x:v>
      </x:c>
      <x:c r="M73" s="30"/>
      <x:c r="N73" s="30"/>
      <x:c r="O73" s="30"/>
      <x:c r="P73" s="30"/>
    </x:row>
    <x:row r="74">
      <x:c r="A74" s="30" t="str">
        <x:v>LM Head TP</x:v>
      </x:c>
      <x:c r="B74" s="30" t="str">
        <x:v>LM Head</x:v>
      </x:c>
      <x:c r="C74" s="30" t="str">
        <x:v>完整 Logits</x:v>
      </x:c>
      <x:c r="D74" s="30" t="str">
        <x:v>Ring AllGather</x:v>
      </x:c>
      <x:c r="E74" s="33" t="n">
        <x:f>'Prefill'!$P$8*154880/IF('Prefill'!$P$20&gt;0,'Prefill'!$P$20,'Prefill'!$P$12)</x:f>
        <x:v>2478080</x:v>
      </x:c>
      <x:c r="F74" s="33" t="n">
        <x:f>'Prefill'!$P$28</x:f>
        <x:v>2</x:v>
      </x:c>
      <x:c r="G74" s="33" t="n">
        <x:f>IF('Prefill'!$P$20&gt;0,'Prefill'!$P$20,'Prefill'!$P$12)</x:f>
        <x:v>8</x:v>
      </x:c>
      <x:c r="H74" s="33" t="n">
        <x:f>IF(AND(IF('Prefill'!$P$20&gt;0,'Prefill'!$P$20,'Prefill'!$P$12)&gt;1,'Prefill'!$P$23=0,'Prefill'!$P$33=0),1,0)</x:f>
        <x:v>0</x:v>
      </x:c>
      <x:c r="I74" s="34" t="n">
        <x:f>E74*F74/1048576</x:f>
        <x:v>4.7265625</x:v>
      </x:c>
      <x:c r="J74" s="34" t="n">
        <x:f>I74*(IF(G74&gt;1,G74-1,0))</x:f>
        <x:v>33.0859375</x:v>
      </x:c>
      <x:c r="K74" s="34" t="n">
        <x:f>J74*H74</x:f>
        <x:v>0</x:v>
      </x:c>
      <x:c r="L74" s="34" t="n">
        <x:f>K74*G74</x:f>
        <x:v>0</x:v>
      </x:c>
      <x:c r="M74" s="30"/>
      <x:c r="N74" s="30"/>
      <x:c r="O74" s="30"/>
      <x:c r="P74" s="30"/>
    </x:row>
    <x:row r="75">
      <x:c r="A75" s="30" t="str">
        <x:v>LM Head TP</x:v>
      </x:c>
      <x:c r="B75" s="30" t="str">
        <x:v>LM Head</x:v>
      </x:c>
      <x:c r="C75" s="30" t="str">
        <x:v>Reduce Sample</x:v>
      </x:c>
      <x:c r="D75" s="30" t="str">
        <x:v>Ring AllGather</x:v>
      </x:c>
      <x:c r="E75" s="33" t="n">
        <x:f>'Prefill'!$P$8*'Prefill'!$P$34</x:f>
        <x:v>32768</x:v>
      </x:c>
      <x:c r="F75" s="33" t="n">
        <x:f>('Prefill'!$P$28+'Prefill'!$P$31)</x:f>
        <x:v>6</x:v>
      </x:c>
      <x:c r="G75" s="33" t="n">
        <x:f>IF('Prefill'!$P$20&gt;0,'Prefill'!$P$20,'Prefill'!$P$12)</x:f>
        <x:v>8</x:v>
      </x:c>
      <x:c r="H75" s="33" t="n">
        <x:f>IF(AND(IF('Prefill'!$P$20&gt;0,'Prefill'!$P$20,'Prefill'!$P$12)&gt;1,'Prefill'!$P$23=0,'Prefill'!$P$33&lt;&gt;0),1,0)</x:f>
        <x:v>1</x:v>
      </x:c>
      <x:c r="I75" s="34" t="n">
        <x:f>E75*F75/1048576</x:f>
        <x:v>0.1875</x:v>
      </x:c>
      <x:c r="J75" s="34" t="n">
        <x:f>I75*(IF(G75&gt;1,G75-1,0))</x:f>
        <x:v>1.3125</x:v>
      </x:c>
      <x:c r="K75" s="34" t="n">
        <x:f>J75*H75</x:f>
        <x:v>1.3125</x:v>
      </x:c>
      <x:c r="L75" s="34" t="n">
        <x:f>K75*G75</x:f>
        <x:v>10.5</x:v>
      </x:c>
      <x:c r="M75" s="30"/>
      <x:c r="N75" s="30"/>
      <x:c r="O75" s="30"/>
      <x:c r="P75" s="30"/>
    </x:row>
    <x:row r="76">
      <x:c r="A76" s="30" t="str">
        <x:v>Fine LM Head TP</x:v>
      </x:c>
      <x:c r="B76" s="30" t="str">
        <x:v>LM Head</x:v>
      </x:c>
      <x:c r="C76" s="30" t="str">
        <x:v>Hidden 输入</x:v>
      </x:c>
      <x:c r="D76" s="30" t="str">
        <x:v>Ring AllGather</x:v>
      </x:c>
      <x:c r="E76" s="33" t="n">
        <x:f>'Prefill'!$P$8*6144</x:f>
        <x:v>786432</x:v>
      </x:c>
      <x:c r="F76" s="33" t="n">
        <x:f>'Prefill'!$P$28</x:f>
        <x:v>2</x:v>
      </x:c>
      <x:c r="G76" s="33" t="n">
        <x:f>IF('Prefill'!$P$20&gt;0,'Prefill'!$P$20,'Prefill'!$P$12)</x:f>
        <x:v>8</x:v>
      </x:c>
      <x:c r="H76" s="33" t="n">
        <x:f>IF(AND(IF('Prefill'!$P$20&gt;0,'Prefill'!$P$20,'Prefill'!$P$12)&gt;1,'Prefill'!$P$23&lt;&gt;0),1,0)</x:f>
        <x:v>0</x:v>
      </x:c>
      <x:c r="I76" s="34" t="n">
        <x:f>E76*F76/1048576</x:f>
        <x:v>1.5</x:v>
      </x:c>
      <x:c r="J76" s="34" t="n">
        <x:f>I76*(IF(G76&gt;1,G76-1,0))</x:f>
        <x:v>10.5</x:v>
      </x:c>
      <x:c r="K76" s="34" t="n">
        <x:f>J76*H76</x:f>
        <x:v>0</x:v>
      </x:c>
      <x:c r="L76" s="34" t="n">
        <x:f>K76*G76</x:f>
        <x:v>0</x:v>
      </x:c>
      <x:c r="M76" s="30"/>
      <x:c r="N76" s="30"/>
      <x:c r="O76" s="30"/>
      <x:c r="P76" s="30"/>
    </x:row>
    <x:row r="77">
      <x:c r="A77" s="30" t="str">
        <x:v>Fine LM Head TP</x:v>
      </x:c>
      <x:c r="B77" s="30" t="str">
        <x:v>LM Head</x:v>
      </x:c>
      <x:c r="C77" s="30" t="str">
        <x:v>完整 Logits</x:v>
      </x:c>
      <x:c r="D77" s="30" t="str">
        <x:v>Equal-split AllToAll</x:v>
      </x:c>
      <x:c r="E77" s="33" t="n">
        <x:f>'Prefill'!$P$8*154880</x:f>
        <x:v>19824640</x:v>
      </x:c>
      <x:c r="F77" s="33" t="n">
        <x:f>'Prefill'!$P$28</x:f>
        <x:v>2</x:v>
      </x:c>
      <x:c r="G77" s="33" t="n">
        <x:f>IF('Prefill'!$P$20&gt;0,'Prefill'!$P$20,'Prefill'!$P$12)</x:f>
        <x:v>8</x:v>
      </x:c>
      <x:c r="H77" s="33" t="n">
        <x:f>IF(AND(IF('Prefill'!$P$20&gt;0,'Prefill'!$P$20,'Prefill'!$P$12)&gt;1,'Prefill'!$P$23&lt;&gt;0,'Prefill'!$P$33=0),1,0)</x:f>
        <x:v>0</x:v>
      </x:c>
      <x:c r="I77" s="34" t="n">
        <x:f>E77*F77/1048576</x:f>
        <x:v>37.8125</x:v>
      </x:c>
      <x:c r="J77" s="34" t="n">
        <x:f>I77*(IF(G77&gt;1,(G77-1)/G77,0))</x:f>
        <x:v>33.0859375</x:v>
      </x:c>
      <x:c r="K77" s="34" t="n">
        <x:f>J77*H77</x:f>
        <x:v>0</x:v>
      </x:c>
      <x:c r="L77" s="34" t="n">
        <x:f>K77*G77</x:f>
        <x:v>0</x:v>
      </x:c>
      <x:c r="M77" s="30"/>
      <x:c r="N77" s="30"/>
      <x:c r="O77" s="30"/>
      <x:c r="P77" s="30"/>
    </x:row>
    <x:row r="78">
      <x:c r="A78" s="30" t="str">
        <x:v>Fine LM Head TP</x:v>
      </x:c>
      <x:c r="B78" s="30" t="str">
        <x:v>LM Head</x:v>
      </x:c>
      <x:c r="C78" s="30" t="str">
        <x:v>Reduce Sample</x:v>
      </x:c>
      <x:c r="D78" s="30" t="str">
        <x:v>Ring AllGather</x:v>
      </x:c>
      <x:c r="E78" s="33" t="n">
        <x:f>'Prefill'!$P$8*'Prefill'!$P$34</x:f>
        <x:v>32768</x:v>
      </x:c>
      <x:c r="F78" s="33" t="n">
        <x:f>('Prefill'!$P$28+'Prefill'!$P$31)</x:f>
        <x:v>6</x:v>
      </x:c>
      <x:c r="G78" s="33" t="n">
        <x:f>IF('Prefill'!$P$20&gt;0,'Prefill'!$P$20,'Prefill'!$P$12)</x:f>
        <x:v>8</x:v>
      </x:c>
      <x:c r="H78" s="33" t="n">
        <x:f>IF(AND(IF('Prefill'!$P$20&gt;0,'Prefill'!$P$20,'Prefill'!$P$12)&gt;1,'Prefill'!$P$23&lt;&gt;0,'Prefill'!$P$33&lt;&gt;0),1,0)</x:f>
        <x:v>0</x:v>
      </x:c>
      <x:c r="I78" s="34" t="n">
        <x:f>E78*F78/1048576</x:f>
        <x:v>0.1875</x:v>
      </x:c>
      <x:c r="J78" s="34" t="n">
        <x:f>I78*(IF(G78&gt;1,G78-1,0))</x:f>
        <x:v>1.3125</x:v>
      </x:c>
      <x:c r="K78" s="34" t="n">
        <x:f>J78*H78</x:f>
        <x:v>0</x:v>
      </x:c>
      <x:c r="L78" s="34" t="n">
        <x:f>K78*G78</x:f>
        <x:v>0</x:v>
      </x:c>
      <x:c r="M78" s="30"/>
      <x:c r="N78" s="30"/>
      <x:c r="O78" s="30"/>
      <x:c r="P78" s="30"/>
    </x:row>
    <x:row r="79">
      <x:c r="A79" s="40" t="str">
        <x:v>合计</x:v>
      </x:c>
      <x:c r="B79" s="40"/>
      <x:c r="C79" s="40"/>
      <x:c r="D79" s="40"/>
      <x:c r="E79" s="40"/>
      <x:c r="F79" s="40"/>
      <x:c r="G79" s="40"/>
      <x:c r="H79" s="40"/>
      <x:c r="I79" s="41"/>
      <x:c r="J79" s="41"/>
      <x:c r="K79" s="41" t="n">
        <x:f>SUM(K53:K78)</x:f>
        <x:v>35932.3125</x:v>
      </x:c>
      <x:c r="L79" s="41" t="n">
        <x:f>SUM(L53:L78)</x:f>
        <x:v>287458.5</x:v>
      </x:c>
      <x:c r="M79" s="30"/>
      <x:c r="N79" s="30"/>
      <x:c r="O79" s="30"/>
      <x:c r="P79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[154880, 6144]</x:v>
      </x:c>
      <x:c r="D2" s="30" t="str">
        <x:v>BF16</x:v>
      </x:c>
      <x:c r="E2" s="32" t="n">
        <x:v>2</x:v>
      </x:c>
      <x:c r="F2" s="33" t="n">
        <x:v>1</x:v>
      </x:c>
      <x:c r="G2" s="33" t="n">
        <x:v>951582720</x:v>
      </x:c>
      <x:c r="H2" s="33" t="str">
        <x:v>Embedding TP</x:v>
      </x:c>
      <x:c r="I2" s="33" t="n">
        <x:f>IF('Decode'!$P$21&gt;0,'Decode'!$P$21,'Decode'!$P$12)</x:f>
        <x:v>8</x:v>
      </x:c>
      <x:c r="J2" s="34" t="n">
        <x:f>E2*F2*G2/1073741824</x:f>
        <x:v>1.7724609375</x:v>
      </x:c>
      <x:c r="K2" s="34" t="n">
        <x:f>J2/I2</x:f>
        <x:v>0.2215576171875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[154880, 6144]</x:v>
      </x:c>
      <x:c r="D3" s="30" t="str">
        <x:v>BF16</x:v>
      </x:c>
      <x:c r="E3" s="32" t="n">
        <x:v>2</x:v>
      </x:c>
      <x:c r="F3" s="33" t="n">
        <x:v>1</x:v>
      </x:c>
      <x:c r="G3" s="33" t="n">
        <x:v>951582720</x:v>
      </x:c>
      <x:c r="H3" s="33" t="str">
        <x:v>LM Head TP</x:v>
      </x:c>
      <x:c r="I3" s="33" t="n">
        <x:f>IF('Decode'!$P$20&gt;0,'Decode'!$P$20,'Decode'!$P$12)</x:f>
        <x:v>8</x:v>
      </x:c>
      <x:c r="J3" s="34" t="n">
        <x:f>E3*F3*G3/1073741824</x:f>
        <x:v>1.7724609375</x:v>
      </x:c>
      <x:c r="K3" s="34" t="n">
        <x:f>J3/I3</x:f>
        <x:v>0.2215576171875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[6144]</x:v>
      </x:c>
      <x:c r="D4" s="30" t="str">
        <x:v>BF16</x:v>
      </x:c>
      <x:c r="E4" s="32" t="n">
        <x:v>2</x:v>
      </x:c>
      <x:c r="F4" s="33" t="n">
        <x:v>1</x:v>
      </x:c>
      <x:c r="G4" s="33" t="n">
        <x:v>6144</x:v>
      </x:c>
      <x:c r="H4" s="33" t="str">
        <x:v>Replicated</x:v>
      </x:c>
      <x:c r="I4" s="33" t="n">
        <x:f>1</x:f>
        <x:v>1</x:v>
      </x:c>
      <x:c r="J4" s="34" t="n">
        <x:f>E4*F4*G4/1073741824</x:f>
        <x:v>0.000011444091796875</x:v>
      </x:c>
      <x:c r="K4" s="34" t="n">
        <x:f>J4/I4</x:f>
        <x:v>0.000011444091796875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[6144]</x:v>
      </x:c>
      <x:c r="D5" s="30" t="str">
        <x:v>BF16</x:v>
      </x:c>
      <x:c r="E5" s="32" t="n">
        <x:v>2</x:v>
      </x:c>
      <x:c r="F5" s="33" t="n">
        <x:v>79</x:v>
      </x:c>
      <x:c r="G5" s="33" t="n">
        <x:v>6144</x:v>
      </x:c>
      <x:c r="H5" s="33" t="str">
        <x:v>Replicated</x:v>
      </x:c>
      <x:c r="I5" s="33" t="n">
        <x:f>1</x:f>
        <x:v>1</x:v>
      </x:c>
      <x:c r="J5" s="34" t="n">
        <x:f>E5*F5*G5/1073741824</x:f>
        <x:v>0.000904083251953125</x:v>
      </x:c>
      <x:c r="K5" s="34" t="n">
        <x:f>J5/I5</x:f>
        <x:v>0.000904083251953125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[6144]</x:v>
      </x:c>
      <x:c r="D6" s="30" t="str">
        <x:v>BF16</x:v>
      </x:c>
      <x:c r="E6" s="32" t="n">
        <x:v>2</x:v>
      </x:c>
      <x:c r="F6" s="33" t="n">
        <x:v>79</x:v>
      </x:c>
      <x:c r="G6" s="33" t="n">
        <x:v>6144</x:v>
      </x:c>
      <x:c r="H6" s="33" t="str">
        <x:v>Replicated</x:v>
      </x:c>
      <x:c r="I6" s="33" t="n">
        <x:f>1</x:f>
        <x:v>1</x:v>
      </x:c>
      <x:c r="J6" s="34" t="n">
        <x:f>E6*F6*G6/1073741824</x:f>
        <x:v>0.000904083251953125</x:v>
      </x:c>
      <x:c r="K6" s="34" t="n">
        <x:f>J6/I6</x:f>
        <x:v>0.000904083251953125</x:v>
      </x:c>
      <x:c r="L6" s="30"/>
      <x:c r="M6" s="30"/>
      <x:c r="N6" s="30"/>
      <x:c r="O6" s="35" t="str">
        <x:v>投机采样步数</x:v>
      </x:c>
      <x:c r="P6" s="36" t="n">
        <x:v>1</x:v>
      </x:c>
    </x:row>
    <x:row r="7">
      <x:c r="A7" s="30" t="str">
        <x:v>Dense MLP</x:v>
      </x:c>
      <x:c r="B7" s="30" t="str">
        <x:v>mlp.gate_proj.weight</x:v>
      </x:c>
      <x:c r="C7" s="30" t="str">
        <x:v>[12288, 6144]</x:v>
      </x:c>
      <x:c r="D7" s="30" t="str">
        <x:v>FP8 E4M3</x:v>
      </x:c>
      <x:c r="E7" s="32" t="n">
        <x:v>1</x:v>
      </x:c>
      <x:c r="F7" s="33" t="n">
        <x:v>3</x:v>
      </x:c>
      <x:c r="G7" s="33" t="n">
        <x:v>75497472</x:v>
      </x:c>
      <x:c r="H7" s="33" t="str">
        <x:v>TP</x:v>
      </x:c>
      <x:c r="I7" s="33" t="n">
        <x:f>'Decode'!$P$12</x:f>
        <x:v>8</x:v>
      </x:c>
      <x:c r="J7" s="34" t="n">
        <x:f>E7*F7*G7/1073741824</x:f>
        <x:v>0.2109375</x:v>
      </x:c>
      <x:c r="K7" s="34" t="n">
        <x:f>J7/I7</x:f>
        <x:v>0.0263671875</x:v>
      </x:c>
      <x:c r="L7" s="30"/>
      <x:c r="M7" s="30"/>
      <x:c r="N7" s="30"/>
      <x:c r="O7" s="35" t="str">
        <x:v>当前 Step Token 数</x:v>
      </x:c>
      <x:c r="P7" s="37" t="n">
        <x:f>MIN($P$2,$P$3*($P$6+1))</x:f>
        <x:v>256</x:v>
      </x:c>
    </x:row>
    <x:row r="8">
      <x:c r="A8" s="30" t="str">
        <x:v>Dense MLP</x:v>
      </x:c>
      <x:c r="B8" s="30" t="str">
        <x:v>mlp.gate_proj.weight_scale</x:v>
      </x:c>
      <x:c r="C8" s="30" t="str">
        <x:v>[96, 48]</x:v>
      </x:c>
      <x:c r="D8" s="30" t="str">
        <x:v>F32</x:v>
      </x:c>
      <x:c r="E8" s="32" t="n">
        <x:v>4</x:v>
      </x:c>
      <x:c r="F8" s="33" t="n">
        <x:v>3</x:v>
      </x:c>
      <x:c r="G8" s="33" t="n">
        <x:v>4608</x:v>
      </x:c>
      <x:c r="H8" s="33" t="str">
        <x:v>TP</x:v>
      </x:c>
      <x:c r="I8" s="33" t="n">
        <x:f>'Decode'!$P$12</x:f>
        <x:v>8</x:v>
      </x:c>
      <x:c r="J8" s="34" t="n">
        <x:f>E8*F8*G8/1073741824</x:f>
        <x:v>0.0000514984130859375</x:v>
      </x:c>
      <x:c r="K8" s="34" t="n">
        <x:f>J8/I8</x:f>
        <x:v>0.0000064373016357421875</x:v>
      </x:c>
      <x:c r="L8" s="30"/>
      <x:c r="M8" s="30"/>
      <x:c r="N8" s="30"/>
      <x:c r="O8" s="35" t="str">
        <x:v>本 Step 采样行数</x:v>
      </x:c>
      <x:c r="P8" s="37" t="n">
        <x:f>MIN($P$7,$P$3*($P$6+1))</x:f>
        <x:v>256</x:v>
      </x:c>
    </x:row>
    <x:row r="9">
      <x:c r="A9" s="30" t="str">
        <x:v>Dense MLP</x:v>
      </x:c>
      <x:c r="B9" s="30" t="str">
        <x:v>mlp.up_proj.weight</x:v>
      </x:c>
      <x:c r="C9" s="30" t="str">
        <x:v>[12288, 6144]</x:v>
      </x:c>
      <x:c r="D9" s="30" t="str">
        <x:v>FP8 E4M3</x:v>
      </x:c>
      <x:c r="E9" s="32" t="n">
        <x:v>1</x:v>
      </x:c>
      <x:c r="F9" s="33" t="n">
        <x:v>3</x:v>
      </x:c>
      <x:c r="G9" s="33" t="n">
        <x:v>75497472</x:v>
      </x:c>
      <x:c r="H9" s="33" t="str">
        <x:v>TP</x:v>
      </x:c>
      <x:c r="I9" s="33" t="n">
        <x:f>'Decode'!$P$12</x:f>
        <x:v>8</x:v>
      </x:c>
      <x:c r="J9" s="34" t="n">
        <x:f>E9*F9*G9/1073741824</x:f>
        <x:v>0.2109375</x:v>
      </x:c>
      <x:c r="K9" s="34" t="n">
        <x:f>J9/I9</x:f>
        <x:v>0.0263671875</x:v>
      </x:c>
      <x:c r="L9" s="30"/>
      <x:c r="M9" s="30"/>
      <x:c r="N9" s="30"/>
      <x:c r="O9" s="30"/>
      <x:c r="P9" s="30"/>
    </x:row>
    <x:row r="10">
      <x:c r="A10" s="30" t="str">
        <x:v>Dense MLP</x:v>
      </x:c>
      <x:c r="B10" s="30" t="str">
        <x:v>mlp.up_proj.weight_scale</x:v>
      </x:c>
      <x:c r="C10" s="30" t="str">
        <x:v>[96, 48]</x:v>
      </x:c>
      <x:c r="D10" s="30" t="str">
        <x:v>F32</x:v>
      </x:c>
      <x:c r="E10" s="32" t="n">
        <x:v>4</x:v>
      </x:c>
      <x:c r="F10" s="33" t="n">
        <x:v>3</x:v>
      </x:c>
      <x:c r="G10" s="33" t="n">
        <x:v>4608</x:v>
      </x:c>
      <x:c r="H10" s="33" t="str">
        <x:v>TP</x:v>
      </x:c>
      <x:c r="I10" s="33" t="n">
        <x:f>'Decode'!$P$12</x:f>
        <x:v>8</x:v>
      </x:c>
      <x:c r="J10" s="34" t="n">
        <x:f>E10*F10*G10/1073741824</x:f>
        <x:v>0.0000514984130859375</x:v>
      </x:c>
      <x:c r="K10" s="34" t="n">
        <x:f>J10/I10</x:f>
        <x:v>0.0000064373016357421875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Dense MLP</x:v>
      </x:c>
      <x:c r="B11" s="30" t="str">
        <x:v>mlp.down_proj.weight</x:v>
      </x:c>
      <x:c r="C11" s="30" t="str">
        <x:v>[6144, 12288]</x:v>
      </x:c>
      <x:c r="D11" s="30" t="str">
        <x:v>FP8 E4M3</x:v>
      </x:c>
      <x:c r="E11" s="32" t="n">
        <x:v>1</x:v>
      </x:c>
      <x:c r="F11" s="33" t="n">
        <x:v>3</x:v>
      </x:c>
      <x:c r="G11" s="33" t="n">
        <x:v>75497472</x:v>
      </x:c>
      <x:c r="H11" s="33" t="str">
        <x:v>TP</x:v>
      </x:c>
      <x:c r="I11" s="33" t="n">
        <x:f>'Decode'!$P$12</x:f>
        <x:v>8</x:v>
      </x:c>
      <x:c r="J11" s="34" t="n">
        <x:f>E11*F11*G11/1073741824</x:f>
        <x:v>0.2109375</x:v>
      </x:c>
      <x:c r="K11" s="34" t="n">
        <x:f>J11/I11</x:f>
        <x:v>0.0263671875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Dense MLP</x:v>
      </x:c>
      <x:c r="B12" s="30" t="str">
        <x:v>mlp.down_proj.weight_scale</x:v>
      </x:c>
      <x:c r="C12" s="30" t="str">
        <x:v>[48, 96]</x:v>
      </x:c>
      <x:c r="D12" s="30" t="str">
        <x:v>F32</x:v>
      </x:c>
      <x:c r="E12" s="32" t="n">
        <x:v>4</x:v>
      </x:c>
      <x:c r="F12" s="33" t="n">
        <x:v>3</x:v>
      </x:c>
      <x:c r="G12" s="33" t="n">
        <x:v>4608</x:v>
      </x:c>
      <x:c r="H12" s="33" t="str">
        <x:v>TP</x:v>
      </x:c>
      <x:c r="I12" s="33" t="n">
        <x:f>'Decode'!$P$12</x:f>
        <x:v>8</x:v>
      </x:c>
      <x:c r="J12" s="34" t="n">
        <x:f>E12*F12*G12/1073741824</x:f>
        <x:v>0.0000514984130859375</x:v>
      </x:c>
      <x:c r="K12" s="34" t="n">
        <x:f>J12/I12</x:f>
        <x:v>0.0000064373016357421875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MoE Router</x:v>
      </x:c>
      <x:c r="B13" s="30" t="str">
        <x:v>mlp.gate.weight</x:v>
      </x:c>
      <x:c r="C13" s="30" t="str">
        <x:v>[256, 6144]</x:v>
      </x:c>
      <x:c r="D13" s="30" t="str">
        <x:v>BF16</x:v>
      </x:c>
      <x:c r="E13" s="32" t="n">
        <x:v>2</x:v>
      </x:c>
      <x:c r="F13" s="33" t="n">
        <x:v>76</x:v>
      </x:c>
      <x:c r="G13" s="33" t="n">
        <x:v>1572864</x:v>
      </x:c>
      <x:c r="H13" s="33" t="str">
        <x:v>Replicated</x:v>
      </x:c>
      <x:c r="I13" s="33" t="n">
        <x:f>1</x:f>
        <x:v>1</x:v>
      </x:c>
      <x:c r="J13" s="34" t="n">
        <x:f>E13*F13*G13/1073741824</x:f>
        <x:v>0.22265625</x:v>
      </x:c>
      <x:c r="K13" s="34" t="n">
        <x:f>J13/I13</x:f>
        <x:v>0.22265625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MoE Router</x:v>
      </x:c>
      <x:c r="B14" s="30" t="str">
        <x:v>mlp.gate.e_score_correction_bias</x:v>
      </x:c>
      <x:c r="C14" s="30" t="str">
        <x:v>[256]</x:v>
      </x:c>
      <x:c r="D14" s="30" t="str">
        <x:v>F32</x:v>
      </x:c>
      <x:c r="E14" s="32" t="n">
        <x:v>4</x:v>
      </x:c>
      <x:c r="F14" s="33" t="n">
        <x:v>76</x:v>
      </x:c>
      <x:c r="G14" s="33" t="n">
        <x:v>256</x:v>
      </x:c>
      <x:c r="H14" s="33" t="str">
        <x:v>Replicated</x:v>
      </x:c>
      <x:c r="I14" s="33" t="n">
        <x:f>1</x:f>
        <x:v>1</x:v>
      </x:c>
      <x:c r="J14" s="34" t="n">
        <x:f>E14*F14*G14/1073741824</x:f>
        <x:v>0.000072479248046875</x:v>
      </x:c>
      <x:c r="K14" s="34" t="n">
        <x:f>J14/I14</x:f>
        <x:v>0.000072479248046875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Routed Experts</x:v>
      </x:c>
      <x:c r="B15" s="30" t="str">
        <x:v>mlp.experts.gate_proj.weight</x:v>
      </x:c>
      <x:c r="C15" s="30" t="str">
        <x:v>[2048, 6144]</x:v>
      </x:c>
      <x:c r="D15" s="30" t="str">
        <x:v>FP8 E4M3</x:v>
      </x:c>
      <x:c r="E15" s="32" t="n">
        <x:v>1</x:v>
      </x:c>
      <x:c r="F15" s="33" t="n">
        <x:v>19456</x:v>
      </x:c>
      <x:c r="G15" s="33" t="n">
        <x:v>12582912</x:v>
      </x:c>
      <x:c r="H15" s="33" t="str">
        <x:v>EP</x:v>
      </x:c>
      <x:c r="I15" s="33" t="n">
        <x:f>'Decode'!$P$14</x:f>
        <x:v>8</x:v>
      </x:c>
      <x:c r="J15" s="34" t="n">
        <x:f>E15*F15*G15/1073741824</x:f>
        <x:v>228</x:v>
      </x:c>
      <x:c r="K15" s="34" t="n">
        <x:f>J15/I15</x:f>
        <x:v>28.5</x:v>
      </x:c>
      <x:c r="L15" s="30"/>
      <x:c r="M15" s="30"/>
      <x:c r="N15" s="30"/>
      <x:c r="O15" s="35"/>
      <x:c r="P15" s="35"/>
    </x:row>
    <x:row r="16">
      <x:c r="A16" s="30" t="str">
        <x:v>Routed Experts</x:v>
      </x:c>
      <x:c r="B16" s="30" t="str">
        <x:v>mlp.experts.gate_proj.weight_scale</x:v>
      </x:c>
      <x:c r="C16" s="30" t="str">
        <x:v>[16, 48]</x:v>
      </x:c>
      <x:c r="D16" s="30" t="str">
        <x:v>F32</x:v>
      </x:c>
      <x:c r="E16" s="32" t="n">
        <x:v>4</x:v>
      </x:c>
      <x:c r="F16" s="33" t="n">
        <x:v>19456</x:v>
      </x:c>
      <x:c r="G16" s="33" t="n">
        <x:v>768</x:v>
      </x:c>
      <x:c r="H16" s="33" t="str">
        <x:v>EP</x:v>
      </x:c>
      <x:c r="I16" s="33" t="n">
        <x:f>'Decode'!$P$14</x:f>
        <x:v>8</x:v>
      </x:c>
      <x:c r="J16" s="34" t="n">
        <x:f>E16*F16*G16/1073741824</x:f>
        <x:v>0.0556640625</x:v>
      </x:c>
      <x:c r="K16" s="34" t="n">
        <x:f>J16/I16</x:f>
        <x:v>0.0069580078125</x:v>
      </x:c>
      <x:c r="L16" s="30"/>
      <x:c r="M16" s="30"/>
      <x:c r="N16" s="30"/>
      <x:c r="O16" s="35"/>
      <x:c r="P16" s="35"/>
    </x:row>
    <x:row r="17">
      <x:c r="A17" s="30" t="str">
        <x:v>Routed Experts</x:v>
      </x:c>
      <x:c r="B17" s="30" t="str">
        <x:v>mlp.experts.up_proj.weight</x:v>
      </x:c>
      <x:c r="C17" s="30" t="str">
        <x:v>[2048, 6144]</x:v>
      </x:c>
      <x:c r="D17" s="30" t="str">
        <x:v>FP8 E4M3</x:v>
      </x:c>
      <x:c r="E17" s="32" t="n">
        <x:v>1</x:v>
      </x:c>
      <x:c r="F17" s="33" t="n">
        <x:v>19456</x:v>
      </x:c>
      <x:c r="G17" s="33" t="n">
        <x:v>12582912</x:v>
      </x:c>
      <x:c r="H17" s="33" t="str">
        <x:v>EP</x:v>
      </x:c>
      <x:c r="I17" s="33" t="n">
        <x:f>'Decode'!$P$14</x:f>
        <x:v>8</x:v>
      </x:c>
      <x:c r="J17" s="34" t="n">
        <x:f>E17*F17*G17/1073741824</x:f>
        <x:v>228</x:v>
      </x:c>
      <x:c r="K17" s="34" t="n">
        <x:f>J17/I17</x:f>
        <x:v>28.5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Routed Experts</x:v>
      </x:c>
      <x:c r="B18" s="30" t="str">
        <x:v>mlp.experts.up_proj.weight_scale</x:v>
      </x:c>
      <x:c r="C18" s="30" t="str">
        <x:v>[16, 48]</x:v>
      </x:c>
      <x:c r="D18" s="30" t="str">
        <x:v>F32</x:v>
      </x:c>
      <x:c r="E18" s="32" t="n">
        <x:v>4</x:v>
      </x:c>
      <x:c r="F18" s="33" t="n">
        <x:v>19456</x:v>
      </x:c>
      <x:c r="G18" s="33" t="n">
        <x:v>768</x:v>
      </x:c>
      <x:c r="H18" s="33" t="str">
        <x:v>EP</x:v>
      </x:c>
      <x:c r="I18" s="33" t="n">
        <x:f>'Decode'!$P$14</x:f>
        <x:v>8</x:v>
      </x:c>
      <x:c r="J18" s="34" t="n">
        <x:f>E18*F18*G18/1073741824</x:f>
        <x:v>0.0556640625</x:v>
      </x:c>
      <x:c r="K18" s="34" t="n">
        <x:f>J18/I18</x:f>
        <x:v>0.0069580078125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Routed Experts</x:v>
      </x:c>
      <x:c r="B19" s="30" t="str">
        <x:v>mlp.experts.down_proj.weight</x:v>
      </x:c>
      <x:c r="C19" s="30" t="str">
        <x:v>[6144, 2048]</x:v>
      </x:c>
      <x:c r="D19" s="30" t="str">
        <x:v>FP8 E4M3</x:v>
      </x:c>
      <x:c r="E19" s="32" t="n">
        <x:v>1</x:v>
      </x:c>
      <x:c r="F19" s="33" t="n">
        <x:v>19456</x:v>
      </x:c>
      <x:c r="G19" s="33" t="n">
        <x:v>12582912</x:v>
      </x:c>
      <x:c r="H19" s="33" t="str">
        <x:v>EP</x:v>
      </x:c>
      <x:c r="I19" s="33" t="n">
        <x:f>'Decode'!$P$14</x:f>
        <x:v>8</x:v>
      </x:c>
      <x:c r="J19" s="34" t="n">
        <x:f>E19*F19*G19/1073741824</x:f>
        <x:v>228</x:v>
      </x:c>
      <x:c r="K19" s="34" t="n">
        <x:f>J19/I19</x:f>
        <x:v>28.5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Routed Experts</x:v>
      </x:c>
      <x:c r="B20" s="30" t="str">
        <x:v>mlp.experts.down_proj.weight_scale</x:v>
      </x:c>
      <x:c r="C20" s="30" t="str">
        <x:v>[48, 16]</x:v>
      </x:c>
      <x:c r="D20" s="30" t="str">
        <x:v>F32</x:v>
      </x:c>
      <x:c r="E20" s="32" t="n">
        <x:v>4</x:v>
      </x:c>
      <x:c r="F20" s="33" t="n">
        <x:v>19456</x:v>
      </x:c>
      <x:c r="G20" s="33" t="n">
        <x:v>768</x:v>
      </x:c>
      <x:c r="H20" s="33" t="str">
        <x:v>EP</x:v>
      </x:c>
      <x:c r="I20" s="33" t="n">
        <x:f>'Decode'!$P$14</x:f>
        <x:v>8</x:v>
      </x:c>
      <x:c r="J20" s="34" t="n">
        <x:f>E20*F20*G20/1073741824</x:f>
        <x:v>0.0556640625</x:v>
      </x:c>
      <x:c r="K20" s="34" t="n">
        <x:f>J20/I20</x:f>
        <x:v>0.0069580078125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Shared Experts</x:v>
      </x:c>
      <x:c r="B21" s="30" t="str">
        <x:v>mlp.shared_experts.gate_proj.weight</x:v>
      </x:c>
      <x:c r="C21" s="30" t="str">
        <x:v>[2048, 6144]</x:v>
      </x:c>
      <x:c r="D21" s="30" t="str">
        <x:v>FP8 E4M3</x:v>
      </x:c>
      <x:c r="E21" s="32" t="n">
        <x:v>1</x:v>
      </x:c>
      <x:c r="F21" s="33" t="n">
        <x:v>76</x:v>
      </x:c>
      <x:c r="G21" s="33" t="n">
        <x:v>12582912</x:v>
      </x:c>
      <x:c r="H21" s="33" t="str">
        <x:v>共享专家 TP/DP</x:v>
      </x:c>
      <x:c r="I21" s="33" t="n">
        <x:f>IF('Decode'!$P$17="TP",'Decode'!$P$18,1)</x:f>
        <x:v>8</x:v>
      </x:c>
      <x:c r="J21" s="34" t="n">
        <x:f>E21*F21*G21/1073741824</x:f>
        <x:v>0.890625</x:v>
      </x:c>
      <x:c r="K21" s="34" t="n">
        <x:f>J21/I21</x:f>
        <x:v>0.111328125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Shared Experts</x:v>
      </x:c>
      <x:c r="B22" s="30" t="str">
        <x:v>mlp.shared_experts.gate_proj.weight_scale</x:v>
      </x:c>
      <x:c r="C22" s="30" t="str">
        <x:v>[16, 48]</x:v>
      </x:c>
      <x:c r="D22" s="30" t="str">
        <x:v>F32</x:v>
      </x:c>
      <x:c r="E22" s="32" t="n">
        <x:v>4</x:v>
      </x:c>
      <x:c r="F22" s="33" t="n">
        <x:v>76</x:v>
      </x:c>
      <x:c r="G22" s="33" t="n">
        <x:v>768</x:v>
      </x:c>
      <x:c r="H22" s="33" t="str">
        <x:v>共享专家 TP/DP</x:v>
      </x:c>
      <x:c r="I22" s="33" t="n">
        <x:f>IF('Decode'!$P$17="TP",'Decode'!$P$18,1)</x:f>
        <x:v>8</x:v>
      </x:c>
      <x:c r="J22" s="34" t="n">
        <x:f>E22*F22*G22/1073741824</x:f>
        <x:v>0.000217437744140625</x:v>
      </x:c>
      <x:c r="K22" s="34" t="n">
        <x:f>J22/I22</x:f>
        <x:v>0.000027179718017578125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Shared Experts</x:v>
      </x:c>
      <x:c r="B23" s="30" t="str">
        <x:v>mlp.shared_experts.up_proj.weight</x:v>
      </x:c>
      <x:c r="C23" s="30" t="str">
        <x:v>[2048, 6144]</x:v>
      </x:c>
      <x:c r="D23" s="30" t="str">
        <x:v>FP8 E4M3</x:v>
      </x:c>
      <x:c r="E23" s="32" t="n">
        <x:v>1</x:v>
      </x:c>
      <x:c r="F23" s="33" t="n">
        <x:v>76</x:v>
      </x:c>
      <x:c r="G23" s="33" t="n">
        <x:v>12582912</x:v>
      </x:c>
      <x:c r="H23" s="33" t="str">
        <x:v>共享专家 TP/DP</x:v>
      </x:c>
      <x:c r="I23" s="33" t="n">
        <x:f>IF('Decode'!$P$17="TP",'Decode'!$P$18,1)</x:f>
        <x:v>8</x:v>
      </x:c>
      <x:c r="J23" s="34" t="n">
        <x:f>E23*F23*G23/1073741824</x:f>
        <x:v>0.890625</x:v>
      </x:c>
      <x:c r="K23" s="34" t="n">
        <x:f>J23/I23</x:f>
        <x:v>0.111328125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Shared Experts</x:v>
      </x:c>
      <x:c r="B24" s="30" t="str">
        <x:v>mlp.shared_experts.up_proj.weight_scale</x:v>
      </x:c>
      <x:c r="C24" s="30" t="str">
        <x:v>[16, 48]</x:v>
      </x:c>
      <x:c r="D24" s="30" t="str">
        <x:v>F32</x:v>
      </x:c>
      <x:c r="E24" s="32" t="n">
        <x:v>4</x:v>
      </x:c>
      <x:c r="F24" s="33" t="n">
        <x:v>76</x:v>
      </x:c>
      <x:c r="G24" s="33" t="n">
        <x:v>768</x:v>
      </x:c>
      <x:c r="H24" s="33" t="str">
        <x:v>共享专家 TP/DP</x:v>
      </x:c>
      <x:c r="I24" s="33" t="n">
        <x:f>IF('Decode'!$P$17="TP",'Decode'!$P$18,1)</x:f>
        <x:v>8</x:v>
      </x:c>
      <x:c r="J24" s="34" t="n">
        <x:f>E24*F24*G24/1073741824</x:f>
        <x:v>0.000217437744140625</x:v>
      </x:c>
      <x:c r="K24" s="34" t="n">
        <x:f>J24/I24</x:f>
        <x:v>0.000027179718017578125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Shared Experts</x:v>
      </x:c>
      <x:c r="B25" s="30" t="str">
        <x:v>mlp.shared_experts.down_proj.weight</x:v>
      </x:c>
      <x:c r="C25" s="30" t="str">
        <x:v>[6144, 2048]</x:v>
      </x:c>
      <x:c r="D25" s="30" t="str">
        <x:v>FP8 E4M3</x:v>
      </x:c>
      <x:c r="E25" s="32" t="n">
        <x:v>1</x:v>
      </x:c>
      <x:c r="F25" s="33" t="n">
        <x:v>76</x:v>
      </x:c>
      <x:c r="G25" s="33" t="n">
        <x:v>12582912</x:v>
      </x:c>
      <x:c r="H25" s="33" t="str">
        <x:v>共享专家 TP/DP</x:v>
      </x:c>
      <x:c r="I25" s="33" t="n">
        <x:f>IF('Decode'!$P$17="TP",'Decode'!$P$18,1)</x:f>
        <x:v>8</x:v>
      </x:c>
      <x:c r="J25" s="34" t="n">
        <x:f>E25*F25*G25/1073741824</x:f>
        <x:v>0.890625</x:v>
      </x:c>
      <x:c r="K25" s="34" t="n">
        <x:f>J25/I25</x:f>
        <x:v>0.111328125</x:v>
      </x:c>
      <x:c r="L25" s="30"/>
      <x:c r="M25" s="30"/>
      <x:c r="N25" s="30"/>
      <x:c r="O25" s="35" t="str">
        <x:v>DSA CP（0/1）</x:v>
      </x:c>
      <x:c r="P25" s="36" t="n">
        <x:v>1</x:v>
      </x:c>
    </x:row>
    <x:row r="26">
      <x:c r="A26" s="30" t="str">
        <x:v>Shared Experts</x:v>
      </x:c>
      <x:c r="B26" s="30" t="str">
        <x:v>mlp.shared_experts.down_proj.weight_scale</x:v>
      </x:c>
      <x:c r="C26" s="30" t="str">
        <x:v>[48, 16]</x:v>
      </x:c>
      <x:c r="D26" s="30" t="str">
        <x:v>F32</x:v>
      </x:c>
      <x:c r="E26" s="32" t="n">
        <x:v>4</x:v>
      </x:c>
      <x:c r="F26" s="33" t="n">
        <x:v>76</x:v>
      </x:c>
      <x:c r="G26" s="33" t="n">
        <x:v>768</x:v>
      </x:c>
      <x:c r="H26" s="33" t="str">
        <x:v>共享专家 TP/DP</x:v>
      </x:c>
      <x:c r="I26" s="33" t="n">
        <x:f>IF('Decode'!$P$17="TP",'Decode'!$P$18,1)</x:f>
        <x:v>8</x:v>
      </x:c>
      <x:c r="J26" s="34" t="n">
        <x:f>E26*F26*G26/1073741824</x:f>
        <x:v>0.000217437744140625</x:v>
      </x:c>
      <x:c r="K26" s="34" t="n">
        <x:f>J26/I26</x:f>
        <x:v>0.000027179718017578125</x:v>
      </x:c>
      <x:c r="L26" s="30"/>
      <x:c r="M26" s="30"/>
      <x:c r="N26" s="30"/>
      <x:c r="O26" s="30"/>
      <x:c r="P26" s="30"/>
    </x:row>
    <x:row r="27">
      <x:c r="A27" s="30" t="str">
        <x:v>MLA</x:v>
      </x:c>
      <x:c r="B27" s="30" t="str">
        <x:v>q_a_proj.weight</x:v>
      </x:c>
      <x:c r="C27" s="30" t="str">
        <x:v>[2048, 6144]</x:v>
      </x:c>
      <x:c r="D27" s="30" t="str">
        <x:v>FP8 E4M3</x:v>
      </x:c>
      <x:c r="E27" s="32" t="n">
        <x:v>1</x:v>
      </x:c>
      <x:c r="F27" s="33" t="n">
        <x:v>79</x:v>
      </x:c>
      <x:c r="G27" s="33" t="n">
        <x:v>12582912</x:v>
      </x:c>
      <x:c r="H27" s="33" t="str">
        <x:v>Replicated</x:v>
      </x:c>
      <x:c r="I27" s="33" t="n">
        <x:f>1</x:f>
        <x:v>1</x:v>
      </x:c>
      <x:c r="J27" s="34" t="n">
        <x:f>E27*F27*G27/1073741824</x:f>
        <x:v>0.92578125</x:v>
      </x:c>
      <x:c r="K27" s="34" t="n">
        <x:f>J27/I27</x:f>
        <x:v>0.92578125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MLA</x:v>
      </x:c>
      <x:c r="B28" s="30" t="str">
        <x:v>q_a_proj.weight_scale</x:v>
      </x:c>
      <x:c r="C28" s="30" t="str">
        <x:v>[16, 48]</x:v>
      </x:c>
      <x:c r="D28" s="30" t="str">
        <x:v>F32</x:v>
      </x:c>
      <x:c r="E28" s="32" t="n">
        <x:v>4</x:v>
      </x:c>
      <x:c r="F28" s="33" t="n">
        <x:v>79</x:v>
      </x:c>
      <x:c r="G28" s="33" t="n">
        <x:v>768</x:v>
      </x:c>
      <x:c r="H28" s="33" t="str">
        <x:v>Replicated</x:v>
      </x:c>
      <x:c r="I28" s="33" t="n">
        <x:f>1</x:f>
        <x:v>1</x:v>
      </x:c>
      <x:c r="J28" s="34" t="n">
        <x:f>E28*F28*G28/1073741824</x:f>
        <x:v>0.00022602081298828125</x:v>
      </x:c>
      <x:c r="K28" s="34" t="n">
        <x:f>J28/I28</x:f>
        <x:v>0.00022602081298828125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MLA</x:v>
      </x:c>
      <x:c r="B29" s="30" t="str">
        <x:v>q_a_layernorm.weight</x:v>
      </x:c>
      <x:c r="C29" s="30" t="str">
        <x:v>[2048]</x:v>
      </x:c>
      <x:c r="D29" s="30" t="str">
        <x:v>BF16</x:v>
      </x:c>
      <x:c r="E29" s="32" t="n">
        <x:v>2</x:v>
      </x:c>
      <x:c r="F29" s="33" t="n">
        <x:v>79</x:v>
      </x:c>
      <x:c r="G29" s="33" t="n">
        <x:v>2048</x:v>
      </x:c>
      <x:c r="H29" s="33" t="str">
        <x:v>Replicated</x:v>
      </x:c>
      <x:c r="I29" s="33" t="n">
        <x:f>1</x:f>
        <x:v>1</x:v>
      </x:c>
      <x:c r="J29" s="34" t="n">
        <x:f>E29*F29*G29/1073741824</x:f>
        <x:v>0.000301361083984375</x:v>
      </x:c>
      <x:c r="K29" s="34" t="n">
        <x:f>J29/I29</x:f>
        <x:v>0.000301361083984375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MLA</x:v>
      </x:c>
      <x:c r="B30" s="30" t="str">
        <x:v>q_b_proj.weight</x:v>
      </x:c>
      <x:c r="C30" s="30" t="str">
        <x:v>[16384, 2048]</x:v>
      </x:c>
      <x:c r="D30" s="30" t="str">
        <x:v>FP8 E4M3</x:v>
      </x:c>
      <x:c r="E30" s="32" t="n">
        <x:v>1</x:v>
      </x:c>
      <x:c r="F30" s="33" t="n">
        <x:v>79</x:v>
      </x:c>
      <x:c r="G30" s="33" t="n">
        <x:v>33554432</x:v>
      </x:c>
      <x:c r="H30" s="33" t="str">
        <x:v>DSA CP / TP</x:v>
      </x:c>
      <x:c r="I30" s="33" t="n">
        <x:f>IF('Decode'!$P$25&lt;&gt;0,1,'Decode'!$P$12)</x:f>
        <x:v>1</x:v>
      </x:c>
      <x:c r="J30" s="34" t="n">
        <x:f>E30*F30*G30/1073741824</x:f>
        <x:v>2.46875</x:v>
      </x:c>
      <x:c r="K30" s="34" t="n">
        <x:f>J30/I30</x:f>
        <x:v>2.46875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MLA</x:v>
      </x:c>
      <x:c r="B31" s="30" t="str">
        <x:v>q_b_proj.weight_scale</x:v>
      </x:c>
      <x:c r="C31" s="30" t="str">
        <x:v>[128, 16]</x:v>
      </x:c>
      <x:c r="D31" s="30" t="str">
        <x:v>F32</x:v>
      </x:c>
      <x:c r="E31" s="32" t="n">
        <x:v>4</x:v>
      </x:c>
      <x:c r="F31" s="33" t="n">
        <x:v>79</x:v>
      </x:c>
      <x:c r="G31" s="33" t="n">
        <x:v>2048</x:v>
      </x:c>
      <x:c r="H31" s="33" t="str">
        <x:v>DSA CP / TP</x:v>
      </x:c>
      <x:c r="I31" s="33" t="n">
        <x:f>IF('Decode'!$P$25&lt;&gt;0,1,'Decode'!$P$12)</x:f>
        <x:v>1</x:v>
      </x:c>
      <x:c r="J31" s="34" t="n">
        <x:f>E31*F31*G31/1073741824</x:f>
        <x:v>0.00060272216796875</x:v>
      </x:c>
      <x:c r="K31" s="34" t="n">
        <x:f>J31/I31</x:f>
        <x:v>0.00060272216796875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MLA</x:v>
      </x:c>
      <x:c r="B32" s="30" t="str">
        <x:v>kv_a_proj_with_mqa.weight</x:v>
      </x:c>
      <x:c r="C32" s="30" t="str">
        <x:v>[576, 6144]</x:v>
      </x:c>
      <x:c r="D32" s="30" t="str">
        <x:v>FP8 E4M3</x:v>
      </x:c>
      <x:c r="E32" s="32" t="n">
        <x:v>1</x:v>
      </x:c>
      <x:c r="F32" s="33" t="n">
        <x:v>79</x:v>
      </x:c>
      <x:c r="G32" s="33" t="n">
        <x:v>3538944</x:v>
      </x:c>
      <x:c r="H32" s="33" t="str">
        <x:v>Replicated</x:v>
      </x:c>
      <x:c r="I32" s="33" t="n">
        <x:f>1</x:f>
        <x:v>1</x:v>
      </x:c>
      <x:c r="J32" s="34" t="n">
        <x:f>E32*F32*G32/1073741824</x:f>
        <x:v>0.2603759765625</x:v>
      </x:c>
      <x:c r="K32" s="34" t="n">
        <x:f>J32/I32</x:f>
        <x:v>0.2603759765625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MLA</x:v>
      </x:c>
      <x:c r="B33" s="30" t="str">
        <x:v>kv_a_proj_with_mqa.weight_scale</x:v>
      </x:c>
      <x:c r="C33" s="30" t="str">
        <x:v>[5, 48]</x:v>
      </x:c>
      <x:c r="D33" s="30" t="str">
        <x:v>F32</x:v>
      </x:c>
      <x:c r="E33" s="32" t="n">
        <x:v>4</x:v>
      </x:c>
      <x:c r="F33" s="33" t="n">
        <x:v>79</x:v>
      </x:c>
      <x:c r="G33" s="33" t="n">
        <x:v>240</x:v>
      </x:c>
      <x:c r="H33" s="33" t="str">
        <x:v>Replicated</x:v>
      </x:c>
      <x:c r="I33" s="33" t="n">
        <x:f>1</x:f>
        <x:v>1</x:v>
      </x:c>
      <x:c r="J33" s="34" t="n">
        <x:f>E33*F33*G33/1073741824</x:f>
        <x:v>0.00007063150405883789</x:v>
      </x:c>
      <x:c r="K33" s="34" t="n">
        <x:f>J33/I33</x:f>
        <x:v>0.00007063150405883789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MLA</x:v>
      </x:c>
      <x:c r="B34" s="30" t="str">
        <x:v>kv_a_layernorm.weight</x:v>
      </x:c>
      <x:c r="C34" s="30" t="str">
        <x:v>[512]</x:v>
      </x:c>
      <x:c r="D34" s="30" t="str">
        <x:v>BF16</x:v>
      </x:c>
      <x:c r="E34" s="32" t="n">
        <x:v>2</x:v>
      </x:c>
      <x:c r="F34" s="33" t="n">
        <x:v>79</x:v>
      </x:c>
      <x:c r="G34" s="33" t="n">
        <x:v>512</x:v>
      </x:c>
      <x:c r="H34" s="33" t="str">
        <x:v>Replicated</x:v>
      </x:c>
      <x:c r="I34" s="33" t="n">
        <x:f>1</x:f>
        <x:v>1</x:v>
      </x:c>
      <x:c r="J34" s="34" t="n">
        <x:f>E34*F34*G34/1073741824</x:f>
        <x:v>0.00007534027099609375</x:v>
      </x:c>
      <x:c r="K34" s="34" t="n">
        <x:f>J34/I34</x:f>
        <x:v>0.00007534027099609375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MLA</x:v>
      </x:c>
      <x:c r="B35" s="30" t="str">
        <x:v>kv_b_proj.weight</x:v>
      </x:c>
      <x:c r="C35" s="30" t="str">
        <x:v>[28672, 512]</x:v>
      </x:c>
      <x:c r="D35" s="30" t="str">
        <x:v>FP8 E4M3</x:v>
      </x:c>
      <x:c r="E35" s="32" t="n">
        <x:v>1</x:v>
      </x:c>
      <x:c r="F35" s="33" t="n">
        <x:v>79</x:v>
      </x:c>
      <x:c r="G35" s="33" t="n">
        <x:v>14680064</x:v>
      </x:c>
      <x:c r="H35" s="33" t="str">
        <x:v>DSA CP / TP</x:v>
      </x:c>
      <x:c r="I35" s="33" t="n">
        <x:f>IF('Decode'!$P$25&lt;&gt;0,1,'Decode'!$P$12)</x:f>
        <x:v>1</x:v>
      </x:c>
      <x:c r="J35" s="34" t="n">
        <x:f>E35*F35*G35/1073741824</x:f>
        <x:v>1.080078125</x:v>
      </x:c>
      <x:c r="K35" s="34" t="n">
        <x:f>J35/I35</x:f>
        <x:v>1.080078125</x:v>
      </x:c>
      <x:c r="L35" s="30"/>
      <x:c r="M35" s="30"/>
      <x:c r="N35" s="30"/>
      <x:c r="O35" s="30"/>
      <x:c r="P35" s="30"/>
    </x:row>
    <x:row r="36">
      <x:c r="A36" s="30" t="str">
        <x:v>MLA</x:v>
      </x:c>
      <x:c r="B36" s="30" t="str">
        <x:v>kv_b_proj.weight_scale</x:v>
      </x:c>
      <x:c r="C36" s="30" t="str">
        <x:v>[224, 4]</x:v>
      </x:c>
      <x:c r="D36" s="30" t="str">
        <x:v>F32</x:v>
      </x:c>
      <x:c r="E36" s="32" t="n">
        <x:v>4</x:v>
      </x:c>
      <x:c r="F36" s="33" t="n">
        <x:v>79</x:v>
      </x:c>
      <x:c r="G36" s="33" t="n">
        <x:v>896</x:v>
      </x:c>
      <x:c r="H36" s="33" t="str">
        <x:v>DSA CP / TP</x:v>
      </x:c>
      <x:c r="I36" s="33" t="n">
        <x:f>IF('Decode'!$P$25&lt;&gt;0,1,'Decode'!$P$12)</x:f>
        <x:v>1</x:v>
      </x:c>
      <x:c r="J36" s="34" t="n">
        <x:f>E36*F36*G36/1073741824</x:f>
        <x:v>0.0002636909484863281</x:v>
      </x:c>
      <x:c r="K36" s="34" t="n">
        <x:f>J36/I36</x:f>
        <x:v>0.0002636909484863281</x:v>
      </x:c>
      <x:c r="L36" s="30"/>
      <x:c r="M36" s="30"/>
      <x:c r="N36" s="30"/>
      <x:c r="O36" s="30"/>
      <x:c r="P36" s="30"/>
    </x:row>
    <x:row r="37">
      <x:c r="A37" s="30" t="str">
        <x:v>MLA</x:v>
      </x:c>
      <x:c r="B37" s="30" t="str">
        <x:v>o_proj.weight</x:v>
      </x:c>
      <x:c r="C37" s="30" t="str">
        <x:v>[6144, 16384]</x:v>
      </x:c>
      <x:c r="D37" s="30" t="str">
        <x:v>FP8 E4M3</x:v>
      </x:c>
      <x:c r="E37" s="32" t="n">
        <x:v>1</x:v>
      </x:c>
      <x:c r="F37" s="33" t="n">
        <x:v>79</x:v>
      </x:c>
      <x:c r="G37" s="33" t="n">
        <x:v>100663296</x:v>
      </x:c>
      <x:c r="H37" s="33" t="str">
        <x:v>O Proj TP</x:v>
      </x:c>
      <x:c r="I37" s="33" t="n">
        <x:f>IF('Decode'!$P$19&gt;0,'Decode'!$P$19,'Decode'!$P$12)</x:f>
        <x:v>8</x:v>
      </x:c>
      <x:c r="J37" s="34" t="n">
        <x:f>E37*F37*G37/1073741824</x:f>
        <x:v>7.40625</x:v>
      </x:c>
      <x:c r="K37" s="34" t="n">
        <x:f>J37/I37</x:f>
        <x:v>0.92578125</x:v>
      </x:c>
      <x:c r="L37" s="30"/>
      <x:c r="M37" s="30"/>
      <x:c r="N37" s="30"/>
      <x:c r="O37" s="30"/>
      <x:c r="P37" s="30"/>
    </x:row>
    <x:row r="38">
      <x:c r="A38" s="30" t="str">
        <x:v>MLA</x:v>
      </x:c>
      <x:c r="B38" s="30" t="str">
        <x:v>o_proj.weight_scale</x:v>
      </x:c>
      <x:c r="C38" s="30" t="str">
        <x:v>[48, 128]</x:v>
      </x:c>
      <x:c r="D38" s="30" t="str">
        <x:v>F32</x:v>
      </x:c>
      <x:c r="E38" s="32" t="n">
        <x:v>4</x:v>
      </x:c>
      <x:c r="F38" s="33" t="n">
        <x:v>79</x:v>
      </x:c>
      <x:c r="G38" s="33" t="n">
        <x:v>6144</x:v>
      </x:c>
      <x:c r="H38" s="33" t="str">
        <x:v>O Proj TP</x:v>
      </x:c>
      <x:c r="I38" s="33" t="n">
        <x:f>IF('Decode'!$P$19&gt;0,'Decode'!$P$19,'Decode'!$P$12)</x:f>
        <x:v>8</x:v>
      </x:c>
      <x:c r="J38" s="34" t="n">
        <x:f>E38*F38*G38/1073741824</x:f>
        <x:v>0.00180816650390625</x:v>
      </x:c>
      <x:c r="K38" s="34" t="n">
        <x:f>J38/I38</x:f>
        <x:v>0.00022602081298828125</x:v>
      </x:c>
      <x:c r="L38" s="30"/>
      <x:c r="M38" s="30"/>
      <x:c r="N38" s="30"/>
      <x:c r="O38" s="30"/>
      <x:c r="P38" s="30"/>
    </x:row>
    <x:row r="39">
      <x:c r="A39" s="30" t="str">
        <x:v>Indexer</x:v>
      </x:c>
      <x:c r="B39" s="30" t="str">
        <x:v>indexer.k_norm.weight</x:v>
      </x:c>
      <x:c r="C39" s="30" t="str">
        <x:v>[128]</x:v>
      </x:c>
      <x:c r="D39" s="30" t="str">
        <x:v>BF16</x:v>
      </x:c>
      <x:c r="E39" s="32" t="n">
        <x:v>2</x:v>
      </x:c>
      <x:c r="F39" s="33" t="n">
        <x:v>22</x:v>
      </x:c>
      <x:c r="G39" s="33" t="n">
        <x:v>128</x:v>
      </x:c>
      <x:c r="H39" s="33" t="str">
        <x:v>Replicated</x:v>
      </x:c>
      <x:c r="I39" s="33" t="n">
        <x:f>1</x:f>
        <x:v>1</x:v>
      </x:c>
      <x:c r="J39" s="34" t="n">
        <x:f>E39*F39*G39/1073741824</x:f>
        <x:v>0.000005245208740234375</x:v>
      </x:c>
      <x:c r="K39" s="34" t="n">
        <x:f>J39/I39</x:f>
        <x:v>0.000005245208740234375</x:v>
      </x:c>
      <x:c r="L39" s="30"/>
      <x:c r="M39" s="30"/>
      <x:c r="N39" s="30"/>
      <x:c r="O39" s="30"/>
      <x:c r="P39" s="30"/>
    </x:row>
    <x:row r="40">
      <x:c r="A40" s="30" t="str">
        <x:v>Indexer</x:v>
      </x:c>
      <x:c r="B40" s="30" t="str">
        <x:v>indexer.k_norm.bias</x:v>
      </x:c>
      <x:c r="C40" s="30" t="str">
        <x:v>[128]</x:v>
      </x:c>
      <x:c r="D40" s="30" t="str">
        <x:v>BF16</x:v>
      </x:c>
      <x:c r="E40" s="32" t="n">
        <x:v>2</x:v>
      </x:c>
      <x:c r="F40" s="33" t="n">
        <x:v>22</x:v>
      </x:c>
      <x:c r="G40" s="33" t="n">
        <x:v>128</x:v>
      </x:c>
      <x:c r="H40" s="33" t="str">
        <x:v>Replicated</x:v>
      </x:c>
      <x:c r="I40" s="33" t="n">
        <x:f>1</x:f>
        <x:v>1</x:v>
      </x:c>
      <x:c r="J40" s="34" t="n">
        <x:f>E40*F40*G40/1073741824</x:f>
        <x:v>0.000005245208740234375</x:v>
      </x:c>
      <x:c r="K40" s="34" t="n">
        <x:f>J40/I40</x:f>
        <x:v>0.000005245208740234375</x:v>
      </x:c>
      <x:c r="L40" s="30"/>
      <x:c r="M40" s="30"/>
      <x:c r="N40" s="30"/>
      <x:c r="O40" s="30"/>
      <x:c r="P40" s="30"/>
    </x:row>
    <x:row r="41">
      <x:c r="A41" s="30" t="str">
        <x:v>Indexer</x:v>
      </x:c>
      <x:c r="B41" s="30" t="str">
        <x:v>indexer.wk.weight</x:v>
      </x:c>
      <x:c r="C41" s="30" t="str">
        <x:v>[128, 6144]</x:v>
      </x:c>
      <x:c r="D41" s="30" t="str">
        <x:v>FP8 E4M3</x:v>
      </x:c>
      <x:c r="E41" s="32" t="n">
        <x:v>1</x:v>
      </x:c>
      <x:c r="F41" s="33" t="n">
        <x:v>22</x:v>
      </x:c>
      <x:c r="G41" s="33" t="n">
        <x:v>786432</x:v>
      </x:c>
      <x:c r="H41" s="33" t="str">
        <x:v>Replicated</x:v>
      </x:c>
      <x:c r="I41" s="33" t="n">
        <x:f>1</x:f>
        <x:v>1</x:v>
      </x:c>
      <x:c r="J41" s="34" t="n">
        <x:f>E41*F41*G41/1073741824</x:f>
        <x:v>0.01611328125</x:v>
      </x:c>
      <x:c r="K41" s="34" t="n">
        <x:f>J41/I41</x:f>
        <x:v>0.01611328125</x:v>
      </x:c>
      <x:c r="L41" s="30"/>
      <x:c r="M41" s="30"/>
      <x:c r="N41" s="30"/>
      <x:c r="O41" s="30"/>
      <x:c r="P41" s="30"/>
    </x:row>
    <x:row r="42">
      <x:c r="A42" s="30" t="str">
        <x:v>Indexer</x:v>
      </x:c>
      <x:c r="B42" s="30" t="str">
        <x:v>indexer.wk.weight_scale</x:v>
      </x:c>
      <x:c r="C42" s="30" t="str">
        <x:v>[1, 48]</x:v>
      </x:c>
      <x:c r="D42" s="30" t="str">
        <x:v>F32</x:v>
      </x:c>
      <x:c r="E42" s="32" t="n">
        <x:v>4</x:v>
      </x:c>
      <x:c r="F42" s="33" t="n">
        <x:v>22</x:v>
      </x:c>
      <x:c r="G42" s="33" t="n">
        <x:v>48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0.000003933906555175781</x:v>
      </x:c>
      <x:c r="K42" s="34" t="n">
        <x:f>J42/I42</x:f>
        <x:v>0.000003933906555175781</x:v>
      </x:c>
      <x:c r="L42" s="30"/>
      <x:c r="M42" s="30"/>
      <x:c r="N42" s="30"/>
      <x:c r="O42" s="30"/>
      <x:c r="P42" s="30"/>
    </x:row>
    <x:row r="43">
      <x:c r="A43" s="30" t="str">
        <x:v>Indexer</x:v>
      </x:c>
      <x:c r="B43" s="30" t="str">
        <x:v>indexer.wq_b.weight</x:v>
      </x:c>
      <x:c r="C43" s="30" t="str">
        <x:v>[4096, 2048]</x:v>
      </x:c>
      <x:c r="D43" s="30" t="str">
        <x:v>FP8 E4M3</x:v>
      </x:c>
      <x:c r="E43" s="32" t="n">
        <x:v>1</x:v>
      </x:c>
      <x:c r="F43" s="33" t="n">
        <x:v>22</x:v>
      </x:c>
      <x:c r="G43" s="33" t="n">
        <x:v>8388608</x:v>
      </x:c>
      <x:c r="H43" s="33" t="str">
        <x:v>Replicated</x:v>
      </x:c>
      <x:c r="I43" s="33" t="n">
        <x:f>1</x:f>
        <x:v>1</x:v>
      </x:c>
      <x:c r="J43" s="34" t="n">
        <x:f>E43*F43*G43/1073741824</x:f>
        <x:v>0.171875</x:v>
      </x:c>
      <x:c r="K43" s="34" t="n">
        <x:f>J43/I43</x:f>
        <x:v>0.171875</x:v>
      </x:c>
      <x:c r="L43" s="30"/>
      <x:c r="M43" s="30"/>
      <x:c r="N43" s="30"/>
      <x:c r="O43" s="30"/>
      <x:c r="P43" s="30"/>
    </x:row>
    <x:row r="44">
      <x:c r="A44" s="30" t="str">
        <x:v>Indexer</x:v>
      </x:c>
      <x:c r="B44" s="30" t="str">
        <x:v>indexer.wq_b.weight_scale</x:v>
      </x:c>
      <x:c r="C44" s="30" t="str">
        <x:v>[32, 16]</x:v>
      </x:c>
      <x:c r="D44" s="30" t="str">
        <x:v>F32</x:v>
      </x:c>
      <x:c r="E44" s="32" t="n">
        <x:v>4</x:v>
      </x:c>
      <x:c r="F44" s="33" t="n">
        <x:v>22</x:v>
      </x:c>
      <x:c r="G44" s="33" t="n">
        <x:v>512</x:v>
      </x:c>
      <x:c r="H44" s="33" t="str">
        <x:v>Replicated</x:v>
      </x:c>
      <x:c r="I44" s="33" t="n">
        <x:f>1</x:f>
        <x:v>1</x:v>
      </x:c>
      <x:c r="J44" s="34" t="n">
        <x:f>E44*F44*G44/1073741824</x:f>
        <x:v>0.000041961669921875</x:v>
      </x:c>
      <x:c r="K44" s="34" t="n">
        <x:f>J44/I44</x:f>
        <x:v>0.000041961669921875</x:v>
      </x:c>
      <x:c r="L44" s="30"/>
      <x:c r="M44" s="30"/>
      <x:c r="N44" s="30"/>
      <x:c r="O44" s="30"/>
      <x:c r="P44" s="30"/>
    </x:row>
    <x:row r="45">
      <x:c r="A45" s="30" t="str">
        <x:v>Indexer</x:v>
      </x:c>
      <x:c r="B45" s="30" t="str">
        <x:v>indexer.weights_proj.weight</x:v>
      </x:c>
      <x:c r="C45" s="30" t="str">
        <x:v>[32, 6144]</x:v>
      </x:c>
      <x:c r="D45" s="30" t="str">
        <x:v>BF16</x:v>
      </x:c>
      <x:c r="E45" s="32" t="n">
        <x:v>2</x:v>
      </x:c>
      <x:c r="F45" s="33" t="n">
        <x:v>22</x:v>
      </x:c>
      <x:c r="G45" s="33" t="n">
        <x:v>196608</x:v>
      </x:c>
      <x:c r="H45" s="33" t="str">
        <x:v>Replicated</x:v>
      </x:c>
      <x:c r="I45" s="33" t="n">
        <x:f>1</x:f>
        <x:v>1</x:v>
      </x:c>
      <x:c r="J45" s="34" t="n">
        <x:f>E45*F45*G45/1073741824</x:f>
        <x:v>0.008056640625</x:v>
      </x:c>
      <x:c r="K45" s="34" t="n">
        <x:f>J45/I45</x:f>
        <x:v>0.008056640625</x:v>
      </x:c>
      <x:c r="L45" s="30"/>
      <x:c r="M45" s="30"/>
      <x:c r="N45" s="30"/>
      <x:c r="O45" s="30"/>
      <x:c r="P45" s="30"/>
    </x:row>
    <x:row r="46">
      <x:c r="A46" s="30" t="str">
        <x:v>MTP</x:v>
      </x:c>
      <x:c r="B46" s="30" t="str">
        <x:v>eh_proj.weight</x:v>
      </x:c>
      <x:c r="C46" s="30" t="str">
        <x:v>[6144, 12288]</x:v>
      </x:c>
      <x:c r="D46" s="30" t="str">
        <x:v>BF16</x:v>
      </x:c>
      <x:c r="E46" s="32" t="n">
        <x:v>2</x:v>
      </x:c>
      <x:c r="F46" s="33" t="n">
        <x:v>1</x:v>
      </x:c>
      <x:c r="G46" s="33" t="n">
        <x:v>75497472</x:v>
      </x:c>
      <x:c r="H46" s="33" t="str">
        <x:v>Replicated</x:v>
      </x:c>
      <x:c r="I46" s="33" t="n">
        <x:f>1</x:f>
        <x:v>1</x:v>
      </x:c>
      <x:c r="J46" s="34" t="n">
        <x:f>E46*F46*G46/1073741824</x:f>
        <x:v>0.140625</x:v>
      </x:c>
      <x:c r="K46" s="34" t="n">
        <x:f>J46/I46</x:f>
        <x:v>0.140625</x:v>
      </x:c>
      <x:c r="L46" s="30"/>
      <x:c r="M46" s="30"/>
      <x:c r="N46" s="30"/>
      <x:c r="O46" s="30"/>
      <x:c r="P46" s="30"/>
    </x:row>
    <x:row r="47">
      <x:c r="A47" s="30" t="str">
        <x:v>MTP</x:v>
      </x:c>
      <x:c r="B47" s="30" t="str">
        <x:v>enorm.weight</x:v>
      </x:c>
      <x:c r="C47" s="30" t="str">
        <x:v>[6144]</x:v>
      </x:c>
      <x:c r="D47" s="30" t="str">
        <x:v>BF16</x:v>
      </x:c>
      <x:c r="E47" s="32" t="n">
        <x:v>2</x:v>
      </x:c>
      <x:c r="F47" s="33" t="n">
        <x:v>1</x:v>
      </x:c>
      <x:c r="G47" s="33" t="n">
        <x:v>6144</x:v>
      </x:c>
      <x:c r="H47" s="33" t="str">
        <x:v>Replicated</x:v>
      </x:c>
      <x:c r="I47" s="33" t="n">
        <x:f>1</x:f>
        <x:v>1</x:v>
      </x:c>
      <x:c r="J47" s="34" t="n">
        <x:f>E47*F47*G47/1073741824</x:f>
        <x:v>0.000011444091796875</x:v>
      </x:c>
      <x:c r="K47" s="34" t="n">
        <x:f>J47/I47</x:f>
        <x:v>0.000011444091796875</x:v>
      </x:c>
      <x:c r="L47" s="30"/>
      <x:c r="M47" s="30"/>
      <x:c r="N47" s="30"/>
      <x:c r="O47" s="30"/>
      <x:c r="P47" s="30"/>
    </x:row>
    <x:row r="48">
      <x:c r="A48" s="30" t="str">
        <x:v>MTP</x:v>
      </x:c>
      <x:c r="B48" s="30" t="str">
        <x:v>hnorm.weight</x:v>
      </x:c>
      <x:c r="C48" s="30" t="str">
        <x:v>[6144]</x:v>
      </x:c>
      <x:c r="D48" s="30" t="str">
        <x:v>BF16</x:v>
      </x:c>
      <x:c r="E48" s="32" t="n">
        <x:v>2</x:v>
      </x:c>
      <x:c r="F48" s="33" t="n">
        <x:v>1</x:v>
      </x:c>
      <x:c r="G48" s="33" t="n">
        <x:v>6144</x:v>
      </x:c>
      <x:c r="H48" s="33" t="str">
        <x:v>Replicated</x:v>
      </x:c>
      <x:c r="I48" s="33" t="n">
        <x:f>1</x:f>
        <x:v>1</x:v>
      </x:c>
      <x:c r="J48" s="34" t="n">
        <x:f>E48*F48*G48/1073741824</x:f>
        <x:v>0.000011444091796875</x:v>
      </x:c>
      <x:c r="K48" s="34" t="n">
        <x:f>J48/I48</x:f>
        <x:v>0.000011444091796875</x:v>
      </x:c>
      <x:c r="L48" s="30"/>
      <x:c r="M48" s="30"/>
      <x:c r="N48" s="30"/>
      <x:c r="O48" s="30"/>
      <x:c r="P48" s="30"/>
    </x:row>
    <x:row r="49">
      <x:c r="A49" s="30" t="str">
        <x:v>MTP</x:v>
      </x:c>
      <x:c r="B49" s="30" t="str">
        <x:v>shared_head.norm.weight</x:v>
      </x:c>
      <x:c r="C49" s="30" t="str">
        <x:v>[6144]</x:v>
      </x:c>
      <x:c r="D49" s="30" t="str">
        <x:v>BF16</x:v>
      </x:c>
      <x:c r="E49" s="32" t="n">
        <x:v>2</x:v>
      </x:c>
      <x:c r="F49" s="33" t="n">
        <x:v>1</x:v>
      </x:c>
      <x:c r="G49" s="33" t="n">
        <x:v>6144</x:v>
      </x:c>
      <x:c r="H49" s="33" t="str">
        <x:v>Replicated</x:v>
      </x:c>
      <x:c r="I49" s="33" t="n">
        <x:f>1</x:f>
        <x:v>1</x:v>
      </x:c>
      <x:c r="J49" s="34" t="n">
        <x:f>E49*F49*G49/1073741824</x:f>
        <x:v>0.000011444091796875</x:v>
      </x:c>
      <x:c r="K49" s="34" t="n">
        <x:f>J49/I49</x:f>
        <x:v>0.000011444091796875</x:v>
      </x:c>
      <x:c r="L49" s="30"/>
      <x:c r="M49" s="30"/>
      <x:c r="N49" s="30"/>
      <x:c r="O49" s="30"/>
      <x:c r="P49" s="30"/>
    </x:row>
    <x:row r="50">
      <x:c r="A50" s="40" t="str">
        <x:v>合计</x:v>
      </x:c>
      <x:c r="B50" s="40"/>
      <x:c r="C50" s="40"/>
      <x:c r="D50" s="40"/>
      <x:c r="E50" s="40"/>
      <x:c r="F50" s="40"/>
      <x:c r="G50" s="40"/>
      <x:c r="H50" s="40"/>
      <x:c r="I50" s="40"/>
      <x:c r="J50" s="41" t="n">
        <x:f>SUM(J2:J49)</x:f>
        <x:v>703.7233006358147</x:v>
      </x:c>
      <x:c r="K50" s="41" t="n">
        <x:f>SUM(K2:K49)</x:f>
        <x:v>92.60101741552353</x:v>
      </x:c>
      <x:c r="L50" s="30"/>
      <x:c r="M50" s="30"/>
      <x:c r="N50" s="30"/>
      <x:c r="O50" s="30"/>
      <x:c r="P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</x:row>
    <x:row r="52" ht="30" customHeight="1">
      <x:c r="A52" s="18" t="str">
        <x:v>并行策略</x:v>
      </x:c>
      <x:c r="B52" s="18" t="str">
        <x:v>模块</x:v>
      </x:c>
      <x:c r="C52" s="18" t="str">
        <x:v>通信位置</x:v>
      </x:c>
      <x:c r="D52" s="18" t="str">
        <x:v>Collective</x:v>
      </x:c>
      <x:c r="E52" s="18" t="str">
        <x:v>本 Rank 输入元素/次</x:v>
      </x:c>
      <x:c r="F52" s="18" t="str">
        <x:v>字节/元素</x:v>
      </x:c>
      <x:c r="G52" s="18" t="str">
        <x:v>通信组大小</x:v>
      </x:c>
      <x:c r="H52" s="18" t="str">
        <x:v>次数/Step</x:v>
      </x:c>
      <x:c r="I52" s="18" t="str">
        <x:v>有效负载 MiB/次</x:v>
      </x:c>
      <x:c r="J52" s="18" t="str">
        <x:v>单 Rank 发送 MiB/次</x:v>
      </x:c>
      <x:c r="K52" s="18" t="str">
        <x:v>单 Rank 发送 MiB/Step</x:v>
      </x:c>
      <x:c r="L52" s="18" t="str">
        <x:v>通信组发送 MiB/Step</x:v>
      </x:c>
      <x:c r="M52" s="30"/>
      <x:c r="N52" s="30"/>
      <x:c r="O52" s="30"/>
      <x:c r="P52" s="30"/>
    </x:row>
    <x:row r="53">
      <x:c r="A53" s="30" t="str">
        <x:v>Embedding TP</x:v>
      </x:c>
      <x:c r="B53" s="30" t="str">
        <x:v>Embedding</x:v>
      </x:c>
      <x:c r="C53" s="30" t="str">
        <x:v>标准 TP 输出</x:v>
      </x:c>
      <x:c r="D53" s="30" t="str">
        <x:v>Ring AllReduce</x:v>
      </x:c>
      <x:c r="E53" s="33" t="n">
        <x:f>'Decode'!$P$7*6144</x:f>
        <x:v>1572864</x:v>
      </x:c>
      <x:c r="F53" s="33" t="n">
        <x:f>'Decode'!$P$28</x:f>
        <x:v>2</x:v>
      </x:c>
      <x:c r="G53" s="33" t="n">
        <x:f>IF('Decode'!$P$21&gt;0,'Decode'!$P$21,'Decode'!$P$12)</x:f>
        <x:v>8</x:v>
      </x:c>
      <x:c r="H53" s="33" t="n">
        <x:f>IF(AND(IF('Decode'!$P$21&gt;0,'Decode'!$P$21,'Decode'!$P$12)&gt;1,'Decode'!$P$24=0),1,0)</x:f>
        <x:v>1</x:v>
      </x:c>
      <x:c r="I53" s="34" t="n">
        <x:f>E53*F53/1048576</x:f>
        <x:v>3</x:v>
      </x:c>
      <x:c r="J53" s="34" t="n">
        <x:f>I53*(IF(G53&gt;1,2*(G53-1)/G53,0))</x:f>
        <x:v>5.25</x:v>
      </x:c>
      <x:c r="K53" s="34" t="n">
        <x:f>J53*H53</x:f>
        <x:v>5.25</x:v>
      </x:c>
      <x:c r="L53" s="34" t="n">
        <x:f>K53*G53</x:f>
        <x:v>42</x:v>
      </x:c>
      <x:c r="M53" s="30"/>
      <x:c r="N53" s="30"/>
      <x:c r="O53" s="30"/>
      <x:c r="P53" s="30"/>
    </x:row>
    <x:row r="54">
      <x:c r="A54" s="30" t="str">
        <x:v>Embedding TP</x:v>
      </x:c>
      <x:c r="B54" s="30" t="str">
        <x:v>Embedding</x:v>
      </x:c>
      <x:c r="C54" s="30" t="str">
        <x:v>Fine TP Token ID</x:v>
      </x:c>
      <x:c r="D54" s="30" t="str">
        <x:v>Ring AllGather</x:v>
      </x:c>
      <x:c r="E54" s="33" t="n">
        <x:f>'Decode'!$P$7</x:f>
        <x:v>256</x:v>
      </x:c>
      <x:c r="F54" s="33" t="n">
        <x:f>'Decode'!$P$30</x:f>
        <x:v>8</x:v>
      </x:c>
      <x:c r="G54" s="33" t="n">
        <x:f>IF('Decode'!$P$21&gt;0,'Decode'!$P$21,'Decode'!$P$12)</x:f>
        <x:v>8</x:v>
      </x:c>
      <x:c r="H54" s="33" t="n">
        <x:f>IF(AND(IF('Decode'!$P$21&gt;0,'Decode'!$P$21,'Decode'!$P$12)&gt;1,'Decode'!$P$24&lt;&gt;0),1,0)</x:f>
        <x:v>0</x:v>
      </x:c>
      <x:c r="I54" s="34" t="n">
        <x:f>E54*F54/1048576</x:f>
        <x:v>0.001953125</x:v>
      </x:c>
      <x:c r="J54" s="34" t="n">
        <x:f>I54*(IF(G54&gt;1,G54-1,0))</x:f>
        <x:v>0.013671875</x:v>
      </x:c>
      <x:c r="K54" s="34" t="n">
        <x:f>J54*H54</x:f>
        <x:v>0</x:v>
      </x:c>
      <x:c r="L54" s="34" t="n">
        <x:f>K54*G54</x:f>
        <x:v>0</x:v>
      </x:c>
      <x:c r="M54" s="30"/>
      <x:c r="N54" s="30"/>
      <x:c r="O54" s="30"/>
      <x:c r="P54" s="30"/>
    </x:row>
    <x:row r="55">
      <x:c r="A55" s="30" t="str">
        <x:v>Embedding TP</x:v>
      </x:c>
      <x:c r="B55" s="30" t="str">
        <x:v>Embedding</x:v>
      </x:c>
      <x:c r="C55" s="30" t="str">
        <x:v>Fine TP Hidden</x:v>
      </x:c>
      <x:c r="D55" s="30" t="str">
        <x:v>Ring ReduceScatter</x:v>
      </x:c>
      <x:c r="E55" s="33" t="n">
        <x:f>'Decode'!$P$7*IF('Decode'!$P$21&gt;0,'Decode'!$P$21,'Decode'!$P$12)*6144</x:f>
        <x:v>12582912</x:v>
      </x:c>
      <x:c r="F55" s="33" t="n">
        <x:f>'Decode'!$P$28</x:f>
        <x:v>2</x:v>
      </x:c>
      <x:c r="G55" s="33" t="n">
        <x:f>IF('Decode'!$P$21&gt;0,'Decode'!$P$21,'Decode'!$P$12)</x:f>
        <x:v>8</x:v>
      </x:c>
      <x:c r="H55" s="33" t="n">
        <x:f>IF(AND(IF('Decode'!$P$21&gt;0,'Decode'!$P$21,'Decode'!$P$12)&gt;1,'Decode'!$P$24&lt;&gt;0),1,0)</x:f>
        <x:v>0</x:v>
      </x:c>
      <x:c r="I55" s="34" t="n">
        <x:f>E55*F55/1048576</x:f>
        <x:v>24</x:v>
      </x:c>
      <x:c r="J55" s="34" t="n">
        <x:f>I55*(IF(G55&gt;1,(G55-1)/G55,0))</x:f>
        <x:v>21</x:v>
      </x:c>
      <x:c r="K55" s="34" t="n">
        <x:f>J55*H55</x:f>
        <x:v>0</x:v>
      </x:c>
      <x:c r="L55" s="34" t="n">
        <x:f>K55*G55</x:f>
        <x:v>0</x:v>
      </x:c>
      <x:c r="M55" s="30"/>
      <x:c r="N55" s="30"/>
      <x:c r="O55" s="30"/>
      <x:c r="P55" s="30"/>
    </x:row>
    <x:row r="56">
      <x:c r="A56" s="30" t="str">
        <x:v>DSA CP</x:v>
      </x:c>
      <x:c r="B56" s="30" t="str">
        <x:v>Sparse Attention</x:v>
      </x:c>
      <x:c r="C56" s="30" t="str">
        <x:v>Q/KV 投影输入</x:v>
      </x:c>
      <x:c r="D56" s="30" t="str">
        <x:v>Ring AllGather</x:v>
      </x:c>
      <x:c r="E56" s="33" t="n">
        <x:f>((ROUNDUP('Decode'!$P$7/'Decode'!$P$12,0)*'Decode'!$P$12)/'Decode'!$P$12)*6144</x:f>
        <x:v>196608</x:v>
      </x:c>
      <x:c r="F56" s="33" t="n">
        <x:f>'Decode'!$P$28</x:f>
        <x:v>2</x:v>
      </x:c>
      <x:c r="G56" s="33" t="n">
        <x:f>'Decode'!$P$12</x:f>
        <x:v>8</x:v>
      </x:c>
      <x:c r="H56" s="33" t="n">
        <x:f>79*IF(AND('Decode'!$P$25&lt;&gt;0,'Decode'!$P$12&gt;1),1,0)</x:f>
        <x:v>79</x:v>
      </x:c>
      <x:c r="I56" s="34" t="n">
        <x:f>E56*F56/1048576</x:f>
        <x:v>0.375</x:v>
      </x:c>
      <x:c r="J56" s="34" t="n">
        <x:f>I56*(IF(G56&gt;1,G56-1,0))</x:f>
        <x:v>2.625</x:v>
      </x:c>
      <x:c r="K56" s="34" t="n">
        <x:f>J56*H56</x:f>
        <x:v>207.375</x:v>
      </x:c>
      <x:c r="L56" s="34" t="n">
        <x:f>K56*G56</x:f>
        <x:v>1659</x:v>
      </x:c>
      <x:c r="M56" s="30"/>
      <x:c r="N56" s="30"/>
      <x:c r="O56" s="30"/>
      <x:c r="P56" s="30"/>
    </x:row>
    <x:row r="57">
      <x:c r="A57" s="30" t="str">
        <x:v>DSA CP</x:v>
      </x:c>
      <x:c r="B57" s="30" t="str">
        <x:v>Sparse Attention</x:v>
      </x:c>
      <x:c r="C57" s="30" t="str">
        <x:v>恢复 TP Head Layout</x:v>
      </x:c>
      <x:c r="D57" s="30" t="str">
        <x:v>Equal-split AllToAll</x:v>
      </x:c>
      <x:c r="E57" s="33" t="n">
        <x:f>((ROUNDUP('Decode'!$P$7/'Decode'!$P$12,0)*'Decode'!$P$12)/'Decode'!$P$12)*64*256</x:f>
        <x:v>524288</x:v>
      </x:c>
      <x:c r="F57" s="33" t="n">
        <x:f>'Decode'!$P$28</x:f>
        <x:v>2</x:v>
      </x:c>
      <x:c r="G57" s="33" t="n">
        <x:f>'Decode'!$P$12</x:f>
        <x:v>8</x:v>
      </x:c>
      <x:c r="H57" s="33" t="n">
        <x:f>79*IF(AND('Decode'!$P$25&lt;&gt;0,'Decode'!$P$12&gt;1),1,0)</x:f>
        <x:v>79</x:v>
      </x:c>
      <x:c r="I57" s="34" t="n">
        <x:f>E57*F57/1048576</x:f>
        <x:v>1</x:v>
      </x:c>
      <x:c r="J57" s="34" t="n">
        <x:f>I57*(IF(G57&gt;1,(G57-1)/G57,0))</x:f>
        <x:v>0.875</x:v>
      </x:c>
      <x:c r="K57" s="34" t="n">
        <x:f>J57*H57</x:f>
        <x:v>69.125</x:v>
      </x:c>
      <x:c r="L57" s="34" t="n">
        <x:f>K57*G57</x:f>
        <x:v>553</x:v>
      </x:c>
      <x:c r="M57" s="30"/>
      <x:c r="N57" s="30"/>
      <x:c r="O57" s="30"/>
      <x:c r="P57" s="30"/>
    </x:row>
    <x:row r="58">
      <x:c r="A58" s="30" t="str">
        <x:v>DSA CP</x:v>
      </x:c>
      <x:c r="B58" s="30" t="str">
        <x:v>Indexer</x:v>
      </x:c>
      <x:c r="C58" s="30" t="str">
        <x:v>Top-k Index</x:v>
      </x:c>
      <x:c r="D58" s="30" t="str">
        <x:v>Ring AllGather</x:v>
      </x:c>
      <x:c r="E58" s="33" t="n">
        <x:f>((ROUNDUP('Decode'!$P$7/'Decode'!$P$12,0)*'Decode'!$P$12)/'Decode'!$P$12)*2048</x:f>
        <x:v>65536</x:v>
      </x:c>
      <x:c r="F58" s="33" t="n">
        <x:f>'Decode'!$P$31</x:f>
        <x:v>4</x:v>
      </x:c>
      <x:c r="G58" s="33" t="n">
        <x:f>'Decode'!$P$12</x:f>
        <x:v>8</x:v>
      </x:c>
      <x:c r="H58" s="33" t="n">
        <x:f>22*IF(AND('Decode'!$P$25&lt;&gt;0,'Decode'!$P$12&gt;1),1,0)</x:f>
        <x:v>22</x:v>
      </x:c>
      <x:c r="I58" s="34" t="n">
        <x:f>E58*F58/1048576</x:f>
        <x:v>0.25</x:v>
      </x:c>
      <x:c r="J58" s="34" t="n">
        <x:f>I58*(IF(G58&gt;1,G58-1,0))</x:f>
        <x:v>1.75</x:v>
      </x:c>
      <x:c r="K58" s="34" t="n">
        <x:f>J58*H58</x:f>
        <x:v>38.5</x:v>
      </x:c>
      <x:c r="L58" s="34" t="n">
        <x:f>K58*G58</x:f>
        <x:v>308</x:v>
      </x:c>
      <x:c r="M58" s="30"/>
      <x:c r="N58" s="30"/>
      <x:c r="O58" s="30"/>
      <x:c r="P58" s="30"/>
    </x:row>
    <x:row r="59">
      <x:c r="A59" s="30" t="str">
        <x:v>O Proj TP</x:v>
      </x:c>
      <x:c r="B59" s="30" t="str">
        <x:v>Sparse Attention</x:v>
      </x:c>
      <x:c r="C59" s="30" t="str">
        <x:v>DSA CP 关闭</x:v>
      </x:c>
      <x:c r="D59" s="30" t="str">
        <x:v>Ring AllReduce</x:v>
      </x:c>
      <x:c r="E59" s="33" t="n">
        <x:f>'Decode'!$P$7*6144</x:f>
        <x:v>1572864</x:v>
      </x:c>
      <x:c r="F59" s="33" t="n">
        <x:f>'Decode'!$P$28</x:f>
        <x:v>2</x:v>
      </x:c>
      <x:c r="G59" s="33" t="n">
        <x:f>IF('Decode'!$P$19&gt;0,'Decode'!$P$19,'Decode'!$P$12)</x:f>
        <x:v>8</x:v>
      </x:c>
      <x:c r="H59" s="33" t="n">
        <x:f>79*IF(AND('Decode'!$P$25=0,IF('Decode'!$P$19&gt;0,'Decode'!$P$19,'Decode'!$P$12)&gt;1),1,0)</x:f>
        <x:v>0</x:v>
      </x:c>
      <x:c r="I59" s="34" t="n">
        <x:f>E59*F59/1048576</x:f>
        <x:v>3</x:v>
      </x:c>
      <x:c r="J59" s="34" t="n">
        <x:f>I59*(IF(G59&gt;1,2*(G59-1)/G59,0))</x:f>
        <x:v>5.25</x:v>
      </x:c>
      <x:c r="K59" s="34" t="n">
        <x:f>J59*H59</x:f>
        <x:v>0</x:v>
      </x:c>
      <x:c r="L59" s="34" t="n">
        <x:f>K59*G59</x:f>
        <x:v>0</x:v>
      </x:c>
      <x:c r="M59" s="30"/>
      <x:c r="N59" s="30"/>
      <x:c r="O59" s="30"/>
      <x:c r="P59" s="30"/>
    </x:row>
    <x:row r="60">
      <x:c r="A60" s="30" t="str">
        <x:v>SP</x:v>
      </x:c>
      <x:c r="B60" s="30" t="str">
        <x:v>Dense MLP</x:v>
      </x:c>
      <x:c r="C60" s="30" t="str">
        <x:v>Down Proj 输出</x:v>
      </x:c>
      <x:c r="D60" s="30" t="str">
        <x:v>Ring AllReduce</x:v>
      </x:c>
      <x:c r="E60" s="33" t="n">
        <x:f>IF('Decode'!$P$13&lt;&gt;0,((ROUNDUP('Decode'!$P$7/'Decode'!$P$12,0)*'Decode'!$P$12)/'Decode'!$P$12),'Decode'!$P$7)*6144</x:f>
        <x:v>196608</x:v>
      </x:c>
      <x:c r="F60" s="33" t="n">
        <x:f>'Decode'!$P$28</x:f>
        <x:v>2</x:v>
      </x:c>
      <x:c r="G60" s="33" t="n">
        <x:f>'Decode'!$P$12</x:f>
        <x:v>8</x:v>
      </x:c>
      <x:c r="H60" s="33" t="n">
        <x:f>3*IF('Decode'!$P$12&gt;1,1,0)</x:f>
        <x:v>3</x:v>
      </x:c>
      <x:c r="I60" s="34" t="n">
        <x:f>E60*F60/1048576</x:f>
        <x:v>0.375</x:v>
      </x:c>
      <x:c r="J60" s="34" t="n">
        <x:f>I60*(IF(G60&gt;1,2*(G60-1)/G60,0))</x:f>
        <x:v>0.65625</x:v>
      </x:c>
      <x:c r="K60" s="34" t="n">
        <x:f>J60*H60</x:f>
        <x:v>1.96875</x:v>
      </x:c>
      <x:c r="L60" s="34" t="n">
        <x:f>K60*G60</x:f>
        <x:v>15.75</x:v>
      </x:c>
      <x:c r="M60" s="30"/>
      <x:c r="N60" s="30"/>
      <x:c r="O60" s="30"/>
      <x:c r="P60" s="30"/>
    </x:row>
    <x:row r="61">
      <x:c r="A61" s="30" t="str">
        <x:v>EP</x:v>
      </x:c>
      <x:c r="B61" s="30" t="str">
        <x:v>Routed Experts</x:v>
      </x:c>
      <x:c r="C61" s="30" t="str">
        <x:v>Dispatch Hidden</x:v>
      </x:c>
      <x:c r="D61" s="30" t="str">
        <x:v>AllToAllV（跨 Rank 发送）</x:v>
      </x:c>
      <x:c r="E61" s="33" t="n">
        <x:f>IF('Decode'!$P$13&lt;&gt;0,((ROUNDUP('Decode'!$P$7/'Decode'!$P$12,0)*'Decode'!$P$12)/'Decode'!$P$12),'Decode'!$P$7)*8*'Decode'!$P$32*6144</x:f>
        <x:v>1376256</x:v>
      </x:c>
      <x:c r="F61" s="33" t="n">
        <x:f>'Decode'!$P$28</x:f>
        <x:v>2</x:v>
      </x:c>
      <x:c r="G61" s="33" t="n">
        <x:f>'Decode'!$P$14</x:f>
        <x:v>8</x:v>
      </x:c>
      <x:c r="H61" s="33" t="n">
        <x:f>76*IF('Decode'!$P$14&gt;1,1,0)</x:f>
        <x:v>76</x:v>
      </x:c>
      <x:c r="I61" s="34" t="n">
        <x:f>E61*F61/1048576</x:f>
        <x:v>2.625</x:v>
      </x:c>
      <x:c r="J61" s="34" t="n">
        <x:f>I61*(1)</x:f>
        <x:v>2.625</x:v>
      </x:c>
      <x:c r="K61" s="34" t="n">
        <x:f>J61*H61</x:f>
        <x:v>199.5</x:v>
      </x:c>
      <x:c r="L61" s="34" t="n">
        <x:f>K61*G61</x:f>
        <x:v>1596</x:v>
      </x:c>
      <x:c r="M61" s="30"/>
      <x:c r="N61" s="30"/>
      <x:c r="O61" s="30"/>
      <x:c r="P61" s="30"/>
    </x:row>
    <x:row r="62">
      <x:c r="A62" s="30" t="str">
        <x:v>EP</x:v>
      </x:c>
      <x:c r="B62" s="30" t="str">
        <x:v>Routed Experts</x:v>
      </x:c>
      <x:c r="C62" s="30" t="str">
        <x:v>Combine Hidden</x:v>
      </x:c>
      <x:c r="D62" s="30" t="str">
        <x:v>AllToAllV（跨 Rank 发送）</x:v>
      </x:c>
      <x:c r="E62" s="33" t="n">
        <x:f>IF('Decode'!$P$13&lt;&gt;0,((ROUNDUP('Decode'!$P$7/'Decode'!$P$12,0)*'Decode'!$P$12)/'Decode'!$P$12),'Decode'!$P$7)*8*'Decode'!$P$32*6144</x:f>
        <x:v>1376256</x:v>
      </x:c>
      <x:c r="F62" s="33" t="n">
        <x:f>'Decode'!$P$28</x:f>
        <x:v>2</x:v>
      </x:c>
      <x:c r="G62" s="33" t="n">
        <x:f>'Decode'!$P$14</x:f>
        <x:v>8</x:v>
      </x:c>
      <x:c r="H62" s="33" t="n">
        <x:f>76*IF('Decode'!$P$14&gt;1,1,0)</x:f>
        <x:v>76</x:v>
      </x:c>
      <x:c r="I62" s="34" t="n">
        <x:f>E62*F62/1048576</x:f>
        <x:v>2.625</x:v>
      </x:c>
      <x:c r="J62" s="34" t="n">
        <x:f>I62*(1)</x:f>
        <x:v>2.625</x:v>
      </x:c>
      <x:c r="K62" s="34" t="n">
        <x:f>J62*H62</x:f>
        <x:v>199.5</x:v>
      </x:c>
      <x:c r="L62" s="34" t="n">
        <x:f>K62*G62</x:f>
        <x:v>1596</x:v>
      </x:c>
      <x:c r="M62" s="30"/>
      <x:c r="N62" s="30"/>
      <x:c r="O62" s="30"/>
      <x:c r="P62" s="30"/>
    </x:row>
    <x:row r="63">
      <x:c r="A63" s="30" t="str">
        <x:v>DP</x:v>
      </x:c>
      <x:c r="B63" s="30" t="str">
        <x:v>MoE</x:v>
      </x:c>
      <x:c r="C63" s="30" t="str">
        <x:v>Hidden 输入</x:v>
      </x:c>
      <x:c r="D63" s="30" t="str">
        <x:v>Ring AllGather</x:v>
      </x:c>
      <x:c r="E63" s="33" t="n">
        <x:f>'Decode'!$P$7*6144</x:f>
        <x:v>1572864</x:v>
      </x:c>
      <x:c r="F63" s="33" t="n">
        <x:f>'Decode'!$P$28</x:f>
        <x:v>2</x:v>
      </x:c>
      <x:c r="G63" s="33" t="n">
        <x:f>'Decode'!$P$11</x:f>
        <x:v>1</x:v>
      </x:c>
      <x:c r="H63" s="33" t="n">
        <x:f>76*IF(AND('Decode'!$P$11&gt;1,'Decode'!$P$14=1),1,0)</x:f>
        <x:v>0</x:v>
      </x:c>
      <x:c r="I63" s="34" t="n">
        <x:f>E63*F63/1048576</x:f>
        <x:v>3</x:v>
      </x:c>
      <x:c r="J63" s="34" t="n">
        <x:f>I63*(IF(G63&gt;1,G63-1,0))</x:f>
        <x:v>0</x:v>
      </x:c>
      <x:c r="K63" s="34" t="n">
        <x:f>J63*H63</x:f>
        <x:v>0</x:v>
      </x:c>
      <x:c r="L63" s="34" t="n">
        <x:f>K63*G63</x:f>
        <x:v>0</x:v>
      </x:c>
      <x:c r="M63" s="30"/>
      <x:c r="N63" s="30"/>
      <x:c r="O63" s="30"/>
      <x:c r="P63" s="30"/>
    </x:row>
    <x:row r="64">
      <x:c r="A64" s="30" t="str">
        <x:v>DP</x:v>
      </x:c>
      <x:c r="B64" s="30" t="str">
        <x:v>MoE Router</x:v>
      </x:c>
      <x:c r="C64" s="30" t="str">
        <x:v>Router Logits</x:v>
      </x:c>
      <x:c r="D64" s="30" t="str">
        <x:v>Ring AllGather</x:v>
      </x:c>
      <x:c r="E64" s="33" t="n">
        <x:f>'Decode'!$P$7*256</x:f>
        <x:v>65536</x:v>
      </x:c>
      <x:c r="F64" s="33" t="n">
        <x:f>'Decode'!$P$28</x:f>
        <x:v>2</x:v>
      </x:c>
      <x:c r="G64" s="33" t="n">
        <x:f>'Decode'!$P$11</x:f>
        <x:v>1</x:v>
      </x:c>
      <x:c r="H64" s="33" t="n">
        <x:f>76*IF(AND('Decode'!$P$11&gt;1,'Decode'!$P$14=1),1,0)</x:f>
        <x:v>0</x:v>
      </x:c>
      <x:c r="I64" s="34" t="n">
        <x:f>E64*F64/1048576</x:f>
        <x:v>0.125</x:v>
      </x:c>
      <x:c r="J64" s="34" t="n">
        <x:f>I64*(IF(G64&gt;1,G64-1,0))</x:f>
        <x:v>0</x:v>
      </x:c>
      <x:c r="K64" s="34" t="n">
        <x:f>J64*H64</x:f>
        <x:v>0</x:v>
      </x:c>
      <x:c r="L64" s="34" t="n">
        <x:f>K64*G64</x:f>
        <x:v>0</x:v>
      </x:c>
      <x:c r="M64" s="30"/>
      <x:c r="N64" s="30"/>
      <x:c r="O64" s="30"/>
      <x:c r="P64" s="30"/>
    </x:row>
    <x:row r="65">
      <x:c r="A65" s="30" t="str">
        <x:v>DP</x:v>
      </x:c>
      <x:c r="B65" s="30" t="str">
        <x:v>MoE</x:v>
      </x:c>
      <x:c r="C65" s="30" t="str">
        <x:v>Routed Expert 输出</x:v>
      </x:c>
      <x:c r="D65" s="30" t="str">
        <x:v>Ring ReduceScatter</x:v>
      </x:c>
      <x:c r="E65" s="33" t="n">
        <x:f>'Decode'!$P$7*'Decode'!$P$11*6144</x:f>
        <x:v>1572864</x:v>
      </x:c>
      <x:c r="F65" s="33" t="n">
        <x:f>'Decode'!$P$28</x:f>
        <x:v>2</x:v>
      </x:c>
      <x:c r="G65" s="33" t="n">
        <x:f>'Decode'!$P$11</x:f>
        <x:v>1</x:v>
      </x:c>
      <x:c r="H65" s="33" t="n">
        <x:f>76*IF(AND('Decode'!$P$11&gt;1,'Decode'!$P$14=1),1,0)</x:f>
        <x:v>0</x:v>
      </x:c>
      <x:c r="I65" s="34" t="n">
        <x:f>E65*F65/1048576</x:f>
        <x:v>3</x:v>
      </x:c>
      <x:c r="J65" s="34" t="n">
        <x:f>I65*(IF(G65&gt;1,(G65-1)/G65,0))</x:f>
        <x:v>0</x:v>
      </x:c>
      <x:c r="K65" s="34" t="n">
        <x:f>J65*H65</x:f>
        <x:v>0</x:v>
      </x:c>
      <x:c r="L65" s="34" t="n">
        <x:f>K65*G65</x:f>
        <x:v>0</x:v>
      </x:c>
      <x:c r="M65" s="30"/>
      <x:c r="N65" s="30"/>
      <x:c r="O65" s="30"/>
      <x:c r="P65" s="30"/>
    </x:row>
    <x:row r="66">
      <x:c r="A66" s="30" t="str">
        <x:v>共享专家 TP</x:v>
      </x:c>
      <x:c r="B66" s="30" t="str">
        <x:v>Shared Experts</x:v>
      </x:c>
      <x:c r="C66" s="30" t="str">
        <x:v>SP 输入</x:v>
      </x:c>
      <x:c r="D66" s="30" t="str">
        <x:v>Ring AllGather</x:v>
      </x:c>
      <x:c r="E66" s="33" t="n">
        <x:f>((ROUNDUP('Decode'!$P$7/'Decode'!$P$12,0)*'Decode'!$P$12)/'Decode'!$P$12)*6144</x:f>
        <x:v>196608</x:v>
      </x:c>
      <x:c r="F66" s="33" t="n">
        <x:f>'Decode'!$P$28</x:f>
        <x:v>2</x:v>
      </x:c>
      <x:c r="G66" s="33" t="n">
        <x:f>IF('Decode'!$P$17="TP",'Decode'!$P$18,1)</x:f>
        <x:v>8</x:v>
      </x:c>
      <x:c r="H66" s="33" t="n">
        <x:f>76*IF(AND('Decode'!$P$17="TP",IF('Decode'!$P$17="TP",'Decode'!$P$18,1)&gt;1,'Decode'!$P$13&lt;&gt;0),1,0)</x:f>
        <x:v>76</x:v>
      </x:c>
      <x:c r="I66" s="34" t="n">
        <x:f>E66*F66/1048576</x:f>
        <x:v>0.375</x:v>
      </x:c>
      <x:c r="J66" s="34" t="n">
        <x:f>I66*(IF(G66&gt;1,G66-1,0))</x:f>
        <x:v>2.625</x:v>
      </x:c>
      <x:c r="K66" s="34" t="n">
        <x:f>J66*H66</x:f>
        <x:v>199.5</x:v>
      </x:c>
      <x:c r="L66" s="34" t="n">
        <x:f>K66*G66</x:f>
        <x:v>1596</x:v>
      </x:c>
      <x:c r="M66" s="30"/>
      <x:c r="N66" s="30"/>
      <x:c r="O66" s="30"/>
      <x:c r="P66" s="30"/>
    </x:row>
    <x:row r="67">
      <x:c r="A67" s="30" t="str">
        <x:v>共享专家 TP</x:v>
      </x:c>
      <x:c r="B67" s="30" t="str">
        <x:v>Shared Experts</x:v>
      </x:c>
      <x:c r="C67" s="30" t="str">
        <x:v>SP 输出</x:v>
      </x:c>
      <x:c r="D67" s="30" t="str">
        <x:v>Ring ReduceScatter</x:v>
      </x:c>
      <x:c r="E67" s="33" t="n">
        <x:f>(ROUNDUP('Decode'!$P$7/'Decode'!$P$12,0)*'Decode'!$P$12)*6144</x:f>
        <x:v>1572864</x:v>
      </x:c>
      <x:c r="F67" s="33" t="n">
        <x:f>'Decode'!$P$28</x:f>
        <x:v>2</x:v>
      </x:c>
      <x:c r="G67" s="33" t="n">
        <x:f>IF('Decode'!$P$17="TP",'Decode'!$P$18,1)</x:f>
        <x:v>8</x:v>
      </x:c>
      <x:c r="H67" s="33" t="n">
        <x:f>76*IF(AND('Decode'!$P$17="TP",IF('Decode'!$P$17="TP",'Decode'!$P$18,1)&gt;1,'Decode'!$P$13&lt;&gt;0),1,0)</x:f>
        <x:v>76</x:v>
      </x:c>
      <x:c r="I67" s="34" t="n">
        <x:f>E67*F67/1048576</x:f>
        <x:v>3</x:v>
      </x:c>
      <x:c r="J67" s="34" t="n">
        <x:f>I67*(IF(G67&gt;1,(G67-1)/G67,0))</x:f>
        <x:v>2.625</x:v>
      </x:c>
      <x:c r="K67" s="34" t="n">
        <x:f>J67*H67</x:f>
        <x:v>199.5</x:v>
      </x:c>
      <x:c r="L67" s="34" t="n">
        <x:f>K67*G67</x:f>
        <x:v>1596</x:v>
      </x:c>
      <x:c r="M67" s="30"/>
      <x:c r="N67" s="30"/>
      <x:c r="O67" s="30"/>
      <x:c r="P67" s="30"/>
    </x:row>
    <x:row r="68">
      <x:c r="A68" s="30" t="str">
        <x:v>共享专家 TP</x:v>
      </x:c>
      <x:c r="B68" s="30" t="str">
        <x:v>Shared Experts</x:v>
      </x:c>
      <x:c r="C68" s="30" t="str">
        <x:v>非 SP 输出</x:v>
      </x:c>
      <x:c r="D68" s="30" t="str">
        <x:v>Ring AllReduce</x:v>
      </x:c>
      <x:c r="E68" s="33" t="n">
        <x:f>'Decode'!$P$7*6144</x:f>
        <x:v>1572864</x:v>
      </x:c>
      <x:c r="F68" s="33" t="n">
        <x:f>'Decode'!$P$28</x:f>
        <x:v>2</x:v>
      </x:c>
      <x:c r="G68" s="33" t="n">
        <x:f>IF('Decode'!$P$17="TP",'Decode'!$P$18,1)</x:f>
        <x:v>8</x:v>
      </x:c>
      <x:c r="H68" s="33" t="n">
        <x:f>76*IF(AND('Decode'!$P$17="TP",IF('Decode'!$P$17="TP",'Decode'!$P$18,1)&gt;1,'Decode'!$P$13=0),1,0)</x:f>
        <x:v>0</x:v>
      </x:c>
      <x:c r="I68" s="34" t="n">
        <x:f>E68*F68/1048576</x:f>
        <x:v>3</x:v>
      </x:c>
      <x:c r="J68" s="34" t="n">
        <x:f>I68*(IF(G68&gt;1,2*(G68-1)/G68,0))</x:f>
        <x:v>5.25</x:v>
      </x:c>
      <x:c r="K68" s="34" t="n">
        <x:f>J68*H68</x:f>
        <x:v>0</x:v>
      </x:c>
      <x:c r="L68" s="34" t="n">
        <x:f>K68*G68</x:f>
        <x:v>0</x:v>
      </x:c>
      <x:c r="M68" s="30"/>
      <x:c r="N68" s="30"/>
      <x:c r="O68" s="30"/>
      <x:c r="P68" s="30"/>
    </x:row>
    <x:row r="69">
      <x:c r="A69" s="30" t="str">
        <x:v>SP</x:v>
      </x:c>
      <x:c r="B69" s="30" t="str">
        <x:v>Model Output</x:v>
      </x:c>
      <x:c r="C69" s="30" t="str">
        <x:v>Final Norm 后</x:v>
      </x:c>
      <x:c r="D69" s="30" t="str">
        <x:v>Ring AllGather</x:v>
      </x:c>
      <x:c r="E69" s="33" t="n">
        <x:f>((ROUNDUP('Decode'!$P$7/'Decode'!$P$12,0)*'Decode'!$P$12)/'Decode'!$P$12)*6144</x:f>
        <x:v>196608</x:v>
      </x:c>
      <x:c r="F69" s="33" t="n">
        <x:f>'Decode'!$P$28</x:f>
        <x:v>2</x:v>
      </x:c>
      <x:c r="G69" s="33" t="n">
        <x:f>'Decode'!$P$12</x:f>
        <x:v>8</x:v>
      </x:c>
      <x:c r="H69" s="33" t="n">
        <x:f>IF(AND('Decode'!$P$13&lt;&gt;0,'Decode'!$P$12&gt;1),1,0)</x:f>
        <x:v>1</x:v>
      </x:c>
      <x:c r="I69" s="34" t="n">
        <x:f>E69*F69/1048576</x:f>
        <x:v>0.375</x:v>
      </x:c>
      <x:c r="J69" s="34" t="n">
        <x:f>I69*(IF(G69&gt;1,G69-1,0))</x:f>
        <x:v>2.625</x:v>
      </x:c>
      <x:c r="K69" s="34" t="n">
        <x:f>J69*H69</x:f>
        <x:v>2.625</x:v>
      </x:c>
      <x:c r="L69" s="34" t="n">
        <x:f>K69*G69</x:f>
        <x:v>21</x:v>
      </x:c>
      <x:c r="M69" s="30"/>
      <x:c r="N69" s="30"/>
      <x:c r="O69" s="30"/>
      <x:c r="P69" s="30"/>
    </x:row>
    <x:row r="70">
      <x:c r="A70" s="30" t="str">
        <x:v>LM Head TP</x:v>
      </x:c>
      <x:c r="B70" s="30" t="str">
        <x:v>LM Head</x:v>
      </x:c>
      <x:c r="C70" s="30" t="str">
        <x:v>完整 Logits</x:v>
      </x:c>
      <x:c r="D70" s="30" t="str">
        <x:v>Ring AllGather</x:v>
      </x:c>
      <x:c r="E70" s="33" t="n">
        <x:f>'Decode'!$P$8*154880/IF('Decode'!$P$20&gt;0,'Decode'!$P$20,'Decode'!$P$12)</x:f>
        <x:v>4956160</x:v>
      </x:c>
      <x:c r="F70" s="33" t="n">
        <x:f>'Decode'!$P$28</x:f>
        <x:v>2</x:v>
      </x:c>
      <x:c r="G70" s="33" t="n">
        <x:f>IF('Decode'!$P$20&gt;0,'Decode'!$P$20,'Decode'!$P$12)</x:f>
        <x:v>8</x:v>
      </x:c>
      <x:c r="H70" s="33" t="n">
        <x:f>IF(AND(IF('Decode'!$P$20&gt;0,'Decode'!$P$20,'Decode'!$P$12)&gt;1,'Decode'!$P$23=0,'Decode'!$P$33=0),1,0)</x:f>
        <x:v>0</x:v>
      </x:c>
      <x:c r="I70" s="34" t="n">
        <x:f>E70*F70/1048576</x:f>
        <x:v>9.453125</x:v>
      </x:c>
      <x:c r="J70" s="34" t="n">
        <x:f>I70*(IF(G70&gt;1,G70-1,0))</x:f>
        <x:v>66.171875</x:v>
      </x:c>
      <x:c r="K70" s="34" t="n">
        <x:f>J70*H70</x:f>
        <x:v>0</x:v>
      </x:c>
      <x:c r="L70" s="34" t="n">
        <x:f>K70*G70</x:f>
        <x:v>0</x:v>
      </x:c>
      <x:c r="M70" s="30"/>
      <x:c r="N70" s="30"/>
      <x:c r="O70" s="30"/>
      <x:c r="P70" s="30"/>
    </x:row>
    <x:row r="71">
      <x:c r="A71" s="30" t="str">
        <x:v>LM Head TP</x:v>
      </x:c>
      <x:c r="B71" s="30" t="str">
        <x:v>LM Head</x:v>
      </x:c>
      <x:c r="C71" s="30" t="str">
        <x:v>Reduce Sample</x:v>
      </x:c>
      <x:c r="D71" s="30" t="str">
        <x:v>Ring AllGather</x:v>
      </x:c>
      <x:c r="E71" s="33" t="n">
        <x:f>'Decode'!$P$8*'Decode'!$P$34</x:f>
        <x:v>65536</x:v>
      </x:c>
      <x:c r="F71" s="33" t="n">
        <x:f>('Decode'!$P$28+'Decode'!$P$31)</x:f>
        <x:v>6</x:v>
      </x:c>
      <x:c r="G71" s="33" t="n">
        <x:f>IF('Decode'!$P$20&gt;0,'Decode'!$P$20,'Decode'!$P$12)</x:f>
        <x:v>8</x:v>
      </x:c>
      <x:c r="H71" s="33" t="n">
        <x:f>IF(AND(IF('Decode'!$P$20&gt;0,'Decode'!$P$20,'Decode'!$P$12)&gt;1,'Decode'!$P$23=0,'Decode'!$P$33&lt;&gt;0),1,0)</x:f>
        <x:v>1</x:v>
      </x:c>
      <x:c r="I71" s="34" t="n">
        <x:f>E71*F71/1048576</x:f>
        <x:v>0.375</x:v>
      </x:c>
      <x:c r="J71" s="34" t="n">
        <x:f>I71*(IF(G71&gt;1,G71-1,0))</x:f>
        <x:v>2.625</x:v>
      </x:c>
      <x:c r="K71" s="34" t="n">
        <x:f>J71*H71</x:f>
        <x:v>2.625</x:v>
      </x:c>
      <x:c r="L71" s="34" t="n">
        <x:f>K71*G71</x:f>
        <x:v>21</x:v>
      </x:c>
      <x:c r="M71" s="30"/>
      <x:c r="N71" s="30"/>
      <x:c r="O71" s="30"/>
      <x:c r="P71" s="30"/>
    </x:row>
    <x:row r="72">
      <x:c r="A72" s="30" t="str">
        <x:v>Fine LM Head TP</x:v>
      </x:c>
      <x:c r="B72" s="30" t="str">
        <x:v>LM Head</x:v>
      </x:c>
      <x:c r="C72" s="30" t="str">
        <x:v>Hidden 输入</x:v>
      </x:c>
      <x:c r="D72" s="30" t="str">
        <x:v>Ring AllGather</x:v>
      </x:c>
      <x:c r="E72" s="33" t="n">
        <x:f>'Decode'!$P$8*6144</x:f>
        <x:v>1572864</x:v>
      </x:c>
      <x:c r="F72" s="33" t="n">
        <x:f>'Decode'!$P$28</x:f>
        <x:v>2</x:v>
      </x:c>
      <x:c r="G72" s="33" t="n">
        <x:f>IF('Decode'!$P$20&gt;0,'Decode'!$P$20,'Decode'!$P$12)</x:f>
        <x:v>8</x:v>
      </x:c>
      <x:c r="H72" s="33" t="n">
        <x:f>IF(AND(IF('Decode'!$P$20&gt;0,'Decode'!$P$20,'Decode'!$P$12)&gt;1,'Decode'!$P$23&lt;&gt;0),1,0)</x:f>
        <x:v>0</x:v>
      </x:c>
      <x:c r="I72" s="34" t="n">
        <x:f>E72*F72/1048576</x:f>
        <x:v>3</x:v>
      </x:c>
      <x:c r="J72" s="34" t="n">
        <x:f>I72*(IF(G72&gt;1,G72-1,0))</x:f>
        <x:v>21</x:v>
      </x:c>
      <x:c r="K72" s="34" t="n">
        <x:f>J72*H72</x:f>
        <x:v>0</x:v>
      </x:c>
      <x:c r="L72" s="34" t="n">
        <x:f>K72*G72</x:f>
        <x:v>0</x:v>
      </x:c>
      <x:c r="M72" s="30"/>
      <x:c r="N72" s="30"/>
      <x:c r="O72" s="30"/>
      <x:c r="P72" s="30"/>
    </x:row>
    <x:row r="73">
      <x:c r="A73" s="30" t="str">
        <x:v>Fine LM Head TP</x:v>
      </x:c>
      <x:c r="B73" s="30" t="str">
        <x:v>LM Head</x:v>
      </x:c>
      <x:c r="C73" s="30" t="str">
        <x:v>完整 Logits</x:v>
      </x:c>
      <x:c r="D73" s="30" t="str">
        <x:v>Equal-split AllToAll</x:v>
      </x:c>
      <x:c r="E73" s="33" t="n">
        <x:f>'Decode'!$P$8*154880</x:f>
        <x:v>39649280</x:v>
      </x:c>
      <x:c r="F73" s="33" t="n">
        <x:f>'Decode'!$P$28</x:f>
        <x:v>2</x:v>
      </x:c>
      <x:c r="G73" s="33" t="n">
        <x:f>IF('Decode'!$P$20&gt;0,'Decode'!$P$20,'Decode'!$P$12)</x:f>
        <x:v>8</x:v>
      </x:c>
      <x:c r="H73" s="33" t="n">
        <x:f>IF(AND(IF('Decode'!$P$20&gt;0,'Decode'!$P$20,'Decode'!$P$12)&gt;1,'Decode'!$P$23&lt;&gt;0,'Decode'!$P$33=0),1,0)</x:f>
        <x:v>0</x:v>
      </x:c>
      <x:c r="I73" s="34" t="n">
        <x:f>E73*F73/1048576</x:f>
        <x:v>75.625</x:v>
      </x:c>
      <x:c r="J73" s="34" t="n">
        <x:f>I73*(IF(G73&gt;1,(G73-1)/G73,0))</x:f>
        <x:v>66.171875</x:v>
      </x:c>
      <x:c r="K73" s="34" t="n">
        <x:f>J73*H73</x:f>
        <x:v>0</x:v>
      </x:c>
      <x:c r="L73" s="34" t="n">
        <x:f>K73*G73</x:f>
        <x:v>0</x:v>
      </x:c>
      <x:c r="M73" s="30"/>
      <x:c r="N73" s="30"/>
      <x:c r="O73" s="30"/>
      <x:c r="P73" s="30"/>
    </x:row>
    <x:row r="74">
      <x:c r="A74" s="30" t="str">
        <x:v>Fine LM Head TP</x:v>
      </x:c>
      <x:c r="B74" s="30" t="str">
        <x:v>LM Head</x:v>
      </x:c>
      <x:c r="C74" s="30" t="str">
        <x:v>Reduce Sample</x:v>
      </x:c>
      <x:c r="D74" s="30" t="str">
        <x:v>Ring AllGather</x:v>
      </x:c>
      <x:c r="E74" s="33" t="n">
        <x:f>'Decode'!$P$8*'Decode'!$P$34</x:f>
        <x:v>65536</x:v>
      </x:c>
      <x:c r="F74" s="33" t="n">
        <x:f>('Decode'!$P$28+'Decode'!$P$31)</x:f>
        <x:v>6</x:v>
      </x:c>
      <x:c r="G74" s="33" t="n">
        <x:f>IF('Decode'!$P$20&gt;0,'Decode'!$P$20,'Decode'!$P$12)</x:f>
        <x:v>8</x:v>
      </x:c>
      <x:c r="H74" s="33" t="n">
        <x:f>IF(AND(IF('Decode'!$P$20&gt;0,'Decode'!$P$20,'Decode'!$P$12)&gt;1,'Decode'!$P$23&lt;&gt;0,'Decode'!$P$33&lt;&gt;0),1,0)</x:f>
        <x:v>0</x:v>
      </x:c>
      <x:c r="I74" s="34" t="n">
        <x:f>E74*F74/1048576</x:f>
        <x:v>0.375</x:v>
      </x:c>
      <x:c r="J74" s="34" t="n">
        <x:f>I74*(IF(G74&gt;1,G74-1,0))</x:f>
        <x:v>2.625</x:v>
      </x:c>
      <x:c r="K74" s="34" t="n">
        <x:f>J74*H74</x:f>
        <x:v>0</x:v>
      </x:c>
      <x:c r="L74" s="34" t="n">
        <x:f>K74*G74</x:f>
        <x:v>0</x:v>
      </x:c>
      <x:c r="M74" s="30"/>
      <x:c r="N74" s="30"/>
      <x:c r="O74" s="30"/>
      <x:c r="P74" s="30"/>
    </x:row>
    <x:row r="75">
      <x:c r="A75" s="40" t="str">
        <x:v>合计</x:v>
      </x:c>
      <x:c r="B75" s="40"/>
      <x:c r="C75" s="40"/>
      <x:c r="D75" s="40"/>
      <x:c r="E75" s="40"/>
      <x:c r="F75" s="40"/>
      <x:c r="G75" s="40"/>
      <x:c r="H75" s="40"/>
      <x:c r="I75" s="41"/>
      <x:c r="J75" s="41"/>
      <x:c r="K75" s="41" t="n">
        <x:f>SUM(K53:K74)</x:f>
        <x:v>1125.46875</x:v>
      </x:c>
      <x:c r="L75" s="41" t="n">
        <x:f>SUM(L53:L74)</x:f>
        <x:v>9003.75</x:v>
      </x:c>
      <x:c r="M75" s="30"/>
      <x:c r="N75" s="30"/>
      <x:c r="O75" s="30"/>
      <x:c r="P75" s="30"/>
    </x:row>
  </x:sheetData>
  <x:pageMargins left="0.7" right="0.7" top="0.75" bottom="0.75" header="0.3" footer="0.3"/>
</x:worksheet>
</file>