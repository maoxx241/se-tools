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577e0775c9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efill" sheetId="1" r:id="R1aec05dc1b2d458c"/>
    <x:sheet xmlns:r="http://schemas.openxmlformats.org/officeDocument/2006/relationships" name="Decode" sheetId="2" r:id="R8d075b9e37a6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##"/>
    <x:numFmt numFmtId="201" formatCode="0.0000"/>
    <x:numFmt numFmtId="202" formatCode="#,##0.####"/>
    <x:numFmt numFmtId="203" formatCode="0.000000"/>
  </x:numFmts>
  <x:fonts count="4">
    <x:font>
      <x:sz val="11"/>
      <x:name val="Carlito"/>
    </x:font>
    <x:font>
      <x:b/>
      <x:sz val="10"/>
      <x:color rgb="FF000000"/>
      <x:name val="Arial"/>
    </x:font>
    <x:font>
      <x:b/>
      <x:sz val="11"/>
      <x:name val="Carlito"/>
    </x:font>
    <x:font>
      <x:sz val="10"/>
      <x:color rgb="FF000000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2F3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3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3" borderId="2" xfId="0" applyNumberFormat="1" applyFont="1" applyFill="1" applyBorder="1"/>
    <x:xf numFmtId="200" fontId="0" fillId="3" borderId="2" xfId="0" applyNumberFormat="1" applyFont="1" applyFill="1" applyBorder="1"/>
    <x:xf numFmtId="0" fontId="0" fillId="4" borderId="2" xfId="0" applyNumberFormat="1" applyFont="1" applyFill="1" applyBorder="1"/>
    <x:xf numFmtId="200" fontId="0" fillId="4" borderId="2" xfId="0" applyNumberFormat="1" applyFont="1" applyFill="1" applyBorder="1"/>
    <x:xf numFmtId="201" fontId="0" fillId="4" borderId="2" xfId="0" applyNumberFormat="1" applyFont="1" applyFill="1" applyBorder="1"/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202" fontId="0" fillId="3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2" fillId="0" borderId="0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202" fontId="3" fillId="3" borderId="0" xfId="0" applyNumberFormat="1" applyFont="1" applyFill="1" applyBorder="1"/>
    <x:xf numFmtId="202" fontId="3" fillId="0" borderId="0" xfId="0" applyNumberFormat="1" applyFont="1" applyFill="1" applyBorder="1"/>
    <x:xf numFmtId="203" fontId="3" fillId="0" borderId="0" xfId="0" applyNumberFormat="1" applyFont="1" applyFill="1" applyBorder="1"/>
    <x:xf numFmtId="0" fontId="3" fillId="0" borderId="2" xfId="0" applyNumberFormat="1" applyFont="1" applyFill="1" applyBorder="1"/>
    <x:xf numFmtId="200" fontId="3" fillId="3" borderId="2" xfId="0" applyNumberFormat="1" applyFont="1" applyFill="1" applyBorder="1"/>
    <x:xf numFmtId="200" fontId="3" fillId="4" borderId="2" xfId="0" applyNumberFormat="1" applyFont="1" applyFill="1" applyBorder="1"/>
    <x:xf numFmtId="0" fontId="3" fillId="3" borderId="2" xfId="0" applyNumberFormat="1" applyFont="1" applyFill="1" applyBorder="1"/>
    <x:xf numFmtId="0" fontId="1" fillId="0" borderId="0" xfId="0" applyNumberFormat="1" applyFont="1" applyFill="1" applyBorder="1"/>
    <x:xf numFmtId="203" fontId="1" fillId="0" borderId="0" xfId="0" applyNumberFormat="1" applyFont="1" applyFill="1" applyBorder="1"/>
    <x:xf numFmtId="201" fontId="3" fillId="4" borderId="2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202" fontId="3" fillId="3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0" fontId="3" fillId="0" borderId="2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0" fontId="3" fillId="4" borderId="2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1" fontId="3" fillId="4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ac4260daf44320" /><Relationship Type="http://schemas.openxmlformats.org/officeDocument/2006/relationships/theme" Target="/xl/theme/theme1.xml" Id="R59f62d7c324b4d2a" /><Relationship Type="http://schemas.openxmlformats.org/officeDocument/2006/relationships/sharedStrings" Target="/xl/sharedStrings.xml" Id="Ra541a1328d9847a9" /><Relationship Type="http://schemas.openxmlformats.org/officeDocument/2006/relationships/worksheet" Target="/xl/worksheets/sheet1.xml" Id="R1aec05dc1b2d458c" /><Relationship Type="http://schemas.openxmlformats.org/officeDocument/2006/relationships/worksheet" Target="/xl/worksheets/sheet2.xml" Id="R8d075b9e37a645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Input</x:v>
      </x:c>
      <x:c r="B2" s="30" t="str">
        <x:v>fc.weight</x:v>
      </x:c>
      <x:c r="C2" s="30" t="str">
        <x:v>[7168, 35840]</x:v>
      </x:c>
      <x:c r="D2" s="30" t="str">
        <x:v>BF16</x:v>
      </x:c>
      <x:c r="E2" s="32" t="n">
        <x:v>2</x:v>
      </x:c>
      <x:c r="F2" s="33" t="n">
        <x:v>1</x:v>
      </x:c>
      <x:c r="G2" s="33" t="n">
        <x:v>256901120</x:v>
      </x:c>
      <x:c r="H2" s="33" t="str">
        <x:v>TP</x:v>
      </x:c>
      <x:c r="I2" s="33" t="n">
        <x:f>'Prefill'!$P$12</x:f>
        <x:v>8</x:v>
      </x:c>
      <x:c r="J2" s="34" t="n">
        <x:f>E2*F2*G2/1073741824</x:f>
        <x:v>0.478515625</x:v>
      </x:c>
      <x:c r="K2" s="34" t="n">
        <x:f>J2/I2</x:f>
        <x:v>0.059814453125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Input</x:v>
      </x:c>
      <x:c r="B3" s="30" t="str">
        <x:v>hidden_norm.weight</x:v>
      </x:c>
      <x:c r="C3" s="30" t="str">
        <x:v>[7168]</x:v>
      </x:c>
      <x:c r="D3" s="30" t="str">
        <x:v>BF16</x:v>
      </x:c>
      <x:c r="E3" s="32" t="n">
        <x:v>2</x:v>
      </x:c>
      <x:c r="F3" s="33" t="n">
        <x:v>1</x:v>
      </x:c>
      <x:c r="G3" s="33" t="n">
        <x:v>7168</x:v>
      </x:c>
      <x:c r="H3" s="33" t="str">
        <x:v>Replicated</x:v>
      </x:c>
      <x:c r="I3" s="33" t="n">
        <x:f>1</x:f>
        <x:v>1</x:v>
      </x:c>
      <x:c r="J3" s="34" t="n">
        <x:f>E3*F3*G3/1073741824</x:f>
        <x:v>0.0000133514404296875</x:v>
      </x:c>
      <x:c r="K3" s="34" t="n">
        <x:f>J3/I3</x:f>
        <x:v>0.0000133514404296875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Attention</x:v>
      </x:c>
      <x:c r="B4" s="30" t="str">
        <x:v>q_proj.weight</x:v>
      </x:c>
      <x:c r="C4" s="30" t="str">
        <x:v>[4096, 7168]</x:v>
      </x:c>
      <x:c r="D4" s="30" t="str">
        <x:v>BF16</x:v>
      </x:c>
      <x:c r="E4" s="32" t="n">
        <x:v>2</x:v>
      </x:c>
      <x:c r="F4" s="33" t="n">
        <x:v>5</x:v>
      </x:c>
      <x:c r="G4" s="33" t="n">
        <x:v>29360128</x:v>
      </x:c>
      <x:c r="H4" s="33" t="str">
        <x:v>TP</x:v>
      </x:c>
      <x:c r="I4" s="33" t="n">
        <x:f>'Prefill'!$P$12</x:f>
        <x:v>8</x:v>
      </x:c>
      <x:c r="J4" s="34" t="n">
        <x:f>E4*F4*G4/1073741824</x:f>
        <x:v>0.2734375</x:v>
      </x:c>
      <x:c r="K4" s="34" t="n">
        <x:f>J4/I4</x:f>
        <x:v>0.0341796875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Attention</x:v>
      </x:c>
      <x:c r="B5" s="30" t="str">
        <x:v>k_proj.weight</x:v>
      </x:c>
      <x:c r="C5" s="30" t="str">
        <x:v>[1024, 7168]</x:v>
      </x:c>
      <x:c r="D5" s="30" t="str">
        <x:v>BF16</x:v>
      </x:c>
      <x:c r="E5" s="32" t="n">
        <x:v>2</x:v>
      </x:c>
      <x:c r="F5" s="33" t="n">
        <x:v>5</x:v>
      </x:c>
      <x:c r="G5" s="33" t="n">
        <x:v>7340032</x:v>
      </x:c>
      <x:c r="H5" s="33" t="str">
        <x:v>TP</x:v>
      </x:c>
      <x:c r="I5" s="33" t="n">
        <x:f>'Prefill'!$P$12</x:f>
        <x:v>8</x:v>
      </x:c>
      <x:c r="J5" s="34" t="n">
        <x:f>E5*F5*G5/1073741824</x:f>
        <x:v>0.068359375</x:v>
      </x:c>
      <x:c r="K5" s="34" t="n">
        <x:f>J5/I5</x:f>
        <x:v>0.008544921875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Attention</x:v>
      </x:c>
      <x:c r="B6" s="30" t="str">
        <x:v>v_proj.weight</x:v>
      </x:c>
      <x:c r="C6" s="30" t="str">
        <x:v>[1024, 7168]</x:v>
      </x:c>
      <x:c r="D6" s="30" t="str">
        <x:v>BF16</x:v>
      </x:c>
      <x:c r="E6" s="32" t="n">
        <x:v>2</x:v>
      </x:c>
      <x:c r="F6" s="33" t="n">
        <x:v>5</x:v>
      </x:c>
      <x:c r="G6" s="33" t="n">
        <x:v>7340032</x:v>
      </x:c>
      <x:c r="H6" s="33" t="str">
        <x:v>TP</x:v>
      </x:c>
      <x:c r="I6" s="33" t="n">
        <x:f>'Prefill'!$P$12</x:f>
        <x:v>8</x:v>
      </x:c>
      <x:c r="J6" s="34" t="n">
        <x:f>E6*F6*G6/1073741824</x:f>
        <x:v>0.068359375</x:v>
      </x:c>
      <x:c r="K6" s="34" t="n">
        <x:f>J6/I6</x:f>
        <x:v>0.008544921875</x:v>
      </x:c>
      <x:c r="L6" s="30"/>
      <x:c r="M6" s="30"/>
      <x:c r="N6" s="30"/>
      <x:c r="O6" s="35" t="str">
        <x:v>投机采样步数</x:v>
      </x:c>
      <x:c r="P6" s="36" t="n">
        <x:v>0</x:v>
      </x:c>
    </x:row>
    <x:row r="7">
      <x:c r="A7" s="30" t="str">
        <x:v>Attention</x:v>
      </x:c>
      <x:c r="B7" s="30" t="str">
        <x:v>o_proj.weight</x:v>
      </x:c>
      <x:c r="C7" s="30" t="str">
        <x:v>[7168, 4096]</x:v>
      </x:c>
      <x:c r="D7" s="30" t="str">
        <x:v>BF16</x:v>
      </x:c>
      <x:c r="E7" s="32" t="n">
        <x:v>2</x:v>
      </x:c>
      <x:c r="F7" s="33" t="n">
        <x:v>5</x:v>
      </x:c>
      <x:c r="G7" s="33" t="n">
        <x:v>29360128</x:v>
      </x:c>
      <x:c r="H7" s="33" t="str">
        <x:v>O Proj TP</x:v>
      </x:c>
      <x:c r="I7" s="33" t="n">
        <x:f>IF('Prefill'!$P$19&gt;0,'Prefill'!$P$19,'Prefill'!$P$12)</x:f>
        <x:v>8</x:v>
      </x:c>
      <x:c r="J7" s="34" t="n">
        <x:f>E7*F7*G7/1073741824</x:f>
        <x:v>0.2734375</x:v>
      </x:c>
      <x:c r="K7" s="34" t="n">
        <x:f>J7/I7</x:f>
        <x:v>0.0341796875</x:v>
      </x:c>
      <x:c r="L7" s="30"/>
      <x:c r="M7" s="30"/>
      <x:c r="N7" s="30"/>
      <x:c r="O7" s="35" t="str">
        <x:v>当前 Step Token 数</x:v>
      </x:c>
      <x:c r="P7" s="37" t="n">
        <x:f>MIN($P$2,$P$3*$P$4)</x:f>
        <x:v>8192</x:v>
      </x:c>
    </x:row>
    <x:row r="8">
      <x:c r="A8" s="30" t="str">
        <x:v>Attention</x:v>
      </x:c>
      <x:c r="B8" s="30" t="str">
        <x:v>q_norm.weight</x:v>
      </x:c>
      <x:c r="C8" s="30" t="str">
        <x:v>[64]</x:v>
      </x:c>
      <x:c r="D8" s="30" t="str">
        <x:v>BF16</x:v>
      </x:c>
      <x:c r="E8" s="32" t="n">
        <x:v>2</x:v>
      </x:c>
      <x:c r="F8" s="33" t="n">
        <x:v>5</x:v>
      </x:c>
      <x:c r="G8" s="33" t="n">
        <x:v>64</x:v>
      </x:c>
      <x:c r="H8" s="33" t="str">
        <x:v>Replicated</x:v>
      </x:c>
      <x:c r="I8" s="33" t="n">
        <x:f>1</x:f>
        <x:v>1</x:v>
      </x:c>
      <x:c r="J8" s="34" t="n">
        <x:f>E8*F8*G8/1073741824</x:f>
        <x:v>5.960464477539062e-7</x:v>
      </x:c>
      <x:c r="K8" s="34" t="n">
        <x:f>J8/I8</x:f>
        <x:v>5.960464477539062e-7</x:v>
      </x:c>
      <x:c r="L8" s="30"/>
      <x:c r="M8" s="30"/>
      <x:c r="N8" s="30"/>
      <x:c r="O8" s="35" t="str">
        <x:v>本 Step 采样行数</x:v>
      </x:c>
      <x:c r="P8" s="37" t="n">
        <x:f>MIN($P$3,$P$7)</x:f>
        <x:v>128</x:v>
      </x:c>
    </x:row>
    <x:row r="9">
      <x:c r="A9" s="30" t="str">
        <x:v>Attention</x:v>
      </x:c>
      <x:c r="B9" s="30" t="str">
        <x:v>k_norm.weight</x:v>
      </x:c>
      <x:c r="C9" s="30" t="str">
        <x:v>[64]</x:v>
      </x:c>
      <x:c r="D9" s="30" t="str">
        <x:v>BF16</x:v>
      </x:c>
      <x:c r="E9" s="32" t="n">
        <x:v>2</x:v>
      </x:c>
      <x:c r="F9" s="33" t="n">
        <x:v>5</x:v>
      </x:c>
      <x:c r="G9" s="33" t="n">
        <x:v>64</x:v>
      </x:c>
      <x:c r="H9" s="33" t="str">
        <x:v>Replicated</x:v>
      </x:c>
      <x:c r="I9" s="33" t="n">
        <x:f>1</x:f>
        <x:v>1</x:v>
      </x:c>
      <x:c r="J9" s="34" t="n">
        <x:f>E9*F9*G9/1073741824</x:f>
        <x:v>5.960464477539062e-7</x:v>
      </x:c>
      <x:c r="K9" s="34" t="n">
        <x:f>J9/I9</x:f>
        <x:v>5.960464477539062e-7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input_layernorm.weight</x:v>
      </x:c>
      <x:c r="C10" s="30" t="str">
        <x:v>[7168]</x:v>
      </x:c>
      <x:c r="D10" s="30" t="str">
        <x:v>BF16</x:v>
      </x:c>
      <x:c r="E10" s="32" t="n">
        <x:v>2</x:v>
      </x:c>
      <x:c r="F10" s="33" t="n">
        <x:v>5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0.0000667572021484375</x:v>
      </x:c>
      <x:c r="K10" s="34" t="n">
        <x:f>J10/I10</x:f>
        <x:v>0.0000667572021484375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post_attention_layernorm.weight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5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0.0000667572021484375</x:v>
      </x:c>
      <x:c r="K11" s="34" t="n">
        <x:f>J11/I11</x:f>
        <x:v>0.0000667572021484375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mlp.gate_proj.weight</x:v>
      </x:c>
      <x:c r="C12" s="30" t="str">
        <x:v>[14336, 7168]</x:v>
      </x:c>
      <x:c r="D12" s="30" t="str">
        <x:v>BF16</x:v>
      </x:c>
      <x:c r="E12" s="32" t="n">
        <x:v>2</x:v>
      </x:c>
      <x:c r="F12" s="33" t="n">
        <x:v>5</x:v>
      </x:c>
      <x:c r="G12" s="33" t="n">
        <x:v>102760448</x:v>
      </x:c>
      <x:c r="H12" s="33" t="str">
        <x:v>TP</x:v>
      </x:c>
      <x:c r="I12" s="33" t="n">
        <x:f>'Prefill'!$P$12</x:f>
        <x:v>8</x:v>
      </x:c>
      <x:c r="J12" s="34" t="n">
        <x:f>E12*F12*G12/1073741824</x:f>
        <x:v>0.95703125</x:v>
      </x:c>
      <x:c r="K12" s="34" t="n">
        <x:f>J12/I12</x:f>
        <x:v>0.11962890625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mlp.up_proj.weight</x:v>
      </x:c>
      <x:c r="C13" s="30" t="str">
        <x:v>[14336, 7168]</x:v>
      </x:c>
      <x:c r="D13" s="30" t="str">
        <x:v>BF16</x:v>
      </x:c>
      <x:c r="E13" s="32" t="n">
        <x:v>2</x:v>
      </x:c>
      <x:c r="F13" s="33" t="n">
        <x:v>5</x:v>
      </x:c>
      <x:c r="G13" s="33" t="n">
        <x:v>102760448</x:v>
      </x:c>
      <x:c r="H13" s="33" t="str">
        <x:v>TP</x:v>
      </x:c>
      <x:c r="I13" s="33" t="n">
        <x:f>'Prefill'!$P$12</x:f>
        <x:v>8</x:v>
      </x:c>
      <x:c r="J13" s="34" t="n">
        <x:f>E13*F13*G13/1073741824</x:f>
        <x:v>0.95703125</x:v>
      </x:c>
      <x:c r="K13" s="34" t="n">
        <x:f>J13/I13</x:f>
        <x:v>0.11962890625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mlp.down_proj.weight</x:v>
      </x:c>
      <x:c r="C14" s="30" t="str">
        <x:v>[7168, 14336]</x:v>
      </x:c>
      <x:c r="D14" s="30" t="str">
        <x:v>BF16</x:v>
      </x:c>
      <x:c r="E14" s="32" t="n">
        <x:v>2</x:v>
      </x:c>
      <x:c r="F14" s="33" t="n">
        <x:v>5</x:v>
      </x:c>
      <x:c r="G14" s="33" t="n">
        <x:v>102760448</x:v>
      </x:c>
      <x:c r="H14" s="33" t="str">
        <x:v>TP</x:v>
      </x:c>
      <x:c r="I14" s="33" t="n">
        <x:f>'Prefill'!$P$12</x:f>
        <x:v>8</x:v>
      </x:c>
      <x:c r="J14" s="34" t="n">
        <x:f>E14*F14*G14/1073741824</x:f>
        <x:v>0.95703125</x:v>
      </x:c>
      <x:c r="K14" s="34" t="n">
        <x:f>J14/I14</x:f>
        <x:v>0.11962890625</x:v>
      </x:c>
      <x:c r="L14" s="30"/>
      <x:c r="M14" s="30"/>
      <x:c r="N14" s="30"/>
      <x:c r="O14" s="35" t="str">
        <x:v>EP</x:v>
      </x:c>
      <x:c r="P14" s="36" t="n">
        <x:v>1</x:v>
      </x:c>
    </x:row>
    <x:row r="15">
      <x:c r="A15" s="30" t="str">
        <x:v>Output</x:v>
      </x:c>
      <x:c r="B15" s="30" t="str">
        <x:v>norm.weight</x:v>
      </x:c>
      <x:c r="C15" s="30" t="str">
        <x:v>[7168]</x:v>
      </x:c>
      <x:c r="D15" s="30" t="str">
        <x:v>BF16</x:v>
      </x:c>
      <x:c r="E15" s="32" t="n">
        <x:v>2</x:v>
      </x:c>
      <x:c r="F15" s="33" t="n">
        <x:v>1</x:v>
      </x:c>
      <x:c r="G15" s="33" t="n">
        <x:v>7168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0.0000133514404296875</x:v>
      </x:c>
      <x:c r="K15" s="34" t="n">
        <x:f>J15/I15</x:f>
        <x:v>0.0000133514404296875</x:v>
      </x:c>
      <x:c r="L15" s="30"/>
      <x:c r="M15" s="30"/>
      <x:c r="N15" s="30"/>
      <x:c r="O15" s="35" t="str">
        <x:v>PCP（1 表示关闭）</x:v>
      </x:c>
      <x:c r="P15" s="36" t="n">
        <x:v>1</x:v>
      </x:c>
    </x:row>
    <x:row r="16">
      <x:c r="A16" s="30" t="str">
        <x:v>Markov Head</x:v>
      </x:c>
      <x:c r="B16" s="30" t="str">
        <x:v>markov_w1.weight</x:v>
      </x:c>
      <x:c r="C16" s="30" t="str">
        <x:v>[163840, 256]</x:v>
      </x:c>
      <x:c r="D16" s="30" t="str">
        <x:v>BF16</x:v>
      </x:c>
      <x:c r="E16" s="32" t="n">
        <x:v>2</x:v>
      </x:c>
      <x:c r="F16" s="33" t="n">
        <x:v>1</x:v>
      </x:c>
      <x:c r="G16" s="33" t="n">
        <x:v>41943040</x:v>
      </x:c>
      <x:c r="H16" s="33" t="str">
        <x:v>Embedding TP</x:v>
      </x:c>
      <x:c r="I16" s="33" t="n">
        <x:f>IF('Prefill'!$P$21&gt;0,'Prefill'!$P$21,'Prefill'!$P$12)</x:f>
        <x:v>8</x:v>
      </x:c>
      <x:c r="J16" s="34" t="n">
        <x:f>E16*F16*G16/1073741824</x:f>
        <x:v>0.078125</x:v>
      </x:c>
      <x:c r="K16" s="34" t="n">
        <x:f>J16/I16</x:f>
        <x:v>0.009765625</x:v>
      </x:c>
      <x:c r="L16" s="30"/>
      <x:c r="M16" s="30"/>
      <x:c r="N16" s="30"/>
      <x:c r="O16" s="35"/>
      <x:c r="P16" s="35"/>
    </x:row>
    <x:row r="17">
      <x:c r="A17" s="30" t="str">
        <x:v>Markov Head</x:v>
      </x:c>
      <x:c r="B17" s="30" t="str">
        <x:v>markov_w2.weight</x:v>
      </x:c>
      <x:c r="C17" s="30" t="str">
        <x:v>[163840, 256]</x:v>
      </x:c>
      <x:c r="D17" s="30" t="str">
        <x:v>BF16</x:v>
      </x:c>
      <x:c r="E17" s="32" t="n">
        <x:v>2</x:v>
      </x:c>
      <x:c r="F17" s="33" t="n">
        <x:v>1</x:v>
      </x:c>
      <x:c r="G17" s="33" t="n">
        <x:v>41943040</x:v>
      </x:c>
      <x:c r="H17" s="33" t="str">
        <x:v>LM Head TP</x:v>
      </x:c>
      <x:c r="I17" s="33" t="n">
        <x:f>IF('Prefill'!$P$20&gt;0,'Prefill'!$P$20,'Prefill'!$P$12)</x:f>
        <x:v>8</x:v>
      </x:c>
      <x:c r="J17" s="34" t="n">
        <x:f>E17*F17*G17/1073741824</x:f>
        <x:v>0.078125</x:v>
      </x:c>
      <x:c r="K17" s="34" t="n">
        <x:f>J17/I17</x:f>
        <x:v>0.009765625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Confidence Head</x:v>
      </x:c>
      <x:c r="B18" s="30" t="str">
        <x:v>confidence_head.proj.weight</x:v>
      </x:c>
      <x:c r="C18" s="30" t="str">
        <x:v>[1, 7424]</x:v>
      </x:c>
      <x:c r="D18" s="30" t="str">
        <x:v>BF16</x:v>
      </x:c>
      <x:c r="E18" s="32" t="n">
        <x:v>2</x:v>
      </x:c>
      <x:c r="F18" s="33" t="n">
        <x:v>1</x:v>
      </x:c>
      <x:c r="G18" s="33" t="n">
        <x:v>7424</x:v>
      </x:c>
      <x:c r="H18" s="33" t="str">
        <x:v>Replicated</x:v>
      </x:c>
      <x:c r="I18" s="33" t="n">
        <x:f>1</x:f>
        <x:v>1</x:v>
      </x:c>
      <x:c r="J18" s="34" t="n">
        <x:f>E18*F18*G18/1073741824</x:f>
        <x:v>0.000013828277587890625</x:v>
      </x:c>
      <x:c r="K18" s="34" t="n">
        <x:f>J18/I18</x:f>
        <x:v>0.000013828277587890625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Confidence Head</x:v>
      </x:c>
      <x:c r="B19" s="30" t="str">
        <x:v>confidence_head.proj.bias</x:v>
      </x:c>
      <x:c r="C19" s="30" t="str">
        <x:v>[1]</x:v>
      </x:c>
      <x:c r="D19" s="30" t="str">
        <x:v>BF16</x:v>
      </x:c>
      <x:c r="E19" s="32" t="n">
        <x:v>2</x:v>
      </x:c>
      <x:c r="F19" s="33" t="n">
        <x:v>1</x:v>
      </x:c>
      <x:c r="G19" s="33" t="n">
        <x:v>1</x:v>
      </x:c>
      <x:c r="H19" s="33" t="str">
        <x:v>Replicated</x:v>
      </x:c>
      <x:c r="I19" s="33" t="n">
        <x:f>1</x:f>
        <x:v>1</x:v>
      </x:c>
      <x:c r="J19" s="34" t="n">
        <x:f>E19*F19*G19/1073741824</x:f>
        <x:v>1.862645149230957e-9</x:v>
      </x:c>
      <x:c r="K19" s="34" t="n">
        <x:f>J19/I19</x:f>
        <x:v>1.862645149230957e-9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9" t="str">
        <x:v>合计</x:v>
      </x:c>
      <x:c r="B20" s="39"/>
      <x:c r="C20" s="39"/>
      <x:c r="D20" s="39"/>
      <x:c r="E20" s="39"/>
      <x:c r="F20" s="39"/>
      <x:c r="G20" s="39"/>
      <x:c r="H20" s="39"/>
      <x:c r="I20" s="39"/>
      <x:c r="J20" s="40" t="n">
        <x:f>SUM(J2:J19)</x:f>
        <x:v>4.189628364518285</x:v>
      </x:c>
      <x:c r="K20" s="40" t="n">
        <x:f>SUM(K2:K19)</x:f>
        <x:v>0.5238568801432848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 ht="30" customHeight="1">
      <x:c r="A22" s="18" t="str">
        <x:v>并行策略</x:v>
      </x:c>
      <x:c r="B22" s="18" t="str">
        <x:v>模块</x:v>
      </x:c>
      <x:c r="C22" s="18" t="str">
        <x:v>通信位置</x:v>
      </x:c>
      <x:c r="D22" s="18" t="str">
        <x:v>Collective</x:v>
      </x:c>
      <x:c r="E22" s="18" t="str">
        <x:v>本 Rank 输入元素/次</x:v>
      </x:c>
      <x:c r="F22" s="18" t="str">
        <x:v>字节/元素</x:v>
      </x:c>
      <x:c r="G22" s="18" t="str">
        <x:v>通信组大小</x:v>
      </x:c>
      <x:c r="H22" s="18" t="str">
        <x:v>次数/Step</x:v>
      </x:c>
      <x:c r="I22" s="18" t="str">
        <x:v>有效负载 MiB/次</x:v>
      </x:c>
      <x:c r="J22" s="18" t="str">
        <x:v>单 Rank 发送 MiB/次</x:v>
      </x:c>
      <x:c r="K22" s="18" t="str">
        <x:v>单 Rank 发送 MiB/Step</x:v>
      </x:c>
      <x:c r="L22" s="18" t="str">
        <x:v>通信组发送 MiB/Step</x:v>
      </x:c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TP</x:v>
      </x:c>
      <x:c r="B23" s="30" t="str">
        <x:v>Input Projection</x:v>
      </x:c>
      <x:c r="C23" s="30" t="str">
        <x:v>Column Parallel 输出</x:v>
      </x:c>
      <x:c r="D23" s="30" t="str">
        <x:v>Ring AllGather</x:v>
      </x:c>
      <x:c r="E23" s="33" t="n">
        <x:f>'Prefill'!$P$7*7168/'Prefill'!$P$12</x:f>
        <x:v>7340032</x:v>
      </x:c>
      <x:c r="F23" s="33" t="n">
        <x:f>'Prefill'!$P$28</x:f>
        <x:v>2</x:v>
      </x:c>
      <x:c r="G23" s="33" t="n">
        <x:f>'Prefill'!$P$12</x:f>
        <x:v>8</x:v>
      </x:c>
      <x:c r="H23" s="33" t="n">
        <x:f>IF('Prefill'!$P$12&gt;1,1,0)</x:f>
        <x:v>1</x:v>
      </x:c>
      <x:c r="I23" s="34" t="n">
        <x:f>E23*F23/1048576</x:f>
        <x:v>14</x:v>
      </x:c>
      <x:c r="J23" s="34" t="n">
        <x:f>I23*(IF(G23&gt;1,G23-1,0))</x:f>
        <x:v>98</x:v>
      </x:c>
      <x:c r="K23" s="34" t="n">
        <x:f>J23*H23</x:f>
        <x:v>98</x:v>
      </x:c>
      <x:c r="L23" s="34" t="n">
        <x:f>K23*G23</x:f>
        <x:v>784</x:v>
      </x:c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SP</x:v>
      </x:c>
      <x:c r="B24" s="30" t="str">
        <x:v>Attention</x:v>
      </x:c>
      <x:c r="C24" s="30" t="str">
        <x:v>Attention 前</x:v>
      </x:c>
      <x:c r="D24" s="30" t="str">
        <x:v>Ring AllGather</x:v>
      </x:c>
      <x:c r="E24" s="33" t="n">
        <x:f>((ROUNDUP('Prefill'!$P$7/'Prefill'!$P$12,0)*'Prefill'!$P$12)/'Prefill'!$P$12)*7168</x:f>
        <x:v>7340032</x:v>
      </x:c>
      <x:c r="F24" s="33" t="n">
        <x:f>'Prefill'!$P$28</x:f>
        <x:v>2</x:v>
      </x:c>
      <x:c r="G24" s="33" t="n">
        <x:f>'Prefill'!$P$12</x:f>
        <x:v>8</x:v>
      </x:c>
      <x:c r="H24" s="33" t="n">
        <x:f>5*IF(AND('Prefill'!$P$13&lt;&gt;0,'Prefill'!$P$12&gt;1,'Prefill'!$P$22=0),1,0)</x:f>
        <x:v>5</x:v>
      </x:c>
      <x:c r="I24" s="34" t="n">
        <x:f>E24*F24/1048576</x:f>
        <x:v>14</x:v>
      </x:c>
      <x:c r="J24" s="34" t="n">
        <x:f>I24*(IF(G24&gt;1,G24-1,0))</x:f>
        <x:v>98</x:v>
      </x:c>
      <x:c r="K24" s="34" t="n">
        <x:f>J24*H24</x:f>
        <x:v>490</x:v>
      </x:c>
      <x:c r="L24" s="34" t="n">
        <x:f>K24*G24</x:f>
        <x:v>3920</x:v>
      </x:c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SP</x:v>
      </x:c>
      <x:c r="B25" s="30" t="str">
        <x:v>Attention</x:v>
      </x:c>
      <x:c r="C25" s="30" t="str">
        <x:v>O Proj 后</x:v>
      </x:c>
      <x:c r="D25" s="30" t="str">
        <x:v>Ring ReduceScatter</x:v>
      </x:c>
      <x:c r="E25" s="33" t="n">
        <x:f>(ROUNDUP('Prefill'!$P$7/'Prefill'!$P$12,0)*'Prefill'!$P$12)*7168</x:f>
        <x:v>58720256</x:v>
      </x:c>
      <x:c r="F25" s="33" t="n">
        <x:f>'Prefill'!$P$28</x:f>
        <x:v>2</x:v>
      </x:c>
      <x:c r="G25" s="33" t="n">
        <x:f>'Prefill'!$P$12</x:f>
        <x:v>8</x:v>
      </x:c>
      <x:c r="H25" s="33" t="n">
        <x:f>5*IF(AND('Prefill'!$P$13&lt;&gt;0,'Prefill'!$P$12&gt;1,'Prefill'!$P$22=0),1,0)</x:f>
        <x:v>5</x:v>
      </x:c>
      <x:c r="I25" s="34" t="n">
        <x:f>E25*F25/1048576</x:f>
        <x:v>112</x:v>
      </x:c>
      <x:c r="J25" s="34" t="n">
        <x:f>I25*(IF(G25&gt;1,(G25-1)/G25,0))</x:f>
        <x:v>98</x:v>
      </x:c>
      <x:c r="K25" s="34" t="n">
        <x:f>J25*H25</x:f>
        <x:v>490</x:v>
      </x:c>
      <x:c r="L25" s="34" t="n">
        <x:f>K25*G25</x:f>
        <x:v>3920</x:v>
      </x:c>
      <x:c r="M25" s="30"/>
      <x:c r="N25" s="30"/>
      <x:c r="O25" s="30"/>
      <x:c r="P25" s="30"/>
    </x:row>
    <x:row r="26">
      <x:c r="A26" s="30" t="str">
        <x:v>O Proj TP</x:v>
      </x:c>
      <x:c r="B26" s="30" t="str">
        <x:v>Attention</x:v>
      </x:c>
      <x:c r="C26" s="30" t="str">
        <x:v>非 SP 标准 TP</x:v>
      </x:c>
      <x:c r="D26" s="30" t="str">
        <x:v>Ring AllReduce</x:v>
      </x:c>
      <x:c r="E26" s="33" t="n">
        <x:f>'Prefill'!$P$7*7168</x:f>
        <x:v>58720256</x:v>
      </x:c>
      <x:c r="F26" s="33" t="n">
        <x:f>'Prefill'!$P$28</x:f>
        <x:v>2</x:v>
      </x:c>
      <x:c r="G26" s="33" t="n">
        <x:f>IF('Prefill'!$P$19&gt;0,'Prefill'!$P$19,'Prefill'!$P$12)</x:f>
        <x:v>8</x:v>
      </x:c>
      <x:c r="H26" s="33" t="n">
        <x:f>5*IF(AND('Prefill'!$P$13=0,IF('Prefill'!$P$19&gt;0,'Prefill'!$P$19,'Prefill'!$P$12)&gt;1,'Prefill'!$P$22=0),1,0)</x:f>
        <x:v>0</x:v>
      </x:c>
      <x:c r="I26" s="34" t="n">
        <x:f>E26*F26/1048576</x:f>
        <x:v>112</x:v>
      </x:c>
      <x:c r="J26" s="34" t="n">
        <x:f>I26*(IF(G26&gt;1,2*(G26-1)/G26,0))</x:f>
        <x:v>196</x:v>
      </x:c>
      <x:c r="K26" s="34" t="n">
        <x:f>J26*H26</x:f>
        <x:v>0</x:v>
      </x:c>
      <x:c r="L26" s="34" t="n">
        <x:f>K26*G26</x:f>
        <x:v>0</x:v>
      </x:c>
      <x:c r="M26" s="30"/>
      <x:c r="N26" s="30"/>
      <x:c r="O26" s="30"/>
      <x:c r="P26" s="30"/>
    </x:row>
    <x:row r="27">
      <x:c r="A27" s="30" t="str">
        <x:v>Fine O TP</x:v>
      </x:c>
      <x:c r="B27" s="30" t="str">
        <x:v>Attention</x:v>
      </x:c>
      <x:c r="C27" s="30" t="str">
        <x:v>O Proj 输入</x:v>
      </x:c>
      <x:c r="D27" s="30" t="str">
        <x:v>Equal-split AllToAll</x:v>
      </x:c>
      <x:c r="E27" s="33" t="n">
        <x:f>'Prefill'!$P$7*4096</x:f>
        <x:v>33554432</x:v>
      </x:c>
      <x:c r="F27" s="33" t="n">
        <x:f>'Prefill'!$P$28</x:f>
        <x:v>2</x:v>
      </x:c>
      <x:c r="G27" s="33" t="n">
        <x:f>IF('Prefill'!$P$19&gt;0,'Prefill'!$P$19,'Prefill'!$P$12)</x:f>
        <x:v>8</x:v>
      </x:c>
      <x:c r="H27" s="33" t="n">
        <x:f>5*IF(AND(IF('Prefill'!$P$19&gt;0,'Prefill'!$P$19,'Prefill'!$P$12)&gt;1,'Prefill'!$P$22&lt;&gt;0),1,0)</x:f>
        <x:v>0</x:v>
      </x:c>
      <x:c r="I27" s="34" t="n">
        <x:f>E27*F27/1048576</x:f>
        <x:v>64</x:v>
      </x:c>
      <x:c r="J27" s="34" t="n">
        <x:f>I27*(IF(G27&gt;1,(G27-1)/G27,0))</x:f>
        <x:v>56</x:v>
      </x:c>
      <x:c r="K27" s="34" t="n">
        <x:f>J27*H27</x:f>
        <x:v>0</x:v>
      </x:c>
      <x:c r="L27" s="34" t="n">
        <x:f>K27*G27</x:f>
        <x:v>0</x:v>
      </x:c>
      <x:c r="M27" s="30"/>
      <x:c r="N27" s="30"/>
      <x:c r="O27" s="31" t="str">
        <x:v>通信参数</x:v>
      </x:c>
      <x:c r="P27" s="31"/>
    </x:row>
    <x:row r="28">
      <x:c r="A28" s="30" t="str">
        <x:v>Fine O TP</x:v>
      </x:c>
      <x:c r="B28" s="30" t="str">
        <x:v>Attention</x:v>
      </x:c>
      <x:c r="C28" s="30" t="str">
        <x:v>O Proj 输出</x:v>
      </x:c>
      <x:c r="D28" s="30" t="str">
        <x:v>Ring ReduceScatter</x:v>
      </x:c>
      <x:c r="E28" s="33" t="n">
        <x:f>'Prefill'!$P$7*IF('Prefill'!$P$19&gt;0,'Prefill'!$P$19,'Prefill'!$P$12)*7168</x:f>
        <x:v>469762048</x:v>
      </x:c>
      <x:c r="F28" s="33" t="n">
        <x:f>'Prefill'!$P$28</x:f>
        <x:v>2</x:v>
      </x:c>
      <x:c r="G28" s="33" t="n">
        <x:f>IF('Prefill'!$P$19&gt;0,'Prefill'!$P$19,'Prefill'!$P$12)</x:f>
        <x:v>8</x:v>
      </x:c>
      <x:c r="H28" s="33" t="n">
        <x:f>5*IF(AND(IF('Prefill'!$P$19&gt;0,'Prefill'!$P$19,'Prefill'!$P$12)&gt;1,'Prefill'!$P$22&lt;&gt;0),1,0)</x:f>
        <x:v>0</x:v>
      </x:c>
      <x:c r="I28" s="34" t="n">
        <x:f>E28*F28/1048576</x:f>
        <x:v>896</x:v>
      </x:c>
      <x:c r="J28" s="34" t="n">
        <x:f>I28*(IF(G28&gt;1,(G28-1)/G28,0))</x:f>
        <x:v>784</x:v>
      </x:c>
      <x:c r="K28" s="34" t="n">
        <x:f>J28*H28</x:f>
        <x:v>0</x:v>
      </x:c>
      <x:c r="L28" s="34" t="n">
        <x:f>K28*G28</x:f>
        <x:v>0</x:v>
      </x:c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SP</x:v>
      </x:c>
      <x:c r="B29" s="30" t="str">
        <x:v>Dense MLP</x:v>
      </x:c>
      <x:c r="C29" s="30" t="str">
        <x:v>Down Proj 输出</x:v>
      </x:c>
      <x:c r="D29" s="30" t="str">
        <x:v>Ring AllReduce</x:v>
      </x:c>
      <x:c r="E29" s="33" t="n">
        <x:f>IF('Prefill'!$P$13&lt;&gt;0,((ROUNDUP('Prefill'!$P$7/'Prefill'!$P$12,0)*'Prefill'!$P$12)/'Prefill'!$P$12),'Prefill'!$P$7)*7168</x:f>
        <x:v>7340032</x:v>
      </x:c>
      <x:c r="F29" s="33" t="n">
        <x:f>'Prefill'!$P$28</x:f>
        <x:v>2</x:v>
      </x:c>
      <x:c r="G29" s="33" t="n">
        <x:f>'Prefill'!$P$12</x:f>
        <x:v>8</x:v>
      </x:c>
      <x:c r="H29" s="33" t="n">
        <x:f>5*IF('Prefill'!$P$12&gt;1,1,0)</x:f>
        <x:v>5</x:v>
      </x:c>
      <x:c r="I29" s="34" t="n">
        <x:f>E29*F29/1048576</x:f>
        <x:v>14</x:v>
      </x:c>
      <x:c r="J29" s="34" t="n">
        <x:f>I29*(IF(G29&gt;1,2*(G29-1)/G29,0))</x:f>
        <x:v>24.5</x:v>
      </x:c>
      <x:c r="K29" s="34" t="n">
        <x:f>J29*H29</x:f>
        <x:v>122.5</x:v>
      </x:c>
      <x:c r="L29" s="34" t="n">
        <x:f>K29*G29</x:f>
        <x:v>980</x:v>
      </x:c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PCP</x:v>
      </x:c>
      <x:c r="B30" s="30" t="str">
        <x:v>Attention KV</x:v>
      </x:c>
      <x:c r="C30" s="30" t="str">
        <x:v>KV Cache 写入前</x:v>
      </x:c>
      <x:c r="D30" s="30" t="str">
        <x:v>Ring AllGather</x:v>
      </x:c>
      <x:c r="E30" s="33" t="n">
        <x:f>((ROUNDUP('Prefill'!$P$7/'Prefill'!$P$15,0)*'Prefill'!$P$15)/'Prefill'!$P$15)*2*MAX(1,16/'Prefill'!$P$12)*64</x:f>
        <x:v>2097152</x:v>
      </x:c>
      <x:c r="F30" s="33" t="n">
        <x:f>'Prefill'!$P$28</x:f>
        <x:v>2</x:v>
      </x:c>
      <x:c r="G30" s="33" t="n">
        <x:f>'Prefill'!$P$15</x:f>
        <x:v>1</x:v>
      </x:c>
      <x:c r="H30" s="33" t="n">
        <x:f>5*IF('Prefill'!$P$15&gt;1,1,0)</x:f>
        <x:v>0</x:v>
      </x:c>
      <x:c r="I30" s="34" t="n">
        <x:f>E30*F30/1048576</x:f>
        <x:v>4</x:v>
      </x:c>
      <x:c r="J30" s="34" t="n">
        <x:f>I30*(IF(G30&gt;1,G30-1,0))</x:f>
        <x:v>0</x:v>
      </x:c>
      <x:c r="K30" s="34" t="n">
        <x:f>J30*H30</x:f>
        <x:v>0</x:v>
      </x:c>
      <x:c r="L30" s="34" t="n">
        <x:f>K30*G30</x:f>
        <x:v>0</x:v>
      </x:c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SP</x:v>
      </x:c>
      <x:c r="B31" s="30" t="str">
        <x:v>Model Output</x:v>
      </x:c>
      <x:c r="C31" s="30" t="str">
        <x:v>Final Norm 后</x:v>
      </x:c>
      <x:c r="D31" s="30" t="str">
        <x:v>Ring AllGather</x:v>
      </x:c>
      <x:c r="E31" s="33" t="n">
        <x:f>((ROUNDUP('Prefill'!$P$7/'Prefill'!$P$12,0)*'Prefill'!$P$12)/'Prefill'!$P$12)*7168</x:f>
        <x:v>7340032</x:v>
      </x:c>
      <x:c r="F31" s="33" t="n">
        <x:f>'Prefill'!$P$28</x:f>
        <x:v>2</x:v>
      </x:c>
      <x:c r="G31" s="33" t="n">
        <x:f>'Prefill'!$P$12</x:f>
        <x:v>8</x:v>
      </x:c>
      <x:c r="H31" s="33" t="n">
        <x:f>IF(AND('Prefill'!$P$13&lt;&gt;0,'Prefill'!$P$12&gt;1),1,0)</x:f>
        <x:v>1</x:v>
      </x:c>
      <x:c r="I31" s="34" t="n">
        <x:f>E31*F31/1048576</x:f>
        <x:v>14</x:v>
      </x:c>
      <x:c r="J31" s="34" t="n">
        <x:f>I31*(IF(G31&gt;1,G31-1,0))</x:f>
        <x:v>98</x:v>
      </x:c>
      <x:c r="K31" s="34" t="n">
        <x:f>J31*H31</x:f>
        <x:v>98</x:v>
      </x:c>
      <x:c r="L31" s="34" t="n">
        <x:f>K31*G31</x:f>
        <x:v>784</x:v>
      </x:c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LM Head TP</x:v>
      </x:c>
      <x:c r="B32" s="30" t="str">
        <x:v>LM Head</x:v>
      </x:c>
      <x:c r="C32" s="30" t="str">
        <x:v>完整 Logits</x:v>
      </x:c>
      <x:c r="D32" s="30" t="str">
        <x:v>Ring AllGather</x:v>
      </x:c>
      <x:c r="E32" s="33" t="n">
        <x:f>'Prefill'!$P$8*163840/IF('Prefill'!$P$20&gt;0,'Prefill'!$P$20,'Prefill'!$P$12)</x:f>
        <x:v>2621440</x:v>
      </x:c>
      <x:c r="F32" s="33" t="n">
        <x:f>'Prefill'!$P$28</x:f>
        <x:v>2</x:v>
      </x:c>
      <x:c r="G32" s="33" t="n">
        <x:f>IF('Prefill'!$P$20&gt;0,'Prefill'!$P$20,'Prefill'!$P$12)</x:f>
        <x:v>8</x:v>
      </x:c>
      <x:c r="H32" s="33" t="n">
        <x:f>IF(AND(IF('Prefill'!$P$20&gt;0,'Prefill'!$P$20,'Prefill'!$P$12)&gt;1,'Prefill'!$P$23=0,'Prefill'!$P$33=0),1,0)</x:f>
        <x:v>0</x:v>
      </x:c>
      <x:c r="I32" s="34" t="n">
        <x:f>E32*F32/1048576</x:f>
        <x:v>5</x:v>
      </x:c>
      <x:c r="J32" s="34" t="n">
        <x:f>I32*(IF(G32&gt;1,G32-1,0))</x:f>
        <x:v>35</x:v>
      </x:c>
      <x:c r="K32" s="34" t="n">
        <x:f>J32*H32</x:f>
        <x:v>0</x:v>
      </x:c>
      <x:c r="L32" s="34" t="n">
        <x:f>K32*G32</x:f>
        <x:v>0</x:v>
      </x:c>
      <x:c r="M32" s="30"/>
      <x:c r="N32" s="30"/>
      <x:c r="O32" s="35" t="str">
        <x:v>跨 EP Rank 路由比例</x:v>
      </x:c>
      <x:c r="P32" s="41" t="n">
        <x:f>IF($P$14&gt;1,($P$14-1)/$P$14,0)</x:f>
        <x:v>0</x:v>
      </x:c>
    </x:row>
    <x:row r="33">
      <x:c r="A33" s="30" t="str">
        <x:v>LM Head TP</x:v>
      </x:c>
      <x:c r="B33" s="30" t="str">
        <x:v>LM Head</x:v>
      </x:c>
      <x:c r="C33" s="30" t="str">
        <x:v>Reduce Sample</x:v>
      </x:c>
      <x:c r="D33" s="30" t="str">
        <x:v>Ring AllGather</x:v>
      </x:c>
      <x:c r="E33" s="33" t="n">
        <x:f>'Prefill'!$P$8*'Prefill'!$P$34</x:f>
        <x:v>32768</x:v>
      </x:c>
      <x:c r="F33" s="33" t="n">
        <x:f>('Prefill'!$P$28+'Prefill'!$P$31)</x:f>
        <x:v>6</x:v>
      </x:c>
      <x:c r="G33" s="33" t="n">
        <x:f>IF('Prefill'!$P$20&gt;0,'Prefill'!$P$20,'Prefill'!$P$12)</x:f>
        <x:v>8</x:v>
      </x:c>
      <x:c r="H33" s="33" t="n">
        <x:f>IF(AND(IF('Prefill'!$P$20&gt;0,'Prefill'!$P$20,'Prefill'!$P$12)&gt;1,'Prefill'!$P$23=0,'Prefill'!$P$33&lt;&gt;0),1,0)</x:f>
        <x:v>1</x:v>
      </x:c>
      <x:c r="I33" s="34" t="n">
        <x:f>E33*F33/1048576</x:f>
        <x:v>0.1875</x:v>
      </x:c>
      <x:c r="J33" s="34" t="n">
        <x:f>I33*(IF(G33&gt;1,G33-1,0))</x:f>
        <x:v>1.3125</x:v>
      </x:c>
      <x:c r="K33" s="34" t="n">
        <x:f>J33*H33</x:f>
        <x:v>1.3125</x:v>
      </x:c>
      <x:c r="L33" s="34" t="n">
        <x:f>K33*G33</x:f>
        <x:v>10.5</x:v>
      </x:c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Fine LM Head TP</x:v>
      </x:c>
      <x:c r="B34" s="30" t="str">
        <x:v>LM Head</x:v>
      </x:c>
      <x:c r="C34" s="30" t="str">
        <x:v>Hidden 输入</x:v>
      </x:c>
      <x:c r="D34" s="30" t="str">
        <x:v>Ring AllGather</x:v>
      </x:c>
      <x:c r="E34" s="33" t="n">
        <x:f>'Prefill'!$P$8*7168</x:f>
        <x:v>917504</x:v>
      </x:c>
      <x:c r="F34" s="33" t="n">
        <x:f>'Prefill'!$P$28</x:f>
        <x:v>2</x:v>
      </x:c>
      <x:c r="G34" s="33" t="n">
        <x:f>IF('Prefill'!$P$20&gt;0,'Prefill'!$P$20,'Prefill'!$P$12)</x:f>
        <x:v>8</x:v>
      </x:c>
      <x:c r="H34" s="33" t="n">
        <x:f>IF(AND(IF('Prefill'!$P$20&gt;0,'Prefill'!$P$20,'Prefill'!$P$12)&gt;1,'Prefill'!$P$23&lt;&gt;0),1,0)</x:f>
        <x:v>0</x:v>
      </x:c>
      <x:c r="I34" s="34" t="n">
        <x:f>E34*F34/1048576</x:f>
        <x:v>1.75</x:v>
      </x:c>
      <x:c r="J34" s="34" t="n">
        <x:f>I34*(IF(G34&gt;1,G34-1,0))</x:f>
        <x:v>12.25</x:v>
      </x:c>
      <x:c r="K34" s="34" t="n">
        <x:f>J34*H34</x:f>
        <x:v>0</x:v>
      </x:c>
      <x:c r="L34" s="34" t="n">
        <x:f>K34*G34</x:f>
        <x:v>0</x:v>
      </x:c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Fine LM Head TP</x:v>
      </x:c>
      <x:c r="B35" s="30" t="str">
        <x:v>LM Head</x:v>
      </x:c>
      <x:c r="C35" s="30" t="str">
        <x:v>完整 Logits</x:v>
      </x:c>
      <x:c r="D35" s="30" t="str">
        <x:v>Equal-split AllToAll</x:v>
      </x:c>
      <x:c r="E35" s="33" t="n">
        <x:f>'Prefill'!$P$8*163840</x:f>
        <x:v>20971520</x:v>
      </x:c>
      <x:c r="F35" s="33" t="n">
        <x:f>'Prefill'!$P$28</x:f>
        <x:v>2</x:v>
      </x:c>
      <x:c r="G35" s="33" t="n">
        <x:f>IF('Prefill'!$P$20&gt;0,'Prefill'!$P$20,'Prefill'!$P$12)</x:f>
        <x:v>8</x:v>
      </x:c>
      <x:c r="H35" s="33" t="n">
        <x:f>IF(AND(IF('Prefill'!$P$20&gt;0,'Prefill'!$P$20,'Prefill'!$P$12)&gt;1,'Prefill'!$P$23&lt;&gt;0,'Prefill'!$P$33=0),1,0)</x:f>
        <x:v>0</x:v>
      </x:c>
      <x:c r="I35" s="34" t="n">
        <x:f>E35*F35/1048576</x:f>
        <x:v>40</x:v>
      </x:c>
      <x:c r="J35" s="34" t="n">
        <x:f>I35*(IF(G35&gt;1,(G35-1)/G35,0))</x:f>
        <x:v>35</x:v>
      </x:c>
      <x:c r="K35" s="34" t="n">
        <x:f>J35*H35</x:f>
        <x:v>0</x:v>
      </x:c>
      <x:c r="L35" s="34" t="n">
        <x:f>K35*G35</x:f>
        <x:v>0</x:v>
      </x:c>
      <x:c r="M35" s="30"/>
      <x:c r="N35" s="30"/>
      <x:c r="O35" s="30"/>
      <x:c r="P35" s="30"/>
    </x:row>
    <x:row r="36">
      <x:c r="A36" s="30" t="str">
        <x:v>Fine LM Head TP</x:v>
      </x:c>
      <x:c r="B36" s="30" t="str">
        <x:v>LM Head</x:v>
      </x:c>
      <x:c r="C36" s="30" t="str">
        <x:v>Reduce Sample</x:v>
      </x:c>
      <x:c r="D36" s="30" t="str">
        <x:v>Ring AllGather</x:v>
      </x:c>
      <x:c r="E36" s="33" t="n">
        <x:f>'Prefill'!$P$8*'Prefill'!$P$34</x:f>
        <x:v>32768</x:v>
      </x:c>
      <x:c r="F36" s="33" t="n">
        <x:f>('Prefill'!$P$28+'Prefill'!$P$31)</x:f>
        <x:v>6</x:v>
      </x:c>
      <x:c r="G36" s="33" t="n">
        <x:f>IF('Prefill'!$P$20&gt;0,'Prefill'!$P$20,'Prefill'!$P$12)</x:f>
        <x:v>8</x:v>
      </x:c>
      <x:c r="H36" s="33" t="n">
        <x:f>IF(AND(IF('Prefill'!$P$20&gt;0,'Prefill'!$P$20,'Prefill'!$P$12)&gt;1,'Prefill'!$P$23&lt;&gt;0,'Prefill'!$P$33&lt;&gt;0),1,0)</x:f>
        <x:v>0</x:v>
      </x:c>
      <x:c r="I36" s="34" t="n">
        <x:f>E36*F36/1048576</x:f>
        <x:v>0.1875</x:v>
      </x:c>
      <x:c r="J36" s="34" t="n">
        <x:f>I36*(IF(G36&gt;1,G36-1,0))</x:f>
        <x:v>1.3125</x:v>
      </x:c>
      <x:c r="K36" s="34" t="n">
        <x:f>J36*H36</x:f>
        <x:v>0</x:v>
      </x:c>
      <x:c r="L36" s="34" t="n">
        <x:f>K36*G36</x:f>
        <x:v>0</x:v>
      </x:c>
      <x:c r="M36" s="30"/>
      <x:c r="N36" s="30"/>
      <x:c r="O36" s="30"/>
      <x:c r="P36" s="30"/>
    </x:row>
    <x:row r="37">
      <x:c r="A37" s="39" t="str">
        <x:v>合计</x:v>
      </x:c>
      <x:c r="B37" s="39"/>
      <x:c r="C37" s="39"/>
      <x:c r="D37" s="39"/>
      <x:c r="E37" s="39"/>
      <x:c r="F37" s="39"/>
      <x:c r="G37" s="39"/>
      <x:c r="H37" s="39"/>
      <x:c r="I37" s="40"/>
      <x:c r="J37" s="40"/>
      <x:c r="K37" s="40" t="n">
        <x:f>SUM(K23:K36)</x:f>
        <x:v>1299.8125</x:v>
      </x:c>
      <x:c r="L37" s="40" t="n">
        <x:f>SUM(L23:L36)</x:f>
        <x:v>10398.5</x:v>
      </x:c>
      <x:c r="M37" s="30"/>
      <x:c r="N37" s="30"/>
      <x:c r="O37" s="30"/>
      <x:c r="P37" s="30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24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20" hidden="0" customWidth="1"/>
    <x:col min="12" max="12" width="20" hidden="0" customWidth="1"/>
    <x:col min="13" max="13" width="3" hidden="0" customWidth="1"/>
    <x:col min="14" max="14" width="3" hidden="0" customWidth="1"/>
    <x:col min="15" max="15" width="34" hidden="0" customWidth="1"/>
    <x:col min="16" max="16" width="18" hidden="0" customWidth="1"/>
  </x:cols>
  <x:sheetData>
    <x:row r="1" ht="30" customHeight="1">
      <x:c r="A1" s="18" t="str">
        <x:v>模块</x:v>
      </x:c>
      <x:c r="B1" s="18" t="str">
        <x:v>权重 / Tensor</x:v>
      </x:c>
      <x:c r="C1" s="18" t="str">
        <x:v>shape</x:v>
      </x:c>
      <x:c r="D1" s="18" t="str">
        <x:v>dtype</x:v>
      </x:c>
      <x:c r="E1" s="18" t="str">
        <x:v>字节/元素</x:v>
      </x:c>
      <x:c r="F1" s="18" t="str">
        <x:v>数量</x:v>
      </x:c>
      <x:c r="G1" s="18" t="str">
        <x:v>单个 Tensor 元素数</x:v>
      </x:c>
      <x:c r="H1" s="18" t="str">
        <x:v>切分方式</x:v>
      </x:c>
      <x:c r="I1" s="18" t="str">
        <x:v>切分份数</x:v>
      </x:c>
      <x:c r="J1" s="18" t="str">
        <x:v>总权重 GiB</x:v>
      </x:c>
      <x:c r="K1" s="18" t="str">
        <x:v>单 Rank 权重 GiB</x:v>
      </x:c>
      <x:c r="L1" s="30"/>
      <x:c r="M1" s="30"/>
      <x:c r="N1" s="30"/>
      <x:c r="O1" s="31" t="str">
        <x:v>请求参数</x:v>
      </x:c>
      <x:c r="P1" s="31"/>
    </x:row>
    <x:row r="2">
      <x:c r="A2" s="30" t="str">
        <x:v>Input</x:v>
      </x:c>
      <x:c r="B2" s="30" t="str">
        <x:v>fc.weight</x:v>
      </x:c>
      <x:c r="C2" s="30" t="str">
        <x:v>[7168, 35840]</x:v>
      </x:c>
      <x:c r="D2" s="30" t="str">
        <x:v>BF16</x:v>
      </x:c>
      <x:c r="E2" s="32" t="n">
        <x:v>2</x:v>
      </x:c>
      <x:c r="F2" s="33" t="n">
        <x:v>1</x:v>
      </x:c>
      <x:c r="G2" s="33" t="n">
        <x:v>256901120</x:v>
      </x:c>
      <x:c r="H2" s="33" t="str">
        <x:v>TP</x:v>
      </x:c>
      <x:c r="I2" s="33" t="n">
        <x:f>'Decode'!$P$12</x:f>
        <x:v>8</x:v>
      </x:c>
      <x:c r="J2" s="34" t="n">
        <x:f>E2*F2*G2/1073741824</x:f>
        <x:v>0.478515625</x:v>
      </x:c>
      <x:c r="K2" s="34" t="n">
        <x:f>J2/I2</x:f>
        <x:v>0.059814453125</x:v>
      </x:c>
      <x:c r="L2" s="30"/>
      <x:c r="M2" s="30"/>
      <x:c r="N2" s="30"/>
      <x:c r="O2" s="35" t="str">
        <x:v>max_num_batched_tokens</x:v>
      </x:c>
      <x:c r="P2" s="36" t="n">
        <x:v>8192</x:v>
      </x:c>
    </x:row>
    <x:row r="3">
      <x:c r="A3" s="30" t="str">
        <x:v>Input</x:v>
      </x:c>
      <x:c r="B3" s="30" t="str">
        <x:v>hidden_norm.weight</x:v>
      </x:c>
      <x:c r="C3" s="30" t="str">
        <x:v>[7168]</x:v>
      </x:c>
      <x:c r="D3" s="30" t="str">
        <x:v>BF16</x:v>
      </x:c>
      <x:c r="E3" s="32" t="n">
        <x:v>2</x:v>
      </x:c>
      <x:c r="F3" s="33" t="n">
        <x:v>1</x:v>
      </x:c>
      <x:c r="G3" s="33" t="n">
        <x:v>7168</x:v>
      </x:c>
      <x:c r="H3" s="33" t="str">
        <x:v>Replicated</x:v>
      </x:c>
      <x:c r="I3" s="33" t="n">
        <x:f>1</x:f>
        <x:v>1</x:v>
      </x:c>
      <x:c r="J3" s="34" t="n">
        <x:f>E3*F3*G3/1073741824</x:f>
        <x:v>0.0000133514404296875</x:v>
      </x:c>
      <x:c r="K3" s="34" t="n">
        <x:f>J3/I3</x:f>
        <x:v>0.0000133514404296875</x:v>
      </x:c>
      <x:c r="L3" s="30"/>
      <x:c r="M3" s="30"/>
      <x:c r="N3" s="30"/>
      <x:c r="O3" s="35" t="str">
        <x:v>max_num_seqs</x:v>
      </x:c>
      <x:c r="P3" s="36" t="n">
        <x:v>128</x:v>
      </x:c>
    </x:row>
    <x:row r="4">
      <x:c r="A4" s="30" t="str">
        <x:v>Attention</x:v>
      </x:c>
      <x:c r="B4" s="30" t="str">
        <x:v>q_proj.weight</x:v>
      </x:c>
      <x:c r="C4" s="30" t="str">
        <x:v>[4096, 7168]</x:v>
      </x:c>
      <x:c r="D4" s="30" t="str">
        <x:v>BF16</x:v>
      </x:c>
      <x:c r="E4" s="32" t="n">
        <x:v>2</x:v>
      </x:c>
      <x:c r="F4" s="33" t="n">
        <x:v>5</x:v>
      </x:c>
      <x:c r="G4" s="33" t="n">
        <x:v>29360128</x:v>
      </x:c>
      <x:c r="H4" s="33" t="str">
        <x:v>TP</x:v>
      </x:c>
      <x:c r="I4" s="33" t="n">
        <x:f>'Decode'!$P$12</x:f>
        <x:v>8</x:v>
      </x:c>
      <x:c r="J4" s="34" t="n">
        <x:f>E4*F4*G4/1073741824</x:f>
        <x:v>0.2734375</x:v>
      </x:c>
      <x:c r="K4" s="34" t="n">
        <x:f>J4/I4</x:f>
        <x:v>0.0341796875</x:v>
      </x:c>
      <x:c r="L4" s="30"/>
      <x:c r="M4" s="30"/>
      <x:c r="N4" s="30"/>
      <x:c r="O4" s="35" t="str">
        <x:v>平均输入 Token 数</x:v>
      </x:c>
      <x:c r="P4" s="36" t="n">
        <x:v>4096</x:v>
      </x:c>
    </x:row>
    <x:row r="5">
      <x:c r="A5" s="30" t="str">
        <x:v>Attention</x:v>
      </x:c>
      <x:c r="B5" s="30" t="str">
        <x:v>k_proj.weight</x:v>
      </x:c>
      <x:c r="C5" s="30" t="str">
        <x:v>[1024, 7168]</x:v>
      </x:c>
      <x:c r="D5" s="30" t="str">
        <x:v>BF16</x:v>
      </x:c>
      <x:c r="E5" s="32" t="n">
        <x:v>2</x:v>
      </x:c>
      <x:c r="F5" s="33" t="n">
        <x:v>5</x:v>
      </x:c>
      <x:c r="G5" s="33" t="n">
        <x:v>7340032</x:v>
      </x:c>
      <x:c r="H5" s="33" t="str">
        <x:v>TP</x:v>
      </x:c>
      <x:c r="I5" s="33" t="n">
        <x:f>'Decode'!$P$12</x:f>
        <x:v>8</x:v>
      </x:c>
      <x:c r="J5" s="34" t="n">
        <x:f>E5*F5*G5/1073741824</x:f>
        <x:v>0.068359375</x:v>
      </x:c>
      <x:c r="K5" s="34" t="n">
        <x:f>J5/I5</x:f>
        <x:v>0.008544921875</x:v>
      </x:c>
      <x:c r="L5" s="30"/>
      <x:c r="M5" s="30"/>
      <x:c r="N5" s="30"/>
      <x:c r="O5" s="35" t="str">
        <x:v>平均输出 Token 数</x:v>
      </x:c>
      <x:c r="P5" s="36" t="n">
        <x:v>1024</x:v>
      </x:c>
    </x:row>
    <x:row r="6">
      <x:c r="A6" s="30" t="str">
        <x:v>Attention</x:v>
      </x:c>
      <x:c r="B6" s="30" t="str">
        <x:v>v_proj.weight</x:v>
      </x:c>
      <x:c r="C6" s="30" t="str">
        <x:v>[1024, 7168]</x:v>
      </x:c>
      <x:c r="D6" s="30" t="str">
        <x:v>BF16</x:v>
      </x:c>
      <x:c r="E6" s="32" t="n">
        <x:v>2</x:v>
      </x:c>
      <x:c r="F6" s="33" t="n">
        <x:v>5</x:v>
      </x:c>
      <x:c r="G6" s="33" t="n">
        <x:v>7340032</x:v>
      </x:c>
      <x:c r="H6" s="33" t="str">
        <x:v>TP</x:v>
      </x:c>
      <x:c r="I6" s="33" t="n">
        <x:f>'Decode'!$P$12</x:f>
        <x:v>8</x:v>
      </x:c>
      <x:c r="J6" s="34" t="n">
        <x:f>E6*F6*G6/1073741824</x:f>
        <x:v>0.068359375</x:v>
      </x:c>
      <x:c r="K6" s="34" t="n">
        <x:f>J6/I6</x:f>
        <x:v>0.008544921875</x:v>
      </x:c>
      <x:c r="L6" s="30"/>
      <x:c r="M6" s="30"/>
      <x:c r="N6" s="30"/>
      <x:c r="O6" s="35" t="str">
        <x:v>投机采样步数</x:v>
      </x:c>
      <x:c r="P6" s="36" t="n">
        <x:v>7</x:v>
      </x:c>
    </x:row>
    <x:row r="7">
      <x:c r="A7" s="30" t="str">
        <x:v>Attention</x:v>
      </x:c>
      <x:c r="B7" s="30" t="str">
        <x:v>o_proj.weight</x:v>
      </x:c>
      <x:c r="C7" s="30" t="str">
        <x:v>[7168, 4096]</x:v>
      </x:c>
      <x:c r="D7" s="30" t="str">
        <x:v>BF16</x:v>
      </x:c>
      <x:c r="E7" s="32" t="n">
        <x:v>2</x:v>
      </x:c>
      <x:c r="F7" s="33" t="n">
        <x:v>5</x:v>
      </x:c>
      <x:c r="G7" s="33" t="n">
        <x:v>29360128</x:v>
      </x:c>
      <x:c r="H7" s="33" t="str">
        <x:v>O Proj TP</x:v>
      </x:c>
      <x:c r="I7" s="33" t="n">
        <x:f>IF('Decode'!$P$19&gt;0,'Decode'!$P$19,'Decode'!$P$12)</x:f>
        <x:v>8</x:v>
      </x:c>
      <x:c r="J7" s="34" t="n">
        <x:f>E7*F7*G7/1073741824</x:f>
        <x:v>0.2734375</x:v>
      </x:c>
      <x:c r="K7" s="34" t="n">
        <x:f>J7/I7</x:f>
        <x:v>0.0341796875</x:v>
      </x:c>
      <x:c r="L7" s="30"/>
      <x:c r="M7" s="30"/>
      <x:c r="N7" s="30"/>
      <x:c r="O7" s="35" t="str">
        <x:v>当前 Step Token 数</x:v>
      </x:c>
      <x:c r="P7" s="37" t="n">
        <x:f>MIN($P$2,$P$3*($P$6+1))</x:f>
        <x:v>1024</x:v>
      </x:c>
    </x:row>
    <x:row r="8">
      <x:c r="A8" s="30" t="str">
        <x:v>Attention</x:v>
      </x:c>
      <x:c r="B8" s="30" t="str">
        <x:v>q_norm.weight</x:v>
      </x:c>
      <x:c r="C8" s="30" t="str">
        <x:v>[64]</x:v>
      </x:c>
      <x:c r="D8" s="30" t="str">
        <x:v>BF16</x:v>
      </x:c>
      <x:c r="E8" s="32" t="n">
        <x:v>2</x:v>
      </x:c>
      <x:c r="F8" s="33" t="n">
        <x:v>5</x:v>
      </x:c>
      <x:c r="G8" s="33" t="n">
        <x:v>64</x:v>
      </x:c>
      <x:c r="H8" s="33" t="str">
        <x:v>Replicated</x:v>
      </x:c>
      <x:c r="I8" s="33" t="n">
        <x:f>1</x:f>
        <x:v>1</x:v>
      </x:c>
      <x:c r="J8" s="34" t="n">
        <x:f>E8*F8*G8/1073741824</x:f>
        <x:v>5.960464477539062e-7</x:v>
      </x:c>
      <x:c r="K8" s="34" t="n">
        <x:f>J8/I8</x:f>
        <x:v>5.960464477539062e-7</x:v>
      </x:c>
      <x:c r="L8" s="30"/>
      <x:c r="M8" s="30"/>
      <x:c r="N8" s="30"/>
      <x:c r="O8" s="35" t="str">
        <x:v>本 Step 采样行数</x:v>
      </x:c>
      <x:c r="P8" s="37" t="n">
        <x:f>MIN($P$7,$P$3*($P$6+1))</x:f>
        <x:v>1024</x:v>
      </x:c>
    </x:row>
    <x:row r="9">
      <x:c r="A9" s="30" t="str">
        <x:v>Attention</x:v>
      </x:c>
      <x:c r="B9" s="30" t="str">
        <x:v>k_norm.weight</x:v>
      </x:c>
      <x:c r="C9" s="30" t="str">
        <x:v>[64]</x:v>
      </x:c>
      <x:c r="D9" s="30" t="str">
        <x:v>BF16</x:v>
      </x:c>
      <x:c r="E9" s="32" t="n">
        <x:v>2</x:v>
      </x:c>
      <x:c r="F9" s="33" t="n">
        <x:v>5</x:v>
      </x:c>
      <x:c r="G9" s="33" t="n">
        <x:v>64</x:v>
      </x:c>
      <x:c r="H9" s="33" t="str">
        <x:v>Replicated</x:v>
      </x:c>
      <x:c r="I9" s="33" t="n">
        <x:f>1</x:f>
        <x:v>1</x:v>
      </x:c>
      <x:c r="J9" s="34" t="n">
        <x:f>E9*F9*G9/1073741824</x:f>
        <x:v>5.960464477539062e-7</x:v>
      </x:c>
      <x:c r="K9" s="34" t="n">
        <x:f>J9/I9</x:f>
        <x:v>5.960464477539062e-7</x:v>
      </x:c>
      <x:c r="L9" s="30"/>
      <x:c r="M9" s="30"/>
      <x:c r="N9" s="30"/>
      <x:c r="O9" s="30"/>
      <x:c r="P9" s="30"/>
    </x:row>
    <x:row r="10">
      <x:c r="A10" s="30" t="str">
        <x:v>Backbone</x:v>
      </x:c>
      <x:c r="B10" s="30" t="str">
        <x:v>input_layernorm.weight</x:v>
      </x:c>
      <x:c r="C10" s="30" t="str">
        <x:v>[7168]</x:v>
      </x:c>
      <x:c r="D10" s="30" t="str">
        <x:v>BF16</x:v>
      </x:c>
      <x:c r="E10" s="32" t="n">
        <x:v>2</x:v>
      </x:c>
      <x:c r="F10" s="33" t="n">
        <x:v>5</x:v>
      </x:c>
      <x:c r="G10" s="33" t="n">
        <x:v>7168</x:v>
      </x:c>
      <x:c r="H10" s="33" t="str">
        <x:v>Replicated</x:v>
      </x:c>
      <x:c r="I10" s="33" t="n">
        <x:f>1</x:f>
        <x:v>1</x:v>
      </x:c>
      <x:c r="J10" s="34" t="n">
        <x:f>E10*F10*G10/1073741824</x:f>
        <x:v>0.0000667572021484375</x:v>
      </x:c>
      <x:c r="K10" s="34" t="n">
        <x:f>J10/I10</x:f>
        <x:v>0.0000667572021484375</x:v>
      </x:c>
      <x:c r="L10" s="30"/>
      <x:c r="M10" s="30"/>
      <x:c r="N10" s="30"/>
      <x:c r="O10" s="31" t="str">
        <x:v>并行策略</x:v>
      </x:c>
      <x:c r="P10" s="31"/>
    </x:row>
    <x:row r="11">
      <x:c r="A11" s="30" t="str">
        <x:v>Backbone</x:v>
      </x:c>
      <x:c r="B11" s="30" t="str">
        <x:v>post_attention_layernorm.weight</x:v>
      </x:c>
      <x:c r="C11" s="30" t="str">
        <x:v>[7168]</x:v>
      </x:c>
      <x:c r="D11" s="30" t="str">
        <x:v>BF16</x:v>
      </x:c>
      <x:c r="E11" s="32" t="n">
        <x:v>2</x:v>
      </x:c>
      <x:c r="F11" s="33" t="n">
        <x:v>5</x:v>
      </x:c>
      <x:c r="G11" s="33" t="n">
        <x:v>7168</x:v>
      </x:c>
      <x:c r="H11" s="33" t="str">
        <x:v>Replicated</x:v>
      </x:c>
      <x:c r="I11" s="33" t="n">
        <x:f>1</x:f>
        <x:v>1</x:v>
      </x:c>
      <x:c r="J11" s="34" t="n">
        <x:f>E11*F11*G11/1073741824</x:f>
        <x:v>0.0000667572021484375</x:v>
      </x:c>
      <x:c r="K11" s="34" t="n">
        <x:f>J11/I11</x:f>
        <x:v>0.0000667572021484375</x:v>
      </x:c>
      <x:c r="L11" s="30"/>
      <x:c r="M11" s="30"/>
      <x:c r="N11" s="30"/>
      <x:c r="O11" s="35" t="str">
        <x:v>DP</x:v>
      </x:c>
      <x:c r="P11" s="36" t="n">
        <x:v>1</x:v>
      </x:c>
    </x:row>
    <x:row r="12">
      <x:c r="A12" s="30" t="str">
        <x:v>Dense MLP</x:v>
      </x:c>
      <x:c r="B12" s="30" t="str">
        <x:v>mlp.gate_proj.weight</x:v>
      </x:c>
      <x:c r="C12" s="30" t="str">
        <x:v>[14336, 7168]</x:v>
      </x:c>
      <x:c r="D12" s="30" t="str">
        <x:v>BF16</x:v>
      </x:c>
      <x:c r="E12" s="32" t="n">
        <x:v>2</x:v>
      </x:c>
      <x:c r="F12" s="33" t="n">
        <x:v>5</x:v>
      </x:c>
      <x:c r="G12" s="33" t="n">
        <x:v>102760448</x:v>
      </x:c>
      <x:c r="H12" s="33" t="str">
        <x:v>TP</x:v>
      </x:c>
      <x:c r="I12" s="33" t="n">
        <x:f>'Decode'!$P$12</x:f>
        <x:v>8</x:v>
      </x:c>
      <x:c r="J12" s="34" t="n">
        <x:f>E12*F12*G12/1073741824</x:f>
        <x:v>0.95703125</x:v>
      </x:c>
      <x:c r="K12" s="34" t="n">
        <x:f>J12/I12</x:f>
        <x:v>0.11962890625</x:v>
      </x:c>
      <x:c r="L12" s="30"/>
      <x:c r="M12" s="30"/>
      <x:c r="N12" s="30"/>
      <x:c r="O12" s="35" t="str">
        <x:v>TP</x:v>
      </x:c>
      <x:c r="P12" s="36" t="n">
        <x:v>8</x:v>
      </x:c>
    </x:row>
    <x:row r="13">
      <x:c r="A13" s="30" t="str">
        <x:v>Dense MLP</x:v>
      </x:c>
      <x:c r="B13" s="30" t="str">
        <x:v>mlp.up_proj.weight</x:v>
      </x:c>
      <x:c r="C13" s="30" t="str">
        <x:v>[14336, 7168]</x:v>
      </x:c>
      <x:c r="D13" s="30" t="str">
        <x:v>BF16</x:v>
      </x:c>
      <x:c r="E13" s="32" t="n">
        <x:v>2</x:v>
      </x:c>
      <x:c r="F13" s="33" t="n">
        <x:v>5</x:v>
      </x:c>
      <x:c r="G13" s="33" t="n">
        <x:v>102760448</x:v>
      </x:c>
      <x:c r="H13" s="33" t="str">
        <x:v>TP</x:v>
      </x:c>
      <x:c r="I13" s="33" t="n">
        <x:f>'Decode'!$P$12</x:f>
        <x:v>8</x:v>
      </x:c>
      <x:c r="J13" s="34" t="n">
        <x:f>E13*F13*G13/1073741824</x:f>
        <x:v>0.95703125</x:v>
      </x:c>
      <x:c r="K13" s="34" t="n">
        <x:f>J13/I13</x:f>
        <x:v>0.11962890625</x:v>
      </x:c>
      <x:c r="L13" s="30"/>
      <x:c r="M13" s="30"/>
      <x:c r="N13" s="30"/>
      <x:c r="O13" s="35" t="str">
        <x:v>SP（0/1）</x:v>
      </x:c>
      <x:c r="P13" s="36" t="n">
        <x:v>1</x:v>
      </x:c>
    </x:row>
    <x:row r="14">
      <x:c r="A14" s="30" t="str">
        <x:v>Dense MLP</x:v>
      </x:c>
      <x:c r="B14" s="30" t="str">
        <x:v>mlp.down_proj.weight</x:v>
      </x:c>
      <x:c r="C14" s="30" t="str">
        <x:v>[7168, 14336]</x:v>
      </x:c>
      <x:c r="D14" s="30" t="str">
        <x:v>BF16</x:v>
      </x:c>
      <x:c r="E14" s="32" t="n">
        <x:v>2</x:v>
      </x:c>
      <x:c r="F14" s="33" t="n">
        <x:v>5</x:v>
      </x:c>
      <x:c r="G14" s="33" t="n">
        <x:v>102760448</x:v>
      </x:c>
      <x:c r="H14" s="33" t="str">
        <x:v>TP</x:v>
      </x:c>
      <x:c r="I14" s="33" t="n">
        <x:f>'Decode'!$P$12</x:f>
        <x:v>8</x:v>
      </x:c>
      <x:c r="J14" s="34" t="n">
        <x:f>E14*F14*G14/1073741824</x:f>
        <x:v>0.95703125</x:v>
      </x:c>
      <x:c r="K14" s="34" t="n">
        <x:f>J14/I14</x:f>
        <x:v>0.11962890625</x:v>
      </x:c>
      <x:c r="L14" s="30"/>
      <x:c r="M14" s="30"/>
      <x:c r="N14" s="30"/>
      <x:c r="O14" s="35" t="str">
        <x:v>EP</x:v>
      </x:c>
      <x:c r="P14" s="36" t="n">
        <x:v>1</x:v>
      </x:c>
    </x:row>
    <x:row r="15">
      <x:c r="A15" s="30" t="str">
        <x:v>Output</x:v>
      </x:c>
      <x:c r="B15" s="30" t="str">
        <x:v>norm.weight</x:v>
      </x:c>
      <x:c r="C15" s="30" t="str">
        <x:v>[7168]</x:v>
      </x:c>
      <x:c r="D15" s="30" t="str">
        <x:v>BF16</x:v>
      </x:c>
      <x:c r="E15" s="32" t="n">
        <x:v>2</x:v>
      </x:c>
      <x:c r="F15" s="33" t="n">
        <x:v>1</x:v>
      </x:c>
      <x:c r="G15" s="33" t="n">
        <x:v>7168</x:v>
      </x:c>
      <x:c r="H15" s="33" t="str">
        <x:v>Replicated</x:v>
      </x:c>
      <x:c r="I15" s="33" t="n">
        <x:f>1</x:f>
        <x:v>1</x:v>
      </x:c>
      <x:c r="J15" s="34" t="n">
        <x:f>E15*F15*G15/1073741824</x:f>
        <x:v>0.0000133514404296875</x:v>
      </x:c>
      <x:c r="K15" s="34" t="n">
        <x:f>J15/I15</x:f>
        <x:v>0.0000133514404296875</x:v>
      </x:c>
      <x:c r="L15" s="30"/>
      <x:c r="M15" s="30"/>
      <x:c r="N15" s="30"/>
      <x:c r="O15" s="35"/>
      <x:c r="P15" s="35"/>
    </x:row>
    <x:row r="16">
      <x:c r="A16" s="30" t="str">
        <x:v>Markov Head</x:v>
      </x:c>
      <x:c r="B16" s="30" t="str">
        <x:v>markov_w1.weight</x:v>
      </x:c>
      <x:c r="C16" s="30" t="str">
        <x:v>[163840, 256]</x:v>
      </x:c>
      <x:c r="D16" s="30" t="str">
        <x:v>BF16</x:v>
      </x:c>
      <x:c r="E16" s="32" t="n">
        <x:v>2</x:v>
      </x:c>
      <x:c r="F16" s="33" t="n">
        <x:v>1</x:v>
      </x:c>
      <x:c r="G16" s="33" t="n">
        <x:v>41943040</x:v>
      </x:c>
      <x:c r="H16" s="33" t="str">
        <x:v>Embedding TP</x:v>
      </x:c>
      <x:c r="I16" s="33" t="n">
        <x:f>IF('Decode'!$P$21&gt;0,'Decode'!$P$21,'Decode'!$P$12)</x:f>
        <x:v>8</x:v>
      </x:c>
      <x:c r="J16" s="34" t="n">
        <x:f>E16*F16*G16/1073741824</x:f>
        <x:v>0.078125</x:v>
      </x:c>
      <x:c r="K16" s="34" t="n">
        <x:f>J16/I16</x:f>
        <x:v>0.009765625</x:v>
      </x:c>
      <x:c r="L16" s="30"/>
      <x:c r="M16" s="30"/>
      <x:c r="N16" s="30"/>
      <x:c r="O16" s="35" t="str">
        <x:v>DCP（1 表示关闭）</x:v>
      </x:c>
      <x:c r="P16" s="36" t="n">
        <x:v>1</x:v>
      </x:c>
    </x:row>
    <x:row r="17">
      <x:c r="A17" s="30" t="str">
        <x:v>Markov Head</x:v>
      </x:c>
      <x:c r="B17" s="30" t="str">
        <x:v>markov_w2.weight</x:v>
      </x:c>
      <x:c r="C17" s="30" t="str">
        <x:v>[163840, 256]</x:v>
      </x:c>
      <x:c r="D17" s="30" t="str">
        <x:v>BF16</x:v>
      </x:c>
      <x:c r="E17" s="32" t="n">
        <x:v>2</x:v>
      </x:c>
      <x:c r="F17" s="33" t="n">
        <x:v>1</x:v>
      </x:c>
      <x:c r="G17" s="33" t="n">
        <x:v>41943040</x:v>
      </x:c>
      <x:c r="H17" s="33" t="str">
        <x:v>LM Head TP</x:v>
      </x:c>
      <x:c r="I17" s="33" t="n">
        <x:f>IF('Decode'!$P$20&gt;0,'Decode'!$P$20,'Decode'!$P$12)</x:f>
        <x:v>8</x:v>
      </x:c>
      <x:c r="J17" s="34" t="n">
        <x:f>E17*F17*G17/1073741824</x:f>
        <x:v>0.078125</x:v>
      </x:c>
      <x:c r="K17" s="34" t="n">
        <x:f>J17/I17</x:f>
        <x:v>0.009765625</x:v>
      </x:c>
      <x:c r="L17" s="30"/>
      <x:c r="M17" s="30"/>
      <x:c r="N17" s="30"/>
      <x:c r="O17" s="35" t="str">
        <x:v>共享专家并行方式</x:v>
      </x:c>
      <x:c r="P17" s="38" t="str">
        <x:v>TP</x:v>
      </x:c>
    </x:row>
    <x:row r="18">
      <x:c r="A18" s="30" t="str">
        <x:v>Confidence Head</x:v>
      </x:c>
      <x:c r="B18" s="30" t="str">
        <x:v>confidence_head.proj.weight</x:v>
      </x:c>
      <x:c r="C18" s="30" t="str">
        <x:v>[1, 7424]</x:v>
      </x:c>
      <x:c r="D18" s="30" t="str">
        <x:v>BF16</x:v>
      </x:c>
      <x:c r="E18" s="32" t="n">
        <x:v>2</x:v>
      </x:c>
      <x:c r="F18" s="33" t="n">
        <x:v>1</x:v>
      </x:c>
      <x:c r="G18" s="33" t="n">
        <x:v>7424</x:v>
      </x:c>
      <x:c r="H18" s="33" t="str">
        <x:v>Replicated</x:v>
      </x:c>
      <x:c r="I18" s="33" t="n">
        <x:f>1</x:f>
        <x:v>1</x:v>
      </x:c>
      <x:c r="J18" s="34" t="n">
        <x:f>E18*F18*G18/1073741824</x:f>
        <x:v>0.000013828277587890625</x:v>
      </x:c>
      <x:c r="K18" s="34" t="n">
        <x:f>J18/I18</x:f>
        <x:v>0.000013828277587890625</x:v>
      </x:c>
      <x:c r="L18" s="30"/>
      <x:c r="M18" s="30"/>
      <x:c r="N18" s="30"/>
      <x:c r="O18" s="35" t="str">
        <x:v>共享专家 TP</x:v>
      </x:c>
      <x:c r="P18" s="36" t="n">
        <x:v>8</x:v>
      </x:c>
    </x:row>
    <x:row r="19">
      <x:c r="A19" s="30" t="str">
        <x:v>Confidence Head</x:v>
      </x:c>
      <x:c r="B19" s="30" t="str">
        <x:v>confidence_head.proj.bias</x:v>
      </x:c>
      <x:c r="C19" s="30" t="str">
        <x:v>[1]</x:v>
      </x:c>
      <x:c r="D19" s="30" t="str">
        <x:v>BF16</x:v>
      </x:c>
      <x:c r="E19" s="32" t="n">
        <x:v>2</x:v>
      </x:c>
      <x:c r="F19" s="33" t="n">
        <x:v>1</x:v>
      </x:c>
      <x:c r="G19" s="33" t="n">
        <x:v>1</x:v>
      </x:c>
      <x:c r="H19" s="33" t="str">
        <x:v>Replicated</x:v>
      </x:c>
      <x:c r="I19" s="33" t="n">
        <x:f>1</x:f>
        <x:v>1</x:v>
      </x:c>
      <x:c r="J19" s="34" t="n">
        <x:f>E19*F19*G19/1073741824</x:f>
        <x:v>1.862645149230957e-9</x:v>
      </x:c>
      <x:c r="K19" s="34" t="n">
        <x:f>J19/I19</x:f>
        <x:v>1.862645149230957e-9</x:v>
      </x:c>
      <x:c r="L19" s="30"/>
      <x:c r="M19" s="30"/>
      <x:c r="N19" s="30"/>
      <x:c r="O19" s="35" t="str">
        <x:v>O Proj TP（0 表示使用 TP）</x:v>
      </x:c>
      <x:c r="P19" s="36" t="n">
        <x:v>0</x:v>
      </x:c>
    </x:row>
    <x:row r="20">
      <x:c r="A20" s="39" t="str">
        <x:v>合计</x:v>
      </x:c>
      <x:c r="B20" s="39"/>
      <x:c r="C20" s="39"/>
      <x:c r="D20" s="39"/>
      <x:c r="E20" s="39"/>
      <x:c r="F20" s="39"/>
      <x:c r="G20" s="39"/>
      <x:c r="H20" s="39"/>
      <x:c r="I20" s="39"/>
      <x:c r="J20" s="40" t="n">
        <x:f>SUM(J2:J19)</x:f>
        <x:v>4.189628364518285</x:v>
      </x:c>
      <x:c r="K20" s="40" t="n">
        <x:f>SUM(K2:K19)</x:f>
        <x:v>0.5238568801432848</x:v>
      </x:c>
      <x:c r="L20" s="30"/>
      <x:c r="M20" s="30"/>
      <x:c r="N20" s="30"/>
      <x:c r="O20" s="35" t="str">
        <x:v>LM Head TP（0 表示使用 TP）</x:v>
      </x:c>
      <x:c r="P20" s="36" t="n">
        <x:v>0</x:v>
      </x:c>
    </x:row>
    <x:row r="21">
      <x:c r="A21" s="30"/>
      <x:c r="B21" s="30"/>
      <x:c r="C21" s="30"/>
      <x:c r="D21" s="30"/>
      <x:c r="E21" s="30"/>
      <x:c r="F21" s="30"/>
      <x:c r="G21" s="30"/>
      <x:c r="H21" s="30"/>
      <x:c r="I21" s="30"/>
      <x:c r="J21" s="30"/>
      <x:c r="K21" s="30"/>
      <x:c r="L21" s="30"/>
      <x:c r="M21" s="30"/>
      <x:c r="N21" s="30"/>
      <x:c r="O21" s="35" t="str">
        <x:v>Embedding TP（0 表示使用 TP）</x:v>
      </x:c>
      <x:c r="P21" s="36" t="n">
        <x:v>0</x:v>
      </x:c>
    </x:row>
    <x:row r="22" ht="30" customHeight="1">
      <x:c r="A22" s="18" t="str">
        <x:v>并行策略</x:v>
      </x:c>
      <x:c r="B22" s="18" t="str">
        <x:v>模块</x:v>
      </x:c>
      <x:c r="C22" s="18" t="str">
        <x:v>通信位置</x:v>
      </x:c>
      <x:c r="D22" s="18" t="str">
        <x:v>Collective</x:v>
      </x:c>
      <x:c r="E22" s="18" t="str">
        <x:v>本 Rank 输入元素/次</x:v>
      </x:c>
      <x:c r="F22" s="18" t="str">
        <x:v>字节/元素</x:v>
      </x:c>
      <x:c r="G22" s="18" t="str">
        <x:v>通信组大小</x:v>
      </x:c>
      <x:c r="H22" s="18" t="str">
        <x:v>次数/Step</x:v>
      </x:c>
      <x:c r="I22" s="18" t="str">
        <x:v>有效负载 MiB/次</x:v>
      </x:c>
      <x:c r="J22" s="18" t="str">
        <x:v>单 Rank 发送 MiB/次</x:v>
      </x:c>
      <x:c r="K22" s="18" t="str">
        <x:v>单 Rank 发送 MiB/Step</x:v>
      </x:c>
      <x:c r="L22" s="18" t="str">
        <x:v>通信组发送 MiB/Step</x:v>
      </x:c>
      <x:c r="M22" s="30"/>
      <x:c r="N22" s="30"/>
      <x:c r="O22" s="35" t="str">
        <x:v>Fine O TP（0/1）</x:v>
      </x:c>
      <x:c r="P22" s="36" t="n">
        <x:v>0</x:v>
      </x:c>
    </x:row>
    <x:row r="23">
      <x:c r="A23" s="30" t="str">
        <x:v>TP</x:v>
      </x:c>
      <x:c r="B23" s="30" t="str">
        <x:v>Input Projection</x:v>
      </x:c>
      <x:c r="C23" s="30" t="str">
        <x:v>Column Parallel 输出</x:v>
      </x:c>
      <x:c r="D23" s="30" t="str">
        <x:v>Ring AllGather</x:v>
      </x:c>
      <x:c r="E23" s="33" t="n">
        <x:f>'Decode'!$P$7*7168/'Decode'!$P$12</x:f>
        <x:v>917504</x:v>
      </x:c>
      <x:c r="F23" s="33" t="n">
        <x:f>'Decode'!$P$28</x:f>
        <x:v>2</x:v>
      </x:c>
      <x:c r="G23" s="33" t="n">
        <x:f>'Decode'!$P$12</x:f>
        <x:v>8</x:v>
      </x:c>
      <x:c r="H23" s="33" t="n">
        <x:f>IF('Decode'!$P$12&gt;1,1,0)</x:f>
        <x:v>1</x:v>
      </x:c>
      <x:c r="I23" s="34" t="n">
        <x:f>E23*F23/1048576</x:f>
        <x:v>1.75</x:v>
      </x:c>
      <x:c r="J23" s="34" t="n">
        <x:f>I23*(IF(G23&gt;1,G23-1,0))</x:f>
        <x:v>12.25</x:v>
      </x:c>
      <x:c r="K23" s="34" t="n">
        <x:f>J23*H23</x:f>
        <x:v>12.25</x:v>
      </x:c>
      <x:c r="L23" s="34" t="n">
        <x:f>K23*G23</x:f>
        <x:v>98</x:v>
      </x:c>
      <x:c r="M23" s="30"/>
      <x:c r="N23" s="30"/>
      <x:c r="O23" s="35" t="str">
        <x:v>Fine LM Head TP（0/1）</x:v>
      </x:c>
      <x:c r="P23" s="36" t="n">
        <x:v>0</x:v>
      </x:c>
    </x:row>
    <x:row r="24">
      <x:c r="A24" s="30" t="str">
        <x:v>SP</x:v>
      </x:c>
      <x:c r="B24" s="30" t="str">
        <x:v>Attention</x:v>
      </x:c>
      <x:c r="C24" s="30" t="str">
        <x:v>Attention 前</x:v>
      </x:c>
      <x:c r="D24" s="30" t="str">
        <x:v>Ring AllGather</x:v>
      </x:c>
      <x:c r="E24" s="33" t="n">
        <x:f>((ROUNDUP('Decode'!$P$7/'Decode'!$P$12,0)*'Decode'!$P$12)/'Decode'!$P$12)*7168</x:f>
        <x:v>917504</x:v>
      </x:c>
      <x:c r="F24" s="33" t="n">
        <x:f>'Decode'!$P$28</x:f>
        <x:v>2</x:v>
      </x:c>
      <x:c r="G24" s="33" t="n">
        <x:f>'Decode'!$P$12</x:f>
        <x:v>8</x:v>
      </x:c>
      <x:c r="H24" s="33" t="n">
        <x:f>5*IF(AND('Decode'!$P$13&lt;&gt;0,'Decode'!$P$12&gt;1,'Decode'!$P$22=0),1,0)</x:f>
        <x:v>5</x:v>
      </x:c>
      <x:c r="I24" s="34" t="n">
        <x:f>E24*F24/1048576</x:f>
        <x:v>1.75</x:v>
      </x:c>
      <x:c r="J24" s="34" t="n">
        <x:f>I24*(IF(G24&gt;1,G24-1,0))</x:f>
        <x:v>12.25</x:v>
      </x:c>
      <x:c r="K24" s="34" t="n">
        <x:f>J24*H24</x:f>
        <x:v>61.25</x:v>
      </x:c>
      <x:c r="L24" s="34" t="n">
        <x:f>K24*G24</x:f>
        <x:v>490</x:v>
      </x:c>
      <x:c r="M24" s="30"/>
      <x:c r="N24" s="30"/>
      <x:c r="O24" s="35" t="str">
        <x:v>Fine Embedding TP（0/1）</x:v>
      </x:c>
      <x:c r="P24" s="36" t="n">
        <x:v>0</x:v>
      </x:c>
    </x:row>
    <x:row r="25">
      <x:c r="A25" s="30" t="str">
        <x:v>SP</x:v>
      </x:c>
      <x:c r="B25" s="30" t="str">
        <x:v>Attention</x:v>
      </x:c>
      <x:c r="C25" s="30" t="str">
        <x:v>O Proj 后</x:v>
      </x:c>
      <x:c r="D25" s="30" t="str">
        <x:v>Ring ReduceScatter</x:v>
      </x:c>
      <x:c r="E25" s="33" t="n">
        <x:f>(ROUNDUP('Decode'!$P$7/'Decode'!$P$12,0)*'Decode'!$P$12)*7168</x:f>
        <x:v>7340032</x:v>
      </x:c>
      <x:c r="F25" s="33" t="n">
        <x:f>'Decode'!$P$28</x:f>
        <x:v>2</x:v>
      </x:c>
      <x:c r="G25" s="33" t="n">
        <x:f>'Decode'!$P$12</x:f>
        <x:v>8</x:v>
      </x:c>
      <x:c r="H25" s="33" t="n">
        <x:f>5*IF(AND('Decode'!$P$13&lt;&gt;0,'Decode'!$P$12&gt;1,'Decode'!$P$22=0),1,0)</x:f>
        <x:v>5</x:v>
      </x:c>
      <x:c r="I25" s="34" t="n">
        <x:f>E25*F25/1048576</x:f>
        <x:v>14</x:v>
      </x:c>
      <x:c r="J25" s="34" t="n">
        <x:f>I25*(IF(G25&gt;1,(G25-1)/G25,0))</x:f>
        <x:v>12.25</x:v>
      </x:c>
      <x:c r="K25" s="34" t="n">
        <x:f>J25*H25</x:f>
        <x:v>61.25</x:v>
      </x:c>
      <x:c r="L25" s="34" t="n">
        <x:f>K25*G25</x:f>
        <x:v>490</x:v>
      </x:c>
      <x:c r="M25" s="30"/>
      <x:c r="N25" s="30"/>
      <x:c r="O25" s="30"/>
      <x:c r="P25" s="30"/>
    </x:row>
    <x:row r="26">
      <x:c r="A26" s="30" t="str">
        <x:v>O Proj TP</x:v>
      </x:c>
      <x:c r="B26" s="30" t="str">
        <x:v>Attention</x:v>
      </x:c>
      <x:c r="C26" s="30" t="str">
        <x:v>非 SP 标准 TP</x:v>
      </x:c>
      <x:c r="D26" s="30" t="str">
        <x:v>Ring AllReduce</x:v>
      </x:c>
      <x:c r="E26" s="33" t="n">
        <x:f>'Decode'!$P$7*7168</x:f>
        <x:v>7340032</x:v>
      </x:c>
      <x:c r="F26" s="33" t="n">
        <x:f>'Decode'!$P$28</x:f>
        <x:v>2</x:v>
      </x:c>
      <x:c r="G26" s="33" t="n">
        <x:f>IF('Decode'!$P$19&gt;0,'Decode'!$P$19,'Decode'!$P$12)</x:f>
        <x:v>8</x:v>
      </x:c>
      <x:c r="H26" s="33" t="n">
        <x:f>5*IF(AND('Decode'!$P$13=0,IF('Decode'!$P$19&gt;0,'Decode'!$P$19,'Decode'!$P$12)&gt;1,'Decode'!$P$22=0),1,0)</x:f>
        <x:v>0</x:v>
      </x:c>
      <x:c r="I26" s="34" t="n">
        <x:f>E26*F26/1048576</x:f>
        <x:v>14</x:v>
      </x:c>
      <x:c r="J26" s="34" t="n">
        <x:f>I26*(IF(G26&gt;1,2*(G26-1)/G26,0))</x:f>
        <x:v>24.5</x:v>
      </x:c>
      <x:c r="K26" s="34" t="n">
        <x:f>J26*H26</x:f>
        <x:v>0</x:v>
      </x:c>
      <x:c r="L26" s="34" t="n">
        <x:f>K26*G26</x:f>
        <x:v>0</x:v>
      </x:c>
      <x:c r="M26" s="30"/>
      <x:c r="N26" s="30"/>
      <x:c r="O26" s="30"/>
      <x:c r="P26" s="30"/>
    </x:row>
    <x:row r="27">
      <x:c r="A27" s="30" t="str">
        <x:v>Fine O TP</x:v>
      </x:c>
      <x:c r="B27" s="30" t="str">
        <x:v>Attention</x:v>
      </x:c>
      <x:c r="C27" s="30" t="str">
        <x:v>O Proj 输入</x:v>
      </x:c>
      <x:c r="D27" s="30" t="str">
        <x:v>Equal-split AllToAll</x:v>
      </x:c>
      <x:c r="E27" s="33" t="n">
        <x:f>'Decode'!$P$7*4096</x:f>
        <x:v>4194304</x:v>
      </x:c>
      <x:c r="F27" s="33" t="n">
        <x:f>'Decode'!$P$28</x:f>
        <x:v>2</x:v>
      </x:c>
      <x:c r="G27" s="33" t="n">
        <x:f>IF('Decode'!$P$19&gt;0,'Decode'!$P$19,'Decode'!$P$12)</x:f>
        <x:v>8</x:v>
      </x:c>
      <x:c r="H27" s="33" t="n">
        <x:f>5*IF(AND(IF('Decode'!$P$19&gt;0,'Decode'!$P$19,'Decode'!$P$12)&gt;1,'Decode'!$P$22&lt;&gt;0),1,0)</x:f>
        <x:v>0</x:v>
      </x:c>
      <x:c r="I27" s="34" t="n">
        <x:f>E27*F27/1048576</x:f>
        <x:v>8</x:v>
      </x:c>
      <x:c r="J27" s="34" t="n">
        <x:f>I27*(IF(G27&gt;1,(G27-1)/G27,0))</x:f>
        <x:v>7</x:v>
      </x:c>
      <x:c r="K27" s="34" t="n">
        <x:f>J27*H27</x:f>
        <x:v>0</x:v>
      </x:c>
      <x:c r="L27" s="34" t="n">
        <x:f>K27*G27</x:f>
        <x:v>0</x:v>
      </x:c>
      <x:c r="M27" s="30"/>
      <x:c r="N27" s="30"/>
      <x:c r="O27" s="31" t="str">
        <x:v>通信参数</x:v>
      </x:c>
      <x:c r="P27" s="31"/>
    </x:row>
    <x:row r="28">
      <x:c r="A28" s="30" t="str">
        <x:v>Fine O TP</x:v>
      </x:c>
      <x:c r="B28" s="30" t="str">
        <x:v>Attention</x:v>
      </x:c>
      <x:c r="C28" s="30" t="str">
        <x:v>O Proj 输出</x:v>
      </x:c>
      <x:c r="D28" s="30" t="str">
        <x:v>Ring ReduceScatter</x:v>
      </x:c>
      <x:c r="E28" s="33" t="n">
        <x:f>'Decode'!$P$7*IF('Decode'!$P$19&gt;0,'Decode'!$P$19,'Decode'!$P$12)*7168</x:f>
        <x:v>58720256</x:v>
      </x:c>
      <x:c r="F28" s="33" t="n">
        <x:f>'Decode'!$P$28</x:f>
        <x:v>2</x:v>
      </x:c>
      <x:c r="G28" s="33" t="n">
        <x:f>IF('Decode'!$P$19&gt;0,'Decode'!$P$19,'Decode'!$P$12)</x:f>
        <x:v>8</x:v>
      </x:c>
      <x:c r="H28" s="33" t="n">
        <x:f>5*IF(AND(IF('Decode'!$P$19&gt;0,'Decode'!$P$19,'Decode'!$P$12)&gt;1,'Decode'!$P$22&lt;&gt;0),1,0)</x:f>
        <x:v>0</x:v>
      </x:c>
      <x:c r="I28" s="34" t="n">
        <x:f>E28*F28/1048576</x:f>
        <x:v>112</x:v>
      </x:c>
      <x:c r="J28" s="34" t="n">
        <x:f>I28*(IF(G28&gt;1,(G28-1)/G28,0))</x:f>
        <x:v>98</x:v>
      </x:c>
      <x:c r="K28" s="34" t="n">
        <x:f>J28*H28</x:f>
        <x:v>0</x:v>
      </x:c>
      <x:c r="L28" s="34" t="n">
        <x:f>K28*G28</x:f>
        <x:v>0</x:v>
      </x:c>
      <x:c r="M28" s="30"/>
      <x:c r="N28" s="30"/>
      <x:c r="O28" s="35" t="str">
        <x:v>激活字节/元素</x:v>
      </x:c>
      <x:c r="P28" s="36" t="n">
        <x:v>2</x:v>
      </x:c>
    </x:row>
    <x:row r="29">
      <x:c r="A29" s="30" t="str">
        <x:v>SP</x:v>
      </x:c>
      <x:c r="B29" s="30" t="str">
        <x:v>Dense MLP</x:v>
      </x:c>
      <x:c r="C29" s="30" t="str">
        <x:v>Down Proj 输出</x:v>
      </x:c>
      <x:c r="D29" s="30" t="str">
        <x:v>Ring AllReduce</x:v>
      </x:c>
      <x:c r="E29" s="33" t="n">
        <x:f>IF('Decode'!$P$13&lt;&gt;0,((ROUNDUP('Decode'!$P$7/'Decode'!$P$12,0)*'Decode'!$P$12)/'Decode'!$P$12),'Decode'!$P$7)*7168</x:f>
        <x:v>917504</x:v>
      </x:c>
      <x:c r="F29" s="33" t="n">
        <x:f>'Decode'!$P$28</x:f>
        <x:v>2</x:v>
      </x:c>
      <x:c r="G29" s="33" t="n">
        <x:f>'Decode'!$P$12</x:f>
        <x:v>8</x:v>
      </x:c>
      <x:c r="H29" s="33" t="n">
        <x:f>5*IF('Decode'!$P$12&gt;1,1,0)</x:f>
        <x:v>5</x:v>
      </x:c>
      <x:c r="I29" s="34" t="n">
        <x:f>E29*F29/1048576</x:f>
        <x:v>1.75</x:v>
      </x:c>
      <x:c r="J29" s="34" t="n">
        <x:f>I29*(IF(G29&gt;1,2*(G29-1)/G29,0))</x:f>
        <x:v>3.0625</x:v>
      </x:c>
      <x:c r="K29" s="34" t="n">
        <x:f>J29*H29</x:f>
        <x:v>15.3125</x:v>
      </x:c>
      <x:c r="L29" s="34" t="n">
        <x:f>K29*G29</x:f>
        <x:v>122.5</x:v>
      </x:c>
      <x:c r="M29" s="30"/>
      <x:c r="N29" s="30"/>
      <x:c r="O29" s="35" t="str">
        <x:v>LSE 字节/元素</x:v>
      </x:c>
      <x:c r="P29" s="36" t="n">
        <x:v>4</x:v>
      </x:c>
    </x:row>
    <x:row r="30">
      <x:c r="A30" s="30" t="str">
        <x:v>DCP</x:v>
      </x:c>
      <x:c r="B30" s="30" t="str">
        <x:v>Attention</x:v>
      </x:c>
      <x:c r="C30" s="30" t="str">
        <x:v>Query</x:v>
      </x:c>
      <x:c r="D30" s="30" t="str">
        <x:v>Ring AllGather</x:v>
      </x:c>
      <x:c r="E30" s="33" t="n">
        <x:f>'Decode'!$P$7*(64/'Decode'!$P$12)*64</x:f>
        <x:v>524288</x:v>
      </x:c>
      <x:c r="F30" s="33" t="n">
        <x:f>'Decode'!$P$28</x:f>
        <x:v>2</x:v>
      </x:c>
      <x:c r="G30" s="33" t="n">
        <x:f>'Decode'!$P$16</x:f>
        <x:v>1</x:v>
      </x:c>
      <x:c r="H30" s="33" t="n">
        <x:f>5*IF('Decode'!$P$16&gt;1,1,0)</x:f>
        <x:v>0</x:v>
      </x:c>
      <x:c r="I30" s="34" t="n">
        <x:f>E30*F30/1048576</x:f>
        <x:v>1</x:v>
      </x:c>
      <x:c r="J30" s="34" t="n">
        <x:f>I30*(IF(G30&gt;1,G30-1,0))</x:f>
        <x:v>0</x:v>
      </x:c>
      <x:c r="K30" s="34" t="n">
        <x:f>J30*H30</x:f>
        <x:v>0</x:v>
      </x:c>
      <x:c r="L30" s="34" t="n">
        <x:f>K30*G30</x:f>
        <x:v>0</x:v>
      </x:c>
      <x:c r="M30" s="30"/>
      <x:c r="N30" s="30"/>
      <x:c r="O30" s="35" t="str">
        <x:v>Token ID 字节/元素</x:v>
      </x:c>
      <x:c r="P30" s="36" t="n">
        <x:v>8</x:v>
      </x:c>
    </x:row>
    <x:row r="31">
      <x:c r="A31" s="30" t="str">
        <x:v>DCP</x:v>
      </x:c>
      <x:c r="B31" s="30" t="str">
        <x:v>Attention</x:v>
      </x:c>
      <x:c r="C31" s="30" t="str">
        <x:v>LSE</x:v>
      </x:c>
      <x:c r="D31" s="30" t="str">
        <x:v>Ring AllGather</x:v>
      </x:c>
      <x:c r="E31" s="33" t="n">
        <x:f>'Decode'!$P$7*(64*'Decode'!$P$16/'Decode'!$P$12)</x:f>
        <x:v>8192</x:v>
      </x:c>
      <x:c r="F31" s="33" t="n">
        <x:f>'Decode'!$P$29</x:f>
        <x:v>4</x:v>
      </x:c>
      <x:c r="G31" s="33" t="n">
        <x:f>'Decode'!$P$16</x:f>
        <x:v>1</x:v>
      </x:c>
      <x:c r="H31" s="33" t="n">
        <x:f>5*IF('Decode'!$P$16&gt;1,1,0)</x:f>
        <x:v>0</x:v>
      </x:c>
      <x:c r="I31" s="34" t="n">
        <x:f>E31*F31/1048576</x:f>
        <x:v>0.03125</x:v>
      </x:c>
      <x:c r="J31" s="34" t="n">
        <x:f>I31*(IF(G31&gt;1,G31-1,0))</x:f>
        <x:v>0</x:v>
      </x:c>
      <x:c r="K31" s="34" t="n">
        <x:f>J31*H31</x:f>
        <x:v>0</x:v>
      </x:c>
      <x:c r="L31" s="34" t="n">
        <x:f>K31*G31</x:f>
        <x:v>0</x:v>
      </x:c>
      <x:c r="M31" s="30"/>
      <x:c r="N31" s="30"/>
      <x:c r="O31" s="35" t="str">
        <x:v>Index 字节/元素</x:v>
      </x:c>
      <x:c r="P31" s="36" t="n">
        <x:v>4</x:v>
      </x:c>
    </x:row>
    <x:row r="32">
      <x:c r="A32" s="30" t="str">
        <x:v>DCP</x:v>
      </x:c>
      <x:c r="B32" s="30" t="str">
        <x:v>Attention</x:v>
      </x:c>
      <x:c r="C32" s="30" t="str">
        <x:v>Attention 输出</x:v>
      </x:c>
      <x:c r="D32" s="30" t="str">
        <x:v>Ring ReduceScatter</x:v>
      </x:c>
      <x:c r="E32" s="33" t="n">
        <x:f>'Decode'!$P$7*(64*'Decode'!$P$16/'Decode'!$P$12)*64</x:f>
        <x:v>524288</x:v>
      </x:c>
      <x:c r="F32" s="33" t="n">
        <x:f>'Decode'!$P$28</x:f>
        <x:v>2</x:v>
      </x:c>
      <x:c r="G32" s="33" t="n">
        <x:f>'Decode'!$P$16</x:f>
        <x:v>1</x:v>
      </x:c>
      <x:c r="H32" s="33" t="n">
        <x:f>5*IF('Decode'!$P$16&gt;1,1,0)</x:f>
        <x:v>0</x:v>
      </x:c>
      <x:c r="I32" s="34" t="n">
        <x:f>E32*F32/1048576</x:f>
        <x:v>1</x:v>
      </x:c>
      <x:c r="J32" s="34" t="n">
        <x:f>I32*(IF(G32&gt;1,(G32-1)/G32,0))</x:f>
        <x:v>0</x:v>
      </x:c>
      <x:c r="K32" s="34" t="n">
        <x:f>J32*H32</x:f>
        <x:v>0</x:v>
      </x:c>
      <x:c r="L32" s="34" t="n">
        <x:f>K32*G32</x:f>
        <x:v>0</x:v>
      </x:c>
      <x:c r="M32" s="30"/>
      <x:c r="N32" s="30"/>
      <x:c r="O32" s="35" t="str">
        <x:v>跨 EP Rank 路由比例</x:v>
      </x:c>
      <x:c r="P32" s="41" t="n">
        <x:f>IF($P$14&gt;1,($P$14-1)/$P$14,0)</x:f>
        <x:v>0</x:v>
      </x:c>
    </x:row>
    <x:row r="33">
      <x:c r="A33" s="30" t="str">
        <x:v>SP</x:v>
      </x:c>
      <x:c r="B33" s="30" t="str">
        <x:v>Model Output</x:v>
      </x:c>
      <x:c r="C33" s="30" t="str">
        <x:v>Final Norm 后</x:v>
      </x:c>
      <x:c r="D33" s="30" t="str">
        <x:v>Ring AllGather</x:v>
      </x:c>
      <x:c r="E33" s="33" t="n">
        <x:f>((ROUNDUP('Decode'!$P$7/'Decode'!$P$12,0)*'Decode'!$P$12)/'Decode'!$P$12)*7168</x:f>
        <x:v>917504</x:v>
      </x:c>
      <x:c r="F33" s="33" t="n">
        <x:f>'Decode'!$P$28</x:f>
        <x:v>2</x:v>
      </x:c>
      <x:c r="G33" s="33" t="n">
        <x:f>'Decode'!$P$12</x:f>
        <x:v>8</x:v>
      </x:c>
      <x:c r="H33" s="33" t="n">
        <x:f>IF(AND('Decode'!$P$13&lt;&gt;0,'Decode'!$P$12&gt;1),1,0)</x:f>
        <x:v>1</x:v>
      </x:c>
      <x:c r="I33" s="34" t="n">
        <x:f>E33*F33/1048576</x:f>
        <x:v>1.75</x:v>
      </x:c>
      <x:c r="J33" s="34" t="n">
        <x:f>I33*(IF(G33&gt;1,G33-1,0))</x:f>
        <x:v>12.25</x:v>
      </x:c>
      <x:c r="K33" s="34" t="n">
        <x:f>J33*H33</x:f>
        <x:v>12.25</x:v>
      </x:c>
      <x:c r="L33" s="34" t="n">
        <x:f>K33*G33</x:f>
        <x:v>98</x:v>
      </x:c>
      <x:c r="M33" s="30"/>
      <x:c r="N33" s="30"/>
      <x:c r="O33" s="35" t="str">
        <x:v>Reduce Sample（0/1）</x:v>
      </x:c>
      <x:c r="P33" s="36" t="n">
        <x:v>1</x:v>
      </x:c>
    </x:row>
    <x:row r="34">
      <x:c r="A34" s="30" t="str">
        <x:v>LM Head TP</x:v>
      </x:c>
      <x:c r="B34" s="30" t="str">
        <x:v>LM Head</x:v>
      </x:c>
      <x:c r="C34" s="30" t="str">
        <x:v>完整 Logits</x:v>
      </x:c>
      <x:c r="D34" s="30" t="str">
        <x:v>Ring AllGather</x:v>
      </x:c>
      <x:c r="E34" s="33" t="n">
        <x:f>'Decode'!$P$8*163840/IF('Decode'!$P$20&gt;0,'Decode'!$P$20,'Decode'!$P$12)</x:f>
        <x:v>20971520</x:v>
      </x:c>
      <x:c r="F34" s="33" t="n">
        <x:f>'Decode'!$P$28</x:f>
        <x:v>2</x:v>
      </x:c>
      <x:c r="G34" s="33" t="n">
        <x:f>IF('Decode'!$P$20&gt;0,'Decode'!$P$20,'Decode'!$P$12)</x:f>
        <x:v>8</x:v>
      </x:c>
      <x:c r="H34" s="33" t="n">
        <x:f>IF(AND(IF('Decode'!$P$20&gt;0,'Decode'!$P$20,'Decode'!$P$12)&gt;1,'Decode'!$P$23=0,'Decode'!$P$33=0),1,0)</x:f>
        <x:v>0</x:v>
      </x:c>
      <x:c r="I34" s="34" t="n">
        <x:f>E34*F34/1048576</x:f>
        <x:v>40</x:v>
      </x:c>
      <x:c r="J34" s="34" t="n">
        <x:f>I34*(IF(G34&gt;1,G34-1,0))</x:f>
        <x:v>280</x:v>
      </x:c>
      <x:c r="K34" s="34" t="n">
        <x:f>J34*H34</x:f>
        <x:v>0</x:v>
      </x:c>
      <x:c r="L34" s="34" t="n">
        <x:f>K34*G34</x:f>
        <x:v>0</x:v>
      </x:c>
      <x:c r="M34" s="30"/>
      <x:c r="N34" s="30"/>
      <x:c r="O34" s="35" t="str">
        <x:v>Reduce Sample K</x:v>
      </x:c>
      <x:c r="P34" s="36" t="n">
        <x:v>256</x:v>
      </x:c>
    </x:row>
    <x:row r="35">
      <x:c r="A35" s="30" t="str">
        <x:v>LM Head TP</x:v>
      </x:c>
      <x:c r="B35" s="30" t="str">
        <x:v>LM Head</x:v>
      </x:c>
      <x:c r="C35" s="30" t="str">
        <x:v>Reduce Sample</x:v>
      </x:c>
      <x:c r="D35" s="30" t="str">
        <x:v>Ring AllGather</x:v>
      </x:c>
      <x:c r="E35" s="33" t="n">
        <x:f>'Decode'!$P$8*'Decode'!$P$34</x:f>
        <x:v>262144</x:v>
      </x:c>
      <x:c r="F35" s="33" t="n">
        <x:f>('Decode'!$P$28+'Decode'!$P$31)</x:f>
        <x:v>6</x:v>
      </x:c>
      <x:c r="G35" s="33" t="n">
        <x:f>IF('Decode'!$P$20&gt;0,'Decode'!$P$20,'Decode'!$P$12)</x:f>
        <x:v>8</x:v>
      </x:c>
      <x:c r="H35" s="33" t="n">
        <x:f>IF(AND(IF('Decode'!$P$20&gt;0,'Decode'!$P$20,'Decode'!$P$12)&gt;1,'Decode'!$P$23=0,'Decode'!$P$33&lt;&gt;0),1,0)</x:f>
        <x:v>1</x:v>
      </x:c>
      <x:c r="I35" s="34" t="n">
        <x:f>E35*F35/1048576</x:f>
        <x:v>1.5</x:v>
      </x:c>
      <x:c r="J35" s="34" t="n">
        <x:f>I35*(IF(G35&gt;1,G35-1,0))</x:f>
        <x:v>10.5</x:v>
      </x:c>
      <x:c r="K35" s="34" t="n">
        <x:f>J35*H35</x:f>
        <x:v>10.5</x:v>
      </x:c>
      <x:c r="L35" s="34" t="n">
        <x:f>K35*G35</x:f>
        <x:v>84</x:v>
      </x:c>
      <x:c r="M35" s="30"/>
      <x:c r="N35" s="30"/>
      <x:c r="O35" s="30"/>
      <x:c r="P35" s="30"/>
    </x:row>
    <x:row r="36">
      <x:c r="A36" s="30" t="str">
        <x:v>Fine LM Head TP</x:v>
      </x:c>
      <x:c r="B36" s="30" t="str">
        <x:v>LM Head</x:v>
      </x:c>
      <x:c r="C36" s="30" t="str">
        <x:v>Hidden 输入</x:v>
      </x:c>
      <x:c r="D36" s="30" t="str">
        <x:v>Ring AllGather</x:v>
      </x:c>
      <x:c r="E36" s="33" t="n">
        <x:f>'Decode'!$P$8*7168</x:f>
        <x:v>7340032</x:v>
      </x:c>
      <x:c r="F36" s="33" t="n">
        <x:f>'Decode'!$P$28</x:f>
        <x:v>2</x:v>
      </x:c>
      <x:c r="G36" s="33" t="n">
        <x:f>IF('Decode'!$P$20&gt;0,'Decode'!$P$20,'Decode'!$P$12)</x:f>
        <x:v>8</x:v>
      </x:c>
      <x:c r="H36" s="33" t="n">
        <x:f>IF(AND(IF('Decode'!$P$20&gt;0,'Decode'!$P$20,'Decode'!$P$12)&gt;1,'Decode'!$P$23&lt;&gt;0),1,0)</x:f>
        <x:v>0</x:v>
      </x:c>
      <x:c r="I36" s="34" t="n">
        <x:f>E36*F36/1048576</x:f>
        <x:v>14</x:v>
      </x:c>
      <x:c r="J36" s="34" t="n">
        <x:f>I36*(IF(G36&gt;1,G36-1,0))</x:f>
        <x:v>98</x:v>
      </x:c>
      <x:c r="K36" s="34" t="n">
        <x:f>J36*H36</x:f>
        <x:v>0</x:v>
      </x:c>
      <x:c r="L36" s="34" t="n">
        <x:f>K36*G36</x:f>
        <x:v>0</x:v>
      </x:c>
      <x:c r="M36" s="30"/>
      <x:c r="N36" s="30"/>
      <x:c r="O36" s="30"/>
      <x:c r="P36" s="30"/>
    </x:row>
    <x:row r="37">
      <x:c r="A37" s="30" t="str">
        <x:v>Fine LM Head TP</x:v>
      </x:c>
      <x:c r="B37" s="30" t="str">
        <x:v>LM Head</x:v>
      </x:c>
      <x:c r="C37" s="30" t="str">
        <x:v>完整 Logits</x:v>
      </x:c>
      <x:c r="D37" s="30" t="str">
        <x:v>Equal-split AllToAll</x:v>
      </x:c>
      <x:c r="E37" s="33" t="n">
        <x:f>'Decode'!$P$8*163840</x:f>
        <x:v>167772160</x:v>
      </x:c>
      <x:c r="F37" s="33" t="n">
        <x:f>'Decode'!$P$28</x:f>
        <x:v>2</x:v>
      </x:c>
      <x:c r="G37" s="33" t="n">
        <x:f>IF('Decode'!$P$20&gt;0,'Decode'!$P$20,'Decode'!$P$12)</x:f>
        <x:v>8</x:v>
      </x:c>
      <x:c r="H37" s="33" t="n">
        <x:f>IF(AND(IF('Decode'!$P$20&gt;0,'Decode'!$P$20,'Decode'!$P$12)&gt;1,'Decode'!$P$23&lt;&gt;0,'Decode'!$P$33=0),1,0)</x:f>
        <x:v>0</x:v>
      </x:c>
      <x:c r="I37" s="34" t="n">
        <x:f>E37*F37/1048576</x:f>
        <x:v>320</x:v>
      </x:c>
      <x:c r="J37" s="34" t="n">
        <x:f>I37*(IF(G37&gt;1,(G37-1)/G37,0))</x:f>
        <x:v>280</x:v>
      </x:c>
      <x:c r="K37" s="34" t="n">
        <x:f>J37*H37</x:f>
        <x:v>0</x:v>
      </x:c>
      <x:c r="L37" s="34" t="n">
        <x:f>K37*G37</x:f>
        <x:v>0</x:v>
      </x:c>
      <x:c r="M37" s="30"/>
      <x:c r="N37" s="30"/>
      <x:c r="O37" s="30"/>
      <x:c r="P37" s="30"/>
    </x:row>
    <x:row r="38">
      <x:c r="A38" s="30" t="str">
        <x:v>Fine LM Head TP</x:v>
      </x:c>
      <x:c r="B38" s="30" t="str">
        <x:v>LM Head</x:v>
      </x:c>
      <x:c r="C38" s="30" t="str">
        <x:v>Reduce Sample</x:v>
      </x:c>
      <x:c r="D38" s="30" t="str">
        <x:v>Ring AllGather</x:v>
      </x:c>
      <x:c r="E38" s="33" t="n">
        <x:f>'Decode'!$P$8*'Decode'!$P$34</x:f>
        <x:v>262144</x:v>
      </x:c>
      <x:c r="F38" s="33" t="n">
        <x:f>('Decode'!$P$28+'Decode'!$P$31)</x:f>
        <x:v>6</x:v>
      </x:c>
      <x:c r="G38" s="33" t="n">
        <x:f>IF('Decode'!$P$20&gt;0,'Decode'!$P$20,'Decode'!$P$12)</x:f>
        <x:v>8</x:v>
      </x:c>
      <x:c r="H38" s="33" t="n">
        <x:f>IF(AND(IF('Decode'!$P$20&gt;0,'Decode'!$P$20,'Decode'!$P$12)&gt;1,'Decode'!$P$23&lt;&gt;0,'Decode'!$P$33&lt;&gt;0),1,0)</x:f>
        <x:v>0</x:v>
      </x:c>
      <x:c r="I38" s="34" t="n">
        <x:f>E38*F38/1048576</x:f>
        <x:v>1.5</x:v>
      </x:c>
      <x:c r="J38" s="34" t="n">
        <x:f>I38*(IF(G38&gt;1,G38-1,0))</x:f>
        <x:v>10.5</x:v>
      </x:c>
      <x:c r="K38" s="34" t="n">
        <x:f>J38*H38</x:f>
        <x:v>0</x:v>
      </x:c>
      <x:c r="L38" s="34" t="n">
        <x:f>K38*G38</x:f>
        <x:v>0</x:v>
      </x:c>
      <x:c r="M38" s="30"/>
      <x:c r="N38" s="30"/>
      <x:c r="O38" s="30"/>
      <x:c r="P38" s="30"/>
    </x:row>
    <x:row r="39">
      <x:c r="A39" s="39" t="str">
        <x:v>合计</x:v>
      </x:c>
      <x:c r="B39" s="39"/>
      <x:c r="C39" s="39"/>
      <x:c r="D39" s="39"/>
      <x:c r="E39" s="39"/>
      <x:c r="F39" s="39"/>
      <x:c r="G39" s="39"/>
      <x:c r="H39" s="39"/>
      <x:c r="I39" s="40"/>
      <x:c r="J39" s="40"/>
      <x:c r="K39" s="40" t="n">
        <x:f>SUM(K23:K38)</x:f>
        <x:v>172.8125</x:v>
      </x:c>
      <x:c r="L39" s="40" t="n">
        <x:f>SUM(L23:L38)</x:f>
        <x:v>1382.5</x:v>
      </x:c>
      <x:c r="M39" s="30"/>
      <x:c r="N39" s="30"/>
      <x:c r="O39" s="30"/>
      <x:c r="P39" s="30"/>
    </x:row>
  </x:sheetData>
  <x:pageMargins left="0.7" right="0.7" top="0.75" bottom="0.75" header="0.3" footer="0.3"/>
</x:worksheet>
</file>