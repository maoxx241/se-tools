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4a4543e65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格汇总" sheetId="1" r:id="R01c86217981149a4"/>
    <x:sheet xmlns:r="http://schemas.openxmlformats.org/officeDocument/2006/relationships" name="KV明细" sheetId="2" r:id="Rae1d944e3d8e44ef"/>
    <x:sheet xmlns:r="http://schemas.openxmlformats.org/officeDocument/2006/relationships" name="EP通信" sheetId="3" r:id="Rda010fe3171d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#,##0.000"/>
    <x:numFmt numFmtId="202" formatCode="#,##0.000000"/>
    <x:numFmt numFmtId="203" formatCode="0%"/>
    <x:numFmt numFmtId="204" formatCode="0.000"/>
    <x:numFmt numFmtId="205" formatCode="0.00%"/>
    <x:numFmt numFmtId="206" formatCode="0.00"/>
  </x:numFmts>
  <x:fonts count="10">
    <x:font>
      <x:sz val="11"/>
      <x:name val="Carlito"/>
    </x:font>
    <x:font>
      <x:sz val="10"/>
      <x:color rgb="FF202C3B"/>
      <x:name val="Arial"/>
    </x:font>
    <x:font>
      <x:b/>
      <x:sz val="16"/>
      <x:color rgb="FF202C3B"/>
      <x:name val="Arial"/>
    </x:font>
    <x:font>
      <x:b/>
      <x:sz val="10"/>
      <x:color rgb="FFFFFFFF"/>
      <x:name val="Arial"/>
    </x:font>
    <x:font>
      <x:b/>
      <x:sz val="14"/>
      <x:color rgb="FF202C3B"/>
      <x:name val="Arial"/>
    </x:font>
    <x:font>
      <x:sz val="10"/>
      <x:color rgb="FF955700"/>
      <x:name val="Arial"/>
    </x:font>
    <x:font>
      <x:sz val="10"/>
      <x:color rgb="FF000000"/>
      <x:name val="Arial"/>
    </x:font>
    <x:font>
      <x:b/>
      <x:sz val="14"/>
      <x:color rgb="FF000000"/>
      <x:name val="Arial"/>
    </x:font>
    <x:font>
      <x:b/>
      <x:sz val="10"/>
      <x:color rgb="FF000000"/>
      <x:name val="Arial"/>
    </x:font>
    <x:font>
      <x:b/>
      <x:sz val="10"/>
      <x:color rgb="FF202C3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53D5B"/>
      </x:patternFill>
    </x:fill>
    <x:fill>
      <x:patternFill patternType="solid">
        <x:fgColor rgb="FFFFF0C2"/>
      </x:patternFill>
    </x:fill>
    <x:fill>
      <x:patternFill patternType="solid">
        <x:fgColor rgb="FFE8EEF5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253D5B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/>
    </x:xf>
    <x:xf numFmtId="203" fontId="6" fillId="6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vertical="center"/>
    </x:xf>
    <x:xf numFmtId="206" fontId="6" fillId="6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6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/>
    </x:xf>
    <x:xf numFmtId="206" fontId="1" fillId="8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32020"/>
      </x:font>
      <x:fill>
        <x:patternFill>
          <x:bgColor rgb="FFFDE9E7"/>
        </x:patternFill>
      </x:fill>
    </x:dxf>
    <x:dxf>
      <x:font>
        <x:b/>
        <x:color rgb="FF955700"/>
      </x:font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4a814d5aa4524" /><Relationship Type="http://schemas.openxmlformats.org/officeDocument/2006/relationships/theme" Target="/xl/theme/theme1.xml" Id="Rc64593c74c224d67" /><Relationship Type="http://schemas.openxmlformats.org/officeDocument/2006/relationships/sharedStrings" Target="/xl/sharedStrings.xml" Id="Rd2bc335b89b04e34" /><Relationship Type="http://schemas.openxmlformats.org/officeDocument/2006/relationships/worksheet" Target="/xl/worksheets/sheet1.xml" Id="R01c86217981149a4" /><Relationship Type="http://schemas.openxmlformats.org/officeDocument/2006/relationships/worksheet" Target="/xl/worksheets/sheet2.xml" Id="Rae1d944e3d8e44ef" /><Relationship Type="http://schemas.openxmlformats.org/officeDocument/2006/relationships/worksheet" Target="/xl/worksheets/sheet3.xml" Id="Rda010fe3171d4e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D5B"/>
  </x:sheetPr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3" hidden="0" customWidth="1"/>
    <x:col min="14" max="14" width="18" hidden="0" customWidth="1"/>
    <x:col min="15" max="15" width="3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EP32 / EP256 · 通信量与 DP 域变化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通信单位 GiB/Step/EP组。每 DP 工作量不变，DP 扩大使总 token 数增加；已计入，不能再乘一次 DP。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0" customHeight="1">
      <x:c r="A5" s="7" t="str">
        <x:v>模型</x:v>
      </x:c>
      <x:c r="B5" s="7" t="str">
        <x:v>EP</x:v>
      </x:c>
      <x:c r="C5" s="7" t="str">
        <x:v>P TP</x:v>
      </x:c>
      <x:c r="D5" s="7" t="str">
        <x:v>P DP</x:v>
      </x:c>
      <x:c r="E5" s="7" t="str">
        <x:v>D TP</x:v>
      </x:c>
      <x:c r="F5" s="7" t="str">
        <x:v>D DP</x:v>
      </x:c>
      <x:c r="G5" s="7" t="str">
        <x:v>P组 tokens/Step</x:v>
      </x:c>
      <x:c r="H5" s="7" t="str">
        <x:v>D组 tokens/Step</x:v>
      </x:c>
      <x:c r="I5" s="7" t="str">
        <x:v>P AllToAllV合计</x:v>
      </x:c>
      <x:c r="J5" s="7" t="str">
        <x:v>D MC2已建模量</x:v>
      </x:c>
      <x:c r="K5" s="7" t="str">
        <x:v>P/Rank均值</x:v>
      </x:c>
      <x:c r="L5" s="7" t="str">
        <x:v>D/Rank均值</x:v>
      </x:c>
      <x:c r="M5" s="7" t="str">
        <x:v>部署条件</x:v>
      </x:c>
    </x:row>
    <x:row r="6" ht="25" customHeight="1">
      <x:c r="A6" s="2" t="str">
        <x:f>A24</x:f>
        <x:v>DS V4 10T</x:v>
      </x:c>
      <x:c r="B6" s="2" t="n">
        <x:f>B24</x:f>
        <x:v>32</x:v>
      </x:c>
      <x:c r="C6" s="2" t="n">
        <x:f>C24</x:f>
        <x:v>8</x:v>
      </x:c>
      <x:c r="D6" s="2" t="n">
        <x:f>D24</x:f>
        <x:v>4</x:v>
      </x:c>
      <x:c r="E6" s="2" t="n">
        <x:f>E24</x:f>
        <x:v>1</x:v>
      </x:c>
      <x:c r="F6" s="2" t="n">
        <x:f>F24</x:f>
        <x:v>32</x:v>
      </x:c>
      <x:c r="G6" s="8" t="n">
        <x:f>'EP通信'!K10*B6</x:f>
        <x:v>65536</x:v>
      </x:c>
      <x:c r="H6" s="8" t="n">
        <x:f>'EP通信'!L10*B6</x:f>
        <x:v>4096</x:v>
      </x:c>
      <x:c r="I6" s="9" t="n">
        <x:f>'EP通信'!F24</x:f>
        <x:v>620.5709381103516</x:v>
      </x:c>
      <x:c r="J6" s="9" t="n">
        <x:f>'EP通信'!K24</x:f>
        <x:v>40.23020553588867</x:v>
      </x:c>
      <x:c r="K6" s="9" t="n">
        <x:f>I6/B6</x:f>
        <x:v>19.392841815948486</x:v>
      </x:c>
      <x:c r="L6" s="9" t="n">
        <x:f>J6/B6</x:f>
        <x:v>1.257193922996521</x:v>
      </x:c>
      <x:c r="M6" s="2" t="str">
        <x:f>M24</x:f>
        <x:v>专家数整除；未实机验证</x:v>
      </x:c>
    </x:row>
    <x:row r="7" ht="25" customHeight="1">
      <x:c r="A7" s="2" t="str">
        <x:f>A25</x:f>
        <x:v>DS V4 10T</x:v>
      </x:c>
      <x:c r="B7" s="2" t="n">
        <x:f>B25</x:f>
        <x:v>256</x:v>
      </x:c>
      <x:c r="C7" s="2" t="n">
        <x:f>C25</x:f>
        <x:v>8</x:v>
      </x:c>
      <x:c r="D7" s="2" t="n">
        <x:f>D25</x:f>
        <x:v>32</x:v>
      </x:c>
      <x:c r="E7" s="2" t="n">
        <x:f>E25</x:f>
        <x:v>1</x:v>
      </x:c>
      <x:c r="F7" s="2" t="n">
        <x:f>F25</x:f>
        <x:v>256</x:v>
      </x:c>
      <x:c r="G7" s="8" t="n">
        <x:f>'EP通信'!K11*B7</x:f>
        <x:v>524288</x:v>
      </x:c>
      <x:c r="H7" s="8" t="n">
        <x:f>'EP通信'!L11*B7</x:f>
        <x:v>32768</x:v>
      </x:c>
      <x:c r="I7" s="9" t="n">
        <x:f>'EP通信'!F25</x:f>
        <x:v>5111.57958984375</x:v>
      </x:c>
      <x:c r="J7" s="9" t="n">
        <x:f>'EP通信'!K25</x:f>
        <x:v>330.98522186279297</x:v>
      </x:c>
      <x:c r="K7" s="9" t="n">
        <x:f>I7/B7</x:f>
        <x:v>19.96710777282715</x:v>
      </x:c>
      <x:c r="L7" s="9" t="n">
        <x:f>J7/B7</x:f>
        <x:v>1.292911022901535</x:v>
      </x:c>
      <x:c r="M7" s="2" t="str">
        <x:f>M25</x:f>
        <x:v>需补齐128槽并验证EPLB</x:v>
      </x:c>
    </x:row>
    <x:row r="8" ht="25" customHeight="1">
      <x:c r="A8" s="2" t="str">
        <x:f>A26</x:f>
        <x:v>DS V4 Pro</x:v>
      </x:c>
      <x:c r="B8" s="2" t="n">
        <x:f>B26</x:f>
        <x:v>32</x:v>
      </x:c>
      <x:c r="C8" s="2" t="n">
        <x:f>C26</x:f>
        <x:v>8</x:v>
      </x:c>
      <x:c r="D8" s="2" t="n">
        <x:f>D26</x:f>
        <x:v>4</x:v>
      </x:c>
      <x:c r="E8" s="2" t="n">
        <x:f>E26</x:f>
        <x:v>1</x:v>
      </x:c>
      <x:c r="F8" s="2" t="n">
        <x:f>F26</x:f>
        <x:v>32</x:v>
      </x:c>
      <x:c r="G8" s="8" t="n">
        <x:f>'EP通信'!K12*B8</x:f>
        <x:v>65536</x:v>
      </x:c>
      <x:c r="H8" s="8" t="n">
        <x:f>'EP通信'!L12*B8</x:f>
        <x:v>4096</x:v>
      </x:c>
      <x:c r="I8" s="9" t="n">
        <x:f>'EP通信'!F26</x:f>
        <x:v>620.5709381103516</x:v>
      </x:c>
      <x:c r="J8" s="9" t="n">
        <x:f>'EP通信'!K26</x:f>
        <x:v>40.23020553588867</x:v>
      </x:c>
      <x:c r="K8" s="9" t="n">
        <x:f>I8/B8</x:f>
        <x:v>19.392841815948486</x:v>
      </x:c>
      <x:c r="L8" s="9" t="n">
        <x:f>J8/B8</x:f>
        <x:v>1.257193922996521</x:v>
      </x:c>
      <x:c r="M8" s="2" t="str">
        <x:f>M26</x:f>
        <x:v>专家数整除；未实机验证</x:v>
      </x:c>
    </x:row>
    <x:row r="9" ht="25" customHeight="1">
      <x:c r="A9" s="2" t="str">
        <x:f>A27</x:f>
        <x:v>DS V4 Pro</x:v>
      </x:c>
      <x:c r="B9" s="2" t="n">
        <x:f>B27</x:f>
        <x:v>256</x:v>
      </x:c>
      <x:c r="C9" s="2" t="n">
        <x:f>C27</x:f>
        <x:v>8</x:v>
      </x:c>
      <x:c r="D9" s="2" t="n">
        <x:f>D27</x:f>
        <x:v>32</x:v>
      </x:c>
      <x:c r="E9" s="2" t="n">
        <x:f>E27</x:f>
        <x:v>1</x:v>
      </x:c>
      <x:c r="F9" s="2" t="n">
        <x:f>F27</x:f>
        <x:v>256</x:v>
      </x:c>
      <x:c r="G9" s="8" t="n">
        <x:f>'EP通信'!K13*B9</x:f>
        <x:v>524288</x:v>
      </x:c>
      <x:c r="H9" s="8" t="n">
        <x:f>'EP通信'!L13*B9</x:f>
        <x:v>32768</x:v>
      </x:c>
      <x:c r="I9" s="9" t="n">
        <x:f>'EP通信'!F27</x:f>
        <x:v>5111.57958984375</x:v>
      </x:c>
      <x:c r="J9" s="9" t="n">
        <x:f>'EP通信'!K27</x:f>
        <x:v>330.98522186279297</x:v>
      </x:c>
      <x:c r="K9" s="9" t="n">
        <x:f>I9/B9</x:f>
        <x:v>19.96710777282715</x:v>
      </x:c>
      <x:c r="L9" s="9" t="n">
        <x:f>J9/B9</x:f>
        <x:v>1.292911022901535</x:v>
      </x:c>
      <x:c r="M9" s="2" t="str">
        <x:f>M27</x:f>
        <x:v>需补齐128槽并验证EPLB</x:v>
      </x:c>
    </x:row>
    <x:row r="10" ht="25" customHeight="1">
      <x:c r="A10" s="2" t="str">
        <x:f>A28</x:f>
        <x:v>GLM5.3</x:v>
      </x:c>
      <x:c r="B10" s="2" t="n">
        <x:f>B28</x:f>
        <x:v>32</x:v>
      </x:c>
      <x:c r="C10" s="2" t="n">
        <x:f>C28</x:f>
        <x:v>8</x:v>
      </x:c>
      <x:c r="D10" s="2" t="n">
        <x:f>D28</x:f>
        <x:v>4</x:v>
      </x:c>
      <x:c r="E10" s="2" t="n">
        <x:f>E28</x:f>
        <x:v>1</x:v>
      </x:c>
      <x:c r="F10" s="2" t="n">
        <x:f>F28</x:f>
        <x:v>32</x:v>
      </x:c>
      <x:c r="G10" s="8" t="n">
        <x:f>'EP通信'!K14*B10</x:f>
        <x:v>65536</x:v>
      </x:c>
      <x:c r="H10" s="8" t="n">
        <x:f>'EP通信'!L14*B10</x:f>
        <x:v>4096</x:v>
      </x:c>
      <x:c r="I10" s="9" t="n">
        <x:f>'EP通信'!F28</x:f>
        <x:v>871.9459533691406</x:v>
      </x:c>
      <x:c r="J10" s="9" t="n">
        <x:f>'EP通信'!K28</x:f>
        <x:v>56.85138702392578</x:v>
      </x:c>
      <x:c r="K10" s="9" t="n">
        <x:f>I10/B10</x:f>
        <x:v>27.248311042785645</x:v>
      </x:c>
      <x:c r="L10" s="9" t="n">
        <x:f>J10/B10</x:f>
        <x:v>1.7766058444976807</x:v>
      </x:c>
      <x:c r="M10" s="2" t="str">
        <x:f>M28</x:f>
        <x:v>专家数整除；未实机验证</x:v>
      </x:c>
    </x:row>
    <x:row r="11" ht="25" customHeight="1">
      <x:c r="A11" s="2" t="str">
        <x:f>A29</x:f>
        <x:v>GLM5.3</x:v>
      </x:c>
      <x:c r="B11" s="2" t="n">
        <x:f>B29</x:f>
        <x:v>256</x:v>
      </x:c>
      <x:c r="C11" s="2" t="n">
        <x:f>C29</x:f>
        <x:v>8</x:v>
      </x:c>
      <x:c r="D11" s="2" t="n">
        <x:f>D29</x:f>
        <x:v>32</x:v>
      </x:c>
      <x:c r="E11" s="2" t="n">
        <x:f>E29</x:f>
        <x:v>1</x:v>
      </x:c>
      <x:c r="F11" s="2" t="n">
        <x:f>F29</x:f>
        <x:v>256</x:v>
      </x:c>
      <x:c r="G11" s="8" t="n">
        <x:f>'EP通信'!K15*B11</x:f>
        <x:v>524288</x:v>
      </x:c>
      <x:c r="H11" s="8" t="n">
        <x:f>'EP通信'!L15*B11</x:f>
        <x:v>32768</x:v>
      </x:c>
      <x:c r="I11" s="9" t="n">
        <x:f>'EP通信'!F29</x:f>
        <x:v>7176.544189453125</x:v>
      </x:c>
      <x:c r="J11" s="9" t="n">
        <x:f>'EP通信'!K29</x:f>
        <x:v>467.6485061645508</x:v>
      </x:c>
      <x:c r="K11" s="9" t="n">
        <x:f>I11/B11</x:f>
        <x:v>28.03337574005127</x:v>
      </x:c>
      <x:c r="L11" s="9" t="n">
        <x:f>J11/B11</x:f>
        <x:v>1.8267519772052765</x:v>
      </x:c>
      <x:c r="M11" s="2" t="str">
        <x:f>M29</x:f>
        <x:v>专家数整除；未实机验证</x:v>
      </x:c>
    </x:row>
    <x:row r="12" ht="25" customHeight="1">
      <x:c r="A12" s="2" t="str">
        <x:f>A30</x:f>
        <x:v>KimiK3</x:v>
      </x:c>
      <x:c r="B12" s="2" t="n">
        <x:f>B30</x:f>
        <x:v>32</x:v>
      </x:c>
      <x:c r="C12" s="2" t="n">
        <x:f>C30</x:f>
        <x:v>8</x:v>
      </x:c>
      <x:c r="D12" s="2" t="n">
        <x:f>D30</x:f>
        <x:v>4</x:v>
      </x:c>
      <x:c r="E12" s="2" t="n">
        <x:f>E30</x:f>
        <x:v>8</x:v>
      </x:c>
      <x:c r="F12" s="2" t="n">
        <x:f>F30</x:f>
        <x:v>4</x:v>
      </x:c>
      <x:c r="G12" s="8" t="n">
        <x:f>'EP通信'!K16*B12</x:f>
        <x:v>65536</x:v>
      </x:c>
      <x:c r="H12" s="8" t="n">
        <x:f>'EP通信'!L16*B12</x:f>
        <x:v>512</x:v>
      </x:c>
      <x:c r="I12" s="9" t="n">
        <x:f>'EP通信'!F30</x:f>
        <x:v>2495.8046264648438</x:v>
      </x:c>
      <x:c r="J12" s="9" t="n">
        <x:f>'EP通信'!K30</x:f>
        <x:v>20.290298461914062</x:v>
      </x:c>
      <x:c r="K12" s="9" t="n">
        <x:f>I12/B12</x:f>
        <x:v>77.99389457702637</x:v>
      </x:c>
      <x:c r="L12" s="9" t="n">
        <x:f>J12/B12</x:f>
        <x:v>0.6340718269348145</x:v>
      </x:c>
      <x:c r="M12" s="2" t="str">
        <x:f>M30</x:f>
        <x:v>专家数整除；未实机验证</x:v>
      </x:c>
    </x:row>
    <x:row r="13" ht="25" customHeight="1">
      <x:c r="A13" s="2" t="str">
        <x:f>A31</x:f>
        <x:v>KimiK3</x:v>
      </x:c>
      <x:c r="B13" s="2" t="n">
        <x:f>B31</x:f>
        <x:v>256</x:v>
      </x:c>
      <x:c r="C13" s="2" t="n">
        <x:f>C31</x:f>
        <x:v>8</x:v>
      </x:c>
      <x:c r="D13" s="2" t="n">
        <x:f>D31</x:f>
        <x:v>32</x:v>
      </x:c>
      <x:c r="E13" s="2" t="n">
        <x:f>E31</x:f>
        <x:v>8</x:v>
      </x:c>
      <x:c r="F13" s="2" t="n">
        <x:f>F31</x:f>
        <x:v>32</x:v>
      </x:c>
      <x:c r="G13" s="8" t="n">
        <x:f>'EP通信'!K17*B13</x:f>
        <x:v>524288</x:v>
      </x:c>
      <x:c r="H13" s="8" t="n">
        <x:f>'EP通信'!L17*B13</x:f>
        <x:v>4096</x:v>
      </x:c>
      <x:c r="I13" s="9" t="n">
        <x:f>'EP通信'!F31</x:f>
        <x:v>20550.41015625</x:v>
      </x:c>
      <x:c r="J13" s="9" t="n">
        <x:f>'EP通信'!K31</x:f>
        <x:v>166.99356079101562</x:v>
      </x:c>
      <x:c r="K13" s="9" t="n">
        <x:f>I13/B13</x:f>
        <x:v>80.27503967285156</x:v>
      </x:c>
      <x:c r="L13" s="9" t="n">
        <x:f>J13/B13</x:f>
        <x:v>0.6523185968399048</x:v>
      </x:c>
      <x:c r="M13" s="2" t="str">
        <x:f>M31</x:f>
        <x:v>需补齐128槽并验证EPLB</x:v>
      </x:c>
    </x:row>
    <x:row r="14" ht="25" customHeight="1">
      <x:c r="A14" s="2" t="str">
        <x:f>A32</x:f>
        <x:v>Qwen3.8 2.4T</x:v>
      </x:c>
      <x:c r="B14" s="2" t="n">
        <x:f>B32</x:f>
        <x:v>32</x:v>
      </x:c>
      <x:c r="C14" s="2" t="n">
        <x:f>C32</x:f>
        <x:v>8</x:v>
      </x:c>
      <x:c r="D14" s="2" t="n">
        <x:f>D32</x:f>
        <x:v>4</x:v>
      </x:c>
      <x:c r="E14" s="2" t="n">
        <x:f>E32</x:f>
        <x:v>8</x:v>
      </x:c>
      <x:c r="F14" s="2" t="n">
        <x:f>F32</x:f>
        <x:v>4</x:v>
      </x:c>
      <x:c r="G14" s="8" t="n">
        <x:f>'EP通信'!K18*B14</x:f>
        <x:v>65536</x:v>
      </x:c>
      <x:c r="H14" s="8" t="n">
        <x:f>'EP通信'!L18*B14</x:f>
        <x:v>512</x:v>
      </x:c>
      <x:c r="I14" s="9" t="n">
        <x:f>'EP通信'!F32</x:f>
        <x:v>1782.674072265625</x:v>
      </x:c>
      <x:c r="J14" s="9" t="n">
        <x:f>'EP通信'!K32</x:f>
        <x:v>14.635669708251953</x:v>
      </x:c>
      <x:c r="K14" s="9" t="n">
        <x:f>I14/B14</x:f>
        <x:v>55.70856475830078</x:v>
      </x:c>
      <x:c r="L14" s="9" t="n">
        <x:f>J14/B14</x:f>
        <x:v>0.45736467838287354</x:v>
      </x:c>
      <x:c r="M14" s="2" t="str">
        <x:f>M32</x:f>
        <x:v>专家数整除；未实机验证</x:v>
      </x:c>
    </x:row>
    <x:row r="15" ht="25" customHeight="1">
      <x:c r="A15" s="2" t="str">
        <x:f>A33</x:f>
        <x:v>Qwen3.8 2.4T</x:v>
      </x:c>
      <x:c r="B15" s="2" t="n">
        <x:f>B33</x:f>
        <x:v>256</x:v>
      </x:c>
      <x:c r="C15" s="2" t="n">
        <x:f>C33</x:f>
        <x:v>8</x:v>
      </x:c>
      <x:c r="D15" s="2" t="n">
        <x:f>D33</x:f>
        <x:v>32</x:v>
      </x:c>
      <x:c r="E15" s="2" t="n">
        <x:f>E33</x:f>
        <x:v>8</x:v>
      </x:c>
      <x:c r="F15" s="2" t="n">
        <x:f>F33</x:f>
        <x:v>32</x:v>
      </x:c>
      <x:c r="G15" s="8" t="n">
        <x:f>'EP通信'!K19*B15</x:f>
        <x:v>524288</x:v>
      </x:c>
      <x:c r="H15" s="8" t="n">
        <x:f>'EP通信'!L19*B15</x:f>
        <x:v>4096</x:v>
      </x:c>
      <x:c r="I15" s="9" t="n">
        <x:f>'EP通信'!F33</x:f>
        <x:v>14673.955078125</x:v>
      </x:c>
      <x:c r="J15" s="9" t="n">
        <x:f>'EP通信'!K33</x:f>
        <x:v>120.39018630981445</x:v>
      </x:c>
      <x:c r="K15" s="9" t="n">
        <x:f>I15/B15</x:f>
        <x:v>57.32013702392578</x:v>
      </x:c>
      <x:c r="L15" s="9" t="n">
        <x:f>J15/B15</x:f>
        <x:v>0.4702741652727127</x:v>
      </x:c>
      <x:c r="M15" s="2" t="str">
        <x:f>M33</x:f>
        <x:v>专家数整除；未实机验证</x:v>
      </x:c>
    </x:row>
    <x:row r="16" ht="25" customHeight="1">
      <x:c r="A16" s="2" t="str">
        <x:f>A34</x:f>
        <x:v>DS V4.1 Flash</x:v>
      </x:c>
      <x:c r="B16" s="2" t="n">
        <x:f>B34</x:f>
        <x:v>32</x:v>
      </x:c>
      <x:c r="C16" s="2" t="n">
        <x:f>C34</x:f>
        <x:v>8</x:v>
      </x:c>
      <x:c r="D16" s="2" t="n">
        <x:f>D34</x:f>
        <x:v>4</x:v>
      </x:c>
      <x:c r="E16" s="2" t="n">
        <x:f>E34</x:f>
        <x:v>1</x:v>
      </x:c>
      <x:c r="F16" s="2" t="n">
        <x:f>F34</x:f>
        <x:v>32</x:v>
      </x:c>
      <x:c r="G16" s="8" t="n">
        <x:f>'EP通信'!K20*B16</x:f>
        <x:v>65536</x:v>
      </x:c>
      <x:c r="H16" s="8" t="n">
        <x:f>'EP通信'!L20*B16</x:f>
        <x:v>4096</x:v>
      </x:c>
      <x:c r="I16" s="9" t="n">
        <x:f>'EP通信'!F34</x:f>
        <x:v>290.6817626953125</x:v>
      </x:c>
      <x:c r="J16" s="9" t="n">
        <x:f>'EP通信'!K34</x:f>
        <x:v>19.114837646484375</x:v>
      </x:c>
      <x:c r="K16" s="9" t="n">
        <x:f>I16/B16</x:f>
        <x:v>9.083805084228516</x:v>
      </x:c>
      <x:c r="L16" s="9" t="n">
        <x:f>J16/B16</x:f>
        <x:v>0.5973386764526367</x:v>
      </x:c>
      <x:c r="M16" s="2" t="str">
        <x:f>M34</x:f>
        <x:v>取为规划值；迁移未支持</x:v>
      </x:c>
    </x:row>
    <x:row r="17" ht="25" customHeight="1">
      <x:c r="A17" s="2" t="str">
        <x:f>A35</x:f>
        <x:v>DS V4.1 Flash</x:v>
      </x:c>
      <x:c r="B17" s="2" t="n">
        <x:f>B35</x:f>
        <x:v>256</x:v>
      </x:c>
      <x:c r="C17" s="2" t="n">
        <x:f>C35</x:f>
        <x:v>8</x:v>
      </x:c>
      <x:c r="D17" s="2" t="n">
        <x:f>D35</x:f>
        <x:v>32</x:v>
      </x:c>
      <x:c r="E17" s="2" t="n">
        <x:f>E35</x:f>
        <x:v>1</x:v>
      </x:c>
      <x:c r="F17" s="2" t="n">
        <x:f>F35</x:f>
        <x:v>256</x:v>
      </x:c>
      <x:c r="G17" s="8" t="n">
        <x:f>'EP通信'!K21*B17</x:f>
        <x:v>524288</x:v>
      </x:c>
      <x:c r="H17" s="8" t="n">
        <x:f>'EP通信'!L21*B17</x:f>
        <x:v>32768</x:v>
      </x:c>
      <x:c r="I17" s="9" t="n">
        <x:f>'EP通信'!F35</x:f>
        <x:v>2395.60546875</x:v>
      </x:c>
      <x:c r="J17" s="9" t="n">
        <x:f>'EP通信'!K35</x:f>
        <x:v>157.27386474609375</x:v>
      </x:c>
      <x:c r="K17" s="9" t="n">
        <x:f>I17/B17</x:f>
        <x:v>9.357833862304688</x:v>
      </x:c>
      <x:c r="L17" s="9" t="n">
        <x:f>J17/B17</x:f>
        <x:v>0.6143510341644287</x:v>
      </x:c>
      <x:c r="M17" s="2" t="str">
        <x:f>M35</x:f>
        <x:v>补128槽并验证；取为规划值</x:v>
      </x:c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5" customHeight="1">
      <x:c r="A20" s="10" t="str">
        <x:v>配套 KV 存取 · 每请求 / 每 P DP 批 / P 整组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5" customHeight="1">
      <x:c r="A21" s="2" t="str">
        <x:v>单位 GiB。存＝生成 KV 行＋最终辅助状态；取＝P→D 张量字节。V4.1 的取仅为规划值，main 未支持迁移。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40" customHeight="1">
      <x:c r="A23" s="7" t="str">
        <x:v>模型</x:v>
      </x:c>
      <x:c r="B23" s="7" t="str">
        <x:v>EP</x:v>
      </x:c>
      <x:c r="C23" s="7" t="str">
        <x:v>P TP</x:v>
      </x:c>
      <x:c r="D23" s="7" t="str">
        <x:v>P DP</x:v>
      </x:c>
      <x:c r="E23" s="7" t="str">
        <x:v>D TP</x:v>
      </x:c>
      <x:c r="F23" s="7" t="str">
        <x:v>D DP</x:v>
      </x:c>
      <x:c r="G23" s="7" t="str">
        <x:v>存/请求</x:v>
      </x:c>
      <x:c r="H23" s="7" t="str">
        <x:v>取或规划取/请求</x:v>
      </x:c>
      <x:c r="I23" s="7" t="str">
        <x:v>存/P DP批</x:v>
      </x:c>
      <x:c r="J23" s="7" t="str">
        <x:v>取或规划取/批</x:v>
      </x:c>
      <x:c r="K23" s="7" t="str">
        <x:v>存/P整组</x:v>
      </x:c>
      <x:c r="L23" s="7" t="str">
        <x:v>取或规划取/整组</x:v>
      </x:c>
      <x:c r="M23" s="7" t="str">
        <x:v>部署 / 迁移条件</x:v>
      </x:c>
    </x:row>
    <x:row r="24" ht="25" customHeight="1">
      <x:c r="A24" s="2" t="str">
        <x:f>'EP通信'!A10</x:f>
        <x:v>DS V4 10T</x:v>
      </x:c>
      <x:c r="B24" s="2" t="n">
        <x:f>'EP通信'!B10</x:f>
        <x:v>32</x:v>
      </x:c>
      <x:c r="C24" s="2" t="n">
        <x:f>'EP通信'!I10</x:f>
        <x:v>8</x:v>
      </x:c>
      <x:c r="D24" s="2" t="n">
        <x:f>B24/C24</x:f>
        <x:v>4</x:v>
      </x:c>
      <x:c r="E24" s="2" t="n">
        <x:f>'EP通信'!J10</x:f>
        <x:v>1</x:v>
      </x:c>
      <x:c r="F24" s="2" t="n">
        <x:f>B24/E24</x:f>
        <x:v>32</x:v>
      </x:c>
      <x:c r="G24" s="9" t="n">
        <x:f>'KV明细'!J16</x:f>
        <x:v>139.52711632847786</x:v>
      </x:c>
      <x:c r="H24" s="9" t="n">
        <x:f>'KV明细'!L16</x:f>
        <x:v>2.21197509765625</x:v>
      </x:c>
      <x:c r="I24" s="9" t="n">
        <x:f>G24*'KV明细'!$K$5</x:f>
        <x:v>2232.4338612556458</x:v>
      </x:c>
      <x:c r="J24" s="9" t="n">
        <x:f>H24*'KV明细'!$K$5</x:f>
        <x:v>35.3916015625</x:v>
      </x:c>
      <x:c r="K24" s="9" t="n">
        <x:f>I24*D24</x:f>
        <x:v>8929.735445022583</x:v>
      </x:c>
      <x:c r="L24" s="9" t="n">
        <x:f>J24*D24</x:f>
        <x:v>141.56640625</x:v>
      </x:c>
      <x:c r="M24" s="2" t="str">
        <x:f>IF('EP通信'!H10&gt;0,"需补齐128槽并验证EPLB","专家数整除；未实机验证")</x:f>
        <x:v>专家数整除；未实机验证</x:v>
      </x:c>
    </x:row>
    <x:row r="25" ht="25" customHeight="1">
      <x:c r="A25" s="2" t="str">
        <x:f>'EP通信'!A11</x:f>
        <x:v>DS V4 10T</x:v>
      </x:c>
      <x:c r="B25" s="2" t="n">
        <x:f>'EP通信'!B11</x:f>
        <x:v>256</x:v>
      </x:c>
      <x:c r="C25" s="2" t="n">
        <x:f>'EP通信'!I11</x:f>
        <x:v>8</x:v>
      </x:c>
      <x:c r="D25" s="2" t="n">
        <x:f>B25/C25</x:f>
        <x:v>32</x:v>
      </x:c>
      <x:c r="E25" s="2" t="n">
        <x:f>'EP通信'!J11</x:f>
        <x:v>1</x:v>
      </x:c>
      <x:c r="F25" s="2" t="n">
        <x:f>B25/E25</x:f>
        <x:v>256</x:v>
      </x:c>
      <x:c r="G25" s="9" t="n">
        <x:f>'KV明细'!J16</x:f>
        <x:v>139.52711632847786</x:v>
      </x:c>
      <x:c r="H25" s="9" t="n">
        <x:f>'KV明细'!L16</x:f>
        <x:v>2.21197509765625</x:v>
      </x:c>
      <x:c r="I25" s="9" t="n">
        <x:f>G25*'KV明细'!$K$5</x:f>
        <x:v>2232.4338612556458</x:v>
      </x:c>
      <x:c r="J25" s="9" t="n">
        <x:f>H25*'KV明细'!$K$5</x:f>
        <x:v>35.3916015625</x:v>
      </x:c>
      <x:c r="K25" s="9" t="n">
        <x:f>I25*D25</x:f>
        <x:v>71437.88356018066</x:v>
      </x:c>
      <x:c r="L25" s="9" t="n">
        <x:f>J25*D25</x:f>
        <x:v>1132.53125</x:v>
      </x:c>
      <x:c r="M25" s="2" t="str">
        <x:f>IF('EP通信'!H11&gt;0,"需补齐128槽并验证EPLB","专家数整除；未实机验证")</x:f>
        <x:v>需补齐128槽并验证EPLB</x:v>
      </x:c>
    </x:row>
    <x:row r="26" ht="25" customHeight="1">
      <x:c r="A26" s="2" t="str">
        <x:f>'EP通信'!A12</x:f>
        <x:v>DS V4 Pro</x:v>
      </x:c>
      <x:c r="B26" s="2" t="n">
        <x:f>'EP通信'!B12</x:f>
        <x:v>32</x:v>
      </x:c>
      <x:c r="C26" s="2" t="n">
        <x:f>'EP通信'!I12</x:f>
        <x:v>8</x:v>
      </x:c>
      <x:c r="D26" s="2" t="n">
        <x:f>B26/C26</x:f>
        <x:v>4</x:v>
      </x:c>
      <x:c r="E26" s="2" t="n">
        <x:f>'EP通信'!J12</x:f>
        <x:v>1</x:v>
      </x:c>
      <x:c r="F26" s="2" t="n">
        <x:f>B26/E26</x:f>
        <x:v>32</x:v>
      </x:c>
      <x:c r="G26" s="9" t="n">
        <x:f>'KV明细'!J25</x:f>
        <x:v>139.52711632847786</x:v>
      </x:c>
      <x:c r="H26" s="9" t="n">
        <x:f>'KV明细'!L25</x:f>
        <x:v>2.21197509765625</x:v>
      </x:c>
      <x:c r="I26" s="9" t="n">
        <x:f>G26*'KV明细'!$K$5</x:f>
        <x:v>2232.4338612556458</x:v>
      </x:c>
      <x:c r="J26" s="9" t="n">
        <x:f>H26*'KV明细'!$K$5</x:f>
        <x:v>35.3916015625</x:v>
      </x:c>
      <x:c r="K26" s="9" t="n">
        <x:f>I26*D26</x:f>
        <x:v>8929.735445022583</x:v>
      </x:c>
      <x:c r="L26" s="9" t="n">
        <x:f>J26*D26</x:f>
        <x:v>141.56640625</x:v>
      </x:c>
      <x:c r="M26" s="2" t="str">
        <x:f>IF('EP通信'!H12&gt;0,"需补齐128槽并验证EPLB","专家数整除；未实机验证")</x:f>
        <x:v>专家数整除；未实机验证</x:v>
      </x:c>
    </x:row>
    <x:row r="27" ht="25" customHeight="1">
      <x:c r="A27" s="2" t="str">
        <x:f>'EP通信'!A13</x:f>
        <x:v>DS V4 Pro</x:v>
      </x:c>
      <x:c r="B27" s="2" t="n">
        <x:f>'EP通信'!B13</x:f>
        <x:v>256</x:v>
      </x:c>
      <x:c r="C27" s="2" t="n">
        <x:f>'EP通信'!I13</x:f>
        <x:v>8</x:v>
      </x:c>
      <x:c r="D27" s="2" t="n">
        <x:f>B27/C27</x:f>
        <x:v>32</x:v>
      </x:c>
      <x:c r="E27" s="2" t="n">
        <x:f>'EP通信'!J13</x:f>
        <x:v>1</x:v>
      </x:c>
      <x:c r="F27" s="2" t="n">
        <x:f>B27/E27</x:f>
        <x:v>256</x:v>
      </x:c>
      <x:c r="G27" s="9" t="n">
        <x:f>'KV明细'!J25</x:f>
        <x:v>139.52711632847786</x:v>
      </x:c>
      <x:c r="H27" s="9" t="n">
        <x:f>'KV明细'!L25</x:f>
        <x:v>2.21197509765625</x:v>
      </x:c>
      <x:c r="I27" s="9" t="n">
        <x:f>G27*'KV明细'!$K$5</x:f>
        <x:v>2232.4338612556458</x:v>
      </x:c>
      <x:c r="J27" s="9" t="n">
        <x:f>H27*'KV明细'!$K$5</x:f>
        <x:v>35.3916015625</x:v>
      </x:c>
      <x:c r="K27" s="9" t="n">
        <x:f>I27*D27</x:f>
        <x:v>71437.88356018066</x:v>
      </x:c>
      <x:c r="L27" s="9" t="n">
        <x:f>J27*D27</x:f>
        <x:v>1132.53125</x:v>
      </x:c>
      <x:c r="M27" s="2" t="str">
        <x:f>IF('EP通信'!H13&gt;0,"需补齐128槽并验证EPLB","专家数整除；未实机验证")</x:f>
        <x:v>需补齐128槽并验证EPLB</x:v>
      </x:c>
    </x:row>
    <x:row r="28" ht="25" customHeight="1">
      <x:c r="A28" s="2" t="str">
        <x:f>'EP通信'!A14</x:f>
        <x:v>GLM5.3</x:v>
      </x:c>
      <x:c r="B28" s="2" t="n">
        <x:f>'EP通信'!B14</x:f>
        <x:v>32</x:v>
      </x:c>
      <x:c r="C28" s="2" t="n">
        <x:f>'EP通信'!I14</x:f>
        <x:v>8</x:v>
      </x:c>
      <x:c r="D28" s="2" t="n">
        <x:f>B28/C28</x:f>
        <x:v>4</x:v>
      </x:c>
      <x:c r="E28" s="2" t="n">
        <x:f>'EP通信'!J14</x:f>
        <x:v>1</x:v>
      </x:c>
      <x:c r="F28" s="2" t="n">
        <x:f>B28/E28</x:f>
        <x:v>32</x:v>
      </x:c>
      <x:c r="G28" s="9" t="n">
        <x:f>'KV明细'!J29</x:f>
        <x:v>186</x:v>
      </x:c>
      <x:c r="H28" s="9" t="n">
        <x:f>'KV明细'!L29</x:f>
        <x:v>23.25</x:v>
      </x:c>
      <x:c r="I28" s="9" t="n">
        <x:f>G28*'KV明细'!$K$5</x:f>
        <x:v>2976</x:v>
      </x:c>
      <x:c r="J28" s="9" t="n">
        <x:f>H28*'KV明细'!$K$5</x:f>
        <x:v>372</x:v>
      </x:c>
      <x:c r="K28" s="9" t="n">
        <x:f>I28*D28</x:f>
        <x:v>11904</x:v>
      </x:c>
      <x:c r="L28" s="9" t="n">
        <x:f>J28*D28</x:f>
        <x:v>1488</x:v>
      </x:c>
      <x:c r="M28" s="2" t="str">
        <x:f>IF('EP通信'!H14&gt;0,"需补齐128槽并验证EPLB","专家数整除；未实机验证")</x:f>
        <x:v>专家数整除；未实机验证</x:v>
      </x:c>
    </x:row>
    <x:row r="29" ht="25" customHeight="1">
      <x:c r="A29" s="2" t="str">
        <x:f>'EP通信'!A15</x:f>
        <x:v>GLM5.3</x:v>
      </x:c>
      <x:c r="B29" s="2" t="n">
        <x:f>'EP通信'!B15</x:f>
        <x:v>256</x:v>
      </x:c>
      <x:c r="C29" s="2" t="n">
        <x:f>'EP通信'!I15</x:f>
        <x:v>8</x:v>
      </x:c>
      <x:c r="D29" s="2" t="n">
        <x:f>B29/C29</x:f>
        <x:v>32</x:v>
      </x:c>
      <x:c r="E29" s="2" t="n">
        <x:f>'EP通信'!J15</x:f>
        <x:v>1</x:v>
      </x:c>
      <x:c r="F29" s="2" t="n">
        <x:f>B29/E29</x:f>
        <x:v>256</x:v>
      </x:c>
      <x:c r="G29" s="9" t="n">
        <x:f>'KV明细'!J29</x:f>
        <x:v>186</x:v>
      </x:c>
      <x:c r="H29" s="9" t="n">
        <x:f>'KV明细'!L29</x:f>
        <x:v>23.25</x:v>
      </x:c>
      <x:c r="I29" s="9" t="n">
        <x:f>G29*'KV明细'!$K$5</x:f>
        <x:v>2976</x:v>
      </x:c>
      <x:c r="J29" s="9" t="n">
        <x:f>H29*'KV明细'!$K$5</x:f>
        <x:v>372</x:v>
      </x:c>
      <x:c r="K29" s="9" t="n">
        <x:f>I29*D29</x:f>
        <x:v>95232</x:v>
      </x:c>
      <x:c r="L29" s="9" t="n">
        <x:f>J29*D29</x:f>
        <x:v>11904</x:v>
      </x:c>
      <x:c r="M29" s="2" t="str">
        <x:f>IF('EP通信'!H15&gt;0,"需补齐128槽并验证EPLB","专家数整除；未实机验证")</x:f>
        <x:v>专家数整除；未实机验证</x:v>
      </x:c>
    </x:row>
    <x:row r="30" ht="25" customHeight="1">
      <x:c r="A30" s="2" t="str">
        <x:f>'EP通信'!A16</x:f>
        <x:v>KimiK3</x:v>
      </x:c>
      <x:c r="B30" s="2" t="n">
        <x:f>'EP通信'!B16</x:f>
        <x:v>32</x:v>
      </x:c>
      <x:c r="C30" s="2" t="n">
        <x:f>'EP通信'!I16</x:f>
        <x:v>8</x:v>
      </x:c>
      <x:c r="D30" s="2" t="n">
        <x:f>B30/C30</x:f>
        <x:v>4</x:v>
      </x:c>
      <x:c r="E30" s="2" t="n">
        <x:f>'EP通信'!J16</x:f>
        <x:v>8</x:v>
      </x:c>
      <x:c r="F30" s="2" t="n">
        <x:f>B30/E30</x:f>
        <x:v>4</x:v>
      </x:c>
      <x:c r="G30" s="9" t="n">
        <x:f>'KV明细'!J34</x:f>
        <x:v>54.418304443359375</x:v>
      </x:c>
      <x:c r="H30" s="9" t="n">
        <x:f>'KV明细'!L34</x:f>
        <x:v>54.45167541503906</x:v>
      </x:c>
      <x:c r="I30" s="9" t="n">
        <x:f>G30*'KV明细'!$K$5</x:f>
        <x:v>870.69287109375</x:v>
      </x:c>
      <x:c r="J30" s="9" t="n">
        <x:f>H30*'KV明细'!$K$5</x:f>
        <x:v>871.226806640625</x:v>
      </x:c>
      <x:c r="K30" s="9" t="n">
        <x:f>I30*D30</x:f>
        <x:v>3482.771484375</x:v>
      </x:c>
      <x:c r="L30" s="9" t="n">
        <x:f>J30*D30</x:f>
        <x:v>3484.9072265625</x:v>
      </x:c>
      <x:c r="M30" s="2" t="str">
        <x:f>IF('EP通信'!H16&gt;0,"需补齐128槽并验证EPLB","专家数整除；未实机验证")</x:f>
        <x:v>专家数整除；未实机验证</x:v>
      </x:c>
    </x:row>
    <x:row r="31" ht="25" customHeight="1">
      <x:c r="A31" s="2" t="str">
        <x:f>'EP通信'!A17</x:f>
        <x:v>KimiK3</x:v>
      </x:c>
      <x:c r="B31" s="2" t="n">
        <x:f>'EP通信'!B17</x:f>
        <x:v>256</x:v>
      </x:c>
      <x:c r="C31" s="2" t="n">
        <x:f>'EP通信'!I17</x:f>
        <x:v>8</x:v>
      </x:c>
      <x:c r="D31" s="2" t="n">
        <x:f>B31/C31</x:f>
        <x:v>32</x:v>
      </x:c>
      <x:c r="E31" s="2" t="n">
        <x:f>'EP通信'!J17</x:f>
        <x:v>8</x:v>
      </x:c>
      <x:c r="F31" s="2" t="n">
        <x:f>B31/E31</x:f>
        <x:v>32</x:v>
      </x:c>
      <x:c r="G31" s="9" t="n">
        <x:f>'KV明细'!J34</x:f>
        <x:v>54.418304443359375</x:v>
      </x:c>
      <x:c r="H31" s="9" t="n">
        <x:f>'KV明细'!L34</x:f>
        <x:v>54.45167541503906</x:v>
      </x:c>
      <x:c r="I31" s="9" t="n">
        <x:f>G31*'KV明细'!$K$5</x:f>
        <x:v>870.69287109375</x:v>
      </x:c>
      <x:c r="J31" s="9" t="n">
        <x:f>H31*'KV明细'!$K$5</x:f>
        <x:v>871.226806640625</x:v>
      </x:c>
      <x:c r="K31" s="9" t="n">
        <x:f>I31*D31</x:f>
        <x:v>27862.171875</x:v>
      </x:c>
      <x:c r="L31" s="9" t="n">
        <x:f>J31*D31</x:f>
        <x:v>27879.2578125</x:v>
      </x:c>
      <x:c r="M31" s="2" t="str">
        <x:f>IF('EP通信'!H17&gt;0,"需补齐128槽并验证EPLB","专家数整除；未实机验证")</x:f>
        <x:v>需补齐128槽并验证EPLB</x:v>
      </x:c>
    </x:row>
    <x:row r="32" ht="25" customHeight="1">
      <x:c r="A32" s="2" t="str">
        <x:f>'EP通信'!A18</x:f>
        <x:v>Qwen3.8 2.4T</x:v>
      </x:c>
      <x:c r="B32" s="2" t="n">
        <x:f>'EP通信'!B18</x:f>
        <x:v>32</x:v>
      </x:c>
      <x:c r="C32" s="2" t="n">
        <x:f>'EP通信'!I18</x:f>
        <x:v>8</x:v>
      </x:c>
      <x:c r="D32" s="2" t="n">
        <x:f>B32/C32</x:f>
        <x:v>4</x:v>
      </x:c>
      <x:c r="E32" s="2" t="n">
        <x:f>'EP通信'!J18</x:f>
        <x:v>8</x:v>
      </x:c>
      <x:c r="F32" s="2" t="n">
        <x:f>B32/E32</x:f>
        <x:v>4</x:v>
      </x:c>
      <x:c r="G32" s="9" t="n">
        <x:f>'KV明细'!J39</x:f>
        <x:v>46.546783447265625</x:v>
      </x:c>
      <x:c r="H32" s="9" t="n">
        <x:f>'KV明细'!L39</x:f>
        <x:v>46.56538391113281</x:v>
      </x:c>
      <x:c r="I32" s="9" t="n">
        <x:f>G32*'KV明细'!$K$5</x:f>
        <x:v>744.74853515625</x:v>
      </x:c>
      <x:c r="J32" s="9" t="n">
        <x:f>H32*'KV明细'!$K$5</x:f>
        <x:v>745.046142578125</x:v>
      </x:c>
      <x:c r="K32" s="9" t="n">
        <x:f>I32*D32</x:f>
        <x:v>2978.994140625</x:v>
      </x:c>
      <x:c r="L32" s="9" t="n">
        <x:f>J32*D32</x:f>
        <x:v>2980.1845703125</x:v>
      </x:c>
      <x:c r="M32" s="2" t="str">
        <x:f>IF('EP通信'!H18&gt;0,"需补齐128槽并验证EPLB","专家数整除；未实机验证")</x:f>
        <x:v>专家数整除；未实机验证</x:v>
      </x:c>
    </x:row>
    <x:row r="33" ht="25" customHeight="1">
      <x:c r="A33" s="2" t="str">
        <x:f>'EP通信'!A19</x:f>
        <x:v>Qwen3.8 2.4T</x:v>
      </x:c>
      <x:c r="B33" s="2" t="n">
        <x:f>'EP通信'!B19</x:f>
        <x:v>256</x:v>
      </x:c>
      <x:c r="C33" s="2" t="n">
        <x:f>'EP通信'!I19</x:f>
        <x:v>8</x:v>
      </x:c>
      <x:c r="D33" s="2" t="n">
        <x:f>B33/C33</x:f>
        <x:v>32</x:v>
      </x:c>
      <x:c r="E33" s="2" t="n">
        <x:f>'EP通信'!J19</x:f>
        <x:v>8</x:v>
      </x:c>
      <x:c r="F33" s="2" t="n">
        <x:f>B33/E33</x:f>
        <x:v>32</x:v>
      </x:c>
      <x:c r="G33" s="9" t="n">
        <x:f>'KV明细'!J39</x:f>
        <x:v>46.546783447265625</x:v>
      </x:c>
      <x:c r="H33" s="9" t="n">
        <x:f>'KV明细'!L39</x:f>
        <x:v>46.56538391113281</x:v>
      </x:c>
      <x:c r="I33" s="9" t="n">
        <x:f>G33*'KV明细'!$K$5</x:f>
        <x:v>744.74853515625</x:v>
      </x:c>
      <x:c r="J33" s="9" t="n">
        <x:f>H33*'KV明细'!$K$5</x:f>
        <x:v>745.046142578125</x:v>
      </x:c>
      <x:c r="K33" s="9" t="n">
        <x:f>I33*D33</x:f>
        <x:v>23831.953125</x:v>
      </x:c>
      <x:c r="L33" s="9" t="n">
        <x:f>J33*D33</x:f>
        <x:v>23841.4765625</x:v>
      </x:c>
      <x:c r="M33" s="2" t="str">
        <x:f>IF('EP通信'!H19&gt;0,"需补齐128槽并验证EPLB","专家数整除；未实机验证")</x:f>
        <x:v>专家数整除；未实机验证</x:v>
      </x:c>
    </x:row>
    <x:row r="34" ht="25" customHeight="1">
      <x:c r="A34" s="2" t="str">
        <x:f>'EP通信'!A20</x:f>
        <x:v>DS V4.1 Flash</x:v>
      </x:c>
      <x:c r="B34" s="2" t="n">
        <x:f>'EP通信'!B20</x:f>
        <x:v>32</x:v>
      </x:c>
      <x:c r="C34" s="2" t="n">
        <x:f>'EP通信'!I20</x:f>
        <x:v>8</x:v>
      </x:c>
      <x:c r="D34" s="2" t="n">
        <x:f>B34/C34</x:f>
        <x:v>4</x:v>
      </x:c>
      <x:c r="E34" s="2" t="n">
        <x:f>'EP通信'!J20</x:f>
        <x:v>1</x:v>
      </x:c>
      <x:c r="F34" s="2" t="n">
        <x:f>B34/E34</x:f>
        <x:v>32</x:v>
      </x:c>
      <x:c r="G34" s="9" t="n">
        <x:f>'KV明细'!J47</x:f>
        <x:v>85.6376953125</x:v>
      </x:c>
      <x:c r="H34" s="16" t="n">
        <x:f>'KV明细'!L47</x:f>
        <x:v>0.7144775390625</x:v>
      </x:c>
      <x:c r="I34" s="9" t="n">
        <x:f>G34*'KV明细'!$K$5</x:f>
        <x:v>1370.203125</x:v>
      </x:c>
      <x:c r="J34" s="16" t="n">
        <x:f>H34*'KV明细'!$K$5</x:f>
        <x:v>11.431640625</x:v>
      </x:c>
      <x:c r="K34" s="9" t="n">
        <x:f>I34*D34</x:f>
        <x:v>5480.8125</x:v>
      </x:c>
      <x:c r="L34" s="16" t="n">
        <x:f>J34*D34</x:f>
        <x:v>45.7265625</x:v>
      </x:c>
      <x:c r="M34" s="2" t="str">
        <x:f>IF('EP通信'!H20&gt;0,"补128槽并验证；取为规划值","取为规划值；迁移未支持")</x:f>
        <x:v>取为规划值；迁移未支持</x:v>
      </x:c>
    </x:row>
    <x:row r="35" ht="25" customHeight="1">
      <x:c r="A35" s="2" t="str">
        <x:f>'EP通信'!A21</x:f>
        <x:v>DS V4.1 Flash</x:v>
      </x:c>
      <x:c r="B35" s="2" t="n">
        <x:f>'EP通信'!B21</x:f>
        <x:v>256</x:v>
      </x:c>
      <x:c r="C35" s="2" t="n">
        <x:f>'EP通信'!I21</x:f>
        <x:v>8</x:v>
      </x:c>
      <x:c r="D35" s="2" t="n">
        <x:f>B35/C35</x:f>
        <x:v>32</x:v>
      </x:c>
      <x:c r="E35" s="2" t="n">
        <x:f>'EP通信'!J21</x:f>
        <x:v>1</x:v>
      </x:c>
      <x:c r="F35" s="2" t="n">
        <x:f>B35/E35</x:f>
        <x:v>256</x:v>
      </x:c>
      <x:c r="G35" s="9" t="n">
        <x:f>'KV明细'!J47</x:f>
        <x:v>85.6376953125</x:v>
      </x:c>
      <x:c r="H35" s="16" t="n">
        <x:f>'KV明细'!L47</x:f>
        <x:v>0.7144775390625</x:v>
      </x:c>
      <x:c r="I35" s="9" t="n">
        <x:f>G35*'KV明细'!$K$5</x:f>
        <x:v>1370.203125</x:v>
      </x:c>
      <x:c r="J35" s="16" t="n">
        <x:f>H35*'KV明细'!$K$5</x:f>
        <x:v>11.431640625</x:v>
      </x:c>
      <x:c r="K35" s="9" t="n">
        <x:f>I35*D35</x:f>
        <x:v>43846.5</x:v>
      </x:c>
      <x:c r="L35" s="16" t="n">
        <x:f>J35*D35</x:f>
        <x:v>365.8125</x:v>
      </x:c>
      <x:c r="M35" s="2" t="str">
        <x:f>IF('EP通信'!H21&gt;0,"补128槽并验证；取为规划值","取为规划值；迁移未支持")</x:f>
        <x:v>补128槽并验证；取为规划值</x:v>
      </x:c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5" customHeight="1">
      <x:c r="A38" s="2" t="str">
        <x:v>EP256 条件：DS V4 / V4.1 / Kimi 需补齐 128 个物理专家槽并验证 EPLB；未改模型 checkpoint。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5" customHeight="1">
      <x:c r="A40" s="2" t="str">
        <x:f>"P 整组批次：EP32 为 "&amp;'KV明细'!$K$5*4&amp;" 请求，EP256 为 "&amp;'KV明细'!$K$5*32&amp;" 请求；单请求 KV 不随 EP 改变。"</x:f>
        <x:v>P 整组批次：EP32 为 64 请求，EP256 为 512 请求；单请求 KV 不随 EP 改变。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5" customHeight="1">
      <x:c r="A42" s="2" t="str">
        <x:v>DS 存量含整个 prompt 生成的 SWA 行；阶段末常驻量见 KV 明细，不能按生成量配 HBM。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5" customHeight="1">
      <x:c r="A44" s="2" t="str">
        <x:v>V4.1：完成 S tokens 后交接；长 KV / Indexer 只计 4 个源层，SWA 尾块和 32 行环形页按规划传输。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5" customHeight="1">
      <x:c r="A46" s="2" t="str">
        <x:v>MC2 未计轮询读、重试和物理协议开销；V4.1 Engram 通信另见模型分析，未叠加进 MoE EP。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5" customHeight="1">
      <x:c r="A48" s="2" t="str">
        <x:v>黄色输入可编辑；主干层，不含 draft/MTP；参数、公式与源码说明见明细及 analysis/KV-EP-SPECS.md。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5" customHeight="1">
      <x:c r="A51" s="10" t="str">
        <x:v>PD 带宽争用：EP32 / EP256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25" customHeight="1">
      <x:c r="A52" s="2" t="str">
        <x:v>只计 MoE EP 带宽项，单位 ms/Step/Rank。100 GB/s 是归一化示例；全组字节先除 EP，不能直接除单卡带宽。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40" customHeight="1">
      <x:c r="A54" s="39" t="str">
        <x:v>P GB/s</x:v>
      </x:c>
      <x:c r="B54" s="39" t="str">
        <x:v>输入</x:v>
      </x:c>
      <x:c r="C54" s="39" t="str">
        <x:v>D GB/s</x:v>
      </x:c>
      <x:c r="D54" s="39" t="str">
        <x:v>输入</x:v>
      </x:c>
      <x:c r="E54" s="39" t="str">
        <x:v>带宽降幅</x:v>
      </x:c>
      <x:c r="F54" s="39" t="str">
        <x:v>输入</x:v>
      </x:c>
      <x:c r="G54" s="39" t="str">
        <x:v>争用覆盖率</x:v>
      </x:c>
      <x:c r="H54" s="39" t="str">
        <x:v>输入</x:v>
      </x:c>
      <x:c r="I54" s="39" t="str">
        <x:v>暴露系数</x:v>
      </x:c>
      <x:c r="J54" s="39" t="str">
        <x:v>输入</x:v>
      </x:c>
      <x:c r="K54" s="2"/>
      <x:c r="L54" s="2"/>
      <x:c r="M54" s="2"/>
      <x:c r="N54" s="2"/>
      <x:c r="O54" s="2"/>
    </x:row>
    <x:row r="55" ht="25" customHeight="1">
      <x:c r="A55" s="2"/>
      <x:c r="B55" s="40" t="n">
        <x:v>100</x:v>
      </x:c>
      <x:c r="C55" s="2"/>
      <x:c r="D55" s="40" t="n">
        <x:v>100</x:v>
      </x:c>
      <x:c r="E55" s="2"/>
      <x:c r="F55" s="41" t="n">
        <x:v>0.1</x:v>
      </x:c>
      <x:c r="G55" s="2"/>
      <x:c r="H55" s="41" t="n">
        <x:v>1</x:v>
      </x:c>
      <x:c r="I55" s="2"/>
      <x:c r="J55" s="41" t="n">
        <x:v>1</x:v>
      </x:c>
      <x:c r="K55" s="2"/>
      <x:c r="L55" s="2"/>
      <x:c r="M55" s="2"/>
      <x:c r="N55" s="2"/>
      <x:c r="O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40" customHeight="1">
      <x:c r="A57" s="39" t="str">
        <x:v>模型</x:v>
      </x:c>
      <x:c r="B57" s="39" t="str">
        <x:v>EP</x:v>
      </x:c>
      <x:c r="C57" s="39" t="str">
        <x:v>P基线通信 ms</x:v>
      </x:c>
      <x:c r="D57" s="39" t="str">
        <x:v>P争用后 ms</x:v>
      </x:c>
      <x:c r="E57" s="39" t="str">
        <x:v>P forward增量</x:v>
      </x:c>
      <x:c r="F57" s="39" t="str">
        <x:v>D基线通信 ms</x:v>
      </x:c>
      <x:c r="G57" s="39" t="str">
        <x:v>D争用后 ms</x:v>
      </x:c>
      <x:c r="H57" s="39" t="str">
        <x:v>D forward增量</x:v>
      </x:c>
      <x:c r="I57" s="39" t="str">
        <x:v>P基线FW ms输入</x:v>
      </x:c>
      <x:c r="J57" s="39" t="str">
        <x:v>P forward增幅</x:v>
      </x:c>
      <x:c r="K57" s="39" t="str">
        <x:v>D基线FW ms输入</x:v>
      </x:c>
      <x:c r="L57" s="39" t="str">
        <x:v>D forward增幅</x:v>
      </x:c>
      <x:c r="M57" s="39" t="str">
        <x:v>P带宽 GB/s 输入</x:v>
      </x:c>
      <x:c r="N57" s="39" t="str">
        <x:v>D带宽 GB/s 输入</x:v>
      </x:c>
      <x:c r="O57" s="39" t="str">
        <x:v>评估范围</x:v>
      </x:c>
    </x:row>
    <x:row r="58" ht="25" customHeight="1">
      <x:c r="A58" s="2" t="str">
        <x:f>A6</x:f>
        <x:v>DS V4 10T</x:v>
      </x:c>
      <x:c r="B58" s="2" t="n">
        <x:f>B6</x:f>
        <x:v>32</x:v>
      </x:c>
      <x:c r="C58" s="9" t="n">
        <x:f>IF(AND(ISNUMBER(M58),M58&gt;0,ISNUMBER(N58),N58&gt;0,ISNUMBER($F$55),$F$55&gt;=0,$F$55&lt;1,ISNUMBER($H$55),$H$55&gt;=0,$H$55&lt;=1,ISNUMBER($J$55),$J$55&gt;=0,$J$55&lt;=1),I6*2^30/B6/(M58*1e6),NA())</x:f>
        <x:v>208.22905344</x:v>
      </x:c>
      <x:c r="D58" s="9" t="n">
        <x:f>C58*(1+$H$55*$F$55/(1-$F$55))</x:f>
        <x:v>231.36561493333335</x:v>
      </x:c>
      <x:c r="E58" s="9" t="n">
        <x:f>(D58-C58)*$J$55</x:f>
        <x:v>23.136561493333346</x:v>
      </x:c>
      <x:c r="F58" s="9" t="n">
        <x:f>IF(AND(ISNUMBER(M58),M58&gt;0,ISNUMBER(N58),N58&gt;0,ISNUMBER($F$55),$F$55&gt;=0,$F$55&lt;1,ISNUMBER($H$55),$H$55&gt;=0,$H$55&lt;=1,ISNUMBER($J$55),$J$55&gt;=0,$J$55&lt;=1),J6*2^30/B6/(N58*1e6),NA())</x:f>
        <x:v>13.49901696</x:v>
      </x:c>
      <x:c r="G58" s="9" t="n">
        <x:f>F58*(1+$H$55*$F$55/(1-$F$55))</x:f>
        <x:v>14.998907733333334</x:v>
      </x:c>
      <x:c r="H58" s="9" t="n">
        <x:f>(G58-F58)*$J$55</x:f>
        <x:v>1.499890773333334</x:v>
      </x:c>
      <x:c r="I58" s="44"/>
      <x:c r="J58" s="35" t="str">
        <x:f>IF(AND(ISNUMBER(I58),I58&gt;0,I58&gt;=C58*$J$55),E58/I58,"")</x:f>
      </x:c>
      <x:c r="K58" s="44"/>
      <x:c r="L58" s="35" t="str">
        <x:f>IF(AND(ISNUMBER(K58),K58&gt;0,K58&gt;=F58*$J$55),H58/K58,"")</x:f>
      </x:c>
      <x:c r="M58" s="43" t="n">
        <x:f>$B$55</x:f>
        <x:v>100</x:v>
      </x:c>
      <x:c r="N58" s="43" t="n">
        <x:f>$D$55</x:f>
        <x:v>100</x:v>
      </x:c>
      <x:c r="O58" s="2" t="str">
        <x:v>仅EP；总耗时需实测基线</x:v>
      </x:c>
    </x:row>
    <x:row r="59" ht="25" customHeight="1">
      <x:c r="A59" s="2" t="str">
        <x:f>A7</x:f>
        <x:v>DS V4 10T</x:v>
      </x:c>
      <x:c r="B59" s="2" t="n">
        <x:f>B7</x:f>
        <x:v>256</x:v>
      </x:c>
      <x:c r="C59" s="9" t="n">
        <x:f>IF(AND(ISNUMBER(M59),M59&gt;0,ISNUMBER(N59),N59&gt;0,ISNUMBER($F$55),$F$55&gt;=0,$F$55&lt;1,ISNUMBER($H$55),$H$55&gt;=0,$H$55&lt;=1,ISNUMBER($J$55),$J$55&gt;=0,$J$55&lt;=1),I7*2^30/B7/(M59*1e6),NA())</x:f>
        <x:v>214.3951872</x:v>
      </x:c>
      <x:c r="D59" s="9" t="n">
        <x:f>C59*(1+$H$55*$F$55/(1-$F$55))</x:f>
        <x:v>238.21687466666668</x:v>
      </x:c>
      <x:c r="E59" s="9" t="n">
        <x:f>(D59-C59)*$J$55</x:f>
        <x:v>23.821687466666674</x:v>
      </x:c>
      <x:c r="F59" s="9" t="n">
        <x:f>IF(AND(ISNUMBER(M59),M59&gt;0,ISNUMBER(N59),N59&gt;0,ISNUMBER($F$55),$F$55&gt;=0,$F$55&lt;1,ISNUMBER($H$55),$H$55&gt;=0,$H$55&lt;=1,ISNUMBER($J$55),$J$55&gt;=0,$J$55&lt;=1),J7*2^30/B7/(N59*1e6),NA())</x:f>
        <x:v>13.8825264</x:v>
      </x:c>
      <x:c r="G59" s="9" t="n">
        <x:f>F59*(1+$H$55*$F$55/(1-$F$55))</x:f>
        <x:v>15.425029333333333</x:v>
      </x:c>
      <x:c r="H59" s="9" t="n">
        <x:f>(G59-F59)*$J$55</x:f>
        <x:v>1.542502933333333</x:v>
      </x:c>
      <x:c r="I59" s="44"/>
      <x:c r="J59" s="35" t="str">
        <x:f>IF(AND(ISNUMBER(I59),I59&gt;0,I59&gt;=C59*$J$55),E59/I59,"")</x:f>
      </x:c>
      <x:c r="K59" s="44"/>
      <x:c r="L59" s="35" t="str">
        <x:f>IF(AND(ISNUMBER(K59),K59&gt;0,K59&gt;=F59*$J$55),H59/K59,"")</x:f>
      </x:c>
      <x:c r="M59" s="43" t="n">
        <x:f>$B$55</x:f>
        <x:v>100</x:v>
      </x:c>
      <x:c r="N59" s="43" t="n">
        <x:f>$D$55</x:f>
        <x:v>100</x:v>
      </x:c>
      <x:c r="O59" s="2" t="str">
        <x:v>仅EP；总耗时需实测基线</x:v>
      </x:c>
    </x:row>
    <x:row r="60" ht="25" customHeight="1">
      <x:c r="A60" s="2" t="str">
        <x:f>A8</x:f>
        <x:v>DS V4 Pro</x:v>
      </x:c>
      <x:c r="B60" s="2" t="n">
        <x:f>B8</x:f>
        <x:v>32</x:v>
      </x:c>
      <x:c r="C60" s="9" t="n">
        <x:f>IF(AND(ISNUMBER(M60),M60&gt;0,ISNUMBER(N60),N60&gt;0,ISNUMBER($F$55),$F$55&gt;=0,$F$55&lt;1,ISNUMBER($H$55),$H$55&gt;=0,$H$55&lt;=1,ISNUMBER($J$55),$J$55&gt;=0,$J$55&lt;=1),I8*2^30/B8/(M60*1e6),NA())</x:f>
        <x:v>208.22905344</x:v>
      </x:c>
      <x:c r="D60" s="9" t="n">
        <x:f>C60*(1+$H$55*$F$55/(1-$F$55))</x:f>
        <x:v>231.36561493333335</x:v>
      </x:c>
      <x:c r="E60" s="9" t="n">
        <x:f>(D60-C60)*$J$55</x:f>
        <x:v>23.136561493333346</x:v>
      </x:c>
      <x:c r="F60" s="9" t="n">
        <x:f>IF(AND(ISNUMBER(M60),M60&gt;0,ISNUMBER(N60),N60&gt;0,ISNUMBER($F$55),$F$55&gt;=0,$F$55&lt;1,ISNUMBER($H$55),$H$55&gt;=0,$H$55&lt;=1,ISNUMBER($J$55),$J$55&gt;=0,$J$55&lt;=1),J8*2^30/B8/(N60*1e6),NA())</x:f>
        <x:v>13.49901696</x:v>
      </x:c>
      <x:c r="G60" s="9" t="n">
        <x:f>F60*(1+$H$55*$F$55/(1-$F$55))</x:f>
        <x:v>14.998907733333334</x:v>
      </x:c>
      <x:c r="H60" s="9" t="n">
        <x:f>(G60-F60)*$J$55</x:f>
        <x:v>1.499890773333334</x:v>
      </x:c>
      <x:c r="I60" s="44"/>
      <x:c r="J60" s="35" t="str">
        <x:f>IF(AND(ISNUMBER(I60),I60&gt;0,I60&gt;=C60*$J$55),E60/I60,"")</x:f>
      </x:c>
      <x:c r="K60" s="44"/>
      <x:c r="L60" s="35" t="str">
        <x:f>IF(AND(ISNUMBER(K60),K60&gt;0,K60&gt;=F60*$J$55),H60/K60,"")</x:f>
      </x:c>
      <x:c r="M60" s="43" t="n">
        <x:f>$B$55</x:f>
        <x:v>100</x:v>
      </x:c>
      <x:c r="N60" s="43" t="n">
        <x:f>$D$55</x:f>
        <x:v>100</x:v>
      </x:c>
      <x:c r="O60" s="2" t="str">
        <x:v>仅EP；总耗时需实测基线</x:v>
      </x:c>
    </x:row>
    <x:row r="61" ht="25" customHeight="1">
      <x:c r="A61" s="2" t="str">
        <x:f>A9</x:f>
        <x:v>DS V4 Pro</x:v>
      </x:c>
      <x:c r="B61" s="2" t="n">
        <x:f>B9</x:f>
        <x:v>256</x:v>
      </x:c>
      <x:c r="C61" s="9" t="n">
        <x:f>IF(AND(ISNUMBER(M61),M61&gt;0,ISNUMBER(N61),N61&gt;0,ISNUMBER($F$55),$F$55&gt;=0,$F$55&lt;1,ISNUMBER($H$55),$H$55&gt;=0,$H$55&lt;=1,ISNUMBER($J$55),$J$55&gt;=0,$J$55&lt;=1),I9*2^30/B9/(M61*1e6),NA())</x:f>
        <x:v>214.3951872</x:v>
      </x:c>
      <x:c r="D61" s="9" t="n">
        <x:f>C61*(1+$H$55*$F$55/(1-$F$55))</x:f>
        <x:v>238.21687466666668</x:v>
      </x:c>
      <x:c r="E61" s="9" t="n">
        <x:f>(D61-C61)*$J$55</x:f>
        <x:v>23.821687466666674</x:v>
      </x:c>
      <x:c r="F61" s="9" t="n">
        <x:f>IF(AND(ISNUMBER(M61),M61&gt;0,ISNUMBER(N61),N61&gt;0,ISNUMBER($F$55),$F$55&gt;=0,$F$55&lt;1,ISNUMBER($H$55),$H$55&gt;=0,$H$55&lt;=1,ISNUMBER($J$55),$J$55&gt;=0,$J$55&lt;=1),J9*2^30/B9/(N61*1e6),NA())</x:f>
        <x:v>13.8825264</x:v>
      </x:c>
      <x:c r="G61" s="9" t="n">
        <x:f>F61*(1+$H$55*$F$55/(1-$F$55))</x:f>
        <x:v>15.425029333333333</x:v>
      </x:c>
      <x:c r="H61" s="9" t="n">
        <x:f>(G61-F61)*$J$55</x:f>
        <x:v>1.542502933333333</x:v>
      </x:c>
      <x:c r="I61" s="44"/>
      <x:c r="J61" s="35" t="str">
        <x:f>IF(AND(ISNUMBER(I61),I61&gt;0,I61&gt;=C61*$J$55),E61/I61,"")</x:f>
      </x:c>
      <x:c r="K61" s="44"/>
      <x:c r="L61" s="35" t="str">
        <x:f>IF(AND(ISNUMBER(K61),K61&gt;0,K61&gt;=F61*$J$55),H61/K61,"")</x:f>
      </x:c>
      <x:c r="M61" s="43" t="n">
        <x:f>$B$55</x:f>
        <x:v>100</x:v>
      </x:c>
      <x:c r="N61" s="43" t="n">
        <x:f>$D$55</x:f>
        <x:v>100</x:v>
      </x:c>
      <x:c r="O61" s="2" t="str">
        <x:v>仅EP；总耗时需实测基线</x:v>
      </x:c>
    </x:row>
    <x:row r="62" ht="25" customHeight="1">
      <x:c r="A62" s="2" t="str">
        <x:f>A10</x:f>
        <x:v>GLM5.3</x:v>
      </x:c>
      <x:c r="B62" s="2" t="n">
        <x:f>B10</x:f>
        <x:v>32</x:v>
      </x:c>
      <x:c r="C62" s="9" t="n">
        <x:f>IF(AND(ISNUMBER(M62),M62&gt;0,ISNUMBER(N62),N62&gt;0,ISNUMBER($F$55),$F$55&gt;=0,$F$55&lt;1,ISNUMBER($H$55),$H$55&gt;=0,$H$55&lt;=1,ISNUMBER($J$55),$J$55&gt;=0,$J$55&lt;=1),I10*2^30/B10/(M62*1e6),NA())</x:f>
        <x:v>292.576512</x:v>
      </x:c>
      <x:c r="D62" s="9" t="n">
        <x:f>C62*(1+$H$55*$F$55/(1-$F$55))</x:f>
        <x:v>325.08501333333334</x:v>
      </x:c>
      <x:c r="E62" s="9" t="n">
        <x:f>(D62-C62)*$J$55</x:f>
        <x:v>32.508501333333356</x:v>
      </x:c>
      <x:c r="F62" s="9" t="n">
        <x:f>IF(AND(ISNUMBER(M62),M62&gt;0,ISNUMBER(N62),N62&gt;0,ISNUMBER($F$55),$F$55&gt;=0,$F$55&lt;1,ISNUMBER($H$55),$H$55&gt;=0,$H$55&lt;=1,ISNUMBER($J$55),$J$55&gt;=0,$J$55&lt;=1),J10*2^30/B10/(N62*1e6),NA())</x:f>
        <x:v>19.07616</x:v>
      </x:c>
      <x:c r="G62" s="9" t="n">
        <x:f>F62*(1+$H$55*$F$55/(1-$F$55))</x:f>
        <x:v>21.195733333333337</x:v>
      </x:c>
      <x:c r="H62" s="9" t="n">
        <x:f>(G62-F62)*$J$55</x:f>
        <x:v>2.119573333333335</x:v>
      </x:c>
      <x:c r="I62" s="44"/>
      <x:c r="J62" s="35" t="str">
        <x:f>IF(AND(ISNUMBER(I62),I62&gt;0,I62&gt;=C62*$J$55),E62/I62,"")</x:f>
      </x:c>
      <x:c r="K62" s="44"/>
      <x:c r="L62" s="35" t="str">
        <x:f>IF(AND(ISNUMBER(K62),K62&gt;0,K62&gt;=F62*$J$55),H62/K62,"")</x:f>
      </x:c>
      <x:c r="M62" s="43" t="n">
        <x:f>$B$55</x:f>
        <x:v>100</x:v>
      </x:c>
      <x:c r="N62" s="43" t="n">
        <x:f>$D$55</x:f>
        <x:v>100</x:v>
      </x:c>
      <x:c r="O62" s="2" t="str">
        <x:v>仅EP；总耗时需实测基线</x:v>
      </x:c>
    </x:row>
    <x:row r="63" ht="25" customHeight="1">
      <x:c r="A63" s="2" t="str">
        <x:f>A11</x:f>
        <x:v>GLM5.3</x:v>
      </x:c>
      <x:c r="B63" s="2" t="n">
        <x:f>B11</x:f>
        <x:v>256</x:v>
      </x:c>
      <x:c r="C63" s="9" t="n">
        <x:f>IF(AND(ISNUMBER(M63),M63&gt;0,ISNUMBER(N63),N63&gt;0,ISNUMBER($F$55),$F$55&gt;=0,$F$55&lt;1,ISNUMBER($H$55),$H$55&gt;=0,$H$55&lt;=1,ISNUMBER($J$55),$J$55&gt;=0,$J$55&lt;=1),I11*2^30/B11/(M63*1e6),NA())</x:f>
        <x:v>301.00608</x:v>
      </x:c>
      <x:c r="D63" s="9" t="n">
        <x:f>C63*(1+$H$55*$F$55/(1-$F$55))</x:f>
        <x:v>334.45120000000003</x:v>
      </x:c>
      <x:c r="E63" s="9" t="n">
        <x:f>(D63-C63)*$J$55</x:f>
        <x:v>33.44512000000003</x:v>
      </x:c>
      <x:c r="F63" s="9" t="n">
        <x:f>IF(AND(ISNUMBER(M63),M63&gt;0,ISNUMBER(N63),N63&gt;0,ISNUMBER($F$55),$F$55&gt;=0,$F$55&lt;1,ISNUMBER($H$55),$H$55&gt;=0,$H$55&lt;=1,ISNUMBER($J$55),$J$55&gt;=0,$J$55&lt;=1),J11*2^30/B11/(N63*1e6),NA())</x:f>
        <x:v>19.6146</x:v>
      </x:c>
      <x:c r="G63" s="9" t="n">
        <x:f>F63*(1+$H$55*$F$55/(1-$F$55))</x:f>
        <x:v>21.794</x:v>
      </x:c>
      <x:c r="H63" s="9" t="n">
        <x:f>(G63-F63)*$J$55</x:f>
        <x:v>2.179400000000001</x:v>
      </x:c>
      <x:c r="I63" s="44"/>
      <x:c r="J63" s="35" t="str">
        <x:f>IF(AND(ISNUMBER(I63),I63&gt;0,I63&gt;=C63*$J$55),E63/I63,"")</x:f>
      </x:c>
      <x:c r="K63" s="44"/>
      <x:c r="L63" s="35" t="str">
        <x:f>IF(AND(ISNUMBER(K63),K63&gt;0,K63&gt;=F63*$J$55),H63/K63,"")</x:f>
      </x:c>
      <x:c r="M63" s="43" t="n">
        <x:f>$B$55</x:f>
        <x:v>100</x:v>
      </x:c>
      <x:c r="N63" s="43" t="n">
        <x:f>$D$55</x:f>
        <x:v>100</x:v>
      </x:c>
      <x:c r="O63" s="2" t="str">
        <x:v>仅EP；总耗时需实测基线</x:v>
      </x:c>
    </x:row>
    <x:row r="64" ht="25" customHeight="1">
      <x:c r="A64" s="2" t="str">
        <x:f>A12</x:f>
        <x:v>KimiK3</x:v>
      </x:c>
      <x:c r="B64" s="2" t="n">
        <x:f>B12</x:f>
        <x:v>32</x:v>
      </x:c>
      <x:c r="C64" s="9" t="n">
        <x:f>IF(AND(ISNUMBER(M64),M64&gt;0,ISNUMBER(N64),N64&gt;0,ISNUMBER($F$55),$F$55&gt;=0,$F$55&lt;1,ISNUMBER($H$55),$H$55&gt;=0,$H$55&lt;=1,ISNUMBER($J$55),$J$55&gt;=0,$J$55&lt;=1),I12*2^30/B12/(M64*1e6),NA())</x:f>
        <x:v>837.45306624</x:v>
      </x:c>
      <x:c r="D64" s="9" t="n">
        <x:f>C64*(1+$H$55*$F$55/(1-$F$55))</x:f>
        <x:v>930.5034069333334</x:v>
      </x:c>
      <x:c r="E64" s="9" t="n">
        <x:f>(D64-C64)*$J$55</x:f>
        <x:v>93.0503406933334</x:v>
      </x:c>
      <x:c r="F64" s="9" t="n">
        <x:f>IF(AND(ISNUMBER(M64),M64&gt;0,ISNUMBER(N64),N64&gt;0,ISNUMBER($F$55),$F$55&gt;=0,$F$55&lt;1,ISNUMBER($H$55),$H$55&gt;=0,$H$55&lt;=1,ISNUMBER($J$55),$J$55&gt;=0,$J$55&lt;=1),J12*2^30/B12/(N64*1e6),NA())</x:f>
        <x:v>6.8082944</x:v>
      </x:c>
      <x:c r="G64" s="9" t="n">
        <x:f>F64*(1+$H$55*$F$55/(1-$F$55))</x:f>
        <x:v>7.564771555555557</x:v>
      </x:c>
      <x:c r="H64" s="9" t="n">
        <x:f>(G64-F64)*$J$55</x:f>
        <x:v>0.7564771555555563</x:v>
      </x:c>
      <x:c r="I64" s="44"/>
      <x:c r="J64" s="35" t="str">
        <x:f>IF(AND(ISNUMBER(I64),I64&gt;0,I64&gt;=C64*$J$55),E64/I64,"")</x:f>
      </x:c>
      <x:c r="K64" s="44"/>
      <x:c r="L64" s="35" t="str">
        <x:f>IF(AND(ISNUMBER(K64),K64&gt;0,K64&gt;=F64*$J$55),H64/K64,"")</x:f>
      </x:c>
      <x:c r="M64" s="43" t="n">
        <x:f>$B$55</x:f>
        <x:v>100</x:v>
      </x:c>
      <x:c r="N64" s="43" t="n">
        <x:f>$D$55</x:f>
        <x:v>100</x:v>
      </x:c>
      <x:c r="O64" s="2" t="str">
        <x:v>仅EP；总耗时需实测基线</x:v>
      </x:c>
    </x:row>
    <x:row r="65" ht="25" customHeight="1">
      <x:c r="A65" s="2" t="str">
        <x:f>A13</x:f>
        <x:v>KimiK3</x:v>
      </x:c>
      <x:c r="B65" s="2" t="n">
        <x:f>B13</x:f>
        <x:v>256</x:v>
      </x:c>
      <x:c r="C65" s="9" t="n">
        <x:f>IF(AND(ISNUMBER(M65),M65&gt;0,ISNUMBER(N65),N65&gt;0,ISNUMBER($F$55),$F$55&gt;=0,$F$55&lt;1,ISNUMBER($H$55),$H$55&gt;=0,$H$55&lt;=1,ISNUMBER($J$55),$J$55&gt;=0,$J$55&lt;=1),I13*2^30/B13/(M65*1e6),NA())</x:f>
        <x:v>861.9466752</x:v>
      </x:c>
      <x:c r="D65" s="9" t="n">
        <x:f>C65*(1+$H$55*$F$55/(1-$F$55))</x:f>
        <x:v>957.718528</x:v>
      </x:c>
      <x:c r="E65" s="9" t="n">
        <x:f>(D65-C65)*$J$55</x:f>
        <x:v>95.77185280000003</x:v>
      </x:c>
      <x:c r="F65" s="9" t="n">
        <x:f>IF(AND(ISNUMBER(M65),M65&gt;0,ISNUMBER(N65),N65&gt;0,ISNUMBER($F$55),$F$55&gt;=0,$F$55&lt;1,ISNUMBER($H$55),$H$55&gt;=0,$H$55&lt;=1,ISNUMBER($J$55),$J$55&gt;=0,$J$55&lt;=1),J13*2^30/B13/(N65*1e6),NA())</x:f>
        <x:v>7.0042176</x:v>
      </x:c>
      <x:c r="G65" s="9" t="n">
        <x:f>F65*(1+$H$55*$F$55/(1-$F$55))</x:f>
        <x:v>7.782464</x:v>
      </x:c>
      <x:c r="H65" s="9" t="n">
        <x:f>(G65-F65)*$J$55</x:f>
        <x:v>0.7782464000000004</x:v>
      </x:c>
      <x:c r="I65" s="44"/>
      <x:c r="J65" s="35" t="str">
        <x:f>IF(AND(ISNUMBER(I65),I65&gt;0,I65&gt;=C65*$J$55),E65/I65,"")</x:f>
      </x:c>
      <x:c r="K65" s="44"/>
      <x:c r="L65" s="35" t="str">
        <x:f>IF(AND(ISNUMBER(K65),K65&gt;0,K65&gt;=F65*$J$55),H65/K65,"")</x:f>
      </x:c>
      <x:c r="M65" s="43" t="n">
        <x:f>$B$55</x:f>
        <x:v>100</x:v>
      </x:c>
      <x:c r="N65" s="43" t="n">
        <x:f>$D$55</x:f>
        <x:v>100</x:v>
      </x:c>
      <x:c r="O65" s="2" t="str">
        <x:v>仅EP；总耗时需实测基线</x:v>
      </x:c>
    </x:row>
    <x:row r="66" ht="25" customHeight="1">
      <x:c r="A66" s="2" t="str">
        <x:f>A14</x:f>
        <x:v>Qwen3.8 2.4T</x:v>
      </x:c>
      <x:c r="B66" s="2" t="n">
        <x:f>B14</x:f>
        <x:v>32</x:v>
      </x:c>
      <x:c r="C66" s="9" t="n">
        <x:f>IF(AND(ISNUMBER(M66),M66&gt;0,ISNUMBER(N66),N66&gt;0,ISNUMBER($F$55),$F$55&gt;=0,$F$55&lt;1,ISNUMBER($H$55),$H$55&gt;=0,$H$55&lt;=1,ISNUMBER($J$55),$J$55&gt;=0,$J$55&lt;=1),I14*2^30/B14/(M66*1e6),NA())</x:f>
        <x:v>598.16615936</x:v>
      </x:c>
      <x:c r="D66" s="9" t="n">
        <x:f>C66*(1+$H$55*$F$55/(1-$F$55))</x:f>
        <x:v>664.6290659555557</x:v>
      </x:c>
      <x:c r="E66" s="9" t="n">
        <x:f>(D66-C66)*$J$55</x:f>
        <x:v>66.46290659555564</x:v>
      </x:c>
      <x:c r="F66" s="9" t="n">
        <x:f>IF(AND(ISNUMBER(M66),M66&gt;0,ISNUMBER(N66),N66&gt;0,ISNUMBER($F$55),$F$55&gt;=0,$F$55&lt;1,ISNUMBER($H$55),$H$55&gt;=0,$H$55&lt;=1,ISNUMBER($J$55),$J$55&gt;=0,$J$55&lt;=1),J14*2^30/B14/(N66*1e6),NA())</x:f>
        <x:v>4.91091584</x:v>
      </x:c>
      <x:c r="G66" s="9" t="n">
        <x:f>F66*(1+$H$55*$F$55/(1-$F$55))</x:f>
        <x:v>5.4565731555555566</x:v>
      </x:c>
      <x:c r="H66" s="9" t="n">
        <x:f>(G66-F66)*$J$55</x:f>
        <x:v>0.5456573155555562</x:v>
      </x:c>
      <x:c r="I66" s="44"/>
      <x:c r="J66" s="35" t="str">
        <x:f>IF(AND(ISNUMBER(I66),I66&gt;0,I66&gt;=C66*$J$55),E66/I66,"")</x:f>
      </x:c>
      <x:c r="K66" s="44"/>
      <x:c r="L66" s="35" t="str">
        <x:f>IF(AND(ISNUMBER(K66),K66&gt;0,K66&gt;=F66*$J$55),H66/K66,"")</x:f>
      </x:c>
      <x:c r="M66" s="43" t="n">
        <x:f>$B$55</x:f>
        <x:v>100</x:v>
      </x:c>
      <x:c r="N66" s="43" t="n">
        <x:f>$D$55</x:f>
        <x:v>100</x:v>
      </x:c>
      <x:c r="O66" s="2" t="str">
        <x:v>仅EP；总耗时需实测基线</x:v>
      </x:c>
    </x:row>
    <x:row r="67" ht="25" customHeight="1">
      <x:c r="A67" s="2" t="str">
        <x:f>A15</x:f>
        <x:v>Qwen3.8 2.4T</x:v>
      </x:c>
      <x:c r="B67" s="2" t="n">
        <x:f>B15</x:f>
        <x:v>256</x:v>
      </x:c>
      <x:c r="C67" s="9" t="n">
        <x:f>IF(AND(ISNUMBER(M67),M67&gt;0,ISNUMBER(N67),N67&gt;0,ISNUMBER($F$55),$F$55&gt;=0,$F$55&lt;1,ISNUMBER($H$55),$H$55&gt;=0,$H$55&lt;=1,ISNUMBER($J$55),$J$55&gt;=0,$J$55&lt;=1),I15*2^30/B15/(M67*1e6),NA())</x:f>
        <x:v>615.4702848</x:v>
      </x:c>
      <x:c r="D67" s="9" t="n">
        <x:f>C67*(1+$H$55*$F$55/(1-$F$55))</x:f>
        <x:v>683.855872</x:v>
      </x:c>
      <x:c r="E67" s="9" t="n">
        <x:f>(D67-C67)*$J$55</x:f>
        <x:v>68.38558720000003</x:v>
      </x:c>
      <x:c r="F67" s="9" t="n">
        <x:f>IF(AND(ISNUMBER(M67),M67&gt;0,ISNUMBER(N67),N67&gt;0,ISNUMBER($F$55),$F$55&gt;=0,$F$55&lt;1,ISNUMBER($H$55),$H$55&gt;=0,$H$55&lt;=1,ISNUMBER($J$55),$J$55&gt;=0,$J$55&lt;=1),J15*2^30/B15/(N67*1e6),NA())</x:f>
        <x:v>5.0495304</x:v>
      </x:c>
      <x:c r="G67" s="9" t="n">
        <x:f>F67*(1+$H$55*$F$55/(1-$F$55))</x:f>
        <x:v>5.610589333333333</x:v>
      </x:c>
      <x:c r="H67" s="9" t="n">
        <x:f>(G67-F67)*$J$55</x:f>
        <x:v>0.5610589333333333</x:v>
      </x:c>
      <x:c r="I67" s="44"/>
      <x:c r="J67" s="35" t="str">
        <x:f>IF(AND(ISNUMBER(I67),I67&gt;0,I67&gt;=C67*$J$55),E67/I67,"")</x:f>
      </x:c>
      <x:c r="K67" s="44"/>
      <x:c r="L67" s="35" t="str">
        <x:f>IF(AND(ISNUMBER(K67),K67&gt;0,K67&gt;=F67*$J$55),H67/K67,"")</x:f>
      </x:c>
      <x:c r="M67" s="43" t="n">
        <x:f>$B$55</x:f>
        <x:v>100</x:v>
      </x:c>
      <x:c r="N67" s="43" t="n">
        <x:f>$D$55</x:f>
        <x:v>100</x:v>
      </x:c>
      <x:c r="O67" s="2" t="str">
        <x:v>仅EP；总耗时需实测基线</x:v>
      </x:c>
    </x:row>
    <x:row r="68" ht="25" customHeight="1">
      <x:c r="A68" s="2" t="str">
        <x:f>A16</x:f>
        <x:v>DS V4.1 Flash</x:v>
      </x:c>
      <x:c r="B68" s="2" t="n">
        <x:f>B16</x:f>
        <x:v>32</x:v>
      </x:c>
      <x:c r="C68" s="9" t="n">
        <x:f>IF(AND(ISNUMBER(M68),M68&gt;0,ISNUMBER(N68),N68&gt;0,ISNUMBER($F$55),$F$55&gt;=0,$F$55&lt;1,ISNUMBER($H$55),$H$55&gt;=0,$H$55&lt;=1,ISNUMBER($J$55),$J$55&gt;=0,$J$55&lt;=1),I16*2^30/B16/(M68*1e6),NA())</x:f>
        <x:v>97.5366144</x:v>
      </x:c>
      <x:c r="D68" s="9" t="n">
        <x:f>C68*(1+$H$55*$F$55/(1-$F$55))</x:f>
        <x:v>108.37401600000001</x:v>
      </x:c>
      <x:c r="E68" s="9" t="n">
        <x:f>(D68-C68)*$J$55</x:f>
        <x:v>10.837401600000007</x:v>
      </x:c>
      <x:c r="F68" s="9" t="n">
        <x:f>IF(AND(ISNUMBER(M68),M68&gt;0,ISNUMBER(N68),N68&gt;0,ISNUMBER($F$55),$F$55&gt;=0,$F$55&lt;1,ISNUMBER($H$55),$H$55&gt;=0,$H$55&lt;=1,ISNUMBER($J$55),$J$55&gt;=0,$J$55&lt;=1),J16*2^30/B16/(N68*1e6),NA())</x:f>
        <x:v>6.4138752</x:v>
      </x:c>
      <x:c r="G68" s="9" t="n">
        <x:f>F68*(1+$H$55*$F$55/(1-$F$55))</x:f>
        <x:v>7.1265279999999995</x:v>
      </x:c>
      <x:c r="H68" s="9" t="n">
        <x:f>(G68-F68)*$J$55</x:f>
        <x:v>0.7126527999999999</x:v>
      </x:c>
      <x:c r="I68" s="44"/>
      <x:c r="J68" s="35" t="str">
        <x:f>IF(AND(ISNUMBER(I68),I68&gt;0,I68&gt;=C68*$J$55),E68/I68,"")</x:f>
      </x:c>
      <x:c r="K68" s="44"/>
      <x:c r="L68" s="35" t="str">
        <x:f>IF(AND(ISNUMBER(K68),K68&gt;0,K68&gt;=F68*$J$55),H68/K68,"")</x:f>
      </x:c>
      <x:c r="M68" s="43" t="n">
        <x:f>$B$55</x:f>
        <x:v>100</x:v>
      </x:c>
      <x:c r="N68" s="43" t="n">
        <x:f>$D$55</x:f>
        <x:v>100</x:v>
      </x:c>
      <x:c r="O68" s="2" t="str">
        <x:v>仅EP；V4.1 PD条件评估</x:v>
      </x:c>
    </x:row>
    <x:row r="69" ht="25" customHeight="1">
      <x:c r="A69" s="2" t="str">
        <x:f>A17</x:f>
        <x:v>DS V4.1 Flash</x:v>
      </x:c>
      <x:c r="B69" s="2" t="n">
        <x:f>B17</x:f>
        <x:v>256</x:v>
      </x:c>
      <x:c r="C69" s="9" t="n">
        <x:f>IF(AND(ISNUMBER(M69),M69&gt;0,ISNUMBER(N69),N69&gt;0,ISNUMBER($F$55),$F$55&gt;=0,$F$55&lt;1,ISNUMBER($H$55),$H$55&gt;=0,$H$55&lt;=1,ISNUMBER($J$55),$J$55&gt;=0,$J$55&lt;=1),I17*2^30/B17/(M69*1e6),NA())</x:f>
        <x:v>100.478976</x:v>
      </x:c>
      <x:c r="D69" s="9" t="n">
        <x:f>C69*(1+$H$55*$F$55/(1-$F$55))</x:f>
        <x:v>111.64330666666667</x:v>
      </x:c>
      <x:c r="E69" s="9" t="n">
        <x:f>(D69-C69)*$J$55</x:f>
        <x:v>11.164330666666672</x:v>
      </x:c>
      <x:c r="F69" s="9" t="n">
        <x:f>IF(AND(ISNUMBER(M69),M69&gt;0,ISNUMBER(N69),N69&gt;0,ISNUMBER($F$55),$F$55&gt;=0,$F$55&lt;1,ISNUMBER($H$55),$H$55&gt;=0,$H$55&lt;=1,ISNUMBER($J$55),$J$55&gt;=0,$J$55&lt;=1),J17*2^30/B17/(N69*1e6),NA())</x:f>
        <x:v>6.596544</x:v>
      </x:c>
      <x:c r="G69" s="9" t="n">
        <x:f>F69*(1+$H$55*$F$55/(1-$F$55))</x:f>
        <x:v>7.329493333333334</x:v>
      </x:c>
      <x:c r="H69" s="9" t="n">
        <x:f>(G69-F69)*$J$55</x:f>
        <x:v>0.7329493333333339</x:v>
      </x:c>
      <x:c r="I69" s="44"/>
      <x:c r="J69" s="35" t="str">
        <x:f>IF(AND(ISNUMBER(I69),I69&gt;0,I69&gt;=C69*$J$55),E69/I69,"")</x:f>
      </x:c>
      <x:c r="K69" s="44"/>
      <x:c r="L69" s="35" t="str">
        <x:f>IF(AND(ISNUMBER(K69),K69&gt;0,K69&gt;=F69*$J$55),H69/K69,"")</x:f>
      </x:c>
      <x:c r="M69" s="43" t="n">
        <x:f>$B$55</x:f>
        <x:v>100</x:v>
      </x:c>
      <x:c r="N69" s="43" t="n">
        <x:f>$D$55</x:f>
        <x:v>100</x:v>
      </x:c>
      <x:c r="O69" s="2" t="str">
        <x:v>仅EP；V4.1 PD条件评估</x:v>
      </x:c>
    </x:row>
    <x:row r="70" ht="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25" customHeight="1">
      <x:c r="A71" s="2" t="str">
        <x:v>带宽下降 10% 对受影响带宽项增加 11.11%。forward 增幅还需真实基线；不把 KV 交接等待再加到每个 Decode Step。</x:v>
      </x:c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25" customHeight="1">
      <x:c r="A73" s="2" t="str">
        <x:v>黄色 M/N 列可填各模型、各 EP 的无争用有效带宽，GB/s=10⁹ B/s。默认共享比例为 1；逐模型表可按事件调整。</x:v>
      </x:c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9" hidden="0" customWidth="1"/>
    <x:col min="2" max="2" width="4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KV 数据量 · 按单请求和全部 TP Rank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State 只记最终有效状态一次；不累计 Prefill 各 chunk 的状态覆盖写。SWA 拉取使用尾块上界。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 t="str">
        <x:v>Prompt tokens</x:v>
      </x:c>
      <x:c r="B5" s="11" t="n">
        <x:v>262144</x:v>
      </x:c>
      <x:c r="C5" s="2"/>
      <x:c r="D5" s="2" t="str">
        <x:v>Block tokens</x:v>
      </x:c>
      <x:c r="E5" s="11" t="n">
        <x:v>128</x:v>
      </x:c>
      <x:c r="F5" s="2"/>
      <x:c r="G5" s="2" t="str">
        <x:v>Spec conv slots</x:v>
      </x:c>
      <x:c r="H5" s="11" t="n">
        <x:v>7</x:v>
      </x:c>
      <x:c r="I5" s="2"/>
      <x:c r="J5" s="2" t="str">
        <x:v>Requests / P DP</x:v>
      </x:c>
      <x:c r="K5" s="11" t="n">
        <x:v>16</x:v>
      </x:c>
      <x:c r="L5" s="2"/>
      <x:c r="M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40" customHeight="1">
      <x:c r="A8" s="7" t="str">
        <x:v>模型</x:v>
      </x:c>
      <x:c r="B8" s="7" t="str">
        <x:v>缓存组件</x:v>
      </x:c>
      <x:c r="C8" s="7" t="str">
        <x:v>层数</x:v>
      </x:c>
      <x:c r="D8" s="7" t="str">
        <x:v>每行 B/Rank</x:v>
      </x:c>
      <x:c r="E8" s="7" t="str">
        <x:v>P 生成行</x:v>
      </x:c>
      <x:c r="F8" s="7" t="str">
        <x:v>P 保留行</x:v>
      </x:c>
      <x:c r="G8" s="7" t="str">
        <x:v>D 取/规划行</x:v>
      </x:c>
      <x:c r="H8" s="7" t="str">
        <x:v>P 副本/分片</x:v>
      </x:c>
      <x:c r="I8" s="7" t="str">
        <x:v>D 副本/分片</x:v>
      </x:c>
      <x:c r="J8" s="7" t="str">
        <x:v>存 GiB</x:v>
      </x:c>
      <x:c r="K8" s="7" t="str">
        <x:v>保留 GiB</x:v>
      </x:c>
      <x:c r="L8" s="7" t="str">
        <x:v>取/规划 GiB</x:v>
      </x:c>
      <x:c r="M8" s="2"/>
    </x:row>
    <x:row r="9" ht="25" customHeight="1">
      <x:c r="A9" s="2" t="str">
        <x:v>DS V4 10T</x:v>
      </x:c>
      <x:c r="B9" s="2" t="str">
        <x:v>SWA KV / BF16</x:v>
      </x:c>
      <x:c r="C9" s="8" t="n">
        <x:v>61</x:v>
      </x:c>
      <x:c r="D9" s="8" t="n">
        <x:v>1024</x:v>
      </x:c>
      <x:c r="E9" s="8" t="n">
        <x:f>($B$5-1)</x:f>
        <x:v>262143</x:v>
      </x:c>
      <x:c r="F9" s="8" t="n">
        <x:f>MIN(($B$5-1),128)</x:f>
        <x:v>128</x:v>
      </x:c>
      <x:c r="G9" s="8" t="n">
        <x:f>MIN(ROUNDUP(($B$5-1)/$E$5,0),ROUNDUP(128/$E$5,0)+1)*$E$5</x:f>
        <x:v>256</x:v>
      </x:c>
      <x:c r="H9" s="8" t="n">
        <x:v>8</x:v>
      </x:c>
      <x:c r="I9" s="8" t="n">
        <x:v>1</x:v>
      </x:c>
      <x:c r="J9" s="12" t="n">
        <x:f>C9*D9*E9*H9/2^30</x:f>
        <x:v>121.9995346069336</x:v>
      </x:c>
      <x:c r="K9" s="12" t="n">
        <x:f>C9*D9*F9*H9/2^30</x:f>
        <x:v>0.0595703125</x:v>
      </x:c>
      <x:c r="L9" s="12" t="n">
        <x:f>C9*D9*G9*I9/2^30</x:f>
        <x:v>0.014892578125</x:v>
      </x:c>
      <x:c r="M9" s="2"/>
    </x:row>
    <x:row r="10" ht="25" customHeight="1">
      <x:c r="A10" s="2" t="str">
        <x:v>DS V4 10T</x:v>
      </x:c>
      <x:c r="B10" s="2" t="str">
        <x:v>C4 KV / BF16</x:v>
      </x:c>
      <x:c r="C10" s="8" t="n">
        <x:v>30</x:v>
      </x:c>
      <x:c r="D10" s="8" t="n">
        <x:v>1024</x:v>
      </x:c>
      <x:c r="E10" s="8" t="n">
        <x:f>INT(($B$5-1)/4)</x:f>
        <x:v>65535</x:v>
      </x:c>
      <x:c r="F10" s="8" t="n">
        <x:f>INT(($B$5-1)/4)</x:f>
        <x:v>65535</x:v>
      </x:c>
      <x:c r="G10" s="8" t="n">
        <x:f>ROUNDUP(($B$5-1)/(4*$E$5),0)*$E$5</x:f>
        <x:v>65536</x:v>
      </x:c>
      <x:c r="H10" s="8" t="n">
        <x:v>8</x:v>
      </x:c>
      <x:c r="I10" s="8" t="n">
        <x:v>1</x:v>
      </x:c>
      <x:c r="J10" s="12" t="n">
        <x:f>C10*D10*E10*H10/2^30</x:f>
        <x:v>14.999771118164062</x:v>
      </x:c>
      <x:c r="K10" s="12" t="n">
        <x:f>C10*D10*F10*H10/2^30</x:f>
        <x:v>14.999771118164062</x:v>
      </x:c>
      <x:c r="L10" s="12" t="n">
        <x:f>C10*D10*G10*I10/2^30</x:f>
        <x:v>1.875</x:v>
      </x:c>
      <x:c r="M10" s="2"/>
    </x:row>
    <x:row r="11" ht="25" customHeight="1">
      <x:c r="A11" s="2" t="str">
        <x:v>DS V4 10T</x:v>
      </x:c>
      <x:c r="B11" s="2" t="str">
        <x:v>C128 KV / BF16</x:v>
      </x:c>
      <x:c r="C11" s="8" t="n">
        <x:v>31</x:v>
      </x:c>
      <x:c r="D11" s="8" t="n">
        <x:v>1024</x:v>
      </x:c>
      <x:c r="E11" s="8" t="n">
        <x:f>INT(($B$5-1)/128)</x:f>
        <x:v>2047</x:v>
      </x:c>
      <x:c r="F11" s="8" t="n">
        <x:f>INT(($B$5-1)/128)</x:f>
        <x:v>2047</x:v>
      </x:c>
      <x:c r="G11" s="8" t="n">
        <x:f>ROUNDUP(($B$5-1)/(128*$E$5),0)*$E$5</x:f>
        <x:v>2048</x:v>
      </x:c>
      <x:c r="H11" s="8" t="n">
        <x:v>8</x:v>
      </x:c>
      <x:c r="I11" s="8" t="n">
        <x:v>1</x:v>
      </x:c>
      <x:c r="J11" s="12" t="n">
        <x:f>C11*D11*E11*H11/2^30</x:f>
        <x:v>0.48413848876953125</x:v>
      </x:c>
      <x:c r="K11" s="12" t="n">
        <x:f>C11*D11*F11*H11/2^30</x:f>
        <x:v>0.48413848876953125</x:v>
      </x:c>
      <x:c r="L11" s="12" t="n">
        <x:f>C11*D11*G11*I11/2^30</x:f>
        <x:v>0.060546875</x:v>
      </x:c>
      <x:c r="M11" s="2"/>
    </x:row>
    <x:row r="12" ht="25" customHeight="1">
      <x:c r="A12" s="2" t="str">
        <x:v>DS V4 10T</x:v>
      </x:c>
      <x:c r="B12" s="2" t="str">
        <x:v>C4 Indexer / INT8 + FP16 scale</x:v>
      </x:c>
      <x:c r="C12" s="8" t="n">
        <x:v>30</x:v>
      </x:c>
      <x:c r="D12" s="8" t="n">
        <x:v>130</x:v>
      </x:c>
      <x:c r="E12" s="8" t="n">
        <x:f>INT(($B$5-1)/4)</x:f>
        <x:v>65535</x:v>
      </x:c>
      <x:c r="F12" s="8" t="n">
        <x:f>INT(($B$5-1)/4)</x:f>
        <x:v>65535</x:v>
      </x:c>
      <x:c r="G12" s="8" t="n">
        <x:f>ROUNDUP(($B$5-1)/(4*$E$5),0)*$E$5</x:f>
        <x:v>65536</x:v>
      </x:c>
      <x:c r="H12" s="8" t="n">
        <x:v>8</x:v>
      </x:c>
      <x:c r="I12" s="8" t="n">
        <x:v>1</x:v>
      </x:c>
      <x:c r="J12" s="12" t="n">
        <x:f>C12*D12*E12*H12/2^30</x:f>
        <x:v>1.904267817735672</x:v>
      </x:c>
      <x:c r="K12" s="12" t="n">
        <x:f>C12*D12*F12*H12/2^30</x:f>
        <x:v>1.904267817735672</x:v>
      </x:c>
      <x:c r="L12" s="12" t="n">
        <x:f>C12*D12*G12*I12/2^30</x:f>
        <x:v>0.238037109375</x:v>
      </x:c>
      <x:c r="M12" s="2"/>
    </x:row>
    <x:row r="13" ht="25" customHeight="1">
      <x:c r="A13" s="2" t="str">
        <x:v>DS V4 10T</x:v>
      </x:c>
      <x:c r="B13" s="2" t="str">
        <x:v>C4 compressor state / FP32</x:v>
      </x:c>
      <x:c r="C13" s="8" t="n">
        <x:v>30</x:v>
      </x:c>
      <x:c r="D13" s="8" t="n">
        <x:v>8192</x:v>
      </x:c>
      <x:c r="E13" s="8" t="n">
        <x:f>MIN(($B$5-1),8)</x:f>
        <x:v>8</x:v>
      </x:c>
      <x:c r="F13" s="8" t="n">
        <x:f>MIN(($B$5-1),8)</x:f>
        <x:v>8</x:v>
      </x:c>
      <x:c r="G13" s="8" t="n">
        <x:f>MIN(ROUNDUP(($B$5-1)/($E$5/16),0),ROUNDUP(8/($E$5/16),0)+1)*($E$5/16)</x:f>
        <x:v>16</x:v>
      </x:c>
      <x:c r="H13" s="8" t="n">
        <x:v>8</x:v>
      </x:c>
      <x:c r="I13" s="8" t="n">
        <x:v>1</x:v>
      </x:c>
      <x:c r="J13" s="12" t="n">
        <x:f>C13*D13*E13*H13/2^30</x:f>
        <x:v>0.0146484375</x:v>
      </x:c>
      <x:c r="K13" s="12" t="n">
        <x:f>C13*D13*F13*H13/2^30</x:f>
        <x:v>0.0146484375</x:v>
      </x:c>
      <x:c r="L13" s="12" t="n">
        <x:f>C13*D13*G13*I13/2^30</x:f>
        <x:v>0.003662109375</x:v>
      </x:c>
      <x:c r="M13" s="2"/>
    </x:row>
    <x:row r="14" ht="25" customHeight="1">
      <x:c r="A14" s="2" t="str">
        <x:v>DS V4 10T</x:v>
      </x:c>
      <x:c r="B14" s="2" t="str">
        <x:v>C128 compressor state / FP32</x:v>
      </x:c>
      <x:c r="C14" s="8" t="n">
        <x:v>31</x:v>
      </x:c>
      <x:c r="D14" s="8" t="n">
        <x:v>4096</x:v>
      </x:c>
      <x:c r="E14" s="8" t="n">
        <x:f>MIN(($B$5-1),128)</x:f>
        <x:v>128</x:v>
      </x:c>
      <x:c r="F14" s="8" t="n">
        <x:f>MIN(($B$5-1),128)</x:f>
        <x:v>128</x:v>
      </x:c>
      <x:c r="G14" s="8" t="n">
        <x:f>MIN(ROUNDUP(($B$5-1)/($E$5/4),0),ROUNDUP(128/($E$5/4),0)+1)*($E$5/4)</x:f>
        <x:v>160</x:v>
      </x:c>
      <x:c r="H14" s="8" t="n">
        <x:v>8</x:v>
      </x:c>
      <x:c r="I14" s="8" t="n">
        <x:v>1</x:v>
      </x:c>
      <x:c r="J14" s="12" t="n">
        <x:f>C14*D14*E14*H14/2^30</x:f>
        <x:v>0.12109375</x:v>
      </x:c>
      <x:c r="K14" s="12" t="n">
        <x:f>C14*D14*F14*H14/2^30</x:f>
        <x:v>0.12109375</x:v>
      </x:c>
      <x:c r="L14" s="12" t="n">
        <x:f>C14*D14*G14*I14/2^30</x:f>
        <x:v>0.0189208984375</x:v>
      </x:c>
      <x:c r="M14" s="2"/>
    </x:row>
    <x:row r="15" ht="25" customHeight="1">
      <x:c r="A15" s="2" t="str">
        <x:v>DS V4 10T</x:v>
      </x:c>
      <x:c r="B15" s="2" t="str">
        <x:v>C4 indexer state / FP32</x:v>
      </x:c>
      <x:c r="C15" s="8" t="n">
        <x:v>30</x:v>
      </x:c>
      <x:c r="D15" s="8" t="n">
        <x:v>2048</x:v>
      </x:c>
      <x:c r="E15" s="8" t="n">
        <x:f>MIN(($B$5-1),8)</x:f>
        <x:v>8</x:v>
      </x:c>
      <x:c r="F15" s="8" t="n">
        <x:f>MIN(($B$5-1),8)</x:f>
        <x:v>8</x:v>
      </x:c>
      <x:c r="G15" s="8" t="n">
        <x:f>MIN(ROUNDUP(($B$5-1)/($E$5/16),0),ROUNDUP(8/($E$5/16),0)+1)*($E$5/16)</x:f>
        <x:v>16</x:v>
      </x:c>
      <x:c r="H15" s="8" t="n">
        <x:v>8</x:v>
      </x:c>
      <x:c r="I15" s="8" t="n">
        <x:v>1</x:v>
      </x:c>
      <x:c r="J15" s="12" t="n">
        <x:f>C15*D15*E15*H15/2^30</x:f>
        <x:v>0.003662109375</x:v>
      </x:c>
      <x:c r="K15" s="12" t="n">
        <x:f>C15*D15*F15*H15/2^30</x:f>
        <x:v>0.003662109375</x:v>
      </x:c>
      <x:c r="L15" s="12" t="n">
        <x:f>C15*D15*G15*I15/2^30</x:f>
        <x:v>0.00091552734375</x:v>
      </x:c>
      <x:c r="M15" s="2"/>
    </x:row>
    <x:row r="16" ht="25" customHeight="1">
      <x:c r="A16" s="13" t="str">
        <x:v>DS V4 10T</x:v>
      </x:c>
      <x:c r="B16" s="13" t="str">
        <x:v>单请求合计</x:v>
      </x:c>
      <x:c r="C16" s="14"/>
      <x:c r="D16" s="14"/>
      <x:c r="E16" s="14"/>
      <x:c r="F16" s="14"/>
      <x:c r="G16" s="14"/>
      <x:c r="H16" s="14"/>
      <x:c r="I16" s="14"/>
      <x:c r="J16" s="15" t="n">
        <x:f>SUM(J9:J15)</x:f>
        <x:v>139.52711632847786</x:v>
      </x:c>
      <x:c r="K16" s="15" t="n">
        <x:f>SUM(K9:K15)</x:f>
        <x:v>17.587152034044266</x:v>
      </x:c>
      <x:c r="L16" s="15" t="n">
        <x:f>SUM(L9:L15)</x:f>
        <x:v>2.21197509765625</x:v>
      </x:c>
      <x:c r="M16" s="2"/>
    </x:row>
    <x:row r="17" ht="25" customHeight="1">
      <x:c r="A17" s="2"/>
      <x:c r="B17" s="2"/>
      <x:c r="C17" s="8"/>
      <x:c r="D17" s="8"/>
      <x:c r="E17" s="8"/>
      <x:c r="F17" s="8"/>
      <x:c r="G17" s="8"/>
      <x:c r="H17" s="8"/>
      <x:c r="I17" s="8"/>
      <x:c r="J17" s="12"/>
      <x:c r="K17" s="12"/>
      <x:c r="L17" s="12"/>
      <x:c r="M17" s="2"/>
    </x:row>
    <x:row r="18" ht="25" customHeight="1">
      <x:c r="A18" s="2" t="str">
        <x:v>DS V4 Pro</x:v>
      </x:c>
      <x:c r="B18" s="2" t="str">
        <x:v>SWA KV / BF16</x:v>
      </x:c>
      <x:c r="C18" s="8" t="n">
        <x:v>61</x:v>
      </x:c>
      <x:c r="D18" s="8" t="n">
        <x:v>1024</x:v>
      </x:c>
      <x:c r="E18" s="8" t="n">
        <x:f>($B$5-1)</x:f>
        <x:v>262143</x:v>
      </x:c>
      <x:c r="F18" s="8" t="n">
        <x:f>MIN(($B$5-1),128)</x:f>
        <x:v>128</x:v>
      </x:c>
      <x:c r="G18" s="8" t="n">
        <x:f>MIN(ROUNDUP(($B$5-1)/$E$5,0),ROUNDUP(128/$E$5,0)+1)*$E$5</x:f>
        <x:v>256</x:v>
      </x:c>
      <x:c r="H18" s="8" t="n">
        <x:v>8</x:v>
      </x:c>
      <x:c r="I18" s="8" t="n">
        <x:v>1</x:v>
      </x:c>
      <x:c r="J18" s="12" t="n">
        <x:f>C18*D18*E18*H18/2^30</x:f>
        <x:v>121.9995346069336</x:v>
      </x:c>
      <x:c r="K18" s="12" t="n">
        <x:f>C18*D18*F18*H18/2^30</x:f>
        <x:v>0.0595703125</x:v>
      </x:c>
      <x:c r="L18" s="12" t="n">
        <x:f>C18*D18*G18*I18/2^30</x:f>
        <x:v>0.014892578125</x:v>
      </x:c>
      <x:c r="M18" s="2"/>
    </x:row>
    <x:row r="19" ht="25" customHeight="1">
      <x:c r="A19" s="2" t="str">
        <x:v>DS V4 Pro</x:v>
      </x:c>
      <x:c r="B19" s="2" t="str">
        <x:v>C4 KV / BF16</x:v>
      </x:c>
      <x:c r="C19" s="8" t="n">
        <x:v>30</x:v>
      </x:c>
      <x:c r="D19" s="8" t="n">
        <x:v>1024</x:v>
      </x:c>
      <x:c r="E19" s="8" t="n">
        <x:f>INT(($B$5-1)/4)</x:f>
        <x:v>65535</x:v>
      </x:c>
      <x:c r="F19" s="8" t="n">
        <x:f>INT(($B$5-1)/4)</x:f>
        <x:v>65535</x:v>
      </x:c>
      <x:c r="G19" s="8" t="n">
        <x:f>ROUNDUP(($B$5-1)/(4*$E$5),0)*$E$5</x:f>
        <x:v>65536</x:v>
      </x:c>
      <x:c r="H19" s="8" t="n">
        <x:v>8</x:v>
      </x:c>
      <x:c r="I19" s="8" t="n">
        <x:v>1</x:v>
      </x:c>
      <x:c r="J19" s="12" t="n">
        <x:f>C19*D19*E19*H19/2^30</x:f>
        <x:v>14.999771118164062</x:v>
      </x:c>
      <x:c r="K19" s="12" t="n">
        <x:f>C19*D19*F19*H19/2^30</x:f>
        <x:v>14.999771118164062</x:v>
      </x:c>
      <x:c r="L19" s="12" t="n">
        <x:f>C19*D19*G19*I19/2^30</x:f>
        <x:v>1.875</x:v>
      </x:c>
      <x:c r="M19" s="2"/>
    </x:row>
    <x:row r="20" ht="25" customHeight="1">
      <x:c r="A20" s="2" t="str">
        <x:v>DS V4 Pro</x:v>
      </x:c>
      <x:c r="B20" s="2" t="str">
        <x:v>C128 KV / BF16</x:v>
      </x:c>
      <x:c r="C20" s="8" t="n">
        <x:v>31</x:v>
      </x:c>
      <x:c r="D20" s="8" t="n">
        <x:v>1024</x:v>
      </x:c>
      <x:c r="E20" s="8" t="n">
        <x:f>INT(($B$5-1)/128)</x:f>
        <x:v>2047</x:v>
      </x:c>
      <x:c r="F20" s="8" t="n">
        <x:f>INT(($B$5-1)/128)</x:f>
        <x:v>2047</x:v>
      </x:c>
      <x:c r="G20" s="8" t="n">
        <x:f>ROUNDUP(($B$5-1)/(128*$E$5),0)*$E$5</x:f>
        <x:v>2048</x:v>
      </x:c>
      <x:c r="H20" s="8" t="n">
        <x:v>8</x:v>
      </x:c>
      <x:c r="I20" s="8" t="n">
        <x:v>1</x:v>
      </x:c>
      <x:c r="J20" s="12" t="n">
        <x:f>C20*D20*E20*H20/2^30</x:f>
        <x:v>0.48413848876953125</x:v>
      </x:c>
      <x:c r="K20" s="12" t="n">
        <x:f>C20*D20*F20*H20/2^30</x:f>
        <x:v>0.48413848876953125</x:v>
      </x:c>
      <x:c r="L20" s="12" t="n">
        <x:f>C20*D20*G20*I20/2^30</x:f>
        <x:v>0.060546875</x:v>
      </x:c>
      <x:c r="M20" s="2"/>
    </x:row>
    <x:row r="21" ht="25" customHeight="1">
      <x:c r="A21" s="2" t="str">
        <x:v>DS V4 Pro</x:v>
      </x:c>
      <x:c r="B21" s="2" t="str">
        <x:v>C4 Indexer / INT8 + FP16 scale</x:v>
      </x:c>
      <x:c r="C21" s="8" t="n">
        <x:v>30</x:v>
      </x:c>
      <x:c r="D21" s="8" t="n">
        <x:v>130</x:v>
      </x:c>
      <x:c r="E21" s="8" t="n">
        <x:f>INT(($B$5-1)/4)</x:f>
        <x:v>65535</x:v>
      </x:c>
      <x:c r="F21" s="8" t="n">
        <x:f>INT(($B$5-1)/4)</x:f>
        <x:v>65535</x:v>
      </x:c>
      <x:c r="G21" s="8" t="n">
        <x:f>ROUNDUP(($B$5-1)/(4*$E$5),0)*$E$5</x:f>
        <x:v>65536</x:v>
      </x:c>
      <x:c r="H21" s="8" t="n">
        <x:v>8</x:v>
      </x:c>
      <x:c r="I21" s="8" t="n">
        <x:v>1</x:v>
      </x:c>
      <x:c r="J21" s="12" t="n">
        <x:f>C21*D21*E21*H21/2^30</x:f>
        <x:v>1.904267817735672</x:v>
      </x:c>
      <x:c r="K21" s="12" t="n">
        <x:f>C21*D21*F21*H21/2^30</x:f>
        <x:v>1.904267817735672</x:v>
      </x:c>
      <x:c r="L21" s="12" t="n">
        <x:f>C21*D21*G21*I21/2^30</x:f>
        <x:v>0.238037109375</x:v>
      </x:c>
      <x:c r="M21" s="2"/>
    </x:row>
    <x:row r="22" ht="25" customHeight="1">
      <x:c r="A22" s="2" t="str">
        <x:v>DS V4 Pro</x:v>
      </x:c>
      <x:c r="B22" s="2" t="str">
        <x:v>C4 compressor state / FP32</x:v>
      </x:c>
      <x:c r="C22" s="8" t="n">
        <x:v>30</x:v>
      </x:c>
      <x:c r="D22" s="8" t="n">
        <x:v>8192</x:v>
      </x:c>
      <x:c r="E22" s="8" t="n">
        <x:f>MIN(($B$5-1),8)</x:f>
        <x:v>8</x:v>
      </x:c>
      <x:c r="F22" s="8" t="n">
        <x:f>MIN(($B$5-1),8)</x:f>
        <x:v>8</x:v>
      </x:c>
      <x:c r="G22" s="8" t="n">
        <x:f>MIN(ROUNDUP(($B$5-1)/($E$5/16),0),ROUNDUP(8/($E$5/16),0)+1)*($E$5/16)</x:f>
        <x:v>16</x:v>
      </x:c>
      <x:c r="H22" s="8" t="n">
        <x:v>8</x:v>
      </x:c>
      <x:c r="I22" s="8" t="n">
        <x:v>1</x:v>
      </x:c>
      <x:c r="J22" s="12" t="n">
        <x:f>C22*D22*E22*H22/2^30</x:f>
        <x:v>0.0146484375</x:v>
      </x:c>
      <x:c r="K22" s="12" t="n">
        <x:f>C22*D22*F22*H22/2^30</x:f>
        <x:v>0.0146484375</x:v>
      </x:c>
      <x:c r="L22" s="12" t="n">
        <x:f>C22*D22*G22*I22/2^30</x:f>
        <x:v>0.003662109375</x:v>
      </x:c>
      <x:c r="M22" s="2"/>
    </x:row>
    <x:row r="23" ht="25" customHeight="1">
      <x:c r="A23" s="2" t="str">
        <x:v>DS V4 Pro</x:v>
      </x:c>
      <x:c r="B23" s="2" t="str">
        <x:v>C128 compressor state / FP32</x:v>
      </x:c>
      <x:c r="C23" s="8" t="n">
        <x:v>31</x:v>
      </x:c>
      <x:c r="D23" s="8" t="n">
        <x:v>4096</x:v>
      </x:c>
      <x:c r="E23" s="8" t="n">
        <x:f>MIN(($B$5-1),128)</x:f>
        <x:v>128</x:v>
      </x:c>
      <x:c r="F23" s="8" t="n">
        <x:f>MIN(($B$5-1),128)</x:f>
        <x:v>128</x:v>
      </x:c>
      <x:c r="G23" s="8" t="n">
        <x:f>MIN(ROUNDUP(($B$5-1)/($E$5/4),0),ROUNDUP(128/($E$5/4),0)+1)*($E$5/4)</x:f>
        <x:v>160</x:v>
      </x:c>
      <x:c r="H23" s="8" t="n">
        <x:v>8</x:v>
      </x:c>
      <x:c r="I23" s="8" t="n">
        <x:v>1</x:v>
      </x:c>
      <x:c r="J23" s="12" t="n">
        <x:f>C23*D23*E23*H23/2^30</x:f>
        <x:v>0.12109375</x:v>
      </x:c>
      <x:c r="K23" s="12" t="n">
        <x:f>C23*D23*F23*H23/2^30</x:f>
        <x:v>0.12109375</x:v>
      </x:c>
      <x:c r="L23" s="12" t="n">
        <x:f>C23*D23*G23*I23/2^30</x:f>
        <x:v>0.0189208984375</x:v>
      </x:c>
      <x:c r="M23" s="2"/>
    </x:row>
    <x:row r="24" ht="25" customHeight="1">
      <x:c r="A24" s="2" t="str">
        <x:v>DS V4 Pro</x:v>
      </x:c>
      <x:c r="B24" s="2" t="str">
        <x:v>C4 indexer state / FP32</x:v>
      </x:c>
      <x:c r="C24" s="8" t="n">
        <x:v>30</x:v>
      </x:c>
      <x:c r="D24" s="8" t="n">
        <x:v>2048</x:v>
      </x:c>
      <x:c r="E24" s="8" t="n">
        <x:f>MIN(($B$5-1),8)</x:f>
        <x:v>8</x:v>
      </x:c>
      <x:c r="F24" s="8" t="n">
        <x:f>MIN(($B$5-1),8)</x:f>
        <x:v>8</x:v>
      </x:c>
      <x:c r="G24" s="8" t="n">
        <x:f>MIN(ROUNDUP(($B$5-1)/($E$5/16),0),ROUNDUP(8/($E$5/16),0)+1)*($E$5/16)</x:f>
        <x:v>16</x:v>
      </x:c>
      <x:c r="H24" s="8" t="n">
        <x:v>8</x:v>
      </x:c>
      <x:c r="I24" s="8" t="n">
        <x:v>1</x:v>
      </x:c>
      <x:c r="J24" s="12" t="n">
        <x:f>C24*D24*E24*H24/2^30</x:f>
        <x:v>0.003662109375</x:v>
      </x:c>
      <x:c r="K24" s="12" t="n">
        <x:f>C24*D24*F24*H24/2^30</x:f>
        <x:v>0.003662109375</x:v>
      </x:c>
      <x:c r="L24" s="12" t="n">
        <x:f>C24*D24*G24*I24/2^30</x:f>
        <x:v>0.00091552734375</x:v>
      </x:c>
      <x:c r="M24" s="2"/>
    </x:row>
    <x:row r="25" ht="25" customHeight="1">
      <x:c r="A25" s="13" t="str">
        <x:v>DS V4 Pro</x:v>
      </x:c>
      <x:c r="B25" s="13" t="str">
        <x:v>单请求合计</x:v>
      </x:c>
      <x:c r="C25" s="14"/>
      <x:c r="D25" s="14"/>
      <x:c r="E25" s="14"/>
      <x:c r="F25" s="14"/>
      <x:c r="G25" s="14"/>
      <x:c r="H25" s="14"/>
      <x:c r="I25" s="14"/>
      <x:c r="J25" s="15" t="n">
        <x:f>SUM(J18:J24)</x:f>
        <x:v>139.52711632847786</x:v>
      </x:c>
      <x:c r="K25" s="15" t="n">
        <x:f>SUM(K18:K24)</x:f>
        <x:v>17.587152034044266</x:v>
      </x:c>
      <x:c r="L25" s="15" t="n">
        <x:f>SUM(L18:L24)</x:f>
        <x:v>2.21197509765625</x:v>
      </x:c>
      <x:c r="M25" s="2"/>
    </x:row>
    <x:row r="26" ht="25" customHeight="1">
      <x:c r="A26" s="2"/>
      <x:c r="B26" s="2"/>
      <x:c r="C26" s="8"/>
      <x:c r="D26" s="8"/>
      <x:c r="E26" s="8"/>
      <x:c r="F26" s="8"/>
      <x:c r="G26" s="8"/>
      <x:c r="H26" s="8"/>
      <x:c r="I26" s="8"/>
      <x:c r="J26" s="12"/>
      <x:c r="K26" s="12"/>
      <x:c r="L26" s="12"/>
      <x:c r="M26" s="2"/>
    </x:row>
    <x:row r="27" ht="25" customHeight="1">
      <x:c r="A27" s="2" t="str">
        <x:v>GLM5.3</x:v>
      </x:c>
      <x:c r="B27" s="2" t="str">
        <x:v>MLA / BF16</x:v>
      </x:c>
      <x:c r="C27" s="8" t="n">
        <x:v>78</x:v>
      </x:c>
      <x:c r="D27" s="8" t="n">
        <x:v>1152</x:v>
      </x:c>
      <x:c r="E27" s="8" t="n">
        <x:f>INT($B$5/1)</x:f>
        <x:v>262144</x:v>
      </x:c>
      <x:c r="F27" s="8" t="n">
        <x:f>INT($B$5/1)</x:f>
        <x:v>262144</x:v>
      </x:c>
      <x:c r="G27" s="8" t="n">
        <x:f>ROUNDUP($B$5/(1*$E$5),0)*$E$5</x:f>
        <x:v>262144</x:v>
      </x:c>
      <x:c r="H27" s="8" t="n">
        <x:v>8</x:v>
      </x:c>
      <x:c r="I27" s="8" t="n">
        <x:v>1</x:v>
      </x:c>
      <x:c r="J27" s="12" t="n">
        <x:f>C27*D27*E27*H27/2^30</x:f>
        <x:v>175.5</x:v>
      </x:c>
      <x:c r="K27" s="12" t="n">
        <x:f>C27*D27*F27*H27/2^30</x:f>
        <x:v>175.5</x:v>
      </x:c>
      <x:c r="L27" s="12" t="n">
        <x:f>C27*D27*G27*I27/2^30</x:f>
        <x:v>21.9375</x:v>
      </x:c>
      <x:c r="M27" s="2"/>
    </x:row>
    <x:row r="28" ht="25" customHeight="1">
      <x:c r="A28" s="2" t="str">
        <x:v>GLM5.3</x:v>
      </x:c>
      <x:c r="B28" s="2" t="str">
        <x:v>Indexer / BF16</x:v>
      </x:c>
      <x:c r="C28" s="8" t="n">
        <x:v>21</x:v>
      </x:c>
      <x:c r="D28" s="8" t="n">
        <x:v>256</x:v>
      </x:c>
      <x:c r="E28" s="8" t="n">
        <x:f>INT($B$5/1)</x:f>
        <x:v>262144</x:v>
      </x:c>
      <x:c r="F28" s="8" t="n">
        <x:f>INT($B$5/1)</x:f>
        <x:v>262144</x:v>
      </x:c>
      <x:c r="G28" s="8" t="n">
        <x:f>ROUNDUP($B$5/(1*$E$5),0)*$E$5</x:f>
        <x:v>262144</x:v>
      </x:c>
      <x:c r="H28" s="8" t="n">
        <x:v>8</x:v>
      </x:c>
      <x:c r="I28" s="8" t="n">
        <x:v>1</x:v>
      </x:c>
      <x:c r="J28" s="12" t="n">
        <x:f>C28*D28*E28*H28/2^30</x:f>
        <x:v>10.5</x:v>
      </x:c>
      <x:c r="K28" s="12" t="n">
        <x:f>C28*D28*F28*H28/2^30</x:f>
        <x:v>10.5</x:v>
      </x:c>
      <x:c r="L28" s="12" t="n">
        <x:f>C28*D28*G28*I28/2^30</x:f>
        <x:v>1.3125</x:v>
      </x:c>
      <x:c r="M28" s="2"/>
    </x:row>
    <x:row r="29" ht="25" customHeight="1">
      <x:c r="A29" s="13" t="str">
        <x:v>GLM5.3</x:v>
      </x:c>
      <x:c r="B29" s="13" t="str">
        <x:v>单请求合计</x:v>
      </x:c>
      <x:c r="C29" s="14"/>
      <x:c r="D29" s="14"/>
      <x:c r="E29" s="14"/>
      <x:c r="F29" s="14"/>
      <x:c r="G29" s="14"/>
      <x:c r="H29" s="14"/>
      <x:c r="I29" s="14"/>
      <x:c r="J29" s="15" t="n">
        <x:f>SUM(J27:J28)</x:f>
        <x:v>186</x:v>
      </x:c>
      <x:c r="K29" s="15" t="n">
        <x:f>SUM(K27:K28)</x:f>
        <x:v>186</x:v>
      </x:c>
      <x:c r="L29" s="15" t="n">
        <x:f>SUM(L27:L28)</x:f>
        <x:v>23.25</x:v>
      </x:c>
      <x:c r="M29" s="2"/>
    </x:row>
    <x:row r="30" ht="25" customHeight="1">
      <x:c r="A30" s="2"/>
      <x:c r="B30" s="2"/>
      <x:c r="C30" s="8"/>
      <x:c r="D30" s="8"/>
      <x:c r="E30" s="8"/>
      <x:c r="F30" s="8"/>
      <x:c r="G30" s="8"/>
      <x:c r="H30" s="8"/>
      <x:c r="I30" s="8"/>
      <x:c r="J30" s="12"/>
      <x:c r="K30" s="12"/>
      <x:c r="L30" s="12"/>
      <x:c r="M30" s="2"/>
    </x:row>
    <x:row r="31" ht="25" customHeight="1">
      <x:c r="A31" s="2" t="str">
        <x:v>KimiK3</x:v>
      </x:c>
      <x:c r="B31" s="2" t="str">
        <x:v>MLA replicated / BF16</x:v>
      </x:c>
      <x:c r="C31" s="8" t="n">
        <x:v>24</x:v>
      </x:c>
      <x:c r="D31" s="8" t="n">
        <x:v>1152</x:v>
      </x:c>
      <x:c r="E31" s="8" t="n">
        <x:f>INT(($B$5-1)/1)</x:f>
        <x:v>262143</x:v>
      </x:c>
      <x:c r="F31" s="8" t="n">
        <x:f>INT(($B$5-1)/1)</x:f>
        <x:v>262143</x:v>
      </x:c>
      <x:c r="G31" s="8" t="n">
        <x:f>ROUNDUP(($B$5-1)/(1*$E$5),0)*$E$5</x:f>
        <x:v>262144</x:v>
      </x:c>
      <x:c r="H31" s="8" t="n">
        <x:v>8</x:v>
      </x:c>
      <x:c r="I31" s="8" t="n">
        <x:v>8</x:v>
      </x:c>
      <x:c r="J31" s="12" t="n">
        <x:f>C31*D31*E31*H31/2^30</x:f>
        <x:v>53.999794006347656</x:v>
      </x:c>
      <x:c r="K31" s="12" t="n">
        <x:f>C31*D31*F31*H31/2^30</x:f>
        <x:v>53.999794006347656</x:v>
      </x:c>
      <x:c r="L31" s="12" t="n">
        <x:f>C31*D31*G31*I31/2^30</x:f>
        <x:v>54</x:v>
      </x:c>
      <x:c r="M31" s="2"/>
    </x:row>
    <x:row r="32" ht="25" customHeight="1">
      <x:c r="A32" s="2" t="str">
        <x:v>KimiK3</x:v>
      </x:c>
      <x:c r="B32" s="2" t="str">
        <x:v>Conv state / BF16</x:v>
      </x:c>
      <x:c r="C32" s="8" t="n">
        <x:v>69</x:v>
      </x:c>
      <x:c r="D32" s="8" t="n">
        <x:v>9216</x:v>
      </x:c>
      <x:c r="E32" s="8" t="n">
        <x:f>MIN(($B$5-1),3)</x:f>
        <x:v>3</x:v>
      </x:c>
      <x:c r="F32" s="8" t="n">
        <x:f>MIN(($B$5-1),3)</x:f>
        <x:v>3</x:v>
      </x:c>
      <x:c r="G32" s="8" t="n">
        <x:f>3+$H$5</x:f>
        <x:v>10</x:v>
      </x:c>
      <x:c r="H32" s="8" t="n">
        <x:v>8</x:v>
      </x:c>
      <x:c r="I32" s="8" t="n">
        <x:v>8</x:v>
      </x:c>
      <x:c r="J32" s="12" t="n">
        <x:f>C32*D32*E32*H32/2^30</x:f>
        <x:v>0.01421356201171875</x:v>
      </x:c>
      <x:c r="K32" s="12" t="n">
        <x:f>C32*D32*F32*H32/2^30</x:f>
        <x:v>0.01421356201171875</x:v>
      </x:c>
      <x:c r="L32" s="12" t="n">
        <x:f>C32*D32*G32*I32/2^30</x:f>
        <x:v>0.0473785400390625</x:v>
      </x:c>
      <x:c r="M32" s="2"/>
    </x:row>
    <x:row r="33" ht="25" customHeight="1">
      <x:c r="A33" s="2" t="str">
        <x:v>KimiK3</x:v>
      </x:c>
      <x:c r="B33" s="2" t="str">
        <x:v>Recurrent state / FP32</x:v>
      </x:c>
      <x:c r="C33" s="8" t="n">
        <x:v>69</x:v>
      </x:c>
      <x:c r="D33" s="8" t="n">
        <x:v>786432</x:v>
      </x:c>
      <x:c r="E33" s="8" t="n">
        <x:f>1</x:f>
        <x:v>1</x:v>
      </x:c>
      <x:c r="F33" s="8" t="n">
        <x:f>1</x:f>
        <x:v>1</x:v>
      </x:c>
      <x:c r="G33" s="8" t="n">
        <x:f>1</x:f>
        <x:v>1</x:v>
      </x:c>
      <x:c r="H33" s="8" t="n">
        <x:v>8</x:v>
      </x:c>
      <x:c r="I33" s="8" t="n">
        <x:v>8</x:v>
      </x:c>
      <x:c r="J33" s="12" t="n">
        <x:f>C33*D33*E33*H33/2^30</x:f>
        <x:v>0.404296875</x:v>
      </x:c>
      <x:c r="K33" s="12" t="n">
        <x:f>C33*D33*F33*H33/2^30</x:f>
        <x:v>0.404296875</x:v>
      </x:c>
      <x:c r="L33" s="12" t="n">
        <x:f>C33*D33*G33*I33/2^30</x:f>
        <x:v>0.404296875</x:v>
      </x:c>
      <x:c r="M33" s="2"/>
    </x:row>
    <x:row r="34" ht="25" customHeight="1">
      <x:c r="A34" s="13" t="str">
        <x:v>KimiK3</x:v>
      </x:c>
      <x:c r="B34" s="13" t="str">
        <x:v>单请求合计</x:v>
      </x:c>
      <x:c r="C34" s="14"/>
      <x:c r="D34" s="14"/>
      <x:c r="E34" s="14"/>
      <x:c r="F34" s="14"/>
      <x:c r="G34" s="14"/>
      <x:c r="H34" s="14"/>
      <x:c r="I34" s="14"/>
      <x:c r="J34" s="15" t="n">
        <x:f>SUM(J31:J33)</x:f>
        <x:v>54.418304443359375</x:v>
      </x:c>
      <x:c r="K34" s="15" t="n">
        <x:f>SUM(K31:K33)</x:f>
        <x:v>54.418304443359375</x:v>
      </x:c>
      <x:c r="L34" s="15" t="n">
        <x:f>SUM(L31:L33)</x:f>
        <x:v>54.45167541503906</x:v>
      </x:c>
      <x:c r="M34" s="2"/>
    </x:row>
    <x:row r="35" ht="25" customHeight="1">
      <x:c r="A35" s="2"/>
      <x:c r="B35" s="2"/>
      <x:c r="C35" s="8"/>
      <x:c r="D35" s="8"/>
      <x:c r="E35" s="8"/>
      <x:c r="F35" s="8"/>
      <x:c r="G35" s="8"/>
      <x:c r="H35" s="8"/>
      <x:c r="I35" s="8"/>
      <x:c r="J35" s="12"/>
      <x:c r="K35" s="12"/>
      <x:c r="L35" s="12"/>
      <x:c r="M35" s="2"/>
    </x:row>
    <x:row r="36" ht="25" customHeight="1">
      <x:c r="A36" s="2" t="str">
        <x:v>Qwen3.8 2.4T</x:v>
      </x:c>
      <x:c r="B36" s="2" t="str">
        <x:v>GQA K+V / BF16 (KV heads replicated)</x:v>
      </x:c>
      <x:c r="C36" s="8" t="n">
        <x:v>23</x:v>
      </x:c>
      <x:c r="D36" s="8" t="n">
        <x:v>1024</x:v>
      </x:c>
      <x:c r="E36" s="8" t="n">
        <x:f>INT(($B$5-1)/1)</x:f>
        <x:v>262143</x:v>
      </x:c>
      <x:c r="F36" s="8" t="n">
        <x:f>INT(($B$5-1)/1)</x:f>
        <x:v>262143</x:v>
      </x:c>
      <x:c r="G36" s="8" t="n">
        <x:f>ROUNDUP(($B$5-1)/(1*$E$5),0)*$E$5</x:f>
        <x:v>262144</x:v>
      </x:c>
      <x:c r="H36" s="8" t="n">
        <x:v>8</x:v>
      </x:c>
      <x:c r="I36" s="8" t="n">
        <x:v>8</x:v>
      </x:c>
      <x:c r="J36" s="12" t="n">
        <x:f>C36*D36*E36*H36/2^30</x:f>
        <x:v>45.99982452392578</x:v>
      </x:c>
      <x:c r="K36" s="12" t="n">
        <x:f>C36*D36*F36*H36/2^30</x:f>
        <x:v>45.99982452392578</x:v>
      </x:c>
      <x:c r="L36" s="12" t="n">
        <x:f>C36*D36*G36*I36/2^30</x:f>
        <x:v>46</x:v>
      </x:c>
      <x:c r="M36" s="2"/>
    </x:row>
    <x:row r="37" ht="25" customHeight="1">
      <x:c r="A37" s="2" t="str">
        <x:v>Qwen3.8 2.4T</x:v>
      </x:c>
      <x:c r="B37" s="2" t="str">
        <x:v>Conv state / BF16</x:v>
      </x:c>
      <x:c r="C37" s="8" t="n">
        <x:v>69</x:v>
      </x:c>
      <x:c r="D37" s="8" t="n">
        <x:v>5120</x:v>
      </x:c>
      <x:c r="E37" s="8" t="n">
        <x:f>MIN(($B$5-1),3)</x:f>
        <x:v>3</x:v>
      </x:c>
      <x:c r="F37" s="8" t="n">
        <x:f>MIN(($B$5-1),3)</x:f>
        <x:v>3</x:v>
      </x:c>
      <x:c r="G37" s="8" t="n">
        <x:f>3+$H$5</x:f>
        <x:v>10</x:v>
      </x:c>
      <x:c r="H37" s="8" t="n">
        <x:v>8</x:v>
      </x:c>
      <x:c r="I37" s="8" t="n">
        <x:v>8</x:v>
      </x:c>
      <x:c r="J37" s="12" t="n">
        <x:f>C37*D37*E37*H37/2^30</x:f>
        <x:v>0.00789642333984375</x:v>
      </x:c>
      <x:c r="K37" s="12" t="n">
        <x:f>C37*D37*F37*H37/2^30</x:f>
        <x:v>0.00789642333984375</x:v>
      </x:c>
      <x:c r="L37" s="12" t="n">
        <x:f>C37*D37*G37*I37/2^30</x:f>
        <x:v>0.0263214111328125</x:v>
      </x:c>
      <x:c r="M37" s="2"/>
    </x:row>
    <x:row r="38" ht="25" customHeight="1">
      <x:c r="A38" s="2" t="str">
        <x:v>Qwen3.8 2.4T</x:v>
      </x:c>
      <x:c r="B38" s="2" t="str">
        <x:v>Recurrent state / FP32</x:v>
      </x:c>
      <x:c r="C38" s="8" t="n">
        <x:v>69</x:v>
      </x:c>
      <x:c r="D38" s="8" t="n">
        <x:v>1048576</x:v>
      </x:c>
      <x:c r="E38" s="8" t="n">
        <x:f>1</x:f>
        <x:v>1</x:v>
      </x:c>
      <x:c r="F38" s="8" t="n">
        <x:f>1</x:f>
        <x:v>1</x:v>
      </x:c>
      <x:c r="G38" s="8" t="n">
        <x:f>1</x:f>
        <x:v>1</x:v>
      </x:c>
      <x:c r="H38" s="8" t="n">
        <x:v>8</x:v>
      </x:c>
      <x:c r="I38" s="8" t="n">
        <x:v>8</x:v>
      </x:c>
      <x:c r="J38" s="12" t="n">
        <x:f>C38*D38*E38*H38/2^30</x:f>
        <x:v>0.5390625</x:v>
      </x:c>
      <x:c r="K38" s="12" t="n">
        <x:f>C38*D38*F38*H38/2^30</x:f>
        <x:v>0.5390625</x:v>
      </x:c>
      <x:c r="L38" s="12" t="n">
        <x:f>C38*D38*G38*I38/2^30</x:f>
        <x:v>0.5390625</x:v>
      </x:c>
      <x:c r="M38" s="2"/>
    </x:row>
    <x:row r="39" ht="25" customHeight="1">
      <x:c r="A39" s="13" t="str">
        <x:v>Qwen3.8 2.4T</x:v>
      </x:c>
      <x:c r="B39" s="13" t="str">
        <x:v>单请求合计</x:v>
      </x:c>
      <x:c r="C39" s="14"/>
      <x:c r="D39" s="14"/>
      <x:c r="E39" s="14"/>
      <x:c r="F39" s="14"/>
      <x:c r="G39" s="14"/>
      <x:c r="H39" s="14"/>
      <x:c r="I39" s="14"/>
      <x:c r="J39" s="15" t="n">
        <x:f>SUM(J36:J38)</x:f>
        <x:v>46.546783447265625</x:v>
      </x:c>
      <x:c r="K39" s="15" t="n">
        <x:f>SUM(K36:K38)</x:f>
        <x:v>46.546783447265625</x:v>
      </x:c>
      <x:c r="L39" s="15" t="n">
        <x:f>SUM(L36:L38)</x:f>
        <x:v>46.56538391113281</x:v>
      </x:c>
      <x:c r="M39" s="2"/>
    </x:row>
    <x:row r="40" ht="25" customHeight="1">
      <x:c r="A40" s="2"/>
      <x:c r="B40" s="2"/>
      <x:c r="C40" s="8"/>
      <x:c r="D40" s="8"/>
      <x:c r="E40" s="8"/>
      <x:c r="F40" s="8"/>
      <x:c r="G40" s="8"/>
      <x:c r="H40" s="8"/>
      <x:c r="I40" s="8"/>
      <x:c r="J40" s="12"/>
      <x:c r="K40" s="12"/>
      <x:c r="L40" s="12"/>
      <x:c r="M40" s="2"/>
    </x:row>
    <x:row r="41" ht="25" customHeight="1">
      <x:c r="A41" s="2" t="str">
        <x:v>DS V4.1 Flash</x:v>
      </x:c>
      <x:c r="B41" s="2" t="str">
        <x:v>SWA KV / BF16</x:v>
      </x:c>
      <x:c r="C41" s="8" t="n">
        <x:v>40</x:v>
      </x:c>
      <x:c r="D41" s="8" t="n">
        <x:v>1024</x:v>
      </x:c>
      <x:c r="E41" s="8" t="n">
        <x:f>$B$5</x:f>
        <x:v>262144</x:v>
      </x:c>
      <x:c r="F41" s="8" t="n">
        <x:f>MIN($B$5,128)</x:f>
        <x:v>128</x:v>
      </x:c>
      <x:c r="G41" s="8" t="n">
        <x:f>MIN(ROUNDUP($B$5/$E$5,0),ROUNDUP(128/$E$5,0)+1)*$E$5</x:f>
        <x:v>256</x:v>
      </x:c>
      <x:c r="H41" s="8" t="n">
        <x:v>8</x:v>
      </x:c>
      <x:c r="I41" s="8" t="n">
        <x:v>1</x:v>
      </x:c>
      <x:c r="J41" s="12" t="n">
        <x:f>C41*D41*E41*H41/2^30</x:f>
        <x:v>80</x:v>
      </x:c>
      <x:c r="K41" s="12" t="n">
        <x:f>C41*D41*F41*H41/2^30</x:f>
        <x:v>0.0390625</x:v>
      </x:c>
      <x:c r="L41" s="12" t="n">
        <x:f>C41*D41*G41*I41/2^30</x:f>
        <x:v>0.009765625</x:v>
      </x:c>
      <x:c r="M41" s="2" t="str">
        <x:v>迁移未支持；取为规划值</x:v>
      </x:c>
    </x:row>
    <x:row r="42" ht="25" customHeight="1">
      <x:c r="A42" s="2" t="str">
        <x:v>DS V4.1 Flash</x:v>
      </x:c>
      <x:c r="B42" s="2" t="str">
        <x:v>C2 shared KV / BF16</x:v>
      </x:c>
      <x:c r="C42" s="8" t="n">
        <x:v>3</x:v>
      </x:c>
      <x:c r="D42" s="8" t="n">
        <x:v>1024</x:v>
      </x:c>
      <x:c r="E42" s="8" t="n">
        <x:f>INT($B$5/2)</x:f>
        <x:v>131072</x:v>
      </x:c>
      <x:c r="F42" s="8" t="n">
        <x:f>INT($B$5/2)</x:f>
        <x:v>131072</x:v>
      </x:c>
      <x:c r="G42" s="8" t="n">
        <x:f>ROUNDUP(INT($B$5/2)/($E$5/2),0)*($E$5/2)</x:f>
        <x:v>131072</x:v>
      </x:c>
      <x:c r="H42" s="8" t="n">
        <x:v>8</x:v>
      </x:c>
      <x:c r="I42" s="8" t="n">
        <x:v>1</x:v>
      </x:c>
      <x:c r="J42" s="12" t="n">
        <x:f>C42*D42*E42*H42/2^30</x:f>
        <x:v>3</x:v>
      </x:c>
      <x:c r="K42" s="12" t="n">
        <x:f>C42*D42*F42*H42/2^30</x:f>
        <x:v>3</x:v>
      </x:c>
      <x:c r="L42" s="12" t="n">
        <x:f>C42*D42*G42*I42/2^30</x:f>
        <x:v>0.375</x:v>
      </x:c>
      <x:c r="M42" s="2" t="str">
        <x:v>迁移未支持；取为规划值</x:v>
      </x:c>
    </x:row>
    <x:row r="43" ht="25" customHeight="1">
      <x:c r="A43" s="2" t="str">
        <x:v>DS V4.1 Flash</x:v>
      </x:c>
      <x:c r="B43" s="2" t="str">
        <x:v>C2 shared Indexer / INT8 + FP16 scale</x:v>
      </x:c>
      <x:c r="C43" s="8" t="n">
        <x:v>3</x:v>
      </x:c>
      <x:c r="D43" s="8" t="n">
        <x:v>130</x:v>
      </x:c>
      <x:c r="E43" s="8" t="n">
        <x:f>INT($B$5/2)</x:f>
        <x:v>131072</x:v>
      </x:c>
      <x:c r="F43" s="8" t="n">
        <x:f>INT($B$5/2)</x:f>
        <x:v>131072</x:v>
      </x:c>
      <x:c r="G43" s="8" t="n">
        <x:f>ROUNDUP(INT($B$5/2)/($E$5/2),0)*($E$5/2)</x:f>
        <x:v>131072</x:v>
      </x:c>
      <x:c r="H43" s="8" t="n">
        <x:v>8</x:v>
      </x:c>
      <x:c r="I43" s="8" t="n">
        <x:v>1</x:v>
      </x:c>
      <x:c r="J43" s="12" t="n">
        <x:f>C43*D43*E43*H43/2^30</x:f>
        <x:v>0.380859375</x:v>
      </x:c>
      <x:c r="K43" s="12" t="n">
        <x:f>C43*D43*F43*H43/2^30</x:f>
        <x:v>0.380859375</x:v>
      </x:c>
      <x:c r="L43" s="12" t="n">
        <x:f>C43*D43*G43*I43/2^30</x:f>
        <x:v>0.047607421875</x:v>
      </x:c>
      <x:c r="M43" s="2" t="str">
        <x:v>迁移未支持；取为规划值</x:v>
      </x:c>
    </x:row>
    <x:row r="44" ht="25" customHeight="1">
      <x:c r="A44" s="2" t="str">
        <x:v>DS V4.1 Flash</x:v>
      </x:c>
      <x:c r="B44" s="2" t="str">
        <x:v>C1 shared KV / BF16</x:v>
      </x:c>
      <x:c r="C44" s="8" t="n">
        <x:v>1</x:v>
      </x:c>
      <x:c r="D44" s="8" t="n">
        <x:v>1024</x:v>
      </x:c>
      <x:c r="E44" s="8" t="n">
        <x:f>INT($B$5/1)</x:f>
        <x:v>262144</x:v>
      </x:c>
      <x:c r="F44" s="8" t="n">
        <x:f>INT($B$5/1)</x:f>
        <x:v>262144</x:v>
      </x:c>
      <x:c r="G44" s="8" t="n">
        <x:f>ROUNDUP(INT($B$5/1)/($E$5/1),0)*($E$5/1)</x:f>
        <x:v>262144</x:v>
      </x:c>
      <x:c r="H44" s="8" t="n">
        <x:v>8</x:v>
      </x:c>
      <x:c r="I44" s="8" t="n">
        <x:v>1</x:v>
      </x:c>
      <x:c r="J44" s="12" t="n">
        <x:f>C44*D44*E44*H44/2^30</x:f>
        <x:v>2</x:v>
      </x:c>
      <x:c r="K44" s="12" t="n">
        <x:f>C44*D44*F44*H44/2^30</x:f>
        <x:v>2</x:v>
      </x:c>
      <x:c r="L44" s="12" t="n">
        <x:f>C44*D44*G44*I44/2^30</x:f>
        <x:v>0.25</x:v>
      </x:c>
      <x:c r="M44" s="2" t="str">
        <x:v>迁移未支持；取为规划值</x:v>
      </x:c>
    </x:row>
    <x:row r="45" ht="25" customHeight="1">
      <x:c r="A45" s="2" t="str">
        <x:v>DS V4.1 Flash</x:v>
      </x:c>
      <x:c r="B45" s="2" t="str">
        <x:v>C1 shared Indexer / INT8 + FP16 scale</x:v>
      </x:c>
      <x:c r="C45" s="8" t="n">
        <x:v>1</x:v>
      </x:c>
      <x:c r="D45" s="8" t="n">
        <x:v>130</x:v>
      </x:c>
      <x:c r="E45" s="8" t="n">
        <x:f>INT($B$5/1)</x:f>
        <x:v>262144</x:v>
      </x:c>
      <x:c r="F45" s="8" t="n">
        <x:f>INT($B$5/1)</x:f>
        <x:v>262144</x:v>
      </x:c>
      <x:c r="G45" s="8" t="n">
        <x:f>ROUNDUP(INT($B$5/1)/($E$5/1),0)*($E$5/1)</x:f>
        <x:v>262144</x:v>
      </x:c>
      <x:c r="H45" s="8" t="n">
        <x:v>8</x:v>
      </x:c>
      <x:c r="I45" s="8" t="n">
        <x:v>1</x:v>
      </x:c>
      <x:c r="J45" s="12" t="n">
        <x:f>C45*D45*E45*H45/2^30</x:f>
        <x:v>0.25390625</x:v>
      </x:c>
      <x:c r="K45" s="12" t="n">
        <x:f>C45*D45*F45*H45/2^30</x:f>
        <x:v>0.25390625</x:v>
      </x:c>
      <x:c r="L45" s="12" t="n">
        <x:f>C45*D45*G45*I45/2^30</x:f>
        <x:v>0.03173828125</x:v>
      </x:c>
      <x:c r="M45" s="2" t="str">
        <x:v>迁移未支持；取为规划值</x:v>
      </x:c>
    </x:row>
    <x:row r="46" ht="25" customHeight="1">
      <x:c r="A46" s="2" t="str">
        <x:v>DS V4.1 Flash</x:v>
      </x:c>
      <x:c r="B46" s="2" t="str">
        <x:v>C2 circular ring / FP32 KV+score</x:v>
      </x:c>
      <x:c r="C46" s="8" t="n">
        <x:v>3</x:v>
      </x:c>
      <x:c r="D46" s="8" t="n">
        <x:v>4096</x:v>
      </x:c>
      <x:c r="E46" s="8" t="n">
        <x:f>MIN($B$5,32)</x:f>
        <x:v>32</x:v>
      </x:c>
      <x:c r="F46" s="8" t="n">
        <x:f>MIN($B$5,32)</x:f>
        <x:v>32</x:v>
      </x:c>
      <x:c r="G46" s="8" t="n">
        <x:f>32</x:f>
        <x:v>32</x:v>
      </x:c>
      <x:c r="H46" s="8" t="n">
        <x:v>8</x:v>
      </x:c>
      <x:c r="I46" s="8" t="n">
        <x:v>1</x:v>
      </x:c>
      <x:c r="J46" s="12" t="n">
        <x:f>C46*D46*E46*H46/2^30</x:f>
        <x:v>0.0029296875</x:v>
      </x:c>
      <x:c r="K46" s="12" t="n">
        <x:f>C46*D46*F46*H46/2^30</x:f>
        <x:v>0.0029296875</x:v>
      </x:c>
      <x:c r="L46" s="12" t="n">
        <x:f>C46*D46*G46*I46/2^30</x:f>
        <x:v>0.0003662109375</x:v>
      </x:c>
      <x:c r="M46" s="2" t="str">
        <x:v>迁移未支持；取为规划值</x:v>
      </x:c>
    </x:row>
    <x:row r="47" ht="25" customHeight="1">
      <x:c r="A47" s="13" t="str">
        <x:v>DS V4.1 Flash</x:v>
      </x:c>
      <x:c r="B47" s="13" t="str">
        <x:v>单请求合计</x:v>
      </x:c>
      <x:c r="C47" s="14"/>
      <x:c r="D47" s="14"/>
      <x:c r="E47" s="14"/>
      <x:c r="F47" s="14"/>
      <x:c r="G47" s="14"/>
      <x:c r="H47" s="14"/>
      <x:c r="I47" s="14"/>
      <x:c r="J47" s="15" t="n">
        <x:f>SUM(J41:J46)</x:f>
        <x:v>85.6376953125</x:v>
      </x:c>
      <x:c r="K47" s="15" t="n">
        <x:f>SUM(K41:K46)</x:f>
        <x:v>5.6767578125</x:v>
      </x:c>
      <x:c r="L47" s="15" t="n">
        <x:f>SUM(L41:L46)</x:f>
        <x:v>0.7144775390625</x:v>
      </x:c>
      <x:c r="M47" s="2"/>
    </x:row>
    <x:row r="48" ht="25" customHeight="1">
      <x:c r="A48" s="2"/>
      <x:c r="B48" s="2"/>
      <x:c r="C48" s="8"/>
      <x:c r="D48" s="8"/>
      <x:c r="E48" s="8"/>
      <x:c r="F48" s="8"/>
      <x:c r="G48" s="8"/>
      <x:c r="H48" s="8"/>
      <x:c r="I48" s="8"/>
      <x:c r="J48" s="12"/>
      <x:c r="K48" s="12"/>
      <x:c r="L48" s="12"/>
      <x:c r="M48" s="2"/>
    </x:row>
    <x:row r="49" ht="25" customHeight="1">
      <x:c r="A49" s="2"/>
      <x:c r="B49" s="2"/>
      <x:c r="C49" s="8"/>
      <x:c r="D49" s="8"/>
      <x:c r="E49" s="8"/>
      <x:c r="F49" s="8"/>
      <x:c r="G49" s="8"/>
      <x:c r="H49" s="8"/>
      <x:c r="I49" s="8"/>
      <x:c r="J49" s="12"/>
      <x:c r="K49" s="12"/>
      <x:c r="L49" s="12"/>
      <x:c r="M49" s="2"/>
    </x:row>
    <x:row r="50" ht="25" customHeight="1">
      <x:c r="A50" s="2" t="str">
        <x:v>前五模型：MooncakeConnector；P/D 同 block size、同 speculative 配置；无前缀命中、PCP/DCP=1。</x:v>
      </x:c>
      <x:c r="B50" s="2"/>
      <x:c r="C50" s="8"/>
      <x:c r="D50" s="8"/>
      <x:c r="E50" s="8"/>
      <x:c r="F50" s="8"/>
      <x:c r="G50" s="8"/>
      <x:c r="H50" s="8"/>
      <x:c r="I50" s="8"/>
      <x:c r="J50" s="12"/>
      <x:c r="K50" s="12"/>
      <x:c r="L50" s="12"/>
      <x:c r="M50" s="2"/>
    </x:row>
    <x:row r="51" ht="25" customHeight="1">
      <x:c r="A51" s="2"/>
      <x:c r="B51" s="2"/>
      <x:c r="C51" s="8"/>
      <x:c r="D51" s="8"/>
      <x:c r="E51" s="8"/>
      <x:c r="F51" s="8"/>
      <x:c r="G51" s="8"/>
      <x:c r="H51" s="8"/>
      <x:c r="I51" s="8"/>
      <x:c r="J51" s="12"/>
      <x:c r="K51" s="12"/>
      <x:c r="L51" s="12"/>
      <x:c r="M51" s="2"/>
    </x:row>
    <x:row r="52" ht="25" customHeight="1">
      <x:c r="A52" s="2" t="str">
        <x:v>GLM: 78 主干 / 21 Indexer；Kimi: 24 MLA + 69 KDA；Qwen: 23 GQA + 69 GDN。</x:v>
      </x:c>
      <x:c r="B52" s="2"/>
      <x:c r="C52" s="8"/>
      <x:c r="D52" s="8"/>
      <x:c r="E52" s="8"/>
      <x:c r="F52" s="8"/>
      <x:c r="G52" s="8"/>
      <x:c r="H52" s="8"/>
      <x:c r="I52" s="8"/>
      <x:c r="J52" s="12"/>
      <x:c r="K52" s="12"/>
      <x:c r="L52" s="12"/>
      <x:c r="M52" s="2"/>
    </x:row>
    <x:row r="53" ht="25" customHeight="1">
      <x:c r="A53" s="2"/>
      <x:c r="B53" s="2"/>
      <x:c r="C53" s="8"/>
      <x:c r="D53" s="8"/>
      <x:c r="E53" s="8"/>
      <x:c r="F53" s="8"/>
      <x:c r="G53" s="8"/>
      <x:c r="H53" s="8"/>
      <x:c r="I53" s="8"/>
      <x:c r="J53" s="12"/>
      <x:c r="K53" s="12"/>
      <x:c r="L53" s="12"/>
      <x:c r="M53" s="2"/>
    </x:row>
    <x:row r="54" ht="25" customHeight="1">
      <x:c r="A54" s="2" t="str">
        <x:v>V4.1：S tokens 快照；C2 物理页 B/2 行，只计完成的压缩对；环形 state 规划传完整 32 行页。</x:v>
      </x:c>
      <x:c r="B54" s="2"/>
      <x:c r="C54" s="8"/>
      <x:c r="D54" s="8"/>
      <x:c r="E54" s="8"/>
      <x:c r="F54" s="8"/>
      <x:c r="G54" s="8"/>
      <x:c r="H54" s="8"/>
      <x:c r="I54" s="8"/>
      <x:c r="J54" s="12"/>
      <x:c r="K54" s="12"/>
      <x:c r="L54" s="12"/>
      <x:c r="M54" s="2"/>
    </x:row>
    <x:row r="55" ht="25" customHeight="1">
      <x:c r="A55" s="2"/>
      <x:c r="B55" s="2"/>
      <x:c r="C55" s="8"/>
      <x:c r="D55" s="8"/>
      <x:c r="E55" s="8"/>
      <x:c r="F55" s="8"/>
      <x:c r="G55" s="8"/>
      <x:c r="H55" s="8"/>
      <x:c r="I55" s="8"/>
      <x:c r="J55" s="12"/>
      <x:c r="K55" s="12"/>
      <x:c r="L55" s="12"/>
      <x:c r="M55" s="2"/>
    </x:row>
    <x:row r="56" ht="25" customHeight="1">
      <x:c r="A56" s="2" t="str">
        <x:v>来源：归档 config / VA 842b030f / vLLM c8438a3；V4.1 main 1933f86；路径/哈希见源码清单。</x:v>
      </x:c>
      <x:c r="B56" s="2"/>
      <x:c r="C56" s="8"/>
      <x:c r="D56" s="8"/>
      <x:c r="E56" s="8"/>
      <x:c r="F56" s="8"/>
      <x:c r="G56" s="8"/>
      <x:c r="H56" s="8"/>
      <x:c r="I56" s="8"/>
      <x:c r="J56" s="12"/>
      <x:c r="K56" s="12"/>
      <x:c r="L56" s="12"/>
      <x:c r="M56" s="2"/>
    </x:row>
    <x:row r="57" ht="25" customHeight="1">
      <x:c r="A57" s="2"/>
      <x:c r="B57" s="2"/>
      <x:c r="C57" s="8"/>
      <x:c r="D57" s="8"/>
      <x:c r="E57" s="8"/>
      <x:c r="F57" s="8"/>
      <x:c r="G57" s="8"/>
      <x:c r="H57" s="8"/>
      <x:c r="I57" s="8"/>
      <x:c r="J57" s="12"/>
      <x:c r="K57" s="12"/>
      <x:c r="L57" s="12"/>
      <x:c r="M57" s="2"/>
    </x:row>
    <x:row r="58" ht="25" customHeight="1">
      <x:c r="A58" s="2"/>
      <x:c r="B58" s="2"/>
      <x:c r="C58" s="8"/>
      <x:c r="D58" s="8"/>
      <x:c r="E58" s="8"/>
      <x:c r="F58" s="8"/>
      <x:c r="G58" s="8"/>
      <x:c r="H58" s="8"/>
      <x:c r="I58" s="8"/>
      <x:c r="J58" s="12"/>
      <x:c r="K58" s="12"/>
      <x:c r="L58" s="12"/>
      <x:c r="M58" s="2"/>
    </x:row>
    <x:row r="59" ht="25" customHeight="1">
      <x:c r="A59" s="2"/>
      <x:c r="B59" s="2"/>
      <x:c r="C59" s="8"/>
      <x:c r="D59" s="8"/>
      <x:c r="E59" s="8"/>
      <x:c r="F59" s="8"/>
      <x:c r="G59" s="8"/>
      <x:c r="H59" s="8"/>
      <x:c r="I59" s="8"/>
      <x:c r="J59" s="12"/>
      <x:c r="K59" s="12"/>
      <x:c r="L59" s="12"/>
      <x:c r="M59" s="2"/>
    </x:row>
    <x:row r="60" ht="25" customHeight="1">
      <x:c r="A60" s="2"/>
      <x:c r="B60" s="2"/>
      <x:c r="C60" s="8"/>
      <x:c r="D60" s="8"/>
      <x:c r="E60" s="8"/>
      <x:c r="F60" s="8"/>
      <x:c r="G60" s="8"/>
      <x:c r="H60" s="8"/>
      <x:c r="I60" s="8"/>
      <x:c r="J60" s="12"/>
      <x:c r="K60" s="12"/>
      <x:c r="L60" s="12"/>
      <x:c r="M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</x:sheetData>
  <x:dataValidations count="4">
    <x:dataValidation type="list" sqref="E5">
      <x:formula1>"32,64,128"</x:formula1>
    </x:dataValidation>
    <x:dataValidation type="whole" operator="between" sqref="B5">
      <x:formula1>2</x:formula1>
      <x:formula2>1048576</x:formula2>
    </x:dataValidation>
    <x:dataValidation type="whole" operator="between" sqref="H5">
      <x:formula1>0</x:formula1>
      <x:formula2>64</x:formula2>
    </x:dataValidation>
    <x:dataValidation type="whole" operator="between" sqref="K5">
      <x:formula1>1</x:formula1>
      <x:formula2>65536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EP 通信 · AllToAllV / A3 MC2 FullMesh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均衡路由；只计跨 Rank，排除自拷贝。EP=TP×DP。黄色输入可编辑。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 t="str">
        <x:v>P tokens/DP</x:v>
      </x:c>
      <x:c r="B5" s="11" t="n">
        <x:v>16384</x:v>
      </x:c>
      <x:c r="C5" s="2" t="str">
        <x:v>D tokens/DP</x:v>
      </x:c>
      <x:c r="D5" s="11" t="n">
        <x:v>128</x:v>
      </x:c>
      <x:c r="E5" s="2" t="str">
        <x:v>dispatch B</x:v>
      </x:c>
      <x:c r="F5" s="11" t="n">
        <x:v>2</x:v>
      </x:c>
      <x:c r="G5" s="2" t="str">
        <x:v>scale B/token</x:v>
      </x:c>
      <x:c r="H5" s="11" t="n">
        <x:v>0</x:v>
      </x:c>
      <x:c r="I5" s="2" t="str">
        <x:v>combine B</x:v>
      </x:c>
      <x:c r="J5" s="11" t="n">
        <x:v>2</x:v>
      </x:c>
      <x:c r="K5" s="2" t="str">
        <x:v>histogram B</x:v>
      </x:c>
      <x:c r="L5" s="11" t="n">
        <x:v>4</x:v>
      </x:c>
      <x:c r="M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2" t="str">
        <x:v>兼容性</x:v>
      </x:c>
      <x:c r="B7" s="2" t="str">
        <x:f>IF(AND(J5=2,OR(AND(F5=2,H5=0),AND(F5=1,H5=4))),"A3 packing supported","INVALID dtype/scale")</x:f>
        <x:v>A3 packing supported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40" customHeight="1">
      <x:c r="A9" s="7" t="str">
        <x:v>模型</x:v>
      </x:c>
      <x:c r="B9" s="7" t="str">
        <x:v>EP</x:v>
      </x:c>
      <x:c r="C9" s="7" t="str">
        <x:v>MoE层</x:v>
      </x:c>
      <x:c r="D9" s="7" t="str">
        <x:v>H</x:v>
      </x:c>
      <x:c r="E9" s="7" t="str">
        <x:v>TopK</x:v>
      </x:c>
      <x:c r="F9" s="7" t="str">
        <x:v>逻辑专家</x:v>
      </x:c>
      <x:c r="G9" s="7" t="str">
        <x:v>物理专家槽</x:v>
      </x:c>
      <x:c r="H9" s="7" t="str">
        <x:v>补齐槽数</x:v>
      </x:c>
      <x:c r="I9" s="7" t="str">
        <x:v>P TP</x:v>
      </x:c>
      <x:c r="J9" s="7" t="str">
        <x:v>D TP</x:v>
      </x:c>
      <x:c r="K9" s="7" t="str">
        <x:v>P tokens/Rank</x:v>
      </x:c>
      <x:c r="L9" s="7" t="str">
        <x:v>D tokens/Rank</x:v>
      </x:c>
      <x:c r="M9" s="7" t="str">
        <x:v>MC2 dispatch B</x:v>
      </x:c>
    </x:row>
    <x:row r="10" ht="25" customHeight="1">
      <x:c r="A10" s="2" t="str">
        <x:v>DS V4 10T</x:v>
      </x:c>
      <x:c r="B10" s="2" t="n">
        <x:v>32</x:v>
      </x:c>
      <x:c r="C10" s="2" t="n">
        <x:v>61</x:v>
      </x:c>
      <x:c r="D10" s="2" t="n">
        <x:v>7168</x:v>
      </x:c>
      <x:c r="E10" s="2" t="n">
        <x:v>6</x:v>
      </x:c>
      <x:c r="F10" s="2" t="n">
        <x:v>384</x:v>
      </x:c>
      <x:c r="G10" s="2" t="n">
        <x:f>ROUNDUP(F10/B10,0)*B10</x:f>
        <x:v>384</x:v>
      </x:c>
      <x:c r="H10" s="2" t="n">
        <x:f>G10-F10</x:f>
        <x:v>0</x:v>
      </x:c>
      <x:c r="I10" s="2" t="n">
        <x:v>8</x:v>
      </x:c>
      <x:c r="J10" s="2" t="n">
        <x:v>1</x:v>
      </x:c>
      <x:c r="K10" s="2" t="n">
        <x:f>ROUNDUP($B$5/I10,0)</x:f>
        <x:v>2048</x:v>
      </x:c>
      <x:c r="L10" s="2" t="n">
        <x:f>ROUNDUP($D$5/J10,0)</x:f>
        <x:v>128</x:v>
      </x:c>
      <x:c r="M10" s="2" t="n">
        <x:f>ROUNDUP((ROUNDUP((ROUNDUP(D10*$F$5/32,0)*32+$H$5)/32,0)*32+32)/480,0)*512</x:f>
        <x:v>15360</x:v>
      </x:c>
    </x:row>
    <x:row r="11" ht="25" customHeight="1">
      <x:c r="A11" s="2" t="str">
        <x:v>DS V4 10T</x:v>
      </x:c>
      <x:c r="B11" s="2" t="n">
        <x:v>256</x:v>
      </x:c>
      <x:c r="C11" s="2" t="n">
        <x:v>61</x:v>
      </x:c>
      <x:c r="D11" s="2" t="n">
        <x:v>7168</x:v>
      </x:c>
      <x:c r="E11" s="2" t="n">
        <x:v>6</x:v>
      </x:c>
      <x:c r="F11" s="2" t="n">
        <x:v>384</x:v>
      </x:c>
      <x:c r="G11" s="2" t="n">
        <x:f>ROUNDUP(F11/B11,0)*B11</x:f>
        <x:v>512</x:v>
      </x:c>
      <x:c r="H11" s="2" t="n">
        <x:f>G11-F11</x:f>
        <x:v>128</x:v>
      </x:c>
      <x:c r="I11" s="2" t="n">
        <x:v>8</x:v>
      </x:c>
      <x:c r="J11" s="2" t="n">
        <x:v>1</x:v>
      </x:c>
      <x:c r="K11" s="2" t="n">
        <x:f>ROUNDUP($B$5/I11,0)</x:f>
        <x:v>2048</x:v>
      </x:c>
      <x:c r="L11" s="2" t="n">
        <x:f>ROUNDUP($D$5/J11,0)</x:f>
        <x:v>128</x:v>
      </x:c>
      <x:c r="M11" s="2" t="n">
        <x:f>ROUNDUP((ROUNDUP((ROUNDUP(D11*$F$5/32,0)*32+$H$5)/32,0)*32+32)/480,0)*512</x:f>
        <x:v>15360</x:v>
      </x:c>
    </x:row>
    <x:row r="12" ht="25" customHeight="1">
      <x:c r="A12" s="2" t="str">
        <x:v>DS V4 Pro</x:v>
      </x:c>
      <x:c r="B12" s="2" t="n">
        <x:v>32</x:v>
      </x:c>
      <x:c r="C12" s="2" t="n">
        <x:v>61</x:v>
      </x:c>
      <x:c r="D12" s="2" t="n">
        <x:v>7168</x:v>
      </x:c>
      <x:c r="E12" s="2" t="n">
        <x:v>6</x:v>
      </x:c>
      <x:c r="F12" s="2" t="n">
        <x:v>384</x:v>
      </x:c>
      <x:c r="G12" s="2" t="n">
        <x:f>ROUNDUP(F12/B12,0)*B12</x:f>
        <x:v>384</x:v>
      </x:c>
      <x:c r="H12" s="2" t="n">
        <x:f>G12-F12</x:f>
        <x:v>0</x:v>
      </x:c>
      <x:c r="I12" s="2" t="n">
        <x:v>8</x:v>
      </x:c>
      <x:c r="J12" s="2" t="n">
        <x:v>1</x:v>
      </x:c>
      <x:c r="K12" s="2" t="n">
        <x:f>ROUNDUP($B$5/I12,0)</x:f>
        <x:v>2048</x:v>
      </x:c>
      <x:c r="L12" s="2" t="n">
        <x:f>ROUNDUP($D$5/J12,0)</x:f>
        <x:v>128</x:v>
      </x:c>
      <x:c r="M12" s="2" t="n">
        <x:f>ROUNDUP((ROUNDUP((ROUNDUP(D12*$F$5/32,0)*32+$H$5)/32,0)*32+32)/480,0)*512</x:f>
        <x:v>15360</x:v>
      </x:c>
    </x:row>
    <x:row r="13" ht="25" customHeight="1">
      <x:c r="A13" s="2" t="str">
        <x:v>DS V4 Pro</x:v>
      </x:c>
      <x:c r="B13" s="2" t="n">
        <x:v>256</x:v>
      </x:c>
      <x:c r="C13" s="2" t="n">
        <x:v>61</x:v>
      </x:c>
      <x:c r="D13" s="2" t="n">
        <x:v>7168</x:v>
      </x:c>
      <x:c r="E13" s="2" t="n">
        <x:v>6</x:v>
      </x:c>
      <x:c r="F13" s="2" t="n">
        <x:v>384</x:v>
      </x:c>
      <x:c r="G13" s="2" t="n">
        <x:f>ROUNDUP(F13/B13,0)*B13</x:f>
        <x:v>512</x:v>
      </x:c>
      <x:c r="H13" s="2" t="n">
        <x:f>G13-F13</x:f>
        <x:v>128</x:v>
      </x:c>
      <x:c r="I13" s="2" t="n">
        <x:v>8</x:v>
      </x:c>
      <x:c r="J13" s="2" t="n">
        <x:v>1</x:v>
      </x:c>
      <x:c r="K13" s="2" t="n">
        <x:f>ROUNDUP($B$5/I13,0)</x:f>
        <x:v>2048</x:v>
      </x:c>
      <x:c r="L13" s="2" t="n">
        <x:f>ROUNDUP($D$5/J13,0)</x:f>
        <x:v>128</x:v>
      </x:c>
      <x:c r="M13" s="2" t="n">
        <x:f>ROUNDUP((ROUNDUP((ROUNDUP(D13*$F$5/32,0)*32+$H$5)/32,0)*32+32)/480,0)*512</x:f>
        <x:v>15360</x:v>
      </x:c>
    </x:row>
    <x:row r="14" ht="25" customHeight="1">
      <x:c r="A14" s="2" t="str">
        <x:v>GLM5.3</x:v>
      </x:c>
      <x:c r="B14" s="2" t="n">
        <x:v>32</x:v>
      </x:c>
      <x:c r="C14" s="2" t="n">
        <x:v>75</x:v>
      </x:c>
      <x:c r="D14" s="2" t="n">
        <x:v>6144</x:v>
      </x:c>
      <x:c r="E14" s="2" t="n">
        <x:v>8</x:v>
      </x:c>
      <x:c r="F14" s="2" t="n">
        <x:v>256</x:v>
      </x:c>
      <x:c r="G14" s="2" t="n">
        <x:f>ROUNDUP(F14/B14,0)*B14</x:f>
        <x:v>256</x:v>
      </x:c>
      <x:c r="H14" s="2" t="n">
        <x:f>G14-F14</x:f>
        <x:v>0</x:v>
      </x:c>
      <x:c r="I14" s="2" t="n">
        <x:v>8</x:v>
      </x:c>
      <x:c r="J14" s="2" t="n">
        <x:v>1</x:v>
      </x:c>
      <x:c r="K14" s="2" t="n">
        <x:f>ROUNDUP($B$5/I14,0)</x:f>
        <x:v>2048</x:v>
      </x:c>
      <x:c r="L14" s="2" t="n">
        <x:f>ROUNDUP($D$5/J14,0)</x:f>
        <x:v>128</x:v>
      </x:c>
      <x:c r="M14" s="2" t="n">
        <x:f>ROUNDUP((ROUNDUP((ROUNDUP(D14*$F$5/32,0)*32+$H$5)/32,0)*32+32)/480,0)*512</x:f>
        <x:v>13312</x:v>
      </x:c>
    </x:row>
    <x:row r="15" ht="25" customHeight="1">
      <x:c r="A15" s="2" t="str">
        <x:v>GLM5.3</x:v>
      </x:c>
      <x:c r="B15" s="2" t="n">
        <x:v>256</x:v>
      </x:c>
      <x:c r="C15" s="2" t="n">
        <x:v>75</x:v>
      </x:c>
      <x:c r="D15" s="2" t="n">
        <x:v>6144</x:v>
      </x:c>
      <x:c r="E15" s="2" t="n">
        <x:v>8</x:v>
      </x:c>
      <x:c r="F15" s="2" t="n">
        <x:v>256</x:v>
      </x:c>
      <x:c r="G15" s="2" t="n">
        <x:f>ROUNDUP(F15/B15,0)*B15</x:f>
        <x:v>256</x:v>
      </x:c>
      <x:c r="H15" s="2" t="n">
        <x:f>G15-F15</x:f>
        <x:v>0</x:v>
      </x:c>
      <x:c r="I15" s="2" t="n">
        <x:v>8</x:v>
      </x:c>
      <x:c r="J15" s="2" t="n">
        <x:v>1</x:v>
      </x:c>
      <x:c r="K15" s="2" t="n">
        <x:f>ROUNDUP($B$5/I15,0)</x:f>
        <x:v>2048</x:v>
      </x:c>
      <x:c r="L15" s="2" t="n">
        <x:f>ROUNDUP($D$5/J15,0)</x:f>
        <x:v>128</x:v>
      </x:c>
      <x:c r="M15" s="2" t="n">
        <x:f>ROUNDUP((ROUNDUP((ROUNDUP(D15*$F$5/32,0)*32+$H$5)/32,0)*32+32)/480,0)*512</x:f>
        <x:v>13312</x:v>
      </x:c>
    </x:row>
    <x:row r="16" ht="25" customHeight="1">
      <x:c r="A16" s="2" t="str">
        <x:v>KimiK3</x:v>
      </x:c>
      <x:c r="B16" s="2" t="n">
        <x:v>32</x:v>
      </x:c>
      <x:c r="C16" s="2" t="n">
        <x:v>92</x:v>
      </x:c>
      <x:c r="D16" s="2" t="n">
        <x:v>7168</x:v>
      </x:c>
      <x:c r="E16" s="2" t="n">
        <x:v>16</x:v>
      </x:c>
      <x:c r="F16" s="2" t="n">
        <x:v>896</x:v>
      </x:c>
      <x:c r="G16" s="2" t="n">
        <x:f>ROUNDUP(F16/B16,0)*B16</x:f>
        <x:v>896</x:v>
      </x:c>
      <x:c r="H16" s="2" t="n">
        <x:f>G16-F16</x:f>
        <x:v>0</x:v>
      </x:c>
      <x:c r="I16" s="2" t="n">
        <x:v>8</x:v>
      </x:c>
      <x:c r="J16" s="2" t="n">
        <x:v>8</x:v>
      </x:c>
      <x:c r="K16" s="2" t="n">
        <x:f>ROUNDUP($B$5/I16,0)</x:f>
        <x:v>2048</x:v>
      </x:c>
      <x:c r="L16" s="2" t="n">
        <x:f>ROUNDUP($D$5/J16,0)</x:f>
        <x:v>16</x:v>
      </x:c>
      <x:c r="M16" s="2" t="n">
        <x:f>ROUNDUP((ROUNDUP((ROUNDUP(D16*$F$5/32,0)*32+$H$5)/32,0)*32+32)/480,0)*512</x:f>
        <x:v>15360</x:v>
      </x:c>
    </x:row>
    <x:row r="17" ht="25" customHeight="1">
      <x:c r="A17" s="2" t="str">
        <x:v>KimiK3</x:v>
      </x:c>
      <x:c r="B17" s="2" t="n">
        <x:v>256</x:v>
      </x:c>
      <x:c r="C17" s="2" t="n">
        <x:v>92</x:v>
      </x:c>
      <x:c r="D17" s="2" t="n">
        <x:v>7168</x:v>
      </x:c>
      <x:c r="E17" s="2" t="n">
        <x:v>16</x:v>
      </x:c>
      <x:c r="F17" s="2" t="n">
        <x:v>896</x:v>
      </x:c>
      <x:c r="G17" s="2" t="n">
        <x:f>ROUNDUP(F17/B17,0)*B17</x:f>
        <x:v>1024</x:v>
      </x:c>
      <x:c r="H17" s="2" t="n">
        <x:f>G17-F17</x:f>
        <x:v>128</x:v>
      </x:c>
      <x:c r="I17" s="2" t="n">
        <x:v>8</x:v>
      </x:c>
      <x:c r="J17" s="2" t="n">
        <x:v>8</x:v>
      </x:c>
      <x:c r="K17" s="2" t="n">
        <x:f>ROUNDUP($B$5/I17,0)</x:f>
        <x:v>2048</x:v>
      </x:c>
      <x:c r="L17" s="2" t="n">
        <x:f>ROUNDUP($D$5/J17,0)</x:f>
        <x:v>16</x:v>
      </x:c>
      <x:c r="M17" s="2" t="n">
        <x:f>ROUNDUP((ROUNDUP((ROUNDUP(D17*$F$5/32,0)*32+$H$5)/32,0)*32+32)/480,0)*512</x:f>
        <x:v>15360</x:v>
      </x:c>
    </x:row>
    <x:row r="18" ht="25" customHeight="1">
      <x:c r="A18" s="2" t="str">
        <x:v>Qwen3.8 2.4T</x:v>
      </x:c>
      <x:c r="B18" s="2" t="n">
        <x:v>32</x:v>
      </x:c>
      <x:c r="C18" s="2" t="n">
        <x:v>92</x:v>
      </x:c>
      <x:c r="D18" s="2" t="n">
        <x:v>8192</x:v>
      </x:c>
      <x:c r="E18" s="2" t="n">
        <x:v>10</x:v>
      </x:c>
      <x:c r="F18" s="2" t="n">
        <x:v>512</x:v>
      </x:c>
      <x:c r="G18" s="2" t="n">
        <x:f>ROUNDUP(F18/B18,0)*B18</x:f>
        <x:v>512</x:v>
      </x:c>
      <x:c r="H18" s="2" t="n">
        <x:f>G18-F18</x:f>
        <x:v>0</x:v>
      </x:c>
      <x:c r="I18" s="2" t="n">
        <x:v>8</x:v>
      </x:c>
      <x:c r="J18" s="2" t="n">
        <x:v>8</x:v>
      </x:c>
      <x:c r="K18" s="2" t="n">
        <x:f>ROUNDUP($B$5/I18,0)</x:f>
        <x:v>2048</x:v>
      </x:c>
      <x:c r="L18" s="2" t="n">
        <x:f>ROUNDUP($D$5/J18,0)</x:f>
        <x:v>16</x:v>
      </x:c>
      <x:c r="M18" s="2" t="n">
        <x:f>ROUNDUP((ROUNDUP((ROUNDUP(D18*$F$5/32,0)*32+$H$5)/32,0)*32+32)/480,0)*512</x:f>
        <x:v>17920</x:v>
      </x:c>
    </x:row>
    <x:row r="19" ht="25" customHeight="1">
      <x:c r="A19" s="2" t="str">
        <x:v>Qwen3.8 2.4T</x:v>
      </x:c>
      <x:c r="B19" s="2" t="n">
        <x:v>256</x:v>
      </x:c>
      <x:c r="C19" s="2" t="n">
        <x:v>92</x:v>
      </x:c>
      <x:c r="D19" s="2" t="n">
        <x:v>8192</x:v>
      </x:c>
      <x:c r="E19" s="2" t="n">
        <x:v>10</x:v>
      </x:c>
      <x:c r="F19" s="2" t="n">
        <x:v>512</x:v>
      </x:c>
      <x:c r="G19" s="2" t="n">
        <x:f>ROUNDUP(F19/B19,0)*B19</x:f>
        <x:v>512</x:v>
      </x:c>
      <x:c r="H19" s="2" t="n">
        <x:f>G19-F19</x:f>
        <x:v>0</x:v>
      </x:c>
      <x:c r="I19" s="2" t="n">
        <x:v>8</x:v>
      </x:c>
      <x:c r="J19" s="2" t="n">
        <x:v>8</x:v>
      </x:c>
      <x:c r="K19" s="2" t="n">
        <x:f>ROUNDUP($B$5/I19,0)</x:f>
        <x:v>2048</x:v>
      </x:c>
      <x:c r="L19" s="2" t="n">
        <x:f>ROUNDUP($D$5/J19,0)</x:f>
        <x:v>16</x:v>
      </x:c>
      <x:c r="M19" s="2" t="n">
        <x:f>ROUNDUP((ROUNDUP((ROUNDUP(D19*$F$5/32,0)*32+$H$5)/32,0)*32+32)/480,0)*512</x:f>
        <x:v>17920</x:v>
      </x:c>
    </x:row>
    <x:row r="20" ht="25" customHeight="1">
      <x:c r="A20" s="2" t="str">
        <x:v>DS V4.1 Flash</x:v>
      </x:c>
      <x:c r="B20" s="2" t="n">
        <x:v>32</x:v>
      </x:c>
      <x:c r="C20" s="2" t="n">
        <x:v>40</x:v>
      </x:c>
      <x:c r="D20" s="2" t="n">
        <x:v>5120</x:v>
      </x:c>
      <x:c r="E20" s="2" t="n">
        <x:v>6</x:v>
      </x:c>
      <x:c r="F20" s="2" t="n">
        <x:v>384</x:v>
      </x:c>
      <x:c r="G20" s="2" t="n">
        <x:f>ROUNDUP(F20/B20,0)*B20</x:f>
        <x:v>384</x:v>
      </x:c>
      <x:c r="H20" s="2" t="n">
        <x:f>G20-F20</x:f>
        <x:v>0</x:v>
      </x:c>
      <x:c r="I20" s="2" t="n">
        <x:v>8</x:v>
      </x:c>
      <x:c r="J20" s="2" t="n">
        <x:v>1</x:v>
      </x:c>
      <x:c r="K20" s="2" t="n">
        <x:f>ROUNDUP($B$5/I20,0)</x:f>
        <x:v>2048</x:v>
      </x:c>
      <x:c r="L20" s="2" t="n">
        <x:f>ROUNDUP($D$5/J20,0)</x:f>
        <x:v>128</x:v>
      </x:c>
      <x:c r="M20" s="2" t="n">
        <x:f>ROUNDUP((ROUNDUP((ROUNDUP(D20*$F$5/32,0)*32+$H$5)/32,0)*32+32)/480,0)*512</x:f>
        <x:v>11264</x:v>
      </x:c>
    </x:row>
    <x:row r="21" ht="25" customHeight="1">
      <x:c r="A21" s="2" t="str">
        <x:v>DS V4.1 Flash</x:v>
      </x:c>
      <x:c r="B21" s="2" t="n">
        <x:v>256</x:v>
      </x:c>
      <x:c r="C21" s="2" t="n">
        <x:v>40</x:v>
      </x:c>
      <x:c r="D21" s="2" t="n">
        <x:v>5120</x:v>
      </x:c>
      <x:c r="E21" s="2" t="n">
        <x:v>6</x:v>
      </x:c>
      <x:c r="F21" s="2" t="n">
        <x:v>384</x:v>
      </x:c>
      <x:c r="G21" s="2" t="n">
        <x:f>ROUNDUP(F21/B21,0)*B21</x:f>
        <x:v>512</x:v>
      </x:c>
      <x:c r="H21" s="2" t="n">
        <x:f>G21-F21</x:f>
        <x:v>128</x:v>
      </x:c>
      <x:c r="I21" s="2" t="n">
        <x:v>8</x:v>
      </x:c>
      <x:c r="J21" s="2" t="n">
        <x:v>1</x:v>
      </x:c>
      <x:c r="K21" s="2" t="n">
        <x:f>ROUNDUP($B$5/I21,0)</x:f>
        <x:v>2048</x:v>
      </x:c>
      <x:c r="L21" s="2" t="n">
        <x:f>ROUNDUP($D$5/J21,0)</x:f>
        <x:v>128</x:v>
      </x:c>
      <x:c r="M21" s="2" t="n">
        <x:f>ROUNDUP((ROUNDUP((ROUNDUP(D21*$F$5/32,0)*32+$H$5)/32,0)*32+32)/480,0)*512</x:f>
        <x:v>11264</x:v>
      </x:c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40" customHeight="1">
      <x:c r="A23" s="7" t="str">
        <x:v>模型</x:v>
      </x:c>
      <x:c r="B23" s="7" t="str">
        <x:v>EP</x:v>
      </x:c>
      <x:c r="C23" s="7" t="str">
        <x:v>P dispatch GiB</x:v>
      </x:c>
      <x:c r="D23" s="7" t="str">
        <x:v>P combine GiB</x:v>
      </x:c>
      <x:c r="E23" s="7" t="str">
        <x:v>P计数AG GiB</x:v>
      </x:c>
      <x:c r="F23" s="7" t="str">
        <x:v>P合计 GiB</x:v>
      </x:c>
      <x:c r="G23" s="7" t="str">
        <x:v>D dispatch GiB</x:v>
      </x:c>
      <x:c r="H23" s="7" t="str">
        <x:v>D计数 GiB</x:v>
      </x:c>
      <x:c r="I23" s="7" t="str">
        <x:v>D combine GiB</x:v>
      </x:c>
      <x:c r="J23" s="7" t="str">
        <x:v>D flags GiB</x:v>
      </x:c>
      <x:c r="K23" s="7" t="str">
        <x:v>D合计 GiB</x:v>
      </x:c>
      <x:c r="L23" s="7" t="str">
        <x:v>普通分支记录 B</x:v>
      </x:c>
      <x:c r="M23" s="2"/>
    </x:row>
    <x:row r="24" ht="25" customHeight="1">
      <x:c r="A24" s="2" t="str">
        <x:f>A10</x:f>
        <x:v>DS V4 10T</x:v>
      </x:c>
      <x:c r="B24" s="2" t="n">
        <x:f>B10</x:f>
        <x:v>32</x:v>
      </x:c>
      <x:c r="C24" s="12" t="n">
        <x:f>IF(AND($J$5=2,OR(AND($F$5=2,$H$5=0),AND($F$5=1,$H$5=4))),(C10*K10*E10*(B10-1)*(D10*$F$5+$H$5))/2^30,NA())</x:f>
        <x:v>310.2421875</x:v>
      </x:c>
      <x:c r="D24" s="12" t="n">
        <x:f>IF(AND($J$5=2,OR(AND($F$5=2,$H$5=0),AND($F$5=1,$H$5=4))),(C10*K10*E10*(B10-1)*D10*$J$5)/2^30,NA())</x:f>
        <x:v>310.2421875</x:v>
      </x:c>
      <x:c r="E24" s="12" t="n">
        <x:f>IF(AND($J$5=2,OR(AND($F$5=2,$H$5=0),AND($F$5=1,$H$5=4))),(IF(K10=0,0,C10*G10*$L$5*B10*(B10-1)))/2^30,NA())</x:f>
        <x:v>0.0865631103515625</x:v>
      </x:c>
      <x:c r="F24" s="12" t="n">
        <x:f>SUM(C24:E24)</x:f>
        <x:v>620.5709381103516</x:v>
      </x:c>
      <x:c r="G24" s="12" t="n">
        <x:f>IF(AND($J$5=2,OR(AND($F$5=2,$H$5=0),AND($F$5=1,$H$5=4))),(C10*L10*E10*(B10-1)*M10)/2^30,NA())</x:f>
        <x:v>20.775146484375</x:v>
      </x:c>
      <x:c r="H24" s="12" t="n">
        <x:f>IF(AND($J$5=2,OR(AND($F$5=2,$H$5=0),AND($F$5=1,$H$5=4))),(IF(L10=0,0,C10*G10*(B10-1)*32))/2^30,NA())</x:f>
        <x:v>0.021640777587890625</x:v>
      </x:c>
      <x:c r="I24" s="12" t="n">
        <x:f>IF(AND($J$5=2,OR(AND($F$5=2,$H$5=0),AND($F$5=1,$H$5=4))),(C10*L10*E10*(B10-1)*D10*$J$5)/2^30,NA())</x:f>
        <x:v>19.39013671875</x:v>
      </x:c>
      <x:c r="J24" s="12" t="n">
        <x:f>IF(AND($J$5=2,OR(AND($F$5=2,$H$5=0),AND($F$5=1,$H$5=4))),(C10*L10*E10*(B10-1)*32)/2^30,NA())</x:f>
        <x:v>0.04328155517578125</x:v>
      </x:c>
      <x:c r="K24" s="12" t="n">
        <x:f>SUM(G24:J24)</x:f>
        <x:v>40.23020553588867</x:v>
      </x:c>
      <x:c r="L24" s="2" t="n">
        <x:f>ROUNDUP((ROUNDUP(D10*$F$5/32,0)*32+$H$5)/32,0)*32+12</x:f>
        <x:v>14348</x:v>
      </x:c>
      <x:c r="M24" s="2"/>
    </x:row>
    <x:row r="25" ht="25" customHeight="1">
      <x:c r="A25" s="2" t="str">
        <x:f>A11</x:f>
        <x:v>DS V4 10T</x:v>
      </x:c>
      <x:c r="B25" s="2" t="n">
        <x:f>B11</x:f>
        <x:v>256</x:v>
      </x:c>
      <x:c r="C25" s="12" t="n">
        <x:f>IF(AND($J$5=2,OR(AND($F$5=2,$H$5=0),AND($F$5=1,$H$5=4))),(C11*K11*E11*(B11-1)*(D11*$F$5+$H$5))/2^30,NA())</x:f>
        <x:v>2551.9921875</x:v>
      </x:c>
      <x:c r="D25" s="12" t="n">
        <x:f>IF(AND($J$5=2,OR(AND($F$5=2,$H$5=0),AND($F$5=1,$H$5=4))),(C11*K11*E11*(B11-1)*D11*$J$5)/2^30,NA())</x:f>
        <x:v>2551.9921875</x:v>
      </x:c>
      <x:c r="E25" s="12" t="n">
        <x:f>IF(AND($J$5=2,OR(AND($F$5=2,$H$5=0),AND($F$5=1,$H$5=4))),(IF(K11=0,0,C11*G11*$L$5*B11*(B11-1)))/2^30,NA())</x:f>
        <x:v>7.59521484375</x:v>
      </x:c>
      <x:c r="F25" s="12" t="n">
        <x:f>SUM(C25:E25)</x:f>
        <x:v>5111.57958984375</x:v>
      </x:c>
      <x:c r="G25" s="12" t="n">
        <x:f>IF(AND($J$5=2,OR(AND($F$5=2,$H$5=0),AND($F$5=1,$H$5=4))),(C11*L11*E11*(B11-1)*M11)/2^30,NA())</x:f>
        <x:v>170.892333984375</x:v>
      </x:c>
      <x:c r="H25" s="12" t="n">
        <x:f>IF(AND($J$5=2,OR(AND($F$5=2,$H$5=0),AND($F$5=1,$H$5=4))),(IF(L11=0,0,C11*G11*(B11-1)*32))/2^30,NA())</x:f>
        <x:v>0.2373504638671875</x:v>
      </x:c>
      <x:c r="I25" s="12" t="n">
        <x:f>IF(AND($J$5=2,OR(AND($F$5=2,$H$5=0),AND($F$5=1,$H$5=4))),(C11*L11*E11*(B11-1)*D11*$J$5)/2^30,NA())</x:f>
        <x:v>159.49951171875</x:v>
      </x:c>
      <x:c r="J25" s="12" t="n">
        <x:f>IF(AND($J$5=2,OR(AND($F$5=2,$H$5=0),AND($F$5=1,$H$5=4))),(C11*L11*E11*(B11-1)*32)/2^30,NA())</x:f>
        <x:v>0.35602569580078125</x:v>
      </x:c>
      <x:c r="K25" s="12" t="n">
        <x:f>SUM(G25:J25)</x:f>
        <x:v>330.98522186279297</x:v>
      </x:c>
      <x:c r="L25" s="2" t="n">
        <x:f>ROUNDUP((ROUNDUP(D11*$F$5/32,0)*32+$H$5)/32,0)*32+12</x:f>
        <x:v>14348</x:v>
      </x:c>
      <x:c r="M25" s="2"/>
    </x:row>
    <x:row r="26" ht="25" customHeight="1">
      <x:c r="A26" s="2" t="str">
        <x:f>A12</x:f>
        <x:v>DS V4 Pro</x:v>
      </x:c>
      <x:c r="B26" s="2" t="n">
        <x:f>B12</x:f>
        <x:v>32</x:v>
      </x:c>
      <x:c r="C26" s="12" t="n">
        <x:f>IF(AND($J$5=2,OR(AND($F$5=2,$H$5=0),AND($F$5=1,$H$5=4))),(C12*K12*E12*(B12-1)*(D12*$F$5+$H$5))/2^30,NA())</x:f>
        <x:v>310.2421875</x:v>
      </x:c>
      <x:c r="D26" s="12" t="n">
        <x:f>IF(AND($J$5=2,OR(AND($F$5=2,$H$5=0),AND($F$5=1,$H$5=4))),(C12*K12*E12*(B12-1)*D12*$J$5)/2^30,NA())</x:f>
        <x:v>310.2421875</x:v>
      </x:c>
      <x:c r="E26" s="12" t="n">
        <x:f>IF(AND($J$5=2,OR(AND($F$5=2,$H$5=0),AND($F$5=1,$H$5=4))),(IF(K12=0,0,C12*G12*$L$5*B12*(B12-1)))/2^30,NA())</x:f>
        <x:v>0.0865631103515625</x:v>
      </x:c>
      <x:c r="F26" s="12" t="n">
        <x:f>SUM(C26:E26)</x:f>
        <x:v>620.5709381103516</x:v>
      </x:c>
      <x:c r="G26" s="12" t="n">
        <x:f>IF(AND($J$5=2,OR(AND($F$5=2,$H$5=0),AND($F$5=1,$H$5=4))),(C12*L12*E12*(B12-1)*M12)/2^30,NA())</x:f>
        <x:v>20.775146484375</x:v>
      </x:c>
      <x:c r="H26" s="12" t="n">
        <x:f>IF(AND($J$5=2,OR(AND($F$5=2,$H$5=0),AND($F$5=1,$H$5=4))),(IF(L12=0,0,C12*G12*(B12-1)*32))/2^30,NA())</x:f>
        <x:v>0.021640777587890625</x:v>
      </x:c>
      <x:c r="I26" s="12" t="n">
        <x:f>IF(AND($J$5=2,OR(AND($F$5=2,$H$5=0),AND($F$5=1,$H$5=4))),(C12*L12*E12*(B12-1)*D12*$J$5)/2^30,NA())</x:f>
        <x:v>19.39013671875</x:v>
      </x:c>
      <x:c r="J26" s="12" t="n">
        <x:f>IF(AND($J$5=2,OR(AND($F$5=2,$H$5=0),AND($F$5=1,$H$5=4))),(C12*L12*E12*(B12-1)*32)/2^30,NA())</x:f>
        <x:v>0.04328155517578125</x:v>
      </x:c>
      <x:c r="K26" s="12" t="n">
        <x:f>SUM(G26:J26)</x:f>
        <x:v>40.23020553588867</x:v>
      </x:c>
      <x:c r="L26" s="2" t="n">
        <x:f>ROUNDUP((ROUNDUP(D12*$F$5/32,0)*32+$H$5)/32,0)*32+12</x:f>
        <x:v>14348</x:v>
      </x:c>
      <x:c r="M26" s="2"/>
    </x:row>
    <x:row r="27" ht="25" customHeight="1">
      <x:c r="A27" s="2" t="str">
        <x:f>A13</x:f>
        <x:v>DS V4 Pro</x:v>
      </x:c>
      <x:c r="B27" s="2" t="n">
        <x:f>B13</x:f>
        <x:v>256</x:v>
      </x:c>
      <x:c r="C27" s="12" t="n">
        <x:f>IF(AND($J$5=2,OR(AND($F$5=2,$H$5=0),AND($F$5=1,$H$5=4))),(C13*K13*E13*(B13-1)*(D13*$F$5+$H$5))/2^30,NA())</x:f>
        <x:v>2551.9921875</x:v>
      </x:c>
      <x:c r="D27" s="12" t="n">
        <x:f>IF(AND($J$5=2,OR(AND($F$5=2,$H$5=0),AND($F$5=1,$H$5=4))),(C13*K13*E13*(B13-1)*D13*$J$5)/2^30,NA())</x:f>
        <x:v>2551.9921875</x:v>
      </x:c>
      <x:c r="E27" s="12" t="n">
        <x:f>IF(AND($J$5=2,OR(AND($F$5=2,$H$5=0),AND($F$5=1,$H$5=4))),(IF(K13=0,0,C13*G13*$L$5*B13*(B13-1)))/2^30,NA())</x:f>
        <x:v>7.59521484375</x:v>
      </x:c>
      <x:c r="F27" s="12" t="n">
        <x:f>SUM(C27:E27)</x:f>
        <x:v>5111.57958984375</x:v>
      </x:c>
      <x:c r="G27" s="12" t="n">
        <x:f>IF(AND($J$5=2,OR(AND($F$5=2,$H$5=0),AND($F$5=1,$H$5=4))),(C13*L13*E13*(B13-1)*M13)/2^30,NA())</x:f>
        <x:v>170.892333984375</x:v>
      </x:c>
      <x:c r="H27" s="12" t="n">
        <x:f>IF(AND($J$5=2,OR(AND($F$5=2,$H$5=0),AND($F$5=1,$H$5=4))),(IF(L13=0,0,C13*G13*(B13-1)*32))/2^30,NA())</x:f>
        <x:v>0.2373504638671875</x:v>
      </x:c>
      <x:c r="I27" s="12" t="n">
        <x:f>IF(AND($J$5=2,OR(AND($F$5=2,$H$5=0),AND($F$5=1,$H$5=4))),(C13*L13*E13*(B13-1)*D13*$J$5)/2^30,NA())</x:f>
        <x:v>159.49951171875</x:v>
      </x:c>
      <x:c r="J27" s="12" t="n">
        <x:f>IF(AND($J$5=2,OR(AND($F$5=2,$H$5=0),AND($F$5=1,$H$5=4))),(C13*L13*E13*(B13-1)*32)/2^30,NA())</x:f>
        <x:v>0.35602569580078125</x:v>
      </x:c>
      <x:c r="K27" s="12" t="n">
        <x:f>SUM(G27:J27)</x:f>
        <x:v>330.98522186279297</x:v>
      </x:c>
      <x:c r="L27" s="2" t="n">
        <x:f>ROUNDUP((ROUNDUP(D13*$F$5/32,0)*32+$H$5)/32,0)*32+12</x:f>
        <x:v>14348</x:v>
      </x:c>
      <x:c r="M27" s="2"/>
    </x:row>
    <x:row r="28" ht="25" customHeight="1">
      <x:c r="A28" s="2" t="str">
        <x:f>A14</x:f>
        <x:v>GLM5.3</x:v>
      </x:c>
      <x:c r="B28" s="2" t="n">
        <x:f>B14</x:f>
        <x:v>32</x:v>
      </x:c>
      <x:c r="C28" s="12" t="n">
        <x:f>IF(AND($J$5=2,OR(AND($F$5=2,$H$5=0),AND($F$5=1,$H$5=4))),(C14*K14*E14*(B14-1)*(D14*$F$5+$H$5))/2^30,NA())</x:f>
        <x:v>435.9375</x:v>
      </x:c>
      <x:c r="D28" s="12" t="n">
        <x:f>IF(AND($J$5=2,OR(AND($F$5=2,$H$5=0),AND($F$5=1,$H$5=4))),(C14*K14*E14*(B14-1)*D14*$J$5)/2^30,NA())</x:f>
        <x:v>435.9375</x:v>
      </x:c>
      <x:c r="E28" s="12" t="n">
        <x:f>IF(AND($J$5=2,OR(AND($F$5=2,$H$5=0),AND($F$5=1,$H$5=4))),(IF(K14=0,0,C14*G14*$L$5*B14*(B14-1)))/2^30,NA())</x:f>
        <x:v>0.070953369140625</x:v>
      </x:c>
      <x:c r="F28" s="12" t="n">
        <x:f>SUM(C28:E28)</x:f>
        <x:v>871.9459533691406</x:v>
      </x:c>
      <x:c r="G28" s="12" t="n">
        <x:f>IF(AND($J$5=2,OR(AND($F$5=2,$H$5=0),AND($F$5=1,$H$5=4))),(C14*L14*E14*(B14-1)*M14)/2^30,NA())</x:f>
        <x:v>29.5166015625</x:v>
      </x:c>
      <x:c r="H28" s="12" t="n">
        <x:f>IF(AND($J$5=2,OR(AND($F$5=2,$H$5=0),AND($F$5=1,$H$5=4))),(IF(L14=0,0,C14*G14*(B14-1)*32))/2^30,NA())</x:f>
        <x:v>0.01773834228515625</x:v>
      </x:c>
      <x:c r="I28" s="12" t="n">
        <x:f>IF(AND($J$5=2,OR(AND($F$5=2,$H$5=0),AND($F$5=1,$H$5=4))),(C14*L14*E14*(B14-1)*D14*$J$5)/2^30,NA())</x:f>
        <x:v>27.24609375</x:v>
      </x:c>
      <x:c r="J28" s="12" t="n">
        <x:f>IF(AND($J$5=2,OR(AND($F$5=2,$H$5=0),AND($F$5=1,$H$5=4))),(C14*L14*E14*(B14-1)*32)/2^30,NA())</x:f>
        <x:v>0.070953369140625</x:v>
      </x:c>
      <x:c r="K28" s="12" t="n">
        <x:f>SUM(G28:J28)</x:f>
        <x:v>56.85138702392578</x:v>
      </x:c>
      <x:c r="L28" s="2" t="n">
        <x:f>ROUNDUP((ROUNDUP(D14*$F$5/32,0)*32+$H$5)/32,0)*32+12</x:f>
        <x:v>12300</x:v>
      </x:c>
      <x:c r="M28" s="2"/>
    </x:row>
    <x:row r="29" ht="25" customHeight="1">
      <x:c r="A29" s="2" t="str">
        <x:f>A15</x:f>
        <x:v>GLM5.3</x:v>
      </x:c>
      <x:c r="B29" s="2" t="n">
        <x:f>B15</x:f>
        <x:v>256</x:v>
      </x:c>
      <x:c r="C29" s="12" t="n">
        <x:f>IF(AND($J$5=2,OR(AND($F$5=2,$H$5=0),AND($F$5=1,$H$5=4))),(C15*K15*E15*(B15-1)*(D15*$F$5+$H$5))/2^30,NA())</x:f>
        <x:v>3585.9375</x:v>
      </x:c>
      <x:c r="D29" s="12" t="n">
        <x:f>IF(AND($J$5=2,OR(AND($F$5=2,$H$5=0),AND($F$5=1,$H$5=4))),(C15*K15*E15*(B15-1)*D15*$J$5)/2^30,NA())</x:f>
        <x:v>3585.9375</x:v>
      </x:c>
      <x:c r="E29" s="12" t="n">
        <x:f>IF(AND($J$5=2,OR(AND($F$5=2,$H$5=0),AND($F$5=1,$H$5=4))),(IF(K15=0,0,C15*G15*$L$5*B15*(B15-1)))/2^30,NA())</x:f>
        <x:v>4.669189453125</x:v>
      </x:c>
      <x:c r="F29" s="12" t="n">
        <x:f>SUM(C29:E29)</x:f>
        <x:v>7176.544189453125</x:v>
      </x:c>
      <x:c r="G29" s="12" t="n">
        <x:f>IF(AND($J$5=2,OR(AND($F$5=2,$H$5=0),AND($F$5=1,$H$5=4))),(C15*L15*E15*(B15-1)*M15)/2^30,NA())</x:f>
        <x:v>242.7978515625</x:v>
      </x:c>
      <x:c r="H29" s="12" t="n">
        <x:f>IF(AND($J$5=2,OR(AND($F$5=2,$H$5=0),AND($F$5=1,$H$5=4))),(IF(L15=0,0,C15*G15*(B15-1)*32))/2^30,NA())</x:f>
        <x:v>0.14591217041015625</x:v>
      </x:c>
      <x:c r="I29" s="12" t="n">
        <x:f>IF(AND($J$5=2,OR(AND($F$5=2,$H$5=0),AND($F$5=1,$H$5=4))),(C15*L15*E15*(B15-1)*D15*$J$5)/2^30,NA())</x:f>
        <x:v>224.12109375</x:v>
      </x:c>
      <x:c r="J29" s="12" t="n">
        <x:f>IF(AND($J$5=2,OR(AND($F$5=2,$H$5=0),AND($F$5=1,$H$5=4))),(C15*L15*E15*(B15-1)*32)/2^30,NA())</x:f>
        <x:v>0.583648681640625</x:v>
      </x:c>
      <x:c r="K29" s="12" t="n">
        <x:f>SUM(G29:J29)</x:f>
        <x:v>467.6485061645508</x:v>
      </x:c>
      <x:c r="L29" s="2" t="n">
        <x:f>ROUNDUP((ROUNDUP(D15*$F$5/32,0)*32+$H$5)/32,0)*32+12</x:f>
        <x:v>12300</x:v>
      </x:c>
      <x:c r="M29" s="2"/>
    </x:row>
    <x:row r="30" ht="25" customHeight="1">
      <x:c r="A30" s="2" t="str">
        <x:f>A16</x:f>
        <x:v>KimiK3</x:v>
      </x:c>
      <x:c r="B30" s="2" t="n">
        <x:f>B16</x:f>
        <x:v>32</x:v>
      </x:c>
      <x:c r="C30" s="12" t="n">
        <x:f>IF(AND($J$5=2,OR(AND($F$5=2,$H$5=0),AND($F$5=1,$H$5=4))),(C16*K16*E16*(B16-1)*(D16*$F$5+$H$5))/2^30,NA())</x:f>
        <x:v>1247.75</x:v>
      </x:c>
      <x:c r="D30" s="12" t="n">
        <x:f>IF(AND($J$5=2,OR(AND($F$5=2,$H$5=0),AND($F$5=1,$H$5=4))),(C16*K16*E16*(B16-1)*D16*$J$5)/2^30,NA())</x:f>
        <x:v>1247.75</x:v>
      </x:c>
      <x:c r="E30" s="12" t="n">
        <x:f>IF(AND($J$5=2,OR(AND($F$5=2,$H$5=0),AND($F$5=1,$H$5=4))),(IF(K16=0,0,C16*G16*$L$5*B16*(B16-1)))/2^30,NA())</x:f>
        <x:v>0.30462646484375</x:v>
      </x:c>
      <x:c r="F30" s="12" t="n">
        <x:f>SUM(C30:E30)</x:f>
        <x:v>2495.8046264648438</x:v>
      </x:c>
      <x:c r="G30" s="12" t="n">
        <x:f>IF(AND($J$5=2,OR(AND($F$5=2,$H$5=0),AND($F$5=1,$H$5=4))),(C16*L16*E16*(B16-1)*M16)/2^30,NA())</x:f>
        <x:v>10.4443359375</x:v>
      </x:c>
      <x:c r="H30" s="12" t="n">
        <x:f>IF(AND($J$5=2,OR(AND($F$5=2,$H$5=0),AND($F$5=1,$H$5=4))),(IF(L16=0,0,C16*G16*(B16-1)*32))/2^30,NA())</x:f>
        <x:v>0.0761566162109375</x:v>
      </x:c>
      <x:c r="I30" s="12" t="n">
        <x:f>IF(AND($J$5=2,OR(AND($F$5=2,$H$5=0),AND($F$5=1,$H$5=4))),(C16*L16*E16*(B16-1)*D16*$J$5)/2^30,NA())</x:f>
        <x:v>9.748046875</x:v>
      </x:c>
      <x:c r="J30" s="12" t="n">
        <x:f>IF(AND($J$5=2,OR(AND($F$5=2,$H$5=0),AND($F$5=1,$H$5=4))),(C16*L16*E16*(B16-1)*32)/2^30,NA())</x:f>
        <x:v>0.021759033203125</x:v>
      </x:c>
      <x:c r="K30" s="12" t="n">
        <x:f>SUM(G30:J30)</x:f>
        <x:v>20.290298461914062</x:v>
      </x:c>
      <x:c r="L30" s="2" t="n">
        <x:f>ROUNDUP((ROUNDUP(D16*$F$5/32,0)*32+$H$5)/32,0)*32+12</x:f>
        <x:v>14348</x:v>
      </x:c>
      <x:c r="M30" s="2"/>
    </x:row>
    <x:row r="31" ht="25" customHeight="1">
      <x:c r="A31" s="2" t="str">
        <x:f>A17</x:f>
        <x:v>KimiK3</x:v>
      </x:c>
      <x:c r="B31" s="2" t="n">
        <x:f>B17</x:f>
        <x:v>256</x:v>
      </x:c>
      <x:c r="C31" s="12" t="n">
        <x:f>IF(AND($J$5=2,OR(AND($F$5=2,$H$5=0),AND($F$5=1,$H$5=4))),(C17*K17*E17*(B17-1)*(D17*$F$5+$H$5))/2^30,NA())</x:f>
        <x:v>10263.75</x:v>
      </x:c>
      <x:c r="D31" s="12" t="n">
        <x:f>IF(AND($J$5=2,OR(AND($F$5=2,$H$5=0),AND($F$5=1,$H$5=4))),(C17*K17*E17*(B17-1)*D17*$J$5)/2^30,NA())</x:f>
        <x:v>10263.75</x:v>
      </x:c>
      <x:c r="E31" s="12" t="n">
        <x:f>IF(AND($J$5=2,OR(AND($F$5=2,$H$5=0),AND($F$5=1,$H$5=4))),(IF(K17=0,0,C17*G17*$L$5*B17*(B17-1)))/2^30,NA())</x:f>
        <x:v>22.91015625</x:v>
      </x:c>
      <x:c r="F31" s="12" t="n">
        <x:f>SUM(C31:E31)</x:f>
        <x:v>20550.41015625</x:v>
      </x:c>
      <x:c r="G31" s="12" t="n">
        <x:f>IF(AND($J$5=2,OR(AND($F$5=2,$H$5=0),AND($F$5=1,$H$5=4))),(C17*L17*E17*(B17-1)*M17)/2^30,NA())</x:f>
        <x:v>85.9130859375</x:v>
      </x:c>
      <x:c r="H31" s="12" t="n">
        <x:f>IF(AND($J$5=2,OR(AND($F$5=2,$H$5=0),AND($F$5=1,$H$5=4))),(IF(L17=0,0,C17*G17*(B17-1)*32))/2^30,NA())</x:f>
        <x:v>0.7159423828125</x:v>
      </x:c>
      <x:c r="I31" s="12" t="n">
        <x:f>IF(AND($J$5=2,OR(AND($F$5=2,$H$5=0),AND($F$5=1,$H$5=4))),(C17*L17*E17*(B17-1)*D17*$J$5)/2^30,NA())</x:f>
        <x:v>80.185546875</x:v>
      </x:c>
      <x:c r="J31" s="12" t="n">
        <x:f>IF(AND($J$5=2,OR(AND($F$5=2,$H$5=0),AND($F$5=1,$H$5=4))),(C17*L17*E17*(B17-1)*32)/2^30,NA())</x:f>
        <x:v>0.178985595703125</x:v>
      </x:c>
      <x:c r="K31" s="12" t="n">
        <x:f>SUM(G31:J31)</x:f>
        <x:v>166.99356079101562</x:v>
      </x:c>
      <x:c r="L31" s="2" t="n">
        <x:f>ROUNDUP((ROUNDUP(D17*$F$5/32,0)*32+$H$5)/32,0)*32+12</x:f>
        <x:v>14348</x:v>
      </x:c>
      <x:c r="M31" s="2"/>
    </x:row>
    <x:row r="32" ht="25" customHeight="1">
      <x:c r="A32" s="2" t="str">
        <x:f>A18</x:f>
        <x:v>Qwen3.8 2.4T</x:v>
      </x:c>
      <x:c r="B32" s="2" t="n">
        <x:f>B18</x:f>
        <x:v>32</x:v>
      </x:c>
      <x:c r="C32" s="12" t="n">
        <x:f>IF(AND($J$5=2,OR(AND($F$5=2,$H$5=0),AND($F$5=1,$H$5=4))),(C18*K18*E18*(B18-1)*(D18*$F$5+$H$5))/2^30,NA())</x:f>
        <x:v>891.25</x:v>
      </x:c>
      <x:c r="D32" s="12" t="n">
        <x:f>IF(AND($J$5=2,OR(AND($F$5=2,$H$5=0),AND($F$5=1,$H$5=4))),(C18*K18*E18*(B18-1)*D18*$J$5)/2^30,NA())</x:f>
        <x:v>891.25</x:v>
      </x:c>
      <x:c r="E32" s="12" t="n">
        <x:f>IF(AND($J$5=2,OR(AND($F$5=2,$H$5=0),AND($F$5=1,$H$5=4))),(IF(K18=0,0,C18*G18*$L$5*B18*(B18-1)))/2^30,NA())</x:f>
        <x:v>0.174072265625</x:v>
      </x:c>
      <x:c r="F32" s="12" t="n">
        <x:f>SUM(C32:E32)</x:f>
        <x:v>1782.674072265625</x:v>
      </x:c>
      <x:c r="G32" s="12" t="n">
        <x:f>IF(AND($J$5=2,OR(AND($F$5=2,$H$5=0),AND($F$5=1,$H$5=4))),(C18*L18*E18*(B18-1)*M18)/2^30,NA())</x:f>
        <x:v>7.61566162109375</x:v>
      </x:c>
      <x:c r="H32" s="12" t="n">
        <x:f>IF(AND($J$5=2,OR(AND($F$5=2,$H$5=0),AND($F$5=1,$H$5=4))),(IF(L18=0,0,C18*G18*(B18-1)*32))/2^30,NA())</x:f>
        <x:v>0.04351806640625</x:v>
      </x:c>
      <x:c r="I32" s="12" t="n">
        <x:f>IF(AND($J$5=2,OR(AND($F$5=2,$H$5=0),AND($F$5=1,$H$5=4))),(C18*L18*E18*(B18-1)*D18*$J$5)/2^30,NA())</x:f>
        <x:v>6.962890625</x:v>
      </x:c>
      <x:c r="J32" s="12" t="n">
        <x:f>IF(AND($J$5=2,OR(AND($F$5=2,$H$5=0),AND($F$5=1,$H$5=4))),(C18*L18*E18*(B18-1)*32)/2^30,NA())</x:f>
        <x:v>0.013599395751953125</x:v>
      </x:c>
      <x:c r="K32" s="12" t="n">
        <x:f>SUM(G32:J32)</x:f>
        <x:v>14.635669708251953</x:v>
      </x:c>
      <x:c r="L32" s="2" t="n">
        <x:f>ROUNDUP((ROUNDUP(D18*$F$5/32,0)*32+$H$5)/32,0)*32+12</x:f>
        <x:v>16396</x:v>
      </x:c>
      <x:c r="M32" s="2"/>
    </x:row>
    <x:row r="33" ht="25" customHeight="1">
      <x:c r="A33" s="2" t="str">
        <x:f>A19</x:f>
        <x:v>Qwen3.8 2.4T</x:v>
      </x:c>
      <x:c r="B33" s="2" t="n">
        <x:f>B19</x:f>
        <x:v>256</x:v>
      </x:c>
      <x:c r="C33" s="12" t="n">
        <x:f>IF(AND($J$5=2,OR(AND($F$5=2,$H$5=0),AND($F$5=1,$H$5=4))),(C19*K19*E19*(B19-1)*(D19*$F$5+$H$5))/2^30,NA())</x:f>
        <x:v>7331.25</x:v>
      </x:c>
      <x:c r="D33" s="12" t="n">
        <x:f>IF(AND($J$5=2,OR(AND($F$5=2,$H$5=0),AND($F$5=1,$H$5=4))),(C19*K19*E19*(B19-1)*D19*$J$5)/2^30,NA())</x:f>
        <x:v>7331.25</x:v>
      </x:c>
      <x:c r="E33" s="12" t="n">
        <x:f>IF(AND($J$5=2,OR(AND($F$5=2,$H$5=0),AND($F$5=1,$H$5=4))),(IF(K19=0,0,C19*G19*$L$5*B19*(B19-1)))/2^30,NA())</x:f>
        <x:v>11.455078125</x:v>
      </x:c>
      <x:c r="F33" s="12" t="n">
        <x:f>SUM(C33:E33)</x:f>
        <x:v>14673.955078125</x:v>
      </x:c>
      <x:c r="G33" s="12" t="n">
        <x:f>IF(AND($J$5=2,OR(AND($F$5=2,$H$5=0),AND($F$5=1,$H$5=4))),(C19*L19*E19*(B19-1)*M19)/2^30,NA())</x:f>
        <x:v>62.64495849609375</x:v>
      </x:c>
      <x:c r="H33" s="12" t="n">
        <x:f>IF(AND($J$5=2,OR(AND($F$5=2,$H$5=0),AND($F$5=1,$H$5=4))),(IF(L19=0,0,C19*G19*(B19-1)*32))/2^30,NA())</x:f>
        <x:v>0.35797119140625</x:v>
      </x:c>
      <x:c r="I33" s="12" t="n">
        <x:f>IF(AND($J$5=2,OR(AND($F$5=2,$H$5=0),AND($F$5=1,$H$5=4))),(C19*L19*E19*(B19-1)*D19*$J$5)/2^30,NA())</x:f>
        <x:v>57.275390625</x:v>
      </x:c>
      <x:c r="J33" s="12" t="n">
        <x:f>IF(AND($J$5=2,OR(AND($F$5=2,$H$5=0),AND($F$5=1,$H$5=4))),(C19*L19*E19*(B19-1)*32)/2^30,NA())</x:f>
        <x:v>0.11186599731445312</x:v>
      </x:c>
      <x:c r="K33" s="12" t="n">
        <x:f>SUM(G33:J33)</x:f>
        <x:v>120.39018630981445</x:v>
      </x:c>
      <x:c r="L33" s="2" t="n">
        <x:f>ROUNDUP((ROUNDUP(D19*$F$5/32,0)*32+$H$5)/32,0)*32+12</x:f>
        <x:v>16396</x:v>
      </x:c>
      <x:c r="M33" s="2"/>
    </x:row>
    <x:row r="34" ht="25" customHeight="1">
      <x:c r="A34" s="2" t="str">
        <x:f>A20</x:f>
        <x:v>DS V4.1 Flash</x:v>
      </x:c>
      <x:c r="B34" s="2" t="n">
        <x:f>B20</x:f>
        <x:v>32</x:v>
      </x:c>
      <x:c r="C34" s="12" t="n">
        <x:f>IF(AND($J$5=2,OR(AND($F$5=2,$H$5=0),AND($F$5=1,$H$5=4))),(C20*K20*E20*(B20-1)*(D20*$F$5+$H$5))/2^30,NA())</x:f>
        <x:v>145.3125</x:v>
      </x:c>
      <x:c r="D34" s="12" t="n">
        <x:f>IF(AND($J$5=2,OR(AND($F$5=2,$H$5=0),AND($F$5=1,$H$5=4))),(C20*K20*E20*(B20-1)*D20*$J$5)/2^30,NA())</x:f>
        <x:v>145.3125</x:v>
      </x:c>
      <x:c r="E34" s="12" t="n">
        <x:f>IF(AND($J$5=2,OR(AND($F$5=2,$H$5=0),AND($F$5=1,$H$5=4))),(IF(K20=0,0,C20*G20*$L$5*B20*(B20-1)))/2^30,NA())</x:f>
        <x:v>0.0567626953125</x:v>
      </x:c>
      <x:c r="F34" s="12" t="n">
        <x:f>SUM(C34:E34)</x:f>
        <x:v>290.6817626953125</x:v>
      </x:c>
      <x:c r="G34" s="12" t="n">
        <x:f>IF(AND($J$5=2,OR(AND($F$5=2,$H$5=0),AND($F$5=1,$H$5=4))),(C20*L20*E20*(B20-1)*M20)/2^30,NA())</x:f>
        <x:v>9.990234375</x:v>
      </x:c>
      <x:c r="H34" s="12" t="n">
        <x:f>IF(AND($J$5=2,OR(AND($F$5=2,$H$5=0),AND($F$5=1,$H$5=4))),(IF(L20=0,0,C20*G20*(B20-1)*32))/2^30,NA())</x:f>
        <x:v>0.014190673828125</x:v>
      </x:c>
      <x:c r="I34" s="12" t="n">
        <x:f>IF(AND($J$5=2,OR(AND($F$5=2,$H$5=0),AND($F$5=1,$H$5=4))),(C20*L20*E20*(B20-1)*D20*$J$5)/2^30,NA())</x:f>
        <x:v>9.08203125</x:v>
      </x:c>
      <x:c r="J34" s="12" t="n">
        <x:f>IF(AND($J$5=2,OR(AND($F$5=2,$H$5=0),AND($F$5=1,$H$5=4))),(C20*L20*E20*(B20-1)*32)/2^30,NA())</x:f>
        <x:v>0.02838134765625</x:v>
      </x:c>
      <x:c r="K34" s="12" t="n">
        <x:f>SUM(G34:J34)</x:f>
        <x:v>19.114837646484375</x:v>
      </x:c>
      <x:c r="L34" s="2" t="n">
        <x:f>ROUNDUP((ROUNDUP(D20*$F$5/32,0)*32+$H$5)/32,0)*32+12</x:f>
        <x:v>10252</x:v>
      </x:c>
      <x:c r="M34" s="2"/>
    </x:row>
    <x:row r="35" ht="25" customHeight="1">
      <x:c r="A35" s="2" t="str">
        <x:f>A21</x:f>
        <x:v>DS V4.1 Flash</x:v>
      </x:c>
      <x:c r="B35" s="2" t="n">
        <x:f>B21</x:f>
        <x:v>256</x:v>
      </x:c>
      <x:c r="C35" s="12" t="n">
        <x:f>IF(AND($J$5=2,OR(AND($F$5=2,$H$5=0),AND($F$5=1,$H$5=4))),(C21*K21*E21*(B21-1)*(D21*$F$5+$H$5))/2^30,NA())</x:f>
        <x:v>1195.3125</x:v>
      </x:c>
      <x:c r="D35" s="12" t="n">
        <x:f>IF(AND($J$5=2,OR(AND($F$5=2,$H$5=0),AND($F$5=1,$H$5=4))),(C21*K21*E21*(B21-1)*D21*$J$5)/2^30,NA())</x:f>
        <x:v>1195.3125</x:v>
      </x:c>
      <x:c r="E35" s="12" t="n">
        <x:f>IF(AND($J$5=2,OR(AND($F$5=2,$H$5=0),AND($F$5=1,$H$5=4))),(IF(K21=0,0,C21*G21*$L$5*B21*(B21-1)))/2^30,NA())</x:f>
        <x:v>4.98046875</x:v>
      </x:c>
      <x:c r="F35" s="12" t="n">
        <x:f>SUM(C35:E35)</x:f>
        <x:v>2395.60546875</x:v>
      </x:c>
      <x:c r="G35" s="12" t="n">
        <x:f>IF(AND($J$5=2,OR(AND($F$5=2,$H$5=0),AND($F$5=1,$H$5=4))),(C21*L21*E21*(B21-1)*M21)/2^30,NA())</x:f>
        <x:v>82.177734375</x:v>
      </x:c>
      <x:c r="H35" s="12" t="n">
        <x:f>IF(AND($J$5=2,OR(AND($F$5=2,$H$5=0),AND($F$5=1,$H$5=4))),(IF(L21=0,0,C21*G21*(B21-1)*32))/2^30,NA())</x:f>
        <x:v>0.1556396484375</x:v>
      </x:c>
      <x:c r="I35" s="12" t="n">
        <x:f>IF(AND($J$5=2,OR(AND($F$5=2,$H$5=0),AND($F$5=1,$H$5=4))),(C21*L21*E21*(B21-1)*D21*$J$5)/2^30,NA())</x:f>
        <x:v>74.70703125</x:v>
      </x:c>
      <x:c r="J35" s="12" t="n">
        <x:f>IF(AND($J$5=2,OR(AND($F$5=2,$H$5=0),AND($F$5=1,$H$5=4))),(C21*L21*E21*(B21-1)*32)/2^30,NA())</x:f>
        <x:v>0.23345947265625</x:v>
      </x:c>
      <x:c r="K35" s="12" t="n">
        <x:f>SUM(G35:J35)</x:f>
        <x:v>157.27386474609375</x:v>
      </x:c>
      <x:c r="L35" s="2" t="n">
        <x:f>ROUNDUP((ROUNDUP(D21*$F$5/32,0)*32+$H$5)/32,0)*32+12</x:f>
        <x:v>10252</x:v>
      </x:c>
      <x:c r="M35" s="2"/>
    </x:row>
    <x:row r="36" ht="25" customHeight="1">
      <x:c r="A36" s="2" t="str">
        <x:v>P 计数交换：histogram dtype 先设 4 B，Ring 为显式算法假设；采集实际 dtype/count 后可替换。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5" customHeight="1">
      <x:c r="A38" s="2" t="str">
        <x:v>D dispatch = ceil((align32(align32(H×dtype)+scale)+32)/480)×512 B / 路由实例。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5" customHeight="1">
      <x:c r="A40" s="2" t="str">
        <x:v>D combine 发送 H×2 B + 32 B 标志 / 实例；专家计数 32 B / 源 Rank / 远端专家。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5" customHeight="1">
      <x:c r="A42" s="2" t="str">
        <x:v>普通 dispatch 分支在 L 列单列其 record；主表固定 FullMesh，不把 512 B 地址步长当发送长度。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5" customHeight="1">
      <x:c r="A44" s="2" t="str">
        <x:v>来源：HCCL 170ddeec + ops-transformer f48a9346；只是所选分支的端点写量，非物理链路总量。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</x:sheetData>
  <x:conditionalFormatting sqref="B7:B7">
    <x:cfRule type="containsText" dxfId="0" priority="1" operator="containsText" text="INVALID"/>
  </x:conditionalFormatting>
  <x:conditionalFormatting sqref="H10:H21">
    <x:cfRule type="cellIs" dxfId="1" priority="2" operator="greaterThan">
      <x:formula>0</x:formula>
    </x:cfRule>
  </x:conditionalFormatting>
  <x:dataValidations count="2">
    <x:dataValidation type="list" sqref="F5">
      <x:formula1>"1,2"</x:formula1>
    </x:dataValidation>
    <x:dataValidation type="list" sqref="H5">
      <x:formula1>"0,4"</x:formula1>
    </x:dataValidation>
  </x:dataValidations>
  <x:pageMargins left="0.7" right="0.7" top="0.75" bottom="0.75" header="0.3" footer="0.3"/>
</x:worksheet>
</file>