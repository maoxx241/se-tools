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fd34bb123a4a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规格汇总" sheetId="1" r:id="Refb94ac90c1e48a7"/>
    <x:sheet xmlns:r="http://schemas.openxmlformats.org/officeDocument/2006/relationships" name="KV明细" sheetId="2" r:id="R9c839086cc864b72"/>
    <x:sheet xmlns:r="http://schemas.openxmlformats.org/officeDocument/2006/relationships" name="EP通信" sheetId="3" r:id="Rc9bb6cc3141742fd"/>
    <x:sheet xmlns:r="http://schemas.openxmlformats.org/officeDocument/2006/relationships" name="分钟场景" sheetId="4" r:id="R3eb003a7d83f45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200" formatCode="#,##0"/>
    <x:numFmt numFmtId="201" formatCode="#,##0.000"/>
    <x:numFmt numFmtId="202" formatCode="#,##0.000000"/>
    <x:numFmt numFmtId="203" formatCode="0%"/>
    <x:numFmt numFmtId="204" formatCode="0.000"/>
    <x:numFmt numFmtId="205" formatCode="0.00%"/>
    <x:numFmt numFmtId="206" formatCode="0.00"/>
    <x:numFmt numFmtId="207" formatCode="#,##0.00"/>
    <x:numFmt numFmtId="208" formatCode="0.0%"/>
    <x:numFmt numFmtId="209" formatCode="0.000000"/>
    <x:numFmt numFmtId="210" formatCode="0.000000%"/>
  </x:numFmts>
  <x:fonts count="10">
    <x:font>
      <x:sz val="11"/>
      <x:name val="Carlito"/>
    </x:font>
    <x:font>
      <x:sz val="10"/>
      <x:color rgb="FF202C3B"/>
      <x:name val="Arial"/>
    </x:font>
    <x:font>
      <x:b/>
      <x:sz val="16"/>
      <x:color rgb="FF202C3B"/>
      <x:name val="Arial"/>
    </x:font>
    <x:font>
      <x:b/>
      <x:sz val="10"/>
      <x:color rgb="FFFFFFFF"/>
      <x:name val="Arial"/>
    </x:font>
    <x:font>
      <x:b/>
      <x:sz val="14"/>
      <x:color rgb="FF202C3B"/>
      <x:name val="Arial"/>
    </x:font>
    <x:font>
      <x:sz val="10"/>
      <x:color rgb="FF955700"/>
      <x:name val="Arial"/>
    </x:font>
    <x:font>
      <x:sz val="10"/>
      <x:color rgb="FF000000"/>
      <x:name val="Arial"/>
    </x:font>
    <x:font>
      <x:b/>
      <x:sz val="14"/>
      <x:color rgb="FF000000"/>
      <x:name val="Arial"/>
    </x:font>
    <x:font>
      <x:b/>
      <x:sz val="10"/>
      <x:color rgb="FF000000"/>
      <x:name val="Arial"/>
    </x:font>
    <x:font>
      <x:b/>
      <x:sz val="10"/>
      <x:color rgb="FF202C3B"/>
      <x:name val="Arial"/>
    </x:font>
  </x:fonts>
  <x:fills count="11">
    <x:fill>
      <x:patternFill patternType="none"/>
    </x:fill>
    <x:fill>
      <x:patternFill patternType="gray125"/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E8EEF5"/>
      </x:patternFill>
    </x:fill>
    <x:fill>
      <x:patternFill patternType="solid">
        <x:fgColor rgb="FFD9E2F3"/>
      </x:patternFill>
    </x:fill>
    <x:fill>
      <x:patternFill patternType="solid">
        <x:fgColor rgb="FFFFF2CC"/>
      </x:patternFill>
    </x:fill>
    <x:fill>
      <x:patternFill patternType="solid">
        <x:fgColor rgb="FF253D5B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253D5B"/>
      </x:patternFill>
    </x:fill>
  </x:fills>
  <x:borders count="1">
    <x:border/>
  </x:borders>
  <x:cellStyleXfs count="1">
    <x:xf numFmtId="0" fontId="0" fillId="0" borderId="0"/>
  </x:cellStyleXfs>
  <x:cellXfs count="58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/>
    </x:xf>
    <x:xf numFmtId="0" fontId="8" fillId="5" borderId="0" xfId="0" applyNumberFormat="1" applyFont="1" applyFill="1" applyBorder="1" applyAlignment="1">
      <x:alignment vertical="center" wrapText="1"/>
    </x:xf>
    <x:xf numFmtId="0" fontId="6" fillId="6" borderId="0" xfId="0" applyNumberFormat="1" applyFont="1" applyFill="1" applyBorder="1" applyAlignment="1">
      <x:alignment vertical="center"/>
    </x:xf>
    <x:xf numFmtId="203" fontId="6" fillId="6" borderId="0" xfId="0" applyNumberFormat="1" applyFont="1" applyFill="1" applyBorder="1" applyAlignment="1">
      <x:alignment vertical="center"/>
    </x:xf>
    <x:xf numFmtId="204" fontId="6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4" fontId="6" fillId="6" borderId="0" xfId="0" applyNumberFormat="1" applyFont="1" applyFill="1" applyBorder="1" applyAlignment="1">
      <x:alignment vertical="center"/>
    </x:xf>
    <x:xf numFmtId="206" fontId="6" fillId="6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 wrapText="1"/>
    </x:xf>
    <x:xf numFmtId="0" fontId="1" fillId="6" borderId="0" xfId="0" applyNumberFormat="1" applyFont="1" applyFill="1" applyBorder="1" applyAlignment="1">
      <x:alignment vertical="center"/>
    </x:xf>
    <x:xf numFmtId="203" fontId="1" fillId="6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6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6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203" fontId="1" fillId="8" borderId="0" xfId="0" applyNumberFormat="1" applyFont="1" applyFill="1" applyBorder="1" applyAlignment="1">
      <x:alignment vertical="center"/>
    </x:xf>
    <x:xf numFmtId="204" fontId="1" fillId="8" borderId="0" xfId="0" applyNumberFormat="1" applyFont="1" applyFill="1" applyBorder="1" applyAlignment="1">
      <x:alignment vertical="center"/>
    </x:xf>
    <x:xf numFmtId="206" fontId="1" fillId="8" borderId="0" xfId="0" applyNumberFormat="1" applyFont="1" applyFill="1" applyBorder="1" applyAlignment="1">
      <x:alignment vertical="center"/>
    </x:xf>
    <x:xf numFmtId="201" fontId="1" fillId="8" borderId="0" xfId="0" applyNumberFormat="1" applyFont="1" applyFill="1" applyBorder="1" applyAlignment="1">
      <x:alignment vertical="center"/>
    </x:xf>
    <x:xf numFmtId="0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207" fontId="1" fillId="9" borderId="0" xfId="0" applyNumberFormat="1" applyFont="1" applyFill="1" applyBorder="1" applyAlignment="1">
      <x:alignment vertical="center"/>
    </x:xf>
    <x:xf numFmtId="208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/>
    </x:xf>
    <x:xf numFmtId="0" fontId="3" fillId="10" borderId="0" xfId="0" applyNumberFormat="1" applyFont="1" applyFill="1" applyBorder="1" applyAlignment="1">
      <x:alignment vertic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209" fontId="1" fillId="0" borderId="0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202" fontId="9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6">
    <x:dxf>
      <x:font>
        <x:b/>
        <x:color rgb="FFA32020"/>
      </x:font>
      <x:fill>
        <x:patternFill>
          <x:bgColor rgb="FFFDE9E7"/>
        </x:patternFill>
      </x:fill>
    </x:dxf>
    <x:dxf>
      <x:font>
        <x:b/>
        <x:color rgb="FF955700"/>
      </x:font>
      <x:fill>
        <x:patternFill>
          <x:bgColor rgb="FFFFF0C2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  <x:dxf>
      <x:font>
        <x:color rgb="FFA32020"/>
      </x:font>
      <x:fill>
        <x:patternFill patternType="solid">
          <x:bgColor rgb="FFFDE9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af05340ea24872" /><Relationship Type="http://schemas.openxmlformats.org/officeDocument/2006/relationships/theme" Target="/xl/theme/theme1.xml" Id="Rfe929bcbf99b41e9" /><Relationship Type="http://schemas.openxmlformats.org/officeDocument/2006/relationships/sharedStrings" Target="/xl/sharedStrings.xml" Id="R74548603251b4c7c" /><Relationship Type="http://schemas.openxmlformats.org/officeDocument/2006/relationships/worksheet" Target="/xl/worksheets/sheet1.xml" Id="Refb94ac90c1e48a7" /><Relationship Type="http://schemas.openxmlformats.org/officeDocument/2006/relationships/worksheet" Target="/xl/worksheets/sheet2.xml" Id="R9c839086cc864b72" /><Relationship Type="http://schemas.openxmlformats.org/officeDocument/2006/relationships/worksheet" Target="/xl/worksheets/sheet3.xml" Id="Rc9bb6cc3141742fd" /><Relationship Type="http://schemas.openxmlformats.org/officeDocument/2006/relationships/worksheet" Target="/xl/worksheets/sheet4.xml" Id="R3eb003a7d83f45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53D5B"/>
  </x:sheetPr>
  <x:sheetViews>
    <x:sheetView showGridLines="0" workbookViewId="0"/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3" hidden="0" customWidth="1"/>
    <x:col min="14" max="14" width="18" hidden="0" customWidth="1"/>
    <x:col min="15" max="15" width="36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EP32 / EP256 · 通信量与 DP 域变化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通信单位 GiB/Step/EP组。每 DP 工作量不变，DP 扩大使总 token 数增加；已计入，不能再乘一次 DP。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40" customHeight="1">
      <x:c r="A5" s="7" t="str">
        <x:v>模型</x:v>
      </x:c>
      <x:c r="B5" s="7" t="str">
        <x:v>EP</x:v>
      </x:c>
      <x:c r="C5" s="7" t="str">
        <x:v>P TP</x:v>
      </x:c>
      <x:c r="D5" s="7" t="str">
        <x:v>P DP</x:v>
      </x:c>
      <x:c r="E5" s="7" t="str">
        <x:v>D TP</x:v>
      </x:c>
      <x:c r="F5" s="7" t="str">
        <x:v>D DP</x:v>
      </x:c>
      <x:c r="G5" s="7" t="str">
        <x:v>P组 tokens/Step</x:v>
      </x:c>
      <x:c r="H5" s="7" t="str">
        <x:v>D组 tokens/Step</x:v>
      </x:c>
      <x:c r="I5" s="7" t="str">
        <x:v>P AllToAllV合计</x:v>
      </x:c>
      <x:c r="J5" s="7" t="str">
        <x:v>D MC2已建模量</x:v>
      </x:c>
      <x:c r="K5" s="7" t="str">
        <x:v>P/Rank均值</x:v>
      </x:c>
      <x:c r="L5" s="7" t="str">
        <x:v>D/Rank均值</x:v>
      </x:c>
      <x:c r="M5" s="7" t="str">
        <x:v>部署条件</x:v>
      </x:c>
    </x:row>
    <x:row r="6" ht="25" customHeight="1">
      <x:c r="A6" s="2" t="str">
        <x:f>A24</x:f>
        <x:v>DS V4 10T</x:v>
      </x:c>
      <x:c r="B6" s="2" t="n">
        <x:f>B24</x:f>
        <x:v>32</x:v>
      </x:c>
      <x:c r="C6" s="2" t="n">
        <x:f>C24</x:f>
        <x:v>8</x:v>
      </x:c>
      <x:c r="D6" s="2" t="n">
        <x:f>D24</x:f>
        <x:v>4</x:v>
      </x:c>
      <x:c r="E6" s="2" t="n">
        <x:f>E24</x:f>
        <x:v>1</x:v>
      </x:c>
      <x:c r="F6" s="2" t="n">
        <x:f>F24</x:f>
        <x:v>32</x:v>
      </x:c>
      <x:c r="G6" s="8" t="n">
        <x:f>'EP通信'!K10*B6</x:f>
        <x:v>65536</x:v>
      </x:c>
      <x:c r="H6" s="8" t="n">
        <x:f>'EP通信'!L10*B6</x:f>
        <x:v>4096</x:v>
      </x:c>
      <x:c r="I6" s="9" t="n">
        <x:f>'EP通信'!F24</x:f>
        <x:v>620.5709381103516</x:v>
      </x:c>
      <x:c r="J6" s="9" t="n">
        <x:f>'EP通信'!K24</x:f>
        <x:v>40.23020553588867</x:v>
      </x:c>
      <x:c r="K6" s="9" t="n">
        <x:f>I6/B6</x:f>
        <x:v>19.392841815948486</x:v>
      </x:c>
      <x:c r="L6" s="9" t="n">
        <x:f>J6/B6</x:f>
        <x:v>1.257193922996521</x:v>
      </x:c>
      <x:c r="M6" s="2" t="str">
        <x:f>M24</x:f>
        <x:v>专家数整除；未实机验证</x:v>
      </x:c>
    </x:row>
    <x:row r="7" ht="25" customHeight="1">
      <x:c r="A7" s="2" t="str">
        <x:f>A25</x:f>
        <x:v>DS V4 10T</x:v>
      </x:c>
      <x:c r="B7" s="2" t="n">
        <x:f>B25</x:f>
        <x:v>256</x:v>
      </x:c>
      <x:c r="C7" s="2" t="n">
        <x:f>C25</x:f>
        <x:v>8</x:v>
      </x:c>
      <x:c r="D7" s="2" t="n">
        <x:f>D25</x:f>
        <x:v>32</x:v>
      </x:c>
      <x:c r="E7" s="2" t="n">
        <x:f>E25</x:f>
        <x:v>1</x:v>
      </x:c>
      <x:c r="F7" s="2" t="n">
        <x:f>F25</x:f>
        <x:v>256</x:v>
      </x:c>
      <x:c r="G7" s="8" t="n">
        <x:f>'EP通信'!K11*B7</x:f>
        <x:v>524288</x:v>
      </x:c>
      <x:c r="H7" s="8" t="n">
        <x:f>'EP通信'!L11*B7</x:f>
        <x:v>32768</x:v>
      </x:c>
      <x:c r="I7" s="9" t="n">
        <x:f>'EP通信'!F25</x:f>
        <x:v>5111.57958984375</x:v>
      </x:c>
      <x:c r="J7" s="9" t="n">
        <x:f>'EP通信'!K25</x:f>
        <x:v>330.98522186279297</x:v>
      </x:c>
      <x:c r="K7" s="9" t="n">
        <x:f>I7/B7</x:f>
        <x:v>19.96710777282715</x:v>
      </x:c>
      <x:c r="L7" s="9" t="n">
        <x:f>J7/B7</x:f>
        <x:v>1.292911022901535</x:v>
      </x:c>
      <x:c r="M7" s="2" t="str">
        <x:f>M25</x:f>
        <x:v>需补齐128槽并验证EPLB</x:v>
      </x:c>
    </x:row>
    <x:row r="8" ht="25" customHeight="1">
      <x:c r="A8" s="2" t="str">
        <x:f>A26</x:f>
        <x:v>DS V4 Pro</x:v>
      </x:c>
      <x:c r="B8" s="2" t="n">
        <x:f>B26</x:f>
        <x:v>32</x:v>
      </x:c>
      <x:c r="C8" s="2" t="n">
        <x:f>C26</x:f>
        <x:v>8</x:v>
      </x:c>
      <x:c r="D8" s="2" t="n">
        <x:f>D26</x:f>
        <x:v>4</x:v>
      </x:c>
      <x:c r="E8" s="2" t="n">
        <x:f>E26</x:f>
        <x:v>1</x:v>
      </x:c>
      <x:c r="F8" s="2" t="n">
        <x:f>F26</x:f>
        <x:v>32</x:v>
      </x:c>
      <x:c r="G8" s="8" t="n">
        <x:f>'EP通信'!K12*B8</x:f>
        <x:v>65536</x:v>
      </x:c>
      <x:c r="H8" s="8" t="n">
        <x:f>'EP通信'!L12*B8</x:f>
        <x:v>4096</x:v>
      </x:c>
      <x:c r="I8" s="9" t="n">
        <x:f>'EP通信'!F26</x:f>
        <x:v>620.5709381103516</x:v>
      </x:c>
      <x:c r="J8" s="9" t="n">
        <x:f>'EP通信'!K26</x:f>
        <x:v>40.23020553588867</x:v>
      </x:c>
      <x:c r="K8" s="9" t="n">
        <x:f>I8/B8</x:f>
        <x:v>19.392841815948486</x:v>
      </x:c>
      <x:c r="L8" s="9" t="n">
        <x:f>J8/B8</x:f>
        <x:v>1.257193922996521</x:v>
      </x:c>
      <x:c r="M8" s="2" t="str">
        <x:f>M26</x:f>
        <x:v>专家数整除；未实机验证</x:v>
      </x:c>
    </x:row>
    <x:row r="9" ht="25" customHeight="1">
      <x:c r="A9" s="2" t="str">
        <x:f>A27</x:f>
        <x:v>DS V4 Pro</x:v>
      </x:c>
      <x:c r="B9" s="2" t="n">
        <x:f>B27</x:f>
        <x:v>256</x:v>
      </x:c>
      <x:c r="C9" s="2" t="n">
        <x:f>C27</x:f>
        <x:v>8</x:v>
      </x:c>
      <x:c r="D9" s="2" t="n">
        <x:f>D27</x:f>
        <x:v>32</x:v>
      </x:c>
      <x:c r="E9" s="2" t="n">
        <x:f>E27</x:f>
        <x:v>1</x:v>
      </x:c>
      <x:c r="F9" s="2" t="n">
        <x:f>F27</x:f>
        <x:v>256</x:v>
      </x:c>
      <x:c r="G9" s="8" t="n">
        <x:f>'EP通信'!K13*B9</x:f>
        <x:v>524288</x:v>
      </x:c>
      <x:c r="H9" s="8" t="n">
        <x:f>'EP通信'!L13*B9</x:f>
        <x:v>32768</x:v>
      </x:c>
      <x:c r="I9" s="9" t="n">
        <x:f>'EP通信'!F27</x:f>
        <x:v>5111.57958984375</x:v>
      </x:c>
      <x:c r="J9" s="9" t="n">
        <x:f>'EP通信'!K27</x:f>
        <x:v>330.98522186279297</x:v>
      </x:c>
      <x:c r="K9" s="9" t="n">
        <x:f>I9/B9</x:f>
        <x:v>19.96710777282715</x:v>
      </x:c>
      <x:c r="L9" s="9" t="n">
        <x:f>J9/B9</x:f>
        <x:v>1.292911022901535</x:v>
      </x:c>
      <x:c r="M9" s="2" t="str">
        <x:f>M27</x:f>
        <x:v>需补齐128槽并验证EPLB</x:v>
      </x:c>
    </x:row>
    <x:row r="10" ht="25" customHeight="1">
      <x:c r="A10" s="2" t="str">
        <x:f>A28</x:f>
        <x:v>GLM5.3</x:v>
      </x:c>
      <x:c r="B10" s="2" t="n">
        <x:f>B28</x:f>
        <x:v>32</x:v>
      </x:c>
      <x:c r="C10" s="2" t="n">
        <x:f>C28</x:f>
        <x:v>8</x:v>
      </x:c>
      <x:c r="D10" s="2" t="n">
        <x:f>D28</x:f>
        <x:v>4</x:v>
      </x:c>
      <x:c r="E10" s="2" t="n">
        <x:f>E28</x:f>
        <x:v>1</x:v>
      </x:c>
      <x:c r="F10" s="2" t="n">
        <x:f>F28</x:f>
        <x:v>32</x:v>
      </x:c>
      <x:c r="G10" s="8" t="n">
        <x:f>'EP通信'!K14*B10</x:f>
        <x:v>65536</x:v>
      </x:c>
      <x:c r="H10" s="8" t="n">
        <x:f>'EP通信'!L14*B10</x:f>
        <x:v>4096</x:v>
      </x:c>
      <x:c r="I10" s="9" t="n">
        <x:f>'EP通信'!F28</x:f>
        <x:v>871.9459533691406</x:v>
      </x:c>
      <x:c r="J10" s="9" t="n">
        <x:f>'EP通信'!K28</x:f>
        <x:v>56.85138702392578</x:v>
      </x:c>
      <x:c r="K10" s="9" t="n">
        <x:f>I10/B10</x:f>
        <x:v>27.248311042785645</x:v>
      </x:c>
      <x:c r="L10" s="9" t="n">
        <x:f>J10/B10</x:f>
        <x:v>1.7766058444976807</x:v>
      </x:c>
      <x:c r="M10" s="2" t="str">
        <x:f>M28</x:f>
        <x:v>专家数整除；未实机验证</x:v>
      </x:c>
    </x:row>
    <x:row r="11" ht="25" customHeight="1">
      <x:c r="A11" s="2" t="str">
        <x:f>A29</x:f>
        <x:v>GLM5.3</x:v>
      </x:c>
      <x:c r="B11" s="2" t="n">
        <x:f>B29</x:f>
        <x:v>256</x:v>
      </x:c>
      <x:c r="C11" s="2" t="n">
        <x:f>C29</x:f>
        <x:v>8</x:v>
      </x:c>
      <x:c r="D11" s="2" t="n">
        <x:f>D29</x:f>
        <x:v>32</x:v>
      </x:c>
      <x:c r="E11" s="2" t="n">
        <x:f>E29</x:f>
        <x:v>1</x:v>
      </x:c>
      <x:c r="F11" s="2" t="n">
        <x:f>F29</x:f>
        <x:v>256</x:v>
      </x:c>
      <x:c r="G11" s="8" t="n">
        <x:f>'EP通信'!K15*B11</x:f>
        <x:v>524288</x:v>
      </x:c>
      <x:c r="H11" s="8" t="n">
        <x:f>'EP通信'!L15*B11</x:f>
        <x:v>32768</x:v>
      </x:c>
      <x:c r="I11" s="9" t="n">
        <x:f>'EP通信'!F29</x:f>
        <x:v>7176.544189453125</x:v>
      </x:c>
      <x:c r="J11" s="9" t="n">
        <x:f>'EP通信'!K29</x:f>
        <x:v>467.6485061645508</x:v>
      </x:c>
      <x:c r="K11" s="9" t="n">
        <x:f>I11/B11</x:f>
        <x:v>28.03337574005127</x:v>
      </x:c>
      <x:c r="L11" s="9" t="n">
        <x:f>J11/B11</x:f>
        <x:v>1.8267519772052765</x:v>
      </x:c>
      <x:c r="M11" s="2" t="str">
        <x:f>M29</x:f>
        <x:v>专家数整除；未实机验证</x:v>
      </x:c>
    </x:row>
    <x:row r="12" ht="25" customHeight="1">
      <x:c r="A12" s="2" t="str">
        <x:f>A30</x:f>
        <x:v>KimiK3</x:v>
      </x:c>
      <x:c r="B12" s="2" t="n">
        <x:f>B30</x:f>
        <x:v>32</x:v>
      </x:c>
      <x:c r="C12" s="2" t="n">
        <x:f>C30</x:f>
        <x:v>8</x:v>
      </x:c>
      <x:c r="D12" s="2" t="n">
        <x:f>D30</x:f>
        <x:v>4</x:v>
      </x:c>
      <x:c r="E12" s="2" t="n">
        <x:f>E30</x:f>
        <x:v>8</x:v>
      </x:c>
      <x:c r="F12" s="2" t="n">
        <x:f>F30</x:f>
        <x:v>4</x:v>
      </x:c>
      <x:c r="G12" s="8" t="n">
        <x:f>'EP通信'!K16*B12</x:f>
        <x:v>65536</x:v>
      </x:c>
      <x:c r="H12" s="8" t="n">
        <x:f>'EP通信'!L16*B12</x:f>
        <x:v>512</x:v>
      </x:c>
      <x:c r="I12" s="9" t="n">
        <x:f>'EP通信'!F30</x:f>
        <x:v>2495.8046264648438</x:v>
      </x:c>
      <x:c r="J12" s="9" t="n">
        <x:f>'EP通信'!K30</x:f>
        <x:v>20.290298461914062</x:v>
      </x:c>
      <x:c r="K12" s="9" t="n">
        <x:f>I12/B12</x:f>
        <x:v>77.99389457702637</x:v>
      </x:c>
      <x:c r="L12" s="9" t="n">
        <x:f>J12/B12</x:f>
        <x:v>0.6340718269348145</x:v>
      </x:c>
      <x:c r="M12" s="2" t="str">
        <x:f>M30</x:f>
        <x:v>专家数整除；未实机验证</x:v>
      </x:c>
    </x:row>
    <x:row r="13" ht="25" customHeight="1">
      <x:c r="A13" s="2" t="str">
        <x:f>A31</x:f>
        <x:v>KimiK3</x:v>
      </x:c>
      <x:c r="B13" s="2" t="n">
        <x:f>B31</x:f>
        <x:v>256</x:v>
      </x:c>
      <x:c r="C13" s="2" t="n">
        <x:f>C31</x:f>
        <x:v>8</x:v>
      </x:c>
      <x:c r="D13" s="2" t="n">
        <x:f>D31</x:f>
        <x:v>32</x:v>
      </x:c>
      <x:c r="E13" s="2" t="n">
        <x:f>E31</x:f>
        <x:v>8</x:v>
      </x:c>
      <x:c r="F13" s="2" t="n">
        <x:f>F31</x:f>
        <x:v>32</x:v>
      </x:c>
      <x:c r="G13" s="8" t="n">
        <x:f>'EP通信'!K17*B13</x:f>
        <x:v>524288</x:v>
      </x:c>
      <x:c r="H13" s="8" t="n">
        <x:f>'EP通信'!L17*B13</x:f>
        <x:v>4096</x:v>
      </x:c>
      <x:c r="I13" s="9" t="n">
        <x:f>'EP通信'!F31</x:f>
        <x:v>20550.41015625</x:v>
      </x:c>
      <x:c r="J13" s="9" t="n">
        <x:f>'EP通信'!K31</x:f>
        <x:v>166.99356079101562</x:v>
      </x:c>
      <x:c r="K13" s="9" t="n">
        <x:f>I13/B13</x:f>
        <x:v>80.27503967285156</x:v>
      </x:c>
      <x:c r="L13" s="9" t="n">
        <x:f>J13/B13</x:f>
        <x:v>0.6523185968399048</x:v>
      </x:c>
      <x:c r="M13" s="2" t="str">
        <x:f>M31</x:f>
        <x:v>需补齐128槽并验证EPLB</x:v>
      </x:c>
    </x:row>
    <x:row r="14" ht="25" customHeight="1">
      <x:c r="A14" s="2" t="str">
        <x:f>A32</x:f>
        <x:v>Qwen3.8 2.4T</x:v>
      </x:c>
      <x:c r="B14" s="2" t="n">
        <x:f>B32</x:f>
        <x:v>32</x:v>
      </x:c>
      <x:c r="C14" s="2" t="n">
        <x:f>C32</x:f>
        <x:v>8</x:v>
      </x:c>
      <x:c r="D14" s="2" t="n">
        <x:f>D32</x:f>
        <x:v>4</x:v>
      </x:c>
      <x:c r="E14" s="2" t="n">
        <x:f>E32</x:f>
        <x:v>8</x:v>
      </x:c>
      <x:c r="F14" s="2" t="n">
        <x:f>F32</x:f>
        <x:v>4</x:v>
      </x:c>
      <x:c r="G14" s="8" t="n">
        <x:f>'EP通信'!K18*B14</x:f>
        <x:v>65536</x:v>
      </x:c>
      <x:c r="H14" s="8" t="n">
        <x:f>'EP通信'!L18*B14</x:f>
        <x:v>512</x:v>
      </x:c>
      <x:c r="I14" s="9" t="n">
        <x:f>'EP通信'!F32</x:f>
        <x:v>1782.674072265625</x:v>
      </x:c>
      <x:c r="J14" s="9" t="n">
        <x:f>'EP通信'!K32</x:f>
        <x:v>14.635669708251953</x:v>
      </x:c>
      <x:c r="K14" s="9" t="n">
        <x:f>I14/B14</x:f>
        <x:v>55.70856475830078</x:v>
      </x:c>
      <x:c r="L14" s="9" t="n">
        <x:f>J14/B14</x:f>
        <x:v>0.45736467838287354</x:v>
      </x:c>
      <x:c r="M14" s="2" t="str">
        <x:f>M32</x:f>
        <x:v>专家数整除；未实机验证</x:v>
      </x:c>
    </x:row>
    <x:row r="15" ht="25" customHeight="1">
      <x:c r="A15" s="2" t="str">
        <x:f>A33</x:f>
        <x:v>Qwen3.8 2.4T</x:v>
      </x:c>
      <x:c r="B15" s="2" t="n">
        <x:f>B33</x:f>
        <x:v>256</x:v>
      </x:c>
      <x:c r="C15" s="2" t="n">
        <x:f>C33</x:f>
        <x:v>8</x:v>
      </x:c>
      <x:c r="D15" s="2" t="n">
        <x:f>D33</x:f>
        <x:v>32</x:v>
      </x:c>
      <x:c r="E15" s="2" t="n">
        <x:f>E33</x:f>
        <x:v>8</x:v>
      </x:c>
      <x:c r="F15" s="2" t="n">
        <x:f>F33</x:f>
        <x:v>32</x:v>
      </x:c>
      <x:c r="G15" s="8" t="n">
        <x:f>'EP通信'!K19*B15</x:f>
        <x:v>524288</x:v>
      </x:c>
      <x:c r="H15" s="8" t="n">
        <x:f>'EP通信'!L19*B15</x:f>
        <x:v>4096</x:v>
      </x:c>
      <x:c r="I15" s="9" t="n">
        <x:f>'EP通信'!F33</x:f>
        <x:v>14673.955078125</x:v>
      </x:c>
      <x:c r="J15" s="9" t="n">
        <x:f>'EP通信'!K33</x:f>
        <x:v>120.39018630981445</x:v>
      </x:c>
      <x:c r="K15" s="9" t="n">
        <x:f>I15/B15</x:f>
        <x:v>57.32013702392578</x:v>
      </x:c>
      <x:c r="L15" s="9" t="n">
        <x:f>J15/B15</x:f>
        <x:v>0.4702741652727127</x:v>
      </x:c>
      <x:c r="M15" s="2" t="str">
        <x:f>M33</x:f>
        <x:v>专家数整除；未实机验证</x:v>
      </x:c>
    </x:row>
    <x:row r="16" ht="25" customHeight="1">
      <x:c r="A16" s="2" t="str">
        <x:f>A34</x:f>
        <x:v>DS V4.1 Flash</x:v>
      </x:c>
      <x:c r="B16" s="2" t="n">
        <x:f>B34</x:f>
        <x:v>32</x:v>
      </x:c>
      <x:c r="C16" s="2" t="n">
        <x:f>C34</x:f>
        <x:v>8</x:v>
      </x:c>
      <x:c r="D16" s="2" t="n">
        <x:f>D34</x:f>
        <x:v>4</x:v>
      </x:c>
      <x:c r="E16" s="2" t="n">
        <x:f>E34</x:f>
        <x:v>1</x:v>
      </x:c>
      <x:c r="F16" s="2" t="n">
        <x:f>F34</x:f>
        <x:v>32</x:v>
      </x:c>
      <x:c r="G16" s="8" t="n">
        <x:f>'EP通信'!K20*B16</x:f>
        <x:v>65536</x:v>
      </x:c>
      <x:c r="H16" s="8" t="n">
        <x:f>'EP通信'!L20*B16</x:f>
        <x:v>4096</x:v>
      </x:c>
      <x:c r="I16" s="9" t="n">
        <x:f>'EP通信'!F34</x:f>
        <x:v>290.6817626953125</x:v>
      </x:c>
      <x:c r="J16" s="9" t="n">
        <x:f>'EP通信'!K34</x:f>
        <x:v>19.114837646484375</x:v>
      </x:c>
      <x:c r="K16" s="9" t="n">
        <x:f>I16/B16</x:f>
        <x:v>9.083805084228516</x:v>
      </x:c>
      <x:c r="L16" s="9" t="n">
        <x:f>J16/B16</x:f>
        <x:v>0.5973386764526367</x:v>
      </x:c>
      <x:c r="M16" s="2" t="str">
        <x:f>M34</x:f>
        <x:v>取为规划值；迁移未支持</x:v>
      </x:c>
    </x:row>
    <x:row r="17" ht="25" customHeight="1">
      <x:c r="A17" s="2" t="str">
        <x:f>A35</x:f>
        <x:v>DS V4.1 Flash</x:v>
      </x:c>
      <x:c r="B17" s="2" t="n">
        <x:f>B35</x:f>
        <x:v>256</x:v>
      </x:c>
      <x:c r="C17" s="2" t="n">
        <x:f>C35</x:f>
        <x:v>8</x:v>
      </x:c>
      <x:c r="D17" s="2" t="n">
        <x:f>D35</x:f>
        <x:v>32</x:v>
      </x:c>
      <x:c r="E17" s="2" t="n">
        <x:f>E35</x:f>
        <x:v>1</x:v>
      </x:c>
      <x:c r="F17" s="2" t="n">
        <x:f>F35</x:f>
        <x:v>256</x:v>
      </x:c>
      <x:c r="G17" s="8" t="n">
        <x:f>'EP通信'!K21*B17</x:f>
        <x:v>524288</x:v>
      </x:c>
      <x:c r="H17" s="8" t="n">
        <x:f>'EP通信'!L21*B17</x:f>
        <x:v>32768</x:v>
      </x:c>
      <x:c r="I17" s="9" t="n">
        <x:f>'EP通信'!F35</x:f>
        <x:v>2395.60546875</x:v>
      </x:c>
      <x:c r="J17" s="9" t="n">
        <x:f>'EP通信'!K35</x:f>
        <x:v>157.27386474609375</x:v>
      </x:c>
      <x:c r="K17" s="9" t="n">
        <x:f>I17/B17</x:f>
        <x:v>9.357833862304688</x:v>
      </x:c>
      <x:c r="L17" s="9" t="n">
        <x:f>J17/B17</x:f>
        <x:v>0.6143510341644287</x:v>
      </x:c>
      <x:c r="M17" s="2" t="str">
        <x:f>M35</x:f>
        <x:v>补128槽并验证；取为规划值</x:v>
      </x:c>
    </x:row>
    <x:row r="18" ht="25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</x:row>
    <x:row r="20" ht="25" customHeight="1">
      <x:c r="A20" s="10" t="str">
        <x:v>配套 KV 存取 · 每请求 / 每 P DP 批 / P 整组</x:v>
      </x:c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</x:row>
    <x:row r="21" ht="25" customHeight="1">
      <x:c r="A21" s="2" t="str">
        <x:v>单位 GiB。存＝生成 KV 行＋最终辅助状态；取＝P→D 张量字节。V4.1 的取仅为规划值，main 未支持迁移。</x:v>
      </x:c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</x:row>
    <x:row r="22" ht="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</x:row>
    <x:row r="23" ht="40" customHeight="1">
      <x:c r="A23" s="7" t="str">
        <x:v>模型</x:v>
      </x:c>
      <x:c r="B23" s="7" t="str">
        <x:v>EP</x:v>
      </x:c>
      <x:c r="C23" s="7" t="str">
        <x:v>P TP</x:v>
      </x:c>
      <x:c r="D23" s="7" t="str">
        <x:v>P DP</x:v>
      </x:c>
      <x:c r="E23" s="7" t="str">
        <x:v>D TP</x:v>
      </x:c>
      <x:c r="F23" s="7" t="str">
        <x:v>D DP</x:v>
      </x:c>
      <x:c r="G23" s="7" t="str">
        <x:v>存/请求</x:v>
      </x:c>
      <x:c r="H23" s="7" t="str">
        <x:v>取或规划取/请求</x:v>
      </x:c>
      <x:c r="I23" s="7" t="str">
        <x:v>存/P DP批</x:v>
      </x:c>
      <x:c r="J23" s="7" t="str">
        <x:v>取或规划取/批</x:v>
      </x:c>
      <x:c r="K23" s="7" t="str">
        <x:v>存/P整组</x:v>
      </x:c>
      <x:c r="L23" s="7" t="str">
        <x:v>取或规划取/整组</x:v>
      </x:c>
      <x:c r="M23" s="7" t="str">
        <x:v>部署 / 迁移条件</x:v>
      </x:c>
    </x:row>
    <x:row r="24" ht="25" customHeight="1">
      <x:c r="A24" s="2" t="str">
        <x:f>'EP通信'!A10</x:f>
        <x:v>DS V4 10T</x:v>
      </x:c>
      <x:c r="B24" s="2" t="n">
        <x:f>'EP通信'!B10</x:f>
        <x:v>32</x:v>
      </x:c>
      <x:c r="C24" s="2" t="n">
        <x:f>'EP通信'!I10</x:f>
        <x:v>8</x:v>
      </x:c>
      <x:c r="D24" s="2" t="n">
        <x:f>B24/C24</x:f>
        <x:v>4</x:v>
      </x:c>
      <x:c r="E24" s="2" t="n">
        <x:f>'EP通信'!J10</x:f>
        <x:v>1</x:v>
      </x:c>
      <x:c r="F24" s="2" t="n">
        <x:f>B24/E24</x:f>
        <x:v>32</x:v>
      </x:c>
      <x:c r="G24" s="9" t="n">
        <x:f>'KV明细'!J16</x:f>
        <x:v>139.52711632847786</x:v>
      </x:c>
      <x:c r="H24" s="9" t="n">
        <x:f>'KV明细'!L16</x:f>
        <x:v>2.21197509765625</x:v>
      </x:c>
      <x:c r="I24" s="9" t="n">
        <x:f>G24*'KV明细'!$K$5</x:f>
        <x:v>2232.4338612556458</x:v>
      </x:c>
      <x:c r="J24" s="9" t="n">
        <x:f>H24*'KV明细'!$K$5</x:f>
        <x:v>35.3916015625</x:v>
      </x:c>
      <x:c r="K24" s="9" t="n">
        <x:f>I24*D24</x:f>
        <x:v>8929.735445022583</x:v>
      </x:c>
      <x:c r="L24" s="9" t="n">
        <x:f>J24*D24</x:f>
        <x:v>141.56640625</x:v>
      </x:c>
      <x:c r="M24" s="2" t="str">
        <x:f>IF('EP通信'!H10&gt;0,"需补齐128槽并验证EPLB","专家数整除；未实机验证")</x:f>
        <x:v>专家数整除；未实机验证</x:v>
      </x:c>
    </x:row>
    <x:row r="25" ht="25" customHeight="1">
      <x:c r="A25" s="2" t="str">
        <x:f>'EP通信'!A11</x:f>
        <x:v>DS V4 10T</x:v>
      </x:c>
      <x:c r="B25" s="2" t="n">
        <x:f>'EP通信'!B11</x:f>
        <x:v>256</x:v>
      </x:c>
      <x:c r="C25" s="2" t="n">
        <x:f>'EP通信'!I11</x:f>
        <x:v>8</x:v>
      </x:c>
      <x:c r="D25" s="2" t="n">
        <x:f>B25/C25</x:f>
        <x:v>32</x:v>
      </x:c>
      <x:c r="E25" s="2" t="n">
        <x:f>'EP通信'!J11</x:f>
        <x:v>1</x:v>
      </x:c>
      <x:c r="F25" s="2" t="n">
        <x:f>B25/E25</x:f>
        <x:v>256</x:v>
      </x:c>
      <x:c r="G25" s="9" t="n">
        <x:f>'KV明细'!J16</x:f>
        <x:v>139.52711632847786</x:v>
      </x:c>
      <x:c r="H25" s="9" t="n">
        <x:f>'KV明细'!L16</x:f>
        <x:v>2.21197509765625</x:v>
      </x:c>
      <x:c r="I25" s="9" t="n">
        <x:f>G25*'KV明细'!$K$5</x:f>
        <x:v>2232.4338612556458</x:v>
      </x:c>
      <x:c r="J25" s="9" t="n">
        <x:f>H25*'KV明细'!$K$5</x:f>
        <x:v>35.3916015625</x:v>
      </x:c>
      <x:c r="K25" s="9" t="n">
        <x:f>I25*D25</x:f>
        <x:v>71437.88356018066</x:v>
      </x:c>
      <x:c r="L25" s="9" t="n">
        <x:f>J25*D25</x:f>
        <x:v>1132.53125</x:v>
      </x:c>
      <x:c r="M25" s="2" t="str">
        <x:f>IF('EP通信'!H11&gt;0,"需补齐128槽并验证EPLB","专家数整除；未实机验证")</x:f>
        <x:v>需补齐128槽并验证EPLB</x:v>
      </x:c>
    </x:row>
    <x:row r="26" ht="25" customHeight="1">
      <x:c r="A26" s="2" t="str">
        <x:f>'EP通信'!A12</x:f>
        <x:v>DS V4 Pro</x:v>
      </x:c>
      <x:c r="B26" s="2" t="n">
        <x:f>'EP通信'!B12</x:f>
        <x:v>32</x:v>
      </x:c>
      <x:c r="C26" s="2" t="n">
        <x:f>'EP通信'!I12</x:f>
        <x:v>8</x:v>
      </x:c>
      <x:c r="D26" s="2" t="n">
        <x:f>B26/C26</x:f>
        <x:v>4</x:v>
      </x:c>
      <x:c r="E26" s="2" t="n">
        <x:f>'EP通信'!J12</x:f>
        <x:v>1</x:v>
      </x:c>
      <x:c r="F26" s="2" t="n">
        <x:f>B26/E26</x:f>
        <x:v>32</x:v>
      </x:c>
      <x:c r="G26" s="9" t="n">
        <x:f>'KV明细'!J25</x:f>
        <x:v>139.52711632847786</x:v>
      </x:c>
      <x:c r="H26" s="9" t="n">
        <x:f>'KV明细'!L25</x:f>
        <x:v>2.21197509765625</x:v>
      </x:c>
      <x:c r="I26" s="9" t="n">
        <x:f>G26*'KV明细'!$K$5</x:f>
        <x:v>2232.4338612556458</x:v>
      </x:c>
      <x:c r="J26" s="9" t="n">
        <x:f>H26*'KV明细'!$K$5</x:f>
        <x:v>35.3916015625</x:v>
      </x:c>
      <x:c r="K26" s="9" t="n">
        <x:f>I26*D26</x:f>
        <x:v>8929.735445022583</x:v>
      </x:c>
      <x:c r="L26" s="9" t="n">
        <x:f>J26*D26</x:f>
        <x:v>141.56640625</x:v>
      </x:c>
      <x:c r="M26" s="2" t="str">
        <x:f>IF('EP通信'!H12&gt;0,"需补齐128槽并验证EPLB","专家数整除；未实机验证")</x:f>
        <x:v>专家数整除；未实机验证</x:v>
      </x:c>
    </x:row>
    <x:row r="27" ht="25" customHeight="1">
      <x:c r="A27" s="2" t="str">
        <x:f>'EP通信'!A13</x:f>
        <x:v>DS V4 Pro</x:v>
      </x:c>
      <x:c r="B27" s="2" t="n">
        <x:f>'EP通信'!B13</x:f>
        <x:v>256</x:v>
      </x:c>
      <x:c r="C27" s="2" t="n">
        <x:f>'EP通信'!I13</x:f>
        <x:v>8</x:v>
      </x:c>
      <x:c r="D27" s="2" t="n">
        <x:f>B27/C27</x:f>
        <x:v>32</x:v>
      </x:c>
      <x:c r="E27" s="2" t="n">
        <x:f>'EP通信'!J13</x:f>
        <x:v>1</x:v>
      </x:c>
      <x:c r="F27" s="2" t="n">
        <x:f>B27/E27</x:f>
        <x:v>256</x:v>
      </x:c>
      <x:c r="G27" s="9" t="n">
        <x:f>'KV明细'!J25</x:f>
        <x:v>139.52711632847786</x:v>
      </x:c>
      <x:c r="H27" s="9" t="n">
        <x:f>'KV明细'!L25</x:f>
        <x:v>2.21197509765625</x:v>
      </x:c>
      <x:c r="I27" s="9" t="n">
        <x:f>G27*'KV明细'!$K$5</x:f>
        <x:v>2232.4338612556458</x:v>
      </x:c>
      <x:c r="J27" s="9" t="n">
        <x:f>H27*'KV明细'!$K$5</x:f>
        <x:v>35.3916015625</x:v>
      </x:c>
      <x:c r="K27" s="9" t="n">
        <x:f>I27*D27</x:f>
        <x:v>71437.88356018066</x:v>
      </x:c>
      <x:c r="L27" s="9" t="n">
        <x:f>J27*D27</x:f>
        <x:v>1132.53125</x:v>
      </x:c>
      <x:c r="M27" s="2" t="str">
        <x:f>IF('EP通信'!H13&gt;0,"需补齐128槽并验证EPLB","专家数整除；未实机验证")</x:f>
        <x:v>需补齐128槽并验证EPLB</x:v>
      </x:c>
    </x:row>
    <x:row r="28" ht="25" customHeight="1">
      <x:c r="A28" s="2" t="str">
        <x:f>'EP通信'!A14</x:f>
        <x:v>GLM5.3</x:v>
      </x:c>
      <x:c r="B28" s="2" t="n">
        <x:f>'EP通信'!B14</x:f>
        <x:v>32</x:v>
      </x:c>
      <x:c r="C28" s="2" t="n">
        <x:f>'EP通信'!I14</x:f>
        <x:v>8</x:v>
      </x:c>
      <x:c r="D28" s="2" t="n">
        <x:f>B28/C28</x:f>
        <x:v>4</x:v>
      </x:c>
      <x:c r="E28" s="2" t="n">
        <x:f>'EP通信'!J14</x:f>
        <x:v>1</x:v>
      </x:c>
      <x:c r="F28" s="2" t="n">
        <x:f>B28/E28</x:f>
        <x:v>32</x:v>
      </x:c>
      <x:c r="G28" s="9" t="n">
        <x:f>'KV明细'!J29</x:f>
        <x:v>186</x:v>
      </x:c>
      <x:c r="H28" s="9" t="n">
        <x:f>'KV明细'!L29</x:f>
        <x:v>23.25</x:v>
      </x:c>
      <x:c r="I28" s="9" t="n">
        <x:f>G28*'KV明细'!$K$5</x:f>
        <x:v>2976</x:v>
      </x:c>
      <x:c r="J28" s="9" t="n">
        <x:f>H28*'KV明细'!$K$5</x:f>
        <x:v>372</x:v>
      </x:c>
      <x:c r="K28" s="9" t="n">
        <x:f>I28*D28</x:f>
        <x:v>11904</x:v>
      </x:c>
      <x:c r="L28" s="9" t="n">
        <x:f>J28*D28</x:f>
        <x:v>1488</x:v>
      </x:c>
      <x:c r="M28" s="2" t="str">
        <x:f>IF('EP通信'!H14&gt;0,"需补齐128槽并验证EPLB","专家数整除；未实机验证")</x:f>
        <x:v>专家数整除；未实机验证</x:v>
      </x:c>
    </x:row>
    <x:row r="29" ht="25" customHeight="1">
      <x:c r="A29" s="2" t="str">
        <x:f>'EP通信'!A15</x:f>
        <x:v>GLM5.3</x:v>
      </x:c>
      <x:c r="B29" s="2" t="n">
        <x:f>'EP通信'!B15</x:f>
        <x:v>256</x:v>
      </x:c>
      <x:c r="C29" s="2" t="n">
        <x:f>'EP通信'!I15</x:f>
        <x:v>8</x:v>
      </x:c>
      <x:c r="D29" s="2" t="n">
        <x:f>B29/C29</x:f>
        <x:v>32</x:v>
      </x:c>
      <x:c r="E29" s="2" t="n">
        <x:f>'EP通信'!J15</x:f>
        <x:v>1</x:v>
      </x:c>
      <x:c r="F29" s="2" t="n">
        <x:f>B29/E29</x:f>
        <x:v>256</x:v>
      </x:c>
      <x:c r="G29" s="9" t="n">
        <x:f>'KV明细'!J29</x:f>
        <x:v>186</x:v>
      </x:c>
      <x:c r="H29" s="9" t="n">
        <x:f>'KV明细'!L29</x:f>
        <x:v>23.25</x:v>
      </x:c>
      <x:c r="I29" s="9" t="n">
        <x:f>G29*'KV明细'!$K$5</x:f>
        <x:v>2976</x:v>
      </x:c>
      <x:c r="J29" s="9" t="n">
        <x:f>H29*'KV明细'!$K$5</x:f>
        <x:v>372</x:v>
      </x:c>
      <x:c r="K29" s="9" t="n">
        <x:f>I29*D29</x:f>
        <x:v>95232</x:v>
      </x:c>
      <x:c r="L29" s="9" t="n">
        <x:f>J29*D29</x:f>
        <x:v>11904</x:v>
      </x:c>
      <x:c r="M29" s="2" t="str">
        <x:f>IF('EP通信'!H15&gt;0,"需补齐128槽并验证EPLB","专家数整除；未实机验证")</x:f>
        <x:v>专家数整除；未实机验证</x:v>
      </x:c>
    </x:row>
    <x:row r="30" ht="25" customHeight="1">
      <x:c r="A30" s="2" t="str">
        <x:f>'EP通信'!A16</x:f>
        <x:v>KimiK3</x:v>
      </x:c>
      <x:c r="B30" s="2" t="n">
        <x:f>'EP通信'!B16</x:f>
        <x:v>32</x:v>
      </x:c>
      <x:c r="C30" s="2" t="n">
        <x:f>'EP通信'!I16</x:f>
        <x:v>8</x:v>
      </x:c>
      <x:c r="D30" s="2" t="n">
        <x:f>B30/C30</x:f>
        <x:v>4</x:v>
      </x:c>
      <x:c r="E30" s="2" t="n">
        <x:f>'EP通信'!J16</x:f>
        <x:v>8</x:v>
      </x:c>
      <x:c r="F30" s="2" t="n">
        <x:f>B30/E30</x:f>
        <x:v>4</x:v>
      </x:c>
      <x:c r="G30" s="9" t="n">
        <x:f>'KV明细'!J34</x:f>
        <x:v>54.418304443359375</x:v>
      </x:c>
      <x:c r="H30" s="9" t="n">
        <x:f>'KV明细'!L34</x:f>
        <x:v>54.45167541503906</x:v>
      </x:c>
      <x:c r="I30" s="9" t="n">
        <x:f>G30*'KV明细'!$K$5</x:f>
        <x:v>870.69287109375</x:v>
      </x:c>
      <x:c r="J30" s="9" t="n">
        <x:f>H30*'KV明细'!$K$5</x:f>
        <x:v>871.226806640625</x:v>
      </x:c>
      <x:c r="K30" s="9" t="n">
        <x:f>I30*D30</x:f>
        <x:v>3482.771484375</x:v>
      </x:c>
      <x:c r="L30" s="9" t="n">
        <x:f>J30*D30</x:f>
        <x:v>3484.9072265625</x:v>
      </x:c>
      <x:c r="M30" s="2" t="str">
        <x:f>IF('EP通信'!H16&gt;0,"需补齐128槽并验证EPLB","专家数整除；未实机验证")</x:f>
        <x:v>专家数整除；未实机验证</x:v>
      </x:c>
    </x:row>
    <x:row r="31" ht="25" customHeight="1">
      <x:c r="A31" s="2" t="str">
        <x:f>'EP通信'!A17</x:f>
        <x:v>KimiK3</x:v>
      </x:c>
      <x:c r="B31" s="2" t="n">
        <x:f>'EP通信'!B17</x:f>
        <x:v>256</x:v>
      </x:c>
      <x:c r="C31" s="2" t="n">
        <x:f>'EP通信'!I17</x:f>
        <x:v>8</x:v>
      </x:c>
      <x:c r="D31" s="2" t="n">
        <x:f>B31/C31</x:f>
        <x:v>32</x:v>
      </x:c>
      <x:c r="E31" s="2" t="n">
        <x:f>'EP通信'!J17</x:f>
        <x:v>8</x:v>
      </x:c>
      <x:c r="F31" s="2" t="n">
        <x:f>B31/E31</x:f>
        <x:v>32</x:v>
      </x:c>
      <x:c r="G31" s="9" t="n">
        <x:f>'KV明细'!J34</x:f>
        <x:v>54.418304443359375</x:v>
      </x:c>
      <x:c r="H31" s="9" t="n">
        <x:f>'KV明细'!L34</x:f>
        <x:v>54.45167541503906</x:v>
      </x:c>
      <x:c r="I31" s="9" t="n">
        <x:f>G31*'KV明细'!$K$5</x:f>
        <x:v>870.69287109375</x:v>
      </x:c>
      <x:c r="J31" s="9" t="n">
        <x:f>H31*'KV明细'!$K$5</x:f>
        <x:v>871.226806640625</x:v>
      </x:c>
      <x:c r="K31" s="9" t="n">
        <x:f>I31*D31</x:f>
        <x:v>27862.171875</x:v>
      </x:c>
      <x:c r="L31" s="9" t="n">
        <x:f>J31*D31</x:f>
        <x:v>27879.2578125</x:v>
      </x:c>
      <x:c r="M31" s="2" t="str">
        <x:f>IF('EP通信'!H17&gt;0,"需补齐128槽并验证EPLB","专家数整除；未实机验证")</x:f>
        <x:v>需补齐128槽并验证EPLB</x:v>
      </x:c>
    </x:row>
    <x:row r="32" ht="25" customHeight="1">
      <x:c r="A32" s="2" t="str">
        <x:f>'EP通信'!A18</x:f>
        <x:v>Qwen3.8 2.4T</x:v>
      </x:c>
      <x:c r="B32" s="2" t="n">
        <x:f>'EP通信'!B18</x:f>
        <x:v>32</x:v>
      </x:c>
      <x:c r="C32" s="2" t="n">
        <x:f>'EP通信'!I18</x:f>
        <x:v>8</x:v>
      </x:c>
      <x:c r="D32" s="2" t="n">
        <x:f>B32/C32</x:f>
        <x:v>4</x:v>
      </x:c>
      <x:c r="E32" s="2" t="n">
        <x:f>'EP通信'!J18</x:f>
        <x:v>8</x:v>
      </x:c>
      <x:c r="F32" s="2" t="n">
        <x:f>B32/E32</x:f>
        <x:v>4</x:v>
      </x:c>
      <x:c r="G32" s="9" t="n">
        <x:f>'KV明细'!J39</x:f>
        <x:v>46.546783447265625</x:v>
      </x:c>
      <x:c r="H32" s="9" t="n">
        <x:f>'KV明细'!L39</x:f>
        <x:v>46.56538391113281</x:v>
      </x:c>
      <x:c r="I32" s="9" t="n">
        <x:f>G32*'KV明细'!$K$5</x:f>
        <x:v>744.74853515625</x:v>
      </x:c>
      <x:c r="J32" s="9" t="n">
        <x:f>H32*'KV明细'!$K$5</x:f>
        <x:v>745.046142578125</x:v>
      </x:c>
      <x:c r="K32" s="9" t="n">
        <x:f>I32*D32</x:f>
        <x:v>2978.994140625</x:v>
      </x:c>
      <x:c r="L32" s="9" t="n">
        <x:f>J32*D32</x:f>
        <x:v>2980.1845703125</x:v>
      </x:c>
      <x:c r="M32" s="2" t="str">
        <x:f>IF('EP通信'!H18&gt;0,"需补齐128槽并验证EPLB","专家数整除；未实机验证")</x:f>
        <x:v>专家数整除；未实机验证</x:v>
      </x:c>
    </x:row>
    <x:row r="33" ht="25" customHeight="1">
      <x:c r="A33" s="2" t="str">
        <x:f>'EP通信'!A19</x:f>
        <x:v>Qwen3.8 2.4T</x:v>
      </x:c>
      <x:c r="B33" s="2" t="n">
        <x:f>'EP通信'!B19</x:f>
        <x:v>256</x:v>
      </x:c>
      <x:c r="C33" s="2" t="n">
        <x:f>'EP通信'!I19</x:f>
        <x:v>8</x:v>
      </x:c>
      <x:c r="D33" s="2" t="n">
        <x:f>B33/C33</x:f>
        <x:v>32</x:v>
      </x:c>
      <x:c r="E33" s="2" t="n">
        <x:f>'EP通信'!J19</x:f>
        <x:v>8</x:v>
      </x:c>
      <x:c r="F33" s="2" t="n">
        <x:f>B33/E33</x:f>
        <x:v>32</x:v>
      </x:c>
      <x:c r="G33" s="9" t="n">
        <x:f>'KV明细'!J39</x:f>
        <x:v>46.546783447265625</x:v>
      </x:c>
      <x:c r="H33" s="9" t="n">
        <x:f>'KV明细'!L39</x:f>
        <x:v>46.56538391113281</x:v>
      </x:c>
      <x:c r="I33" s="9" t="n">
        <x:f>G33*'KV明细'!$K$5</x:f>
        <x:v>744.74853515625</x:v>
      </x:c>
      <x:c r="J33" s="9" t="n">
        <x:f>H33*'KV明细'!$K$5</x:f>
        <x:v>745.046142578125</x:v>
      </x:c>
      <x:c r="K33" s="9" t="n">
        <x:f>I33*D33</x:f>
        <x:v>23831.953125</x:v>
      </x:c>
      <x:c r="L33" s="9" t="n">
        <x:f>J33*D33</x:f>
        <x:v>23841.4765625</x:v>
      </x:c>
      <x:c r="M33" s="2" t="str">
        <x:f>IF('EP通信'!H19&gt;0,"需补齐128槽并验证EPLB","专家数整除；未实机验证")</x:f>
        <x:v>专家数整除；未实机验证</x:v>
      </x:c>
    </x:row>
    <x:row r="34" ht="25" customHeight="1">
      <x:c r="A34" s="2" t="str">
        <x:f>'EP通信'!A20</x:f>
        <x:v>DS V4.1 Flash</x:v>
      </x:c>
      <x:c r="B34" s="2" t="n">
        <x:f>'EP通信'!B20</x:f>
        <x:v>32</x:v>
      </x:c>
      <x:c r="C34" s="2" t="n">
        <x:f>'EP通信'!I20</x:f>
        <x:v>8</x:v>
      </x:c>
      <x:c r="D34" s="2" t="n">
        <x:f>B34/C34</x:f>
        <x:v>4</x:v>
      </x:c>
      <x:c r="E34" s="2" t="n">
        <x:f>'EP通信'!J20</x:f>
        <x:v>1</x:v>
      </x:c>
      <x:c r="F34" s="2" t="n">
        <x:f>B34/E34</x:f>
        <x:v>32</x:v>
      </x:c>
      <x:c r="G34" s="9" t="n">
        <x:f>'KV明细'!J47</x:f>
        <x:v>85.6376953125</x:v>
      </x:c>
      <x:c r="H34" s="16" t="n">
        <x:f>'KV明细'!L47</x:f>
        <x:v>0.7144775390625</x:v>
      </x:c>
      <x:c r="I34" s="9" t="n">
        <x:f>G34*'KV明细'!$K$5</x:f>
        <x:v>1370.203125</x:v>
      </x:c>
      <x:c r="J34" s="16" t="n">
        <x:f>H34*'KV明细'!$K$5</x:f>
        <x:v>11.431640625</x:v>
      </x:c>
      <x:c r="K34" s="9" t="n">
        <x:f>I34*D34</x:f>
        <x:v>5480.8125</x:v>
      </x:c>
      <x:c r="L34" s="16" t="n">
        <x:f>J34*D34</x:f>
        <x:v>45.7265625</x:v>
      </x:c>
      <x:c r="M34" s="2" t="str">
        <x:f>IF('EP通信'!H20&gt;0,"补128槽并验证；取为规划值","取为规划值；迁移未支持")</x:f>
        <x:v>取为规划值；迁移未支持</x:v>
      </x:c>
    </x:row>
    <x:row r="35" ht="25" customHeight="1">
      <x:c r="A35" s="2" t="str">
        <x:f>'EP通信'!A21</x:f>
        <x:v>DS V4.1 Flash</x:v>
      </x:c>
      <x:c r="B35" s="2" t="n">
        <x:f>'EP通信'!B21</x:f>
        <x:v>256</x:v>
      </x:c>
      <x:c r="C35" s="2" t="n">
        <x:f>'EP通信'!I21</x:f>
        <x:v>8</x:v>
      </x:c>
      <x:c r="D35" s="2" t="n">
        <x:f>B35/C35</x:f>
        <x:v>32</x:v>
      </x:c>
      <x:c r="E35" s="2" t="n">
        <x:f>'EP通信'!J21</x:f>
        <x:v>1</x:v>
      </x:c>
      <x:c r="F35" s="2" t="n">
        <x:f>B35/E35</x:f>
        <x:v>256</x:v>
      </x:c>
      <x:c r="G35" s="9" t="n">
        <x:f>'KV明细'!J47</x:f>
        <x:v>85.6376953125</x:v>
      </x:c>
      <x:c r="H35" s="16" t="n">
        <x:f>'KV明细'!L47</x:f>
        <x:v>0.7144775390625</x:v>
      </x:c>
      <x:c r="I35" s="9" t="n">
        <x:f>G35*'KV明细'!$K$5</x:f>
        <x:v>1370.203125</x:v>
      </x:c>
      <x:c r="J35" s="16" t="n">
        <x:f>H35*'KV明细'!$K$5</x:f>
        <x:v>11.431640625</x:v>
      </x:c>
      <x:c r="K35" s="9" t="n">
        <x:f>I35*D35</x:f>
        <x:v>43846.5</x:v>
      </x:c>
      <x:c r="L35" s="16" t="n">
        <x:f>J35*D35</x:f>
        <x:v>365.8125</x:v>
      </x:c>
      <x:c r="M35" s="2" t="str">
        <x:f>IF('EP通信'!H21&gt;0,"补128槽并验证；取为规划值","取为规划值；迁移未支持")</x:f>
        <x:v>补128槽并验证；取为规划值</x:v>
      </x:c>
    </x:row>
    <x:row r="36" ht="2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25" customHeight="1">
      <x:c r="A38" s="2" t="str">
        <x:v>EP256 条件：DS V4 / V4.1 / Kimi 需补齐 128 个物理专家槽并验证 EPLB；未改模型 checkpoint。</x:v>
      </x:c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5" customHeight="1">
      <x:c r="A40" s="2" t="str">
        <x:f>"P 整组批次：EP32 为 "&amp;'KV明细'!$K$5*4&amp;" 请求，EP256 为 "&amp;'KV明细'!$K$5*32&amp;" 请求；单请求 KV 不随 EP 改变。"</x:f>
        <x:v>P 整组批次：EP32 为 64 请求，EP256 为 512 请求；单请求 KV 不随 EP 改变。</x:v>
      </x:c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5" customHeight="1">
      <x:c r="A42" s="2" t="str">
        <x:v>DS 存量含整个 prompt 生成的 SWA 行；阶段末常驻量见 KV 明细，不能按生成量配 HBM。</x:v>
      </x:c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25" customHeight="1">
      <x:c r="A44" s="2" t="str">
        <x:v>V4.1：完成 S tokens 后交接；长 KV / Indexer 只计 4 个源层，SWA 尾块和 32 行环形页按规划传输。</x:v>
      </x:c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 ht="25" customHeight="1">
      <x:c r="A46" s="2" t="str">
        <x:v>MC2 未计轮询读、重试和物理协议开销；V4.1 Engram 通信另见模型分析，未叠加进 MoE EP。</x:v>
      </x:c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 ht="25" customHeight="1">
      <x:c r="A48" s="2" t="str">
        <x:v>黄色输入可编辑；主干层，不含 draft/MTP；参数、公式与源码说明见明细及 analysis/KV-EP-SPECS.md。</x:v>
      </x:c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 ht="2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 ht="2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 ht="25" customHeight="1">
      <x:c r="A51" s="10" t="str">
        <x:v>PD 带宽争用：EP32 / EP256</x:v>
      </x:c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</x:row>
    <x:row r="52" ht="25" customHeight="1">
      <x:c r="A52" s="2" t="str">
        <x:v>只计 MoE EP 带宽项，单位 ms/Step/Rank。100 GB/s 是归一化示例；全组字节先除 EP，不能直接除单卡带宽。</x:v>
      </x:c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</x:row>
    <x:row r="53" ht="2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</x:row>
    <x:row r="54" ht="40" customHeight="1">
      <x:c r="A54" s="39" t="str">
        <x:v>P GB/s</x:v>
      </x:c>
      <x:c r="B54" s="39" t="str">
        <x:v>输入</x:v>
      </x:c>
      <x:c r="C54" s="39" t="str">
        <x:v>D GB/s</x:v>
      </x:c>
      <x:c r="D54" s="39" t="str">
        <x:v>输入</x:v>
      </x:c>
      <x:c r="E54" s="39" t="str">
        <x:v>带宽降幅</x:v>
      </x:c>
      <x:c r="F54" s="39" t="str">
        <x:v>输入</x:v>
      </x:c>
      <x:c r="G54" s="39" t="str">
        <x:v>争用覆盖率</x:v>
      </x:c>
      <x:c r="H54" s="39" t="str">
        <x:v>输入</x:v>
      </x:c>
      <x:c r="I54" s="39" t="str">
        <x:v>暴露系数</x:v>
      </x:c>
      <x:c r="J54" s="39" t="str">
        <x:v>输入</x:v>
      </x:c>
      <x:c r="K54" s="2"/>
      <x:c r="L54" s="2"/>
      <x:c r="M54" s="2"/>
      <x:c r="N54" s="2"/>
      <x:c r="O54" s="2"/>
    </x:row>
    <x:row r="55" ht="25" customHeight="1">
      <x:c r="A55" s="2"/>
      <x:c r="B55" s="40" t="n">
        <x:v>100</x:v>
      </x:c>
      <x:c r="C55" s="2"/>
      <x:c r="D55" s="40" t="n">
        <x:v>100</x:v>
      </x:c>
      <x:c r="E55" s="2"/>
      <x:c r="F55" s="41" t="n">
        <x:v>0.1</x:v>
      </x:c>
      <x:c r="G55" s="2"/>
      <x:c r="H55" s="41" t="n">
        <x:v>1</x:v>
      </x:c>
      <x:c r="I55" s="2"/>
      <x:c r="J55" s="41" t="n">
        <x:v>1</x:v>
      </x:c>
      <x:c r="K55" s="2"/>
      <x:c r="L55" s="2"/>
      <x:c r="M55" s="2"/>
      <x:c r="N55" s="2"/>
      <x:c r="O55" s="2"/>
    </x:row>
    <x:row r="56" ht="2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</x:row>
    <x:row r="57" ht="40" customHeight="1">
      <x:c r="A57" s="39" t="str">
        <x:v>模型</x:v>
      </x:c>
      <x:c r="B57" s="39" t="str">
        <x:v>EP</x:v>
      </x:c>
      <x:c r="C57" s="39" t="str">
        <x:v>P基线通信 ms</x:v>
      </x:c>
      <x:c r="D57" s="39" t="str">
        <x:v>P争用后 ms</x:v>
      </x:c>
      <x:c r="E57" s="39" t="str">
        <x:v>P forward增量</x:v>
      </x:c>
      <x:c r="F57" s="39" t="str">
        <x:v>D基线通信 ms</x:v>
      </x:c>
      <x:c r="G57" s="39" t="str">
        <x:v>D争用后 ms</x:v>
      </x:c>
      <x:c r="H57" s="39" t="str">
        <x:v>D forward增量</x:v>
      </x:c>
      <x:c r="I57" s="39" t="str">
        <x:v>P基线FW ms输入</x:v>
      </x:c>
      <x:c r="J57" s="39" t="str">
        <x:v>P forward增幅</x:v>
      </x:c>
      <x:c r="K57" s="39" t="str">
        <x:v>D基线FW ms输入</x:v>
      </x:c>
      <x:c r="L57" s="39" t="str">
        <x:v>D forward增幅</x:v>
      </x:c>
      <x:c r="M57" s="39" t="str">
        <x:v>P带宽 GB/s 输入</x:v>
      </x:c>
      <x:c r="N57" s="39" t="str">
        <x:v>D带宽 GB/s 输入</x:v>
      </x:c>
      <x:c r="O57" s="39" t="str">
        <x:v>评估范围</x:v>
      </x:c>
    </x:row>
    <x:row r="58" ht="25" customHeight="1">
      <x:c r="A58" s="2" t="str">
        <x:f>A6</x:f>
        <x:v>DS V4 10T</x:v>
      </x:c>
      <x:c r="B58" s="2" t="n">
        <x:f>B6</x:f>
        <x:v>32</x:v>
      </x:c>
      <x:c r="C58" s="9" t="n">
        <x:f>IF(AND(ISNUMBER(M58),M58&gt;0,ISNUMBER(N58),N58&gt;0,ISNUMBER($F$55),$F$55&gt;=0,$F$55&lt;1,ISNUMBER($H$55),$H$55&gt;=0,$H$55&lt;=1,ISNUMBER($J$55),$J$55&gt;=0,$J$55&lt;=1),I6*2^30/B6/(M58*1e6),NA())</x:f>
        <x:v>208.22905344</x:v>
      </x:c>
      <x:c r="D58" s="9" t="n">
        <x:f>C58*(1+$H$55*$F$55/(1-$F$55))</x:f>
        <x:v>231.36561493333335</x:v>
      </x:c>
      <x:c r="E58" s="9" t="n">
        <x:f>(D58-C58)*$J$55</x:f>
        <x:v>23.136561493333346</x:v>
      </x:c>
      <x:c r="F58" s="9" t="n">
        <x:f>IF(AND(ISNUMBER(M58),M58&gt;0,ISNUMBER(N58),N58&gt;0,ISNUMBER($F$55),$F$55&gt;=0,$F$55&lt;1,ISNUMBER($H$55),$H$55&gt;=0,$H$55&lt;=1,ISNUMBER($J$55),$J$55&gt;=0,$J$55&lt;=1),J6*2^30/B6/(N58*1e6),NA())</x:f>
        <x:v>13.49901696</x:v>
      </x:c>
      <x:c r="G58" s="9" t="n">
        <x:f>F58*(1+$H$55*$F$55/(1-$F$55))</x:f>
        <x:v>14.998907733333334</x:v>
      </x:c>
      <x:c r="H58" s="9" t="n">
        <x:f>(G58-F58)*$J$55</x:f>
        <x:v>1.499890773333334</x:v>
      </x:c>
      <x:c r="I58" s="44"/>
      <x:c r="J58" s="35" t="str">
        <x:f>IF(AND(ISNUMBER(I58),I58&gt;0,I58&gt;=C58*$J$55),E58/I58,"")</x:f>
      </x:c>
      <x:c r="K58" s="44"/>
      <x:c r="L58" s="35" t="str">
        <x:f>IF(AND(ISNUMBER(K58),K58&gt;0,K58&gt;=F58*$J$55),H58/K58,"")</x:f>
      </x:c>
      <x:c r="M58" s="43" t="n">
        <x:f>$B$55</x:f>
        <x:v>100</x:v>
      </x:c>
      <x:c r="N58" s="43" t="n">
        <x:f>$D$55</x:f>
        <x:v>100</x:v>
      </x:c>
      <x:c r="O58" s="2" t="str">
        <x:v>仅EP；总耗时需实测基线</x:v>
      </x:c>
    </x:row>
    <x:row r="59" ht="25" customHeight="1">
      <x:c r="A59" s="2" t="str">
        <x:f>A7</x:f>
        <x:v>DS V4 10T</x:v>
      </x:c>
      <x:c r="B59" s="2" t="n">
        <x:f>B7</x:f>
        <x:v>256</x:v>
      </x:c>
      <x:c r="C59" s="9" t="n">
        <x:f>IF(AND(ISNUMBER(M59),M59&gt;0,ISNUMBER(N59),N59&gt;0,ISNUMBER($F$55),$F$55&gt;=0,$F$55&lt;1,ISNUMBER($H$55),$H$55&gt;=0,$H$55&lt;=1,ISNUMBER($J$55),$J$55&gt;=0,$J$55&lt;=1),I7*2^30/B7/(M59*1e6),NA())</x:f>
        <x:v>214.3951872</x:v>
      </x:c>
      <x:c r="D59" s="9" t="n">
        <x:f>C59*(1+$H$55*$F$55/(1-$F$55))</x:f>
        <x:v>238.21687466666668</x:v>
      </x:c>
      <x:c r="E59" s="9" t="n">
        <x:f>(D59-C59)*$J$55</x:f>
        <x:v>23.821687466666674</x:v>
      </x:c>
      <x:c r="F59" s="9" t="n">
        <x:f>IF(AND(ISNUMBER(M59),M59&gt;0,ISNUMBER(N59),N59&gt;0,ISNUMBER($F$55),$F$55&gt;=0,$F$55&lt;1,ISNUMBER($H$55),$H$55&gt;=0,$H$55&lt;=1,ISNUMBER($J$55),$J$55&gt;=0,$J$55&lt;=1),J7*2^30/B7/(N59*1e6),NA())</x:f>
        <x:v>13.8825264</x:v>
      </x:c>
      <x:c r="G59" s="9" t="n">
        <x:f>F59*(1+$H$55*$F$55/(1-$F$55))</x:f>
        <x:v>15.425029333333333</x:v>
      </x:c>
      <x:c r="H59" s="9" t="n">
        <x:f>(G59-F59)*$J$55</x:f>
        <x:v>1.542502933333333</x:v>
      </x:c>
      <x:c r="I59" s="44"/>
      <x:c r="J59" s="35" t="str">
        <x:f>IF(AND(ISNUMBER(I59),I59&gt;0,I59&gt;=C59*$J$55),E59/I59,"")</x:f>
      </x:c>
      <x:c r="K59" s="44"/>
      <x:c r="L59" s="35" t="str">
        <x:f>IF(AND(ISNUMBER(K59),K59&gt;0,K59&gt;=F59*$J$55),H59/K59,"")</x:f>
      </x:c>
      <x:c r="M59" s="43" t="n">
        <x:f>$B$55</x:f>
        <x:v>100</x:v>
      </x:c>
      <x:c r="N59" s="43" t="n">
        <x:f>$D$55</x:f>
        <x:v>100</x:v>
      </x:c>
      <x:c r="O59" s="2" t="str">
        <x:v>仅EP；总耗时需实测基线</x:v>
      </x:c>
    </x:row>
    <x:row r="60" ht="25" customHeight="1">
      <x:c r="A60" s="2" t="str">
        <x:f>A8</x:f>
        <x:v>DS V4 Pro</x:v>
      </x:c>
      <x:c r="B60" s="2" t="n">
        <x:f>B8</x:f>
        <x:v>32</x:v>
      </x:c>
      <x:c r="C60" s="9" t="n">
        <x:f>IF(AND(ISNUMBER(M60),M60&gt;0,ISNUMBER(N60),N60&gt;0,ISNUMBER($F$55),$F$55&gt;=0,$F$55&lt;1,ISNUMBER($H$55),$H$55&gt;=0,$H$55&lt;=1,ISNUMBER($J$55),$J$55&gt;=0,$J$55&lt;=1),I8*2^30/B8/(M60*1e6),NA())</x:f>
        <x:v>208.22905344</x:v>
      </x:c>
      <x:c r="D60" s="9" t="n">
        <x:f>C60*(1+$H$55*$F$55/(1-$F$55))</x:f>
        <x:v>231.36561493333335</x:v>
      </x:c>
      <x:c r="E60" s="9" t="n">
        <x:f>(D60-C60)*$J$55</x:f>
        <x:v>23.136561493333346</x:v>
      </x:c>
      <x:c r="F60" s="9" t="n">
        <x:f>IF(AND(ISNUMBER(M60),M60&gt;0,ISNUMBER(N60),N60&gt;0,ISNUMBER($F$55),$F$55&gt;=0,$F$55&lt;1,ISNUMBER($H$55),$H$55&gt;=0,$H$55&lt;=1,ISNUMBER($J$55),$J$55&gt;=0,$J$55&lt;=1),J8*2^30/B8/(N60*1e6),NA())</x:f>
        <x:v>13.49901696</x:v>
      </x:c>
      <x:c r="G60" s="9" t="n">
        <x:f>F60*(1+$H$55*$F$55/(1-$F$55))</x:f>
        <x:v>14.998907733333334</x:v>
      </x:c>
      <x:c r="H60" s="9" t="n">
        <x:f>(G60-F60)*$J$55</x:f>
        <x:v>1.499890773333334</x:v>
      </x:c>
      <x:c r="I60" s="44"/>
      <x:c r="J60" s="35" t="str">
        <x:f>IF(AND(ISNUMBER(I60),I60&gt;0,I60&gt;=C60*$J$55),E60/I60,"")</x:f>
      </x:c>
      <x:c r="K60" s="44"/>
      <x:c r="L60" s="35" t="str">
        <x:f>IF(AND(ISNUMBER(K60),K60&gt;0,K60&gt;=F60*$J$55),H60/K60,"")</x:f>
      </x:c>
      <x:c r="M60" s="43" t="n">
        <x:f>$B$55</x:f>
        <x:v>100</x:v>
      </x:c>
      <x:c r="N60" s="43" t="n">
        <x:f>$D$55</x:f>
        <x:v>100</x:v>
      </x:c>
      <x:c r="O60" s="2" t="str">
        <x:v>仅EP；总耗时需实测基线</x:v>
      </x:c>
    </x:row>
    <x:row r="61" ht="25" customHeight="1">
      <x:c r="A61" s="2" t="str">
        <x:f>A9</x:f>
        <x:v>DS V4 Pro</x:v>
      </x:c>
      <x:c r="B61" s="2" t="n">
        <x:f>B9</x:f>
        <x:v>256</x:v>
      </x:c>
      <x:c r="C61" s="9" t="n">
        <x:f>IF(AND(ISNUMBER(M61),M61&gt;0,ISNUMBER(N61),N61&gt;0,ISNUMBER($F$55),$F$55&gt;=0,$F$55&lt;1,ISNUMBER($H$55),$H$55&gt;=0,$H$55&lt;=1,ISNUMBER($J$55),$J$55&gt;=0,$J$55&lt;=1),I9*2^30/B9/(M61*1e6),NA())</x:f>
        <x:v>214.3951872</x:v>
      </x:c>
      <x:c r="D61" s="9" t="n">
        <x:f>C61*(1+$H$55*$F$55/(1-$F$55))</x:f>
        <x:v>238.21687466666668</x:v>
      </x:c>
      <x:c r="E61" s="9" t="n">
        <x:f>(D61-C61)*$J$55</x:f>
        <x:v>23.821687466666674</x:v>
      </x:c>
      <x:c r="F61" s="9" t="n">
        <x:f>IF(AND(ISNUMBER(M61),M61&gt;0,ISNUMBER(N61),N61&gt;0,ISNUMBER($F$55),$F$55&gt;=0,$F$55&lt;1,ISNUMBER($H$55),$H$55&gt;=0,$H$55&lt;=1,ISNUMBER($J$55),$J$55&gt;=0,$J$55&lt;=1),J9*2^30/B9/(N61*1e6),NA())</x:f>
        <x:v>13.8825264</x:v>
      </x:c>
      <x:c r="G61" s="9" t="n">
        <x:f>F61*(1+$H$55*$F$55/(1-$F$55))</x:f>
        <x:v>15.425029333333333</x:v>
      </x:c>
      <x:c r="H61" s="9" t="n">
        <x:f>(G61-F61)*$J$55</x:f>
        <x:v>1.542502933333333</x:v>
      </x:c>
      <x:c r="I61" s="44"/>
      <x:c r="J61" s="35" t="str">
        <x:f>IF(AND(ISNUMBER(I61),I61&gt;0,I61&gt;=C61*$J$55),E61/I61,"")</x:f>
      </x:c>
      <x:c r="K61" s="44"/>
      <x:c r="L61" s="35" t="str">
        <x:f>IF(AND(ISNUMBER(K61),K61&gt;0,K61&gt;=F61*$J$55),H61/K61,"")</x:f>
      </x:c>
      <x:c r="M61" s="43" t="n">
        <x:f>$B$55</x:f>
        <x:v>100</x:v>
      </x:c>
      <x:c r="N61" s="43" t="n">
        <x:f>$D$55</x:f>
        <x:v>100</x:v>
      </x:c>
      <x:c r="O61" s="2" t="str">
        <x:v>仅EP；总耗时需实测基线</x:v>
      </x:c>
    </x:row>
    <x:row r="62" ht="25" customHeight="1">
      <x:c r="A62" s="2" t="str">
        <x:f>A10</x:f>
        <x:v>GLM5.3</x:v>
      </x:c>
      <x:c r="B62" s="2" t="n">
        <x:f>B10</x:f>
        <x:v>32</x:v>
      </x:c>
      <x:c r="C62" s="9" t="n">
        <x:f>IF(AND(ISNUMBER(M62),M62&gt;0,ISNUMBER(N62),N62&gt;0,ISNUMBER($F$55),$F$55&gt;=0,$F$55&lt;1,ISNUMBER($H$55),$H$55&gt;=0,$H$55&lt;=1,ISNUMBER($J$55),$J$55&gt;=0,$J$55&lt;=1),I10*2^30/B10/(M62*1e6),NA())</x:f>
        <x:v>292.576512</x:v>
      </x:c>
      <x:c r="D62" s="9" t="n">
        <x:f>C62*(1+$H$55*$F$55/(1-$F$55))</x:f>
        <x:v>325.08501333333334</x:v>
      </x:c>
      <x:c r="E62" s="9" t="n">
        <x:f>(D62-C62)*$J$55</x:f>
        <x:v>32.508501333333356</x:v>
      </x:c>
      <x:c r="F62" s="9" t="n">
        <x:f>IF(AND(ISNUMBER(M62),M62&gt;0,ISNUMBER(N62),N62&gt;0,ISNUMBER($F$55),$F$55&gt;=0,$F$55&lt;1,ISNUMBER($H$55),$H$55&gt;=0,$H$55&lt;=1,ISNUMBER($J$55),$J$55&gt;=0,$J$55&lt;=1),J10*2^30/B10/(N62*1e6),NA())</x:f>
        <x:v>19.07616</x:v>
      </x:c>
      <x:c r="G62" s="9" t="n">
        <x:f>F62*(1+$H$55*$F$55/(1-$F$55))</x:f>
        <x:v>21.195733333333337</x:v>
      </x:c>
      <x:c r="H62" s="9" t="n">
        <x:f>(G62-F62)*$J$55</x:f>
        <x:v>2.119573333333335</x:v>
      </x:c>
      <x:c r="I62" s="44"/>
      <x:c r="J62" s="35" t="str">
        <x:f>IF(AND(ISNUMBER(I62),I62&gt;0,I62&gt;=C62*$J$55),E62/I62,"")</x:f>
      </x:c>
      <x:c r="K62" s="44"/>
      <x:c r="L62" s="35" t="str">
        <x:f>IF(AND(ISNUMBER(K62),K62&gt;0,K62&gt;=F62*$J$55),H62/K62,"")</x:f>
      </x:c>
      <x:c r="M62" s="43" t="n">
        <x:f>$B$55</x:f>
        <x:v>100</x:v>
      </x:c>
      <x:c r="N62" s="43" t="n">
        <x:f>$D$55</x:f>
        <x:v>100</x:v>
      </x:c>
      <x:c r="O62" s="2" t="str">
        <x:v>仅EP；总耗时需实测基线</x:v>
      </x:c>
    </x:row>
    <x:row r="63" ht="25" customHeight="1">
      <x:c r="A63" s="2" t="str">
        <x:f>A11</x:f>
        <x:v>GLM5.3</x:v>
      </x:c>
      <x:c r="B63" s="2" t="n">
        <x:f>B11</x:f>
        <x:v>256</x:v>
      </x:c>
      <x:c r="C63" s="9" t="n">
        <x:f>IF(AND(ISNUMBER(M63),M63&gt;0,ISNUMBER(N63),N63&gt;0,ISNUMBER($F$55),$F$55&gt;=0,$F$55&lt;1,ISNUMBER($H$55),$H$55&gt;=0,$H$55&lt;=1,ISNUMBER($J$55),$J$55&gt;=0,$J$55&lt;=1),I11*2^30/B11/(M63*1e6),NA())</x:f>
        <x:v>301.00608</x:v>
      </x:c>
      <x:c r="D63" s="9" t="n">
        <x:f>C63*(1+$H$55*$F$55/(1-$F$55))</x:f>
        <x:v>334.45120000000003</x:v>
      </x:c>
      <x:c r="E63" s="9" t="n">
        <x:f>(D63-C63)*$J$55</x:f>
        <x:v>33.44512000000003</x:v>
      </x:c>
      <x:c r="F63" s="9" t="n">
        <x:f>IF(AND(ISNUMBER(M63),M63&gt;0,ISNUMBER(N63),N63&gt;0,ISNUMBER($F$55),$F$55&gt;=0,$F$55&lt;1,ISNUMBER($H$55),$H$55&gt;=0,$H$55&lt;=1,ISNUMBER($J$55),$J$55&gt;=0,$J$55&lt;=1),J11*2^30/B11/(N63*1e6),NA())</x:f>
        <x:v>19.6146</x:v>
      </x:c>
      <x:c r="G63" s="9" t="n">
        <x:f>F63*(1+$H$55*$F$55/(1-$F$55))</x:f>
        <x:v>21.794</x:v>
      </x:c>
      <x:c r="H63" s="9" t="n">
        <x:f>(G63-F63)*$J$55</x:f>
        <x:v>2.179400000000001</x:v>
      </x:c>
      <x:c r="I63" s="44"/>
      <x:c r="J63" s="35" t="str">
        <x:f>IF(AND(ISNUMBER(I63),I63&gt;0,I63&gt;=C63*$J$55),E63/I63,"")</x:f>
      </x:c>
      <x:c r="K63" s="44"/>
      <x:c r="L63" s="35" t="str">
        <x:f>IF(AND(ISNUMBER(K63),K63&gt;0,K63&gt;=F63*$J$55),H63/K63,"")</x:f>
      </x:c>
      <x:c r="M63" s="43" t="n">
        <x:f>$B$55</x:f>
        <x:v>100</x:v>
      </x:c>
      <x:c r="N63" s="43" t="n">
        <x:f>$D$55</x:f>
        <x:v>100</x:v>
      </x:c>
      <x:c r="O63" s="2" t="str">
        <x:v>仅EP；总耗时需实测基线</x:v>
      </x:c>
    </x:row>
    <x:row r="64" ht="25" customHeight="1">
      <x:c r="A64" s="2" t="str">
        <x:f>A12</x:f>
        <x:v>KimiK3</x:v>
      </x:c>
      <x:c r="B64" s="2" t="n">
        <x:f>B12</x:f>
        <x:v>32</x:v>
      </x:c>
      <x:c r="C64" s="9" t="n">
        <x:f>IF(AND(ISNUMBER(M64),M64&gt;0,ISNUMBER(N64),N64&gt;0,ISNUMBER($F$55),$F$55&gt;=0,$F$55&lt;1,ISNUMBER($H$55),$H$55&gt;=0,$H$55&lt;=1,ISNUMBER($J$55),$J$55&gt;=0,$J$55&lt;=1),I12*2^30/B12/(M64*1e6),NA())</x:f>
        <x:v>837.45306624</x:v>
      </x:c>
      <x:c r="D64" s="9" t="n">
        <x:f>C64*(1+$H$55*$F$55/(1-$F$55))</x:f>
        <x:v>930.5034069333334</x:v>
      </x:c>
      <x:c r="E64" s="9" t="n">
        <x:f>(D64-C64)*$J$55</x:f>
        <x:v>93.0503406933334</x:v>
      </x:c>
      <x:c r="F64" s="9" t="n">
        <x:f>IF(AND(ISNUMBER(M64),M64&gt;0,ISNUMBER(N64),N64&gt;0,ISNUMBER($F$55),$F$55&gt;=0,$F$55&lt;1,ISNUMBER($H$55),$H$55&gt;=0,$H$55&lt;=1,ISNUMBER($J$55),$J$55&gt;=0,$J$55&lt;=1),J12*2^30/B12/(N64*1e6),NA())</x:f>
        <x:v>6.8082944</x:v>
      </x:c>
      <x:c r="G64" s="9" t="n">
        <x:f>F64*(1+$H$55*$F$55/(1-$F$55))</x:f>
        <x:v>7.564771555555557</x:v>
      </x:c>
      <x:c r="H64" s="9" t="n">
        <x:f>(G64-F64)*$J$55</x:f>
        <x:v>0.7564771555555563</x:v>
      </x:c>
      <x:c r="I64" s="44"/>
      <x:c r="J64" s="35" t="str">
        <x:f>IF(AND(ISNUMBER(I64),I64&gt;0,I64&gt;=C64*$J$55),E64/I64,"")</x:f>
      </x:c>
      <x:c r="K64" s="44"/>
      <x:c r="L64" s="35" t="str">
        <x:f>IF(AND(ISNUMBER(K64),K64&gt;0,K64&gt;=F64*$J$55),H64/K64,"")</x:f>
      </x:c>
      <x:c r="M64" s="43" t="n">
        <x:f>$B$55</x:f>
        <x:v>100</x:v>
      </x:c>
      <x:c r="N64" s="43" t="n">
        <x:f>$D$55</x:f>
        <x:v>100</x:v>
      </x:c>
      <x:c r="O64" s="2" t="str">
        <x:v>仅EP；总耗时需实测基线</x:v>
      </x:c>
    </x:row>
    <x:row r="65" ht="25" customHeight="1">
      <x:c r="A65" s="2" t="str">
        <x:f>A13</x:f>
        <x:v>KimiK3</x:v>
      </x:c>
      <x:c r="B65" s="2" t="n">
        <x:f>B13</x:f>
        <x:v>256</x:v>
      </x:c>
      <x:c r="C65" s="9" t="n">
        <x:f>IF(AND(ISNUMBER(M65),M65&gt;0,ISNUMBER(N65),N65&gt;0,ISNUMBER($F$55),$F$55&gt;=0,$F$55&lt;1,ISNUMBER($H$55),$H$55&gt;=0,$H$55&lt;=1,ISNUMBER($J$55),$J$55&gt;=0,$J$55&lt;=1),I13*2^30/B13/(M65*1e6),NA())</x:f>
        <x:v>861.9466752</x:v>
      </x:c>
      <x:c r="D65" s="9" t="n">
        <x:f>C65*(1+$H$55*$F$55/(1-$F$55))</x:f>
        <x:v>957.718528</x:v>
      </x:c>
      <x:c r="E65" s="9" t="n">
        <x:f>(D65-C65)*$J$55</x:f>
        <x:v>95.77185280000003</x:v>
      </x:c>
      <x:c r="F65" s="9" t="n">
        <x:f>IF(AND(ISNUMBER(M65),M65&gt;0,ISNUMBER(N65),N65&gt;0,ISNUMBER($F$55),$F$55&gt;=0,$F$55&lt;1,ISNUMBER($H$55),$H$55&gt;=0,$H$55&lt;=1,ISNUMBER($J$55),$J$55&gt;=0,$J$55&lt;=1),J13*2^30/B13/(N65*1e6),NA())</x:f>
        <x:v>7.0042176</x:v>
      </x:c>
      <x:c r="G65" s="9" t="n">
        <x:f>F65*(1+$H$55*$F$55/(1-$F$55))</x:f>
        <x:v>7.782464</x:v>
      </x:c>
      <x:c r="H65" s="9" t="n">
        <x:f>(G65-F65)*$J$55</x:f>
        <x:v>0.7782464000000004</x:v>
      </x:c>
      <x:c r="I65" s="44"/>
      <x:c r="J65" s="35" t="str">
        <x:f>IF(AND(ISNUMBER(I65),I65&gt;0,I65&gt;=C65*$J$55),E65/I65,"")</x:f>
      </x:c>
      <x:c r="K65" s="44"/>
      <x:c r="L65" s="35" t="str">
        <x:f>IF(AND(ISNUMBER(K65),K65&gt;0,K65&gt;=F65*$J$55),H65/K65,"")</x:f>
      </x:c>
      <x:c r="M65" s="43" t="n">
        <x:f>$B$55</x:f>
        <x:v>100</x:v>
      </x:c>
      <x:c r="N65" s="43" t="n">
        <x:f>$D$55</x:f>
        <x:v>100</x:v>
      </x:c>
      <x:c r="O65" s="2" t="str">
        <x:v>仅EP；总耗时需实测基线</x:v>
      </x:c>
    </x:row>
    <x:row r="66" ht="25" customHeight="1">
      <x:c r="A66" s="2" t="str">
        <x:f>A14</x:f>
        <x:v>Qwen3.8 2.4T</x:v>
      </x:c>
      <x:c r="B66" s="2" t="n">
        <x:f>B14</x:f>
        <x:v>32</x:v>
      </x:c>
      <x:c r="C66" s="9" t="n">
        <x:f>IF(AND(ISNUMBER(M66),M66&gt;0,ISNUMBER(N66),N66&gt;0,ISNUMBER($F$55),$F$55&gt;=0,$F$55&lt;1,ISNUMBER($H$55),$H$55&gt;=0,$H$55&lt;=1,ISNUMBER($J$55),$J$55&gt;=0,$J$55&lt;=1),I14*2^30/B14/(M66*1e6),NA())</x:f>
        <x:v>598.16615936</x:v>
      </x:c>
      <x:c r="D66" s="9" t="n">
        <x:f>C66*(1+$H$55*$F$55/(1-$F$55))</x:f>
        <x:v>664.6290659555557</x:v>
      </x:c>
      <x:c r="E66" s="9" t="n">
        <x:f>(D66-C66)*$J$55</x:f>
        <x:v>66.46290659555564</x:v>
      </x:c>
      <x:c r="F66" s="9" t="n">
        <x:f>IF(AND(ISNUMBER(M66),M66&gt;0,ISNUMBER(N66),N66&gt;0,ISNUMBER($F$55),$F$55&gt;=0,$F$55&lt;1,ISNUMBER($H$55),$H$55&gt;=0,$H$55&lt;=1,ISNUMBER($J$55),$J$55&gt;=0,$J$55&lt;=1),J14*2^30/B14/(N66*1e6),NA())</x:f>
        <x:v>4.91091584</x:v>
      </x:c>
      <x:c r="G66" s="9" t="n">
        <x:f>F66*(1+$H$55*$F$55/(1-$F$55))</x:f>
        <x:v>5.4565731555555566</x:v>
      </x:c>
      <x:c r="H66" s="9" t="n">
        <x:f>(G66-F66)*$J$55</x:f>
        <x:v>0.5456573155555562</x:v>
      </x:c>
      <x:c r="I66" s="44"/>
      <x:c r="J66" s="35" t="str">
        <x:f>IF(AND(ISNUMBER(I66),I66&gt;0,I66&gt;=C66*$J$55),E66/I66,"")</x:f>
      </x:c>
      <x:c r="K66" s="44"/>
      <x:c r="L66" s="35" t="str">
        <x:f>IF(AND(ISNUMBER(K66),K66&gt;0,K66&gt;=F66*$J$55),H66/K66,"")</x:f>
      </x:c>
      <x:c r="M66" s="43" t="n">
        <x:f>$B$55</x:f>
        <x:v>100</x:v>
      </x:c>
      <x:c r="N66" s="43" t="n">
        <x:f>$D$55</x:f>
        <x:v>100</x:v>
      </x:c>
      <x:c r="O66" s="2" t="str">
        <x:v>仅EP；总耗时需实测基线</x:v>
      </x:c>
    </x:row>
    <x:row r="67" ht="25" customHeight="1">
      <x:c r="A67" s="2" t="str">
        <x:f>A15</x:f>
        <x:v>Qwen3.8 2.4T</x:v>
      </x:c>
      <x:c r="B67" s="2" t="n">
        <x:f>B15</x:f>
        <x:v>256</x:v>
      </x:c>
      <x:c r="C67" s="9" t="n">
        <x:f>IF(AND(ISNUMBER(M67),M67&gt;0,ISNUMBER(N67),N67&gt;0,ISNUMBER($F$55),$F$55&gt;=0,$F$55&lt;1,ISNUMBER($H$55),$H$55&gt;=0,$H$55&lt;=1,ISNUMBER($J$55),$J$55&gt;=0,$J$55&lt;=1),I15*2^30/B15/(M67*1e6),NA())</x:f>
        <x:v>615.4702848</x:v>
      </x:c>
      <x:c r="D67" s="9" t="n">
        <x:f>C67*(1+$H$55*$F$55/(1-$F$55))</x:f>
        <x:v>683.855872</x:v>
      </x:c>
      <x:c r="E67" s="9" t="n">
        <x:f>(D67-C67)*$J$55</x:f>
        <x:v>68.38558720000003</x:v>
      </x:c>
      <x:c r="F67" s="9" t="n">
        <x:f>IF(AND(ISNUMBER(M67),M67&gt;0,ISNUMBER(N67),N67&gt;0,ISNUMBER($F$55),$F$55&gt;=0,$F$55&lt;1,ISNUMBER($H$55),$H$55&gt;=0,$H$55&lt;=1,ISNUMBER($J$55),$J$55&gt;=0,$J$55&lt;=1),J15*2^30/B15/(N67*1e6),NA())</x:f>
        <x:v>5.0495304</x:v>
      </x:c>
      <x:c r="G67" s="9" t="n">
        <x:f>F67*(1+$H$55*$F$55/(1-$F$55))</x:f>
        <x:v>5.610589333333333</x:v>
      </x:c>
      <x:c r="H67" s="9" t="n">
        <x:f>(G67-F67)*$J$55</x:f>
        <x:v>0.5610589333333333</x:v>
      </x:c>
      <x:c r="I67" s="44"/>
      <x:c r="J67" s="35" t="str">
        <x:f>IF(AND(ISNUMBER(I67),I67&gt;0,I67&gt;=C67*$J$55),E67/I67,"")</x:f>
      </x:c>
      <x:c r="K67" s="44"/>
      <x:c r="L67" s="35" t="str">
        <x:f>IF(AND(ISNUMBER(K67),K67&gt;0,K67&gt;=F67*$J$55),H67/K67,"")</x:f>
      </x:c>
      <x:c r="M67" s="43" t="n">
        <x:f>$B$55</x:f>
        <x:v>100</x:v>
      </x:c>
      <x:c r="N67" s="43" t="n">
        <x:f>$D$55</x:f>
        <x:v>100</x:v>
      </x:c>
      <x:c r="O67" s="2" t="str">
        <x:v>仅EP；总耗时需实测基线</x:v>
      </x:c>
    </x:row>
    <x:row r="68" ht="25" customHeight="1">
      <x:c r="A68" s="2" t="str">
        <x:f>A16</x:f>
        <x:v>DS V4.1 Flash</x:v>
      </x:c>
      <x:c r="B68" s="2" t="n">
        <x:f>B16</x:f>
        <x:v>32</x:v>
      </x:c>
      <x:c r="C68" s="9" t="n">
        <x:f>IF(AND(ISNUMBER(M68),M68&gt;0,ISNUMBER(N68),N68&gt;0,ISNUMBER($F$55),$F$55&gt;=0,$F$55&lt;1,ISNUMBER($H$55),$H$55&gt;=0,$H$55&lt;=1,ISNUMBER($J$55),$J$55&gt;=0,$J$55&lt;=1),I16*2^30/B16/(M68*1e6),NA())</x:f>
        <x:v>97.5366144</x:v>
      </x:c>
      <x:c r="D68" s="9" t="n">
        <x:f>C68*(1+$H$55*$F$55/(1-$F$55))</x:f>
        <x:v>108.37401600000001</x:v>
      </x:c>
      <x:c r="E68" s="9" t="n">
        <x:f>(D68-C68)*$J$55</x:f>
        <x:v>10.837401600000007</x:v>
      </x:c>
      <x:c r="F68" s="9" t="n">
        <x:f>IF(AND(ISNUMBER(M68),M68&gt;0,ISNUMBER(N68),N68&gt;0,ISNUMBER($F$55),$F$55&gt;=0,$F$55&lt;1,ISNUMBER($H$55),$H$55&gt;=0,$H$55&lt;=1,ISNUMBER($J$55),$J$55&gt;=0,$J$55&lt;=1),J16*2^30/B16/(N68*1e6),NA())</x:f>
        <x:v>6.4138752</x:v>
      </x:c>
      <x:c r="G68" s="9" t="n">
        <x:f>F68*(1+$H$55*$F$55/(1-$F$55))</x:f>
        <x:v>7.1265279999999995</x:v>
      </x:c>
      <x:c r="H68" s="9" t="n">
        <x:f>(G68-F68)*$J$55</x:f>
        <x:v>0.7126527999999999</x:v>
      </x:c>
      <x:c r="I68" s="44"/>
      <x:c r="J68" s="35" t="str">
        <x:f>IF(AND(ISNUMBER(I68),I68&gt;0,I68&gt;=C68*$J$55),E68/I68,"")</x:f>
      </x:c>
      <x:c r="K68" s="44"/>
      <x:c r="L68" s="35" t="str">
        <x:f>IF(AND(ISNUMBER(K68),K68&gt;0,K68&gt;=F68*$J$55),H68/K68,"")</x:f>
      </x:c>
      <x:c r="M68" s="43" t="n">
        <x:f>$B$55</x:f>
        <x:v>100</x:v>
      </x:c>
      <x:c r="N68" s="43" t="n">
        <x:f>$D$55</x:f>
        <x:v>100</x:v>
      </x:c>
      <x:c r="O68" s="2" t="str">
        <x:v>仅EP；V4.1 PD条件评估</x:v>
      </x:c>
    </x:row>
    <x:row r="69" ht="25" customHeight="1">
      <x:c r="A69" s="2" t="str">
        <x:f>A17</x:f>
        <x:v>DS V4.1 Flash</x:v>
      </x:c>
      <x:c r="B69" s="2" t="n">
        <x:f>B17</x:f>
        <x:v>256</x:v>
      </x:c>
      <x:c r="C69" s="9" t="n">
        <x:f>IF(AND(ISNUMBER(M69),M69&gt;0,ISNUMBER(N69),N69&gt;0,ISNUMBER($F$55),$F$55&gt;=0,$F$55&lt;1,ISNUMBER($H$55),$H$55&gt;=0,$H$55&lt;=1,ISNUMBER($J$55),$J$55&gt;=0,$J$55&lt;=1),I17*2^30/B17/(M69*1e6),NA())</x:f>
        <x:v>100.478976</x:v>
      </x:c>
      <x:c r="D69" s="9" t="n">
        <x:f>C69*(1+$H$55*$F$55/(1-$F$55))</x:f>
        <x:v>111.64330666666667</x:v>
      </x:c>
      <x:c r="E69" s="9" t="n">
        <x:f>(D69-C69)*$J$55</x:f>
        <x:v>11.164330666666672</x:v>
      </x:c>
      <x:c r="F69" s="9" t="n">
        <x:f>IF(AND(ISNUMBER(M69),M69&gt;0,ISNUMBER(N69),N69&gt;0,ISNUMBER($F$55),$F$55&gt;=0,$F$55&lt;1,ISNUMBER($H$55),$H$55&gt;=0,$H$55&lt;=1,ISNUMBER($J$55),$J$55&gt;=0,$J$55&lt;=1),J17*2^30/B17/(N69*1e6),NA())</x:f>
        <x:v>6.596544</x:v>
      </x:c>
      <x:c r="G69" s="9" t="n">
        <x:f>F69*(1+$H$55*$F$55/(1-$F$55))</x:f>
        <x:v>7.329493333333334</x:v>
      </x:c>
      <x:c r="H69" s="9" t="n">
        <x:f>(G69-F69)*$J$55</x:f>
        <x:v>0.7329493333333339</x:v>
      </x:c>
      <x:c r="I69" s="44"/>
      <x:c r="J69" s="35" t="str">
        <x:f>IF(AND(ISNUMBER(I69),I69&gt;0,I69&gt;=C69*$J$55),E69/I69,"")</x:f>
      </x:c>
      <x:c r="K69" s="44"/>
      <x:c r="L69" s="35" t="str">
        <x:f>IF(AND(ISNUMBER(K69),K69&gt;0,K69&gt;=F69*$J$55),H69/K69,"")</x:f>
      </x:c>
      <x:c r="M69" s="43" t="n">
        <x:f>$B$55</x:f>
        <x:v>100</x:v>
      </x:c>
      <x:c r="N69" s="43" t="n">
        <x:f>$D$55</x:f>
        <x:v>100</x:v>
      </x:c>
      <x:c r="O69" s="2" t="str">
        <x:v>仅EP；V4.1 PD条件评估</x:v>
      </x:c>
    </x:row>
    <x:row r="70" ht="25" customHeight="1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</x:row>
    <x:row r="71" ht="25" customHeight="1">
      <x:c r="A71" s="2" t="str">
        <x:v>带宽下降 10% 对受影响带宽项增加 11.11%。forward 增幅还需真实基线；不把 KV 交接等待再加到每个 Decode Step。</x:v>
      </x:c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</x:row>
    <x:row r="72" ht="25" customHeight="1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</x:row>
    <x:row r="73" ht="25" customHeight="1">
      <x:c r="A73" s="2" t="str">
        <x:v>黄色 M/N 列可填各模型、各 EP 的无争用有效带宽，GB/s=10⁹ B/s。默认共享比例为 1；逐模型表可按事件调整。</x:v>
      </x:c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19" hidden="0" customWidth="1"/>
    <x:col min="2" max="2" width="43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30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KV 数据量 · 按单请求和全部 TP Rank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State 只记最终有效状态一次；不累计 Prefill 各 chunk 的状态覆盖写。SWA 拉取使用尾块上界。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 t="str">
        <x:v>Prompt tokens</x:v>
      </x:c>
      <x:c r="B5" s="11" t="n">
        <x:v>262144</x:v>
      </x:c>
      <x:c r="C5" s="2"/>
      <x:c r="D5" s="2" t="str">
        <x:v>Block tokens</x:v>
      </x:c>
      <x:c r="E5" s="11" t="n">
        <x:v>128</x:v>
      </x:c>
      <x:c r="F5" s="2"/>
      <x:c r="G5" s="2" t="str">
        <x:v>Spec conv slots</x:v>
      </x:c>
      <x:c r="H5" s="11" t="n">
        <x:v>7</x:v>
      </x:c>
      <x:c r="I5" s="2"/>
      <x:c r="J5" s="2" t="str">
        <x:v>Requests / P DP</x:v>
      </x:c>
      <x:c r="K5" s="11" t="n">
        <x:v>16</x:v>
      </x:c>
      <x:c r="L5" s="2"/>
      <x:c r="M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5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40" customHeight="1">
      <x:c r="A8" s="7" t="str">
        <x:v>模型</x:v>
      </x:c>
      <x:c r="B8" s="7" t="str">
        <x:v>缓存组件</x:v>
      </x:c>
      <x:c r="C8" s="7" t="str">
        <x:v>层数</x:v>
      </x:c>
      <x:c r="D8" s="7" t="str">
        <x:v>每行 B/Rank</x:v>
      </x:c>
      <x:c r="E8" s="7" t="str">
        <x:v>P 生成行</x:v>
      </x:c>
      <x:c r="F8" s="7" t="str">
        <x:v>P 保留行</x:v>
      </x:c>
      <x:c r="G8" s="7" t="str">
        <x:v>D 取/规划行</x:v>
      </x:c>
      <x:c r="H8" s="7" t="str">
        <x:v>P 副本/分片</x:v>
      </x:c>
      <x:c r="I8" s="7" t="str">
        <x:v>D 副本/分片</x:v>
      </x:c>
      <x:c r="J8" s="7" t="str">
        <x:v>存 GiB</x:v>
      </x:c>
      <x:c r="K8" s="7" t="str">
        <x:v>保留 GiB</x:v>
      </x:c>
      <x:c r="L8" s="7" t="str">
        <x:v>取/规划 GiB</x:v>
      </x:c>
      <x:c r="M8" s="2"/>
    </x:row>
    <x:row r="9" ht="25" customHeight="1">
      <x:c r="A9" s="2" t="str">
        <x:v>DS V4 10T</x:v>
      </x:c>
      <x:c r="B9" s="2" t="str">
        <x:v>SWA KV / BF16</x:v>
      </x:c>
      <x:c r="C9" s="8" t="n">
        <x:v>61</x:v>
      </x:c>
      <x:c r="D9" s="8" t="n">
        <x:v>1024</x:v>
      </x:c>
      <x:c r="E9" s="8" t="n">
        <x:f>($B$5-1)</x:f>
        <x:v>262143</x:v>
      </x:c>
      <x:c r="F9" s="8" t="n">
        <x:f>MIN(($B$5-1),128)</x:f>
        <x:v>128</x:v>
      </x:c>
      <x:c r="G9" s="8" t="n">
        <x:f>MIN(ROUNDUP(($B$5-1)/$E$5,0),ROUNDUP(128/$E$5,0)+1)*$E$5</x:f>
        <x:v>256</x:v>
      </x:c>
      <x:c r="H9" s="8" t="n">
        <x:v>8</x:v>
      </x:c>
      <x:c r="I9" s="8" t="n">
        <x:v>1</x:v>
      </x:c>
      <x:c r="J9" s="12" t="n">
        <x:f>C9*D9*E9*H9/2^30</x:f>
        <x:v>121.9995346069336</x:v>
      </x:c>
      <x:c r="K9" s="12" t="n">
        <x:f>C9*D9*F9*H9/2^30</x:f>
        <x:v>0.0595703125</x:v>
      </x:c>
      <x:c r="L9" s="12" t="n">
        <x:f>C9*D9*G9*I9/2^30</x:f>
        <x:v>0.014892578125</x:v>
      </x:c>
      <x:c r="M9" s="2"/>
    </x:row>
    <x:row r="10" ht="25" customHeight="1">
      <x:c r="A10" s="2" t="str">
        <x:v>DS V4 10T</x:v>
      </x:c>
      <x:c r="B10" s="2" t="str">
        <x:v>C4 KV / BF16</x:v>
      </x:c>
      <x:c r="C10" s="8" t="n">
        <x:v>30</x:v>
      </x:c>
      <x:c r="D10" s="8" t="n">
        <x:v>1024</x:v>
      </x:c>
      <x:c r="E10" s="8" t="n">
        <x:f>INT(($B$5-1)/4)</x:f>
        <x:v>65535</x:v>
      </x:c>
      <x:c r="F10" s="8" t="n">
        <x:f>INT(($B$5-1)/4)</x:f>
        <x:v>65535</x:v>
      </x:c>
      <x:c r="G10" s="8" t="n">
        <x:f>ROUNDUP(($B$5-1)/(4*$E$5),0)*$E$5</x:f>
        <x:v>65536</x:v>
      </x:c>
      <x:c r="H10" s="8" t="n">
        <x:v>8</x:v>
      </x:c>
      <x:c r="I10" s="8" t="n">
        <x:v>1</x:v>
      </x:c>
      <x:c r="J10" s="12" t="n">
        <x:f>C10*D10*E10*H10/2^30</x:f>
        <x:v>14.999771118164062</x:v>
      </x:c>
      <x:c r="K10" s="12" t="n">
        <x:f>C10*D10*F10*H10/2^30</x:f>
        <x:v>14.999771118164062</x:v>
      </x:c>
      <x:c r="L10" s="12" t="n">
        <x:f>C10*D10*G10*I10/2^30</x:f>
        <x:v>1.875</x:v>
      </x:c>
      <x:c r="M10" s="2"/>
    </x:row>
    <x:row r="11" ht="25" customHeight="1">
      <x:c r="A11" s="2" t="str">
        <x:v>DS V4 10T</x:v>
      </x:c>
      <x:c r="B11" s="2" t="str">
        <x:v>C128 KV / BF16</x:v>
      </x:c>
      <x:c r="C11" s="8" t="n">
        <x:v>31</x:v>
      </x:c>
      <x:c r="D11" s="8" t="n">
        <x:v>1024</x:v>
      </x:c>
      <x:c r="E11" s="8" t="n">
        <x:f>INT(($B$5-1)/128)</x:f>
        <x:v>2047</x:v>
      </x:c>
      <x:c r="F11" s="8" t="n">
        <x:f>INT(($B$5-1)/128)</x:f>
        <x:v>2047</x:v>
      </x:c>
      <x:c r="G11" s="8" t="n">
        <x:f>ROUNDUP(($B$5-1)/(128*$E$5),0)*$E$5</x:f>
        <x:v>2048</x:v>
      </x:c>
      <x:c r="H11" s="8" t="n">
        <x:v>8</x:v>
      </x:c>
      <x:c r="I11" s="8" t="n">
        <x:v>1</x:v>
      </x:c>
      <x:c r="J11" s="12" t="n">
        <x:f>C11*D11*E11*H11/2^30</x:f>
        <x:v>0.48413848876953125</x:v>
      </x:c>
      <x:c r="K11" s="12" t="n">
        <x:f>C11*D11*F11*H11/2^30</x:f>
        <x:v>0.48413848876953125</x:v>
      </x:c>
      <x:c r="L11" s="12" t="n">
        <x:f>C11*D11*G11*I11/2^30</x:f>
        <x:v>0.060546875</x:v>
      </x:c>
      <x:c r="M11" s="2"/>
    </x:row>
    <x:row r="12" ht="25" customHeight="1">
      <x:c r="A12" s="2" t="str">
        <x:v>DS V4 10T</x:v>
      </x:c>
      <x:c r="B12" s="2" t="str">
        <x:v>C4 Indexer / INT8 + FP16 scale</x:v>
      </x:c>
      <x:c r="C12" s="8" t="n">
        <x:v>30</x:v>
      </x:c>
      <x:c r="D12" s="8" t="n">
        <x:v>130</x:v>
      </x:c>
      <x:c r="E12" s="8" t="n">
        <x:f>INT(($B$5-1)/4)</x:f>
        <x:v>65535</x:v>
      </x:c>
      <x:c r="F12" s="8" t="n">
        <x:f>INT(($B$5-1)/4)</x:f>
        <x:v>65535</x:v>
      </x:c>
      <x:c r="G12" s="8" t="n">
        <x:f>ROUNDUP(($B$5-1)/(4*$E$5),0)*$E$5</x:f>
        <x:v>65536</x:v>
      </x:c>
      <x:c r="H12" s="8" t="n">
        <x:v>8</x:v>
      </x:c>
      <x:c r="I12" s="8" t="n">
        <x:v>1</x:v>
      </x:c>
      <x:c r="J12" s="12" t="n">
        <x:f>C12*D12*E12*H12/2^30</x:f>
        <x:v>1.904267817735672</x:v>
      </x:c>
      <x:c r="K12" s="12" t="n">
        <x:f>C12*D12*F12*H12/2^30</x:f>
        <x:v>1.904267817735672</x:v>
      </x:c>
      <x:c r="L12" s="12" t="n">
        <x:f>C12*D12*G12*I12/2^30</x:f>
        <x:v>0.238037109375</x:v>
      </x:c>
      <x:c r="M12" s="2"/>
    </x:row>
    <x:row r="13" ht="25" customHeight="1">
      <x:c r="A13" s="2" t="str">
        <x:v>DS V4 10T</x:v>
      </x:c>
      <x:c r="B13" s="2" t="str">
        <x:v>C4 compressor state / FP32</x:v>
      </x:c>
      <x:c r="C13" s="8" t="n">
        <x:v>30</x:v>
      </x:c>
      <x:c r="D13" s="8" t="n">
        <x:v>8192</x:v>
      </x:c>
      <x:c r="E13" s="8" t="n">
        <x:f>MIN(($B$5-1),8)</x:f>
        <x:v>8</x:v>
      </x:c>
      <x:c r="F13" s="8" t="n">
        <x:f>MIN(($B$5-1),8)</x:f>
        <x:v>8</x:v>
      </x:c>
      <x:c r="G13" s="8" t="n">
        <x:f>MIN(ROUNDUP(($B$5-1)/($E$5/16),0),ROUNDUP(8/($E$5/16),0)+1)*($E$5/16)</x:f>
        <x:v>16</x:v>
      </x:c>
      <x:c r="H13" s="8" t="n">
        <x:v>8</x:v>
      </x:c>
      <x:c r="I13" s="8" t="n">
        <x:v>1</x:v>
      </x:c>
      <x:c r="J13" s="12" t="n">
        <x:f>C13*D13*E13*H13/2^30</x:f>
        <x:v>0.0146484375</x:v>
      </x:c>
      <x:c r="K13" s="12" t="n">
        <x:f>C13*D13*F13*H13/2^30</x:f>
        <x:v>0.0146484375</x:v>
      </x:c>
      <x:c r="L13" s="12" t="n">
        <x:f>C13*D13*G13*I13/2^30</x:f>
        <x:v>0.003662109375</x:v>
      </x:c>
      <x:c r="M13" s="2"/>
    </x:row>
    <x:row r="14" ht="25" customHeight="1">
      <x:c r="A14" s="2" t="str">
        <x:v>DS V4 10T</x:v>
      </x:c>
      <x:c r="B14" s="2" t="str">
        <x:v>C128 compressor state / FP32</x:v>
      </x:c>
      <x:c r="C14" s="8" t="n">
        <x:v>31</x:v>
      </x:c>
      <x:c r="D14" s="8" t="n">
        <x:v>4096</x:v>
      </x:c>
      <x:c r="E14" s="8" t="n">
        <x:f>MIN(($B$5-1),128)</x:f>
        <x:v>128</x:v>
      </x:c>
      <x:c r="F14" s="8" t="n">
        <x:f>MIN(($B$5-1),128)</x:f>
        <x:v>128</x:v>
      </x:c>
      <x:c r="G14" s="8" t="n">
        <x:f>MIN(ROUNDUP(($B$5-1)/($E$5/4),0),ROUNDUP(128/($E$5/4),0)+1)*($E$5/4)</x:f>
        <x:v>160</x:v>
      </x:c>
      <x:c r="H14" s="8" t="n">
        <x:v>8</x:v>
      </x:c>
      <x:c r="I14" s="8" t="n">
        <x:v>1</x:v>
      </x:c>
      <x:c r="J14" s="12" t="n">
        <x:f>C14*D14*E14*H14/2^30</x:f>
        <x:v>0.12109375</x:v>
      </x:c>
      <x:c r="K14" s="12" t="n">
        <x:f>C14*D14*F14*H14/2^30</x:f>
        <x:v>0.12109375</x:v>
      </x:c>
      <x:c r="L14" s="12" t="n">
        <x:f>C14*D14*G14*I14/2^30</x:f>
        <x:v>0.0189208984375</x:v>
      </x:c>
      <x:c r="M14" s="2"/>
    </x:row>
    <x:row r="15" ht="25" customHeight="1">
      <x:c r="A15" s="2" t="str">
        <x:v>DS V4 10T</x:v>
      </x:c>
      <x:c r="B15" s="2" t="str">
        <x:v>C4 indexer state / FP32</x:v>
      </x:c>
      <x:c r="C15" s="8" t="n">
        <x:v>30</x:v>
      </x:c>
      <x:c r="D15" s="8" t="n">
        <x:v>2048</x:v>
      </x:c>
      <x:c r="E15" s="8" t="n">
        <x:f>MIN(($B$5-1),8)</x:f>
        <x:v>8</x:v>
      </x:c>
      <x:c r="F15" s="8" t="n">
        <x:f>MIN(($B$5-1),8)</x:f>
        <x:v>8</x:v>
      </x:c>
      <x:c r="G15" s="8" t="n">
        <x:f>MIN(ROUNDUP(($B$5-1)/($E$5/16),0),ROUNDUP(8/($E$5/16),0)+1)*($E$5/16)</x:f>
        <x:v>16</x:v>
      </x:c>
      <x:c r="H15" s="8" t="n">
        <x:v>8</x:v>
      </x:c>
      <x:c r="I15" s="8" t="n">
        <x:v>1</x:v>
      </x:c>
      <x:c r="J15" s="12" t="n">
        <x:f>C15*D15*E15*H15/2^30</x:f>
        <x:v>0.003662109375</x:v>
      </x:c>
      <x:c r="K15" s="12" t="n">
        <x:f>C15*D15*F15*H15/2^30</x:f>
        <x:v>0.003662109375</x:v>
      </x:c>
      <x:c r="L15" s="12" t="n">
        <x:f>C15*D15*G15*I15/2^30</x:f>
        <x:v>0.00091552734375</x:v>
      </x:c>
      <x:c r="M15" s="2"/>
    </x:row>
    <x:row r="16" ht="25" customHeight="1">
      <x:c r="A16" s="13" t="str">
        <x:v>DS V4 10T</x:v>
      </x:c>
      <x:c r="B16" s="13" t="str">
        <x:v>单请求合计</x:v>
      </x:c>
      <x:c r="C16" s="14"/>
      <x:c r="D16" s="14"/>
      <x:c r="E16" s="14"/>
      <x:c r="F16" s="14"/>
      <x:c r="G16" s="14"/>
      <x:c r="H16" s="14"/>
      <x:c r="I16" s="14"/>
      <x:c r="J16" s="15" t="n">
        <x:f>SUM(J9:J15)</x:f>
        <x:v>139.52711632847786</x:v>
      </x:c>
      <x:c r="K16" s="15" t="n">
        <x:f>SUM(K9:K15)</x:f>
        <x:v>17.587152034044266</x:v>
      </x:c>
      <x:c r="L16" s="15" t="n">
        <x:f>SUM(L9:L15)</x:f>
        <x:v>2.21197509765625</x:v>
      </x:c>
      <x:c r="M16" s="2"/>
    </x:row>
    <x:row r="17" ht="25" customHeight="1">
      <x:c r="A17" s="2"/>
      <x:c r="B17" s="2"/>
      <x:c r="C17" s="8"/>
      <x:c r="D17" s="8"/>
      <x:c r="E17" s="8"/>
      <x:c r="F17" s="8"/>
      <x:c r="G17" s="8"/>
      <x:c r="H17" s="8"/>
      <x:c r="I17" s="8"/>
      <x:c r="J17" s="12"/>
      <x:c r="K17" s="12"/>
      <x:c r="L17" s="12"/>
      <x:c r="M17" s="2"/>
    </x:row>
    <x:row r="18" ht="25" customHeight="1">
      <x:c r="A18" s="2" t="str">
        <x:v>DS V4 Pro</x:v>
      </x:c>
      <x:c r="B18" s="2" t="str">
        <x:v>SWA KV / BF16</x:v>
      </x:c>
      <x:c r="C18" s="8" t="n">
        <x:v>61</x:v>
      </x:c>
      <x:c r="D18" s="8" t="n">
        <x:v>1024</x:v>
      </x:c>
      <x:c r="E18" s="8" t="n">
        <x:f>($B$5-1)</x:f>
        <x:v>262143</x:v>
      </x:c>
      <x:c r="F18" s="8" t="n">
        <x:f>MIN(($B$5-1),128)</x:f>
        <x:v>128</x:v>
      </x:c>
      <x:c r="G18" s="8" t="n">
        <x:f>MIN(ROUNDUP(($B$5-1)/$E$5,0),ROUNDUP(128/$E$5,0)+1)*$E$5</x:f>
        <x:v>256</x:v>
      </x:c>
      <x:c r="H18" s="8" t="n">
        <x:v>8</x:v>
      </x:c>
      <x:c r="I18" s="8" t="n">
        <x:v>1</x:v>
      </x:c>
      <x:c r="J18" s="12" t="n">
        <x:f>C18*D18*E18*H18/2^30</x:f>
        <x:v>121.9995346069336</x:v>
      </x:c>
      <x:c r="K18" s="12" t="n">
        <x:f>C18*D18*F18*H18/2^30</x:f>
        <x:v>0.0595703125</x:v>
      </x:c>
      <x:c r="L18" s="12" t="n">
        <x:f>C18*D18*G18*I18/2^30</x:f>
        <x:v>0.014892578125</x:v>
      </x:c>
      <x:c r="M18" s="2"/>
    </x:row>
    <x:row r="19" ht="25" customHeight="1">
      <x:c r="A19" s="2" t="str">
        <x:v>DS V4 Pro</x:v>
      </x:c>
      <x:c r="B19" s="2" t="str">
        <x:v>C4 KV / BF16</x:v>
      </x:c>
      <x:c r="C19" s="8" t="n">
        <x:v>30</x:v>
      </x:c>
      <x:c r="D19" s="8" t="n">
        <x:v>1024</x:v>
      </x:c>
      <x:c r="E19" s="8" t="n">
        <x:f>INT(($B$5-1)/4)</x:f>
        <x:v>65535</x:v>
      </x:c>
      <x:c r="F19" s="8" t="n">
        <x:f>INT(($B$5-1)/4)</x:f>
        <x:v>65535</x:v>
      </x:c>
      <x:c r="G19" s="8" t="n">
        <x:f>ROUNDUP(($B$5-1)/(4*$E$5),0)*$E$5</x:f>
        <x:v>65536</x:v>
      </x:c>
      <x:c r="H19" s="8" t="n">
        <x:v>8</x:v>
      </x:c>
      <x:c r="I19" s="8" t="n">
        <x:v>1</x:v>
      </x:c>
      <x:c r="J19" s="12" t="n">
        <x:f>C19*D19*E19*H19/2^30</x:f>
        <x:v>14.999771118164062</x:v>
      </x:c>
      <x:c r="K19" s="12" t="n">
        <x:f>C19*D19*F19*H19/2^30</x:f>
        <x:v>14.999771118164062</x:v>
      </x:c>
      <x:c r="L19" s="12" t="n">
        <x:f>C19*D19*G19*I19/2^30</x:f>
        <x:v>1.875</x:v>
      </x:c>
      <x:c r="M19" s="2"/>
    </x:row>
    <x:row r="20" ht="25" customHeight="1">
      <x:c r="A20" s="2" t="str">
        <x:v>DS V4 Pro</x:v>
      </x:c>
      <x:c r="B20" s="2" t="str">
        <x:v>C128 KV / BF16</x:v>
      </x:c>
      <x:c r="C20" s="8" t="n">
        <x:v>31</x:v>
      </x:c>
      <x:c r="D20" s="8" t="n">
        <x:v>1024</x:v>
      </x:c>
      <x:c r="E20" s="8" t="n">
        <x:f>INT(($B$5-1)/128)</x:f>
        <x:v>2047</x:v>
      </x:c>
      <x:c r="F20" s="8" t="n">
        <x:f>INT(($B$5-1)/128)</x:f>
        <x:v>2047</x:v>
      </x:c>
      <x:c r="G20" s="8" t="n">
        <x:f>ROUNDUP(($B$5-1)/(128*$E$5),0)*$E$5</x:f>
        <x:v>2048</x:v>
      </x:c>
      <x:c r="H20" s="8" t="n">
        <x:v>8</x:v>
      </x:c>
      <x:c r="I20" s="8" t="n">
        <x:v>1</x:v>
      </x:c>
      <x:c r="J20" s="12" t="n">
        <x:f>C20*D20*E20*H20/2^30</x:f>
        <x:v>0.48413848876953125</x:v>
      </x:c>
      <x:c r="K20" s="12" t="n">
        <x:f>C20*D20*F20*H20/2^30</x:f>
        <x:v>0.48413848876953125</x:v>
      </x:c>
      <x:c r="L20" s="12" t="n">
        <x:f>C20*D20*G20*I20/2^30</x:f>
        <x:v>0.060546875</x:v>
      </x:c>
      <x:c r="M20" s="2"/>
    </x:row>
    <x:row r="21" ht="25" customHeight="1">
      <x:c r="A21" s="2" t="str">
        <x:v>DS V4 Pro</x:v>
      </x:c>
      <x:c r="B21" s="2" t="str">
        <x:v>C4 Indexer / INT8 + FP16 scale</x:v>
      </x:c>
      <x:c r="C21" s="8" t="n">
        <x:v>30</x:v>
      </x:c>
      <x:c r="D21" s="8" t="n">
        <x:v>130</x:v>
      </x:c>
      <x:c r="E21" s="8" t="n">
        <x:f>INT(($B$5-1)/4)</x:f>
        <x:v>65535</x:v>
      </x:c>
      <x:c r="F21" s="8" t="n">
        <x:f>INT(($B$5-1)/4)</x:f>
        <x:v>65535</x:v>
      </x:c>
      <x:c r="G21" s="8" t="n">
        <x:f>ROUNDUP(($B$5-1)/(4*$E$5),0)*$E$5</x:f>
        <x:v>65536</x:v>
      </x:c>
      <x:c r="H21" s="8" t="n">
        <x:v>8</x:v>
      </x:c>
      <x:c r="I21" s="8" t="n">
        <x:v>1</x:v>
      </x:c>
      <x:c r="J21" s="12" t="n">
        <x:f>C21*D21*E21*H21/2^30</x:f>
        <x:v>1.904267817735672</x:v>
      </x:c>
      <x:c r="K21" s="12" t="n">
        <x:f>C21*D21*F21*H21/2^30</x:f>
        <x:v>1.904267817735672</x:v>
      </x:c>
      <x:c r="L21" s="12" t="n">
        <x:f>C21*D21*G21*I21/2^30</x:f>
        <x:v>0.238037109375</x:v>
      </x:c>
      <x:c r="M21" s="2"/>
    </x:row>
    <x:row r="22" ht="25" customHeight="1">
      <x:c r="A22" s="2" t="str">
        <x:v>DS V4 Pro</x:v>
      </x:c>
      <x:c r="B22" s="2" t="str">
        <x:v>C4 compressor state / FP32</x:v>
      </x:c>
      <x:c r="C22" s="8" t="n">
        <x:v>30</x:v>
      </x:c>
      <x:c r="D22" s="8" t="n">
        <x:v>8192</x:v>
      </x:c>
      <x:c r="E22" s="8" t="n">
        <x:f>MIN(($B$5-1),8)</x:f>
        <x:v>8</x:v>
      </x:c>
      <x:c r="F22" s="8" t="n">
        <x:f>MIN(($B$5-1),8)</x:f>
        <x:v>8</x:v>
      </x:c>
      <x:c r="G22" s="8" t="n">
        <x:f>MIN(ROUNDUP(($B$5-1)/($E$5/16),0),ROUNDUP(8/($E$5/16),0)+1)*($E$5/16)</x:f>
        <x:v>16</x:v>
      </x:c>
      <x:c r="H22" s="8" t="n">
        <x:v>8</x:v>
      </x:c>
      <x:c r="I22" s="8" t="n">
        <x:v>1</x:v>
      </x:c>
      <x:c r="J22" s="12" t="n">
        <x:f>C22*D22*E22*H22/2^30</x:f>
        <x:v>0.0146484375</x:v>
      </x:c>
      <x:c r="K22" s="12" t="n">
        <x:f>C22*D22*F22*H22/2^30</x:f>
        <x:v>0.0146484375</x:v>
      </x:c>
      <x:c r="L22" s="12" t="n">
        <x:f>C22*D22*G22*I22/2^30</x:f>
        <x:v>0.003662109375</x:v>
      </x:c>
      <x:c r="M22" s="2"/>
    </x:row>
    <x:row r="23" ht="25" customHeight="1">
      <x:c r="A23" s="2" t="str">
        <x:v>DS V4 Pro</x:v>
      </x:c>
      <x:c r="B23" s="2" t="str">
        <x:v>C128 compressor state / FP32</x:v>
      </x:c>
      <x:c r="C23" s="8" t="n">
        <x:v>31</x:v>
      </x:c>
      <x:c r="D23" s="8" t="n">
        <x:v>4096</x:v>
      </x:c>
      <x:c r="E23" s="8" t="n">
        <x:f>MIN(($B$5-1),128)</x:f>
        <x:v>128</x:v>
      </x:c>
      <x:c r="F23" s="8" t="n">
        <x:f>MIN(($B$5-1),128)</x:f>
        <x:v>128</x:v>
      </x:c>
      <x:c r="G23" s="8" t="n">
        <x:f>MIN(ROUNDUP(($B$5-1)/($E$5/4),0),ROUNDUP(128/($E$5/4),0)+1)*($E$5/4)</x:f>
        <x:v>160</x:v>
      </x:c>
      <x:c r="H23" s="8" t="n">
        <x:v>8</x:v>
      </x:c>
      <x:c r="I23" s="8" t="n">
        <x:v>1</x:v>
      </x:c>
      <x:c r="J23" s="12" t="n">
        <x:f>C23*D23*E23*H23/2^30</x:f>
        <x:v>0.12109375</x:v>
      </x:c>
      <x:c r="K23" s="12" t="n">
        <x:f>C23*D23*F23*H23/2^30</x:f>
        <x:v>0.12109375</x:v>
      </x:c>
      <x:c r="L23" s="12" t="n">
        <x:f>C23*D23*G23*I23/2^30</x:f>
        <x:v>0.0189208984375</x:v>
      </x:c>
      <x:c r="M23" s="2"/>
    </x:row>
    <x:row r="24" ht="25" customHeight="1">
      <x:c r="A24" s="2" t="str">
        <x:v>DS V4 Pro</x:v>
      </x:c>
      <x:c r="B24" s="2" t="str">
        <x:v>C4 indexer state / FP32</x:v>
      </x:c>
      <x:c r="C24" s="8" t="n">
        <x:v>30</x:v>
      </x:c>
      <x:c r="D24" s="8" t="n">
        <x:v>2048</x:v>
      </x:c>
      <x:c r="E24" s="8" t="n">
        <x:f>MIN(($B$5-1),8)</x:f>
        <x:v>8</x:v>
      </x:c>
      <x:c r="F24" s="8" t="n">
        <x:f>MIN(($B$5-1),8)</x:f>
        <x:v>8</x:v>
      </x:c>
      <x:c r="G24" s="8" t="n">
        <x:f>MIN(ROUNDUP(($B$5-1)/($E$5/16),0),ROUNDUP(8/($E$5/16),0)+1)*($E$5/16)</x:f>
        <x:v>16</x:v>
      </x:c>
      <x:c r="H24" s="8" t="n">
        <x:v>8</x:v>
      </x:c>
      <x:c r="I24" s="8" t="n">
        <x:v>1</x:v>
      </x:c>
      <x:c r="J24" s="12" t="n">
        <x:f>C24*D24*E24*H24/2^30</x:f>
        <x:v>0.003662109375</x:v>
      </x:c>
      <x:c r="K24" s="12" t="n">
        <x:f>C24*D24*F24*H24/2^30</x:f>
        <x:v>0.003662109375</x:v>
      </x:c>
      <x:c r="L24" s="12" t="n">
        <x:f>C24*D24*G24*I24/2^30</x:f>
        <x:v>0.00091552734375</x:v>
      </x:c>
      <x:c r="M24" s="2"/>
    </x:row>
    <x:row r="25" ht="25" customHeight="1">
      <x:c r="A25" s="13" t="str">
        <x:v>DS V4 Pro</x:v>
      </x:c>
      <x:c r="B25" s="13" t="str">
        <x:v>单请求合计</x:v>
      </x:c>
      <x:c r="C25" s="14"/>
      <x:c r="D25" s="14"/>
      <x:c r="E25" s="14"/>
      <x:c r="F25" s="14"/>
      <x:c r="G25" s="14"/>
      <x:c r="H25" s="14"/>
      <x:c r="I25" s="14"/>
      <x:c r="J25" s="15" t="n">
        <x:f>SUM(J18:J24)</x:f>
        <x:v>139.52711632847786</x:v>
      </x:c>
      <x:c r="K25" s="15" t="n">
        <x:f>SUM(K18:K24)</x:f>
        <x:v>17.587152034044266</x:v>
      </x:c>
      <x:c r="L25" s="15" t="n">
        <x:f>SUM(L18:L24)</x:f>
        <x:v>2.21197509765625</x:v>
      </x:c>
      <x:c r="M25" s="2"/>
    </x:row>
    <x:row r="26" ht="25" customHeight="1">
      <x:c r="A26" s="2"/>
      <x:c r="B26" s="2"/>
      <x:c r="C26" s="8"/>
      <x:c r="D26" s="8"/>
      <x:c r="E26" s="8"/>
      <x:c r="F26" s="8"/>
      <x:c r="G26" s="8"/>
      <x:c r="H26" s="8"/>
      <x:c r="I26" s="8"/>
      <x:c r="J26" s="12"/>
      <x:c r="K26" s="12"/>
      <x:c r="L26" s="12"/>
      <x:c r="M26" s="2"/>
    </x:row>
    <x:row r="27" ht="25" customHeight="1">
      <x:c r="A27" s="2" t="str">
        <x:v>GLM5.3</x:v>
      </x:c>
      <x:c r="B27" s="2" t="str">
        <x:v>MLA / BF16</x:v>
      </x:c>
      <x:c r="C27" s="8" t="n">
        <x:v>78</x:v>
      </x:c>
      <x:c r="D27" s="8" t="n">
        <x:v>1152</x:v>
      </x:c>
      <x:c r="E27" s="8" t="n">
        <x:f>INT($B$5/1)</x:f>
        <x:v>262144</x:v>
      </x:c>
      <x:c r="F27" s="8" t="n">
        <x:f>INT($B$5/1)</x:f>
        <x:v>262144</x:v>
      </x:c>
      <x:c r="G27" s="8" t="n">
        <x:f>ROUNDUP($B$5/(1*$E$5),0)*$E$5</x:f>
        <x:v>262144</x:v>
      </x:c>
      <x:c r="H27" s="8" t="n">
        <x:v>8</x:v>
      </x:c>
      <x:c r="I27" s="8" t="n">
        <x:v>1</x:v>
      </x:c>
      <x:c r="J27" s="12" t="n">
        <x:f>C27*D27*E27*H27/2^30</x:f>
        <x:v>175.5</x:v>
      </x:c>
      <x:c r="K27" s="12" t="n">
        <x:f>C27*D27*F27*H27/2^30</x:f>
        <x:v>175.5</x:v>
      </x:c>
      <x:c r="L27" s="12" t="n">
        <x:f>C27*D27*G27*I27/2^30</x:f>
        <x:v>21.9375</x:v>
      </x:c>
      <x:c r="M27" s="2"/>
    </x:row>
    <x:row r="28" ht="25" customHeight="1">
      <x:c r="A28" s="2" t="str">
        <x:v>GLM5.3</x:v>
      </x:c>
      <x:c r="B28" s="2" t="str">
        <x:v>Indexer / BF16</x:v>
      </x:c>
      <x:c r="C28" s="8" t="n">
        <x:v>21</x:v>
      </x:c>
      <x:c r="D28" s="8" t="n">
        <x:v>256</x:v>
      </x:c>
      <x:c r="E28" s="8" t="n">
        <x:f>INT($B$5/1)</x:f>
        <x:v>262144</x:v>
      </x:c>
      <x:c r="F28" s="8" t="n">
        <x:f>INT($B$5/1)</x:f>
        <x:v>262144</x:v>
      </x:c>
      <x:c r="G28" s="8" t="n">
        <x:f>ROUNDUP($B$5/(1*$E$5),0)*$E$5</x:f>
        <x:v>262144</x:v>
      </x:c>
      <x:c r="H28" s="8" t="n">
        <x:v>8</x:v>
      </x:c>
      <x:c r="I28" s="8" t="n">
        <x:v>1</x:v>
      </x:c>
      <x:c r="J28" s="12" t="n">
        <x:f>C28*D28*E28*H28/2^30</x:f>
        <x:v>10.5</x:v>
      </x:c>
      <x:c r="K28" s="12" t="n">
        <x:f>C28*D28*F28*H28/2^30</x:f>
        <x:v>10.5</x:v>
      </x:c>
      <x:c r="L28" s="12" t="n">
        <x:f>C28*D28*G28*I28/2^30</x:f>
        <x:v>1.3125</x:v>
      </x:c>
      <x:c r="M28" s="2"/>
    </x:row>
    <x:row r="29" ht="25" customHeight="1">
      <x:c r="A29" s="13" t="str">
        <x:v>GLM5.3</x:v>
      </x:c>
      <x:c r="B29" s="13" t="str">
        <x:v>单请求合计</x:v>
      </x:c>
      <x:c r="C29" s="14"/>
      <x:c r="D29" s="14"/>
      <x:c r="E29" s="14"/>
      <x:c r="F29" s="14"/>
      <x:c r="G29" s="14"/>
      <x:c r="H29" s="14"/>
      <x:c r="I29" s="14"/>
      <x:c r="J29" s="15" t="n">
        <x:f>SUM(J27:J28)</x:f>
        <x:v>186</x:v>
      </x:c>
      <x:c r="K29" s="15" t="n">
        <x:f>SUM(K27:K28)</x:f>
        <x:v>186</x:v>
      </x:c>
      <x:c r="L29" s="15" t="n">
        <x:f>SUM(L27:L28)</x:f>
        <x:v>23.25</x:v>
      </x:c>
      <x:c r="M29" s="2"/>
    </x:row>
    <x:row r="30" ht="25" customHeight="1">
      <x:c r="A30" s="2"/>
      <x:c r="B30" s="2"/>
      <x:c r="C30" s="8"/>
      <x:c r="D30" s="8"/>
      <x:c r="E30" s="8"/>
      <x:c r="F30" s="8"/>
      <x:c r="G30" s="8"/>
      <x:c r="H30" s="8"/>
      <x:c r="I30" s="8"/>
      <x:c r="J30" s="12"/>
      <x:c r="K30" s="12"/>
      <x:c r="L30" s="12"/>
      <x:c r="M30" s="2"/>
    </x:row>
    <x:row r="31" ht="25" customHeight="1">
      <x:c r="A31" s="2" t="str">
        <x:v>KimiK3</x:v>
      </x:c>
      <x:c r="B31" s="2" t="str">
        <x:v>MLA replicated / BF16</x:v>
      </x:c>
      <x:c r="C31" s="8" t="n">
        <x:v>24</x:v>
      </x:c>
      <x:c r="D31" s="8" t="n">
        <x:v>1152</x:v>
      </x:c>
      <x:c r="E31" s="8" t="n">
        <x:f>INT(($B$5-1)/1)</x:f>
        <x:v>262143</x:v>
      </x:c>
      <x:c r="F31" s="8" t="n">
        <x:f>INT(($B$5-1)/1)</x:f>
        <x:v>262143</x:v>
      </x:c>
      <x:c r="G31" s="8" t="n">
        <x:f>ROUNDUP(($B$5-1)/(1*$E$5),0)*$E$5</x:f>
        <x:v>262144</x:v>
      </x:c>
      <x:c r="H31" s="8" t="n">
        <x:v>8</x:v>
      </x:c>
      <x:c r="I31" s="8" t="n">
        <x:v>8</x:v>
      </x:c>
      <x:c r="J31" s="12" t="n">
        <x:f>C31*D31*E31*H31/2^30</x:f>
        <x:v>53.999794006347656</x:v>
      </x:c>
      <x:c r="K31" s="12" t="n">
        <x:f>C31*D31*F31*H31/2^30</x:f>
        <x:v>53.999794006347656</x:v>
      </x:c>
      <x:c r="L31" s="12" t="n">
        <x:f>C31*D31*G31*I31/2^30</x:f>
        <x:v>54</x:v>
      </x:c>
      <x:c r="M31" s="2"/>
    </x:row>
    <x:row r="32" ht="25" customHeight="1">
      <x:c r="A32" s="2" t="str">
        <x:v>KimiK3</x:v>
      </x:c>
      <x:c r="B32" s="2" t="str">
        <x:v>Conv state / BF16</x:v>
      </x:c>
      <x:c r="C32" s="8" t="n">
        <x:v>69</x:v>
      </x:c>
      <x:c r="D32" s="8" t="n">
        <x:v>9216</x:v>
      </x:c>
      <x:c r="E32" s="8" t="n">
        <x:f>MIN(($B$5-1),3)</x:f>
        <x:v>3</x:v>
      </x:c>
      <x:c r="F32" s="8" t="n">
        <x:f>MIN(($B$5-1),3)</x:f>
        <x:v>3</x:v>
      </x:c>
      <x:c r="G32" s="8" t="n">
        <x:f>3+$H$5</x:f>
        <x:v>10</x:v>
      </x:c>
      <x:c r="H32" s="8" t="n">
        <x:v>8</x:v>
      </x:c>
      <x:c r="I32" s="8" t="n">
        <x:v>8</x:v>
      </x:c>
      <x:c r="J32" s="12" t="n">
        <x:f>C32*D32*E32*H32/2^30</x:f>
        <x:v>0.01421356201171875</x:v>
      </x:c>
      <x:c r="K32" s="12" t="n">
        <x:f>C32*D32*F32*H32/2^30</x:f>
        <x:v>0.01421356201171875</x:v>
      </x:c>
      <x:c r="L32" s="12" t="n">
        <x:f>C32*D32*G32*I32/2^30</x:f>
        <x:v>0.0473785400390625</x:v>
      </x:c>
      <x:c r="M32" s="2"/>
    </x:row>
    <x:row r="33" ht="25" customHeight="1">
      <x:c r="A33" s="2" t="str">
        <x:v>KimiK3</x:v>
      </x:c>
      <x:c r="B33" s="2" t="str">
        <x:v>Recurrent state / FP32</x:v>
      </x:c>
      <x:c r="C33" s="8" t="n">
        <x:v>69</x:v>
      </x:c>
      <x:c r="D33" s="8" t="n">
        <x:v>786432</x:v>
      </x:c>
      <x:c r="E33" s="8" t="n">
        <x:f>1</x:f>
        <x:v>1</x:v>
      </x:c>
      <x:c r="F33" s="8" t="n">
        <x:f>1</x:f>
        <x:v>1</x:v>
      </x:c>
      <x:c r="G33" s="8" t="n">
        <x:f>1</x:f>
        <x:v>1</x:v>
      </x:c>
      <x:c r="H33" s="8" t="n">
        <x:v>8</x:v>
      </x:c>
      <x:c r="I33" s="8" t="n">
        <x:v>8</x:v>
      </x:c>
      <x:c r="J33" s="12" t="n">
        <x:f>C33*D33*E33*H33/2^30</x:f>
        <x:v>0.404296875</x:v>
      </x:c>
      <x:c r="K33" s="12" t="n">
        <x:f>C33*D33*F33*H33/2^30</x:f>
        <x:v>0.404296875</x:v>
      </x:c>
      <x:c r="L33" s="12" t="n">
        <x:f>C33*D33*G33*I33/2^30</x:f>
        <x:v>0.404296875</x:v>
      </x:c>
      <x:c r="M33" s="2"/>
    </x:row>
    <x:row r="34" ht="25" customHeight="1">
      <x:c r="A34" s="13" t="str">
        <x:v>KimiK3</x:v>
      </x:c>
      <x:c r="B34" s="13" t="str">
        <x:v>单请求合计</x:v>
      </x:c>
      <x:c r="C34" s="14"/>
      <x:c r="D34" s="14"/>
      <x:c r="E34" s="14"/>
      <x:c r="F34" s="14"/>
      <x:c r="G34" s="14"/>
      <x:c r="H34" s="14"/>
      <x:c r="I34" s="14"/>
      <x:c r="J34" s="15" t="n">
        <x:f>SUM(J31:J33)</x:f>
        <x:v>54.418304443359375</x:v>
      </x:c>
      <x:c r="K34" s="15" t="n">
        <x:f>SUM(K31:K33)</x:f>
        <x:v>54.418304443359375</x:v>
      </x:c>
      <x:c r="L34" s="15" t="n">
        <x:f>SUM(L31:L33)</x:f>
        <x:v>54.45167541503906</x:v>
      </x:c>
      <x:c r="M34" s="2"/>
    </x:row>
    <x:row r="35" ht="25" customHeight="1">
      <x:c r="A35" s="2"/>
      <x:c r="B35" s="2"/>
      <x:c r="C35" s="8"/>
      <x:c r="D35" s="8"/>
      <x:c r="E35" s="8"/>
      <x:c r="F35" s="8"/>
      <x:c r="G35" s="8"/>
      <x:c r="H35" s="8"/>
      <x:c r="I35" s="8"/>
      <x:c r="J35" s="12"/>
      <x:c r="K35" s="12"/>
      <x:c r="L35" s="12"/>
      <x:c r="M35" s="2"/>
    </x:row>
    <x:row r="36" ht="25" customHeight="1">
      <x:c r="A36" s="2" t="str">
        <x:v>Qwen3.8 2.4T</x:v>
      </x:c>
      <x:c r="B36" s="2" t="str">
        <x:v>GQA K+V / BF16 (KV heads replicated)</x:v>
      </x:c>
      <x:c r="C36" s="8" t="n">
        <x:v>23</x:v>
      </x:c>
      <x:c r="D36" s="8" t="n">
        <x:v>1024</x:v>
      </x:c>
      <x:c r="E36" s="8" t="n">
        <x:f>INT(($B$5-1)/1)</x:f>
        <x:v>262143</x:v>
      </x:c>
      <x:c r="F36" s="8" t="n">
        <x:f>INT(($B$5-1)/1)</x:f>
        <x:v>262143</x:v>
      </x:c>
      <x:c r="G36" s="8" t="n">
        <x:f>ROUNDUP(($B$5-1)/(1*$E$5),0)*$E$5</x:f>
        <x:v>262144</x:v>
      </x:c>
      <x:c r="H36" s="8" t="n">
        <x:v>8</x:v>
      </x:c>
      <x:c r="I36" s="8" t="n">
        <x:v>8</x:v>
      </x:c>
      <x:c r="J36" s="12" t="n">
        <x:f>C36*D36*E36*H36/2^30</x:f>
        <x:v>45.99982452392578</x:v>
      </x:c>
      <x:c r="K36" s="12" t="n">
        <x:f>C36*D36*F36*H36/2^30</x:f>
        <x:v>45.99982452392578</x:v>
      </x:c>
      <x:c r="L36" s="12" t="n">
        <x:f>C36*D36*G36*I36/2^30</x:f>
        <x:v>46</x:v>
      </x:c>
      <x:c r="M36" s="2"/>
    </x:row>
    <x:row r="37" ht="25" customHeight="1">
      <x:c r="A37" s="2" t="str">
        <x:v>Qwen3.8 2.4T</x:v>
      </x:c>
      <x:c r="B37" s="2" t="str">
        <x:v>Conv state / BF16</x:v>
      </x:c>
      <x:c r="C37" s="8" t="n">
        <x:v>69</x:v>
      </x:c>
      <x:c r="D37" s="8" t="n">
        <x:v>5120</x:v>
      </x:c>
      <x:c r="E37" s="8" t="n">
        <x:f>MIN(($B$5-1),3)</x:f>
        <x:v>3</x:v>
      </x:c>
      <x:c r="F37" s="8" t="n">
        <x:f>MIN(($B$5-1),3)</x:f>
        <x:v>3</x:v>
      </x:c>
      <x:c r="G37" s="8" t="n">
        <x:f>3+$H$5</x:f>
        <x:v>10</x:v>
      </x:c>
      <x:c r="H37" s="8" t="n">
        <x:v>8</x:v>
      </x:c>
      <x:c r="I37" s="8" t="n">
        <x:v>8</x:v>
      </x:c>
      <x:c r="J37" s="12" t="n">
        <x:f>C37*D37*E37*H37/2^30</x:f>
        <x:v>0.00789642333984375</x:v>
      </x:c>
      <x:c r="K37" s="12" t="n">
        <x:f>C37*D37*F37*H37/2^30</x:f>
        <x:v>0.00789642333984375</x:v>
      </x:c>
      <x:c r="L37" s="12" t="n">
        <x:f>C37*D37*G37*I37/2^30</x:f>
        <x:v>0.0263214111328125</x:v>
      </x:c>
      <x:c r="M37" s="2"/>
    </x:row>
    <x:row r="38" ht="25" customHeight="1">
      <x:c r="A38" s="2" t="str">
        <x:v>Qwen3.8 2.4T</x:v>
      </x:c>
      <x:c r="B38" s="2" t="str">
        <x:v>Recurrent state / FP32</x:v>
      </x:c>
      <x:c r="C38" s="8" t="n">
        <x:v>69</x:v>
      </x:c>
      <x:c r="D38" s="8" t="n">
        <x:v>1048576</x:v>
      </x:c>
      <x:c r="E38" s="8" t="n">
        <x:f>1</x:f>
        <x:v>1</x:v>
      </x:c>
      <x:c r="F38" s="8" t="n">
        <x:f>1</x:f>
        <x:v>1</x:v>
      </x:c>
      <x:c r="G38" s="8" t="n">
        <x:f>1</x:f>
        <x:v>1</x:v>
      </x:c>
      <x:c r="H38" s="8" t="n">
        <x:v>8</x:v>
      </x:c>
      <x:c r="I38" s="8" t="n">
        <x:v>8</x:v>
      </x:c>
      <x:c r="J38" s="12" t="n">
        <x:f>C38*D38*E38*H38/2^30</x:f>
        <x:v>0.5390625</x:v>
      </x:c>
      <x:c r="K38" s="12" t="n">
        <x:f>C38*D38*F38*H38/2^30</x:f>
        <x:v>0.5390625</x:v>
      </x:c>
      <x:c r="L38" s="12" t="n">
        <x:f>C38*D38*G38*I38/2^30</x:f>
        <x:v>0.5390625</x:v>
      </x:c>
      <x:c r="M38" s="2"/>
    </x:row>
    <x:row r="39" ht="25" customHeight="1">
      <x:c r="A39" s="13" t="str">
        <x:v>Qwen3.8 2.4T</x:v>
      </x:c>
      <x:c r="B39" s="13" t="str">
        <x:v>单请求合计</x:v>
      </x:c>
      <x:c r="C39" s="14"/>
      <x:c r="D39" s="14"/>
      <x:c r="E39" s="14"/>
      <x:c r="F39" s="14"/>
      <x:c r="G39" s="14"/>
      <x:c r="H39" s="14"/>
      <x:c r="I39" s="14"/>
      <x:c r="J39" s="15" t="n">
        <x:f>SUM(J36:J38)</x:f>
        <x:v>46.546783447265625</x:v>
      </x:c>
      <x:c r="K39" s="15" t="n">
        <x:f>SUM(K36:K38)</x:f>
        <x:v>46.546783447265625</x:v>
      </x:c>
      <x:c r="L39" s="15" t="n">
        <x:f>SUM(L36:L38)</x:f>
        <x:v>46.56538391113281</x:v>
      </x:c>
      <x:c r="M39" s="2"/>
    </x:row>
    <x:row r="40" ht="25" customHeight="1">
      <x:c r="A40" s="2"/>
      <x:c r="B40" s="2"/>
      <x:c r="C40" s="8"/>
      <x:c r="D40" s="8"/>
      <x:c r="E40" s="8"/>
      <x:c r="F40" s="8"/>
      <x:c r="G40" s="8"/>
      <x:c r="H40" s="8"/>
      <x:c r="I40" s="8"/>
      <x:c r="J40" s="12"/>
      <x:c r="K40" s="12"/>
      <x:c r="L40" s="12"/>
      <x:c r="M40" s="2"/>
    </x:row>
    <x:row r="41" ht="25" customHeight="1">
      <x:c r="A41" s="2" t="str">
        <x:v>DS V4.1 Flash</x:v>
      </x:c>
      <x:c r="B41" s="2" t="str">
        <x:v>SWA KV / BF16</x:v>
      </x:c>
      <x:c r="C41" s="8" t="n">
        <x:v>40</x:v>
      </x:c>
      <x:c r="D41" s="8" t="n">
        <x:v>1024</x:v>
      </x:c>
      <x:c r="E41" s="8" t="n">
        <x:f>$B$5</x:f>
        <x:v>262144</x:v>
      </x:c>
      <x:c r="F41" s="8" t="n">
        <x:f>MIN($B$5,128)</x:f>
        <x:v>128</x:v>
      </x:c>
      <x:c r="G41" s="8" t="n">
        <x:f>MIN(ROUNDUP($B$5/$E$5,0),ROUNDUP(128/$E$5,0)+1)*$E$5</x:f>
        <x:v>256</x:v>
      </x:c>
      <x:c r="H41" s="8" t="n">
        <x:v>8</x:v>
      </x:c>
      <x:c r="I41" s="8" t="n">
        <x:v>1</x:v>
      </x:c>
      <x:c r="J41" s="12" t="n">
        <x:f>C41*D41*E41*H41/2^30</x:f>
        <x:v>80</x:v>
      </x:c>
      <x:c r="K41" s="12" t="n">
        <x:f>C41*D41*F41*H41/2^30</x:f>
        <x:v>0.0390625</x:v>
      </x:c>
      <x:c r="L41" s="12" t="n">
        <x:f>C41*D41*G41*I41/2^30</x:f>
        <x:v>0.009765625</x:v>
      </x:c>
      <x:c r="M41" s="2" t="str">
        <x:v>迁移未支持；取为规划值</x:v>
      </x:c>
    </x:row>
    <x:row r="42" ht="25" customHeight="1">
      <x:c r="A42" s="2" t="str">
        <x:v>DS V4.1 Flash</x:v>
      </x:c>
      <x:c r="B42" s="2" t="str">
        <x:v>C2 shared KV / BF16</x:v>
      </x:c>
      <x:c r="C42" s="8" t="n">
        <x:v>3</x:v>
      </x:c>
      <x:c r="D42" s="8" t="n">
        <x:v>1024</x:v>
      </x:c>
      <x:c r="E42" s="8" t="n">
        <x:f>INT($B$5/2)</x:f>
        <x:v>131072</x:v>
      </x:c>
      <x:c r="F42" s="8" t="n">
        <x:f>INT($B$5/2)</x:f>
        <x:v>131072</x:v>
      </x:c>
      <x:c r="G42" s="8" t="n">
        <x:f>ROUNDUP(INT($B$5/2)/($E$5/2),0)*($E$5/2)</x:f>
        <x:v>131072</x:v>
      </x:c>
      <x:c r="H42" s="8" t="n">
        <x:v>8</x:v>
      </x:c>
      <x:c r="I42" s="8" t="n">
        <x:v>1</x:v>
      </x:c>
      <x:c r="J42" s="12" t="n">
        <x:f>C42*D42*E42*H42/2^30</x:f>
        <x:v>3</x:v>
      </x:c>
      <x:c r="K42" s="12" t="n">
        <x:f>C42*D42*F42*H42/2^30</x:f>
        <x:v>3</x:v>
      </x:c>
      <x:c r="L42" s="12" t="n">
        <x:f>C42*D42*G42*I42/2^30</x:f>
        <x:v>0.375</x:v>
      </x:c>
      <x:c r="M42" s="2" t="str">
        <x:v>迁移未支持；取为规划值</x:v>
      </x:c>
    </x:row>
    <x:row r="43" ht="25" customHeight="1">
      <x:c r="A43" s="2" t="str">
        <x:v>DS V4.1 Flash</x:v>
      </x:c>
      <x:c r="B43" s="2" t="str">
        <x:v>C2 shared Indexer / INT8 + FP16 scale</x:v>
      </x:c>
      <x:c r="C43" s="8" t="n">
        <x:v>3</x:v>
      </x:c>
      <x:c r="D43" s="8" t="n">
        <x:v>130</x:v>
      </x:c>
      <x:c r="E43" s="8" t="n">
        <x:f>INT($B$5/2)</x:f>
        <x:v>131072</x:v>
      </x:c>
      <x:c r="F43" s="8" t="n">
        <x:f>INT($B$5/2)</x:f>
        <x:v>131072</x:v>
      </x:c>
      <x:c r="G43" s="8" t="n">
        <x:f>ROUNDUP(INT($B$5/2)/($E$5/2),0)*($E$5/2)</x:f>
        <x:v>131072</x:v>
      </x:c>
      <x:c r="H43" s="8" t="n">
        <x:v>8</x:v>
      </x:c>
      <x:c r="I43" s="8" t="n">
        <x:v>1</x:v>
      </x:c>
      <x:c r="J43" s="12" t="n">
        <x:f>C43*D43*E43*H43/2^30</x:f>
        <x:v>0.380859375</x:v>
      </x:c>
      <x:c r="K43" s="12" t="n">
        <x:f>C43*D43*F43*H43/2^30</x:f>
        <x:v>0.380859375</x:v>
      </x:c>
      <x:c r="L43" s="12" t="n">
        <x:f>C43*D43*G43*I43/2^30</x:f>
        <x:v>0.047607421875</x:v>
      </x:c>
      <x:c r="M43" s="2" t="str">
        <x:v>迁移未支持；取为规划值</x:v>
      </x:c>
    </x:row>
    <x:row r="44" ht="25" customHeight="1">
      <x:c r="A44" s="2" t="str">
        <x:v>DS V4.1 Flash</x:v>
      </x:c>
      <x:c r="B44" s="2" t="str">
        <x:v>C1 shared KV / BF16</x:v>
      </x:c>
      <x:c r="C44" s="8" t="n">
        <x:v>1</x:v>
      </x:c>
      <x:c r="D44" s="8" t="n">
        <x:v>1024</x:v>
      </x:c>
      <x:c r="E44" s="8" t="n">
        <x:f>INT($B$5/1)</x:f>
        <x:v>262144</x:v>
      </x:c>
      <x:c r="F44" s="8" t="n">
        <x:f>INT($B$5/1)</x:f>
        <x:v>262144</x:v>
      </x:c>
      <x:c r="G44" s="8" t="n">
        <x:f>ROUNDUP(INT($B$5/1)/($E$5/1),0)*($E$5/1)</x:f>
        <x:v>262144</x:v>
      </x:c>
      <x:c r="H44" s="8" t="n">
        <x:v>8</x:v>
      </x:c>
      <x:c r="I44" s="8" t="n">
        <x:v>1</x:v>
      </x:c>
      <x:c r="J44" s="12" t="n">
        <x:f>C44*D44*E44*H44/2^30</x:f>
        <x:v>2</x:v>
      </x:c>
      <x:c r="K44" s="12" t="n">
        <x:f>C44*D44*F44*H44/2^30</x:f>
        <x:v>2</x:v>
      </x:c>
      <x:c r="L44" s="12" t="n">
        <x:f>C44*D44*G44*I44/2^30</x:f>
        <x:v>0.25</x:v>
      </x:c>
      <x:c r="M44" s="2" t="str">
        <x:v>迁移未支持；取为规划值</x:v>
      </x:c>
    </x:row>
    <x:row r="45" ht="25" customHeight="1">
      <x:c r="A45" s="2" t="str">
        <x:v>DS V4.1 Flash</x:v>
      </x:c>
      <x:c r="B45" s="2" t="str">
        <x:v>C1 shared Indexer / INT8 + FP16 scale</x:v>
      </x:c>
      <x:c r="C45" s="8" t="n">
        <x:v>1</x:v>
      </x:c>
      <x:c r="D45" s="8" t="n">
        <x:v>130</x:v>
      </x:c>
      <x:c r="E45" s="8" t="n">
        <x:f>INT($B$5/1)</x:f>
        <x:v>262144</x:v>
      </x:c>
      <x:c r="F45" s="8" t="n">
        <x:f>INT($B$5/1)</x:f>
        <x:v>262144</x:v>
      </x:c>
      <x:c r="G45" s="8" t="n">
        <x:f>ROUNDUP(INT($B$5/1)/($E$5/1),0)*($E$5/1)</x:f>
        <x:v>262144</x:v>
      </x:c>
      <x:c r="H45" s="8" t="n">
        <x:v>8</x:v>
      </x:c>
      <x:c r="I45" s="8" t="n">
        <x:v>1</x:v>
      </x:c>
      <x:c r="J45" s="12" t="n">
        <x:f>C45*D45*E45*H45/2^30</x:f>
        <x:v>0.25390625</x:v>
      </x:c>
      <x:c r="K45" s="12" t="n">
        <x:f>C45*D45*F45*H45/2^30</x:f>
        <x:v>0.25390625</x:v>
      </x:c>
      <x:c r="L45" s="12" t="n">
        <x:f>C45*D45*G45*I45/2^30</x:f>
        <x:v>0.03173828125</x:v>
      </x:c>
      <x:c r="M45" s="2" t="str">
        <x:v>迁移未支持；取为规划值</x:v>
      </x:c>
    </x:row>
    <x:row r="46" ht="25" customHeight="1">
      <x:c r="A46" s="2" t="str">
        <x:v>DS V4.1 Flash</x:v>
      </x:c>
      <x:c r="B46" s="2" t="str">
        <x:v>C2 circular ring / FP32 KV+score</x:v>
      </x:c>
      <x:c r="C46" s="8" t="n">
        <x:v>3</x:v>
      </x:c>
      <x:c r="D46" s="8" t="n">
        <x:v>4096</x:v>
      </x:c>
      <x:c r="E46" s="8" t="n">
        <x:f>MIN($B$5,32)</x:f>
        <x:v>32</x:v>
      </x:c>
      <x:c r="F46" s="8" t="n">
        <x:f>MIN($B$5,32)</x:f>
        <x:v>32</x:v>
      </x:c>
      <x:c r="G46" s="8" t="n">
        <x:f>32</x:f>
        <x:v>32</x:v>
      </x:c>
      <x:c r="H46" s="8" t="n">
        <x:v>8</x:v>
      </x:c>
      <x:c r="I46" s="8" t="n">
        <x:v>1</x:v>
      </x:c>
      <x:c r="J46" s="12" t="n">
        <x:f>C46*D46*E46*H46/2^30</x:f>
        <x:v>0.0029296875</x:v>
      </x:c>
      <x:c r="K46" s="12" t="n">
        <x:f>C46*D46*F46*H46/2^30</x:f>
        <x:v>0.0029296875</x:v>
      </x:c>
      <x:c r="L46" s="12" t="n">
        <x:f>C46*D46*G46*I46/2^30</x:f>
        <x:v>0.0003662109375</x:v>
      </x:c>
      <x:c r="M46" s="2" t="str">
        <x:v>迁移未支持；取为规划值</x:v>
      </x:c>
    </x:row>
    <x:row r="47" ht="25" customHeight="1">
      <x:c r="A47" s="13" t="str">
        <x:v>DS V4.1 Flash</x:v>
      </x:c>
      <x:c r="B47" s="13" t="str">
        <x:v>单请求合计</x:v>
      </x:c>
      <x:c r="C47" s="14"/>
      <x:c r="D47" s="14"/>
      <x:c r="E47" s="14"/>
      <x:c r="F47" s="14"/>
      <x:c r="G47" s="14"/>
      <x:c r="H47" s="14"/>
      <x:c r="I47" s="14"/>
      <x:c r="J47" s="15" t="n">
        <x:f>SUM(J41:J46)</x:f>
        <x:v>85.6376953125</x:v>
      </x:c>
      <x:c r="K47" s="15" t="n">
        <x:f>SUM(K41:K46)</x:f>
        <x:v>5.6767578125</x:v>
      </x:c>
      <x:c r="L47" s="15" t="n">
        <x:f>SUM(L41:L46)</x:f>
        <x:v>0.7144775390625</x:v>
      </x:c>
      <x:c r="M47" s="2"/>
    </x:row>
    <x:row r="48" ht="25" customHeight="1">
      <x:c r="A48" s="2"/>
      <x:c r="B48" s="2"/>
      <x:c r="C48" s="8"/>
      <x:c r="D48" s="8"/>
      <x:c r="E48" s="8"/>
      <x:c r="F48" s="8"/>
      <x:c r="G48" s="8"/>
      <x:c r="H48" s="8"/>
      <x:c r="I48" s="8"/>
      <x:c r="J48" s="12"/>
      <x:c r="K48" s="12"/>
      <x:c r="L48" s="12"/>
      <x:c r="M48" s="2"/>
    </x:row>
    <x:row r="49" ht="25" customHeight="1">
      <x:c r="A49" s="2"/>
      <x:c r="B49" s="2"/>
      <x:c r="C49" s="8"/>
      <x:c r="D49" s="8"/>
      <x:c r="E49" s="8"/>
      <x:c r="F49" s="8"/>
      <x:c r="G49" s="8"/>
      <x:c r="H49" s="8"/>
      <x:c r="I49" s="8"/>
      <x:c r="J49" s="12"/>
      <x:c r="K49" s="12"/>
      <x:c r="L49" s="12"/>
      <x:c r="M49" s="2"/>
    </x:row>
    <x:row r="50" ht="25" customHeight="1">
      <x:c r="A50" s="2" t="str">
        <x:v>前五模型：MooncakeConnector；P/D 同 block size、同 speculative 配置；无前缀命中、PCP/DCP=1。</x:v>
      </x:c>
      <x:c r="B50" s="2"/>
      <x:c r="C50" s="8"/>
      <x:c r="D50" s="8"/>
      <x:c r="E50" s="8"/>
      <x:c r="F50" s="8"/>
      <x:c r="G50" s="8"/>
      <x:c r="H50" s="8"/>
      <x:c r="I50" s="8"/>
      <x:c r="J50" s="12"/>
      <x:c r="K50" s="12"/>
      <x:c r="L50" s="12"/>
      <x:c r="M50" s="2"/>
    </x:row>
    <x:row r="51" ht="25" customHeight="1">
      <x:c r="A51" s="2"/>
      <x:c r="B51" s="2"/>
      <x:c r="C51" s="8"/>
      <x:c r="D51" s="8"/>
      <x:c r="E51" s="8"/>
      <x:c r="F51" s="8"/>
      <x:c r="G51" s="8"/>
      <x:c r="H51" s="8"/>
      <x:c r="I51" s="8"/>
      <x:c r="J51" s="12"/>
      <x:c r="K51" s="12"/>
      <x:c r="L51" s="12"/>
      <x:c r="M51" s="2"/>
    </x:row>
    <x:row r="52" ht="25" customHeight="1">
      <x:c r="A52" s="2" t="str">
        <x:v>GLM: 78 主干 / 21 Indexer；Kimi: 24 MLA + 69 KDA；Qwen: 23 GQA + 69 GDN。</x:v>
      </x:c>
      <x:c r="B52" s="2"/>
      <x:c r="C52" s="8"/>
      <x:c r="D52" s="8"/>
      <x:c r="E52" s="8"/>
      <x:c r="F52" s="8"/>
      <x:c r="G52" s="8"/>
      <x:c r="H52" s="8"/>
      <x:c r="I52" s="8"/>
      <x:c r="J52" s="12"/>
      <x:c r="K52" s="12"/>
      <x:c r="L52" s="12"/>
      <x:c r="M52" s="2"/>
    </x:row>
    <x:row r="53" ht="25" customHeight="1">
      <x:c r="A53" s="2"/>
      <x:c r="B53" s="2"/>
      <x:c r="C53" s="8"/>
      <x:c r="D53" s="8"/>
      <x:c r="E53" s="8"/>
      <x:c r="F53" s="8"/>
      <x:c r="G53" s="8"/>
      <x:c r="H53" s="8"/>
      <x:c r="I53" s="8"/>
      <x:c r="J53" s="12"/>
      <x:c r="K53" s="12"/>
      <x:c r="L53" s="12"/>
      <x:c r="M53" s="2"/>
    </x:row>
    <x:row r="54" ht="25" customHeight="1">
      <x:c r="A54" s="2" t="str">
        <x:v>V4.1：S tokens 快照；C2 物理页 B/2 行，只计完成的压缩对；环形 state 规划传完整 32 行页。</x:v>
      </x:c>
      <x:c r="B54" s="2"/>
      <x:c r="C54" s="8"/>
      <x:c r="D54" s="8"/>
      <x:c r="E54" s="8"/>
      <x:c r="F54" s="8"/>
      <x:c r="G54" s="8"/>
      <x:c r="H54" s="8"/>
      <x:c r="I54" s="8"/>
      <x:c r="J54" s="12"/>
      <x:c r="K54" s="12"/>
      <x:c r="L54" s="12"/>
      <x:c r="M54" s="2"/>
    </x:row>
    <x:row r="55" ht="25" customHeight="1">
      <x:c r="A55" s="2"/>
      <x:c r="B55" s="2"/>
      <x:c r="C55" s="8"/>
      <x:c r="D55" s="8"/>
      <x:c r="E55" s="8"/>
      <x:c r="F55" s="8"/>
      <x:c r="G55" s="8"/>
      <x:c r="H55" s="8"/>
      <x:c r="I55" s="8"/>
      <x:c r="J55" s="12"/>
      <x:c r="K55" s="12"/>
      <x:c r="L55" s="12"/>
      <x:c r="M55" s="2"/>
    </x:row>
    <x:row r="56" ht="25" customHeight="1">
      <x:c r="A56" s="2" t="str">
        <x:v>来源：归档 config / VA 842b030f / vLLM c8438a3；V4.1 main 1933f86；路径/哈希见源码清单。</x:v>
      </x:c>
      <x:c r="B56" s="2"/>
      <x:c r="C56" s="8"/>
      <x:c r="D56" s="8"/>
      <x:c r="E56" s="8"/>
      <x:c r="F56" s="8"/>
      <x:c r="G56" s="8"/>
      <x:c r="H56" s="8"/>
      <x:c r="I56" s="8"/>
      <x:c r="J56" s="12"/>
      <x:c r="K56" s="12"/>
      <x:c r="L56" s="12"/>
      <x:c r="M56" s="2"/>
    </x:row>
    <x:row r="57" ht="25" customHeight="1">
      <x:c r="A57" s="2"/>
      <x:c r="B57" s="2"/>
      <x:c r="C57" s="8"/>
      <x:c r="D57" s="8"/>
      <x:c r="E57" s="8"/>
      <x:c r="F57" s="8"/>
      <x:c r="G57" s="8"/>
      <x:c r="H57" s="8"/>
      <x:c r="I57" s="8"/>
      <x:c r="J57" s="12"/>
      <x:c r="K57" s="12"/>
      <x:c r="L57" s="12"/>
      <x:c r="M57" s="2"/>
    </x:row>
    <x:row r="58" ht="25" customHeight="1">
      <x:c r="A58" s="2"/>
      <x:c r="B58" s="2"/>
      <x:c r="C58" s="8"/>
      <x:c r="D58" s="8"/>
      <x:c r="E58" s="8"/>
      <x:c r="F58" s="8"/>
      <x:c r="G58" s="8"/>
      <x:c r="H58" s="8"/>
      <x:c r="I58" s="8"/>
      <x:c r="J58" s="12"/>
      <x:c r="K58" s="12"/>
      <x:c r="L58" s="12"/>
      <x:c r="M58" s="2"/>
    </x:row>
    <x:row r="59" ht="25" customHeight="1">
      <x:c r="A59" s="2"/>
      <x:c r="B59" s="2"/>
      <x:c r="C59" s="8"/>
      <x:c r="D59" s="8"/>
      <x:c r="E59" s="8"/>
      <x:c r="F59" s="8"/>
      <x:c r="G59" s="8"/>
      <x:c r="H59" s="8"/>
      <x:c r="I59" s="8"/>
      <x:c r="J59" s="12"/>
      <x:c r="K59" s="12"/>
      <x:c r="L59" s="12"/>
      <x:c r="M59" s="2"/>
    </x:row>
    <x:row r="60" ht="25" customHeight="1">
      <x:c r="A60" s="2"/>
      <x:c r="B60" s="2"/>
      <x:c r="C60" s="8"/>
      <x:c r="D60" s="8"/>
      <x:c r="E60" s="8"/>
      <x:c r="F60" s="8"/>
      <x:c r="G60" s="8"/>
      <x:c r="H60" s="8"/>
      <x:c r="I60" s="8"/>
      <x:c r="J60" s="12"/>
      <x:c r="K60" s="12"/>
      <x:c r="L60" s="12"/>
      <x:c r="M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</x:sheetData>
  <x:dataValidations count="4">
    <x:dataValidation type="list" sqref="E5">
      <x:formula1>"32,64,128"</x:formula1>
    </x:dataValidation>
    <x:dataValidation type="whole" operator="between" sqref="B5">
      <x:formula1>2</x:formula1>
      <x:formula2>1048576</x:formula2>
    </x:dataValidation>
    <x:dataValidation type="whole" operator="between" sqref="H5">
      <x:formula1>0</x:formula1>
      <x:formula2>64</x:formula2>
    </x:dataValidation>
    <x:dataValidation type="whole" operator="between" sqref="K5">
      <x:formula1>1</x:formula1>
      <x:formula2>65536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9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5" customHeight="1">
      <x:c r="A2" s="3" t="str">
        <x:v>EP 通信 · AllToAllV / A3 MC2 FullMesh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5" customHeight="1">
      <x:c r="A3" s="2" t="str">
        <x:v>均衡路由；只计跨 Rank，排除自拷贝。EP=TP×DP。黄色输入可编辑。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5" customHeight="1">
      <x:c r="A5" s="2" t="str">
        <x:v>P tokens/DP</x:v>
      </x:c>
      <x:c r="B5" s="11" t="n">
        <x:v>16384</x:v>
      </x:c>
      <x:c r="C5" s="2" t="str">
        <x:v>D tokens/DP</x:v>
      </x:c>
      <x:c r="D5" s="11" t="n">
        <x:v>128</x:v>
      </x:c>
      <x:c r="E5" s="2" t="str">
        <x:v>dispatch B</x:v>
      </x:c>
      <x:c r="F5" s="11" t="n">
        <x:v>2</x:v>
      </x:c>
      <x:c r="G5" s="2" t="str">
        <x:v>scale B/token</x:v>
      </x:c>
      <x:c r="H5" s="11" t="n">
        <x:v>0</x:v>
      </x:c>
      <x:c r="I5" s="2" t="str">
        <x:v>combine B</x:v>
      </x:c>
      <x:c r="J5" s="11" t="n">
        <x:v>2</x:v>
      </x:c>
      <x:c r="K5" s="2" t="str">
        <x:v>histogram B</x:v>
      </x:c>
      <x:c r="L5" s="11" t="n">
        <x:v>4</x:v>
      </x:c>
      <x:c r="M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5" customHeight="1">
      <x:c r="A7" s="2" t="str">
        <x:v>兼容性</x:v>
      </x:c>
      <x:c r="B7" s="2" t="str">
        <x:f>IF(AND(J5=2,OR(AND(F5=2,H5=0),AND(F5=1,H5=4))),"A3 packing supported","INVALID dtype/scale")</x:f>
        <x:v>A3 packing supported</x:v>
      </x:c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5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40" customHeight="1">
      <x:c r="A9" s="7" t="str">
        <x:v>模型</x:v>
      </x:c>
      <x:c r="B9" s="7" t="str">
        <x:v>EP</x:v>
      </x:c>
      <x:c r="C9" s="7" t="str">
        <x:v>MoE层</x:v>
      </x:c>
      <x:c r="D9" s="7" t="str">
        <x:v>H</x:v>
      </x:c>
      <x:c r="E9" s="7" t="str">
        <x:v>TopK</x:v>
      </x:c>
      <x:c r="F9" s="7" t="str">
        <x:v>逻辑专家</x:v>
      </x:c>
      <x:c r="G9" s="7" t="str">
        <x:v>物理专家槽</x:v>
      </x:c>
      <x:c r="H9" s="7" t="str">
        <x:v>补齐槽数</x:v>
      </x:c>
      <x:c r="I9" s="7" t="str">
        <x:v>P TP</x:v>
      </x:c>
      <x:c r="J9" s="7" t="str">
        <x:v>D TP</x:v>
      </x:c>
      <x:c r="K9" s="7" t="str">
        <x:v>P tokens/Rank</x:v>
      </x:c>
      <x:c r="L9" s="7" t="str">
        <x:v>D tokens/Rank</x:v>
      </x:c>
      <x:c r="M9" s="7" t="str">
        <x:v>MC2 dispatch B</x:v>
      </x:c>
    </x:row>
    <x:row r="10" ht="25" customHeight="1">
      <x:c r="A10" s="2" t="str">
        <x:v>DS V4 10T</x:v>
      </x:c>
      <x:c r="B10" s="2" t="n">
        <x:v>32</x:v>
      </x:c>
      <x:c r="C10" s="2" t="n">
        <x:v>61</x:v>
      </x:c>
      <x:c r="D10" s="2" t="n">
        <x:v>7168</x:v>
      </x:c>
      <x:c r="E10" s="2" t="n">
        <x:v>6</x:v>
      </x:c>
      <x:c r="F10" s="2" t="n">
        <x:v>384</x:v>
      </x:c>
      <x:c r="G10" s="2" t="n">
        <x:f>ROUNDUP(F10/B10,0)*B10</x:f>
        <x:v>384</x:v>
      </x:c>
      <x:c r="H10" s="2" t="n">
        <x:f>G10-F10</x:f>
        <x:v>0</x:v>
      </x:c>
      <x:c r="I10" s="2" t="n">
        <x:v>8</x:v>
      </x:c>
      <x:c r="J10" s="2" t="n">
        <x:v>1</x:v>
      </x:c>
      <x:c r="K10" s="2" t="n">
        <x:f>ROUNDUP($B$5/I10,0)</x:f>
        <x:v>2048</x:v>
      </x:c>
      <x:c r="L10" s="2" t="n">
        <x:f>ROUNDUP($D$5/J10,0)</x:f>
        <x:v>128</x:v>
      </x:c>
      <x:c r="M10" s="2" t="n">
        <x:f>ROUNDUP((ROUNDUP((ROUNDUP(D10*$F$5/32,0)*32+$H$5)/32,0)*32+32)/480,0)*512</x:f>
        <x:v>15360</x:v>
      </x:c>
    </x:row>
    <x:row r="11" ht="25" customHeight="1">
      <x:c r="A11" s="2" t="str">
        <x:v>DS V4 10T</x:v>
      </x:c>
      <x:c r="B11" s="2" t="n">
        <x:v>256</x:v>
      </x:c>
      <x:c r="C11" s="2" t="n">
        <x:v>61</x:v>
      </x:c>
      <x:c r="D11" s="2" t="n">
        <x:v>7168</x:v>
      </x:c>
      <x:c r="E11" s="2" t="n">
        <x:v>6</x:v>
      </x:c>
      <x:c r="F11" s="2" t="n">
        <x:v>384</x:v>
      </x:c>
      <x:c r="G11" s="2" t="n">
        <x:f>ROUNDUP(F11/B11,0)*B11</x:f>
        <x:v>512</x:v>
      </x:c>
      <x:c r="H11" s="2" t="n">
        <x:f>G11-F11</x:f>
        <x:v>128</x:v>
      </x:c>
      <x:c r="I11" s="2" t="n">
        <x:v>8</x:v>
      </x:c>
      <x:c r="J11" s="2" t="n">
        <x:v>1</x:v>
      </x:c>
      <x:c r="K11" s="2" t="n">
        <x:f>ROUNDUP($B$5/I11,0)</x:f>
        <x:v>2048</x:v>
      </x:c>
      <x:c r="L11" s="2" t="n">
        <x:f>ROUNDUP($D$5/J11,0)</x:f>
        <x:v>128</x:v>
      </x:c>
      <x:c r="M11" s="2" t="n">
        <x:f>ROUNDUP((ROUNDUP((ROUNDUP(D11*$F$5/32,0)*32+$H$5)/32,0)*32+32)/480,0)*512</x:f>
        <x:v>15360</x:v>
      </x:c>
    </x:row>
    <x:row r="12" ht="25" customHeight="1">
      <x:c r="A12" s="2" t="str">
        <x:v>DS V4 Pro</x:v>
      </x:c>
      <x:c r="B12" s="2" t="n">
        <x:v>32</x:v>
      </x:c>
      <x:c r="C12" s="2" t="n">
        <x:v>61</x:v>
      </x:c>
      <x:c r="D12" s="2" t="n">
        <x:v>7168</x:v>
      </x:c>
      <x:c r="E12" s="2" t="n">
        <x:v>6</x:v>
      </x:c>
      <x:c r="F12" s="2" t="n">
        <x:v>384</x:v>
      </x:c>
      <x:c r="G12" s="2" t="n">
        <x:f>ROUNDUP(F12/B12,0)*B12</x:f>
        <x:v>384</x:v>
      </x:c>
      <x:c r="H12" s="2" t="n">
        <x:f>G12-F12</x:f>
        <x:v>0</x:v>
      </x:c>
      <x:c r="I12" s="2" t="n">
        <x:v>8</x:v>
      </x:c>
      <x:c r="J12" s="2" t="n">
        <x:v>1</x:v>
      </x:c>
      <x:c r="K12" s="2" t="n">
        <x:f>ROUNDUP($B$5/I12,0)</x:f>
        <x:v>2048</x:v>
      </x:c>
      <x:c r="L12" s="2" t="n">
        <x:f>ROUNDUP($D$5/J12,0)</x:f>
        <x:v>128</x:v>
      </x:c>
      <x:c r="M12" s="2" t="n">
        <x:f>ROUNDUP((ROUNDUP((ROUNDUP(D12*$F$5/32,0)*32+$H$5)/32,0)*32+32)/480,0)*512</x:f>
        <x:v>15360</x:v>
      </x:c>
    </x:row>
    <x:row r="13" ht="25" customHeight="1">
      <x:c r="A13" s="2" t="str">
        <x:v>DS V4 Pro</x:v>
      </x:c>
      <x:c r="B13" s="2" t="n">
        <x:v>256</x:v>
      </x:c>
      <x:c r="C13" s="2" t="n">
        <x:v>61</x:v>
      </x:c>
      <x:c r="D13" s="2" t="n">
        <x:v>7168</x:v>
      </x:c>
      <x:c r="E13" s="2" t="n">
        <x:v>6</x:v>
      </x:c>
      <x:c r="F13" s="2" t="n">
        <x:v>384</x:v>
      </x:c>
      <x:c r="G13" s="2" t="n">
        <x:f>ROUNDUP(F13/B13,0)*B13</x:f>
        <x:v>512</x:v>
      </x:c>
      <x:c r="H13" s="2" t="n">
        <x:f>G13-F13</x:f>
        <x:v>128</x:v>
      </x:c>
      <x:c r="I13" s="2" t="n">
        <x:v>8</x:v>
      </x:c>
      <x:c r="J13" s="2" t="n">
        <x:v>1</x:v>
      </x:c>
      <x:c r="K13" s="2" t="n">
        <x:f>ROUNDUP($B$5/I13,0)</x:f>
        <x:v>2048</x:v>
      </x:c>
      <x:c r="L13" s="2" t="n">
        <x:f>ROUNDUP($D$5/J13,0)</x:f>
        <x:v>128</x:v>
      </x:c>
      <x:c r="M13" s="2" t="n">
        <x:f>ROUNDUP((ROUNDUP((ROUNDUP(D13*$F$5/32,0)*32+$H$5)/32,0)*32+32)/480,0)*512</x:f>
        <x:v>15360</x:v>
      </x:c>
    </x:row>
    <x:row r="14" ht="25" customHeight="1">
      <x:c r="A14" s="2" t="str">
        <x:v>GLM5.3</x:v>
      </x:c>
      <x:c r="B14" s="2" t="n">
        <x:v>32</x:v>
      </x:c>
      <x:c r="C14" s="2" t="n">
        <x:v>75</x:v>
      </x:c>
      <x:c r="D14" s="2" t="n">
        <x:v>6144</x:v>
      </x:c>
      <x:c r="E14" s="2" t="n">
        <x:v>8</x:v>
      </x:c>
      <x:c r="F14" s="2" t="n">
        <x:v>256</x:v>
      </x:c>
      <x:c r="G14" s="2" t="n">
        <x:f>ROUNDUP(F14/B14,0)*B14</x:f>
        <x:v>256</x:v>
      </x:c>
      <x:c r="H14" s="2" t="n">
        <x:f>G14-F14</x:f>
        <x:v>0</x:v>
      </x:c>
      <x:c r="I14" s="2" t="n">
        <x:v>8</x:v>
      </x:c>
      <x:c r="J14" s="2" t="n">
        <x:v>1</x:v>
      </x:c>
      <x:c r="K14" s="2" t="n">
        <x:f>ROUNDUP($B$5/I14,0)</x:f>
        <x:v>2048</x:v>
      </x:c>
      <x:c r="L14" s="2" t="n">
        <x:f>ROUNDUP($D$5/J14,0)</x:f>
        <x:v>128</x:v>
      </x:c>
      <x:c r="M14" s="2" t="n">
        <x:f>ROUNDUP((ROUNDUP((ROUNDUP(D14*$F$5/32,0)*32+$H$5)/32,0)*32+32)/480,0)*512</x:f>
        <x:v>13312</x:v>
      </x:c>
    </x:row>
    <x:row r="15" ht="25" customHeight="1">
      <x:c r="A15" s="2" t="str">
        <x:v>GLM5.3</x:v>
      </x:c>
      <x:c r="B15" s="2" t="n">
        <x:v>256</x:v>
      </x:c>
      <x:c r="C15" s="2" t="n">
        <x:v>75</x:v>
      </x:c>
      <x:c r="D15" s="2" t="n">
        <x:v>6144</x:v>
      </x:c>
      <x:c r="E15" s="2" t="n">
        <x:v>8</x:v>
      </x:c>
      <x:c r="F15" s="2" t="n">
        <x:v>256</x:v>
      </x:c>
      <x:c r="G15" s="2" t="n">
        <x:f>ROUNDUP(F15/B15,0)*B15</x:f>
        <x:v>256</x:v>
      </x:c>
      <x:c r="H15" s="2" t="n">
        <x:f>G15-F15</x:f>
        <x:v>0</x:v>
      </x:c>
      <x:c r="I15" s="2" t="n">
        <x:v>8</x:v>
      </x:c>
      <x:c r="J15" s="2" t="n">
        <x:v>1</x:v>
      </x:c>
      <x:c r="K15" s="2" t="n">
        <x:f>ROUNDUP($B$5/I15,0)</x:f>
        <x:v>2048</x:v>
      </x:c>
      <x:c r="L15" s="2" t="n">
        <x:f>ROUNDUP($D$5/J15,0)</x:f>
        <x:v>128</x:v>
      </x:c>
      <x:c r="M15" s="2" t="n">
        <x:f>ROUNDUP((ROUNDUP((ROUNDUP(D15*$F$5/32,0)*32+$H$5)/32,0)*32+32)/480,0)*512</x:f>
        <x:v>13312</x:v>
      </x:c>
    </x:row>
    <x:row r="16" ht="25" customHeight="1">
      <x:c r="A16" s="2" t="str">
        <x:v>KimiK3</x:v>
      </x:c>
      <x:c r="B16" s="2" t="n">
        <x:v>32</x:v>
      </x:c>
      <x:c r="C16" s="2" t="n">
        <x:v>92</x:v>
      </x:c>
      <x:c r="D16" s="2" t="n">
        <x:v>7168</x:v>
      </x:c>
      <x:c r="E16" s="2" t="n">
        <x:v>16</x:v>
      </x:c>
      <x:c r="F16" s="2" t="n">
        <x:v>896</x:v>
      </x:c>
      <x:c r="G16" s="2" t="n">
        <x:f>ROUNDUP(F16/B16,0)*B16</x:f>
        <x:v>896</x:v>
      </x:c>
      <x:c r="H16" s="2" t="n">
        <x:f>G16-F16</x:f>
        <x:v>0</x:v>
      </x:c>
      <x:c r="I16" s="2" t="n">
        <x:v>8</x:v>
      </x:c>
      <x:c r="J16" s="2" t="n">
        <x:v>8</x:v>
      </x:c>
      <x:c r="K16" s="2" t="n">
        <x:f>ROUNDUP($B$5/I16,0)</x:f>
        <x:v>2048</x:v>
      </x:c>
      <x:c r="L16" s="2" t="n">
        <x:f>ROUNDUP($D$5/J16,0)</x:f>
        <x:v>16</x:v>
      </x:c>
      <x:c r="M16" s="2" t="n">
        <x:f>ROUNDUP((ROUNDUP((ROUNDUP(D16*$F$5/32,0)*32+$H$5)/32,0)*32+32)/480,0)*512</x:f>
        <x:v>15360</x:v>
      </x:c>
    </x:row>
    <x:row r="17" ht="25" customHeight="1">
      <x:c r="A17" s="2" t="str">
        <x:v>KimiK3</x:v>
      </x:c>
      <x:c r="B17" s="2" t="n">
        <x:v>256</x:v>
      </x:c>
      <x:c r="C17" s="2" t="n">
        <x:v>92</x:v>
      </x:c>
      <x:c r="D17" s="2" t="n">
        <x:v>7168</x:v>
      </x:c>
      <x:c r="E17" s="2" t="n">
        <x:v>16</x:v>
      </x:c>
      <x:c r="F17" s="2" t="n">
        <x:v>896</x:v>
      </x:c>
      <x:c r="G17" s="2" t="n">
        <x:f>ROUNDUP(F17/B17,0)*B17</x:f>
        <x:v>1024</x:v>
      </x:c>
      <x:c r="H17" s="2" t="n">
        <x:f>G17-F17</x:f>
        <x:v>128</x:v>
      </x:c>
      <x:c r="I17" s="2" t="n">
        <x:v>8</x:v>
      </x:c>
      <x:c r="J17" s="2" t="n">
        <x:v>8</x:v>
      </x:c>
      <x:c r="K17" s="2" t="n">
        <x:f>ROUNDUP($B$5/I17,0)</x:f>
        <x:v>2048</x:v>
      </x:c>
      <x:c r="L17" s="2" t="n">
        <x:f>ROUNDUP($D$5/J17,0)</x:f>
        <x:v>16</x:v>
      </x:c>
      <x:c r="M17" s="2" t="n">
        <x:f>ROUNDUP((ROUNDUP((ROUNDUP(D17*$F$5/32,0)*32+$H$5)/32,0)*32+32)/480,0)*512</x:f>
        <x:v>15360</x:v>
      </x:c>
    </x:row>
    <x:row r="18" ht="25" customHeight="1">
      <x:c r="A18" s="2" t="str">
        <x:v>Qwen3.8 2.4T</x:v>
      </x:c>
      <x:c r="B18" s="2" t="n">
        <x:v>32</x:v>
      </x:c>
      <x:c r="C18" s="2" t="n">
        <x:v>92</x:v>
      </x:c>
      <x:c r="D18" s="2" t="n">
        <x:v>8192</x:v>
      </x:c>
      <x:c r="E18" s="2" t="n">
        <x:v>10</x:v>
      </x:c>
      <x:c r="F18" s="2" t="n">
        <x:v>512</x:v>
      </x:c>
      <x:c r="G18" s="2" t="n">
        <x:f>ROUNDUP(F18/B18,0)*B18</x:f>
        <x:v>512</x:v>
      </x:c>
      <x:c r="H18" s="2" t="n">
        <x:f>G18-F18</x:f>
        <x:v>0</x:v>
      </x:c>
      <x:c r="I18" s="2" t="n">
        <x:v>8</x:v>
      </x:c>
      <x:c r="J18" s="2" t="n">
        <x:v>8</x:v>
      </x:c>
      <x:c r="K18" s="2" t="n">
        <x:f>ROUNDUP($B$5/I18,0)</x:f>
        <x:v>2048</x:v>
      </x:c>
      <x:c r="L18" s="2" t="n">
        <x:f>ROUNDUP($D$5/J18,0)</x:f>
        <x:v>16</x:v>
      </x:c>
      <x:c r="M18" s="2" t="n">
        <x:f>ROUNDUP((ROUNDUP((ROUNDUP(D18*$F$5/32,0)*32+$H$5)/32,0)*32+32)/480,0)*512</x:f>
        <x:v>17920</x:v>
      </x:c>
    </x:row>
    <x:row r="19" ht="25" customHeight="1">
      <x:c r="A19" s="2" t="str">
        <x:v>Qwen3.8 2.4T</x:v>
      </x:c>
      <x:c r="B19" s="2" t="n">
        <x:v>256</x:v>
      </x:c>
      <x:c r="C19" s="2" t="n">
        <x:v>92</x:v>
      </x:c>
      <x:c r="D19" s="2" t="n">
        <x:v>8192</x:v>
      </x:c>
      <x:c r="E19" s="2" t="n">
        <x:v>10</x:v>
      </x:c>
      <x:c r="F19" s="2" t="n">
        <x:v>512</x:v>
      </x:c>
      <x:c r="G19" s="2" t="n">
        <x:f>ROUNDUP(F19/B19,0)*B19</x:f>
        <x:v>512</x:v>
      </x:c>
      <x:c r="H19" s="2" t="n">
        <x:f>G19-F19</x:f>
        <x:v>0</x:v>
      </x:c>
      <x:c r="I19" s="2" t="n">
        <x:v>8</x:v>
      </x:c>
      <x:c r="J19" s="2" t="n">
        <x:v>8</x:v>
      </x:c>
      <x:c r="K19" s="2" t="n">
        <x:f>ROUNDUP($B$5/I19,0)</x:f>
        <x:v>2048</x:v>
      </x:c>
      <x:c r="L19" s="2" t="n">
        <x:f>ROUNDUP($D$5/J19,0)</x:f>
        <x:v>16</x:v>
      </x:c>
      <x:c r="M19" s="2" t="n">
        <x:f>ROUNDUP((ROUNDUP((ROUNDUP(D19*$F$5/32,0)*32+$H$5)/32,0)*32+32)/480,0)*512</x:f>
        <x:v>17920</x:v>
      </x:c>
    </x:row>
    <x:row r="20" ht="25" customHeight="1">
      <x:c r="A20" s="2" t="str">
        <x:v>DS V4.1 Flash</x:v>
      </x:c>
      <x:c r="B20" s="2" t="n">
        <x:v>32</x:v>
      </x:c>
      <x:c r="C20" s="2" t="n">
        <x:v>40</x:v>
      </x:c>
      <x:c r="D20" s="2" t="n">
        <x:v>5120</x:v>
      </x:c>
      <x:c r="E20" s="2" t="n">
        <x:v>6</x:v>
      </x:c>
      <x:c r="F20" s="2" t="n">
        <x:v>384</x:v>
      </x:c>
      <x:c r="G20" s="2" t="n">
        <x:f>ROUNDUP(F20/B20,0)*B20</x:f>
        <x:v>384</x:v>
      </x:c>
      <x:c r="H20" s="2" t="n">
        <x:f>G20-F20</x:f>
        <x:v>0</x:v>
      </x:c>
      <x:c r="I20" s="2" t="n">
        <x:v>8</x:v>
      </x:c>
      <x:c r="J20" s="2" t="n">
        <x:v>1</x:v>
      </x:c>
      <x:c r="K20" s="2" t="n">
        <x:f>ROUNDUP($B$5/I20,0)</x:f>
        <x:v>2048</x:v>
      </x:c>
      <x:c r="L20" s="2" t="n">
        <x:f>ROUNDUP($D$5/J20,0)</x:f>
        <x:v>128</x:v>
      </x:c>
      <x:c r="M20" s="2" t="n">
        <x:f>ROUNDUP((ROUNDUP((ROUNDUP(D20*$F$5/32,0)*32+$H$5)/32,0)*32+32)/480,0)*512</x:f>
        <x:v>11264</x:v>
      </x:c>
    </x:row>
    <x:row r="21" ht="25" customHeight="1">
      <x:c r="A21" s="2" t="str">
        <x:v>DS V4.1 Flash</x:v>
      </x:c>
      <x:c r="B21" s="2" t="n">
        <x:v>256</x:v>
      </x:c>
      <x:c r="C21" s="2" t="n">
        <x:v>40</x:v>
      </x:c>
      <x:c r="D21" s="2" t="n">
        <x:v>5120</x:v>
      </x:c>
      <x:c r="E21" s="2" t="n">
        <x:v>6</x:v>
      </x:c>
      <x:c r="F21" s="2" t="n">
        <x:v>384</x:v>
      </x:c>
      <x:c r="G21" s="2" t="n">
        <x:f>ROUNDUP(F21/B21,0)*B21</x:f>
        <x:v>512</x:v>
      </x:c>
      <x:c r="H21" s="2" t="n">
        <x:f>G21-F21</x:f>
        <x:v>128</x:v>
      </x:c>
      <x:c r="I21" s="2" t="n">
        <x:v>8</x:v>
      </x:c>
      <x:c r="J21" s="2" t="n">
        <x:v>1</x:v>
      </x:c>
      <x:c r="K21" s="2" t="n">
        <x:f>ROUNDUP($B$5/I21,0)</x:f>
        <x:v>2048</x:v>
      </x:c>
      <x:c r="L21" s="2" t="n">
        <x:f>ROUNDUP($D$5/J21,0)</x:f>
        <x:v>128</x:v>
      </x:c>
      <x:c r="M21" s="2" t="n">
        <x:f>ROUNDUP((ROUNDUP((ROUNDUP(D21*$F$5/32,0)*32+$H$5)/32,0)*32+32)/480,0)*512</x:f>
        <x:v>11264</x:v>
      </x:c>
    </x:row>
    <x:row r="22" ht="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</x:row>
    <x:row r="23" ht="40" customHeight="1">
      <x:c r="A23" s="7" t="str">
        <x:v>模型</x:v>
      </x:c>
      <x:c r="B23" s="7" t="str">
        <x:v>EP</x:v>
      </x:c>
      <x:c r="C23" s="7" t="str">
        <x:v>P dispatch GiB</x:v>
      </x:c>
      <x:c r="D23" s="7" t="str">
        <x:v>P combine GiB</x:v>
      </x:c>
      <x:c r="E23" s="7" t="str">
        <x:v>P计数AG GiB</x:v>
      </x:c>
      <x:c r="F23" s="7" t="str">
        <x:v>P合计 GiB</x:v>
      </x:c>
      <x:c r="G23" s="7" t="str">
        <x:v>D dispatch GiB</x:v>
      </x:c>
      <x:c r="H23" s="7" t="str">
        <x:v>D计数 GiB</x:v>
      </x:c>
      <x:c r="I23" s="7" t="str">
        <x:v>D combine GiB</x:v>
      </x:c>
      <x:c r="J23" s="7" t="str">
        <x:v>D flags GiB</x:v>
      </x:c>
      <x:c r="K23" s="7" t="str">
        <x:v>D合计 GiB</x:v>
      </x:c>
      <x:c r="L23" s="7" t="str">
        <x:v>普通分支记录 B</x:v>
      </x:c>
      <x:c r="M23" s="2"/>
    </x:row>
    <x:row r="24" ht="25" customHeight="1">
      <x:c r="A24" s="2" t="str">
        <x:f>A10</x:f>
        <x:v>DS V4 10T</x:v>
      </x:c>
      <x:c r="B24" s="2" t="n">
        <x:f>B10</x:f>
        <x:v>32</x:v>
      </x:c>
      <x:c r="C24" s="12" t="n">
        <x:f>IF(AND($J$5=2,OR(AND($F$5=2,$H$5=0),AND($F$5=1,$H$5=4))),(C10*K10*E10*(B10-1)*(D10*$F$5+$H$5))/2^30,NA())</x:f>
        <x:v>310.2421875</x:v>
      </x:c>
      <x:c r="D24" s="12" t="n">
        <x:f>IF(AND($J$5=2,OR(AND($F$5=2,$H$5=0),AND($F$5=1,$H$5=4))),(C10*K10*E10*(B10-1)*D10*$J$5)/2^30,NA())</x:f>
        <x:v>310.2421875</x:v>
      </x:c>
      <x:c r="E24" s="12" t="n">
        <x:f>IF(AND($J$5=2,OR(AND($F$5=2,$H$5=0),AND($F$5=1,$H$5=4))),(IF(K10=0,0,C10*G10*$L$5*B10*(B10-1)))/2^30,NA())</x:f>
        <x:v>0.0865631103515625</x:v>
      </x:c>
      <x:c r="F24" s="12" t="n">
        <x:f>SUM(C24:E24)</x:f>
        <x:v>620.5709381103516</x:v>
      </x:c>
      <x:c r="G24" s="12" t="n">
        <x:f>IF(AND($J$5=2,OR(AND($F$5=2,$H$5=0),AND($F$5=1,$H$5=4))),(C10*L10*E10*(B10-1)*M10)/2^30,NA())</x:f>
        <x:v>20.775146484375</x:v>
      </x:c>
      <x:c r="H24" s="12" t="n">
        <x:f>IF(AND($J$5=2,OR(AND($F$5=2,$H$5=0),AND($F$5=1,$H$5=4))),(IF(L10=0,0,C10*G10*(B10-1)*32))/2^30,NA())</x:f>
        <x:v>0.021640777587890625</x:v>
      </x:c>
      <x:c r="I24" s="12" t="n">
        <x:f>IF(AND($J$5=2,OR(AND($F$5=2,$H$5=0),AND($F$5=1,$H$5=4))),(C10*L10*E10*(B10-1)*D10*$J$5)/2^30,NA())</x:f>
        <x:v>19.39013671875</x:v>
      </x:c>
      <x:c r="J24" s="12" t="n">
        <x:f>IF(AND($J$5=2,OR(AND($F$5=2,$H$5=0),AND($F$5=1,$H$5=4))),(C10*L10*E10*(B10-1)*32)/2^30,NA())</x:f>
        <x:v>0.04328155517578125</x:v>
      </x:c>
      <x:c r="K24" s="12" t="n">
        <x:f>SUM(G24:J24)</x:f>
        <x:v>40.23020553588867</x:v>
      </x:c>
      <x:c r="L24" s="2" t="n">
        <x:f>ROUNDUP((ROUNDUP(D10*$F$5/32,0)*32+$H$5)/32,0)*32+12</x:f>
        <x:v>14348</x:v>
      </x:c>
      <x:c r="M24" s="2"/>
    </x:row>
    <x:row r="25" ht="25" customHeight="1">
      <x:c r="A25" s="2" t="str">
        <x:f>A11</x:f>
        <x:v>DS V4 10T</x:v>
      </x:c>
      <x:c r="B25" s="2" t="n">
        <x:f>B11</x:f>
        <x:v>256</x:v>
      </x:c>
      <x:c r="C25" s="12" t="n">
        <x:f>IF(AND($J$5=2,OR(AND($F$5=2,$H$5=0),AND($F$5=1,$H$5=4))),(C11*K11*E11*(B11-1)*(D11*$F$5+$H$5))/2^30,NA())</x:f>
        <x:v>2551.9921875</x:v>
      </x:c>
      <x:c r="D25" s="12" t="n">
        <x:f>IF(AND($J$5=2,OR(AND($F$5=2,$H$5=0),AND($F$5=1,$H$5=4))),(C11*K11*E11*(B11-1)*D11*$J$5)/2^30,NA())</x:f>
        <x:v>2551.9921875</x:v>
      </x:c>
      <x:c r="E25" s="12" t="n">
        <x:f>IF(AND($J$5=2,OR(AND($F$5=2,$H$5=0),AND($F$5=1,$H$5=4))),(IF(K11=0,0,C11*G11*$L$5*B11*(B11-1)))/2^30,NA())</x:f>
        <x:v>7.59521484375</x:v>
      </x:c>
      <x:c r="F25" s="12" t="n">
        <x:f>SUM(C25:E25)</x:f>
        <x:v>5111.57958984375</x:v>
      </x:c>
      <x:c r="G25" s="12" t="n">
        <x:f>IF(AND($J$5=2,OR(AND($F$5=2,$H$5=0),AND($F$5=1,$H$5=4))),(C11*L11*E11*(B11-1)*M11)/2^30,NA())</x:f>
        <x:v>170.892333984375</x:v>
      </x:c>
      <x:c r="H25" s="12" t="n">
        <x:f>IF(AND($J$5=2,OR(AND($F$5=2,$H$5=0),AND($F$5=1,$H$5=4))),(IF(L11=0,0,C11*G11*(B11-1)*32))/2^30,NA())</x:f>
        <x:v>0.2373504638671875</x:v>
      </x:c>
      <x:c r="I25" s="12" t="n">
        <x:f>IF(AND($J$5=2,OR(AND($F$5=2,$H$5=0),AND($F$5=1,$H$5=4))),(C11*L11*E11*(B11-1)*D11*$J$5)/2^30,NA())</x:f>
        <x:v>159.49951171875</x:v>
      </x:c>
      <x:c r="J25" s="12" t="n">
        <x:f>IF(AND($J$5=2,OR(AND($F$5=2,$H$5=0),AND($F$5=1,$H$5=4))),(C11*L11*E11*(B11-1)*32)/2^30,NA())</x:f>
        <x:v>0.35602569580078125</x:v>
      </x:c>
      <x:c r="K25" s="12" t="n">
        <x:f>SUM(G25:J25)</x:f>
        <x:v>330.98522186279297</x:v>
      </x:c>
      <x:c r="L25" s="2" t="n">
        <x:f>ROUNDUP((ROUNDUP(D11*$F$5/32,0)*32+$H$5)/32,0)*32+12</x:f>
        <x:v>14348</x:v>
      </x:c>
      <x:c r="M25" s="2"/>
    </x:row>
    <x:row r="26" ht="25" customHeight="1">
      <x:c r="A26" s="2" t="str">
        <x:f>A12</x:f>
        <x:v>DS V4 Pro</x:v>
      </x:c>
      <x:c r="B26" s="2" t="n">
        <x:f>B12</x:f>
        <x:v>32</x:v>
      </x:c>
      <x:c r="C26" s="12" t="n">
        <x:f>IF(AND($J$5=2,OR(AND($F$5=2,$H$5=0),AND($F$5=1,$H$5=4))),(C12*K12*E12*(B12-1)*(D12*$F$5+$H$5))/2^30,NA())</x:f>
        <x:v>310.2421875</x:v>
      </x:c>
      <x:c r="D26" s="12" t="n">
        <x:f>IF(AND($J$5=2,OR(AND($F$5=2,$H$5=0),AND($F$5=1,$H$5=4))),(C12*K12*E12*(B12-1)*D12*$J$5)/2^30,NA())</x:f>
        <x:v>310.2421875</x:v>
      </x:c>
      <x:c r="E26" s="12" t="n">
        <x:f>IF(AND($J$5=2,OR(AND($F$5=2,$H$5=0),AND($F$5=1,$H$5=4))),(IF(K12=0,0,C12*G12*$L$5*B12*(B12-1)))/2^30,NA())</x:f>
        <x:v>0.0865631103515625</x:v>
      </x:c>
      <x:c r="F26" s="12" t="n">
        <x:f>SUM(C26:E26)</x:f>
        <x:v>620.5709381103516</x:v>
      </x:c>
      <x:c r="G26" s="12" t="n">
        <x:f>IF(AND($J$5=2,OR(AND($F$5=2,$H$5=0),AND($F$5=1,$H$5=4))),(C12*L12*E12*(B12-1)*M12)/2^30,NA())</x:f>
        <x:v>20.775146484375</x:v>
      </x:c>
      <x:c r="H26" s="12" t="n">
        <x:f>IF(AND($J$5=2,OR(AND($F$5=2,$H$5=0),AND($F$5=1,$H$5=4))),(IF(L12=0,0,C12*G12*(B12-1)*32))/2^30,NA())</x:f>
        <x:v>0.021640777587890625</x:v>
      </x:c>
      <x:c r="I26" s="12" t="n">
        <x:f>IF(AND($J$5=2,OR(AND($F$5=2,$H$5=0),AND($F$5=1,$H$5=4))),(C12*L12*E12*(B12-1)*D12*$J$5)/2^30,NA())</x:f>
        <x:v>19.39013671875</x:v>
      </x:c>
      <x:c r="J26" s="12" t="n">
        <x:f>IF(AND($J$5=2,OR(AND($F$5=2,$H$5=0),AND($F$5=1,$H$5=4))),(C12*L12*E12*(B12-1)*32)/2^30,NA())</x:f>
        <x:v>0.04328155517578125</x:v>
      </x:c>
      <x:c r="K26" s="12" t="n">
        <x:f>SUM(G26:J26)</x:f>
        <x:v>40.23020553588867</x:v>
      </x:c>
      <x:c r="L26" s="2" t="n">
        <x:f>ROUNDUP((ROUNDUP(D12*$F$5/32,0)*32+$H$5)/32,0)*32+12</x:f>
        <x:v>14348</x:v>
      </x:c>
      <x:c r="M26" s="2"/>
    </x:row>
    <x:row r="27" ht="25" customHeight="1">
      <x:c r="A27" s="2" t="str">
        <x:f>A13</x:f>
        <x:v>DS V4 Pro</x:v>
      </x:c>
      <x:c r="B27" s="2" t="n">
        <x:f>B13</x:f>
        <x:v>256</x:v>
      </x:c>
      <x:c r="C27" s="12" t="n">
        <x:f>IF(AND($J$5=2,OR(AND($F$5=2,$H$5=0),AND($F$5=1,$H$5=4))),(C13*K13*E13*(B13-1)*(D13*$F$5+$H$5))/2^30,NA())</x:f>
        <x:v>2551.9921875</x:v>
      </x:c>
      <x:c r="D27" s="12" t="n">
        <x:f>IF(AND($J$5=2,OR(AND($F$5=2,$H$5=0),AND($F$5=1,$H$5=4))),(C13*K13*E13*(B13-1)*D13*$J$5)/2^30,NA())</x:f>
        <x:v>2551.9921875</x:v>
      </x:c>
      <x:c r="E27" s="12" t="n">
        <x:f>IF(AND($J$5=2,OR(AND($F$5=2,$H$5=0),AND($F$5=1,$H$5=4))),(IF(K13=0,0,C13*G13*$L$5*B13*(B13-1)))/2^30,NA())</x:f>
        <x:v>7.59521484375</x:v>
      </x:c>
      <x:c r="F27" s="12" t="n">
        <x:f>SUM(C27:E27)</x:f>
        <x:v>5111.57958984375</x:v>
      </x:c>
      <x:c r="G27" s="12" t="n">
        <x:f>IF(AND($J$5=2,OR(AND($F$5=2,$H$5=0),AND($F$5=1,$H$5=4))),(C13*L13*E13*(B13-1)*M13)/2^30,NA())</x:f>
        <x:v>170.892333984375</x:v>
      </x:c>
      <x:c r="H27" s="12" t="n">
        <x:f>IF(AND($J$5=2,OR(AND($F$5=2,$H$5=0),AND($F$5=1,$H$5=4))),(IF(L13=0,0,C13*G13*(B13-1)*32))/2^30,NA())</x:f>
        <x:v>0.2373504638671875</x:v>
      </x:c>
      <x:c r="I27" s="12" t="n">
        <x:f>IF(AND($J$5=2,OR(AND($F$5=2,$H$5=0),AND($F$5=1,$H$5=4))),(C13*L13*E13*(B13-1)*D13*$J$5)/2^30,NA())</x:f>
        <x:v>159.49951171875</x:v>
      </x:c>
      <x:c r="J27" s="12" t="n">
        <x:f>IF(AND($J$5=2,OR(AND($F$5=2,$H$5=0),AND($F$5=1,$H$5=4))),(C13*L13*E13*(B13-1)*32)/2^30,NA())</x:f>
        <x:v>0.35602569580078125</x:v>
      </x:c>
      <x:c r="K27" s="12" t="n">
        <x:f>SUM(G27:J27)</x:f>
        <x:v>330.98522186279297</x:v>
      </x:c>
      <x:c r="L27" s="2" t="n">
        <x:f>ROUNDUP((ROUNDUP(D13*$F$5/32,0)*32+$H$5)/32,0)*32+12</x:f>
        <x:v>14348</x:v>
      </x:c>
      <x:c r="M27" s="2"/>
    </x:row>
    <x:row r="28" ht="25" customHeight="1">
      <x:c r="A28" s="2" t="str">
        <x:f>A14</x:f>
        <x:v>GLM5.3</x:v>
      </x:c>
      <x:c r="B28" s="2" t="n">
        <x:f>B14</x:f>
        <x:v>32</x:v>
      </x:c>
      <x:c r="C28" s="12" t="n">
        <x:f>IF(AND($J$5=2,OR(AND($F$5=2,$H$5=0),AND($F$5=1,$H$5=4))),(C14*K14*E14*(B14-1)*(D14*$F$5+$H$5))/2^30,NA())</x:f>
        <x:v>435.9375</x:v>
      </x:c>
      <x:c r="D28" s="12" t="n">
        <x:f>IF(AND($J$5=2,OR(AND($F$5=2,$H$5=0),AND($F$5=1,$H$5=4))),(C14*K14*E14*(B14-1)*D14*$J$5)/2^30,NA())</x:f>
        <x:v>435.9375</x:v>
      </x:c>
      <x:c r="E28" s="12" t="n">
        <x:f>IF(AND($J$5=2,OR(AND($F$5=2,$H$5=0),AND($F$5=1,$H$5=4))),(IF(K14=0,0,C14*G14*$L$5*B14*(B14-1)))/2^30,NA())</x:f>
        <x:v>0.070953369140625</x:v>
      </x:c>
      <x:c r="F28" s="12" t="n">
        <x:f>SUM(C28:E28)</x:f>
        <x:v>871.9459533691406</x:v>
      </x:c>
      <x:c r="G28" s="12" t="n">
        <x:f>IF(AND($J$5=2,OR(AND($F$5=2,$H$5=0),AND($F$5=1,$H$5=4))),(C14*L14*E14*(B14-1)*M14)/2^30,NA())</x:f>
        <x:v>29.5166015625</x:v>
      </x:c>
      <x:c r="H28" s="12" t="n">
        <x:f>IF(AND($J$5=2,OR(AND($F$5=2,$H$5=0),AND($F$5=1,$H$5=4))),(IF(L14=0,0,C14*G14*(B14-1)*32))/2^30,NA())</x:f>
        <x:v>0.01773834228515625</x:v>
      </x:c>
      <x:c r="I28" s="12" t="n">
        <x:f>IF(AND($J$5=2,OR(AND($F$5=2,$H$5=0),AND($F$5=1,$H$5=4))),(C14*L14*E14*(B14-1)*D14*$J$5)/2^30,NA())</x:f>
        <x:v>27.24609375</x:v>
      </x:c>
      <x:c r="J28" s="12" t="n">
        <x:f>IF(AND($J$5=2,OR(AND($F$5=2,$H$5=0),AND($F$5=1,$H$5=4))),(C14*L14*E14*(B14-1)*32)/2^30,NA())</x:f>
        <x:v>0.070953369140625</x:v>
      </x:c>
      <x:c r="K28" s="12" t="n">
        <x:f>SUM(G28:J28)</x:f>
        <x:v>56.85138702392578</x:v>
      </x:c>
      <x:c r="L28" s="2" t="n">
        <x:f>ROUNDUP((ROUNDUP(D14*$F$5/32,0)*32+$H$5)/32,0)*32+12</x:f>
        <x:v>12300</x:v>
      </x:c>
      <x:c r="M28" s="2"/>
    </x:row>
    <x:row r="29" ht="25" customHeight="1">
      <x:c r="A29" s="2" t="str">
        <x:f>A15</x:f>
        <x:v>GLM5.3</x:v>
      </x:c>
      <x:c r="B29" s="2" t="n">
        <x:f>B15</x:f>
        <x:v>256</x:v>
      </x:c>
      <x:c r="C29" s="12" t="n">
        <x:f>IF(AND($J$5=2,OR(AND($F$5=2,$H$5=0),AND($F$5=1,$H$5=4))),(C15*K15*E15*(B15-1)*(D15*$F$5+$H$5))/2^30,NA())</x:f>
        <x:v>3585.9375</x:v>
      </x:c>
      <x:c r="D29" s="12" t="n">
        <x:f>IF(AND($J$5=2,OR(AND($F$5=2,$H$5=0),AND($F$5=1,$H$5=4))),(C15*K15*E15*(B15-1)*D15*$J$5)/2^30,NA())</x:f>
        <x:v>3585.9375</x:v>
      </x:c>
      <x:c r="E29" s="12" t="n">
        <x:f>IF(AND($J$5=2,OR(AND($F$5=2,$H$5=0),AND($F$5=1,$H$5=4))),(IF(K15=0,0,C15*G15*$L$5*B15*(B15-1)))/2^30,NA())</x:f>
        <x:v>4.669189453125</x:v>
      </x:c>
      <x:c r="F29" s="12" t="n">
        <x:f>SUM(C29:E29)</x:f>
        <x:v>7176.544189453125</x:v>
      </x:c>
      <x:c r="G29" s="12" t="n">
        <x:f>IF(AND($J$5=2,OR(AND($F$5=2,$H$5=0),AND($F$5=1,$H$5=4))),(C15*L15*E15*(B15-1)*M15)/2^30,NA())</x:f>
        <x:v>242.7978515625</x:v>
      </x:c>
      <x:c r="H29" s="12" t="n">
        <x:f>IF(AND($J$5=2,OR(AND($F$5=2,$H$5=0),AND($F$5=1,$H$5=4))),(IF(L15=0,0,C15*G15*(B15-1)*32))/2^30,NA())</x:f>
        <x:v>0.14591217041015625</x:v>
      </x:c>
      <x:c r="I29" s="12" t="n">
        <x:f>IF(AND($J$5=2,OR(AND($F$5=2,$H$5=0),AND($F$5=1,$H$5=4))),(C15*L15*E15*(B15-1)*D15*$J$5)/2^30,NA())</x:f>
        <x:v>224.12109375</x:v>
      </x:c>
      <x:c r="J29" s="12" t="n">
        <x:f>IF(AND($J$5=2,OR(AND($F$5=2,$H$5=0),AND($F$5=1,$H$5=4))),(C15*L15*E15*(B15-1)*32)/2^30,NA())</x:f>
        <x:v>0.583648681640625</x:v>
      </x:c>
      <x:c r="K29" s="12" t="n">
        <x:f>SUM(G29:J29)</x:f>
        <x:v>467.6485061645508</x:v>
      </x:c>
      <x:c r="L29" s="2" t="n">
        <x:f>ROUNDUP((ROUNDUP(D15*$F$5/32,0)*32+$H$5)/32,0)*32+12</x:f>
        <x:v>12300</x:v>
      </x:c>
      <x:c r="M29" s="2"/>
    </x:row>
    <x:row r="30" ht="25" customHeight="1">
      <x:c r="A30" s="2" t="str">
        <x:f>A16</x:f>
        <x:v>KimiK3</x:v>
      </x:c>
      <x:c r="B30" s="2" t="n">
        <x:f>B16</x:f>
        <x:v>32</x:v>
      </x:c>
      <x:c r="C30" s="12" t="n">
        <x:f>IF(AND($J$5=2,OR(AND($F$5=2,$H$5=0),AND($F$5=1,$H$5=4))),(C16*K16*E16*(B16-1)*(D16*$F$5+$H$5))/2^30,NA())</x:f>
        <x:v>1247.75</x:v>
      </x:c>
      <x:c r="D30" s="12" t="n">
        <x:f>IF(AND($J$5=2,OR(AND($F$5=2,$H$5=0),AND($F$5=1,$H$5=4))),(C16*K16*E16*(B16-1)*D16*$J$5)/2^30,NA())</x:f>
        <x:v>1247.75</x:v>
      </x:c>
      <x:c r="E30" s="12" t="n">
        <x:f>IF(AND($J$5=2,OR(AND($F$5=2,$H$5=0),AND($F$5=1,$H$5=4))),(IF(K16=0,0,C16*G16*$L$5*B16*(B16-1)))/2^30,NA())</x:f>
        <x:v>0.30462646484375</x:v>
      </x:c>
      <x:c r="F30" s="12" t="n">
        <x:f>SUM(C30:E30)</x:f>
        <x:v>2495.8046264648438</x:v>
      </x:c>
      <x:c r="G30" s="12" t="n">
        <x:f>IF(AND($J$5=2,OR(AND($F$5=2,$H$5=0),AND($F$5=1,$H$5=4))),(C16*L16*E16*(B16-1)*M16)/2^30,NA())</x:f>
        <x:v>10.4443359375</x:v>
      </x:c>
      <x:c r="H30" s="12" t="n">
        <x:f>IF(AND($J$5=2,OR(AND($F$5=2,$H$5=0),AND($F$5=1,$H$5=4))),(IF(L16=0,0,C16*G16*(B16-1)*32))/2^30,NA())</x:f>
        <x:v>0.0761566162109375</x:v>
      </x:c>
      <x:c r="I30" s="12" t="n">
        <x:f>IF(AND($J$5=2,OR(AND($F$5=2,$H$5=0),AND($F$5=1,$H$5=4))),(C16*L16*E16*(B16-1)*D16*$J$5)/2^30,NA())</x:f>
        <x:v>9.748046875</x:v>
      </x:c>
      <x:c r="J30" s="12" t="n">
        <x:f>IF(AND($J$5=2,OR(AND($F$5=2,$H$5=0),AND($F$5=1,$H$5=4))),(C16*L16*E16*(B16-1)*32)/2^30,NA())</x:f>
        <x:v>0.021759033203125</x:v>
      </x:c>
      <x:c r="K30" s="12" t="n">
        <x:f>SUM(G30:J30)</x:f>
        <x:v>20.290298461914062</x:v>
      </x:c>
      <x:c r="L30" s="2" t="n">
        <x:f>ROUNDUP((ROUNDUP(D16*$F$5/32,0)*32+$H$5)/32,0)*32+12</x:f>
        <x:v>14348</x:v>
      </x:c>
      <x:c r="M30" s="2"/>
    </x:row>
    <x:row r="31" ht="25" customHeight="1">
      <x:c r="A31" s="2" t="str">
        <x:f>A17</x:f>
        <x:v>KimiK3</x:v>
      </x:c>
      <x:c r="B31" s="2" t="n">
        <x:f>B17</x:f>
        <x:v>256</x:v>
      </x:c>
      <x:c r="C31" s="12" t="n">
        <x:f>IF(AND($J$5=2,OR(AND($F$5=2,$H$5=0),AND($F$5=1,$H$5=4))),(C17*K17*E17*(B17-1)*(D17*$F$5+$H$5))/2^30,NA())</x:f>
        <x:v>10263.75</x:v>
      </x:c>
      <x:c r="D31" s="12" t="n">
        <x:f>IF(AND($J$5=2,OR(AND($F$5=2,$H$5=0),AND($F$5=1,$H$5=4))),(C17*K17*E17*(B17-1)*D17*$J$5)/2^30,NA())</x:f>
        <x:v>10263.75</x:v>
      </x:c>
      <x:c r="E31" s="12" t="n">
        <x:f>IF(AND($J$5=2,OR(AND($F$5=2,$H$5=0),AND($F$5=1,$H$5=4))),(IF(K17=0,0,C17*G17*$L$5*B17*(B17-1)))/2^30,NA())</x:f>
        <x:v>22.91015625</x:v>
      </x:c>
      <x:c r="F31" s="12" t="n">
        <x:f>SUM(C31:E31)</x:f>
        <x:v>20550.41015625</x:v>
      </x:c>
      <x:c r="G31" s="12" t="n">
        <x:f>IF(AND($J$5=2,OR(AND($F$5=2,$H$5=0),AND($F$5=1,$H$5=4))),(C17*L17*E17*(B17-1)*M17)/2^30,NA())</x:f>
        <x:v>85.9130859375</x:v>
      </x:c>
      <x:c r="H31" s="12" t="n">
        <x:f>IF(AND($J$5=2,OR(AND($F$5=2,$H$5=0),AND($F$5=1,$H$5=4))),(IF(L17=0,0,C17*G17*(B17-1)*32))/2^30,NA())</x:f>
        <x:v>0.7159423828125</x:v>
      </x:c>
      <x:c r="I31" s="12" t="n">
        <x:f>IF(AND($J$5=2,OR(AND($F$5=2,$H$5=0),AND($F$5=1,$H$5=4))),(C17*L17*E17*(B17-1)*D17*$J$5)/2^30,NA())</x:f>
        <x:v>80.185546875</x:v>
      </x:c>
      <x:c r="J31" s="12" t="n">
        <x:f>IF(AND($J$5=2,OR(AND($F$5=2,$H$5=0),AND($F$5=1,$H$5=4))),(C17*L17*E17*(B17-1)*32)/2^30,NA())</x:f>
        <x:v>0.178985595703125</x:v>
      </x:c>
      <x:c r="K31" s="12" t="n">
        <x:f>SUM(G31:J31)</x:f>
        <x:v>166.99356079101562</x:v>
      </x:c>
      <x:c r="L31" s="2" t="n">
        <x:f>ROUNDUP((ROUNDUP(D17*$F$5/32,0)*32+$H$5)/32,0)*32+12</x:f>
        <x:v>14348</x:v>
      </x:c>
      <x:c r="M31" s="2"/>
    </x:row>
    <x:row r="32" ht="25" customHeight="1">
      <x:c r="A32" s="2" t="str">
        <x:f>A18</x:f>
        <x:v>Qwen3.8 2.4T</x:v>
      </x:c>
      <x:c r="B32" s="2" t="n">
        <x:f>B18</x:f>
        <x:v>32</x:v>
      </x:c>
      <x:c r="C32" s="12" t="n">
        <x:f>IF(AND($J$5=2,OR(AND($F$5=2,$H$5=0),AND($F$5=1,$H$5=4))),(C18*K18*E18*(B18-1)*(D18*$F$5+$H$5))/2^30,NA())</x:f>
        <x:v>891.25</x:v>
      </x:c>
      <x:c r="D32" s="12" t="n">
        <x:f>IF(AND($J$5=2,OR(AND($F$5=2,$H$5=0),AND($F$5=1,$H$5=4))),(C18*K18*E18*(B18-1)*D18*$J$5)/2^30,NA())</x:f>
        <x:v>891.25</x:v>
      </x:c>
      <x:c r="E32" s="12" t="n">
        <x:f>IF(AND($J$5=2,OR(AND($F$5=2,$H$5=0),AND($F$5=1,$H$5=4))),(IF(K18=0,0,C18*G18*$L$5*B18*(B18-1)))/2^30,NA())</x:f>
        <x:v>0.174072265625</x:v>
      </x:c>
      <x:c r="F32" s="12" t="n">
        <x:f>SUM(C32:E32)</x:f>
        <x:v>1782.674072265625</x:v>
      </x:c>
      <x:c r="G32" s="12" t="n">
        <x:f>IF(AND($J$5=2,OR(AND($F$5=2,$H$5=0),AND($F$5=1,$H$5=4))),(C18*L18*E18*(B18-1)*M18)/2^30,NA())</x:f>
        <x:v>7.61566162109375</x:v>
      </x:c>
      <x:c r="H32" s="12" t="n">
        <x:f>IF(AND($J$5=2,OR(AND($F$5=2,$H$5=0),AND($F$5=1,$H$5=4))),(IF(L18=0,0,C18*G18*(B18-1)*32))/2^30,NA())</x:f>
        <x:v>0.04351806640625</x:v>
      </x:c>
      <x:c r="I32" s="12" t="n">
        <x:f>IF(AND($J$5=2,OR(AND($F$5=2,$H$5=0),AND($F$5=1,$H$5=4))),(C18*L18*E18*(B18-1)*D18*$J$5)/2^30,NA())</x:f>
        <x:v>6.962890625</x:v>
      </x:c>
      <x:c r="J32" s="12" t="n">
        <x:f>IF(AND($J$5=2,OR(AND($F$5=2,$H$5=0),AND($F$5=1,$H$5=4))),(C18*L18*E18*(B18-1)*32)/2^30,NA())</x:f>
        <x:v>0.013599395751953125</x:v>
      </x:c>
      <x:c r="K32" s="12" t="n">
        <x:f>SUM(G32:J32)</x:f>
        <x:v>14.635669708251953</x:v>
      </x:c>
      <x:c r="L32" s="2" t="n">
        <x:f>ROUNDUP((ROUNDUP(D18*$F$5/32,0)*32+$H$5)/32,0)*32+12</x:f>
        <x:v>16396</x:v>
      </x:c>
      <x:c r="M32" s="2"/>
    </x:row>
    <x:row r="33" ht="25" customHeight="1">
      <x:c r="A33" s="2" t="str">
        <x:f>A19</x:f>
        <x:v>Qwen3.8 2.4T</x:v>
      </x:c>
      <x:c r="B33" s="2" t="n">
        <x:f>B19</x:f>
        <x:v>256</x:v>
      </x:c>
      <x:c r="C33" s="12" t="n">
        <x:f>IF(AND($J$5=2,OR(AND($F$5=2,$H$5=0),AND($F$5=1,$H$5=4))),(C19*K19*E19*(B19-1)*(D19*$F$5+$H$5))/2^30,NA())</x:f>
        <x:v>7331.25</x:v>
      </x:c>
      <x:c r="D33" s="12" t="n">
        <x:f>IF(AND($J$5=2,OR(AND($F$5=2,$H$5=0),AND($F$5=1,$H$5=4))),(C19*K19*E19*(B19-1)*D19*$J$5)/2^30,NA())</x:f>
        <x:v>7331.25</x:v>
      </x:c>
      <x:c r="E33" s="12" t="n">
        <x:f>IF(AND($J$5=2,OR(AND($F$5=2,$H$5=0),AND($F$5=1,$H$5=4))),(IF(K19=0,0,C19*G19*$L$5*B19*(B19-1)))/2^30,NA())</x:f>
        <x:v>11.455078125</x:v>
      </x:c>
      <x:c r="F33" s="12" t="n">
        <x:f>SUM(C33:E33)</x:f>
        <x:v>14673.955078125</x:v>
      </x:c>
      <x:c r="G33" s="12" t="n">
        <x:f>IF(AND($J$5=2,OR(AND($F$5=2,$H$5=0),AND($F$5=1,$H$5=4))),(C19*L19*E19*(B19-1)*M19)/2^30,NA())</x:f>
        <x:v>62.64495849609375</x:v>
      </x:c>
      <x:c r="H33" s="12" t="n">
        <x:f>IF(AND($J$5=2,OR(AND($F$5=2,$H$5=0),AND($F$5=1,$H$5=4))),(IF(L19=0,0,C19*G19*(B19-1)*32))/2^30,NA())</x:f>
        <x:v>0.35797119140625</x:v>
      </x:c>
      <x:c r="I33" s="12" t="n">
        <x:f>IF(AND($J$5=2,OR(AND($F$5=2,$H$5=0),AND($F$5=1,$H$5=4))),(C19*L19*E19*(B19-1)*D19*$J$5)/2^30,NA())</x:f>
        <x:v>57.275390625</x:v>
      </x:c>
      <x:c r="J33" s="12" t="n">
        <x:f>IF(AND($J$5=2,OR(AND($F$5=2,$H$5=0),AND($F$5=1,$H$5=4))),(C19*L19*E19*(B19-1)*32)/2^30,NA())</x:f>
        <x:v>0.11186599731445312</x:v>
      </x:c>
      <x:c r="K33" s="12" t="n">
        <x:f>SUM(G33:J33)</x:f>
        <x:v>120.39018630981445</x:v>
      </x:c>
      <x:c r="L33" s="2" t="n">
        <x:f>ROUNDUP((ROUNDUP(D19*$F$5/32,0)*32+$H$5)/32,0)*32+12</x:f>
        <x:v>16396</x:v>
      </x:c>
      <x:c r="M33" s="2"/>
    </x:row>
    <x:row r="34" ht="25" customHeight="1">
      <x:c r="A34" s="2" t="str">
        <x:f>A20</x:f>
        <x:v>DS V4.1 Flash</x:v>
      </x:c>
      <x:c r="B34" s="2" t="n">
        <x:f>B20</x:f>
        <x:v>32</x:v>
      </x:c>
      <x:c r="C34" s="12" t="n">
        <x:f>IF(AND($J$5=2,OR(AND($F$5=2,$H$5=0),AND($F$5=1,$H$5=4))),(C20*K20*E20*(B20-1)*(D20*$F$5+$H$5))/2^30,NA())</x:f>
        <x:v>145.3125</x:v>
      </x:c>
      <x:c r="D34" s="12" t="n">
        <x:f>IF(AND($J$5=2,OR(AND($F$5=2,$H$5=0),AND($F$5=1,$H$5=4))),(C20*K20*E20*(B20-1)*D20*$J$5)/2^30,NA())</x:f>
        <x:v>145.3125</x:v>
      </x:c>
      <x:c r="E34" s="12" t="n">
        <x:f>IF(AND($J$5=2,OR(AND($F$5=2,$H$5=0),AND($F$5=1,$H$5=4))),(IF(K20=0,0,C20*G20*$L$5*B20*(B20-1)))/2^30,NA())</x:f>
        <x:v>0.0567626953125</x:v>
      </x:c>
      <x:c r="F34" s="12" t="n">
        <x:f>SUM(C34:E34)</x:f>
        <x:v>290.6817626953125</x:v>
      </x:c>
      <x:c r="G34" s="12" t="n">
        <x:f>IF(AND($J$5=2,OR(AND($F$5=2,$H$5=0),AND($F$5=1,$H$5=4))),(C20*L20*E20*(B20-1)*M20)/2^30,NA())</x:f>
        <x:v>9.990234375</x:v>
      </x:c>
      <x:c r="H34" s="12" t="n">
        <x:f>IF(AND($J$5=2,OR(AND($F$5=2,$H$5=0),AND($F$5=1,$H$5=4))),(IF(L20=0,0,C20*G20*(B20-1)*32))/2^30,NA())</x:f>
        <x:v>0.014190673828125</x:v>
      </x:c>
      <x:c r="I34" s="12" t="n">
        <x:f>IF(AND($J$5=2,OR(AND($F$5=2,$H$5=0),AND($F$5=1,$H$5=4))),(C20*L20*E20*(B20-1)*D20*$J$5)/2^30,NA())</x:f>
        <x:v>9.08203125</x:v>
      </x:c>
      <x:c r="J34" s="12" t="n">
        <x:f>IF(AND($J$5=2,OR(AND($F$5=2,$H$5=0),AND($F$5=1,$H$5=4))),(C20*L20*E20*(B20-1)*32)/2^30,NA())</x:f>
        <x:v>0.02838134765625</x:v>
      </x:c>
      <x:c r="K34" s="12" t="n">
        <x:f>SUM(G34:J34)</x:f>
        <x:v>19.114837646484375</x:v>
      </x:c>
      <x:c r="L34" s="2" t="n">
        <x:f>ROUNDUP((ROUNDUP(D20*$F$5/32,0)*32+$H$5)/32,0)*32+12</x:f>
        <x:v>10252</x:v>
      </x:c>
      <x:c r="M34" s="2"/>
    </x:row>
    <x:row r="35" ht="25" customHeight="1">
      <x:c r="A35" s="2" t="str">
        <x:f>A21</x:f>
        <x:v>DS V4.1 Flash</x:v>
      </x:c>
      <x:c r="B35" s="2" t="n">
        <x:f>B21</x:f>
        <x:v>256</x:v>
      </x:c>
      <x:c r="C35" s="12" t="n">
        <x:f>IF(AND($J$5=2,OR(AND($F$5=2,$H$5=0),AND($F$5=1,$H$5=4))),(C21*K21*E21*(B21-1)*(D21*$F$5+$H$5))/2^30,NA())</x:f>
        <x:v>1195.3125</x:v>
      </x:c>
      <x:c r="D35" s="12" t="n">
        <x:f>IF(AND($J$5=2,OR(AND($F$5=2,$H$5=0),AND($F$5=1,$H$5=4))),(C21*K21*E21*(B21-1)*D21*$J$5)/2^30,NA())</x:f>
        <x:v>1195.3125</x:v>
      </x:c>
      <x:c r="E35" s="12" t="n">
        <x:f>IF(AND($J$5=2,OR(AND($F$5=2,$H$5=0),AND($F$5=1,$H$5=4))),(IF(K21=0,0,C21*G21*$L$5*B21*(B21-1)))/2^30,NA())</x:f>
        <x:v>4.98046875</x:v>
      </x:c>
      <x:c r="F35" s="12" t="n">
        <x:f>SUM(C35:E35)</x:f>
        <x:v>2395.60546875</x:v>
      </x:c>
      <x:c r="G35" s="12" t="n">
        <x:f>IF(AND($J$5=2,OR(AND($F$5=2,$H$5=0),AND($F$5=1,$H$5=4))),(C21*L21*E21*(B21-1)*M21)/2^30,NA())</x:f>
        <x:v>82.177734375</x:v>
      </x:c>
      <x:c r="H35" s="12" t="n">
        <x:f>IF(AND($J$5=2,OR(AND($F$5=2,$H$5=0),AND($F$5=1,$H$5=4))),(IF(L21=0,0,C21*G21*(B21-1)*32))/2^30,NA())</x:f>
        <x:v>0.1556396484375</x:v>
      </x:c>
      <x:c r="I35" s="12" t="n">
        <x:f>IF(AND($J$5=2,OR(AND($F$5=2,$H$5=0),AND($F$5=1,$H$5=4))),(C21*L21*E21*(B21-1)*D21*$J$5)/2^30,NA())</x:f>
        <x:v>74.70703125</x:v>
      </x:c>
      <x:c r="J35" s="12" t="n">
        <x:f>IF(AND($J$5=2,OR(AND($F$5=2,$H$5=0),AND($F$5=1,$H$5=4))),(C21*L21*E21*(B21-1)*32)/2^30,NA())</x:f>
        <x:v>0.23345947265625</x:v>
      </x:c>
      <x:c r="K35" s="12" t="n">
        <x:f>SUM(G35:J35)</x:f>
        <x:v>157.27386474609375</x:v>
      </x:c>
      <x:c r="L35" s="2" t="n">
        <x:f>ROUNDUP((ROUNDUP(D21*$F$5/32,0)*32+$H$5)/32,0)*32+12</x:f>
        <x:v>10252</x:v>
      </x:c>
      <x:c r="M35" s="2"/>
    </x:row>
    <x:row r="36" ht="25" customHeight="1">
      <x:c r="A36" s="2" t="str">
        <x:v>P 计数交换：histogram dtype 先设 4 B，Ring 为显式算法假设；采集实际 dtype/count 后可替换。</x:v>
      </x:c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25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25" customHeight="1">
      <x:c r="A38" s="2" t="str">
        <x:v>D dispatch = ceil((align32(align32(H×dtype)+scale)+32)/480)×512 B / 路由实例。</x:v>
      </x:c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5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5" customHeight="1">
      <x:c r="A40" s="2" t="str">
        <x:v>D combine 发送 H×2 B + 32 B 标志 / 实例；专家计数 32 B / 源 Rank / 远端专家。</x:v>
      </x:c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5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5" customHeight="1">
      <x:c r="A42" s="2" t="str">
        <x:v>普通 dispatch 分支在 L 列单列其 record；主表固定 FullMesh，不把 512 B 地址步长当发送长度。</x:v>
      </x:c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25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25" customHeight="1">
      <x:c r="A44" s="2" t="str">
        <x:v>来源：HCCL 170ddeec + ops-transformer f48a9346；只是所选分支的端点写量，非物理链路总量。</x:v>
      </x:c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</x:row>
    <x:row r="45" ht="25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</x:row>
    <x:row r="46" ht="25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</x:row>
    <x:row r="47" ht="25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</x:row>
    <x:row r="48" ht="25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</x:row>
    <x:row r="49" ht="25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</x:row>
    <x:row r="50" ht="25" customHeight="1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</x:row>
    <x:row r="51" ht="25" customHeight="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</x:row>
    <x:row r="52" ht="25" customHeight="1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</x:row>
    <x:row r="53" ht="25" customHeight="1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</x:row>
    <x:row r="54" ht="25" customHeight="1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</x:row>
    <x:row r="55" ht="25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25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25" customHeight="1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25" customHeight="1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25" customHeight="1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25" customHeight="1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25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5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5" customHeight="1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5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5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</x:sheetData>
  <x:conditionalFormatting sqref="B7:B7">
    <x:cfRule type="containsText" dxfId="0" priority="1" operator="containsText" text="INVALID"/>
  </x:conditionalFormatting>
  <x:conditionalFormatting sqref="H10:H21">
    <x:cfRule type="cellIs" dxfId="1" priority="2" operator="greaterThan">
      <x:formula>0</x:formula>
    </x:cfRule>
  </x:conditionalFormatting>
  <x:dataValidations count="2">
    <x:dataValidation type="list" sqref="F5">
      <x:formula1>"1,2"</x:formula1>
    </x:dataValidation>
    <x:dataValidation type="list" sqref="H5">
      <x:formula1>"0,4"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53D5B"/>
  </x:sheetPr>
  <x:sheetViews>
    <x:sheetView showGridLines="0" workbookViewId="0"/>
  </x:sheetViews>
  <x:sheetFormatPr defaultRowHeight="15"/>
  <x:cols>
    <x:col min="1" max="1" width="23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30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</x:cols>
  <x:sheetData>
    <x:row r="1" ht="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</x:row>
    <x:row r="2" ht="25" customHeight="1">
      <x:c r="A2" s="10" t="str">
        <x:v>PD KV 传输：一分钟内的 Decode 通信暴露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</x:row>
    <x:row r="3" ht="25" customHeight="1">
      <x:c r="A3" s="2" t="str">
        <x:v>稳态相位平均估算。每层以等长 EP 通信段建模；未使用逐层 profiling，次数可为小数。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</x:row>
    <x:row r="4" ht="25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</x:row>
    <x:row r="5" ht="25" customHeight="1">
      <x:c r="A5" s="2" t="str">
        <x:v>每 P DP 请求数</x:v>
      </x:c>
      <x:c r="B5" s="46" t="n">
        <x:v>16</x:v>
      </x:c>
      <x:c r="C5" s="2"/>
      <x:c r="D5" s="2"/>
      <x:c r="E5" s="2" t="str">
        <x:v>P EP 组数</x:v>
      </x:c>
      <x:c r="F5" s="46" t="n">
        <x:v>1</x:v>
      </x:c>
      <x:c r="G5" s="2"/>
      <x:c r="H5" s="2"/>
      <x:c r="I5" s="2" t="str">
        <x:v>D EP 组数</x:v>
      </x:c>
      <x:c r="J5" s="46" t="n">
        <x:v>1</x:v>
      </x:c>
      <x:c r="K5" s="2"/>
      <x:c r="L5" s="2"/>
      <x:c r="M5" s="2" t="str">
        <x:v>KV 带宽 GB/s</x:v>
      </x:c>
      <x:c r="N5" s="47" t="n">
        <x:v>4800</x:v>
      </x:c>
      <x:c r="O5" s="2"/>
      <x:c r="P5" s="2"/>
      <x:c r="Q5" s="2"/>
      <x:c r="R5" s="2"/>
      <x:c r="S5" s="2"/>
      <x:c r="T5" s="2"/>
      <x:c r="U5" s="2"/>
      <x:c r="V5" s="2"/>
      <x:c r="W5" s="2"/>
      <x:c r="X5" s="2"/>
    </x:row>
    <x:row r="6" ht="25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</x:row>
    <x:row r="7" ht="25" customHeight="1">
      <x:c r="A7" s="2" t="str">
        <x:v>D tokens/DP/步</x:v>
      </x:c>
      <x:c r="B7" s="46" t="n">
        <x:v>128</x:v>
      </x:c>
      <x:c r="C7" s="2"/>
      <x:c r="D7" s="2"/>
      <x:c r="E7" s="2" t="str">
        <x:v>产出 tokens/步</x:v>
      </x:c>
      <x:c r="F7" s="47" t="n">
        <x:v>1</x:v>
      </x:c>
      <x:c r="G7" s="2"/>
      <x:c r="H7" s="2"/>
      <x:c r="I7" s="2" t="str">
        <x:v>窗口内带宽降幅</x:v>
      </x:c>
      <x:c r="J7" s="48" t="n">
        <x:v>0.1</x:v>
      </x:c>
      <x:c r="K7" s="2"/>
      <x:c r="L7" s="2"/>
      <x:c r="M7" s="2" t="str">
        <x:v>EP 带宽 GB/s</x:v>
      </x:c>
      <x:c r="N7" s="47" t="n">
        <x:v>4800</x:v>
      </x:c>
      <x:c r="O7" s="2"/>
      <x:c r="P7" s="2"/>
      <x:c r="Q7" s="2"/>
      <x:c r="R7" s="2"/>
      <x:c r="S7" s="2"/>
      <x:c r="T7" s="2"/>
      <x:c r="U7" s="2"/>
      <x:c r="V7" s="2"/>
      <x:c r="W7" s="2"/>
      <x:c r="X7" s="2"/>
    </x:row>
    <x:row r="8" ht="25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</x:row>
    <x:row r="9" ht="25" customHeight="1">
      <x:c r="A9" s="2" t="str">
        <x:v>每周期错峰批数</x:v>
      </x:c>
      <x:c r="B9" s="46" t="n">
        <x:v>1</x:v>
      </x:c>
      <x:c r="C9" s="2"/>
      <x:c r="D9" s="2"/>
      <x:c r="E9" s="2" t="str">
        <x:v>通信共享比例</x:v>
      </x:c>
      <x:c r="F9" s="48" t="n">
        <x:v>1</x:v>
      </x:c>
      <x:c r="G9" s="2"/>
      <x:c r="H9" s="2"/>
      <x:c r="I9" s="2" t="str">
        <x:v>关键路径暴露率</x:v>
      </x:c>
      <x:c r="J9" s="48" t="n">
        <x:v>1</x:v>
      </x:c>
      <x:c r="K9" s="2"/>
      <x:c r="L9" s="2"/>
      <x:c r="M9" s="2" t="str">
        <x:v>KV block tokens</x:v>
      </x:c>
      <x:c r="N9" s="46" t="n">
        <x:v>128</x:v>
      </x:c>
      <x:c r="O9" s="2"/>
      <x:c r="P9" s="2"/>
      <x:c r="Q9" s="2"/>
      <x:c r="R9" s="2"/>
      <x:c r="S9" s="2"/>
      <x:c r="T9" s="2"/>
      <x:c r="U9" s="2"/>
      <x:c r="V9" s="2"/>
      <x:c r="W9" s="2"/>
      <x:c r="X9" s="2"/>
    </x:row>
    <x:row r="10" ht="25" customHeight="1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</x:row>
    <x:row r="11" ht="25" customHeight="1">
      <x:c r="A11" s="2" t="str">
        <x:v>Conv 额外 slots</x:v>
      </x:c>
      <x:c r="B11" s="46" t="n">
        <x:v>7</x:v>
      </x:c>
      <x:c r="C11" s="2"/>
      <x:c r="D11" s="2" t="str">
        <x:v>TTFT 暂作 P 批次间隔；步间隔＝TPOT×平均产出。每周期 1 批表示各 P DP 同步交接。</x:v>
      </x:c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</x:row>
    <x:row r="12" ht="25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</x:row>
    <x:row r="13" ht="2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</x:row>
    <x:row r="14" ht="42" customHeight="1">
      <x:c r="A14" s="52" t="str">
        <x:v>输入场景</x:v>
      </x:c>
      <x:c r="B14" s="52" t="str">
        <x:v>输入 tokens</x:v>
      </x:c>
      <x:c r="C14" s="52" t="str">
        <x:v>TTFT / 周期 s</x:v>
      </x:c>
      <x:c r="D14" s="52" t="str"/>
      <x:c r="E14" s="52" t="str">
        <x:v>TPOT 档位</x:v>
      </x:c>
      <x:c r="F14" s="52" t="str">
        <x:v>TPOT ms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</x:row>
    <x:row r="15" ht="25" customHeight="1">
      <x:c r="A15" s="2" t="str">
        <x:v>16K</x:v>
      </x:c>
      <x:c r="B15" s="46" t="n">
        <x:v>16384</x:v>
      </x:c>
      <x:c r="C15" s="47" t="n">
        <x:v>4</x:v>
      </x:c>
      <x:c r="D15" s="2"/>
      <x:c r="E15" s="2" t="n">
        <x:v>1</x:v>
      </x:c>
      <x:c r="F15" s="47" t="n">
        <x:v>5</x:v>
      </x:c>
      <x:c r="G15" s="2"/>
      <x:c r="H15" s="2" t="str">
        <x:v>黄色为输入；模型 / EP 带宽可在下表逐项覆盖。</x:v>
      </x:c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</x:row>
    <x:row r="16" ht="25" customHeight="1">
      <x:c r="A16" s="2" t="str">
        <x:v>256K</x:v>
      </x:c>
      <x:c r="B16" s="46" t="n">
        <x:v>262144</x:v>
      </x:c>
      <x:c r="C16" s="47" t="n">
        <x:v>20</x:v>
      </x:c>
      <x:c r="D16" s="2"/>
      <x:c r="E16" s="2" t="n">
        <x:v>2</x:v>
      </x:c>
      <x:c r="F16" s="47" t="n">
        <x:v>10</x:v>
      </x:c>
      <x:c r="G16" s="2"/>
      <x:c r="H16" s="2" t="str">
        <x:v>时间增量针对基线 60 秒工作量；不表示实测吞吐或 P99。</x:v>
      </x:c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</x:row>
    <x:row r="17" ht="25" customHeight="1">
      <x:c r="A17" s="2" t="str">
        <x:v>1M</x:v>
      </x:c>
      <x:c r="B17" s="46" t="n">
        <x:v>1048576</x:v>
      </x:c>
      <x:c r="C17" s="47" t="n">
        <x:v>60</x:v>
      </x:c>
      <x:c r="D17" s="2"/>
      <x:c r="E17" s="2" t="n">
        <x:v>3</x:v>
      </x:c>
      <x:c r="F17" s="47" t="n">
        <x:v>20</x:v>
      </x:c>
      <x:c r="G17" s="2"/>
      <x:c r="H17" s="2" t="str">
        <x:v>TTFT 只用于到达节奏，本页估算 D 侧 TPOT；P 耗时仍见原表。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</x:row>
    <x:row r="18" ht="25" customHeight="1">
      <x:c r="A18" s="2"/>
      <x:c r="B18" s="2"/>
      <x:c r="C18" s="2"/>
      <x:c r="D18" s="2"/>
      <x:c r="E18" s="2" t="n">
        <x:v>4</x:v>
      </x:c>
      <x:c r="F18" s="47" t="n">
        <x:v>30</x:v>
      </x:c>
      <x:c r="G18" s="2"/>
      <x:c r="H18" s="2" t="str">
        <x:v>全 EP＝该步所有等效 EP 通信段都在 KV 窗口内；不代表整步持续时间都重叠。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</x:row>
    <x:row r="19" ht="25" customHeight="1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</x:row>
    <x:row r="20" ht="25" customHeight="1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</x:row>
    <x:row r="21" ht="25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</x:row>
    <x:row r="22" ht="42" customHeight="1">
      <x:c r="A22" s="52" t="str">
        <x:v>模型</x:v>
      </x:c>
      <x:c r="B22" s="52" t="str">
        <x:v>EP</x:v>
      </x:c>
      <x:c r="C22" s="52" t="str">
        <x:v>P TP</x:v>
      </x:c>
      <x:c r="D22" s="52" t="str">
        <x:v>D TP</x:v>
      </x:c>
      <x:c r="E22" s="52" t="str">
        <x:v>MoE 层数</x:v>
      </x:c>
      <x:c r="F22" s="52" t="str">
        <x:v>Hidden</x:v>
      </x:c>
      <x:c r="G22" s="52" t="str">
        <x:v>TopK</x:v>
      </x:c>
      <x:c r="H22" s="52" t="str">
        <x:v>逻辑专家数</x:v>
      </x:c>
      <x:c r="I22" s="52" t="str">
        <x:v>EP GB/s 输入</x:v>
      </x:c>
      <x:c r="J22" s="52" t="str">
        <x:v>KV GB/s 输入</x:v>
      </x:c>
      <x:c r="K22" s="52" t="str">
        <x:v>D tokens/DP/步</x:v>
      </x:c>
      <x:c r="L22" s="52" t="str">
        <x:v>产出 tokens/步</x:v>
      </x:c>
      <x:c r="M22" s="52" t="str">
        <x:v>共享比例</x:v>
      </x:c>
      <x:c r="N22" s="52" t="str">
        <x:v>暴露率</x:v>
      </x:c>
      <x:c r="O22" s="52" t="str">
        <x:v>配置条件</x:v>
      </x:c>
      <x:c r="P22" s="2"/>
      <x:c r="Q22" s="2"/>
      <x:c r="R22" s="2"/>
      <x:c r="S22" s="2"/>
      <x:c r="T22" s="2"/>
      <x:c r="U22" s="2"/>
      <x:c r="V22" s="2"/>
      <x:c r="W22" s="2"/>
      <x:c r="X22" s="2"/>
    </x:row>
    <x:row r="23" ht="25" customHeight="1">
      <x:c r="A23" s="2" t="str">
        <x:v>DS V4 10T</x:v>
      </x:c>
      <x:c r="B23" s="2" t="n">
        <x:v>32</x:v>
      </x:c>
      <x:c r="C23" s="2" t="n">
        <x:v>8</x:v>
      </x:c>
      <x:c r="D23" s="2" t="n">
        <x:v>1</x:v>
      </x:c>
      <x:c r="E23" s="2" t="n">
        <x:v>61</x:v>
      </x:c>
      <x:c r="F23" s="2" t="n">
        <x:v>7168</x:v>
      </x:c>
      <x:c r="G23" s="2" t="n">
        <x:v>6</x:v>
      </x:c>
      <x:c r="H23" s="2" t="n">
        <x:v>384</x:v>
      </x:c>
      <x:c r="I23" s="45" t="n">
        <x:f>$N$7</x:f>
        <x:v>4800</x:v>
      </x:c>
      <x:c r="J23" s="45" t="n">
        <x:f>$N$5</x:f>
        <x:v>4800</x:v>
      </x:c>
      <x:c r="K23" s="45" t="n">
        <x:f>$B$7</x:f>
        <x:v>128</x:v>
      </x:c>
      <x:c r="L23" s="45" t="n">
        <x:f>$F$7</x:f>
        <x:v>1</x:v>
      </x:c>
      <x:c r="M23" s="48" t="n">
        <x:f>$F$9</x:f>
        <x:v>1</x:v>
      </x:c>
      <x:c r="N23" s="48" t="n">
        <x:f>$J$9</x:f>
        <x:v>1</x:v>
      </x:c>
      <x:c r="O23" s="2" t="str">
        <x:v>运行未验证</x:v>
      </x:c>
      <x:c r="P23" s="2"/>
      <x:c r="Q23" s="2"/>
      <x:c r="R23" s="2"/>
      <x:c r="S23" s="2"/>
      <x:c r="T23" s="2"/>
      <x:c r="U23" s="2"/>
      <x:c r="V23" s="2"/>
      <x:c r="W23" s="2"/>
      <x:c r="X23" s="2"/>
    </x:row>
    <x:row r="24" ht="25" customHeight="1">
      <x:c r="A24" s="2" t="str">
        <x:v>DS V4 10T</x:v>
      </x:c>
      <x:c r="B24" s="2" t="n">
        <x:v>256</x:v>
      </x:c>
      <x:c r="C24" s="2" t="n">
        <x:v>8</x:v>
      </x:c>
      <x:c r="D24" s="2" t="n">
        <x:v>1</x:v>
      </x:c>
      <x:c r="E24" s="2" t="n">
        <x:v>61</x:v>
      </x:c>
      <x:c r="F24" s="2" t="n">
        <x:v>7168</x:v>
      </x:c>
      <x:c r="G24" s="2" t="n">
        <x:v>6</x:v>
      </x:c>
      <x:c r="H24" s="2" t="n">
        <x:v>384</x:v>
      </x:c>
      <x:c r="I24" s="45" t="n">
        <x:f>$N$7</x:f>
        <x:v>4800</x:v>
      </x:c>
      <x:c r="J24" s="45" t="n">
        <x:f>$N$5</x:f>
        <x:v>4800</x:v>
      </x:c>
      <x:c r="K24" s="45" t="n">
        <x:f>$B$7</x:f>
        <x:v>128</x:v>
      </x:c>
      <x:c r="L24" s="45" t="n">
        <x:f>$F$7</x:f>
        <x:v>1</x:v>
      </x:c>
      <x:c r="M24" s="48" t="n">
        <x:f>$F$9</x:f>
        <x:v>1</x:v>
      </x:c>
      <x:c r="N24" s="48" t="n">
        <x:f>$J$9</x:f>
        <x:v>1</x:v>
      </x:c>
      <x:c r="O24" s="2" t="str">
        <x:v>需 128 个冗余专家槽</x:v>
      </x:c>
      <x:c r="P24" s="2"/>
      <x:c r="Q24" s="2"/>
      <x:c r="R24" s="2"/>
      <x:c r="S24" s="2"/>
      <x:c r="T24" s="2"/>
      <x:c r="U24" s="2"/>
      <x:c r="V24" s="2"/>
      <x:c r="W24" s="2"/>
      <x:c r="X24" s="2"/>
    </x:row>
    <x:row r="25" ht="25" customHeight="1">
      <x:c r="A25" s="2" t="str">
        <x:v>DS V4 Pro</x:v>
      </x:c>
      <x:c r="B25" s="2" t="n">
        <x:v>32</x:v>
      </x:c>
      <x:c r="C25" s="2" t="n">
        <x:v>8</x:v>
      </x:c>
      <x:c r="D25" s="2" t="n">
        <x:v>1</x:v>
      </x:c>
      <x:c r="E25" s="2" t="n">
        <x:v>61</x:v>
      </x:c>
      <x:c r="F25" s="2" t="n">
        <x:v>7168</x:v>
      </x:c>
      <x:c r="G25" s="2" t="n">
        <x:v>6</x:v>
      </x:c>
      <x:c r="H25" s="2" t="n">
        <x:v>384</x:v>
      </x:c>
      <x:c r="I25" s="45" t="n">
        <x:f>$N$7</x:f>
        <x:v>4800</x:v>
      </x:c>
      <x:c r="J25" s="45" t="n">
        <x:f>$N$5</x:f>
        <x:v>4800</x:v>
      </x:c>
      <x:c r="K25" s="45" t="n">
        <x:f>$B$7</x:f>
        <x:v>128</x:v>
      </x:c>
      <x:c r="L25" s="45" t="n">
        <x:f>$F$7</x:f>
        <x:v>1</x:v>
      </x:c>
      <x:c r="M25" s="48" t="n">
        <x:f>$F$9</x:f>
        <x:v>1</x:v>
      </x:c>
      <x:c r="N25" s="48" t="n">
        <x:f>$J$9</x:f>
        <x:v>1</x:v>
      </x:c>
      <x:c r="O25" s="2" t="str">
        <x:v>运行未验证</x:v>
      </x:c>
      <x:c r="P25" s="2"/>
      <x:c r="Q25" s="2"/>
      <x:c r="R25" s="2"/>
      <x:c r="S25" s="2"/>
      <x:c r="T25" s="2"/>
      <x:c r="U25" s="2"/>
      <x:c r="V25" s="2"/>
      <x:c r="W25" s="2"/>
      <x:c r="X25" s="2"/>
    </x:row>
    <x:row r="26" ht="25" customHeight="1">
      <x:c r="A26" s="2" t="str">
        <x:v>DS V4 Pro</x:v>
      </x:c>
      <x:c r="B26" s="2" t="n">
        <x:v>256</x:v>
      </x:c>
      <x:c r="C26" s="2" t="n">
        <x:v>8</x:v>
      </x:c>
      <x:c r="D26" s="2" t="n">
        <x:v>1</x:v>
      </x:c>
      <x:c r="E26" s="2" t="n">
        <x:v>61</x:v>
      </x:c>
      <x:c r="F26" s="2" t="n">
        <x:v>7168</x:v>
      </x:c>
      <x:c r="G26" s="2" t="n">
        <x:v>6</x:v>
      </x:c>
      <x:c r="H26" s="2" t="n">
        <x:v>384</x:v>
      </x:c>
      <x:c r="I26" s="45" t="n">
        <x:f>$N$7</x:f>
        <x:v>4800</x:v>
      </x:c>
      <x:c r="J26" s="45" t="n">
        <x:f>$N$5</x:f>
        <x:v>4800</x:v>
      </x:c>
      <x:c r="K26" s="45" t="n">
        <x:f>$B$7</x:f>
        <x:v>128</x:v>
      </x:c>
      <x:c r="L26" s="45" t="n">
        <x:f>$F$7</x:f>
        <x:v>1</x:v>
      </x:c>
      <x:c r="M26" s="48" t="n">
        <x:f>$F$9</x:f>
        <x:v>1</x:v>
      </x:c>
      <x:c r="N26" s="48" t="n">
        <x:f>$J$9</x:f>
        <x:v>1</x:v>
      </x:c>
      <x:c r="O26" s="2" t="str">
        <x:v>需 128 个冗余专家槽</x:v>
      </x:c>
      <x:c r="P26" s="2"/>
      <x:c r="Q26" s="2"/>
      <x:c r="R26" s="2"/>
      <x:c r="S26" s="2"/>
      <x:c r="T26" s="2"/>
      <x:c r="U26" s="2"/>
      <x:c r="V26" s="2"/>
      <x:c r="W26" s="2"/>
      <x:c r="X26" s="2"/>
    </x:row>
    <x:row r="27" ht="25" customHeight="1">
      <x:c r="A27" s="2" t="str">
        <x:v>GLM5.3</x:v>
      </x:c>
      <x:c r="B27" s="2" t="n">
        <x:v>32</x:v>
      </x:c>
      <x:c r="C27" s="2" t="n">
        <x:v>8</x:v>
      </x:c>
      <x:c r="D27" s="2" t="n">
        <x:v>1</x:v>
      </x:c>
      <x:c r="E27" s="2" t="n">
        <x:v>75</x:v>
      </x:c>
      <x:c r="F27" s="2" t="n">
        <x:v>6144</x:v>
      </x:c>
      <x:c r="G27" s="2" t="n">
        <x:v>8</x:v>
      </x:c>
      <x:c r="H27" s="2" t="n">
        <x:v>256</x:v>
      </x:c>
      <x:c r="I27" s="45" t="n">
        <x:f>$N$7</x:f>
        <x:v>4800</x:v>
      </x:c>
      <x:c r="J27" s="45" t="n">
        <x:f>$N$5</x:f>
        <x:v>4800</x:v>
      </x:c>
      <x:c r="K27" s="45" t="n">
        <x:f>$B$7</x:f>
        <x:v>128</x:v>
      </x:c>
      <x:c r="L27" s="45" t="n">
        <x:f>$F$7</x:f>
        <x:v>1</x:v>
      </x:c>
      <x:c r="M27" s="48" t="n">
        <x:f>$F$9</x:f>
        <x:v>1</x:v>
      </x:c>
      <x:c r="N27" s="48" t="n">
        <x:f>$J$9</x:f>
        <x:v>1</x:v>
      </x:c>
      <x:c r="O27" s="2" t="str">
        <x:v>运行未验证</x:v>
      </x:c>
      <x:c r="P27" s="2"/>
      <x:c r="Q27" s="2"/>
      <x:c r="R27" s="2"/>
      <x:c r="S27" s="2"/>
      <x:c r="T27" s="2"/>
      <x:c r="U27" s="2"/>
      <x:c r="V27" s="2"/>
      <x:c r="W27" s="2"/>
      <x:c r="X27" s="2"/>
    </x:row>
    <x:row r="28" ht="25" customHeight="1">
      <x:c r="A28" s="2" t="str">
        <x:v>GLM5.3</x:v>
      </x:c>
      <x:c r="B28" s="2" t="n">
        <x:v>256</x:v>
      </x:c>
      <x:c r="C28" s="2" t="n">
        <x:v>8</x:v>
      </x:c>
      <x:c r="D28" s="2" t="n">
        <x:v>1</x:v>
      </x:c>
      <x:c r="E28" s="2" t="n">
        <x:v>75</x:v>
      </x:c>
      <x:c r="F28" s="2" t="n">
        <x:v>6144</x:v>
      </x:c>
      <x:c r="G28" s="2" t="n">
        <x:v>8</x:v>
      </x:c>
      <x:c r="H28" s="2" t="n">
        <x:v>256</x:v>
      </x:c>
      <x:c r="I28" s="45" t="n">
        <x:f>$N$7</x:f>
        <x:v>4800</x:v>
      </x:c>
      <x:c r="J28" s="45" t="n">
        <x:f>$N$5</x:f>
        <x:v>4800</x:v>
      </x:c>
      <x:c r="K28" s="45" t="n">
        <x:f>$B$7</x:f>
        <x:v>128</x:v>
      </x:c>
      <x:c r="L28" s="45" t="n">
        <x:f>$F$7</x:f>
        <x:v>1</x:v>
      </x:c>
      <x:c r="M28" s="48" t="n">
        <x:f>$F$9</x:f>
        <x:v>1</x:v>
      </x:c>
      <x:c r="N28" s="48" t="n">
        <x:f>$J$9</x:f>
        <x:v>1</x:v>
      </x:c>
      <x:c r="O28" s="2" t="str">
        <x:v>运行未验证</x:v>
      </x:c>
      <x:c r="P28" s="2"/>
      <x:c r="Q28" s="2"/>
      <x:c r="R28" s="2"/>
      <x:c r="S28" s="2"/>
      <x:c r="T28" s="2"/>
      <x:c r="U28" s="2"/>
      <x:c r="V28" s="2"/>
      <x:c r="W28" s="2"/>
      <x:c r="X28" s="2"/>
    </x:row>
    <x:row r="29" ht="25" customHeight="1">
      <x:c r="A29" s="2" t="str">
        <x:v>KimiK3</x:v>
      </x:c>
      <x:c r="B29" s="2" t="n">
        <x:v>32</x:v>
      </x:c>
      <x:c r="C29" s="2" t="n">
        <x:v>8</x:v>
      </x:c>
      <x:c r="D29" s="2" t="n">
        <x:v>8</x:v>
      </x:c>
      <x:c r="E29" s="2" t="n">
        <x:v>92</x:v>
      </x:c>
      <x:c r="F29" s="2" t="n">
        <x:v>7168</x:v>
      </x:c>
      <x:c r="G29" s="2" t="n">
        <x:v>16</x:v>
      </x:c>
      <x:c r="H29" s="2" t="n">
        <x:v>896</x:v>
      </x:c>
      <x:c r="I29" s="45" t="n">
        <x:f>$N$7</x:f>
        <x:v>4800</x:v>
      </x:c>
      <x:c r="J29" s="45" t="n">
        <x:f>$N$5</x:f>
        <x:v>4800</x:v>
      </x:c>
      <x:c r="K29" s="45" t="n">
        <x:f>$B$7</x:f>
        <x:v>128</x:v>
      </x:c>
      <x:c r="L29" s="45" t="n">
        <x:f>$F$7</x:f>
        <x:v>1</x:v>
      </x:c>
      <x:c r="M29" s="48" t="n">
        <x:f>$F$9</x:f>
        <x:v>1</x:v>
      </x:c>
      <x:c r="N29" s="48" t="n">
        <x:f>$J$9</x:f>
        <x:v>1</x:v>
      </x:c>
      <x:c r="O29" s="2" t="str">
        <x:v>运行未验证</x:v>
      </x:c>
      <x:c r="P29" s="2"/>
      <x:c r="Q29" s="2"/>
      <x:c r="R29" s="2"/>
      <x:c r="S29" s="2"/>
      <x:c r="T29" s="2"/>
      <x:c r="U29" s="2"/>
      <x:c r="V29" s="2"/>
      <x:c r="W29" s="2"/>
      <x:c r="X29" s="2"/>
    </x:row>
    <x:row r="30" ht="25" customHeight="1">
      <x:c r="A30" s="2" t="str">
        <x:v>KimiK3</x:v>
      </x:c>
      <x:c r="B30" s="2" t="n">
        <x:v>256</x:v>
      </x:c>
      <x:c r="C30" s="2" t="n">
        <x:v>8</x:v>
      </x:c>
      <x:c r="D30" s="2" t="n">
        <x:v>8</x:v>
      </x:c>
      <x:c r="E30" s="2" t="n">
        <x:v>92</x:v>
      </x:c>
      <x:c r="F30" s="2" t="n">
        <x:v>7168</x:v>
      </x:c>
      <x:c r="G30" s="2" t="n">
        <x:v>16</x:v>
      </x:c>
      <x:c r="H30" s="2" t="n">
        <x:v>896</x:v>
      </x:c>
      <x:c r="I30" s="45" t="n">
        <x:f>$N$7</x:f>
        <x:v>4800</x:v>
      </x:c>
      <x:c r="J30" s="45" t="n">
        <x:f>$N$5</x:f>
        <x:v>4800</x:v>
      </x:c>
      <x:c r="K30" s="45" t="n">
        <x:f>$B$7</x:f>
        <x:v>128</x:v>
      </x:c>
      <x:c r="L30" s="45" t="n">
        <x:f>$F$7</x:f>
        <x:v>1</x:v>
      </x:c>
      <x:c r="M30" s="48" t="n">
        <x:f>$F$9</x:f>
        <x:v>1</x:v>
      </x:c>
      <x:c r="N30" s="48" t="n">
        <x:f>$J$9</x:f>
        <x:v>1</x:v>
      </x:c>
      <x:c r="O30" s="2" t="str">
        <x:v>需 128 个冗余专家槽</x:v>
      </x:c>
      <x:c r="P30" s="2"/>
      <x:c r="Q30" s="2"/>
      <x:c r="R30" s="2"/>
      <x:c r="S30" s="2"/>
      <x:c r="T30" s="2"/>
      <x:c r="U30" s="2"/>
      <x:c r="V30" s="2"/>
      <x:c r="W30" s="2"/>
      <x:c r="X30" s="2"/>
    </x:row>
    <x:row r="31" ht="25" customHeight="1">
      <x:c r="A31" s="2" t="str">
        <x:v>Qwen3.8 2.4T</x:v>
      </x:c>
      <x:c r="B31" s="2" t="n">
        <x:v>32</x:v>
      </x:c>
      <x:c r="C31" s="2" t="n">
        <x:v>8</x:v>
      </x:c>
      <x:c r="D31" s="2" t="n">
        <x:v>8</x:v>
      </x:c>
      <x:c r="E31" s="2" t="n">
        <x:v>92</x:v>
      </x:c>
      <x:c r="F31" s="2" t="n">
        <x:v>8192</x:v>
      </x:c>
      <x:c r="G31" s="2" t="n">
        <x:v>10</x:v>
      </x:c>
      <x:c r="H31" s="2" t="n">
        <x:v>512</x:v>
      </x:c>
      <x:c r="I31" s="45" t="n">
        <x:f>$N$7</x:f>
        <x:v>4800</x:v>
      </x:c>
      <x:c r="J31" s="45" t="n">
        <x:f>$N$5</x:f>
        <x:v>4800</x:v>
      </x:c>
      <x:c r="K31" s="45" t="n">
        <x:f>$B$7</x:f>
        <x:v>128</x:v>
      </x:c>
      <x:c r="L31" s="45" t="n">
        <x:f>$F$7</x:f>
        <x:v>1</x:v>
      </x:c>
      <x:c r="M31" s="48" t="n">
        <x:f>$F$9</x:f>
        <x:v>1</x:v>
      </x:c>
      <x:c r="N31" s="48" t="n">
        <x:f>$J$9</x:f>
        <x:v>1</x:v>
      </x:c>
      <x:c r="O31" s="2" t="str">
        <x:v>运行未验证</x:v>
      </x:c>
      <x:c r="P31" s="2"/>
      <x:c r="Q31" s="2"/>
      <x:c r="R31" s="2"/>
      <x:c r="S31" s="2"/>
      <x:c r="T31" s="2"/>
      <x:c r="U31" s="2"/>
      <x:c r="V31" s="2"/>
      <x:c r="W31" s="2"/>
      <x:c r="X31" s="2"/>
    </x:row>
    <x:row r="32" ht="25" customHeight="1">
      <x:c r="A32" s="2" t="str">
        <x:v>Qwen3.8 2.4T</x:v>
      </x:c>
      <x:c r="B32" s="2" t="n">
        <x:v>256</x:v>
      </x:c>
      <x:c r="C32" s="2" t="n">
        <x:v>8</x:v>
      </x:c>
      <x:c r="D32" s="2" t="n">
        <x:v>8</x:v>
      </x:c>
      <x:c r="E32" s="2" t="n">
        <x:v>92</x:v>
      </x:c>
      <x:c r="F32" s="2" t="n">
        <x:v>8192</x:v>
      </x:c>
      <x:c r="G32" s="2" t="n">
        <x:v>10</x:v>
      </x:c>
      <x:c r="H32" s="2" t="n">
        <x:v>512</x:v>
      </x:c>
      <x:c r="I32" s="45" t="n">
        <x:f>$N$7</x:f>
        <x:v>4800</x:v>
      </x:c>
      <x:c r="J32" s="45" t="n">
        <x:f>$N$5</x:f>
        <x:v>4800</x:v>
      </x:c>
      <x:c r="K32" s="45" t="n">
        <x:f>$B$7</x:f>
        <x:v>128</x:v>
      </x:c>
      <x:c r="L32" s="45" t="n">
        <x:f>$F$7</x:f>
        <x:v>1</x:v>
      </x:c>
      <x:c r="M32" s="48" t="n">
        <x:f>$F$9</x:f>
        <x:v>1</x:v>
      </x:c>
      <x:c r="N32" s="48" t="n">
        <x:f>$J$9</x:f>
        <x:v>1</x:v>
      </x:c>
      <x:c r="O32" s="2" t="str">
        <x:v>运行未验证</x:v>
      </x:c>
      <x:c r="P32" s="2"/>
      <x:c r="Q32" s="2"/>
      <x:c r="R32" s="2"/>
      <x:c r="S32" s="2"/>
      <x:c r="T32" s="2"/>
      <x:c r="U32" s="2"/>
      <x:c r="V32" s="2"/>
      <x:c r="W32" s="2"/>
      <x:c r="X32" s="2"/>
    </x:row>
    <x:row r="33" ht="25" customHeight="1">
      <x:c r="A33" s="2" t="str">
        <x:v>DS V4.1 Flash</x:v>
      </x:c>
      <x:c r="B33" s="2" t="n">
        <x:v>32</x:v>
      </x:c>
      <x:c r="C33" s="2" t="n">
        <x:v>8</x:v>
      </x:c>
      <x:c r="D33" s="2" t="n">
        <x:v>1</x:v>
      </x:c>
      <x:c r="E33" s="2" t="n">
        <x:v>40</x:v>
      </x:c>
      <x:c r="F33" s="2" t="n">
        <x:v>5120</x:v>
      </x:c>
      <x:c r="G33" s="2" t="n">
        <x:v>6</x:v>
      </x:c>
      <x:c r="H33" s="2" t="n">
        <x:v>384</x:v>
      </x:c>
      <x:c r="I33" s="45" t="n">
        <x:f>$N$7</x:f>
        <x:v>4800</x:v>
      </x:c>
      <x:c r="J33" s="45" t="n">
        <x:f>$N$5</x:f>
        <x:v>4800</x:v>
      </x:c>
      <x:c r="K33" s="45" t="n">
        <x:f>$B$7</x:f>
        <x:v>128</x:v>
      </x:c>
      <x:c r="L33" s="45" t="n">
        <x:f>$F$7</x:f>
        <x:v>1</x:v>
      </x:c>
      <x:c r="M33" s="48" t="n">
        <x:f>$F$9</x:f>
        <x:v>1</x:v>
      </x:c>
      <x:c r="N33" s="48" t="n">
        <x:f>$J$9</x:f>
        <x:v>1</x:v>
      </x:c>
      <x:c r="O33" s="2" t="str">
        <x:v>V4.1 KV 规划；运行未验证</x:v>
      </x:c>
      <x:c r="P33" s="2"/>
      <x:c r="Q33" s="2"/>
      <x:c r="R33" s="2"/>
      <x:c r="S33" s="2"/>
      <x:c r="T33" s="2"/>
      <x:c r="U33" s="2"/>
      <x:c r="V33" s="2"/>
      <x:c r="W33" s="2"/>
      <x:c r="X33" s="2"/>
    </x:row>
    <x:row r="34" ht="25" customHeight="1">
      <x:c r="A34" s="2" t="str">
        <x:v>DS V4.1 Flash</x:v>
      </x:c>
      <x:c r="B34" s="2" t="n">
        <x:v>256</x:v>
      </x:c>
      <x:c r="C34" s="2" t="n">
        <x:v>8</x:v>
      </x:c>
      <x:c r="D34" s="2" t="n">
        <x:v>1</x:v>
      </x:c>
      <x:c r="E34" s="2" t="n">
        <x:v>40</x:v>
      </x:c>
      <x:c r="F34" s="2" t="n">
        <x:v>5120</x:v>
      </x:c>
      <x:c r="G34" s="2" t="n">
        <x:v>6</x:v>
      </x:c>
      <x:c r="H34" s="2" t="n">
        <x:v>384</x:v>
      </x:c>
      <x:c r="I34" s="45" t="n">
        <x:f>$N$7</x:f>
        <x:v>4800</x:v>
      </x:c>
      <x:c r="J34" s="45" t="n">
        <x:f>$N$5</x:f>
        <x:v>4800</x:v>
      </x:c>
      <x:c r="K34" s="45" t="n">
        <x:f>$B$7</x:f>
        <x:v>128</x:v>
      </x:c>
      <x:c r="L34" s="45" t="n">
        <x:f>$F$7</x:f>
        <x:v>1</x:v>
      </x:c>
      <x:c r="M34" s="48" t="n">
        <x:f>$F$9</x:f>
        <x:v>1</x:v>
      </x:c>
      <x:c r="N34" s="48" t="n">
        <x:f>$J$9</x:f>
        <x:v>1</x:v>
      </x:c>
      <x:c r="O34" s="2" t="str">
        <x:v>V4.1 KV 规划；需 128 个冗余专家槽</x:v>
      </x:c>
      <x:c r="P34" s="2"/>
      <x:c r="Q34" s="2"/>
      <x:c r="R34" s="2"/>
      <x:c r="S34" s="2"/>
      <x:c r="T34" s="2"/>
      <x:c r="U34" s="2"/>
      <x:c r="V34" s="2"/>
      <x:c r="W34" s="2"/>
      <x:c r="X34" s="2"/>
    </x:row>
    <x:row r="35" ht="25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</x:row>
    <x:row r="36" ht="25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</x:row>
    <x:row r="37" ht="25" customHeight="1">
      <x:c r="A37" s="29" t="str">
        <x:v>TPOT × 输入场景 × EP：稳态每分钟结果</x:v>
      </x:c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</x:row>
    <x:row r="38" ht="25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</x:row>
    <x:row r="39" ht="42" customHeight="1">
      <x:c r="A39" s="52" t="str">
        <x:v>模型</x:v>
      </x:c>
      <x:c r="B39" s="52" t="str">
        <x:v>EP</x:v>
      </x:c>
      <x:c r="C39" s="52" t="str">
        <x:v>输入 tokens</x:v>
      </x:c>
      <x:c r="D39" s="52" t="str">
        <x:v>周期 s</x:v>
      </x:c>
      <x:c r="E39" s="52" t="str">
        <x:v>TPOT ms</x:v>
      </x:c>
      <x:c r="F39" s="52" t="str">
        <x:v>KV 窗口 次/min</x:v>
      </x:c>
      <x:c r="G39" s="52" t="str">
        <x:v>KV 窗口 ms/次</x:v>
      </x:c>
      <x:c r="H39" s="52" t="str">
        <x:v>重叠 FW 次/min</x:v>
      </x:c>
      <x:c r="I39" s="52" t="str">
        <x:v>全 EP FW 次/min</x:v>
      </x:c>
      <x:c r="J39" s="52" t="str">
        <x:v>部分 EP FW 次/min</x:v>
      </x:c>
      <x:c r="K39" s="52" t="str">
        <x:v>重叠层调用 次/min</x:v>
      </x:c>
      <x:c r="L39" s="52" t="str">
        <x:v>60s 工作增时 ms</x:v>
      </x:c>
      <x:c r="M39" s="52" t="str">
        <x:v>平均 TPOT 增量 μs</x:v>
      </x:c>
      <x:c r="N39" s="52" t="str">
        <x:v>TPOT 增幅 ppm</x:v>
      </x:c>
      <x:c r="O39" s="52" t="str">
        <x:v>结果条件</x:v>
      </x:c>
      <x:c r="P39" s="52" t="str">
        <x:v>最低 EP GB/s</x:v>
      </x:c>
      <x:c r="Q39" s="2"/>
      <x:c r="R39" s="2"/>
      <x:c r="S39" s="2"/>
      <x:c r="T39" s="2"/>
      <x:c r="U39" s="2"/>
      <x:c r="V39" s="2"/>
      <x:c r="W39" s="2"/>
      <x:c r="X39" s="2"/>
    </x:row>
    <x:row r="40" ht="25" customHeight="1">
      <x:c r="A40" s="2" t="str">
        <x:f>A23</x:f>
        <x:v>DS V4 10T</x:v>
      </x:c>
      <x:c r="B40" s="2" t="n">
        <x:f>B23</x:f>
        <x:v>32</x:v>
      </x:c>
      <x:c r="C40" s="8" t="n">
        <x:f>$B$15</x:f>
        <x:v>16384</x:v>
      </x:c>
      <x:c r="D40" s="2" t="n">
        <x:f>$C$15</x:f>
        <x:v>4</x:v>
      </x:c>
      <x:c r="E40" s="2" t="n">
        <x:f>$F$15</x:f>
        <x:v>5</x:v>
      </x:c>
      <x:c r="F40" s="9" t="n">
        <x:f>IF(A190,60000/L190,"")</x:f>
        <x:v>15</x:v>
      </x:c>
      <x:c r="G40" s="9" t="n">
        <x:f>K190</x:f>
        <x:v>0.07795370666666666</x:v>
      </x:c>
      <x:c r="H40" s="9" t="n">
        <x:f>IF(W190="估算",U190*R190,"")</x:f>
        <x:v>15.001790440654084</x:v>
      </x:c>
      <x:c r="I40" s="9" t="n">
        <x:f>IF(W190="估算",U190*S190,"")</x:f>
        <x:v>0</x:v>
      </x:c>
      <x:c r="J40" s="9" t="n">
        <x:f>IF(W190="估算",U190*MAX(0,R190-S190),"")</x:f>
        <x:v>15.001790440654084</x:v>
      </x:c>
      <x:c r="K40" s="9" t="n">
        <x:f>IF(W190="估算",IF(OR(O190=0,K190=0),0,U190*E23*MIN(1,(K190+P190)/L190)),"")</x:f>
        <x:v>15.10921688</x:v>
      </x:c>
      <x:c r="L40" s="53" t="n">
        <x:f>IF(W190="估算",V190,"")</x:f>
        <x:v>0.007283617501202371</x:v>
      </x:c>
      <x:c r="M40" s="53" t="n">
        <x:f>IF(W190="估算",E40*V190/60,"")</x:f>
        <x:v>0.0006069681251001976</x:v>
      </x:c>
      <x:c r="N40" s="53" t="n">
        <x:f>IF(W190="估算",V190/60000*1e6,"")</x:f>
        <x:v>0.12139362502003953</x:v>
      </x:c>
      <x:c r="O40" s="2" t="str">
        <x:f>IF(W190="估算","相位平均估算",W190)</x:f>
        <x:v>相位平均估算</x:v>
      </x:c>
      <x:c r="P40" s="33" t="n">
        <x:f>Q190</x:f>
        <x:v>269.9803392</x:v>
      </x:c>
      <x:c r="Q40" s="2"/>
      <x:c r="R40" s="2"/>
      <x:c r="S40" s="2"/>
      <x:c r="T40" s="2"/>
      <x:c r="U40" s="2"/>
      <x:c r="V40" s="2"/>
      <x:c r="W40" s="2"/>
      <x:c r="X40" s="2"/>
    </x:row>
    <x:row r="41" ht="25" customHeight="1">
      <x:c r="A41" s="2" t="str">
        <x:f>A23</x:f>
        <x:v>DS V4 10T</x:v>
      </x:c>
      <x:c r="B41" s="2" t="n">
        <x:f>B23</x:f>
        <x:v>32</x:v>
      </x:c>
      <x:c r="C41" s="8" t="n">
        <x:f>$B$15</x:f>
        <x:v>16384</x:v>
      </x:c>
      <x:c r="D41" s="2" t="n">
        <x:f>$C$15</x:f>
        <x:v>4</x:v>
      </x:c>
      <x:c r="E41" s="2" t="n">
        <x:f>$F$16</x:f>
        <x:v>10</x:v>
      </x:c>
      <x:c r="F41" s="9" t="n">
        <x:f>IF(A191,60000/L191,"")</x:f>
        <x:v>15</x:v>
      </x:c>
      <x:c r="G41" s="9" t="n">
        <x:f>K191</x:f>
        <x:v>0.07795370666666666</x:v>
      </x:c>
      <x:c r="H41" s="9" t="n">
        <x:f>IF(W191="估算",U191*R191,"")</x:f>
        <x:v>7.554608439999111</x:v>
      </x:c>
      <x:c r="I41" s="9" t="n">
        <x:f>IF(W191="估算",U191*S191,"")</x:f>
        <x:v>0</x:v>
      </x:c>
      <x:c r="J41" s="9" t="n">
        <x:f>IF(W191="估算",U191*MAX(0,R191-S191),"")</x:f>
        <x:v>7.554608439999111</x:v>
      </x:c>
      <x:c r="K41" s="9" t="n">
        <x:f>IF(W191="估算",IF(OR(O191=0,K191=0),0,U191*E23*MIN(1,(K191+P191)/L191)),"")</x:f>
        <x:v>7.55460844</x:v>
      </x:c>
      <x:c r="L41" s="53" t="n">
        <x:f>IF(W191="估算",V191,"")</x:f>
        <x:v>0.0036418087506011857</x:v>
      </x:c>
      <x:c r="M41" s="53" t="n">
        <x:f>IF(W191="估算",E41*V191/60,"")</x:f>
        <x:v>0.0006069681251001976</x:v>
      </x:c>
      <x:c r="N41" s="53" t="n">
        <x:f>IF(W191="估算",V191/60000*1e6,"")</x:f>
        <x:v>0.060696812510019765</x:v>
      </x:c>
      <x:c r="O41" s="2" t="str">
        <x:f>IF(W191="估算","相位平均估算",W191)</x:f>
        <x:v>相位平均估算</x:v>
      </x:c>
      <x:c r="P41" s="33" t="n">
        <x:f>Q191</x:f>
        <x:v>134.9901696</x:v>
      </x:c>
      <x:c r="Q41" s="2"/>
      <x:c r="R41" s="2"/>
      <x:c r="S41" s="2"/>
      <x:c r="T41" s="2"/>
      <x:c r="U41" s="2"/>
      <x:c r="V41" s="2"/>
      <x:c r="W41" s="2"/>
      <x:c r="X41" s="2"/>
    </x:row>
    <x:row r="42" ht="25" customHeight="1">
      <x:c r="A42" s="2" t="str">
        <x:f>A23</x:f>
        <x:v>DS V4 10T</x:v>
      </x:c>
      <x:c r="B42" s="2" t="n">
        <x:f>B23</x:f>
        <x:v>32</x:v>
      </x:c>
      <x:c r="C42" s="8" t="n">
        <x:f>$B$15</x:f>
        <x:v>16384</x:v>
      </x:c>
      <x:c r="D42" s="2" t="n">
        <x:f>$C$15</x:f>
        <x:v>4</x:v>
      </x:c>
      <x:c r="E42" s="2" t="n">
        <x:f>$F$17</x:f>
        <x:v>20</x:v>
      </x:c>
      <x:c r="F42" s="9" t="n">
        <x:f>IF(A192,60000/L192,"")</x:f>
        <x:v>15</x:v>
      </x:c>
      <x:c r="G42" s="9" t="n">
        <x:f>K192</x:f>
        <x:v>0.07795370666666666</x:v>
      </x:c>
      <x:c r="H42" s="9" t="n">
        <x:f>IF(W192="估算",U192*R192,"")</x:f>
        <x:v>3.7773042199995555</x:v>
      </x:c>
      <x:c r="I42" s="9" t="n">
        <x:f>IF(W192="估算",U192*S192,"")</x:f>
        <x:v>0</x:v>
      </x:c>
      <x:c r="J42" s="9" t="n">
        <x:f>IF(W192="估算",U192*MAX(0,R192-S192),"")</x:f>
        <x:v>3.7773042199995555</x:v>
      </x:c>
      <x:c r="K42" s="9" t="n">
        <x:f>IF(W192="估算",IF(OR(O192=0,K192=0),0,U192*E23*MIN(1,(K192+P192)/L192)),"")</x:f>
        <x:v>3.77730422</x:v>
      </x:c>
      <x:c r="L42" s="53" t="n">
        <x:f>IF(W192="估算",V192,"")</x:f>
        <x:v>0.0018209043753005928</x:v>
      </x:c>
      <x:c r="M42" s="53" t="n">
        <x:f>IF(W192="估算",E42*V192/60,"")</x:f>
        <x:v>0.0006069681251001976</x:v>
      </x:c>
      <x:c r="N42" s="53" t="n">
        <x:f>IF(W192="估算",V192/60000*1e6,"")</x:f>
        <x:v>0.030348406255009883</x:v>
      </x:c>
      <x:c r="O42" s="2" t="str">
        <x:f>IF(W192="估算","相位平均估算",W192)</x:f>
        <x:v>相位平均估算</x:v>
      </x:c>
      <x:c r="P42" s="33" t="n">
        <x:f>Q192</x:f>
        <x:v>67.4950848</x:v>
      </x:c>
      <x:c r="Q42" s="2"/>
      <x:c r="R42" s="2"/>
      <x:c r="S42" s="2"/>
      <x:c r="T42" s="2"/>
      <x:c r="U42" s="2"/>
      <x:c r="V42" s="2"/>
      <x:c r="W42" s="2"/>
      <x:c r="X42" s="2"/>
    </x:row>
    <x:row r="43" ht="25" customHeight="1">
      <x:c r="A43" s="2" t="str">
        <x:f>A23</x:f>
        <x:v>DS V4 10T</x:v>
      </x:c>
      <x:c r="B43" s="2" t="n">
        <x:f>B23</x:f>
        <x:v>32</x:v>
      </x:c>
      <x:c r="C43" s="8" t="n">
        <x:f>$B$15</x:f>
        <x:v>16384</x:v>
      </x:c>
      <x:c r="D43" s="2" t="n">
        <x:f>$C$15</x:f>
        <x:v>4</x:v>
      </x:c>
      <x:c r="E43" s="2" t="n">
        <x:f>$F$18</x:f>
        <x:v>30</x:v>
      </x:c>
      <x:c r="F43" s="9" t="n">
        <x:f>IF(A193,60000/L193,"")</x:f>
        <x:v>15</x:v>
      </x:c>
      <x:c r="G43" s="9" t="n">
        <x:f>K193</x:f>
        <x:v>0.07795370666666666</x:v>
      </x:c>
      <x:c r="H43" s="9" t="n">
        <x:f>IF(W193="估算",U193*R193,"")</x:f>
        <x:v>2.518202813333259</x:v>
      </x:c>
      <x:c r="I43" s="9" t="n">
        <x:f>IF(W193="估算",U193*S193,"")</x:f>
        <x:v>0</x:v>
      </x:c>
      <x:c r="J43" s="9" t="n">
        <x:f>IF(W193="估算",U193*MAX(0,R193-S193),"")</x:f>
        <x:v>2.518202813333259</x:v>
      </x:c>
      <x:c r="K43" s="9" t="n">
        <x:f>IF(W193="估算",IF(OR(O193=0,K193=0),0,U193*E23*MIN(1,(K193+P193)/L193)),"")</x:f>
        <x:v>2.518202813333333</x:v>
      </x:c>
      <x:c r="L43" s="53" t="n">
        <x:f>IF(W193="估算",V193,"")</x:f>
        <x:v>0.0012139362502003952</x:v>
      </x:c>
      <x:c r="M43" s="53" t="n">
        <x:f>IF(W193="估算",E43*V193/60,"")</x:f>
        <x:v>0.0006069681251001976</x:v>
      </x:c>
      <x:c r="N43" s="53" t="n">
        <x:f>IF(W193="估算",V193/60000*1e6,"")</x:f>
        <x:v>0.020232270836673255</x:v>
      </x:c>
      <x:c r="O43" s="2" t="str">
        <x:f>IF(W193="估算","相位平均估算",W193)</x:f>
        <x:v>相位平均估算</x:v>
      </x:c>
      <x:c r="P43" s="33" t="n">
        <x:f>Q193</x:f>
        <x:v>44.996723200000005</x:v>
      </x:c>
      <x:c r="Q43" s="2"/>
      <x:c r="R43" s="2"/>
      <x:c r="S43" s="2"/>
      <x:c r="T43" s="2"/>
      <x:c r="U43" s="2"/>
      <x:c r="V43" s="2"/>
      <x:c r="W43" s="2"/>
      <x:c r="X43" s="2"/>
    </x:row>
    <x:row r="44" ht="25" customHeight="1">
      <x:c r="A44" s="2" t="str">
        <x:f>A23</x:f>
        <x:v>DS V4 10T</x:v>
      </x:c>
      <x:c r="B44" s="2" t="n">
        <x:f>B23</x:f>
        <x:v>32</x:v>
      </x:c>
      <x:c r="C44" s="8" t="n">
        <x:f>$B$16</x:f>
        <x:v>262144</x:v>
      </x:c>
      <x:c r="D44" s="2" t="n">
        <x:f>$C$16</x:f>
        <x:v>20</x:v>
      </x:c>
      <x:c r="E44" s="2" t="n">
        <x:f>$F$15</x:f>
        <x:v>5</x:v>
      </x:c>
      <x:c r="F44" s="9" t="n">
        <x:f>IF(A194,60000/L194,"")</x:f>
        <x:v>3</x:v>
      </x:c>
      <x:c r="G44" s="9" t="n">
        <x:f>K194</x:f>
        <x:v>0.9896209066666667</x:v>
      </x:c>
      <x:c r="H44" s="9" t="n">
        <x:f>IF(W194="估算",U194*R194,"")</x:f>
        <x:v>3.5473584081326948</x:v>
      </x:c>
      <x:c r="I44" s="9" t="n">
        <x:f>IF(W194="估算",U194*S194,"")</x:f>
        <x:v>0</x:v>
      </x:c>
      <x:c r="J44" s="9" t="n">
        <x:f>IF(W194="估算",U194*MAX(0,R194-S194),"")</x:f>
        <x:v>3.5473584081326948</x:v>
      </x:c>
      <x:c r="K44" s="9" t="n">
        <x:f>IF(W194="估算",IF(OR(O194=0,K194=0),0,U194*E23*MIN(1,(K194+P194)/L194)),"")</x:f>
        <x:v>36.388862896</x:v>
      </x:c>
      <x:c r="L44" s="53" t="n">
        <x:f>IF(W194="估算",V194,"")</x:f>
        <x:v>0.01854923877062341</x:v>
      </x:c>
      <x:c r="M44" s="53" t="n">
        <x:f>IF(W194="估算",E44*V194/60,"")</x:f>
        <x:v>0.001545769897551951</x:v>
      </x:c>
      <x:c r="N44" s="53" t="n">
        <x:f>IF(W194="估算",V194/60000*1e6,"")</x:f>
        <x:v>0.3091539795103902</x:v>
      </x:c>
      <x:c r="O44" s="2" t="str">
        <x:f>IF(W194="估算","相位平均估算",W194)</x:f>
        <x:v>相位平均估算</x:v>
      </x:c>
      <x:c r="P44" s="33" t="n">
        <x:f>Q194</x:f>
        <x:v>269.9803392</x:v>
      </x:c>
      <x:c r="Q44" s="2"/>
      <x:c r="R44" s="2"/>
      <x:c r="S44" s="2"/>
      <x:c r="T44" s="2"/>
      <x:c r="U44" s="2"/>
      <x:c r="V44" s="2"/>
      <x:c r="W44" s="2"/>
      <x:c r="X44" s="2"/>
    </x:row>
    <x:row r="45" ht="25" customHeight="1">
      <x:c r="A45" s="2" t="str">
        <x:f>A23</x:f>
        <x:v>DS V4 10T</x:v>
      </x:c>
      <x:c r="B45" s="2" t="n">
        <x:f>B23</x:f>
        <x:v>32</x:v>
      </x:c>
      <x:c r="C45" s="8" t="n">
        <x:f>$B$16</x:f>
        <x:v>262144</x:v>
      </x:c>
      <x:c r="D45" s="2" t="n">
        <x:f>$C$16</x:f>
        <x:v>20</x:v>
      </x:c>
      <x:c r="E45" s="2" t="n">
        <x:f>$F$16</x:f>
        <x:v>10</x:v>
      </x:c>
      <x:c r="F45" s="9" t="n">
        <x:f>IF(A195,60000/L195,"")</x:f>
        <x:v>3</x:v>
      </x:c>
      <x:c r="G45" s="9" t="n">
        <x:f>K195</x:f>
        <x:v>0.9896209066666667</x:v>
      </x:c>
      <x:c r="H45" s="9" t="n">
        <x:f>IF(W195="估算",U195*R195,"")</x:f>
        <x:v>3.2490890401317696</x:v>
      </x:c>
      <x:c r="I45" s="9" t="n">
        <x:f>IF(W195="估算",U195*S195,"")</x:f>
        <x:v>0</x:v>
      </x:c>
      <x:c r="J45" s="9" t="n">
        <x:f>IF(W195="估算",U195*MAX(0,R195-S195),"")</x:f>
        <x:v>3.2490890401317696</x:v>
      </x:c>
      <x:c r="K45" s="9" t="n">
        <x:f>IF(W195="估算",IF(OR(O195=0,K195=0),0,U195*E23*MIN(1,(K195+P195)/L195)),"")</x:f>
        <x:v>18.194431448</x:v>
      </x:c>
      <x:c r="L45" s="53" t="n">
        <x:f>IF(W195="估算",V195,"")</x:f>
        <x:v>0.009274619385311706</x:v>
      </x:c>
      <x:c r="M45" s="53" t="n">
        <x:f>IF(W195="估算",E45*V195/60,"")</x:f>
        <x:v>0.001545769897551951</x:v>
      </x:c>
      <x:c r="N45" s="53" t="n">
        <x:f>IF(W195="估算",V195/60000*1e6,"")</x:f>
        <x:v>0.1545769897551951</x:v>
      </x:c>
      <x:c r="O45" s="2" t="str">
        <x:f>IF(W195="估算","相位平均估算",W195)</x:f>
        <x:v>相位平均估算</x:v>
      </x:c>
      <x:c r="P45" s="33" t="n">
        <x:f>Q195</x:f>
        <x:v>134.9901696</x:v>
      </x:c>
      <x:c r="Q45" s="2"/>
      <x:c r="R45" s="2"/>
      <x:c r="S45" s="2"/>
      <x:c r="T45" s="2"/>
      <x:c r="U45" s="2"/>
      <x:c r="V45" s="2"/>
      <x:c r="W45" s="2"/>
      <x:c r="X45" s="2"/>
    </x:row>
    <x:row r="46" ht="25" customHeight="1">
      <x:c r="A46" s="2" t="str">
        <x:f>A23</x:f>
        <x:v>DS V4 10T</x:v>
      </x:c>
      <x:c r="B46" s="2" t="n">
        <x:f>B23</x:f>
        <x:v>32</x:v>
      </x:c>
      <x:c r="C46" s="8" t="n">
        <x:f>$B$16</x:f>
        <x:v>262144</x:v>
      </x:c>
      <x:c r="D46" s="2" t="n">
        <x:f>$C$16</x:f>
        <x:v>20</x:v>
      </x:c>
      <x:c r="E46" s="2" t="n">
        <x:f>$F$17</x:f>
        <x:v>20</x:v>
      </x:c>
      <x:c r="F46" s="9" t="n">
        <x:f>IF(A196,60000/L196,"")</x:f>
        <x:v>3</x:v>
      </x:c>
      <x:c r="G46" s="9" t="n">
        <x:f>K196</x:f>
        <x:v>0.9896209066666667</x:v>
      </x:c>
      <x:c r="H46" s="9" t="n">
        <x:f>IF(W196="估算",U196*R196,"")</x:f>
        <x:v>3.099954356131307</x:v>
      </x:c>
      <x:c r="I46" s="9" t="n">
        <x:f>IF(W196="估算",U196*S196,"")</x:f>
        <x:v>0</x:v>
      </x:c>
      <x:c r="J46" s="9" t="n">
        <x:f>IF(W196="估算",U196*MAX(0,R196-S196),"")</x:f>
        <x:v>3.099954356131307</x:v>
      </x:c>
      <x:c r="K46" s="9" t="n">
        <x:f>IF(W196="估算",IF(OR(O196=0,K196=0),0,U196*E23*MIN(1,(K196+P196)/L196)),"")</x:f>
        <x:v>9.097215724</x:v>
      </x:c>
      <x:c r="L46" s="53" t="n">
        <x:f>IF(W196="估算",V196,"")</x:f>
        <x:v>0.004637309692655853</x:v>
      </x:c>
      <x:c r="M46" s="53" t="n">
        <x:f>IF(W196="估算",E46*V196/60,"")</x:f>
        <x:v>0.001545769897551951</x:v>
      </x:c>
      <x:c r="N46" s="53" t="n">
        <x:f>IF(W196="估算",V196/60000*1e6,"")</x:f>
        <x:v>0.07728849487759755</x:v>
      </x:c>
      <x:c r="O46" s="2" t="str">
        <x:f>IF(W196="估算","相位平均估算",W196)</x:f>
        <x:v>相位平均估算</x:v>
      </x:c>
      <x:c r="P46" s="33" t="n">
        <x:f>Q196</x:f>
        <x:v>67.4950848</x:v>
      </x:c>
      <x:c r="Q46" s="2"/>
      <x:c r="R46" s="2"/>
      <x:c r="S46" s="2"/>
      <x:c r="T46" s="2"/>
      <x:c r="U46" s="2"/>
      <x:c r="V46" s="2"/>
      <x:c r="W46" s="2"/>
      <x:c r="X46" s="2"/>
    </x:row>
    <x:row r="47" ht="25" customHeight="1">
      <x:c r="A47" s="2" t="str">
        <x:f>A23</x:f>
        <x:v>DS V4 10T</x:v>
      </x:c>
      <x:c r="B47" s="2" t="n">
        <x:f>B23</x:f>
        <x:v>32</x:v>
      </x:c>
      <x:c r="C47" s="8" t="n">
        <x:f>$B$16</x:f>
        <x:v>262144</x:v>
      </x:c>
      <x:c r="D47" s="2" t="n">
        <x:f>$C$16</x:f>
        <x:v>20</x:v>
      </x:c>
      <x:c r="E47" s="2" t="n">
        <x:f>$F$18</x:f>
        <x:v>30</x:v>
      </x:c>
      <x:c r="F47" s="9" t="n">
        <x:f>IF(A197,60000/L197,"")</x:f>
        <x:v>3</x:v>
      </x:c>
      <x:c r="G47" s="9" t="n">
        <x:f>K197</x:f>
        <x:v>0.9896209066666667</x:v>
      </x:c>
      <x:c r="H47" s="9" t="n">
        <x:f>IF(W197="估算",U197*R197,"")</x:f>
        <x:v>3.0502427947980415</x:v>
      </x:c>
      <x:c r="I47" s="9" t="n">
        <x:f>IF(W197="估算",U197*S197,"")</x:f>
        <x:v>0</x:v>
      </x:c>
      <x:c r="J47" s="9" t="n">
        <x:f>IF(W197="估算",U197*MAX(0,R197-S197),"")</x:f>
        <x:v>3.0502427947980415</x:v>
      </x:c>
      <x:c r="K47" s="9" t="n">
        <x:f>IF(W197="估算",IF(OR(O197=0,K197=0),0,U197*E23*MIN(1,(K197+P197)/L197)),"")</x:f>
        <x:v>6.064810482666666</x:v>
      </x:c>
      <x:c r="L47" s="53" t="n">
        <x:f>IF(W197="估算",V197,"")</x:f>
        <x:v>0.0030915397951039015</x:v>
      </x:c>
      <x:c r="M47" s="53" t="n">
        <x:f>IF(W197="估算",E47*V197/60,"")</x:f>
        <x:v>0.0015457698975519507</x:v>
      </x:c>
      <x:c r="N47" s="53" t="n">
        <x:f>IF(W197="估算",V197/60000*1e6,"")</x:f>
        <x:v>0.05152566325173169</x:v>
      </x:c>
      <x:c r="O47" s="2" t="str">
        <x:f>IF(W197="估算","相位平均估算",W197)</x:f>
        <x:v>相位平均估算</x:v>
      </x:c>
      <x:c r="P47" s="33" t="n">
        <x:f>Q197</x:f>
        <x:v>44.996723200000005</x:v>
      </x:c>
      <x:c r="Q47" s="2"/>
      <x:c r="R47" s="2"/>
      <x:c r="S47" s="2"/>
      <x:c r="T47" s="2"/>
      <x:c r="U47" s="2"/>
      <x:c r="V47" s="2"/>
      <x:c r="W47" s="2"/>
      <x:c r="X47" s="2"/>
    </x:row>
    <x:row r="48" ht="25" customHeight="1">
      <x:c r="A48" s="2" t="str">
        <x:f>A23</x:f>
        <x:v>DS V4 10T</x:v>
      </x:c>
      <x:c r="B48" s="2" t="n">
        <x:f>B23</x:f>
        <x:v>32</x:v>
      </x:c>
      <x:c r="C48" s="8" t="n">
        <x:f>$B$17</x:f>
        <x:v>1048576</x:v>
      </x:c>
      <x:c r="D48" s="2" t="n">
        <x:f>$C$17</x:f>
        <x:v>60</x:v>
      </x:c>
      <x:c r="E48" s="2" t="n">
        <x:f>$F$15</x:f>
        <x:v>5</x:v>
      </x:c>
      <x:c r="F48" s="9" t="n">
        <x:f>IF(A198,60000/L198,"")</x:f>
        <x:v>1</x:v>
      </x:c>
      <x:c r="G48" s="9" t="n">
        <x:f>K198</x:f>
        <x:v>3.906955946666667</x:v>
      </x:c>
      <x:c r="H48" s="9" t="n">
        <x:f>IF(W198="估算",U198*R198,"")</x:f>
        <x:v>1.7659198107091711</x:v>
      </x:c>
      <x:c r="I48" s="9" t="n">
        <x:f>IF(W198="估算",U198*S198,"")</x:f>
        <x:v>0</x:v>
      </x:c>
      <x:c r="J48" s="9" t="n">
        <x:f>IF(W198="估算",U198*MAX(0,R198-S198),"")</x:f>
        <x:v>1.7659198107091711</x:v>
      </x:c>
      <x:c r="K48" s="9" t="n">
        <x:f>IF(W198="估算",IF(OR(O198=0,K198=0),0,U198*E23*MIN(1,(K198+P198)/L198)),"")</x:f>
        <x:v>47.721108453333336</x:v>
      </x:c>
      <x:c r="L48" s="53" t="n">
        <x:f>IF(W198="估算",V198,"")</x:f>
        <x:v>0.02441509587861627</x:v>
      </x:c>
      <x:c r="M48" s="53" t="n">
        <x:f>IF(W198="估算",E48*V198/60,"")</x:f>
        <x:v>0.0020345913232180227</x:v>
      </x:c>
      <x:c r="N48" s="53" t="n">
        <x:f>IF(W198="估算",V198/60000*1e6,"")</x:f>
        <x:v>0.40691826464360453</x:v>
      </x:c>
      <x:c r="O48" s="2" t="str">
        <x:f>IF(W198="估算","相位平均估算",W198)</x:f>
        <x:v>相位平均估算</x:v>
      </x:c>
      <x:c r="P48" s="33" t="n">
        <x:f>Q198</x:f>
        <x:v>269.9803392</x:v>
      </x:c>
      <x:c r="Q48" s="2"/>
      <x:c r="R48" s="2"/>
      <x:c r="S48" s="2"/>
      <x:c r="T48" s="2"/>
      <x:c r="U48" s="2"/>
      <x:c r="V48" s="2"/>
      <x:c r="W48" s="2"/>
      <x:c r="X48" s="2"/>
    </x:row>
    <x:row r="49" ht="25" customHeight="1">
      <x:c r="A49" s="2" t="str">
        <x:f>A23</x:f>
        <x:v>DS V4 10T</x:v>
      </x:c>
      <x:c r="B49" s="2" t="n">
        <x:f>B23</x:f>
        <x:v>32</x:v>
      </x:c>
      <x:c r="C49" s="8" t="n">
        <x:f>$B$17</x:f>
        <x:v>1048576</x:v>
      </x:c>
      <x:c r="D49" s="2" t="n">
        <x:f>$C$17</x:f>
        <x:v>60</x:v>
      </x:c>
      <x:c r="E49" s="2" t="n">
        <x:f>$F$16</x:f>
        <x:v>10</x:v>
      </x:c>
      <x:c r="F49" s="9" t="n">
        <x:f>IF(A199,60000/L199,"")</x:f>
        <x:v>1</x:v>
      </x:c>
      <x:c r="G49" s="9" t="n">
        <x:f>K199</x:f>
        <x:v>3.906955946666667</x:v>
      </x:c>
      <x:c r="H49" s="9" t="n">
        <x:f>IF(W199="估算",U199*R199,"")</x:f>
        <x:v>1.3747631840435037</x:v>
      </x:c>
      <x:c r="I49" s="9" t="n">
        <x:f>IF(W199="估算",U199*S199,"")</x:f>
        <x:v>0</x:v>
      </x:c>
      <x:c r="J49" s="9" t="n">
        <x:f>IF(W199="估算",U199*MAX(0,R199-S199),"")</x:f>
        <x:v>1.3747631840435037</x:v>
      </x:c>
      <x:c r="K49" s="9" t="n">
        <x:f>IF(W199="估算",IF(OR(O199=0,K199=0),0,U199*E23*MIN(1,(K199+P199)/L199)),"")</x:f>
        <x:v>23.860554226666668</x:v>
      </x:c>
      <x:c r="L49" s="53" t="n">
        <x:f>IF(W199="估算",V199,"")</x:f>
        <x:v>0.012207547939308136</x:v>
      </x:c>
      <x:c r="M49" s="53" t="n">
        <x:f>IF(W199="估算",E49*V199/60,"")</x:f>
        <x:v>0.0020345913232180227</x:v>
      </x:c>
      <x:c r="N49" s="53" t="n">
        <x:f>IF(W199="估算",V199/60000*1e6,"")</x:f>
        <x:v>0.20345913232180227</x:v>
      </x:c>
      <x:c r="O49" s="2" t="str">
        <x:f>IF(W199="估算","相位平均估算",W199)</x:f>
        <x:v>相位平均估算</x:v>
      </x:c>
      <x:c r="P49" s="33" t="n">
        <x:f>Q199</x:f>
        <x:v>134.9901696</x:v>
      </x:c>
      <x:c r="Q49" s="2"/>
      <x:c r="R49" s="2"/>
      <x:c r="S49" s="2"/>
      <x:c r="T49" s="2"/>
      <x:c r="U49" s="2"/>
      <x:c r="V49" s="2"/>
      <x:c r="W49" s="2"/>
      <x:c r="X49" s="2"/>
    </x:row>
    <x:row r="50" ht="25" customHeight="1">
      <x:c r="A50" s="2" t="str">
        <x:f>A23</x:f>
        <x:v>DS V4 10T</x:v>
      </x:c>
      <x:c r="B50" s="2" t="n">
        <x:f>B23</x:f>
        <x:v>32</x:v>
      </x:c>
      <x:c r="C50" s="8" t="n">
        <x:f>$B$17</x:f>
        <x:v>1048576</x:v>
      </x:c>
      <x:c r="D50" s="2" t="n">
        <x:f>$C$17</x:f>
        <x:v>60</x:v>
      </x:c>
      <x:c r="E50" s="2" t="n">
        <x:f>$F$17</x:f>
        <x:v>20</x:v>
      </x:c>
      <x:c r="F50" s="9" t="n">
        <x:f>IF(A200,60000/L200,"")</x:f>
        <x:v>1</x:v>
      </x:c>
      <x:c r="G50" s="9" t="n">
        <x:f>K200</x:f>
        <x:v>3.906955946666667</x:v>
      </x:c>
      <x:c r="H50" s="9" t="n">
        <x:f>IF(W200="估算",U200*R200,"")</x:f>
        <x:v>1.179184870710337</x:v>
      </x:c>
      <x:c r="I50" s="9" t="n">
        <x:f>IF(W200="估算",U200*S200,"")</x:f>
        <x:v>0</x:v>
      </x:c>
      <x:c r="J50" s="9" t="n">
        <x:f>IF(W200="估算",U200*MAX(0,R200-S200),"")</x:f>
        <x:v>1.179184870710337</x:v>
      </x:c>
      <x:c r="K50" s="9" t="n">
        <x:f>IF(W200="估算",IF(OR(O200=0,K200=0),0,U200*E23*MIN(1,(K200+P200)/L200)),"")</x:f>
        <x:v>11.930277113333334</x:v>
      </x:c>
      <x:c r="L50" s="53" t="n">
        <x:f>IF(W200="估算",V200,"")</x:f>
        <x:v>0.006103773969654068</x:v>
      </x:c>
      <x:c r="M50" s="53" t="n">
        <x:f>IF(W200="估算",E50*V200/60,"")</x:f>
        <x:v>0.0020345913232180227</x:v>
      </x:c>
      <x:c r="N50" s="53" t="n">
        <x:f>IF(W200="估算",V200/60000*1e6,"")</x:f>
        <x:v>0.10172956616090113</x:v>
      </x:c>
      <x:c r="O50" s="2" t="str">
        <x:f>IF(W200="估算","相位平均估算",W200)</x:f>
        <x:v>相位平均估算</x:v>
      </x:c>
      <x:c r="P50" s="33" t="n">
        <x:f>Q200</x:f>
        <x:v>67.4950848</x:v>
      </x:c>
      <x:c r="Q50" s="2"/>
      <x:c r="R50" s="2"/>
      <x:c r="S50" s="2"/>
      <x:c r="T50" s="2"/>
      <x:c r="U50" s="2"/>
      <x:c r="V50" s="2"/>
      <x:c r="W50" s="2"/>
      <x:c r="X50" s="2"/>
    </x:row>
    <x:row r="51" ht="25" customHeight="1">
      <x:c r="A51" s="2" t="str">
        <x:f>A23</x:f>
        <x:v>DS V4 10T</x:v>
      </x:c>
      <x:c r="B51" s="2" t="n">
        <x:f>B23</x:f>
        <x:v>32</x:v>
      </x:c>
      <x:c r="C51" s="8" t="n">
        <x:f>$B$17</x:f>
        <x:v>1048576</x:v>
      </x:c>
      <x:c r="D51" s="2" t="n">
        <x:f>$C$17</x:f>
        <x:v>60</x:v>
      </x:c>
      <x:c r="E51" s="2" t="n">
        <x:f>$F$18</x:f>
        <x:v>30</x:v>
      </x:c>
      <x:c r="F51" s="9" t="n">
        <x:f>IF(A201,60000/L201,"")</x:f>
        <x:v>1</x:v>
      </x:c>
      <x:c r="G51" s="9" t="n">
        <x:f>K201</x:f>
        <x:v>3.906955946666667</x:v>
      </x:c>
      <x:c r="H51" s="9" t="n">
        <x:f>IF(W201="估算",U201*R201,"")</x:f>
        <x:v>1.1139920995992814</x:v>
      </x:c>
      <x:c r="I51" s="9" t="n">
        <x:f>IF(W201="估算",U201*S201,"")</x:f>
        <x:v>0</x:v>
      </x:c>
      <x:c r="J51" s="9" t="n">
        <x:f>IF(W201="估算",U201*MAX(0,R201-S201),"")</x:f>
        <x:v>1.1139920995992814</x:v>
      </x:c>
      <x:c r="K51" s="9" t="n">
        <x:f>IF(W201="估算",IF(OR(O201=0,K201=0),0,U201*E23*MIN(1,(K201+P201)/L201)),"")</x:f>
        <x:v>7.953518075555556</x:v>
      </x:c>
      <x:c r="L51" s="53" t="n">
        <x:f>IF(W201="估算",V201,"")</x:f>
        <x:v>0.0040691826464360455</x:v>
      </x:c>
      <x:c r="M51" s="53" t="n">
        <x:f>IF(W201="估算",E51*V201/60,"")</x:f>
        <x:v>0.0020345913232180227</x:v>
      </x:c>
      <x:c r="N51" s="53" t="n">
        <x:f>IF(W201="估算",V201/60000*1e6,"")</x:f>
        <x:v>0.0678197107739341</x:v>
      </x:c>
      <x:c r="O51" s="2" t="str">
        <x:f>IF(W201="估算","相位平均估算",W201)</x:f>
        <x:v>相位平均估算</x:v>
      </x:c>
      <x:c r="P51" s="33" t="n">
        <x:f>Q201</x:f>
        <x:v>44.996723200000005</x:v>
      </x:c>
      <x:c r="Q51" s="2"/>
      <x:c r="R51" s="2"/>
      <x:c r="S51" s="2"/>
      <x:c r="T51" s="2"/>
      <x:c r="U51" s="2"/>
      <x:c r="V51" s="2"/>
      <x:c r="W51" s="2"/>
      <x:c r="X51" s="2"/>
    </x:row>
    <x:row r="52" ht="25" customHeight="1">
      <x:c r="A52" s="2" t="str">
        <x:f>A24</x:f>
        <x:v>DS V4 10T</x:v>
      </x:c>
      <x:c r="B52" s="2" t="n">
        <x:f>B24</x:f>
        <x:v>256</x:v>
      </x:c>
      <x:c r="C52" s="8" t="n">
        <x:f>$B$15</x:f>
        <x:v>16384</x:v>
      </x:c>
      <x:c r="D52" s="2" t="n">
        <x:f>$C$15</x:f>
        <x:v>4</x:v>
      </x:c>
      <x:c r="E52" s="2" t="n">
        <x:f>$F$15</x:f>
        <x:v>5</x:v>
      </x:c>
      <x:c r="F52" s="9" t="n">
        <x:f>IF(A202,60000/L202,"")</x:f>
        <x:v>15</x:v>
      </x:c>
      <x:c r="G52" s="9" t="n">
        <x:f>K202</x:f>
        <x:v>0.07795370666666666</x:v>
      </x:c>
      <x:c r="H52" s="9" t="n">
        <x:f>IF(W202="估算",U202*R202,"")</x:f>
        <x:v>15.002183380654621</x:v>
      </x:c>
      <x:c r="I52" s="9" t="n">
        <x:f>IF(W202="估算",U202*S202,"")</x:f>
        <x:v>0</x:v>
      </x:c>
      <x:c r="J52" s="9" t="n">
        <x:f>IF(W202="估算",U202*MAX(0,R202-S202),"")</x:f>
        <x:v>15.002183380654621</x:v>
      </x:c>
      <x:c r="K52" s="9" t="n">
        <x:f>IF(W202="估算",IF(OR(O202=0,K202=0),0,U202*E24*MIN(1,(K202+P202)/L202)),"")</x:f>
        <x:v>15.13318622</x:v>
      </x:c>
      <x:c r="L52" s="53" t="n">
        <x:f>IF(W202="估算",V202,"")</x:f>
        <x:v>0.007489844834714927</x:v>
      </x:c>
      <x:c r="M52" s="53" t="n">
        <x:f>IF(W202="估算",E52*V202/60,"")</x:f>
        <x:v>0.0006241537362262439</x:v>
      </x:c>
      <x:c r="N52" s="53" t="n">
        <x:f>IF(W202="估算",V202/60000*1e6,"")</x:f>
        <x:v>0.12483074724524877</x:v>
      </x:c>
      <x:c r="O52" s="2" t="str">
        <x:f>IF(W202="估算","相位平均估算",W202)</x:f>
        <x:v>相位平均估算</x:v>
      </x:c>
      <x:c r="P52" s="33" t="n">
        <x:f>Q202</x:f>
        <x:v>277.650528</x:v>
      </x:c>
      <x:c r="Q52" s="2"/>
      <x:c r="R52" s="2"/>
      <x:c r="S52" s="2"/>
      <x:c r="T52" s="2"/>
      <x:c r="U52" s="2"/>
      <x:c r="V52" s="2"/>
      <x:c r="W52" s="2"/>
      <x:c r="X52" s="2"/>
    </x:row>
    <x:row r="53" ht="25" customHeight="1">
      <x:c r="A53" s="2" t="str">
        <x:f>A24</x:f>
        <x:v>DS V4 10T</x:v>
      </x:c>
      <x:c r="B53" s="2" t="n">
        <x:f>B24</x:f>
        <x:v>256</x:v>
      </x:c>
      <x:c r="C53" s="8" t="n">
        <x:f>$B$15</x:f>
        <x:v>16384</x:v>
      </x:c>
      <x:c r="D53" s="2" t="n">
        <x:f>$C$15</x:f>
        <x:v>4</x:v>
      </x:c>
      <x:c r="E53" s="2" t="n">
        <x:f>$F$16</x:f>
        <x:v>10</x:v>
      </x:c>
      <x:c r="F53" s="9" t="n">
        <x:f>IF(A203,60000/L203,"")</x:f>
        <x:v>15</x:v>
      </x:c>
      <x:c r="G53" s="9" t="n">
        <x:f>K203</x:f>
        <x:v>0.07795370666666666</x:v>
      </x:c>
      <x:c r="H53" s="9" t="n">
        <x:f>IF(W203="估算",U203*R203,"")</x:f>
        <x:v>7.56659310999952</x:v>
      </x:c>
      <x:c r="I53" s="9" t="n">
        <x:f>IF(W203="估算",U203*S203,"")</x:f>
        <x:v>0</x:v>
      </x:c>
      <x:c r="J53" s="9" t="n">
        <x:f>IF(W203="估算",U203*MAX(0,R203-S203),"")</x:f>
        <x:v>7.56659310999952</x:v>
      </x:c>
      <x:c r="K53" s="9" t="n">
        <x:f>IF(W203="估算",IF(OR(O203=0,K203=0),0,U203*E24*MIN(1,(K203+P203)/L203)),"")</x:f>
        <x:v>7.56659311</x:v>
      </x:c>
      <x:c r="L53" s="53" t="n">
        <x:f>IF(W203="估算",V203,"")</x:f>
        <x:v>0.0037449224173574636</x:v>
      </x:c>
      <x:c r="M53" s="53" t="n">
        <x:f>IF(W203="估算",E53*V203/60,"")</x:f>
        <x:v>0.0006241537362262439</x:v>
      </x:c>
      <x:c r="N53" s="53" t="n">
        <x:f>IF(W203="估算",V203/60000*1e6,"")</x:f>
        <x:v>0.062415373622624386</x:v>
      </x:c>
      <x:c r="O53" s="2" t="str">
        <x:f>IF(W203="估算","相位平均估算",W203)</x:f>
        <x:v>相位平均估算</x:v>
      </x:c>
      <x:c r="P53" s="33" t="n">
        <x:f>Q203</x:f>
        <x:v>138.825264</x:v>
      </x:c>
      <x:c r="Q53" s="2"/>
      <x:c r="R53" s="2"/>
      <x:c r="S53" s="2"/>
      <x:c r="T53" s="2"/>
      <x:c r="U53" s="2"/>
      <x:c r="V53" s="2"/>
      <x:c r="W53" s="2"/>
      <x:c r="X53" s="2"/>
    </x:row>
    <x:row r="54" ht="25" customHeight="1">
      <x:c r="A54" s="2" t="str">
        <x:f>A24</x:f>
        <x:v>DS V4 10T</x:v>
      </x:c>
      <x:c r="B54" s="2" t="n">
        <x:f>B24</x:f>
        <x:v>256</x:v>
      </x:c>
      <x:c r="C54" s="8" t="n">
        <x:f>$B$15</x:f>
        <x:v>16384</x:v>
      </x:c>
      <x:c r="D54" s="2" t="n">
        <x:f>$C$15</x:f>
        <x:v>4</x:v>
      </x:c>
      <x:c r="E54" s="2" t="n">
        <x:f>$F$17</x:f>
        <x:v>20</x:v>
      </x:c>
      <x:c r="F54" s="9" t="n">
        <x:f>IF(A204,60000/L204,"")</x:f>
        <x:v>15</x:v>
      </x:c>
      <x:c r="G54" s="9" t="n">
        <x:f>K204</x:f>
        <x:v>0.07795370666666666</x:v>
      </x:c>
      <x:c r="H54" s="9" t="n">
        <x:f>IF(W204="估算",U204*R204,"")</x:f>
        <x:v>3.78329655499976</x:v>
      </x:c>
      <x:c r="I54" s="9" t="n">
        <x:f>IF(W204="估算",U204*S204,"")</x:f>
        <x:v>0</x:v>
      </x:c>
      <x:c r="J54" s="9" t="n">
        <x:f>IF(W204="估算",U204*MAX(0,R204-S204),"")</x:f>
        <x:v>3.78329655499976</x:v>
      </x:c>
      <x:c r="K54" s="9" t="n">
        <x:f>IF(W204="估算",IF(OR(O204=0,K204=0),0,U204*E24*MIN(1,(K204+P204)/L204)),"")</x:f>
        <x:v>3.783296555</x:v>
      </x:c>
      <x:c r="L54" s="53" t="n">
        <x:f>IF(W204="估算",V204,"")</x:f>
        <x:v>0.0018724612086787318</x:v>
      </x:c>
      <x:c r="M54" s="53" t="n">
        <x:f>IF(W204="估算",E54*V204/60,"")</x:f>
        <x:v>0.0006241537362262439</x:v>
      </x:c>
      <x:c r="N54" s="53" t="n">
        <x:f>IF(W204="估算",V204/60000*1e6,"")</x:f>
        <x:v>0.031207686811312193</x:v>
      </x:c>
      <x:c r="O54" s="2" t="str">
        <x:f>IF(W204="估算","相位平均估算",W204)</x:f>
        <x:v>相位平均估算</x:v>
      </x:c>
      <x:c r="P54" s="33" t="n">
        <x:f>Q204</x:f>
        <x:v>69.412632</x:v>
      </x:c>
      <x:c r="Q54" s="2"/>
      <x:c r="R54" s="2"/>
      <x:c r="S54" s="2"/>
      <x:c r="T54" s="2"/>
      <x:c r="U54" s="2"/>
      <x:c r="V54" s="2"/>
      <x:c r="W54" s="2"/>
      <x:c r="X54" s="2"/>
    </x:row>
    <x:row r="55" ht="25" customHeight="1">
      <x:c r="A55" s="2" t="str">
        <x:f>A24</x:f>
        <x:v>DS V4 10T</x:v>
      </x:c>
      <x:c r="B55" s="2" t="n">
        <x:f>B24</x:f>
        <x:v>256</x:v>
      </x:c>
      <x:c r="C55" s="8" t="n">
        <x:f>$B$15</x:f>
        <x:v>16384</x:v>
      </x:c>
      <x:c r="D55" s="2" t="n">
        <x:f>$C$15</x:f>
        <x:v>4</x:v>
      </x:c>
      <x:c r="E55" s="2" t="n">
        <x:f>$F$18</x:f>
        <x:v>30</x:v>
      </x:c>
      <x:c r="F55" s="9" t="n">
        <x:f>IF(A205,60000/L205,"")</x:f>
        <x:v>15</x:v>
      </x:c>
      <x:c r="G55" s="9" t="n">
        <x:f>K205</x:f>
        <x:v>0.07795370666666666</x:v>
      </x:c>
      <x:c r="H55" s="9" t="n">
        <x:f>IF(W205="估算",U205*R205,"")</x:f>
        <x:v>2.5221977033331733</x:v>
      </x:c>
      <x:c r="I55" s="9" t="n">
        <x:f>IF(W205="估算",U205*S205,"")</x:f>
        <x:v>0</x:v>
      </x:c>
      <x:c r="J55" s="9" t="n">
        <x:f>IF(W205="估算",U205*MAX(0,R205-S205),"")</x:f>
        <x:v>2.5221977033331733</x:v>
      </x:c>
      <x:c r="K55" s="9" t="n">
        <x:f>IF(W205="估算",IF(OR(O205=0,K205=0),0,U205*E24*MIN(1,(K205+P205)/L205)),"")</x:f>
        <x:v>2.5221977033333336</x:v>
      </x:c>
      <x:c r="L55" s="53" t="n">
        <x:f>IF(W205="估算",V205,"")</x:f>
        <x:v>0.0012483074724524879</x:v>
      </x:c>
      <x:c r="M55" s="53" t="n">
        <x:f>IF(W205="估算",E55*V205/60,"")</x:f>
        <x:v>0.0006241537362262439</x:v>
      </x:c>
      <x:c r="N55" s="53" t="n">
        <x:f>IF(W205="估算",V205/60000*1e6,"")</x:f>
        <x:v>0.020805124540874798</x:v>
      </x:c>
      <x:c r="O55" s="2" t="str">
        <x:f>IF(W205="估算","相位平均估算",W205)</x:f>
        <x:v>相位平均估算</x:v>
      </x:c>
      <x:c r="P55" s="33" t="n">
        <x:f>Q205</x:f>
        <x:v>46.275088</x:v>
      </x:c>
      <x:c r="Q55" s="2"/>
      <x:c r="R55" s="2"/>
      <x:c r="S55" s="2"/>
      <x:c r="T55" s="2"/>
      <x:c r="U55" s="2"/>
      <x:c r="V55" s="2"/>
      <x:c r="W55" s="2"/>
      <x:c r="X55" s="2"/>
    </x:row>
    <x:row r="56" ht="25" customHeight="1">
      <x:c r="A56" s="2" t="str">
        <x:f>A24</x:f>
        <x:v>DS V4 10T</x:v>
      </x:c>
      <x:c r="B56" s="2" t="n">
        <x:f>B24</x:f>
        <x:v>256</x:v>
      </x:c>
      <x:c r="C56" s="8" t="n">
        <x:f>$B$16</x:f>
        <x:v>262144</x:v>
      </x:c>
      <x:c r="D56" s="2" t="n">
        <x:f>$C$16</x:f>
        <x:v>20</x:v>
      </x:c>
      <x:c r="E56" s="2" t="n">
        <x:f>$F$15</x:f>
        <x:v>5</x:v>
      </x:c>
      <x:c r="F56" s="9" t="n">
        <x:f>IF(A206,60000/L206,"")</x:f>
        <x:v>3</x:v>
      </x:c>
      <x:c r="G56" s="9" t="n">
        <x:f>K206</x:f>
        <x:v>0.9896209066666667</x:v>
      </x:c>
      <x:c r="H56" s="9" t="n">
        <x:f>IF(W206="估算",U206*R206,"")</x:f>
        <x:v>3.54743699613147</x:v>
      </x:c>
      <x:c r="I56" s="9" t="n">
        <x:f>IF(W206="估算",U206*S206,"")</x:f>
        <x:v>0</x:v>
      </x:c>
      <x:c r="J56" s="9" t="n">
        <x:f>IF(W206="估算",U206*MAX(0,R206-S206),"")</x:f>
        <x:v>3.54743699613147</x:v>
      </x:c>
      <x:c r="K56" s="9" t="n">
        <x:f>IF(W206="估算",IF(OR(O206=0,K206=0),0,U206*E24*MIN(1,(K206+P206)/L206)),"")</x:f>
        <x:v>36.393656764</x:v>
      </x:c>
      <x:c r="L56" s="53" t="n">
        <x:f>IF(W206="估算",V206,"")</x:f>
        <x:v>0.019076085594740323</x:v>
      </x:c>
      <x:c r="M56" s="53" t="n">
        <x:f>IF(W206="估算",E56*V206/60,"")</x:f>
        <x:v>0.0015896737995616935</x:v>
      </x:c>
      <x:c r="N56" s="53" t="n">
        <x:f>IF(W206="估算",V206/60000*1e6,"")</x:f>
        <x:v>0.3179347599123387</x:v>
      </x:c>
      <x:c r="O56" s="2" t="str">
        <x:f>IF(W206="估算","相位平均估算",W206)</x:f>
        <x:v>相位平均估算</x:v>
      </x:c>
      <x:c r="P56" s="33" t="n">
        <x:f>Q206</x:f>
        <x:v>277.650528</x:v>
      </x:c>
      <x:c r="Q56" s="2"/>
      <x:c r="R56" s="2"/>
      <x:c r="S56" s="2"/>
      <x:c r="T56" s="2"/>
      <x:c r="U56" s="2"/>
      <x:c r="V56" s="2"/>
      <x:c r="W56" s="2"/>
      <x:c r="X56" s="2"/>
    </x:row>
    <x:row r="57" ht="25" customHeight="1">
      <x:c r="A57" s="2" t="str">
        <x:f>A24</x:f>
        <x:v>DS V4 10T</x:v>
      </x:c>
      <x:c r="B57" s="2" t="n">
        <x:f>B24</x:f>
        <x:v>256</x:v>
      </x:c>
      <x:c r="C57" s="8" t="n">
        <x:f>$B$16</x:f>
        <x:v>262144</x:v>
      </x:c>
      <x:c r="D57" s="2" t="n">
        <x:f>$C$16</x:f>
        <x:v>20</x:v>
      </x:c>
      <x:c r="E57" s="2" t="n">
        <x:f>$F$16</x:f>
        <x:v>10</x:v>
      </x:c>
      <x:c r="F57" s="9" t="n">
        <x:f>IF(A207,60000/L207,"")</x:f>
        <x:v>3</x:v>
      </x:c>
      <x:c r="G57" s="9" t="n">
        <x:f>K207</x:f>
        <x:v>0.9896209066666667</x:v>
      </x:c>
      <x:c r="H57" s="9" t="n">
        <x:f>IF(W207="估算",U207*R207,"")</x:f>
        <x:v>3.249128334131157</x:v>
      </x:c>
      <x:c r="I57" s="9" t="n">
        <x:f>IF(W207="估算",U207*S207,"")</x:f>
        <x:v>0</x:v>
      </x:c>
      <x:c r="J57" s="9" t="n">
        <x:f>IF(W207="估算",U207*MAX(0,R207-S207),"")</x:f>
        <x:v>3.249128334131157</x:v>
      </x:c>
      <x:c r="K57" s="9" t="n">
        <x:f>IF(W207="估算",IF(OR(O207=0,K207=0),0,U207*E24*MIN(1,(K207+P207)/L207)),"")</x:f>
        <x:v>18.196828382</x:v>
      </x:c>
      <x:c r="L57" s="53" t="n">
        <x:f>IF(W207="估算",V207,"")</x:f>
        <x:v>0.009538042797370161</x:v>
      </x:c>
      <x:c r="M57" s="53" t="n">
        <x:f>IF(W207="估算",E57*V207/60,"")</x:f>
        <x:v>0.0015896737995616935</x:v>
      </x:c>
      <x:c r="N57" s="53" t="n">
        <x:f>IF(W207="估算",V207/60000*1e6,"")</x:f>
        <x:v>0.15896737995616936</x:v>
      </x:c>
      <x:c r="O57" s="2" t="str">
        <x:f>IF(W207="估算","相位平均估算",W207)</x:f>
        <x:v>相位平均估算</x:v>
      </x:c>
      <x:c r="P57" s="33" t="n">
        <x:f>Q207</x:f>
        <x:v>138.825264</x:v>
      </x:c>
      <x:c r="Q57" s="2"/>
      <x:c r="R57" s="2"/>
      <x:c r="S57" s="2"/>
      <x:c r="T57" s="2"/>
      <x:c r="U57" s="2"/>
      <x:c r="V57" s="2"/>
      <x:c r="W57" s="2"/>
      <x:c r="X57" s="2"/>
    </x:row>
    <x:row r="58" ht="25" customHeight="1">
      <x:c r="A58" s="2" t="str">
        <x:f>A24</x:f>
        <x:v>DS V4 10T</x:v>
      </x:c>
      <x:c r="B58" s="2" t="n">
        <x:f>B24</x:f>
        <x:v>256</x:v>
      </x:c>
      <x:c r="C58" s="8" t="n">
        <x:f>$B$16</x:f>
        <x:v>262144</x:v>
      </x:c>
      <x:c r="D58" s="2" t="n">
        <x:f>$C$16</x:f>
        <x:v>20</x:v>
      </x:c>
      <x:c r="E58" s="2" t="n">
        <x:f>$F$17</x:f>
        <x:v>20</x:v>
      </x:c>
      <x:c r="F58" s="9" t="n">
        <x:f>IF(A208,60000/L208,"")</x:f>
        <x:v>3</x:v>
      </x:c>
      <x:c r="G58" s="9" t="n">
        <x:f>K208</x:f>
        <x:v>0.9896209066666667</x:v>
      </x:c>
      <x:c r="H58" s="9" t="n">
        <x:f>IF(W208="估算",U208*R208,"")</x:f>
        <x:v>3.099974003131334</x:v>
      </x:c>
      <x:c r="I58" s="9" t="n">
        <x:f>IF(W208="估算",U208*S208,"")</x:f>
        <x:v>0</x:v>
      </x:c>
      <x:c r="J58" s="9" t="n">
        <x:f>IF(W208="估算",U208*MAX(0,R208-S208),"")</x:f>
        <x:v>3.099974003131334</x:v>
      </x:c>
      <x:c r="K58" s="9" t="n">
        <x:f>IF(W208="估算",IF(OR(O208=0,K208=0),0,U208*E24*MIN(1,(K208+P208)/L208)),"")</x:f>
        <x:v>9.098414191</x:v>
      </x:c>
      <x:c r="L58" s="53" t="n">
        <x:f>IF(W208="估算",V208,"")</x:f>
        <x:v>0.004769021398685081</x:v>
      </x:c>
      <x:c r="M58" s="53" t="n">
        <x:f>IF(W208="估算",E58*V208/60,"")</x:f>
        <x:v>0.0015896737995616935</x:v>
      </x:c>
      <x:c r="N58" s="53" t="n">
        <x:f>IF(W208="估算",V208/60000*1e6,"")</x:f>
        <x:v>0.07948368997808468</x:v>
      </x:c>
      <x:c r="O58" s="2" t="str">
        <x:f>IF(W208="估算","相位平均估算",W208)</x:f>
        <x:v>相位平均估算</x:v>
      </x:c>
      <x:c r="P58" s="33" t="n">
        <x:f>Q208</x:f>
        <x:v>69.412632</x:v>
      </x:c>
      <x:c r="Q58" s="2"/>
      <x:c r="R58" s="2"/>
      <x:c r="S58" s="2"/>
      <x:c r="T58" s="2"/>
      <x:c r="U58" s="2"/>
      <x:c r="V58" s="2"/>
      <x:c r="W58" s="2"/>
      <x:c r="X58" s="2"/>
    </x:row>
    <x:row r="59" ht="25" customHeight="1">
      <x:c r="A59" s="2" t="str">
        <x:f>A24</x:f>
        <x:v>DS V4 10T</x:v>
      </x:c>
      <x:c r="B59" s="2" t="n">
        <x:f>B24</x:f>
        <x:v>256</x:v>
      </x:c>
      <x:c r="C59" s="8" t="n">
        <x:f>$B$16</x:f>
        <x:v>262144</x:v>
      </x:c>
      <x:c r="D59" s="2" t="n">
        <x:f>$C$16</x:f>
        <x:v>20</x:v>
      </x:c>
      <x:c r="E59" s="2" t="n">
        <x:f>$F$18</x:f>
        <x:v>30</x:v>
      </x:c>
      <x:c r="F59" s="9" t="n">
        <x:f>IF(A209,60000/L209,"")</x:f>
        <x:v>3</x:v>
      </x:c>
      <x:c r="G59" s="9" t="n">
        <x:f>K209</x:f>
        <x:v>0.9896209066666667</x:v>
      </x:c>
      <x:c r="H59" s="9" t="n">
        <x:f>IF(W209="估算",U209*R209,"")</x:f>
        <x:v>3.0502558927978374</x:v>
      </x:c>
      <x:c r="I59" s="9" t="n">
        <x:f>IF(W209="估算",U209*S209,"")</x:f>
        <x:v>0</x:v>
      </x:c>
      <x:c r="J59" s="9" t="n">
        <x:f>IF(W209="估算",U209*MAX(0,R209-S209),"")</x:f>
        <x:v>3.0502558927978374</x:v>
      </x:c>
      <x:c r="K59" s="9" t="n">
        <x:f>IF(W209="估算",IF(OR(O209=0,K209=0),0,U209*E24*MIN(1,(K209+P209)/L209)),"")</x:f>
        <x:v>6.065609460666667</x:v>
      </x:c>
      <x:c r="L59" s="53" t="n">
        <x:f>IF(W209="估算",V209,"")</x:f>
        <x:v>0.003179347599123387</x:v>
      </x:c>
      <x:c r="M59" s="53" t="n">
        <x:f>IF(W209="估算",E59*V209/60,"")</x:f>
        <x:v>0.0015896737995616935</x:v>
      </x:c>
      <x:c r="N59" s="53" t="n">
        <x:f>IF(W209="估算",V209/60000*1e6,"")</x:f>
        <x:v>0.05298912665205645</x:v>
      </x:c>
      <x:c r="O59" s="2" t="str">
        <x:f>IF(W209="估算","相位平均估算",W209)</x:f>
        <x:v>相位平均估算</x:v>
      </x:c>
      <x:c r="P59" s="33" t="n">
        <x:f>Q209</x:f>
        <x:v>46.275088</x:v>
      </x:c>
      <x:c r="Q59" s="2"/>
      <x:c r="R59" s="2"/>
      <x:c r="S59" s="2"/>
      <x:c r="T59" s="2"/>
      <x:c r="U59" s="2"/>
      <x:c r="V59" s="2"/>
      <x:c r="W59" s="2"/>
      <x:c r="X59" s="2"/>
    </x:row>
    <x:row r="60" ht="25" customHeight="1">
      <x:c r="A60" s="2" t="str">
        <x:f>A24</x:f>
        <x:v>DS V4 10T</x:v>
      </x:c>
      <x:c r="B60" s="2" t="n">
        <x:f>B24</x:f>
        <x:v>256</x:v>
      </x:c>
      <x:c r="C60" s="8" t="n">
        <x:f>$B$17</x:f>
        <x:v>1048576</x:v>
      </x:c>
      <x:c r="D60" s="2" t="n">
        <x:f>$C$17</x:f>
        <x:v>60</x:v>
      </x:c>
      <x:c r="E60" s="2" t="n">
        <x:f>$F$15</x:f>
        <x:v>5</x:v>
      </x:c>
      <x:c r="F60" s="9" t="n">
        <x:f>IF(A210,60000/L210,"")</x:f>
        <x:v>1</x:v>
      </x:c>
      <x:c r="G60" s="9" t="n">
        <x:f>K210</x:f>
        <x:v>3.906955946666667</x:v>
      </x:c>
      <x:c r="H60" s="9" t="n">
        <x:f>IF(W210="估算",U210*R210,"")</x:f>
        <x:v>1.7659460067105393</x:v>
      </x:c>
      <x:c r="I60" s="9" t="n">
        <x:f>IF(W210="估算",U210*S210,"")</x:f>
        <x:v>0</x:v>
      </x:c>
      <x:c r="J60" s="9" t="n">
        <x:f>IF(W210="估算",U210*MAX(0,R210-S210),"")</x:f>
        <x:v>1.7659460067105393</x:v>
      </x:c>
      <x:c r="K60" s="9" t="n">
        <x:f>IF(W210="估算",IF(OR(O210=0,K210=0),0,U210*E24*MIN(1,(K210+P210)/L210)),"")</x:f>
        <x:v>47.722706409333334</x:v>
      </x:c>
      <x:c r="L60" s="53" t="n">
        <x:f>IF(W210="估算",V210,"")</x:f>
        <x:v>0.02510868626789727</x:v>
      </x:c>
      <x:c r="M60" s="53" t="n">
        <x:f>IF(W210="估算",E60*V210/60,"")</x:f>
        <x:v>0.0020923905223247724</x:v>
      </x:c>
      <x:c r="N60" s="53" t="n">
        <x:f>IF(W210="估算",V210/60000*1e6,"")</x:f>
        <x:v>0.4184781044649545</x:v>
      </x:c>
      <x:c r="O60" s="2" t="str">
        <x:f>IF(W210="估算","相位平均估算",W210)</x:f>
        <x:v>相位平均估算</x:v>
      </x:c>
      <x:c r="P60" s="33" t="n">
        <x:f>Q210</x:f>
        <x:v>277.650528</x:v>
      </x:c>
      <x:c r="Q60" s="2"/>
      <x:c r="R60" s="2"/>
      <x:c r="S60" s="2"/>
      <x:c r="T60" s="2"/>
      <x:c r="U60" s="2"/>
      <x:c r="V60" s="2"/>
      <x:c r="W60" s="2"/>
      <x:c r="X60" s="2"/>
    </x:row>
    <x:row r="61" ht="25" customHeight="1">
      <x:c r="A61" s="2" t="str">
        <x:f>A24</x:f>
        <x:v>DS V4 10T</x:v>
      </x:c>
      <x:c r="B61" s="2" t="n">
        <x:f>B24</x:f>
        <x:v>256</x:v>
      </x:c>
      <x:c r="C61" s="8" t="n">
        <x:f>$B$17</x:f>
        <x:v>1048576</x:v>
      </x:c>
      <x:c r="D61" s="2" t="n">
        <x:f>$C$17</x:f>
        <x:v>60</x:v>
      </x:c>
      <x:c r="E61" s="2" t="n">
        <x:f>$F$16</x:f>
        <x:v>10</x:v>
      </x:c>
      <x:c r="F61" s="9" t="n">
        <x:f>IF(A211,60000/L211,"")</x:f>
        <x:v>1</x:v>
      </x:c>
      <x:c r="G61" s="9" t="n">
        <x:f>K211</x:f>
        <x:v>3.906955946666667</x:v>
      </x:c>
      <x:c r="H61" s="9" t="n">
        <x:f>IF(W211="估算",U211*R211,"")</x:f>
        <x:v>1.3747762820435216</x:v>
      </x:c>
      <x:c r="I61" s="9" t="n">
        <x:f>IF(W211="估算",U211*S211,"")</x:f>
        <x:v>0</x:v>
      </x:c>
      <x:c r="J61" s="9" t="n">
        <x:f>IF(W211="估算",U211*MAX(0,R211-S211),"")</x:f>
        <x:v>1.3747762820435216</x:v>
      </x:c>
      <x:c r="K61" s="9" t="n">
        <x:f>IF(W211="估算",IF(OR(O211=0,K211=0),0,U211*E24*MIN(1,(K211+P211)/L211)),"")</x:f>
        <x:v>23.861353204666667</x:v>
      </x:c>
      <x:c r="L61" s="53" t="n">
        <x:f>IF(W211="估算",V211,"")</x:f>
        <x:v>0.012554343133948634</x:v>
      </x:c>
      <x:c r="M61" s="53" t="n">
        <x:f>IF(W211="估算",E61*V211/60,"")</x:f>
        <x:v>0.0020923905223247724</x:v>
      </x:c>
      <x:c r="N61" s="53" t="n">
        <x:f>IF(W211="估算",V211/60000*1e6,"")</x:f>
        <x:v>0.20923905223247724</x:v>
      </x:c>
      <x:c r="O61" s="2" t="str">
        <x:f>IF(W211="估算","相位平均估算",W211)</x:f>
        <x:v>相位平均估算</x:v>
      </x:c>
      <x:c r="P61" s="33" t="n">
        <x:f>Q211</x:f>
        <x:v>138.825264</x:v>
      </x:c>
      <x:c r="Q61" s="2"/>
      <x:c r="R61" s="2"/>
      <x:c r="S61" s="2"/>
      <x:c r="T61" s="2"/>
      <x:c r="U61" s="2"/>
      <x:c r="V61" s="2"/>
      <x:c r="W61" s="2"/>
      <x:c r="X61" s="2"/>
    </x:row>
    <x:row r="62" ht="25" customHeight="1">
      <x:c r="A62" s="2" t="str">
        <x:f>A24</x:f>
        <x:v>DS V4 10T</x:v>
      </x:c>
      <x:c r="B62" s="2" t="n">
        <x:f>B24</x:f>
        <x:v>256</x:v>
      </x:c>
      <x:c r="C62" s="8" t="n">
        <x:f>$B$17</x:f>
        <x:v>1048576</x:v>
      </x:c>
      <x:c r="D62" s="2" t="n">
        <x:f>$C$17</x:f>
        <x:v>60</x:v>
      </x:c>
      <x:c r="E62" s="2" t="n">
        <x:f>$F$17</x:f>
        <x:v>20</x:v>
      </x:c>
      <x:c r="F62" s="9" t="n">
        <x:f>IF(A212,60000/L212,"")</x:f>
        <x:v>1</x:v>
      </x:c>
      <x:c r="G62" s="9" t="n">
        <x:f>K212</x:f>
        <x:v>3.906955946666667</x:v>
      </x:c>
      <x:c r="H62" s="9" t="n">
        <x:f>IF(W212="估算",U212*R212,"")</x:f>
        <x:v>1.179191419710346</x:v>
      </x:c>
      <x:c r="I62" s="9" t="n">
        <x:f>IF(W212="估算",U212*S212,"")</x:f>
        <x:v>0</x:v>
      </x:c>
      <x:c r="J62" s="9" t="n">
        <x:f>IF(W212="估算",U212*MAX(0,R212-S212),"")</x:f>
        <x:v>1.179191419710346</x:v>
      </x:c>
      <x:c r="K62" s="9" t="n">
        <x:f>IF(W212="估算",IF(OR(O212=0,K212=0),0,U212*E24*MIN(1,(K212+P212)/L212)),"")</x:f>
        <x:v>11.930676602333333</x:v>
      </x:c>
      <x:c r="L62" s="53" t="n">
        <x:f>IF(W212="估算",V212,"")</x:f>
        <x:v>0.006277171566974317</x:v>
      </x:c>
      <x:c r="M62" s="53" t="n">
        <x:f>IF(W212="估算",E62*V212/60,"")</x:f>
        <x:v>0.0020923905223247724</x:v>
      </x:c>
      <x:c r="N62" s="53" t="n">
        <x:f>IF(W212="估算",V212/60000*1e6,"")</x:f>
        <x:v>0.10461952611623862</x:v>
      </x:c>
      <x:c r="O62" s="2" t="str">
        <x:f>IF(W212="估算","相位平均估算",W212)</x:f>
        <x:v>相位平均估算</x:v>
      </x:c>
      <x:c r="P62" s="33" t="n">
        <x:f>Q212</x:f>
        <x:v>69.412632</x:v>
      </x:c>
      <x:c r="Q62" s="2"/>
      <x:c r="R62" s="2"/>
      <x:c r="S62" s="2"/>
      <x:c r="T62" s="2"/>
      <x:c r="U62" s="2"/>
      <x:c r="V62" s="2"/>
      <x:c r="W62" s="2"/>
      <x:c r="X62" s="2"/>
    </x:row>
    <x:row r="63" ht="25" customHeight="1">
      <x:c r="A63" s="2" t="str">
        <x:f>A24</x:f>
        <x:v>DS V4 10T</x:v>
      </x:c>
      <x:c r="B63" s="2" t="n">
        <x:f>B24</x:f>
        <x:v>256</x:v>
      </x:c>
      <x:c r="C63" s="8" t="n">
        <x:f>$B$17</x:f>
        <x:v>1048576</x:v>
      </x:c>
      <x:c r="D63" s="2" t="n">
        <x:f>$C$17</x:f>
        <x:v>60</x:v>
      </x:c>
      <x:c r="E63" s="2" t="n">
        <x:f>$F$18</x:f>
        <x:v>30</x:v>
      </x:c>
      <x:c r="F63" s="9" t="n">
        <x:f>IF(A213,60000/L213,"")</x:f>
        <x:v>1</x:v>
      </x:c>
      <x:c r="G63" s="9" t="n">
        <x:f>K213</x:f>
        <x:v>3.906955946666667</x:v>
      </x:c>
      <x:c r="H63" s="9" t="n">
        <x:f>IF(W213="估算",U213*R213,"")</x:f>
        <x:v>1.1139964655992873</x:v>
      </x:c>
      <x:c r="I63" s="9" t="n">
        <x:f>IF(W213="估算",U213*S213,"")</x:f>
        <x:v>0</x:v>
      </x:c>
      <x:c r="J63" s="9" t="n">
        <x:f>IF(W213="估算",U213*MAX(0,R213-S213),"")</x:f>
        <x:v>1.1139964655992873</x:v>
      </x:c>
      <x:c r="K63" s="9" t="n">
        <x:f>IF(W213="估算",IF(OR(O213=0,K213=0),0,U213*E24*MIN(1,(K213+P213)/L213)),"")</x:f>
        <x:v>7.953784401555555</x:v>
      </x:c>
      <x:c r="L63" s="53" t="n">
        <x:f>IF(W213="估算",V213,"")</x:f>
        <x:v>0.004184781044649545</x:v>
      </x:c>
      <x:c r="M63" s="53" t="n">
        <x:f>IF(W213="估算",E63*V213/60,"")</x:f>
        <x:v>0.0020923905223247724</x:v>
      </x:c>
      <x:c r="N63" s="53" t="n">
        <x:f>IF(W213="估算",V213/60000*1e6,"")</x:f>
        <x:v>0.06974635074415908</x:v>
      </x:c>
      <x:c r="O63" s="2" t="str">
        <x:f>IF(W213="估算","相位平均估算",W213)</x:f>
        <x:v>相位平均估算</x:v>
      </x:c>
      <x:c r="P63" s="33" t="n">
        <x:f>Q213</x:f>
        <x:v>46.275088</x:v>
      </x:c>
      <x:c r="Q63" s="2"/>
      <x:c r="R63" s="2"/>
      <x:c r="S63" s="2"/>
      <x:c r="T63" s="2"/>
      <x:c r="U63" s="2"/>
      <x:c r="V63" s="2"/>
      <x:c r="W63" s="2"/>
      <x:c r="X63" s="2"/>
    </x:row>
    <x:row r="64" ht="25" customHeight="1">
      <x:c r="A64" s="2" t="str">
        <x:f>A25</x:f>
        <x:v>DS V4 Pro</x:v>
      </x:c>
      <x:c r="B64" s="2" t="n">
        <x:f>B25</x:f>
        <x:v>32</x:v>
      </x:c>
      <x:c r="C64" s="8" t="n">
        <x:f>$B$15</x:f>
        <x:v>16384</x:v>
      </x:c>
      <x:c r="D64" s="2" t="n">
        <x:f>$C$15</x:f>
        <x:v>4</x:v>
      </x:c>
      <x:c r="E64" s="2" t="n">
        <x:f>$F$15</x:f>
        <x:v>5</x:v>
      </x:c>
      <x:c r="F64" s="9" t="n">
        <x:f>IF(A214,60000/L214,"")</x:f>
        <x:v>15</x:v>
      </x:c>
      <x:c r="G64" s="9" t="n">
        <x:f>K214</x:f>
        <x:v>0.07795370666666666</x:v>
      </x:c>
      <x:c r="H64" s="9" t="n">
        <x:f>IF(W214="估算",U214*R214,"")</x:f>
        <x:v>15.001790440654084</x:v>
      </x:c>
      <x:c r="I64" s="9" t="n">
        <x:f>IF(W214="估算",U214*S214,"")</x:f>
        <x:v>0</x:v>
      </x:c>
      <x:c r="J64" s="9" t="n">
        <x:f>IF(W214="估算",U214*MAX(0,R214-S214),"")</x:f>
        <x:v>15.001790440654084</x:v>
      </x:c>
      <x:c r="K64" s="9" t="n">
        <x:f>IF(W214="估算",IF(OR(O214=0,K214=0),0,U214*E25*MIN(1,(K214+P214)/L214)),"")</x:f>
        <x:v>15.10921688</x:v>
      </x:c>
      <x:c r="L64" s="53" t="n">
        <x:f>IF(W214="估算",V214,"")</x:f>
        <x:v>0.007283617501202371</x:v>
      </x:c>
      <x:c r="M64" s="53" t="n">
        <x:f>IF(W214="估算",E64*V214/60,"")</x:f>
        <x:v>0.0006069681251001976</x:v>
      </x:c>
      <x:c r="N64" s="53" t="n">
        <x:f>IF(W214="估算",V214/60000*1e6,"")</x:f>
        <x:v>0.12139362502003953</x:v>
      </x:c>
      <x:c r="O64" s="2" t="str">
        <x:f>IF(W214="估算","相位平均估算",W214)</x:f>
        <x:v>相位平均估算</x:v>
      </x:c>
      <x:c r="P64" s="33" t="n">
        <x:f>Q214</x:f>
        <x:v>269.9803392</x:v>
      </x:c>
      <x:c r="Q64" s="2"/>
      <x:c r="R64" s="2"/>
      <x:c r="S64" s="2"/>
      <x:c r="T64" s="2"/>
      <x:c r="U64" s="2"/>
      <x:c r="V64" s="2"/>
      <x:c r="W64" s="2"/>
      <x:c r="X64" s="2"/>
    </x:row>
    <x:row r="65" ht="25" customHeight="1">
      <x:c r="A65" s="2" t="str">
        <x:f>A25</x:f>
        <x:v>DS V4 Pro</x:v>
      </x:c>
      <x:c r="B65" s="2" t="n">
        <x:f>B25</x:f>
        <x:v>32</x:v>
      </x:c>
      <x:c r="C65" s="8" t="n">
        <x:f>$B$15</x:f>
        <x:v>16384</x:v>
      </x:c>
      <x:c r="D65" s="2" t="n">
        <x:f>$C$15</x:f>
        <x:v>4</x:v>
      </x:c>
      <x:c r="E65" s="2" t="n">
        <x:f>$F$16</x:f>
        <x:v>10</x:v>
      </x:c>
      <x:c r="F65" s="9" t="n">
        <x:f>IF(A215,60000/L215,"")</x:f>
        <x:v>15</x:v>
      </x:c>
      <x:c r="G65" s="9" t="n">
        <x:f>K215</x:f>
        <x:v>0.07795370666666666</x:v>
      </x:c>
      <x:c r="H65" s="9" t="n">
        <x:f>IF(W215="估算",U215*R215,"")</x:f>
        <x:v>7.554608439999111</x:v>
      </x:c>
      <x:c r="I65" s="9" t="n">
        <x:f>IF(W215="估算",U215*S215,"")</x:f>
        <x:v>0</x:v>
      </x:c>
      <x:c r="J65" s="9" t="n">
        <x:f>IF(W215="估算",U215*MAX(0,R215-S215),"")</x:f>
        <x:v>7.554608439999111</x:v>
      </x:c>
      <x:c r="K65" s="9" t="n">
        <x:f>IF(W215="估算",IF(OR(O215=0,K215=0),0,U215*E25*MIN(1,(K215+P215)/L215)),"")</x:f>
        <x:v>7.55460844</x:v>
      </x:c>
      <x:c r="L65" s="53" t="n">
        <x:f>IF(W215="估算",V215,"")</x:f>
        <x:v>0.0036418087506011857</x:v>
      </x:c>
      <x:c r="M65" s="53" t="n">
        <x:f>IF(W215="估算",E65*V215/60,"")</x:f>
        <x:v>0.0006069681251001976</x:v>
      </x:c>
      <x:c r="N65" s="53" t="n">
        <x:f>IF(W215="估算",V215/60000*1e6,"")</x:f>
        <x:v>0.060696812510019765</x:v>
      </x:c>
      <x:c r="O65" s="2" t="str">
        <x:f>IF(W215="估算","相位平均估算",W215)</x:f>
        <x:v>相位平均估算</x:v>
      </x:c>
      <x:c r="P65" s="33" t="n">
        <x:f>Q215</x:f>
        <x:v>134.9901696</x:v>
      </x:c>
      <x:c r="Q65" s="2"/>
      <x:c r="R65" s="2"/>
      <x:c r="S65" s="2"/>
      <x:c r="T65" s="2"/>
      <x:c r="U65" s="2"/>
      <x:c r="V65" s="2"/>
      <x:c r="W65" s="2"/>
      <x:c r="X65" s="2"/>
    </x:row>
    <x:row r="66" ht="25" customHeight="1">
      <x:c r="A66" s="2" t="str">
        <x:f>A25</x:f>
        <x:v>DS V4 Pro</x:v>
      </x:c>
      <x:c r="B66" s="2" t="n">
        <x:f>B25</x:f>
        <x:v>32</x:v>
      </x:c>
      <x:c r="C66" s="8" t="n">
        <x:f>$B$15</x:f>
        <x:v>16384</x:v>
      </x:c>
      <x:c r="D66" s="2" t="n">
        <x:f>$C$15</x:f>
        <x:v>4</x:v>
      </x:c>
      <x:c r="E66" s="2" t="n">
        <x:f>$F$17</x:f>
        <x:v>20</x:v>
      </x:c>
      <x:c r="F66" s="9" t="n">
        <x:f>IF(A216,60000/L216,"")</x:f>
        <x:v>15</x:v>
      </x:c>
      <x:c r="G66" s="9" t="n">
        <x:f>K216</x:f>
        <x:v>0.07795370666666666</x:v>
      </x:c>
      <x:c r="H66" s="9" t="n">
        <x:f>IF(W216="估算",U216*R216,"")</x:f>
        <x:v>3.7773042199995555</x:v>
      </x:c>
      <x:c r="I66" s="9" t="n">
        <x:f>IF(W216="估算",U216*S216,"")</x:f>
        <x:v>0</x:v>
      </x:c>
      <x:c r="J66" s="9" t="n">
        <x:f>IF(W216="估算",U216*MAX(0,R216-S216),"")</x:f>
        <x:v>3.7773042199995555</x:v>
      </x:c>
      <x:c r="K66" s="9" t="n">
        <x:f>IF(W216="估算",IF(OR(O216=0,K216=0),0,U216*E25*MIN(1,(K216+P216)/L216)),"")</x:f>
        <x:v>3.77730422</x:v>
      </x:c>
      <x:c r="L66" s="53" t="n">
        <x:f>IF(W216="估算",V216,"")</x:f>
        <x:v>0.0018209043753005928</x:v>
      </x:c>
      <x:c r="M66" s="53" t="n">
        <x:f>IF(W216="估算",E66*V216/60,"")</x:f>
        <x:v>0.0006069681251001976</x:v>
      </x:c>
      <x:c r="N66" s="53" t="n">
        <x:f>IF(W216="估算",V216/60000*1e6,"")</x:f>
        <x:v>0.030348406255009883</x:v>
      </x:c>
      <x:c r="O66" s="2" t="str">
        <x:f>IF(W216="估算","相位平均估算",W216)</x:f>
        <x:v>相位平均估算</x:v>
      </x:c>
      <x:c r="P66" s="33" t="n">
        <x:f>Q216</x:f>
        <x:v>67.4950848</x:v>
      </x:c>
      <x:c r="Q66" s="2"/>
      <x:c r="R66" s="2"/>
      <x:c r="S66" s="2"/>
      <x:c r="T66" s="2"/>
      <x:c r="U66" s="2"/>
      <x:c r="V66" s="2"/>
      <x:c r="W66" s="2"/>
      <x:c r="X66" s="2"/>
    </x:row>
    <x:row r="67" ht="25" customHeight="1">
      <x:c r="A67" s="2" t="str">
        <x:f>A25</x:f>
        <x:v>DS V4 Pro</x:v>
      </x:c>
      <x:c r="B67" s="2" t="n">
        <x:f>B25</x:f>
        <x:v>32</x:v>
      </x:c>
      <x:c r="C67" s="8" t="n">
        <x:f>$B$15</x:f>
        <x:v>16384</x:v>
      </x:c>
      <x:c r="D67" s="2" t="n">
        <x:f>$C$15</x:f>
        <x:v>4</x:v>
      </x:c>
      <x:c r="E67" s="2" t="n">
        <x:f>$F$18</x:f>
        <x:v>30</x:v>
      </x:c>
      <x:c r="F67" s="9" t="n">
        <x:f>IF(A217,60000/L217,"")</x:f>
        <x:v>15</x:v>
      </x:c>
      <x:c r="G67" s="9" t="n">
        <x:f>K217</x:f>
        <x:v>0.07795370666666666</x:v>
      </x:c>
      <x:c r="H67" s="9" t="n">
        <x:f>IF(W217="估算",U217*R217,"")</x:f>
        <x:v>2.518202813333259</x:v>
      </x:c>
      <x:c r="I67" s="9" t="n">
        <x:f>IF(W217="估算",U217*S217,"")</x:f>
        <x:v>0</x:v>
      </x:c>
      <x:c r="J67" s="9" t="n">
        <x:f>IF(W217="估算",U217*MAX(0,R217-S217),"")</x:f>
        <x:v>2.518202813333259</x:v>
      </x:c>
      <x:c r="K67" s="9" t="n">
        <x:f>IF(W217="估算",IF(OR(O217=0,K217=0),0,U217*E25*MIN(1,(K217+P217)/L217)),"")</x:f>
        <x:v>2.518202813333333</x:v>
      </x:c>
      <x:c r="L67" s="53" t="n">
        <x:f>IF(W217="估算",V217,"")</x:f>
        <x:v>0.0012139362502003952</x:v>
      </x:c>
      <x:c r="M67" s="53" t="n">
        <x:f>IF(W217="估算",E67*V217/60,"")</x:f>
        <x:v>0.0006069681251001976</x:v>
      </x:c>
      <x:c r="N67" s="53" t="n">
        <x:f>IF(W217="估算",V217/60000*1e6,"")</x:f>
        <x:v>0.020232270836673255</x:v>
      </x:c>
      <x:c r="O67" s="2" t="str">
        <x:f>IF(W217="估算","相位平均估算",W217)</x:f>
        <x:v>相位平均估算</x:v>
      </x:c>
      <x:c r="P67" s="33" t="n">
        <x:f>Q217</x:f>
        <x:v>44.996723200000005</x:v>
      </x:c>
      <x:c r="Q67" s="2"/>
      <x:c r="R67" s="2"/>
      <x:c r="S67" s="2"/>
      <x:c r="T67" s="2"/>
      <x:c r="U67" s="2"/>
      <x:c r="V67" s="2"/>
      <x:c r="W67" s="2"/>
      <x:c r="X67" s="2"/>
    </x:row>
    <x:row r="68" ht="25" customHeight="1">
      <x:c r="A68" s="2" t="str">
        <x:f>A25</x:f>
        <x:v>DS V4 Pro</x:v>
      </x:c>
      <x:c r="B68" s="2" t="n">
        <x:f>B25</x:f>
        <x:v>32</x:v>
      </x:c>
      <x:c r="C68" s="8" t="n">
        <x:f>$B$16</x:f>
        <x:v>262144</x:v>
      </x:c>
      <x:c r="D68" s="2" t="n">
        <x:f>$C$16</x:f>
        <x:v>20</x:v>
      </x:c>
      <x:c r="E68" s="2" t="n">
        <x:f>$F$15</x:f>
        <x:v>5</x:v>
      </x:c>
      <x:c r="F68" s="9" t="n">
        <x:f>IF(A218,60000/L218,"")</x:f>
        <x:v>3</x:v>
      </x:c>
      <x:c r="G68" s="9" t="n">
        <x:f>K218</x:f>
        <x:v>0.9896209066666667</x:v>
      </x:c>
      <x:c r="H68" s="9" t="n">
        <x:f>IF(W218="估算",U218*R218,"")</x:f>
        <x:v>3.5473584081326948</x:v>
      </x:c>
      <x:c r="I68" s="9" t="n">
        <x:f>IF(W218="估算",U218*S218,"")</x:f>
        <x:v>0</x:v>
      </x:c>
      <x:c r="J68" s="9" t="n">
        <x:f>IF(W218="估算",U218*MAX(0,R218-S218),"")</x:f>
        <x:v>3.5473584081326948</x:v>
      </x:c>
      <x:c r="K68" s="9" t="n">
        <x:f>IF(W218="估算",IF(OR(O218=0,K218=0),0,U218*E25*MIN(1,(K218+P218)/L218)),"")</x:f>
        <x:v>36.388862896</x:v>
      </x:c>
      <x:c r="L68" s="53" t="n">
        <x:f>IF(W218="估算",V218,"")</x:f>
        <x:v>0.01854923877062341</x:v>
      </x:c>
      <x:c r="M68" s="53" t="n">
        <x:f>IF(W218="估算",E68*V218/60,"")</x:f>
        <x:v>0.001545769897551951</x:v>
      </x:c>
      <x:c r="N68" s="53" t="n">
        <x:f>IF(W218="估算",V218/60000*1e6,"")</x:f>
        <x:v>0.3091539795103902</x:v>
      </x:c>
      <x:c r="O68" s="2" t="str">
        <x:f>IF(W218="估算","相位平均估算",W218)</x:f>
        <x:v>相位平均估算</x:v>
      </x:c>
      <x:c r="P68" s="33" t="n">
        <x:f>Q218</x:f>
        <x:v>269.9803392</x:v>
      </x:c>
      <x:c r="Q68" s="2"/>
      <x:c r="R68" s="2"/>
      <x:c r="S68" s="2"/>
      <x:c r="T68" s="2"/>
      <x:c r="U68" s="2"/>
      <x:c r="V68" s="2"/>
      <x:c r="W68" s="2"/>
      <x:c r="X68" s="2"/>
    </x:row>
    <x:row r="69" ht="25" customHeight="1">
      <x:c r="A69" s="2" t="str">
        <x:f>A25</x:f>
        <x:v>DS V4 Pro</x:v>
      </x:c>
      <x:c r="B69" s="2" t="n">
        <x:f>B25</x:f>
        <x:v>32</x:v>
      </x:c>
      <x:c r="C69" s="8" t="n">
        <x:f>$B$16</x:f>
        <x:v>262144</x:v>
      </x:c>
      <x:c r="D69" s="2" t="n">
        <x:f>$C$16</x:f>
        <x:v>20</x:v>
      </x:c>
      <x:c r="E69" s="2" t="n">
        <x:f>$F$16</x:f>
        <x:v>10</x:v>
      </x:c>
      <x:c r="F69" s="9" t="n">
        <x:f>IF(A219,60000/L219,"")</x:f>
        <x:v>3</x:v>
      </x:c>
      <x:c r="G69" s="9" t="n">
        <x:f>K219</x:f>
        <x:v>0.9896209066666667</x:v>
      </x:c>
      <x:c r="H69" s="9" t="n">
        <x:f>IF(W219="估算",U219*R219,"")</x:f>
        <x:v>3.2490890401317696</x:v>
      </x:c>
      <x:c r="I69" s="9" t="n">
        <x:f>IF(W219="估算",U219*S219,"")</x:f>
        <x:v>0</x:v>
      </x:c>
      <x:c r="J69" s="9" t="n">
        <x:f>IF(W219="估算",U219*MAX(0,R219-S219),"")</x:f>
        <x:v>3.2490890401317696</x:v>
      </x:c>
      <x:c r="K69" s="9" t="n">
        <x:f>IF(W219="估算",IF(OR(O219=0,K219=0),0,U219*E25*MIN(1,(K219+P219)/L219)),"")</x:f>
        <x:v>18.194431448</x:v>
      </x:c>
      <x:c r="L69" s="53" t="n">
        <x:f>IF(W219="估算",V219,"")</x:f>
        <x:v>0.009274619385311706</x:v>
      </x:c>
      <x:c r="M69" s="53" t="n">
        <x:f>IF(W219="估算",E69*V219/60,"")</x:f>
        <x:v>0.001545769897551951</x:v>
      </x:c>
      <x:c r="N69" s="53" t="n">
        <x:f>IF(W219="估算",V219/60000*1e6,"")</x:f>
        <x:v>0.1545769897551951</x:v>
      </x:c>
      <x:c r="O69" s="2" t="str">
        <x:f>IF(W219="估算","相位平均估算",W219)</x:f>
        <x:v>相位平均估算</x:v>
      </x:c>
      <x:c r="P69" s="33" t="n">
        <x:f>Q219</x:f>
        <x:v>134.9901696</x:v>
      </x:c>
      <x:c r="Q69" s="2"/>
      <x:c r="R69" s="2"/>
      <x:c r="S69" s="2"/>
      <x:c r="T69" s="2"/>
      <x:c r="U69" s="2"/>
      <x:c r="V69" s="2"/>
      <x:c r="W69" s="2"/>
      <x:c r="X69" s="2"/>
    </x:row>
    <x:row r="70" ht="25" customHeight="1">
      <x:c r="A70" s="2" t="str">
        <x:f>A25</x:f>
        <x:v>DS V4 Pro</x:v>
      </x:c>
      <x:c r="B70" s="2" t="n">
        <x:f>B25</x:f>
        <x:v>32</x:v>
      </x:c>
      <x:c r="C70" s="8" t="n">
        <x:f>$B$16</x:f>
        <x:v>262144</x:v>
      </x:c>
      <x:c r="D70" s="2" t="n">
        <x:f>$C$16</x:f>
        <x:v>20</x:v>
      </x:c>
      <x:c r="E70" s="2" t="n">
        <x:f>$F$17</x:f>
        <x:v>20</x:v>
      </x:c>
      <x:c r="F70" s="9" t="n">
        <x:f>IF(A220,60000/L220,"")</x:f>
        <x:v>3</x:v>
      </x:c>
      <x:c r="G70" s="9" t="n">
        <x:f>K220</x:f>
        <x:v>0.9896209066666667</x:v>
      </x:c>
      <x:c r="H70" s="9" t="n">
        <x:f>IF(W220="估算",U220*R220,"")</x:f>
        <x:v>3.099954356131307</x:v>
      </x:c>
      <x:c r="I70" s="9" t="n">
        <x:f>IF(W220="估算",U220*S220,"")</x:f>
        <x:v>0</x:v>
      </x:c>
      <x:c r="J70" s="9" t="n">
        <x:f>IF(W220="估算",U220*MAX(0,R220-S220),"")</x:f>
        <x:v>3.099954356131307</x:v>
      </x:c>
      <x:c r="K70" s="9" t="n">
        <x:f>IF(W220="估算",IF(OR(O220=0,K220=0),0,U220*E25*MIN(1,(K220+P220)/L220)),"")</x:f>
        <x:v>9.097215724</x:v>
      </x:c>
      <x:c r="L70" s="53" t="n">
        <x:f>IF(W220="估算",V220,"")</x:f>
        <x:v>0.004637309692655853</x:v>
      </x:c>
      <x:c r="M70" s="53" t="n">
        <x:f>IF(W220="估算",E70*V220/60,"")</x:f>
        <x:v>0.001545769897551951</x:v>
      </x:c>
      <x:c r="N70" s="53" t="n">
        <x:f>IF(W220="估算",V220/60000*1e6,"")</x:f>
        <x:v>0.07728849487759755</x:v>
      </x:c>
      <x:c r="O70" s="2" t="str">
        <x:f>IF(W220="估算","相位平均估算",W220)</x:f>
        <x:v>相位平均估算</x:v>
      </x:c>
      <x:c r="P70" s="33" t="n">
        <x:f>Q220</x:f>
        <x:v>67.4950848</x:v>
      </x:c>
      <x:c r="Q70" s="2"/>
      <x:c r="R70" s="2"/>
      <x:c r="S70" s="2"/>
      <x:c r="T70" s="2"/>
      <x:c r="U70" s="2"/>
      <x:c r="V70" s="2"/>
      <x:c r="W70" s="2"/>
      <x:c r="X70" s="2"/>
    </x:row>
    <x:row r="71" ht="25" customHeight="1">
      <x:c r="A71" s="2" t="str">
        <x:f>A25</x:f>
        <x:v>DS V4 Pro</x:v>
      </x:c>
      <x:c r="B71" s="2" t="n">
        <x:f>B25</x:f>
        <x:v>32</x:v>
      </x:c>
      <x:c r="C71" s="8" t="n">
        <x:f>$B$16</x:f>
        <x:v>262144</x:v>
      </x:c>
      <x:c r="D71" s="2" t="n">
        <x:f>$C$16</x:f>
        <x:v>20</x:v>
      </x:c>
      <x:c r="E71" s="2" t="n">
        <x:f>$F$18</x:f>
        <x:v>30</x:v>
      </x:c>
      <x:c r="F71" s="9" t="n">
        <x:f>IF(A221,60000/L221,"")</x:f>
        <x:v>3</x:v>
      </x:c>
      <x:c r="G71" s="9" t="n">
        <x:f>K221</x:f>
        <x:v>0.9896209066666667</x:v>
      </x:c>
      <x:c r="H71" s="9" t="n">
        <x:f>IF(W221="估算",U221*R221,"")</x:f>
        <x:v>3.0502427947980415</x:v>
      </x:c>
      <x:c r="I71" s="9" t="n">
        <x:f>IF(W221="估算",U221*S221,"")</x:f>
        <x:v>0</x:v>
      </x:c>
      <x:c r="J71" s="9" t="n">
        <x:f>IF(W221="估算",U221*MAX(0,R221-S221),"")</x:f>
        <x:v>3.0502427947980415</x:v>
      </x:c>
      <x:c r="K71" s="9" t="n">
        <x:f>IF(W221="估算",IF(OR(O221=0,K221=0),0,U221*E25*MIN(1,(K221+P221)/L221)),"")</x:f>
        <x:v>6.064810482666666</x:v>
      </x:c>
      <x:c r="L71" s="53" t="n">
        <x:f>IF(W221="估算",V221,"")</x:f>
        <x:v>0.0030915397951039015</x:v>
      </x:c>
      <x:c r="M71" s="53" t="n">
        <x:f>IF(W221="估算",E71*V221/60,"")</x:f>
        <x:v>0.0015457698975519507</x:v>
      </x:c>
      <x:c r="N71" s="53" t="n">
        <x:f>IF(W221="估算",V221/60000*1e6,"")</x:f>
        <x:v>0.05152566325173169</x:v>
      </x:c>
      <x:c r="O71" s="2" t="str">
        <x:f>IF(W221="估算","相位平均估算",W221)</x:f>
        <x:v>相位平均估算</x:v>
      </x:c>
      <x:c r="P71" s="33" t="n">
        <x:f>Q221</x:f>
        <x:v>44.996723200000005</x:v>
      </x:c>
      <x:c r="Q71" s="2"/>
      <x:c r="R71" s="2"/>
      <x:c r="S71" s="2"/>
      <x:c r="T71" s="2"/>
      <x:c r="U71" s="2"/>
      <x:c r="V71" s="2"/>
      <x:c r="W71" s="2"/>
      <x:c r="X71" s="2"/>
    </x:row>
    <x:row r="72" ht="25" customHeight="1">
      <x:c r="A72" s="2" t="str">
        <x:f>A25</x:f>
        <x:v>DS V4 Pro</x:v>
      </x:c>
      <x:c r="B72" s="2" t="n">
        <x:f>B25</x:f>
        <x:v>32</x:v>
      </x:c>
      <x:c r="C72" s="8" t="n">
        <x:f>$B$17</x:f>
        <x:v>1048576</x:v>
      </x:c>
      <x:c r="D72" s="2" t="n">
        <x:f>$C$17</x:f>
        <x:v>60</x:v>
      </x:c>
      <x:c r="E72" s="2" t="n">
        <x:f>$F$15</x:f>
        <x:v>5</x:v>
      </x:c>
      <x:c r="F72" s="9" t="n">
        <x:f>IF(A222,60000/L222,"")</x:f>
        <x:v>1</x:v>
      </x:c>
      <x:c r="G72" s="9" t="n">
        <x:f>K222</x:f>
        <x:v>3.906955946666667</x:v>
      </x:c>
      <x:c r="H72" s="9" t="n">
        <x:f>IF(W222="估算",U222*R222,"")</x:f>
        <x:v>1.7659198107091711</x:v>
      </x:c>
      <x:c r="I72" s="9" t="n">
        <x:f>IF(W222="估算",U222*S222,"")</x:f>
        <x:v>0</x:v>
      </x:c>
      <x:c r="J72" s="9" t="n">
        <x:f>IF(W222="估算",U222*MAX(0,R222-S222),"")</x:f>
        <x:v>1.7659198107091711</x:v>
      </x:c>
      <x:c r="K72" s="9" t="n">
        <x:f>IF(W222="估算",IF(OR(O222=0,K222=0),0,U222*E25*MIN(1,(K222+P222)/L222)),"")</x:f>
        <x:v>47.721108453333336</x:v>
      </x:c>
      <x:c r="L72" s="53" t="n">
        <x:f>IF(W222="估算",V222,"")</x:f>
        <x:v>0.02441509587861627</x:v>
      </x:c>
      <x:c r="M72" s="53" t="n">
        <x:f>IF(W222="估算",E72*V222/60,"")</x:f>
        <x:v>0.0020345913232180227</x:v>
      </x:c>
      <x:c r="N72" s="53" t="n">
        <x:f>IF(W222="估算",V222/60000*1e6,"")</x:f>
        <x:v>0.40691826464360453</x:v>
      </x:c>
      <x:c r="O72" s="2" t="str">
        <x:f>IF(W222="估算","相位平均估算",W222)</x:f>
        <x:v>相位平均估算</x:v>
      </x:c>
      <x:c r="P72" s="33" t="n">
        <x:f>Q222</x:f>
        <x:v>269.9803392</x:v>
      </x:c>
      <x:c r="Q72" s="2"/>
      <x:c r="R72" s="2"/>
      <x:c r="S72" s="2"/>
      <x:c r="T72" s="2"/>
      <x:c r="U72" s="2"/>
      <x:c r="V72" s="2"/>
      <x:c r="W72" s="2"/>
      <x:c r="X72" s="2"/>
    </x:row>
    <x:row r="73" ht="25" customHeight="1">
      <x:c r="A73" s="2" t="str">
        <x:f>A25</x:f>
        <x:v>DS V4 Pro</x:v>
      </x:c>
      <x:c r="B73" s="2" t="n">
        <x:f>B25</x:f>
        <x:v>32</x:v>
      </x:c>
      <x:c r="C73" s="8" t="n">
        <x:f>$B$17</x:f>
        <x:v>1048576</x:v>
      </x:c>
      <x:c r="D73" s="2" t="n">
        <x:f>$C$17</x:f>
        <x:v>60</x:v>
      </x:c>
      <x:c r="E73" s="2" t="n">
        <x:f>$F$16</x:f>
        <x:v>10</x:v>
      </x:c>
      <x:c r="F73" s="9" t="n">
        <x:f>IF(A223,60000/L223,"")</x:f>
        <x:v>1</x:v>
      </x:c>
      <x:c r="G73" s="9" t="n">
        <x:f>K223</x:f>
        <x:v>3.906955946666667</x:v>
      </x:c>
      <x:c r="H73" s="9" t="n">
        <x:f>IF(W223="估算",U223*R223,"")</x:f>
        <x:v>1.3747631840435037</x:v>
      </x:c>
      <x:c r="I73" s="9" t="n">
        <x:f>IF(W223="估算",U223*S223,"")</x:f>
        <x:v>0</x:v>
      </x:c>
      <x:c r="J73" s="9" t="n">
        <x:f>IF(W223="估算",U223*MAX(0,R223-S223),"")</x:f>
        <x:v>1.3747631840435037</x:v>
      </x:c>
      <x:c r="K73" s="9" t="n">
        <x:f>IF(W223="估算",IF(OR(O223=0,K223=0),0,U223*E25*MIN(1,(K223+P223)/L223)),"")</x:f>
        <x:v>23.860554226666668</x:v>
      </x:c>
      <x:c r="L73" s="53" t="n">
        <x:f>IF(W223="估算",V223,"")</x:f>
        <x:v>0.012207547939308136</x:v>
      </x:c>
      <x:c r="M73" s="53" t="n">
        <x:f>IF(W223="估算",E73*V223/60,"")</x:f>
        <x:v>0.0020345913232180227</x:v>
      </x:c>
      <x:c r="N73" s="53" t="n">
        <x:f>IF(W223="估算",V223/60000*1e6,"")</x:f>
        <x:v>0.20345913232180227</x:v>
      </x:c>
      <x:c r="O73" s="2" t="str">
        <x:f>IF(W223="估算","相位平均估算",W223)</x:f>
        <x:v>相位平均估算</x:v>
      </x:c>
      <x:c r="P73" s="33" t="n">
        <x:f>Q223</x:f>
        <x:v>134.9901696</x:v>
      </x:c>
      <x:c r="Q73" s="2"/>
      <x:c r="R73" s="2"/>
      <x:c r="S73" s="2"/>
      <x:c r="T73" s="2"/>
      <x:c r="U73" s="2"/>
      <x:c r="V73" s="2"/>
      <x:c r="W73" s="2"/>
      <x:c r="X73" s="2"/>
    </x:row>
    <x:row r="74" ht="25" customHeight="1">
      <x:c r="A74" s="2" t="str">
        <x:f>A25</x:f>
        <x:v>DS V4 Pro</x:v>
      </x:c>
      <x:c r="B74" s="2" t="n">
        <x:f>B25</x:f>
        <x:v>32</x:v>
      </x:c>
      <x:c r="C74" s="8" t="n">
        <x:f>$B$17</x:f>
        <x:v>1048576</x:v>
      </x:c>
      <x:c r="D74" s="2" t="n">
        <x:f>$C$17</x:f>
        <x:v>60</x:v>
      </x:c>
      <x:c r="E74" s="2" t="n">
        <x:f>$F$17</x:f>
        <x:v>20</x:v>
      </x:c>
      <x:c r="F74" s="9" t="n">
        <x:f>IF(A224,60000/L224,"")</x:f>
        <x:v>1</x:v>
      </x:c>
      <x:c r="G74" s="9" t="n">
        <x:f>K224</x:f>
        <x:v>3.906955946666667</x:v>
      </x:c>
      <x:c r="H74" s="9" t="n">
        <x:f>IF(W224="估算",U224*R224,"")</x:f>
        <x:v>1.179184870710337</x:v>
      </x:c>
      <x:c r="I74" s="9" t="n">
        <x:f>IF(W224="估算",U224*S224,"")</x:f>
        <x:v>0</x:v>
      </x:c>
      <x:c r="J74" s="9" t="n">
        <x:f>IF(W224="估算",U224*MAX(0,R224-S224),"")</x:f>
        <x:v>1.179184870710337</x:v>
      </x:c>
      <x:c r="K74" s="9" t="n">
        <x:f>IF(W224="估算",IF(OR(O224=0,K224=0),0,U224*E25*MIN(1,(K224+P224)/L224)),"")</x:f>
        <x:v>11.930277113333334</x:v>
      </x:c>
      <x:c r="L74" s="53" t="n">
        <x:f>IF(W224="估算",V224,"")</x:f>
        <x:v>0.006103773969654068</x:v>
      </x:c>
      <x:c r="M74" s="53" t="n">
        <x:f>IF(W224="估算",E74*V224/60,"")</x:f>
        <x:v>0.0020345913232180227</x:v>
      </x:c>
      <x:c r="N74" s="53" t="n">
        <x:f>IF(W224="估算",V224/60000*1e6,"")</x:f>
        <x:v>0.10172956616090113</x:v>
      </x:c>
      <x:c r="O74" s="2" t="str">
        <x:f>IF(W224="估算","相位平均估算",W224)</x:f>
        <x:v>相位平均估算</x:v>
      </x:c>
      <x:c r="P74" s="33" t="n">
        <x:f>Q224</x:f>
        <x:v>67.4950848</x:v>
      </x:c>
      <x:c r="Q74" s="2"/>
      <x:c r="R74" s="2"/>
      <x:c r="S74" s="2"/>
      <x:c r="T74" s="2"/>
      <x:c r="U74" s="2"/>
      <x:c r="V74" s="2"/>
      <x:c r="W74" s="2"/>
      <x:c r="X74" s="2"/>
    </x:row>
    <x:row r="75" ht="25" customHeight="1">
      <x:c r="A75" s="2" t="str">
        <x:f>A25</x:f>
        <x:v>DS V4 Pro</x:v>
      </x:c>
      <x:c r="B75" s="2" t="n">
        <x:f>B25</x:f>
        <x:v>32</x:v>
      </x:c>
      <x:c r="C75" s="8" t="n">
        <x:f>$B$17</x:f>
        <x:v>1048576</x:v>
      </x:c>
      <x:c r="D75" s="2" t="n">
        <x:f>$C$17</x:f>
        <x:v>60</x:v>
      </x:c>
      <x:c r="E75" s="2" t="n">
        <x:f>$F$18</x:f>
        <x:v>30</x:v>
      </x:c>
      <x:c r="F75" s="9" t="n">
        <x:f>IF(A225,60000/L225,"")</x:f>
        <x:v>1</x:v>
      </x:c>
      <x:c r="G75" s="9" t="n">
        <x:f>K225</x:f>
        <x:v>3.906955946666667</x:v>
      </x:c>
      <x:c r="H75" s="9" t="n">
        <x:f>IF(W225="估算",U225*R225,"")</x:f>
        <x:v>1.1139920995992814</x:v>
      </x:c>
      <x:c r="I75" s="9" t="n">
        <x:f>IF(W225="估算",U225*S225,"")</x:f>
        <x:v>0</x:v>
      </x:c>
      <x:c r="J75" s="9" t="n">
        <x:f>IF(W225="估算",U225*MAX(0,R225-S225),"")</x:f>
        <x:v>1.1139920995992814</x:v>
      </x:c>
      <x:c r="K75" s="9" t="n">
        <x:f>IF(W225="估算",IF(OR(O225=0,K225=0),0,U225*E25*MIN(1,(K225+P225)/L225)),"")</x:f>
        <x:v>7.953518075555556</x:v>
      </x:c>
      <x:c r="L75" s="53" t="n">
        <x:f>IF(W225="估算",V225,"")</x:f>
        <x:v>0.0040691826464360455</x:v>
      </x:c>
      <x:c r="M75" s="53" t="n">
        <x:f>IF(W225="估算",E75*V225/60,"")</x:f>
        <x:v>0.0020345913232180227</x:v>
      </x:c>
      <x:c r="N75" s="53" t="n">
        <x:f>IF(W225="估算",V225/60000*1e6,"")</x:f>
        <x:v>0.0678197107739341</x:v>
      </x:c>
      <x:c r="O75" s="2" t="str">
        <x:f>IF(W225="估算","相位平均估算",W225)</x:f>
        <x:v>相位平均估算</x:v>
      </x:c>
      <x:c r="P75" s="33" t="n">
        <x:f>Q225</x:f>
        <x:v>44.996723200000005</x:v>
      </x:c>
      <x:c r="Q75" s="2"/>
      <x:c r="R75" s="2"/>
      <x:c r="S75" s="2"/>
      <x:c r="T75" s="2"/>
      <x:c r="U75" s="2"/>
      <x:c r="V75" s="2"/>
      <x:c r="W75" s="2"/>
      <x:c r="X75" s="2"/>
    </x:row>
    <x:row r="76" ht="25" customHeight="1">
      <x:c r="A76" s="2" t="str">
        <x:f>A26</x:f>
        <x:v>DS V4 Pro</x:v>
      </x:c>
      <x:c r="B76" s="2" t="n">
        <x:f>B26</x:f>
        <x:v>256</x:v>
      </x:c>
      <x:c r="C76" s="8" t="n">
        <x:f>$B$15</x:f>
        <x:v>16384</x:v>
      </x:c>
      <x:c r="D76" s="2" t="n">
        <x:f>$C$15</x:f>
        <x:v>4</x:v>
      </x:c>
      <x:c r="E76" s="2" t="n">
        <x:f>$F$15</x:f>
        <x:v>5</x:v>
      </x:c>
      <x:c r="F76" s="9" t="n">
        <x:f>IF(A226,60000/L226,"")</x:f>
        <x:v>15</x:v>
      </x:c>
      <x:c r="G76" s="9" t="n">
        <x:f>K226</x:f>
        <x:v>0.07795370666666666</x:v>
      </x:c>
      <x:c r="H76" s="9" t="n">
        <x:f>IF(W226="估算",U226*R226,"")</x:f>
        <x:v>15.002183380654621</x:v>
      </x:c>
      <x:c r="I76" s="9" t="n">
        <x:f>IF(W226="估算",U226*S226,"")</x:f>
        <x:v>0</x:v>
      </x:c>
      <x:c r="J76" s="9" t="n">
        <x:f>IF(W226="估算",U226*MAX(0,R226-S226),"")</x:f>
        <x:v>15.002183380654621</x:v>
      </x:c>
      <x:c r="K76" s="9" t="n">
        <x:f>IF(W226="估算",IF(OR(O226=0,K226=0),0,U226*E26*MIN(1,(K226+P226)/L226)),"")</x:f>
        <x:v>15.13318622</x:v>
      </x:c>
      <x:c r="L76" s="53" t="n">
        <x:f>IF(W226="估算",V226,"")</x:f>
        <x:v>0.007489844834714927</x:v>
      </x:c>
      <x:c r="M76" s="53" t="n">
        <x:f>IF(W226="估算",E76*V226/60,"")</x:f>
        <x:v>0.0006241537362262439</x:v>
      </x:c>
      <x:c r="N76" s="53" t="n">
        <x:f>IF(W226="估算",V226/60000*1e6,"")</x:f>
        <x:v>0.12483074724524877</x:v>
      </x:c>
      <x:c r="O76" s="2" t="str">
        <x:f>IF(W226="估算","相位平均估算",W226)</x:f>
        <x:v>相位平均估算</x:v>
      </x:c>
      <x:c r="P76" s="33" t="n">
        <x:f>Q226</x:f>
        <x:v>277.650528</x:v>
      </x:c>
      <x:c r="Q76" s="2"/>
      <x:c r="R76" s="2"/>
      <x:c r="S76" s="2"/>
      <x:c r="T76" s="2"/>
      <x:c r="U76" s="2"/>
      <x:c r="V76" s="2"/>
      <x:c r="W76" s="2"/>
      <x:c r="X76" s="2"/>
    </x:row>
    <x:row r="77" ht="25" customHeight="1">
      <x:c r="A77" s="2" t="str">
        <x:f>A26</x:f>
        <x:v>DS V4 Pro</x:v>
      </x:c>
      <x:c r="B77" s="2" t="n">
        <x:f>B26</x:f>
        <x:v>256</x:v>
      </x:c>
      <x:c r="C77" s="8" t="n">
        <x:f>$B$15</x:f>
        <x:v>16384</x:v>
      </x:c>
      <x:c r="D77" s="2" t="n">
        <x:f>$C$15</x:f>
        <x:v>4</x:v>
      </x:c>
      <x:c r="E77" s="2" t="n">
        <x:f>$F$16</x:f>
        <x:v>10</x:v>
      </x:c>
      <x:c r="F77" s="9" t="n">
        <x:f>IF(A227,60000/L227,"")</x:f>
        <x:v>15</x:v>
      </x:c>
      <x:c r="G77" s="9" t="n">
        <x:f>K227</x:f>
        <x:v>0.07795370666666666</x:v>
      </x:c>
      <x:c r="H77" s="9" t="n">
        <x:f>IF(W227="估算",U227*R227,"")</x:f>
        <x:v>7.56659310999952</x:v>
      </x:c>
      <x:c r="I77" s="9" t="n">
        <x:f>IF(W227="估算",U227*S227,"")</x:f>
        <x:v>0</x:v>
      </x:c>
      <x:c r="J77" s="9" t="n">
        <x:f>IF(W227="估算",U227*MAX(0,R227-S227),"")</x:f>
        <x:v>7.56659310999952</x:v>
      </x:c>
      <x:c r="K77" s="9" t="n">
        <x:f>IF(W227="估算",IF(OR(O227=0,K227=0),0,U227*E26*MIN(1,(K227+P227)/L227)),"")</x:f>
        <x:v>7.56659311</x:v>
      </x:c>
      <x:c r="L77" s="53" t="n">
        <x:f>IF(W227="估算",V227,"")</x:f>
        <x:v>0.0037449224173574636</x:v>
      </x:c>
      <x:c r="M77" s="53" t="n">
        <x:f>IF(W227="估算",E77*V227/60,"")</x:f>
        <x:v>0.0006241537362262439</x:v>
      </x:c>
      <x:c r="N77" s="53" t="n">
        <x:f>IF(W227="估算",V227/60000*1e6,"")</x:f>
        <x:v>0.062415373622624386</x:v>
      </x:c>
      <x:c r="O77" s="2" t="str">
        <x:f>IF(W227="估算","相位平均估算",W227)</x:f>
        <x:v>相位平均估算</x:v>
      </x:c>
      <x:c r="P77" s="33" t="n">
        <x:f>Q227</x:f>
        <x:v>138.825264</x:v>
      </x:c>
      <x:c r="Q77" s="2"/>
      <x:c r="R77" s="2"/>
      <x:c r="S77" s="2"/>
      <x:c r="T77" s="2"/>
      <x:c r="U77" s="2"/>
      <x:c r="V77" s="2"/>
      <x:c r="W77" s="2"/>
      <x:c r="X77" s="2"/>
    </x:row>
    <x:row r="78" ht="25" customHeight="1">
      <x:c r="A78" s="2" t="str">
        <x:f>A26</x:f>
        <x:v>DS V4 Pro</x:v>
      </x:c>
      <x:c r="B78" s="2" t="n">
        <x:f>B26</x:f>
        <x:v>256</x:v>
      </x:c>
      <x:c r="C78" s="8" t="n">
        <x:f>$B$15</x:f>
        <x:v>16384</x:v>
      </x:c>
      <x:c r="D78" s="2" t="n">
        <x:f>$C$15</x:f>
        <x:v>4</x:v>
      </x:c>
      <x:c r="E78" s="2" t="n">
        <x:f>$F$17</x:f>
        <x:v>20</x:v>
      </x:c>
      <x:c r="F78" s="9" t="n">
        <x:f>IF(A228,60000/L228,"")</x:f>
        <x:v>15</x:v>
      </x:c>
      <x:c r="G78" s="9" t="n">
        <x:f>K228</x:f>
        <x:v>0.07795370666666666</x:v>
      </x:c>
      <x:c r="H78" s="9" t="n">
        <x:f>IF(W228="估算",U228*R228,"")</x:f>
        <x:v>3.78329655499976</x:v>
      </x:c>
      <x:c r="I78" s="9" t="n">
        <x:f>IF(W228="估算",U228*S228,"")</x:f>
        <x:v>0</x:v>
      </x:c>
      <x:c r="J78" s="9" t="n">
        <x:f>IF(W228="估算",U228*MAX(0,R228-S228),"")</x:f>
        <x:v>3.78329655499976</x:v>
      </x:c>
      <x:c r="K78" s="9" t="n">
        <x:f>IF(W228="估算",IF(OR(O228=0,K228=0),0,U228*E26*MIN(1,(K228+P228)/L228)),"")</x:f>
        <x:v>3.783296555</x:v>
      </x:c>
      <x:c r="L78" s="53" t="n">
        <x:f>IF(W228="估算",V228,"")</x:f>
        <x:v>0.0018724612086787318</x:v>
      </x:c>
      <x:c r="M78" s="53" t="n">
        <x:f>IF(W228="估算",E78*V228/60,"")</x:f>
        <x:v>0.0006241537362262439</x:v>
      </x:c>
      <x:c r="N78" s="53" t="n">
        <x:f>IF(W228="估算",V228/60000*1e6,"")</x:f>
        <x:v>0.031207686811312193</x:v>
      </x:c>
      <x:c r="O78" s="2" t="str">
        <x:f>IF(W228="估算","相位平均估算",W228)</x:f>
        <x:v>相位平均估算</x:v>
      </x:c>
      <x:c r="P78" s="33" t="n">
        <x:f>Q228</x:f>
        <x:v>69.412632</x:v>
      </x:c>
      <x:c r="Q78" s="2"/>
      <x:c r="R78" s="2"/>
      <x:c r="S78" s="2"/>
      <x:c r="T78" s="2"/>
      <x:c r="U78" s="2"/>
      <x:c r="V78" s="2"/>
      <x:c r="W78" s="2"/>
      <x:c r="X78" s="2"/>
    </x:row>
    <x:row r="79" ht="25" customHeight="1">
      <x:c r="A79" s="2" t="str">
        <x:f>A26</x:f>
        <x:v>DS V4 Pro</x:v>
      </x:c>
      <x:c r="B79" s="2" t="n">
        <x:f>B26</x:f>
        <x:v>256</x:v>
      </x:c>
      <x:c r="C79" s="8" t="n">
        <x:f>$B$15</x:f>
        <x:v>16384</x:v>
      </x:c>
      <x:c r="D79" s="2" t="n">
        <x:f>$C$15</x:f>
        <x:v>4</x:v>
      </x:c>
      <x:c r="E79" s="2" t="n">
        <x:f>$F$18</x:f>
        <x:v>30</x:v>
      </x:c>
      <x:c r="F79" s="9" t="n">
        <x:f>IF(A229,60000/L229,"")</x:f>
        <x:v>15</x:v>
      </x:c>
      <x:c r="G79" s="9" t="n">
        <x:f>K229</x:f>
        <x:v>0.07795370666666666</x:v>
      </x:c>
      <x:c r="H79" s="9" t="n">
        <x:f>IF(W229="估算",U229*R229,"")</x:f>
        <x:v>2.5221977033331733</x:v>
      </x:c>
      <x:c r="I79" s="9" t="n">
        <x:f>IF(W229="估算",U229*S229,"")</x:f>
        <x:v>0</x:v>
      </x:c>
      <x:c r="J79" s="9" t="n">
        <x:f>IF(W229="估算",U229*MAX(0,R229-S229),"")</x:f>
        <x:v>2.5221977033331733</x:v>
      </x:c>
      <x:c r="K79" s="9" t="n">
        <x:f>IF(W229="估算",IF(OR(O229=0,K229=0),0,U229*E26*MIN(1,(K229+P229)/L229)),"")</x:f>
        <x:v>2.5221977033333336</x:v>
      </x:c>
      <x:c r="L79" s="53" t="n">
        <x:f>IF(W229="估算",V229,"")</x:f>
        <x:v>0.0012483074724524879</x:v>
      </x:c>
      <x:c r="M79" s="53" t="n">
        <x:f>IF(W229="估算",E79*V229/60,"")</x:f>
        <x:v>0.0006241537362262439</x:v>
      </x:c>
      <x:c r="N79" s="53" t="n">
        <x:f>IF(W229="估算",V229/60000*1e6,"")</x:f>
        <x:v>0.020805124540874798</x:v>
      </x:c>
      <x:c r="O79" s="2" t="str">
        <x:f>IF(W229="估算","相位平均估算",W229)</x:f>
        <x:v>相位平均估算</x:v>
      </x:c>
      <x:c r="P79" s="33" t="n">
        <x:f>Q229</x:f>
        <x:v>46.275088</x:v>
      </x:c>
      <x:c r="Q79" s="2"/>
      <x:c r="R79" s="2"/>
      <x:c r="S79" s="2"/>
      <x:c r="T79" s="2"/>
      <x:c r="U79" s="2"/>
      <x:c r="V79" s="2"/>
      <x:c r="W79" s="2"/>
      <x:c r="X79" s="2"/>
    </x:row>
    <x:row r="80" ht="25" customHeight="1">
      <x:c r="A80" s="2" t="str">
        <x:f>A26</x:f>
        <x:v>DS V4 Pro</x:v>
      </x:c>
      <x:c r="B80" s="2" t="n">
        <x:f>B26</x:f>
        <x:v>256</x:v>
      </x:c>
      <x:c r="C80" s="8" t="n">
        <x:f>$B$16</x:f>
        <x:v>262144</x:v>
      </x:c>
      <x:c r="D80" s="2" t="n">
        <x:f>$C$16</x:f>
        <x:v>20</x:v>
      </x:c>
      <x:c r="E80" s="2" t="n">
        <x:f>$F$15</x:f>
        <x:v>5</x:v>
      </x:c>
      <x:c r="F80" s="9" t="n">
        <x:f>IF(A230,60000/L230,"")</x:f>
        <x:v>3</x:v>
      </x:c>
      <x:c r="G80" s="9" t="n">
        <x:f>K230</x:f>
        <x:v>0.9896209066666667</x:v>
      </x:c>
      <x:c r="H80" s="9" t="n">
        <x:f>IF(W230="估算",U230*R230,"")</x:f>
        <x:v>3.54743699613147</x:v>
      </x:c>
      <x:c r="I80" s="9" t="n">
        <x:f>IF(W230="估算",U230*S230,"")</x:f>
        <x:v>0</x:v>
      </x:c>
      <x:c r="J80" s="9" t="n">
        <x:f>IF(W230="估算",U230*MAX(0,R230-S230),"")</x:f>
        <x:v>3.54743699613147</x:v>
      </x:c>
      <x:c r="K80" s="9" t="n">
        <x:f>IF(W230="估算",IF(OR(O230=0,K230=0),0,U230*E26*MIN(1,(K230+P230)/L230)),"")</x:f>
        <x:v>36.393656764</x:v>
      </x:c>
      <x:c r="L80" s="53" t="n">
        <x:f>IF(W230="估算",V230,"")</x:f>
        <x:v>0.019076085594740323</x:v>
      </x:c>
      <x:c r="M80" s="53" t="n">
        <x:f>IF(W230="估算",E80*V230/60,"")</x:f>
        <x:v>0.0015896737995616935</x:v>
      </x:c>
      <x:c r="N80" s="53" t="n">
        <x:f>IF(W230="估算",V230/60000*1e6,"")</x:f>
        <x:v>0.3179347599123387</x:v>
      </x:c>
      <x:c r="O80" s="2" t="str">
        <x:f>IF(W230="估算","相位平均估算",W230)</x:f>
        <x:v>相位平均估算</x:v>
      </x:c>
      <x:c r="P80" s="33" t="n">
        <x:f>Q230</x:f>
        <x:v>277.650528</x:v>
      </x:c>
      <x:c r="Q80" s="2"/>
      <x:c r="R80" s="2"/>
      <x:c r="S80" s="2"/>
      <x:c r="T80" s="2"/>
      <x:c r="U80" s="2"/>
      <x:c r="V80" s="2"/>
      <x:c r="W80" s="2"/>
      <x:c r="X80" s="2"/>
    </x:row>
    <x:row r="81" ht="25" customHeight="1">
      <x:c r="A81" s="2" t="str">
        <x:f>A26</x:f>
        <x:v>DS V4 Pro</x:v>
      </x:c>
      <x:c r="B81" s="2" t="n">
        <x:f>B26</x:f>
        <x:v>256</x:v>
      </x:c>
      <x:c r="C81" s="8" t="n">
        <x:f>$B$16</x:f>
        <x:v>262144</x:v>
      </x:c>
      <x:c r="D81" s="2" t="n">
        <x:f>$C$16</x:f>
        <x:v>20</x:v>
      </x:c>
      <x:c r="E81" s="2" t="n">
        <x:f>$F$16</x:f>
        <x:v>10</x:v>
      </x:c>
      <x:c r="F81" s="9" t="n">
        <x:f>IF(A231,60000/L231,"")</x:f>
        <x:v>3</x:v>
      </x:c>
      <x:c r="G81" s="9" t="n">
        <x:f>K231</x:f>
        <x:v>0.9896209066666667</x:v>
      </x:c>
      <x:c r="H81" s="9" t="n">
        <x:f>IF(W231="估算",U231*R231,"")</x:f>
        <x:v>3.249128334131157</x:v>
      </x:c>
      <x:c r="I81" s="9" t="n">
        <x:f>IF(W231="估算",U231*S231,"")</x:f>
        <x:v>0</x:v>
      </x:c>
      <x:c r="J81" s="9" t="n">
        <x:f>IF(W231="估算",U231*MAX(0,R231-S231),"")</x:f>
        <x:v>3.249128334131157</x:v>
      </x:c>
      <x:c r="K81" s="9" t="n">
        <x:f>IF(W231="估算",IF(OR(O231=0,K231=0),0,U231*E26*MIN(1,(K231+P231)/L231)),"")</x:f>
        <x:v>18.196828382</x:v>
      </x:c>
      <x:c r="L81" s="53" t="n">
        <x:f>IF(W231="估算",V231,"")</x:f>
        <x:v>0.009538042797370161</x:v>
      </x:c>
      <x:c r="M81" s="53" t="n">
        <x:f>IF(W231="估算",E81*V231/60,"")</x:f>
        <x:v>0.0015896737995616935</x:v>
      </x:c>
      <x:c r="N81" s="53" t="n">
        <x:f>IF(W231="估算",V231/60000*1e6,"")</x:f>
        <x:v>0.15896737995616936</x:v>
      </x:c>
      <x:c r="O81" s="2" t="str">
        <x:f>IF(W231="估算","相位平均估算",W231)</x:f>
        <x:v>相位平均估算</x:v>
      </x:c>
      <x:c r="P81" s="33" t="n">
        <x:f>Q231</x:f>
        <x:v>138.825264</x:v>
      </x:c>
      <x:c r="Q81" s="2"/>
      <x:c r="R81" s="2"/>
      <x:c r="S81" s="2"/>
      <x:c r="T81" s="2"/>
      <x:c r="U81" s="2"/>
      <x:c r="V81" s="2"/>
      <x:c r="W81" s="2"/>
      <x:c r="X81" s="2"/>
    </x:row>
    <x:row r="82" ht="25" customHeight="1">
      <x:c r="A82" s="2" t="str">
        <x:f>A26</x:f>
        <x:v>DS V4 Pro</x:v>
      </x:c>
      <x:c r="B82" s="2" t="n">
        <x:f>B26</x:f>
        <x:v>256</x:v>
      </x:c>
      <x:c r="C82" s="8" t="n">
        <x:f>$B$16</x:f>
        <x:v>262144</x:v>
      </x:c>
      <x:c r="D82" s="2" t="n">
        <x:f>$C$16</x:f>
        <x:v>20</x:v>
      </x:c>
      <x:c r="E82" s="2" t="n">
        <x:f>$F$17</x:f>
        <x:v>20</x:v>
      </x:c>
      <x:c r="F82" s="9" t="n">
        <x:f>IF(A232,60000/L232,"")</x:f>
        <x:v>3</x:v>
      </x:c>
      <x:c r="G82" s="9" t="n">
        <x:f>K232</x:f>
        <x:v>0.9896209066666667</x:v>
      </x:c>
      <x:c r="H82" s="9" t="n">
        <x:f>IF(W232="估算",U232*R232,"")</x:f>
        <x:v>3.099974003131334</x:v>
      </x:c>
      <x:c r="I82" s="9" t="n">
        <x:f>IF(W232="估算",U232*S232,"")</x:f>
        <x:v>0</x:v>
      </x:c>
      <x:c r="J82" s="9" t="n">
        <x:f>IF(W232="估算",U232*MAX(0,R232-S232),"")</x:f>
        <x:v>3.099974003131334</x:v>
      </x:c>
      <x:c r="K82" s="9" t="n">
        <x:f>IF(W232="估算",IF(OR(O232=0,K232=0),0,U232*E26*MIN(1,(K232+P232)/L232)),"")</x:f>
        <x:v>9.098414191</x:v>
      </x:c>
      <x:c r="L82" s="53" t="n">
        <x:f>IF(W232="估算",V232,"")</x:f>
        <x:v>0.004769021398685081</x:v>
      </x:c>
      <x:c r="M82" s="53" t="n">
        <x:f>IF(W232="估算",E82*V232/60,"")</x:f>
        <x:v>0.0015896737995616935</x:v>
      </x:c>
      <x:c r="N82" s="53" t="n">
        <x:f>IF(W232="估算",V232/60000*1e6,"")</x:f>
        <x:v>0.07948368997808468</x:v>
      </x:c>
      <x:c r="O82" s="2" t="str">
        <x:f>IF(W232="估算","相位平均估算",W232)</x:f>
        <x:v>相位平均估算</x:v>
      </x:c>
      <x:c r="P82" s="33" t="n">
        <x:f>Q232</x:f>
        <x:v>69.412632</x:v>
      </x:c>
      <x:c r="Q82" s="2"/>
      <x:c r="R82" s="2"/>
      <x:c r="S82" s="2"/>
      <x:c r="T82" s="2"/>
      <x:c r="U82" s="2"/>
      <x:c r="V82" s="2"/>
      <x:c r="W82" s="2"/>
      <x:c r="X82" s="2"/>
    </x:row>
    <x:row r="83" ht="25" customHeight="1">
      <x:c r="A83" s="2" t="str">
        <x:f>A26</x:f>
        <x:v>DS V4 Pro</x:v>
      </x:c>
      <x:c r="B83" s="2" t="n">
        <x:f>B26</x:f>
        <x:v>256</x:v>
      </x:c>
      <x:c r="C83" s="8" t="n">
        <x:f>$B$16</x:f>
        <x:v>262144</x:v>
      </x:c>
      <x:c r="D83" s="2" t="n">
        <x:f>$C$16</x:f>
        <x:v>20</x:v>
      </x:c>
      <x:c r="E83" s="2" t="n">
        <x:f>$F$18</x:f>
        <x:v>30</x:v>
      </x:c>
      <x:c r="F83" s="9" t="n">
        <x:f>IF(A233,60000/L233,"")</x:f>
        <x:v>3</x:v>
      </x:c>
      <x:c r="G83" s="9" t="n">
        <x:f>K233</x:f>
        <x:v>0.9896209066666667</x:v>
      </x:c>
      <x:c r="H83" s="9" t="n">
        <x:f>IF(W233="估算",U233*R233,"")</x:f>
        <x:v>3.0502558927978374</x:v>
      </x:c>
      <x:c r="I83" s="9" t="n">
        <x:f>IF(W233="估算",U233*S233,"")</x:f>
        <x:v>0</x:v>
      </x:c>
      <x:c r="J83" s="9" t="n">
        <x:f>IF(W233="估算",U233*MAX(0,R233-S233),"")</x:f>
        <x:v>3.0502558927978374</x:v>
      </x:c>
      <x:c r="K83" s="9" t="n">
        <x:f>IF(W233="估算",IF(OR(O233=0,K233=0),0,U233*E26*MIN(1,(K233+P233)/L233)),"")</x:f>
        <x:v>6.065609460666667</x:v>
      </x:c>
      <x:c r="L83" s="53" t="n">
        <x:f>IF(W233="估算",V233,"")</x:f>
        <x:v>0.003179347599123387</x:v>
      </x:c>
      <x:c r="M83" s="53" t="n">
        <x:f>IF(W233="估算",E83*V233/60,"")</x:f>
        <x:v>0.0015896737995616935</x:v>
      </x:c>
      <x:c r="N83" s="53" t="n">
        <x:f>IF(W233="估算",V233/60000*1e6,"")</x:f>
        <x:v>0.05298912665205645</x:v>
      </x:c>
      <x:c r="O83" s="2" t="str">
        <x:f>IF(W233="估算","相位平均估算",W233)</x:f>
        <x:v>相位平均估算</x:v>
      </x:c>
      <x:c r="P83" s="33" t="n">
        <x:f>Q233</x:f>
        <x:v>46.275088</x:v>
      </x:c>
      <x:c r="Q83" s="2"/>
      <x:c r="R83" s="2"/>
      <x:c r="S83" s="2"/>
      <x:c r="T83" s="2"/>
      <x:c r="U83" s="2"/>
      <x:c r="V83" s="2"/>
      <x:c r="W83" s="2"/>
      <x:c r="X83" s="2"/>
    </x:row>
    <x:row r="84" ht="25" customHeight="1">
      <x:c r="A84" s="2" t="str">
        <x:f>A26</x:f>
        <x:v>DS V4 Pro</x:v>
      </x:c>
      <x:c r="B84" s="2" t="n">
        <x:f>B26</x:f>
        <x:v>256</x:v>
      </x:c>
      <x:c r="C84" s="8" t="n">
        <x:f>$B$17</x:f>
        <x:v>1048576</x:v>
      </x:c>
      <x:c r="D84" s="2" t="n">
        <x:f>$C$17</x:f>
        <x:v>60</x:v>
      </x:c>
      <x:c r="E84" s="2" t="n">
        <x:f>$F$15</x:f>
        <x:v>5</x:v>
      </x:c>
      <x:c r="F84" s="9" t="n">
        <x:f>IF(A234,60000/L234,"")</x:f>
        <x:v>1</x:v>
      </x:c>
      <x:c r="G84" s="9" t="n">
        <x:f>K234</x:f>
        <x:v>3.906955946666667</x:v>
      </x:c>
      <x:c r="H84" s="9" t="n">
        <x:f>IF(W234="估算",U234*R234,"")</x:f>
        <x:v>1.7659460067105393</x:v>
      </x:c>
      <x:c r="I84" s="9" t="n">
        <x:f>IF(W234="估算",U234*S234,"")</x:f>
        <x:v>0</x:v>
      </x:c>
      <x:c r="J84" s="9" t="n">
        <x:f>IF(W234="估算",U234*MAX(0,R234-S234),"")</x:f>
        <x:v>1.7659460067105393</x:v>
      </x:c>
      <x:c r="K84" s="9" t="n">
        <x:f>IF(W234="估算",IF(OR(O234=0,K234=0),0,U234*E26*MIN(1,(K234+P234)/L234)),"")</x:f>
        <x:v>47.722706409333334</x:v>
      </x:c>
      <x:c r="L84" s="53" t="n">
        <x:f>IF(W234="估算",V234,"")</x:f>
        <x:v>0.02510868626789727</x:v>
      </x:c>
      <x:c r="M84" s="53" t="n">
        <x:f>IF(W234="估算",E84*V234/60,"")</x:f>
        <x:v>0.0020923905223247724</x:v>
      </x:c>
      <x:c r="N84" s="53" t="n">
        <x:f>IF(W234="估算",V234/60000*1e6,"")</x:f>
        <x:v>0.4184781044649545</x:v>
      </x:c>
      <x:c r="O84" s="2" t="str">
        <x:f>IF(W234="估算","相位平均估算",W234)</x:f>
        <x:v>相位平均估算</x:v>
      </x:c>
      <x:c r="P84" s="33" t="n">
        <x:f>Q234</x:f>
        <x:v>277.650528</x:v>
      </x:c>
      <x:c r="Q84" s="2"/>
      <x:c r="R84" s="2"/>
      <x:c r="S84" s="2"/>
      <x:c r="T84" s="2"/>
      <x:c r="U84" s="2"/>
      <x:c r="V84" s="2"/>
      <x:c r="W84" s="2"/>
      <x:c r="X84" s="2"/>
    </x:row>
    <x:row r="85" ht="25" customHeight="1">
      <x:c r="A85" s="2" t="str">
        <x:f>A26</x:f>
        <x:v>DS V4 Pro</x:v>
      </x:c>
      <x:c r="B85" s="2" t="n">
        <x:f>B26</x:f>
        <x:v>256</x:v>
      </x:c>
      <x:c r="C85" s="8" t="n">
        <x:f>$B$17</x:f>
        <x:v>1048576</x:v>
      </x:c>
      <x:c r="D85" s="2" t="n">
        <x:f>$C$17</x:f>
        <x:v>60</x:v>
      </x:c>
      <x:c r="E85" s="2" t="n">
        <x:f>$F$16</x:f>
        <x:v>10</x:v>
      </x:c>
      <x:c r="F85" s="9" t="n">
        <x:f>IF(A235,60000/L235,"")</x:f>
        <x:v>1</x:v>
      </x:c>
      <x:c r="G85" s="9" t="n">
        <x:f>K235</x:f>
        <x:v>3.906955946666667</x:v>
      </x:c>
      <x:c r="H85" s="9" t="n">
        <x:f>IF(W235="估算",U235*R235,"")</x:f>
        <x:v>1.3747762820435216</x:v>
      </x:c>
      <x:c r="I85" s="9" t="n">
        <x:f>IF(W235="估算",U235*S235,"")</x:f>
        <x:v>0</x:v>
      </x:c>
      <x:c r="J85" s="9" t="n">
        <x:f>IF(W235="估算",U235*MAX(0,R235-S235),"")</x:f>
        <x:v>1.3747762820435216</x:v>
      </x:c>
      <x:c r="K85" s="9" t="n">
        <x:f>IF(W235="估算",IF(OR(O235=0,K235=0),0,U235*E26*MIN(1,(K235+P235)/L235)),"")</x:f>
        <x:v>23.861353204666667</x:v>
      </x:c>
      <x:c r="L85" s="53" t="n">
        <x:f>IF(W235="估算",V235,"")</x:f>
        <x:v>0.012554343133948634</x:v>
      </x:c>
      <x:c r="M85" s="53" t="n">
        <x:f>IF(W235="估算",E85*V235/60,"")</x:f>
        <x:v>0.0020923905223247724</x:v>
      </x:c>
      <x:c r="N85" s="53" t="n">
        <x:f>IF(W235="估算",V235/60000*1e6,"")</x:f>
        <x:v>0.20923905223247724</x:v>
      </x:c>
      <x:c r="O85" s="2" t="str">
        <x:f>IF(W235="估算","相位平均估算",W235)</x:f>
        <x:v>相位平均估算</x:v>
      </x:c>
      <x:c r="P85" s="33" t="n">
        <x:f>Q235</x:f>
        <x:v>138.825264</x:v>
      </x:c>
      <x:c r="Q85" s="2"/>
      <x:c r="R85" s="2"/>
      <x:c r="S85" s="2"/>
      <x:c r="T85" s="2"/>
      <x:c r="U85" s="2"/>
      <x:c r="V85" s="2"/>
      <x:c r="W85" s="2"/>
      <x:c r="X85" s="2"/>
    </x:row>
    <x:row r="86" ht="25" customHeight="1">
      <x:c r="A86" s="2" t="str">
        <x:f>A26</x:f>
        <x:v>DS V4 Pro</x:v>
      </x:c>
      <x:c r="B86" s="2" t="n">
        <x:f>B26</x:f>
        <x:v>256</x:v>
      </x:c>
      <x:c r="C86" s="8" t="n">
        <x:f>$B$17</x:f>
        <x:v>1048576</x:v>
      </x:c>
      <x:c r="D86" s="2" t="n">
        <x:f>$C$17</x:f>
        <x:v>60</x:v>
      </x:c>
      <x:c r="E86" s="2" t="n">
        <x:f>$F$17</x:f>
        <x:v>20</x:v>
      </x:c>
      <x:c r="F86" s="9" t="n">
        <x:f>IF(A236,60000/L236,"")</x:f>
        <x:v>1</x:v>
      </x:c>
      <x:c r="G86" s="9" t="n">
        <x:f>K236</x:f>
        <x:v>3.906955946666667</x:v>
      </x:c>
      <x:c r="H86" s="9" t="n">
        <x:f>IF(W236="估算",U236*R236,"")</x:f>
        <x:v>1.179191419710346</x:v>
      </x:c>
      <x:c r="I86" s="9" t="n">
        <x:f>IF(W236="估算",U236*S236,"")</x:f>
        <x:v>0</x:v>
      </x:c>
      <x:c r="J86" s="9" t="n">
        <x:f>IF(W236="估算",U236*MAX(0,R236-S236),"")</x:f>
        <x:v>1.179191419710346</x:v>
      </x:c>
      <x:c r="K86" s="9" t="n">
        <x:f>IF(W236="估算",IF(OR(O236=0,K236=0),0,U236*E26*MIN(1,(K236+P236)/L236)),"")</x:f>
        <x:v>11.930676602333333</x:v>
      </x:c>
      <x:c r="L86" s="53" t="n">
        <x:f>IF(W236="估算",V236,"")</x:f>
        <x:v>0.006277171566974317</x:v>
      </x:c>
      <x:c r="M86" s="53" t="n">
        <x:f>IF(W236="估算",E86*V236/60,"")</x:f>
        <x:v>0.0020923905223247724</x:v>
      </x:c>
      <x:c r="N86" s="53" t="n">
        <x:f>IF(W236="估算",V236/60000*1e6,"")</x:f>
        <x:v>0.10461952611623862</x:v>
      </x:c>
      <x:c r="O86" s="2" t="str">
        <x:f>IF(W236="估算","相位平均估算",W236)</x:f>
        <x:v>相位平均估算</x:v>
      </x:c>
      <x:c r="P86" s="33" t="n">
        <x:f>Q236</x:f>
        <x:v>69.412632</x:v>
      </x:c>
      <x:c r="Q86" s="2"/>
      <x:c r="R86" s="2"/>
      <x:c r="S86" s="2"/>
      <x:c r="T86" s="2"/>
      <x:c r="U86" s="2"/>
      <x:c r="V86" s="2"/>
      <x:c r="W86" s="2"/>
      <x:c r="X86" s="2"/>
    </x:row>
    <x:row r="87" ht="25" customHeight="1">
      <x:c r="A87" s="2" t="str">
        <x:f>A26</x:f>
        <x:v>DS V4 Pro</x:v>
      </x:c>
      <x:c r="B87" s="2" t="n">
        <x:f>B26</x:f>
        <x:v>256</x:v>
      </x:c>
      <x:c r="C87" s="8" t="n">
        <x:f>$B$17</x:f>
        <x:v>1048576</x:v>
      </x:c>
      <x:c r="D87" s="2" t="n">
        <x:f>$C$17</x:f>
        <x:v>60</x:v>
      </x:c>
      <x:c r="E87" s="2" t="n">
        <x:f>$F$18</x:f>
        <x:v>30</x:v>
      </x:c>
      <x:c r="F87" s="9" t="n">
        <x:f>IF(A237,60000/L237,"")</x:f>
        <x:v>1</x:v>
      </x:c>
      <x:c r="G87" s="9" t="n">
        <x:f>K237</x:f>
        <x:v>3.906955946666667</x:v>
      </x:c>
      <x:c r="H87" s="9" t="n">
        <x:f>IF(W237="估算",U237*R237,"")</x:f>
        <x:v>1.1139964655992873</x:v>
      </x:c>
      <x:c r="I87" s="9" t="n">
        <x:f>IF(W237="估算",U237*S237,"")</x:f>
        <x:v>0</x:v>
      </x:c>
      <x:c r="J87" s="9" t="n">
        <x:f>IF(W237="估算",U237*MAX(0,R237-S237),"")</x:f>
        <x:v>1.1139964655992873</x:v>
      </x:c>
      <x:c r="K87" s="9" t="n">
        <x:f>IF(W237="估算",IF(OR(O237=0,K237=0),0,U237*E26*MIN(1,(K237+P237)/L237)),"")</x:f>
        <x:v>7.953784401555555</x:v>
      </x:c>
      <x:c r="L87" s="53" t="n">
        <x:f>IF(W237="估算",V237,"")</x:f>
        <x:v>0.004184781044649545</x:v>
      </x:c>
      <x:c r="M87" s="53" t="n">
        <x:f>IF(W237="估算",E87*V237/60,"")</x:f>
        <x:v>0.0020923905223247724</x:v>
      </x:c>
      <x:c r="N87" s="53" t="n">
        <x:f>IF(W237="估算",V237/60000*1e6,"")</x:f>
        <x:v>0.06974635074415908</x:v>
      </x:c>
      <x:c r="O87" s="2" t="str">
        <x:f>IF(W237="估算","相位平均估算",W237)</x:f>
        <x:v>相位平均估算</x:v>
      </x:c>
      <x:c r="P87" s="33" t="n">
        <x:f>Q237</x:f>
        <x:v>46.275088</x:v>
      </x:c>
      <x:c r="Q87" s="2"/>
      <x:c r="R87" s="2"/>
      <x:c r="S87" s="2"/>
      <x:c r="T87" s="2"/>
      <x:c r="U87" s="2"/>
      <x:c r="V87" s="2"/>
      <x:c r="W87" s="2"/>
      <x:c r="X87" s="2"/>
    </x:row>
    <x:row r="88" ht="25" customHeight="1">
      <x:c r="A88" s="2" t="str">
        <x:f>A27</x:f>
        <x:v>GLM5.3</x:v>
      </x:c>
      <x:c r="B88" s="2" t="n">
        <x:f>B27</x:f>
        <x:v>32</x:v>
      </x:c>
      <x:c r="C88" s="8" t="n">
        <x:f>$B$15</x:f>
        <x:v>16384</x:v>
      </x:c>
      <x:c r="D88" s="2" t="n">
        <x:f>$C$15</x:f>
        <x:v>4</x:v>
      </x:c>
      <x:c r="E88" s="2" t="n">
        <x:f>$F$15</x:f>
        <x:v>5</x:v>
      </x:c>
      <x:c r="F88" s="9" t="n">
        <x:f>IF(A238,60000/L238,"")</x:f>
        <x:v>15</x:v>
      </x:c>
      <x:c r="G88" s="9" t="n">
        <x:f>K238</x:f>
        <x:v>0.65011712</x:v>
      </x:c>
      <x:c r="H88" s="9" t="n">
        <x:f>IF(W238="估算",U238*R238,"")</x:f>
        <x:v>16.766248159999275</x:v>
      </x:c>
      <x:c r="I88" s="9" t="n">
        <x:f>IF(W238="估算",U238*S238,"")</x:f>
        <x:v>0</x:v>
      </x:c>
      <x:c r="J88" s="9" t="n">
        <x:f>IF(W238="估算",U238*MAX(0,R238-S238),"")</x:f>
        <x:v>16.766248159999275</x:v>
      </x:c>
      <x:c r="K88" s="9" t="n">
        <x:f>IF(W238="估算",IF(OR(O238=0,K238=0),0,U238*E27*MIN(1,(K238+P238)/L238)),"")</x:f>
        <x:v>147.468612</x:v>
      </x:c>
      <x:c r="L88" s="53" t="n">
        <x:f>IF(W238="估算",V238,"")</x:f>
        <x:v>0.08608418375670125</x:v>
      </x:c>
      <x:c r="M88" s="53" t="n">
        <x:f>IF(W238="估算",E88*V238/60,"")</x:f>
        <x:v>0.007173681979725104</x:v>
      </x:c>
      <x:c r="N88" s="53" t="n">
        <x:f>IF(W238="估算",V238/60000*1e6,"")</x:f>
        <x:v>1.4347363959450208</x:v>
      </x:c>
      <x:c r="O88" s="2" t="str">
        <x:f>IF(W238="估算","相位平均估算",W238)</x:f>
        <x:v>相位平均估算</x:v>
      </x:c>
      <x:c r="P88" s="33" t="n">
        <x:f>Q238</x:f>
        <x:v>381.5232</x:v>
      </x:c>
      <x:c r="Q88" s="2"/>
      <x:c r="R88" s="2"/>
      <x:c r="S88" s="2"/>
      <x:c r="T88" s="2"/>
      <x:c r="U88" s="2"/>
      <x:c r="V88" s="2"/>
      <x:c r="W88" s="2"/>
      <x:c r="X88" s="2"/>
    </x:row>
    <x:row r="89" ht="25" customHeight="1">
      <x:c r="A89" s="2" t="str">
        <x:f>A27</x:f>
        <x:v>GLM5.3</x:v>
      </x:c>
      <x:c r="B89" s="2" t="n">
        <x:f>B27</x:f>
        <x:v>32</x:v>
      </x:c>
      <x:c r="C89" s="8" t="n">
        <x:f>$B$15</x:f>
        <x:v>16384</x:v>
      </x:c>
      <x:c r="D89" s="2" t="n">
        <x:f>$C$15</x:f>
        <x:v>4</x:v>
      </x:c>
      <x:c r="E89" s="2" t="n">
        <x:f>$F$16</x:f>
        <x:v>10</x:v>
      </x:c>
      <x:c r="F89" s="9" t="n">
        <x:f>IF(A239,60000/L239,"")</x:f>
        <x:v>15</x:v>
      </x:c>
      <x:c r="G89" s="9" t="n">
        <x:f>K239</x:f>
        <x:v>0.65011712</x:v>
      </x:c>
      <x:c r="H89" s="9" t="n">
        <x:f>IF(W239="估算",U239*R239,"")</x:f>
        <x:v>15.783124079999489</x:v>
      </x:c>
      <x:c r="I89" s="9" t="n">
        <x:f>IF(W239="估算",U239*S239,"")</x:f>
        <x:v>0</x:v>
      </x:c>
      <x:c r="J89" s="9" t="n">
        <x:f>IF(W239="估算",U239*MAX(0,R239-S239),"")</x:f>
        <x:v>15.783124079999489</x:v>
      </x:c>
      <x:c r="K89" s="9" t="n">
        <x:f>IF(W239="估算",IF(OR(O239=0,K239=0),0,U239*E27*MIN(1,(K239+P239)/L239)),"")</x:f>
        <x:v>73.734306</x:v>
      </x:c>
      <x:c r="L89" s="53" t="n">
        <x:f>IF(W239="估算",V239,"")</x:f>
        <x:v>0.043042091878350626</x:v>
      </x:c>
      <x:c r="M89" s="53" t="n">
        <x:f>IF(W239="估算",E89*V239/60,"")</x:f>
        <x:v>0.007173681979725104</x:v>
      </x:c>
      <x:c r="N89" s="53" t="n">
        <x:f>IF(W239="估算",V239/60000*1e6,"")</x:f>
        <x:v>0.7173681979725104</x:v>
      </x:c>
      <x:c r="O89" s="2" t="str">
        <x:f>IF(W239="估算","相位平均估算",W239)</x:f>
        <x:v>相位平均估算</x:v>
      </x:c>
      <x:c r="P89" s="33" t="n">
        <x:f>Q239</x:f>
        <x:v>190.7616</x:v>
      </x:c>
      <x:c r="Q89" s="2"/>
      <x:c r="R89" s="2"/>
      <x:c r="S89" s="2"/>
      <x:c r="T89" s="2"/>
      <x:c r="U89" s="2"/>
      <x:c r="V89" s="2"/>
      <x:c r="W89" s="2"/>
      <x:c r="X89" s="2"/>
    </x:row>
    <x:row r="90" ht="25" customHeight="1">
      <x:c r="A90" s="2" t="str">
        <x:f>A27</x:f>
        <x:v>GLM5.3</x:v>
      </x:c>
      <x:c r="B90" s="2" t="n">
        <x:f>B27</x:f>
        <x:v>32</x:v>
      </x:c>
      <x:c r="C90" s="8" t="n">
        <x:f>$B$15</x:f>
        <x:v>16384</x:v>
      </x:c>
      <x:c r="D90" s="2" t="n">
        <x:f>$C$15</x:f>
        <x:v>4</x:v>
      </x:c>
      <x:c r="E90" s="2" t="n">
        <x:f>$F$17</x:f>
        <x:v>20</x:v>
      </x:c>
      <x:c r="F90" s="9" t="n">
        <x:f>IF(A240,60000/L240,"")</x:f>
        <x:v>15</x:v>
      </x:c>
      <x:c r="G90" s="9" t="n">
        <x:f>K240</x:f>
        <x:v>0.65011712</x:v>
      </x:c>
      <x:c r="H90" s="9" t="n">
        <x:f>IF(W240="估算",U240*R240,"")</x:f>
        <x:v>15.291562039999928</x:v>
      </x:c>
      <x:c r="I90" s="9" t="n">
        <x:f>IF(W240="估算",U240*S240,"")</x:f>
        <x:v>0</x:v>
      </x:c>
      <x:c r="J90" s="9" t="n">
        <x:f>IF(W240="估算",U240*MAX(0,R240-S240),"")</x:f>
        <x:v>15.291562039999928</x:v>
      </x:c>
      <x:c r="K90" s="9" t="n">
        <x:f>IF(W240="估算",IF(OR(O240=0,K240=0),0,U240*E27*MIN(1,(K240+P240)/L240)),"")</x:f>
        <x:v>36.867153</x:v>
      </x:c>
      <x:c r="L90" s="53" t="n">
        <x:f>IF(W240="估算",V240,"")</x:f>
        <x:v>0.021521045939175313</x:v>
      </x:c>
      <x:c r="M90" s="53" t="n">
        <x:f>IF(W240="估算",E90*V240/60,"")</x:f>
        <x:v>0.007173681979725104</x:v>
      </x:c>
      <x:c r="N90" s="53" t="n">
        <x:f>IF(W240="估算",V240/60000*1e6,"")</x:f>
        <x:v>0.3586840989862552</x:v>
      </x:c>
      <x:c r="O90" s="2" t="str">
        <x:f>IF(W240="估算","相位平均估算",W240)</x:f>
        <x:v>相位平均估算</x:v>
      </x:c>
      <x:c r="P90" s="33" t="n">
        <x:f>Q240</x:f>
        <x:v>95.3808</x:v>
      </x:c>
      <x:c r="Q90" s="2"/>
      <x:c r="R90" s="2"/>
      <x:c r="S90" s="2"/>
      <x:c r="T90" s="2"/>
      <x:c r="U90" s="2"/>
      <x:c r="V90" s="2"/>
      <x:c r="W90" s="2"/>
      <x:c r="X90" s="2"/>
    </x:row>
    <x:row r="91" ht="25" customHeight="1">
      <x:c r="A91" s="2" t="str">
        <x:f>A27</x:f>
        <x:v>GLM5.3</x:v>
      </x:c>
      <x:c r="B91" s="2" t="n">
        <x:f>B27</x:f>
        <x:v>32</x:v>
      </x:c>
      <x:c r="C91" s="8" t="n">
        <x:f>$B$15</x:f>
        <x:v>16384</x:v>
      </x:c>
      <x:c r="D91" s="2" t="n">
        <x:f>$C$15</x:f>
        <x:v>4</x:v>
      </x:c>
      <x:c r="E91" s="2" t="n">
        <x:f>$F$18</x:f>
        <x:v>30</x:v>
      </x:c>
      <x:c r="F91" s="9" t="n">
        <x:f>IF(A241,60000/L241,"")</x:f>
        <x:v>15</x:v>
      </x:c>
      <x:c r="G91" s="9" t="n">
        <x:f>K241</x:f>
        <x:v>0.65011712</x:v>
      </x:c>
      <x:c r="H91" s="9" t="n">
        <x:f>IF(W241="估算",U241*R241,"")</x:f>
        <x:v>15.12770802666652</x:v>
      </x:c>
      <x:c r="I91" s="9" t="n">
        <x:f>IF(W241="估算",U241*S241,"")</x:f>
        <x:v>0</x:v>
      </x:c>
      <x:c r="J91" s="9" t="n">
        <x:f>IF(W241="估算",U241*MAX(0,R241-S241),"")</x:f>
        <x:v>15.12770802666652</x:v>
      </x:c>
      <x:c r="K91" s="9" t="n">
        <x:f>IF(W241="估算",IF(OR(O241=0,K241=0),0,U241*E27*MIN(1,(K241+P241)/L241)),"")</x:f>
        <x:v>24.578102</x:v>
      </x:c>
      <x:c r="L91" s="53" t="n">
        <x:f>IF(W241="估算",V241,"")</x:f>
        <x:v>0.014347363959450209</x:v>
      </x:c>
      <x:c r="M91" s="53" t="n">
        <x:f>IF(W241="估算",E91*V241/60,"")</x:f>
        <x:v>0.007173681979725104</x:v>
      </x:c>
      <x:c r="N91" s="53" t="n">
        <x:f>IF(W241="估算",V241/60000*1e6,"")</x:f>
        <x:v>0.2391227326575035</x:v>
      </x:c>
      <x:c r="O91" s="2" t="str">
        <x:f>IF(W241="估算","相位平均估算",W241)</x:f>
        <x:v>相位平均估算</x:v>
      </x:c>
      <x:c r="P91" s="33" t="n">
        <x:f>Q241</x:f>
        <x:v>63.5872</x:v>
      </x:c>
      <x:c r="Q91" s="2"/>
      <x:c r="R91" s="2"/>
      <x:c r="S91" s="2"/>
      <x:c r="T91" s="2"/>
      <x:c r="U91" s="2"/>
      <x:c r="V91" s="2"/>
      <x:c r="W91" s="2"/>
      <x:c r="X91" s="2"/>
    </x:row>
    <x:row r="92" ht="25" customHeight="1">
      <x:c r="A92" s="2" t="str">
        <x:f>A27</x:f>
        <x:v>GLM5.3</x:v>
      </x:c>
      <x:c r="B92" s="2" t="n">
        <x:f>B27</x:f>
        <x:v>32</x:v>
      </x:c>
      <x:c r="C92" s="8" t="n">
        <x:f>$B$16</x:f>
        <x:v>262144</x:v>
      </x:c>
      <x:c r="D92" s="2" t="n">
        <x:f>$C$16</x:f>
        <x:v>20</x:v>
      </x:c>
      <x:c r="E92" s="2" t="n">
        <x:f>$F$15</x:f>
        <x:v>5</x:v>
      </x:c>
      <x:c r="F92" s="9" t="n">
        <x:f>IF(A242,60000/L242,"")</x:f>
        <x:v>3</x:v>
      </x:c>
      <x:c r="G92" s="9" t="n">
        <x:f>K242</x:f>
        <x:v>10.40187392</x:v>
      </x:c>
      <x:c r="H92" s="9" t="n">
        <x:f>IF(W242="估算",U242*R242,"")</x:f>
        <x:v>9.204303711999096</x:v>
      </x:c>
      <x:c r="I92" s="9" t="n">
        <x:f>IF(W242="估算",U242*S242,"")</x:f>
        <x:v>3.2779449920004033</x:v>
      </x:c>
      <x:c r="J92" s="9" t="n">
        <x:f>IF(W242="估算",U242*MAX(0,R242-S242),"")</x:f>
        <x:v>5.926358719998692</x:v>
      </x:c>
      <x:c r="K92" s="9" t="n">
        <x:f>IF(W242="估算",IF(OR(O242=0,K242=0),0,U242*E27*MIN(1,(K242+P242)/L242)),"")</x:f>
        <x:v>468.3227784</x:v>
      </x:c>
      <x:c r="L92" s="53" t="n">
        <x:f>IF(W242="估算",V242,"")</x:f>
        <x:v>0.2755863825817403</x:v>
      </x:c>
      <x:c r="M92" s="53" t="n">
        <x:f>IF(W242="估算",E92*V242/60,"")</x:f>
        <x:v>0.022965531881811687</x:v>
      </x:c>
      <x:c r="N92" s="53" t="n">
        <x:f>IF(W242="估算",V242/60000*1e6,"")</x:f>
        <x:v>4.593106376362338</x:v>
      </x:c>
      <x:c r="O92" s="2" t="str">
        <x:f>IF(W242="估算","相位平均估算",W242)</x:f>
        <x:v>相位平均估算</x:v>
      </x:c>
      <x:c r="P92" s="33" t="n">
        <x:f>Q242</x:f>
        <x:v>381.5232</x:v>
      </x:c>
      <x:c r="Q92" s="2"/>
      <x:c r="R92" s="2"/>
      <x:c r="S92" s="2"/>
      <x:c r="T92" s="2"/>
      <x:c r="U92" s="2"/>
      <x:c r="V92" s="2"/>
      <x:c r="W92" s="2"/>
      <x:c r="X92" s="2"/>
    </x:row>
    <x:row r="93" ht="25" customHeight="1">
      <x:c r="A93" s="2" t="str">
        <x:f>A27</x:f>
        <x:v>GLM5.3</x:v>
      </x:c>
      <x:c r="B93" s="2" t="n">
        <x:f>B27</x:f>
        <x:v>32</x:v>
      </x:c>
      <x:c r="C93" s="8" t="n">
        <x:f>$B$16</x:f>
        <x:v>262144</x:v>
      </x:c>
      <x:c r="D93" s="2" t="n">
        <x:f>$C$16</x:f>
        <x:v>20</x:v>
      </x:c>
      <x:c r="E93" s="2" t="n">
        <x:f>$F$16</x:f>
        <x:v>10</x:v>
      </x:c>
      <x:c r="F93" s="9" t="n">
        <x:f>IF(A243,60000/L243,"")</x:f>
        <x:v>3</x:v>
      </x:c>
      <x:c r="G93" s="9" t="n">
        <x:f>K243</x:f>
        <x:v>10.40187392</x:v>
      </x:c>
      <x:c r="H93" s="9" t="n">
        <x:f>IF(W243="估算",U243*R243,"")</x:f>
        <x:v>6.082151855999918</x:v>
      </x:c>
      <x:c r="I93" s="9" t="n">
        <x:f>IF(W243="估算",U243*S243,"")</x:f>
        <x:v>0.1589724960004979</x:v>
      </x:c>
      <x:c r="J93" s="9" t="n">
        <x:f>IF(W243="估算",U243*MAX(0,R243-S243),"")</x:f>
        <x:v>5.92317935999942</x:v>
      </x:c>
      <x:c r="K93" s="9" t="n">
        <x:f>IF(W243="估算",IF(OR(O243=0,K243=0),0,U243*E27*MIN(1,(K243+P243)/L243)),"")</x:f>
        <x:v>234.1613892</x:v>
      </x:c>
      <x:c r="L93" s="53" t="n">
        <x:f>IF(W243="估算",V243,"")</x:f>
        <x:v>0.13779319129087014</x:v>
      </x:c>
      <x:c r="M93" s="53" t="n">
        <x:f>IF(W243="估算",E93*V243/60,"")</x:f>
        <x:v>0.022965531881811687</x:v>
      </x:c>
      <x:c r="N93" s="53" t="n">
        <x:f>IF(W243="估算",V243/60000*1e6,"")</x:f>
        <x:v>2.296553188181169</x:v>
      </x:c>
      <x:c r="O93" s="2" t="str">
        <x:f>IF(W243="估算","相位平均估算",W243)</x:f>
        <x:v>相位平均估算</x:v>
      </x:c>
      <x:c r="P93" s="33" t="n">
        <x:f>Q243</x:f>
        <x:v>190.7616</x:v>
      </x:c>
      <x:c r="Q93" s="2"/>
      <x:c r="R93" s="2"/>
      <x:c r="S93" s="2"/>
      <x:c r="T93" s="2"/>
      <x:c r="U93" s="2"/>
      <x:c r="V93" s="2"/>
      <x:c r="W93" s="2"/>
      <x:c r="X93" s="2"/>
    </x:row>
    <x:row r="94" ht="25" customHeight="1">
      <x:c r="A94" s="2" t="str">
        <x:f>A27</x:f>
        <x:v>GLM5.3</x:v>
      </x:c>
      <x:c r="B94" s="2" t="n">
        <x:f>B27</x:f>
        <x:v>32</x:v>
      </x:c>
      <x:c r="C94" s="8" t="n">
        <x:f>$B$16</x:f>
        <x:v>262144</x:v>
      </x:c>
      <x:c r="D94" s="2" t="n">
        <x:f>$C$16</x:f>
        <x:v>20</x:v>
      </x:c>
      <x:c r="E94" s="2" t="n">
        <x:f>$F$17</x:f>
        <x:v>20</x:v>
      </x:c>
      <x:c r="F94" s="9" t="n">
        <x:f>IF(A244,60000/L244,"")</x:f>
        <x:v>3</x:v>
      </x:c>
      <x:c r="G94" s="9" t="n">
        <x:f>K244</x:f>
        <x:v>10.40187392</x:v>
      </x:c>
      <x:c r="H94" s="9" t="n">
        <x:f>IF(W244="估算",U244*R244,"")</x:f>
        <x:v>4.521075928000329</x:v>
      </x:c>
      <x:c r="I94" s="9" t="n">
        <x:f>IF(W244="估算",U244*S244,"")</x:f>
        <x:v>0</x:v>
      </x:c>
      <x:c r="J94" s="9" t="n">
        <x:f>IF(W244="估算",U244*MAX(0,R244-S244),"")</x:f>
        <x:v>4.521075928000329</x:v>
      </x:c>
      <x:c r="K94" s="9" t="n">
        <x:f>IF(W244="估算",IF(OR(O244=0,K244=0),0,U244*E27*MIN(1,(K244+P244)/L244)),"")</x:f>
        <x:v>117.0806946</x:v>
      </x:c>
      <x:c r="L94" s="53" t="n">
        <x:f>IF(W244="估算",V244,"")</x:f>
        <x:v>0.06889659564543507</x:v>
      </x:c>
      <x:c r="M94" s="53" t="n">
        <x:f>IF(W244="估算",E94*V244/60,"")</x:f>
        <x:v>0.022965531881811687</x:v>
      </x:c>
      <x:c r="N94" s="53" t="n">
        <x:f>IF(W244="估算",V244/60000*1e6,"")</x:f>
        <x:v>1.1482765940905846</x:v>
      </x:c>
      <x:c r="O94" s="2" t="str">
        <x:f>IF(W244="估算","相位平均估算",W244)</x:f>
        <x:v>相位平均估算</x:v>
      </x:c>
      <x:c r="P94" s="33" t="n">
        <x:f>Q244</x:f>
        <x:v>95.3808</x:v>
      </x:c>
      <x:c r="Q94" s="2"/>
      <x:c r="R94" s="2"/>
      <x:c r="S94" s="2"/>
      <x:c r="T94" s="2"/>
      <x:c r="U94" s="2"/>
      <x:c r="V94" s="2"/>
      <x:c r="W94" s="2"/>
      <x:c r="X94" s="2"/>
    </x:row>
    <x:row r="95" ht="25" customHeight="1">
      <x:c r="A95" s="2" t="str">
        <x:f>A27</x:f>
        <x:v>GLM5.3</x:v>
      </x:c>
      <x:c r="B95" s="2" t="n">
        <x:f>B27</x:f>
        <x:v>32</x:v>
      </x:c>
      <x:c r="C95" s="8" t="n">
        <x:f>$B$16</x:f>
        <x:v>262144</x:v>
      </x:c>
      <x:c r="D95" s="2" t="n">
        <x:f>$C$16</x:f>
        <x:v>20</x:v>
      </x:c>
      <x:c r="E95" s="2" t="n">
        <x:f>$F$18</x:f>
        <x:v>30</x:v>
      </x:c>
      <x:c r="F95" s="9" t="n">
        <x:f>IF(A245,60000/L245,"")</x:f>
        <x:v>3</x:v>
      </x:c>
      <x:c r="G95" s="9" t="n">
        <x:f>K245</x:f>
        <x:v>10.40187392</x:v>
      </x:c>
      <x:c r="H95" s="9" t="n">
        <x:f>IF(W245="估算",U245*R245,"")</x:f>
        <x:v>4.000717285333355</x:v>
      </x:c>
      <x:c r="I95" s="9" t="n">
        <x:f>IF(W245="估算",U245*S245,"")</x:f>
        <x:v>0</x:v>
      </x:c>
      <x:c r="J95" s="9" t="n">
        <x:f>IF(W245="估算",U245*MAX(0,R245-S245),"")</x:f>
        <x:v>4.000717285333355</x:v>
      </x:c>
      <x:c r="K95" s="9" t="n">
        <x:f>IF(W245="估算",IF(OR(O245=0,K245=0),0,U245*E27*MIN(1,(K245+P245)/L245)),"")</x:f>
        <x:v>78.05379640000001</x:v>
      </x:c>
      <x:c r="L95" s="53" t="n">
        <x:f>IF(W245="估算",V245,"")</x:f>
        <x:v>0.04593106376362338</x:v>
      </x:c>
      <x:c r="M95" s="53" t="n">
        <x:f>IF(W245="估算",E95*V245/60,"")</x:f>
        <x:v>0.022965531881811687</x:v>
      </x:c>
      <x:c r="N95" s="53" t="n">
        <x:f>IF(W245="估算",V245/60000*1e6,"")</x:f>
        <x:v>0.765517729393723</x:v>
      </x:c>
      <x:c r="O95" s="2" t="str">
        <x:f>IF(W245="估算","相位平均估算",W245)</x:f>
        <x:v>相位平均估算</x:v>
      </x:c>
      <x:c r="P95" s="33" t="n">
        <x:f>Q245</x:f>
        <x:v>63.5872</x:v>
      </x:c>
      <x:c r="Q95" s="2"/>
      <x:c r="R95" s="2"/>
      <x:c r="S95" s="2"/>
      <x:c r="T95" s="2"/>
      <x:c r="U95" s="2"/>
      <x:c r="V95" s="2"/>
      <x:c r="W95" s="2"/>
      <x:c r="X95" s="2"/>
    </x:row>
    <x:row r="96" ht="25" customHeight="1">
      <x:c r="A96" s="2" t="str">
        <x:f>A27</x:f>
        <x:v>GLM5.3</x:v>
      </x:c>
      <x:c r="B96" s="2" t="n">
        <x:f>B27</x:f>
        <x:v>32</x:v>
      </x:c>
      <x:c r="C96" s="8" t="n">
        <x:f>$B$17</x:f>
        <x:v>1048576</x:v>
      </x:c>
      <x:c r="D96" s="2" t="n">
        <x:f>$C$17</x:f>
        <x:v>60</x:v>
      </x:c>
      <x:c r="E96" s="2" t="n">
        <x:f>$F$15</x:f>
        <x:v>5</x:v>
      </x:c>
      <x:c r="F96" s="9" t="n">
        <x:f>IF(A246,60000/L246,"")</x:f>
        <x:v>1</x:v>
      </x:c>
      <x:c r="G96" s="9" t="n">
        <x:f>K246</x:f>
        <x:v>41.60749568</x:v>
      </x:c>
      <x:c r="H96" s="9" t="n">
        <x:f>IF(W246="估算",U246*R246,"")</x:f>
        <x:v>9.309225589333447</x:v>
      </x:c>
      <x:c r="I96" s="9" t="n">
        <x:f>IF(W246="估算",U246*S246,"")</x:f>
        <x:v>7.3337726826663285</x:v>
      </x:c>
      <x:c r="J96" s="9" t="n">
        <x:f>IF(W246="估算",U246*MAX(0,R246-S246),"")</x:f>
        <x:v>1.975452906667119</x:v>
      </x:c>
      <x:c r="K96" s="9" t="n">
        <x:f>IF(W246="估算",IF(OR(O246=0,K246=0),0,U246*E27*MIN(1,(K246+P246)/L246)),"")</x:f>
        <x:v>624.1919192</x:v>
      </x:c>
      <x:c r="L96" s="53" t="n">
        <x:f>IF(W246="估算",V246,"")</x:f>
        <x:v>0.3674563097463402</x:v>
      </x:c>
      <x:c r="M96" s="53" t="n">
        <x:f>IF(W246="估算",E96*V246/60,"")</x:f>
        <x:v>0.030621359145528347</x:v>
      </x:c>
      <x:c r="N96" s="53" t="n">
        <x:f>IF(W246="估算",V246/60000*1e6,"")</x:f>
        <x:v>6.12427182910567</x:v>
      </x:c>
      <x:c r="O96" s="2" t="str">
        <x:f>IF(W246="估算","相位平均估算",W246)</x:f>
        <x:v>相位平均估算</x:v>
      </x:c>
      <x:c r="P96" s="33" t="n">
        <x:f>Q246</x:f>
        <x:v>381.5232</x:v>
      </x:c>
      <x:c r="Q96" s="2"/>
      <x:c r="R96" s="2"/>
      <x:c r="S96" s="2"/>
      <x:c r="T96" s="2"/>
      <x:c r="U96" s="2"/>
      <x:c r="V96" s="2"/>
      <x:c r="W96" s="2"/>
      <x:c r="X96" s="2"/>
    </x:row>
    <x:row r="97" ht="25" customHeight="1">
      <x:c r="A97" s="2" t="str">
        <x:f>A27</x:f>
        <x:v>GLM5.3</x:v>
      </x:c>
      <x:c r="B97" s="2" t="n">
        <x:f>B27</x:f>
        <x:v>32</x:v>
      </x:c>
      <x:c r="C97" s="8" t="n">
        <x:f>$B$17</x:f>
        <x:v>1048576</x:v>
      </x:c>
      <x:c r="D97" s="2" t="n">
        <x:f>$C$17</x:f>
        <x:v>60</x:v>
      </x:c>
      <x:c r="E97" s="2" t="n">
        <x:f>$F$16</x:f>
        <x:v>10</x:v>
      </x:c>
      <x:c r="F97" s="9" t="n">
        <x:f>IF(A247,60000/L247,"")</x:f>
        <x:v>1</x:v>
      </x:c>
      <x:c r="G97" s="9" t="n">
        <x:f>K247</x:f>
        <x:v>41.60749568</x:v>
      </x:c>
      <x:c r="H97" s="9" t="n">
        <x:f>IF(W247="估算",U247*R247,"")</x:f>
        <x:v>5.1479461280006245</x:v>
      </x:c>
      <x:c r="I97" s="9" t="n">
        <x:f>IF(W247="估算",U247*S247,"")</x:f>
        <x:v>3.1735530079999297</x:v>
      </x:c>
      <x:c r="J97" s="9" t="n">
        <x:f>IF(W247="估算",U247*MAX(0,R247-S247),"")</x:f>
        <x:v>1.9743931200006948</x:v>
      </x:c>
      <x:c r="K97" s="9" t="n">
        <x:f>IF(W247="估算",IF(OR(O247=0,K247=0),0,U247*E27*MIN(1,(K247+P247)/L247)),"")</x:f>
        <x:v>312.0959596</x:v>
      </x:c>
      <x:c r="L97" s="53" t="n">
        <x:f>IF(W247="估算",V247,"")</x:f>
        <x:v>0.1837281548731701</x:v>
      </x:c>
      <x:c r="M97" s="53" t="n">
        <x:f>IF(W247="估算",E97*V247/60,"")</x:f>
        <x:v>0.030621359145528347</x:v>
      </x:c>
      <x:c r="N97" s="53" t="n">
        <x:f>IF(W247="估算",V247/60000*1e6,"")</x:f>
        <x:v>3.062135914552835</x:v>
      </x:c>
      <x:c r="O97" s="2" t="str">
        <x:f>IF(W247="估算","相位平均估算",W247)</x:f>
        <x:v>相位平均估算</x:v>
      </x:c>
      <x:c r="P97" s="33" t="n">
        <x:f>Q247</x:f>
        <x:v>190.7616</x:v>
      </x:c>
      <x:c r="Q97" s="2"/>
      <x:c r="R97" s="2"/>
      <x:c r="S97" s="2"/>
      <x:c r="T97" s="2"/>
      <x:c r="U97" s="2"/>
      <x:c r="V97" s="2"/>
      <x:c r="W97" s="2"/>
      <x:c r="X97" s="2"/>
    </x:row>
    <x:row r="98" ht="25" customHeight="1">
      <x:c r="A98" s="2" t="str">
        <x:f>A27</x:f>
        <x:v>GLM5.3</x:v>
      </x:c>
      <x:c r="B98" s="2" t="n">
        <x:f>B27</x:f>
        <x:v>32</x:v>
      </x:c>
      <x:c r="C98" s="8" t="n">
        <x:f>$B$17</x:f>
        <x:v>1048576</x:v>
      </x:c>
      <x:c r="D98" s="2" t="n">
        <x:f>$C$17</x:f>
        <x:v>60</x:v>
      </x:c>
      <x:c r="E98" s="2" t="n">
        <x:f>$F$17</x:f>
        <x:v>20</x:v>
      </x:c>
      <x:c r="F98" s="9" t="n">
        <x:f>IF(A248,60000/L248,"")</x:f>
        <x:v>1</x:v>
      </x:c>
      <x:c r="G98" s="9" t="n">
        <x:f>K248</x:f>
        <x:v>41.60749568</x:v>
      </x:c>
      <x:c r="H98" s="9" t="n">
        <x:f>IF(W248="估算",U248*R248,"")</x:f>
        <x:v>3.0673063973332138</x:v>
      </x:c>
      <x:c r="I98" s="9" t="n">
        <x:f>IF(W248="估算",U248*S248,"")</x:f>
        <x:v>1.0934431706667302</x:v>
      </x:c>
      <x:c r="J98" s="9" t="n">
        <x:f>IF(W248="估算",U248*MAX(0,R248-S248),"")</x:f>
        <x:v>1.9738632266664835</x:v>
      </x:c>
      <x:c r="K98" s="9" t="n">
        <x:f>IF(W248="估算",IF(OR(O248=0,K248=0),0,U248*E27*MIN(1,(K248+P248)/L248)),"")</x:f>
        <x:v>156.0479798</x:v>
      </x:c>
      <x:c r="L98" s="53" t="n">
        <x:f>IF(W248="估算",V248,"")</x:f>
        <x:v>0.09186407743658505</x:v>
      </x:c>
      <x:c r="M98" s="53" t="n">
        <x:f>IF(W248="估算",E98*V248/60,"")</x:f>
        <x:v>0.030621359145528347</x:v>
      </x:c>
      <x:c r="N98" s="53" t="n">
        <x:f>IF(W248="估算",V248/60000*1e6,"")</x:f>
        <x:v>1.5310679572764174</x:v>
      </x:c>
      <x:c r="O98" s="2" t="str">
        <x:f>IF(W248="估算","相位平均估算",W248)</x:f>
        <x:v>相位平均估算</x:v>
      </x:c>
      <x:c r="P98" s="33" t="n">
        <x:f>Q248</x:f>
        <x:v>95.3808</x:v>
      </x:c>
      <x:c r="Q98" s="2"/>
      <x:c r="R98" s="2"/>
      <x:c r="S98" s="2"/>
      <x:c r="T98" s="2"/>
      <x:c r="U98" s="2"/>
      <x:c r="V98" s="2"/>
      <x:c r="W98" s="2"/>
      <x:c r="X98" s="2"/>
    </x:row>
    <x:row r="99" ht="25" customHeight="1">
      <x:c r="A99" s="2" t="str">
        <x:f>A27</x:f>
        <x:v>GLM5.3</x:v>
      </x:c>
      <x:c r="B99" s="2" t="n">
        <x:f>B27</x:f>
        <x:v>32</x:v>
      </x:c>
      <x:c r="C99" s="8" t="n">
        <x:f>$B$17</x:f>
        <x:v>1048576</x:v>
      </x:c>
      <x:c r="D99" s="2" t="n">
        <x:f>$C$17</x:f>
        <x:v>60</x:v>
      </x:c>
      <x:c r="E99" s="2" t="n">
        <x:f>$F$18</x:f>
        <x:v>30</x:v>
      </x:c>
      <x:c r="F99" s="9" t="n">
        <x:f>IF(A249,60000/L249,"")</x:f>
        <x:v>1</x:v>
      </x:c>
      <x:c r="G99" s="9" t="n">
        <x:f>K249</x:f>
        <x:v>41.60749568</x:v>
      </x:c>
      <x:c r="H99" s="9" t="n">
        <x:f>IF(W249="估算",U249*R249,"")</x:f>
        <x:v>2.373759820444521</x:v>
      </x:c>
      <x:c r="I99" s="9" t="n">
        <x:f>IF(W249="估算",U249*S249,"")</x:f>
        <x:v>0.4000732248889971</x:v>
      </x:c>
      <x:c r="J99" s="9" t="n">
        <x:f>IF(W249="估算",U249*MAX(0,R249-S249),"")</x:f>
        <x:v>1.9736865955555238</x:v>
      </x:c>
      <x:c r="K99" s="9" t="n">
        <x:f>IF(W249="估算",IF(OR(O249=0,K249=0),0,U249*E27*MIN(1,(K249+P249)/L249)),"")</x:f>
        <x:v>104.03198653333334</x:v>
      </x:c>
      <x:c r="L99" s="53" t="n">
        <x:f>IF(W249="估算",V249,"")</x:f>
        <x:v>0.061242718291056694</x:v>
      </x:c>
      <x:c r="M99" s="53" t="n">
        <x:f>IF(W249="估算",E99*V249/60,"")</x:f>
        <x:v>0.030621359145528347</x:v>
      </x:c>
      <x:c r="N99" s="53" t="n">
        <x:f>IF(W249="估算",V249/60000*1e6,"")</x:f>
        <x:v>1.0207119715176116</x:v>
      </x:c>
      <x:c r="O99" s="2" t="str">
        <x:f>IF(W249="估算","相位平均估算",W249)</x:f>
        <x:v>相位平均估算</x:v>
      </x:c>
      <x:c r="P99" s="33" t="n">
        <x:f>Q249</x:f>
        <x:v>63.5872</x:v>
      </x:c>
      <x:c r="Q99" s="2"/>
      <x:c r="R99" s="2"/>
      <x:c r="S99" s="2"/>
      <x:c r="T99" s="2"/>
      <x:c r="U99" s="2"/>
      <x:c r="V99" s="2"/>
      <x:c r="W99" s="2"/>
      <x:c r="X99" s="2"/>
    </x:row>
    <x:row r="100" ht="25" customHeight="1">
      <x:c r="A100" s="2" t="str">
        <x:f>A28</x:f>
        <x:v>GLM5.3</x:v>
      </x:c>
      <x:c r="B100" s="2" t="n">
        <x:f>B28</x:f>
        <x:v>256</x:v>
      </x:c>
      <x:c r="C100" s="8" t="n">
        <x:f>$B$15</x:f>
        <x:v>16384</x:v>
      </x:c>
      <x:c r="D100" s="2" t="n">
        <x:f>$C$15</x:f>
        <x:v>4</x:v>
      </x:c>
      <x:c r="E100" s="2" t="n">
        <x:f>$F$15</x:f>
        <x:v>5</x:v>
      </x:c>
      <x:c r="F100" s="9" t="n">
        <x:f>IF(A250,60000/L250,"")</x:f>
        <x:v>15</x:v>
      </x:c>
      <x:c r="G100" s="9" t="n">
        <x:f>K250</x:f>
        <x:v>0.65011712</x:v>
      </x:c>
      <x:c r="H100" s="9" t="n">
        <x:f>IF(W250="估算",U250*R250,"")</x:f>
        <x:v>16.766696859999097</x:v>
      </x:c>
      <x:c r="I100" s="9" t="n">
        <x:f>IF(W250="估算",U250*S250,"")</x:f>
        <x:v>0</x:v>
      </x:c>
      <x:c r="J100" s="9" t="n">
        <x:f>IF(W250="估算",U250*MAX(0,R250-S250),"")</x:f>
        <x:v>16.766696859999097</x:v>
      </x:c>
      <x:c r="K100" s="9" t="n">
        <x:f>IF(W250="估算",IF(OR(O250=0,K250=0),0,U250*E28*MIN(1,(K250+P250)/L250)),"")</x:f>
        <x:v>147.5022645</x:v>
      </x:c>
      <x:c r="L100" s="53" t="n">
        <x:f>IF(W250="估算",V250,"")</x:f>
        <x:v>0.08851284744098611</x:v>
      </x:c>
      <x:c r="M100" s="53" t="n">
        <x:f>IF(W250="估算",E100*V250/60,"")</x:f>
        <x:v>0.007376070620082176</x:v>
      </x:c>
      <x:c r="N100" s="53" t="n">
        <x:f>IF(W250="估算",V250/60000*1e6,"")</x:f>
        <x:v>1.4752141240164354</x:v>
      </x:c>
      <x:c r="O100" s="2" t="str">
        <x:f>IF(W250="估算","相位平均估算",W250)</x:f>
        <x:v>相位平均估算</x:v>
      </x:c>
      <x:c r="P100" s="33" t="n">
        <x:f>Q250</x:f>
        <x:v>392.29200000000003</x:v>
      </x:c>
      <x:c r="Q100" s="2"/>
      <x:c r="R100" s="2"/>
      <x:c r="S100" s="2"/>
      <x:c r="T100" s="2"/>
      <x:c r="U100" s="2"/>
      <x:c r="V100" s="2"/>
      <x:c r="W100" s="2"/>
      <x:c r="X100" s="2"/>
    </x:row>
    <x:row r="101" ht="25" customHeight="1">
      <x:c r="A101" s="2" t="str">
        <x:f>A28</x:f>
        <x:v>GLM5.3</x:v>
      </x:c>
      <x:c r="B101" s="2" t="n">
        <x:f>B28</x:f>
        <x:v>256</x:v>
      </x:c>
      <x:c r="C101" s="8" t="n">
        <x:f>$B$15</x:f>
        <x:v>16384</x:v>
      </x:c>
      <x:c r="D101" s="2" t="n">
        <x:f>$C$15</x:f>
        <x:v>4</x:v>
      </x:c>
      <x:c r="E101" s="2" t="n">
        <x:f>$F$16</x:f>
        <x:v>10</x:v>
      </x:c>
      <x:c r="F101" s="9" t="n">
        <x:f>IF(A251,60000/L251,"")</x:f>
        <x:v>15</x:v>
      </x:c>
      <x:c r="G101" s="9" t="n">
        <x:f>K251</x:f>
        <x:v>0.65011712</x:v>
      </x:c>
      <x:c r="H101" s="9" t="n">
        <x:f>IF(W251="估算",U251*R251,"")</x:f>
        <x:v>15.783348430000066</x:v>
      </x:c>
      <x:c r="I101" s="9" t="n">
        <x:f>IF(W251="估算",U251*S251,"")</x:f>
        <x:v>0</x:v>
      </x:c>
      <x:c r="J101" s="9" t="n">
        <x:f>IF(W251="估算",U251*MAX(0,R251-S251),"")</x:f>
        <x:v>15.783348430000066</x:v>
      </x:c>
      <x:c r="K101" s="9" t="n">
        <x:f>IF(W251="估算",IF(OR(O251=0,K251=0),0,U251*E28*MIN(1,(K251+P251)/L251)),"")</x:f>
        <x:v>73.75113225</x:v>
      </x:c>
      <x:c r="L101" s="53" t="n">
        <x:f>IF(W251="估算",V251,"")</x:f>
        <x:v>0.04425642372049306</x:v>
      </x:c>
      <x:c r="M101" s="53" t="n">
        <x:f>IF(W251="估算",E101*V251/60,"")</x:f>
        <x:v>0.007376070620082176</x:v>
      </x:c>
      <x:c r="N101" s="53" t="n">
        <x:f>IF(W251="估算",V251/60000*1e6,"")</x:f>
        <x:v>0.7376070620082177</x:v>
      </x:c>
      <x:c r="O101" s="2" t="str">
        <x:f>IF(W251="估算","相位平均估算",W251)</x:f>
        <x:v>相位平均估算</x:v>
      </x:c>
      <x:c r="P101" s="33" t="n">
        <x:f>Q251</x:f>
        <x:v>196.14600000000002</x:v>
      </x:c>
      <x:c r="Q101" s="2"/>
      <x:c r="R101" s="2"/>
      <x:c r="S101" s="2"/>
      <x:c r="T101" s="2"/>
      <x:c r="U101" s="2"/>
      <x:c r="V101" s="2"/>
      <x:c r="W101" s="2"/>
      <x:c r="X101" s="2"/>
    </x:row>
    <x:row r="102" ht="25" customHeight="1">
      <x:c r="A102" s="2" t="str">
        <x:f>A28</x:f>
        <x:v>GLM5.3</x:v>
      </x:c>
      <x:c r="B102" s="2" t="n">
        <x:f>B28</x:f>
        <x:v>256</x:v>
      </x:c>
      <x:c r="C102" s="8" t="n">
        <x:f>$B$15</x:f>
        <x:v>16384</x:v>
      </x:c>
      <x:c r="D102" s="2" t="n">
        <x:f>$C$15</x:f>
        <x:v>4</x:v>
      </x:c>
      <x:c r="E102" s="2" t="n">
        <x:f>$F$17</x:f>
        <x:v>20</x:v>
      </x:c>
      <x:c r="F102" s="9" t="n">
        <x:f>IF(A252,60000/L252,"")</x:f>
        <x:v>15</x:v>
      </x:c>
      <x:c r="G102" s="9" t="n">
        <x:f>K252</x:f>
        <x:v>0.65011712</x:v>
      </x:c>
      <x:c r="H102" s="9" t="n">
        <x:f>IF(W252="估算",U252*R252,"")</x:f>
        <x:v>15.291674214999551</x:v>
      </x:c>
      <x:c r="I102" s="9" t="n">
        <x:f>IF(W252="估算",U252*S252,"")</x:f>
        <x:v>0</x:v>
      </x:c>
      <x:c r="J102" s="9" t="n">
        <x:f>IF(W252="估算",U252*MAX(0,R252-S252),"")</x:f>
        <x:v>15.291674214999551</x:v>
      </x:c>
      <x:c r="K102" s="9" t="n">
        <x:f>IF(W252="估算",IF(OR(O252=0,K252=0),0,U252*E28*MIN(1,(K252+P252)/L252)),"")</x:f>
        <x:v>36.875566125</x:v>
      </x:c>
      <x:c r="L102" s="53" t="n">
        <x:f>IF(W252="估算",V252,"")</x:f>
        <x:v>0.02212821186024653</x:v>
      </x:c>
      <x:c r="M102" s="53" t="n">
        <x:f>IF(W252="估算",E102*V252/60,"")</x:f>
        <x:v>0.007376070620082176</x:v>
      </x:c>
      <x:c r="N102" s="53" t="n">
        <x:f>IF(W252="估算",V252/60000*1e6,"")</x:f>
        <x:v>0.36880353100410884</x:v>
      </x:c>
      <x:c r="O102" s="2" t="str">
        <x:f>IF(W252="估算","相位平均估算",W252)</x:f>
        <x:v>相位平均估算</x:v>
      </x:c>
      <x:c r="P102" s="33" t="n">
        <x:f>Q252</x:f>
        <x:v>98.07300000000001</x:v>
      </x:c>
      <x:c r="Q102" s="2"/>
      <x:c r="R102" s="2"/>
      <x:c r="S102" s="2"/>
      <x:c r="T102" s="2"/>
      <x:c r="U102" s="2"/>
      <x:c r="V102" s="2"/>
      <x:c r="W102" s="2"/>
      <x:c r="X102" s="2"/>
    </x:row>
    <x:row r="103" ht="25" customHeight="1">
      <x:c r="A103" s="2" t="str">
        <x:f>A28</x:f>
        <x:v>GLM5.3</x:v>
      </x:c>
      <x:c r="B103" s="2" t="n">
        <x:f>B28</x:f>
        <x:v>256</x:v>
      </x:c>
      <x:c r="C103" s="8" t="n">
        <x:f>$B$15</x:f>
        <x:v>16384</x:v>
      </x:c>
      <x:c r="D103" s="2" t="n">
        <x:f>$C$15</x:f>
        <x:v>4</x:v>
      </x:c>
      <x:c r="E103" s="2" t="n">
        <x:f>$F$18</x:f>
        <x:v>30</x:v>
      </x:c>
      <x:c r="F103" s="9" t="n">
        <x:f>IF(A253,60000/L253,"")</x:f>
        <x:v>15</x:v>
      </x:c>
      <x:c r="G103" s="9" t="n">
        <x:f>K253</x:f>
        <x:v>0.65011712</x:v>
      </x:c>
      <x:c r="H103" s="9" t="n">
        <x:f>IF(W253="估算",U253*R253,"")</x:f>
        <x:v>15.127782809999823</x:v>
      </x:c>
      <x:c r="I103" s="9" t="n">
        <x:f>IF(W253="估算",U253*S253,"")</x:f>
        <x:v>0</x:v>
      </x:c>
      <x:c r="J103" s="9" t="n">
        <x:f>IF(W253="估算",U253*MAX(0,R253-S253),"")</x:f>
        <x:v>15.127782809999823</x:v>
      </x:c>
      <x:c r="K103" s="9" t="n">
        <x:f>IF(W253="估算",IF(OR(O253=0,K253=0),0,U253*E28*MIN(1,(K253+P253)/L253)),"")</x:f>
        <x:v>24.58371075</x:v>
      </x:c>
      <x:c r="L103" s="53" t="n">
        <x:f>IF(W253="估算",V253,"")</x:f>
        <x:v>0.014752141240164354</x:v>
      </x:c>
      <x:c r="M103" s="53" t="n">
        <x:f>IF(W253="估算",E103*V253/60,"")</x:f>
        <x:v>0.007376070620082177</x:v>
      </x:c>
      <x:c r="N103" s="53" t="n">
        <x:f>IF(W253="估算",V253/60000*1e6,"")</x:f>
        <x:v>0.2458690206694059</x:v>
      </x:c>
      <x:c r="O103" s="2" t="str">
        <x:f>IF(W253="估算","相位平均估算",W253)</x:f>
        <x:v>相位平均估算</x:v>
      </x:c>
      <x:c r="P103" s="33" t="n">
        <x:f>Q253</x:f>
        <x:v>65.382</x:v>
      </x:c>
      <x:c r="Q103" s="2"/>
      <x:c r="R103" s="2"/>
      <x:c r="S103" s="2"/>
      <x:c r="T103" s="2"/>
      <x:c r="U103" s="2"/>
      <x:c r="V103" s="2"/>
      <x:c r="W103" s="2"/>
      <x:c r="X103" s="2"/>
    </x:row>
    <x:row r="104" ht="25" customHeight="1">
      <x:c r="A104" s="2" t="str">
        <x:f>A28</x:f>
        <x:v>GLM5.3</x:v>
      </x:c>
      <x:c r="B104" s="2" t="n">
        <x:f>B28</x:f>
        <x:v>256</x:v>
      </x:c>
      <x:c r="C104" s="8" t="n">
        <x:f>$B$16</x:f>
        <x:v>262144</x:v>
      </x:c>
      <x:c r="D104" s="2" t="n">
        <x:f>$C$16</x:f>
        <x:v>20</x:v>
      </x:c>
      <x:c r="E104" s="2" t="n">
        <x:f>$F$15</x:f>
        <x:v>5</x:v>
      </x:c>
      <x:c r="F104" s="9" t="n">
        <x:f>IF(A254,60000/L254,"")</x:f>
        <x:v>3</x:v>
      </x:c>
      <x:c r="G104" s="9" t="n">
        <x:f>K254</x:f>
        <x:v>10.40187392</x:v>
      </x:c>
      <x:c r="H104" s="9" t="n">
        <x:f>IF(W254="估算",U254*R254,"")</x:f>
        <x:v>9.204393452001192</x:v>
      </x:c>
      <x:c r="I104" s="9" t="n">
        <x:f>IF(W254="估算",U254*S254,"")</x:f>
        <x:v>3.2778552519996396</x:v>
      </x:c>
      <x:c r="J104" s="9" t="n">
        <x:f>IF(W254="估算",U254*MAX(0,R254-S254),"")</x:f>
        <x:v>5.926538200001552</x:v>
      </x:c>
      <x:c r="K104" s="9" t="n">
        <x:f>IF(W254="估算",IF(OR(O254=0,K254=0),0,U254*E28*MIN(1,(K254+P254)/L254)),"")</x:f>
        <x:v>468.3295089</x:v>
      </x:c>
      <x:c r="L104" s="53" t="n">
        <x:f>IF(W254="估算",V254,"")</x:f>
        <x:v>0.2833648041121972</x:v>
      </x:c>
      <x:c r="M104" s="53" t="n">
        <x:f>IF(W254="估算",E104*V254/60,"")</x:f>
        <x:v>0.023613733676016435</x:v>
      </x:c>
      <x:c r="N104" s="53" t="n">
        <x:f>IF(W254="估算",V254/60000*1e6,"")</x:f>
        <x:v>4.7227467352032875</x:v>
      </x:c>
      <x:c r="O104" s="2" t="str">
        <x:f>IF(W254="估算","相位平均估算",W254)</x:f>
        <x:v>相位平均估算</x:v>
      </x:c>
      <x:c r="P104" s="33" t="n">
        <x:f>Q254</x:f>
        <x:v>392.29200000000003</x:v>
      </x:c>
      <x:c r="Q104" s="2"/>
      <x:c r="R104" s="2"/>
      <x:c r="S104" s="2"/>
      <x:c r="T104" s="2"/>
      <x:c r="U104" s="2"/>
      <x:c r="V104" s="2"/>
      <x:c r="W104" s="2"/>
      <x:c r="X104" s="2"/>
    </x:row>
    <x:row r="105" ht="25" customHeight="1">
      <x:c r="A105" s="2" t="str">
        <x:f>A28</x:f>
        <x:v>GLM5.3</x:v>
      </x:c>
      <x:c r="B105" s="2" t="n">
        <x:f>B28</x:f>
        <x:v>256</x:v>
      </x:c>
      <x:c r="C105" s="8" t="n">
        <x:f>$B$16</x:f>
        <x:v>262144</x:v>
      </x:c>
      <x:c r="D105" s="2" t="n">
        <x:f>$C$16</x:f>
        <x:v>20</x:v>
      </x:c>
      <x:c r="E105" s="2" t="n">
        <x:f>$F$16</x:f>
        <x:v>10</x:v>
      </x:c>
      <x:c r="F105" s="9" t="n">
        <x:f>IF(A255,60000/L255,"")</x:f>
        <x:v>3</x:v>
      </x:c>
      <x:c r="G105" s="9" t="n">
        <x:f>K255</x:f>
        <x:v>10.40187392</x:v>
      </x:c>
      <x:c r="H105" s="9" t="n">
        <x:f>IF(W255="估算",U255*R255,"")</x:f>
        <x:v>6.0821967259996335</x:v>
      </x:c>
      <x:c r="I105" s="9" t="n">
        <x:f>IF(W255="估算",U255*S255,"")</x:f>
        <x:v>0.15892762600078214</x:v>
      </x:c>
      <x:c r="J105" s="9" t="n">
        <x:f>IF(W255="估算",U255*MAX(0,R255-S255),"")</x:f>
        <x:v>5.923269099998851</x:v>
      </x:c>
      <x:c r="K105" s="9" t="n">
        <x:f>IF(W255="估算",IF(OR(O255=0,K255=0),0,U255*E28*MIN(1,(K255+P255)/L255)),"")</x:f>
        <x:v>234.16475445</x:v>
      </x:c>
      <x:c r="L105" s="53" t="n">
        <x:f>IF(W255="估算",V255,"")</x:f>
        <x:v>0.1416824020560986</x:v>
      </x:c>
      <x:c r="M105" s="53" t="n">
        <x:f>IF(W255="估算",E105*V255/60,"")</x:f>
        <x:v>0.023613733676016435</x:v>
      </x:c>
      <x:c r="N105" s="53" t="n">
        <x:f>IF(W255="估算",V255/60000*1e6,"")</x:f>
        <x:v>2.3613733676016437</x:v>
      </x:c>
      <x:c r="O105" s="2" t="str">
        <x:f>IF(W255="估算","相位平均估算",W255)</x:f>
        <x:v>相位平均估算</x:v>
      </x:c>
      <x:c r="P105" s="33" t="n">
        <x:f>Q255</x:f>
        <x:v>196.14600000000002</x:v>
      </x:c>
      <x:c r="Q105" s="2"/>
      <x:c r="R105" s="2"/>
      <x:c r="S105" s="2"/>
      <x:c r="T105" s="2"/>
      <x:c r="U105" s="2"/>
      <x:c r="V105" s="2"/>
      <x:c r="W105" s="2"/>
      <x:c r="X105" s="2"/>
    </x:row>
    <x:row r="106" ht="25" customHeight="1">
      <x:c r="A106" s="2" t="str">
        <x:f>A28</x:f>
        <x:v>GLM5.3</x:v>
      </x:c>
      <x:c r="B106" s="2" t="n">
        <x:f>B28</x:f>
        <x:v>256</x:v>
      </x:c>
      <x:c r="C106" s="8" t="n">
        <x:f>$B$16</x:f>
        <x:v>262144</x:v>
      </x:c>
      <x:c r="D106" s="2" t="n">
        <x:f>$C$16</x:f>
        <x:v>20</x:v>
      </x:c>
      <x:c r="E106" s="2" t="n">
        <x:f>$F$17</x:f>
        <x:v>20</x:v>
      </x:c>
      <x:c r="F106" s="9" t="n">
        <x:f>IF(A256,60000/L256,"")</x:f>
        <x:v>3</x:v>
      </x:c>
      <x:c r="G106" s="9" t="n">
        <x:f>K256</x:f>
        <x:v>10.40187392</x:v>
      </x:c>
      <x:c r="H106" s="9" t="n">
        <x:f>IF(W256="估算",U256*R256,"")</x:f>
        <x:v>4.521098363000187</x:v>
      </x:c>
      <x:c r="I106" s="9" t="n">
        <x:f>IF(W256="估算",U256*S256,"")</x:f>
        <x:v>0</x:v>
      </x:c>
      <x:c r="J106" s="9" t="n">
        <x:f>IF(W256="估算",U256*MAX(0,R256-S256),"")</x:f>
        <x:v>4.521098363000187</x:v>
      </x:c>
      <x:c r="K106" s="9" t="n">
        <x:f>IF(W256="估算",IF(OR(O256=0,K256=0),0,U256*E28*MIN(1,(K256+P256)/L256)),"")</x:f>
        <x:v>117.082377225</x:v>
      </x:c>
      <x:c r="L106" s="53" t="n">
        <x:f>IF(W256="估算",V256,"")</x:f>
        <x:v>0.0708412010280493</x:v>
      </x:c>
      <x:c r="M106" s="53" t="n">
        <x:f>IF(W256="估算",E106*V256/60,"")</x:f>
        <x:v>0.023613733676016435</x:v>
      </x:c>
      <x:c r="N106" s="53" t="n">
        <x:f>IF(W256="估算",V256/60000*1e6,"")</x:f>
        <x:v>1.1806866838008219</x:v>
      </x:c>
      <x:c r="O106" s="2" t="str">
        <x:f>IF(W256="估算","相位平均估算",W256)</x:f>
        <x:v>相位平均估算</x:v>
      </x:c>
      <x:c r="P106" s="33" t="n">
        <x:f>Q256</x:f>
        <x:v>98.07300000000001</x:v>
      </x:c>
      <x:c r="Q106" s="2"/>
      <x:c r="R106" s="2"/>
      <x:c r="S106" s="2"/>
      <x:c r="T106" s="2"/>
      <x:c r="U106" s="2"/>
      <x:c r="V106" s="2"/>
      <x:c r="W106" s="2"/>
      <x:c r="X106" s="2"/>
    </x:row>
    <x:row r="107" ht="25" customHeight="1">
      <x:c r="A107" s="2" t="str">
        <x:f>A28</x:f>
        <x:v>GLM5.3</x:v>
      </x:c>
      <x:c r="B107" s="2" t="n">
        <x:f>B28</x:f>
        <x:v>256</x:v>
      </x:c>
      <x:c r="C107" s="8" t="n">
        <x:f>$B$16</x:f>
        <x:v>262144</x:v>
      </x:c>
      <x:c r="D107" s="2" t="n">
        <x:f>$C$16</x:f>
        <x:v>20</x:v>
      </x:c>
      <x:c r="E107" s="2" t="n">
        <x:f>$F$18</x:f>
        <x:v>30</x:v>
      </x:c>
      <x:c r="F107" s="9" t="n">
        <x:f>IF(A257,60000/L257,"")</x:f>
        <x:v>3</x:v>
      </x:c>
      <x:c r="G107" s="9" t="n">
        <x:f>K257</x:f>
        <x:v>10.40187392</x:v>
      </x:c>
      <x:c r="H107" s="9" t="n">
        <x:f>IF(W257="估算",U257*R257,"")</x:f>
        <x:v>4.000732241999927</x:v>
      </x:c>
      <x:c r="I107" s="9" t="n">
        <x:f>IF(W257="估算",U257*S257,"")</x:f>
        <x:v>0</x:v>
      </x:c>
      <x:c r="J107" s="9" t="n">
        <x:f>IF(W257="估算",U257*MAX(0,R257-S257),"")</x:f>
        <x:v>4.000732241999927</x:v>
      </x:c>
      <x:c r="K107" s="9" t="n">
        <x:f>IF(W257="估算",IF(OR(O257=0,K257=0),0,U257*E28*MIN(1,(K257+P257)/L257)),"")</x:f>
        <x:v>78.05491815</x:v>
      </x:c>
      <x:c r="L107" s="53" t="n">
        <x:f>IF(W257="估算",V257,"")</x:f>
        <x:v>0.04722746735203287</x:v>
      </x:c>
      <x:c r="M107" s="53" t="n">
        <x:f>IF(W257="估算",E107*V257/60,"")</x:f>
        <x:v>0.023613733676016435</x:v>
      </x:c>
      <x:c r="N107" s="53" t="n">
        <x:f>IF(W257="估算",V257/60000*1e6,"")</x:f>
        <x:v>0.7871244558672145</x:v>
      </x:c>
      <x:c r="O107" s="2" t="str">
        <x:f>IF(W257="估算","相位平均估算",W257)</x:f>
        <x:v>相位平均估算</x:v>
      </x:c>
      <x:c r="P107" s="33" t="n">
        <x:f>Q257</x:f>
        <x:v>65.382</x:v>
      </x:c>
      <x:c r="Q107" s="2"/>
      <x:c r="R107" s="2"/>
      <x:c r="S107" s="2"/>
      <x:c r="T107" s="2"/>
      <x:c r="U107" s="2"/>
      <x:c r="V107" s="2"/>
      <x:c r="W107" s="2"/>
      <x:c r="X107" s="2"/>
    </x:row>
    <x:row r="108" ht="25" customHeight="1">
      <x:c r="A108" s="2" t="str">
        <x:f>A28</x:f>
        <x:v>GLM5.3</x:v>
      </x:c>
      <x:c r="B108" s="2" t="n">
        <x:f>B28</x:f>
        <x:v>256</x:v>
      </x:c>
      <x:c r="C108" s="8" t="n">
        <x:f>$B$17</x:f>
        <x:v>1048576</x:v>
      </x:c>
      <x:c r="D108" s="2" t="n">
        <x:f>$C$17</x:f>
        <x:v>60</x:v>
      </x:c>
      <x:c r="E108" s="2" t="n">
        <x:f>$F$15</x:f>
        <x:v>5</x:v>
      </x:c>
      <x:c r="F108" s="9" t="n">
        <x:f>IF(A258,60000/L258,"")</x:f>
        <x:v>1</x:v>
      </x:c>
      <x:c r="G108" s="9" t="n">
        <x:f>K258</x:f>
        <x:v>41.60749568</x:v>
      </x:c>
      <x:c r="H108" s="9" t="n">
        <x:f>IF(W258="估算",U258*R258,"")</x:f>
        <x:v>9.309255502666591</x:v>
      </x:c>
      <x:c r="I108" s="9" t="n">
        <x:f>IF(W258="估算",U258*S258,"")</x:f>
        <x:v>7.333742769333185</x:v>
      </x:c>
      <x:c r="J108" s="9" t="n">
        <x:f>IF(W258="估算",U258*MAX(0,R258-S258),"")</x:f>
        <x:v>1.9755127333334066</x:v>
      </x:c>
      <x:c r="K108" s="9" t="n">
        <x:f>IF(W258="估算",IF(OR(O258=0,K258=0),0,U258*E28*MIN(1,(K258+P258)/L258)),"")</x:f>
        <x:v>624.1941627</x:v>
      </x:c>
      <x:c r="L108" s="53" t="n">
        <x:f>IF(W258="估算",V258,"")</x:f>
        <x:v>0.3778279849696658</x:v>
      </x:c>
      <x:c r="M108" s="53" t="n">
        <x:f>IF(W258="估算",E108*V258/60,"")</x:f>
        <x:v>0.031485665414138816</x:v>
      </x:c>
      <x:c r="N108" s="53" t="n">
        <x:f>IF(W258="估算",V258/60000*1e6,"")</x:f>
        <x:v>6.297133082827764</x:v>
      </x:c>
      <x:c r="O108" s="2" t="str">
        <x:f>IF(W258="估算","相位平均估算",W258)</x:f>
        <x:v>相位平均估算</x:v>
      </x:c>
      <x:c r="P108" s="33" t="n">
        <x:f>Q258</x:f>
        <x:v>392.29200000000003</x:v>
      </x:c>
      <x:c r="Q108" s="2"/>
      <x:c r="R108" s="2"/>
      <x:c r="S108" s="2"/>
      <x:c r="T108" s="2"/>
      <x:c r="U108" s="2"/>
      <x:c r="V108" s="2"/>
      <x:c r="W108" s="2"/>
      <x:c r="X108" s="2"/>
    </x:row>
    <x:row r="109" ht="25" customHeight="1">
      <x:c r="A109" s="2" t="str">
        <x:f>A28</x:f>
        <x:v>GLM5.3</x:v>
      </x:c>
      <x:c r="B109" s="2" t="n">
        <x:f>B28</x:f>
        <x:v>256</x:v>
      </x:c>
      <x:c r="C109" s="8" t="n">
        <x:f>$B$17</x:f>
        <x:v>1048576</x:v>
      </x:c>
      <x:c r="D109" s="2" t="n">
        <x:f>$C$17</x:f>
        <x:v>60</x:v>
      </x:c>
      <x:c r="E109" s="2" t="n">
        <x:f>$F$16</x:f>
        <x:v>10</x:v>
      </x:c>
      <x:c r="F109" s="9" t="n">
        <x:f>IF(A259,60000/L259,"")</x:f>
        <x:v>1</x:v>
      </x:c>
      <x:c r="G109" s="9" t="n">
        <x:f>K259</x:f>
        <x:v>41.60749568</x:v>
      </x:c>
      <x:c r="H109" s="9" t="n">
        <x:f>IF(W259="估算",U259*R259,"")</x:f>
        <x:v>5.147961084667196</x:v>
      </x:c>
      <x:c r="I109" s="9" t="n">
        <x:f>IF(W259="估算",U259*S259,"")</x:f>
        <x:v>3.1735380513333578</x:v>
      </x:c>
      <x:c r="J109" s="9" t="n">
        <x:f>IF(W259="估算",U259*MAX(0,R259-S259),"")</x:f>
        <x:v>1.9744230333338386</x:v>
      </x:c>
      <x:c r="K109" s="9" t="n">
        <x:f>IF(W259="估算",IF(OR(O259=0,K259=0),0,U259*E28*MIN(1,(K259+P259)/L259)),"")</x:f>
        <x:v>312.09708135</x:v>
      </x:c>
      <x:c r="L109" s="53" t="n">
        <x:f>IF(W259="估算",V259,"")</x:f>
        <x:v>0.1889139924848329</x:v>
      </x:c>
      <x:c r="M109" s="53" t="n">
        <x:f>IF(W259="估算",E109*V259/60,"")</x:f>
        <x:v>0.031485665414138816</x:v>
      </x:c>
      <x:c r="N109" s="53" t="n">
        <x:f>IF(W259="估算",V259/60000*1e6,"")</x:f>
        <x:v>3.148566541413882</x:v>
      </x:c>
      <x:c r="O109" s="2" t="str">
        <x:f>IF(W259="估算","相位平均估算",W259)</x:f>
        <x:v>相位平均估算</x:v>
      </x:c>
      <x:c r="P109" s="33" t="n">
        <x:f>Q259</x:f>
        <x:v>196.14600000000002</x:v>
      </x:c>
      <x:c r="Q109" s="2"/>
      <x:c r="R109" s="2"/>
      <x:c r="S109" s="2"/>
      <x:c r="T109" s="2"/>
      <x:c r="U109" s="2"/>
      <x:c r="V109" s="2"/>
      <x:c r="W109" s="2"/>
      <x:c r="X109" s="2"/>
    </x:row>
    <x:row r="110" ht="25" customHeight="1">
      <x:c r="A110" s="2" t="str">
        <x:f>A28</x:f>
        <x:v>GLM5.3</x:v>
      </x:c>
      <x:c r="B110" s="2" t="n">
        <x:f>B28</x:f>
        <x:v>256</x:v>
      </x:c>
      <x:c r="C110" s="8" t="n">
        <x:f>$B$17</x:f>
        <x:v>1048576</x:v>
      </x:c>
      <x:c r="D110" s="2" t="n">
        <x:f>$C$17</x:f>
        <x:v>60</x:v>
      </x:c>
      <x:c r="E110" s="2" t="n">
        <x:f>$F$17</x:f>
        <x:v>20</x:v>
      </x:c>
      <x:c r="F110" s="9" t="n">
        <x:f>IF(A260,60000/L260,"")</x:f>
        <x:v>1</x:v>
      </x:c>
      <x:c r="G110" s="9" t="n">
        <x:f>K260</x:f>
        <x:v>41.60749568</x:v>
      </x:c>
      <x:c r="H110" s="9" t="n">
        <x:f>IF(W260="估算",U260*R260,"")</x:f>
        <x:v>3.0673138756664997</x:v>
      </x:c>
      <x:c r="I110" s="9" t="n">
        <x:f>IF(W260="估算",U260*S260,"")</x:f>
        <x:v>1.0934356923334443</x:v>
      </x:c>
      <x:c r="J110" s="9" t="n">
        <x:f>IF(W260="估算",U260*MAX(0,R260-S260),"")</x:f>
        <x:v>1.9738781833330554</x:v>
      </x:c>
      <x:c r="K110" s="9" t="n">
        <x:f>IF(W260="估算",IF(OR(O260=0,K260=0),0,U260*E28*MIN(1,(K260+P260)/L260)),"")</x:f>
        <x:v>156.048540675</x:v>
      </x:c>
      <x:c r="L110" s="53" t="n">
        <x:f>IF(W260="估算",V260,"")</x:f>
        <x:v>0.09445699624241645</x:v>
      </x:c>
      <x:c r="M110" s="53" t="n">
        <x:f>IF(W260="估算",E110*V260/60,"")</x:f>
        <x:v>0.031485665414138816</x:v>
      </x:c>
      <x:c r="N110" s="53" t="n">
        <x:f>IF(W260="估算",V260/60000*1e6,"")</x:f>
        <x:v>1.574283270706941</x:v>
      </x:c>
      <x:c r="O110" s="2" t="str">
        <x:f>IF(W260="估算","相位平均估算",W260)</x:f>
        <x:v>相位平均估算</x:v>
      </x:c>
      <x:c r="P110" s="33" t="n">
        <x:f>Q260</x:f>
        <x:v>98.07300000000001</x:v>
      </x:c>
      <x:c r="Q110" s="2"/>
      <x:c r="R110" s="2"/>
      <x:c r="S110" s="2"/>
      <x:c r="T110" s="2"/>
      <x:c r="U110" s="2"/>
      <x:c r="V110" s="2"/>
      <x:c r="W110" s="2"/>
      <x:c r="X110" s="2"/>
    </x:row>
    <x:row r="111" ht="25" customHeight="1">
      <x:c r="A111" s="2" t="str">
        <x:f>A28</x:f>
        <x:v>GLM5.3</x:v>
      </x:c>
      <x:c r="B111" s="2" t="n">
        <x:f>B28</x:f>
        <x:v>256</x:v>
      </x:c>
      <x:c r="C111" s="8" t="n">
        <x:f>$B$17</x:f>
        <x:v>1048576</x:v>
      </x:c>
      <x:c r="D111" s="2" t="n">
        <x:f>$C$17</x:f>
        <x:v>60</x:v>
      </x:c>
      <x:c r="E111" s="2" t="n">
        <x:f>$F$18</x:f>
        <x:v>30</x:v>
      </x:c>
      <x:c r="F111" s="9" t="n">
        <x:f>IF(A261,60000/L261,"")</x:f>
        <x:v>1</x:v>
      </x:c>
      <x:c r="G111" s="9" t="n">
        <x:f>K261</x:f>
        <x:v>41.60749568</x:v>
      </x:c>
      <x:c r="H111" s="9" t="n">
        <x:f>IF(W261="估算",U261*R261,"")</x:f>
        <x:v>2.373764806000045</x:v>
      </x:c>
      <x:c r="I111" s="9" t="n">
        <x:f>IF(W261="估算",U261*S261,"")</x:f>
        <x:v>0.40006823933347313</x:v>
      </x:c>
      <x:c r="J111" s="9" t="n">
        <x:f>IF(W261="估算",U261*MAX(0,R261-S261),"")</x:f>
        <x:v>1.9736965666665718</x:v>
      </x:c>
      <x:c r="K111" s="9" t="n">
        <x:f>IF(W261="估算",IF(OR(O261=0,K261=0),0,U261*E28*MIN(1,(K261+P261)/L261)),"")</x:f>
        <x:v>104.03236045</x:v>
      </x:c>
      <x:c r="L111" s="53" t="n">
        <x:f>IF(W261="估算",V261,"")</x:f>
        <x:v>0.06297133082827763</x:v>
      </x:c>
      <x:c r="M111" s="53" t="n">
        <x:f>IF(W261="估算",E111*V261/60,"")</x:f>
        <x:v>0.031485665414138816</x:v>
      </x:c>
      <x:c r="N111" s="53" t="n">
        <x:f>IF(W261="估算",V261/60000*1e6,"")</x:f>
        <x:v>1.0495221804712938</x:v>
      </x:c>
      <x:c r="O111" s="2" t="str">
        <x:f>IF(W261="估算","相位平均估算",W261)</x:f>
        <x:v>相位平均估算</x:v>
      </x:c>
      <x:c r="P111" s="33" t="n">
        <x:f>Q261</x:f>
        <x:v>65.382</x:v>
      </x:c>
      <x:c r="Q111" s="2"/>
      <x:c r="R111" s="2"/>
      <x:c r="S111" s="2"/>
      <x:c r="T111" s="2"/>
      <x:c r="U111" s="2"/>
      <x:c r="V111" s="2"/>
      <x:c r="W111" s="2"/>
      <x:c r="X111" s="2"/>
    </x:row>
    <x:row r="112" ht="25" customHeight="1">
      <x:c r="A112" s="2" t="str">
        <x:f>A29</x:f>
        <x:v>KimiK3</x:v>
      </x:c>
      <x:c r="B112" s="2" t="n">
        <x:f>B29</x:f>
        <x:v>32</x:v>
      </x:c>
      <x:c r="C112" s="8" t="n">
        <x:f>$B$15</x:f>
        <x:v>16384</x:v>
      </x:c>
      <x:c r="D112" s="2" t="n">
        <x:f>$C$15</x:f>
        <x:v>4</x:v>
      </x:c>
      <x:c r="E112" s="2" t="n">
        <x:f>$F$15</x:f>
        <x:v>5</x:v>
      </x:c>
      <x:c r="F112" s="9" t="n">
        <x:f>IF(A262,60000/L262,"")</x:f>
        <x:v>15</x:v>
      </x:c>
      <x:c r="G112" s="9" t="n">
        <x:f>K262</x:f>
        <x:v>1.7120256</x:v>
      </x:c>
      <x:c r="H112" s="9" t="n">
        <x:f>IF(W262="估算",U262*R262,"")</x:f>
        <x:v>19.977658521738384</x:v>
      </x:c>
      <x:c r="I112" s="9" t="n">
        <x:f>IF(W262="估算",U262*S262,"")</x:f>
        <x:v>0</x:v>
      </x:c>
      <x:c r="J112" s="9" t="n">
        <x:f>IF(W262="估算",U262*MAX(0,R262-S262),"")</x:f>
        <x:v>19.977658521738384</x:v>
      </x:c>
      <x:c r="K112" s="9" t="n">
        <x:f>IF(W262="估算",IF(OR(O262=0,K262=0),0,U262*E29*MIN(1,(K262+P262)/L262)),"")</x:f>
        <x:v>472.944584</x:v>
      </x:c>
      <x:c r="L112" s="53" t="n">
        <x:f>IF(W262="估算",V262,"")</x:f>
        <x:v>0.08094021640356477</x:v>
      </x:c>
      <x:c r="M112" s="53" t="n">
        <x:f>IF(W262="估算",E112*V262/60,"")</x:f>
        <x:v>0.006745018033630397</x:v>
      </x:c>
      <x:c r="N112" s="53" t="n">
        <x:f>IF(W262="估算",V262/60000*1e6,"")</x:f>
        <x:v>1.3490036067260796</x:v>
      </x:c>
      <x:c r="O112" s="2" t="str">
        <x:f>IF(W262="估算","相位平均估算",W262)</x:f>
        <x:v>相位平均估算</x:v>
      </x:c>
      <x:c r="P112" s="33" t="n">
        <x:f>Q262</x:f>
        <x:v>136.165888</x:v>
      </x:c>
      <x:c r="Q112" s="2"/>
      <x:c r="R112" s="2"/>
      <x:c r="S112" s="2"/>
      <x:c r="T112" s="2"/>
      <x:c r="U112" s="2"/>
      <x:c r="V112" s="2"/>
      <x:c r="W112" s="2"/>
      <x:c r="X112" s="2"/>
    </x:row>
    <x:row r="113" ht="25" customHeight="1">
      <x:c r="A113" s="2" t="str">
        <x:f>A29</x:f>
        <x:v>KimiK3</x:v>
      </x:c>
      <x:c r="B113" s="2" t="n">
        <x:f>B29</x:f>
        <x:v>32</x:v>
      </x:c>
      <x:c r="C113" s="8" t="n">
        <x:f>$B$15</x:f>
        <x:v>16384</x:v>
      </x:c>
      <x:c r="D113" s="2" t="n">
        <x:f>$C$15</x:f>
        <x:v>4</x:v>
      </x:c>
      <x:c r="E113" s="2" t="n">
        <x:f>$F$16</x:f>
        <x:v>10</x:v>
      </x:c>
      <x:c r="F113" s="9" t="n">
        <x:f>IF(A263,60000/L263,"")</x:f>
        <x:v>15</x:v>
      </x:c>
      <x:c r="G113" s="9" t="n">
        <x:f>K263</x:f>
        <x:v>1.7120256</x:v>
      </x:c>
      <x:c r="H113" s="9" t="n">
        <x:f>IF(W263="估算",U263*R263,"")</x:f>
        <x:v>17.407307521739135</x:v>
      </x:c>
      <x:c r="I113" s="9" t="n">
        <x:f>IF(W263="估算",U263*S263,"")</x:f>
        <x:v>0</x:v>
      </x:c>
      <x:c r="J113" s="9" t="n">
        <x:f>IF(W263="估算",U263*MAX(0,R263-S263),"")</x:f>
        <x:v>17.407307521739135</x:v>
      </x:c>
      <x:c r="K113" s="9" t="n">
        <x:f>IF(W263="估算",IF(OR(O263=0,K263=0),0,U263*E29*MIN(1,(K263+P263)/L263)),"")</x:f>
        <x:v>236.472292</x:v>
      </x:c>
      <x:c r="L113" s="53" t="n">
        <x:f>IF(W263="估算",V263,"")</x:f>
        <x:v>0.04047010820178239</x:v>
      </x:c>
      <x:c r="M113" s="53" t="n">
        <x:f>IF(W263="估算",E113*V263/60,"")</x:f>
        <x:v>0.006745018033630397</x:v>
      </x:c>
      <x:c r="N113" s="53" t="n">
        <x:f>IF(W263="估算",V263/60000*1e6,"")</x:f>
        <x:v>0.6745018033630398</x:v>
      </x:c>
      <x:c r="O113" s="2" t="str">
        <x:f>IF(W263="估算","相位平均估算",W263)</x:f>
        <x:v>相位平均估算</x:v>
      </x:c>
      <x:c r="P113" s="33" t="n">
        <x:f>Q263</x:f>
        <x:v>68.082944</x:v>
      </x:c>
      <x:c r="Q113" s="2"/>
      <x:c r="R113" s="2"/>
      <x:c r="S113" s="2"/>
      <x:c r="T113" s="2"/>
      <x:c r="U113" s="2"/>
      <x:c r="V113" s="2"/>
      <x:c r="W113" s="2"/>
      <x:c r="X113" s="2"/>
    </x:row>
    <x:row r="114" ht="25" customHeight="1">
      <x:c r="A114" s="2" t="str">
        <x:f>A29</x:f>
        <x:v>KimiK3</x:v>
      </x:c>
      <x:c r="B114" s="2" t="n">
        <x:f>B29</x:f>
        <x:v>32</x:v>
      </x:c>
      <x:c r="C114" s="8" t="n">
        <x:f>$B$15</x:f>
        <x:v>16384</x:v>
      </x:c>
      <x:c r="D114" s="2" t="n">
        <x:f>$C$15</x:f>
        <x:v>4</x:v>
      </x:c>
      <x:c r="E114" s="2" t="n">
        <x:f>$F$17</x:f>
        <x:v>20</x:v>
      </x:c>
      <x:c r="F114" s="9" t="n">
        <x:f>IF(A264,60000/L264,"")</x:f>
        <x:v>15</x:v>
      </x:c>
      <x:c r="G114" s="9" t="n">
        <x:f>K264</x:f>
        <x:v>1.7120256</x:v>
      </x:c>
      <x:c r="H114" s="9" t="n">
        <x:f>IF(W264="估算",U264*R264,"")</x:f>
        <x:v>16.122132021738842</x:v>
      </x:c>
      <x:c r="I114" s="9" t="n">
        <x:f>IF(W264="估算",U264*S264,"")</x:f>
        <x:v>0</x:v>
      </x:c>
      <x:c r="J114" s="9" t="n">
        <x:f>IF(W264="估算",U264*MAX(0,R264-S264),"")</x:f>
        <x:v>16.122132021738842</x:v>
      </x:c>
      <x:c r="K114" s="9" t="n">
        <x:f>IF(W264="估算",IF(OR(O264=0,K264=0),0,U264*E29*MIN(1,(K264+P264)/L264)),"")</x:f>
        <x:v>118.236146</x:v>
      </x:c>
      <x:c r="L114" s="53" t="n">
        <x:f>IF(W264="估算",V264,"")</x:f>
        <x:v>0.020235054100891194</x:v>
      </x:c>
      <x:c r="M114" s="53" t="n">
        <x:f>IF(W264="估算",E114*V264/60,"")</x:f>
        <x:v>0.006745018033630397</x:v>
      </x:c>
      <x:c r="N114" s="53" t="n">
        <x:f>IF(W264="估算",V264/60000*1e6,"")</x:f>
        <x:v>0.3372509016815199</x:v>
      </x:c>
      <x:c r="O114" s="2" t="str">
        <x:f>IF(W264="估算","相位平均估算",W264)</x:f>
        <x:v>相位平均估算</x:v>
      </x:c>
      <x:c r="P114" s="33" t="n">
        <x:f>Q264</x:f>
        <x:v>34.041472</x:v>
      </x:c>
      <x:c r="Q114" s="2"/>
      <x:c r="R114" s="2"/>
      <x:c r="S114" s="2"/>
      <x:c r="T114" s="2"/>
      <x:c r="U114" s="2"/>
      <x:c r="V114" s="2"/>
      <x:c r="W114" s="2"/>
      <x:c r="X114" s="2"/>
    </x:row>
    <x:row r="115" ht="25" customHeight="1">
      <x:c r="A115" s="2" t="str">
        <x:f>A29</x:f>
        <x:v>KimiK3</x:v>
      </x:c>
      <x:c r="B115" s="2" t="n">
        <x:f>B29</x:f>
        <x:v>32</x:v>
      </x:c>
      <x:c r="C115" s="8" t="n">
        <x:f>$B$15</x:f>
        <x:v>16384</x:v>
      </x:c>
      <x:c r="D115" s="2" t="n">
        <x:f>$C$15</x:f>
        <x:v>4</x:v>
      </x:c>
      <x:c r="E115" s="2" t="n">
        <x:f>$F$18</x:f>
        <x:v>30</x:v>
      </x:c>
      <x:c r="F115" s="9" t="n">
        <x:f>IF(A265,60000/L265,"")</x:f>
        <x:v>15</x:v>
      </x:c>
      <x:c r="G115" s="9" t="n">
        <x:f>K265</x:f>
        <x:v>1.7120256</x:v>
      </x:c>
      <x:c r="H115" s="9" t="n">
        <x:f>IF(W265="估算",U265*R265,"")</x:f>
        <x:v>15.693740188405636</x:v>
      </x:c>
      <x:c r="I115" s="9" t="n">
        <x:f>IF(W265="估算",U265*S265,"")</x:f>
        <x:v>0</x:v>
      </x:c>
      <x:c r="J115" s="9" t="n">
        <x:f>IF(W265="估算",U265*MAX(0,R265-S265),"")</x:f>
        <x:v>15.693740188405636</x:v>
      </x:c>
      <x:c r="K115" s="9" t="n">
        <x:f>IF(W265="估算",IF(OR(O265=0,K265=0),0,U265*E29*MIN(1,(K265+P265)/L265)),"")</x:f>
        <x:v>78.82409733333334</x:v>
      </x:c>
      <x:c r="L115" s="53" t="n">
        <x:f>IF(W265="估算",V265,"")</x:f>
        <x:v>0.013490036067260796</x:v>
      </x:c>
      <x:c r="M115" s="53" t="n">
        <x:f>IF(W265="估算",E115*V265/60,"")</x:f>
        <x:v>0.006745018033630398</x:v>
      </x:c>
      <x:c r="N115" s="53" t="n">
        <x:f>IF(W265="估算",V265/60000*1e6,"")</x:f>
        <x:v>0.2248339344543466</x:v>
      </x:c>
      <x:c r="O115" s="2" t="str">
        <x:f>IF(W265="估算","相位平均估算",W265)</x:f>
        <x:v>相位平均估算</x:v>
      </x:c>
      <x:c r="P115" s="33" t="n">
        <x:f>Q265</x:f>
        <x:v>22.694314666666667</x:v>
      </x:c>
      <x:c r="Q115" s="2"/>
      <x:c r="R115" s="2"/>
      <x:c r="S115" s="2"/>
      <x:c r="T115" s="2"/>
      <x:c r="U115" s="2"/>
      <x:c r="V115" s="2"/>
      <x:c r="W115" s="2"/>
      <x:c r="X115" s="2"/>
    </x:row>
    <x:row r="116" ht="25" customHeight="1">
      <x:c r="A116" s="2" t="str">
        <x:f>A29</x:f>
        <x:v>KimiK3</x:v>
      </x:c>
      <x:c r="B116" s="2" t="n">
        <x:f>B29</x:f>
        <x:v>32</x:v>
      </x:c>
      <x:c r="C116" s="8" t="n">
        <x:f>$B$16</x:f>
        <x:v>262144</x:v>
      </x:c>
      <x:c r="D116" s="2" t="n">
        <x:f>$C$16</x:f>
        <x:v>20</x:v>
      </x:c>
      <x:c r="E116" s="2" t="n">
        <x:f>$F$15</x:f>
        <x:v>5</x:v>
      </x:c>
      <x:c r="F116" s="9" t="n">
        <x:f>IF(A266,60000/L266,"")</x:f>
        <x:v>3</x:v>
      </x:c>
      <x:c r="G116" s="9" t="n">
        <x:f>K266</x:f>
        <x:v>24.3612672</x:v>
      </x:c>
      <x:c r="H116" s="9" t="n">
        <x:f>IF(W266="估算",U266*R266,"")</x:f>
        <x:v>17.585076664349497</x:v>
      </x:c>
      <x:c r="I116" s="9" t="n">
        <x:f>IF(W266="估算",U266*S266,"")</x:f>
        <x:v>11.648443975653677</x:v>
      </x:c>
      <x:c r="J116" s="9" t="n">
        <x:f>IF(W266="估算",U266*MAX(0,R266-S266),"")</x:f>
        <x:v>5.93663268869582</x:v>
      </x:c>
      <x:c r="K116" s="9" t="n">
        <x:f>IF(W266="估算",IF(OR(O266=0,K266=0),0,U266*E29*MIN(1,(K266+P266)/L266)),"")</x:f>
        <x:v>1344.82705312</x:v>
      </x:c>
      <x:c r="L116" s="53" t="n">
        <x:f>IF(W266="估算",V266,"")</x:f>
        <x:v>0.23035846654394496</x:v>
      </x:c>
      <x:c r="M116" s="53" t="n">
        <x:f>IF(W266="估算",E116*V266/60,"")</x:f>
        <x:v>0.01919653887866208</x:v>
      </x:c>
      <x:c r="N116" s="53" t="n">
        <x:f>IF(W266="估算",V266/60000*1e6,"")</x:f>
        <x:v>3.8393077757324154</x:v>
      </x:c>
      <x:c r="O116" s="2" t="str">
        <x:f>IF(W266="估算","相位平均估算",W266)</x:f>
        <x:v>相位平均估算</x:v>
      </x:c>
      <x:c r="P116" s="33" t="n">
        <x:f>Q266</x:f>
        <x:v>136.165888</x:v>
      </x:c>
      <x:c r="Q116" s="2"/>
      <x:c r="R116" s="2"/>
      <x:c r="S116" s="2"/>
      <x:c r="T116" s="2"/>
      <x:c r="U116" s="2"/>
      <x:c r="V116" s="2"/>
      <x:c r="W116" s="2"/>
      <x:c r="X116" s="2"/>
    </x:row>
    <x:row r="117" ht="25" customHeight="1">
      <x:c r="A117" s="2" t="str">
        <x:f>A29</x:f>
        <x:v>KimiK3</x:v>
      </x:c>
      <x:c r="B117" s="2" t="n">
        <x:f>B29</x:f>
        <x:v>32</x:v>
      </x:c>
      <x:c r="C117" s="8" t="n">
        <x:f>$B$16</x:f>
        <x:v>262144</x:v>
      </x:c>
      <x:c r="D117" s="2" t="n">
        <x:f>$C$16</x:f>
        <x:v>20</x:v>
      </x:c>
      <x:c r="E117" s="2" t="n">
        <x:f>$F$16</x:f>
        <x:v>10</x:v>
      </x:c>
      <x:c r="F117" s="9" t="n">
        <x:f>IF(A267,60000/L267,"")</x:f>
        <x:v>3</x:v>
      </x:c>
      <x:c r="G117" s="9" t="n">
        <x:f>K267</x:f>
        <x:v>24.3612672</x:v>
      </x:c>
      <x:c r="H117" s="9" t="n">
        <x:f>IF(W267="估算",U267*R267,"")</x:f>
        <x:v>10.276233984348071</x:v>
      </x:c>
      <x:c r="I117" s="9" t="n">
        <x:f>IF(W267="估算",U267*S267,"")</x:f>
        <x:v>4.34052633565285</x:v>
      </x:c>
      <x:c r="J117" s="9" t="n">
        <x:f>IF(W267="估算",U267*MAX(0,R267-S267),"")</x:f>
        <x:v>5.935707648695221</x:v>
      </x:c>
      <x:c r="K117" s="9" t="n">
        <x:f>IF(W267="估算",IF(OR(O267=0,K267=0),0,U267*E29*MIN(1,(K267+P267)/L267)),"")</x:f>
        <x:v>672.41352656</x:v>
      </x:c>
      <x:c r="L117" s="53" t="n">
        <x:f>IF(W267="估算",V267,"")</x:f>
        <x:v>0.11517923327197248</x:v>
      </x:c>
      <x:c r="M117" s="53" t="n">
        <x:f>IF(W267="估算",E117*V267/60,"")</x:f>
        <x:v>0.01919653887866208</x:v>
      </x:c>
      <x:c r="N117" s="53" t="n">
        <x:f>IF(W267="估算",V267/60000*1e6,"")</x:f>
        <x:v>1.9196538878662077</x:v>
      </x:c>
      <x:c r="O117" s="2" t="str">
        <x:f>IF(W267="估算","相位平均估算",W267)</x:f>
        <x:v>相位平均估算</x:v>
      </x:c>
      <x:c r="P117" s="33" t="n">
        <x:f>Q267</x:f>
        <x:v>68.082944</x:v>
      </x:c>
      <x:c r="Q117" s="2"/>
      <x:c r="R117" s="2"/>
      <x:c r="S117" s="2"/>
      <x:c r="T117" s="2"/>
      <x:c r="U117" s="2"/>
      <x:c r="V117" s="2"/>
      <x:c r="W117" s="2"/>
      <x:c r="X117" s="2"/>
    </x:row>
    <x:row r="118" ht="25" customHeight="1">
      <x:c r="A118" s="2" t="str">
        <x:f>A29</x:f>
        <x:v>KimiK3</x:v>
      </x:c>
      <x:c r="B118" s="2" t="n">
        <x:f>B29</x:f>
        <x:v>32</x:v>
      </x:c>
      <x:c r="C118" s="8" t="n">
        <x:f>$B$16</x:f>
        <x:v>262144</x:v>
      </x:c>
      <x:c r="D118" s="2" t="n">
        <x:f>$C$16</x:f>
        <x:v>20</x:v>
      </x:c>
      <x:c r="E118" s="2" t="n">
        <x:f>$F$17</x:f>
        <x:v>20</x:v>
      </x:c>
      <x:c r="F118" s="9" t="n">
        <x:f>IF(A268,60000/L268,"")</x:f>
        <x:v>3</x:v>
      </x:c>
      <x:c r="G118" s="9" t="n">
        <x:f>K268</x:f>
        <x:v>24.3612672</x:v>
      </x:c>
      <x:c r="H118" s="9" t="n">
        <x:f>IF(W268="估算",U268*R268,"")</x:f>
        <x:v>6.621812644348357</x:v>
      </x:c>
      <x:c r="I118" s="9" t="n">
        <x:f>IF(W268="估算",U268*S268,"")</x:f>
        <x:v>0.6865675156524365</x:v>
      </x:c>
      <x:c r="J118" s="9" t="n">
        <x:f>IF(W268="估算",U268*MAX(0,R268-S268),"")</x:f>
        <x:v>5.935245128695921</x:v>
      </x:c>
      <x:c r="K118" s="9" t="n">
        <x:f>IF(W268="估算",IF(OR(O268=0,K268=0),0,U268*E29*MIN(1,(K268+P268)/L268)),"")</x:f>
        <x:v>336.20676328</x:v>
      </x:c>
      <x:c r="L118" s="53" t="n">
        <x:f>IF(W268="估算",V268,"")</x:f>
        <x:v>0.05758961663598624</x:v>
      </x:c>
      <x:c r="M118" s="53" t="n">
        <x:f>IF(W268="估算",E118*V268/60,"")</x:f>
        <x:v>0.01919653887866208</x:v>
      </x:c>
      <x:c r="N118" s="53" t="n">
        <x:f>IF(W268="估算",V268/60000*1e6,"")</x:f>
        <x:v>0.9598269439331039</x:v>
      </x:c>
      <x:c r="O118" s="2" t="str">
        <x:f>IF(W268="估算","相位平均估算",W268)</x:f>
        <x:v>相位平均估算</x:v>
      </x:c>
      <x:c r="P118" s="33" t="n">
        <x:f>Q268</x:f>
        <x:v>34.041472</x:v>
      </x:c>
      <x:c r="Q118" s="2"/>
      <x:c r="R118" s="2"/>
      <x:c r="S118" s="2"/>
      <x:c r="T118" s="2"/>
      <x:c r="U118" s="2"/>
      <x:c r="V118" s="2"/>
      <x:c r="W118" s="2"/>
      <x:c r="X118" s="2"/>
    </x:row>
    <x:row r="119" ht="25" customHeight="1">
      <x:c r="A119" s="2" t="str">
        <x:f>A29</x:f>
        <x:v>KimiK3</x:v>
      </x:c>
      <x:c r="B119" s="2" t="n">
        <x:f>B29</x:f>
        <x:v>32</x:v>
      </x:c>
      <x:c r="C119" s="8" t="n">
        <x:f>$B$16</x:f>
        <x:v>262144</x:v>
      </x:c>
      <x:c r="D119" s="2" t="n">
        <x:f>$C$16</x:f>
        <x:v>20</x:v>
      </x:c>
      <x:c r="E119" s="2" t="n">
        <x:f>$F$18</x:f>
        <x:v>30</x:v>
      </x:c>
      <x:c r="F119" s="9" t="n">
        <x:f>IF(A269,60000/L269,"")</x:f>
        <x:v>3</x:v>
      </x:c>
      <x:c r="G119" s="9" t="n">
        <x:f>K269</x:f>
        <x:v>24.3612672</x:v>
      </x:c>
      <x:c r="H119" s="9" t="n">
        <x:f>IF(W269="估算",U269*R269,"")</x:f>
        <x:v>5.40367219768112</x:v>
      </x:c>
      <x:c r="I119" s="9" t="n">
        <x:f>IF(W269="估算",U269*S269,"")</x:f>
        <x:v>0</x:v>
      </x:c>
      <x:c r="J119" s="9" t="n">
        <x:f>IF(W269="估算",U269*MAX(0,R269-S269),"")</x:f>
        <x:v>5.40367219768112</x:v>
      </x:c>
      <x:c r="K119" s="9" t="n">
        <x:f>IF(W269="估算",IF(OR(O269=0,K269=0),0,U269*E29*MIN(1,(K269+P269)/L269)),"")</x:f>
        <x:v>224.13784218666666</x:v>
      </x:c>
      <x:c r="L119" s="53" t="n">
        <x:f>IF(W269="估算",V269,"")</x:f>
        <x:v>0.03839307775732416</x:v>
      </x:c>
      <x:c r="M119" s="53" t="n">
        <x:f>IF(W269="估算",E119*V269/60,"")</x:f>
        <x:v>0.01919653887866208</x:v>
      </x:c>
      <x:c r="N119" s="53" t="n">
        <x:f>IF(W269="估算",V269/60000*1e6,"")</x:f>
        <x:v>0.639884629288736</x:v>
      </x:c>
      <x:c r="O119" s="2" t="str">
        <x:f>IF(W269="估算","相位平均估算",W269)</x:f>
        <x:v>相位平均估算</x:v>
      </x:c>
      <x:c r="P119" s="33" t="n">
        <x:f>Q269</x:f>
        <x:v>22.694314666666667</x:v>
      </x:c>
      <x:c r="Q119" s="2"/>
      <x:c r="R119" s="2"/>
      <x:c r="S119" s="2"/>
      <x:c r="T119" s="2"/>
      <x:c r="U119" s="2"/>
      <x:c r="V119" s="2"/>
      <x:c r="W119" s="2"/>
      <x:c r="X119" s="2"/>
    </x:row>
    <x:row r="120" ht="25" customHeight="1">
      <x:c r="A120" s="2" t="str">
        <x:f>A29</x:f>
        <x:v>KimiK3</x:v>
      </x:c>
      <x:c r="B120" s="2" t="n">
        <x:f>B29</x:f>
        <x:v>32</x:v>
      </x:c>
      <x:c r="C120" s="8" t="n">
        <x:f>$B$17</x:f>
        <x:v>1048576</x:v>
      </x:c>
      <x:c r="D120" s="2" t="n">
        <x:f>$C$17</x:f>
        <x:v>60</x:v>
      </x:c>
      <x:c r="E120" s="2" t="n">
        <x:f>$F$15</x:f>
        <x:v>5</x:v>
      </x:c>
      <x:c r="F120" s="9" t="n">
        <x:f>IF(A270,60000/L270,"")</x:f>
        <x:v>1</x:v>
      </x:c>
      <x:c r="G120" s="9" t="n">
        <x:f>K270</x:f>
        <x:v>96.83884032</x:v>
      </x:c>
      <x:c r="H120" s="9" t="n">
        <x:f>IF(W270="估算",U270*R270,"")</x:f>
        <x:v>20.357206845449838</x:v>
      </x:c>
      <x:c r="I120" s="9" t="n">
        <x:f>IF(W270="估算",U270*S270,"")</x:f>
        <x:v>18.378329282550787</x:v>
      </x:c>
      <x:c r="J120" s="9" t="n">
        <x:f>IF(W270="估算",U270*MAX(0,R270-S270),"")</x:f>
        <x:v>1.9788775628990507</x:v>
      </x:c>
      <x:c r="K120" s="9" t="n">
        <x:f>IF(W270="估算",IF(OR(O270=0,K270=0),0,U270*E29*MIN(1,(K270+P270)/L270)),"")</x:f>
        <x:v>1781.8630297813336</x:v>
      </x:c>
      <x:c r="L120" s="53" t="n">
        <x:f>IF(W270="估算",V270,"")</x:f>
        <x:v>0.30523460699542915</x:v>
      </x:c>
      <x:c r="M120" s="53" t="n">
        <x:f>IF(W270="估算",E120*V270/60,"")</x:f>
        <x:v>0.025436217249619093</x:v>
      </x:c>
      <x:c r="N120" s="53" t="n">
        <x:f>IF(W270="估算",V270/60000*1e6,"")</x:f>
        <x:v>5.087243449923819</x:v>
      </x:c>
      <x:c r="O120" s="2" t="str">
        <x:f>IF(W270="估算","相位平均估算",W270)</x:f>
        <x:v>相位平均估算</x:v>
      </x:c>
      <x:c r="P120" s="33" t="n">
        <x:f>Q270</x:f>
        <x:v>136.165888</x:v>
      </x:c>
      <x:c r="Q120" s="2"/>
      <x:c r="R120" s="2"/>
      <x:c r="S120" s="2"/>
      <x:c r="T120" s="2"/>
      <x:c r="U120" s="2"/>
      <x:c r="V120" s="2"/>
      <x:c r="W120" s="2"/>
      <x:c r="X120" s="2"/>
    </x:row>
    <x:row r="121" ht="25" customHeight="1">
      <x:c r="A121" s="2" t="str">
        <x:f>A29</x:f>
        <x:v>KimiK3</x:v>
      </x:c>
      <x:c r="B121" s="2" t="n">
        <x:f>B29</x:f>
        <x:v>32</x:v>
      </x:c>
      <x:c r="C121" s="8" t="n">
        <x:f>$B$17</x:f>
        <x:v>1048576</x:v>
      </x:c>
      <x:c r="D121" s="2" t="n">
        <x:f>$C$17</x:f>
        <x:v>60</x:v>
      </x:c>
      <x:c r="E121" s="2" t="n">
        <x:f>$F$16</x:f>
        <x:v>10</x:v>
      </x:c>
      <x:c r="F121" s="9" t="n">
        <x:f>IF(A271,60000/L271,"")</x:f>
        <x:v>1</x:v>
      </x:c>
      <x:c r="G121" s="9" t="n">
        <x:f>K271</x:f>
        <x:v>96.83884032</x:v>
      </x:c>
      <x:c r="H121" s="9" t="n">
        <x:f>IF(W271="估算",U271*R271,"")</x:f>
        <x:v>10.673168640115582</x:v>
      </x:c>
      <x:c r="I121" s="9" t="n">
        <x:f>IF(W271="估算",U271*S271,"")</x:f>
        <x:v>8.694599423884064</x:v>
      </x:c>
      <x:c r="J121" s="9" t="n">
        <x:f>IF(W271="估算",U271*MAX(0,R271-S271),"")</x:f>
        <x:v>1.9785692162315183</x:v>
      </x:c>
      <x:c r="K121" s="9" t="n">
        <x:f>IF(W271="估算",IF(OR(O271=0,K271=0),0,U271*E29*MIN(1,(K271+P271)/L271)),"")</x:f>
        <x:v>890.9315148906668</x:v>
      </x:c>
      <x:c r="L121" s="53" t="n">
        <x:f>IF(W271="估算",V271,"")</x:f>
        <x:v>0.15261730349771457</x:v>
      </x:c>
      <x:c r="M121" s="53" t="n">
        <x:f>IF(W271="估算",E121*V271/60,"")</x:f>
        <x:v>0.025436217249619093</x:v>
      </x:c>
      <x:c r="N121" s="53" t="n">
        <x:f>IF(W271="估算",V271/60000*1e6,"")</x:f>
        <x:v>2.5436217249619095</x:v>
      </x:c>
      <x:c r="O121" s="2" t="str">
        <x:f>IF(W271="估算","相位平均估算",W271)</x:f>
        <x:v>相位平均估算</x:v>
      </x:c>
      <x:c r="P121" s="33" t="n">
        <x:f>Q271</x:f>
        <x:v>68.082944</x:v>
      </x:c>
      <x:c r="Q121" s="2"/>
      <x:c r="R121" s="2"/>
      <x:c r="S121" s="2"/>
      <x:c r="T121" s="2"/>
      <x:c r="U121" s="2"/>
      <x:c r="V121" s="2"/>
      <x:c r="W121" s="2"/>
      <x:c r="X121" s="2"/>
    </x:row>
    <x:row r="122" ht="25" customHeight="1">
      <x:c r="A122" s="2" t="str">
        <x:f>A29</x:f>
        <x:v>KimiK3</x:v>
      </x:c>
      <x:c r="B122" s="2" t="n">
        <x:f>B29</x:f>
        <x:v>32</x:v>
      </x:c>
      <x:c r="C122" s="8" t="n">
        <x:f>$B$17</x:f>
        <x:v>1048576</x:v>
      </x:c>
      <x:c r="D122" s="2" t="n">
        <x:f>$C$17</x:f>
        <x:v>60</x:v>
      </x:c>
      <x:c r="E122" s="2" t="n">
        <x:f>$F$17</x:f>
        <x:v>20</x:v>
      </x:c>
      <x:c r="F122" s="9" t="n">
        <x:f>IF(A272,60000/L272,"")</x:f>
        <x:v>1</x:v>
      </x:c>
      <x:c r="G122" s="9" t="n">
        <x:f>K272</x:f>
        <x:v>96.83884032</x:v>
      </x:c>
      <x:c r="H122" s="9" t="n">
        <x:f>IF(W272="估算",U272*R272,"")</x:f>
        <x:v>5.831149537449121</x:v>
      </x:c>
      <x:c r="I122" s="9" t="n">
        <x:f>IF(W272="估算",U272*S272,"")</x:f>
        <x:v>3.8527344945510356</x:v>
      </x:c>
      <x:c r="J122" s="9" t="n">
        <x:f>IF(W272="估算",U272*MAX(0,R272-S272),"")</x:f>
        <x:v>1.9784150428980851</x:v>
      </x:c>
      <x:c r="K122" s="9" t="n">
        <x:f>IF(W272="估算",IF(OR(O272=0,K272=0),0,U272*E29*MIN(1,(K272+P272)/L272)),"")</x:f>
        <x:v>445.4657574453334</x:v>
      </x:c>
      <x:c r="L122" s="53" t="n">
        <x:f>IF(W272="估算",V272,"")</x:f>
        <x:v>0.07630865174885729</x:v>
      </x:c>
      <x:c r="M122" s="53" t="n">
        <x:f>IF(W272="估算",E122*V272/60,"")</x:f>
        <x:v>0.025436217249619093</x:v>
      </x:c>
      <x:c r="N122" s="53" t="n">
        <x:f>IF(W272="估算",V272/60000*1e6,"")</x:f>
        <x:v>1.2718108624809548</x:v>
      </x:c>
      <x:c r="O122" s="2" t="str">
        <x:f>IF(W272="估算","相位平均估算",W272)</x:f>
        <x:v>相位平均估算</x:v>
      </x:c>
      <x:c r="P122" s="33" t="n">
        <x:f>Q272</x:f>
        <x:v>34.041472</x:v>
      </x:c>
      <x:c r="Q122" s="2"/>
      <x:c r="R122" s="2"/>
      <x:c r="S122" s="2"/>
      <x:c r="T122" s="2"/>
      <x:c r="U122" s="2"/>
      <x:c r="V122" s="2"/>
      <x:c r="W122" s="2"/>
      <x:c r="X122" s="2"/>
    </x:row>
    <x:row r="123" ht="25" customHeight="1">
      <x:c r="A123" s="2" t="str">
        <x:f>A29</x:f>
        <x:v>KimiK3</x:v>
      </x:c>
      <x:c r="B123" s="2" t="n">
        <x:f>B29</x:f>
        <x:v>32</x:v>
      </x:c>
      <x:c r="C123" s="8" t="n">
        <x:f>$B$17</x:f>
        <x:v>1048576</x:v>
      </x:c>
      <x:c r="D123" s="2" t="n">
        <x:f>$C$17</x:f>
        <x:v>60</x:v>
      </x:c>
      <x:c r="E123" s="2" t="n">
        <x:f>$F$18</x:f>
        <x:v>30</x:v>
      </x:c>
      <x:c r="F123" s="9" t="n">
        <x:f>IF(A273,60000/L273,"")</x:f>
        <x:v>1</x:v>
      </x:c>
      <x:c r="G123" s="9" t="n">
        <x:f>K273</x:f>
        <x:v>96.83884032</x:v>
      </x:c>
      <x:c r="H123" s="9" t="n">
        <x:f>IF(W273="估算",U273*R273,"")</x:f>
        <x:v>4.2171431698938555</x:v>
      </x:c>
      <x:c r="I123" s="9" t="n">
        <x:f>IF(W273="估算",U273*S273,"")</x:f>
        <x:v>2.2387795181062486</x:v>
      </x:c>
      <x:c r="J123" s="9" t="n">
        <x:f>IF(W273="估算",U273*MAX(0,R273-S273),"")</x:f>
        <x:v>1.9783636517876069</x:v>
      </x:c>
      <x:c r="K123" s="9" t="n">
        <x:f>IF(W273="估算",IF(OR(O273=0,K273=0),0,U273*E29*MIN(1,(K273+P273)/L273)),"")</x:f>
        <x:v>296.97717163022224</x:v>
      </x:c>
      <x:c r="L123" s="53" t="n">
        <x:f>IF(W273="估算",V273,"")</x:f>
        <x:v>0.05087243449923819</x:v>
      </x:c>
      <x:c r="M123" s="53" t="n">
        <x:f>IF(W273="估算",E123*V273/60,"")</x:f>
        <x:v>0.025436217249619093</x:v>
      </x:c>
      <x:c r="N123" s="53" t="n">
        <x:f>IF(W273="估算",V273/60000*1e6,"")</x:f>
        <x:v>0.8478739083206365</x:v>
      </x:c>
      <x:c r="O123" s="2" t="str">
        <x:f>IF(W273="估算","相位平均估算",W273)</x:f>
        <x:v>相位平均估算</x:v>
      </x:c>
      <x:c r="P123" s="33" t="n">
        <x:f>Q273</x:f>
        <x:v>22.694314666666667</x:v>
      </x:c>
      <x:c r="Q123" s="2"/>
      <x:c r="R123" s="2"/>
      <x:c r="S123" s="2"/>
      <x:c r="T123" s="2"/>
      <x:c r="U123" s="2"/>
      <x:c r="V123" s="2"/>
      <x:c r="W123" s="2"/>
      <x:c r="X123" s="2"/>
    </x:row>
    <x:row r="124" ht="25" customHeight="1">
      <x:c r="A124" s="2" t="str">
        <x:f>A30</x:f>
        <x:v>KimiK3</x:v>
      </x:c>
      <x:c r="B124" s="2" t="n">
        <x:f>B30</x:f>
        <x:v>256</x:v>
      </x:c>
      <x:c r="C124" s="8" t="n">
        <x:f>$B$15</x:f>
        <x:v>16384</x:v>
      </x:c>
      <x:c r="D124" s="2" t="n">
        <x:f>$C$15</x:f>
        <x:v>4</x:v>
      </x:c>
      <x:c r="E124" s="2" t="n">
        <x:f>$F$15</x:f>
        <x:v>5</x:v>
      </x:c>
      <x:c r="F124" s="9" t="n">
        <x:f>IF(A274,60000/L274,"")</x:f>
        <x:v>15</x:v>
      </x:c>
      <x:c r="G124" s="9" t="n">
        <x:f>K274</x:f>
        <x:v>1.7120256</x:v>
      </x:c>
      <x:c r="H124" s="9" t="n">
        <x:f>IF(W274="估算",U274*R274,"")</x:f>
        <x:v>19.97779162173874</x:v>
      </x:c>
      <x:c r="I124" s="9" t="n">
        <x:f>IF(W274="估算",U274*S274,"")</x:f>
        <x:v>0</x:v>
      </x:c>
      <x:c r="J124" s="9" t="n">
        <x:f>IF(W274="估算",U274*MAX(0,R274-S274),"")</x:f>
        <x:v>19.97779162173874</x:v>
      </x:c>
      <x:c r="K124" s="9" t="n">
        <x:f>IF(W274="估算",IF(OR(O274=0,K274=0),0,U274*E30*MIN(1,(K274+P274)/L274)),"")</x:f>
        <x:v>472.95682919999996</x:v>
      </x:c>
      <x:c r="L124" s="53" t="n">
        <x:f>IF(W274="估算",V274,"")</x:f>
        <x:v>0.08326932396432667</x:v>
      </x:c>
      <x:c r="M124" s="53" t="n">
        <x:f>IF(W274="估算",E124*V274/60,"")</x:f>
        <x:v>0.006939110330360556</x:v>
      </x:c>
      <x:c r="N124" s="53" t="n">
        <x:f>IF(W274="估算",V274/60000*1e6,"")</x:f>
        <x:v>1.3878220660721112</x:v>
      </x:c>
      <x:c r="O124" s="2" t="str">
        <x:f>IF(W274="估算","相位平均估算",W274)</x:f>
        <x:v>相位平均估算</x:v>
      </x:c>
      <x:c r="P124" s="33" t="n">
        <x:f>Q274</x:f>
        <x:v>140.084352</x:v>
      </x:c>
      <x:c r="Q124" s="2"/>
      <x:c r="R124" s="2"/>
      <x:c r="S124" s="2"/>
      <x:c r="T124" s="2"/>
      <x:c r="U124" s="2"/>
      <x:c r="V124" s="2"/>
      <x:c r="W124" s="2"/>
      <x:c r="X124" s="2"/>
    </x:row>
    <x:row r="125" ht="25" customHeight="1">
      <x:c r="A125" s="2" t="str">
        <x:f>A30</x:f>
        <x:v>KimiK3</x:v>
      </x:c>
      <x:c r="B125" s="2" t="n">
        <x:f>B30</x:f>
        <x:v>256</x:v>
      </x:c>
      <x:c r="C125" s="8" t="n">
        <x:f>$B$15</x:f>
        <x:v>16384</x:v>
      </x:c>
      <x:c r="D125" s="2" t="n">
        <x:f>$C$15</x:f>
        <x:v>4</x:v>
      </x:c>
      <x:c r="E125" s="2" t="n">
        <x:f>$F$16</x:f>
        <x:v>10</x:v>
      </x:c>
      <x:c r="F125" s="9" t="n">
        <x:f>IF(A275,60000/L275,"")</x:f>
        <x:v>15</x:v>
      </x:c>
      <x:c r="G125" s="9" t="n">
        <x:f>K275</x:f>
        <x:v>1.7120256</x:v>
      </x:c>
      <x:c r="H125" s="9" t="n">
        <x:f>IF(W275="估算",U275*R275,"")</x:f>
        <x:v>17.407374071739312</x:v>
      </x:c>
      <x:c r="I125" s="9" t="n">
        <x:f>IF(W275="估算",U275*S275,"")</x:f>
        <x:v>0</x:v>
      </x:c>
      <x:c r="J125" s="9" t="n">
        <x:f>IF(W275="估算",U275*MAX(0,R275-S275),"")</x:f>
        <x:v>17.407374071739312</x:v>
      </x:c>
      <x:c r="K125" s="9" t="n">
        <x:f>IF(W275="估算",IF(OR(O275=0,K275=0),0,U275*E30*MIN(1,(K275+P275)/L275)),"")</x:f>
        <x:v>236.47841459999998</x:v>
      </x:c>
      <x:c r="L125" s="53" t="n">
        <x:f>IF(W275="估算",V275,"")</x:f>
        <x:v>0.04163466198216333</x:v>
      </x:c>
      <x:c r="M125" s="53" t="n">
        <x:f>IF(W275="估算",E125*V275/60,"")</x:f>
        <x:v>0.006939110330360556</x:v>
      </x:c>
      <x:c r="N125" s="53" t="n">
        <x:f>IF(W275="估算",V275/60000*1e6,"")</x:f>
        <x:v>0.6939110330360556</x:v>
      </x:c>
      <x:c r="O125" s="2" t="str">
        <x:f>IF(W275="估算","相位平均估算",W275)</x:f>
        <x:v>相位平均估算</x:v>
      </x:c>
      <x:c r="P125" s="33" t="n">
        <x:f>Q275</x:f>
        <x:v>70.042176</x:v>
      </x:c>
      <x:c r="Q125" s="2"/>
      <x:c r="R125" s="2"/>
      <x:c r="S125" s="2"/>
      <x:c r="T125" s="2"/>
      <x:c r="U125" s="2"/>
      <x:c r="V125" s="2"/>
      <x:c r="W125" s="2"/>
      <x:c r="X125" s="2"/>
    </x:row>
    <x:row r="126" ht="25" customHeight="1">
      <x:c r="A126" s="2" t="str">
        <x:f>A30</x:f>
        <x:v>KimiK3</x:v>
      </x:c>
      <x:c r="B126" s="2" t="n">
        <x:f>B30</x:f>
        <x:v>256</x:v>
      </x:c>
      <x:c r="C126" s="8" t="n">
        <x:f>$B$15</x:f>
        <x:v>16384</x:v>
      </x:c>
      <x:c r="D126" s="2" t="n">
        <x:f>$C$15</x:f>
        <x:v>4</x:v>
      </x:c>
      <x:c r="E126" s="2" t="n">
        <x:f>$F$17</x:f>
        <x:v>20</x:v>
      </x:c>
      <x:c r="F126" s="9" t="n">
        <x:f>IF(A276,60000/L276,"")</x:f>
        <x:v>15</x:v>
      </x:c>
      <x:c r="G126" s="9" t="n">
        <x:f>K276</x:f>
        <x:v>1.7120256</x:v>
      </x:c>
      <x:c r="H126" s="9" t="n">
        <x:f>IF(W276="估算",U276*R276,"")</x:f>
        <x:v>16.122165296738935</x:v>
      </x:c>
      <x:c r="I126" s="9" t="n">
        <x:f>IF(W276="估算",U276*S276,"")</x:f>
        <x:v>0</x:v>
      </x:c>
      <x:c r="J126" s="9" t="n">
        <x:f>IF(W276="估算",U276*MAX(0,R276-S276),"")</x:f>
        <x:v>16.122165296738935</x:v>
      </x:c>
      <x:c r="K126" s="9" t="n">
        <x:f>IF(W276="估算",IF(OR(O276=0,K276=0),0,U276*E30*MIN(1,(K276+P276)/L276)),"")</x:f>
        <x:v>118.23920729999999</x:v>
      </x:c>
      <x:c r="L126" s="53" t="n">
        <x:f>IF(W276="估算",V276,"")</x:f>
        <x:v>0.020817330991081667</x:v>
      </x:c>
      <x:c r="M126" s="53" t="n">
        <x:f>IF(W276="估算",E126*V276/60,"")</x:f>
        <x:v>0.006939110330360556</x:v>
      </x:c>
      <x:c r="N126" s="53" t="n">
        <x:f>IF(W276="估算",V276/60000*1e6,"")</x:f>
        <x:v>0.3469555165180278</x:v>
      </x:c>
      <x:c r="O126" s="2" t="str">
        <x:f>IF(W276="估算","相位平均估算",W276)</x:f>
        <x:v>相位平均估算</x:v>
      </x:c>
      <x:c r="P126" s="33" t="n">
        <x:f>Q276</x:f>
        <x:v>35.021088</x:v>
      </x:c>
      <x:c r="Q126" s="2"/>
      <x:c r="R126" s="2"/>
      <x:c r="S126" s="2"/>
      <x:c r="T126" s="2"/>
      <x:c r="U126" s="2"/>
      <x:c r="V126" s="2"/>
      <x:c r="W126" s="2"/>
      <x:c r="X126" s="2"/>
    </x:row>
    <x:row r="127" ht="25" customHeight="1">
      <x:c r="A127" s="2" t="str">
        <x:f>A30</x:f>
        <x:v>KimiK3</x:v>
      </x:c>
      <x:c r="B127" s="2" t="n">
        <x:f>B30</x:f>
        <x:v>256</x:v>
      </x:c>
      <x:c r="C127" s="8" t="n">
        <x:f>$B$15</x:f>
        <x:v>16384</x:v>
      </x:c>
      <x:c r="D127" s="2" t="n">
        <x:f>$C$15</x:f>
        <x:v>4</x:v>
      </x:c>
      <x:c r="E127" s="2" t="n">
        <x:f>$F$18</x:f>
        <x:v>30</x:v>
      </x:c>
      <x:c r="F127" s="9" t="n">
        <x:f>IF(A277,60000/L277,"")</x:f>
        <x:v>15</x:v>
      </x:c>
      <x:c r="G127" s="9" t="n">
        <x:f>K277</x:f>
        <x:v>1.7120256</x:v>
      </x:c>
      <x:c r="H127" s="9" t="n">
        <x:f>IF(W277="估算",U277*R277,"")</x:f>
        <x:v>15.693762371739028</x:v>
      </x:c>
      <x:c r="I127" s="9" t="n">
        <x:f>IF(W277="估算",U277*S277,"")</x:f>
        <x:v>0</x:v>
      </x:c>
      <x:c r="J127" s="9" t="n">
        <x:f>IF(W277="估算",U277*MAX(0,R277-S277),"")</x:f>
        <x:v>15.693762371739028</x:v>
      </x:c>
      <x:c r="K127" s="9" t="n">
        <x:f>IF(W277="估算",IF(OR(O277=0,K277=0),0,U277*E30*MIN(1,(K277+P277)/L277)),"")</x:f>
        <x:v>78.82613819999999</x:v>
      </x:c>
      <x:c r="L127" s="53" t="n">
        <x:f>IF(W277="估算",V277,"")</x:f>
        <x:v>0.013878220660721112</x:v>
      </x:c>
      <x:c r="M127" s="53" t="n">
        <x:f>IF(W277="估算",E127*V277/60,"")</x:f>
        <x:v>0.006939110330360556</x:v>
      </x:c>
      <x:c r="N127" s="53" t="n">
        <x:f>IF(W277="估算",V277/60000*1e6,"")</x:f>
        <x:v>0.23130367767868518</x:v>
      </x:c>
      <x:c r="O127" s="2" t="str">
        <x:f>IF(W277="估算","相位平均估算",W277)</x:f>
        <x:v>相位平均估算</x:v>
      </x:c>
      <x:c r="P127" s="33" t="n">
        <x:f>Q277</x:f>
        <x:v>23.347392</x:v>
      </x:c>
      <x:c r="Q127" s="2"/>
      <x:c r="R127" s="2"/>
      <x:c r="S127" s="2"/>
      <x:c r="T127" s="2"/>
      <x:c r="U127" s="2"/>
      <x:c r="V127" s="2"/>
      <x:c r="W127" s="2"/>
      <x:c r="X127" s="2"/>
    </x:row>
    <x:row r="128" ht="25" customHeight="1">
      <x:c r="A128" s="2" t="str">
        <x:f>A30</x:f>
        <x:v>KimiK3</x:v>
      </x:c>
      <x:c r="B128" s="2" t="n">
        <x:f>B30</x:f>
        <x:v>256</x:v>
      </x:c>
      <x:c r="C128" s="8" t="n">
        <x:f>$B$16</x:f>
        <x:v>262144</x:v>
      </x:c>
      <x:c r="D128" s="2" t="n">
        <x:f>$C$16</x:f>
        <x:v>20</x:v>
      </x:c>
      <x:c r="E128" s="2" t="n">
        <x:f>$F$15</x:f>
        <x:v>5</x:v>
      </x:c>
      <x:c r="F128" s="9" t="n">
        <x:f>IF(A278,60000/L278,"")</x:f>
        <x:v>3</x:v>
      </x:c>
      <x:c r="G128" s="9" t="n">
        <x:f>K278</x:f>
        <x:v>24.3612672</x:v>
      </x:c>
      <x:c r="H128" s="9" t="n">
        <x:f>IF(W278="估算",U278*R278,"")</x:f>
        <x:v>17.585103284347703</x:v>
      </x:c>
      <x:c r="I128" s="9" t="n">
        <x:f>IF(W278="估算",U278*S278,"")</x:f>
        <x:v>11.64841735565414</x:v>
      </x:c>
      <x:c r="J128" s="9" t="n">
        <x:f>IF(W278="估算",U278*MAX(0,R278-S278),"")</x:f>
        <x:v>5.936685928693564</x:v>
      </x:c>
      <x:c r="K128" s="9" t="n">
        <x:f>IF(W278="估算",IF(OR(O278=0,K278=0),0,U278*E30*MIN(1,(K278+P278)/L278)),"")</x:f>
        <x:v>1344.8295021600002</x:v>
      </x:c>
      <x:c r="L128" s="53" t="n">
        <x:f>IF(W278="估算",V278,"")</x:f>
        <x:v>0.23698749901699329</x:v>
      </x:c>
      <x:c r="M128" s="53" t="n">
        <x:f>IF(W278="估算",E128*V278/60,"")</x:f>
        <x:v>0.019748958251416107</x:v>
      </x:c>
      <x:c r="N128" s="53" t="n">
        <x:f>IF(W278="估算",V278/60000*1e6,"")</x:f>
        <x:v>3.9497916502832213</x:v>
      </x:c>
      <x:c r="O128" s="2" t="str">
        <x:f>IF(W278="估算","相位平均估算",W278)</x:f>
        <x:v>相位平均估算</x:v>
      </x:c>
      <x:c r="P128" s="33" t="n">
        <x:f>Q278</x:f>
        <x:v>140.084352</x:v>
      </x:c>
      <x:c r="Q128" s="2"/>
      <x:c r="R128" s="2"/>
      <x:c r="S128" s="2"/>
      <x:c r="T128" s="2"/>
      <x:c r="U128" s="2"/>
      <x:c r="V128" s="2"/>
      <x:c r="W128" s="2"/>
      <x:c r="X128" s="2"/>
    </x:row>
    <x:row r="129" ht="25" customHeight="1">
      <x:c r="A129" s="2" t="str">
        <x:f>A30</x:f>
        <x:v>KimiK3</x:v>
      </x:c>
      <x:c r="B129" s="2" t="n">
        <x:f>B30</x:f>
        <x:v>256</x:v>
      </x:c>
      <x:c r="C129" s="8" t="n">
        <x:f>$B$16</x:f>
        <x:v>262144</x:v>
      </x:c>
      <x:c r="D129" s="2" t="n">
        <x:f>$C$16</x:f>
        <x:v>20</x:v>
      </x:c>
      <x:c r="E129" s="2" t="n">
        <x:f>$F$16</x:f>
        <x:v>10</x:v>
      </x:c>
      <x:c r="F129" s="9" t="n">
        <x:f>IF(A279,60000/L279,"")</x:f>
        <x:v>3</x:v>
      </x:c>
      <x:c r="G129" s="9" t="n">
        <x:f>K279</x:f>
        <x:v>24.3612672</x:v>
      </x:c>
      <x:c r="H129" s="9" t="n">
        <x:f>IF(W279="估算",U279*R279,"")</x:f>
        <x:v>10.276247294348506</x:v>
      </x:c>
      <x:c r="I129" s="9" t="n">
        <x:f>IF(W279="估算",U279*S279,"")</x:f>
        <x:v>4.340513025652415</x:v>
      </x:c>
      <x:c r="J129" s="9" t="n">
        <x:f>IF(W279="估算",U279*MAX(0,R279-S279),"")</x:f>
        <x:v>5.935734268696091</x:v>
      </x:c>
      <x:c r="K129" s="9" t="n">
        <x:f>IF(W279="估算",IF(OR(O279=0,K279=0),0,U279*E30*MIN(1,(K279+P279)/L279)),"")</x:f>
        <x:v>672.4147510800001</x:v>
      </x:c>
      <x:c r="L129" s="53" t="n">
        <x:f>IF(W279="估算",V279,"")</x:f>
        <x:v>0.11849374950849664</x:v>
      </x:c>
      <x:c r="M129" s="53" t="n">
        <x:f>IF(W279="估算",E129*V279/60,"")</x:f>
        <x:v>0.019748958251416107</x:v>
      </x:c>
      <x:c r="N129" s="53" t="n">
        <x:f>IF(W279="估算",V279/60000*1e6,"")</x:f>
        <x:v>1.9748958251416107</x:v>
      </x:c>
      <x:c r="O129" s="2" t="str">
        <x:f>IF(W279="估算","相位平均估算",W279)</x:f>
        <x:v>相位平均估算</x:v>
      </x:c>
      <x:c r="P129" s="33" t="n">
        <x:f>Q279</x:f>
        <x:v>70.042176</x:v>
      </x:c>
      <x:c r="Q129" s="2"/>
      <x:c r="R129" s="2"/>
      <x:c r="S129" s="2"/>
      <x:c r="T129" s="2"/>
      <x:c r="U129" s="2"/>
      <x:c r="V129" s="2"/>
      <x:c r="W129" s="2"/>
      <x:c r="X129" s="2"/>
    </x:row>
    <x:row r="130" ht="25" customHeight="1">
      <x:c r="A130" s="2" t="str">
        <x:f>A30</x:f>
        <x:v>KimiK3</x:v>
      </x:c>
      <x:c r="B130" s="2" t="n">
        <x:f>B30</x:f>
        <x:v>256</x:v>
      </x:c>
      <x:c r="C130" s="8" t="n">
        <x:f>$B$16</x:f>
        <x:v>262144</x:v>
      </x:c>
      <x:c r="D130" s="2" t="n">
        <x:f>$C$16</x:f>
        <x:v>20</x:v>
      </x:c>
      <x:c r="E130" s="2" t="n">
        <x:f>$F$17</x:f>
        <x:v>20</x:v>
      </x:c>
      <x:c r="F130" s="9" t="n">
        <x:f>IF(A280,60000/L280,"")</x:f>
        <x:v>3</x:v>
      </x:c>
      <x:c r="G130" s="9" t="n">
        <x:f>K280</x:f>
        <x:v>24.3612672</x:v>
      </x:c>
      <x:c r="H130" s="9" t="n">
        <x:f>IF(W280="估算",U280*R280,"")</x:f>
        <x:v>6.621819299347909</x:v>
      </x:c>
      <x:c r="I130" s="9" t="n">
        <x:f>IF(W280="估算",U280*S280,"")</x:f>
        <x:v>0.686560860652552</x:v>
      </x:c>
      <x:c r="J130" s="9" t="n">
        <x:f>IF(W280="估算",U280*MAX(0,R280-S280),"")</x:f>
        <x:v>5.935258438695357</x:v>
      </x:c>
      <x:c r="K130" s="9" t="n">
        <x:f>IF(W280="估算",IF(OR(O280=0,K280=0),0,U280*E30*MIN(1,(K280+P280)/L280)),"")</x:f>
        <x:v>336.20737554000004</x:v>
      </x:c>
      <x:c r="L130" s="53" t="n">
        <x:f>IF(W280="估算",V280,"")</x:f>
        <x:v>0.05924687475424832</x:v>
      </x:c>
      <x:c r="M130" s="53" t="n">
        <x:f>IF(W280="估算",E130*V280/60,"")</x:f>
        <x:v>0.019748958251416107</x:v>
      </x:c>
      <x:c r="N130" s="53" t="n">
        <x:f>IF(W280="估算",V280/60000*1e6,"")</x:f>
        <x:v>0.9874479125708053</x:v>
      </x:c>
      <x:c r="O130" s="2" t="str">
        <x:f>IF(W280="估算","相位平均估算",W280)</x:f>
        <x:v>相位平均估算</x:v>
      </x:c>
      <x:c r="P130" s="33" t="n">
        <x:f>Q280</x:f>
        <x:v>35.021088</x:v>
      </x:c>
      <x:c r="Q130" s="2"/>
      <x:c r="R130" s="2"/>
      <x:c r="S130" s="2"/>
      <x:c r="T130" s="2"/>
      <x:c r="U130" s="2"/>
      <x:c r="V130" s="2"/>
      <x:c r="W130" s="2"/>
      <x:c r="X130" s="2"/>
    </x:row>
    <x:row r="131" ht="25" customHeight="1">
      <x:c r="A131" s="2" t="str">
        <x:f>A30</x:f>
        <x:v>KimiK3</x:v>
      </x:c>
      <x:c r="B131" s="2" t="n">
        <x:f>B30</x:f>
        <x:v>256</x:v>
      </x:c>
      <x:c r="C131" s="8" t="n">
        <x:f>$B$16</x:f>
        <x:v>262144</x:v>
      </x:c>
      <x:c r="D131" s="2" t="n">
        <x:f>$C$16</x:f>
        <x:v>20</x:v>
      </x:c>
      <x:c r="E131" s="2" t="n">
        <x:f>$F$18</x:f>
        <x:v>30</x:v>
      </x:c>
      <x:c r="F131" s="9" t="n">
        <x:f>IF(A281,60000/L281,"")</x:f>
        <x:v>3</x:v>
      </x:c>
      <x:c r="G131" s="9" t="n">
        <x:f>K281</x:f>
        <x:v>24.3612672</x:v>
      </x:c>
      <x:c r="H131" s="9" t="n">
        <x:f>IF(W281="估算",U281*R281,"")</x:f>
        <x:v>5.4036766343481535</x:v>
      </x:c>
      <x:c r="I131" s="9" t="n">
        <x:f>IF(W281="估算",U281*S281,"")</x:f>
        <x:v>0</x:v>
      </x:c>
      <x:c r="J131" s="9" t="n">
        <x:f>IF(W281="估算",U281*MAX(0,R281-S281),"")</x:f>
        <x:v>5.4036766343481535</x:v>
      </x:c>
      <x:c r="K131" s="9" t="n">
        <x:f>IF(W281="估算",IF(OR(O281=0,K281=0),0,U281*E30*MIN(1,(K281+P281)/L281)),"")</x:f>
        <x:v>224.13825036000003</x:v>
      </x:c>
      <x:c r="L131" s="53" t="n">
        <x:f>IF(W281="估算",V281,"")</x:f>
        <x:v>0.039497916502832214</x:v>
      </x:c>
      <x:c r="M131" s="53" t="n">
        <x:f>IF(W281="估算",E131*V281/60,"")</x:f>
        <x:v>0.019748958251416107</x:v>
      </x:c>
      <x:c r="N131" s="53" t="n">
        <x:f>IF(W281="估算",V281/60000*1e6,"")</x:f>
        <x:v>0.6582986083805369</x:v>
      </x:c>
      <x:c r="O131" s="2" t="str">
        <x:f>IF(W281="估算","相位平均估算",W281)</x:f>
        <x:v>相位平均估算</x:v>
      </x:c>
      <x:c r="P131" s="33" t="n">
        <x:f>Q281</x:f>
        <x:v>23.347392</x:v>
      </x:c>
      <x:c r="Q131" s="2"/>
      <x:c r="R131" s="2"/>
      <x:c r="S131" s="2"/>
      <x:c r="T131" s="2"/>
      <x:c r="U131" s="2"/>
      <x:c r="V131" s="2"/>
      <x:c r="W131" s="2"/>
      <x:c r="X131" s="2"/>
    </x:row>
    <x:row r="132" ht="25" customHeight="1">
      <x:c r="A132" s="2" t="str">
        <x:f>A30</x:f>
        <x:v>KimiK3</x:v>
      </x:c>
      <x:c r="B132" s="2" t="n">
        <x:f>B30</x:f>
        <x:v>256</x:v>
      </x:c>
      <x:c r="C132" s="8" t="n">
        <x:f>$B$17</x:f>
        <x:v>1048576</x:v>
      </x:c>
      <x:c r="D132" s="2" t="n">
        <x:f>$C$17</x:f>
        <x:v>60</x:v>
      </x:c>
      <x:c r="E132" s="2" t="n">
        <x:f>$F$15</x:f>
        <x:v>5</x:v>
      </x:c>
      <x:c r="F132" s="9" t="n">
        <x:f>IF(A282,60000/L282,"")</x:f>
        <x:v>1</x:v>
      </x:c>
      <x:c r="G132" s="9" t="n">
        <x:f>K282</x:f>
        <x:v>96.83884032</x:v>
      </x:c>
      <x:c r="H132" s="9" t="n">
        <x:f>IF(W282="估算",U282*R282,"")</x:f>
        <x:v>20.357215718782573</x:v>
      </x:c>
      <x:c r="I132" s="9" t="n">
        <x:f>IF(W282="估算",U282*S282,"")</x:f>
        <x:v>18.378320409218052</x:v>
      </x:c>
      <x:c r="J132" s="9" t="n">
        <x:f>IF(W282="估算",U282*MAX(0,R282-S282),"")</x:f>
        <x:v>1.9788953095645212</x:v>
      </x:c>
      <x:c r="K132" s="9" t="n">
        <x:f>IF(W282="估算",IF(OR(O282=0,K282=0),0,U282*E30*MIN(1,(K282+P282)/L282)),"")</x:f>
        <x:v>1781.863846128</x:v>
      </x:c>
      <x:c r="L132" s="53" t="n">
        <x:f>IF(W282="估算",V282,"")</x:f>
        <x:v>0.3140183761780676</x:v>
      </x:c>
      <x:c r="M132" s="53" t="n">
        <x:f>IF(W282="估算",E132*V282/60,"")</x:f>
        <x:v>0.02616819801483897</x:v>
      </x:c>
      <x:c r="N132" s="53" t="n">
        <x:f>IF(W282="估算",V282/60000*1e6,"")</x:f>
        <x:v>5.233639602967793</x:v>
      </x:c>
      <x:c r="O132" s="2" t="str">
        <x:f>IF(W282="估算","相位平均估算",W282)</x:f>
        <x:v>相位平均估算</x:v>
      </x:c>
      <x:c r="P132" s="33" t="n">
        <x:f>Q282</x:f>
        <x:v>140.084352</x:v>
      </x:c>
      <x:c r="Q132" s="2"/>
      <x:c r="R132" s="2"/>
      <x:c r="S132" s="2"/>
      <x:c r="T132" s="2"/>
      <x:c r="U132" s="2"/>
      <x:c r="V132" s="2"/>
      <x:c r="W132" s="2"/>
      <x:c r="X132" s="2"/>
    </x:row>
    <x:row r="133" ht="25" customHeight="1">
      <x:c r="A133" s="2" t="str">
        <x:f>A30</x:f>
        <x:v>KimiK3</x:v>
      </x:c>
      <x:c r="B133" s="2" t="n">
        <x:f>B30</x:f>
        <x:v>256</x:v>
      </x:c>
      <x:c r="C133" s="8" t="n">
        <x:f>$B$17</x:f>
        <x:v>1048576</x:v>
      </x:c>
      <x:c r="D133" s="2" t="n">
        <x:f>$C$17</x:f>
        <x:v>60</x:v>
      </x:c>
      <x:c r="E133" s="2" t="n">
        <x:f>$F$16</x:f>
        <x:v>10</x:v>
      </x:c>
      <x:c r="F133" s="9" t="n">
        <x:f>IF(A283,60000/L283,"")</x:f>
        <x:v>1</x:v>
      </x:c>
      <x:c r="G133" s="9" t="n">
        <x:f>K283</x:f>
        <x:v>96.83884032</x:v>
      </x:c>
      <x:c r="H133" s="9" t="n">
        <x:f>IF(W283="估算",U283*R283,"")</x:f>
        <x:v>10.673173076782616</x:v>
      </x:c>
      <x:c r="I133" s="9" t="n">
        <x:f>IF(W283="估算",U283*S283,"")</x:f>
        <x:v>8.694594987217696</x:v>
      </x:c>
      <x:c r="J133" s="9" t="n">
        <x:f>IF(W283="估算",U283*MAX(0,R283-S283),"")</x:f>
        <x:v>1.9785780895649197</x:v>
      </x:c>
      <x:c r="K133" s="9" t="n">
        <x:f>IF(W283="估算",IF(OR(O283=0,K283=0),0,U283*E30*MIN(1,(K283+P283)/L283)),"")</x:f>
        <x:v>890.931923064</x:v>
      </x:c>
      <x:c r="L133" s="53" t="n">
        <x:f>IF(W283="估算",V283,"")</x:f>
        <x:v>0.1570091880890338</x:v>
      </x:c>
      <x:c r="M133" s="53" t="n">
        <x:f>IF(W283="估算",E133*V283/60,"")</x:f>
        <x:v>0.02616819801483897</x:v>
      </x:c>
      <x:c r="N133" s="53" t="n">
        <x:f>IF(W283="估算",V283/60000*1e6,"")</x:f>
        <x:v>2.6168198014838966</x:v>
      </x:c>
      <x:c r="O133" s="2" t="str">
        <x:f>IF(W283="估算","相位平均估算",W283)</x:f>
        <x:v>相位平均估算</x:v>
      </x:c>
      <x:c r="P133" s="33" t="n">
        <x:f>Q283</x:f>
        <x:v>70.042176</x:v>
      </x:c>
      <x:c r="Q133" s="2"/>
      <x:c r="R133" s="2"/>
      <x:c r="S133" s="2"/>
      <x:c r="T133" s="2"/>
      <x:c r="U133" s="2"/>
      <x:c r="V133" s="2"/>
      <x:c r="W133" s="2"/>
      <x:c r="X133" s="2"/>
    </x:row>
    <x:row r="134" ht="25" customHeight="1">
      <x:c r="A134" s="2" t="str">
        <x:f>A30</x:f>
        <x:v>KimiK3</x:v>
      </x:c>
      <x:c r="B134" s="2" t="n">
        <x:f>B30</x:f>
        <x:v>256</x:v>
      </x:c>
      <x:c r="C134" s="8" t="n">
        <x:f>$B$17</x:f>
        <x:v>1048576</x:v>
      </x:c>
      <x:c r="D134" s="2" t="n">
        <x:f>$C$17</x:f>
        <x:v>60</x:v>
      </x:c>
      <x:c r="E134" s="2" t="n">
        <x:f>$F$17</x:f>
        <x:v>20</x:v>
      </x:c>
      <x:c r="F134" s="9" t="n">
        <x:f>IF(A284,60000/L284,"")</x:f>
        <x:v>1</x:v>
      </x:c>
      <x:c r="G134" s="9" t="n">
        <x:f>K284</x:f>
        <x:v>96.83884032</x:v>
      </x:c>
      <x:c r="H134" s="9" t="n">
        <x:f>IF(W284="估算",U284*R284,"")</x:f>
        <x:v>5.831151755782638</x:v>
      </x:c>
      <x:c r="I134" s="9" t="n">
        <x:f>IF(W284="估算",U284*S284,"")</x:f>
        <x:v>3.8527322762171856</x:v>
      </x:c>
      <x:c r="J134" s="9" t="n">
        <x:f>IF(W284="估算",U284*MAX(0,R284-S284),"")</x:f>
        <x:v>1.978419479565452</x:v>
      </x:c>
      <x:c r="K134" s="9" t="n">
        <x:f>IF(W284="估算",IF(OR(O284=0,K284=0),0,U284*E30*MIN(1,(K284+P284)/L284)),"")</x:f>
        <x:v>445.465961532</x:v>
      </x:c>
      <x:c r="L134" s="53" t="n">
        <x:f>IF(W284="估算",V284,"")</x:f>
        <x:v>0.0785045940445169</x:v>
      </x:c>
      <x:c r="M134" s="53" t="n">
        <x:f>IF(W284="估算",E134*V284/60,"")</x:f>
        <x:v>0.02616819801483897</x:v>
      </x:c>
      <x:c r="N134" s="53" t="n">
        <x:f>IF(W284="估算",V284/60000*1e6,"")</x:f>
        <x:v>1.3084099007419483</x:v>
      </x:c>
      <x:c r="O134" s="2" t="str">
        <x:f>IF(W284="估算","相位平均估算",W284)</x:f>
        <x:v>相位平均估算</x:v>
      </x:c>
      <x:c r="P134" s="33" t="n">
        <x:f>Q284</x:f>
        <x:v>35.021088</x:v>
      </x:c>
      <x:c r="Q134" s="2"/>
      <x:c r="R134" s="2"/>
      <x:c r="S134" s="2"/>
      <x:c r="T134" s="2"/>
      <x:c r="U134" s="2"/>
      <x:c r="V134" s="2"/>
      <x:c r="W134" s="2"/>
      <x:c r="X134" s="2"/>
    </x:row>
    <x:row r="135" ht="25" customHeight="1">
      <x:c r="A135" s="2" t="str">
        <x:f>A30</x:f>
        <x:v>KimiK3</x:v>
      </x:c>
      <x:c r="B135" s="2" t="n">
        <x:f>B30</x:f>
        <x:v>256</x:v>
      </x:c>
      <x:c r="C135" s="8" t="n">
        <x:f>$B$17</x:f>
        <x:v>1048576</x:v>
      </x:c>
      <x:c r="D135" s="2" t="n">
        <x:f>$C$17</x:f>
        <x:v>60</x:v>
      </x:c>
      <x:c r="E135" s="2" t="n">
        <x:f>$F$18</x:f>
        <x:v>30</x:v>
      </x:c>
      <x:c r="F135" s="9" t="n">
        <x:f>IF(A285,60000/L285,"")</x:f>
        <x:v>1</x:v>
      </x:c>
      <x:c r="G135" s="9" t="n">
        <x:f>K285</x:f>
        <x:v>96.83884032</x:v>
      </x:c>
      <x:c r="H135" s="9" t="n">
        <x:f>IF(W285="估算",U285*R285,"")</x:f>
        <x:v>4.217144648782645</x:v>
      </x:c>
      <x:c r="I135" s="9" t="n">
        <x:f>IF(W285="估算",U285*S285,"")</x:f>
        <x:v>2.2387780392174594</x:v>
      </x:c>
      <x:c r="J135" s="9" t="n">
        <x:f>IF(W285="估算",U285*MAX(0,R285-S285),"")</x:f>
        <x:v>1.9783666095651853</x:v>
      </x:c>
      <x:c r="K135" s="9" t="n">
        <x:f>IF(W285="估算",IF(OR(O285=0,K285=0),0,U285*E30*MIN(1,(K285+P285)/L285)),"")</x:f>
        <x:v>296.977307688</x:v>
      </x:c>
      <x:c r="L135" s="53" t="n">
        <x:f>IF(W285="估算",V285,"")</x:f>
        <x:v>0.052336396029677934</x:v>
      </x:c>
      <x:c r="M135" s="53" t="n">
        <x:f>IF(W285="估算",E135*V285/60,"")</x:f>
        <x:v>0.02616819801483897</x:v>
      </x:c>
      <x:c r="N135" s="53" t="n">
        <x:f>IF(W285="估算",V285/60000*1e6,"")</x:f>
        <x:v>0.8722732671612989</x:v>
      </x:c>
      <x:c r="O135" s="2" t="str">
        <x:f>IF(W285="估算","相位平均估算",W285)</x:f>
        <x:v>相位平均估算</x:v>
      </x:c>
      <x:c r="P135" s="33" t="n">
        <x:f>Q285</x:f>
        <x:v>23.347392</x:v>
      </x:c>
      <x:c r="Q135" s="2"/>
      <x:c r="R135" s="2"/>
      <x:c r="S135" s="2"/>
      <x:c r="T135" s="2"/>
      <x:c r="U135" s="2"/>
      <x:c r="V135" s="2"/>
      <x:c r="W135" s="2"/>
      <x:c r="X135" s="2"/>
    </x:row>
    <x:row r="136" ht="25" customHeight="1">
      <x:c r="A136" s="2" t="str">
        <x:f>A31</x:f>
        <x:v>Qwen3.8 2.4T</x:v>
      </x:c>
      <x:c r="B136" s="2" t="n">
        <x:f>B31</x:f>
        <x:v>32</x:v>
      </x:c>
      <x:c r="C136" s="8" t="n">
        <x:f>$B$15</x:f>
        <x:v>16384</x:v>
      </x:c>
      <x:c r="D136" s="2" t="n">
        <x:f>$C$15</x:f>
        <x:v>4</x:v>
      </x:c>
      <x:c r="E136" s="2" t="n">
        <x:f>$F$15</x:f>
        <x:v>5</x:v>
      </x:c>
      <x:c r="F136" s="9" t="n">
        <x:f>IF(A286,60000/L286,"")</x:f>
        <x:v>15</x:v>
      </x:c>
      <x:c r="G136" s="9" t="n">
        <x:f>K286</x:f>
        <x:v>1.5392017066666666</x:v>
      </x:c>
      <x:c r="H136" s="9" t="n">
        <x:f>IF(W286="估算",U286*R286,"")</x:f>
        <x:v>19.457897861738793</x:v>
      </x:c>
      <x:c r="I136" s="9" t="n">
        <x:f>IF(W286="估算",U286*S286,"")</x:f>
        <x:v>0</x:v>
      </x:c>
      <x:c r="J136" s="9" t="n">
        <x:f>IF(W286="估算",U286*MAX(0,R286-S286),"")</x:f>
        <x:v>19.457897861738793</x:v>
      </x:c>
      <x:c r="K136" s="9" t="n">
        <x:f>IF(W286="估算",IF(OR(O286=0,K286=0),0,U286*E31*MIN(1,(K286+P286)/L286)),"")</x:f>
        <x:v>425.12660328</x:v>
      </x:c>
      <x:c r="L136" s="53" t="n">
        <x:f>IF(W286="估算",V286,"")</x:f>
        <x:v>0.05249018497742697</x:v>
      </x:c>
      <x:c r="M136" s="53" t="n">
        <x:f>IF(W286="估算",E136*V286/60,"")</x:f>
        <x:v>0.004374182081452248</x:v>
      </x:c>
      <x:c r="N136" s="53" t="n">
        <x:f>IF(W286="估算",V286/60000*1e6,"")</x:f>
        <x:v>0.8748364162904494</x:v>
      </x:c>
      <x:c r="O136" s="2" t="str">
        <x:f>IF(W286="估算","相位平均估算",W286)</x:f>
        <x:v>相位平均估算</x:v>
      </x:c>
      <x:c r="P136" s="33" t="n">
        <x:f>Q286</x:f>
        <x:v>98.2183168</x:v>
      </x:c>
      <x:c r="Q136" s="2"/>
      <x:c r="R136" s="2"/>
      <x:c r="S136" s="2"/>
      <x:c r="T136" s="2"/>
      <x:c r="U136" s="2"/>
      <x:c r="V136" s="2"/>
      <x:c r="W136" s="2"/>
      <x:c r="X136" s="2"/>
    </x:row>
    <x:row r="137" ht="25" customHeight="1">
      <x:c r="A137" s="2" t="str">
        <x:f>A31</x:f>
        <x:v>Qwen3.8 2.4T</x:v>
      </x:c>
      <x:c r="B137" s="2" t="n">
        <x:f>B31</x:f>
        <x:v>32</x:v>
      </x:c>
      <x:c r="C137" s="8" t="n">
        <x:f>$B$15</x:f>
        <x:v>16384</x:v>
      </x:c>
      <x:c r="D137" s="2" t="n">
        <x:f>$C$15</x:f>
        <x:v>4</x:v>
      </x:c>
      <x:c r="E137" s="2" t="n">
        <x:f>$F$16</x:f>
        <x:v>10</x:v>
      </x:c>
      <x:c r="F137" s="9" t="n">
        <x:f>IF(A287,60000/L287,"")</x:f>
        <x:v>15</x:v>
      </x:c>
      <x:c r="G137" s="9" t="n">
        <x:f>K287</x:f>
        <x:v>1.5392017066666666</x:v>
      </x:c>
      <x:c r="H137" s="9" t="n">
        <x:f>IF(W287="估算",U287*R287,"")</x:f>
        <x:v>17.14742719173867</x:v>
      </x:c>
      <x:c r="I137" s="9" t="n">
        <x:f>IF(W287="估算",U287*S287,"")</x:f>
        <x:v>0</x:v>
      </x:c>
      <x:c r="J137" s="9" t="n">
        <x:f>IF(W287="估算",U287*MAX(0,R287-S287),"")</x:f>
        <x:v>17.14742719173867</x:v>
      </x:c>
      <x:c r="K137" s="9" t="n">
        <x:f>IF(W287="估算",IF(OR(O287=0,K287=0),0,U287*E31*MIN(1,(K287+P287)/L287)),"")</x:f>
        <x:v>212.56330164</x:v>
      </x:c>
      <x:c r="L137" s="53" t="n">
        <x:f>IF(W287="估算",V287,"")</x:f>
        <x:v>0.026245092488713484</x:v>
      </x:c>
      <x:c r="M137" s="53" t="n">
        <x:f>IF(W287="估算",E137*V287/60,"")</x:f>
        <x:v>0.004374182081452248</x:v>
      </x:c>
      <x:c r="N137" s="53" t="n">
        <x:f>IF(W287="估算",V287/60000*1e6,"")</x:f>
        <x:v>0.4374182081452247</x:v>
      </x:c>
      <x:c r="O137" s="2" t="str">
        <x:f>IF(W287="估算","相位平均估算",W287)</x:f>
        <x:v>相位平均估算</x:v>
      </x:c>
      <x:c r="P137" s="33" t="n">
        <x:f>Q287</x:f>
        <x:v>49.1091584</x:v>
      </x:c>
      <x:c r="Q137" s="2"/>
      <x:c r="R137" s="2"/>
      <x:c r="S137" s="2"/>
      <x:c r="T137" s="2"/>
      <x:c r="U137" s="2"/>
      <x:c r="V137" s="2"/>
      <x:c r="W137" s="2"/>
      <x:c r="X137" s="2"/>
    </x:row>
    <x:row r="138" ht="25" customHeight="1">
      <x:c r="A138" s="2" t="str">
        <x:f>A31</x:f>
        <x:v>Qwen3.8 2.4T</x:v>
      </x:c>
      <x:c r="B138" s="2" t="n">
        <x:f>B31</x:f>
        <x:v>32</x:v>
      </x:c>
      <x:c r="C138" s="8" t="n">
        <x:f>$B$15</x:f>
        <x:v>16384</x:v>
      </x:c>
      <x:c r="D138" s="2" t="n">
        <x:f>$C$15</x:f>
        <x:v>4</x:v>
      </x:c>
      <x:c r="E138" s="2" t="n">
        <x:f>$F$17</x:f>
        <x:v>20</x:v>
      </x:c>
      <x:c r="F138" s="9" t="n">
        <x:f>IF(A288,60000/L288,"")</x:f>
        <x:v>15</x:v>
      </x:c>
      <x:c r="G138" s="9" t="n">
        <x:f>K288</x:f>
        <x:v>1.5392017066666666</x:v>
      </x:c>
      <x:c r="H138" s="9" t="n">
        <x:f>IF(W288="估算",U288*R288,"")</x:f>
        <x:v>15.992191856738946</x:v>
      </x:c>
      <x:c r="I138" s="9" t="n">
        <x:f>IF(W288="估算",U288*S288,"")</x:f>
        <x:v>0</x:v>
      </x:c>
      <x:c r="J138" s="9" t="n">
        <x:f>IF(W288="估算",U288*MAX(0,R288-S288),"")</x:f>
        <x:v>15.992191856738946</x:v>
      </x:c>
      <x:c r="K138" s="9" t="n">
        <x:f>IF(W288="估算",IF(OR(O288=0,K288=0),0,U288*E31*MIN(1,(K288+P288)/L288)),"")</x:f>
        <x:v>106.28165082</x:v>
      </x:c>
      <x:c r="L138" s="53" t="n">
        <x:f>IF(W288="估算",V288,"")</x:f>
        <x:v>0.013122546244356742</x:v>
      </x:c>
      <x:c r="M138" s="53" t="n">
        <x:f>IF(W288="估算",E138*V288/60,"")</x:f>
        <x:v>0.004374182081452248</x:v>
      </x:c>
      <x:c r="N138" s="53" t="n">
        <x:f>IF(W288="估算",V288/60000*1e6,"")</x:f>
        <x:v>0.21870910407261235</x:v>
      </x:c>
      <x:c r="O138" s="2" t="str">
        <x:f>IF(W288="估算","相位平均估算",W288)</x:f>
        <x:v>相位平均估算</x:v>
      </x:c>
      <x:c r="P138" s="33" t="n">
        <x:f>Q288</x:f>
        <x:v>24.5545792</x:v>
      </x:c>
      <x:c r="Q138" s="2"/>
      <x:c r="R138" s="2"/>
      <x:c r="S138" s="2"/>
      <x:c r="T138" s="2"/>
      <x:c r="U138" s="2"/>
      <x:c r="V138" s="2"/>
      <x:c r="W138" s="2"/>
      <x:c r="X138" s="2"/>
    </x:row>
    <x:row r="139" ht="25" customHeight="1">
      <x:c r="A139" s="2" t="str">
        <x:f>A31</x:f>
        <x:v>Qwen3.8 2.4T</x:v>
      </x:c>
      <x:c r="B139" s="2" t="n">
        <x:f>B31</x:f>
        <x:v>32</x:v>
      </x:c>
      <x:c r="C139" s="8" t="n">
        <x:f>$B$15</x:f>
        <x:v>16384</x:v>
      </x:c>
      <x:c r="D139" s="2" t="n">
        <x:f>$C$15</x:f>
        <x:v>4</x:v>
      </x:c>
      <x:c r="E139" s="2" t="n">
        <x:f>$F$18</x:f>
        <x:v>30</x:v>
      </x:c>
      <x:c r="F139" s="9" t="n">
        <x:f>IF(A289,60000/L289,"")</x:f>
        <x:v>15</x:v>
      </x:c>
      <x:c r="G139" s="9" t="n">
        <x:f>K289</x:f>
        <x:v>1.5392017066666666</x:v>
      </x:c>
      <x:c r="H139" s="9" t="n">
        <x:f>IF(W289="估算",U289*R289,"")</x:f>
        <x:v>15.607113411739038</x:v>
      </x:c>
      <x:c r="I139" s="9" t="n">
        <x:f>IF(W289="估算",U289*S289,"")</x:f>
        <x:v>0</x:v>
      </x:c>
      <x:c r="J139" s="9" t="n">
        <x:f>IF(W289="估算",U289*MAX(0,R289-S289),"")</x:f>
        <x:v>15.607113411739038</x:v>
      </x:c>
      <x:c r="K139" s="9" t="n">
        <x:f>IF(W289="估算",IF(OR(O289=0,K289=0),0,U289*E31*MIN(1,(K289+P289)/L289)),"")</x:f>
        <x:v>70.85443387999999</x:v>
      </x:c>
      <x:c r="L139" s="53" t="n">
        <x:f>IF(W289="估算",V289,"")</x:f>
        <x:v>0.008748364162904494</x:v>
      </x:c>
      <x:c r="M139" s="53" t="n">
        <x:f>IF(W289="估算",E139*V289/60,"")</x:f>
        <x:v>0.004374182081452247</x:v>
      </x:c>
      <x:c r="N139" s="53" t="n">
        <x:f>IF(W289="估算",V289/60000*1e6,"")</x:f>
        <x:v>0.14580606938174157</x:v>
      </x:c>
      <x:c r="O139" s="2" t="str">
        <x:f>IF(W289="估算","相位平均估算",W289)</x:f>
        <x:v>相位平均估算</x:v>
      </x:c>
      <x:c r="P139" s="33" t="n">
        <x:f>Q289</x:f>
        <x:v>16.369719466666666</x:v>
      </x:c>
      <x:c r="Q139" s="2"/>
      <x:c r="R139" s="2"/>
      <x:c r="S139" s="2"/>
      <x:c r="T139" s="2"/>
      <x:c r="U139" s="2"/>
      <x:c r="V139" s="2"/>
      <x:c r="W139" s="2"/>
      <x:c r="X139" s="2"/>
    </x:row>
    <x:row r="140" ht="25" customHeight="1">
      <x:c r="A140" s="2" t="str">
        <x:f>A31</x:f>
        <x:v>Qwen3.8 2.4T</x:v>
      </x:c>
      <x:c r="B140" s="2" t="n">
        <x:f>B31</x:f>
        <x:v>32</x:v>
      </x:c>
      <x:c r="C140" s="8" t="n">
        <x:f>$B$16</x:f>
        <x:v>262144</x:v>
      </x:c>
      <x:c r="D140" s="2" t="n">
        <x:f>$C$16</x:f>
        <x:v>20</x:v>
      </x:c>
      <x:c r="E140" s="2" t="n">
        <x:f>$F$15</x:f>
        <x:v>5</x:v>
      </x:c>
      <x:c r="F140" s="9" t="n">
        <x:f>IF(A290,60000/L290,"")</x:f>
        <x:v>3</x:v>
      </x:c>
      <x:c r="G140" s="9" t="n">
        <x:f>K290</x:f>
        <x:v>20.833000106666667</x:v>
      </x:c>
      <x:c r="H140" s="9" t="n">
        <x:f>IF(W290="估算",U290*R290,"")</x:f>
        <x:v>15.467858612347563</x:v>
      </x:c>
      <x:c r="I140" s="9" t="n">
        <x:f>IF(W290="估算",U290*S290,"")</x:f>
        <x:v>9.531741515654168</x:v>
      </x:c>
      <x:c r="J140" s="9" t="n">
        <x:f>IF(W290="估算",U290*MAX(0,R290-S290),"")</x:f>
        <x:v>5.936117096693394</x:v>
      </x:c>
      <x:c r="K140" s="9" t="n">
        <x:f>IF(W290="估算",IF(OR(O290=0,K290=0),0,U290*E31*MIN(1,(K290+P290)/L290)),"")</x:f>
        <x:v>1150.0429923360002</x:v>
      </x:c>
      <x:c r="L140" s="53" t="n">
        <x:f>IF(W290="估算",V290,"")</x:f>
        <x:v>0.14209556501816134</x:v>
      </x:c>
      <x:c r="M140" s="53" t="n">
        <x:f>IF(W290="估算",E140*V290/60,"")</x:f>
        <x:v>0.011841297084846778</x:v>
      </x:c>
      <x:c r="N140" s="53" t="n">
        <x:f>IF(W290="估算",V290/60000*1e6,"")</x:f>
        <x:v>2.3682594169693556</x:v>
      </x:c>
      <x:c r="O140" s="2" t="str">
        <x:f>IF(W290="估算","相位平均估算",W290)</x:f>
        <x:v>相位平均估算</x:v>
      </x:c>
      <x:c r="P140" s="33" t="n">
        <x:f>Q290</x:f>
        <x:v>98.2183168</x:v>
      </x:c>
      <x:c r="Q140" s="2"/>
      <x:c r="R140" s="2"/>
      <x:c r="S140" s="2"/>
      <x:c r="T140" s="2"/>
      <x:c r="U140" s="2"/>
      <x:c r="V140" s="2"/>
      <x:c r="W140" s="2"/>
      <x:c r="X140" s="2"/>
    </x:row>
    <x:row r="141" ht="25" customHeight="1">
      <x:c r="A141" s="2" t="str">
        <x:f>A31</x:f>
        <x:v>Qwen3.8 2.4T</x:v>
      </x:c>
      <x:c r="B141" s="2" t="n">
        <x:f>B31</x:f>
        <x:v>32</x:v>
      </x:c>
      <x:c r="C141" s="8" t="n">
        <x:f>$B$16</x:f>
        <x:v>262144</x:v>
      </x:c>
      <x:c r="D141" s="2" t="n">
        <x:f>$C$16</x:f>
        <x:v>20</x:v>
      </x:c>
      <x:c r="E141" s="2" t="n">
        <x:f>$F$16</x:f>
        <x:v>10</x:v>
      </x:c>
      <x:c r="F141" s="9" t="n">
        <x:f>IF(A291,60000/L291,"")</x:f>
        <x:v>3</x:v>
      </x:c>
      <x:c r="G141" s="9" t="n">
        <x:f>K291</x:f>
        <x:v>20.833000106666667</x:v>
      </x:c>
      <x:c r="H141" s="9" t="n">
        <x:f>IF(W291="估算",U291*R291,"")</x:f>
        <x:v>9.217624958348436</x:v>
      </x:c>
      <x:c r="I141" s="9" t="n">
        <x:f>IF(W291="估算",U291*S291,"")</x:f>
        <x:v>3.2821751056524295</x:v>
      </x:c>
      <x:c r="J141" s="9" t="n">
        <x:f>IF(W291="估算",U291*MAX(0,R291-S291),"")</x:f>
        <x:v>5.9354498526960064</x:v>
      </x:c>
      <x:c r="K141" s="9" t="n">
        <x:f>IF(W291="估算",IF(OR(O291=0,K291=0),0,U291*E31*MIN(1,(K291+P291)/L291)),"")</x:f>
        <x:v>575.0214961680001</x:v>
      </x:c>
      <x:c r="L141" s="53" t="n">
        <x:f>IF(W291="估算",V291,"")</x:f>
        <x:v>0.07104778250908067</x:v>
      </x:c>
      <x:c r="M141" s="53" t="n">
        <x:f>IF(W291="估算",E141*V291/60,"")</x:f>
        <x:v>0.011841297084846778</x:v>
      </x:c>
      <x:c r="N141" s="53" t="n">
        <x:f>IF(W291="估算",V291/60000*1e6,"")</x:f>
        <x:v>1.1841297084846778</x:v>
      </x:c>
      <x:c r="O141" s="2" t="str">
        <x:f>IF(W291="估算","相位平均估算",W291)</x:f>
        <x:v>相位平均估算</x:v>
      </x:c>
      <x:c r="P141" s="33" t="n">
        <x:f>Q291</x:f>
        <x:v>49.1091584</x:v>
      </x:c>
      <x:c r="Q141" s="2"/>
      <x:c r="R141" s="2"/>
      <x:c r="S141" s="2"/>
      <x:c r="T141" s="2"/>
      <x:c r="U141" s="2"/>
      <x:c r="V141" s="2"/>
      <x:c r="W141" s="2"/>
      <x:c r="X141" s="2"/>
    </x:row>
    <x:row r="142" ht="25" customHeight="1">
      <x:c r="A142" s="2" t="str">
        <x:f>A31</x:f>
        <x:v>Qwen3.8 2.4T</x:v>
      </x:c>
      <x:c r="B142" s="2" t="n">
        <x:f>B31</x:f>
        <x:v>32</x:v>
      </x:c>
      <x:c r="C142" s="8" t="n">
        <x:f>$B$16</x:f>
        <x:v>262144</x:v>
      </x:c>
      <x:c r="D142" s="2" t="n">
        <x:f>$C$16</x:f>
        <x:v>20</x:v>
      </x:c>
      <x:c r="E142" s="2" t="n">
        <x:f>$F$17</x:f>
        <x:v>20</x:v>
      </x:c>
      <x:c r="F142" s="9" t="n">
        <x:f>IF(A292,60000/L292,"")</x:f>
        <x:v>3</x:v>
      </x:c>
      <x:c r="G142" s="9" t="n">
        <x:f>K292</x:f>
        <x:v>20.833000106666667</x:v>
      </x:c>
      <x:c r="H142" s="9" t="n">
        <x:f>IF(W292="估算",U292*R292,"")</x:f>
        <x:v>6.0925081313478735</x:v>
      </x:c>
      <x:c r="I142" s="9" t="n">
        <x:f>IF(W292="估算",U292*S292,"")</x:f>
        <x:v>0.15739190065255926</x:v>
      </x:c>
      <x:c r="J142" s="9" t="n">
        <x:f>IF(W292="估算",U292*MAX(0,R292-S292),"")</x:f>
        <x:v>5.935116230695314</x:v>
      </x:c>
      <x:c r="K142" s="9" t="n">
        <x:f>IF(W292="估算",IF(OR(O292=0,K292=0),0,U292*E31*MIN(1,(K292+P292)/L292)),"")</x:f>
        <x:v>287.51074808400006</x:v>
      </x:c>
      <x:c r="L142" s="53" t="n">
        <x:f>IF(W292="估算",V292,"")</x:f>
        <x:v>0.035523891254540335</x:v>
      </x:c>
      <x:c r="M142" s="53" t="n">
        <x:f>IF(W292="估算",E142*V292/60,"")</x:f>
        <x:v>0.011841297084846778</x:v>
      </x:c>
      <x:c r="N142" s="53" t="n">
        <x:f>IF(W292="估算",V292/60000*1e6,"")</x:f>
        <x:v>0.5920648542423389</x:v>
      </x:c>
      <x:c r="O142" s="2" t="str">
        <x:f>IF(W292="估算","相位平均估算",W292)</x:f>
        <x:v>相位平均估算</x:v>
      </x:c>
      <x:c r="P142" s="33" t="n">
        <x:f>Q292</x:f>
        <x:v>24.5545792</x:v>
      </x:c>
      <x:c r="Q142" s="2"/>
      <x:c r="R142" s="2"/>
      <x:c r="S142" s="2"/>
      <x:c r="T142" s="2"/>
      <x:c r="U142" s="2"/>
      <x:c r="V142" s="2"/>
      <x:c r="W142" s="2"/>
      <x:c r="X142" s="2"/>
    </x:row>
    <x:row r="143" ht="25" customHeight="1">
      <x:c r="A143" s="2" t="str">
        <x:f>A31</x:f>
        <x:v>Qwen3.8 2.4T</x:v>
      </x:c>
      <x:c r="B143" s="2" t="n">
        <x:f>B31</x:f>
        <x:v>32</x:v>
      </x:c>
      <x:c r="C143" s="8" t="n">
        <x:f>$B$16</x:f>
        <x:v>262144</x:v>
      </x:c>
      <x:c r="D143" s="2" t="n">
        <x:f>$C$16</x:f>
        <x:v>20</x:v>
      </x:c>
      <x:c r="E143" s="2" t="n">
        <x:f>$F$18</x:f>
        <x:v>30</x:v>
      </x:c>
      <x:c r="F143" s="9" t="n">
        <x:f>IF(A293,60000/L293,"")</x:f>
        <x:v>3</x:v>
      </x:c>
      <x:c r="G143" s="9" t="n">
        <x:f>K293</x:f>
        <x:v>20.833000106666667</x:v>
      </x:c>
      <x:c r="H143" s="9" t="n">
        <x:f>IF(W293="估算",U293*R293,"")</x:f>
        <x:v>5.05080252234813</x:v>
      </x:c>
      <x:c r="I143" s="9" t="n">
        <x:f>IF(W293="估算",U293*S293,"")</x:f>
        <x:v>0</x:v>
      </x:c>
      <x:c r="J143" s="9" t="n">
        <x:f>IF(W293="估算",U293*MAX(0,R293-S293),"")</x:f>
        <x:v>5.05080252234813</x:v>
      </x:c>
      <x:c r="K143" s="9" t="n">
        <x:f>IF(W293="估算",IF(OR(O293=0,K293=0),0,U293*E31*MIN(1,(K293+P293)/L293)),"")</x:f>
        <x:v>191.67383205600004</x:v>
      </x:c>
      <x:c r="L143" s="53" t="n">
        <x:f>IF(W293="估算",V293,"")</x:f>
        <x:v>0.023682594169693556</x:v>
      </x:c>
      <x:c r="M143" s="53" t="n">
        <x:f>IF(W293="估算",E143*V293/60,"")</x:f>
        <x:v>0.011841297084846778</x:v>
      </x:c>
      <x:c r="N143" s="53" t="n">
        <x:f>IF(W293="估算",V293/60000*1e6,"")</x:f>
        <x:v>0.39470990282822593</x:v>
      </x:c>
      <x:c r="O143" s="2" t="str">
        <x:f>IF(W293="估算","相位平均估算",W293)</x:f>
        <x:v>相位平均估算</x:v>
      </x:c>
      <x:c r="P143" s="33" t="n">
        <x:f>Q293</x:f>
        <x:v>16.369719466666666</x:v>
      </x:c>
      <x:c r="Q143" s="2"/>
      <x:c r="R143" s="2"/>
      <x:c r="S143" s="2"/>
      <x:c r="T143" s="2"/>
      <x:c r="U143" s="2"/>
      <x:c r="V143" s="2"/>
      <x:c r="W143" s="2"/>
      <x:c r="X143" s="2"/>
    </x:row>
    <x:row r="144" ht="25" customHeight="1">
      <x:c r="A144" s="2" t="str">
        <x:f>A31</x:f>
        <x:v>Qwen3.8 2.4T</x:v>
      </x:c>
      <x:c r="B144" s="2" t="n">
        <x:f>B31</x:f>
        <x:v>32</x:v>
      </x:c>
      <x:c r="C144" s="8" t="n">
        <x:f>$B$17</x:f>
        <x:v>1048576</x:v>
      </x:c>
      <x:c r="D144" s="2" t="n">
        <x:f>$C$17</x:f>
        <x:v>60</x:v>
      </x:c>
      <x:c r="E144" s="2" t="n">
        <x:f>$F$15</x:f>
        <x:v>5</x:v>
      </x:c>
      <x:c r="F144" s="9" t="n">
        <x:f>IF(A294,60000/L294,"")</x:f>
        <x:v>1</x:v>
      </x:c>
      <x:c r="G144" s="9" t="n">
        <x:f>K294</x:f>
        <x:v>82.57315498666667</x:v>
      </x:c>
      <x:c r="H144" s="9" t="n">
        <x:f>IF(W294="估算",U294*R294,"")</x:f>
        <x:v>17.5039838467832</x:v>
      </x:c>
      <x:c r="I144" s="9" t="n">
        <x:f>IF(W294="估算",U294*S294,"")</x:f>
        <x:v>15.525278147884514</x:v>
      </x:c>
      <x:c r="J144" s="9" t="n">
        <x:f>IF(W294="估算",U294*MAX(0,R294-S294),"")</x:f>
        <x:v>1.9787056988986862</x:v>
      </x:c>
      <x:c r="K144" s="9" t="n">
        <x:f>IF(W294="估算",IF(OR(O294=0,K294=0),0,U294*E31*MIN(1,(K294+P294)/L294)),"")</x:f>
        <x:v>1519.366513904</x:v>
      </x:c>
      <x:c r="L144" s="53" t="n">
        <x:f>IF(W294="估算",V294,"")</x:f>
        <x:v>0.18773588489690812</x:v>
      </x:c>
      <x:c r="M144" s="53" t="n">
        <x:f>IF(W294="估算",E144*V294/60,"")</x:f>
        <x:v>0.015644657074742344</x:v>
      </x:c>
      <x:c r="N144" s="53" t="n">
        <x:f>IF(W294="估算",V294/60000*1e6,"")</x:f>
        <x:v>3.1289314149484686</x:v>
      </x:c>
      <x:c r="O144" s="2" t="str">
        <x:f>IF(W294="估算","相位平均估算",W294)</x:f>
        <x:v>相位平均估算</x:v>
      </x:c>
      <x:c r="P144" s="33" t="n">
        <x:f>Q294</x:f>
        <x:v>98.2183168</x:v>
      </x:c>
      <x:c r="Q144" s="2"/>
      <x:c r="R144" s="2"/>
      <x:c r="S144" s="2"/>
      <x:c r="T144" s="2"/>
      <x:c r="U144" s="2"/>
      <x:c r="V144" s="2"/>
      <x:c r="W144" s="2"/>
      <x:c r="X144" s="2"/>
    </x:row>
    <x:row r="145" ht="25" customHeight="1">
      <x:c r="A145" s="2" t="str">
        <x:f>A31</x:f>
        <x:v>Qwen3.8 2.4T</x:v>
      </x:c>
      <x:c r="B145" s="2" t="n">
        <x:f>B31</x:f>
        <x:v>32</x:v>
      </x:c>
      <x:c r="C145" s="8" t="n">
        <x:f>$B$17</x:f>
        <x:v>1048576</x:v>
      </x:c>
      <x:c r="D145" s="2" t="n">
        <x:f>$C$17</x:f>
        <x:v>60</x:v>
      </x:c>
      <x:c r="E145" s="2" t="n">
        <x:f>$F$16</x:f>
        <x:v>10</x:v>
      </x:c>
      <x:c r="F145" s="9" t="n">
        <x:f>IF(A295,60000/L295,"")</x:f>
        <x:v>1</x:v>
      </x:c>
      <x:c r="G145" s="9" t="n">
        <x:f>K295</x:f>
        <x:v>82.57315498666667</x:v>
      </x:c>
      <x:c r="H145" s="9" t="n">
        <x:f>IF(W295="估算",U295*R295,"")</x:f>
        <x:v>9.246557140782263</x:v>
      </x:c>
      <x:c r="I145" s="9" t="n">
        <x:f>IF(W295="估算",U295*S295,"")</x:f>
        <x:v>7.268073856550927</x:v>
      </x:c>
      <x:c r="J145" s="9" t="n">
        <x:f>IF(W295="估算",U295*MAX(0,R295-S295),"")</x:f>
        <x:v>1.978483284231336</x:v>
      </x:c>
      <x:c r="K145" s="9" t="n">
        <x:f>IF(W295="估算",IF(OR(O295=0,K295=0),0,U295*E31*MIN(1,(K295+P295)/L295)),"")</x:f>
        <x:v>759.683256952</x:v>
      </x:c>
      <x:c r="L145" s="53" t="n">
        <x:f>IF(W295="估算",V295,"")</x:f>
        <x:v>0.09386794244845406</x:v>
      </x:c>
      <x:c r="M145" s="53" t="n">
        <x:f>IF(W295="估算",E145*V295/60,"")</x:f>
        <x:v>0.015644657074742344</x:v>
      </x:c>
      <x:c r="N145" s="53" t="n">
        <x:f>IF(W295="估算",V295/60000*1e6,"")</x:f>
        <x:v>1.5644657074742343</x:v>
      </x:c>
      <x:c r="O145" s="2" t="str">
        <x:f>IF(W295="估算","相位平均估算",W295)</x:f>
        <x:v>相位平均估算</x:v>
      </x:c>
      <x:c r="P145" s="33" t="n">
        <x:f>Q295</x:f>
        <x:v>49.1091584</x:v>
      </x:c>
      <x:c r="Q145" s="2"/>
      <x:c r="R145" s="2"/>
      <x:c r="S145" s="2"/>
      <x:c r="T145" s="2"/>
      <x:c r="U145" s="2"/>
      <x:c r="V145" s="2"/>
      <x:c r="W145" s="2"/>
      <x:c r="X145" s="2"/>
    </x:row>
    <x:row r="146" ht="25" customHeight="1">
      <x:c r="A146" s="2" t="str">
        <x:f>A31</x:f>
        <x:v>Qwen3.8 2.4T</x:v>
      </x:c>
      <x:c r="B146" s="2" t="n">
        <x:f>B31</x:f>
        <x:v>32</x:v>
      </x:c>
      <x:c r="C146" s="8" t="n">
        <x:f>$B$17</x:f>
        <x:v>1048576</x:v>
      </x:c>
      <x:c r="D146" s="2" t="n">
        <x:f>$C$17</x:f>
        <x:v>60</x:v>
      </x:c>
      <x:c r="E146" s="2" t="n">
        <x:f>$F$17</x:f>
        <x:v>20</x:v>
      </x:c>
      <x:c r="F146" s="9" t="n">
        <x:f>IF(A296,60000/L296,"")</x:f>
        <x:v>1</x:v>
      </x:c>
      <x:c r="G146" s="9" t="n">
        <x:f>K296</x:f>
        <x:v>82.57315498666667</x:v>
      </x:c>
      <x:c r="H146" s="9" t="n">
        <x:f>IF(W296="估算",U296*R296,"")</x:f>
        <x:v>5.117843787782794</x:v>
      </x:c>
      <x:c r="I146" s="9" t="n">
        <x:f>IF(W296="估算",U296*S296,"")</x:f>
        <x:v>3.139471710884134</x:v>
      </x:c>
      <x:c r="J146" s="9" t="n">
        <x:f>IF(W296="估算",U296*MAX(0,R296-S296),"")</x:f>
        <x:v>1.9783720768986601</x:v>
      </x:c>
      <x:c r="K146" s="9" t="n">
        <x:f>IF(W296="估算",IF(OR(O296=0,K296=0),0,U296*E31*MIN(1,(K296+P296)/L296)),"")</x:f>
        <x:v>379.841628476</x:v>
      </x:c>
      <x:c r="L146" s="53" t="n">
        <x:f>IF(W296="估算",V296,"")</x:f>
        <x:v>0.04693397122422703</x:v>
      </x:c>
      <x:c r="M146" s="53" t="n">
        <x:f>IF(W296="估算",E146*V296/60,"")</x:f>
        <x:v>0.015644657074742344</x:v>
      </x:c>
      <x:c r="N146" s="53" t="n">
        <x:f>IF(W296="估算",V296/60000*1e6,"")</x:f>
        <x:v>0.7822328537371172</x:v>
      </x:c>
      <x:c r="O146" s="2" t="str">
        <x:f>IF(W296="估算","相位平均估算",W296)</x:f>
        <x:v>相位平均估算</x:v>
      </x:c>
      <x:c r="P146" s="33" t="n">
        <x:f>Q296</x:f>
        <x:v>24.5545792</x:v>
      </x:c>
      <x:c r="Q146" s="2"/>
      <x:c r="R146" s="2"/>
      <x:c r="S146" s="2"/>
      <x:c r="T146" s="2"/>
      <x:c r="U146" s="2"/>
      <x:c r="V146" s="2"/>
      <x:c r="W146" s="2"/>
      <x:c r="X146" s="2"/>
    </x:row>
    <x:row r="147" ht="25" customHeight="1">
      <x:c r="A147" s="2" t="str">
        <x:f>A31</x:f>
        <x:v>Qwen3.8 2.4T</x:v>
      </x:c>
      <x:c r="B147" s="2" t="n">
        <x:f>B31</x:f>
        <x:v>32</x:v>
      </x:c>
      <x:c r="C147" s="8" t="n">
        <x:f>$B$17</x:f>
        <x:v>1048576</x:v>
      </x:c>
      <x:c r="D147" s="2" t="n">
        <x:f>$C$17</x:f>
        <x:v>60</x:v>
      </x:c>
      <x:c r="E147" s="2" t="n">
        <x:f>$F$18</x:f>
        <x:v>30</x:v>
      </x:c>
      <x:c r="F147" s="9" t="n">
        <x:f>IF(A297,60000/L297,"")</x:f>
        <x:v>1</x:v>
      </x:c>
      <x:c r="G147" s="9" t="n">
        <x:f>K297</x:f>
        <x:v>82.57315498666667</x:v>
      </x:c>
      <x:c r="H147" s="9" t="n">
        <x:f>IF(W297="估算",U297*R297,"")</x:f>
        <x:v>3.741606003449416</x:v>
      </x:c>
      <x:c r="I147" s="9" t="n">
        <x:f>IF(W297="估算",U297*S297,"")</x:f>
        <x:v>1.7632709956618697</x:v>
      </x:c>
      <x:c r="J147" s="9" t="n">
        <x:f>IF(W297="估算",U297*MAX(0,R297-S297),"")</x:f>
        <x:v>1.9783350077875461</x:v>
      </x:c>
      <x:c r="K147" s="9" t="n">
        <x:f>IF(W297="估算",IF(OR(O297=0,K297=0),0,U297*E31*MIN(1,(K297+P297)/L297)),"")</x:f>
        <x:v>253.22775231733334</x:v>
      </x:c>
      <x:c r="L147" s="53" t="n">
        <x:f>IF(W297="估算",V297,"")</x:f>
        <x:v>0.03128931414948469</x:v>
      </x:c>
      <x:c r="M147" s="53" t="n">
        <x:f>IF(W297="估算",E147*V297/60,"")</x:f>
        <x:v>0.015644657074742344</x:v>
      </x:c>
      <x:c r="N147" s="53" t="n">
        <x:f>IF(W297="估算",V297/60000*1e6,"")</x:f>
        <x:v>0.5214885691580781</x:v>
      </x:c>
      <x:c r="O147" s="2" t="str">
        <x:f>IF(W297="估算","相位平均估算",W297)</x:f>
        <x:v>相位平均估算</x:v>
      </x:c>
      <x:c r="P147" s="33" t="n">
        <x:f>Q297</x:f>
        <x:v>16.369719466666666</x:v>
      </x:c>
      <x:c r="Q147" s="2"/>
      <x:c r="R147" s="2"/>
      <x:c r="S147" s="2"/>
      <x:c r="T147" s="2"/>
      <x:c r="U147" s="2"/>
      <x:c r="V147" s="2"/>
      <x:c r="W147" s="2"/>
      <x:c r="X147" s="2"/>
    </x:row>
    <x:row r="148" ht="25" customHeight="1">
      <x:c r="A148" s="2" t="str">
        <x:f>A32</x:f>
        <x:v>Qwen3.8 2.4T</x:v>
      </x:c>
      <x:c r="B148" s="2" t="n">
        <x:f>B32</x:f>
        <x:v>256</x:v>
      </x:c>
      <x:c r="C148" s="8" t="n">
        <x:f>$B$15</x:f>
        <x:v>16384</x:v>
      </x:c>
      <x:c r="D148" s="2" t="n">
        <x:f>$C$15</x:f>
        <x:v>4</x:v>
      </x:c>
      <x:c r="E148" s="2" t="n">
        <x:f>$F$15</x:f>
        <x:v>5</x:v>
      </x:c>
      <x:c r="F148" s="9" t="n">
        <x:f>IF(A298,60000/L298,"")</x:f>
        <x:v>15</x:v>
      </x:c>
      <x:c r="G148" s="9" t="n">
        <x:f>K298</x:f>
        <x:v>1.5392017066666666</x:v>
      </x:c>
      <x:c r="H148" s="9" t="n">
        <x:f>IF(W298="估算",U298*R298,"")</x:f>
        <x:v>19.457992029237925</x:v>
      </x:c>
      <x:c r="I148" s="9" t="n">
        <x:f>IF(W298="估算",U298*S298,"")</x:f>
        <x:v>0</x:v>
      </x:c>
      <x:c r="J148" s="9" t="n">
        <x:f>IF(W298="估算",U298*MAX(0,R298-S298),"")</x:f>
        <x:v>19.457992029237925</x:v>
      </x:c>
      <x:c r="K148" s="9" t="n">
        <x:f>IF(W298="估算",IF(OR(O298=0,K298=0),0,U298*E32*MIN(1,(K298+P298)/L298)),"")</x:f>
        <x:v>425.13526669</x:v>
      </x:c>
      <x:c r="L148" s="53" t="n">
        <x:f>IF(W298="估算",V298,"")</x:f>
        <x:v>0.053971701629305126</x:v>
      </x:c>
      <x:c r="M148" s="53" t="n">
        <x:f>IF(W298="估算",E148*V298/60,"")</x:f>
        <x:v>0.004497641802442094</x:v>
      </x:c>
      <x:c r="N148" s="53" t="n">
        <x:f>IF(W298="估算",V298/60000*1e6,"")</x:f>
        <x:v>0.8995283604884188</x:v>
      </x:c>
      <x:c r="O148" s="2" t="str">
        <x:f>IF(W298="估算","相位平均估算",W298)</x:f>
        <x:v>相位平均估算</x:v>
      </x:c>
      <x:c r="P148" s="33" t="n">
        <x:f>Q298</x:f>
        <x:v>100.990608</x:v>
      </x:c>
      <x:c r="Q148" s="2"/>
      <x:c r="R148" s="2"/>
      <x:c r="S148" s="2"/>
      <x:c r="T148" s="2"/>
      <x:c r="U148" s="2"/>
      <x:c r="V148" s="2"/>
      <x:c r="W148" s="2"/>
      <x:c r="X148" s="2"/>
    </x:row>
    <x:row r="149" ht="25" customHeight="1">
      <x:c r="A149" s="2" t="str">
        <x:f>A32</x:f>
        <x:v>Qwen3.8 2.4T</x:v>
      </x:c>
      <x:c r="B149" s="2" t="n">
        <x:f>B32</x:f>
        <x:v>256</x:v>
      </x:c>
      <x:c r="C149" s="8" t="n">
        <x:f>$B$15</x:f>
        <x:v>16384</x:v>
      </x:c>
      <x:c r="D149" s="2" t="n">
        <x:f>$C$15</x:f>
        <x:v>4</x:v>
      </x:c>
      <x:c r="E149" s="2" t="n">
        <x:f>$F$16</x:f>
        <x:v>10</x:v>
      </x:c>
      <x:c r="F149" s="9" t="n">
        <x:f>IF(A299,60000/L299,"")</x:f>
        <x:v>15</x:v>
      </x:c>
      <x:c r="G149" s="9" t="n">
        <x:f>K299</x:f>
        <x:v>1.5392017066666666</x:v>
      </x:c>
      <x:c r="H149" s="9" t="n">
        <x:f>IF(W299="估算",U299*R299,"")</x:f>
        <x:v>17.147474275488904</x:v>
      </x:c>
      <x:c r="I149" s="9" t="n">
        <x:f>IF(W299="估算",U299*S299,"")</x:f>
        <x:v>0</x:v>
      </x:c>
      <x:c r="J149" s="9" t="n">
        <x:f>IF(W299="估算",U299*MAX(0,R299-S299),"")</x:f>
        <x:v>17.147474275488904</x:v>
      </x:c>
      <x:c r="K149" s="9" t="n">
        <x:f>IF(W299="估算",IF(OR(O299=0,K299=0),0,U299*E32*MIN(1,(K299+P299)/L299)),"")</x:f>
        <x:v>212.567633345</x:v>
      </x:c>
      <x:c r="L149" s="53" t="n">
        <x:f>IF(W299="估算",V299,"")</x:f>
        <x:v>0.026985850814652563</x:v>
      </x:c>
      <x:c r="M149" s="53" t="n">
        <x:f>IF(W299="估算",E149*V299/60,"")</x:f>
        <x:v>0.004497641802442094</x:v>
      </x:c>
      <x:c r="N149" s="53" t="n">
        <x:f>IF(W299="估算",V299/60000*1e6,"")</x:f>
        <x:v>0.4497641802442094</x:v>
      </x:c>
      <x:c r="O149" s="2" t="str">
        <x:f>IF(W299="估算","相位平均估算",W299)</x:f>
        <x:v>相位平均估算</x:v>
      </x:c>
      <x:c r="P149" s="33" t="n">
        <x:f>Q299</x:f>
        <x:v>50.495304</x:v>
      </x:c>
      <x:c r="Q149" s="2"/>
      <x:c r="R149" s="2"/>
      <x:c r="S149" s="2"/>
      <x:c r="T149" s="2"/>
      <x:c r="U149" s="2"/>
      <x:c r="V149" s="2"/>
      <x:c r="W149" s="2"/>
      <x:c r="X149" s="2"/>
    </x:row>
    <x:row r="150" ht="25" customHeight="1">
      <x:c r="A150" s="2" t="str">
        <x:f>A32</x:f>
        <x:v>Qwen3.8 2.4T</x:v>
      </x:c>
      <x:c r="B150" s="2" t="n">
        <x:f>B32</x:f>
        <x:v>256</x:v>
      </x:c>
      <x:c r="C150" s="8" t="n">
        <x:f>$B$15</x:f>
        <x:v>16384</x:v>
      </x:c>
      <x:c r="D150" s="2" t="n">
        <x:f>$C$15</x:f>
        <x:v>4</x:v>
      </x:c>
      <x:c r="E150" s="2" t="n">
        <x:f>$F$17</x:f>
        <x:v>20</x:v>
      </x:c>
      <x:c r="F150" s="9" t="n">
        <x:f>IF(A300,60000/L300,"")</x:f>
        <x:v>15</x:v>
      </x:c>
      <x:c r="G150" s="9" t="n">
        <x:f>K300</x:f>
        <x:v>1.5392017066666666</x:v>
      </x:c>
      <x:c r="H150" s="9" t="n">
        <x:f>IF(W300="估算",U300*R300,"")</x:f>
        <x:v>15.992215398614062</x:v>
      </x:c>
      <x:c r="I150" s="9" t="n">
        <x:f>IF(W300="估算",U300*S300,"")</x:f>
        <x:v>0</x:v>
      </x:c>
      <x:c r="J150" s="9" t="n">
        <x:f>IF(W300="估算",U300*MAX(0,R300-S300),"")</x:f>
        <x:v>15.992215398614062</x:v>
      </x:c>
      <x:c r="K150" s="9" t="n">
        <x:f>IF(W300="估算",IF(OR(O300=0,K300=0),0,U300*E32*MIN(1,(K300+P300)/L300)),"")</x:f>
        <x:v>106.2838166725</x:v>
      </x:c>
      <x:c r="L150" s="53" t="n">
        <x:f>IF(W300="估算",V300,"")</x:f>
        <x:v>0.013492925407326281</x:v>
      </x:c>
      <x:c r="M150" s="53" t="n">
        <x:f>IF(W300="估算",E150*V300/60,"")</x:f>
        <x:v>0.004497641802442094</x:v>
      </x:c>
      <x:c r="N150" s="53" t="n">
        <x:f>IF(W300="估算",V300/60000*1e6,"")</x:f>
        <x:v>0.2248820901221047</x:v>
      </x:c>
      <x:c r="O150" s="2" t="str">
        <x:f>IF(W300="估算","相位平均估算",W300)</x:f>
        <x:v>相位平均估算</x:v>
      </x:c>
      <x:c r="P150" s="33" t="n">
        <x:f>Q300</x:f>
        <x:v>25.247652</x:v>
      </x:c>
      <x:c r="Q150" s="2"/>
      <x:c r="R150" s="2"/>
      <x:c r="S150" s="2"/>
      <x:c r="T150" s="2"/>
      <x:c r="U150" s="2"/>
      <x:c r="V150" s="2"/>
      <x:c r="W150" s="2"/>
      <x:c r="X150" s="2"/>
    </x:row>
    <x:row r="151" ht="25" customHeight="1">
      <x:c r="A151" s="2" t="str">
        <x:f>A32</x:f>
        <x:v>Qwen3.8 2.4T</x:v>
      </x:c>
      <x:c r="B151" s="2" t="n">
        <x:f>B32</x:f>
        <x:v>256</x:v>
      </x:c>
      <x:c r="C151" s="8" t="n">
        <x:f>$B$15</x:f>
        <x:v>16384</x:v>
      </x:c>
      <x:c r="D151" s="2" t="n">
        <x:f>$C$15</x:f>
        <x:v>4</x:v>
      </x:c>
      <x:c r="E151" s="2" t="n">
        <x:f>$F$18</x:f>
        <x:v>30</x:v>
      </x:c>
      <x:c r="F151" s="9" t="n">
        <x:f>IF(A301,60000/L301,"")</x:f>
        <x:v>15</x:v>
      </x:c>
      <x:c r="G151" s="9" t="n">
        <x:f>K301</x:f>
        <x:v>1.5392017066666666</x:v>
      </x:c>
      <x:c r="H151" s="9" t="n">
        <x:f>IF(W301="估算",U301*R301,"")</x:f>
        <x:v>15.607129106322448</x:v>
      </x:c>
      <x:c r="I151" s="9" t="n">
        <x:f>IF(W301="估算",U301*S301,"")</x:f>
        <x:v>0</x:v>
      </x:c>
      <x:c r="J151" s="9" t="n">
        <x:f>IF(W301="估算",U301*MAX(0,R301-S301),"")</x:f>
        <x:v>15.607129106322448</x:v>
      </x:c>
      <x:c r="K151" s="9" t="n">
        <x:f>IF(W301="估算",IF(OR(O301=0,K301=0),0,U301*E32*MIN(1,(K301+P301)/L301)),"")</x:f>
        <x:v>70.85587778166666</x:v>
      </x:c>
      <x:c r="L151" s="53" t="n">
        <x:f>IF(W301="估算",V301,"")</x:f>
        <x:v>0.008995283604884188</x:v>
      </x:c>
      <x:c r="M151" s="53" t="n">
        <x:f>IF(W301="估算",E151*V301/60,"")</x:f>
        <x:v>0.004497641802442094</x:v>
      </x:c>
      <x:c r="N151" s="53" t="n">
        <x:f>IF(W301="估算",V301/60000*1e6,"")</x:f>
        <x:v>0.14992139341473645</x:v>
      </x:c>
      <x:c r="O151" s="2" t="str">
        <x:f>IF(W301="估算","相位平均估算",W301)</x:f>
        <x:v>相位平均估算</x:v>
      </x:c>
      <x:c r="P151" s="33" t="n">
        <x:f>Q301</x:f>
        <x:v>16.831768</x:v>
      </x:c>
      <x:c r="Q151" s="2"/>
      <x:c r="R151" s="2"/>
      <x:c r="S151" s="2"/>
      <x:c r="T151" s="2"/>
      <x:c r="U151" s="2"/>
      <x:c r="V151" s="2"/>
      <x:c r="W151" s="2"/>
      <x:c r="X151" s="2"/>
    </x:row>
    <x:row r="152" ht="25" customHeight="1">
      <x:c r="A152" s="2" t="str">
        <x:f>A32</x:f>
        <x:v>Qwen3.8 2.4T</x:v>
      </x:c>
      <x:c r="B152" s="2" t="n">
        <x:f>B32</x:f>
        <x:v>256</x:v>
      </x:c>
      <x:c r="C152" s="8" t="n">
        <x:f>$B$16</x:f>
        <x:v>262144</x:v>
      </x:c>
      <x:c r="D152" s="2" t="n">
        <x:f>$C$16</x:f>
        <x:v>20</x:v>
      </x:c>
      <x:c r="E152" s="2" t="n">
        <x:f>$F$15</x:f>
        <x:v>5</x:v>
      </x:c>
      <x:c r="F152" s="9" t="n">
        <x:f>IF(A302,60000/L302,"")</x:f>
        <x:v>3</x:v>
      </x:c>
      <x:c r="G152" s="9" t="n">
        <x:f>K302</x:f>
        <x:v>20.833000106666667</x:v>
      </x:c>
      <x:c r="H152" s="9" t="n">
        <x:f>IF(W302="估算",U302*R302,"")</x:f>
        <x:v>15.467877445848988</x:v>
      </x:c>
      <x:c r="I152" s="9" t="n">
        <x:f>IF(W302="估算",U302*S302,"")</x:f>
        <x:v>9.531722682152743</x:v>
      </x:c>
      <x:c r="J152" s="9" t="n">
        <x:f>IF(W302="估算",U302*MAX(0,R302-S302),"")</x:f>
        <x:v>5.936154763696244</x:v>
      </x:c>
      <x:c r="K152" s="9" t="n">
        <x:f>IF(W302="估算",IF(OR(O302=0,K302=0),0,U302*E32*MIN(1,(K302+P302)/L302)),"")</x:f>
        <x:v>1150.044725018</x:v>
      </x:c>
      <x:c r="L152" s="53" t="n">
        <x:f>IF(W302="估算",V302,"")</x:f>
        <x:v>0.1461063147040157</x:v>
      </x:c>
      <x:c r="M152" s="53" t="n">
        <x:f>IF(W302="估算",E152*V302/60,"")</x:f>
        <x:v>0.01217552622533464</x:v>
      </x:c>
      <x:c r="N152" s="53" t="n">
        <x:f>IF(W302="估算",V302/60000*1e6,"")</x:f>
        <x:v>2.435105245066928</x:v>
      </x:c>
      <x:c r="O152" s="2" t="str">
        <x:f>IF(W302="估算","相位平均估算",W302)</x:f>
        <x:v>相位平均估算</x:v>
      </x:c>
      <x:c r="P152" s="33" t="n">
        <x:f>Q302</x:f>
        <x:v>100.990608</x:v>
      </x:c>
      <x:c r="Q152" s="2"/>
      <x:c r="R152" s="2"/>
      <x:c r="S152" s="2"/>
      <x:c r="T152" s="2"/>
      <x:c r="U152" s="2"/>
      <x:c r="V152" s="2"/>
      <x:c r="W152" s="2"/>
      <x:c r="X152" s="2"/>
    </x:row>
    <x:row r="153" ht="25" customHeight="1">
      <x:c r="A153" s="2" t="str">
        <x:f>A32</x:f>
        <x:v>Qwen3.8 2.4T</x:v>
      </x:c>
      <x:c r="B153" s="2" t="n">
        <x:f>B32</x:f>
        <x:v>256</x:v>
      </x:c>
      <x:c r="C153" s="8" t="n">
        <x:f>$B$16</x:f>
        <x:v>262144</x:v>
      </x:c>
      <x:c r="D153" s="2" t="n">
        <x:f>$C$16</x:f>
        <x:v>20</x:v>
      </x:c>
      <x:c r="E153" s="2" t="n">
        <x:f>$F$16</x:f>
        <x:v>10</x:v>
      </x:c>
      <x:c r="F153" s="9" t="n">
        <x:f>IF(A303,60000/L303,"")</x:f>
        <x:v>3</x:v>
      </x:c>
      <x:c r="G153" s="9" t="n">
        <x:f>K303</x:f>
        <x:v>20.833000106666667</x:v>
      </x:c>
      <x:c r="H153" s="9" t="n">
        <x:f>IF(W303="估算",U303*R303,"")</x:f>
        <x:v>9.217634375097816</x:v>
      </x:c>
      <x:c r="I153" s="9" t="n">
        <x:f>IF(W303="估算",U303*S303,"")</x:f>
        <x:v>3.2821656889030493</x:v>
      </x:c>
      <x:c r="J153" s="9" t="n">
        <x:f>IF(W303="估算",U303*MAX(0,R303-S303),"")</x:f>
        <x:v>5.935468686194767</x:v>
      </x:c>
      <x:c r="K153" s="9" t="n">
        <x:f>IF(W303="估算",IF(OR(O303=0,K303=0),0,U303*E32*MIN(1,(K303+P303)/L303)),"")</x:f>
        <x:v>575.022362509</x:v>
      </x:c>
      <x:c r="L153" s="53" t="n">
        <x:f>IF(W303="估算",V303,"")</x:f>
        <x:v>0.07305315735200785</x:v>
      </x:c>
      <x:c r="M153" s="53" t="n">
        <x:f>IF(W303="估算",E153*V303/60,"")</x:f>
        <x:v>0.01217552622533464</x:v>
      </x:c>
      <x:c r="N153" s="53" t="n">
        <x:f>IF(W303="估算",V303/60000*1e6,"")</x:f>
        <x:v>1.217552622533464</x:v>
      </x:c>
      <x:c r="O153" s="2" t="str">
        <x:f>IF(W303="估算","相位平均估算",W303)</x:f>
        <x:v>相位平均估算</x:v>
      </x:c>
      <x:c r="P153" s="33" t="n">
        <x:f>Q303</x:f>
        <x:v>50.495304</x:v>
      </x:c>
      <x:c r="Q153" s="2"/>
      <x:c r="R153" s="2"/>
      <x:c r="S153" s="2"/>
      <x:c r="T153" s="2"/>
      <x:c r="U153" s="2"/>
      <x:c r="V153" s="2"/>
      <x:c r="W153" s="2"/>
      <x:c r="X153" s="2"/>
    </x:row>
    <x:row r="154" ht="25" customHeight="1">
      <x:c r="A154" s="2" t="str">
        <x:f>A32</x:f>
        <x:v>Qwen3.8 2.4T</x:v>
      </x:c>
      <x:c r="B154" s="2" t="n">
        <x:f>B32</x:f>
        <x:v>256</x:v>
      </x:c>
      <x:c r="C154" s="8" t="n">
        <x:f>$B$16</x:f>
        <x:v>262144</x:v>
      </x:c>
      <x:c r="D154" s="2" t="n">
        <x:f>$C$16</x:f>
        <x:v>20</x:v>
      </x:c>
      <x:c r="E154" s="2" t="n">
        <x:f>$F$17</x:f>
        <x:v>20</x:v>
      </x:c>
      <x:c r="F154" s="9" t="n">
        <x:f>IF(A304,60000/L304,"")</x:f>
        <x:v>3</x:v>
      </x:c>
      <x:c r="G154" s="9" t="n">
        <x:f>K304</x:f>
        <x:v>20.833000106666667</x:v>
      </x:c>
      <x:c r="H154" s="9" t="n">
        <x:f>IF(W304="估算",U304*R304,"")</x:f>
        <x:v>6.09251283972323</x:v>
      </x:c>
      <x:c r="I154" s="9" t="n">
        <x:f>IF(W304="估算",U304*S304,"")</x:f>
        <x:v>0.157387192277203</x:v>
      </x:c>
      <x:c r="J154" s="9" t="n">
        <x:f>IF(W304="估算",U304*MAX(0,R304-S304),"")</x:f>
        <x:v>5.935125647446027</x:v>
      </x:c>
      <x:c r="K154" s="9" t="n">
        <x:f>IF(W304="估算",IF(OR(O304=0,K304=0),0,U304*E32*MIN(1,(K304+P304)/L304)),"")</x:f>
        <x:v>287.5111812545</x:v>
      </x:c>
      <x:c r="L154" s="53" t="n">
        <x:f>IF(W304="估算",V304,"")</x:f>
        <x:v>0.036526578676003923</x:v>
      </x:c>
      <x:c r="M154" s="53" t="n">
        <x:f>IF(W304="估算",E154*V304/60,"")</x:f>
        <x:v>0.01217552622533464</x:v>
      </x:c>
      <x:c r="N154" s="53" t="n">
        <x:f>IF(W304="估算",V304/60000*1e6,"")</x:f>
        <x:v>0.608776311266732</x:v>
      </x:c>
      <x:c r="O154" s="2" t="str">
        <x:f>IF(W304="估算","相位平均估算",W304)</x:f>
        <x:v>相位平均估算</x:v>
      </x:c>
      <x:c r="P154" s="33" t="n">
        <x:f>Q304</x:f>
        <x:v>25.247652</x:v>
      </x:c>
      <x:c r="Q154" s="2"/>
      <x:c r="R154" s="2"/>
      <x:c r="S154" s="2"/>
      <x:c r="T154" s="2"/>
      <x:c r="U154" s="2"/>
      <x:c r="V154" s="2"/>
      <x:c r="W154" s="2"/>
      <x:c r="X154" s="2"/>
    </x:row>
    <x:row r="155" ht="25" customHeight="1">
      <x:c r="A155" s="2" t="str">
        <x:f>A32</x:f>
        <x:v>Qwen3.8 2.4T</x:v>
      </x:c>
      <x:c r="B155" s="2" t="n">
        <x:f>B32</x:f>
        <x:v>256</x:v>
      </x:c>
      <x:c r="C155" s="8" t="n">
        <x:f>$B$16</x:f>
        <x:v>262144</x:v>
      </x:c>
      <x:c r="D155" s="2" t="n">
        <x:f>$C$16</x:f>
        <x:v>20</x:v>
      </x:c>
      <x:c r="E155" s="2" t="n">
        <x:f>$F$18</x:f>
        <x:v>30</x:v>
      </x:c>
      <x:c r="F155" s="9" t="n">
        <x:f>IF(A305,60000/L305,"")</x:f>
        <x:v>3</x:v>
      </x:c>
      <x:c r="G155" s="9" t="n">
        <x:f>K305</x:f>
        <x:v>20.833000106666667</x:v>
      </x:c>
      <x:c r="H155" s="9" t="n">
        <x:f>IF(W305="估算",U305*R305,"")</x:f>
        <x:v>5.05080566126459</x:v>
      </x:c>
      <x:c r="I155" s="9" t="n">
        <x:f>IF(W305="估算",U305*S305,"")</x:f>
        <x:v>0</x:v>
      </x:c>
      <x:c r="J155" s="9" t="n">
        <x:f>IF(W305="估算",U305*MAX(0,R305-S305),"")</x:f>
        <x:v>5.05080566126459</x:v>
      </x:c>
      <x:c r="K155" s="9" t="n">
        <x:f>IF(W305="估算",IF(OR(O305=0,K305=0),0,U305*E32*MIN(1,(K305+P305)/L305)),"")</x:f>
        <x:v>191.67412083633334</x:v>
      </x:c>
      <x:c r="L155" s="53" t="n">
        <x:f>IF(W305="估算",V305,"")</x:f>
        <x:v>0.02435105245066928</x:v>
      </x:c>
      <x:c r="M155" s="53" t="n">
        <x:f>IF(W305="估算",E155*V305/60,"")</x:f>
        <x:v>0.01217552622533464</x:v>
      </x:c>
      <x:c r="N155" s="53" t="n">
        <x:f>IF(W305="估算",V305/60000*1e6,"")</x:f>
        <x:v>0.4058508741778214</x:v>
      </x:c>
      <x:c r="O155" s="2" t="str">
        <x:f>IF(W305="估算","相位平均估算",W305)</x:f>
        <x:v>相位平均估算</x:v>
      </x:c>
      <x:c r="P155" s="33" t="n">
        <x:f>Q305</x:f>
        <x:v>16.831768</x:v>
      </x:c>
      <x:c r="Q155" s="2"/>
      <x:c r="R155" s="2"/>
      <x:c r="S155" s="2"/>
      <x:c r="T155" s="2"/>
      <x:c r="U155" s="2"/>
      <x:c r="V155" s="2"/>
      <x:c r="W155" s="2"/>
      <x:c r="X155" s="2"/>
    </x:row>
    <x:row r="156" ht="25" customHeight="1">
      <x:c r="A156" s="2" t="str">
        <x:f>A32</x:f>
        <x:v>Qwen3.8 2.4T</x:v>
      </x:c>
      <x:c r="B156" s="2" t="n">
        <x:f>B32</x:f>
        <x:v>256</x:v>
      </x:c>
      <x:c r="C156" s="8" t="n">
        <x:f>$B$17</x:f>
        <x:v>1048576</x:v>
      </x:c>
      <x:c r="D156" s="2" t="n">
        <x:f>$C$17</x:f>
        <x:v>60</x:v>
      </x:c>
      <x:c r="E156" s="2" t="n">
        <x:f>$F$15</x:f>
        <x:v>5</x:v>
      </x:c>
      <x:c r="F156" s="9" t="n">
        <x:f>IF(A306,60000/L306,"")</x:f>
        <x:v>1</x:v>
      </x:c>
      <x:c r="G156" s="9" t="n">
        <x:f>K306</x:f>
        <x:v>82.57315498666667</x:v>
      </x:c>
      <x:c r="H156" s="9" t="n">
        <x:f>IF(W306="估算",U306*R306,"")</x:f>
        <x:v>17.50399012461612</x:v>
      </x:c>
      <x:c r="I156" s="9" t="n">
        <x:f>IF(W306="估算",U306*S306,"")</x:f>
        <x:v>15.525271870051593</x:v>
      </x:c>
      <x:c r="J156" s="9" t="n">
        <x:f>IF(W306="估算",U306*MAX(0,R306-S306),"")</x:f>
        <x:v>1.9787182545645265</x:v>
      </x:c>
      <x:c r="K156" s="9" t="n">
        <x:f>IF(W306="估算",IF(OR(O306=0,K306=0),0,U306*E32*MIN(1,(K306+P306)/L306)),"")</x:f>
        <x:v>1519.3670914646666</x:v>
      </x:c>
      <x:c r="L156" s="53" t="n">
        <x:f>IF(W306="估算",V306,"")</x:f>
        <x:v>0.19303487757137025</x:v>
      </x:c>
      <x:c r="M156" s="53" t="n">
        <x:f>IF(W306="估算",E156*V306/60,"")</x:f>
        <x:v>0.01608623979761419</x:v>
      </x:c>
      <x:c r="N156" s="53" t="n">
        <x:f>IF(W306="估算",V306/60000*1e6,"")</x:f>
        <x:v>3.217247959522837</x:v>
      </x:c>
      <x:c r="O156" s="2" t="str">
        <x:f>IF(W306="估算","相位平均估算",W306)</x:f>
        <x:v>相位平均估算</x:v>
      </x:c>
      <x:c r="P156" s="33" t="n">
        <x:f>Q306</x:f>
        <x:v>100.990608</x:v>
      </x:c>
      <x:c r="Q156" s="2"/>
      <x:c r="R156" s="2"/>
      <x:c r="S156" s="2"/>
      <x:c r="T156" s="2"/>
      <x:c r="U156" s="2"/>
      <x:c r="V156" s="2"/>
      <x:c r="W156" s="2"/>
      <x:c r="X156" s="2"/>
    </x:row>
    <x:row r="157" ht="25" customHeight="1">
      <x:c r="A157" s="2" t="str">
        <x:f>A32</x:f>
        <x:v>Qwen3.8 2.4T</x:v>
      </x:c>
      <x:c r="B157" s="2" t="n">
        <x:f>B32</x:f>
        <x:v>256</x:v>
      </x:c>
      <x:c r="C157" s="8" t="n">
        <x:f>$B$17</x:f>
        <x:v>1048576</x:v>
      </x:c>
      <x:c r="D157" s="2" t="n">
        <x:f>$C$17</x:f>
        <x:v>60</x:v>
      </x:c>
      <x:c r="E157" s="2" t="n">
        <x:f>$F$16</x:f>
        <x:v>10</x:v>
      </x:c>
      <x:c r="F157" s="9" t="n">
        <x:f>IF(A307,60000/L307,"")</x:f>
        <x:v>1</x:v>
      </x:c>
      <x:c r="G157" s="9" t="n">
        <x:f>K307</x:f>
        <x:v>82.57315498666667</x:v>
      </x:c>
      <x:c r="H157" s="9" t="n">
        <x:f>IF(W307="估算",U307*R307,"")</x:f>
        <x:v>9.246560279700056</x:v>
      </x:c>
      <x:c r="I157" s="9" t="n">
        <x:f>IF(W307="估算",U307*S307,"")</x:f>
        <x:v>7.268070717633801</x:v>
      </x:c>
      <x:c r="J157" s="9" t="n">
        <x:f>IF(W307="估算",U307*MAX(0,R307-S307),"")</x:f>
        <x:v>1.9784895620662546</x:v>
      </x:c>
      <x:c r="K157" s="9" t="n">
        <x:f>IF(W307="估算",IF(OR(O307=0,K307=0),0,U307*E32*MIN(1,(K307+P307)/L307)),"")</x:f>
        <x:v>759.6835457323333</x:v>
      </x:c>
      <x:c r="L157" s="53" t="n">
        <x:f>IF(W307="估算",V307,"")</x:f>
        <x:v>0.09651743878568513</x:v>
      </x:c>
      <x:c r="M157" s="53" t="n">
        <x:f>IF(W307="估算",E157*V307/60,"")</x:f>
        <x:v>0.01608623979761419</x:v>
      </x:c>
      <x:c r="N157" s="53" t="n">
        <x:f>IF(W307="估算",V307/60000*1e6,"")</x:f>
        <x:v>1.6086239797614186</x:v>
      </x:c>
      <x:c r="O157" s="2" t="str">
        <x:f>IF(W307="估算","相位平均估算",W307)</x:f>
        <x:v>相位平均估算</x:v>
      </x:c>
      <x:c r="P157" s="33" t="n">
        <x:f>Q307</x:f>
        <x:v>50.495304</x:v>
      </x:c>
      <x:c r="Q157" s="2"/>
      <x:c r="R157" s="2"/>
      <x:c r="S157" s="2"/>
      <x:c r="T157" s="2"/>
      <x:c r="U157" s="2"/>
      <x:c r="V157" s="2"/>
      <x:c r="W157" s="2"/>
      <x:c r="X157" s="2"/>
    </x:row>
    <x:row r="158" ht="25" customHeight="1">
      <x:c r="A158" s="2" t="str">
        <x:f>A32</x:f>
        <x:v>Qwen3.8 2.4T</x:v>
      </x:c>
      <x:c r="B158" s="2" t="n">
        <x:f>B32</x:f>
        <x:v>256</x:v>
      </x:c>
      <x:c r="C158" s="8" t="n">
        <x:f>$B$17</x:f>
        <x:v>1048576</x:v>
      </x:c>
      <x:c r="D158" s="2" t="n">
        <x:f>$C$17</x:f>
        <x:v>60</x:v>
      </x:c>
      <x:c r="E158" s="2" t="n">
        <x:f>$F$17</x:f>
        <x:v>20</x:v>
      </x:c>
      <x:c r="F158" s="9" t="n">
        <x:f>IF(A308,60000/L308,"")</x:f>
        <x:v>1</x:v>
      </x:c>
      <x:c r="G158" s="9" t="n">
        <x:f>K308</x:f>
        <x:v>82.57315498666667</x:v>
      </x:c>
      <x:c r="H158" s="9" t="n">
        <x:f>IF(W308="估算",U308*R308,"")</x:f>
        <x:v>5.117845357241024</x:v>
      </x:c>
      <x:c r="I158" s="9" t="n">
        <x:f>IF(W308="估算",U308*S308,"")</x:f>
        <x:v>3.139470141425904</x:v>
      </x:c>
      <x:c r="J158" s="9" t="n">
        <x:f>IF(W308="估算",U308*MAX(0,R308-S308),"")</x:f>
        <x:v>1.9783752158151202</x:v>
      </x:c>
      <x:c r="K158" s="9" t="n">
        <x:f>IF(W308="估算",IF(OR(O308=0,K308=0),0,U308*E32*MIN(1,(K308+P308)/L308)),"")</x:f>
        <x:v>379.84177286616665</x:v>
      </x:c>
      <x:c r="L158" s="53" t="n">
        <x:f>IF(W308="估算",V308,"")</x:f>
        <x:v>0.04825871939284256</x:v>
      </x:c>
      <x:c r="M158" s="53" t="n">
        <x:f>IF(W308="估算",E158*V308/60,"")</x:f>
        <x:v>0.01608623979761419</x:v>
      </x:c>
      <x:c r="N158" s="53" t="n">
        <x:f>IF(W308="估算",V308/60000*1e6,"")</x:f>
        <x:v>0.8043119898807093</x:v>
      </x:c>
      <x:c r="O158" s="2" t="str">
        <x:f>IF(W308="估算","相位平均估算",W308)</x:f>
        <x:v>相位平均估算</x:v>
      </x:c>
      <x:c r="P158" s="33" t="n">
        <x:f>Q308</x:f>
        <x:v>25.247652</x:v>
      </x:c>
      <x:c r="Q158" s="2"/>
      <x:c r="R158" s="2"/>
      <x:c r="S158" s="2"/>
      <x:c r="T158" s="2"/>
      <x:c r="U158" s="2"/>
      <x:c r="V158" s="2"/>
      <x:c r="W158" s="2"/>
      <x:c r="X158" s="2"/>
    </x:row>
    <x:row r="159" ht="25" customHeight="1">
      <x:c r="A159" s="2" t="str">
        <x:f>A32</x:f>
        <x:v>Qwen3.8 2.4T</x:v>
      </x:c>
      <x:c r="B159" s="2" t="n">
        <x:f>B32</x:f>
        <x:v>256</x:v>
      </x:c>
      <x:c r="C159" s="8" t="n">
        <x:f>$B$17</x:f>
        <x:v>1048576</x:v>
      </x:c>
      <x:c r="D159" s="2" t="n">
        <x:f>$C$17</x:f>
        <x:v>60</x:v>
      </x:c>
      <x:c r="E159" s="2" t="n">
        <x:f>$F$18</x:f>
        <x:v>30</x:v>
      </x:c>
      <x:c r="F159" s="9" t="n">
        <x:f>IF(A309,60000/L309,"")</x:f>
        <x:v>1</x:v>
      </x:c>
      <x:c r="G159" s="9" t="n">
        <x:f>K309</x:f>
        <x:v>82.57315498666667</x:v>
      </x:c>
      <x:c r="H159" s="9" t="n">
        <x:f>IF(W309="估算",U309*R309,"")</x:f>
        <x:v>3.7416070497549025</x:v>
      </x:c>
      <x:c r="I159" s="9" t="n">
        <x:f>IF(W309="估算",U309*S309,"")</x:f>
        <x:v>1.763269949356383</x:v>
      </x:c>
      <x:c r="J159" s="9" t="n">
        <x:f>IF(W309="估算",U309*MAX(0,R309-S309),"")</x:f>
        <x:v>1.9783371003985195</x:v>
      </x:c>
      <x:c r="K159" s="9" t="n">
        <x:f>IF(W309="估算",IF(OR(O309=0,K309=0),0,U309*E32*MIN(1,(K309+P309)/L309)),"")</x:f>
        <x:v>253.22784857744443</x:v>
      </x:c>
      <x:c r="L159" s="53" t="n">
        <x:f>IF(W309="估算",V309,"")</x:f>
        <x:v>0.03217247959522838</x:v>
      </x:c>
      <x:c r="M159" s="53" t="n">
        <x:f>IF(W309="估算",E159*V309/60,"")</x:f>
        <x:v>0.01608623979761419</x:v>
      </x:c>
      <x:c r="N159" s="53" t="n">
        <x:f>IF(W309="估算",V309/60000*1e6,"")</x:f>
        <x:v>0.5362079932538063</x:v>
      </x:c>
      <x:c r="O159" s="2" t="str">
        <x:f>IF(W309="估算","相位平均估算",W309)</x:f>
        <x:v>相位平均估算</x:v>
      </x:c>
      <x:c r="P159" s="33" t="n">
        <x:f>Q309</x:f>
        <x:v>16.831768</x:v>
      </x:c>
      <x:c r="Q159" s="2"/>
      <x:c r="R159" s="2"/>
      <x:c r="S159" s="2"/>
      <x:c r="T159" s="2"/>
      <x:c r="U159" s="2"/>
      <x:c r="V159" s="2"/>
      <x:c r="W159" s="2"/>
      <x:c r="X159" s="2"/>
    </x:row>
    <x:row r="160" ht="25" customHeight="1">
      <x:c r="A160" s="2" t="str">
        <x:f>A33</x:f>
        <x:v>DS V4.1 Flash</x:v>
      </x:c>
      <x:c r="B160" s="2" t="n">
        <x:f>B33</x:f>
        <x:v>32</x:v>
      </x:c>
      <x:c r="C160" s="8" t="n">
        <x:f>$B$15</x:f>
        <x:v>16384</x:v>
      </x:c>
      <x:c r="D160" s="2" t="n">
        <x:f>$C$15</x:f>
        <x:v>4</x:v>
      </x:c>
      <x:c r="E160" s="2" t="n">
        <x:f>$F$15</x:f>
        <x:v>5</x:v>
      </x:c>
      <x:c r="F160" s="9" t="n">
        <x:f>IF(A310,60000/L310,"")</x:f>
        <x:v>15</x:v>
      </x:c>
      <x:c r="G160" s="9" t="n">
        <x:f>K310</x:f>
        <x:v>0.02422784</x:v>
      </x:c>
      <x:c r="H160" s="9" t="n">
        <x:f>IF(W310="估算",U310*R310,"")</x:f>
        <x:v>3.3082080000013114</x:v>
      </x:c>
      <x:c r="I160" s="9" t="n">
        <x:f>IF(W310="估算",U310*S310,"")</x:f>
        <x:v>0</x:v>
      </x:c>
      <x:c r="J160" s="9" t="n">
        <x:f>IF(W310="估算",U310*MAX(0,R310-S310),"")</x:f>
        <x:v>3.3082080000013114</x:v>
      </x:c>
      <x:c r="K160" s="9" t="n">
        <x:f>IF(W310="估算",IF(OR(O310=0,K310=0),0,U310*E33*MIN(1,(K310+P310)/L310)),"")</x:f>
        <x:v>3.308208</x:v>
      </x:c>
      <x:c r="L160" s="53" t="n">
        <x:f>IF(W310="估算",V310,"")</x:f>
        <x:v>0.0010708611972693335</x:v>
      </x:c>
      <x:c r="M160" s="53" t="n">
        <x:f>IF(W310="估算",E160*V310/60,"")</x:f>
        <x:v>0.00008923843310577779</x:v>
      </x:c>
      <x:c r="N160" s="53" t="n">
        <x:f>IF(W310="估算",V310/60000*1e6,"")</x:f>
        <x:v>0.01784768662115556</x:v>
      </x:c>
      <x:c r="O160" s="2" t="str">
        <x:f>IF(W310="估算","估算；V4.1 规划",W310)</x:f>
        <x:v>估算；V4.1 规划</x:v>
      </x:c>
      <x:c r="P160" s="33" t="n">
        <x:f>Q310</x:f>
        <x:v>128.277504</x:v>
      </x:c>
      <x:c r="Q160" s="2"/>
      <x:c r="R160" s="2"/>
      <x:c r="S160" s="2"/>
      <x:c r="T160" s="2"/>
      <x:c r="U160" s="2"/>
      <x:c r="V160" s="2"/>
      <x:c r="W160" s="2"/>
      <x:c r="X160" s="2"/>
    </x:row>
    <x:row r="161" ht="25" customHeight="1">
      <x:c r="A161" s="2" t="str">
        <x:f>A33</x:f>
        <x:v>DS V4.1 Flash</x:v>
      </x:c>
      <x:c r="B161" s="2" t="n">
        <x:f>B33</x:f>
        <x:v>32</x:v>
      </x:c>
      <x:c r="C161" s="8" t="n">
        <x:f>$B$15</x:f>
        <x:v>16384</x:v>
      </x:c>
      <x:c r="D161" s="2" t="n">
        <x:f>$C$15</x:f>
        <x:v>4</x:v>
      </x:c>
      <x:c r="E161" s="2" t="n">
        <x:f>$F$16</x:f>
        <x:v>10</x:v>
      </x:c>
      <x:c r="F161" s="9" t="n">
        <x:f>IF(A311,60000/L311,"")</x:f>
        <x:v>15</x:v>
      </x:c>
      <x:c r="G161" s="9" t="n">
        <x:f>K311</x:f>
        <x:v>0.02422784</x:v>
      </x:c>
      <x:c r="H161" s="9" t="n">
        <x:f>IF(W311="估算",U311*R311,"")</x:f>
        <x:v>1.6541040000006557</x:v>
      </x:c>
      <x:c r="I161" s="9" t="n">
        <x:f>IF(W311="估算",U311*S311,"")</x:f>
        <x:v>0</x:v>
      </x:c>
      <x:c r="J161" s="9" t="n">
        <x:f>IF(W311="估算",U311*MAX(0,R311-S311),"")</x:f>
        <x:v>1.6541040000006557</x:v>
      </x:c>
      <x:c r="K161" s="9" t="n">
        <x:f>IF(W311="估算",IF(OR(O311=0,K311=0),0,U311*E33*MIN(1,(K311+P311)/L311)),"")</x:f>
        <x:v>1.654104</x:v>
      </x:c>
      <x:c r="L161" s="53" t="n">
        <x:f>IF(W311="估算",V311,"")</x:f>
        <x:v>0.0005354305986346667</x:v>
      </x:c>
      <x:c r="M161" s="53" t="n">
        <x:f>IF(W311="估算",E161*V311/60,"")</x:f>
        <x:v>0.00008923843310577779</x:v>
      </x:c>
      <x:c r="N161" s="53" t="n">
        <x:f>IF(W311="估算",V311/60000*1e6,"")</x:f>
        <x:v>0.00892384331057778</x:v>
      </x:c>
      <x:c r="O161" s="2" t="str">
        <x:f>IF(W311="估算","估算；V4.1 规划",W311)</x:f>
        <x:v>估算；V4.1 规划</x:v>
      </x:c>
      <x:c r="P161" s="33" t="n">
        <x:f>Q311</x:f>
        <x:v>64.138752</x:v>
      </x:c>
      <x:c r="Q161" s="2"/>
      <x:c r="R161" s="2"/>
      <x:c r="S161" s="2"/>
      <x:c r="T161" s="2"/>
      <x:c r="U161" s="2"/>
      <x:c r="V161" s="2"/>
      <x:c r="W161" s="2"/>
      <x:c r="X161" s="2"/>
    </x:row>
    <x:row r="162" ht="25" customHeight="1">
      <x:c r="A162" s="2" t="str">
        <x:f>A33</x:f>
        <x:v>DS V4.1 Flash</x:v>
      </x:c>
      <x:c r="B162" s="2" t="n">
        <x:f>B33</x:f>
        <x:v>32</x:v>
      </x:c>
      <x:c r="C162" s="8" t="n">
        <x:f>$B$15</x:f>
        <x:v>16384</x:v>
      </x:c>
      <x:c r="D162" s="2" t="n">
        <x:f>$C$15</x:f>
        <x:v>4</x:v>
      </x:c>
      <x:c r="E162" s="2" t="n">
        <x:f>$F$17</x:f>
        <x:v>20</x:v>
      </x:c>
      <x:c r="F162" s="9" t="n">
        <x:f>IF(A312,60000/L312,"")</x:f>
        <x:v>15</x:v>
      </x:c>
      <x:c r="G162" s="9" t="n">
        <x:f>K312</x:f>
        <x:v>0.02422784</x:v>
      </x:c>
      <x:c r="H162" s="9" t="n">
        <x:f>IF(W312="估算",U312*R312,"")</x:f>
        <x:v>0.8270520000003279</x:v>
      </x:c>
      <x:c r="I162" s="9" t="n">
        <x:f>IF(W312="估算",U312*S312,"")</x:f>
        <x:v>0</x:v>
      </x:c>
      <x:c r="J162" s="9" t="n">
        <x:f>IF(W312="估算",U312*MAX(0,R312-S312),"")</x:f>
        <x:v>0.8270520000003279</x:v>
      </x:c>
      <x:c r="K162" s="9" t="n">
        <x:f>IF(W312="估算",IF(OR(O312=0,K312=0),0,U312*E33*MIN(1,(K312+P312)/L312)),"")</x:f>
        <x:v>0.827052</x:v>
      </x:c>
      <x:c r="L162" s="53" t="n">
        <x:f>IF(W312="估算",V312,"")</x:f>
        <x:v>0.00026771529931733336</x:v>
      </x:c>
      <x:c r="M162" s="53" t="n">
        <x:f>IF(W312="估算",E162*V312/60,"")</x:f>
        <x:v>0.00008923843310577779</x:v>
      </x:c>
      <x:c r="N162" s="53" t="n">
        <x:f>IF(W312="估算",V312/60000*1e6,"")</x:f>
        <x:v>0.00446192165528889</x:v>
      </x:c>
      <x:c r="O162" s="2" t="str">
        <x:f>IF(W312="估算","估算；V4.1 规划",W312)</x:f>
        <x:v>估算；V4.1 规划</x:v>
      </x:c>
      <x:c r="P162" s="33" t="n">
        <x:f>Q312</x:f>
        <x:v>32.069376</x:v>
      </x:c>
      <x:c r="Q162" s="2"/>
      <x:c r="R162" s="2"/>
      <x:c r="S162" s="2"/>
      <x:c r="T162" s="2"/>
      <x:c r="U162" s="2"/>
      <x:c r="V162" s="2"/>
      <x:c r="W162" s="2"/>
      <x:c r="X162" s="2"/>
    </x:row>
    <x:row r="163" ht="25" customHeight="1">
      <x:c r="A163" s="2" t="str">
        <x:f>A33</x:f>
        <x:v>DS V4.1 Flash</x:v>
      </x:c>
      <x:c r="B163" s="2" t="n">
        <x:f>B33</x:f>
        <x:v>32</x:v>
      </x:c>
      <x:c r="C163" s="8" t="n">
        <x:f>$B$15</x:f>
        <x:v>16384</x:v>
      </x:c>
      <x:c r="D163" s="2" t="n">
        <x:f>$C$15</x:f>
        <x:v>4</x:v>
      </x:c>
      <x:c r="E163" s="2" t="n">
        <x:f>$F$18</x:f>
        <x:v>30</x:v>
      </x:c>
      <x:c r="F163" s="9" t="n">
        <x:f>IF(A313,60000/L313,"")</x:f>
        <x:v>15</x:v>
      </x:c>
      <x:c r="G163" s="9" t="n">
        <x:f>K313</x:f>
        <x:v>0.02422784</x:v>
      </x:c>
      <x:c r="H163" s="9" t="n">
        <x:f>IF(W313="估算",U313*R313,"")</x:f>
        <x:v>0.5513680000002186</x:v>
      </x:c>
      <x:c r="I163" s="9" t="n">
        <x:f>IF(W313="估算",U313*S313,"")</x:f>
        <x:v>0</x:v>
      </x:c>
      <x:c r="J163" s="9" t="n">
        <x:f>IF(W313="估算",U313*MAX(0,R313-S313),"")</x:f>
        <x:v>0.5513680000002186</x:v>
      </x:c>
      <x:c r="K163" s="9" t="n">
        <x:f>IF(W313="估算",IF(OR(O313=0,K313=0),0,U313*E33*MIN(1,(K313+P313)/L313)),"")</x:f>
        <x:v>0.551368</x:v>
      </x:c>
      <x:c r="L163" s="53" t="n">
        <x:f>IF(W313="估算",V313,"")</x:f>
        <x:v>0.00017847686621155556</x:v>
      </x:c>
      <x:c r="M163" s="53" t="n">
        <x:f>IF(W313="估算",E163*V313/60,"")</x:f>
        <x:v>0.00008923843310577778</x:v>
      </x:c>
      <x:c r="N163" s="53" t="n">
        <x:f>IF(W313="估算",V313/60000*1e6,"")</x:f>
        <x:v>0.0029746144368592593</x:v>
      </x:c>
      <x:c r="O163" s="2" t="str">
        <x:f>IF(W313="估算","估算；V4.1 规划",W313)</x:f>
        <x:v>估算；V4.1 规划</x:v>
      </x:c>
      <x:c r="P163" s="33" t="n">
        <x:f>Q313</x:f>
        <x:v>21.379584</x:v>
      </x:c>
      <x:c r="Q163" s="2"/>
      <x:c r="R163" s="2"/>
      <x:c r="S163" s="2"/>
      <x:c r="T163" s="2"/>
      <x:c r="U163" s="2"/>
      <x:c r="V163" s="2"/>
      <x:c r="W163" s="2"/>
      <x:c r="X163" s="2"/>
    </x:row>
    <x:row r="164" ht="25" customHeight="1">
      <x:c r="A164" s="2" t="str">
        <x:f>A33</x:f>
        <x:v>DS V4.1 Flash</x:v>
      </x:c>
      <x:c r="B164" s="2" t="n">
        <x:f>B33</x:f>
        <x:v>32</x:v>
      </x:c>
      <x:c r="C164" s="8" t="n">
        <x:f>$B$16</x:f>
        <x:v>262144</x:v>
      </x:c>
      <x:c r="D164" s="2" t="n">
        <x:f>$C$16</x:f>
        <x:v>20</x:v>
      </x:c>
      <x:c r="E164" s="2" t="n">
        <x:f>$F$15</x:f>
        <x:v>5</x:v>
      </x:c>
      <x:c r="F164" s="9" t="n">
        <x:f>IF(A314,60000/L314,"")</x:f>
        <x:v>3</x:v>
      </x:c>
      <x:c r="G164" s="9" t="n">
        <x:f>K314</x:f>
        <x:v>0.31965184</x:v>
      </x:c>
      <x:c r="H164" s="9" t="n">
        <x:f>IF(W314="估算",U314*R314,"")</x:f>
        <x:v>3.11879544000071</x:v>
      </x:c>
      <x:c r="I164" s="9" t="n">
        <x:f>IF(W314="估算",U314*S314,"")</x:f>
        <x:v>0</x:v>
      </x:c>
      <x:c r="J164" s="9" t="n">
        <x:f>IF(W314="估算",U314*MAX(0,R314-S314),"")</x:f>
        <x:v>3.11879544000071</x:v>
      </x:c>
      <x:c r="K164" s="9" t="n">
        <x:f>IF(W314="估算",IF(OR(O314=0,K314=0),0,U314*E33*MIN(1,(K314+P314)/L314)),"")</x:f>
        <x:v>7.7518176</x:v>
      </x:c>
      <x:c r="L164" s="53" t="n">
        <x:f>IF(W314="估算",V314,"")</x:f>
        <x:v>0.0028458564992938674</x:v>
      </x:c>
      <x:c r="M164" s="53" t="n">
        <x:f>IF(W314="估算",E164*V314/60,"")</x:f>
        <x:v>0.00023715470827448894</x:v>
      </x:c>
      <x:c r="N164" s="53" t="n">
        <x:f>IF(W314="估算",V314/60000*1e6,"")</x:f>
        <x:v>0.04743094165489779</x:v>
      </x:c>
      <x:c r="O164" s="2" t="str">
        <x:f>IF(W314="估算","估算；V4.1 规划",W314)</x:f>
        <x:v>估算；V4.1 规划</x:v>
      </x:c>
      <x:c r="P164" s="33" t="n">
        <x:f>Q314</x:f>
        <x:v>128.277504</x:v>
      </x:c>
      <x:c r="Q164" s="2"/>
      <x:c r="R164" s="2"/>
      <x:c r="S164" s="2"/>
      <x:c r="T164" s="2"/>
      <x:c r="U164" s="2"/>
      <x:c r="V164" s="2"/>
      <x:c r="W164" s="2"/>
      <x:c r="X164" s="2"/>
    </x:row>
    <x:row r="165" ht="25" customHeight="1">
      <x:c r="A165" s="2" t="str">
        <x:f>A33</x:f>
        <x:v>DS V4.1 Flash</x:v>
      </x:c>
      <x:c r="B165" s="2" t="n">
        <x:f>B33</x:f>
        <x:v>32</x:v>
      </x:c>
      <x:c r="C165" s="8" t="n">
        <x:f>$B$16</x:f>
        <x:v>262144</x:v>
      </x:c>
      <x:c r="D165" s="2" t="n">
        <x:f>$C$16</x:f>
        <x:v>20</x:v>
      </x:c>
      <x:c r="E165" s="2" t="n">
        <x:f>$F$16</x:f>
        <x:v>10</x:v>
      </x:c>
      <x:c r="F165" s="9" t="n">
        <x:f>IF(A315,60000/L315,"")</x:f>
        <x:v>3</x:v>
      </x:c>
      <x:c r="G165" s="9" t="n">
        <x:f>K315</x:f>
        <x:v>0.31965184</x:v>
      </x:c>
      <x:c r="H165" s="9" t="n">
        <x:f>IF(W315="估算",U315*R315,"")</x:f>
        <x:v>3.0218977200002772</x:v>
      </x:c>
      <x:c r="I165" s="9" t="n">
        <x:f>IF(W315="估算",U315*S315,"")</x:f>
        <x:v>0</x:v>
      </x:c>
      <x:c r="J165" s="9" t="n">
        <x:f>IF(W315="估算",U315*MAX(0,R315-S315),"")</x:f>
        <x:v>3.0218977200002772</x:v>
      </x:c>
      <x:c r="K165" s="9" t="n">
        <x:f>IF(W315="估算",IF(OR(O315=0,K315=0),0,U315*E33*MIN(1,(K315+P315)/L315)),"")</x:f>
        <x:v>3.8759088</x:v>
      </x:c>
      <x:c r="L165" s="53" t="n">
        <x:f>IF(W315="估算",V315,"")</x:f>
        <x:v>0.0014229282496469337</x:v>
      </x:c>
      <x:c r="M165" s="53" t="n">
        <x:f>IF(W315="估算",E165*V315/60,"")</x:f>
        <x:v>0.00023715470827448894</x:v>
      </x:c>
      <x:c r="N165" s="53" t="n">
        <x:f>IF(W315="估算",V315/60000*1e6,"")</x:f>
        <x:v>0.023715470827448897</x:v>
      </x:c>
      <x:c r="O165" s="2" t="str">
        <x:f>IF(W315="估算","估算；V4.1 规划",W315)</x:f>
        <x:v>估算；V4.1 规划</x:v>
      </x:c>
      <x:c r="P165" s="33" t="n">
        <x:f>Q315</x:f>
        <x:v>64.138752</x:v>
      </x:c>
      <x:c r="Q165" s="2"/>
      <x:c r="R165" s="2"/>
      <x:c r="S165" s="2"/>
      <x:c r="T165" s="2"/>
      <x:c r="U165" s="2"/>
      <x:c r="V165" s="2"/>
      <x:c r="W165" s="2"/>
      <x:c r="X165" s="2"/>
    </x:row>
    <x:row r="166" ht="25" customHeight="1">
      <x:c r="A166" s="2" t="str">
        <x:f>A33</x:f>
        <x:v>DS V4.1 Flash</x:v>
      </x:c>
      <x:c r="B166" s="2" t="n">
        <x:f>B33</x:f>
        <x:v>32</x:v>
      </x:c>
      <x:c r="C166" s="8" t="n">
        <x:f>$B$16</x:f>
        <x:v>262144</x:v>
      </x:c>
      <x:c r="D166" s="2" t="n">
        <x:f>$C$16</x:f>
        <x:v>20</x:v>
      </x:c>
      <x:c r="E166" s="2" t="n">
        <x:f>$F$17</x:f>
        <x:v>20</x:v>
      </x:c>
      <x:c r="F166" s="9" t="n">
        <x:f>IF(A316,60000/L316,"")</x:f>
        <x:v>3</x:v>
      </x:c>
      <x:c r="G166" s="9" t="n">
        <x:f>K316</x:f>
        <x:v>0.31965184</x:v>
      </x:c>
      <x:c r="H166" s="9" t="n">
        <x:f>IF(W316="估算",U316*R316,"")</x:f>
        <x:v>1.937954399999997</x:v>
      </x:c>
      <x:c r="I166" s="9" t="n">
        <x:f>IF(W316="估算",U316*S316,"")</x:f>
        <x:v>0</x:v>
      </x:c>
      <x:c r="J166" s="9" t="n">
        <x:f>IF(W316="估算",U316*MAX(0,R316-S316),"")</x:f>
        <x:v>1.937954399999997</x:v>
      </x:c>
      <x:c r="K166" s="9" t="n">
        <x:f>IF(W316="估算",IF(OR(O316=0,K316=0),0,U316*E33*MIN(1,(K316+P316)/L316)),"")</x:f>
        <x:v>1.9379544</x:v>
      </x:c>
      <x:c r="L166" s="53" t="n">
        <x:f>IF(W316="估算",V316,"")</x:f>
        <x:v>0.0007114641248234669</x:v>
      </x:c>
      <x:c r="M166" s="53" t="n">
        <x:f>IF(W316="估算",E166*V316/60,"")</x:f>
        <x:v>0.00023715470827448894</x:v>
      </x:c>
      <x:c r="N166" s="53" t="n">
        <x:f>IF(W316="估算",V316/60000*1e6,"")</x:f>
        <x:v>0.011857735413724448</x:v>
      </x:c>
      <x:c r="O166" s="2" t="str">
        <x:f>IF(W316="估算","估算；V4.1 规划",W316)</x:f>
        <x:v>估算；V4.1 规划</x:v>
      </x:c>
      <x:c r="P166" s="33" t="n">
        <x:f>Q316</x:f>
        <x:v>32.069376</x:v>
      </x:c>
      <x:c r="Q166" s="2"/>
      <x:c r="R166" s="2"/>
      <x:c r="S166" s="2"/>
      <x:c r="T166" s="2"/>
      <x:c r="U166" s="2"/>
      <x:c r="V166" s="2"/>
      <x:c r="W166" s="2"/>
      <x:c r="X166" s="2"/>
    </x:row>
    <x:row r="167" ht="25" customHeight="1">
      <x:c r="A167" s="2" t="str">
        <x:f>A33</x:f>
        <x:v>DS V4.1 Flash</x:v>
      </x:c>
      <x:c r="B167" s="2" t="n">
        <x:f>B33</x:f>
        <x:v>32</x:v>
      </x:c>
      <x:c r="C167" s="8" t="n">
        <x:f>$B$16</x:f>
        <x:v>262144</x:v>
      </x:c>
      <x:c r="D167" s="2" t="n">
        <x:f>$C$16</x:f>
        <x:v>20</x:v>
      </x:c>
      <x:c r="E167" s="2" t="n">
        <x:f>$F$18</x:f>
        <x:v>30</x:v>
      </x:c>
      <x:c r="F167" s="9" t="n">
        <x:f>IF(A317,60000/L317,"")</x:f>
        <x:v>3</x:v>
      </x:c>
      <x:c r="G167" s="9" t="n">
        <x:f>K317</x:f>
        <x:v>0.31965184</x:v>
      </x:c>
      <x:c r="H167" s="9" t="n">
        <x:f>IF(W317="估算",U317*R317,"")</x:f>
        <x:v>1.291969599999998</x:v>
      </x:c>
      <x:c r="I167" s="9" t="n">
        <x:f>IF(W317="估算",U317*S317,"")</x:f>
        <x:v>0</x:v>
      </x:c>
      <x:c r="J167" s="9" t="n">
        <x:f>IF(W317="估算",U317*MAX(0,R317-S317),"")</x:f>
        <x:v>1.291969599999998</x:v>
      </x:c>
      <x:c r="K167" s="9" t="n">
        <x:f>IF(W317="估算",IF(OR(O317=0,K317=0),0,U317*E33*MIN(1,(K317+P317)/L317)),"")</x:f>
        <x:v>1.2919696</x:v>
      </x:c>
      <x:c r="L167" s="53" t="n">
        <x:f>IF(W317="估算",V317,"")</x:f>
        <x:v>0.0004743094165489779</x:v>
      </x:c>
      <x:c r="M167" s="53" t="n">
        <x:f>IF(W317="估算",E167*V317/60,"")</x:f>
        <x:v>0.00023715470827448894</x:v>
      </x:c>
      <x:c r="N167" s="53" t="n">
        <x:f>IF(W317="估算",V317/60000*1e6,"")</x:f>
        <x:v>0.007905156942482965</x:v>
      </x:c>
      <x:c r="O167" s="2" t="str">
        <x:f>IF(W317="估算","估算；V4.1 规划",W317)</x:f>
        <x:v>估算；V4.1 规划</x:v>
      </x:c>
      <x:c r="P167" s="33" t="n">
        <x:f>Q317</x:f>
        <x:v>21.379584</x:v>
      </x:c>
      <x:c r="Q167" s="2"/>
      <x:c r="R167" s="2"/>
      <x:c r="S167" s="2"/>
      <x:c r="T167" s="2"/>
      <x:c r="U167" s="2"/>
      <x:c r="V167" s="2"/>
      <x:c r="W167" s="2"/>
      <x:c r="X167" s="2"/>
    </x:row>
    <x:row r="168" ht="25" customHeight="1">
      <x:c r="A168" s="2" t="str">
        <x:f>A33</x:f>
        <x:v>DS V4.1 Flash</x:v>
      </x:c>
      <x:c r="B168" s="2" t="n">
        <x:f>B33</x:f>
        <x:v>32</x:v>
      </x:c>
      <x:c r="C168" s="8" t="n">
        <x:f>$B$17</x:f>
        <x:v>1048576</x:v>
      </x:c>
      <x:c r="D168" s="2" t="n">
        <x:f>$C$17</x:f>
        <x:v>60</x:v>
      </x:c>
      <x:c r="E168" s="2" t="n">
        <x:f>$F$15</x:f>
        <x:v>5</x:v>
      </x:c>
      <x:c r="F168" s="9" t="n">
        <x:f>IF(A318,60000/L318,"")</x:f>
        <x:v>1</x:v>
      </x:c>
      <x:c r="G168" s="9" t="n">
        <x:f>K318</x:f>
        <x:v>1.26500864</x:v>
      </x:c>
      <x:c r="H168" s="9" t="n">
        <x:f>IF(W318="估算",U318*R318,"")</x:f>
        <x:v>1.2286698400005847</x:v>
      </x:c>
      <x:c r="I168" s="9" t="n">
        <x:f>IF(W318="估算",U318*S318,"")</x:f>
        <x:v>0</x:v>
      </x:c>
      <x:c r="J168" s="9" t="n">
        <x:f>IF(W318="估算",U318*MAX(0,R318-S318),"")</x:f>
        <x:v>1.2286698400005847</x:v>
      </x:c>
      <x:c r="K168" s="9" t="n">
        <x:f>IF(W318="估算",IF(OR(O318=0,K318=0),0,U318*E33*MIN(1,(K318+P318)/L318)),"")</x:f>
        <x:v>10.1467936</x:v>
      </x:c>
      <x:c r="L168" s="53" t="n">
        <x:f>IF(W318="估算",V318,"")</x:f>
        <x:v>0.003755748710260623</x:v>
      </x:c>
      <x:c r="M168" s="53" t="n">
        <x:f>IF(W318="估算",E168*V318/60,"")</x:f>
        <x:v>0.00031297905918838527</x:v>
      </x:c>
      <x:c r="N168" s="53" t="n">
        <x:f>IF(W318="估算",V318/60000*1e6,"")</x:f>
        <x:v>0.06259581183767705</x:v>
      </x:c>
      <x:c r="O168" s="2" t="str">
        <x:f>IF(W318="估算","估算；V4.1 规划",W318)</x:f>
        <x:v>估算；V4.1 规划</x:v>
      </x:c>
      <x:c r="P168" s="33" t="n">
        <x:f>Q318</x:f>
        <x:v>128.277504</x:v>
      </x:c>
      <x:c r="Q168" s="2"/>
      <x:c r="R168" s="2"/>
      <x:c r="S168" s="2"/>
      <x:c r="T168" s="2"/>
      <x:c r="U168" s="2"/>
      <x:c r="V168" s="2"/>
      <x:c r="W168" s="2"/>
      <x:c r="X168" s="2"/>
    </x:row>
    <x:row r="169" ht="25" customHeight="1">
      <x:c r="A169" s="2" t="str">
        <x:f>A33</x:f>
        <x:v>DS V4.1 Flash</x:v>
      </x:c>
      <x:c r="B169" s="2" t="n">
        <x:f>B33</x:f>
        <x:v>32</x:v>
      </x:c>
      <x:c r="C169" s="8" t="n">
        <x:f>$B$17</x:f>
        <x:v>1048576</x:v>
      </x:c>
      <x:c r="D169" s="2" t="n">
        <x:f>$C$17</x:f>
        <x:v>60</x:v>
      </x:c>
      <x:c r="E169" s="2" t="n">
        <x:f>$F$16</x:f>
        <x:v>10</x:v>
      </x:c>
      <x:c r="F169" s="9" t="n">
        <x:f>IF(A319,60000/L319,"")</x:f>
        <x:v>1</x:v>
      </x:c>
      <x:c r="G169" s="9" t="n">
        <x:f>K319</x:f>
        <x:v>1.26500864</x:v>
      </x:c>
      <x:c r="H169" s="9" t="n">
        <x:f>IF(W319="估算",U319*R319,"")</x:f>
        <x:v>1.1018349199998223</x:v>
      </x:c>
      <x:c r="I169" s="9" t="n">
        <x:f>IF(W319="估算",U319*S319,"")</x:f>
        <x:v>0</x:v>
      </x:c>
      <x:c r="J169" s="9" t="n">
        <x:f>IF(W319="估算",U319*MAX(0,R319-S319),"")</x:f>
        <x:v>1.1018349199998223</x:v>
      </x:c>
      <x:c r="K169" s="9" t="n">
        <x:f>IF(W319="估算",IF(OR(O319=0,K319=0),0,U319*E33*MIN(1,(K319+P319)/L319)),"")</x:f>
        <x:v>5.0733968</x:v>
      </x:c>
      <x:c r="L169" s="53" t="n">
        <x:f>IF(W319="估算",V319,"")</x:f>
        <x:v>0.0018778743551303115</x:v>
      </x:c>
      <x:c r="M169" s="53" t="n">
        <x:f>IF(W319="估算",E169*V319/60,"")</x:f>
        <x:v>0.00031297905918838527</x:v>
      </x:c>
      <x:c r="N169" s="53" t="n">
        <x:f>IF(W319="估算",V319/60000*1e6,"")</x:f>
        <x:v>0.03129790591883853</x:v>
      </x:c>
      <x:c r="O169" s="2" t="str">
        <x:f>IF(W319="估算","估算；V4.1 规划",W319)</x:f>
        <x:v>估算；V4.1 规划</x:v>
      </x:c>
      <x:c r="P169" s="33" t="n">
        <x:f>Q319</x:f>
        <x:v>64.138752</x:v>
      </x:c>
      <x:c r="Q169" s="2"/>
      <x:c r="R169" s="2"/>
      <x:c r="S169" s="2"/>
      <x:c r="T169" s="2"/>
      <x:c r="U169" s="2"/>
      <x:c r="V169" s="2"/>
      <x:c r="W169" s="2"/>
      <x:c r="X169" s="2"/>
    </x:row>
    <x:row r="170" ht="25" customHeight="1">
      <x:c r="A170" s="2" t="str">
        <x:f>A33</x:f>
        <x:v>DS V4.1 Flash</x:v>
      </x:c>
      <x:c r="B170" s="2" t="n">
        <x:f>B33</x:f>
        <x:v>32</x:v>
      </x:c>
      <x:c r="C170" s="8" t="n">
        <x:f>$B$17</x:f>
        <x:v>1048576</x:v>
      </x:c>
      <x:c r="D170" s="2" t="n">
        <x:f>$C$17</x:f>
        <x:v>60</x:v>
      </x:c>
      <x:c r="E170" s="2" t="n">
        <x:f>$F$17</x:f>
        <x:v>20</x:v>
      </x:c>
      <x:c r="F170" s="9" t="n">
        <x:f>IF(A320,60000/L320,"")</x:f>
        <x:v>1</x:v>
      </x:c>
      <x:c r="G170" s="9" t="n">
        <x:f>K320</x:f>
        <x:v>1.26500864</x:v>
      </x:c>
      <x:c r="H170" s="9" t="n">
        <x:f>IF(W320="估算",U320*R320,"")</x:f>
        <x:v>1.0384174600001073</x:v>
      </x:c>
      <x:c r="I170" s="9" t="n">
        <x:f>IF(W320="估算",U320*S320,"")</x:f>
        <x:v>0</x:v>
      </x:c>
      <x:c r="J170" s="9" t="n">
        <x:f>IF(W320="估算",U320*MAX(0,R320-S320),"")</x:f>
        <x:v>1.0384174600001073</x:v>
      </x:c>
      <x:c r="K170" s="9" t="n">
        <x:f>IF(W320="估算",IF(OR(O320=0,K320=0),0,U320*E33*MIN(1,(K320+P320)/L320)),"")</x:f>
        <x:v>2.5366984</x:v>
      </x:c>
      <x:c r="L170" s="53" t="n">
        <x:f>IF(W320="估算",V320,"")</x:f>
        <x:v>0.0009389371775651558</x:v>
      </x:c>
      <x:c r="M170" s="53" t="n">
        <x:f>IF(W320="估算",E170*V320/60,"")</x:f>
        <x:v>0.00031297905918838527</x:v>
      </x:c>
      <x:c r="N170" s="53" t="n">
        <x:f>IF(W320="估算",V320/60000*1e6,"")</x:f>
        <x:v>0.015648952959419263</x:v>
      </x:c>
      <x:c r="O170" s="2" t="str">
        <x:f>IF(W320="估算","估算；V4.1 规划",W320)</x:f>
        <x:v>估算；V4.1 规划</x:v>
      </x:c>
      <x:c r="P170" s="33" t="n">
        <x:f>Q320</x:f>
        <x:v>32.069376</x:v>
      </x:c>
      <x:c r="Q170" s="2"/>
      <x:c r="R170" s="2"/>
      <x:c r="S170" s="2"/>
      <x:c r="T170" s="2"/>
      <x:c r="U170" s="2"/>
      <x:c r="V170" s="2"/>
      <x:c r="W170" s="2"/>
      <x:c r="X170" s="2"/>
    </x:row>
    <x:row r="171" ht="25" customHeight="1">
      <x:c r="A171" s="2" t="str">
        <x:f>A33</x:f>
        <x:v>DS V4.1 Flash</x:v>
      </x:c>
      <x:c r="B171" s="2" t="n">
        <x:f>B33</x:f>
        <x:v>32</x:v>
      </x:c>
      <x:c r="C171" s="8" t="n">
        <x:f>$B$17</x:f>
        <x:v>1048576</x:v>
      </x:c>
      <x:c r="D171" s="2" t="n">
        <x:f>$C$17</x:f>
        <x:v>60</x:v>
      </x:c>
      <x:c r="E171" s="2" t="n">
        <x:f>$F$18</x:f>
        <x:v>30</x:v>
      </x:c>
      <x:c r="F171" s="9" t="n">
        <x:f>IF(A321,60000/L321,"")</x:f>
        <x:v>1</x:v>
      </x:c>
      <x:c r="G171" s="9" t="n">
        <x:f>K321</x:f>
        <x:v>1.26500864</x:v>
      </x:c>
      <x:c r="H171" s="9" t="n">
        <x:f>IF(W321="估算",U321*R321,"")</x:f>
        <x:v>1.0172783066666469</x:v>
      </x:c>
      <x:c r="I171" s="9" t="n">
        <x:f>IF(W321="估算",U321*S321,"")</x:f>
        <x:v>0</x:v>
      </x:c>
      <x:c r="J171" s="9" t="n">
        <x:f>IF(W321="估算",U321*MAX(0,R321-S321),"")</x:f>
        <x:v>1.0172783066666469</x:v>
      </x:c>
      <x:c r="K171" s="9" t="n">
        <x:f>IF(W321="估算",IF(OR(O321=0,K321=0),0,U321*E33*MIN(1,(K321+P321)/L321)),"")</x:f>
        <x:v>1.6911322666666666</x:v>
      </x:c>
      <x:c r="L171" s="53" t="n">
        <x:f>IF(W321="估算",V321,"")</x:f>
        <x:v>0.0006259581183767704</x:v>
      </x:c>
      <x:c r="M171" s="53" t="n">
        <x:f>IF(W321="估算",E171*V321/60,"")</x:f>
        <x:v>0.00031297905918838527</x:v>
      </x:c>
      <x:c r="N171" s="53" t="n">
        <x:f>IF(W321="估算",V321/60000*1e6,"")</x:f>
        <x:v>0.010432635306279508</x:v>
      </x:c>
      <x:c r="O171" s="2" t="str">
        <x:f>IF(W321="估算","估算；V4.1 规划",W321)</x:f>
        <x:v>估算；V4.1 规划</x:v>
      </x:c>
      <x:c r="P171" s="33" t="n">
        <x:f>Q321</x:f>
        <x:v>21.379584</x:v>
      </x:c>
      <x:c r="Q171" s="2"/>
      <x:c r="R171" s="2"/>
      <x:c r="S171" s="2"/>
      <x:c r="T171" s="2"/>
      <x:c r="U171" s="2"/>
      <x:c r="V171" s="2"/>
      <x:c r="W171" s="2"/>
      <x:c r="X171" s="2"/>
    </x:row>
    <x:row r="172" ht="25" customHeight="1">
      <x:c r="A172" s="2" t="str">
        <x:f>A34</x:f>
        <x:v>DS V4.1 Flash</x:v>
      </x:c>
      <x:c r="B172" s="2" t="n">
        <x:f>B34</x:f>
        <x:v>256</x:v>
      </x:c>
      <x:c r="C172" s="8" t="n">
        <x:f>$B$15</x:f>
        <x:v>16384</x:v>
      </x:c>
      <x:c r="D172" s="2" t="n">
        <x:f>$C$15</x:f>
        <x:v>4</x:v>
      </x:c>
      <x:c r="E172" s="2" t="n">
        <x:f>$F$15</x:f>
        <x:v>5</x:v>
      </x:c>
      <x:c r="F172" s="9" t="n">
        <x:f>IF(A322,60000/L322,"")</x:f>
        <x:v>15</x:v>
      </x:c>
      <x:c r="G172" s="9" t="n">
        <x:f>K322</x:f>
        <x:v>0.02422784</x:v>
      </x:c>
      <x:c r="H172" s="9" t="n">
        <x:f>IF(W322="估算",U322*R322,"")</x:f>
        <x:v>3.3196248000000317</x:v>
      </x:c>
      <x:c r="I172" s="9" t="n">
        <x:f>IF(W322="估算",U322*S322,"")</x:f>
        <x:v>0</x:v>
      </x:c>
      <x:c r="J172" s="9" t="n">
        <x:f>IF(W322="估算",U322*MAX(0,R322-S322),"")</x:f>
        <x:v>3.3196248000000317</x:v>
      </x:c>
      <x:c r="K172" s="9" t="n">
        <x:f>IF(W322="估算",IF(OR(O322=0,K322=0),0,U322*E34*MIN(1,(K322+P322)/L322)),"")</x:f>
        <x:v>3.3196248</x:v>
      </x:c>
      <x:c r="L172" s="53" t="n">
        <x:f>IF(W322="估算",V322,"")</x:f>
        <x:v>0.0011011174692548149</x:v>
      </x:c>
      <x:c r="M172" s="53" t="n">
        <x:f>IF(W322="估算",E172*V322/60,"")</x:f>
        <x:v>0.00009175978910456792</x:v>
      </x:c>
      <x:c r="N172" s="53" t="n">
        <x:f>IF(W322="估算",V322/60000*1e6,"")</x:f>
        <x:v>0.018351957820913582</x:v>
      </x:c>
      <x:c r="O172" s="2" t="str">
        <x:f>IF(W322="估算","估算；V4.1 规划",W322)</x:f>
        <x:v>估算；V4.1 规划</x:v>
      </x:c>
      <x:c r="P172" s="33" t="n">
        <x:f>Q322</x:f>
        <x:v>131.93088</x:v>
      </x:c>
      <x:c r="Q172" s="2"/>
      <x:c r="R172" s="2"/>
      <x:c r="S172" s="2"/>
      <x:c r="T172" s="2"/>
      <x:c r="U172" s="2"/>
      <x:c r="V172" s="2"/>
      <x:c r="W172" s="2"/>
      <x:c r="X172" s="2"/>
    </x:row>
    <x:row r="173" ht="25" customHeight="1">
      <x:c r="A173" s="2" t="str">
        <x:f>A34</x:f>
        <x:v>DS V4.1 Flash</x:v>
      </x:c>
      <x:c r="B173" s="2" t="n">
        <x:f>B34</x:f>
        <x:v>256</x:v>
      </x:c>
      <x:c r="C173" s="8" t="n">
        <x:f>$B$15</x:f>
        <x:v>16384</x:v>
      </x:c>
      <x:c r="D173" s="2" t="n">
        <x:f>$C$15</x:f>
        <x:v>4</x:v>
      </x:c>
      <x:c r="E173" s="2" t="n">
        <x:f>$F$16</x:f>
        <x:v>10</x:v>
      </x:c>
      <x:c r="F173" s="9" t="n">
        <x:f>IF(A323,60000/L323,"")</x:f>
        <x:v>15</x:v>
      </x:c>
      <x:c r="G173" s="9" t="n">
        <x:f>K323</x:f>
        <x:v>0.02422784</x:v>
      </x:c>
      <x:c r="H173" s="9" t="n">
        <x:f>IF(W323="估算",U323*R323,"")</x:f>
        <x:v>1.6598124000000158</x:v>
      </x:c>
      <x:c r="I173" s="9" t="n">
        <x:f>IF(W323="估算",U323*S323,"")</x:f>
        <x:v>0</x:v>
      </x:c>
      <x:c r="J173" s="9" t="n">
        <x:f>IF(W323="估算",U323*MAX(0,R323-S323),"")</x:f>
        <x:v>1.6598124000000158</x:v>
      </x:c>
      <x:c r="K173" s="9" t="n">
        <x:f>IF(W323="估算",IF(OR(O323=0,K323=0),0,U323*E34*MIN(1,(K323+P323)/L323)),"")</x:f>
        <x:v>1.6598124</x:v>
      </x:c>
      <x:c r="L173" s="53" t="n">
        <x:f>IF(W323="估算",V323,"")</x:f>
        <x:v>0.0005505587346274074</x:v>
      </x:c>
      <x:c r="M173" s="53" t="n">
        <x:f>IF(W323="估算",E173*V323/60,"")</x:f>
        <x:v>0.00009175978910456792</x:v>
      </x:c>
      <x:c r="N173" s="53" t="n">
        <x:f>IF(W323="估算",V323/60000*1e6,"")</x:f>
        <x:v>0.009175978910456791</x:v>
      </x:c>
      <x:c r="O173" s="2" t="str">
        <x:f>IF(W323="估算","估算；V4.1 规划",W323)</x:f>
        <x:v>估算；V4.1 规划</x:v>
      </x:c>
      <x:c r="P173" s="33" t="n">
        <x:f>Q323</x:f>
        <x:v>65.96544</x:v>
      </x:c>
      <x:c r="Q173" s="2"/>
      <x:c r="R173" s="2"/>
      <x:c r="S173" s="2"/>
      <x:c r="T173" s="2"/>
      <x:c r="U173" s="2"/>
      <x:c r="V173" s="2"/>
      <x:c r="W173" s="2"/>
      <x:c r="X173" s="2"/>
    </x:row>
    <x:row r="174" ht="25" customHeight="1">
      <x:c r="A174" s="2" t="str">
        <x:f>A34</x:f>
        <x:v>DS V4.1 Flash</x:v>
      </x:c>
      <x:c r="B174" s="2" t="n">
        <x:f>B34</x:f>
        <x:v>256</x:v>
      </x:c>
      <x:c r="C174" s="8" t="n">
        <x:f>$B$15</x:f>
        <x:v>16384</x:v>
      </x:c>
      <x:c r="D174" s="2" t="n">
        <x:f>$C$15</x:f>
        <x:v>4</x:v>
      </x:c>
      <x:c r="E174" s="2" t="n">
        <x:f>$F$17</x:f>
        <x:v>20</x:v>
      </x:c>
      <x:c r="F174" s="9" t="n">
        <x:f>IF(A324,60000/L324,"")</x:f>
        <x:v>15</x:v>
      </x:c>
      <x:c r="G174" s="9" t="n">
        <x:f>K324</x:f>
        <x:v>0.02422784</x:v>
      </x:c>
      <x:c r="H174" s="9" t="n">
        <x:f>IF(W324="估算",U324*R324,"")</x:f>
        <x:v>0.8299062000000079</x:v>
      </x:c>
      <x:c r="I174" s="9" t="n">
        <x:f>IF(W324="估算",U324*S324,"")</x:f>
        <x:v>0</x:v>
      </x:c>
      <x:c r="J174" s="9" t="n">
        <x:f>IF(W324="估算",U324*MAX(0,R324-S324),"")</x:f>
        <x:v>0.8299062000000079</x:v>
      </x:c>
      <x:c r="K174" s="9" t="n">
        <x:f>IF(W324="估算",IF(OR(O324=0,K324=0),0,U324*E34*MIN(1,(K324+P324)/L324)),"")</x:f>
        <x:v>0.8299062</x:v>
      </x:c>
      <x:c r="L174" s="53" t="n">
        <x:f>IF(W324="估算",V324,"")</x:f>
        <x:v>0.0002752793673137037</x:v>
      </x:c>
      <x:c r="M174" s="53" t="n">
        <x:f>IF(W324="估算",E174*V324/60,"")</x:f>
        <x:v>0.00009175978910456792</x:v>
      </x:c>
      <x:c r="N174" s="53" t="n">
        <x:f>IF(W324="估算",V324/60000*1e6,"")</x:f>
        <x:v>0.0045879894552283956</x:v>
      </x:c>
      <x:c r="O174" s="2" t="str">
        <x:f>IF(W324="估算","估算；V4.1 规划",W324)</x:f>
        <x:v>估算；V4.1 规划</x:v>
      </x:c>
      <x:c r="P174" s="33" t="n">
        <x:f>Q324</x:f>
        <x:v>32.98272</x:v>
      </x:c>
      <x:c r="Q174" s="2"/>
      <x:c r="R174" s="2"/>
      <x:c r="S174" s="2"/>
      <x:c r="T174" s="2"/>
      <x:c r="U174" s="2"/>
      <x:c r="V174" s="2"/>
      <x:c r="W174" s="2"/>
      <x:c r="X174" s="2"/>
    </x:row>
    <x:row r="175" ht="25" customHeight="1">
      <x:c r="A175" s="2" t="str">
        <x:f>A34</x:f>
        <x:v>DS V4.1 Flash</x:v>
      </x:c>
      <x:c r="B175" s="2" t="n">
        <x:f>B34</x:f>
        <x:v>256</x:v>
      </x:c>
      <x:c r="C175" s="8" t="n">
        <x:f>$B$15</x:f>
        <x:v>16384</x:v>
      </x:c>
      <x:c r="D175" s="2" t="n">
        <x:f>$C$15</x:f>
        <x:v>4</x:v>
      </x:c>
      <x:c r="E175" s="2" t="n">
        <x:f>$F$18</x:f>
        <x:v>30</x:v>
      </x:c>
      <x:c r="F175" s="9" t="n">
        <x:f>IF(A325,60000/L325,"")</x:f>
        <x:v>15</x:v>
      </x:c>
      <x:c r="G175" s="9" t="n">
        <x:f>K325</x:f>
        <x:v>0.02422784</x:v>
      </x:c>
      <x:c r="H175" s="9" t="n">
        <x:f>IF(W325="估算",U325*R325,"")</x:f>
        <x:v>0.5532708000000053</x:v>
      </x:c>
      <x:c r="I175" s="9" t="n">
        <x:f>IF(W325="估算",U325*S325,"")</x:f>
        <x:v>0</x:v>
      </x:c>
      <x:c r="J175" s="9" t="n">
        <x:f>IF(W325="估算",U325*MAX(0,R325-S325),"")</x:f>
        <x:v>0.5532708000000053</x:v>
      </x:c>
      <x:c r="K175" s="9" t="n">
        <x:f>IF(W325="估算",IF(OR(O325=0,K325=0),0,U325*E34*MIN(1,(K325+P325)/L325)),"")</x:f>
        <x:v>0.5532708</x:v>
      </x:c>
      <x:c r="L175" s="53" t="n">
        <x:f>IF(W325="估算",V325,"")</x:f>
        <x:v>0.0001835195782091358</x:v>
      </x:c>
      <x:c r="M175" s="53" t="n">
        <x:f>IF(W325="估算",E175*V325/60,"")</x:f>
        <x:v>0.0000917597891045679</x:v>
      </x:c>
      <x:c r="N175" s="53" t="n">
        <x:f>IF(W325="估算",V325/60000*1e6,"")</x:f>
        <x:v>0.00305865963681893</x:v>
      </x:c>
      <x:c r="O175" s="2" t="str">
        <x:f>IF(W325="估算","估算；V4.1 规划",W325)</x:f>
        <x:v>估算；V4.1 规划</x:v>
      </x:c>
      <x:c r="P175" s="33" t="n">
        <x:f>Q325</x:f>
        <x:v>21.98848</x:v>
      </x:c>
      <x:c r="Q175" s="2"/>
      <x:c r="R175" s="2"/>
      <x:c r="S175" s="2"/>
      <x:c r="T175" s="2"/>
      <x:c r="U175" s="2"/>
      <x:c r="V175" s="2"/>
      <x:c r="W175" s="2"/>
      <x:c r="X175" s="2"/>
    </x:row>
    <x:row r="176" ht="25" customHeight="1">
      <x:c r="A176" s="2" t="str">
        <x:f>A34</x:f>
        <x:v>DS V4.1 Flash</x:v>
      </x:c>
      <x:c r="B176" s="2" t="n">
        <x:f>B34</x:f>
        <x:v>256</x:v>
      </x:c>
      <x:c r="C176" s="8" t="n">
        <x:f>$B$16</x:f>
        <x:v>262144</x:v>
      </x:c>
      <x:c r="D176" s="2" t="n">
        <x:f>$C$16</x:f>
        <x:v>20</x:v>
      </x:c>
      <x:c r="E176" s="2" t="n">
        <x:f>$F$15</x:f>
        <x:v>5</x:v>
      </x:c>
      <x:c r="F176" s="9" t="n">
        <x:f>IF(A326,60000/L326,"")</x:f>
        <x:v>3</x:v>
      </x:c>
      <x:c r="G176" s="9" t="n">
        <x:f>K326</x:f>
        <x:v>0.31965184</x:v>
      </x:c>
      <x:c r="H176" s="9" t="n">
        <x:f>IF(W326="估算",U326*R326,"")</x:f>
        <x:v>3.1188525240009035</x:v>
      </x:c>
      <x:c r="I176" s="9" t="n">
        <x:f>IF(W326="估算",U326*S326,"")</x:f>
        <x:v>0</x:v>
      </x:c>
      <x:c r="J176" s="9" t="n">
        <x:f>IF(W326="估算",U326*MAX(0,R326-S326),"")</x:f>
        <x:v>3.1188525240009035</x:v>
      </x:c>
      <x:c r="K176" s="9" t="n">
        <x:f>IF(W326="估算",IF(OR(O326=0,K326=0),0,U326*E34*MIN(1,(K326+P326)/L326)),"")</x:f>
        <x:v>7.75410096</x:v>
      </x:c>
      <x:c r="L176" s="53" t="n">
        <x:f>IF(W326="估算",V326,"")</x:f>
        <x:v>0.002926858791984297</x:v>
      </x:c>
      <x:c r="M176" s="53" t="n">
        <x:f>IF(W326="估算",E176*V326/60,"")</x:f>
        <x:v>0.00024390489933202473</x:v>
      </x:c>
      <x:c r="N176" s="53" t="n">
        <x:f>IF(W326="估算",V326/60000*1e6,"")</x:f>
        <x:v>0.04878097986640494</x:v>
      </x:c>
      <x:c r="O176" s="2" t="str">
        <x:f>IF(W326="估算","估算；V4.1 规划",W326)</x:f>
        <x:v>估算；V4.1 规划</x:v>
      </x:c>
      <x:c r="P176" s="33" t="n">
        <x:f>Q326</x:f>
        <x:v>131.93088</x:v>
      </x:c>
      <x:c r="Q176" s="2"/>
      <x:c r="R176" s="2"/>
      <x:c r="S176" s="2"/>
      <x:c r="T176" s="2"/>
      <x:c r="U176" s="2"/>
      <x:c r="V176" s="2"/>
      <x:c r="W176" s="2"/>
      <x:c r="X176" s="2"/>
    </x:row>
    <x:row r="177" ht="25" customHeight="1">
      <x:c r="A177" s="2" t="str">
        <x:f>A34</x:f>
        <x:v>DS V4.1 Flash</x:v>
      </x:c>
      <x:c r="B177" s="2" t="n">
        <x:f>B34</x:f>
        <x:v>256</x:v>
      </x:c>
      <x:c r="C177" s="8" t="n">
        <x:f>$B$16</x:f>
        <x:v>262144</x:v>
      </x:c>
      <x:c r="D177" s="2" t="n">
        <x:f>$C$16</x:f>
        <x:v>20</x:v>
      </x:c>
      <x:c r="E177" s="2" t="n">
        <x:f>$F$16</x:f>
        <x:v>10</x:v>
      </x:c>
      <x:c r="F177" s="9" t="n">
        <x:f>IF(A327,60000/L327,"")</x:f>
        <x:v>3</x:v>
      </x:c>
      <x:c r="G177" s="9" t="n">
        <x:f>K327</x:f>
        <x:v>0.31965184</x:v>
      </x:c>
      <x:c r="H177" s="9" t="n">
        <x:f>IF(W327="估算",U327*R327,"")</x:f>
        <x:v>3.021926262000374</x:v>
      </x:c>
      <x:c r="I177" s="9" t="n">
        <x:f>IF(W327="估算",U327*S327,"")</x:f>
        <x:v>0</x:v>
      </x:c>
      <x:c r="J177" s="9" t="n">
        <x:f>IF(W327="估算",U327*MAX(0,R327-S327),"")</x:f>
        <x:v>3.021926262000374</x:v>
      </x:c>
      <x:c r="K177" s="9" t="n">
        <x:f>IF(W327="估算",IF(OR(O327=0,K327=0),0,U327*E34*MIN(1,(K327+P327)/L327)),"")</x:f>
        <x:v>3.87705048</x:v>
      </x:c>
      <x:c r="L177" s="53" t="n">
        <x:f>IF(W327="估算",V327,"")</x:f>
        <x:v>0.0014634293959921484</x:v>
      </x:c>
      <x:c r="M177" s="53" t="n">
        <x:f>IF(W327="估算",E177*V327/60,"")</x:f>
        <x:v>0.00024390489933202473</x:v>
      </x:c>
      <x:c r="N177" s="53" t="n">
        <x:f>IF(W327="估算",V327/60000*1e6,"")</x:f>
        <x:v>0.02439048993320247</x:v>
      </x:c>
      <x:c r="O177" s="2" t="str">
        <x:f>IF(W327="估算","估算；V4.1 规划",W327)</x:f>
        <x:v>估算；V4.1 规划</x:v>
      </x:c>
      <x:c r="P177" s="33" t="n">
        <x:f>Q327</x:f>
        <x:v>65.96544</x:v>
      </x:c>
      <x:c r="Q177" s="2"/>
      <x:c r="R177" s="2"/>
      <x:c r="S177" s="2"/>
      <x:c r="T177" s="2"/>
      <x:c r="U177" s="2"/>
      <x:c r="V177" s="2"/>
      <x:c r="W177" s="2"/>
      <x:c r="X177" s="2"/>
    </x:row>
    <x:row r="178" ht="25" customHeight="1">
      <x:c r="A178" s="2" t="str">
        <x:f>A34</x:f>
        <x:v>DS V4.1 Flash</x:v>
      </x:c>
      <x:c r="B178" s="2" t="n">
        <x:f>B34</x:f>
        <x:v>256</x:v>
      </x:c>
      <x:c r="C178" s="8" t="n">
        <x:f>$B$16</x:f>
        <x:v>262144</x:v>
      </x:c>
      <x:c r="D178" s="2" t="n">
        <x:f>$C$16</x:f>
        <x:v>20</x:v>
      </x:c>
      <x:c r="E178" s="2" t="n">
        <x:f>$F$17</x:f>
        <x:v>20</x:v>
      </x:c>
      <x:c r="F178" s="9" t="n">
        <x:f>IF(A328,60000/L328,"")</x:f>
        <x:v>3</x:v>
      </x:c>
      <x:c r="G178" s="9" t="n">
        <x:f>K328</x:f>
        <x:v>0.31965184</x:v>
      </x:c>
      <x:c r="H178" s="9" t="n">
        <x:f>IF(W328="估算",U328*R328,"")</x:f>
        <x:v>1.9385252400002662</x:v>
      </x:c>
      <x:c r="I178" s="9" t="n">
        <x:f>IF(W328="估算",U328*S328,"")</x:f>
        <x:v>0</x:v>
      </x:c>
      <x:c r="J178" s="9" t="n">
        <x:f>IF(W328="估算",U328*MAX(0,R328-S328),"")</x:f>
        <x:v>1.9385252400002662</x:v>
      </x:c>
      <x:c r="K178" s="9" t="n">
        <x:f>IF(W328="估算",IF(OR(O328=0,K328=0),0,U328*E34*MIN(1,(K328+P328)/L328)),"")</x:f>
        <x:v>1.93852524</x:v>
      </x:c>
      <x:c r="L178" s="53" t="n">
        <x:f>IF(W328="估算",V328,"")</x:f>
        <x:v>0.0007317146979960742</x:v>
      </x:c>
      <x:c r="M178" s="53" t="n">
        <x:f>IF(W328="估算",E178*V328/60,"")</x:f>
        <x:v>0.00024390489933202473</x:v>
      </x:c>
      <x:c r="N178" s="53" t="n">
        <x:f>IF(W328="估算",V328/60000*1e6,"")</x:f>
        <x:v>0.012195244966601236</x:v>
      </x:c>
      <x:c r="O178" s="2" t="str">
        <x:f>IF(W328="估算","估算；V4.1 规划",W328)</x:f>
        <x:v>估算；V4.1 规划</x:v>
      </x:c>
      <x:c r="P178" s="33" t="n">
        <x:f>Q328</x:f>
        <x:v>32.98272</x:v>
      </x:c>
      <x:c r="Q178" s="2"/>
      <x:c r="R178" s="2"/>
      <x:c r="S178" s="2"/>
      <x:c r="T178" s="2"/>
      <x:c r="U178" s="2"/>
      <x:c r="V178" s="2"/>
      <x:c r="W178" s="2"/>
      <x:c r="X178" s="2"/>
    </x:row>
    <x:row r="179" ht="25" customHeight="1">
      <x:c r="A179" s="2" t="str">
        <x:f>A34</x:f>
        <x:v>DS V4.1 Flash</x:v>
      </x:c>
      <x:c r="B179" s="2" t="n">
        <x:f>B34</x:f>
        <x:v>256</x:v>
      </x:c>
      <x:c r="C179" s="8" t="n">
        <x:f>$B$16</x:f>
        <x:v>262144</x:v>
      </x:c>
      <x:c r="D179" s="2" t="n">
        <x:f>$C$16</x:f>
        <x:v>20</x:v>
      </x:c>
      <x:c r="E179" s="2" t="n">
        <x:f>$F$18</x:f>
        <x:v>30</x:v>
      </x:c>
      <x:c r="F179" s="9" t="n">
        <x:f>IF(A329,60000/L329,"")</x:f>
        <x:v>3</x:v>
      </x:c>
      <x:c r="G179" s="9" t="n">
        <x:f>K329</x:f>
        <x:v>0.31965184</x:v>
      </x:c>
      <x:c r="H179" s="9" t="n">
        <x:f>IF(W329="估算",U329*R329,"")</x:f>
        <x:v>1.2923501600001774</x:v>
      </x:c>
      <x:c r="I179" s="9" t="n">
        <x:f>IF(W329="估算",U329*S329,"")</x:f>
        <x:v>0</x:v>
      </x:c>
      <x:c r="J179" s="9" t="n">
        <x:f>IF(W329="估算",U329*MAX(0,R329-S329),"")</x:f>
        <x:v>1.2923501600001774</x:v>
      </x:c>
      <x:c r="K179" s="9" t="n">
        <x:f>IF(W329="估算",IF(OR(O329=0,K329=0),0,U329*E34*MIN(1,(K329+P329)/L329)),"")</x:f>
        <x:v>1.29235016</x:v>
      </x:c>
      <x:c r="L179" s="53" t="n">
        <x:f>IF(W329="估算",V329,"")</x:f>
        <x:v>0.0004878097986640494</x:v>
      </x:c>
      <x:c r="M179" s="53" t="n">
        <x:f>IF(W329="估算",E179*V329/60,"")</x:f>
        <x:v>0.0002439048993320247</x:v>
      </x:c>
      <x:c r="N179" s="53" t="n">
        <x:f>IF(W329="估算",V329/60000*1e6,"")</x:f>
        <x:v>0.008130163311067489</x:v>
      </x:c>
      <x:c r="O179" s="2" t="str">
        <x:f>IF(W329="估算","估算；V4.1 规划",W329)</x:f>
        <x:v>估算；V4.1 规划</x:v>
      </x:c>
      <x:c r="P179" s="33" t="n">
        <x:f>Q329</x:f>
        <x:v>21.98848</x:v>
      </x:c>
      <x:c r="Q179" s="2"/>
      <x:c r="R179" s="2"/>
      <x:c r="S179" s="2"/>
      <x:c r="T179" s="2"/>
      <x:c r="U179" s="2"/>
      <x:c r="V179" s="2"/>
      <x:c r="W179" s="2"/>
      <x:c r="X179" s="2"/>
    </x:row>
    <x:row r="180" ht="25" customHeight="1">
      <x:c r="A180" s="2" t="str">
        <x:f>A34</x:f>
        <x:v>DS V4.1 Flash</x:v>
      </x:c>
      <x:c r="B180" s="2" t="n">
        <x:f>B34</x:f>
        <x:v>256</x:v>
      </x:c>
      <x:c r="C180" s="8" t="n">
        <x:f>$B$17</x:f>
        <x:v>1048576</x:v>
      </x:c>
      <x:c r="D180" s="2" t="n">
        <x:f>$C$17</x:f>
        <x:v>60</x:v>
      </x:c>
      <x:c r="E180" s="2" t="n">
        <x:f>$F$15</x:f>
        <x:v>5</x:v>
      </x:c>
      <x:c r="F180" s="9" t="n">
        <x:f>IF(A330,60000/L330,"")</x:f>
        <x:v>1</x:v>
      </x:c>
      <x:c r="G180" s="9" t="n">
        <x:f>K330</x:f>
        <x:v>1.26500864</x:v>
      </x:c>
      <x:c r="H180" s="9" t="n">
        <x:f>IF(W330="估算",U330*R330,"")</x:f>
        <x:v>1.228688867999761</x:v>
      </x:c>
      <x:c r="I180" s="9" t="n">
        <x:f>IF(W330="估算",U330*S330,"")</x:f>
        <x:v>0</x:v>
      </x:c>
      <x:c r="J180" s="9" t="n">
        <x:f>IF(W330="估算",U330*MAX(0,R330-S330),"")</x:f>
        <x:v>1.228688867999761</x:v>
      </x:c>
      <x:c r="K180" s="9" t="n">
        <x:f>IF(W330="估算",IF(OR(O330=0,K330=0),0,U330*E34*MIN(1,(K330+P330)/L330)),"")</x:f>
        <x:v>10.14755472</x:v>
      </x:c>
      <x:c r="L180" s="53" t="n">
        <x:f>IF(W330="估算",V330,"")</x:f>
        <x:v>0.0038626972486703213</x:v>
      </x:c>
      <x:c r="M180" s="53" t="n">
        <x:f>IF(W330="估算",E180*V330/60,"")</x:f>
        <x:v>0.0003218914373891935</x:v>
      </x:c>
      <x:c r="N180" s="53" t="n">
        <x:f>IF(W330="估算",V330/60000*1e6,"")</x:f>
        <x:v>0.06437828747783869</x:v>
      </x:c>
      <x:c r="O180" s="2" t="str">
        <x:f>IF(W330="估算","估算；V4.1 规划",W330)</x:f>
        <x:v>估算；V4.1 规划</x:v>
      </x:c>
      <x:c r="P180" s="33" t="n">
        <x:f>Q330</x:f>
        <x:v>131.93088</x:v>
      </x:c>
      <x:c r="Q180" s="2"/>
      <x:c r="R180" s="2"/>
      <x:c r="S180" s="2"/>
      <x:c r="T180" s="2"/>
      <x:c r="U180" s="2"/>
      <x:c r="V180" s="2"/>
      <x:c r="W180" s="2"/>
      <x:c r="X180" s="2"/>
    </x:row>
    <x:row r="181" ht="25" customHeight="1">
      <x:c r="A181" s="2" t="str">
        <x:f>A34</x:f>
        <x:v>DS V4.1 Flash</x:v>
      </x:c>
      <x:c r="B181" s="2" t="n">
        <x:f>B34</x:f>
        <x:v>256</x:v>
      </x:c>
      <x:c r="C181" s="8" t="n">
        <x:f>$B$17</x:f>
        <x:v>1048576</x:v>
      </x:c>
      <x:c r="D181" s="2" t="n">
        <x:f>$C$17</x:f>
        <x:v>60</x:v>
      </x:c>
      <x:c r="E181" s="2" t="n">
        <x:f>$F$16</x:f>
        <x:v>10</x:v>
      </x:c>
      <x:c r="F181" s="9" t="n">
        <x:f>IF(A331,60000/L331,"")</x:f>
        <x:v>1</x:v>
      </x:c>
      <x:c r="G181" s="9" t="n">
        <x:f>K331</x:f>
        <x:v>1.26500864</x:v>
      </x:c>
      <x:c r="H181" s="9" t="n">
        <x:f>IF(W331="估算",U331*R331,"")</x:f>
        <x:v>1.1018444340000766</x:v>
      </x:c>
      <x:c r="I181" s="9" t="n">
        <x:f>IF(W331="估算",U331*S331,"")</x:f>
        <x:v>0</x:v>
      </x:c>
      <x:c r="J181" s="9" t="n">
        <x:f>IF(W331="估算",U331*MAX(0,R331-S331),"")</x:f>
        <x:v>1.1018444340000766</x:v>
      </x:c>
      <x:c r="K181" s="9" t="n">
        <x:f>IF(W331="估算",IF(OR(O331=0,K331=0),0,U331*E34*MIN(1,(K331+P331)/L331)),"")</x:f>
        <x:v>5.07377736</x:v>
      </x:c>
      <x:c r="L181" s="53" t="n">
        <x:f>IF(W331="估算",V331,"")</x:f>
        <x:v>0.0019313486243351607</x:v>
      </x:c>
      <x:c r="M181" s="53" t="n">
        <x:f>IF(W331="估算",E181*V331/60,"")</x:f>
        <x:v>0.0003218914373891935</x:v>
      </x:c>
      <x:c r="N181" s="53" t="n">
        <x:f>IF(W331="估算",V331/60000*1e6,"")</x:f>
        <x:v>0.032189143738919346</x:v>
      </x:c>
      <x:c r="O181" s="2" t="str">
        <x:f>IF(W331="估算","估算；V4.1 规划",W331)</x:f>
        <x:v>估算；V4.1 规划</x:v>
      </x:c>
      <x:c r="P181" s="33" t="n">
        <x:f>Q331</x:f>
        <x:v>65.96544</x:v>
      </x:c>
      <x:c r="Q181" s="2"/>
      <x:c r="R181" s="2"/>
      <x:c r="S181" s="2"/>
      <x:c r="T181" s="2"/>
      <x:c r="U181" s="2"/>
      <x:c r="V181" s="2"/>
      <x:c r="W181" s="2"/>
      <x:c r="X181" s="2"/>
    </x:row>
    <x:row r="182" ht="25" customHeight="1">
      <x:c r="A182" s="2" t="str">
        <x:f>A34</x:f>
        <x:v>DS V4.1 Flash</x:v>
      </x:c>
      <x:c r="B182" s="2" t="n">
        <x:f>B34</x:f>
        <x:v>256</x:v>
      </x:c>
      <x:c r="C182" s="8" t="n">
        <x:f>$B$17</x:f>
        <x:v>1048576</x:v>
      </x:c>
      <x:c r="D182" s="2" t="n">
        <x:f>$C$17</x:f>
        <x:v>60</x:v>
      </x:c>
      <x:c r="E182" s="2" t="n">
        <x:f>$F$17</x:f>
        <x:v>20</x:v>
      </x:c>
      <x:c r="F182" s="9" t="n">
        <x:f>IF(A332,60000/L332,"")</x:f>
        <x:v>1</x:v>
      </x:c>
      <x:c r="G182" s="9" t="n">
        <x:f>K332</x:f>
        <x:v>1.26500864</x:v>
      </x:c>
      <x:c r="H182" s="9" t="n">
        <x:f>IF(W332="估算",U332*R332,"")</x:f>
        <x:v>1.0384222169999013</x:v>
      </x:c>
      <x:c r="I182" s="9" t="n">
        <x:f>IF(W332="估算",U332*S332,"")</x:f>
        <x:v>0</x:v>
      </x:c>
      <x:c r="J182" s="9" t="n">
        <x:f>IF(W332="估算",U332*MAX(0,R332-S332),"")</x:f>
        <x:v>1.0384222169999013</x:v>
      </x:c>
      <x:c r="K182" s="9" t="n">
        <x:f>IF(W332="估算",IF(OR(O332=0,K332=0),0,U332*E34*MIN(1,(K332+P332)/L332)),"")</x:f>
        <x:v>2.53688868</x:v>
      </x:c>
      <x:c r="L182" s="53" t="n">
        <x:f>IF(W332="估算",V332,"")</x:f>
        <x:v>0.0009656743121675803</x:v>
      </x:c>
      <x:c r="M182" s="53" t="n">
        <x:f>IF(W332="估算",E182*V332/60,"")</x:f>
        <x:v>0.0003218914373891935</x:v>
      </x:c>
      <x:c r="N182" s="53" t="n">
        <x:f>IF(W332="估算",V332/60000*1e6,"")</x:f>
        <x:v>0.016094571869459673</x:v>
      </x:c>
      <x:c r="O182" s="2" t="str">
        <x:f>IF(W332="估算","估算；V4.1 规划",W332)</x:f>
        <x:v>估算；V4.1 规划</x:v>
      </x:c>
      <x:c r="P182" s="33" t="n">
        <x:f>Q332</x:f>
        <x:v>32.98272</x:v>
      </x:c>
      <x:c r="Q182" s="2"/>
      <x:c r="R182" s="2"/>
      <x:c r="S182" s="2"/>
      <x:c r="T182" s="2"/>
      <x:c r="U182" s="2"/>
      <x:c r="V182" s="2"/>
      <x:c r="W182" s="2"/>
      <x:c r="X182" s="2"/>
    </x:row>
    <x:row r="183" ht="25" customHeight="1">
      <x:c r="A183" s="2" t="str">
        <x:f>A34</x:f>
        <x:v>DS V4.1 Flash</x:v>
      </x:c>
      <x:c r="B183" s="2" t="n">
        <x:f>B34</x:f>
        <x:v>256</x:v>
      </x:c>
      <x:c r="C183" s="8" t="n">
        <x:f>$B$17</x:f>
        <x:v>1048576</x:v>
      </x:c>
      <x:c r="D183" s="2" t="n">
        <x:f>$C$17</x:f>
        <x:v>60</x:v>
      </x:c>
      <x:c r="E183" s="2" t="n">
        <x:f>$F$18</x:f>
        <x:v>30</x:v>
      </x:c>
      <x:c r="F183" s="9" t="n">
        <x:f>IF(A333,60000/L333,"")</x:f>
        <x:v>1</x:v>
      </x:c>
      <x:c r="G183" s="9" t="n">
        <x:f>K333</x:f>
        <x:v>1.26500864</x:v>
      </x:c>
      <x:c r="H183" s="9" t="n">
        <x:f>IF(W333="估算",U333*R333,"")</x:f>
        <x:v>1.017281478000065</x:v>
      </x:c>
      <x:c r="I183" s="9" t="n">
        <x:f>IF(W333="估算",U333*S333,"")</x:f>
        <x:v>0</x:v>
      </x:c>
      <x:c r="J183" s="9" t="n">
        <x:f>IF(W333="估算",U333*MAX(0,R333-S333),"")</x:f>
        <x:v>1.017281478000065</x:v>
      </x:c>
      <x:c r="K183" s="9" t="n">
        <x:f>IF(W333="估算",IF(OR(O333=0,K333=0),0,U333*E34*MIN(1,(K333+P333)/L333)),"")</x:f>
        <x:v>1.6912591200000002</x:v>
      </x:c>
      <x:c r="L183" s="53" t="n">
        <x:f>IF(W333="估算",V333,"")</x:f>
        <x:v>0.0006437828747783869</x:v>
      </x:c>
      <x:c r="M183" s="53" t="n">
        <x:f>IF(W333="估算",E183*V333/60,"")</x:f>
        <x:v>0.0003218914373891934</x:v>
      </x:c>
      <x:c r="N183" s="53" t="n">
        <x:f>IF(W333="估算",V333/60000*1e6,"")</x:f>
        <x:v>0.01072971457963978</x:v>
      </x:c>
      <x:c r="O183" s="2" t="str">
        <x:f>IF(W333="估算","估算；V4.1 规划",W333)</x:f>
        <x:v>估算；V4.1 规划</x:v>
      </x:c>
      <x:c r="P183" s="33" t="n">
        <x:f>Q333</x:f>
        <x:v>21.98848</x:v>
      </x:c>
      <x:c r="Q183" s="2"/>
      <x:c r="R183" s="2"/>
      <x:c r="S183" s="2"/>
      <x:c r="T183" s="2"/>
      <x:c r="U183" s="2"/>
      <x:c r="V183" s="2"/>
      <x:c r="W183" s="2"/>
      <x:c r="X183" s="2"/>
    </x:row>
    <x:row r="184" ht="25" customHeight="1">
      <x:c r="A184" s="2"/>
      <x:c r="B184" s="2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</x:row>
    <x:row r="185" ht="25" customHeight="1">
      <x:c r="A185" s="2"/>
      <x:c r="B185" s="2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</x:row>
    <x:row r="186" ht="25" customHeight="1">
      <x:c r="A186" s="2" t="str">
        <x:v>统计单位为一个 D DP 副本的 forward。EP 内各 Rank 并行，不能再把 forward 次数乘 EP。</x:v>
      </x:c>
      <x:c r="B186" s="2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</x:row>
    <x:row r="187" ht="25" customHeight="1">
      <x:c r="A187" s="2" t="str">
        <x:v>交接请求总数、每 D DP 请求数、KV 占用和完整计算见下表。全 EP / 部分 EP 是基线窗口交集分类。</x:v>
      </x:c>
      <x:c r="B187" s="2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</x:row>
    <x:row r="188" ht="25" customHeight="1">
      <x:c r="A188" s="2"/>
      <x:c r="B188" s="2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</x:row>
    <x:row r="189" ht="42" customHeight="1">
      <x:c r="A189" s="52" t="str">
        <x:v>输入有效</x:v>
      </x:c>
      <x:c r="B189" s="52" t="str">
        <x:v>周期 ms</x:v>
      </x:c>
      <x:c r="C189" s="52" t="str">
        <x:v>步间隔 ms</x:v>
      </x:c>
      <x:c r="D189" s="52" t="str">
        <x:v>取 GiB/请求</x:v>
      </x:c>
      <x:c r="E189" s="52" t="str">
        <x:v>P DP/组</x:v>
      </x:c>
      <x:c r="F189" s="52" t="str">
        <x:v>D DP/组</x:v>
      </x:c>
      <x:c r="G189" s="52" t="str">
        <x:v>全系统请求交接/min</x:v>
      </x:c>
      <x:c r="H189" s="52" t="str">
        <x:v>每 D DP 请求/min</x:v>
      </x:c>
      <x:c r="I189" s="52" t="str">
        <x:v>P Rank GiB/窗口</x:v>
      </x:c>
      <x:c r="J189" s="52" t="str">
        <x:v>D Rank GiB/窗口</x:v>
      </x:c>
      <x:c r="K189" s="52" t="str">
        <x:v>KV 窗口 ms</x:v>
      </x:c>
      <x:c r="L189" s="52" t="str">
        <x:v>KV 间隔 ms</x:v>
      </x:c>
      <x:c r="M189" s="52" t="str">
        <x:v>KV 负载率</x:v>
      </x:c>
      <x:c r="N189" s="52" t="str">
        <x:v>EP GB/Rank/步</x:v>
      </x:c>
      <x:c r="O189" s="52" t="str">
        <x:v>EP 带宽项 ms</x:v>
      </x:c>
      <x:c r="P189" s="52" t="str">
        <x:v>每层 EP 段 ms</x:v>
      </x:c>
      <x:c r="Q189" s="52" t="str">
        <x:v>最低 EP GB/s</x:v>
      </x:c>
      <x:c r="R189" s="52" t="str">
        <x:v>FW 重叠概率</x:v>
      </x:c>
      <x:c r="S189" s="52" t="str">
        <x:v>全 EP 概率</x:v>
      </x:c>
      <x:c r="T189" s="52" t="str">
        <x:v>每层平均增时 ms</x:v>
      </x:c>
      <x:c r="U189" s="52" t="str">
        <x:v>基线 FW/min</x:v>
      </x:c>
      <x:c r="V189" s="52" t="str">
        <x:v>60s 工作增时 ms</x:v>
      </x:c>
      <x:c r="W189" s="52" t="str">
        <x:v>输入 / 调度状态</x:v>
      </x:c>
      <x:c r="X189" s="52" t="str">
        <x:v>等效全通信 FW/min</x:v>
      </x:c>
    </x:row>
    <x:row r="190" ht="25" customHeight="1">
      <x:c r="A190" s="2" t="b">
        <x:f>AND(AND(ISNUMBER($B$5),$B$5&gt;0),AND(ISNUMBER($F$5),$F$5&gt;0),AND(ISNUMBER($J$5),$J$5&gt;0),AND(ISNUMBER($B$9),$B$9&gt;0),AND(ISNUMBER(I23),I23&gt;0),AND(ISNUMBER(J23),J23&gt;0),AND(ISNUMBER(K23),K23&gt;0),AND(ISNUMBER(L23),L23&gt;0),AND(ISNUMBER(D40),D40&gt;0),AND(ISNUMBER(E40),E40&gt;0),MOD($B$5,1)=0,MOD($F$5,1)=0,MOD($J$5,1)=0,MOD($B$9,1)=0,MOD(K23,1)=0,ISNUMBER(C40),C40&gt;=2,MOD(C40,1)=0,OR($N$9=32,$N$9=64,$N$9=128),ISNUMBER($B$11),$B$11&gt;=0,MOD($B$11,1)=0,ISNUMBER($J$7),$J$7&gt;=0,$J$7&lt;1,AND(ISNUMBER(M23),M23&gt;=0,M23&lt;=1),AND(ISNUMBER(N23),N23&gt;=0,N23&lt;=1))</x:f>
        <x:v>1</x:v>
      </x:c>
      <x:c r="B190" s="12" t="n">
        <x:f>IF(A190,D40*1000,"")</x:f>
        <x:v>4000</x:v>
      </x:c>
      <x:c r="C190" s="12" t="n">
        <x:f>IF(A190,E40*L23,"")</x:f>
        <x:v>5</x:v>
      </x:c>
      <x:c r="D190" s="12" t="n">
        <x:f>IF(A190,M347,"")</x:f>
        <x:v>0.1742401123046875</x:v>
      </x:c>
      <x:c r="E190" s="12" t="n">
        <x:f>IF(A190,B23/C23,"")</x:f>
        <x:v>4</x:v>
      </x:c>
      <x:c r="F190" s="12" t="n">
        <x:f>IF(A190,B23/D23,"")</x:f>
        <x:v>32</x:v>
      </x:c>
      <x:c r="G190" s="12" t="n">
        <x:f>IF(A190,$F$5*E190*$B$5*60000/B190,"")</x:f>
        <x:v>960</x:v>
      </x:c>
      <x:c r="H190" s="12" t="n">
        <x:f>IF(A190,G190/($J$5*F190),"")</x:f>
        <x:v>30</x:v>
      </x:c>
      <x:c r="I190" s="12" t="n">
        <x:f>IF(A190,$B$5*D190/C23/$B$9,"")</x:f>
        <x:v>0.348480224609375</x:v>
      </x:c>
      <x:c r="J190" s="12" t="n">
        <x:f>IF(A190,I190*$F$5/$J$5,"")</x:f>
        <x:v>0.348480224609375</x:v>
      </x:c>
      <x:c r="K190" s="12" t="n">
        <x:f>IF(A190,MAX(I190,J190)*2^30/(J23*1e6),"")</x:f>
        <x:v>0.07795370666666666</x:v>
      </x:c>
      <x:c r="L190" s="12" t="n">
        <x:f>IF(A190,B190/$B$9,"")</x:f>
        <x:v>4000</x:v>
      </x:c>
      <x:c r="M190" s="54" t="n">
        <x:f>IF(A190,K190/L190,"")</x:f>
        <x:v>0.000019488426666666665</x:v>
      </x:c>
      <x:c r="N190" s="12" t="n">
        <x:f>IF(A190,(E23*ROUNDUP(K23/D23,0)*G23*(B23-1)/B23*(ROUNDUP((ROUNDUP(F23*2/32,0)*32+32)/480,0)*512+F23*2+32)+E23*ROUNDUP(H23/B23,0)*(B23-1)*32)/1e9,"")</x:f>
        <x:v>1.349901696</x:v>
      </x:c>
      <x:c r="O190" s="12" t="n">
        <x:f>IF(A190,N190*1000/I23,"")</x:f>
        <x:v>0.28122952</x:v>
      </x:c>
      <x:c r="P190" s="12" t="n">
        <x:f>IF(A190,O190/E23,"")</x:f>
        <x:v>0.00461032</x:v>
      </x:c>
      <x:c r="Q190" s="12" t="n">
        <x:f>IF(A190,N190*1000/C190,"")</x:f>
        <x:v>269.9803392</x:v>
      </x:c>
      <x:c r="R190" s="12" t="n">
        <x:f>IF(W190="估算",IF(OR(K190=0,O190=0),0,1-((E23-1)*MAX(0,(C190-O190)/E23-(K190))+MAX(0,L190-((E23-1)*C190/E23+P190)-(K190)))/L190),"")</x:f>
        <x:v>0.0012501492033878403</x:v>
      </x:c>
      <x:c r="S190" s="12" t="n">
        <x:f>IF(W190="估算",IF(O190=0,0,MAX(0,1-(1-((E23-1)*MAX(0,(C190-O190)/E23-(L190-K190))+MAX(0,L190-((E23-1)*C190/E23+P190)-(L190-K190)))/L190))),"")</x:f>
        <x:v>0</x:v>
      </x:c>
      <x:c r="T190" s="12" t="n">
        <x:f>IF(W190="估算",IF(OR(P190=0,K190=0,$J$7=0),0,IF(P190&lt;=(1-$J$7)*K190,$J$7*P190*K190/(1-$J$7)-$J$7^2*P190^2/(2*(1-$J$7)^2),$J$7*P190*K190+$J$7^2*K190^2/2)/L190),"")</x:f>
        <x:v>9.950297132790125e-9</x:v>
      </x:c>
      <x:c r="U190" s="12" t="n">
        <x:f>IF(A190,60000/C190,"")</x:f>
        <x:v>12000</x:v>
      </x:c>
      <x:c r="V190" s="12" t="n">
        <x:f>IF(W190="估算",U190*E23*T190*M23*N23,"")</x:f>
        <x:v>0.007283617501202371</x:v>
      </x:c>
      <x:c r="W190" s="12" t="str">
        <x:f>IF(NOT(A190),"输入无效",IF(K190&gt;=L190,"KV 超载",IF(O190&gt;C190+1e-9,"TPOT 不自洽",IF(OR(C190&gt;L190,P190&gt;L190-K190),"需时序仿真","估算"))))</x:f>
        <x:v>估算</x:v>
      </x:c>
      <x:c r="X190" s="12" t="n">
        <x:f>IF(W190="估算",U190*M190,"")</x:f>
        <x:v>0.23386111999999998</x:v>
      </x:c>
    </x:row>
    <x:row r="191" ht="25" customHeight="1">
      <x:c r="A191" s="2" t="b">
        <x:f>AND(AND(ISNUMBER($B$5),$B$5&gt;0),AND(ISNUMBER($F$5),$F$5&gt;0),AND(ISNUMBER($J$5),$J$5&gt;0),AND(ISNUMBER($B$9),$B$9&gt;0),AND(ISNUMBER(I23),I23&gt;0),AND(ISNUMBER(J23),J23&gt;0),AND(ISNUMBER(K23),K23&gt;0),AND(ISNUMBER(L23),L23&gt;0),AND(ISNUMBER(D41),D41&gt;0),AND(ISNUMBER(E41),E41&gt;0),MOD($B$5,1)=0,MOD($F$5,1)=0,MOD($J$5,1)=0,MOD($B$9,1)=0,MOD(K23,1)=0,ISNUMBER(C41),C41&gt;=2,MOD(C41,1)=0,OR($N$9=32,$N$9=64,$N$9=128),ISNUMBER($B$11),$B$11&gt;=0,MOD($B$11,1)=0,ISNUMBER($J$7),$J$7&gt;=0,$J$7&lt;1,AND(ISNUMBER(M23),M23&gt;=0,M23&lt;=1),AND(ISNUMBER(N23),N23&gt;=0,N23&lt;=1))</x:f>
        <x:v>1</x:v>
      </x:c>
      <x:c r="B191" s="12" t="n">
        <x:f>IF(A191,D41*1000,"")</x:f>
        <x:v>4000</x:v>
      </x:c>
      <x:c r="C191" s="12" t="n">
        <x:f>IF(A191,E41*L23,"")</x:f>
        <x:v>10</x:v>
      </x:c>
      <x:c r="D191" s="12" t="n">
        <x:f>IF(A191,M347,"")</x:f>
        <x:v>0.1742401123046875</x:v>
      </x:c>
      <x:c r="E191" s="12" t="n">
        <x:f>IF(A191,B23/C23,"")</x:f>
        <x:v>4</x:v>
      </x:c>
      <x:c r="F191" s="12" t="n">
        <x:f>IF(A191,B23/D23,"")</x:f>
        <x:v>32</x:v>
      </x:c>
      <x:c r="G191" s="12" t="n">
        <x:f>IF(A191,$F$5*E191*$B$5*60000/B191,"")</x:f>
        <x:v>960</x:v>
      </x:c>
      <x:c r="H191" s="12" t="n">
        <x:f>IF(A191,G191/($J$5*F191),"")</x:f>
        <x:v>30</x:v>
      </x:c>
      <x:c r="I191" s="12" t="n">
        <x:f>IF(A191,$B$5*D191/C23/$B$9,"")</x:f>
        <x:v>0.348480224609375</x:v>
      </x:c>
      <x:c r="J191" s="12" t="n">
        <x:f>IF(A191,I191*$F$5/$J$5,"")</x:f>
        <x:v>0.348480224609375</x:v>
      </x:c>
      <x:c r="K191" s="12" t="n">
        <x:f>IF(A191,MAX(I191,J191)*2^30/(J23*1e6),"")</x:f>
        <x:v>0.07795370666666666</x:v>
      </x:c>
      <x:c r="L191" s="12" t="n">
        <x:f>IF(A191,B191/$B$9,"")</x:f>
        <x:v>4000</x:v>
      </x:c>
      <x:c r="M191" s="54" t="n">
        <x:f>IF(A191,K191/L191,"")</x:f>
        <x:v>0.000019488426666666665</x:v>
      </x:c>
      <x:c r="N191" s="12" t="n">
        <x:f>IF(A191,(E23*ROUNDUP(K23/D23,0)*G23*(B23-1)/B23*(ROUNDUP((ROUNDUP(F23*2/32,0)*32+32)/480,0)*512+F23*2+32)+E23*ROUNDUP(H23/B23,0)*(B23-1)*32)/1e9,"")</x:f>
        <x:v>1.349901696</x:v>
      </x:c>
      <x:c r="O191" s="12" t="n">
        <x:f>IF(A191,N191*1000/I23,"")</x:f>
        <x:v>0.28122952</x:v>
      </x:c>
      <x:c r="P191" s="12" t="n">
        <x:f>IF(A191,O191/E23,"")</x:f>
        <x:v>0.00461032</x:v>
      </x:c>
      <x:c r="Q191" s="12" t="n">
        <x:f>IF(A191,N191*1000/C191,"")</x:f>
        <x:v>134.9901696</x:v>
      </x:c>
      <x:c r="R191" s="12" t="n">
        <x:f>IF(W191="估算",IF(OR(K191=0,O191=0),0,1-((E23-1)*MAX(0,(C191-O191)/E23-(K191))+MAX(0,L191-((E23-1)*C191/E23+P191)-(K191)))/L191),"")</x:f>
        <x:v>0.0012591014066665185</x:v>
      </x:c>
      <x:c r="S191" s="12" t="n">
        <x:f>IF(W191="估算",IF(O191=0,0,MAX(0,1-(1-((E23-1)*MAX(0,(C191-O191)/E23-(L191-K191))+MAX(0,L191-((E23-1)*C191/E23+P191)-(L191-K191)))/L191))),"")</x:f>
        <x:v>0</x:v>
      </x:c>
      <x:c r="T191" s="12" t="n">
        <x:f>IF(W191="估算",IF(OR(P191=0,K191=0,$J$7=0),0,IF(P191&lt;=(1-$J$7)*K191,$J$7*P191*K191/(1-$J$7)-$J$7^2*P191^2/(2*(1-$J$7)^2),$J$7*P191*K191+$J$7^2*K191^2/2)/L191),"")</x:f>
        <x:v>9.950297132790125e-9</x:v>
      </x:c>
      <x:c r="U191" s="12" t="n">
        <x:f>IF(A191,60000/C191,"")</x:f>
        <x:v>6000</x:v>
      </x:c>
      <x:c r="V191" s="12" t="n">
        <x:f>IF(W191="估算",U191*E23*T191*M23*N23,"")</x:f>
        <x:v>0.0036418087506011857</x:v>
      </x:c>
      <x:c r="W191" s="12" t="str">
        <x:f>IF(NOT(A191),"输入无效",IF(K191&gt;=L191,"KV 超载",IF(O191&gt;C191+1e-9,"TPOT 不自洽",IF(OR(C191&gt;L191,P191&gt;L191-K191),"需时序仿真","估算"))))</x:f>
        <x:v>估算</x:v>
      </x:c>
      <x:c r="X191" s="12" t="n">
        <x:f>IF(W191="估算",U191*M191,"")</x:f>
        <x:v>0.11693055999999999</x:v>
      </x:c>
    </x:row>
    <x:row r="192" ht="25" customHeight="1">
      <x:c r="A192" s="2" t="b">
        <x:f>AND(AND(ISNUMBER($B$5),$B$5&gt;0),AND(ISNUMBER($F$5),$F$5&gt;0),AND(ISNUMBER($J$5),$J$5&gt;0),AND(ISNUMBER($B$9),$B$9&gt;0),AND(ISNUMBER(I23),I23&gt;0),AND(ISNUMBER(J23),J23&gt;0),AND(ISNUMBER(K23),K23&gt;0),AND(ISNUMBER(L23),L23&gt;0),AND(ISNUMBER(D42),D42&gt;0),AND(ISNUMBER(E42),E42&gt;0),MOD($B$5,1)=0,MOD($F$5,1)=0,MOD($J$5,1)=0,MOD($B$9,1)=0,MOD(K23,1)=0,ISNUMBER(C42),C42&gt;=2,MOD(C42,1)=0,OR($N$9=32,$N$9=64,$N$9=128),ISNUMBER($B$11),$B$11&gt;=0,MOD($B$11,1)=0,ISNUMBER($J$7),$J$7&gt;=0,$J$7&lt;1,AND(ISNUMBER(M23),M23&gt;=0,M23&lt;=1),AND(ISNUMBER(N23),N23&gt;=0,N23&lt;=1))</x:f>
        <x:v>1</x:v>
      </x:c>
      <x:c r="B192" s="12" t="n">
        <x:f>IF(A192,D42*1000,"")</x:f>
        <x:v>4000</x:v>
      </x:c>
      <x:c r="C192" s="12" t="n">
        <x:f>IF(A192,E42*L23,"")</x:f>
        <x:v>20</x:v>
      </x:c>
      <x:c r="D192" s="12" t="n">
        <x:f>IF(A192,M347,"")</x:f>
        <x:v>0.1742401123046875</x:v>
      </x:c>
      <x:c r="E192" s="12" t="n">
        <x:f>IF(A192,B23/C23,"")</x:f>
        <x:v>4</x:v>
      </x:c>
      <x:c r="F192" s="12" t="n">
        <x:f>IF(A192,B23/D23,"")</x:f>
        <x:v>32</x:v>
      </x:c>
      <x:c r="G192" s="12" t="n">
        <x:f>IF(A192,$F$5*E192*$B$5*60000/B192,"")</x:f>
        <x:v>960</x:v>
      </x:c>
      <x:c r="H192" s="12" t="n">
        <x:f>IF(A192,G192/($J$5*F192),"")</x:f>
        <x:v>30</x:v>
      </x:c>
      <x:c r="I192" s="12" t="n">
        <x:f>IF(A192,$B$5*D192/C23/$B$9,"")</x:f>
        <x:v>0.348480224609375</x:v>
      </x:c>
      <x:c r="J192" s="12" t="n">
        <x:f>IF(A192,I192*$F$5/$J$5,"")</x:f>
        <x:v>0.348480224609375</x:v>
      </x:c>
      <x:c r="K192" s="12" t="n">
        <x:f>IF(A192,MAX(I192,J192)*2^30/(J23*1e6),"")</x:f>
        <x:v>0.07795370666666666</x:v>
      </x:c>
      <x:c r="L192" s="12" t="n">
        <x:f>IF(A192,B192/$B$9,"")</x:f>
        <x:v>4000</x:v>
      </x:c>
      <x:c r="M192" s="54" t="n">
        <x:f>IF(A192,K192/L192,"")</x:f>
        <x:v>0.000019488426666666665</x:v>
      </x:c>
      <x:c r="N192" s="12" t="n">
        <x:f>IF(A192,(E23*ROUNDUP(K23/D23,0)*G23*(B23-1)/B23*(ROUNDUP((ROUNDUP(F23*2/32,0)*32+32)/480,0)*512+F23*2+32)+E23*ROUNDUP(H23/B23,0)*(B23-1)*32)/1e9,"")</x:f>
        <x:v>1.349901696</x:v>
      </x:c>
      <x:c r="O192" s="12" t="n">
        <x:f>IF(A192,N192*1000/I23,"")</x:f>
        <x:v>0.28122952</x:v>
      </x:c>
      <x:c r="P192" s="12" t="n">
        <x:f>IF(A192,O192/E23,"")</x:f>
        <x:v>0.00461032</x:v>
      </x:c>
      <x:c r="Q192" s="12" t="n">
        <x:f>IF(A192,N192*1000/C192,"")</x:f>
        <x:v>67.4950848</x:v>
      </x:c>
      <x:c r="R192" s="12" t="n">
        <x:f>IF(W192="估算",IF(OR(K192=0,O192=0),0,1-((E23-1)*MAX(0,(C192-O192)/E23-(K192))+MAX(0,L192-((E23-1)*C192/E23+P192)-(K192)))/L192),"")</x:f>
        <x:v>0.0012591014066665185</x:v>
      </x:c>
      <x:c r="S192" s="12" t="n">
        <x:f>IF(W192="估算",IF(O192=0,0,MAX(0,1-(1-((E23-1)*MAX(0,(C192-O192)/E23-(L192-K192))+MAX(0,L192-((E23-1)*C192/E23+P192)-(L192-K192)))/L192))),"")</x:f>
        <x:v>0</x:v>
      </x:c>
      <x:c r="T192" s="12" t="n">
        <x:f>IF(W192="估算",IF(OR(P192=0,K192=0,$J$7=0),0,IF(P192&lt;=(1-$J$7)*K192,$J$7*P192*K192/(1-$J$7)-$J$7^2*P192^2/(2*(1-$J$7)^2),$J$7*P192*K192+$J$7^2*K192^2/2)/L192),"")</x:f>
        <x:v>9.950297132790125e-9</x:v>
      </x:c>
      <x:c r="U192" s="12" t="n">
        <x:f>IF(A192,60000/C192,"")</x:f>
        <x:v>3000</x:v>
      </x:c>
      <x:c r="V192" s="12" t="n">
        <x:f>IF(W192="估算",U192*E23*T192*M23*N23,"")</x:f>
        <x:v>0.0018209043753005928</x:v>
      </x:c>
      <x:c r="W192" s="12" t="str">
        <x:f>IF(NOT(A192),"输入无效",IF(K192&gt;=L192,"KV 超载",IF(O192&gt;C192+1e-9,"TPOT 不自洽",IF(OR(C192&gt;L192,P192&gt;L192-K192),"需时序仿真","估算"))))</x:f>
        <x:v>估算</x:v>
      </x:c>
      <x:c r="X192" s="12" t="n">
        <x:f>IF(W192="估算",U192*M192,"")</x:f>
        <x:v>0.058465279999999994</x:v>
      </x:c>
    </x:row>
    <x:row r="193" ht="25" customHeight="1">
      <x:c r="A193" s="2" t="b">
        <x:f>AND(AND(ISNUMBER($B$5),$B$5&gt;0),AND(ISNUMBER($F$5),$F$5&gt;0),AND(ISNUMBER($J$5),$J$5&gt;0),AND(ISNUMBER($B$9),$B$9&gt;0),AND(ISNUMBER(I23),I23&gt;0),AND(ISNUMBER(J23),J23&gt;0),AND(ISNUMBER(K23),K23&gt;0),AND(ISNUMBER(L23),L23&gt;0),AND(ISNUMBER(D43),D43&gt;0),AND(ISNUMBER(E43),E43&gt;0),MOD($B$5,1)=0,MOD($F$5,1)=0,MOD($J$5,1)=0,MOD($B$9,1)=0,MOD(K23,1)=0,ISNUMBER(C43),C43&gt;=2,MOD(C43,1)=0,OR($N$9=32,$N$9=64,$N$9=128),ISNUMBER($B$11),$B$11&gt;=0,MOD($B$11,1)=0,ISNUMBER($J$7),$J$7&gt;=0,$J$7&lt;1,AND(ISNUMBER(M23),M23&gt;=0,M23&lt;=1),AND(ISNUMBER(N23),N23&gt;=0,N23&lt;=1))</x:f>
        <x:v>1</x:v>
      </x:c>
      <x:c r="B193" s="12" t="n">
        <x:f>IF(A193,D43*1000,"")</x:f>
        <x:v>4000</x:v>
      </x:c>
      <x:c r="C193" s="12" t="n">
        <x:f>IF(A193,E43*L23,"")</x:f>
        <x:v>30</x:v>
      </x:c>
      <x:c r="D193" s="12" t="n">
        <x:f>IF(A193,M347,"")</x:f>
        <x:v>0.1742401123046875</x:v>
      </x:c>
      <x:c r="E193" s="12" t="n">
        <x:f>IF(A193,B23/C23,"")</x:f>
        <x:v>4</x:v>
      </x:c>
      <x:c r="F193" s="12" t="n">
        <x:f>IF(A193,B23/D23,"")</x:f>
        <x:v>32</x:v>
      </x:c>
      <x:c r="G193" s="12" t="n">
        <x:f>IF(A193,$F$5*E193*$B$5*60000/B193,"")</x:f>
        <x:v>960</x:v>
      </x:c>
      <x:c r="H193" s="12" t="n">
        <x:f>IF(A193,G193/($J$5*F193),"")</x:f>
        <x:v>30</x:v>
      </x:c>
      <x:c r="I193" s="12" t="n">
        <x:f>IF(A193,$B$5*D193/C23/$B$9,"")</x:f>
        <x:v>0.348480224609375</x:v>
      </x:c>
      <x:c r="J193" s="12" t="n">
        <x:f>IF(A193,I193*$F$5/$J$5,"")</x:f>
        <x:v>0.348480224609375</x:v>
      </x:c>
      <x:c r="K193" s="12" t="n">
        <x:f>IF(A193,MAX(I193,J193)*2^30/(J23*1e6),"")</x:f>
        <x:v>0.07795370666666666</x:v>
      </x:c>
      <x:c r="L193" s="12" t="n">
        <x:f>IF(A193,B193/$B$9,"")</x:f>
        <x:v>4000</x:v>
      </x:c>
      <x:c r="M193" s="54" t="n">
        <x:f>IF(A193,K193/L193,"")</x:f>
        <x:v>0.000019488426666666665</x:v>
      </x:c>
      <x:c r="N193" s="12" t="n">
        <x:f>IF(A193,(E23*ROUNDUP(K23/D23,0)*G23*(B23-1)/B23*(ROUNDUP((ROUNDUP(F23*2/32,0)*32+32)/480,0)*512+F23*2+32)+E23*ROUNDUP(H23/B23,0)*(B23-1)*32)/1e9,"")</x:f>
        <x:v>1.349901696</x:v>
      </x:c>
      <x:c r="O193" s="12" t="n">
        <x:f>IF(A193,N193*1000/I23,"")</x:f>
        <x:v>0.28122952</x:v>
      </x:c>
      <x:c r="P193" s="12" t="n">
        <x:f>IF(A193,O193/E23,"")</x:f>
        <x:v>0.00461032</x:v>
      </x:c>
      <x:c r="Q193" s="12" t="n">
        <x:f>IF(A193,N193*1000/C193,"")</x:f>
        <x:v>44.996723200000005</x:v>
      </x:c>
      <x:c r="R193" s="12" t="n">
        <x:f>IF(W193="估算",IF(OR(K193=0,O193=0),0,1-((E23-1)*MAX(0,(C193-O193)/E23-(K193))+MAX(0,L193-((E23-1)*C193/E23+P193)-(K193)))/L193),"")</x:f>
        <x:v>0.0012591014066666295</x:v>
      </x:c>
      <x:c r="S193" s="12" t="n">
        <x:f>IF(W193="估算",IF(O193=0,0,MAX(0,1-(1-((E23-1)*MAX(0,(C193-O193)/E23-(L193-K193))+MAX(0,L193-((E23-1)*C193/E23+P193)-(L193-K193)))/L193))),"")</x:f>
        <x:v>0</x:v>
      </x:c>
      <x:c r="T193" s="12" t="n">
        <x:f>IF(W193="估算",IF(OR(P193=0,K193=0,$J$7=0),0,IF(P193&lt;=(1-$J$7)*K193,$J$7*P193*K193/(1-$J$7)-$J$7^2*P193^2/(2*(1-$J$7)^2),$J$7*P193*K193+$J$7^2*K193^2/2)/L193),"")</x:f>
        <x:v>9.950297132790125e-9</x:v>
      </x:c>
      <x:c r="U193" s="12" t="n">
        <x:f>IF(A193,60000/C193,"")</x:f>
        <x:v>2000</x:v>
      </x:c>
      <x:c r="V193" s="12" t="n">
        <x:f>IF(W193="估算",U193*E23*T193*M23*N23,"")</x:f>
        <x:v>0.0012139362502003952</x:v>
      </x:c>
      <x:c r="W193" s="12" t="str">
        <x:f>IF(NOT(A193),"输入无效",IF(K193&gt;=L193,"KV 超载",IF(O193&gt;C193+1e-9,"TPOT 不自洽",IF(OR(C193&gt;L193,P193&gt;L193-K193),"需时序仿真","估算"))))</x:f>
        <x:v>估算</x:v>
      </x:c>
      <x:c r="X193" s="12" t="n">
        <x:f>IF(W193="估算",U193*M193,"")</x:f>
        <x:v>0.03897685333333333</x:v>
      </x:c>
    </x:row>
    <x:row r="194" ht="25" customHeight="1">
      <x:c r="A194" s="2" t="b">
        <x:f>AND(AND(ISNUMBER($B$5),$B$5&gt;0),AND(ISNUMBER($F$5),$F$5&gt;0),AND(ISNUMBER($J$5),$J$5&gt;0),AND(ISNUMBER($B$9),$B$9&gt;0),AND(ISNUMBER(I23),I23&gt;0),AND(ISNUMBER(J23),J23&gt;0),AND(ISNUMBER(K23),K23&gt;0),AND(ISNUMBER(L23),L23&gt;0),AND(ISNUMBER(D44),D44&gt;0),AND(ISNUMBER(E44),E44&gt;0),MOD($B$5,1)=0,MOD($F$5,1)=0,MOD($J$5,1)=0,MOD($B$9,1)=0,MOD(K23,1)=0,ISNUMBER(C44),C44&gt;=2,MOD(C44,1)=0,OR($N$9=32,$N$9=64,$N$9=128),ISNUMBER($B$11),$B$11&gt;=0,MOD($B$11,1)=0,ISNUMBER($J$7),$J$7&gt;=0,$J$7&lt;1,AND(ISNUMBER(M23),M23&gt;=0,M23&lt;=1),AND(ISNUMBER(N23),N23&gt;=0,N23&lt;=1))</x:f>
        <x:v>1</x:v>
      </x:c>
      <x:c r="B194" s="12" t="n">
        <x:f>IF(A194,D44*1000,"")</x:f>
        <x:v>20000</x:v>
      </x:c>
      <x:c r="C194" s="12" t="n">
        <x:f>IF(A194,E44*L23,"")</x:f>
        <x:v>5</x:v>
      </x:c>
      <x:c r="D194" s="12" t="n">
        <x:f>IF(A194,M355,"")</x:f>
        <x:v>2.21197509765625</x:v>
      </x:c>
      <x:c r="E194" s="12" t="n">
        <x:f>IF(A194,B23/C23,"")</x:f>
        <x:v>4</x:v>
      </x:c>
      <x:c r="F194" s="12" t="n">
        <x:f>IF(A194,B23/D23,"")</x:f>
        <x:v>32</x:v>
      </x:c>
      <x:c r="G194" s="12" t="n">
        <x:f>IF(A194,$F$5*E194*$B$5*60000/B194,"")</x:f>
        <x:v>192</x:v>
      </x:c>
      <x:c r="H194" s="12" t="n">
        <x:f>IF(A194,G194/($J$5*F194),"")</x:f>
        <x:v>6</x:v>
      </x:c>
      <x:c r="I194" s="12" t="n">
        <x:f>IF(A194,$B$5*D194/C23/$B$9,"")</x:f>
        <x:v>4.4239501953125</x:v>
      </x:c>
      <x:c r="J194" s="12" t="n">
        <x:f>IF(A194,I194*$F$5/$J$5,"")</x:f>
        <x:v>4.4239501953125</x:v>
      </x:c>
      <x:c r="K194" s="12" t="n">
        <x:f>IF(A194,MAX(I194,J194)*2^30/(J23*1e6),"")</x:f>
        <x:v>0.9896209066666667</x:v>
      </x:c>
      <x:c r="L194" s="12" t="n">
        <x:f>IF(A194,B194/$B$9,"")</x:f>
        <x:v>20000</x:v>
      </x:c>
      <x:c r="M194" s="54" t="n">
        <x:f>IF(A194,K194/L194,"")</x:f>
        <x:v>0.000049481045333333336</x:v>
      </x:c>
      <x:c r="N194" s="12" t="n">
        <x:f>IF(A194,(E23*ROUNDUP(K23/D23,0)*G23*(B23-1)/B23*(ROUNDUP((ROUNDUP(F23*2/32,0)*32+32)/480,0)*512+F23*2+32)+E23*ROUNDUP(H23/B23,0)*(B23-1)*32)/1e9,"")</x:f>
        <x:v>1.349901696</x:v>
      </x:c>
      <x:c r="O194" s="12" t="n">
        <x:f>IF(A194,N194*1000/I23,"")</x:f>
        <x:v>0.28122952</x:v>
      </x:c>
      <x:c r="P194" s="12" t="n">
        <x:f>IF(A194,O194/E23,"")</x:f>
        <x:v>0.00461032</x:v>
      </x:c>
      <x:c r="Q194" s="12" t="n">
        <x:f>IF(A194,N194*1000/C194,"")</x:f>
        <x:v>269.9803392</x:v>
      </x:c>
      <x:c r="R194" s="12" t="n">
        <x:f>IF(W194="估算",IF(OR(K194=0,O194=0),0,1-((E23-1)*MAX(0,(C194-O194)/E23-(K194))+MAX(0,L194-((E23-1)*C194/E23+P194)-(K194)))/L194),"")</x:f>
        <x:v>0.00029561320067772456</x:v>
      </x:c>
      <x:c r="S194" s="12" t="n">
        <x:f>IF(W194="估算",IF(O194=0,0,MAX(0,1-(1-((E23-1)*MAX(0,(C194-O194)/E23-(L194-K194))+MAX(0,L194-((E23-1)*C194/E23+P194)-(L194-K194)))/L194))),"")</x:f>
        <x:v>0</x:v>
      </x:c>
      <x:c r="T194" s="12" t="n">
        <x:f>IF(W194="估算",IF(OR(P194=0,K194=0,$J$7=0),0,IF(P194&lt;=(1-$J$7)*K194,$J$7*P194*K194/(1-$J$7)-$J$7^2*P194^2/(2*(1-$J$7)^2),$J$7*P194*K194+$J$7^2*K194^2/2)/L194),"")</x:f>
        <x:v>2.5340490123802473e-8</x:v>
      </x:c>
      <x:c r="U194" s="12" t="n">
        <x:f>IF(A194,60000/C194,"")</x:f>
        <x:v>12000</x:v>
      </x:c>
      <x:c r="V194" s="12" t="n">
        <x:f>IF(W194="估算",U194*E23*T194*M23*N23,"")</x:f>
        <x:v>0.01854923877062341</x:v>
      </x:c>
      <x:c r="W194" s="12" t="str">
        <x:f>IF(NOT(A194),"输入无效",IF(K194&gt;=L194,"KV 超载",IF(O194&gt;C194+1e-9,"TPOT 不自洽",IF(OR(C194&gt;L194,P194&gt;L194-K194),"需时序仿真","估算"))))</x:f>
        <x:v>估算</x:v>
      </x:c>
      <x:c r="X194" s="12" t="n">
        <x:f>IF(W194="估算",U194*M194,"")</x:f>
        <x:v>0.593772544</x:v>
      </x:c>
    </x:row>
    <x:row r="195" ht="25" customHeight="1">
      <x:c r="A195" s="2" t="b">
        <x:f>AND(AND(ISNUMBER($B$5),$B$5&gt;0),AND(ISNUMBER($F$5),$F$5&gt;0),AND(ISNUMBER($J$5),$J$5&gt;0),AND(ISNUMBER($B$9),$B$9&gt;0),AND(ISNUMBER(I23),I23&gt;0),AND(ISNUMBER(J23),J23&gt;0),AND(ISNUMBER(K23),K23&gt;0),AND(ISNUMBER(L23),L23&gt;0),AND(ISNUMBER(D45),D45&gt;0),AND(ISNUMBER(E45),E45&gt;0),MOD($B$5,1)=0,MOD($F$5,1)=0,MOD($J$5,1)=0,MOD($B$9,1)=0,MOD(K23,1)=0,ISNUMBER(C45),C45&gt;=2,MOD(C45,1)=0,OR($N$9=32,$N$9=64,$N$9=128),ISNUMBER($B$11),$B$11&gt;=0,MOD($B$11,1)=0,ISNUMBER($J$7),$J$7&gt;=0,$J$7&lt;1,AND(ISNUMBER(M23),M23&gt;=0,M23&lt;=1),AND(ISNUMBER(N23),N23&gt;=0,N23&lt;=1))</x:f>
        <x:v>1</x:v>
      </x:c>
      <x:c r="B195" s="12" t="n">
        <x:f>IF(A195,D45*1000,"")</x:f>
        <x:v>20000</x:v>
      </x:c>
      <x:c r="C195" s="12" t="n">
        <x:f>IF(A195,E45*L23,"")</x:f>
        <x:v>10</x:v>
      </x:c>
      <x:c r="D195" s="12" t="n">
        <x:f>IF(A195,M355,"")</x:f>
        <x:v>2.21197509765625</x:v>
      </x:c>
      <x:c r="E195" s="12" t="n">
        <x:f>IF(A195,B23/C23,"")</x:f>
        <x:v>4</x:v>
      </x:c>
      <x:c r="F195" s="12" t="n">
        <x:f>IF(A195,B23/D23,"")</x:f>
        <x:v>32</x:v>
      </x:c>
      <x:c r="G195" s="12" t="n">
        <x:f>IF(A195,$F$5*E195*$B$5*60000/B195,"")</x:f>
        <x:v>192</x:v>
      </x:c>
      <x:c r="H195" s="12" t="n">
        <x:f>IF(A195,G195/($J$5*F195),"")</x:f>
        <x:v>6</x:v>
      </x:c>
      <x:c r="I195" s="12" t="n">
        <x:f>IF(A195,$B$5*D195/C23/$B$9,"")</x:f>
        <x:v>4.4239501953125</x:v>
      </x:c>
      <x:c r="J195" s="12" t="n">
        <x:f>IF(A195,I195*$F$5/$J$5,"")</x:f>
        <x:v>4.4239501953125</x:v>
      </x:c>
      <x:c r="K195" s="12" t="n">
        <x:f>IF(A195,MAX(I195,J195)*2^30/(J23*1e6),"")</x:f>
        <x:v>0.9896209066666667</x:v>
      </x:c>
      <x:c r="L195" s="12" t="n">
        <x:f>IF(A195,B195/$B$9,"")</x:f>
        <x:v>20000</x:v>
      </x:c>
      <x:c r="M195" s="54" t="n">
        <x:f>IF(A195,K195/L195,"")</x:f>
        <x:v>0.000049481045333333336</x:v>
      </x:c>
      <x:c r="N195" s="12" t="n">
        <x:f>IF(A195,(E23*ROUNDUP(K23/D23,0)*G23*(B23-1)/B23*(ROUNDUP((ROUNDUP(F23*2/32,0)*32+32)/480,0)*512+F23*2+32)+E23*ROUNDUP(H23/B23,0)*(B23-1)*32)/1e9,"")</x:f>
        <x:v>1.349901696</x:v>
      </x:c>
      <x:c r="O195" s="12" t="n">
        <x:f>IF(A195,N195*1000/I23,"")</x:f>
        <x:v>0.28122952</x:v>
      </x:c>
      <x:c r="P195" s="12" t="n">
        <x:f>IF(A195,O195/E23,"")</x:f>
        <x:v>0.00461032</x:v>
      </x:c>
      <x:c r="Q195" s="12" t="n">
        <x:f>IF(A195,N195*1000/C195,"")</x:f>
        <x:v>134.9901696</x:v>
      </x:c>
      <x:c r="R195" s="12" t="n">
        <x:f>IF(W195="估算",IF(OR(K195=0,O195=0),0,1-((E23-1)*MAX(0,(C195-O195)/E23-(K195))+MAX(0,L195-((E23-1)*C195/E23+P195)-(K195)))/L195),"")</x:f>
        <x:v>0.0005415148400219616</x:v>
      </x:c>
      <x:c r="S195" s="12" t="n">
        <x:f>IF(W195="估算",IF(O195=0,0,MAX(0,1-(1-((E23-1)*MAX(0,(C195-O195)/E23-(L195-K195))+MAX(0,L195-((E23-1)*C195/E23+P195)-(L195-K195)))/L195))),"")</x:f>
        <x:v>0</x:v>
      </x:c>
      <x:c r="T195" s="12" t="n">
        <x:f>IF(W195="估算",IF(OR(P195=0,K195=0,$J$7=0),0,IF(P195&lt;=(1-$J$7)*K195,$J$7*P195*K195/(1-$J$7)-$J$7^2*P195^2/(2*(1-$J$7)^2),$J$7*P195*K195+$J$7^2*K195^2/2)/L195),"")</x:f>
        <x:v>2.5340490123802473e-8</x:v>
      </x:c>
      <x:c r="U195" s="12" t="n">
        <x:f>IF(A195,60000/C195,"")</x:f>
        <x:v>6000</x:v>
      </x:c>
      <x:c r="V195" s="12" t="n">
        <x:f>IF(W195="估算",U195*E23*T195*M23*N23,"")</x:f>
        <x:v>0.009274619385311706</x:v>
      </x:c>
      <x:c r="W195" s="12" t="str">
        <x:f>IF(NOT(A195),"输入无效",IF(K195&gt;=L195,"KV 超载",IF(O195&gt;C195+1e-9,"TPOT 不自洽",IF(OR(C195&gt;L195,P195&gt;L195-K195),"需时序仿真","估算"))))</x:f>
        <x:v>估算</x:v>
      </x:c>
      <x:c r="X195" s="12" t="n">
        <x:f>IF(W195="估算",U195*M195,"")</x:f>
        <x:v>0.296886272</x:v>
      </x:c>
    </x:row>
    <x:row r="196" ht="25" customHeight="1">
      <x:c r="A196" s="2" t="b">
        <x:f>AND(AND(ISNUMBER($B$5),$B$5&gt;0),AND(ISNUMBER($F$5),$F$5&gt;0),AND(ISNUMBER($J$5),$J$5&gt;0),AND(ISNUMBER($B$9),$B$9&gt;0),AND(ISNUMBER(I23),I23&gt;0),AND(ISNUMBER(J23),J23&gt;0),AND(ISNUMBER(K23),K23&gt;0),AND(ISNUMBER(L23),L23&gt;0),AND(ISNUMBER(D46),D46&gt;0),AND(ISNUMBER(E46),E46&gt;0),MOD($B$5,1)=0,MOD($F$5,1)=0,MOD($J$5,1)=0,MOD($B$9,1)=0,MOD(K23,1)=0,ISNUMBER(C46),C46&gt;=2,MOD(C46,1)=0,OR($N$9=32,$N$9=64,$N$9=128),ISNUMBER($B$11),$B$11&gt;=0,MOD($B$11,1)=0,ISNUMBER($J$7),$J$7&gt;=0,$J$7&lt;1,AND(ISNUMBER(M23),M23&gt;=0,M23&lt;=1),AND(ISNUMBER(N23),N23&gt;=0,N23&lt;=1))</x:f>
        <x:v>1</x:v>
      </x:c>
      <x:c r="B196" s="12" t="n">
        <x:f>IF(A196,D46*1000,"")</x:f>
        <x:v>20000</x:v>
      </x:c>
      <x:c r="C196" s="12" t="n">
        <x:f>IF(A196,E46*L23,"")</x:f>
        <x:v>20</x:v>
      </x:c>
      <x:c r="D196" s="12" t="n">
        <x:f>IF(A196,M355,"")</x:f>
        <x:v>2.21197509765625</x:v>
      </x:c>
      <x:c r="E196" s="12" t="n">
        <x:f>IF(A196,B23/C23,"")</x:f>
        <x:v>4</x:v>
      </x:c>
      <x:c r="F196" s="12" t="n">
        <x:f>IF(A196,B23/D23,"")</x:f>
        <x:v>32</x:v>
      </x:c>
      <x:c r="G196" s="12" t="n">
        <x:f>IF(A196,$F$5*E196*$B$5*60000/B196,"")</x:f>
        <x:v>192</x:v>
      </x:c>
      <x:c r="H196" s="12" t="n">
        <x:f>IF(A196,G196/($J$5*F196),"")</x:f>
        <x:v>6</x:v>
      </x:c>
      <x:c r="I196" s="12" t="n">
        <x:f>IF(A196,$B$5*D196/C23/$B$9,"")</x:f>
        <x:v>4.4239501953125</x:v>
      </x:c>
      <x:c r="J196" s="12" t="n">
        <x:f>IF(A196,I196*$F$5/$J$5,"")</x:f>
        <x:v>4.4239501953125</x:v>
      </x:c>
      <x:c r="K196" s="12" t="n">
        <x:f>IF(A196,MAX(I196,J196)*2^30/(J23*1e6),"")</x:f>
        <x:v>0.9896209066666667</x:v>
      </x:c>
      <x:c r="L196" s="12" t="n">
        <x:f>IF(A196,B196/$B$9,"")</x:f>
        <x:v>20000</x:v>
      </x:c>
      <x:c r="M196" s="54" t="n">
        <x:f>IF(A196,K196/L196,"")</x:f>
        <x:v>0.000049481045333333336</x:v>
      </x:c>
      <x:c r="N196" s="12" t="n">
        <x:f>IF(A196,(E23*ROUNDUP(K23/D23,0)*G23*(B23-1)/B23*(ROUNDUP((ROUNDUP(F23*2/32,0)*32+32)/480,0)*512+F23*2+32)+E23*ROUNDUP(H23/B23,0)*(B23-1)*32)/1e9,"")</x:f>
        <x:v>1.349901696</x:v>
      </x:c>
      <x:c r="O196" s="12" t="n">
        <x:f>IF(A196,N196*1000/I23,"")</x:f>
        <x:v>0.28122952</x:v>
      </x:c>
      <x:c r="P196" s="12" t="n">
        <x:f>IF(A196,O196/E23,"")</x:f>
        <x:v>0.00461032</x:v>
      </x:c>
      <x:c r="Q196" s="12" t="n">
        <x:f>IF(A196,N196*1000/C196,"")</x:f>
        <x:v>67.4950848</x:v>
      </x:c>
      <x:c r="R196" s="12" t="n">
        <x:f>IF(W196="估算",IF(OR(K196=0,O196=0),0,1-((E23-1)*MAX(0,(C196-O196)/E23-(K196))+MAX(0,L196-((E23-1)*C196/E23+P196)-(K196)))/L196),"")</x:f>
        <x:v>0.0010333181187104357</x:v>
      </x:c>
      <x:c r="S196" s="12" t="n">
        <x:f>IF(W196="估算",IF(O196=0,0,MAX(0,1-(1-((E23-1)*MAX(0,(C196-O196)/E23-(L196-K196))+MAX(0,L196-((E23-1)*C196/E23+P196)-(L196-K196)))/L196))),"")</x:f>
        <x:v>0</x:v>
      </x:c>
      <x:c r="T196" s="12" t="n">
        <x:f>IF(W196="估算",IF(OR(P196=0,K196=0,$J$7=0),0,IF(P196&lt;=(1-$J$7)*K196,$J$7*P196*K196/(1-$J$7)-$J$7^2*P196^2/(2*(1-$J$7)^2),$J$7*P196*K196+$J$7^2*K196^2/2)/L196),"")</x:f>
        <x:v>2.5340490123802473e-8</x:v>
      </x:c>
      <x:c r="U196" s="12" t="n">
        <x:f>IF(A196,60000/C196,"")</x:f>
        <x:v>3000</x:v>
      </x:c>
      <x:c r="V196" s="12" t="n">
        <x:f>IF(W196="估算",U196*E23*T196*M23*N23,"")</x:f>
        <x:v>0.004637309692655853</x:v>
      </x:c>
      <x:c r="W196" s="12" t="str">
        <x:f>IF(NOT(A196),"输入无效",IF(K196&gt;=L196,"KV 超载",IF(O196&gt;C196+1e-9,"TPOT 不自洽",IF(OR(C196&gt;L196,P196&gt;L196-K196),"需时序仿真","估算"))))</x:f>
        <x:v>估算</x:v>
      </x:c>
      <x:c r="X196" s="12" t="n">
        <x:f>IF(W196="估算",U196*M196,"")</x:f>
        <x:v>0.148443136</x:v>
      </x:c>
    </x:row>
    <x:row r="197" ht="25" customHeight="1">
      <x:c r="A197" s="2" t="b">
        <x:f>AND(AND(ISNUMBER($B$5),$B$5&gt;0),AND(ISNUMBER($F$5),$F$5&gt;0),AND(ISNUMBER($J$5),$J$5&gt;0),AND(ISNUMBER($B$9),$B$9&gt;0),AND(ISNUMBER(I23),I23&gt;0),AND(ISNUMBER(J23),J23&gt;0),AND(ISNUMBER(K23),K23&gt;0),AND(ISNUMBER(L23),L23&gt;0),AND(ISNUMBER(D47),D47&gt;0),AND(ISNUMBER(E47),E47&gt;0),MOD($B$5,1)=0,MOD($F$5,1)=0,MOD($J$5,1)=0,MOD($B$9,1)=0,MOD(K23,1)=0,ISNUMBER(C47),C47&gt;=2,MOD(C47,1)=0,OR($N$9=32,$N$9=64,$N$9=128),ISNUMBER($B$11),$B$11&gt;=0,MOD($B$11,1)=0,ISNUMBER($J$7),$J$7&gt;=0,$J$7&lt;1,AND(ISNUMBER(M23),M23&gt;=0,M23&lt;=1),AND(ISNUMBER(N23),N23&gt;=0,N23&lt;=1))</x:f>
        <x:v>1</x:v>
      </x:c>
      <x:c r="B197" s="12" t="n">
        <x:f>IF(A197,D47*1000,"")</x:f>
        <x:v>20000</x:v>
      </x:c>
      <x:c r="C197" s="12" t="n">
        <x:f>IF(A197,E47*L23,"")</x:f>
        <x:v>30</x:v>
      </x:c>
      <x:c r="D197" s="12" t="n">
        <x:f>IF(A197,M355,"")</x:f>
        <x:v>2.21197509765625</x:v>
      </x:c>
      <x:c r="E197" s="12" t="n">
        <x:f>IF(A197,B23/C23,"")</x:f>
        <x:v>4</x:v>
      </x:c>
      <x:c r="F197" s="12" t="n">
        <x:f>IF(A197,B23/D23,"")</x:f>
        <x:v>32</x:v>
      </x:c>
      <x:c r="G197" s="12" t="n">
        <x:f>IF(A197,$F$5*E197*$B$5*60000/B197,"")</x:f>
        <x:v>192</x:v>
      </x:c>
      <x:c r="H197" s="12" t="n">
        <x:f>IF(A197,G197/($J$5*F197),"")</x:f>
        <x:v>6</x:v>
      </x:c>
      <x:c r="I197" s="12" t="n">
        <x:f>IF(A197,$B$5*D197/C23/$B$9,"")</x:f>
        <x:v>4.4239501953125</x:v>
      </x:c>
      <x:c r="J197" s="12" t="n">
        <x:f>IF(A197,I197*$F$5/$J$5,"")</x:f>
        <x:v>4.4239501953125</x:v>
      </x:c>
      <x:c r="K197" s="12" t="n">
        <x:f>IF(A197,MAX(I197,J197)*2^30/(J23*1e6),"")</x:f>
        <x:v>0.9896209066666667</x:v>
      </x:c>
      <x:c r="L197" s="12" t="n">
        <x:f>IF(A197,B197/$B$9,"")</x:f>
        <x:v>20000</x:v>
      </x:c>
      <x:c r="M197" s="54" t="n">
        <x:f>IF(A197,K197/L197,"")</x:f>
        <x:v>0.000049481045333333336</x:v>
      </x:c>
      <x:c r="N197" s="12" t="n">
        <x:f>IF(A197,(E23*ROUNDUP(K23/D23,0)*G23*(B23-1)/B23*(ROUNDUP((ROUNDUP(F23*2/32,0)*32+32)/480,0)*512+F23*2+32)+E23*ROUNDUP(H23/B23,0)*(B23-1)*32)/1e9,"")</x:f>
        <x:v>1.349901696</x:v>
      </x:c>
      <x:c r="O197" s="12" t="n">
        <x:f>IF(A197,N197*1000/I23,"")</x:f>
        <x:v>0.28122952</x:v>
      </x:c>
      <x:c r="P197" s="12" t="n">
        <x:f>IF(A197,O197/E23,"")</x:f>
        <x:v>0.00461032</x:v>
      </x:c>
      <x:c r="Q197" s="12" t="n">
        <x:f>IF(A197,N197*1000/C197,"")</x:f>
        <x:v>44.996723200000005</x:v>
      </x:c>
      <x:c r="R197" s="12" t="n">
        <x:f>IF(W197="估算",IF(OR(K197=0,O197=0),0,1-((E23-1)*MAX(0,(C197-O197)/E23-(K197))+MAX(0,L197-((E23-1)*C197/E23+P197)-(K197)))/L197),"")</x:f>
        <x:v>0.0015251213973990208</x:v>
      </x:c>
      <x:c r="S197" s="12" t="n">
        <x:f>IF(W197="估算",IF(O197=0,0,MAX(0,1-(1-((E23-1)*MAX(0,(C197-O197)/E23-(L197-K197))+MAX(0,L197-((E23-1)*C197/E23+P197)-(L197-K197)))/L197))),"")</x:f>
        <x:v>0</x:v>
      </x:c>
      <x:c r="T197" s="12" t="n">
        <x:f>IF(W197="估算",IF(OR(P197=0,K197=0,$J$7=0),0,IF(P197&lt;=(1-$J$7)*K197,$J$7*P197*K197/(1-$J$7)-$J$7^2*P197^2/(2*(1-$J$7)^2),$J$7*P197*K197+$J$7^2*K197^2/2)/L197),"")</x:f>
        <x:v>2.5340490123802473e-8</x:v>
      </x:c>
      <x:c r="U197" s="12" t="n">
        <x:f>IF(A197,60000/C197,"")</x:f>
        <x:v>2000</x:v>
      </x:c>
      <x:c r="V197" s="12" t="n">
        <x:f>IF(W197="估算",U197*E23*T197*M23*N23,"")</x:f>
        <x:v>0.0030915397951039015</x:v>
      </x:c>
      <x:c r="W197" s="12" t="str">
        <x:f>IF(NOT(A197),"输入无效",IF(K197&gt;=L197,"KV 超载",IF(O197&gt;C197+1e-9,"TPOT 不自洽",IF(OR(C197&gt;L197,P197&gt;L197-K197),"需时序仿真","估算"))))</x:f>
        <x:v>估算</x:v>
      </x:c>
      <x:c r="X197" s="12" t="n">
        <x:f>IF(W197="估算",U197*M197,"")</x:f>
        <x:v>0.09896209066666667</x:v>
      </x:c>
    </x:row>
    <x:row r="198" ht="25" customHeight="1">
      <x:c r="A198" s="2" t="b">
        <x:f>AND(AND(ISNUMBER($B$5),$B$5&gt;0),AND(ISNUMBER($F$5),$F$5&gt;0),AND(ISNUMBER($J$5),$J$5&gt;0),AND(ISNUMBER($B$9),$B$9&gt;0),AND(ISNUMBER(I23),I23&gt;0),AND(ISNUMBER(J23),J23&gt;0),AND(ISNUMBER(K23),K23&gt;0),AND(ISNUMBER(L23),L23&gt;0),AND(ISNUMBER(D48),D48&gt;0),AND(ISNUMBER(E48),E48&gt;0),MOD($B$5,1)=0,MOD($F$5,1)=0,MOD($J$5,1)=0,MOD($B$9,1)=0,MOD(K23,1)=0,ISNUMBER(C48),C48&gt;=2,MOD(C48,1)=0,OR($N$9=32,$N$9=64,$N$9=128),ISNUMBER($B$11),$B$11&gt;=0,MOD($B$11,1)=0,ISNUMBER($J$7),$J$7&gt;=0,$J$7&lt;1,AND(ISNUMBER(M23),M23&gt;=0,M23&lt;=1),AND(ISNUMBER(N23),N23&gt;=0,N23&lt;=1))</x:f>
        <x:v>1</x:v>
      </x:c>
      <x:c r="B198" s="12" t="n">
        <x:f>IF(A198,D48*1000,"")</x:f>
        <x:v>60000</x:v>
      </x:c>
      <x:c r="C198" s="12" t="n">
        <x:f>IF(A198,E48*L23,"")</x:f>
        <x:v>5</x:v>
      </x:c>
      <x:c r="D198" s="12" t="n">
        <x:f>IF(A198,M363,"")</x:f>
        <x:v>8.73272705078125</x:v>
      </x:c>
      <x:c r="E198" s="12" t="n">
        <x:f>IF(A198,B23/C23,"")</x:f>
        <x:v>4</x:v>
      </x:c>
      <x:c r="F198" s="12" t="n">
        <x:f>IF(A198,B23/D23,"")</x:f>
        <x:v>32</x:v>
      </x:c>
      <x:c r="G198" s="12" t="n">
        <x:f>IF(A198,$F$5*E198*$B$5*60000/B198,"")</x:f>
        <x:v>64</x:v>
      </x:c>
      <x:c r="H198" s="12" t="n">
        <x:f>IF(A198,G198/($J$5*F198),"")</x:f>
        <x:v>2</x:v>
      </x:c>
      <x:c r="I198" s="12" t="n">
        <x:f>IF(A198,$B$5*D198/C23/$B$9,"")</x:f>
        <x:v>17.4654541015625</x:v>
      </x:c>
      <x:c r="J198" s="12" t="n">
        <x:f>IF(A198,I198*$F$5/$J$5,"")</x:f>
        <x:v>17.4654541015625</x:v>
      </x:c>
      <x:c r="K198" s="12" t="n">
        <x:f>IF(A198,MAX(I198,J198)*2^30/(J23*1e6),"")</x:f>
        <x:v>3.906955946666667</x:v>
      </x:c>
      <x:c r="L198" s="12" t="n">
        <x:f>IF(A198,B198/$B$9,"")</x:f>
        <x:v>60000</x:v>
      </x:c>
      <x:c r="M198" s="54" t="n">
        <x:f>IF(A198,K198/L198,"")</x:f>
        <x:v>0.00006511593244444444</x:v>
      </x:c>
      <x:c r="N198" s="12" t="n">
        <x:f>IF(A198,(E23*ROUNDUP(K23/D23,0)*G23*(B23-1)/B23*(ROUNDUP((ROUNDUP(F23*2/32,0)*32+32)/480,0)*512+F23*2+32)+E23*ROUNDUP(H23/B23,0)*(B23-1)*32)/1e9,"")</x:f>
        <x:v>1.349901696</x:v>
      </x:c>
      <x:c r="O198" s="12" t="n">
        <x:f>IF(A198,N198*1000/I23,"")</x:f>
        <x:v>0.28122952</x:v>
      </x:c>
      <x:c r="P198" s="12" t="n">
        <x:f>IF(A198,O198/E23,"")</x:f>
        <x:v>0.00461032</x:v>
      </x:c>
      <x:c r="Q198" s="12" t="n">
        <x:f>IF(A198,N198*1000/C198,"")</x:f>
        <x:v>269.9803392</x:v>
      </x:c>
      <x:c r="R198" s="12" t="n">
        <x:f>IF(W198="估算",IF(OR(K198=0,O198=0),0,1-((E23-1)*MAX(0,(C198-O198)/E23-(K198))+MAX(0,L198-((E23-1)*C198/E23+P198)-(K198)))/L198),"")</x:f>
        <x:v>0.00014715998422576426</x:v>
      </x:c>
      <x:c r="S198" s="12" t="n">
        <x:f>IF(W198="估算",IF(O198=0,0,MAX(0,1-(1-((E23-1)*MAX(0,(C198-O198)/E23-(L198-K198))+MAX(0,L198-((E23-1)*C198/E23+P198)-(L198-K198)))/L198))),"")</x:f>
        <x:v>0</x:v>
      </x:c>
      <x:c r="T198" s="12" t="n">
        <x:f>IF(W198="估算",IF(OR(P198=0,K198=0,$J$7=0),0,IF(P198&lt;=(1-$J$7)*K198,$J$7*P198*K198/(1-$J$7)-$J$7^2*P198^2/(2*(1-$J$7)^2),$J$7*P198*K198+$J$7^2*K198^2/2)/L198),"")</x:f>
        <x:v>3.335395611832824e-8</x:v>
      </x:c>
      <x:c r="U198" s="12" t="n">
        <x:f>IF(A198,60000/C198,"")</x:f>
        <x:v>12000</x:v>
      </x:c>
      <x:c r="V198" s="12" t="n">
        <x:f>IF(W198="估算",U198*E23*T198*M23*N23,"")</x:f>
        <x:v>0.02441509587861627</x:v>
      </x:c>
      <x:c r="W198" s="12" t="str">
        <x:f>IF(NOT(A198),"输入无效",IF(K198&gt;=L198,"KV 超载",IF(O198&gt;C198+1e-9,"TPOT 不自洽",IF(OR(C198&gt;L198,P198&gt;L198-K198),"需时序仿真","估算"))))</x:f>
        <x:v>估算</x:v>
      </x:c>
      <x:c r="X198" s="12" t="n">
        <x:f>IF(W198="估算",U198*M198,"")</x:f>
        <x:v>0.7813911893333333</x:v>
      </x:c>
    </x:row>
    <x:row r="199" ht="25" customHeight="1">
      <x:c r="A199" s="2" t="b">
        <x:f>AND(AND(ISNUMBER($B$5),$B$5&gt;0),AND(ISNUMBER($F$5),$F$5&gt;0),AND(ISNUMBER($J$5),$J$5&gt;0),AND(ISNUMBER($B$9),$B$9&gt;0),AND(ISNUMBER(I23),I23&gt;0),AND(ISNUMBER(J23),J23&gt;0),AND(ISNUMBER(K23),K23&gt;0),AND(ISNUMBER(L23),L23&gt;0),AND(ISNUMBER(D49),D49&gt;0),AND(ISNUMBER(E49),E49&gt;0),MOD($B$5,1)=0,MOD($F$5,1)=0,MOD($J$5,1)=0,MOD($B$9,1)=0,MOD(K23,1)=0,ISNUMBER(C49),C49&gt;=2,MOD(C49,1)=0,OR($N$9=32,$N$9=64,$N$9=128),ISNUMBER($B$11),$B$11&gt;=0,MOD($B$11,1)=0,ISNUMBER($J$7),$J$7&gt;=0,$J$7&lt;1,AND(ISNUMBER(M23),M23&gt;=0,M23&lt;=1),AND(ISNUMBER(N23),N23&gt;=0,N23&lt;=1))</x:f>
        <x:v>1</x:v>
      </x:c>
      <x:c r="B199" s="12" t="n">
        <x:f>IF(A199,D49*1000,"")</x:f>
        <x:v>60000</x:v>
      </x:c>
      <x:c r="C199" s="12" t="n">
        <x:f>IF(A199,E49*L23,"")</x:f>
        <x:v>10</x:v>
      </x:c>
      <x:c r="D199" s="12" t="n">
        <x:f>IF(A199,M363,"")</x:f>
        <x:v>8.73272705078125</x:v>
      </x:c>
      <x:c r="E199" s="12" t="n">
        <x:f>IF(A199,B23/C23,"")</x:f>
        <x:v>4</x:v>
      </x:c>
      <x:c r="F199" s="12" t="n">
        <x:f>IF(A199,B23/D23,"")</x:f>
        <x:v>32</x:v>
      </x:c>
      <x:c r="G199" s="12" t="n">
        <x:f>IF(A199,$F$5*E199*$B$5*60000/B199,"")</x:f>
        <x:v>64</x:v>
      </x:c>
      <x:c r="H199" s="12" t="n">
        <x:f>IF(A199,G199/($J$5*F199),"")</x:f>
        <x:v>2</x:v>
      </x:c>
      <x:c r="I199" s="12" t="n">
        <x:f>IF(A199,$B$5*D199/C23/$B$9,"")</x:f>
        <x:v>17.4654541015625</x:v>
      </x:c>
      <x:c r="J199" s="12" t="n">
        <x:f>IF(A199,I199*$F$5/$J$5,"")</x:f>
        <x:v>17.4654541015625</x:v>
      </x:c>
      <x:c r="K199" s="12" t="n">
        <x:f>IF(A199,MAX(I199,J199)*2^30/(J23*1e6),"")</x:f>
        <x:v>3.906955946666667</x:v>
      </x:c>
      <x:c r="L199" s="12" t="n">
        <x:f>IF(A199,B199/$B$9,"")</x:f>
        <x:v>60000</x:v>
      </x:c>
      <x:c r="M199" s="54" t="n">
        <x:f>IF(A199,K199/L199,"")</x:f>
        <x:v>0.00006511593244444444</x:v>
      </x:c>
      <x:c r="N199" s="12" t="n">
        <x:f>IF(A199,(E23*ROUNDUP(K23/D23,0)*G23*(B23-1)/B23*(ROUNDUP((ROUNDUP(F23*2/32,0)*32+32)/480,0)*512+F23*2+32)+E23*ROUNDUP(H23/B23,0)*(B23-1)*32)/1e9,"")</x:f>
        <x:v>1.349901696</x:v>
      </x:c>
      <x:c r="O199" s="12" t="n">
        <x:f>IF(A199,N199*1000/I23,"")</x:f>
        <x:v>0.28122952</x:v>
      </x:c>
      <x:c r="P199" s="12" t="n">
        <x:f>IF(A199,O199/E23,"")</x:f>
        <x:v>0.00461032</x:v>
      </x:c>
      <x:c r="Q199" s="12" t="n">
        <x:f>IF(A199,N199*1000/C199,"")</x:f>
        <x:v>134.9901696</x:v>
      </x:c>
      <x:c r="R199" s="12" t="n">
        <x:f>IF(W199="估算",IF(OR(K199=0,O199=0),0,1-((E23-1)*MAX(0,(C199-O199)/E23-(K199))+MAX(0,L199-((E23-1)*C199/E23+P199)-(K199)))/L199),"")</x:f>
        <x:v>0.00022912719734058395</x:v>
      </x:c>
      <x:c r="S199" s="12" t="n">
        <x:f>IF(W199="估算",IF(O199=0,0,MAX(0,1-(1-((E23-1)*MAX(0,(C199-O199)/E23-(L199-K199))+MAX(0,L199-((E23-1)*C199/E23+P199)-(L199-K199)))/L199))),"")</x:f>
        <x:v>0</x:v>
      </x:c>
      <x:c r="T199" s="12" t="n">
        <x:f>IF(W199="估算",IF(OR(P199=0,K199=0,$J$7=0),0,IF(P199&lt;=(1-$J$7)*K199,$J$7*P199*K199/(1-$J$7)-$J$7^2*P199^2/(2*(1-$J$7)^2),$J$7*P199*K199+$J$7^2*K199^2/2)/L199),"")</x:f>
        <x:v>3.335395611832824e-8</x:v>
      </x:c>
      <x:c r="U199" s="12" t="n">
        <x:f>IF(A199,60000/C199,"")</x:f>
        <x:v>6000</x:v>
      </x:c>
      <x:c r="V199" s="12" t="n">
        <x:f>IF(W199="估算",U199*E23*T199*M23*N23,"")</x:f>
        <x:v>0.012207547939308136</x:v>
      </x:c>
      <x:c r="W199" s="12" t="str">
        <x:f>IF(NOT(A199),"输入无效",IF(K199&gt;=L199,"KV 超载",IF(O199&gt;C199+1e-9,"TPOT 不自洽",IF(OR(C199&gt;L199,P199&gt;L199-K199),"需时序仿真","估算"))))</x:f>
        <x:v>估算</x:v>
      </x:c>
      <x:c r="X199" s="12" t="n">
        <x:f>IF(W199="估算",U199*M199,"")</x:f>
        <x:v>0.39069559466666665</x:v>
      </x:c>
    </x:row>
    <x:row r="200" ht="25" customHeight="1">
      <x:c r="A200" s="2" t="b">
        <x:f>AND(AND(ISNUMBER($B$5),$B$5&gt;0),AND(ISNUMBER($F$5),$F$5&gt;0),AND(ISNUMBER($J$5),$J$5&gt;0),AND(ISNUMBER($B$9),$B$9&gt;0),AND(ISNUMBER(I23),I23&gt;0),AND(ISNUMBER(J23),J23&gt;0),AND(ISNUMBER(K23),K23&gt;0),AND(ISNUMBER(L23),L23&gt;0),AND(ISNUMBER(D50),D50&gt;0),AND(ISNUMBER(E50),E50&gt;0),MOD($B$5,1)=0,MOD($F$5,1)=0,MOD($J$5,1)=0,MOD($B$9,1)=0,MOD(K23,1)=0,ISNUMBER(C50),C50&gt;=2,MOD(C50,1)=0,OR($N$9=32,$N$9=64,$N$9=128),ISNUMBER($B$11),$B$11&gt;=0,MOD($B$11,1)=0,ISNUMBER($J$7),$J$7&gt;=0,$J$7&lt;1,AND(ISNUMBER(M23),M23&gt;=0,M23&lt;=1),AND(ISNUMBER(N23),N23&gt;=0,N23&lt;=1))</x:f>
        <x:v>1</x:v>
      </x:c>
      <x:c r="B200" s="12" t="n">
        <x:f>IF(A200,D50*1000,"")</x:f>
        <x:v>60000</x:v>
      </x:c>
      <x:c r="C200" s="12" t="n">
        <x:f>IF(A200,E50*L23,"")</x:f>
        <x:v>20</x:v>
      </x:c>
      <x:c r="D200" s="12" t="n">
        <x:f>IF(A200,M363,"")</x:f>
        <x:v>8.73272705078125</x:v>
      </x:c>
      <x:c r="E200" s="12" t="n">
        <x:f>IF(A200,B23/C23,"")</x:f>
        <x:v>4</x:v>
      </x:c>
      <x:c r="F200" s="12" t="n">
        <x:f>IF(A200,B23/D23,"")</x:f>
        <x:v>32</x:v>
      </x:c>
      <x:c r="G200" s="12" t="n">
        <x:f>IF(A200,$F$5*E200*$B$5*60000/B200,"")</x:f>
        <x:v>64</x:v>
      </x:c>
      <x:c r="H200" s="12" t="n">
        <x:f>IF(A200,G200/($J$5*F200),"")</x:f>
        <x:v>2</x:v>
      </x:c>
      <x:c r="I200" s="12" t="n">
        <x:f>IF(A200,$B$5*D200/C23/$B$9,"")</x:f>
        <x:v>17.4654541015625</x:v>
      </x:c>
      <x:c r="J200" s="12" t="n">
        <x:f>IF(A200,I200*$F$5/$J$5,"")</x:f>
        <x:v>17.4654541015625</x:v>
      </x:c>
      <x:c r="K200" s="12" t="n">
        <x:f>IF(A200,MAX(I200,J200)*2^30/(J23*1e6),"")</x:f>
        <x:v>3.906955946666667</x:v>
      </x:c>
      <x:c r="L200" s="12" t="n">
        <x:f>IF(A200,B200/$B$9,"")</x:f>
        <x:v>60000</x:v>
      </x:c>
      <x:c r="M200" s="54" t="n">
        <x:f>IF(A200,K200/L200,"")</x:f>
        <x:v>0.00006511593244444444</x:v>
      </x:c>
      <x:c r="N200" s="12" t="n">
        <x:f>IF(A200,(E23*ROUNDUP(K23/D23,0)*G23*(B23-1)/B23*(ROUNDUP((ROUNDUP(F23*2/32,0)*32+32)/480,0)*512+F23*2+32)+E23*ROUNDUP(H23/B23,0)*(B23-1)*32)/1e9,"")</x:f>
        <x:v>1.349901696</x:v>
      </x:c>
      <x:c r="O200" s="12" t="n">
        <x:f>IF(A200,N200*1000/I23,"")</x:f>
        <x:v>0.28122952</x:v>
      </x:c>
      <x:c r="P200" s="12" t="n">
        <x:f>IF(A200,O200/E23,"")</x:f>
        <x:v>0.00461032</x:v>
      </x:c>
      <x:c r="Q200" s="12" t="n">
        <x:f>IF(A200,N200*1000/C200,"")</x:f>
        <x:v>67.4950848</x:v>
      </x:c>
      <x:c r="R200" s="12" t="n">
        <x:f>IF(W200="估算",IF(OR(K200=0,O200=0),0,1-((E23-1)*MAX(0,(C200-O200)/E23-(K200))+MAX(0,L200-((E23-1)*C200/E23+P200)-(K200)))/L200),"")</x:f>
        <x:v>0.0003930616235701123</x:v>
      </x:c>
      <x:c r="S200" s="12" t="n">
        <x:f>IF(W200="估算",IF(O200=0,0,MAX(0,1-(1-((E23-1)*MAX(0,(C200-O200)/E23-(L200-K200))+MAX(0,L200-((E23-1)*C200/E23+P200)-(L200-K200)))/L200))),"")</x:f>
        <x:v>0</x:v>
      </x:c>
      <x:c r="T200" s="12" t="n">
        <x:f>IF(W200="估算",IF(OR(P200=0,K200=0,$J$7=0),0,IF(P200&lt;=(1-$J$7)*K200,$J$7*P200*K200/(1-$J$7)-$J$7^2*P200^2/(2*(1-$J$7)^2),$J$7*P200*K200+$J$7^2*K200^2/2)/L200),"")</x:f>
        <x:v>3.335395611832824e-8</x:v>
      </x:c>
      <x:c r="U200" s="12" t="n">
        <x:f>IF(A200,60000/C200,"")</x:f>
        <x:v>3000</x:v>
      </x:c>
      <x:c r="V200" s="12" t="n">
        <x:f>IF(W200="估算",U200*E23*T200*M23*N23,"")</x:f>
        <x:v>0.006103773969654068</x:v>
      </x:c>
      <x:c r="W200" s="12" t="str">
        <x:f>IF(NOT(A200),"输入无效",IF(K200&gt;=L200,"KV 超载",IF(O200&gt;C200+1e-9,"TPOT 不自洽",IF(OR(C200&gt;L200,P200&gt;L200-K200),"需时序仿真","估算"))))</x:f>
        <x:v>估算</x:v>
      </x:c>
      <x:c r="X200" s="12" t="n">
        <x:f>IF(W200="估算",U200*M200,"")</x:f>
        <x:v>0.19534779733333332</x:v>
      </x:c>
    </x:row>
    <x:row r="201" ht="25" customHeight="1">
      <x:c r="A201" s="2" t="b">
        <x:f>AND(AND(ISNUMBER($B$5),$B$5&gt;0),AND(ISNUMBER($F$5),$F$5&gt;0),AND(ISNUMBER($J$5),$J$5&gt;0),AND(ISNUMBER($B$9),$B$9&gt;0),AND(ISNUMBER(I23),I23&gt;0),AND(ISNUMBER(J23),J23&gt;0),AND(ISNUMBER(K23),K23&gt;0),AND(ISNUMBER(L23),L23&gt;0),AND(ISNUMBER(D51),D51&gt;0),AND(ISNUMBER(E51),E51&gt;0),MOD($B$5,1)=0,MOD($F$5,1)=0,MOD($J$5,1)=0,MOD($B$9,1)=0,MOD(K23,1)=0,ISNUMBER(C51),C51&gt;=2,MOD(C51,1)=0,OR($N$9=32,$N$9=64,$N$9=128),ISNUMBER($B$11),$B$11&gt;=0,MOD($B$11,1)=0,ISNUMBER($J$7),$J$7&gt;=0,$J$7&lt;1,AND(ISNUMBER(M23),M23&gt;=0,M23&lt;=1),AND(ISNUMBER(N23),N23&gt;=0,N23&lt;=1))</x:f>
        <x:v>1</x:v>
      </x:c>
      <x:c r="B201" s="12" t="n">
        <x:f>IF(A201,D51*1000,"")</x:f>
        <x:v>60000</x:v>
      </x:c>
      <x:c r="C201" s="12" t="n">
        <x:f>IF(A201,E51*L23,"")</x:f>
        <x:v>30</x:v>
      </x:c>
      <x:c r="D201" s="12" t="n">
        <x:f>IF(A201,M363,"")</x:f>
        <x:v>8.73272705078125</x:v>
      </x:c>
      <x:c r="E201" s="12" t="n">
        <x:f>IF(A201,B23/C23,"")</x:f>
        <x:v>4</x:v>
      </x:c>
      <x:c r="F201" s="12" t="n">
        <x:f>IF(A201,B23/D23,"")</x:f>
        <x:v>32</x:v>
      </x:c>
      <x:c r="G201" s="12" t="n">
        <x:f>IF(A201,$F$5*E201*$B$5*60000/B201,"")</x:f>
        <x:v>64</x:v>
      </x:c>
      <x:c r="H201" s="12" t="n">
        <x:f>IF(A201,G201/($J$5*F201),"")</x:f>
        <x:v>2</x:v>
      </x:c>
      <x:c r="I201" s="12" t="n">
        <x:f>IF(A201,$B$5*D201/C23/$B$9,"")</x:f>
        <x:v>17.4654541015625</x:v>
      </x:c>
      <x:c r="J201" s="12" t="n">
        <x:f>IF(A201,I201*$F$5/$J$5,"")</x:f>
        <x:v>17.4654541015625</x:v>
      </x:c>
      <x:c r="K201" s="12" t="n">
        <x:f>IF(A201,MAX(I201,J201)*2^30/(J23*1e6),"")</x:f>
        <x:v>3.906955946666667</x:v>
      </x:c>
      <x:c r="L201" s="12" t="n">
        <x:f>IF(A201,B201/$B$9,"")</x:f>
        <x:v>60000</x:v>
      </x:c>
      <x:c r="M201" s="54" t="n">
        <x:f>IF(A201,K201/L201,"")</x:f>
        <x:v>0.00006511593244444444</x:v>
      </x:c>
      <x:c r="N201" s="12" t="n">
        <x:f>IF(A201,(E23*ROUNDUP(K23/D23,0)*G23*(B23-1)/B23*(ROUNDUP((ROUNDUP(F23*2/32,0)*32+32)/480,0)*512+F23*2+32)+E23*ROUNDUP(H23/B23,0)*(B23-1)*32)/1e9,"")</x:f>
        <x:v>1.349901696</x:v>
      </x:c>
      <x:c r="O201" s="12" t="n">
        <x:f>IF(A201,N201*1000/I23,"")</x:f>
        <x:v>0.28122952</x:v>
      </x:c>
      <x:c r="P201" s="12" t="n">
        <x:f>IF(A201,O201/E23,"")</x:f>
        <x:v>0.00461032</x:v>
      </x:c>
      <x:c r="Q201" s="12" t="n">
        <x:f>IF(A201,N201*1000/C201,"")</x:f>
        <x:v>44.996723200000005</x:v>
      </x:c>
      <x:c r="R201" s="12" t="n">
        <x:f>IF(W201="估算",IF(OR(K201=0,O201=0),0,1-((E23-1)*MAX(0,(C201-O201)/E23-(K201))+MAX(0,L201-((E23-1)*C201/E23+P201)-(K201)))/L201),"")</x:f>
        <x:v>0.0005569960497996407</x:v>
      </x:c>
      <x:c r="S201" s="12" t="n">
        <x:f>IF(W201="估算",IF(O201=0,0,MAX(0,1-(1-((E23-1)*MAX(0,(C201-O201)/E23-(L201-K201))+MAX(0,L201-((E23-1)*C201/E23+P201)-(L201-K201)))/L201))),"")</x:f>
        <x:v>0</x:v>
      </x:c>
      <x:c r="T201" s="12" t="n">
        <x:f>IF(W201="估算",IF(OR(P201=0,K201=0,$J$7=0),0,IF(P201&lt;=(1-$J$7)*K201,$J$7*P201*K201/(1-$J$7)-$J$7^2*P201^2/(2*(1-$J$7)^2),$J$7*P201*K201+$J$7^2*K201^2/2)/L201),"")</x:f>
        <x:v>3.335395611832824e-8</x:v>
      </x:c>
      <x:c r="U201" s="12" t="n">
        <x:f>IF(A201,60000/C201,"")</x:f>
        <x:v>2000</x:v>
      </x:c>
      <x:c r="V201" s="12" t="n">
        <x:f>IF(W201="估算",U201*E23*T201*M23*N23,"")</x:f>
        <x:v>0.0040691826464360455</x:v>
      </x:c>
      <x:c r="W201" s="12" t="str">
        <x:f>IF(NOT(A201),"输入无效",IF(K201&gt;=L201,"KV 超载",IF(O201&gt;C201+1e-9,"TPOT 不自洽",IF(OR(C201&gt;L201,P201&gt;L201-K201),"需时序仿真","估算"))))</x:f>
        <x:v>估算</x:v>
      </x:c>
      <x:c r="X201" s="12" t="n">
        <x:f>IF(W201="估算",U201*M201,"")</x:f>
        <x:v>0.13023186488888888</x:v>
      </x:c>
    </x:row>
    <x:row r="202" ht="25" customHeight="1">
      <x:c r="A202" s="2" t="b">
        <x:f>AND(AND(ISNUMBER($B$5),$B$5&gt;0),AND(ISNUMBER($F$5),$F$5&gt;0),AND(ISNUMBER($J$5),$J$5&gt;0),AND(ISNUMBER($B$9),$B$9&gt;0),AND(ISNUMBER(I24),I24&gt;0),AND(ISNUMBER(J24),J24&gt;0),AND(ISNUMBER(K24),K24&gt;0),AND(ISNUMBER(L24),L24&gt;0),AND(ISNUMBER(D52),D52&gt;0),AND(ISNUMBER(E52),E52&gt;0),MOD($B$5,1)=0,MOD($F$5,1)=0,MOD($J$5,1)=0,MOD($B$9,1)=0,MOD(K24,1)=0,ISNUMBER(C52),C52&gt;=2,MOD(C52,1)=0,OR($N$9=32,$N$9=64,$N$9=128),ISNUMBER($B$11),$B$11&gt;=0,MOD($B$11,1)=0,ISNUMBER($J$7),$J$7&gt;=0,$J$7&lt;1,AND(ISNUMBER(M24),M24&gt;=0,M24&lt;=1),AND(ISNUMBER(N24),N24&gt;=0,N24&lt;=1))</x:f>
        <x:v>1</x:v>
      </x:c>
      <x:c r="B202" s="12" t="n">
        <x:f>IF(A202,D52*1000,"")</x:f>
        <x:v>4000</x:v>
      </x:c>
      <x:c r="C202" s="12" t="n">
        <x:f>IF(A202,E52*L24,"")</x:f>
        <x:v>5</x:v>
      </x:c>
      <x:c r="D202" s="12" t="n">
        <x:f>IF(A202,M347,"")</x:f>
        <x:v>0.1742401123046875</x:v>
      </x:c>
      <x:c r="E202" s="12" t="n">
        <x:f>IF(A202,B24/C24,"")</x:f>
        <x:v>32</x:v>
      </x:c>
      <x:c r="F202" s="12" t="n">
        <x:f>IF(A202,B24/D24,"")</x:f>
        <x:v>256</x:v>
      </x:c>
      <x:c r="G202" s="12" t="n">
        <x:f>IF(A202,$F$5*E202*$B$5*60000/B202,"")</x:f>
        <x:v>7680</x:v>
      </x:c>
      <x:c r="H202" s="12" t="n">
        <x:f>IF(A202,G202/($J$5*F202),"")</x:f>
        <x:v>30</x:v>
      </x:c>
      <x:c r="I202" s="12" t="n">
        <x:f>IF(A202,$B$5*D202/C24/$B$9,"")</x:f>
        <x:v>0.348480224609375</x:v>
      </x:c>
      <x:c r="J202" s="12" t="n">
        <x:f>IF(A202,I202*$F$5/$J$5,"")</x:f>
        <x:v>0.348480224609375</x:v>
      </x:c>
      <x:c r="K202" s="12" t="n">
        <x:f>IF(A202,MAX(I202,J202)*2^30/(J24*1e6),"")</x:f>
        <x:v>0.07795370666666666</x:v>
      </x:c>
      <x:c r="L202" s="12" t="n">
        <x:f>IF(A202,B202/$B$9,"")</x:f>
        <x:v>4000</x:v>
      </x:c>
      <x:c r="M202" s="54" t="n">
        <x:f>IF(A202,K202/L202,"")</x:f>
        <x:v>0.000019488426666666665</x:v>
      </x:c>
      <x:c r="N202" s="12" t="n">
        <x:f>IF(A202,(E24*ROUNDUP(K24/D24,0)*G24*(B24-1)/B24*(ROUNDUP((ROUNDUP(F24*2/32,0)*32+32)/480,0)*512+F24*2+32)+E24*ROUNDUP(H24/B24,0)*(B24-1)*32)/1e9,"")</x:f>
        <x:v>1.38825264</x:v>
      </x:c>
      <x:c r="O202" s="12" t="n">
        <x:f>IF(A202,N202*1000/I24,"")</x:f>
        <x:v>0.2892193</x:v>
      </x:c>
      <x:c r="P202" s="12" t="n">
        <x:f>IF(A202,O202/E24,"")</x:f>
        <x:v>0.0047413</x:v>
      </x:c>
      <x:c r="Q202" s="12" t="n">
        <x:f>IF(A202,N202*1000/C202,"")</x:f>
        <x:v>277.650528</x:v>
      </x:c>
      <x:c r="R202" s="12" t="n">
        <x:f>IF(W202="估算",IF(OR(K202=0,O202=0),0,1-((E24-1)*MAX(0,(C202-O202)/E24-(K202))+MAX(0,L202-((E24-1)*C202/E24+P202)-(K202)))/L202),"")</x:f>
        <x:v>0.001250181948387885</x:v>
      </x:c>
      <x:c r="S202" s="12" t="n">
        <x:f>IF(W202="估算",IF(O202=0,0,MAX(0,1-(1-((E24-1)*MAX(0,(C202-O202)/E24-(L202-K202))+MAX(0,L202-((E24-1)*C202/E24+P202)-(L202-K202)))/L202))),"")</x:f>
        <x:v>0</x:v>
      </x:c>
      <x:c r="T202" s="12" t="n">
        <x:f>IF(W202="估算",IF(OR(P202=0,K202=0,$J$7=0),0,IF(P202&lt;=(1-$J$7)*K202,$J$7*P202*K202/(1-$J$7)-$J$7^2*P202^2/(2*(1-$J$7)^2),$J$7*P202*K202+$J$7^2*K202^2/2)/L202),"")</x:f>
        <x:v>1.023202846272531e-8</x:v>
      </x:c>
      <x:c r="U202" s="12" t="n">
        <x:f>IF(A202,60000/C202,"")</x:f>
        <x:v>12000</x:v>
      </x:c>
      <x:c r="V202" s="12" t="n">
        <x:f>IF(W202="估算",U202*E24*T202*M24*N24,"")</x:f>
        <x:v>0.007489844834714927</x:v>
      </x:c>
      <x:c r="W202" s="12" t="str">
        <x:f>IF(NOT(A202),"输入无效",IF(K202&gt;=L202,"KV 超载",IF(O202&gt;C202+1e-9,"TPOT 不自洽",IF(OR(C202&gt;L202,P202&gt;L202-K202),"需时序仿真","估算"))))</x:f>
        <x:v>估算</x:v>
      </x:c>
      <x:c r="X202" s="12" t="n">
        <x:f>IF(W202="估算",U202*M202,"")</x:f>
        <x:v>0.23386111999999998</x:v>
      </x:c>
    </x:row>
    <x:row r="203" ht="25" customHeight="1">
      <x:c r="A203" s="2" t="b">
        <x:f>AND(AND(ISNUMBER($B$5),$B$5&gt;0),AND(ISNUMBER($F$5),$F$5&gt;0),AND(ISNUMBER($J$5),$J$5&gt;0),AND(ISNUMBER($B$9),$B$9&gt;0),AND(ISNUMBER(I24),I24&gt;0),AND(ISNUMBER(J24),J24&gt;0),AND(ISNUMBER(K24),K24&gt;0),AND(ISNUMBER(L24),L24&gt;0),AND(ISNUMBER(D53),D53&gt;0),AND(ISNUMBER(E53),E53&gt;0),MOD($B$5,1)=0,MOD($F$5,1)=0,MOD($J$5,1)=0,MOD($B$9,1)=0,MOD(K24,1)=0,ISNUMBER(C53),C53&gt;=2,MOD(C53,1)=0,OR($N$9=32,$N$9=64,$N$9=128),ISNUMBER($B$11),$B$11&gt;=0,MOD($B$11,1)=0,ISNUMBER($J$7),$J$7&gt;=0,$J$7&lt;1,AND(ISNUMBER(M24),M24&gt;=0,M24&lt;=1),AND(ISNUMBER(N24),N24&gt;=0,N24&lt;=1))</x:f>
        <x:v>1</x:v>
      </x:c>
      <x:c r="B203" s="12" t="n">
        <x:f>IF(A203,D53*1000,"")</x:f>
        <x:v>4000</x:v>
      </x:c>
      <x:c r="C203" s="12" t="n">
        <x:f>IF(A203,E53*L24,"")</x:f>
        <x:v>10</x:v>
      </x:c>
      <x:c r="D203" s="12" t="n">
        <x:f>IF(A203,M347,"")</x:f>
        <x:v>0.1742401123046875</x:v>
      </x:c>
      <x:c r="E203" s="12" t="n">
        <x:f>IF(A203,B24/C24,"")</x:f>
        <x:v>32</x:v>
      </x:c>
      <x:c r="F203" s="12" t="n">
        <x:f>IF(A203,B24/D24,"")</x:f>
        <x:v>256</x:v>
      </x:c>
      <x:c r="G203" s="12" t="n">
        <x:f>IF(A203,$F$5*E203*$B$5*60000/B203,"")</x:f>
        <x:v>7680</x:v>
      </x:c>
      <x:c r="H203" s="12" t="n">
        <x:f>IF(A203,G203/($J$5*F203),"")</x:f>
        <x:v>30</x:v>
      </x:c>
      <x:c r="I203" s="12" t="n">
        <x:f>IF(A203,$B$5*D203/C24/$B$9,"")</x:f>
        <x:v>0.348480224609375</x:v>
      </x:c>
      <x:c r="J203" s="12" t="n">
        <x:f>IF(A203,I203*$F$5/$J$5,"")</x:f>
        <x:v>0.348480224609375</x:v>
      </x:c>
      <x:c r="K203" s="12" t="n">
        <x:f>IF(A203,MAX(I203,J203)*2^30/(J24*1e6),"")</x:f>
        <x:v>0.07795370666666666</x:v>
      </x:c>
      <x:c r="L203" s="12" t="n">
        <x:f>IF(A203,B203/$B$9,"")</x:f>
        <x:v>4000</x:v>
      </x:c>
      <x:c r="M203" s="54" t="n">
        <x:f>IF(A203,K203/L203,"")</x:f>
        <x:v>0.000019488426666666665</x:v>
      </x:c>
      <x:c r="N203" s="12" t="n">
        <x:f>IF(A203,(E24*ROUNDUP(K24/D24,0)*G24*(B24-1)/B24*(ROUNDUP((ROUNDUP(F24*2/32,0)*32+32)/480,0)*512+F24*2+32)+E24*ROUNDUP(H24/B24,0)*(B24-1)*32)/1e9,"")</x:f>
        <x:v>1.38825264</x:v>
      </x:c>
      <x:c r="O203" s="12" t="n">
        <x:f>IF(A203,N203*1000/I24,"")</x:f>
        <x:v>0.2892193</x:v>
      </x:c>
      <x:c r="P203" s="12" t="n">
        <x:f>IF(A203,O203/E24,"")</x:f>
        <x:v>0.0047413</x:v>
      </x:c>
      <x:c r="Q203" s="12" t="n">
        <x:f>IF(A203,N203*1000/C203,"")</x:f>
        <x:v>138.825264</x:v>
      </x:c>
      <x:c r="R203" s="12" t="n">
        <x:f>IF(W203="估算",IF(OR(K203=0,O203=0),0,1-((E24-1)*MAX(0,(C203-O203)/E24-(K203))+MAX(0,L203-((E24-1)*C203/E24+P203)-(K203)))/L203),"")</x:f>
        <x:v>0.0012610988516665866</x:v>
      </x:c>
      <x:c r="S203" s="12" t="n">
        <x:f>IF(W203="估算",IF(O203=0,0,MAX(0,1-(1-((E24-1)*MAX(0,(C203-O203)/E24-(L203-K203))+MAX(0,L203-((E24-1)*C203/E24+P203)-(L203-K203)))/L203))),"")</x:f>
        <x:v>0</x:v>
      </x:c>
      <x:c r="T203" s="12" t="n">
        <x:f>IF(W203="估算",IF(OR(P203=0,K203=0,$J$7=0),0,IF(P203&lt;=(1-$J$7)*K203,$J$7*P203*K203/(1-$J$7)-$J$7^2*P203^2/(2*(1-$J$7)^2),$J$7*P203*K203+$J$7^2*K203^2/2)/L203),"")</x:f>
        <x:v>1.023202846272531e-8</x:v>
      </x:c>
      <x:c r="U203" s="12" t="n">
        <x:f>IF(A203,60000/C203,"")</x:f>
        <x:v>6000</x:v>
      </x:c>
      <x:c r="V203" s="12" t="n">
        <x:f>IF(W203="估算",U203*E24*T203*M24*N24,"")</x:f>
        <x:v>0.0037449224173574636</x:v>
      </x:c>
      <x:c r="W203" s="12" t="str">
        <x:f>IF(NOT(A203),"输入无效",IF(K203&gt;=L203,"KV 超载",IF(O203&gt;C203+1e-9,"TPOT 不自洽",IF(OR(C203&gt;L203,P203&gt;L203-K203),"需时序仿真","估算"))))</x:f>
        <x:v>估算</x:v>
      </x:c>
      <x:c r="X203" s="12" t="n">
        <x:f>IF(W203="估算",U203*M203,"")</x:f>
        <x:v>0.11693055999999999</x:v>
      </x:c>
    </x:row>
    <x:row r="204" ht="25" customHeight="1">
      <x:c r="A204" s="2" t="b">
        <x:f>AND(AND(ISNUMBER($B$5),$B$5&gt;0),AND(ISNUMBER($F$5),$F$5&gt;0),AND(ISNUMBER($J$5),$J$5&gt;0),AND(ISNUMBER($B$9),$B$9&gt;0),AND(ISNUMBER(I24),I24&gt;0),AND(ISNUMBER(J24),J24&gt;0),AND(ISNUMBER(K24),K24&gt;0),AND(ISNUMBER(L24),L24&gt;0),AND(ISNUMBER(D54),D54&gt;0),AND(ISNUMBER(E54),E54&gt;0),MOD($B$5,1)=0,MOD($F$5,1)=0,MOD($J$5,1)=0,MOD($B$9,1)=0,MOD(K24,1)=0,ISNUMBER(C54),C54&gt;=2,MOD(C54,1)=0,OR($N$9=32,$N$9=64,$N$9=128),ISNUMBER($B$11),$B$11&gt;=0,MOD($B$11,1)=0,ISNUMBER($J$7),$J$7&gt;=0,$J$7&lt;1,AND(ISNUMBER(M24),M24&gt;=0,M24&lt;=1),AND(ISNUMBER(N24),N24&gt;=0,N24&lt;=1))</x:f>
        <x:v>1</x:v>
      </x:c>
      <x:c r="B204" s="12" t="n">
        <x:f>IF(A204,D54*1000,"")</x:f>
        <x:v>4000</x:v>
      </x:c>
      <x:c r="C204" s="12" t="n">
        <x:f>IF(A204,E54*L24,"")</x:f>
        <x:v>20</x:v>
      </x:c>
      <x:c r="D204" s="12" t="n">
        <x:f>IF(A204,M347,"")</x:f>
        <x:v>0.1742401123046875</x:v>
      </x:c>
      <x:c r="E204" s="12" t="n">
        <x:f>IF(A204,B24/C24,"")</x:f>
        <x:v>32</x:v>
      </x:c>
      <x:c r="F204" s="12" t="n">
        <x:f>IF(A204,B24/D24,"")</x:f>
        <x:v>256</x:v>
      </x:c>
      <x:c r="G204" s="12" t="n">
        <x:f>IF(A204,$F$5*E204*$B$5*60000/B204,"")</x:f>
        <x:v>7680</x:v>
      </x:c>
      <x:c r="H204" s="12" t="n">
        <x:f>IF(A204,G204/($J$5*F204),"")</x:f>
        <x:v>30</x:v>
      </x:c>
      <x:c r="I204" s="12" t="n">
        <x:f>IF(A204,$B$5*D204/C24/$B$9,"")</x:f>
        <x:v>0.348480224609375</x:v>
      </x:c>
      <x:c r="J204" s="12" t="n">
        <x:f>IF(A204,I204*$F$5/$J$5,"")</x:f>
        <x:v>0.348480224609375</x:v>
      </x:c>
      <x:c r="K204" s="12" t="n">
        <x:f>IF(A204,MAX(I204,J204)*2^30/(J24*1e6),"")</x:f>
        <x:v>0.07795370666666666</x:v>
      </x:c>
      <x:c r="L204" s="12" t="n">
        <x:f>IF(A204,B204/$B$9,"")</x:f>
        <x:v>4000</x:v>
      </x:c>
      <x:c r="M204" s="54" t="n">
        <x:f>IF(A204,K204/L204,"")</x:f>
        <x:v>0.000019488426666666665</x:v>
      </x:c>
      <x:c r="N204" s="12" t="n">
        <x:f>IF(A204,(E24*ROUNDUP(K24/D24,0)*G24*(B24-1)/B24*(ROUNDUP((ROUNDUP(F24*2/32,0)*32+32)/480,0)*512+F24*2+32)+E24*ROUNDUP(H24/B24,0)*(B24-1)*32)/1e9,"")</x:f>
        <x:v>1.38825264</x:v>
      </x:c>
      <x:c r="O204" s="12" t="n">
        <x:f>IF(A204,N204*1000/I24,"")</x:f>
        <x:v>0.2892193</x:v>
      </x:c>
      <x:c r="P204" s="12" t="n">
        <x:f>IF(A204,O204/E24,"")</x:f>
        <x:v>0.0047413</x:v>
      </x:c>
      <x:c r="Q204" s="12" t="n">
        <x:f>IF(A204,N204*1000/C204,"")</x:f>
        <x:v>69.412632</x:v>
      </x:c>
      <x:c r="R204" s="12" t="n">
        <x:f>IF(W204="估算",IF(OR(K204=0,O204=0),0,1-((E24-1)*MAX(0,(C204-O204)/E24-(K204))+MAX(0,L204-((E24-1)*C204/E24+P204)-(K204)))/L204),"")</x:f>
        <x:v>0.0012610988516665866</x:v>
      </x:c>
      <x:c r="S204" s="12" t="n">
        <x:f>IF(W204="估算",IF(O204=0,0,MAX(0,1-(1-((E24-1)*MAX(0,(C204-O204)/E24-(L204-K204))+MAX(0,L204-((E24-1)*C204/E24+P204)-(L204-K204)))/L204))),"")</x:f>
        <x:v>0</x:v>
      </x:c>
      <x:c r="T204" s="12" t="n">
        <x:f>IF(W204="估算",IF(OR(P204=0,K204=0,$J$7=0),0,IF(P204&lt;=(1-$J$7)*K204,$J$7*P204*K204/(1-$J$7)-$J$7^2*P204^2/(2*(1-$J$7)^2),$J$7*P204*K204+$J$7^2*K204^2/2)/L204),"")</x:f>
        <x:v>1.023202846272531e-8</x:v>
      </x:c>
      <x:c r="U204" s="12" t="n">
        <x:f>IF(A204,60000/C204,"")</x:f>
        <x:v>3000</x:v>
      </x:c>
      <x:c r="V204" s="12" t="n">
        <x:f>IF(W204="估算",U204*E24*T204*M24*N24,"")</x:f>
        <x:v>0.0018724612086787318</x:v>
      </x:c>
      <x:c r="W204" s="12" t="str">
        <x:f>IF(NOT(A204),"输入无效",IF(K204&gt;=L204,"KV 超载",IF(O204&gt;C204+1e-9,"TPOT 不自洽",IF(OR(C204&gt;L204,P204&gt;L204-K204),"需时序仿真","估算"))))</x:f>
        <x:v>估算</x:v>
      </x:c>
      <x:c r="X204" s="12" t="n">
        <x:f>IF(W204="估算",U204*M204,"")</x:f>
        <x:v>0.058465279999999994</x:v>
      </x:c>
    </x:row>
    <x:row r="205" ht="25" customHeight="1">
      <x:c r="A205" s="2" t="b">
        <x:f>AND(AND(ISNUMBER($B$5),$B$5&gt;0),AND(ISNUMBER($F$5),$F$5&gt;0),AND(ISNUMBER($J$5),$J$5&gt;0),AND(ISNUMBER($B$9),$B$9&gt;0),AND(ISNUMBER(I24),I24&gt;0),AND(ISNUMBER(J24),J24&gt;0),AND(ISNUMBER(K24),K24&gt;0),AND(ISNUMBER(L24),L24&gt;0),AND(ISNUMBER(D55),D55&gt;0),AND(ISNUMBER(E55),E55&gt;0),MOD($B$5,1)=0,MOD($F$5,1)=0,MOD($J$5,1)=0,MOD($B$9,1)=0,MOD(K24,1)=0,ISNUMBER(C55),C55&gt;=2,MOD(C55,1)=0,OR($N$9=32,$N$9=64,$N$9=128),ISNUMBER($B$11),$B$11&gt;=0,MOD($B$11,1)=0,ISNUMBER($J$7),$J$7&gt;=0,$J$7&lt;1,AND(ISNUMBER(M24),M24&gt;=0,M24&lt;=1),AND(ISNUMBER(N24),N24&gt;=0,N24&lt;=1))</x:f>
        <x:v>1</x:v>
      </x:c>
      <x:c r="B205" s="12" t="n">
        <x:f>IF(A205,D55*1000,"")</x:f>
        <x:v>4000</x:v>
      </x:c>
      <x:c r="C205" s="12" t="n">
        <x:f>IF(A205,E55*L24,"")</x:f>
        <x:v>30</x:v>
      </x:c>
      <x:c r="D205" s="12" t="n">
        <x:f>IF(A205,M347,"")</x:f>
        <x:v>0.1742401123046875</x:v>
      </x:c>
      <x:c r="E205" s="12" t="n">
        <x:f>IF(A205,B24/C24,"")</x:f>
        <x:v>32</x:v>
      </x:c>
      <x:c r="F205" s="12" t="n">
        <x:f>IF(A205,B24/D24,"")</x:f>
        <x:v>256</x:v>
      </x:c>
      <x:c r="G205" s="12" t="n">
        <x:f>IF(A205,$F$5*E205*$B$5*60000/B205,"")</x:f>
        <x:v>7680</x:v>
      </x:c>
      <x:c r="H205" s="12" t="n">
        <x:f>IF(A205,G205/($J$5*F205),"")</x:f>
        <x:v>30</x:v>
      </x:c>
      <x:c r="I205" s="12" t="n">
        <x:f>IF(A205,$B$5*D205/C24/$B$9,"")</x:f>
        <x:v>0.348480224609375</x:v>
      </x:c>
      <x:c r="J205" s="12" t="n">
        <x:f>IF(A205,I205*$F$5/$J$5,"")</x:f>
        <x:v>0.348480224609375</x:v>
      </x:c>
      <x:c r="K205" s="12" t="n">
        <x:f>IF(A205,MAX(I205,J205)*2^30/(J24*1e6),"")</x:f>
        <x:v>0.07795370666666666</x:v>
      </x:c>
      <x:c r="L205" s="12" t="n">
        <x:f>IF(A205,B205/$B$9,"")</x:f>
        <x:v>4000</x:v>
      </x:c>
      <x:c r="M205" s="54" t="n">
        <x:f>IF(A205,K205/L205,"")</x:f>
        <x:v>0.000019488426666666665</x:v>
      </x:c>
      <x:c r="N205" s="12" t="n">
        <x:f>IF(A205,(E24*ROUNDUP(K24/D24,0)*G24*(B24-1)/B24*(ROUNDUP((ROUNDUP(F24*2/32,0)*32+32)/480,0)*512+F24*2+32)+E24*ROUNDUP(H24/B24,0)*(B24-1)*32)/1e9,"")</x:f>
        <x:v>1.38825264</x:v>
      </x:c>
      <x:c r="O205" s="12" t="n">
        <x:f>IF(A205,N205*1000/I24,"")</x:f>
        <x:v>0.2892193</x:v>
      </x:c>
      <x:c r="P205" s="12" t="n">
        <x:f>IF(A205,O205/E24,"")</x:f>
        <x:v>0.0047413</x:v>
      </x:c>
      <x:c r="Q205" s="12" t="n">
        <x:f>IF(A205,N205*1000/C205,"")</x:f>
        <x:v>46.275088</x:v>
      </x:c>
      <x:c r="R205" s="12" t="n">
        <x:f>IF(W205="估算",IF(OR(K205=0,O205=0),0,1-((E24-1)*MAX(0,(C205-O205)/E24-(K205))+MAX(0,L205-((E24-1)*C205/E24+P205)-(K205)))/L205),"")</x:f>
        <x:v>0.0012610988516665866</x:v>
      </x:c>
      <x:c r="S205" s="12" t="n">
        <x:f>IF(W205="估算",IF(O205=0,0,MAX(0,1-(1-((E24-1)*MAX(0,(C205-O205)/E24-(L205-K205))+MAX(0,L205-((E24-1)*C205/E24+P205)-(L205-K205)))/L205))),"")</x:f>
        <x:v>0</x:v>
      </x:c>
      <x:c r="T205" s="12" t="n">
        <x:f>IF(W205="估算",IF(OR(P205=0,K205=0,$J$7=0),0,IF(P205&lt;=(1-$J$7)*K205,$J$7*P205*K205/(1-$J$7)-$J$7^2*P205^2/(2*(1-$J$7)^2),$J$7*P205*K205+$J$7^2*K205^2/2)/L205),"")</x:f>
        <x:v>1.023202846272531e-8</x:v>
      </x:c>
      <x:c r="U205" s="12" t="n">
        <x:f>IF(A205,60000/C205,"")</x:f>
        <x:v>2000</x:v>
      </x:c>
      <x:c r="V205" s="12" t="n">
        <x:f>IF(W205="估算",U205*E24*T205*M24*N24,"")</x:f>
        <x:v>0.0012483074724524879</x:v>
      </x:c>
      <x:c r="W205" s="12" t="str">
        <x:f>IF(NOT(A205),"输入无效",IF(K205&gt;=L205,"KV 超载",IF(O205&gt;C205+1e-9,"TPOT 不自洽",IF(OR(C205&gt;L205,P205&gt;L205-K205),"需时序仿真","估算"))))</x:f>
        <x:v>估算</x:v>
      </x:c>
      <x:c r="X205" s="12" t="n">
        <x:f>IF(W205="估算",U205*M205,"")</x:f>
        <x:v>0.03897685333333333</x:v>
      </x:c>
    </x:row>
    <x:row r="206" ht="25" customHeight="1">
      <x:c r="A206" s="2" t="b">
        <x:f>AND(AND(ISNUMBER($B$5),$B$5&gt;0),AND(ISNUMBER($F$5),$F$5&gt;0),AND(ISNUMBER($J$5),$J$5&gt;0),AND(ISNUMBER($B$9),$B$9&gt;0),AND(ISNUMBER(I24),I24&gt;0),AND(ISNUMBER(J24),J24&gt;0),AND(ISNUMBER(K24),K24&gt;0),AND(ISNUMBER(L24),L24&gt;0),AND(ISNUMBER(D56),D56&gt;0),AND(ISNUMBER(E56),E56&gt;0),MOD($B$5,1)=0,MOD($F$5,1)=0,MOD($J$5,1)=0,MOD($B$9,1)=0,MOD(K24,1)=0,ISNUMBER(C56),C56&gt;=2,MOD(C56,1)=0,OR($N$9=32,$N$9=64,$N$9=128),ISNUMBER($B$11),$B$11&gt;=0,MOD($B$11,1)=0,ISNUMBER($J$7),$J$7&gt;=0,$J$7&lt;1,AND(ISNUMBER(M24),M24&gt;=0,M24&lt;=1),AND(ISNUMBER(N24),N24&gt;=0,N24&lt;=1))</x:f>
        <x:v>1</x:v>
      </x:c>
      <x:c r="B206" s="12" t="n">
        <x:f>IF(A206,D56*1000,"")</x:f>
        <x:v>20000</x:v>
      </x:c>
      <x:c r="C206" s="12" t="n">
        <x:f>IF(A206,E56*L24,"")</x:f>
        <x:v>5</x:v>
      </x:c>
      <x:c r="D206" s="12" t="n">
        <x:f>IF(A206,M355,"")</x:f>
        <x:v>2.21197509765625</x:v>
      </x:c>
      <x:c r="E206" s="12" t="n">
        <x:f>IF(A206,B24/C24,"")</x:f>
        <x:v>32</x:v>
      </x:c>
      <x:c r="F206" s="12" t="n">
        <x:f>IF(A206,B24/D24,"")</x:f>
        <x:v>256</x:v>
      </x:c>
      <x:c r="G206" s="12" t="n">
        <x:f>IF(A206,$F$5*E206*$B$5*60000/B206,"")</x:f>
        <x:v>1536</x:v>
      </x:c>
      <x:c r="H206" s="12" t="n">
        <x:f>IF(A206,G206/($J$5*F206),"")</x:f>
        <x:v>6</x:v>
      </x:c>
      <x:c r="I206" s="12" t="n">
        <x:f>IF(A206,$B$5*D206/C24/$B$9,"")</x:f>
        <x:v>4.4239501953125</x:v>
      </x:c>
      <x:c r="J206" s="12" t="n">
        <x:f>IF(A206,I206*$F$5/$J$5,"")</x:f>
        <x:v>4.4239501953125</x:v>
      </x:c>
      <x:c r="K206" s="12" t="n">
        <x:f>IF(A206,MAX(I206,J206)*2^30/(J24*1e6),"")</x:f>
        <x:v>0.9896209066666667</x:v>
      </x:c>
      <x:c r="L206" s="12" t="n">
        <x:f>IF(A206,B206/$B$9,"")</x:f>
        <x:v>20000</x:v>
      </x:c>
      <x:c r="M206" s="54" t="n">
        <x:f>IF(A206,K206/L206,"")</x:f>
        <x:v>0.000049481045333333336</x:v>
      </x:c>
      <x:c r="N206" s="12" t="n">
        <x:f>IF(A206,(E24*ROUNDUP(K24/D24,0)*G24*(B24-1)/B24*(ROUNDUP((ROUNDUP(F24*2/32,0)*32+32)/480,0)*512+F24*2+32)+E24*ROUNDUP(H24/B24,0)*(B24-1)*32)/1e9,"")</x:f>
        <x:v>1.38825264</x:v>
      </x:c>
      <x:c r="O206" s="12" t="n">
        <x:f>IF(A206,N206*1000/I24,"")</x:f>
        <x:v>0.2892193</x:v>
      </x:c>
      <x:c r="P206" s="12" t="n">
        <x:f>IF(A206,O206/E24,"")</x:f>
        <x:v>0.0047413</x:v>
      </x:c>
      <x:c r="Q206" s="12" t="n">
        <x:f>IF(A206,N206*1000/C206,"")</x:f>
        <x:v>277.650528</x:v>
      </x:c>
      <x:c r="R206" s="12" t="n">
        <x:f>IF(W206="估算",IF(OR(K206=0,O206=0),0,1-((E24-1)*MAX(0,(C206-O206)/E24-(K206))+MAX(0,L206-((E24-1)*C206/E24+P206)-(K206)))/L206),"")</x:f>
        <x:v>0.0002956197496776225</x:v>
      </x:c>
      <x:c r="S206" s="12" t="n">
        <x:f>IF(W206="估算",IF(O206=0,0,MAX(0,1-(1-((E24-1)*MAX(0,(C206-O206)/E24-(L206-K206))+MAX(0,L206-((E24-1)*C206/E24+P206)-(L206-K206)))/L206))),"")</x:f>
        <x:v>0</x:v>
      </x:c>
      <x:c r="T206" s="12" t="n">
        <x:f>IF(W206="估算",IF(OR(P206=0,K206=0,$J$7=0),0,IF(P206&lt;=(1-$J$7)*K206,$J$7*P206*K206/(1-$J$7)-$J$7^2*P206^2/(2*(1-$J$7)^2),$J$7*P206*K206+$J$7^2*K206^2/2)/L206),"")</x:f>
        <x:v>2.6060226222322844e-8</x:v>
      </x:c>
      <x:c r="U206" s="12" t="n">
        <x:f>IF(A206,60000/C206,"")</x:f>
        <x:v>12000</x:v>
      </x:c>
      <x:c r="V206" s="12" t="n">
        <x:f>IF(W206="估算",U206*E24*T206*M24*N24,"")</x:f>
        <x:v>0.019076085594740323</x:v>
      </x:c>
      <x:c r="W206" s="12" t="str">
        <x:f>IF(NOT(A206),"输入无效",IF(K206&gt;=L206,"KV 超载",IF(O206&gt;C206+1e-9,"TPOT 不自洽",IF(OR(C206&gt;L206,P206&gt;L206-K206),"需时序仿真","估算"))))</x:f>
        <x:v>估算</x:v>
      </x:c>
      <x:c r="X206" s="12" t="n">
        <x:f>IF(W206="估算",U206*M206,"")</x:f>
        <x:v>0.593772544</x:v>
      </x:c>
    </x:row>
    <x:row r="207" ht="25" customHeight="1">
      <x:c r="A207" s="2" t="b">
        <x:f>AND(AND(ISNUMBER($B$5),$B$5&gt;0),AND(ISNUMBER($F$5),$F$5&gt;0),AND(ISNUMBER($J$5),$J$5&gt;0),AND(ISNUMBER($B$9),$B$9&gt;0),AND(ISNUMBER(I24),I24&gt;0),AND(ISNUMBER(J24),J24&gt;0),AND(ISNUMBER(K24),K24&gt;0),AND(ISNUMBER(L24),L24&gt;0),AND(ISNUMBER(D57),D57&gt;0),AND(ISNUMBER(E57),E57&gt;0),MOD($B$5,1)=0,MOD($F$5,1)=0,MOD($J$5,1)=0,MOD($B$9,1)=0,MOD(K24,1)=0,ISNUMBER(C57),C57&gt;=2,MOD(C57,1)=0,OR($N$9=32,$N$9=64,$N$9=128),ISNUMBER($B$11),$B$11&gt;=0,MOD($B$11,1)=0,ISNUMBER($J$7),$J$7&gt;=0,$J$7&lt;1,AND(ISNUMBER(M24),M24&gt;=0,M24&lt;=1),AND(ISNUMBER(N24),N24&gt;=0,N24&lt;=1))</x:f>
        <x:v>1</x:v>
      </x:c>
      <x:c r="B207" s="12" t="n">
        <x:f>IF(A207,D57*1000,"")</x:f>
        <x:v>20000</x:v>
      </x:c>
      <x:c r="C207" s="12" t="n">
        <x:f>IF(A207,E57*L24,"")</x:f>
        <x:v>10</x:v>
      </x:c>
      <x:c r="D207" s="12" t="n">
        <x:f>IF(A207,M355,"")</x:f>
        <x:v>2.21197509765625</x:v>
      </x:c>
      <x:c r="E207" s="12" t="n">
        <x:f>IF(A207,B24/C24,"")</x:f>
        <x:v>32</x:v>
      </x:c>
      <x:c r="F207" s="12" t="n">
        <x:f>IF(A207,B24/D24,"")</x:f>
        <x:v>256</x:v>
      </x:c>
      <x:c r="G207" s="12" t="n">
        <x:f>IF(A207,$F$5*E207*$B$5*60000/B207,"")</x:f>
        <x:v>1536</x:v>
      </x:c>
      <x:c r="H207" s="12" t="n">
        <x:f>IF(A207,G207/($J$5*F207),"")</x:f>
        <x:v>6</x:v>
      </x:c>
      <x:c r="I207" s="12" t="n">
        <x:f>IF(A207,$B$5*D207/C24/$B$9,"")</x:f>
        <x:v>4.4239501953125</x:v>
      </x:c>
      <x:c r="J207" s="12" t="n">
        <x:f>IF(A207,I207*$F$5/$J$5,"")</x:f>
        <x:v>4.4239501953125</x:v>
      </x:c>
      <x:c r="K207" s="12" t="n">
        <x:f>IF(A207,MAX(I207,J207)*2^30/(J24*1e6),"")</x:f>
        <x:v>0.9896209066666667</x:v>
      </x:c>
      <x:c r="L207" s="12" t="n">
        <x:f>IF(A207,B207/$B$9,"")</x:f>
        <x:v>20000</x:v>
      </x:c>
      <x:c r="M207" s="54" t="n">
        <x:f>IF(A207,K207/L207,"")</x:f>
        <x:v>0.000049481045333333336</x:v>
      </x:c>
      <x:c r="N207" s="12" t="n">
        <x:f>IF(A207,(E24*ROUNDUP(K24/D24,0)*G24*(B24-1)/B24*(ROUNDUP((ROUNDUP(F24*2/32,0)*32+32)/480,0)*512+F24*2+32)+E24*ROUNDUP(H24/B24,0)*(B24-1)*32)/1e9,"")</x:f>
        <x:v>1.38825264</x:v>
      </x:c>
      <x:c r="O207" s="12" t="n">
        <x:f>IF(A207,N207*1000/I24,"")</x:f>
        <x:v>0.2892193</x:v>
      </x:c>
      <x:c r="P207" s="12" t="n">
        <x:f>IF(A207,O207/E24,"")</x:f>
        <x:v>0.0047413</x:v>
      </x:c>
      <x:c r="Q207" s="12" t="n">
        <x:f>IF(A207,N207*1000/C207,"")</x:f>
        <x:v>138.825264</x:v>
      </x:c>
      <x:c r="R207" s="12" t="n">
        <x:f>IF(W207="估算",IF(OR(K207=0,O207=0),0,1-((E24-1)*MAX(0,(C207-O207)/E24-(K207))+MAX(0,L207-((E24-1)*C207/E24+P207)-(K207)))/L207),"")</x:f>
        <x:v>0.0005415213890218595</x:v>
      </x:c>
      <x:c r="S207" s="12" t="n">
        <x:f>IF(W207="估算",IF(O207=0,0,MAX(0,1-(1-((E24-1)*MAX(0,(C207-O207)/E24-(L207-K207))+MAX(0,L207-((E24-1)*C207/E24+P207)-(L207-K207)))/L207))),"")</x:f>
        <x:v>0</x:v>
      </x:c>
      <x:c r="T207" s="12" t="n">
        <x:f>IF(W207="估算",IF(OR(P207=0,K207=0,$J$7=0),0,IF(P207&lt;=(1-$J$7)*K207,$J$7*P207*K207/(1-$J$7)-$J$7^2*P207^2/(2*(1-$J$7)^2),$J$7*P207*K207+$J$7^2*K207^2/2)/L207),"")</x:f>
        <x:v>2.6060226222322844e-8</x:v>
      </x:c>
      <x:c r="U207" s="12" t="n">
        <x:f>IF(A207,60000/C207,"")</x:f>
        <x:v>6000</x:v>
      </x:c>
      <x:c r="V207" s="12" t="n">
        <x:f>IF(W207="估算",U207*E24*T207*M24*N24,"")</x:f>
        <x:v>0.009538042797370161</x:v>
      </x:c>
      <x:c r="W207" s="12" t="str">
        <x:f>IF(NOT(A207),"输入无效",IF(K207&gt;=L207,"KV 超载",IF(O207&gt;C207+1e-9,"TPOT 不自洽",IF(OR(C207&gt;L207,P207&gt;L207-K207),"需时序仿真","估算"))))</x:f>
        <x:v>估算</x:v>
      </x:c>
      <x:c r="X207" s="12" t="n">
        <x:f>IF(W207="估算",U207*M207,"")</x:f>
        <x:v>0.296886272</x:v>
      </x:c>
    </x:row>
    <x:row r="208" ht="25" customHeight="1">
      <x:c r="A208" s="2" t="b">
        <x:f>AND(AND(ISNUMBER($B$5),$B$5&gt;0),AND(ISNUMBER($F$5),$F$5&gt;0),AND(ISNUMBER($J$5),$J$5&gt;0),AND(ISNUMBER($B$9),$B$9&gt;0),AND(ISNUMBER(I24),I24&gt;0),AND(ISNUMBER(J24),J24&gt;0),AND(ISNUMBER(K24),K24&gt;0),AND(ISNUMBER(L24),L24&gt;0),AND(ISNUMBER(D58),D58&gt;0),AND(ISNUMBER(E58),E58&gt;0),MOD($B$5,1)=0,MOD($F$5,1)=0,MOD($J$5,1)=0,MOD($B$9,1)=0,MOD(K24,1)=0,ISNUMBER(C58),C58&gt;=2,MOD(C58,1)=0,OR($N$9=32,$N$9=64,$N$9=128),ISNUMBER($B$11),$B$11&gt;=0,MOD($B$11,1)=0,ISNUMBER($J$7),$J$7&gt;=0,$J$7&lt;1,AND(ISNUMBER(M24),M24&gt;=0,M24&lt;=1),AND(ISNUMBER(N24),N24&gt;=0,N24&lt;=1))</x:f>
        <x:v>1</x:v>
      </x:c>
      <x:c r="B208" s="12" t="n">
        <x:f>IF(A208,D58*1000,"")</x:f>
        <x:v>20000</x:v>
      </x:c>
      <x:c r="C208" s="12" t="n">
        <x:f>IF(A208,E58*L24,"")</x:f>
        <x:v>20</x:v>
      </x:c>
      <x:c r="D208" s="12" t="n">
        <x:f>IF(A208,M355,"")</x:f>
        <x:v>2.21197509765625</x:v>
      </x:c>
      <x:c r="E208" s="12" t="n">
        <x:f>IF(A208,B24/C24,"")</x:f>
        <x:v>32</x:v>
      </x:c>
      <x:c r="F208" s="12" t="n">
        <x:f>IF(A208,B24/D24,"")</x:f>
        <x:v>256</x:v>
      </x:c>
      <x:c r="G208" s="12" t="n">
        <x:f>IF(A208,$F$5*E208*$B$5*60000/B208,"")</x:f>
        <x:v>1536</x:v>
      </x:c>
      <x:c r="H208" s="12" t="n">
        <x:f>IF(A208,G208/($J$5*F208),"")</x:f>
        <x:v>6</x:v>
      </x:c>
      <x:c r="I208" s="12" t="n">
        <x:f>IF(A208,$B$5*D208/C24/$B$9,"")</x:f>
        <x:v>4.4239501953125</x:v>
      </x:c>
      <x:c r="J208" s="12" t="n">
        <x:f>IF(A208,I208*$F$5/$J$5,"")</x:f>
        <x:v>4.4239501953125</x:v>
      </x:c>
      <x:c r="K208" s="12" t="n">
        <x:f>IF(A208,MAX(I208,J208)*2^30/(J24*1e6),"")</x:f>
        <x:v>0.9896209066666667</x:v>
      </x:c>
      <x:c r="L208" s="12" t="n">
        <x:f>IF(A208,B208/$B$9,"")</x:f>
        <x:v>20000</x:v>
      </x:c>
      <x:c r="M208" s="54" t="n">
        <x:f>IF(A208,K208/L208,"")</x:f>
        <x:v>0.000049481045333333336</x:v>
      </x:c>
      <x:c r="N208" s="12" t="n">
        <x:f>IF(A208,(E24*ROUNDUP(K24/D24,0)*G24*(B24-1)/B24*(ROUNDUP((ROUNDUP(F24*2/32,0)*32+32)/480,0)*512+F24*2+32)+E24*ROUNDUP(H24/B24,0)*(B24-1)*32)/1e9,"")</x:f>
        <x:v>1.38825264</x:v>
      </x:c>
      <x:c r="O208" s="12" t="n">
        <x:f>IF(A208,N208*1000/I24,"")</x:f>
        <x:v>0.2892193</x:v>
      </x:c>
      <x:c r="P208" s="12" t="n">
        <x:f>IF(A208,O208/E24,"")</x:f>
        <x:v>0.0047413</x:v>
      </x:c>
      <x:c r="Q208" s="12" t="n">
        <x:f>IF(A208,N208*1000/C208,"")</x:f>
        <x:v>69.412632</x:v>
      </x:c>
      <x:c r="R208" s="12" t="n">
        <x:f>IF(W208="估算",IF(OR(K208=0,O208=0),0,1-((E24-1)*MAX(0,(C208-O208)/E24-(K208))+MAX(0,L208-((E24-1)*C208/E24+P208)-(K208)))/L208),"")</x:f>
        <x:v>0.0010333246677104446</x:v>
      </x:c>
      <x:c r="S208" s="12" t="n">
        <x:f>IF(W208="估算",IF(O208=0,0,MAX(0,1-(1-((E24-1)*MAX(0,(C208-O208)/E24-(L208-K208))+MAX(0,L208-((E24-1)*C208/E24+P208)-(L208-K208)))/L208))),"")</x:f>
        <x:v>0</x:v>
      </x:c>
      <x:c r="T208" s="12" t="n">
        <x:f>IF(W208="估算",IF(OR(P208=0,K208=0,$J$7=0),0,IF(P208&lt;=(1-$J$7)*K208,$J$7*P208*K208/(1-$J$7)-$J$7^2*P208^2/(2*(1-$J$7)^2),$J$7*P208*K208+$J$7^2*K208^2/2)/L208),"")</x:f>
        <x:v>2.6060226222322844e-8</x:v>
      </x:c>
      <x:c r="U208" s="12" t="n">
        <x:f>IF(A208,60000/C208,"")</x:f>
        <x:v>3000</x:v>
      </x:c>
      <x:c r="V208" s="12" t="n">
        <x:f>IF(W208="估算",U208*E24*T208*M24*N24,"")</x:f>
        <x:v>0.004769021398685081</x:v>
      </x:c>
      <x:c r="W208" s="12" t="str">
        <x:f>IF(NOT(A208),"输入无效",IF(K208&gt;=L208,"KV 超载",IF(O208&gt;C208+1e-9,"TPOT 不自洽",IF(OR(C208&gt;L208,P208&gt;L208-K208),"需时序仿真","估算"))))</x:f>
        <x:v>估算</x:v>
      </x:c>
      <x:c r="X208" s="12" t="n">
        <x:f>IF(W208="估算",U208*M208,"")</x:f>
        <x:v>0.148443136</x:v>
      </x:c>
    </x:row>
    <x:row r="209" ht="25" customHeight="1">
      <x:c r="A209" s="2" t="b">
        <x:f>AND(AND(ISNUMBER($B$5),$B$5&gt;0),AND(ISNUMBER($F$5),$F$5&gt;0),AND(ISNUMBER($J$5),$J$5&gt;0),AND(ISNUMBER($B$9),$B$9&gt;0),AND(ISNUMBER(I24),I24&gt;0),AND(ISNUMBER(J24),J24&gt;0),AND(ISNUMBER(K24),K24&gt;0),AND(ISNUMBER(L24),L24&gt;0),AND(ISNUMBER(D59),D59&gt;0),AND(ISNUMBER(E59),E59&gt;0),MOD($B$5,1)=0,MOD($F$5,1)=0,MOD($J$5,1)=0,MOD($B$9,1)=0,MOD(K24,1)=0,ISNUMBER(C59),C59&gt;=2,MOD(C59,1)=0,OR($N$9=32,$N$9=64,$N$9=128),ISNUMBER($B$11),$B$11&gt;=0,MOD($B$11,1)=0,ISNUMBER($J$7),$J$7&gt;=0,$J$7&lt;1,AND(ISNUMBER(M24),M24&gt;=0,M24&lt;=1),AND(ISNUMBER(N24),N24&gt;=0,N24&lt;=1))</x:f>
        <x:v>1</x:v>
      </x:c>
      <x:c r="B209" s="12" t="n">
        <x:f>IF(A209,D59*1000,"")</x:f>
        <x:v>20000</x:v>
      </x:c>
      <x:c r="C209" s="12" t="n">
        <x:f>IF(A209,E59*L24,"")</x:f>
        <x:v>30</x:v>
      </x:c>
      <x:c r="D209" s="12" t="n">
        <x:f>IF(A209,M355,"")</x:f>
        <x:v>2.21197509765625</x:v>
      </x:c>
      <x:c r="E209" s="12" t="n">
        <x:f>IF(A209,B24/C24,"")</x:f>
        <x:v>32</x:v>
      </x:c>
      <x:c r="F209" s="12" t="n">
        <x:f>IF(A209,B24/D24,"")</x:f>
        <x:v>256</x:v>
      </x:c>
      <x:c r="G209" s="12" t="n">
        <x:f>IF(A209,$F$5*E209*$B$5*60000/B209,"")</x:f>
        <x:v>1536</x:v>
      </x:c>
      <x:c r="H209" s="12" t="n">
        <x:f>IF(A209,G209/($J$5*F209),"")</x:f>
        <x:v>6</x:v>
      </x:c>
      <x:c r="I209" s="12" t="n">
        <x:f>IF(A209,$B$5*D209/C24/$B$9,"")</x:f>
        <x:v>4.4239501953125</x:v>
      </x:c>
      <x:c r="J209" s="12" t="n">
        <x:f>IF(A209,I209*$F$5/$J$5,"")</x:f>
        <x:v>4.4239501953125</x:v>
      </x:c>
      <x:c r="K209" s="12" t="n">
        <x:f>IF(A209,MAX(I209,J209)*2^30/(J24*1e6),"")</x:f>
        <x:v>0.9896209066666667</x:v>
      </x:c>
      <x:c r="L209" s="12" t="n">
        <x:f>IF(A209,B209/$B$9,"")</x:f>
        <x:v>20000</x:v>
      </x:c>
      <x:c r="M209" s="54" t="n">
        <x:f>IF(A209,K209/L209,"")</x:f>
        <x:v>0.000049481045333333336</x:v>
      </x:c>
      <x:c r="N209" s="12" t="n">
        <x:f>IF(A209,(E24*ROUNDUP(K24/D24,0)*G24*(B24-1)/B24*(ROUNDUP((ROUNDUP(F24*2/32,0)*32+32)/480,0)*512+F24*2+32)+E24*ROUNDUP(H24/B24,0)*(B24-1)*32)/1e9,"")</x:f>
        <x:v>1.38825264</x:v>
      </x:c>
      <x:c r="O209" s="12" t="n">
        <x:f>IF(A209,N209*1000/I24,"")</x:f>
        <x:v>0.2892193</x:v>
      </x:c>
      <x:c r="P209" s="12" t="n">
        <x:f>IF(A209,O209/E24,"")</x:f>
        <x:v>0.0047413</x:v>
      </x:c>
      <x:c r="Q209" s="12" t="n">
        <x:f>IF(A209,N209*1000/C209,"")</x:f>
        <x:v>46.275088</x:v>
      </x:c>
      <x:c r="R209" s="12" t="n">
        <x:f>IF(W209="估算",IF(OR(K209=0,O209=0),0,1-((E24-1)*MAX(0,(C209-O209)/E24-(K209))+MAX(0,L209-((E24-1)*C209/E24+P209)-(K209)))/L209),"")</x:f>
        <x:v>0.0015251279463989187</x:v>
      </x:c>
      <x:c r="S209" s="12" t="n">
        <x:f>IF(W209="估算",IF(O209=0,0,MAX(0,1-(1-((E24-1)*MAX(0,(C209-O209)/E24-(L209-K209))+MAX(0,L209-((E24-1)*C209/E24+P209)-(L209-K209)))/L209))),"")</x:f>
        <x:v>0</x:v>
      </x:c>
      <x:c r="T209" s="12" t="n">
        <x:f>IF(W209="估算",IF(OR(P209=0,K209=0,$J$7=0),0,IF(P209&lt;=(1-$J$7)*K209,$J$7*P209*K209/(1-$J$7)-$J$7^2*P209^2/(2*(1-$J$7)^2),$J$7*P209*K209+$J$7^2*K209^2/2)/L209),"")</x:f>
        <x:v>2.6060226222322844e-8</x:v>
      </x:c>
      <x:c r="U209" s="12" t="n">
        <x:f>IF(A209,60000/C209,"")</x:f>
        <x:v>2000</x:v>
      </x:c>
      <x:c r="V209" s="12" t="n">
        <x:f>IF(W209="估算",U209*E24*T209*M24*N24,"")</x:f>
        <x:v>0.003179347599123387</x:v>
      </x:c>
      <x:c r="W209" s="12" t="str">
        <x:f>IF(NOT(A209),"输入无效",IF(K209&gt;=L209,"KV 超载",IF(O209&gt;C209+1e-9,"TPOT 不自洽",IF(OR(C209&gt;L209,P209&gt;L209-K209),"需时序仿真","估算"))))</x:f>
        <x:v>估算</x:v>
      </x:c>
      <x:c r="X209" s="12" t="n">
        <x:f>IF(W209="估算",U209*M209,"")</x:f>
        <x:v>0.09896209066666667</x:v>
      </x:c>
    </x:row>
    <x:row r="210" ht="25" customHeight="1">
      <x:c r="A210" s="2" t="b">
        <x:f>AND(AND(ISNUMBER($B$5),$B$5&gt;0),AND(ISNUMBER($F$5),$F$5&gt;0),AND(ISNUMBER($J$5),$J$5&gt;0),AND(ISNUMBER($B$9),$B$9&gt;0),AND(ISNUMBER(I24),I24&gt;0),AND(ISNUMBER(J24),J24&gt;0),AND(ISNUMBER(K24),K24&gt;0),AND(ISNUMBER(L24),L24&gt;0),AND(ISNUMBER(D60),D60&gt;0),AND(ISNUMBER(E60),E60&gt;0),MOD($B$5,1)=0,MOD($F$5,1)=0,MOD($J$5,1)=0,MOD($B$9,1)=0,MOD(K24,1)=0,ISNUMBER(C60),C60&gt;=2,MOD(C60,1)=0,OR($N$9=32,$N$9=64,$N$9=128),ISNUMBER($B$11),$B$11&gt;=0,MOD($B$11,1)=0,ISNUMBER($J$7),$J$7&gt;=0,$J$7&lt;1,AND(ISNUMBER(M24),M24&gt;=0,M24&lt;=1),AND(ISNUMBER(N24),N24&gt;=0,N24&lt;=1))</x:f>
        <x:v>1</x:v>
      </x:c>
      <x:c r="B210" s="12" t="n">
        <x:f>IF(A210,D60*1000,"")</x:f>
        <x:v>60000</x:v>
      </x:c>
      <x:c r="C210" s="12" t="n">
        <x:f>IF(A210,E60*L24,"")</x:f>
        <x:v>5</x:v>
      </x:c>
      <x:c r="D210" s="12" t="n">
        <x:f>IF(A210,M363,"")</x:f>
        <x:v>8.73272705078125</x:v>
      </x:c>
      <x:c r="E210" s="12" t="n">
        <x:f>IF(A210,B24/C24,"")</x:f>
        <x:v>32</x:v>
      </x:c>
      <x:c r="F210" s="12" t="n">
        <x:f>IF(A210,B24/D24,"")</x:f>
        <x:v>256</x:v>
      </x:c>
      <x:c r="G210" s="12" t="n">
        <x:f>IF(A210,$F$5*E210*$B$5*60000/B210,"")</x:f>
        <x:v>512</x:v>
      </x:c>
      <x:c r="H210" s="12" t="n">
        <x:f>IF(A210,G210/($J$5*F210),"")</x:f>
        <x:v>2</x:v>
      </x:c>
      <x:c r="I210" s="12" t="n">
        <x:f>IF(A210,$B$5*D210/C24/$B$9,"")</x:f>
        <x:v>17.4654541015625</x:v>
      </x:c>
      <x:c r="J210" s="12" t="n">
        <x:f>IF(A210,I210*$F$5/$J$5,"")</x:f>
        <x:v>17.4654541015625</x:v>
      </x:c>
      <x:c r="K210" s="12" t="n">
        <x:f>IF(A210,MAX(I210,J210)*2^30/(J24*1e6),"")</x:f>
        <x:v>3.906955946666667</x:v>
      </x:c>
      <x:c r="L210" s="12" t="n">
        <x:f>IF(A210,B210/$B$9,"")</x:f>
        <x:v>60000</x:v>
      </x:c>
      <x:c r="M210" s="54" t="n">
        <x:f>IF(A210,K210/L210,"")</x:f>
        <x:v>0.00006511593244444444</x:v>
      </x:c>
      <x:c r="N210" s="12" t="n">
        <x:f>IF(A210,(E24*ROUNDUP(K24/D24,0)*G24*(B24-1)/B24*(ROUNDUP((ROUNDUP(F24*2/32,0)*32+32)/480,0)*512+F24*2+32)+E24*ROUNDUP(H24/B24,0)*(B24-1)*32)/1e9,"")</x:f>
        <x:v>1.38825264</x:v>
      </x:c>
      <x:c r="O210" s="12" t="n">
        <x:f>IF(A210,N210*1000/I24,"")</x:f>
        <x:v>0.2892193</x:v>
      </x:c>
      <x:c r="P210" s="12" t="n">
        <x:f>IF(A210,O210/E24,"")</x:f>
        <x:v>0.0047413</x:v>
      </x:c>
      <x:c r="Q210" s="12" t="n">
        <x:f>IF(A210,N210*1000/C210,"")</x:f>
        <x:v>277.650528</x:v>
      </x:c>
      <x:c r="R210" s="12" t="n">
        <x:f>IF(W210="估算",IF(OR(K210=0,O210=0),0,1-((E24-1)*MAX(0,(C210-O210)/E24-(K210))+MAX(0,L210-((E24-1)*C210/E24+P210)-(K210)))/L210),"")</x:f>
        <x:v>0.00014716216722587827</x:v>
      </x:c>
      <x:c r="S210" s="12" t="n">
        <x:f>IF(W210="估算",IF(O210=0,0,MAX(0,1-(1-((E24-1)*MAX(0,(C210-O210)/E24-(L210-K210))+MAX(0,L210-((E24-1)*C210/E24+P210)-(L210-K210)))/L210))),"")</x:f>
        <x:v>0</x:v>
      </x:c>
      <x:c r="T210" s="12" t="n">
        <x:f>IF(W210="估算",IF(OR(P210=0,K210=0,$J$7=0),0,IF(P210&lt;=(1-$J$7)*K210,$J$7*P210*K210/(1-$J$7)-$J$7^2*P210^2/(2*(1-$J$7)^2),$J$7*P210*K210+$J$7^2*K210^2/2)/L210),"")</x:f>
        <x:v>3.430148397253725e-8</x:v>
      </x:c>
      <x:c r="U210" s="12" t="n">
        <x:f>IF(A210,60000/C210,"")</x:f>
        <x:v>12000</x:v>
      </x:c>
      <x:c r="V210" s="12" t="n">
        <x:f>IF(W210="估算",U210*E24*T210*M24*N24,"")</x:f>
        <x:v>0.02510868626789727</x:v>
      </x:c>
      <x:c r="W210" s="12" t="str">
        <x:f>IF(NOT(A210),"输入无效",IF(K210&gt;=L210,"KV 超载",IF(O210&gt;C210+1e-9,"TPOT 不自洽",IF(OR(C210&gt;L210,P210&gt;L210-K210),"需时序仿真","估算"))))</x:f>
        <x:v>估算</x:v>
      </x:c>
      <x:c r="X210" s="12" t="n">
        <x:f>IF(W210="估算",U210*M210,"")</x:f>
        <x:v>0.7813911893333333</x:v>
      </x:c>
    </x:row>
    <x:row r="211" ht="25" customHeight="1">
      <x:c r="A211" s="2" t="b">
        <x:f>AND(AND(ISNUMBER($B$5),$B$5&gt;0),AND(ISNUMBER($F$5),$F$5&gt;0),AND(ISNUMBER($J$5),$J$5&gt;0),AND(ISNUMBER($B$9),$B$9&gt;0),AND(ISNUMBER(I24),I24&gt;0),AND(ISNUMBER(J24),J24&gt;0),AND(ISNUMBER(K24),K24&gt;0),AND(ISNUMBER(L24),L24&gt;0),AND(ISNUMBER(D61),D61&gt;0),AND(ISNUMBER(E61),E61&gt;0),MOD($B$5,1)=0,MOD($F$5,1)=0,MOD($J$5,1)=0,MOD($B$9,1)=0,MOD(K24,1)=0,ISNUMBER(C61),C61&gt;=2,MOD(C61,1)=0,OR($N$9=32,$N$9=64,$N$9=128),ISNUMBER($B$11),$B$11&gt;=0,MOD($B$11,1)=0,ISNUMBER($J$7),$J$7&gt;=0,$J$7&lt;1,AND(ISNUMBER(M24),M24&gt;=0,M24&lt;=1),AND(ISNUMBER(N24),N24&gt;=0,N24&lt;=1))</x:f>
        <x:v>1</x:v>
      </x:c>
      <x:c r="B211" s="12" t="n">
        <x:f>IF(A211,D61*1000,"")</x:f>
        <x:v>60000</x:v>
      </x:c>
      <x:c r="C211" s="12" t="n">
        <x:f>IF(A211,E61*L24,"")</x:f>
        <x:v>10</x:v>
      </x:c>
      <x:c r="D211" s="12" t="n">
        <x:f>IF(A211,M363,"")</x:f>
        <x:v>8.73272705078125</x:v>
      </x:c>
      <x:c r="E211" s="12" t="n">
        <x:f>IF(A211,B24/C24,"")</x:f>
        <x:v>32</x:v>
      </x:c>
      <x:c r="F211" s="12" t="n">
        <x:f>IF(A211,B24/D24,"")</x:f>
        <x:v>256</x:v>
      </x:c>
      <x:c r="G211" s="12" t="n">
        <x:f>IF(A211,$F$5*E211*$B$5*60000/B211,"")</x:f>
        <x:v>512</x:v>
      </x:c>
      <x:c r="H211" s="12" t="n">
        <x:f>IF(A211,G211/($J$5*F211),"")</x:f>
        <x:v>2</x:v>
      </x:c>
      <x:c r="I211" s="12" t="n">
        <x:f>IF(A211,$B$5*D211/C24/$B$9,"")</x:f>
        <x:v>17.4654541015625</x:v>
      </x:c>
      <x:c r="J211" s="12" t="n">
        <x:f>IF(A211,I211*$F$5/$J$5,"")</x:f>
        <x:v>17.4654541015625</x:v>
      </x:c>
      <x:c r="K211" s="12" t="n">
        <x:f>IF(A211,MAX(I211,J211)*2^30/(J24*1e6),"")</x:f>
        <x:v>3.906955946666667</x:v>
      </x:c>
      <x:c r="L211" s="12" t="n">
        <x:f>IF(A211,B211/$B$9,"")</x:f>
        <x:v>60000</x:v>
      </x:c>
      <x:c r="M211" s="54" t="n">
        <x:f>IF(A211,K211/L211,"")</x:f>
        <x:v>0.00006511593244444444</x:v>
      </x:c>
      <x:c r="N211" s="12" t="n">
        <x:f>IF(A211,(E24*ROUNDUP(K24/D24,0)*G24*(B24-1)/B24*(ROUNDUP((ROUNDUP(F24*2/32,0)*32+32)/480,0)*512+F24*2+32)+E24*ROUNDUP(H24/B24,0)*(B24-1)*32)/1e9,"")</x:f>
        <x:v>1.38825264</x:v>
      </x:c>
      <x:c r="O211" s="12" t="n">
        <x:f>IF(A211,N211*1000/I24,"")</x:f>
        <x:v>0.2892193</x:v>
      </x:c>
      <x:c r="P211" s="12" t="n">
        <x:f>IF(A211,O211/E24,"")</x:f>
        <x:v>0.0047413</x:v>
      </x:c>
      <x:c r="Q211" s="12" t="n">
        <x:f>IF(A211,N211*1000/C211,"")</x:f>
        <x:v>138.825264</x:v>
      </x:c>
      <x:c r="R211" s="12" t="n">
        <x:f>IF(W211="估算",IF(OR(K211=0,O211=0),0,1-((E24-1)*MAX(0,(C211-O211)/E24-(K211))+MAX(0,L211-((E24-1)*C211/E24+P211)-(K211)))/L211),"")</x:f>
        <x:v>0.00022912938034058694</x:v>
      </x:c>
      <x:c r="S211" s="12" t="n">
        <x:f>IF(W211="估算",IF(O211=0,0,MAX(0,1-(1-((E24-1)*MAX(0,(C211-O211)/E24-(L211-K211))+MAX(0,L211-((E24-1)*C211/E24+P211)-(L211-K211)))/L211))),"")</x:f>
        <x:v>0</x:v>
      </x:c>
      <x:c r="T211" s="12" t="n">
        <x:f>IF(W211="估算",IF(OR(P211=0,K211=0,$J$7=0),0,IF(P211&lt;=(1-$J$7)*K211,$J$7*P211*K211/(1-$J$7)-$J$7^2*P211^2/(2*(1-$J$7)^2),$J$7*P211*K211+$J$7^2*K211^2/2)/L211),"")</x:f>
        <x:v>3.430148397253725e-8</x:v>
      </x:c>
      <x:c r="U211" s="12" t="n">
        <x:f>IF(A211,60000/C211,"")</x:f>
        <x:v>6000</x:v>
      </x:c>
      <x:c r="V211" s="12" t="n">
        <x:f>IF(W211="估算",U211*E24*T211*M24*N24,"")</x:f>
        <x:v>0.012554343133948634</x:v>
      </x:c>
      <x:c r="W211" s="12" t="str">
        <x:f>IF(NOT(A211),"输入无效",IF(K211&gt;=L211,"KV 超载",IF(O211&gt;C211+1e-9,"TPOT 不自洽",IF(OR(C211&gt;L211,P211&gt;L211-K211),"需时序仿真","估算"))))</x:f>
        <x:v>估算</x:v>
      </x:c>
      <x:c r="X211" s="12" t="n">
        <x:f>IF(W211="估算",U211*M211,"")</x:f>
        <x:v>0.39069559466666665</x:v>
      </x:c>
    </x:row>
    <x:row r="212" ht="25" customHeight="1">
      <x:c r="A212" s="2" t="b">
        <x:f>AND(AND(ISNUMBER($B$5),$B$5&gt;0),AND(ISNUMBER($F$5),$F$5&gt;0),AND(ISNUMBER($J$5),$J$5&gt;0),AND(ISNUMBER($B$9),$B$9&gt;0),AND(ISNUMBER(I24),I24&gt;0),AND(ISNUMBER(J24),J24&gt;0),AND(ISNUMBER(K24),K24&gt;0),AND(ISNUMBER(L24),L24&gt;0),AND(ISNUMBER(D62),D62&gt;0),AND(ISNUMBER(E62),E62&gt;0),MOD($B$5,1)=0,MOD($F$5,1)=0,MOD($J$5,1)=0,MOD($B$9,1)=0,MOD(K24,1)=0,ISNUMBER(C62),C62&gt;=2,MOD(C62,1)=0,OR($N$9=32,$N$9=64,$N$9=128),ISNUMBER($B$11),$B$11&gt;=0,MOD($B$11,1)=0,ISNUMBER($J$7),$J$7&gt;=0,$J$7&lt;1,AND(ISNUMBER(M24),M24&gt;=0,M24&lt;=1),AND(ISNUMBER(N24),N24&gt;=0,N24&lt;=1))</x:f>
        <x:v>1</x:v>
      </x:c>
      <x:c r="B212" s="12" t="n">
        <x:f>IF(A212,D62*1000,"")</x:f>
        <x:v>60000</x:v>
      </x:c>
      <x:c r="C212" s="12" t="n">
        <x:f>IF(A212,E62*L24,"")</x:f>
        <x:v>20</x:v>
      </x:c>
      <x:c r="D212" s="12" t="n">
        <x:f>IF(A212,M363,"")</x:f>
        <x:v>8.73272705078125</x:v>
      </x:c>
      <x:c r="E212" s="12" t="n">
        <x:f>IF(A212,B24/C24,"")</x:f>
        <x:v>32</x:v>
      </x:c>
      <x:c r="F212" s="12" t="n">
        <x:f>IF(A212,B24/D24,"")</x:f>
        <x:v>256</x:v>
      </x:c>
      <x:c r="G212" s="12" t="n">
        <x:f>IF(A212,$F$5*E212*$B$5*60000/B212,"")</x:f>
        <x:v>512</x:v>
      </x:c>
      <x:c r="H212" s="12" t="n">
        <x:f>IF(A212,G212/($J$5*F212),"")</x:f>
        <x:v>2</x:v>
      </x:c>
      <x:c r="I212" s="12" t="n">
        <x:f>IF(A212,$B$5*D212/C24/$B$9,"")</x:f>
        <x:v>17.4654541015625</x:v>
      </x:c>
      <x:c r="J212" s="12" t="n">
        <x:f>IF(A212,I212*$F$5/$J$5,"")</x:f>
        <x:v>17.4654541015625</x:v>
      </x:c>
      <x:c r="K212" s="12" t="n">
        <x:f>IF(A212,MAX(I212,J212)*2^30/(J24*1e6),"")</x:f>
        <x:v>3.906955946666667</x:v>
      </x:c>
      <x:c r="L212" s="12" t="n">
        <x:f>IF(A212,B212/$B$9,"")</x:f>
        <x:v>60000</x:v>
      </x:c>
      <x:c r="M212" s="54" t="n">
        <x:f>IF(A212,K212/L212,"")</x:f>
        <x:v>0.00006511593244444444</x:v>
      </x:c>
      <x:c r="N212" s="12" t="n">
        <x:f>IF(A212,(E24*ROUNDUP(K24/D24,0)*G24*(B24-1)/B24*(ROUNDUP((ROUNDUP(F24*2/32,0)*32+32)/480,0)*512+F24*2+32)+E24*ROUNDUP(H24/B24,0)*(B24-1)*32)/1e9,"")</x:f>
        <x:v>1.38825264</x:v>
      </x:c>
      <x:c r="O212" s="12" t="n">
        <x:f>IF(A212,N212*1000/I24,"")</x:f>
        <x:v>0.2892193</x:v>
      </x:c>
      <x:c r="P212" s="12" t="n">
        <x:f>IF(A212,O212/E24,"")</x:f>
        <x:v>0.0047413</x:v>
      </x:c>
      <x:c r="Q212" s="12" t="n">
        <x:f>IF(A212,N212*1000/C212,"")</x:f>
        <x:v>69.412632</x:v>
      </x:c>
      <x:c r="R212" s="12" t="n">
        <x:f>IF(W212="估算",IF(OR(K212=0,O212=0),0,1-((E24-1)*MAX(0,(C212-O212)/E24-(K212))+MAX(0,L212-((E24-1)*C212/E24+P212)-(K212)))/L212),"")</x:f>
        <x:v>0.0003930638065701153</x:v>
      </x:c>
      <x:c r="S212" s="12" t="n">
        <x:f>IF(W212="估算",IF(O212=0,0,MAX(0,1-(1-((E24-1)*MAX(0,(C212-O212)/E24-(L212-K212))+MAX(0,L212-((E24-1)*C212/E24+P212)-(L212-K212)))/L212))),"")</x:f>
        <x:v>0</x:v>
      </x:c>
      <x:c r="T212" s="12" t="n">
        <x:f>IF(W212="估算",IF(OR(P212=0,K212=0,$J$7=0),0,IF(P212&lt;=(1-$J$7)*K212,$J$7*P212*K212/(1-$J$7)-$J$7^2*P212^2/(2*(1-$J$7)^2),$J$7*P212*K212+$J$7^2*K212^2/2)/L212),"")</x:f>
        <x:v>3.430148397253725e-8</x:v>
      </x:c>
      <x:c r="U212" s="12" t="n">
        <x:f>IF(A212,60000/C212,"")</x:f>
        <x:v>3000</x:v>
      </x:c>
      <x:c r="V212" s="12" t="n">
        <x:f>IF(W212="估算",U212*E24*T212*M24*N24,"")</x:f>
        <x:v>0.006277171566974317</x:v>
      </x:c>
      <x:c r="W212" s="12" t="str">
        <x:f>IF(NOT(A212),"输入无效",IF(K212&gt;=L212,"KV 超载",IF(O212&gt;C212+1e-9,"TPOT 不自洽",IF(OR(C212&gt;L212,P212&gt;L212-K212),"需时序仿真","估算"))))</x:f>
        <x:v>估算</x:v>
      </x:c>
      <x:c r="X212" s="12" t="n">
        <x:f>IF(W212="估算",U212*M212,"")</x:f>
        <x:v>0.19534779733333332</x:v>
      </x:c>
    </x:row>
    <x:row r="213" ht="25" customHeight="1">
      <x:c r="A213" s="2" t="b">
        <x:f>AND(AND(ISNUMBER($B$5),$B$5&gt;0),AND(ISNUMBER($F$5),$F$5&gt;0),AND(ISNUMBER($J$5),$J$5&gt;0),AND(ISNUMBER($B$9),$B$9&gt;0),AND(ISNUMBER(I24),I24&gt;0),AND(ISNUMBER(J24),J24&gt;0),AND(ISNUMBER(K24),K24&gt;0),AND(ISNUMBER(L24),L24&gt;0),AND(ISNUMBER(D63),D63&gt;0),AND(ISNUMBER(E63),E63&gt;0),MOD($B$5,1)=0,MOD($F$5,1)=0,MOD($J$5,1)=0,MOD($B$9,1)=0,MOD(K24,1)=0,ISNUMBER(C63),C63&gt;=2,MOD(C63,1)=0,OR($N$9=32,$N$9=64,$N$9=128),ISNUMBER($B$11),$B$11&gt;=0,MOD($B$11,1)=0,ISNUMBER($J$7),$J$7&gt;=0,$J$7&lt;1,AND(ISNUMBER(M24),M24&gt;=0,M24&lt;=1),AND(ISNUMBER(N24),N24&gt;=0,N24&lt;=1))</x:f>
        <x:v>1</x:v>
      </x:c>
      <x:c r="B213" s="12" t="n">
        <x:f>IF(A213,D63*1000,"")</x:f>
        <x:v>60000</x:v>
      </x:c>
      <x:c r="C213" s="12" t="n">
        <x:f>IF(A213,E63*L24,"")</x:f>
        <x:v>30</x:v>
      </x:c>
      <x:c r="D213" s="12" t="n">
        <x:f>IF(A213,M363,"")</x:f>
        <x:v>8.73272705078125</x:v>
      </x:c>
      <x:c r="E213" s="12" t="n">
        <x:f>IF(A213,B24/C24,"")</x:f>
        <x:v>32</x:v>
      </x:c>
      <x:c r="F213" s="12" t="n">
        <x:f>IF(A213,B24/D24,"")</x:f>
        <x:v>256</x:v>
      </x:c>
      <x:c r="G213" s="12" t="n">
        <x:f>IF(A213,$F$5*E213*$B$5*60000/B213,"")</x:f>
        <x:v>512</x:v>
      </x:c>
      <x:c r="H213" s="12" t="n">
        <x:f>IF(A213,G213/($J$5*F213),"")</x:f>
        <x:v>2</x:v>
      </x:c>
      <x:c r="I213" s="12" t="n">
        <x:f>IF(A213,$B$5*D213/C24/$B$9,"")</x:f>
        <x:v>17.4654541015625</x:v>
      </x:c>
      <x:c r="J213" s="12" t="n">
        <x:f>IF(A213,I213*$F$5/$J$5,"")</x:f>
        <x:v>17.4654541015625</x:v>
      </x:c>
      <x:c r="K213" s="12" t="n">
        <x:f>IF(A213,MAX(I213,J213)*2^30/(J24*1e6),"")</x:f>
        <x:v>3.906955946666667</x:v>
      </x:c>
      <x:c r="L213" s="12" t="n">
        <x:f>IF(A213,B213/$B$9,"")</x:f>
        <x:v>60000</x:v>
      </x:c>
      <x:c r="M213" s="54" t="n">
        <x:f>IF(A213,K213/L213,"")</x:f>
        <x:v>0.00006511593244444444</x:v>
      </x:c>
      <x:c r="N213" s="12" t="n">
        <x:f>IF(A213,(E24*ROUNDUP(K24/D24,0)*G24*(B24-1)/B24*(ROUNDUP((ROUNDUP(F24*2/32,0)*32+32)/480,0)*512+F24*2+32)+E24*ROUNDUP(H24/B24,0)*(B24-1)*32)/1e9,"")</x:f>
        <x:v>1.38825264</x:v>
      </x:c>
      <x:c r="O213" s="12" t="n">
        <x:f>IF(A213,N213*1000/I24,"")</x:f>
        <x:v>0.2892193</x:v>
      </x:c>
      <x:c r="P213" s="12" t="n">
        <x:f>IF(A213,O213/E24,"")</x:f>
        <x:v>0.0047413</x:v>
      </x:c>
      <x:c r="Q213" s="12" t="n">
        <x:f>IF(A213,N213*1000/C213,"")</x:f>
        <x:v>46.275088</x:v>
      </x:c>
      <x:c r="R213" s="12" t="n">
        <x:f>IF(W213="估算",IF(OR(K213=0,O213=0),0,1-((E24-1)*MAX(0,(C213-O213)/E24-(K213))+MAX(0,L213-((E24-1)*C213/E24+P213)-(K213)))/L213),"")</x:f>
        <x:v>0.0005569982327996437</x:v>
      </x:c>
      <x:c r="S213" s="12" t="n">
        <x:f>IF(W213="估算",IF(O213=0,0,MAX(0,1-(1-((E24-1)*MAX(0,(C213-O213)/E24-(L213-K213))+MAX(0,L213-((E24-1)*C213/E24+P213)-(L213-K213)))/L213))),"")</x:f>
        <x:v>0</x:v>
      </x:c>
      <x:c r="T213" s="12" t="n">
        <x:f>IF(W213="估算",IF(OR(P213=0,K213=0,$J$7=0),0,IF(P213&lt;=(1-$J$7)*K213,$J$7*P213*K213/(1-$J$7)-$J$7^2*P213^2/(2*(1-$J$7)^2),$J$7*P213*K213+$J$7^2*K213^2/2)/L213),"")</x:f>
        <x:v>3.430148397253725e-8</x:v>
      </x:c>
      <x:c r="U213" s="12" t="n">
        <x:f>IF(A213,60000/C213,"")</x:f>
        <x:v>2000</x:v>
      </x:c>
      <x:c r="V213" s="12" t="n">
        <x:f>IF(W213="估算",U213*E24*T213*M24*N24,"")</x:f>
        <x:v>0.004184781044649545</x:v>
      </x:c>
      <x:c r="W213" s="12" t="str">
        <x:f>IF(NOT(A213),"输入无效",IF(K213&gt;=L213,"KV 超载",IF(O213&gt;C213+1e-9,"TPOT 不自洽",IF(OR(C213&gt;L213,P213&gt;L213-K213),"需时序仿真","估算"))))</x:f>
        <x:v>估算</x:v>
      </x:c>
      <x:c r="X213" s="12" t="n">
        <x:f>IF(W213="估算",U213*M213,"")</x:f>
        <x:v>0.13023186488888888</x:v>
      </x:c>
    </x:row>
    <x:row r="214" ht="25" customHeight="1">
      <x:c r="A214" s="2" t="b">
        <x:f>AND(AND(ISNUMBER($B$5),$B$5&gt;0),AND(ISNUMBER($F$5),$F$5&gt;0),AND(ISNUMBER($J$5),$J$5&gt;0),AND(ISNUMBER($B$9),$B$9&gt;0),AND(ISNUMBER(I25),I25&gt;0),AND(ISNUMBER(J25),J25&gt;0),AND(ISNUMBER(K25),K25&gt;0),AND(ISNUMBER(L25),L25&gt;0),AND(ISNUMBER(D64),D64&gt;0),AND(ISNUMBER(E64),E64&gt;0),MOD($B$5,1)=0,MOD($F$5,1)=0,MOD($J$5,1)=0,MOD($B$9,1)=0,MOD(K25,1)=0,ISNUMBER(C64),C64&gt;=2,MOD(C64,1)=0,OR($N$9=32,$N$9=64,$N$9=128),ISNUMBER($B$11),$B$11&gt;=0,MOD($B$11,1)=0,ISNUMBER($J$7),$J$7&gt;=0,$J$7&lt;1,AND(ISNUMBER(M25),M25&gt;=0,M25&lt;=1),AND(ISNUMBER(N25),N25&gt;=0,N25&lt;=1))</x:f>
        <x:v>1</x:v>
      </x:c>
      <x:c r="B214" s="12" t="n">
        <x:f>IF(A214,D64*1000,"")</x:f>
        <x:v>4000</x:v>
      </x:c>
      <x:c r="C214" s="12" t="n">
        <x:f>IF(A214,E64*L25,"")</x:f>
        <x:v>5</x:v>
      </x:c>
      <x:c r="D214" s="12" t="n">
        <x:f>IF(A214,M371,"")</x:f>
        <x:v>0.1742401123046875</x:v>
      </x:c>
      <x:c r="E214" s="12" t="n">
        <x:f>IF(A214,B25/C25,"")</x:f>
        <x:v>4</x:v>
      </x:c>
      <x:c r="F214" s="12" t="n">
        <x:f>IF(A214,B25/D25,"")</x:f>
        <x:v>32</x:v>
      </x:c>
      <x:c r="G214" s="12" t="n">
        <x:f>IF(A214,$F$5*E214*$B$5*60000/B214,"")</x:f>
        <x:v>960</x:v>
      </x:c>
      <x:c r="H214" s="12" t="n">
        <x:f>IF(A214,G214/($J$5*F214),"")</x:f>
        <x:v>30</x:v>
      </x:c>
      <x:c r="I214" s="12" t="n">
        <x:f>IF(A214,$B$5*D214/C25/$B$9,"")</x:f>
        <x:v>0.348480224609375</x:v>
      </x:c>
      <x:c r="J214" s="12" t="n">
        <x:f>IF(A214,I214*$F$5/$J$5,"")</x:f>
        <x:v>0.348480224609375</x:v>
      </x:c>
      <x:c r="K214" s="12" t="n">
        <x:f>IF(A214,MAX(I214,J214)*2^30/(J25*1e6),"")</x:f>
        <x:v>0.07795370666666666</x:v>
      </x:c>
      <x:c r="L214" s="12" t="n">
        <x:f>IF(A214,B214/$B$9,"")</x:f>
        <x:v>4000</x:v>
      </x:c>
      <x:c r="M214" s="54" t="n">
        <x:f>IF(A214,K214/L214,"")</x:f>
        <x:v>0.000019488426666666665</x:v>
      </x:c>
      <x:c r="N214" s="12" t="n">
        <x:f>IF(A214,(E25*ROUNDUP(K25/D25,0)*G25*(B25-1)/B25*(ROUNDUP((ROUNDUP(F25*2/32,0)*32+32)/480,0)*512+F25*2+32)+E25*ROUNDUP(H25/B25,0)*(B25-1)*32)/1e9,"")</x:f>
        <x:v>1.349901696</x:v>
      </x:c>
      <x:c r="O214" s="12" t="n">
        <x:f>IF(A214,N214*1000/I25,"")</x:f>
        <x:v>0.28122952</x:v>
      </x:c>
      <x:c r="P214" s="12" t="n">
        <x:f>IF(A214,O214/E25,"")</x:f>
        <x:v>0.00461032</x:v>
      </x:c>
      <x:c r="Q214" s="12" t="n">
        <x:f>IF(A214,N214*1000/C214,"")</x:f>
        <x:v>269.9803392</x:v>
      </x:c>
      <x:c r="R214" s="12" t="n">
        <x:f>IF(W214="估算",IF(OR(K214=0,O214=0),0,1-((E25-1)*MAX(0,(C214-O214)/E25-(K214))+MAX(0,L214-((E25-1)*C214/E25+P214)-(K214)))/L214),"")</x:f>
        <x:v>0.0012501492033878403</x:v>
      </x:c>
      <x:c r="S214" s="12" t="n">
        <x:f>IF(W214="估算",IF(O214=0,0,MAX(0,1-(1-((E25-1)*MAX(0,(C214-O214)/E25-(L214-K214))+MAX(0,L214-((E25-1)*C214/E25+P214)-(L214-K214)))/L214))),"")</x:f>
        <x:v>0</x:v>
      </x:c>
      <x:c r="T214" s="12" t="n">
        <x:f>IF(W214="估算",IF(OR(P214=0,K214=0,$J$7=0),0,IF(P214&lt;=(1-$J$7)*K214,$J$7*P214*K214/(1-$J$7)-$J$7^2*P214^2/(2*(1-$J$7)^2),$J$7*P214*K214+$J$7^2*K214^2/2)/L214),"")</x:f>
        <x:v>9.950297132790125e-9</x:v>
      </x:c>
      <x:c r="U214" s="12" t="n">
        <x:f>IF(A214,60000/C214,"")</x:f>
        <x:v>12000</x:v>
      </x:c>
      <x:c r="V214" s="12" t="n">
        <x:f>IF(W214="估算",U214*E25*T214*M25*N25,"")</x:f>
        <x:v>0.007283617501202371</x:v>
      </x:c>
      <x:c r="W214" s="12" t="str">
        <x:f>IF(NOT(A214),"输入无效",IF(K214&gt;=L214,"KV 超载",IF(O214&gt;C214+1e-9,"TPOT 不自洽",IF(OR(C214&gt;L214,P214&gt;L214-K214),"需时序仿真","估算"))))</x:f>
        <x:v>估算</x:v>
      </x:c>
      <x:c r="X214" s="12" t="n">
        <x:f>IF(W214="估算",U214*M214,"")</x:f>
        <x:v>0.23386111999999998</x:v>
      </x:c>
    </x:row>
    <x:row r="215" ht="25" customHeight="1">
      <x:c r="A215" s="2" t="b">
        <x:f>AND(AND(ISNUMBER($B$5),$B$5&gt;0),AND(ISNUMBER($F$5),$F$5&gt;0),AND(ISNUMBER($J$5),$J$5&gt;0),AND(ISNUMBER($B$9),$B$9&gt;0),AND(ISNUMBER(I25),I25&gt;0),AND(ISNUMBER(J25),J25&gt;0),AND(ISNUMBER(K25),K25&gt;0),AND(ISNUMBER(L25),L25&gt;0),AND(ISNUMBER(D65),D65&gt;0),AND(ISNUMBER(E65),E65&gt;0),MOD($B$5,1)=0,MOD($F$5,1)=0,MOD($J$5,1)=0,MOD($B$9,1)=0,MOD(K25,1)=0,ISNUMBER(C65),C65&gt;=2,MOD(C65,1)=0,OR($N$9=32,$N$9=64,$N$9=128),ISNUMBER($B$11),$B$11&gt;=0,MOD($B$11,1)=0,ISNUMBER($J$7),$J$7&gt;=0,$J$7&lt;1,AND(ISNUMBER(M25),M25&gt;=0,M25&lt;=1),AND(ISNUMBER(N25),N25&gt;=0,N25&lt;=1))</x:f>
        <x:v>1</x:v>
      </x:c>
      <x:c r="B215" s="12" t="n">
        <x:f>IF(A215,D65*1000,"")</x:f>
        <x:v>4000</x:v>
      </x:c>
      <x:c r="C215" s="12" t="n">
        <x:f>IF(A215,E65*L25,"")</x:f>
        <x:v>10</x:v>
      </x:c>
      <x:c r="D215" s="12" t="n">
        <x:f>IF(A215,M371,"")</x:f>
        <x:v>0.1742401123046875</x:v>
      </x:c>
      <x:c r="E215" s="12" t="n">
        <x:f>IF(A215,B25/C25,"")</x:f>
        <x:v>4</x:v>
      </x:c>
      <x:c r="F215" s="12" t="n">
        <x:f>IF(A215,B25/D25,"")</x:f>
        <x:v>32</x:v>
      </x:c>
      <x:c r="G215" s="12" t="n">
        <x:f>IF(A215,$F$5*E215*$B$5*60000/B215,"")</x:f>
        <x:v>960</x:v>
      </x:c>
      <x:c r="H215" s="12" t="n">
        <x:f>IF(A215,G215/($J$5*F215),"")</x:f>
        <x:v>30</x:v>
      </x:c>
      <x:c r="I215" s="12" t="n">
        <x:f>IF(A215,$B$5*D215/C25/$B$9,"")</x:f>
        <x:v>0.348480224609375</x:v>
      </x:c>
      <x:c r="J215" s="12" t="n">
        <x:f>IF(A215,I215*$F$5/$J$5,"")</x:f>
        <x:v>0.348480224609375</x:v>
      </x:c>
      <x:c r="K215" s="12" t="n">
        <x:f>IF(A215,MAX(I215,J215)*2^30/(J25*1e6),"")</x:f>
        <x:v>0.07795370666666666</x:v>
      </x:c>
      <x:c r="L215" s="12" t="n">
        <x:f>IF(A215,B215/$B$9,"")</x:f>
        <x:v>4000</x:v>
      </x:c>
      <x:c r="M215" s="54" t="n">
        <x:f>IF(A215,K215/L215,"")</x:f>
        <x:v>0.000019488426666666665</x:v>
      </x:c>
      <x:c r="N215" s="12" t="n">
        <x:f>IF(A215,(E25*ROUNDUP(K25/D25,0)*G25*(B25-1)/B25*(ROUNDUP((ROUNDUP(F25*2/32,0)*32+32)/480,0)*512+F25*2+32)+E25*ROUNDUP(H25/B25,0)*(B25-1)*32)/1e9,"")</x:f>
        <x:v>1.349901696</x:v>
      </x:c>
      <x:c r="O215" s="12" t="n">
        <x:f>IF(A215,N215*1000/I25,"")</x:f>
        <x:v>0.28122952</x:v>
      </x:c>
      <x:c r="P215" s="12" t="n">
        <x:f>IF(A215,O215/E25,"")</x:f>
        <x:v>0.00461032</x:v>
      </x:c>
      <x:c r="Q215" s="12" t="n">
        <x:f>IF(A215,N215*1000/C215,"")</x:f>
        <x:v>134.9901696</x:v>
      </x:c>
      <x:c r="R215" s="12" t="n">
        <x:f>IF(W215="估算",IF(OR(K215=0,O215=0),0,1-((E25-1)*MAX(0,(C215-O215)/E25-(K215))+MAX(0,L215-((E25-1)*C215/E25+P215)-(K215)))/L215),"")</x:f>
        <x:v>0.0012591014066665185</x:v>
      </x:c>
      <x:c r="S215" s="12" t="n">
        <x:f>IF(W215="估算",IF(O215=0,0,MAX(0,1-(1-((E25-1)*MAX(0,(C215-O215)/E25-(L215-K215))+MAX(0,L215-((E25-1)*C215/E25+P215)-(L215-K215)))/L215))),"")</x:f>
        <x:v>0</x:v>
      </x:c>
      <x:c r="T215" s="12" t="n">
        <x:f>IF(W215="估算",IF(OR(P215=0,K215=0,$J$7=0),0,IF(P215&lt;=(1-$J$7)*K215,$J$7*P215*K215/(1-$J$7)-$J$7^2*P215^2/(2*(1-$J$7)^2),$J$7*P215*K215+$J$7^2*K215^2/2)/L215),"")</x:f>
        <x:v>9.950297132790125e-9</x:v>
      </x:c>
      <x:c r="U215" s="12" t="n">
        <x:f>IF(A215,60000/C215,"")</x:f>
        <x:v>6000</x:v>
      </x:c>
      <x:c r="V215" s="12" t="n">
        <x:f>IF(W215="估算",U215*E25*T215*M25*N25,"")</x:f>
        <x:v>0.0036418087506011857</x:v>
      </x:c>
      <x:c r="W215" s="12" t="str">
        <x:f>IF(NOT(A215),"输入无效",IF(K215&gt;=L215,"KV 超载",IF(O215&gt;C215+1e-9,"TPOT 不自洽",IF(OR(C215&gt;L215,P215&gt;L215-K215),"需时序仿真","估算"))))</x:f>
        <x:v>估算</x:v>
      </x:c>
      <x:c r="X215" s="12" t="n">
        <x:f>IF(W215="估算",U215*M215,"")</x:f>
        <x:v>0.11693055999999999</x:v>
      </x:c>
    </x:row>
    <x:row r="216" ht="25" customHeight="1">
      <x:c r="A216" s="2" t="b">
        <x:f>AND(AND(ISNUMBER($B$5),$B$5&gt;0),AND(ISNUMBER($F$5),$F$5&gt;0),AND(ISNUMBER($J$5),$J$5&gt;0),AND(ISNUMBER($B$9),$B$9&gt;0),AND(ISNUMBER(I25),I25&gt;0),AND(ISNUMBER(J25),J25&gt;0),AND(ISNUMBER(K25),K25&gt;0),AND(ISNUMBER(L25),L25&gt;0),AND(ISNUMBER(D66),D66&gt;0),AND(ISNUMBER(E66),E66&gt;0),MOD($B$5,1)=0,MOD($F$5,1)=0,MOD($J$5,1)=0,MOD($B$9,1)=0,MOD(K25,1)=0,ISNUMBER(C66),C66&gt;=2,MOD(C66,1)=0,OR($N$9=32,$N$9=64,$N$9=128),ISNUMBER($B$11),$B$11&gt;=0,MOD($B$11,1)=0,ISNUMBER($J$7),$J$7&gt;=0,$J$7&lt;1,AND(ISNUMBER(M25),M25&gt;=0,M25&lt;=1),AND(ISNUMBER(N25),N25&gt;=0,N25&lt;=1))</x:f>
        <x:v>1</x:v>
      </x:c>
      <x:c r="B216" s="12" t="n">
        <x:f>IF(A216,D66*1000,"")</x:f>
        <x:v>4000</x:v>
      </x:c>
      <x:c r="C216" s="12" t="n">
        <x:f>IF(A216,E66*L25,"")</x:f>
        <x:v>20</x:v>
      </x:c>
      <x:c r="D216" s="12" t="n">
        <x:f>IF(A216,M371,"")</x:f>
        <x:v>0.1742401123046875</x:v>
      </x:c>
      <x:c r="E216" s="12" t="n">
        <x:f>IF(A216,B25/C25,"")</x:f>
        <x:v>4</x:v>
      </x:c>
      <x:c r="F216" s="12" t="n">
        <x:f>IF(A216,B25/D25,"")</x:f>
        <x:v>32</x:v>
      </x:c>
      <x:c r="G216" s="12" t="n">
        <x:f>IF(A216,$F$5*E216*$B$5*60000/B216,"")</x:f>
        <x:v>960</x:v>
      </x:c>
      <x:c r="H216" s="12" t="n">
        <x:f>IF(A216,G216/($J$5*F216),"")</x:f>
        <x:v>30</x:v>
      </x:c>
      <x:c r="I216" s="12" t="n">
        <x:f>IF(A216,$B$5*D216/C25/$B$9,"")</x:f>
        <x:v>0.348480224609375</x:v>
      </x:c>
      <x:c r="J216" s="12" t="n">
        <x:f>IF(A216,I216*$F$5/$J$5,"")</x:f>
        <x:v>0.348480224609375</x:v>
      </x:c>
      <x:c r="K216" s="12" t="n">
        <x:f>IF(A216,MAX(I216,J216)*2^30/(J25*1e6),"")</x:f>
        <x:v>0.07795370666666666</x:v>
      </x:c>
      <x:c r="L216" s="12" t="n">
        <x:f>IF(A216,B216/$B$9,"")</x:f>
        <x:v>4000</x:v>
      </x:c>
      <x:c r="M216" s="54" t="n">
        <x:f>IF(A216,K216/L216,"")</x:f>
        <x:v>0.000019488426666666665</x:v>
      </x:c>
      <x:c r="N216" s="12" t="n">
        <x:f>IF(A216,(E25*ROUNDUP(K25/D25,0)*G25*(B25-1)/B25*(ROUNDUP((ROUNDUP(F25*2/32,0)*32+32)/480,0)*512+F25*2+32)+E25*ROUNDUP(H25/B25,0)*(B25-1)*32)/1e9,"")</x:f>
        <x:v>1.349901696</x:v>
      </x:c>
      <x:c r="O216" s="12" t="n">
        <x:f>IF(A216,N216*1000/I25,"")</x:f>
        <x:v>0.28122952</x:v>
      </x:c>
      <x:c r="P216" s="12" t="n">
        <x:f>IF(A216,O216/E25,"")</x:f>
        <x:v>0.00461032</x:v>
      </x:c>
      <x:c r="Q216" s="12" t="n">
        <x:f>IF(A216,N216*1000/C216,"")</x:f>
        <x:v>67.4950848</x:v>
      </x:c>
      <x:c r="R216" s="12" t="n">
        <x:f>IF(W216="估算",IF(OR(K216=0,O216=0),0,1-((E25-1)*MAX(0,(C216-O216)/E25-(K216))+MAX(0,L216-((E25-1)*C216/E25+P216)-(K216)))/L216),"")</x:f>
        <x:v>0.0012591014066665185</x:v>
      </x:c>
      <x:c r="S216" s="12" t="n">
        <x:f>IF(W216="估算",IF(O216=0,0,MAX(0,1-(1-((E25-1)*MAX(0,(C216-O216)/E25-(L216-K216))+MAX(0,L216-((E25-1)*C216/E25+P216)-(L216-K216)))/L216))),"")</x:f>
        <x:v>0</x:v>
      </x:c>
      <x:c r="T216" s="12" t="n">
        <x:f>IF(W216="估算",IF(OR(P216=0,K216=0,$J$7=0),0,IF(P216&lt;=(1-$J$7)*K216,$J$7*P216*K216/(1-$J$7)-$J$7^2*P216^2/(2*(1-$J$7)^2),$J$7*P216*K216+$J$7^2*K216^2/2)/L216),"")</x:f>
        <x:v>9.950297132790125e-9</x:v>
      </x:c>
      <x:c r="U216" s="12" t="n">
        <x:f>IF(A216,60000/C216,"")</x:f>
        <x:v>3000</x:v>
      </x:c>
      <x:c r="V216" s="12" t="n">
        <x:f>IF(W216="估算",U216*E25*T216*M25*N25,"")</x:f>
        <x:v>0.0018209043753005928</x:v>
      </x:c>
      <x:c r="W216" s="12" t="str">
        <x:f>IF(NOT(A216),"输入无效",IF(K216&gt;=L216,"KV 超载",IF(O216&gt;C216+1e-9,"TPOT 不自洽",IF(OR(C216&gt;L216,P216&gt;L216-K216),"需时序仿真","估算"))))</x:f>
        <x:v>估算</x:v>
      </x:c>
      <x:c r="X216" s="12" t="n">
        <x:f>IF(W216="估算",U216*M216,"")</x:f>
        <x:v>0.058465279999999994</x:v>
      </x:c>
    </x:row>
    <x:row r="217" ht="25" customHeight="1">
      <x:c r="A217" s="2" t="b">
        <x:f>AND(AND(ISNUMBER($B$5),$B$5&gt;0),AND(ISNUMBER($F$5),$F$5&gt;0),AND(ISNUMBER($J$5),$J$5&gt;0),AND(ISNUMBER($B$9),$B$9&gt;0),AND(ISNUMBER(I25),I25&gt;0),AND(ISNUMBER(J25),J25&gt;0),AND(ISNUMBER(K25),K25&gt;0),AND(ISNUMBER(L25),L25&gt;0),AND(ISNUMBER(D67),D67&gt;0),AND(ISNUMBER(E67),E67&gt;0),MOD($B$5,1)=0,MOD($F$5,1)=0,MOD($J$5,1)=0,MOD($B$9,1)=0,MOD(K25,1)=0,ISNUMBER(C67),C67&gt;=2,MOD(C67,1)=0,OR($N$9=32,$N$9=64,$N$9=128),ISNUMBER($B$11),$B$11&gt;=0,MOD($B$11,1)=0,ISNUMBER($J$7),$J$7&gt;=0,$J$7&lt;1,AND(ISNUMBER(M25),M25&gt;=0,M25&lt;=1),AND(ISNUMBER(N25),N25&gt;=0,N25&lt;=1))</x:f>
        <x:v>1</x:v>
      </x:c>
      <x:c r="B217" s="12" t="n">
        <x:f>IF(A217,D67*1000,"")</x:f>
        <x:v>4000</x:v>
      </x:c>
      <x:c r="C217" s="12" t="n">
        <x:f>IF(A217,E67*L25,"")</x:f>
        <x:v>30</x:v>
      </x:c>
      <x:c r="D217" s="12" t="n">
        <x:f>IF(A217,M371,"")</x:f>
        <x:v>0.1742401123046875</x:v>
      </x:c>
      <x:c r="E217" s="12" t="n">
        <x:f>IF(A217,B25/C25,"")</x:f>
        <x:v>4</x:v>
      </x:c>
      <x:c r="F217" s="12" t="n">
        <x:f>IF(A217,B25/D25,"")</x:f>
        <x:v>32</x:v>
      </x:c>
      <x:c r="G217" s="12" t="n">
        <x:f>IF(A217,$F$5*E217*$B$5*60000/B217,"")</x:f>
        <x:v>960</x:v>
      </x:c>
      <x:c r="H217" s="12" t="n">
        <x:f>IF(A217,G217/($J$5*F217),"")</x:f>
        <x:v>30</x:v>
      </x:c>
      <x:c r="I217" s="12" t="n">
        <x:f>IF(A217,$B$5*D217/C25/$B$9,"")</x:f>
        <x:v>0.348480224609375</x:v>
      </x:c>
      <x:c r="J217" s="12" t="n">
        <x:f>IF(A217,I217*$F$5/$J$5,"")</x:f>
        <x:v>0.348480224609375</x:v>
      </x:c>
      <x:c r="K217" s="12" t="n">
        <x:f>IF(A217,MAX(I217,J217)*2^30/(J25*1e6),"")</x:f>
        <x:v>0.07795370666666666</x:v>
      </x:c>
      <x:c r="L217" s="12" t="n">
        <x:f>IF(A217,B217/$B$9,"")</x:f>
        <x:v>4000</x:v>
      </x:c>
      <x:c r="M217" s="54" t="n">
        <x:f>IF(A217,K217/L217,"")</x:f>
        <x:v>0.000019488426666666665</x:v>
      </x:c>
      <x:c r="N217" s="12" t="n">
        <x:f>IF(A217,(E25*ROUNDUP(K25/D25,0)*G25*(B25-1)/B25*(ROUNDUP((ROUNDUP(F25*2/32,0)*32+32)/480,0)*512+F25*2+32)+E25*ROUNDUP(H25/B25,0)*(B25-1)*32)/1e9,"")</x:f>
        <x:v>1.349901696</x:v>
      </x:c>
      <x:c r="O217" s="12" t="n">
        <x:f>IF(A217,N217*1000/I25,"")</x:f>
        <x:v>0.28122952</x:v>
      </x:c>
      <x:c r="P217" s="12" t="n">
        <x:f>IF(A217,O217/E25,"")</x:f>
        <x:v>0.00461032</x:v>
      </x:c>
      <x:c r="Q217" s="12" t="n">
        <x:f>IF(A217,N217*1000/C217,"")</x:f>
        <x:v>44.996723200000005</x:v>
      </x:c>
      <x:c r="R217" s="12" t="n">
        <x:f>IF(W217="估算",IF(OR(K217=0,O217=0),0,1-((E25-1)*MAX(0,(C217-O217)/E25-(K217))+MAX(0,L217-((E25-1)*C217/E25+P217)-(K217)))/L217),"")</x:f>
        <x:v>0.0012591014066666295</x:v>
      </x:c>
      <x:c r="S217" s="12" t="n">
        <x:f>IF(W217="估算",IF(O217=0,0,MAX(0,1-(1-((E25-1)*MAX(0,(C217-O217)/E25-(L217-K217))+MAX(0,L217-((E25-1)*C217/E25+P217)-(L217-K217)))/L217))),"")</x:f>
        <x:v>0</x:v>
      </x:c>
      <x:c r="T217" s="12" t="n">
        <x:f>IF(W217="估算",IF(OR(P217=0,K217=0,$J$7=0),0,IF(P217&lt;=(1-$J$7)*K217,$J$7*P217*K217/(1-$J$7)-$J$7^2*P217^2/(2*(1-$J$7)^2),$J$7*P217*K217+$J$7^2*K217^2/2)/L217),"")</x:f>
        <x:v>9.950297132790125e-9</x:v>
      </x:c>
      <x:c r="U217" s="12" t="n">
        <x:f>IF(A217,60000/C217,"")</x:f>
        <x:v>2000</x:v>
      </x:c>
      <x:c r="V217" s="12" t="n">
        <x:f>IF(W217="估算",U217*E25*T217*M25*N25,"")</x:f>
        <x:v>0.0012139362502003952</x:v>
      </x:c>
      <x:c r="W217" s="12" t="str">
        <x:f>IF(NOT(A217),"输入无效",IF(K217&gt;=L217,"KV 超载",IF(O217&gt;C217+1e-9,"TPOT 不自洽",IF(OR(C217&gt;L217,P217&gt;L217-K217),"需时序仿真","估算"))))</x:f>
        <x:v>估算</x:v>
      </x:c>
      <x:c r="X217" s="12" t="n">
        <x:f>IF(W217="估算",U217*M217,"")</x:f>
        <x:v>0.03897685333333333</x:v>
      </x:c>
    </x:row>
    <x:row r="218" ht="25" customHeight="1">
      <x:c r="A218" s="2" t="b">
        <x:f>AND(AND(ISNUMBER($B$5),$B$5&gt;0),AND(ISNUMBER($F$5),$F$5&gt;0),AND(ISNUMBER($J$5),$J$5&gt;0),AND(ISNUMBER($B$9),$B$9&gt;0),AND(ISNUMBER(I25),I25&gt;0),AND(ISNUMBER(J25),J25&gt;0),AND(ISNUMBER(K25),K25&gt;0),AND(ISNUMBER(L25),L25&gt;0),AND(ISNUMBER(D68),D68&gt;0),AND(ISNUMBER(E68),E68&gt;0),MOD($B$5,1)=0,MOD($F$5,1)=0,MOD($J$5,1)=0,MOD($B$9,1)=0,MOD(K25,1)=0,ISNUMBER(C68),C68&gt;=2,MOD(C68,1)=0,OR($N$9=32,$N$9=64,$N$9=128),ISNUMBER($B$11),$B$11&gt;=0,MOD($B$11,1)=0,ISNUMBER($J$7),$J$7&gt;=0,$J$7&lt;1,AND(ISNUMBER(M25),M25&gt;=0,M25&lt;=1),AND(ISNUMBER(N25),N25&gt;=0,N25&lt;=1))</x:f>
        <x:v>1</x:v>
      </x:c>
      <x:c r="B218" s="12" t="n">
        <x:f>IF(A218,D68*1000,"")</x:f>
        <x:v>20000</x:v>
      </x:c>
      <x:c r="C218" s="12" t="n">
        <x:f>IF(A218,E68*L25,"")</x:f>
        <x:v>5</x:v>
      </x:c>
      <x:c r="D218" s="12" t="n">
        <x:f>IF(A218,M379,"")</x:f>
        <x:v>2.21197509765625</x:v>
      </x:c>
      <x:c r="E218" s="12" t="n">
        <x:f>IF(A218,B25/C25,"")</x:f>
        <x:v>4</x:v>
      </x:c>
      <x:c r="F218" s="12" t="n">
        <x:f>IF(A218,B25/D25,"")</x:f>
        <x:v>32</x:v>
      </x:c>
      <x:c r="G218" s="12" t="n">
        <x:f>IF(A218,$F$5*E218*$B$5*60000/B218,"")</x:f>
        <x:v>192</x:v>
      </x:c>
      <x:c r="H218" s="12" t="n">
        <x:f>IF(A218,G218/($J$5*F218),"")</x:f>
        <x:v>6</x:v>
      </x:c>
      <x:c r="I218" s="12" t="n">
        <x:f>IF(A218,$B$5*D218/C25/$B$9,"")</x:f>
        <x:v>4.4239501953125</x:v>
      </x:c>
      <x:c r="J218" s="12" t="n">
        <x:f>IF(A218,I218*$F$5/$J$5,"")</x:f>
        <x:v>4.4239501953125</x:v>
      </x:c>
      <x:c r="K218" s="12" t="n">
        <x:f>IF(A218,MAX(I218,J218)*2^30/(J25*1e6),"")</x:f>
        <x:v>0.9896209066666667</x:v>
      </x:c>
      <x:c r="L218" s="12" t="n">
        <x:f>IF(A218,B218/$B$9,"")</x:f>
        <x:v>20000</x:v>
      </x:c>
      <x:c r="M218" s="54" t="n">
        <x:f>IF(A218,K218/L218,"")</x:f>
        <x:v>0.000049481045333333336</x:v>
      </x:c>
      <x:c r="N218" s="12" t="n">
        <x:f>IF(A218,(E25*ROUNDUP(K25/D25,0)*G25*(B25-1)/B25*(ROUNDUP((ROUNDUP(F25*2/32,0)*32+32)/480,0)*512+F25*2+32)+E25*ROUNDUP(H25/B25,0)*(B25-1)*32)/1e9,"")</x:f>
        <x:v>1.349901696</x:v>
      </x:c>
      <x:c r="O218" s="12" t="n">
        <x:f>IF(A218,N218*1000/I25,"")</x:f>
        <x:v>0.28122952</x:v>
      </x:c>
      <x:c r="P218" s="12" t="n">
        <x:f>IF(A218,O218/E25,"")</x:f>
        <x:v>0.00461032</x:v>
      </x:c>
      <x:c r="Q218" s="12" t="n">
        <x:f>IF(A218,N218*1000/C218,"")</x:f>
        <x:v>269.9803392</x:v>
      </x:c>
      <x:c r="R218" s="12" t="n">
        <x:f>IF(W218="估算",IF(OR(K218=0,O218=0),0,1-((E25-1)*MAX(0,(C218-O218)/E25-(K218))+MAX(0,L218-((E25-1)*C218/E25+P218)-(K218)))/L218),"")</x:f>
        <x:v>0.00029561320067772456</x:v>
      </x:c>
      <x:c r="S218" s="12" t="n">
        <x:f>IF(W218="估算",IF(O218=0,0,MAX(0,1-(1-((E25-1)*MAX(0,(C218-O218)/E25-(L218-K218))+MAX(0,L218-((E25-1)*C218/E25+P218)-(L218-K218)))/L218))),"")</x:f>
        <x:v>0</x:v>
      </x:c>
      <x:c r="T218" s="12" t="n">
        <x:f>IF(W218="估算",IF(OR(P218=0,K218=0,$J$7=0),0,IF(P218&lt;=(1-$J$7)*K218,$J$7*P218*K218/(1-$J$7)-$J$7^2*P218^2/(2*(1-$J$7)^2),$J$7*P218*K218+$J$7^2*K218^2/2)/L218),"")</x:f>
        <x:v>2.5340490123802473e-8</x:v>
      </x:c>
      <x:c r="U218" s="12" t="n">
        <x:f>IF(A218,60000/C218,"")</x:f>
        <x:v>12000</x:v>
      </x:c>
      <x:c r="V218" s="12" t="n">
        <x:f>IF(W218="估算",U218*E25*T218*M25*N25,"")</x:f>
        <x:v>0.01854923877062341</x:v>
      </x:c>
      <x:c r="W218" s="12" t="str">
        <x:f>IF(NOT(A218),"输入无效",IF(K218&gt;=L218,"KV 超载",IF(O218&gt;C218+1e-9,"TPOT 不自洽",IF(OR(C218&gt;L218,P218&gt;L218-K218),"需时序仿真","估算"))))</x:f>
        <x:v>估算</x:v>
      </x:c>
      <x:c r="X218" s="12" t="n">
        <x:f>IF(W218="估算",U218*M218,"")</x:f>
        <x:v>0.593772544</x:v>
      </x:c>
    </x:row>
    <x:row r="219" ht="25" customHeight="1">
      <x:c r="A219" s="2" t="b">
        <x:f>AND(AND(ISNUMBER($B$5),$B$5&gt;0),AND(ISNUMBER($F$5),$F$5&gt;0),AND(ISNUMBER($J$5),$J$5&gt;0),AND(ISNUMBER($B$9),$B$9&gt;0),AND(ISNUMBER(I25),I25&gt;0),AND(ISNUMBER(J25),J25&gt;0),AND(ISNUMBER(K25),K25&gt;0),AND(ISNUMBER(L25),L25&gt;0),AND(ISNUMBER(D69),D69&gt;0),AND(ISNUMBER(E69),E69&gt;0),MOD($B$5,1)=0,MOD($F$5,1)=0,MOD($J$5,1)=0,MOD($B$9,1)=0,MOD(K25,1)=0,ISNUMBER(C69),C69&gt;=2,MOD(C69,1)=0,OR($N$9=32,$N$9=64,$N$9=128),ISNUMBER($B$11),$B$11&gt;=0,MOD($B$11,1)=0,ISNUMBER($J$7),$J$7&gt;=0,$J$7&lt;1,AND(ISNUMBER(M25),M25&gt;=0,M25&lt;=1),AND(ISNUMBER(N25),N25&gt;=0,N25&lt;=1))</x:f>
        <x:v>1</x:v>
      </x:c>
      <x:c r="B219" s="12" t="n">
        <x:f>IF(A219,D69*1000,"")</x:f>
        <x:v>20000</x:v>
      </x:c>
      <x:c r="C219" s="12" t="n">
        <x:f>IF(A219,E69*L25,"")</x:f>
        <x:v>10</x:v>
      </x:c>
      <x:c r="D219" s="12" t="n">
        <x:f>IF(A219,M379,"")</x:f>
        <x:v>2.21197509765625</x:v>
      </x:c>
      <x:c r="E219" s="12" t="n">
        <x:f>IF(A219,B25/C25,"")</x:f>
        <x:v>4</x:v>
      </x:c>
      <x:c r="F219" s="12" t="n">
        <x:f>IF(A219,B25/D25,"")</x:f>
        <x:v>32</x:v>
      </x:c>
      <x:c r="G219" s="12" t="n">
        <x:f>IF(A219,$F$5*E219*$B$5*60000/B219,"")</x:f>
        <x:v>192</x:v>
      </x:c>
      <x:c r="H219" s="12" t="n">
        <x:f>IF(A219,G219/($J$5*F219),"")</x:f>
        <x:v>6</x:v>
      </x:c>
      <x:c r="I219" s="12" t="n">
        <x:f>IF(A219,$B$5*D219/C25/$B$9,"")</x:f>
        <x:v>4.4239501953125</x:v>
      </x:c>
      <x:c r="J219" s="12" t="n">
        <x:f>IF(A219,I219*$F$5/$J$5,"")</x:f>
        <x:v>4.4239501953125</x:v>
      </x:c>
      <x:c r="K219" s="12" t="n">
        <x:f>IF(A219,MAX(I219,J219)*2^30/(J25*1e6),"")</x:f>
        <x:v>0.9896209066666667</x:v>
      </x:c>
      <x:c r="L219" s="12" t="n">
        <x:f>IF(A219,B219/$B$9,"")</x:f>
        <x:v>20000</x:v>
      </x:c>
      <x:c r="M219" s="54" t="n">
        <x:f>IF(A219,K219/L219,"")</x:f>
        <x:v>0.000049481045333333336</x:v>
      </x:c>
      <x:c r="N219" s="12" t="n">
        <x:f>IF(A219,(E25*ROUNDUP(K25/D25,0)*G25*(B25-1)/B25*(ROUNDUP((ROUNDUP(F25*2/32,0)*32+32)/480,0)*512+F25*2+32)+E25*ROUNDUP(H25/B25,0)*(B25-1)*32)/1e9,"")</x:f>
        <x:v>1.349901696</x:v>
      </x:c>
      <x:c r="O219" s="12" t="n">
        <x:f>IF(A219,N219*1000/I25,"")</x:f>
        <x:v>0.28122952</x:v>
      </x:c>
      <x:c r="P219" s="12" t="n">
        <x:f>IF(A219,O219/E25,"")</x:f>
        <x:v>0.00461032</x:v>
      </x:c>
      <x:c r="Q219" s="12" t="n">
        <x:f>IF(A219,N219*1000/C219,"")</x:f>
        <x:v>134.9901696</x:v>
      </x:c>
      <x:c r="R219" s="12" t="n">
        <x:f>IF(W219="估算",IF(OR(K219=0,O219=0),0,1-((E25-1)*MAX(0,(C219-O219)/E25-(K219))+MAX(0,L219-((E25-1)*C219/E25+P219)-(K219)))/L219),"")</x:f>
        <x:v>0.0005415148400219616</x:v>
      </x:c>
      <x:c r="S219" s="12" t="n">
        <x:f>IF(W219="估算",IF(O219=0,0,MAX(0,1-(1-((E25-1)*MAX(0,(C219-O219)/E25-(L219-K219))+MAX(0,L219-((E25-1)*C219/E25+P219)-(L219-K219)))/L219))),"")</x:f>
        <x:v>0</x:v>
      </x:c>
      <x:c r="T219" s="12" t="n">
        <x:f>IF(W219="估算",IF(OR(P219=0,K219=0,$J$7=0),0,IF(P219&lt;=(1-$J$7)*K219,$J$7*P219*K219/(1-$J$7)-$J$7^2*P219^2/(2*(1-$J$7)^2),$J$7*P219*K219+$J$7^2*K219^2/2)/L219),"")</x:f>
        <x:v>2.5340490123802473e-8</x:v>
      </x:c>
      <x:c r="U219" s="12" t="n">
        <x:f>IF(A219,60000/C219,"")</x:f>
        <x:v>6000</x:v>
      </x:c>
      <x:c r="V219" s="12" t="n">
        <x:f>IF(W219="估算",U219*E25*T219*M25*N25,"")</x:f>
        <x:v>0.009274619385311706</x:v>
      </x:c>
      <x:c r="W219" s="12" t="str">
        <x:f>IF(NOT(A219),"输入无效",IF(K219&gt;=L219,"KV 超载",IF(O219&gt;C219+1e-9,"TPOT 不自洽",IF(OR(C219&gt;L219,P219&gt;L219-K219),"需时序仿真","估算"))))</x:f>
        <x:v>估算</x:v>
      </x:c>
      <x:c r="X219" s="12" t="n">
        <x:f>IF(W219="估算",U219*M219,"")</x:f>
        <x:v>0.296886272</x:v>
      </x:c>
    </x:row>
    <x:row r="220" ht="25" customHeight="1">
      <x:c r="A220" s="2" t="b">
        <x:f>AND(AND(ISNUMBER($B$5),$B$5&gt;0),AND(ISNUMBER($F$5),$F$5&gt;0),AND(ISNUMBER($J$5),$J$5&gt;0),AND(ISNUMBER($B$9),$B$9&gt;0),AND(ISNUMBER(I25),I25&gt;0),AND(ISNUMBER(J25),J25&gt;0),AND(ISNUMBER(K25),K25&gt;0),AND(ISNUMBER(L25),L25&gt;0),AND(ISNUMBER(D70),D70&gt;0),AND(ISNUMBER(E70),E70&gt;0),MOD($B$5,1)=0,MOD($F$5,1)=0,MOD($J$5,1)=0,MOD($B$9,1)=0,MOD(K25,1)=0,ISNUMBER(C70),C70&gt;=2,MOD(C70,1)=0,OR($N$9=32,$N$9=64,$N$9=128),ISNUMBER($B$11),$B$11&gt;=0,MOD($B$11,1)=0,ISNUMBER($J$7),$J$7&gt;=0,$J$7&lt;1,AND(ISNUMBER(M25),M25&gt;=0,M25&lt;=1),AND(ISNUMBER(N25),N25&gt;=0,N25&lt;=1))</x:f>
        <x:v>1</x:v>
      </x:c>
      <x:c r="B220" s="12" t="n">
        <x:f>IF(A220,D70*1000,"")</x:f>
        <x:v>20000</x:v>
      </x:c>
      <x:c r="C220" s="12" t="n">
        <x:f>IF(A220,E70*L25,"")</x:f>
        <x:v>20</x:v>
      </x:c>
      <x:c r="D220" s="12" t="n">
        <x:f>IF(A220,M379,"")</x:f>
        <x:v>2.21197509765625</x:v>
      </x:c>
      <x:c r="E220" s="12" t="n">
        <x:f>IF(A220,B25/C25,"")</x:f>
        <x:v>4</x:v>
      </x:c>
      <x:c r="F220" s="12" t="n">
        <x:f>IF(A220,B25/D25,"")</x:f>
        <x:v>32</x:v>
      </x:c>
      <x:c r="G220" s="12" t="n">
        <x:f>IF(A220,$F$5*E220*$B$5*60000/B220,"")</x:f>
        <x:v>192</x:v>
      </x:c>
      <x:c r="H220" s="12" t="n">
        <x:f>IF(A220,G220/($J$5*F220),"")</x:f>
        <x:v>6</x:v>
      </x:c>
      <x:c r="I220" s="12" t="n">
        <x:f>IF(A220,$B$5*D220/C25/$B$9,"")</x:f>
        <x:v>4.4239501953125</x:v>
      </x:c>
      <x:c r="J220" s="12" t="n">
        <x:f>IF(A220,I220*$F$5/$J$5,"")</x:f>
        <x:v>4.4239501953125</x:v>
      </x:c>
      <x:c r="K220" s="12" t="n">
        <x:f>IF(A220,MAX(I220,J220)*2^30/(J25*1e6),"")</x:f>
        <x:v>0.9896209066666667</x:v>
      </x:c>
      <x:c r="L220" s="12" t="n">
        <x:f>IF(A220,B220/$B$9,"")</x:f>
        <x:v>20000</x:v>
      </x:c>
      <x:c r="M220" s="54" t="n">
        <x:f>IF(A220,K220/L220,"")</x:f>
        <x:v>0.000049481045333333336</x:v>
      </x:c>
      <x:c r="N220" s="12" t="n">
        <x:f>IF(A220,(E25*ROUNDUP(K25/D25,0)*G25*(B25-1)/B25*(ROUNDUP((ROUNDUP(F25*2/32,0)*32+32)/480,0)*512+F25*2+32)+E25*ROUNDUP(H25/B25,0)*(B25-1)*32)/1e9,"")</x:f>
        <x:v>1.349901696</x:v>
      </x:c>
      <x:c r="O220" s="12" t="n">
        <x:f>IF(A220,N220*1000/I25,"")</x:f>
        <x:v>0.28122952</x:v>
      </x:c>
      <x:c r="P220" s="12" t="n">
        <x:f>IF(A220,O220/E25,"")</x:f>
        <x:v>0.00461032</x:v>
      </x:c>
      <x:c r="Q220" s="12" t="n">
        <x:f>IF(A220,N220*1000/C220,"")</x:f>
        <x:v>67.4950848</x:v>
      </x:c>
      <x:c r="R220" s="12" t="n">
        <x:f>IF(W220="估算",IF(OR(K220=0,O220=0),0,1-((E25-1)*MAX(0,(C220-O220)/E25-(K220))+MAX(0,L220-((E25-1)*C220/E25+P220)-(K220)))/L220),"")</x:f>
        <x:v>0.0010333181187104357</x:v>
      </x:c>
      <x:c r="S220" s="12" t="n">
        <x:f>IF(W220="估算",IF(O220=0,0,MAX(0,1-(1-((E25-1)*MAX(0,(C220-O220)/E25-(L220-K220))+MAX(0,L220-((E25-1)*C220/E25+P220)-(L220-K220)))/L220))),"")</x:f>
        <x:v>0</x:v>
      </x:c>
      <x:c r="T220" s="12" t="n">
        <x:f>IF(W220="估算",IF(OR(P220=0,K220=0,$J$7=0),0,IF(P220&lt;=(1-$J$7)*K220,$J$7*P220*K220/(1-$J$7)-$J$7^2*P220^2/(2*(1-$J$7)^2),$J$7*P220*K220+$J$7^2*K220^2/2)/L220),"")</x:f>
        <x:v>2.5340490123802473e-8</x:v>
      </x:c>
      <x:c r="U220" s="12" t="n">
        <x:f>IF(A220,60000/C220,"")</x:f>
        <x:v>3000</x:v>
      </x:c>
      <x:c r="V220" s="12" t="n">
        <x:f>IF(W220="估算",U220*E25*T220*M25*N25,"")</x:f>
        <x:v>0.004637309692655853</x:v>
      </x:c>
      <x:c r="W220" s="12" t="str">
        <x:f>IF(NOT(A220),"输入无效",IF(K220&gt;=L220,"KV 超载",IF(O220&gt;C220+1e-9,"TPOT 不自洽",IF(OR(C220&gt;L220,P220&gt;L220-K220),"需时序仿真","估算"))))</x:f>
        <x:v>估算</x:v>
      </x:c>
      <x:c r="X220" s="12" t="n">
        <x:f>IF(W220="估算",U220*M220,"")</x:f>
        <x:v>0.148443136</x:v>
      </x:c>
    </x:row>
    <x:row r="221" ht="25" customHeight="1">
      <x:c r="A221" s="2" t="b">
        <x:f>AND(AND(ISNUMBER($B$5),$B$5&gt;0),AND(ISNUMBER($F$5),$F$5&gt;0),AND(ISNUMBER($J$5),$J$5&gt;0),AND(ISNUMBER($B$9),$B$9&gt;0),AND(ISNUMBER(I25),I25&gt;0),AND(ISNUMBER(J25),J25&gt;0),AND(ISNUMBER(K25),K25&gt;0),AND(ISNUMBER(L25),L25&gt;0),AND(ISNUMBER(D71),D71&gt;0),AND(ISNUMBER(E71),E71&gt;0),MOD($B$5,1)=0,MOD($F$5,1)=0,MOD($J$5,1)=0,MOD($B$9,1)=0,MOD(K25,1)=0,ISNUMBER(C71),C71&gt;=2,MOD(C71,1)=0,OR($N$9=32,$N$9=64,$N$9=128),ISNUMBER($B$11),$B$11&gt;=0,MOD($B$11,1)=0,ISNUMBER($J$7),$J$7&gt;=0,$J$7&lt;1,AND(ISNUMBER(M25),M25&gt;=0,M25&lt;=1),AND(ISNUMBER(N25),N25&gt;=0,N25&lt;=1))</x:f>
        <x:v>1</x:v>
      </x:c>
      <x:c r="B221" s="12" t="n">
        <x:f>IF(A221,D71*1000,"")</x:f>
        <x:v>20000</x:v>
      </x:c>
      <x:c r="C221" s="12" t="n">
        <x:f>IF(A221,E71*L25,"")</x:f>
        <x:v>30</x:v>
      </x:c>
      <x:c r="D221" s="12" t="n">
        <x:f>IF(A221,M379,"")</x:f>
        <x:v>2.21197509765625</x:v>
      </x:c>
      <x:c r="E221" s="12" t="n">
        <x:f>IF(A221,B25/C25,"")</x:f>
        <x:v>4</x:v>
      </x:c>
      <x:c r="F221" s="12" t="n">
        <x:f>IF(A221,B25/D25,"")</x:f>
        <x:v>32</x:v>
      </x:c>
      <x:c r="G221" s="12" t="n">
        <x:f>IF(A221,$F$5*E221*$B$5*60000/B221,"")</x:f>
        <x:v>192</x:v>
      </x:c>
      <x:c r="H221" s="12" t="n">
        <x:f>IF(A221,G221/($J$5*F221),"")</x:f>
        <x:v>6</x:v>
      </x:c>
      <x:c r="I221" s="12" t="n">
        <x:f>IF(A221,$B$5*D221/C25/$B$9,"")</x:f>
        <x:v>4.4239501953125</x:v>
      </x:c>
      <x:c r="J221" s="12" t="n">
        <x:f>IF(A221,I221*$F$5/$J$5,"")</x:f>
        <x:v>4.4239501953125</x:v>
      </x:c>
      <x:c r="K221" s="12" t="n">
        <x:f>IF(A221,MAX(I221,J221)*2^30/(J25*1e6),"")</x:f>
        <x:v>0.9896209066666667</x:v>
      </x:c>
      <x:c r="L221" s="12" t="n">
        <x:f>IF(A221,B221/$B$9,"")</x:f>
        <x:v>20000</x:v>
      </x:c>
      <x:c r="M221" s="54" t="n">
        <x:f>IF(A221,K221/L221,"")</x:f>
        <x:v>0.000049481045333333336</x:v>
      </x:c>
      <x:c r="N221" s="12" t="n">
        <x:f>IF(A221,(E25*ROUNDUP(K25/D25,0)*G25*(B25-1)/B25*(ROUNDUP((ROUNDUP(F25*2/32,0)*32+32)/480,0)*512+F25*2+32)+E25*ROUNDUP(H25/B25,0)*(B25-1)*32)/1e9,"")</x:f>
        <x:v>1.349901696</x:v>
      </x:c>
      <x:c r="O221" s="12" t="n">
        <x:f>IF(A221,N221*1000/I25,"")</x:f>
        <x:v>0.28122952</x:v>
      </x:c>
      <x:c r="P221" s="12" t="n">
        <x:f>IF(A221,O221/E25,"")</x:f>
        <x:v>0.00461032</x:v>
      </x:c>
      <x:c r="Q221" s="12" t="n">
        <x:f>IF(A221,N221*1000/C221,"")</x:f>
        <x:v>44.996723200000005</x:v>
      </x:c>
      <x:c r="R221" s="12" t="n">
        <x:f>IF(W221="估算",IF(OR(K221=0,O221=0),0,1-((E25-1)*MAX(0,(C221-O221)/E25-(K221))+MAX(0,L221-((E25-1)*C221/E25+P221)-(K221)))/L221),"")</x:f>
        <x:v>0.0015251213973990208</x:v>
      </x:c>
      <x:c r="S221" s="12" t="n">
        <x:f>IF(W221="估算",IF(O221=0,0,MAX(0,1-(1-((E25-1)*MAX(0,(C221-O221)/E25-(L221-K221))+MAX(0,L221-((E25-1)*C221/E25+P221)-(L221-K221)))/L221))),"")</x:f>
        <x:v>0</x:v>
      </x:c>
      <x:c r="T221" s="12" t="n">
        <x:f>IF(W221="估算",IF(OR(P221=0,K221=0,$J$7=0),0,IF(P221&lt;=(1-$J$7)*K221,$J$7*P221*K221/(1-$J$7)-$J$7^2*P221^2/(2*(1-$J$7)^2),$J$7*P221*K221+$J$7^2*K221^2/2)/L221),"")</x:f>
        <x:v>2.5340490123802473e-8</x:v>
      </x:c>
      <x:c r="U221" s="12" t="n">
        <x:f>IF(A221,60000/C221,"")</x:f>
        <x:v>2000</x:v>
      </x:c>
      <x:c r="V221" s="12" t="n">
        <x:f>IF(W221="估算",U221*E25*T221*M25*N25,"")</x:f>
        <x:v>0.0030915397951039015</x:v>
      </x:c>
      <x:c r="W221" s="12" t="str">
        <x:f>IF(NOT(A221),"输入无效",IF(K221&gt;=L221,"KV 超载",IF(O221&gt;C221+1e-9,"TPOT 不自洽",IF(OR(C221&gt;L221,P221&gt;L221-K221),"需时序仿真","估算"))))</x:f>
        <x:v>估算</x:v>
      </x:c>
      <x:c r="X221" s="12" t="n">
        <x:f>IF(W221="估算",U221*M221,"")</x:f>
        <x:v>0.09896209066666667</x:v>
      </x:c>
    </x:row>
    <x:row r="222" ht="25" customHeight="1">
      <x:c r="A222" s="2" t="b">
        <x:f>AND(AND(ISNUMBER($B$5),$B$5&gt;0),AND(ISNUMBER($F$5),$F$5&gt;0),AND(ISNUMBER($J$5),$J$5&gt;0),AND(ISNUMBER($B$9),$B$9&gt;0),AND(ISNUMBER(I25),I25&gt;0),AND(ISNUMBER(J25),J25&gt;0),AND(ISNUMBER(K25),K25&gt;0),AND(ISNUMBER(L25),L25&gt;0),AND(ISNUMBER(D72),D72&gt;0),AND(ISNUMBER(E72),E72&gt;0),MOD($B$5,1)=0,MOD($F$5,1)=0,MOD($J$5,1)=0,MOD($B$9,1)=0,MOD(K25,1)=0,ISNUMBER(C72),C72&gt;=2,MOD(C72,1)=0,OR($N$9=32,$N$9=64,$N$9=128),ISNUMBER($B$11),$B$11&gt;=0,MOD($B$11,1)=0,ISNUMBER($J$7),$J$7&gt;=0,$J$7&lt;1,AND(ISNUMBER(M25),M25&gt;=0,M25&lt;=1),AND(ISNUMBER(N25),N25&gt;=0,N25&lt;=1))</x:f>
        <x:v>1</x:v>
      </x:c>
      <x:c r="B222" s="12" t="n">
        <x:f>IF(A222,D72*1000,"")</x:f>
        <x:v>60000</x:v>
      </x:c>
      <x:c r="C222" s="12" t="n">
        <x:f>IF(A222,E72*L25,"")</x:f>
        <x:v>5</x:v>
      </x:c>
      <x:c r="D222" s="12" t="n">
        <x:f>IF(A222,M387,"")</x:f>
        <x:v>8.73272705078125</x:v>
      </x:c>
      <x:c r="E222" s="12" t="n">
        <x:f>IF(A222,B25/C25,"")</x:f>
        <x:v>4</x:v>
      </x:c>
      <x:c r="F222" s="12" t="n">
        <x:f>IF(A222,B25/D25,"")</x:f>
        <x:v>32</x:v>
      </x:c>
      <x:c r="G222" s="12" t="n">
        <x:f>IF(A222,$F$5*E222*$B$5*60000/B222,"")</x:f>
        <x:v>64</x:v>
      </x:c>
      <x:c r="H222" s="12" t="n">
        <x:f>IF(A222,G222/($J$5*F222),"")</x:f>
        <x:v>2</x:v>
      </x:c>
      <x:c r="I222" s="12" t="n">
        <x:f>IF(A222,$B$5*D222/C25/$B$9,"")</x:f>
        <x:v>17.4654541015625</x:v>
      </x:c>
      <x:c r="J222" s="12" t="n">
        <x:f>IF(A222,I222*$F$5/$J$5,"")</x:f>
        <x:v>17.4654541015625</x:v>
      </x:c>
      <x:c r="K222" s="12" t="n">
        <x:f>IF(A222,MAX(I222,J222)*2^30/(J25*1e6),"")</x:f>
        <x:v>3.906955946666667</x:v>
      </x:c>
      <x:c r="L222" s="12" t="n">
        <x:f>IF(A222,B222/$B$9,"")</x:f>
        <x:v>60000</x:v>
      </x:c>
      <x:c r="M222" s="54" t="n">
        <x:f>IF(A222,K222/L222,"")</x:f>
        <x:v>0.00006511593244444444</x:v>
      </x:c>
      <x:c r="N222" s="12" t="n">
        <x:f>IF(A222,(E25*ROUNDUP(K25/D25,0)*G25*(B25-1)/B25*(ROUNDUP((ROUNDUP(F25*2/32,0)*32+32)/480,0)*512+F25*2+32)+E25*ROUNDUP(H25/B25,0)*(B25-1)*32)/1e9,"")</x:f>
        <x:v>1.349901696</x:v>
      </x:c>
      <x:c r="O222" s="12" t="n">
        <x:f>IF(A222,N222*1000/I25,"")</x:f>
        <x:v>0.28122952</x:v>
      </x:c>
      <x:c r="P222" s="12" t="n">
        <x:f>IF(A222,O222/E25,"")</x:f>
        <x:v>0.00461032</x:v>
      </x:c>
      <x:c r="Q222" s="12" t="n">
        <x:f>IF(A222,N222*1000/C222,"")</x:f>
        <x:v>269.9803392</x:v>
      </x:c>
      <x:c r="R222" s="12" t="n">
        <x:f>IF(W222="估算",IF(OR(K222=0,O222=0),0,1-((E25-1)*MAX(0,(C222-O222)/E25-(K222))+MAX(0,L222-((E25-1)*C222/E25+P222)-(K222)))/L222),"")</x:f>
        <x:v>0.00014715998422576426</x:v>
      </x:c>
      <x:c r="S222" s="12" t="n">
        <x:f>IF(W222="估算",IF(O222=0,0,MAX(0,1-(1-((E25-1)*MAX(0,(C222-O222)/E25-(L222-K222))+MAX(0,L222-((E25-1)*C222/E25+P222)-(L222-K222)))/L222))),"")</x:f>
        <x:v>0</x:v>
      </x:c>
      <x:c r="T222" s="12" t="n">
        <x:f>IF(W222="估算",IF(OR(P222=0,K222=0,$J$7=0),0,IF(P222&lt;=(1-$J$7)*K222,$J$7*P222*K222/(1-$J$7)-$J$7^2*P222^2/(2*(1-$J$7)^2),$J$7*P222*K222+$J$7^2*K222^2/2)/L222),"")</x:f>
        <x:v>3.335395611832824e-8</x:v>
      </x:c>
      <x:c r="U222" s="12" t="n">
        <x:f>IF(A222,60000/C222,"")</x:f>
        <x:v>12000</x:v>
      </x:c>
      <x:c r="V222" s="12" t="n">
        <x:f>IF(W222="估算",U222*E25*T222*M25*N25,"")</x:f>
        <x:v>0.02441509587861627</x:v>
      </x:c>
      <x:c r="W222" s="12" t="str">
        <x:f>IF(NOT(A222),"输入无效",IF(K222&gt;=L222,"KV 超载",IF(O222&gt;C222+1e-9,"TPOT 不自洽",IF(OR(C222&gt;L222,P222&gt;L222-K222),"需时序仿真","估算"))))</x:f>
        <x:v>估算</x:v>
      </x:c>
      <x:c r="X222" s="12" t="n">
        <x:f>IF(W222="估算",U222*M222,"")</x:f>
        <x:v>0.7813911893333333</x:v>
      </x:c>
    </x:row>
    <x:row r="223" ht="25" customHeight="1">
      <x:c r="A223" s="2" t="b">
        <x:f>AND(AND(ISNUMBER($B$5),$B$5&gt;0),AND(ISNUMBER($F$5),$F$5&gt;0),AND(ISNUMBER($J$5),$J$5&gt;0),AND(ISNUMBER($B$9),$B$9&gt;0),AND(ISNUMBER(I25),I25&gt;0),AND(ISNUMBER(J25),J25&gt;0),AND(ISNUMBER(K25),K25&gt;0),AND(ISNUMBER(L25),L25&gt;0),AND(ISNUMBER(D73),D73&gt;0),AND(ISNUMBER(E73),E73&gt;0),MOD($B$5,1)=0,MOD($F$5,1)=0,MOD($J$5,1)=0,MOD($B$9,1)=0,MOD(K25,1)=0,ISNUMBER(C73),C73&gt;=2,MOD(C73,1)=0,OR($N$9=32,$N$9=64,$N$9=128),ISNUMBER($B$11),$B$11&gt;=0,MOD($B$11,1)=0,ISNUMBER($J$7),$J$7&gt;=0,$J$7&lt;1,AND(ISNUMBER(M25),M25&gt;=0,M25&lt;=1),AND(ISNUMBER(N25),N25&gt;=0,N25&lt;=1))</x:f>
        <x:v>1</x:v>
      </x:c>
      <x:c r="B223" s="12" t="n">
        <x:f>IF(A223,D73*1000,"")</x:f>
        <x:v>60000</x:v>
      </x:c>
      <x:c r="C223" s="12" t="n">
        <x:f>IF(A223,E73*L25,"")</x:f>
        <x:v>10</x:v>
      </x:c>
      <x:c r="D223" s="12" t="n">
        <x:f>IF(A223,M387,"")</x:f>
        <x:v>8.73272705078125</x:v>
      </x:c>
      <x:c r="E223" s="12" t="n">
        <x:f>IF(A223,B25/C25,"")</x:f>
        <x:v>4</x:v>
      </x:c>
      <x:c r="F223" s="12" t="n">
        <x:f>IF(A223,B25/D25,"")</x:f>
        <x:v>32</x:v>
      </x:c>
      <x:c r="G223" s="12" t="n">
        <x:f>IF(A223,$F$5*E223*$B$5*60000/B223,"")</x:f>
        <x:v>64</x:v>
      </x:c>
      <x:c r="H223" s="12" t="n">
        <x:f>IF(A223,G223/($J$5*F223),"")</x:f>
        <x:v>2</x:v>
      </x:c>
      <x:c r="I223" s="12" t="n">
        <x:f>IF(A223,$B$5*D223/C25/$B$9,"")</x:f>
        <x:v>17.4654541015625</x:v>
      </x:c>
      <x:c r="J223" s="12" t="n">
        <x:f>IF(A223,I223*$F$5/$J$5,"")</x:f>
        <x:v>17.4654541015625</x:v>
      </x:c>
      <x:c r="K223" s="12" t="n">
        <x:f>IF(A223,MAX(I223,J223)*2^30/(J25*1e6),"")</x:f>
        <x:v>3.906955946666667</x:v>
      </x:c>
      <x:c r="L223" s="12" t="n">
        <x:f>IF(A223,B223/$B$9,"")</x:f>
        <x:v>60000</x:v>
      </x:c>
      <x:c r="M223" s="54" t="n">
        <x:f>IF(A223,K223/L223,"")</x:f>
        <x:v>0.00006511593244444444</x:v>
      </x:c>
      <x:c r="N223" s="12" t="n">
        <x:f>IF(A223,(E25*ROUNDUP(K25/D25,0)*G25*(B25-1)/B25*(ROUNDUP((ROUNDUP(F25*2/32,0)*32+32)/480,0)*512+F25*2+32)+E25*ROUNDUP(H25/B25,0)*(B25-1)*32)/1e9,"")</x:f>
        <x:v>1.349901696</x:v>
      </x:c>
      <x:c r="O223" s="12" t="n">
        <x:f>IF(A223,N223*1000/I25,"")</x:f>
        <x:v>0.28122952</x:v>
      </x:c>
      <x:c r="P223" s="12" t="n">
        <x:f>IF(A223,O223/E25,"")</x:f>
        <x:v>0.00461032</x:v>
      </x:c>
      <x:c r="Q223" s="12" t="n">
        <x:f>IF(A223,N223*1000/C223,"")</x:f>
        <x:v>134.9901696</x:v>
      </x:c>
      <x:c r="R223" s="12" t="n">
        <x:f>IF(W223="估算",IF(OR(K223=0,O223=0),0,1-((E25-1)*MAX(0,(C223-O223)/E25-(K223))+MAX(0,L223-((E25-1)*C223/E25+P223)-(K223)))/L223),"")</x:f>
        <x:v>0.00022912719734058395</x:v>
      </x:c>
      <x:c r="S223" s="12" t="n">
        <x:f>IF(W223="估算",IF(O223=0,0,MAX(0,1-(1-((E25-1)*MAX(0,(C223-O223)/E25-(L223-K223))+MAX(0,L223-((E25-1)*C223/E25+P223)-(L223-K223)))/L223))),"")</x:f>
        <x:v>0</x:v>
      </x:c>
      <x:c r="T223" s="12" t="n">
        <x:f>IF(W223="估算",IF(OR(P223=0,K223=0,$J$7=0),0,IF(P223&lt;=(1-$J$7)*K223,$J$7*P223*K223/(1-$J$7)-$J$7^2*P223^2/(2*(1-$J$7)^2),$J$7*P223*K223+$J$7^2*K223^2/2)/L223),"")</x:f>
        <x:v>3.335395611832824e-8</x:v>
      </x:c>
      <x:c r="U223" s="12" t="n">
        <x:f>IF(A223,60000/C223,"")</x:f>
        <x:v>6000</x:v>
      </x:c>
      <x:c r="V223" s="12" t="n">
        <x:f>IF(W223="估算",U223*E25*T223*M25*N25,"")</x:f>
        <x:v>0.012207547939308136</x:v>
      </x:c>
      <x:c r="W223" s="12" t="str">
        <x:f>IF(NOT(A223),"输入无效",IF(K223&gt;=L223,"KV 超载",IF(O223&gt;C223+1e-9,"TPOT 不自洽",IF(OR(C223&gt;L223,P223&gt;L223-K223),"需时序仿真","估算"))))</x:f>
        <x:v>估算</x:v>
      </x:c>
      <x:c r="X223" s="12" t="n">
        <x:f>IF(W223="估算",U223*M223,"")</x:f>
        <x:v>0.39069559466666665</x:v>
      </x:c>
    </x:row>
    <x:row r="224" ht="25" customHeight="1">
      <x:c r="A224" s="2" t="b">
        <x:f>AND(AND(ISNUMBER($B$5),$B$5&gt;0),AND(ISNUMBER($F$5),$F$5&gt;0),AND(ISNUMBER($J$5),$J$5&gt;0),AND(ISNUMBER($B$9),$B$9&gt;0),AND(ISNUMBER(I25),I25&gt;0),AND(ISNUMBER(J25),J25&gt;0),AND(ISNUMBER(K25),K25&gt;0),AND(ISNUMBER(L25),L25&gt;0),AND(ISNUMBER(D74),D74&gt;0),AND(ISNUMBER(E74),E74&gt;0),MOD($B$5,1)=0,MOD($F$5,1)=0,MOD($J$5,1)=0,MOD($B$9,1)=0,MOD(K25,1)=0,ISNUMBER(C74),C74&gt;=2,MOD(C74,1)=0,OR($N$9=32,$N$9=64,$N$9=128),ISNUMBER($B$11),$B$11&gt;=0,MOD($B$11,1)=0,ISNUMBER($J$7),$J$7&gt;=0,$J$7&lt;1,AND(ISNUMBER(M25),M25&gt;=0,M25&lt;=1),AND(ISNUMBER(N25),N25&gt;=0,N25&lt;=1))</x:f>
        <x:v>1</x:v>
      </x:c>
      <x:c r="B224" s="12" t="n">
        <x:f>IF(A224,D74*1000,"")</x:f>
        <x:v>60000</x:v>
      </x:c>
      <x:c r="C224" s="12" t="n">
        <x:f>IF(A224,E74*L25,"")</x:f>
        <x:v>20</x:v>
      </x:c>
      <x:c r="D224" s="12" t="n">
        <x:f>IF(A224,M387,"")</x:f>
        <x:v>8.73272705078125</x:v>
      </x:c>
      <x:c r="E224" s="12" t="n">
        <x:f>IF(A224,B25/C25,"")</x:f>
        <x:v>4</x:v>
      </x:c>
      <x:c r="F224" s="12" t="n">
        <x:f>IF(A224,B25/D25,"")</x:f>
        <x:v>32</x:v>
      </x:c>
      <x:c r="G224" s="12" t="n">
        <x:f>IF(A224,$F$5*E224*$B$5*60000/B224,"")</x:f>
        <x:v>64</x:v>
      </x:c>
      <x:c r="H224" s="12" t="n">
        <x:f>IF(A224,G224/($J$5*F224),"")</x:f>
        <x:v>2</x:v>
      </x:c>
      <x:c r="I224" s="12" t="n">
        <x:f>IF(A224,$B$5*D224/C25/$B$9,"")</x:f>
        <x:v>17.4654541015625</x:v>
      </x:c>
      <x:c r="J224" s="12" t="n">
        <x:f>IF(A224,I224*$F$5/$J$5,"")</x:f>
        <x:v>17.4654541015625</x:v>
      </x:c>
      <x:c r="K224" s="12" t="n">
        <x:f>IF(A224,MAX(I224,J224)*2^30/(J25*1e6),"")</x:f>
        <x:v>3.906955946666667</x:v>
      </x:c>
      <x:c r="L224" s="12" t="n">
        <x:f>IF(A224,B224/$B$9,"")</x:f>
        <x:v>60000</x:v>
      </x:c>
      <x:c r="M224" s="54" t="n">
        <x:f>IF(A224,K224/L224,"")</x:f>
        <x:v>0.00006511593244444444</x:v>
      </x:c>
      <x:c r="N224" s="12" t="n">
        <x:f>IF(A224,(E25*ROUNDUP(K25/D25,0)*G25*(B25-1)/B25*(ROUNDUP((ROUNDUP(F25*2/32,0)*32+32)/480,0)*512+F25*2+32)+E25*ROUNDUP(H25/B25,0)*(B25-1)*32)/1e9,"")</x:f>
        <x:v>1.349901696</x:v>
      </x:c>
      <x:c r="O224" s="12" t="n">
        <x:f>IF(A224,N224*1000/I25,"")</x:f>
        <x:v>0.28122952</x:v>
      </x:c>
      <x:c r="P224" s="12" t="n">
        <x:f>IF(A224,O224/E25,"")</x:f>
        <x:v>0.00461032</x:v>
      </x:c>
      <x:c r="Q224" s="12" t="n">
        <x:f>IF(A224,N224*1000/C224,"")</x:f>
        <x:v>67.4950848</x:v>
      </x:c>
      <x:c r="R224" s="12" t="n">
        <x:f>IF(W224="估算",IF(OR(K224=0,O224=0),0,1-((E25-1)*MAX(0,(C224-O224)/E25-(K224))+MAX(0,L224-((E25-1)*C224/E25+P224)-(K224)))/L224),"")</x:f>
        <x:v>0.0003930616235701123</x:v>
      </x:c>
      <x:c r="S224" s="12" t="n">
        <x:f>IF(W224="估算",IF(O224=0,0,MAX(0,1-(1-((E25-1)*MAX(0,(C224-O224)/E25-(L224-K224))+MAX(0,L224-((E25-1)*C224/E25+P224)-(L224-K224)))/L224))),"")</x:f>
        <x:v>0</x:v>
      </x:c>
      <x:c r="T224" s="12" t="n">
        <x:f>IF(W224="估算",IF(OR(P224=0,K224=0,$J$7=0),0,IF(P224&lt;=(1-$J$7)*K224,$J$7*P224*K224/(1-$J$7)-$J$7^2*P224^2/(2*(1-$J$7)^2),$J$7*P224*K224+$J$7^2*K224^2/2)/L224),"")</x:f>
        <x:v>3.335395611832824e-8</x:v>
      </x:c>
      <x:c r="U224" s="12" t="n">
        <x:f>IF(A224,60000/C224,"")</x:f>
        <x:v>3000</x:v>
      </x:c>
      <x:c r="V224" s="12" t="n">
        <x:f>IF(W224="估算",U224*E25*T224*M25*N25,"")</x:f>
        <x:v>0.006103773969654068</x:v>
      </x:c>
      <x:c r="W224" s="12" t="str">
        <x:f>IF(NOT(A224),"输入无效",IF(K224&gt;=L224,"KV 超载",IF(O224&gt;C224+1e-9,"TPOT 不自洽",IF(OR(C224&gt;L224,P224&gt;L224-K224),"需时序仿真","估算"))))</x:f>
        <x:v>估算</x:v>
      </x:c>
      <x:c r="X224" s="12" t="n">
        <x:f>IF(W224="估算",U224*M224,"")</x:f>
        <x:v>0.19534779733333332</x:v>
      </x:c>
    </x:row>
    <x:row r="225" ht="25" customHeight="1">
      <x:c r="A225" s="2" t="b">
        <x:f>AND(AND(ISNUMBER($B$5),$B$5&gt;0),AND(ISNUMBER($F$5),$F$5&gt;0),AND(ISNUMBER($J$5),$J$5&gt;0),AND(ISNUMBER($B$9),$B$9&gt;0),AND(ISNUMBER(I25),I25&gt;0),AND(ISNUMBER(J25),J25&gt;0),AND(ISNUMBER(K25),K25&gt;0),AND(ISNUMBER(L25),L25&gt;0),AND(ISNUMBER(D75),D75&gt;0),AND(ISNUMBER(E75),E75&gt;0),MOD($B$5,1)=0,MOD($F$5,1)=0,MOD($J$5,1)=0,MOD($B$9,1)=0,MOD(K25,1)=0,ISNUMBER(C75),C75&gt;=2,MOD(C75,1)=0,OR($N$9=32,$N$9=64,$N$9=128),ISNUMBER($B$11),$B$11&gt;=0,MOD($B$11,1)=0,ISNUMBER($J$7),$J$7&gt;=0,$J$7&lt;1,AND(ISNUMBER(M25),M25&gt;=0,M25&lt;=1),AND(ISNUMBER(N25),N25&gt;=0,N25&lt;=1))</x:f>
        <x:v>1</x:v>
      </x:c>
      <x:c r="B225" s="12" t="n">
        <x:f>IF(A225,D75*1000,"")</x:f>
        <x:v>60000</x:v>
      </x:c>
      <x:c r="C225" s="12" t="n">
        <x:f>IF(A225,E75*L25,"")</x:f>
        <x:v>30</x:v>
      </x:c>
      <x:c r="D225" s="12" t="n">
        <x:f>IF(A225,M387,"")</x:f>
        <x:v>8.73272705078125</x:v>
      </x:c>
      <x:c r="E225" s="12" t="n">
        <x:f>IF(A225,B25/C25,"")</x:f>
        <x:v>4</x:v>
      </x:c>
      <x:c r="F225" s="12" t="n">
        <x:f>IF(A225,B25/D25,"")</x:f>
        <x:v>32</x:v>
      </x:c>
      <x:c r="G225" s="12" t="n">
        <x:f>IF(A225,$F$5*E225*$B$5*60000/B225,"")</x:f>
        <x:v>64</x:v>
      </x:c>
      <x:c r="H225" s="12" t="n">
        <x:f>IF(A225,G225/($J$5*F225),"")</x:f>
        <x:v>2</x:v>
      </x:c>
      <x:c r="I225" s="12" t="n">
        <x:f>IF(A225,$B$5*D225/C25/$B$9,"")</x:f>
        <x:v>17.4654541015625</x:v>
      </x:c>
      <x:c r="J225" s="12" t="n">
        <x:f>IF(A225,I225*$F$5/$J$5,"")</x:f>
        <x:v>17.4654541015625</x:v>
      </x:c>
      <x:c r="K225" s="12" t="n">
        <x:f>IF(A225,MAX(I225,J225)*2^30/(J25*1e6),"")</x:f>
        <x:v>3.906955946666667</x:v>
      </x:c>
      <x:c r="L225" s="12" t="n">
        <x:f>IF(A225,B225/$B$9,"")</x:f>
        <x:v>60000</x:v>
      </x:c>
      <x:c r="M225" s="54" t="n">
        <x:f>IF(A225,K225/L225,"")</x:f>
        <x:v>0.00006511593244444444</x:v>
      </x:c>
      <x:c r="N225" s="12" t="n">
        <x:f>IF(A225,(E25*ROUNDUP(K25/D25,0)*G25*(B25-1)/B25*(ROUNDUP((ROUNDUP(F25*2/32,0)*32+32)/480,0)*512+F25*2+32)+E25*ROUNDUP(H25/B25,0)*(B25-1)*32)/1e9,"")</x:f>
        <x:v>1.349901696</x:v>
      </x:c>
      <x:c r="O225" s="12" t="n">
        <x:f>IF(A225,N225*1000/I25,"")</x:f>
        <x:v>0.28122952</x:v>
      </x:c>
      <x:c r="P225" s="12" t="n">
        <x:f>IF(A225,O225/E25,"")</x:f>
        <x:v>0.00461032</x:v>
      </x:c>
      <x:c r="Q225" s="12" t="n">
        <x:f>IF(A225,N225*1000/C225,"")</x:f>
        <x:v>44.996723200000005</x:v>
      </x:c>
      <x:c r="R225" s="12" t="n">
        <x:f>IF(W225="估算",IF(OR(K225=0,O225=0),0,1-((E25-1)*MAX(0,(C225-O225)/E25-(K225))+MAX(0,L225-((E25-1)*C225/E25+P225)-(K225)))/L225),"")</x:f>
        <x:v>0.0005569960497996407</x:v>
      </x:c>
      <x:c r="S225" s="12" t="n">
        <x:f>IF(W225="估算",IF(O225=0,0,MAX(0,1-(1-((E25-1)*MAX(0,(C225-O225)/E25-(L225-K225))+MAX(0,L225-((E25-1)*C225/E25+P225)-(L225-K225)))/L225))),"")</x:f>
        <x:v>0</x:v>
      </x:c>
      <x:c r="T225" s="12" t="n">
        <x:f>IF(W225="估算",IF(OR(P225=0,K225=0,$J$7=0),0,IF(P225&lt;=(1-$J$7)*K225,$J$7*P225*K225/(1-$J$7)-$J$7^2*P225^2/(2*(1-$J$7)^2),$J$7*P225*K225+$J$7^2*K225^2/2)/L225),"")</x:f>
        <x:v>3.335395611832824e-8</x:v>
      </x:c>
      <x:c r="U225" s="12" t="n">
        <x:f>IF(A225,60000/C225,"")</x:f>
        <x:v>2000</x:v>
      </x:c>
      <x:c r="V225" s="12" t="n">
        <x:f>IF(W225="估算",U225*E25*T225*M25*N25,"")</x:f>
        <x:v>0.0040691826464360455</x:v>
      </x:c>
      <x:c r="W225" s="12" t="str">
        <x:f>IF(NOT(A225),"输入无效",IF(K225&gt;=L225,"KV 超载",IF(O225&gt;C225+1e-9,"TPOT 不自洽",IF(OR(C225&gt;L225,P225&gt;L225-K225),"需时序仿真","估算"))))</x:f>
        <x:v>估算</x:v>
      </x:c>
      <x:c r="X225" s="12" t="n">
        <x:f>IF(W225="估算",U225*M225,"")</x:f>
        <x:v>0.13023186488888888</x:v>
      </x:c>
    </x:row>
    <x:row r="226" ht="25" customHeight="1">
      <x:c r="A226" s="2" t="b">
        <x:f>AND(AND(ISNUMBER($B$5),$B$5&gt;0),AND(ISNUMBER($F$5),$F$5&gt;0),AND(ISNUMBER($J$5),$J$5&gt;0),AND(ISNUMBER($B$9),$B$9&gt;0),AND(ISNUMBER(I26),I26&gt;0),AND(ISNUMBER(J26),J26&gt;0),AND(ISNUMBER(K26),K26&gt;0),AND(ISNUMBER(L26),L26&gt;0),AND(ISNUMBER(D76),D76&gt;0),AND(ISNUMBER(E76),E76&gt;0),MOD($B$5,1)=0,MOD($F$5,1)=0,MOD($J$5,1)=0,MOD($B$9,1)=0,MOD(K26,1)=0,ISNUMBER(C76),C76&gt;=2,MOD(C76,1)=0,OR($N$9=32,$N$9=64,$N$9=128),ISNUMBER($B$11),$B$11&gt;=0,MOD($B$11,1)=0,ISNUMBER($J$7),$J$7&gt;=0,$J$7&lt;1,AND(ISNUMBER(M26),M26&gt;=0,M26&lt;=1),AND(ISNUMBER(N26),N26&gt;=0,N26&lt;=1))</x:f>
        <x:v>1</x:v>
      </x:c>
      <x:c r="B226" s="12" t="n">
        <x:f>IF(A226,D76*1000,"")</x:f>
        <x:v>4000</x:v>
      </x:c>
      <x:c r="C226" s="12" t="n">
        <x:f>IF(A226,E76*L26,"")</x:f>
        <x:v>5</x:v>
      </x:c>
      <x:c r="D226" s="12" t="n">
        <x:f>IF(A226,M371,"")</x:f>
        <x:v>0.1742401123046875</x:v>
      </x:c>
      <x:c r="E226" s="12" t="n">
        <x:f>IF(A226,B26/C26,"")</x:f>
        <x:v>32</x:v>
      </x:c>
      <x:c r="F226" s="12" t="n">
        <x:f>IF(A226,B26/D26,"")</x:f>
        <x:v>256</x:v>
      </x:c>
      <x:c r="G226" s="12" t="n">
        <x:f>IF(A226,$F$5*E226*$B$5*60000/B226,"")</x:f>
        <x:v>7680</x:v>
      </x:c>
      <x:c r="H226" s="12" t="n">
        <x:f>IF(A226,G226/($J$5*F226),"")</x:f>
        <x:v>30</x:v>
      </x:c>
      <x:c r="I226" s="12" t="n">
        <x:f>IF(A226,$B$5*D226/C26/$B$9,"")</x:f>
        <x:v>0.348480224609375</x:v>
      </x:c>
      <x:c r="J226" s="12" t="n">
        <x:f>IF(A226,I226*$F$5/$J$5,"")</x:f>
        <x:v>0.348480224609375</x:v>
      </x:c>
      <x:c r="K226" s="12" t="n">
        <x:f>IF(A226,MAX(I226,J226)*2^30/(J26*1e6),"")</x:f>
        <x:v>0.07795370666666666</x:v>
      </x:c>
      <x:c r="L226" s="12" t="n">
        <x:f>IF(A226,B226/$B$9,"")</x:f>
        <x:v>4000</x:v>
      </x:c>
      <x:c r="M226" s="54" t="n">
        <x:f>IF(A226,K226/L226,"")</x:f>
        <x:v>0.000019488426666666665</x:v>
      </x:c>
      <x:c r="N226" s="12" t="n">
        <x:f>IF(A226,(E26*ROUNDUP(K26/D26,0)*G26*(B26-1)/B26*(ROUNDUP((ROUNDUP(F26*2/32,0)*32+32)/480,0)*512+F26*2+32)+E26*ROUNDUP(H26/B26,0)*(B26-1)*32)/1e9,"")</x:f>
        <x:v>1.38825264</x:v>
      </x:c>
      <x:c r="O226" s="12" t="n">
        <x:f>IF(A226,N226*1000/I26,"")</x:f>
        <x:v>0.2892193</x:v>
      </x:c>
      <x:c r="P226" s="12" t="n">
        <x:f>IF(A226,O226/E26,"")</x:f>
        <x:v>0.0047413</x:v>
      </x:c>
      <x:c r="Q226" s="12" t="n">
        <x:f>IF(A226,N226*1000/C226,"")</x:f>
        <x:v>277.650528</x:v>
      </x:c>
      <x:c r="R226" s="12" t="n">
        <x:f>IF(W226="估算",IF(OR(K226=0,O226=0),0,1-((E26-1)*MAX(0,(C226-O226)/E26-(K226))+MAX(0,L226-((E26-1)*C226/E26+P226)-(K226)))/L226),"")</x:f>
        <x:v>0.001250181948387885</x:v>
      </x:c>
      <x:c r="S226" s="12" t="n">
        <x:f>IF(W226="估算",IF(O226=0,0,MAX(0,1-(1-((E26-1)*MAX(0,(C226-O226)/E26-(L226-K226))+MAX(0,L226-((E26-1)*C226/E26+P226)-(L226-K226)))/L226))),"")</x:f>
        <x:v>0</x:v>
      </x:c>
      <x:c r="T226" s="12" t="n">
        <x:f>IF(W226="估算",IF(OR(P226=0,K226=0,$J$7=0),0,IF(P226&lt;=(1-$J$7)*K226,$J$7*P226*K226/(1-$J$7)-$J$7^2*P226^2/(2*(1-$J$7)^2),$J$7*P226*K226+$J$7^2*K226^2/2)/L226),"")</x:f>
        <x:v>1.023202846272531e-8</x:v>
      </x:c>
      <x:c r="U226" s="12" t="n">
        <x:f>IF(A226,60000/C226,"")</x:f>
        <x:v>12000</x:v>
      </x:c>
      <x:c r="V226" s="12" t="n">
        <x:f>IF(W226="估算",U226*E26*T226*M26*N26,"")</x:f>
        <x:v>0.007489844834714927</x:v>
      </x:c>
      <x:c r="W226" s="12" t="str">
        <x:f>IF(NOT(A226),"输入无效",IF(K226&gt;=L226,"KV 超载",IF(O226&gt;C226+1e-9,"TPOT 不自洽",IF(OR(C226&gt;L226,P226&gt;L226-K226),"需时序仿真","估算"))))</x:f>
        <x:v>估算</x:v>
      </x:c>
      <x:c r="X226" s="12" t="n">
        <x:f>IF(W226="估算",U226*M226,"")</x:f>
        <x:v>0.23386111999999998</x:v>
      </x:c>
    </x:row>
    <x:row r="227" ht="25" customHeight="1">
      <x:c r="A227" s="2" t="b">
        <x:f>AND(AND(ISNUMBER($B$5),$B$5&gt;0),AND(ISNUMBER($F$5),$F$5&gt;0),AND(ISNUMBER($J$5),$J$5&gt;0),AND(ISNUMBER($B$9),$B$9&gt;0),AND(ISNUMBER(I26),I26&gt;0),AND(ISNUMBER(J26),J26&gt;0),AND(ISNUMBER(K26),K26&gt;0),AND(ISNUMBER(L26),L26&gt;0),AND(ISNUMBER(D77),D77&gt;0),AND(ISNUMBER(E77),E77&gt;0),MOD($B$5,1)=0,MOD($F$5,1)=0,MOD($J$5,1)=0,MOD($B$9,1)=0,MOD(K26,1)=0,ISNUMBER(C77),C77&gt;=2,MOD(C77,1)=0,OR($N$9=32,$N$9=64,$N$9=128),ISNUMBER($B$11),$B$11&gt;=0,MOD($B$11,1)=0,ISNUMBER($J$7),$J$7&gt;=0,$J$7&lt;1,AND(ISNUMBER(M26),M26&gt;=0,M26&lt;=1),AND(ISNUMBER(N26),N26&gt;=0,N26&lt;=1))</x:f>
        <x:v>1</x:v>
      </x:c>
      <x:c r="B227" s="12" t="n">
        <x:f>IF(A227,D77*1000,"")</x:f>
        <x:v>4000</x:v>
      </x:c>
      <x:c r="C227" s="12" t="n">
        <x:f>IF(A227,E77*L26,"")</x:f>
        <x:v>10</x:v>
      </x:c>
      <x:c r="D227" s="12" t="n">
        <x:f>IF(A227,M371,"")</x:f>
        <x:v>0.1742401123046875</x:v>
      </x:c>
      <x:c r="E227" s="12" t="n">
        <x:f>IF(A227,B26/C26,"")</x:f>
        <x:v>32</x:v>
      </x:c>
      <x:c r="F227" s="12" t="n">
        <x:f>IF(A227,B26/D26,"")</x:f>
        <x:v>256</x:v>
      </x:c>
      <x:c r="G227" s="12" t="n">
        <x:f>IF(A227,$F$5*E227*$B$5*60000/B227,"")</x:f>
        <x:v>7680</x:v>
      </x:c>
      <x:c r="H227" s="12" t="n">
        <x:f>IF(A227,G227/($J$5*F227),"")</x:f>
        <x:v>30</x:v>
      </x:c>
      <x:c r="I227" s="12" t="n">
        <x:f>IF(A227,$B$5*D227/C26/$B$9,"")</x:f>
        <x:v>0.348480224609375</x:v>
      </x:c>
      <x:c r="J227" s="12" t="n">
        <x:f>IF(A227,I227*$F$5/$J$5,"")</x:f>
        <x:v>0.348480224609375</x:v>
      </x:c>
      <x:c r="K227" s="12" t="n">
        <x:f>IF(A227,MAX(I227,J227)*2^30/(J26*1e6),"")</x:f>
        <x:v>0.07795370666666666</x:v>
      </x:c>
      <x:c r="L227" s="12" t="n">
        <x:f>IF(A227,B227/$B$9,"")</x:f>
        <x:v>4000</x:v>
      </x:c>
      <x:c r="M227" s="54" t="n">
        <x:f>IF(A227,K227/L227,"")</x:f>
        <x:v>0.000019488426666666665</x:v>
      </x:c>
      <x:c r="N227" s="12" t="n">
        <x:f>IF(A227,(E26*ROUNDUP(K26/D26,0)*G26*(B26-1)/B26*(ROUNDUP((ROUNDUP(F26*2/32,0)*32+32)/480,0)*512+F26*2+32)+E26*ROUNDUP(H26/B26,0)*(B26-1)*32)/1e9,"")</x:f>
        <x:v>1.38825264</x:v>
      </x:c>
      <x:c r="O227" s="12" t="n">
        <x:f>IF(A227,N227*1000/I26,"")</x:f>
        <x:v>0.2892193</x:v>
      </x:c>
      <x:c r="P227" s="12" t="n">
        <x:f>IF(A227,O227/E26,"")</x:f>
        <x:v>0.0047413</x:v>
      </x:c>
      <x:c r="Q227" s="12" t="n">
        <x:f>IF(A227,N227*1000/C227,"")</x:f>
        <x:v>138.825264</x:v>
      </x:c>
      <x:c r="R227" s="12" t="n">
        <x:f>IF(W227="估算",IF(OR(K227=0,O227=0),0,1-((E26-1)*MAX(0,(C227-O227)/E26-(K227))+MAX(0,L227-((E26-1)*C227/E26+P227)-(K227)))/L227),"")</x:f>
        <x:v>0.0012610988516665866</x:v>
      </x:c>
      <x:c r="S227" s="12" t="n">
        <x:f>IF(W227="估算",IF(O227=0,0,MAX(0,1-(1-((E26-1)*MAX(0,(C227-O227)/E26-(L227-K227))+MAX(0,L227-((E26-1)*C227/E26+P227)-(L227-K227)))/L227))),"")</x:f>
        <x:v>0</x:v>
      </x:c>
      <x:c r="T227" s="12" t="n">
        <x:f>IF(W227="估算",IF(OR(P227=0,K227=0,$J$7=0),0,IF(P227&lt;=(1-$J$7)*K227,$J$7*P227*K227/(1-$J$7)-$J$7^2*P227^2/(2*(1-$J$7)^2),$J$7*P227*K227+$J$7^2*K227^2/2)/L227),"")</x:f>
        <x:v>1.023202846272531e-8</x:v>
      </x:c>
      <x:c r="U227" s="12" t="n">
        <x:f>IF(A227,60000/C227,"")</x:f>
        <x:v>6000</x:v>
      </x:c>
      <x:c r="V227" s="12" t="n">
        <x:f>IF(W227="估算",U227*E26*T227*M26*N26,"")</x:f>
        <x:v>0.0037449224173574636</x:v>
      </x:c>
      <x:c r="W227" s="12" t="str">
        <x:f>IF(NOT(A227),"输入无效",IF(K227&gt;=L227,"KV 超载",IF(O227&gt;C227+1e-9,"TPOT 不自洽",IF(OR(C227&gt;L227,P227&gt;L227-K227),"需时序仿真","估算"))))</x:f>
        <x:v>估算</x:v>
      </x:c>
      <x:c r="X227" s="12" t="n">
        <x:f>IF(W227="估算",U227*M227,"")</x:f>
        <x:v>0.11693055999999999</x:v>
      </x:c>
    </x:row>
    <x:row r="228" ht="25" customHeight="1">
      <x:c r="A228" s="2" t="b">
        <x:f>AND(AND(ISNUMBER($B$5),$B$5&gt;0),AND(ISNUMBER($F$5),$F$5&gt;0),AND(ISNUMBER($J$5),$J$5&gt;0),AND(ISNUMBER($B$9),$B$9&gt;0),AND(ISNUMBER(I26),I26&gt;0),AND(ISNUMBER(J26),J26&gt;0),AND(ISNUMBER(K26),K26&gt;0),AND(ISNUMBER(L26),L26&gt;0),AND(ISNUMBER(D78),D78&gt;0),AND(ISNUMBER(E78),E78&gt;0),MOD($B$5,1)=0,MOD($F$5,1)=0,MOD($J$5,1)=0,MOD($B$9,1)=0,MOD(K26,1)=0,ISNUMBER(C78),C78&gt;=2,MOD(C78,1)=0,OR($N$9=32,$N$9=64,$N$9=128),ISNUMBER($B$11),$B$11&gt;=0,MOD($B$11,1)=0,ISNUMBER($J$7),$J$7&gt;=0,$J$7&lt;1,AND(ISNUMBER(M26),M26&gt;=0,M26&lt;=1),AND(ISNUMBER(N26),N26&gt;=0,N26&lt;=1))</x:f>
        <x:v>1</x:v>
      </x:c>
      <x:c r="B228" s="12" t="n">
        <x:f>IF(A228,D78*1000,"")</x:f>
        <x:v>4000</x:v>
      </x:c>
      <x:c r="C228" s="12" t="n">
        <x:f>IF(A228,E78*L26,"")</x:f>
        <x:v>20</x:v>
      </x:c>
      <x:c r="D228" s="12" t="n">
        <x:f>IF(A228,M371,"")</x:f>
        <x:v>0.1742401123046875</x:v>
      </x:c>
      <x:c r="E228" s="12" t="n">
        <x:f>IF(A228,B26/C26,"")</x:f>
        <x:v>32</x:v>
      </x:c>
      <x:c r="F228" s="12" t="n">
        <x:f>IF(A228,B26/D26,"")</x:f>
        <x:v>256</x:v>
      </x:c>
      <x:c r="G228" s="12" t="n">
        <x:f>IF(A228,$F$5*E228*$B$5*60000/B228,"")</x:f>
        <x:v>7680</x:v>
      </x:c>
      <x:c r="H228" s="12" t="n">
        <x:f>IF(A228,G228/($J$5*F228),"")</x:f>
        <x:v>30</x:v>
      </x:c>
      <x:c r="I228" s="12" t="n">
        <x:f>IF(A228,$B$5*D228/C26/$B$9,"")</x:f>
        <x:v>0.348480224609375</x:v>
      </x:c>
      <x:c r="J228" s="12" t="n">
        <x:f>IF(A228,I228*$F$5/$J$5,"")</x:f>
        <x:v>0.348480224609375</x:v>
      </x:c>
      <x:c r="K228" s="12" t="n">
        <x:f>IF(A228,MAX(I228,J228)*2^30/(J26*1e6),"")</x:f>
        <x:v>0.07795370666666666</x:v>
      </x:c>
      <x:c r="L228" s="12" t="n">
        <x:f>IF(A228,B228/$B$9,"")</x:f>
        <x:v>4000</x:v>
      </x:c>
      <x:c r="M228" s="54" t="n">
        <x:f>IF(A228,K228/L228,"")</x:f>
        <x:v>0.000019488426666666665</x:v>
      </x:c>
      <x:c r="N228" s="12" t="n">
        <x:f>IF(A228,(E26*ROUNDUP(K26/D26,0)*G26*(B26-1)/B26*(ROUNDUP((ROUNDUP(F26*2/32,0)*32+32)/480,0)*512+F26*2+32)+E26*ROUNDUP(H26/B26,0)*(B26-1)*32)/1e9,"")</x:f>
        <x:v>1.38825264</x:v>
      </x:c>
      <x:c r="O228" s="12" t="n">
        <x:f>IF(A228,N228*1000/I26,"")</x:f>
        <x:v>0.2892193</x:v>
      </x:c>
      <x:c r="P228" s="12" t="n">
        <x:f>IF(A228,O228/E26,"")</x:f>
        <x:v>0.0047413</x:v>
      </x:c>
      <x:c r="Q228" s="12" t="n">
        <x:f>IF(A228,N228*1000/C228,"")</x:f>
        <x:v>69.412632</x:v>
      </x:c>
      <x:c r="R228" s="12" t="n">
        <x:f>IF(W228="估算",IF(OR(K228=0,O228=0),0,1-((E26-1)*MAX(0,(C228-O228)/E26-(K228))+MAX(0,L228-((E26-1)*C228/E26+P228)-(K228)))/L228),"")</x:f>
        <x:v>0.0012610988516665866</x:v>
      </x:c>
      <x:c r="S228" s="12" t="n">
        <x:f>IF(W228="估算",IF(O228=0,0,MAX(0,1-(1-((E26-1)*MAX(0,(C228-O228)/E26-(L228-K228))+MAX(0,L228-((E26-1)*C228/E26+P228)-(L228-K228)))/L228))),"")</x:f>
        <x:v>0</x:v>
      </x:c>
      <x:c r="T228" s="12" t="n">
        <x:f>IF(W228="估算",IF(OR(P228=0,K228=0,$J$7=0),0,IF(P228&lt;=(1-$J$7)*K228,$J$7*P228*K228/(1-$J$7)-$J$7^2*P228^2/(2*(1-$J$7)^2),$J$7*P228*K228+$J$7^2*K228^2/2)/L228),"")</x:f>
        <x:v>1.023202846272531e-8</x:v>
      </x:c>
      <x:c r="U228" s="12" t="n">
        <x:f>IF(A228,60000/C228,"")</x:f>
        <x:v>3000</x:v>
      </x:c>
      <x:c r="V228" s="12" t="n">
        <x:f>IF(W228="估算",U228*E26*T228*M26*N26,"")</x:f>
        <x:v>0.0018724612086787318</x:v>
      </x:c>
      <x:c r="W228" s="12" t="str">
        <x:f>IF(NOT(A228),"输入无效",IF(K228&gt;=L228,"KV 超载",IF(O228&gt;C228+1e-9,"TPOT 不自洽",IF(OR(C228&gt;L228,P228&gt;L228-K228),"需时序仿真","估算"))))</x:f>
        <x:v>估算</x:v>
      </x:c>
      <x:c r="X228" s="12" t="n">
        <x:f>IF(W228="估算",U228*M228,"")</x:f>
        <x:v>0.058465279999999994</x:v>
      </x:c>
    </x:row>
    <x:row r="229" ht="25" customHeight="1">
      <x:c r="A229" s="2" t="b">
        <x:f>AND(AND(ISNUMBER($B$5),$B$5&gt;0),AND(ISNUMBER($F$5),$F$5&gt;0),AND(ISNUMBER($J$5),$J$5&gt;0),AND(ISNUMBER($B$9),$B$9&gt;0),AND(ISNUMBER(I26),I26&gt;0),AND(ISNUMBER(J26),J26&gt;0),AND(ISNUMBER(K26),K26&gt;0),AND(ISNUMBER(L26),L26&gt;0),AND(ISNUMBER(D79),D79&gt;0),AND(ISNUMBER(E79),E79&gt;0),MOD($B$5,1)=0,MOD($F$5,1)=0,MOD($J$5,1)=0,MOD($B$9,1)=0,MOD(K26,1)=0,ISNUMBER(C79),C79&gt;=2,MOD(C79,1)=0,OR($N$9=32,$N$9=64,$N$9=128),ISNUMBER($B$11),$B$11&gt;=0,MOD($B$11,1)=0,ISNUMBER($J$7),$J$7&gt;=0,$J$7&lt;1,AND(ISNUMBER(M26),M26&gt;=0,M26&lt;=1),AND(ISNUMBER(N26),N26&gt;=0,N26&lt;=1))</x:f>
        <x:v>1</x:v>
      </x:c>
      <x:c r="B229" s="12" t="n">
        <x:f>IF(A229,D79*1000,"")</x:f>
        <x:v>4000</x:v>
      </x:c>
      <x:c r="C229" s="12" t="n">
        <x:f>IF(A229,E79*L26,"")</x:f>
        <x:v>30</x:v>
      </x:c>
      <x:c r="D229" s="12" t="n">
        <x:f>IF(A229,M371,"")</x:f>
        <x:v>0.1742401123046875</x:v>
      </x:c>
      <x:c r="E229" s="12" t="n">
        <x:f>IF(A229,B26/C26,"")</x:f>
        <x:v>32</x:v>
      </x:c>
      <x:c r="F229" s="12" t="n">
        <x:f>IF(A229,B26/D26,"")</x:f>
        <x:v>256</x:v>
      </x:c>
      <x:c r="G229" s="12" t="n">
        <x:f>IF(A229,$F$5*E229*$B$5*60000/B229,"")</x:f>
        <x:v>7680</x:v>
      </x:c>
      <x:c r="H229" s="12" t="n">
        <x:f>IF(A229,G229/($J$5*F229),"")</x:f>
        <x:v>30</x:v>
      </x:c>
      <x:c r="I229" s="12" t="n">
        <x:f>IF(A229,$B$5*D229/C26/$B$9,"")</x:f>
        <x:v>0.348480224609375</x:v>
      </x:c>
      <x:c r="J229" s="12" t="n">
        <x:f>IF(A229,I229*$F$5/$J$5,"")</x:f>
        <x:v>0.348480224609375</x:v>
      </x:c>
      <x:c r="K229" s="12" t="n">
        <x:f>IF(A229,MAX(I229,J229)*2^30/(J26*1e6),"")</x:f>
        <x:v>0.07795370666666666</x:v>
      </x:c>
      <x:c r="L229" s="12" t="n">
        <x:f>IF(A229,B229/$B$9,"")</x:f>
        <x:v>4000</x:v>
      </x:c>
      <x:c r="M229" s="54" t="n">
        <x:f>IF(A229,K229/L229,"")</x:f>
        <x:v>0.000019488426666666665</x:v>
      </x:c>
      <x:c r="N229" s="12" t="n">
        <x:f>IF(A229,(E26*ROUNDUP(K26/D26,0)*G26*(B26-1)/B26*(ROUNDUP((ROUNDUP(F26*2/32,0)*32+32)/480,0)*512+F26*2+32)+E26*ROUNDUP(H26/B26,0)*(B26-1)*32)/1e9,"")</x:f>
        <x:v>1.38825264</x:v>
      </x:c>
      <x:c r="O229" s="12" t="n">
        <x:f>IF(A229,N229*1000/I26,"")</x:f>
        <x:v>0.2892193</x:v>
      </x:c>
      <x:c r="P229" s="12" t="n">
        <x:f>IF(A229,O229/E26,"")</x:f>
        <x:v>0.0047413</x:v>
      </x:c>
      <x:c r="Q229" s="12" t="n">
        <x:f>IF(A229,N229*1000/C229,"")</x:f>
        <x:v>46.275088</x:v>
      </x:c>
      <x:c r="R229" s="12" t="n">
        <x:f>IF(W229="估算",IF(OR(K229=0,O229=0),0,1-((E26-1)*MAX(0,(C229-O229)/E26-(K229))+MAX(0,L229-((E26-1)*C229/E26+P229)-(K229)))/L229),"")</x:f>
        <x:v>0.0012610988516665866</x:v>
      </x:c>
      <x:c r="S229" s="12" t="n">
        <x:f>IF(W229="估算",IF(O229=0,0,MAX(0,1-(1-((E26-1)*MAX(0,(C229-O229)/E26-(L229-K229))+MAX(0,L229-((E26-1)*C229/E26+P229)-(L229-K229)))/L229))),"")</x:f>
        <x:v>0</x:v>
      </x:c>
      <x:c r="T229" s="12" t="n">
        <x:f>IF(W229="估算",IF(OR(P229=0,K229=0,$J$7=0),0,IF(P229&lt;=(1-$J$7)*K229,$J$7*P229*K229/(1-$J$7)-$J$7^2*P229^2/(2*(1-$J$7)^2),$J$7*P229*K229+$J$7^2*K229^2/2)/L229),"")</x:f>
        <x:v>1.023202846272531e-8</x:v>
      </x:c>
      <x:c r="U229" s="12" t="n">
        <x:f>IF(A229,60000/C229,"")</x:f>
        <x:v>2000</x:v>
      </x:c>
      <x:c r="V229" s="12" t="n">
        <x:f>IF(W229="估算",U229*E26*T229*M26*N26,"")</x:f>
        <x:v>0.0012483074724524879</x:v>
      </x:c>
      <x:c r="W229" s="12" t="str">
        <x:f>IF(NOT(A229),"输入无效",IF(K229&gt;=L229,"KV 超载",IF(O229&gt;C229+1e-9,"TPOT 不自洽",IF(OR(C229&gt;L229,P229&gt;L229-K229),"需时序仿真","估算"))))</x:f>
        <x:v>估算</x:v>
      </x:c>
      <x:c r="X229" s="12" t="n">
        <x:f>IF(W229="估算",U229*M229,"")</x:f>
        <x:v>0.03897685333333333</x:v>
      </x:c>
    </x:row>
    <x:row r="230" ht="25" customHeight="1">
      <x:c r="A230" s="2" t="b">
        <x:f>AND(AND(ISNUMBER($B$5),$B$5&gt;0),AND(ISNUMBER($F$5),$F$5&gt;0),AND(ISNUMBER($J$5),$J$5&gt;0),AND(ISNUMBER($B$9),$B$9&gt;0),AND(ISNUMBER(I26),I26&gt;0),AND(ISNUMBER(J26),J26&gt;0),AND(ISNUMBER(K26),K26&gt;0),AND(ISNUMBER(L26),L26&gt;0),AND(ISNUMBER(D80),D80&gt;0),AND(ISNUMBER(E80),E80&gt;0),MOD($B$5,1)=0,MOD($F$5,1)=0,MOD($J$5,1)=0,MOD($B$9,1)=0,MOD(K26,1)=0,ISNUMBER(C80),C80&gt;=2,MOD(C80,1)=0,OR($N$9=32,$N$9=64,$N$9=128),ISNUMBER($B$11),$B$11&gt;=0,MOD($B$11,1)=0,ISNUMBER($J$7),$J$7&gt;=0,$J$7&lt;1,AND(ISNUMBER(M26),M26&gt;=0,M26&lt;=1),AND(ISNUMBER(N26),N26&gt;=0,N26&lt;=1))</x:f>
        <x:v>1</x:v>
      </x:c>
      <x:c r="B230" s="12" t="n">
        <x:f>IF(A230,D80*1000,"")</x:f>
        <x:v>20000</x:v>
      </x:c>
      <x:c r="C230" s="12" t="n">
        <x:f>IF(A230,E80*L26,"")</x:f>
        <x:v>5</x:v>
      </x:c>
      <x:c r="D230" s="12" t="n">
        <x:f>IF(A230,M379,"")</x:f>
        <x:v>2.21197509765625</x:v>
      </x:c>
      <x:c r="E230" s="12" t="n">
        <x:f>IF(A230,B26/C26,"")</x:f>
        <x:v>32</x:v>
      </x:c>
      <x:c r="F230" s="12" t="n">
        <x:f>IF(A230,B26/D26,"")</x:f>
        <x:v>256</x:v>
      </x:c>
      <x:c r="G230" s="12" t="n">
        <x:f>IF(A230,$F$5*E230*$B$5*60000/B230,"")</x:f>
        <x:v>1536</x:v>
      </x:c>
      <x:c r="H230" s="12" t="n">
        <x:f>IF(A230,G230/($J$5*F230),"")</x:f>
        <x:v>6</x:v>
      </x:c>
      <x:c r="I230" s="12" t="n">
        <x:f>IF(A230,$B$5*D230/C26/$B$9,"")</x:f>
        <x:v>4.4239501953125</x:v>
      </x:c>
      <x:c r="J230" s="12" t="n">
        <x:f>IF(A230,I230*$F$5/$J$5,"")</x:f>
        <x:v>4.4239501953125</x:v>
      </x:c>
      <x:c r="K230" s="12" t="n">
        <x:f>IF(A230,MAX(I230,J230)*2^30/(J26*1e6),"")</x:f>
        <x:v>0.9896209066666667</x:v>
      </x:c>
      <x:c r="L230" s="12" t="n">
        <x:f>IF(A230,B230/$B$9,"")</x:f>
        <x:v>20000</x:v>
      </x:c>
      <x:c r="M230" s="54" t="n">
        <x:f>IF(A230,K230/L230,"")</x:f>
        <x:v>0.000049481045333333336</x:v>
      </x:c>
      <x:c r="N230" s="12" t="n">
        <x:f>IF(A230,(E26*ROUNDUP(K26/D26,0)*G26*(B26-1)/B26*(ROUNDUP((ROUNDUP(F26*2/32,0)*32+32)/480,0)*512+F26*2+32)+E26*ROUNDUP(H26/B26,0)*(B26-1)*32)/1e9,"")</x:f>
        <x:v>1.38825264</x:v>
      </x:c>
      <x:c r="O230" s="12" t="n">
        <x:f>IF(A230,N230*1000/I26,"")</x:f>
        <x:v>0.2892193</x:v>
      </x:c>
      <x:c r="P230" s="12" t="n">
        <x:f>IF(A230,O230/E26,"")</x:f>
        <x:v>0.0047413</x:v>
      </x:c>
      <x:c r="Q230" s="12" t="n">
        <x:f>IF(A230,N230*1000/C230,"")</x:f>
        <x:v>277.650528</x:v>
      </x:c>
      <x:c r="R230" s="12" t="n">
        <x:f>IF(W230="估算",IF(OR(K230=0,O230=0),0,1-((E26-1)*MAX(0,(C230-O230)/E26-(K230))+MAX(0,L230-((E26-1)*C230/E26+P230)-(K230)))/L230),"")</x:f>
        <x:v>0.0002956197496776225</x:v>
      </x:c>
      <x:c r="S230" s="12" t="n">
        <x:f>IF(W230="估算",IF(O230=0,0,MAX(0,1-(1-((E26-1)*MAX(0,(C230-O230)/E26-(L230-K230))+MAX(0,L230-((E26-1)*C230/E26+P230)-(L230-K230)))/L230))),"")</x:f>
        <x:v>0</x:v>
      </x:c>
      <x:c r="T230" s="12" t="n">
        <x:f>IF(W230="估算",IF(OR(P230=0,K230=0,$J$7=0),0,IF(P230&lt;=(1-$J$7)*K230,$J$7*P230*K230/(1-$J$7)-$J$7^2*P230^2/(2*(1-$J$7)^2),$J$7*P230*K230+$J$7^2*K230^2/2)/L230),"")</x:f>
        <x:v>2.6060226222322844e-8</x:v>
      </x:c>
      <x:c r="U230" s="12" t="n">
        <x:f>IF(A230,60000/C230,"")</x:f>
        <x:v>12000</x:v>
      </x:c>
      <x:c r="V230" s="12" t="n">
        <x:f>IF(W230="估算",U230*E26*T230*M26*N26,"")</x:f>
        <x:v>0.019076085594740323</x:v>
      </x:c>
      <x:c r="W230" s="12" t="str">
        <x:f>IF(NOT(A230),"输入无效",IF(K230&gt;=L230,"KV 超载",IF(O230&gt;C230+1e-9,"TPOT 不自洽",IF(OR(C230&gt;L230,P230&gt;L230-K230),"需时序仿真","估算"))))</x:f>
        <x:v>估算</x:v>
      </x:c>
      <x:c r="X230" s="12" t="n">
        <x:f>IF(W230="估算",U230*M230,"")</x:f>
        <x:v>0.593772544</x:v>
      </x:c>
    </x:row>
    <x:row r="231" ht="25" customHeight="1">
      <x:c r="A231" s="2" t="b">
        <x:f>AND(AND(ISNUMBER($B$5),$B$5&gt;0),AND(ISNUMBER($F$5),$F$5&gt;0),AND(ISNUMBER($J$5),$J$5&gt;0),AND(ISNUMBER($B$9),$B$9&gt;0),AND(ISNUMBER(I26),I26&gt;0),AND(ISNUMBER(J26),J26&gt;0),AND(ISNUMBER(K26),K26&gt;0),AND(ISNUMBER(L26),L26&gt;0),AND(ISNUMBER(D81),D81&gt;0),AND(ISNUMBER(E81),E81&gt;0),MOD($B$5,1)=0,MOD($F$5,1)=0,MOD($J$5,1)=0,MOD($B$9,1)=0,MOD(K26,1)=0,ISNUMBER(C81),C81&gt;=2,MOD(C81,1)=0,OR($N$9=32,$N$9=64,$N$9=128),ISNUMBER($B$11),$B$11&gt;=0,MOD($B$11,1)=0,ISNUMBER($J$7),$J$7&gt;=0,$J$7&lt;1,AND(ISNUMBER(M26),M26&gt;=0,M26&lt;=1),AND(ISNUMBER(N26),N26&gt;=0,N26&lt;=1))</x:f>
        <x:v>1</x:v>
      </x:c>
      <x:c r="B231" s="12" t="n">
        <x:f>IF(A231,D81*1000,"")</x:f>
        <x:v>20000</x:v>
      </x:c>
      <x:c r="C231" s="12" t="n">
        <x:f>IF(A231,E81*L26,"")</x:f>
        <x:v>10</x:v>
      </x:c>
      <x:c r="D231" s="12" t="n">
        <x:f>IF(A231,M379,"")</x:f>
        <x:v>2.21197509765625</x:v>
      </x:c>
      <x:c r="E231" s="12" t="n">
        <x:f>IF(A231,B26/C26,"")</x:f>
        <x:v>32</x:v>
      </x:c>
      <x:c r="F231" s="12" t="n">
        <x:f>IF(A231,B26/D26,"")</x:f>
        <x:v>256</x:v>
      </x:c>
      <x:c r="G231" s="12" t="n">
        <x:f>IF(A231,$F$5*E231*$B$5*60000/B231,"")</x:f>
        <x:v>1536</x:v>
      </x:c>
      <x:c r="H231" s="12" t="n">
        <x:f>IF(A231,G231/($J$5*F231),"")</x:f>
        <x:v>6</x:v>
      </x:c>
      <x:c r="I231" s="12" t="n">
        <x:f>IF(A231,$B$5*D231/C26/$B$9,"")</x:f>
        <x:v>4.4239501953125</x:v>
      </x:c>
      <x:c r="J231" s="12" t="n">
        <x:f>IF(A231,I231*$F$5/$J$5,"")</x:f>
        <x:v>4.4239501953125</x:v>
      </x:c>
      <x:c r="K231" s="12" t="n">
        <x:f>IF(A231,MAX(I231,J231)*2^30/(J26*1e6),"")</x:f>
        <x:v>0.9896209066666667</x:v>
      </x:c>
      <x:c r="L231" s="12" t="n">
        <x:f>IF(A231,B231/$B$9,"")</x:f>
        <x:v>20000</x:v>
      </x:c>
      <x:c r="M231" s="54" t="n">
        <x:f>IF(A231,K231/L231,"")</x:f>
        <x:v>0.000049481045333333336</x:v>
      </x:c>
      <x:c r="N231" s="12" t="n">
        <x:f>IF(A231,(E26*ROUNDUP(K26/D26,0)*G26*(B26-1)/B26*(ROUNDUP((ROUNDUP(F26*2/32,0)*32+32)/480,0)*512+F26*2+32)+E26*ROUNDUP(H26/B26,0)*(B26-1)*32)/1e9,"")</x:f>
        <x:v>1.38825264</x:v>
      </x:c>
      <x:c r="O231" s="12" t="n">
        <x:f>IF(A231,N231*1000/I26,"")</x:f>
        <x:v>0.2892193</x:v>
      </x:c>
      <x:c r="P231" s="12" t="n">
        <x:f>IF(A231,O231/E26,"")</x:f>
        <x:v>0.0047413</x:v>
      </x:c>
      <x:c r="Q231" s="12" t="n">
        <x:f>IF(A231,N231*1000/C231,"")</x:f>
        <x:v>138.825264</x:v>
      </x:c>
      <x:c r="R231" s="12" t="n">
        <x:f>IF(W231="估算",IF(OR(K231=0,O231=0),0,1-((E26-1)*MAX(0,(C231-O231)/E26-(K231))+MAX(0,L231-((E26-1)*C231/E26+P231)-(K231)))/L231),"")</x:f>
        <x:v>0.0005415213890218595</x:v>
      </x:c>
      <x:c r="S231" s="12" t="n">
        <x:f>IF(W231="估算",IF(O231=0,0,MAX(0,1-(1-((E26-1)*MAX(0,(C231-O231)/E26-(L231-K231))+MAX(0,L231-((E26-1)*C231/E26+P231)-(L231-K231)))/L231))),"")</x:f>
        <x:v>0</x:v>
      </x:c>
      <x:c r="T231" s="12" t="n">
        <x:f>IF(W231="估算",IF(OR(P231=0,K231=0,$J$7=0),0,IF(P231&lt;=(1-$J$7)*K231,$J$7*P231*K231/(1-$J$7)-$J$7^2*P231^2/(2*(1-$J$7)^2),$J$7*P231*K231+$J$7^2*K231^2/2)/L231),"")</x:f>
        <x:v>2.6060226222322844e-8</x:v>
      </x:c>
      <x:c r="U231" s="12" t="n">
        <x:f>IF(A231,60000/C231,"")</x:f>
        <x:v>6000</x:v>
      </x:c>
      <x:c r="V231" s="12" t="n">
        <x:f>IF(W231="估算",U231*E26*T231*M26*N26,"")</x:f>
        <x:v>0.009538042797370161</x:v>
      </x:c>
      <x:c r="W231" s="12" t="str">
        <x:f>IF(NOT(A231),"输入无效",IF(K231&gt;=L231,"KV 超载",IF(O231&gt;C231+1e-9,"TPOT 不自洽",IF(OR(C231&gt;L231,P231&gt;L231-K231),"需时序仿真","估算"))))</x:f>
        <x:v>估算</x:v>
      </x:c>
      <x:c r="X231" s="12" t="n">
        <x:f>IF(W231="估算",U231*M231,"")</x:f>
        <x:v>0.296886272</x:v>
      </x:c>
    </x:row>
    <x:row r="232" ht="25" customHeight="1">
      <x:c r="A232" s="2" t="b">
        <x:f>AND(AND(ISNUMBER($B$5),$B$5&gt;0),AND(ISNUMBER($F$5),$F$5&gt;0),AND(ISNUMBER($J$5),$J$5&gt;0),AND(ISNUMBER($B$9),$B$9&gt;0),AND(ISNUMBER(I26),I26&gt;0),AND(ISNUMBER(J26),J26&gt;0),AND(ISNUMBER(K26),K26&gt;0),AND(ISNUMBER(L26),L26&gt;0),AND(ISNUMBER(D82),D82&gt;0),AND(ISNUMBER(E82),E82&gt;0),MOD($B$5,1)=0,MOD($F$5,1)=0,MOD($J$5,1)=0,MOD($B$9,1)=0,MOD(K26,1)=0,ISNUMBER(C82),C82&gt;=2,MOD(C82,1)=0,OR($N$9=32,$N$9=64,$N$9=128),ISNUMBER($B$11),$B$11&gt;=0,MOD($B$11,1)=0,ISNUMBER($J$7),$J$7&gt;=0,$J$7&lt;1,AND(ISNUMBER(M26),M26&gt;=0,M26&lt;=1),AND(ISNUMBER(N26),N26&gt;=0,N26&lt;=1))</x:f>
        <x:v>1</x:v>
      </x:c>
      <x:c r="B232" s="12" t="n">
        <x:f>IF(A232,D82*1000,"")</x:f>
        <x:v>20000</x:v>
      </x:c>
      <x:c r="C232" s="12" t="n">
        <x:f>IF(A232,E82*L26,"")</x:f>
        <x:v>20</x:v>
      </x:c>
      <x:c r="D232" s="12" t="n">
        <x:f>IF(A232,M379,"")</x:f>
        <x:v>2.21197509765625</x:v>
      </x:c>
      <x:c r="E232" s="12" t="n">
        <x:f>IF(A232,B26/C26,"")</x:f>
        <x:v>32</x:v>
      </x:c>
      <x:c r="F232" s="12" t="n">
        <x:f>IF(A232,B26/D26,"")</x:f>
        <x:v>256</x:v>
      </x:c>
      <x:c r="G232" s="12" t="n">
        <x:f>IF(A232,$F$5*E232*$B$5*60000/B232,"")</x:f>
        <x:v>1536</x:v>
      </x:c>
      <x:c r="H232" s="12" t="n">
        <x:f>IF(A232,G232/($J$5*F232),"")</x:f>
        <x:v>6</x:v>
      </x:c>
      <x:c r="I232" s="12" t="n">
        <x:f>IF(A232,$B$5*D232/C26/$B$9,"")</x:f>
        <x:v>4.4239501953125</x:v>
      </x:c>
      <x:c r="J232" s="12" t="n">
        <x:f>IF(A232,I232*$F$5/$J$5,"")</x:f>
        <x:v>4.4239501953125</x:v>
      </x:c>
      <x:c r="K232" s="12" t="n">
        <x:f>IF(A232,MAX(I232,J232)*2^30/(J26*1e6),"")</x:f>
        <x:v>0.9896209066666667</x:v>
      </x:c>
      <x:c r="L232" s="12" t="n">
        <x:f>IF(A232,B232/$B$9,"")</x:f>
        <x:v>20000</x:v>
      </x:c>
      <x:c r="M232" s="54" t="n">
        <x:f>IF(A232,K232/L232,"")</x:f>
        <x:v>0.000049481045333333336</x:v>
      </x:c>
      <x:c r="N232" s="12" t="n">
        <x:f>IF(A232,(E26*ROUNDUP(K26/D26,0)*G26*(B26-1)/B26*(ROUNDUP((ROUNDUP(F26*2/32,0)*32+32)/480,0)*512+F26*2+32)+E26*ROUNDUP(H26/B26,0)*(B26-1)*32)/1e9,"")</x:f>
        <x:v>1.38825264</x:v>
      </x:c>
      <x:c r="O232" s="12" t="n">
        <x:f>IF(A232,N232*1000/I26,"")</x:f>
        <x:v>0.2892193</x:v>
      </x:c>
      <x:c r="P232" s="12" t="n">
        <x:f>IF(A232,O232/E26,"")</x:f>
        <x:v>0.0047413</x:v>
      </x:c>
      <x:c r="Q232" s="12" t="n">
        <x:f>IF(A232,N232*1000/C232,"")</x:f>
        <x:v>69.412632</x:v>
      </x:c>
      <x:c r="R232" s="12" t="n">
        <x:f>IF(W232="估算",IF(OR(K232=0,O232=0),0,1-((E26-1)*MAX(0,(C232-O232)/E26-(K232))+MAX(0,L232-((E26-1)*C232/E26+P232)-(K232)))/L232),"")</x:f>
        <x:v>0.0010333246677104446</x:v>
      </x:c>
      <x:c r="S232" s="12" t="n">
        <x:f>IF(W232="估算",IF(O232=0,0,MAX(0,1-(1-((E26-1)*MAX(0,(C232-O232)/E26-(L232-K232))+MAX(0,L232-((E26-1)*C232/E26+P232)-(L232-K232)))/L232))),"")</x:f>
        <x:v>0</x:v>
      </x:c>
      <x:c r="T232" s="12" t="n">
        <x:f>IF(W232="估算",IF(OR(P232=0,K232=0,$J$7=0),0,IF(P232&lt;=(1-$J$7)*K232,$J$7*P232*K232/(1-$J$7)-$J$7^2*P232^2/(2*(1-$J$7)^2),$J$7*P232*K232+$J$7^2*K232^2/2)/L232),"")</x:f>
        <x:v>2.6060226222322844e-8</x:v>
      </x:c>
      <x:c r="U232" s="12" t="n">
        <x:f>IF(A232,60000/C232,"")</x:f>
        <x:v>3000</x:v>
      </x:c>
      <x:c r="V232" s="12" t="n">
        <x:f>IF(W232="估算",U232*E26*T232*M26*N26,"")</x:f>
        <x:v>0.004769021398685081</x:v>
      </x:c>
      <x:c r="W232" s="12" t="str">
        <x:f>IF(NOT(A232),"输入无效",IF(K232&gt;=L232,"KV 超载",IF(O232&gt;C232+1e-9,"TPOT 不自洽",IF(OR(C232&gt;L232,P232&gt;L232-K232),"需时序仿真","估算"))))</x:f>
        <x:v>估算</x:v>
      </x:c>
      <x:c r="X232" s="12" t="n">
        <x:f>IF(W232="估算",U232*M232,"")</x:f>
        <x:v>0.148443136</x:v>
      </x:c>
    </x:row>
    <x:row r="233" ht="25" customHeight="1">
      <x:c r="A233" s="2" t="b">
        <x:f>AND(AND(ISNUMBER($B$5),$B$5&gt;0),AND(ISNUMBER($F$5),$F$5&gt;0),AND(ISNUMBER($J$5),$J$5&gt;0),AND(ISNUMBER($B$9),$B$9&gt;0),AND(ISNUMBER(I26),I26&gt;0),AND(ISNUMBER(J26),J26&gt;0),AND(ISNUMBER(K26),K26&gt;0),AND(ISNUMBER(L26),L26&gt;0),AND(ISNUMBER(D83),D83&gt;0),AND(ISNUMBER(E83),E83&gt;0),MOD($B$5,1)=0,MOD($F$5,1)=0,MOD($J$5,1)=0,MOD($B$9,1)=0,MOD(K26,1)=0,ISNUMBER(C83),C83&gt;=2,MOD(C83,1)=0,OR($N$9=32,$N$9=64,$N$9=128),ISNUMBER($B$11),$B$11&gt;=0,MOD($B$11,1)=0,ISNUMBER($J$7),$J$7&gt;=0,$J$7&lt;1,AND(ISNUMBER(M26),M26&gt;=0,M26&lt;=1),AND(ISNUMBER(N26),N26&gt;=0,N26&lt;=1))</x:f>
        <x:v>1</x:v>
      </x:c>
      <x:c r="B233" s="12" t="n">
        <x:f>IF(A233,D83*1000,"")</x:f>
        <x:v>20000</x:v>
      </x:c>
      <x:c r="C233" s="12" t="n">
        <x:f>IF(A233,E83*L26,"")</x:f>
        <x:v>30</x:v>
      </x:c>
      <x:c r="D233" s="12" t="n">
        <x:f>IF(A233,M379,"")</x:f>
        <x:v>2.21197509765625</x:v>
      </x:c>
      <x:c r="E233" s="12" t="n">
        <x:f>IF(A233,B26/C26,"")</x:f>
        <x:v>32</x:v>
      </x:c>
      <x:c r="F233" s="12" t="n">
        <x:f>IF(A233,B26/D26,"")</x:f>
        <x:v>256</x:v>
      </x:c>
      <x:c r="G233" s="12" t="n">
        <x:f>IF(A233,$F$5*E233*$B$5*60000/B233,"")</x:f>
        <x:v>1536</x:v>
      </x:c>
      <x:c r="H233" s="12" t="n">
        <x:f>IF(A233,G233/($J$5*F233),"")</x:f>
        <x:v>6</x:v>
      </x:c>
      <x:c r="I233" s="12" t="n">
        <x:f>IF(A233,$B$5*D233/C26/$B$9,"")</x:f>
        <x:v>4.4239501953125</x:v>
      </x:c>
      <x:c r="J233" s="12" t="n">
        <x:f>IF(A233,I233*$F$5/$J$5,"")</x:f>
        <x:v>4.4239501953125</x:v>
      </x:c>
      <x:c r="K233" s="12" t="n">
        <x:f>IF(A233,MAX(I233,J233)*2^30/(J26*1e6),"")</x:f>
        <x:v>0.9896209066666667</x:v>
      </x:c>
      <x:c r="L233" s="12" t="n">
        <x:f>IF(A233,B233/$B$9,"")</x:f>
        <x:v>20000</x:v>
      </x:c>
      <x:c r="M233" s="54" t="n">
        <x:f>IF(A233,K233/L233,"")</x:f>
        <x:v>0.000049481045333333336</x:v>
      </x:c>
      <x:c r="N233" s="12" t="n">
        <x:f>IF(A233,(E26*ROUNDUP(K26/D26,0)*G26*(B26-1)/B26*(ROUNDUP((ROUNDUP(F26*2/32,0)*32+32)/480,0)*512+F26*2+32)+E26*ROUNDUP(H26/B26,0)*(B26-1)*32)/1e9,"")</x:f>
        <x:v>1.38825264</x:v>
      </x:c>
      <x:c r="O233" s="12" t="n">
        <x:f>IF(A233,N233*1000/I26,"")</x:f>
        <x:v>0.2892193</x:v>
      </x:c>
      <x:c r="P233" s="12" t="n">
        <x:f>IF(A233,O233/E26,"")</x:f>
        <x:v>0.0047413</x:v>
      </x:c>
      <x:c r="Q233" s="12" t="n">
        <x:f>IF(A233,N233*1000/C233,"")</x:f>
        <x:v>46.275088</x:v>
      </x:c>
      <x:c r="R233" s="12" t="n">
        <x:f>IF(W233="估算",IF(OR(K233=0,O233=0),0,1-((E26-1)*MAX(0,(C233-O233)/E26-(K233))+MAX(0,L233-((E26-1)*C233/E26+P233)-(K233)))/L233),"")</x:f>
        <x:v>0.0015251279463989187</x:v>
      </x:c>
      <x:c r="S233" s="12" t="n">
        <x:f>IF(W233="估算",IF(O233=0,0,MAX(0,1-(1-((E26-1)*MAX(0,(C233-O233)/E26-(L233-K233))+MAX(0,L233-((E26-1)*C233/E26+P233)-(L233-K233)))/L233))),"")</x:f>
        <x:v>0</x:v>
      </x:c>
      <x:c r="T233" s="12" t="n">
        <x:f>IF(W233="估算",IF(OR(P233=0,K233=0,$J$7=0),0,IF(P233&lt;=(1-$J$7)*K233,$J$7*P233*K233/(1-$J$7)-$J$7^2*P233^2/(2*(1-$J$7)^2),$J$7*P233*K233+$J$7^2*K233^2/2)/L233),"")</x:f>
        <x:v>2.6060226222322844e-8</x:v>
      </x:c>
      <x:c r="U233" s="12" t="n">
        <x:f>IF(A233,60000/C233,"")</x:f>
        <x:v>2000</x:v>
      </x:c>
      <x:c r="V233" s="12" t="n">
        <x:f>IF(W233="估算",U233*E26*T233*M26*N26,"")</x:f>
        <x:v>0.003179347599123387</x:v>
      </x:c>
      <x:c r="W233" s="12" t="str">
        <x:f>IF(NOT(A233),"输入无效",IF(K233&gt;=L233,"KV 超载",IF(O233&gt;C233+1e-9,"TPOT 不自洽",IF(OR(C233&gt;L233,P233&gt;L233-K233),"需时序仿真","估算"))))</x:f>
        <x:v>估算</x:v>
      </x:c>
      <x:c r="X233" s="12" t="n">
        <x:f>IF(W233="估算",U233*M233,"")</x:f>
        <x:v>0.09896209066666667</x:v>
      </x:c>
    </x:row>
    <x:row r="234" ht="25" customHeight="1">
      <x:c r="A234" s="2" t="b">
        <x:f>AND(AND(ISNUMBER($B$5),$B$5&gt;0),AND(ISNUMBER($F$5),$F$5&gt;0),AND(ISNUMBER($J$5),$J$5&gt;0),AND(ISNUMBER($B$9),$B$9&gt;0),AND(ISNUMBER(I26),I26&gt;0),AND(ISNUMBER(J26),J26&gt;0),AND(ISNUMBER(K26),K26&gt;0),AND(ISNUMBER(L26),L26&gt;0),AND(ISNUMBER(D84),D84&gt;0),AND(ISNUMBER(E84),E84&gt;0),MOD($B$5,1)=0,MOD($F$5,1)=0,MOD($J$5,1)=0,MOD($B$9,1)=0,MOD(K26,1)=0,ISNUMBER(C84),C84&gt;=2,MOD(C84,1)=0,OR($N$9=32,$N$9=64,$N$9=128),ISNUMBER($B$11),$B$11&gt;=0,MOD($B$11,1)=0,ISNUMBER($J$7),$J$7&gt;=0,$J$7&lt;1,AND(ISNUMBER(M26),M26&gt;=0,M26&lt;=1),AND(ISNUMBER(N26),N26&gt;=0,N26&lt;=1))</x:f>
        <x:v>1</x:v>
      </x:c>
      <x:c r="B234" s="12" t="n">
        <x:f>IF(A234,D84*1000,"")</x:f>
        <x:v>60000</x:v>
      </x:c>
      <x:c r="C234" s="12" t="n">
        <x:f>IF(A234,E84*L26,"")</x:f>
        <x:v>5</x:v>
      </x:c>
      <x:c r="D234" s="12" t="n">
        <x:f>IF(A234,M387,"")</x:f>
        <x:v>8.73272705078125</x:v>
      </x:c>
      <x:c r="E234" s="12" t="n">
        <x:f>IF(A234,B26/C26,"")</x:f>
        <x:v>32</x:v>
      </x:c>
      <x:c r="F234" s="12" t="n">
        <x:f>IF(A234,B26/D26,"")</x:f>
        <x:v>256</x:v>
      </x:c>
      <x:c r="G234" s="12" t="n">
        <x:f>IF(A234,$F$5*E234*$B$5*60000/B234,"")</x:f>
        <x:v>512</x:v>
      </x:c>
      <x:c r="H234" s="12" t="n">
        <x:f>IF(A234,G234/($J$5*F234),"")</x:f>
        <x:v>2</x:v>
      </x:c>
      <x:c r="I234" s="12" t="n">
        <x:f>IF(A234,$B$5*D234/C26/$B$9,"")</x:f>
        <x:v>17.4654541015625</x:v>
      </x:c>
      <x:c r="J234" s="12" t="n">
        <x:f>IF(A234,I234*$F$5/$J$5,"")</x:f>
        <x:v>17.4654541015625</x:v>
      </x:c>
      <x:c r="K234" s="12" t="n">
        <x:f>IF(A234,MAX(I234,J234)*2^30/(J26*1e6),"")</x:f>
        <x:v>3.906955946666667</x:v>
      </x:c>
      <x:c r="L234" s="12" t="n">
        <x:f>IF(A234,B234/$B$9,"")</x:f>
        <x:v>60000</x:v>
      </x:c>
      <x:c r="M234" s="54" t="n">
        <x:f>IF(A234,K234/L234,"")</x:f>
        <x:v>0.00006511593244444444</x:v>
      </x:c>
      <x:c r="N234" s="12" t="n">
        <x:f>IF(A234,(E26*ROUNDUP(K26/D26,0)*G26*(B26-1)/B26*(ROUNDUP((ROUNDUP(F26*2/32,0)*32+32)/480,0)*512+F26*2+32)+E26*ROUNDUP(H26/B26,0)*(B26-1)*32)/1e9,"")</x:f>
        <x:v>1.38825264</x:v>
      </x:c>
      <x:c r="O234" s="12" t="n">
        <x:f>IF(A234,N234*1000/I26,"")</x:f>
        <x:v>0.2892193</x:v>
      </x:c>
      <x:c r="P234" s="12" t="n">
        <x:f>IF(A234,O234/E26,"")</x:f>
        <x:v>0.0047413</x:v>
      </x:c>
      <x:c r="Q234" s="12" t="n">
        <x:f>IF(A234,N234*1000/C234,"")</x:f>
        <x:v>277.650528</x:v>
      </x:c>
      <x:c r="R234" s="12" t="n">
        <x:f>IF(W234="估算",IF(OR(K234=0,O234=0),0,1-((E26-1)*MAX(0,(C234-O234)/E26-(K234))+MAX(0,L234-((E26-1)*C234/E26+P234)-(K234)))/L234),"")</x:f>
        <x:v>0.00014716216722587827</x:v>
      </x:c>
      <x:c r="S234" s="12" t="n">
        <x:f>IF(W234="估算",IF(O234=0,0,MAX(0,1-(1-((E26-1)*MAX(0,(C234-O234)/E26-(L234-K234))+MAX(0,L234-((E26-1)*C234/E26+P234)-(L234-K234)))/L234))),"")</x:f>
        <x:v>0</x:v>
      </x:c>
      <x:c r="T234" s="12" t="n">
        <x:f>IF(W234="估算",IF(OR(P234=0,K234=0,$J$7=0),0,IF(P234&lt;=(1-$J$7)*K234,$J$7*P234*K234/(1-$J$7)-$J$7^2*P234^2/(2*(1-$J$7)^2),$J$7*P234*K234+$J$7^2*K234^2/2)/L234),"")</x:f>
        <x:v>3.430148397253725e-8</x:v>
      </x:c>
      <x:c r="U234" s="12" t="n">
        <x:f>IF(A234,60000/C234,"")</x:f>
        <x:v>12000</x:v>
      </x:c>
      <x:c r="V234" s="12" t="n">
        <x:f>IF(W234="估算",U234*E26*T234*M26*N26,"")</x:f>
        <x:v>0.02510868626789727</x:v>
      </x:c>
      <x:c r="W234" s="12" t="str">
        <x:f>IF(NOT(A234),"输入无效",IF(K234&gt;=L234,"KV 超载",IF(O234&gt;C234+1e-9,"TPOT 不自洽",IF(OR(C234&gt;L234,P234&gt;L234-K234),"需时序仿真","估算"))))</x:f>
        <x:v>估算</x:v>
      </x:c>
      <x:c r="X234" s="12" t="n">
        <x:f>IF(W234="估算",U234*M234,"")</x:f>
        <x:v>0.7813911893333333</x:v>
      </x:c>
    </x:row>
    <x:row r="235" ht="25" customHeight="1">
      <x:c r="A235" s="2" t="b">
        <x:f>AND(AND(ISNUMBER($B$5),$B$5&gt;0),AND(ISNUMBER($F$5),$F$5&gt;0),AND(ISNUMBER($J$5),$J$5&gt;0),AND(ISNUMBER($B$9),$B$9&gt;0),AND(ISNUMBER(I26),I26&gt;0),AND(ISNUMBER(J26),J26&gt;0),AND(ISNUMBER(K26),K26&gt;0),AND(ISNUMBER(L26),L26&gt;0),AND(ISNUMBER(D85),D85&gt;0),AND(ISNUMBER(E85),E85&gt;0),MOD($B$5,1)=0,MOD($F$5,1)=0,MOD($J$5,1)=0,MOD($B$9,1)=0,MOD(K26,1)=0,ISNUMBER(C85),C85&gt;=2,MOD(C85,1)=0,OR($N$9=32,$N$9=64,$N$9=128),ISNUMBER($B$11),$B$11&gt;=0,MOD($B$11,1)=0,ISNUMBER($J$7),$J$7&gt;=0,$J$7&lt;1,AND(ISNUMBER(M26),M26&gt;=0,M26&lt;=1),AND(ISNUMBER(N26),N26&gt;=0,N26&lt;=1))</x:f>
        <x:v>1</x:v>
      </x:c>
      <x:c r="B235" s="12" t="n">
        <x:f>IF(A235,D85*1000,"")</x:f>
        <x:v>60000</x:v>
      </x:c>
      <x:c r="C235" s="12" t="n">
        <x:f>IF(A235,E85*L26,"")</x:f>
        <x:v>10</x:v>
      </x:c>
      <x:c r="D235" s="12" t="n">
        <x:f>IF(A235,M387,"")</x:f>
        <x:v>8.73272705078125</x:v>
      </x:c>
      <x:c r="E235" s="12" t="n">
        <x:f>IF(A235,B26/C26,"")</x:f>
        <x:v>32</x:v>
      </x:c>
      <x:c r="F235" s="12" t="n">
        <x:f>IF(A235,B26/D26,"")</x:f>
        <x:v>256</x:v>
      </x:c>
      <x:c r="G235" s="12" t="n">
        <x:f>IF(A235,$F$5*E235*$B$5*60000/B235,"")</x:f>
        <x:v>512</x:v>
      </x:c>
      <x:c r="H235" s="12" t="n">
        <x:f>IF(A235,G235/($J$5*F235),"")</x:f>
        <x:v>2</x:v>
      </x:c>
      <x:c r="I235" s="12" t="n">
        <x:f>IF(A235,$B$5*D235/C26/$B$9,"")</x:f>
        <x:v>17.4654541015625</x:v>
      </x:c>
      <x:c r="J235" s="12" t="n">
        <x:f>IF(A235,I235*$F$5/$J$5,"")</x:f>
        <x:v>17.4654541015625</x:v>
      </x:c>
      <x:c r="K235" s="12" t="n">
        <x:f>IF(A235,MAX(I235,J235)*2^30/(J26*1e6),"")</x:f>
        <x:v>3.906955946666667</x:v>
      </x:c>
      <x:c r="L235" s="12" t="n">
        <x:f>IF(A235,B235/$B$9,"")</x:f>
        <x:v>60000</x:v>
      </x:c>
      <x:c r="M235" s="54" t="n">
        <x:f>IF(A235,K235/L235,"")</x:f>
        <x:v>0.00006511593244444444</x:v>
      </x:c>
      <x:c r="N235" s="12" t="n">
        <x:f>IF(A235,(E26*ROUNDUP(K26/D26,0)*G26*(B26-1)/B26*(ROUNDUP((ROUNDUP(F26*2/32,0)*32+32)/480,0)*512+F26*2+32)+E26*ROUNDUP(H26/B26,0)*(B26-1)*32)/1e9,"")</x:f>
        <x:v>1.38825264</x:v>
      </x:c>
      <x:c r="O235" s="12" t="n">
        <x:f>IF(A235,N235*1000/I26,"")</x:f>
        <x:v>0.2892193</x:v>
      </x:c>
      <x:c r="P235" s="12" t="n">
        <x:f>IF(A235,O235/E26,"")</x:f>
        <x:v>0.0047413</x:v>
      </x:c>
      <x:c r="Q235" s="12" t="n">
        <x:f>IF(A235,N235*1000/C235,"")</x:f>
        <x:v>138.825264</x:v>
      </x:c>
      <x:c r="R235" s="12" t="n">
        <x:f>IF(W235="估算",IF(OR(K235=0,O235=0),0,1-((E26-1)*MAX(0,(C235-O235)/E26-(K235))+MAX(0,L235-((E26-1)*C235/E26+P235)-(K235)))/L235),"")</x:f>
        <x:v>0.00022912938034058694</x:v>
      </x:c>
      <x:c r="S235" s="12" t="n">
        <x:f>IF(W235="估算",IF(O235=0,0,MAX(0,1-(1-((E26-1)*MAX(0,(C235-O235)/E26-(L235-K235))+MAX(0,L235-((E26-1)*C235/E26+P235)-(L235-K235)))/L235))),"")</x:f>
        <x:v>0</x:v>
      </x:c>
      <x:c r="T235" s="12" t="n">
        <x:f>IF(W235="估算",IF(OR(P235=0,K235=0,$J$7=0),0,IF(P235&lt;=(1-$J$7)*K235,$J$7*P235*K235/(1-$J$7)-$J$7^2*P235^2/(2*(1-$J$7)^2),$J$7*P235*K235+$J$7^2*K235^2/2)/L235),"")</x:f>
        <x:v>3.430148397253725e-8</x:v>
      </x:c>
      <x:c r="U235" s="12" t="n">
        <x:f>IF(A235,60000/C235,"")</x:f>
        <x:v>6000</x:v>
      </x:c>
      <x:c r="V235" s="12" t="n">
        <x:f>IF(W235="估算",U235*E26*T235*M26*N26,"")</x:f>
        <x:v>0.012554343133948634</x:v>
      </x:c>
      <x:c r="W235" s="12" t="str">
        <x:f>IF(NOT(A235),"输入无效",IF(K235&gt;=L235,"KV 超载",IF(O235&gt;C235+1e-9,"TPOT 不自洽",IF(OR(C235&gt;L235,P235&gt;L235-K235),"需时序仿真","估算"))))</x:f>
        <x:v>估算</x:v>
      </x:c>
      <x:c r="X235" s="12" t="n">
        <x:f>IF(W235="估算",U235*M235,"")</x:f>
        <x:v>0.39069559466666665</x:v>
      </x:c>
    </x:row>
    <x:row r="236" ht="25" customHeight="1">
      <x:c r="A236" s="2" t="b">
        <x:f>AND(AND(ISNUMBER($B$5),$B$5&gt;0),AND(ISNUMBER($F$5),$F$5&gt;0),AND(ISNUMBER($J$5),$J$5&gt;0),AND(ISNUMBER($B$9),$B$9&gt;0),AND(ISNUMBER(I26),I26&gt;0),AND(ISNUMBER(J26),J26&gt;0),AND(ISNUMBER(K26),K26&gt;0),AND(ISNUMBER(L26),L26&gt;0),AND(ISNUMBER(D86),D86&gt;0),AND(ISNUMBER(E86),E86&gt;0),MOD($B$5,1)=0,MOD($F$5,1)=0,MOD($J$5,1)=0,MOD($B$9,1)=0,MOD(K26,1)=0,ISNUMBER(C86),C86&gt;=2,MOD(C86,1)=0,OR($N$9=32,$N$9=64,$N$9=128),ISNUMBER($B$11),$B$11&gt;=0,MOD($B$11,1)=0,ISNUMBER($J$7),$J$7&gt;=0,$J$7&lt;1,AND(ISNUMBER(M26),M26&gt;=0,M26&lt;=1),AND(ISNUMBER(N26),N26&gt;=0,N26&lt;=1))</x:f>
        <x:v>1</x:v>
      </x:c>
      <x:c r="B236" s="12" t="n">
        <x:f>IF(A236,D86*1000,"")</x:f>
        <x:v>60000</x:v>
      </x:c>
      <x:c r="C236" s="12" t="n">
        <x:f>IF(A236,E86*L26,"")</x:f>
        <x:v>20</x:v>
      </x:c>
      <x:c r="D236" s="12" t="n">
        <x:f>IF(A236,M387,"")</x:f>
        <x:v>8.73272705078125</x:v>
      </x:c>
      <x:c r="E236" s="12" t="n">
        <x:f>IF(A236,B26/C26,"")</x:f>
        <x:v>32</x:v>
      </x:c>
      <x:c r="F236" s="12" t="n">
        <x:f>IF(A236,B26/D26,"")</x:f>
        <x:v>256</x:v>
      </x:c>
      <x:c r="G236" s="12" t="n">
        <x:f>IF(A236,$F$5*E236*$B$5*60000/B236,"")</x:f>
        <x:v>512</x:v>
      </x:c>
      <x:c r="H236" s="12" t="n">
        <x:f>IF(A236,G236/($J$5*F236),"")</x:f>
        <x:v>2</x:v>
      </x:c>
      <x:c r="I236" s="12" t="n">
        <x:f>IF(A236,$B$5*D236/C26/$B$9,"")</x:f>
        <x:v>17.4654541015625</x:v>
      </x:c>
      <x:c r="J236" s="12" t="n">
        <x:f>IF(A236,I236*$F$5/$J$5,"")</x:f>
        <x:v>17.4654541015625</x:v>
      </x:c>
      <x:c r="K236" s="12" t="n">
        <x:f>IF(A236,MAX(I236,J236)*2^30/(J26*1e6),"")</x:f>
        <x:v>3.906955946666667</x:v>
      </x:c>
      <x:c r="L236" s="12" t="n">
        <x:f>IF(A236,B236/$B$9,"")</x:f>
        <x:v>60000</x:v>
      </x:c>
      <x:c r="M236" s="54" t="n">
        <x:f>IF(A236,K236/L236,"")</x:f>
        <x:v>0.00006511593244444444</x:v>
      </x:c>
      <x:c r="N236" s="12" t="n">
        <x:f>IF(A236,(E26*ROUNDUP(K26/D26,0)*G26*(B26-1)/B26*(ROUNDUP((ROUNDUP(F26*2/32,0)*32+32)/480,0)*512+F26*2+32)+E26*ROUNDUP(H26/B26,0)*(B26-1)*32)/1e9,"")</x:f>
        <x:v>1.38825264</x:v>
      </x:c>
      <x:c r="O236" s="12" t="n">
        <x:f>IF(A236,N236*1000/I26,"")</x:f>
        <x:v>0.2892193</x:v>
      </x:c>
      <x:c r="P236" s="12" t="n">
        <x:f>IF(A236,O236/E26,"")</x:f>
        <x:v>0.0047413</x:v>
      </x:c>
      <x:c r="Q236" s="12" t="n">
        <x:f>IF(A236,N236*1000/C236,"")</x:f>
        <x:v>69.412632</x:v>
      </x:c>
      <x:c r="R236" s="12" t="n">
        <x:f>IF(W236="估算",IF(OR(K236=0,O236=0),0,1-((E26-1)*MAX(0,(C236-O236)/E26-(K236))+MAX(0,L236-((E26-1)*C236/E26+P236)-(K236)))/L236),"")</x:f>
        <x:v>0.0003930638065701153</x:v>
      </x:c>
      <x:c r="S236" s="12" t="n">
        <x:f>IF(W236="估算",IF(O236=0,0,MAX(0,1-(1-((E26-1)*MAX(0,(C236-O236)/E26-(L236-K236))+MAX(0,L236-((E26-1)*C236/E26+P236)-(L236-K236)))/L236))),"")</x:f>
        <x:v>0</x:v>
      </x:c>
      <x:c r="T236" s="12" t="n">
        <x:f>IF(W236="估算",IF(OR(P236=0,K236=0,$J$7=0),0,IF(P236&lt;=(1-$J$7)*K236,$J$7*P236*K236/(1-$J$7)-$J$7^2*P236^2/(2*(1-$J$7)^2),$J$7*P236*K236+$J$7^2*K236^2/2)/L236),"")</x:f>
        <x:v>3.430148397253725e-8</x:v>
      </x:c>
      <x:c r="U236" s="12" t="n">
        <x:f>IF(A236,60000/C236,"")</x:f>
        <x:v>3000</x:v>
      </x:c>
      <x:c r="V236" s="12" t="n">
        <x:f>IF(W236="估算",U236*E26*T236*M26*N26,"")</x:f>
        <x:v>0.006277171566974317</x:v>
      </x:c>
      <x:c r="W236" s="12" t="str">
        <x:f>IF(NOT(A236),"输入无效",IF(K236&gt;=L236,"KV 超载",IF(O236&gt;C236+1e-9,"TPOT 不自洽",IF(OR(C236&gt;L236,P236&gt;L236-K236),"需时序仿真","估算"))))</x:f>
        <x:v>估算</x:v>
      </x:c>
      <x:c r="X236" s="12" t="n">
        <x:f>IF(W236="估算",U236*M236,"")</x:f>
        <x:v>0.19534779733333332</x:v>
      </x:c>
    </x:row>
    <x:row r="237" ht="25" customHeight="1">
      <x:c r="A237" s="2" t="b">
        <x:f>AND(AND(ISNUMBER($B$5),$B$5&gt;0),AND(ISNUMBER($F$5),$F$5&gt;0),AND(ISNUMBER($J$5),$J$5&gt;0),AND(ISNUMBER($B$9),$B$9&gt;0),AND(ISNUMBER(I26),I26&gt;0),AND(ISNUMBER(J26),J26&gt;0),AND(ISNUMBER(K26),K26&gt;0),AND(ISNUMBER(L26),L26&gt;0),AND(ISNUMBER(D87),D87&gt;0),AND(ISNUMBER(E87),E87&gt;0),MOD($B$5,1)=0,MOD($F$5,1)=0,MOD($J$5,1)=0,MOD($B$9,1)=0,MOD(K26,1)=0,ISNUMBER(C87),C87&gt;=2,MOD(C87,1)=0,OR($N$9=32,$N$9=64,$N$9=128),ISNUMBER($B$11),$B$11&gt;=0,MOD($B$11,1)=0,ISNUMBER($J$7),$J$7&gt;=0,$J$7&lt;1,AND(ISNUMBER(M26),M26&gt;=0,M26&lt;=1),AND(ISNUMBER(N26),N26&gt;=0,N26&lt;=1))</x:f>
        <x:v>1</x:v>
      </x:c>
      <x:c r="B237" s="12" t="n">
        <x:f>IF(A237,D87*1000,"")</x:f>
        <x:v>60000</x:v>
      </x:c>
      <x:c r="C237" s="12" t="n">
        <x:f>IF(A237,E87*L26,"")</x:f>
        <x:v>30</x:v>
      </x:c>
      <x:c r="D237" s="12" t="n">
        <x:f>IF(A237,M387,"")</x:f>
        <x:v>8.73272705078125</x:v>
      </x:c>
      <x:c r="E237" s="12" t="n">
        <x:f>IF(A237,B26/C26,"")</x:f>
        <x:v>32</x:v>
      </x:c>
      <x:c r="F237" s="12" t="n">
        <x:f>IF(A237,B26/D26,"")</x:f>
        <x:v>256</x:v>
      </x:c>
      <x:c r="G237" s="12" t="n">
        <x:f>IF(A237,$F$5*E237*$B$5*60000/B237,"")</x:f>
        <x:v>512</x:v>
      </x:c>
      <x:c r="H237" s="12" t="n">
        <x:f>IF(A237,G237/($J$5*F237),"")</x:f>
        <x:v>2</x:v>
      </x:c>
      <x:c r="I237" s="12" t="n">
        <x:f>IF(A237,$B$5*D237/C26/$B$9,"")</x:f>
        <x:v>17.4654541015625</x:v>
      </x:c>
      <x:c r="J237" s="12" t="n">
        <x:f>IF(A237,I237*$F$5/$J$5,"")</x:f>
        <x:v>17.4654541015625</x:v>
      </x:c>
      <x:c r="K237" s="12" t="n">
        <x:f>IF(A237,MAX(I237,J237)*2^30/(J26*1e6),"")</x:f>
        <x:v>3.906955946666667</x:v>
      </x:c>
      <x:c r="L237" s="12" t="n">
        <x:f>IF(A237,B237/$B$9,"")</x:f>
        <x:v>60000</x:v>
      </x:c>
      <x:c r="M237" s="54" t="n">
        <x:f>IF(A237,K237/L237,"")</x:f>
        <x:v>0.00006511593244444444</x:v>
      </x:c>
      <x:c r="N237" s="12" t="n">
        <x:f>IF(A237,(E26*ROUNDUP(K26/D26,0)*G26*(B26-1)/B26*(ROUNDUP((ROUNDUP(F26*2/32,0)*32+32)/480,0)*512+F26*2+32)+E26*ROUNDUP(H26/B26,0)*(B26-1)*32)/1e9,"")</x:f>
        <x:v>1.38825264</x:v>
      </x:c>
      <x:c r="O237" s="12" t="n">
        <x:f>IF(A237,N237*1000/I26,"")</x:f>
        <x:v>0.2892193</x:v>
      </x:c>
      <x:c r="P237" s="12" t="n">
        <x:f>IF(A237,O237/E26,"")</x:f>
        <x:v>0.0047413</x:v>
      </x:c>
      <x:c r="Q237" s="12" t="n">
        <x:f>IF(A237,N237*1000/C237,"")</x:f>
        <x:v>46.275088</x:v>
      </x:c>
      <x:c r="R237" s="12" t="n">
        <x:f>IF(W237="估算",IF(OR(K237=0,O237=0),0,1-((E26-1)*MAX(0,(C237-O237)/E26-(K237))+MAX(0,L237-((E26-1)*C237/E26+P237)-(K237)))/L237),"")</x:f>
        <x:v>0.0005569982327996437</x:v>
      </x:c>
      <x:c r="S237" s="12" t="n">
        <x:f>IF(W237="估算",IF(O237=0,0,MAX(0,1-(1-((E26-1)*MAX(0,(C237-O237)/E26-(L237-K237))+MAX(0,L237-((E26-1)*C237/E26+P237)-(L237-K237)))/L237))),"")</x:f>
        <x:v>0</x:v>
      </x:c>
      <x:c r="T237" s="12" t="n">
        <x:f>IF(W237="估算",IF(OR(P237=0,K237=0,$J$7=0),0,IF(P237&lt;=(1-$J$7)*K237,$J$7*P237*K237/(1-$J$7)-$J$7^2*P237^2/(2*(1-$J$7)^2),$J$7*P237*K237+$J$7^2*K237^2/2)/L237),"")</x:f>
        <x:v>3.430148397253725e-8</x:v>
      </x:c>
      <x:c r="U237" s="12" t="n">
        <x:f>IF(A237,60000/C237,"")</x:f>
        <x:v>2000</x:v>
      </x:c>
      <x:c r="V237" s="12" t="n">
        <x:f>IF(W237="估算",U237*E26*T237*M26*N26,"")</x:f>
        <x:v>0.004184781044649545</x:v>
      </x:c>
      <x:c r="W237" s="12" t="str">
        <x:f>IF(NOT(A237),"输入无效",IF(K237&gt;=L237,"KV 超载",IF(O237&gt;C237+1e-9,"TPOT 不自洽",IF(OR(C237&gt;L237,P237&gt;L237-K237),"需时序仿真","估算"))))</x:f>
        <x:v>估算</x:v>
      </x:c>
      <x:c r="X237" s="12" t="n">
        <x:f>IF(W237="估算",U237*M237,"")</x:f>
        <x:v>0.13023186488888888</x:v>
      </x:c>
    </x:row>
    <x:row r="238" ht="25" customHeight="1">
      <x:c r="A238" s="2" t="b">
        <x:f>AND(AND(ISNUMBER($B$5),$B$5&gt;0),AND(ISNUMBER($F$5),$F$5&gt;0),AND(ISNUMBER($J$5),$J$5&gt;0),AND(ISNUMBER($B$9),$B$9&gt;0),AND(ISNUMBER(I27),I27&gt;0),AND(ISNUMBER(J27),J27&gt;0),AND(ISNUMBER(K27),K27&gt;0),AND(ISNUMBER(L27),L27&gt;0),AND(ISNUMBER(D88),D88&gt;0),AND(ISNUMBER(E88),E88&gt;0),MOD($B$5,1)=0,MOD($F$5,1)=0,MOD($J$5,1)=0,MOD($B$9,1)=0,MOD(K27,1)=0,ISNUMBER(C88),C88&gt;=2,MOD(C88,1)=0,OR($N$9=32,$N$9=64,$N$9=128),ISNUMBER($B$11),$B$11&gt;=0,MOD($B$11,1)=0,ISNUMBER($J$7),$J$7&gt;=0,$J$7&lt;1,AND(ISNUMBER(M27),M27&gt;=0,M27&lt;=1),AND(ISNUMBER(N27),N27&gt;=0,N27&lt;=1))</x:f>
        <x:v>1</x:v>
      </x:c>
      <x:c r="B238" s="12" t="n">
        <x:f>IF(A238,D88*1000,"")</x:f>
        <x:v>4000</x:v>
      </x:c>
      <x:c r="C238" s="12" t="n">
        <x:f>IF(A238,E88*L27,"")</x:f>
        <x:v>5</x:v>
      </x:c>
      <x:c r="D238" s="12" t="n">
        <x:f>IF(A238,M390,"")</x:f>
        <x:v>1.453125</x:v>
      </x:c>
      <x:c r="E238" s="12" t="n">
        <x:f>IF(A238,B27/C27,"")</x:f>
        <x:v>4</x:v>
      </x:c>
      <x:c r="F238" s="12" t="n">
        <x:f>IF(A238,B27/D27,"")</x:f>
        <x:v>32</x:v>
      </x:c>
      <x:c r="G238" s="12" t="n">
        <x:f>IF(A238,$F$5*E238*$B$5*60000/B238,"")</x:f>
        <x:v>960</x:v>
      </x:c>
      <x:c r="H238" s="12" t="n">
        <x:f>IF(A238,G238/($J$5*F238),"")</x:f>
        <x:v>30</x:v>
      </x:c>
      <x:c r="I238" s="12" t="n">
        <x:f>IF(A238,$B$5*D238/C27/$B$9,"")</x:f>
        <x:v>2.90625</x:v>
      </x:c>
      <x:c r="J238" s="12" t="n">
        <x:f>IF(A238,I238*$F$5/$J$5,"")</x:f>
        <x:v>2.90625</x:v>
      </x:c>
      <x:c r="K238" s="12" t="n">
        <x:f>IF(A238,MAX(I238,J238)*2^30/(J27*1e6),"")</x:f>
        <x:v>0.65011712</x:v>
      </x:c>
      <x:c r="L238" s="12" t="n">
        <x:f>IF(A238,B238/$B$9,"")</x:f>
        <x:v>4000</x:v>
      </x:c>
      <x:c r="M238" s="54" t="n">
        <x:f>IF(A238,K238/L238,"")</x:f>
        <x:v>0.00016252928</x:v>
      </x:c>
      <x:c r="N238" s="12" t="n">
        <x:f>IF(A238,(E27*ROUNDUP(K27/D27,0)*G27*(B27-1)/B27*(ROUNDUP((ROUNDUP(F27*2/32,0)*32+32)/480,0)*512+F27*2+32)+E27*ROUNDUP(H27/B27,0)*(B27-1)*32)/1e9,"")</x:f>
        <x:v>1.907616</x:v>
      </x:c>
      <x:c r="O238" s="12" t="n">
        <x:f>IF(A238,N238*1000/I27,"")</x:f>
        <x:v>0.39742</x:v>
      </x:c>
      <x:c r="P238" s="12" t="n">
        <x:f>IF(A238,O238/E27,"")</x:f>
        <x:v>0.005298933333333334</x:v>
      </x:c>
      <x:c r="Q238" s="12" t="n">
        <x:f>IF(A238,N238*1000/C238,"")</x:f>
        <x:v>381.5232</x:v>
      </x:c>
      <x:c r="R238" s="12" t="n">
        <x:f>IF(W238="估算",IF(OR(K238=0,O238=0),0,1-((E27-1)*MAX(0,(C238-O238)/E27-(K238))+MAX(0,L238-((E27-1)*C238/E27+P238)-(K238)))/L238),"")</x:f>
        <x:v>0.0013971873466666063</x:v>
      </x:c>
      <x:c r="S238" s="12" t="n">
        <x:f>IF(W238="估算",IF(O238=0,0,MAX(0,1-(1-((E27-1)*MAX(0,(C238-O238)/E27-(L238-K238))+MAX(0,L238-((E27-1)*C238/E27+P238)-(L238-K238)))/L238))),"")</x:f>
        <x:v>0</x:v>
      </x:c>
      <x:c r="T238" s="12" t="n">
        <x:f>IF(W238="估算",IF(OR(P238=0,K238=0,$J$7=0),0,IF(P238&lt;=(1-$J$7)*K238,$J$7*P238*K238/(1-$J$7)-$J$7^2*P238^2/(2*(1-$J$7)^2),$J$7*P238*K238+$J$7^2*K238^2/2)/L238),"")</x:f>
        <x:v>9.564909306300139e-8</x:v>
      </x:c>
      <x:c r="U238" s="12" t="n">
        <x:f>IF(A238,60000/C238,"")</x:f>
        <x:v>12000</x:v>
      </x:c>
      <x:c r="V238" s="12" t="n">
        <x:f>IF(W238="估算",U238*E27*T238*M27*N27,"")</x:f>
        <x:v>0.08608418375670125</x:v>
      </x:c>
      <x:c r="W238" s="12" t="str">
        <x:f>IF(NOT(A238),"输入无效",IF(K238&gt;=L238,"KV 超载",IF(O238&gt;C238+1e-9,"TPOT 不自洽",IF(OR(C238&gt;L238,P238&gt;L238-K238),"需时序仿真","估算"))))</x:f>
        <x:v>估算</x:v>
      </x:c>
      <x:c r="X238" s="12" t="n">
        <x:f>IF(W238="估算",U238*M238,"")</x:f>
        <x:v>1.9503513600000002</x:v>
      </x:c>
    </x:row>
    <x:row r="239" ht="25" customHeight="1">
      <x:c r="A239" s="2" t="b">
        <x:f>AND(AND(ISNUMBER($B$5),$B$5&gt;0),AND(ISNUMBER($F$5),$F$5&gt;0),AND(ISNUMBER($J$5),$J$5&gt;0),AND(ISNUMBER($B$9),$B$9&gt;0),AND(ISNUMBER(I27),I27&gt;0),AND(ISNUMBER(J27),J27&gt;0),AND(ISNUMBER(K27),K27&gt;0),AND(ISNUMBER(L27),L27&gt;0),AND(ISNUMBER(D89),D89&gt;0),AND(ISNUMBER(E89),E89&gt;0),MOD($B$5,1)=0,MOD($F$5,1)=0,MOD($J$5,1)=0,MOD($B$9,1)=0,MOD(K27,1)=0,ISNUMBER(C89),C89&gt;=2,MOD(C89,1)=0,OR($N$9=32,$N$9=64,$N$9=128),ISNUMBER($B$11),$B$11&gt;=0,MOD($B$11,1)=0,ISNUMBER($J$7),$J$7&gt;=0,$J$7&lt;1,AND(ISNUMBER(M27),M27&gt;=0,M27&lt;=1),AND(ISNUMBER(N27),N27&gt;=0,N27&lt;=1))</x:f>
        <x:v>1</x:v>
      </x:c>
      <x:c r="B239" s="12" t="n">
        <x:f>IF(A239,D89*1000,"")</x:f>
        <x:v>4000</x:v>
      </x:c>
      <x:c r="C239" s="12" t="n">
        <x:f>IF(A239,E89*L27,"")</x:f>
        <x:v>10</x:v>
      </x:c>
      <x:c r="D239" s="12" t="n">
        <x:f>IF(A239,M390,"")</x:f>
        <x:v>1.453125</x:v>
      </x:c>
      <x:c r="E239" s="12" t="n">
        <x:f>IF(A239,B27/C27,"")</x:f>
        <x:v>4</x:v>
      </x:c>
      <x:c r="F239" s="12" t="n">
        <x:f>IF(A239,B27/D27,"")</x:f>
        <x:v>32</x:v>
      </x:c>
      <x:c r="G239" s="12" t="n">
        <x:f>IF(A239,$F$5*E239*$B$5*60000/B239,"")</x:f>
        <x:v>960</x:v>
      </x:c>
      <x:c r="H239" s="12" t="n">
        <x:f>IF(A239,G239/($J$5*F239),"")</x:f>
        <x:v>30</x:v>
      </x:c>
      <x:c r="I239" s="12" t="n">
        <x:f>IF(A239,$B$5*D239/C27/$B$9,"")</x:f>
        <x:v>2.90625</x:v>
      </x:c>
      <x:c r="J239" s="12" t="n">
        <x:f>IF(A239,I239*$F$5/$J$5,"")</x:f>
        <x:v>2.90625</x:v>
      </x:c>
      <x:c r="K239" s="12" t="n">
        <x:f>IF(A239,MAX(I239,J239)*2^30/(J27*1e6),"")</x:f>
        <x:v>0.65011712</x:v>
      </x:c>
      <x:c r="L239" s="12" t="n">
        <x:f>IF(A239,B239/$B$9,"")</x:f>
        <x:v>4000</x:v>
      </x:c>
      <x:c r="M239" s="54" t="n">
        <x:f>IF(A239,K239/L239,"")</x:f>
        <x:v>0.00016252928</x:v>
      </x:c>
      <x:c r="N239" s="12" t="n">
        <x:f>IF(A239,(E27*ROUNDUP(K27/D27,0)*G27*(B27-1)/B27*(ROUNDUP((ROUNDUP(F27*2/32,0)*32+32)/480,0)*512+F27*2+32)+E27*ROUNDUP(H27/B27,0)*(B27-1)*32)/1e9,"")</x:f>
        <x:v>1.907616</x:v>
      </x:c>
      <x:c r="O239" s="12" t="n">
        <x:f>IF(A239,N239*1000/I27,"")</x:f>
        <x:v>0.39742</x:v>
      </x:c>
      <x:c r="P239" s="12" t="n">
        <x:f>IF(A239,O239/E27,"")</x:f>
        <x:v>0.005298933333333334</x:v>
      </x:c>
      <x:c r="Q239" s="12" t="n">
        <x:f>IF(A239,N239*1000/C239,"")</x:f>
        <x:v>190.7616</x:v>
      </x:c>
      <x:c r="R239" s="12" t="n">
        <x:f>IF(W239="估算",IF(OR(K239=0,O239=0),0,1-((E27-1)*MAX(0,(C239-O239)/E27-(K239))+MAX(0,L239-((E27-1)*C239/E27+P239)-(K239)))/L239),"")</x:f>
        <x:v>0.002630520679999915</x:v>
      </x:c>
      <x:c r="S239" s="12" t="n">
        <x:f>IF(W239="估算",IF(O239=0,0,MAX(0,1-(1-((E27-1)*MAX(0,(C239-O239)/E27-(L239-K239))+MAX(0,L239-((E27-1)*C239/E27+P239)-(L239-K239)))/L239))),"")</x:f>
        <x:v>0</x:v>
      </x:c>
      <x:c r="T239" s="12" t="n">
        <x:f>IF(W239="估算",IF(OR(P239=0,K239=0,$J$7=0),0,IF(P239&lt;=(1-$J$7)*K239,$J$7*P239*K239/(1-$J$7)-$J$7^2*P239^2/(2*(1-$J$7)^2),$J$7*P239*K239+$J$7^2*K239^2/2)/L239),"")</x:f>
        <x:v>9.564909306300139e-8</x:v>
      </x:c>
      <x:c r="U239" s="12" t="n">
        <x:f>IF(A239,60000/C239,"")</x:f>
        <x:v>6000</x:v>
      </x:c>
      <x:c r="V239" s="12" t="n">
        <x:f>IF(W239="估算",U239*E27*T239*M27*N27,"")</x:f>
        <x:v>0.043042091878350626</x:v>
      </x:c>
      <x:c r="W239" s="12" t="str">
        <x:f>IF(NOT(A239),"输入无效",IF(K239&gt;=L239,"KV 超载",IF(O239&gt;C239+1e-9,"TPOT 不自洽",IF(OR(C239&gt;L239,P239&gt;L239-K239),"需时序仿真","估算"))))</x:f>
        <x:v>估算</x:v>
      </x:c>
      <x:c r="X239" s="12" t="n">
        <x:f>IF(W239="估算",U239*M239,"")</x:f>
        <x:v>0.9751756800000001</x:v>
      </x:c>
    </x:row>
    <x:row r="240" ht="25" customHeight="1">
      <x:c r="A240" s="2" t="b">
        <x:f>AND(AND(ISNUMBER($B$5),$B$5&gt;0),AND(ISNUMBER($F$5),$F$5&gt;0),AND(ISNUMBER($J$5),$J$5&gt;0),AND(ISNUMBER($B$9),$B$9&gt;0),AND(ISNUMBER(I27),I27&gt;0),AND(ISNUMBER(J27),J27&gt;0),AND(ISNUMBER(K27),K27&gt;0),AND(ISNUMBER(L27),L27&gt;0),AND(ISNUMBER(D90),D90&gt;0),AND(ISNUMBER(E90),E90&gt;0),MOD($B$5,1)=0,MOD($F$5,1)=0,MOD($J$5,1)=0,MOD($B$9,1)=0,MOD(K27,1)=0,ISNUMBER(C90),C90&gt;=2,MOD(C90,1)=0,OR($N$9=32,$N$9=64,$N$9=128),ISNUMBER($B$11),$B$11&gt;=0,MOD($B$11,1)=0,ISNUMBER($J$7),$J$7&gt;=0,$J$7&lt;1,AND(ISNUMBER(M27),M27&gt;=0,M27&lt;=1),AND(ISNUMBER(N27),N27&gt;=0,N27&lt;=1))</x:f>
        <x:v>1</x:v>
      </x:c>
      <x:c r="B240" s="12" t="n">
        <x:f>IF(A240,D90*1000,"")</x:f>
        <x:v>4000</x:v>
      </x:c>
      <x:c r="C240" s="12" t="n">
        <x:f>IF(A240,E90*L27,"")</x:f>
        <x:v>20</x:v>
      </x:c>
      <x:c r="D240" s="12" t="n">
        <x:f>IF(A240,M390,"")</x:f>
        <x:v>1.453125</x:v>
      </x:c>
      <x:c r="E240" s="12" t="n">
        <x:f>IF(A240,B27/C27,"")</x:f>
        <x:v>4</x:v>
      </x:c>
      <x:c r="F240" s="12" t="n">
        <x:f>IF(A240,B27/D27,"")</x:f>
        <x:v>32</x:v>
      </x:c>
      <x:c r="G240" s="12" t="n">
        <x:f>IF(A240,$F$5*E240*$B$5*60000/B240,"")</x:f>
        <x:v>960</x:v>
      </x:c>
      <x:c r="H240" s="12" t="n">
        <x:f>IF(A240,G240/($J$5*F240),"")</x:f>
        <x:v>30</x:v>
      </x:c>
      <x:c r="I240" s="12" t="n">
        <x:f>IF(A240,$B$5*D240/C27/$B$9,"")</x:f>
        <x:v>2.90625</x:v>
      </x:c>
      <x:c r="J240" s="12" t="n">
        <x:f>IF(A240,I240*$F$5/$J$5,"")</x:f>
        <x:v>2.90625</x:v>
      </x:c>
      <x:c r="K240" s="12" t="n">
        <x:f>IF(A240,MAX(I240,J240)*2^30/(J27*1e6),"")</x:f>
        <x:v>0.65011712</x:v>
      </x:c>
      <x:c r="L240" s="12" t="n">
        <x:f>IF(A240,B240/$B$9,"")</x:f>
        <x:v>4000</x:v>
      </x:c>
      <x:c r="M240" s="54" t="n">
        <x:f>IF(A240,K240/L240,"")</x:f>
        <x:v>0.00016252928</x:v>
      </x:c>
      <x:c r="N240" s="12" t="n">
        <x:f>IF(A240,(E27*ROUNDUP(K27/D27,0)*G27*(B27-1)/B27*(ROUNDUP((ROUNDUP(F27*2/32,0)*32+32)/480,0)*512+F27*2+32)+E27*ROUNDUP(H27/B27,0)*(B27-1)*32)/1e9,"")</x:f>
        <x:v>1.907616</x:v>
      </x:c>
      <x:c r="O240" s="12" t="n">
        <x:f>IF(A240,N240*1000/I27,"")</x:f>
        <x:v>0.39742</x:v>
      </x:c>
      <x:c r="P240" s="12" t="n">
        <x:f>IF(A240,O240/E27,"")</x:f>
        <x:v>0.005298933333333334</x:v>
      </x:c>
      <x:c r="Q240" s="12" t="n">
        <x:f>IF(A240,N240*1000/C240,"")</x:f>
        <x:v>95.3808</x:v>
      </x:c>
      <x:c r="R240" s="12" t="n">
        <x:f>IF(W240="估算",IF(OR(K240=0,O240=0),0,1-((E27-1)*MAX(0,(C240-O240)/E27-(K240))+MAX(0,L240-((E27-1)*C240/E27+P240)-(K240)))/L240),"")</x:f>
        <x:v>0.005097187346666643</x:v>
      </x:c>
      <x:c r="S240" s="12" t="n">
        <x:f>IF(W240="估算",IF(O240=0,0,MAX(0,1-(1-((E27-1)*MAX(0,(C240-O240)/E27-(L240-K240))+MAX(0,L240-((E27-1)*C240/E27+P240)-(L240-K240)))/L240))),"")</x:f>
        <x:v>0</x:v>
      </x:c>
      <x:c r="T240" s="12" t="n">
        <x:f>IF(W240="估算",IF(OR(P240=0,K240=0,$J$7=0),0,IF(P240&lt;=(1-$J$7)*K240,$J$7*P240*K240/(1-$J$7)-$J$7^2*P240^2/(2*(1-$J$7)^2),$J$7*P240*K240+$J$7^2*K240^2/2)/L240),"")</x:f>
        <x:v>9.564909306300139e-8</x:v>
      </x:c>
      <x:c r="U240" s="12" t="n">
        <x:f>IF(A240,60000/C240,"")</x:f>
        <x:v>3000</x:v>
      </x:c>
      <x:c r="V240" s="12" t="n">
        <x:f>IF(W240="估算",U240*E27*T240*M27*N27,"")</x:f>
        <x:v>0.021521045939175313</x:v>
      </x:c>
      <x:c r="W240" s="12" t="str">
        <x:f>IF(NOT(A240),"输入无效",IF(K240&gt;=L240,"KV 超载",IF(O240&gt;C240+1e-9,"TPOT 不自洽",IF(OR(C240&gt;L240,P240&gt;L240-K240),"需时序仿真","估算"))))</x:f>
        <x:v>估算</x:v>
      </x:c>
      <x:c r="X240" s="12" t="n">
        <x:f>IF(W240="估算",U240*M240,"")</x:f>
        <x:v>0.48758784000000005</x:v>
      </x:c>
    </x:row>
    <x:row r="241" ht="25" customHeight="1">
      <x:c r="A241" s="2" t="b">
        <x:f>AND(AND(ISNUMBER($B$5),$B$5&gt;0),AND(ISNUMBER($F$5),$F$5&gt;0),AND(ISNUMBER($J$5),$J$5&gt;0),AND(ISNUMBER($B$9),$B$9&gt;0),AND(ISNUMBER(I27),I27&gt;0),AND(ISNUMBER(J27),J27&gt;0),AND(ISNUMBER(K27),K27&gt;0),AND(ISNUMBER(L27),L27&gt;0),AND(ISNUMBER(D91),D91&gt;0),AND(ISNUMBER(E91),E91&gt;0),MOD($B$5,1)=0,MOD($F$5,1)=0,MOD($J$5,1)=0,MOD($B$9,1)=0,MOD(K27,1)=0,ISNUMBER(C91),C91&gt;=2,MOD(C91,1)=0,OR($N$9=32,$N$9=64,$N$9=128),ISNUMBER($B$11),$B$11&gt;=0,MOD($B$11,1)=0,ISNUMBER($J$7),$J$7&gt;=0,$J$7&lt;1,AND(ISNUMBER(M27),M27&gt;=0,M27&lt;=1),AND(ISNUMBER(N27),N27&gt;=0,N27&lt;=1))</x:f>
        <x:v>1</x:v>
      </x:c>
      <x:c r="B241" s="12" t="n">
        <x:f>IF(A241,D91*1000,"")</x:f>
        <x:v>4000</x:v>
      </x:c>
      <x:c r="C241" s="12" t="n">
        <x:f>IF(A241,E91*L27,"")</x:f>
        <x:v>30</x:v>
      </x:c>
      <x:c r="D241" s="12" t="n">
        <x:f>IF(A241,M390,"")</x:f>
        <x:v>1.453125</x:v>
      </x:c>
      <x:c r="E241" s="12" t="n">
        <x:f>IF(A241,B27/C27,"")</x:f>
        <x:v>4</x:v>
      </x:c>
      <x:c r="F241" s="12" t="n">
        <x:f>IF(A241,B27/D27,"")</x:f>
        <x:v>32</x:v>
      </x:c>
      <x:c r="G241" s="12" t="n">
        <x:f>IF(A241,$F$5*E241*$B$5*60000/B241,"")</x:f>
        <x:v>960</x:v>
      </x:c>
      <x:c r="H241" s="12" t="n">
        <x:f>IF(A241,G241/($J$5*F241),"")</x:f>
        <x:v>30</x:v>
      </x:c>
      <x:c r="I241" s="12" t="n">
        <x:f>IF(A241,$B$5*D241/C27/$B$9,"")</x:f>
        <x:v>2.90625</x:v>
      </x:c>
      <x:c r="J241" s="12" t="n">
        <x:f>IF(A241,I241*$F$5/$J$5,"")</x:f>
        <x:v>2.90625</x:v>
      </x:c>
      <x:c r="K241" s="12" t="n">
        <x:f>IF(A241,MAX(I241,J241)*2^30/(J27*1e6),"")</x:f>
        <x:v>0.65011712</x:v>
      </x:c>
      <x:c r="L241" s="12" t="n">
        <x:f>IF(A241,B241/$B$9,"")</x:f>
        <x:v>4000</x:v>
      </x:c>
      <x:c r="M241" s="54" t="n">
        <x:f>IF(A241,K241/L241,"")</x:f>
        <x:v>0.00016252928</x:v>
      </x:c>
      <x:c r="N241" s="12" t="n">
        <x:f>IF(A241,(E27*ROUNDUP(K27/D27,0)*G27*(B27-1)/B27*(ROUNDUP((ROUNDUP(F27*2/32,0)*32+32)/480,0)*512+F27*2+32)+E27*ROUNDUP(H27/B27,0)*(B27-1)*32)/1e9,"")</x:f>
        <x:v>1.907616</x:v>
      </x:c>
      <x:c r="O241" s="12" t="n">
        <x:f>IF(A241,N241*1000/I27,"")</x:f>
        <x:v>0.39742</x:v>
      </x:c>
      <x:c r="P241" s="12" t="n">
        <x:f>IF(A241,O241/E27,"")</x:f>
        <x:v>0.005298933333333334</x:v>
      </x:c>
      <x:c r="Q241" s="12" t="n">
        <x:f>IF(A241,N241*1000/C241,"")</x:f>
        <x:v>63.5872</x:v>
      </x:c>
      <x:c r="R241" s="12" t="n">
        <x:f>IF(W241="估算",IF(OR(K241=0,O241=0),0,1-((E27-1)*MAX(0,(C241-O241)/E27-(K241))+MAX(0,L241-((E27-1)*C241/E27+P241)-(K241)))/L241),"")</x:f>
        <x:v>0.00756385401333326</x:v>
      </x:c>
      <x:c r="S241" s="12" t="n">
        <x:f>IF(W241="估算",IF(O241=0,0,MAX(0,1-(1-((E27-1)*MAX(0,(C241-O241)/E27-(L241-K241))+MAX(0,L241-((E27-1)*C241/E27+P241)-(L241-K241)))/L241))),"")</x:f>
        <x:v>0</x:v>
      </x:c>
      <x:c r="T241" s="12" t="n">
        <x:f>IF(W241="估算",IF(OR(P241=0,K241=0,$J$7=0),0,IF(P241&lt;=(1-$J$7)*K241,$J$7*P241*K241/(1-$J$7)-$J$7^2*P241^2/(2*(1-$J$7)^2),$J$7*P241*K241+$J$7^2*K241^2/2)/L241),"")</x:f>
        <x:v>9.564909306300139e-8</x:v>
      </x:c>
      <x:c r="U241" s="12" t="n">
        <x:f>IF(A241,60000/C241,"")</x:f>
        <x:v>2000</x:v>
      </x:c>
      <x:c r="V241" s="12" t="n">
        <x:f>IF(W241="估算",U241*E27*T241*M27*N27,"")</x:f>
        <x:v>0.014347363959450209</x:v>
      </x:c>
      <x:c r="W241" s="12" t="str">
        <x:f>IF(NOT(A241),"输入无效",IF(K241&gt;=L241,"KV 超载",IF(O241&gt;C241+1e-9,"TPOT 不自洽",IF(OR(C241&gt;L241,P241&gt;L241-K241),"需时序仿真","估算"))))</x:f>
        <x:v>估算</x:v>
      </x:c>
      <x:c r="X241" s="12" t="n">
        <x:f>IF(W241="估算",U241*M241,"")</x:f>
        <x:v>0.32505856</x:v>
      </x:c>
    </x:row>
    <x:row r="242" ht="25" customHeight="1">
      <x:c r="A242" s="2" t="b">
        <x:f>AND(AND(ISNUMBER($B$5),$B$5&gt;0),AND(ISNUMBER($F$5),$F$5&gt;0),AND(ISNUMBER($J$5),$J$5&gt;0),AND(ISNUMBER($B$9),$B$9&gt;0),AND(ISNUMBER(I27),I27&gt;0),AND(ISNUMBER(J27),J27&gt;0),AND(ISNUMBER(K27),K27&gt;0),AND(ISNUMBER(L27),L27&gt;0),AND(ISNUMBER(D92),D92&gt;0),AND(ISNUMBER(E92),E92&gt;0),MOD($B$5,1)=0,MOD($F$5,1)=0,MOD($J$5,1)=0,MOD($B$9,1)=0,MOD(K27,1)=0,ISNUMBER(C92),C92&gt;=2,MOD(C92,1)=0,OR($N$9=32,$N$9=64,$N$9=128),ISNUMBER($B$11),$B$11&gt;=0,MOD($B$11,1)=0,ISNUMBER($J$7),$J$7&gt;=0,$J$7&lt;1,AND(ISNUMBER(M27),M27&gt;=0,M27&lt;=1),AND(ISNUMBER(N27),N27&gt;=0,N27&lt;=1))</x:f>
        <x:v>1</x:v>
      </x:c>
      <x:c r="B242" s="12" t="n">
        <x:f>IF(A242,D92*1000,"")</x:f>
        <x:v>20000</x:v>
      </x:c>
      <x:c r="C242" s="12" t="n">
        <x:f>IF(A242,E92*L27,"")</x:f>
        <x:v>5</x:v>
      </x:c>
      <x:c r="D242" s="12" t="n">
        <x:f>IF(A242,M393,"")</x:f>
        <x:v>23.25</x:v>
      </x:c>
      <x:c r="E242" s="12" t="n">
        <x:f>IF(A242,B27/C27,"")</x:f>
        <x:v>4</x:v>
      </x:c>
      <x:c r="F242" s="12" t="n">
        <x:f>IF(A242,B27/D27,"")</x:f>
        <x:v>32</x:v>
      </x:c>
      <x:c r="G242" s="12" t="n">
        <x:f>IF(A242,$F$5*E242*$B$5*60000/B242,"")</x:f>
        <x:v>192</x:v>
      </x:c>
      <x:c r="H242" s="12" t="n">
        <x:f>IF(A242,G242/($J$5*F242),"")</x:f>
        <x:v>6</x:v>
      </x:c>
      <x:c r="I242" s="12" t="n">
        <x:f>IF(A242,$B$5*D242/C27/$B$9,"")</x:f>
        <x:v>46.5</x:v>
      </x:c>
      <x:c r="J242" s="12" t="n">
        <x:f>IF(A242,I242*$F$5/$J$5,"")</x:f>
        <x:v>46.5</x:v>
      </x:c>
      <x:c r="K242" s="12" t="n">
        <x:f>IF(A242,MAX(I242,J242)*2^30/(J27*1e6),"")</x:f>
        <x:v>10.40187392</x:v>
      </x:c>
      <x:c r="L242" s="12" t="n">
        <x:f>IF(A242,B242/$B$9,"")</x:f>
        <x:v>20000</x:v>
      </x:c>
      <x:c r="M242" s="54" t="n">
        <x:f>IF(A242,K242/L242,"")</x:f>
        <x:v>0.000520093696</x:v>
      </x:c>
      <x:c r="N242" s="12" t="n">
        <x:f>IF(A242,(E27*ROUNDUP(K27/D27,0)*G27*(B27-1)/B27*(ROUNDUP((ROUNDUP(F27*2/32,0)*32+32)/480,0)*512+F27*2+32)+E27*ROUNDUP(H27/B27,0)*(B27-1)*32)/1e9,"")</x:f>
        <x:v>1.907616</x:v>
      </x:c>
      <x:c r="O242" s="12" t="n">
        <x:f>IF(A242,N242*1000/I27,"")</x:f>
        <x:v>0.39742</x:v>
      </x:c>
      <x:c r="P242" s="12" t="n">
        <x:f>IF(A242,O242/E27,"")</x:f>
        <x:v>0.005298933333333334</x:v>
      </x:c>
      <x:c r="Q242" s="12" t="n">
        <x:f>IF(A242,N242*1000/C242,"")</x:f>
        <x:v>381.5232</x:v>
      </x:c>
      <x:c r="R242" s="12" t="n">
        <x:f>IF(W242="估算",IF(OR(K242=0,O242=0),0,1-((E27-1)*MAX(0,(C242-O242)/E27-(K242))+MAX(0,L242-((E27-1)*C242/E27+P242)-(K242)))/L242),"")</x:f>
        <x:v>0.000767025309333258</x:v>
      </x:c>
      <x:c r="S242" s="12" t="n">
        <x:f>IF(W242="估算",IF(O242=0,0,MAX(0,1-(1-((E27-1)*MAX(0,(C242-O242)/E27-(L242-K242))+MAX(0,L242-((E27-1)*C242/E27+P242)-(L242-K242)))/L242))),"")</x:f>
        <x:v>0.0002731620826667003</x:v>
      </x:c>
      <x:c r="T242" s="12" t="n">
        <x:f>IF(W242="估算",IF(OR(P242=0,K242=0,$J$7=0),0,IF(P242&lt;=(1-$J$7)*K242,$J$7*P242*K242/(1-$J$7)-$J$7^2*P242^2/(2*(1-$J$7)^2),$J$7*P242*K242+$J$7^2*K242^2/2)/L242),"")</x:f>
        <x:v>3.062070917574892e-7</x:v>
      </x:c>
      <x:c r="U242" s="12" t="n">
        <x:f>IF(A242,60000/C242,"")</x:f>
        <x:v>12000</x:v>
      </x:c>
      <x:c r="V242" s="12" t="n">
        <x:f>IF(W242="估算",U242*E27*T242*M27*N27,"")</x:f>
        <x:v>0.2755863825817403</x:v>
      </x:c>
      <x:c r="W242" s="12" t="str">
        <x:f>IF(NOT(A242),"输入无效",IF(K242&gt;=L242,"KV 超载",IF(O242&gt;C242+1e-9,"TPOT 不自洽",IF(OR(C242&gt;L242,P242&gt;L242-K242),"需时序仿真","估算"))))</x:f>
        <x:v>估算</x:v>
      </x:c>
      <x:c r="X242" s="12" t="n">
        <x:f>IF(W242="估算",U242*M242,"")</x:f>
        <x:v>6.241124352000001</x:v>
      </x:c>
    </x:row>
    <x:row r="243" ht="25" customHeight="1">
      <x:c r="A243" s="2" t="b">
        <x:f>AND(AND(ISNUMBER($B$5),$B$5&gt;0),AND(ISNUMBER($F$5),$F$5&gt;0),AND(ISNUMBER($J$5),$J$5&gt;0),AND(ISNUMBER($B$9),$B$9&gt;0),AND(ISNUMBER(I27),I27&gt;0),AND(ISNUMBER(J27),J27&gt;0),AND(ISNUMBER(K27),K27&gt;0),AND(ISNUMBER(L27),L27&gt;0),AND(ISNUMBER(D93),D93&gt;0),AND(ISNUMBER(E93),E93&gt;0),MOD($B$5,1)=0,MOD($F$5,1)=0,MOD($J$5,1)=0,MOD($B$9,1)=0,MOD(K27,1)=0,ISNUMBER(C93),C93&gt;=2,MOD(C93,1)=0,OR($N$9=32,$N$9=64,$N$9=128),ISNUMBER($B$11),$B$11&gt;=0,MOD($B$11,1)=0,ISNUMBER($J$7),$J$7&gt;=0,$J$7&lt;1,AND(ISNUMBER(M27),M27&gt;=0,M27&lt;=1),AND(ISNUMBER(N27),N27&gt;=0,N27&lt;=1))</x:f>
        <x:v>1</x:v>
      </x:c>
      <x:c r="B243" s="12" t="n">
        <x:f>IF(A243,D93*1000,"")</x:f>
        <x:v>20000</x:v>
      </x:c>
      <x:c r="C243" s="12" t="n">
        <x:f>IF(A243,E93*L27,"")</x:f>
        <x:v>10</x:v>
      </x:c>
      <x:c r="D243" s="12" t="n">
        <x:f>IF(A243,M393,"")</x:f>
        <x:v>23.25</x:v>
      </x:c>
      <x:c r="E243" s="12" t="n">
        <x:f>IF(A243,B27/C27,"")</x:f>
        <x:v>4</x:v>
      </x:c>
      <x:c r="F243" s="12" t="n">
        <x:f>IF(A243,B27/D27,"")</x:f>
        <x:v>32</x:v>
      </x:c>
      <x:c r="G243" s="12" t="n">
        <x:f>IF(A243,$F$5*E243*$B$5*60000/B243,"")</x:f>
        <x:v>192</x:v>
      </x:c>
      <x:c r="H243" s="12" t="n">
        <x:f>IF(A243,G243/($J$5*F243),"")</x:f>
        <x:v>6</x:v>
      </x:c>
      <x:c r="I243" s="12" t="n">
        <x:f>IF(A243,$B$5*D243/C27/$B$9,"")</x:f>
        <x:v>46.5</x:v>
      </x:c>
      <x:c r="J243" s="12" t="n">
        <x:f>IF(A243,I243*$F$5/$J$5,"")</x:f>
        <x:v>46.5</x:v>
      </x:c>
      <x:c r="K243" s="12" t="n">
        <x:f>IF(A243,MAX(I243,J243)*2^30/(J27*1e6),"")</x:f>
        <x:v>10.40187392</x:v>
      </x:c>
      <x:c r="L243" s="12" t="n">
        <x:f>IF(A243,B243/$B$9,"")</x:f>
        <x:v>20000</x:v>
      </x:c>
      <x:c r="M243" s="54" t="n">
        <x:f>IF(A243,K243/L243,"")</x:f>
        <x:v>0.000520093696</x:v>
      </x:c>
      <x:c r="N243" s="12" t="n">
        <x:f>IF(A243,(E27*ROUNDUP(K27/D27,0)*G27*(B27-1)/B27*(ROUNDUP((ROUNDUP(F27*2/32,0)*32+32)/480,0)*512+F27*2+32)+E27*ROUNDUP(H27/B27,0)*(B27-1)*32)/1e9,"")</x:f>
        <x:v>1.907616</x:v>
      </x:c>
      <x:c r="O243" s="12" t="n">
        <x:f>IF(A243,N243*1000/I27,"")</x:f>
        <x:v>0.39742</x:v>
      </x:c>
      <x:c r="P243" s="12" t="n">
        <x:f>IF(A243,O243/E27,"")</x:f>
        <x:v>0.005298933333333334</x:v>
      </x:c>
      <x:c r="Q243" s="12" t="n">
        <x:f>IF(A243,N243*1000/C243,"")</x:f>
        <x:v>190.7616</x:v>
      </x:c>
      <x:c r="R243" s="12" t="n">
        <x:f>IF(W243="估算",IF(OR(K243=0,O243=0),0,1-((E27-1)*MAX(0,(C243-O243)/E27-(K243))+MAX(0,L243-((E27-1)*C243/E27+P243)-(K243)))/L243),"")</x:f>
        <x:v>0.0010136919759999863</x:v>
      </x:c>
      <x:c r="S243" s="12" t="n">
        <x:f>IF(W243="估算",IF(O243=0,0,MAX(0,1-(1-((E27-1)*MAX(0,(C243-O243)/E27-(L243-K243))+MAX(0,L243-((E27-1)*C243/E27+P243)-(L243-K243)))/L243))),"")</x:f>
        <x:v>0.000026495416000082983</x:v>
      </x:c>
      <x:c r="T243" s="12" t="n">
        <x:f>IF(W243="估算",IF(OR(P243=0,K243=0,$J$7=0),0,IF(P243&lt;=(1-$J$7)*K243,$J$7*P243*K243/(1-$J$7)-$J$7^2*P243^2/(2*(1-$J$7)^2),$J$7*P243*K243+$J$7^2*K243^2/2)/L243),"")</x:f>
        <x:v>3.062070917574892e-7</x:v>
      </x:c>
      <x:c r="U243" s="12" t="n">
        <x:f>IF(A243,60000/C243,"")</x:f>
        <x:v>6000</x:v>
      </x:c>
      <x:c r="V243" s="12" t="n">
        <x:f>IF(W243="估算",U243*E27*T243*M27*N27,"")</x:f>
        <x:v>0.13779319129087014</x:v>
      </x:c>
      <x:c r="W243" s="12" t="str">
        <x:f>IF(NOT(A243),"输入无效",IF(K243&gt;=L243,"KV 超载",IF(O243&gt;C243+1e-9,"TPOT 不自洽",IF(OR(C243&gt;L243,P243&gt;L243-K243),"需时序仿真","估算"))))</x:f>
        <x:v>估算</x:v>
      </x:c>
      <x:c r="X243" s="12" t="n">
        <x:f>IF(W243="估算",U243*M243,"")</x:f>
        <x:v>3.1205621760000004</x:v>
      </x:c>
    </x:row>
    <x:row r="244" ht="25" customHeight="1">
      <x:c r="A244" s="2" t="b">
        <x:f>AND(AND(ISNUMBER($B$5),$B$5&gt;0),AND(ISNUMBER($F$5),$F$5&gt;0),AND(ISNUMBER($J$5),$J$5&gt;0),AND(ISNUMBER($B$9),$B$9&gt;0),AND(ISNUMBER(I27),I27&gt;0),AND(ISNUMBER(J27),J27&gt;0),AND(ISNUMBER(K27),K27&gt;0),AND(ISNUMBER(L27),L27&gt;0),AND(ISNUMBER(D94),D94&gt;0),AND(ISNUMBER(E94),E94&gt;0),MOD($B$5,1)=0,MOD($F$5,1)=0,MOD($J$5,1)=0,MOD($B$9,1)=0,MOD(K27,1)=0,ISNUMBER(C94),C94&gt;=2,MOD(C94,1)=0,OR($N$9=32,$N$9=64,$N$9=128),ISNUMBER($B$11),$B$11&gt;=0,MOD($B$11,1)=0,ISNUMBER($J$7),$J$7&gt;=0,$J$7&lt;1,AND(ISNUMBER(M27),M27&gt;=0,M27&lt;=1),AND(ISNUMBER(N27),N27&gt;=0,N27&lt;=1))</x:f>
        <x:v>1</x:v>
      </x:c>
      <x:c r="B244" s="12" t="n">
        <x:f>IF(A244,D94*1000,"")</x:f>
        <x:v>20000</x:v>
      </x:c>
      <x:c r="C244" s="12" t="n">
        <x:f>IF(A244,E94*L27,"")</x:f>
        <x:v>20</x:v>
      </x:c>
      <x:c r="D244" s="12" t="n">
        <x:f>IF(A244,M393,"")</x:f>
        <x:v>23.25</x:v>
      </x:c>
      <x:c r="E244" s="12" t="n">
        <x:f>IF(A244,B27/C27,"")</x:f>
        <x:v>4</x:v>
      </x:c>
      <x:c r="F244" s="12" t="n">
        <x:f>IF(A244,B27/D27,"")</x:f>
        <x:v>32</x:v>
      </x:c>
      <x:c r="G244" s="12" t="n">
        <x:f>IF(A244,$F$5*E244*$B$5*60000/B244,"")</x:f>
        <x:v>192</x:v>
      </x:c>
      <x:c r="H244" s="12" t="n">
        <x:f>IF(A244,G244/($J$5*F244),"")</x:f>
        <x:v>6</x:v>
      </x:c>
      <x:c r="I244" s="12" t="n">
        <x:f>IF(A244,$B$5*D244/C27/$B$9,"")</x:f>
        <x:v>46.5</x:v>
      </x:c>
      <x:c r="J244" s="12" t="n">
        <x:f>IF(A244,I244*$F$5/$J$5,"")</x:f>
        <x:v>46.5</x:v>
      </x:c>
      <x:c r="K244" s="12" t="n">
        <x:f>IF(A244,MAX(I244,J244)*2^30/(J27*1e6),"")</x:f>
        <x:v>10.40187392</x:v>
      </x:c>
      <x:c r="L244" s="12" t="n">
        <x:f>IF(A244,B244/$B$9,"")</x:f>
        <x:v>20000</x:v>
      </x:c>
      <x:c r="M244" s="54" t="n">
        <x:f>IF(A244,K244/L244,"")</x:f>
        <x:v>0.000520093696</x:v>
      </x:c>
      <x:c r="N244" s="12" t="n">
        <x:f>IF(A244,(E27*ROUNDUP(K27/D27,0)*G27*(B27-1)/B27*(ROUNDUP((ROUNDUP(F27*2/32,0)*32+32)/480,0)*512+F27*2+32)+E27*ROUNDUP(H27/B27,0)*(B27-1)*32)/1e9,"")</x:f>
        <x:v>1.907616</x:v>
      </x:c>
      <x:c r="O244" s="12" t="n">
        <x:f>IF(A244,N244*1000/I27,"")</x:f>
        <x:v>0.39742</x:v>
      </x:c>
      <x:c r="P244" s="12" t="n">
        <x:f>IF(A244,O244/E27,"")</x:f>
        <x:v>0.005298933333333334</x:v>
      </x:c>
      <x:c r="Q244" s="12" t="n">
        <x:f>IF(A244,N244*1000/C244,"")</x:f>
        <x:v>95.3808</x:v>
      </x:c>
      <x:c r="R244" s="12" t="n">
        <x:f>IF(W244="估算",IF(OR(K244=0,O244=0),0,1-((E27-1)*MAX(0,(C244-O244)/E27-(K244))+MAX(0,L244-((E27-1)*C244/E27+P244)-(K244)))/L244),"")</x:f>
        <x:v>0.001507025309333443</x:v>
      </x:c>
      <x:c r="S244" s="12" t="n">
        <x:f>IF(W244="估算",IF(O244=0,0,MAX(0,1-(1-((E27-1)*MAX(0,(C244-O244)/E27-(L244-K244))+MAX(0,L244-((E27-1)*C244/E27+P244)-(L244-K244)))/L244))),"")</x:f>
        <x:v>0</x:v>
      </x:c>
      <x:c r="T244" s="12" t="n">
        <x:f>IF(W244="估算",IF(OR(P244=0,K244=0,$J$7=0),0,IF(P244&lt;=(1-$J$7)*K244,$J$7*P244*K244/(1-$J$7)-$J$7^2*P244^2/(2*(1-$J$7)^2),$J$7*P244*K244+$J$7^2*K244^2/2)/L244),"")</x:f>
        <x:v>3.062070917574892e-7</x:v>
      </x:c>
      <x:c r="U244" s="12" t="n">
        <x:f>IF(A244,60000/C244,"")</x:f>
        <x:v>3000</x:v>
      </x:c>
      <x:c r="V244" s="12" t="n">
        <x:f>IF(W244="估算",U244*E27*T244*M27*N27,"")</x:f>
        <x:v>0.06889659564543507</x:v>
      </x:c>
      <x:c r="W244" s="12" t="str">
        <x:f>IF(NOT(A244),"输入无效",IF(K244&gt;=L244,"KV 超载",IF(O244&gt;C244+1e-9,"TPOT 不自洽",IF(OR(C244&gt;L244,P244&gt;L244-K244),"需时序仿真","估算"))))</x:f>
        <x:v>估算</x:v>
      </x:c>
      <x:c r="X244" s="12" t="n">
        <x:f>IF(W244="估算",U244*M244,"")</x:f>
        <x:v>1.5602810880000002</x:v>
      </x:c>
    </x:row>
    <x:row r="245" ht="25" customHeight="1">
      <x:c r="A245" s="2" t="b">
        <x:f>AND(AND(ISNUMBER($B$5),$B$5&gt;0),AND(ISNUMBER($F$5),$F$5&gt;0),AND(ISNUMBER($J$5),$J$5&gt;0),AND(ISNUMBER($B$9),$B$9&gt;0),AND(ISNUMBER(I27),I27&gt;0),AND(ISNUMBER(J27),J27&gt;0),AND(ISNUMBER(K27),K27&gt;0),AND(ISNUMBER(L27),L27&gt;0),AND(ISNUMBER(D95),D95&gt;0),AND(ISNUMBER(E95),E95&gt;0),MOD($B$5,1)=0,MOD($F$5,1)=0,MOD($J$5,1)=0,MOD($B$9,1)=0,MOD(K27,1)=0,ISNUMBER(C95),C95&gt;=2,MOD(C95,1)=0,OR($N$9=32,$N$9=64,$N$9=128),ISNUMBER($B$11),$B$11&gt;=0,MOD($B$11,1)=0,ISNUMBER($J$7),$J$7&gt;=0,$J$7&lt;1,AND(ISNUMBER(M27),M27&gt;=0,M27&lt;=1),AND(ISNUMBER(N27),N27&gt;=0,N27&lt;=1))</x:f>
        <x:v>1</x:v>
      </x:c>
      <x:c r="B245" s="12" t="n">
        <x:f>IF(A245,D95*1000,"")</x:f>
        <x:v>20000</x:v>
      </x:c>
      <x:c r="C245" s="12" t="n">
        <x:f>IF(A245,E95*L27,"")</x:f>
        <x:v>30</x:v>
      </x:c>
      <x:c r="D245" s="12" t="n">
        <x:f>IF(A245,M393,"")</x:f>
        <x:v>23.25</x:v>
      </x:c>
      <x:c r="E245" s="12" t="n">
        <x:f>IF(A245,B27/C27,"")</x:f>
        <x:v>4</x:v>
      </x:c>
      <x:c r="F245" s="12" t="n">
        <x:f>IF(A245,B27/D27,"")</x:f>
        <x:v>32</x:v>
      </x:c>
      <x:c r="G245" s="12" t="n">
        <x:f>IF(A245,$F$5*E245*$B$5*60000/B245,"")</x:f>
        <x:v>192</x:v>
      </x:c>
      <x:c r="H245" s="12" t="n">
        <x:f>IF(A245,G245/($J$5*F245),"")</x:f>
        <x:v>6</x:v>
      </x:c>
      <x:c r="I245" s="12" t="n">
        <x:f>IF(A245,$B$5*D245/C27/$B$9,"")</x:f>
        <x:v>46.5</x:v>
      </x:c>
      <x:c r="J245" s="12" t="n">
        <x:f>IF(A245,I245*$F$5/$J$5,"")</x:f>
        <x:v>46.5</x:v>
      </x:c>
      <x:c r="K245" s="12" t="n">
        <x:f>IF(A245,MAX(I245,J245)*2^30/(J27*1e6),"")</x:f>
        <x:v>10.40187392</x:v>
      </x:c>
      <x:c r="L245" s="12" t="n">
        <x:f>IF(A245,B245/$B$9,"")</x:f>
        <x:v>20000</x:v>
      </x:c>
      <x:c r="M245" s="54" t="n">
        <x:f>IF(A245,K245/L245,"")</x:f>
        <x:v>0.000520093696</x:v>
      </x:c>
      <x:c r="N245" s="12" t="n">
        <x:f>IF(A245,(E27*ROUNDUP(K27/D27,0)*G27*(B27-1)/B27*(ROUNDUP((ROUNDUP(F27*2/32,0)*32+32)/480,0)*512+F27*2+32)+E27*ROUNDUP(H27/B27,0)*(B27-1)*32)/1e9,"")</x:f>
        <x:v>1.907616</x:v>
      </x:c>
      <x:c r="O245" s="12" t="n">
        <x:f>IF(A245,N245*1000/I27,"")</x:f>
        <x:v>0.39742</x:v>
      </x:c>
      <x:c r="P245" s="12" t="n">
        <x:f>IF(A245,O245/E27,"")</x:f>
        <x:v>0.005298933333333334</x:v>
      </x:c>
      <x:c r="Q245" s="12" t="n">
        <x:f>IF(A245,N245*1000/C245,"")</x:f>
        <x:v>63.5872</x:v>
      </x:c>
      <x:c r="R245" s="12" t="n">
        <x:f>IF(W245="估算",IF(OR(K245=0,O245=0),0,1-((E27-1)*MAX(0,(C245-O245)/E27-(K245))+MAX(0,L245-((E27-1)*C245/E27+P245)-(K245)))/L245),"")</x:f>
        <x:v>0.0020003586426666775</x:v>
      </x:c>
      <x:c r="S245" s="12" t="n">
        <x:f>IF(W245="估算",IF(O245=0,0,MAX(0,1-(1-((E27-1)*MAX(0,(C245-O245)/E27-(L245-K245))+MAX(0,L245-((E27-1)*C245/E27+P245)-(L245-K245)))/L245))),"")</x:f>
        <x:v>0</x:v>
      </x:c>
      <x:c r="T245" s="12" t="n">
        <x:f>IF(W245="估算",IF(OR(P245=0,K245=0,$J$7=0),0,IF(P245&lt;=(1-$J$7)*K245,$J$7*P245*K245/(1-$J$7)-$J$7^2*P245^2/(2*(1-$J$7)^2),$J$7*P245*K245+$J$7^2*K245^2/2)/L245),"")</x:f>
        <x:v>3.062070917574892e-7</x:v>
      </x:c>
      <x:c r="U245" s="12" t="n">
        <x:f>IF(A245,60000/C245,"")</x:f>
        <x:v>2000</x:v>
      </x:c>
      <x:c r="V245" s="12" t="n">
        <x:f>IF(W245="估算",U245*E27*T245*M27*N27,"")</x:f>
        <x:v>0.04593106376362338</x:v>
      </x:c>
      <x:c r="W245" s="12" t="str">
        <x:f>IF(NOT(A245),"输入无效",IF(K245&gt;=L245,"KV 超载",IF(O245&gt;C245+1e-9,"TPOT 不自洽",IF(OR(C245&gt;L245,P245&gt;L245-K245),"需时序仿真","估算"))))</x:f>
        <x:v>估算</x:v>
      </x:c>
      <x:c r="X245" s="12" t="n">
        <x:f>IF(W245="估算",U245*M245,"")</x:f>
        <x:v>1.040187392</x:v>
      </x:c>
    </x:row>
    <x:row r="246" ht="25" customHeight="1">
      <x:c r="A246" s="2" t="b">
        <x:f>AND(AND(ISNUMBER($B$5),$B$5&gt;0),AND(ISNUMBER($F$5),$F$5&gt;0),AND(ISNUMBER($J$5),$J$5&gt;0),AND(ISNUMBER($B$9),$B$9&gt;0),AND(ISNUMBER(I27),I27&gt;0),AND(ISNUMBER(J27),J27&gt;0),AND(ISNUMBER(K27),K27&gt;0),AND(ISNUMBER(L27),L27&gt;0),AND(ISNUMBER(D96),D96&gt;0),AND(ISNUMBER(E96),E96&gt;0),MOD($B$5,1)=0,MOD($F$5,1)=0,MOD($J$5,1)=0,MOD($B$9,1)=0,MOD(K27,1)=0,ISNUMBER(C96),C96&gt;=2,MOD(C96,1)=0,OR($N$9=32,$N$9=64,$N$9=128),ISNUMBER($B$11),$B$11&gt;=0,MOD($B$11,1)=0,ISNUMBER($J$7),$J$7&gt;=0,$J$7&lt;1,AND(ISNUMBER(M27),M27&gt;=0,M27&lt;=1),AND(ISNUMBER(N27),N27&gt;=0,N27&lt;=1))</x:f>
        <x:v>1</x:v>
      </x:c>
      <x:c r="B246" s="12" t="n">
        <x:f>IF(A246,D96*1000,"")</x:f>
        <x:v>60000</x:v>
      </x:c>
      <x:c r="C246" s="12" t="n">
        <x:f>IF(A246,E96*L27,"")</x:f>
        <x:v>5</x:v>
      </x:c>
      <x:c r="D246" s="12" t="n">
        <x:f>IF(A246,M396,"")</x:f>
        <x:v>93</x:v>
      </x:c>
      <x:c r="E246" s="12" t="n">
        <x:f>IF(A246,B27/C27,"")</x:f>
        <x:v>4</x:v>
      </x:c>
      <x:c r="F246" s="12" t="n">
        <x:f>IF(A246,B27/D27,"")</x:f>
        <x:v>32</x:v>
      </x:c>
      <x:c r="G246" s="12" t="n">
        <x:f>IF(A246,$F$5*E246*$B$5*60000/B246,"")</x:f>
        <x:v>64</x:v>
      </x:c>
      <x:c r="H246" s="12" t="n">
        <x:f>IF(A246,G246/($J$5*F246),"")</x:f>
        <x:v>2</x:v>
      </x:c>
      <x:c r="I246" s="12" t="n">
        <x:f>IF(A246,$B$5*D246/C27/$B$9,"")</x:f>
        <x:v>186</x:v>
      </x:c>
      <x:c r="J246" s="12" t="n">
        <x:f>IF(A246,I246*$F$5/$J$5,"")</x:f>
        <x:v>186</x:v>
      </x:c>
      <x:c r="K246" s="12" t="n">
        <x:f>IF(A246,MAX(I246,J246)*2^30/(J27*1e6),"")</x:f>
        <x:v>41.60749568</x:v>
      </x:c>
      <x:c r="L246" s="12" t="n">
        <x:f>IF(A246,B246/$B$9,"")</x:f>
        <x:v>60000</x:v>
      </x:c>
      <x:c r="M246" s="54" t="n">
        <x:f>IF(A246,K246/L246,"")</x:f>
        <x:v>0.0006934582613333333</x:v>
      </x:c>
      <x:c r="N246" s="12" t="n">
        <x:f>IF(A246,(E27*ROUNDUP(K27/D27,0)*G27*(B27-1)/B27*(ROUNDUP((ROUNDUP(F27*2/32,0)*32+32)/480,0)*512+F27*2+32)+E27*ROUNDUP(H27/B27,0)*(B27-1)*32)/1e9,"")</x:f>
        <x:v>1.907616</x:v>
      </x:c>
      <x:c r="O246" s="12" t="n">
        <x:f>IF(A246,N246*1000/I27,"")</x:f>
        <x:v>0.39742</x:v>
      </x:c>
      <x:c r="P246" s="12" t="n">
        <x:f>IF(A246,O246/E27,"")</x:f>
        <x:v>0.005298933333333334</x:v>
      </x:c>
      <x:c r="Q246" s="12" t="n">
        <x:f>IF(A246,N246*1000/C246,"")</x:f>
        <x:v>381.5232</x:v>
      </x:c>
      <x:c r="R246" s="12" t="n">
        <x:f>IF(W246="估算",IF(OR(K246=0,O246=0),0,1-((E27-1)*MAX(0,(C246-O246)/E27-(K246))+MAX(0,L246-((E27-1)*C246/E27+P246)-(K246)))/L246),"")</x:f>
        <x:v>0.0007757687991111206</x:v>
      </x:c>
      <x:c r="S246" s="12" t="n">
        <x:f>IF(W246="估算",IF(O246=0,0,MAX(0,1-(1-((E27-1)*MAX(0,(C246-O246)/E27-(L246-K246))+MAX(0,L246-((E27-1)*C246/E27+P246)-(L246-K246)))/L246))),"")</x:f>
        <x:v>0.0006111477235555274</x:v>
      </x:c>
      <x:c r="T246" s="12" t="n">
        <x:f>IF(W246="估算",IF(OR(P246=0,K246=0,$J$7=0),0,IF(P246&lt;=(1-$J$7)*K246,$J$7*P246*K246/(1-$J$7)-$J$7^2*P246^2/(2*(1-$J$7)^2),$J$7*P246*K246+$J$7^2*K246^2/2)/L246),"")</x:f>
        <x:v>4.0828478860704464e-7</x:v>
      </x:c>
      <x:c r="U246" s="12" t="n">
        <x:f>IF(A246,60000/C246,"")</x:f>
        <x:v>12000</x:v>
      </x:c>
      <x:c r="V246" s="12" t="n">
        <x:f>IF(W246="估算",U246*E27*T246*M27*N27,"")</x:f>
        <x:v>0.3674563097463402</x:v>
      </x:c>
      <x:c r="W246" s="12" t="str">
        <x:f>IF(NOT(A246),"输入无效",IF(K246&gt;=L246,"KV 超载",IF(O246&gt;C246+1e-9,"TPOT 不自洽",IF(OR(C246&gt;L246,P246&gt;L246-K246),"需时序仿真","估算"))))</x:f>
        <x:v>估算</x:v>
      </x:c>
      <x:c r="X246" s="12" t="n">
        <x:f>IF(W246="估算",U246*M246,"")</x:f>
        <x:v>8.321499136</x:v>
      </x:c>
    </x:row>
    <x:row r="247" ht="25" customHeight="1">
      <x:c r="A247" s="2" t="b">
        <x:f>AND(AND(ISNUMBER($B$5),$B$5&gt;0),AND(ISNUMBER($F$5),$F$5&gt;0),AND(ISNUMBER($J$5),$J$5&gt;0),AND(ISNUMBER($B$9),$B$9&gt;0),AND(ISNUMBER(I27),I27&gt;0),AND(ISNUMBER(J27),J27&gt;0),AND(ISNUMBER(K27),K27&gt;0),AND(ISNUMBER(L27),L27&gt;0),AND(ISNUMBER(D97),D97&gt;0),AND(ISNUMBER(E97),E97&gt;0),MOD($B$5,1)=0,MOD($F$5,1)=0,MOD($J$5,1)=0,MOD($B$9,1)=0,MOD(K27,1)=0,ISNUMBER(C97),C97&gt;=2,MOD(C97,1)=0,OR($N$9=32,$N$9=64,$N$9=128),ISNUMBER($B$11),$B$11&gt;=0,MOD($B$11,1)=0,ISNUMBER($J$7),$J$7&gt;=0,$J$7&lt;1,AND(ISNUMBER(M27),M27&gt;=0,M27&lt;=1),AND(ISNUMBER(N27),N27&gt;=0,N27&lt;=1))</x:f>
        <x:v>1</x:v>
      </x:c>
      <x:c r="B247" s="12" t="n">
        <x:f>IF(A247,D97*1000,"")</x:f>
        <x:v>60000</x:v>
      </x:c>
      <x:c r="C247" s="12" t="n">
        <x:f>IF(A247,E97*L27,"")</x:f>
        <x:v>10</x:v>
      </x:c>
      <x:c r="D247" s="12" t="n">
        <x:f>IF(A247,M396,"")</x:f>
        <x:v>93</x:v>
      </x:c>
      <x:c r="E247" s="12" t="n">
        <x:f>IF(A247,B27/C27,"")</x:f>
        <x:v>4</x:v>
      </x:c>
      <x:c r="F247" s="12" t="n">
        <x:f>IF(A247,B27/D27,"")</x:f>
        <x:v>32</x:v>
      </x:c>
      <x:c r="G247" s="12" t="n">
        <x:f>IF(A247,$F$5*E247*$B$5*60000/B247,"")</x:f>
        <x:v>64</x:v>
      </x:c>
      <x:c r="H247" s="12" t="n">
        <x:f>IF(A247,G247/($J$5*F247),"")</x:f>
        <x:v>2</x:v>
      </x:c>
      <x:c r="I247" s="12" t="n">
        <x:f>IF(A247,$B$5*D247/C27/$B$9,"")</x:f>
        <x:v>186</x:v>
      </x:c>
      <x:c r="J247" s="12" t="n">
        <x:f>IF(A247,I247*$F$5/$J$5,"")</x:f>
        <x:v>186</x:v>
      </x:c>
      <x:c r="K247" s="12" t="n">
        <x:f>IF(A247,MAX(I247,J247)*2^30/(J27*1e6),"")</x:f>
        <x:v>41.60749568</x:v>
      </x:c>
      <x:c r="L247" s="12" t="n">
        <x:f>IF(A247,B247/$B$9,"")</x:f>
        <x:v>60000</x:v>
      </x:c>
      <x:c r="M247" s="54" t="n">
        <x:f>IF(A247,K247/L247,"")</x:f>
        <x:v>0.0006934582613333333</x:v>
      </x:c>
      <x:c r="N247" s="12" t="n">
        <x:f>IF(A247,(E27*ROUNDUP(K27/D27,0)*G27*(B27-1)/B27*(ROUNDUP((ROUNDUP(F27*2/32,0)*32+32)/480,0)*512+F27*2+32)+E27*ROUNDUP(H27/B27,0)*(B27-1)*32)/1e9,"")</x:f>
        <x:v>1.907616</x:v>
      </x:c>
      <x:c r="O247" s="12" t="n">
        <x:f>IF(A247,N247*1000/I27,"")</x:f>
        <x:v>0.39742</x:v>
      </x:c>
      <x:c r="P247" s="12" t="n">
        <x:f>IF(A247,O247/E27,"")</x:f>
        <x:v>0.005298933333333334</x:v>
      </x:c>
      <x:c r="Q247" s="12" t="n">
        <x:f>IF(A247,N247*1000/C247,"")</x:f>
        <x:v>190.7616</x:v>
      </x:c>
      <x:c r="R247" s="12" t="n">
        <x:f>IF(W247="估算",IF(OR(K247=0,O247=0),0,1-((E27-1)*MAX(0,(C247-O247)/E27-(K247))+MAX(0,L247-((E27-1)*C247/E27+P247)-(K247)))/L247),"")</x:f>
        <x:v>0.0008579910213334374</x:v>
      </x:c>
      <x:c r="S247" s="12" t="n">
        <x:f>IF(W247="估算",IF(O247=0,0,MAX(0,1-(1-((E27-1)*MAX(0,(C247-O247)/E27-(L247-K247))+MAX(0,L247-((E27-1)*C247/E27+P247)-(L247-K247)))/L247))),"")</x:f>
        <x:v>0.0005289255013333216</x:v>
      </x:c>
      <x:c r="T247" s="12" t="n">
        <x:f>IF(W247="估算",IF(OR(P247=0,K247=0,$J$7=0),0,IF(P247&lt;=(1-$J$7)*K247,$J$7*P247*K247/(1-$J$7)-$J$7^2*P247^2/(2*(1-$J$7)^2),$J$7*P247*K247+$J$7^2*K247^2/2)/L247),"")</x:f>
        <x:v>4.0828478860704464e-7</x:v>
      </x:c>
      <x:c r="U247" s="12" t="n">
        <x:f>IF(A247,60000/C247,"")</x:f>
        <x:v>6000</x:v>
      </x:c>
      <x:c r="V247" s="12" t="n">
        <x:f>IF(W247="估算",U247*E27*T247*M27*N27,"")</x:f>
        <x:v>0.1837281548731701</x:v>
      </x:c>
      <x:c r="W247" s="12" t="str">
        <x:f>IF(NOT(A247),"输入无效",IF(K247&gt;=L247,"KV 超载",IF(O247&gt;C247+1e-9,"TPOT 不自洽",IF(OR(C247&gt;L247,P247&gt;L247-K247),"需时序仿真","估算"))))</x:f>
        <x:v>估算</x:v>
      </x:c>
      <x:c r="X247" s="12" t="n">
        <x:f>IF(W247="估算",U247*M247,"")</x:f>
        <x:v>4.160749568</x:v>
      </x:c>
    </x:row>
    <x:row r="248" ht="25" customHeight="1">
      <x:c r="A248" s="2" t="b">
        <x:f>AND(AND(ISNUMBER($B$5),$B$5&gt;0),AND(ISNUMBER($F$5),$F$5&gt;0),AND(ISNUMBER($J$5),$J$5&gt;0),AND(ISNUMBER($B$9),$B$9&gt;0),AND(ISNUMBER(I27),I27&gt;0),AND(ISNUMBER(J27),J27&gt;0),AND(ISNUMBER(K27),K27&gt;0),AND(ISNUMBER(L27),L27&gt;0),AND(ISNUMBER(D98),D98&gt;0),AND(ISNUMBER(E98),E98&gt;0),MOD($B$5,1)=0,MOD($F$5,1)=0,MOD($J$5,1)=0,MOD($B$9,1)=0,MOD(K27,1)=0,ISNUMBER(C98),C98&gt;=2,MOD(C98,1)=0,OR($N$9=32,$N$9=64,$N$9=128),ISNUMBER($B$11),$B$11&gt;=0,MOD($B$11,1)=0,ISNUMBER($J$7),$J$7&gt;=0,$J$7&lt;1,AND(ISNUMBER(M27),M27&gt;=0,M27&lt;=1),AND(ISNUMBER(N27),N27&gt;=0,N27&lt;=1))</x:f>
        <x:v>1</x:v>
      </x:c>
      <x:c r="B248" s="12" t="n">
        <x:f>IF(A248,D98*1000,"")</x:f>
        <x:v>60000</x:v>
      </x:c>
      <x:c r="C248" s="12" t="n">
        <x:f>IF(A248,E98*L27,"")</x:f>
        <x:v>20</x:v>
      </x:c>
      <x:c r="D248" s="12" t="n">
        <x:f>IF(A248,M396,"")</x:f>
        <x:v>93</x:v>
      </x:c>
      <x:c r="E248" s="12" t="n">
        <x:f>IF(A248,B27/C27,"")</x:f>
        <x:v>4</x:v>
      </x:c>
      <x:c r="F248" s="12" t="n">
        <x:f>IF(A248,B27/D27,"")</x:f>
        <x:v>32</x:v>
      </x:c>
      <x:c r="G248" s="12" t="n">
        <x:f>IF(A248,$F$5*E248*$B$5*60000/B248,"")</x:f>
        <x:v>64</x:v>
      </x:c>
      <x:c r="H248" s="12" t="n">
        <x:f>IF(A248,G248/($J$5*F248),"")</x:f>
        <x:v>2</x:v>
      </x:c>
      <x:c r="I248" s="12" t="n">
        <x:f>IF(A248,$B$5*D248/C27/$B$9,"")</x:f>
        <x:v>186</x:v>
      </x:c>
      <x:c r="J248" s="12" t="n">
        <x:f>IF(A248,I248*$F$5/$J$5,"")</x:f>
        <x:v>186</x:v>
      </x:c>
      <x:c r="K248" s="12" t="n">
        <x:f>IF(A248,MAX(I248,J248)*2^30/(J27*1e6),"")</x:f>
        <x:v>41.60749568</x:v>
      </x:c>
      <x:c r="L248" s="12" t="n">
        <x:f>IF(A248,B248/$B$9,"")</x:f>
        <x:v>60000</x:v>
      </x:c>
      <x:c r="M248" s="54" t="n">
        <x:f>IF(A248,K248/L248,"")</x:f>
        <x:v>0.0006934582613333333</x:v>
      </x:c>
      <x:c r="N248" s="12" t="n">
        <x:f>IF(A248,(E27*ROUNDUP(K27/D27,0)*G27*(B27-1)/B27*(ROUNDUP((ROUNDUP(F27*2/32,0)*32+32)/480,0)*512+F27*2+32)+E27*ROUNDUP(H27/B27,0)*(B27-1)*32)/1e9,"")</x:f>
        <x:v>1.907616</x:v>
      </x:c>
      <x:c r="O248" s="12" t="n">
        <x:f>IF(A248,N248*1000/I27,"")</x:f>
        <x:v>0.39742</x:v>
      </x:c>
      <x:c r="P248" s="12" t="n">
        <x:f>IF(A248,O248/E27,"")</x:f>
        <x:v>0.005298933333333334</x:v>
      </x:c>
      <x:c r="Q248" s="12" t="n">
        <x:f>IF(A248,N248*1000/C248,"")</x:f>
        <x:v>95.3808</x:v>
      </x:c>
      <x:c r="R248" s="12" t="n">
        <x:f>IF(W248="估算",IF(OR(K248=0,O248=0),0,1-((E27-1)*MAX(0,(C248-O248)/E27-(K248))+MAX(0,L248-((E27-1)*C248/E27+P248)-(K248)))/L248),"")</x:f>
        <x:v>0.001022435465777738</x:v>
      </x:c>
      <x:c r="S248" s="12" t="n">
        <x:f>IF(W248="估算",IF(O248=0,0,MAX(0,1-(1-((E27-1)*MAX(0,(C248-O248)/E27-(L248-K248))+MAX(0,L248-((E27-1)*C248/E27+P248)-(L248-K248)))/L248))),"")</x:f>
        <x:v>0.0003644810568889101</x:v>
      </x:c>
      <x:c r="T248" s="12" t="n">
        <x:f>IF(W248="估算",IF(OR(P248=0,K248=0,$J$7=0),0,IF(P248&lt;=(1-$J$7)*K248,$J$7*P248*K248/(1-$J$7)-$J$7^2*P248^2/(2*(1-$J$7)^2),$J$7*P248*K248+$J$7^2*K248^2/2)/L248),"")</x:f>
        <x:v>4.0828478860704464e-7</x:v>
      </x:c>
      <x:c r="U248" s="12" t="n">
        <x:f>IF(A248,60000/C248,"")</x:f>
        <x:v>3000</x:v>
      </x:c>
      <x:c r="V248" s="12" t="n">
        <x:f>IF(W248="估算",U248*E27*T248*M27*N27,"")</x:f>
        <x:v>0.09186407743658505</x:v>
      </x:c>
      <x:c r="W248" s="12" t="str">
        <x:f>IF(NOT(A248),"输入无效",IF(K248&gt;=L248,"KV 超载",IF(O248&gt;C248+1e-9,"TPOT 不自洽",IF(OR(C248&gt;L248,P248&gt;L248-K248),"需时序仿真","估算"))))</x:f>
        <x:v>估算</x:v>
      </x:c>
      <x:c r="X248" s="12" t="n">
        <x:f>IF(W248="估算",U248*M248,"")</x:f>
        <x:v>2.080374784</x:v>
      </x:c>
    </x:row>
    <x:row r="249" ht="25" customHeight="1">
      <x:c r="A249" s="2" t="b">
        <x:f>AND(AND(ISNUMBER($B$5),$B$5&gt;0),AND(ISNUMBER($F$5),$F$5&gt;0),AND(ISNUMBER($J$5),$J$5&gt;0),AND(ISNUMBER($B$9),$B$9&gt;0),AND(ISNUMBER(I27),I27&gt;0),AND(ISNUMBER(J27),J27&gt;0),AND(ISNUMBER(K27),K27&gt;0),AND(ISNUMBER(L27),L27&gt;0),AND(ISNUMBER(D99),D99&gt;0),AND(ISNUMBER(E99),E99&gt;0),MOD($B$5,1)=0,MOD($F$5,1)=0,MOD($J$5,1)=0,MOD($B$9,1)=0,MOD(K27,1)=0,ISNUMBER(C99),C99&gt;=2,MOD(C99,1)=0,OR($N$9=32,$N$9=64,$N$9=128),ISNUMBER($B$11),$B$11&gt;=0,MOD($B$11,1)=0,ISNUMBER($J$7),$J$7&gt;=0,$J$7&lt;1,AND(ISNUMBER(M27),M27&gt;=0,M27&lt;=1),AND(ISNUMBER(N27),N27&gt;=0,N27&lt;=1))</x:f>
        <x:v>1</x:v>
      </x:c>
      <x:c r="B249" s="12" t="n">
        <x:f>IF(A249,D99*1000,"")</x:f>
        <x:v>60000</x:v>
      </x:c>
      <x:c r="C249" s="12" t="n">
        <x:f>IF(A249,E99*L27,"")</x:f>
        <x:v>30</x:v>
      </x:c>
      <x:c r="D249" s="12" t="n">
        <x:f>IF(A249,M396,"")</x:f>
        <x:v>93</x:v>
      </x:c>
      <x:c r="E249" s="12" t="n">
        <x:f>IF(A249,B27/C27,"")</x:f>
        <x:v>4</x:v>
      </x:c>
      <x:c r="F249" s="12" t="n">
        <x:f>IF(A249,B27/D27,"")</x:f>
        <x:v>32</x:v>
      </x:c>
      <x:c r="G249" s="12" t="n">
        <x:f>IF(A249,$F$5*E249*$B$5*60000/B249,"")</x:f>
        <x:v>64</x:v>
      </x:c>
      <x:c r="H249" s="12" t="n">
        <x:f>IF(A249,G249/($J$5*F249),"")</x:f>
        <x:v>2</x:v>
      </x:c>
      <x:c r="I249" s="12" t="n">
        <x:f>IF(A249,$B$5*D249/C27/$B$9,"")</x:f>
        <x:v>186</x:v>
      </x:c>
      <x:c r="J249" s="12" t="n">
        <x:f>IF(A249,I249*$F$5/$J$5,"")</x:f>
        <x:v>186</x:v>
      </x:c>
      <x:c r="K249" s="12" t="n">
        <x:f>IF(A249,MAX(I249,J249)*2^30/(J27*1e6),"")</x:f>
        <x:v>41.60749568</x:v>
      </x:c>
      <x:c r="L249" s="12" t="n">
        <x:f>IF(A249,B249/$B$9,"")</x:f>
        <x:v>60000</x:v>
      </x:c>
      <x:c r="M249" s="54" t="n">
        <x:f>IF(A249,K249/L249,"")</x:f>
        <x:v>0.0006934582613333333</x:v>
      </x:c>
      <x:c r="N249" s="12" t="n">
        <x:f>IF(A249,(E27*ROUNDUP(K27/D27,0)*G27*(B27-1)/B27*(ROUNDUP((ROUNDUP(F27*2/32,0)*32+32)/480,0)*512+F27*2+32)+E27*ROUNDUP(H27/B27,0)*(B27-1)*32)/1e9,"")</x:f>
        <x:v>1.907616</x:v>
      </x:c>
      <x:c r="O249" s="12" t="n">
        <x:f>IF(A249,N249*1000/I27,"")</x:f>
        <x:v>0.39742</x:v>
      </x:c>
      <x:c r="P249" s="12" t="n">
        <x:f>IF(A249,O249/E27,"")</x:f>
        <x:v>0.005298933333333334</x:v>
      </x:c>
      <x:c r="Q249" s="12" t="n">
        <x:f>IF(A249,N249*1000/C249,"")</x:f>
        <x:v>63.5872</x:v>
      </x:c>
      <x:c r="R249" s="12" t="n">
        <x:f>IF(W249="估算",IF(OR(K249=0,O249=0),0,1-((E27-1)*MAX(0,(C249-O249)/E27-(K249))+MAX(0,L249-((E27-1)*C249/E27+P249)-(K249)))/L249),"")</x:f>
        <x:v>0.0011868799102222605</x:v>
      </x:c>
      <x:c r="S249" s="12" t="n">
        <x:f>IF(W249="估算",IF(O249=0,0,MAX(0,1-(1-((E27-1)*MAX(0,(C249-O249)/E27-(L249-K249))+MAX(0,L249-((E27-1)*C249/E27+P249)-(L249-K249)))/L249))),"")</x:f>
        <x:v>0.00020003661244449855</x:v>
      </x:c>
      <x:c r="T249" s="12" t="n">
        <x:f>IF(W249="估算",IF(OR(P249=0,K249=0,$J$7=0),0,IF(P249&lt;=(1-$J$7)*K249,$J$7*P249*K249/(1-$J$7)-$J$7^2*P249^2/(2*(1-$J$7)^2),$J$7*P249*K249+$J$7^2*K249^2/2)/L249),"")</x:f>
        <x:v>4.0828478860704464e-7</x:v>
      </x:c>
      <x:c r="U249" s="12" t="n">
        <x:f>IF(A249,60000/C249,"")</x:f>
        <x:v>2000</x:v>
      </x:c>
      <x:c r="V249" s="12" t="n">
        <x:f>IF(W249="估算",U249*E27*T249*M27*N27,"")</x:f>
        <x:v>0.061242718291056694</x:v>
      </x:c>
      <x:c r="W249" s="12" t="str">
        <x:f>IF(NOT(A249),"输入无效",IF(K249&gt;=L249,"KV 超载",IF(O249&gt;C249+1e-9,"TPOT 不自洽",IF(OR(C249&gt;L249,P249&gt;L249-K249),"需时序仿真","估算"))))</x:f>
        <x:v>估算</x:v>
      </x:c>
      <x:c r="X249" s="12" t="n">
        <x:f>IF(W249="估算",U249*M249,"")</x:f>
        <x:v>1.3869165226666667</x:v>
      </x:c>
    </x:row>
    <x:row r="250" ht="25" customHeight="1">
      <x:c r="A250" s="2" t="b">
        <x:f>AND(AND(ISNUMBER($B$5),$B$5&gt;0),AND(ISNUMBER($F$5),$F$5&gt;0),AND(ISNUMBER($J$5),$J$5&gt;0),AND(ISNUMBER($B$9),$B$9&gt;0),AND(ISNUMBER(I28),I28&gt;0),AND(ISNUMBER(J28),J28&gt;0),AND(ISNUMBER(K28),K28&gt;0),AND(ISNUMBER(L28),L28&gt;0),AND(ISNUMBER(D100),D100&gt;0),AND(ISNUMBER(E100),E100&gt;0),MOD($B$5,1)=0,MOD($F$5,1)=0,MOD($J$5,1)=0,MOD($B$9,1)=0,MOD(K28,1)=0,ISNUMBER(C100),C100&gt;=2,MOD(C100,1)=0,OR($N$9=32,$N$9=64,$N$9=128),ISNUMBER($B$11),$B$11&gt;=0,MOD($B$11,1)=0,ISNUMBER($J$7),$J$7&gt;=0,$J$7&lt;1,AND(ISNUMBER(M28),M28&gt;=0,M28&lt;=1),AND(ISNUMBER(N28),N28&gt;=0,N28&lt;=1))</x:f>
        <x:v>1</x:v>
      </x:c>
      <x:c r="B250" s="12" t="n">
        <x:f>IF(A250,D100*1000,"")</x:f>
        <x:v>4000</x:v>
      </x:c>
      <x:c r="C250" s="12" t="n">
        <x:f>IF(A250,E100*L28,"")</x:f>
        <x:v>5</x:v>
      </x:c>
      <x:c r="D250" s="12" t="n">
        <x:f>IF(A250,M390,"")</x:f>
        <x:v>1.453125</x:v>
      </x:c>
      <x:c r="E250" s="12" t="n">
        <x:f>IF(A250,B28/C28,"")</x:f>
        <x:v>32</x:v>
      </x:c>
      <x:c r="F250" s="12" t="n">
        <x:f>IF(A250,B28/D28,"")</x:f>
        <x:v>256</x:v>
      </x:c>
      <x:c r="G250" s="12" t="n">
        <x:f>IF(A250,$F$5*E250*$B$5*60000/B250,"")</x:f>
        <x:v>7680</x:v>
      </x:c>
      <x:c r="H250" s="12" t="n">
        <x:f>IF(A250,G250/($J$5*F250),"")</x:f>
        <x:v>30</x:v>
      </x:c>
      <x:c r="I250" s="12" t="n">
        <x:f>IF(A250,$B$5*D250/C28/$B$9,"")</x:f>
        <x:v>2.90625</x:v>
      </x:c>
      <x:c r="J250" s="12" t="n">
        <x:f>IF(A250,I250*$F$5/$J$5,"")</x:f>
        <x:v>2.90625</x:v>
      </x:c>
      <x:c r="K250" s="12" t="n">
        <x:f>IF(A250,MAX(I250,J250)*2^30/(J28*1e6),"")</x:f>
        <x:v>0.65011712</x:v>
      </x:c>
      <x:c r="L250" s="12" t="n">
        <x:f>IF(A250,B250/$B$9,"")</x:f>
        <x:v>4000</x:v>
      </x:c>
      <x:c r="M250" s="54" t="n">
        <x:f>IF(A250,K250/L250,"")</x:f>
        <x:v>0.00016252928</x:v>
      </x:c>
      <x:c r="N250" s="12" t="n">
        <x:f>IF(A250,(E28*ROUNDUP(K28/D28,0)*G28*(B28-1)/B28*(ROUNDUP((ROUNDUP(F28*2/32,0)*32+32)/480,0)*512+F28*2+32)+E28*ROUNDUP(H28/B28,0)*(B28-1)*32)/1e9,"")</x:f>
        <x:v>1.96146</x:v>
      </x:c>
      <x:c r="O250" s="12" t="n">
        <x:f>IF(A250,N250*1000/I28,"")</x:f>
        <x:v>0.4086375</x:v>
      </x:c>
      <x:c r="P250" s="12" t="n">
        <x:f>IF(A250,O250/E28,"")</x:f>
        <x:v>0.0054485</x:v>
      </x:c>
      <x:c r="Q250" s="12" t="n">
        <x:f>IF(A250,N250*1000/C250,"")</x:f>
        <x:v>392.29200000000003</x:v>
      </x:c>
      <x:c r="R250" s="12" t="n">
        <x:f>IF(W250="估算",IF(OR(K250=0,O250=0),0,1-((E28-1)*MAX(0,(C250-O250)/E28-(K250))+MAX(0,L250-((E28-1)*C250/E28+P250)-(K250)))/L250),"")</x:f>
        <x:v>0.0013972247383332581</x:v>
      </x:c>
      <x:c r="S250" s="12" t="n">
        <x:f>IF(W250="估算",IF(O250=0,0,MAX(0,1-(1-((E28-1)*MAX(0,(C250-O250)/E28-(L250-K250))+MAX(0,L250-((E28-1)*C250/E28+P250)-(L250-K250)))/L250))),"")</x:f>
        <x:v>0</x:v>
      </x:c>
      <x:c r="T250" s="12" t="n">
        <x:f>IF(W250="估算",IF(OR(P250=0,K250=0,$J$7=0),0,IF(P250&lt;=(1-$J$7)*K250,$J$7*P250*K250/(1-$J$7)-$J$7^2*P250^2/(2*(1-$J$7)^2),$J$7*P250*K250+$J$7^2*K250^2/2)/L250),"")</x:f>
        <x:v>9.834760826776236e-8</x:v>
      </x:c>
      <x:c r="U250" s="12" t="n">
        <x:f>IF(A250,60000/C250,"")</x:f>
        <x:v>12000</x:v>
      </x:c>
      <x:c r="V250" s="12" t="n">
        <x:f>IF(W250="估算",U250*E28*T250*M28*N28,"")</x:f>
        <x:v>0.08851284744098611</x:v>
      </x:c>
      <x:c r="W250" s="12" t="str">
        <x:f>IF(NOT(A250),"输入无效",IF(K250&gt;=L250,"KV 超载",IF(O250&gt;C250+1e-9,"TPOT 不自洽",IF(OR(C250&gt;L250,P250&gt;L250-K250),"需时序仿真","估算"))))</x:f>
        <x:v>估算</x:v>
      </x:c>
      <x:c r="X250" s="12" t="n">
        <x:f>IF(W250="估算",U250*M250,"")</x:f>
        <x:v>1.9503513600000002</x:v>
      </x:c>
    </x:row>
    <x:row r="251" ht="25" customHeight="1">
      <x:c r="A251" s="2" t="b">
        <x:f>AND(AND(ISNUMBER($B$5),$B$5&gt;0),AND(ISNUMBER($F$5),$F$5&gt;0),AND(ISNUMBER($J$5),$J$5&gt;0),AND(ISNUMBER($B$9),$B$9&gt;0),AND(ISNUMBER(I28),I28&gt;0),AND(ISNUMBER(J28),J28&gt;0),AND(ISNUMBER(K28),K28&gt;0),AND(ISNUMBER(L28),L28&gt;0),AND(ISNUMBER(D101),D101&gt;0),AND(ISNUMBER(E101),E101&gt;0),MOD($B$5,1)=0,MOD($F$5,1)=0,MOD($J$5,1)=0,MOD($B$9,1)=0,MOD(K28,1)=0,ISNUMBER(C101),C101&gt;=2,MOD(C101,1)=0,OR($N$9=32,$N$9=64,$N$9=128),ISNUMBER($B$11),$B$11&gt;=0,MOD($B$11,1)=0,ISNUMBER($J$7),$J$7&gt;=0,$J$7&lt;1,AND(ISNUMBER(M28),M28&gt;=0,M28&lt;=1),AND(ISNUMBER(N28),N28&gt;=0,N28&lt;=1))</x:f>
        <x:v>1</x:v>
      </x:c>
      <x:c r="B251" s="12" t="n">
        <x:f>IF(A251,D101*1000,"")</x:f>
        <x:v>4000</x:v>
      </x:c>
      <x:c r="C251" s="12" t="n">
        <x:f>IF(A251,E101*L28,"")</x:f>
        <x:v>10</x:v>
      </x:c>
      <x:c r="D251" s="12" t="n">
        <x:f>IF(A251,M390,"")</x:f>
        <x:v>1.453125</x:v>
      </x:c>
      <x:c r="E251" s="12" t="n">
        <x:f>IF(A251,B28/C28,"")</x:f>
        <x:v>32</x:v>
      </x:c>
      <x:c r="F251" s="12" t="n">
        <x:f>IF(A251,B28/D28,"")</x:f>
        <x:v>256</x:v>
      </x:c>
      <x:c r="G251" s="12" t="n">
        <x:f>IF(A251,$F$5*E251*$B$5*60000/B251,"")</x:f>
        <x:v>7680</x:v>
      </x:c>
      <x:c r="H251" s="12" t="n">
        <x:f>IF(A251,G251/($J$5*F251),"")</x:f>
        <x:v>30</x:v>
      </x:c>
      <x:c r="I251" s="12" t="n">
        <x:f>IF(A251,$B$5*D251/C28/$B$9,"")</x:f>
        <x:v>2.90625</x:v>
      </x:c>
      <x:c r="J251" s="12" t="n">
        <x:f>IF(A251,I251*$F$5/$J$5,"")</x:f>
        <x:v>2.90625</x:v>
      </x:c>
      <x:c r="K251" s="12" t="n">
        <x:f>IF(A251,MAX(I251,J251)*2^30/(J28*1e6),"")</x:f>
        <x:v>0.65011712</x:v>
      </x:c>
      <x:c r="L251" s="12" t="n">
        <x:f>IF(A251,B251/$B$9,"")</x:f>
        <x:v>4000</x:v>
      </x:c>
      <x:c r="M251" s="54" t="n">
        <x:f>IF(A251,K251/L251,"")</x:f>
        <x:v>0.00016252928</x:v>
      </x:c>
      <x:c r="N251" s="12" t="n">
        <x:f>IF(A251,(E28*ROUNDUP(K28/D28,0)*G28*(B28-1)/B28*(ROUNDUP((ROUNDUP(F28*2/32,0)*32+32)/480,0)*512+F28*2+32)+E28*ROUNDUP(H28/B28,0)*(B28-1)*32)/1e9,"")</x:f>
        <x:v>1.96146</x:v>
      </x:c>
      <x:c r="O251" s="12" t="n">
        <x:f>IF(A251,N251*1000/I28,"")</x:f>
        <x:v>0.4086375</x:v>
      </x:c>
      <x:c r="P251" s="12" t="n">
        <x:f>IF(A251,O251/E28,"")</x:f>
        <x:v>0.0054485</x:v>
      </x:c>
      <x:c r="Q251" s="12" t="n">
        <x:f>IF(A251,N251*1000/C251,"")</x:f>
        <x:v>196.14600000000002</x:v>
      </x:c>
      <x:c r="R251" s="12" t="n">
        <x:f>IF(W251="估算",IF(OR(K251=0,O251=0),0,1-((E28-1)*MAX(0,(C251-O251)/E28-(K251))+MAX(0,L251-((E28-1)*C251/E28+P251)-(K251)))/L251),"")</x:f>
        <x:v>0.0026305580716666777</x:v>
      </x:c>
      <x:c r="S251" s="12" t="n">
        <x:f>IF(W251="估算",IF(O251=0,0,MAX(0,1-(1-((E28-1)*MAX(0,(C251-O251)/E28-(L251-K251))+MAX(0,L251-((E28-1)*C251/E28+P251)-(L251-K251)))/L251))),"")</x:f>
        <x:v>0</x:v>
      </x:c>
      <x:c r="T251" s="12" t="n">
        <x:f>IF(W251="估算",IF(OR(P251=0,K251=0,$J$7=0),0,IF(P251&lt;=(1-$J$7)*K251,$J$7*P251*K251/(1-$J$7)-$J$7^2*P251^2/(2*(1-$J$7)^2),$J$7*P251*K251+$J$7^2*K251^2/2)/L251),"")</x:f>
        <x:v>9.834760826776236e-8</x:v>
      </x:c>
      <x:c r="U251" s="12" t="n">
        <x:f>IF(A251,60000/C251,"")</x:f>
        <x:v>6000</x:v>
      </x:c>
      <x:c r="V251" s="12" t="n">
        <x:f>IF(W251="估算",U251*E28*T251*M28*N28,"")</x:f>
        <x:v>0.04425642372049306</x:v>
      </x:c>
      <x:c r="W251" s="12" t="str">
        <x:f>IF(NOT(A251),"输入无效",IF(K251&gt;=L251,"KV 超载",IF(O251&gt;C251+1e-9,"TPOT 不自洽",IF(OR(C251&gt;L251,P251&gt;L251-K251),"需时序仿真","估算"))))</x:f>
        <x:v>估算</x:v>
      </x:c>
      <x:c r="X251" s="12" t="n">
        <x:f>IF(W251="估算",U251*M251,"")</x:f>
        <x:v>0.9751756800000001</x:v>
      </x:c>
    </x:row>
    <x:row r="252" ht="25" customHeight="1">
      <x:c r="A252" s="2" t="b">
        <x:f>AND(AND(ISNUMBER($B$5),$B$5&gt;0),AND(ISNUMBER($F$5),$F$5&gt;0),AND(ISNUMBER($J$5),$J$5&gt;0),AND(ISNUMBER($B$9),$B$9&gt;0),AND(ISNUMBER(I28),I28&gt;0),AND(ISNUMBER(J28),J28&gt;0),AND(ISNUMBER(K28),K28&gt;0),AND(ISNUMBER(L28),L28&gt;0),AND(ISNUMBER(D102),D102&gt;0),AND(ISNUMBER(E102),E102&gt;0),MOD($B$5,1)=0,MOD($F$5,1)=0,MOD($J$5,1)=0,MOD($B$9,1)=0,MOD(K28,1)=0,ISNUMBER(C102),C102&gt;=2,MOD(C102,1)=0,OR($N$9=32,$N$9=64,$N$9=128),ISNUMBER($B$11),$B$11&gt;=0,MOD($B$11,1)=0,ISNUMBER($J$7),$J$7&gt;=0,$J$7&lt;1,AND(ISNUMBER(M28),M28&gt;=0,M28&lt;=1),AND(ISNUMBER(N28),N28&gt;=0,N28&lt;=1))</x:f>
        <x:v>1</x:v>
      </x:c>
      <x:c r="B252" s="12" t="n">
        <x:f>IF(A252,D102*1000,"")</x:f>
        <x:v>4000</x:v>
      </x:c>
      <x:c r="C252" s="12" t="n">
        <x:f>IF(A252,E102*L28,"")</x:f>
        <x:v>20</x:v>
      </x:c>
      <x:c r="D252" s="12" t="n">
        <x:f>IF(A252,M390,"")</x:f>
        <x:v>1.453125</x:v>
      </x:c>
      <x:c r="E252" s="12" t="n">
        <x:f>IF(A252,B28/C28,"")</x:f>
        <x:v>32</x:v>
      </x:c>
      <x:c r="F252" s="12" t="n">
        <x:f>IF(A252,B28/D28,"")</x:f>
        <x:v>256</x:v>
      </x:c>
      <x:c r="G252" s="12" t="n">
        <x:f>IF(A252,$F$5*E252*$B$5*60000/B252,"")</x:f>
        <x:v>7680</x:v>
      </x:c>
      <x:c r="H252" s="12" t="n">
        <x:f>IF(A252,G252/($J$5*F252),"")</x:f>
        <x:v>30</x:v>
      </x:c>
      <x:c r="I252" s="12" t="n">
        <x:f>IF(A252,$B$5*D252/C28/$B$9,"")</x:f>
        <x:v>2.90625</x:v>
      </x:c>
      <x:c r="J252" s="12" t="n">
        <x:f>IF(A252,I252*$F$5/$J$5,"")</x:f>
        <x:v>2.90625</x:v>
      </x:c>
      <x:c r="K252" s="12" t="n">
        <x:f>IF(A252,MAX(I252,J252)*2^30/(J28*1e6),"")</x:f>
        <x:v>0.65011712</x:v>
      </x:c>
      <x:c r="L252" s="12" t="n">
        <x:f>IF(A252,B252/$B$9,"")</x:f>
        <x:v>4000</x:v>
      </x:c>
      <x:c r="M252" s="54" t="n">
        <x:f>IF(A252,K252/L252,"")</x:f>
        <x:v>0.00016252928</x:v>
      </x:c>
      <x:c r="N252" s="12" t="n">
        <x:f>IF(A252,(E28*ROUNDUP(K28/D28,0)*G28*(B28-1)/B28*(ROUNDUP((ROUNDUP(F28*2/32,0)*32+32)/480,0)*512+F28*2+32)+E28*ROUNDUP(H28/B28,0)*(B28-1)*32)/1e9,"")</x:f>
        <x:v>1.96146</x:v>
      </x:c>
      <x:c r="O252" s="12" t="n">
        <x:f>IF(A252,N252*1000/I28,"")</x:f>
        <x:v>0.4086375</x:v>
      </x:c>
      <x:c r="P252" s="12" t="n">
        <x:f>IF(A252,O252/E28,"")</x:f>
        <x:v>0.0054485</x:v>
      </x:c>
      <x:c r="Q252" s="12" t="n">
        <x:f>IF(A252,N252*1000/C252,"")</x:f>
        <x:v>98.07300000000001</x:v>
      </x:c>
      <x:c r="R252" s="12" t="n">
        <x:f>IF(W252="估算",IF(OR(K252=0,O252=0),0,1-((E28-1)*MAX(0,(C252-O252)/E28-(K252))+MAX(0,L252-((E28-1)*C252/E28+P252)-(K252)))/L252),"")</x:f>
        <x:v>0.005097224738333184</x:v>
      </x:c>
      <x:c r="S252" s="12" t="n">
        <x:f>IF(W252="估算",IF(O252=0,0,MAX(0,1-(1-((E28-1)*MAX(0,(C252-O252)/E28-(L252-K252))+MAX(0,L252-((E28-1)*C252/E28+P252)-(L252-K252)))/L252))),"")</x:f>
        <x:v>0</x:v>
      </x:c>
      <x:c r="T252" s="12" t="n">
        <x:f>IF(W252="估算",IF(OR(P252=0,K252=0,$J$7=0),0,IF(P252&lt;=(1-$J$7)*K252,$J$7*P252*K252/(1-$J$7)-$J$7^2*P252^2/(2*(1-$J$7)^2),$J$7*P252*K252+$J$7^2*K252^2/2)/L252),"")</x:f>
        <x:v>9.834760826776236e-8</x:v>
      </x:c>
      <x:c r="U252" s="12" t="n">
        <x:f>IF(A252,60000/C252,"")</x:f>
        <x:v>3000</x:v>
      </x:c>
      <x:c r="V252" s="12" t="n">
        <x:f>IF(W252="估算",U252*E28*T252*M28*N28,"")</x:f>
        <x:v>0.02212821186024653</x:v>
      </x:c>
      <x:c r="W252" s="12" t="str">
        <x:f>IF(NOT(A252),"输入无效",IF(K252&gt;=L252,"KV 超载",IF(O252&gt;C252+1e-9,"TPOT 不自洽",IF(OR(C252&gt;L252,P252&gt;L252-K252),"需时序仿真","估算"))))</x:f>
        <x:v>估算</x:v>
      </x:c>
      <x:c r="X252" s="12" t="n">
        <x:f>IF(W252="估算",U252*M252,"")</x:f>
        <x:v>0.48758784000000005</x:v>
      </x:c>
    </x:row>
    <x:row r="253" ht="25" customHeight="1">
      <x:c r="A253" s="2" t="b">
        <x:f>AND(AND(ISNUMBER($B$5),$B$5&gt;0),AND(ISNUMBER($F$5),$F$5&gt;0),AND(ISNUMBER($J$5),$J$5&gt;0),AND(ISNUMBER($B$9),$B$9&gt;0),AND(ISNUMBER(I28),I28&gt;0),AND(ISNUMBER(J28),J28&gt;0),AND(ISNUMBER(K28),K28&gt;0),AND(ISNUMBER(L28),L28&gt;0),AND(ISNUMBER(D103),D103&gt;0),AND(ISNUMBER(E103),E103&gt;0),MOD($B$5,1)=0,MOD($F$5,1)=0,MOD($J$5,1)=0,MOD($B$9,1)=0,MOD(K28,1)=0,ISNUMBER(C103),C103&gt;=2,MOD(C103,1)=0,OR($N$9=32,$N$9=64,$N$9=128),ISNUMBER($B$11),$B$11&gt;=0,MOD($B$11,1)=0,ISNUMBER($J$7),$J$7&gt;=0,$J$7&lt;1,AND(ISNUMBER(M28),M28&gt;=0,M28&lt;=1),AND(ISNUMBER(N28),N28&gt;=0,N28&lt;=1))</x:f>
        <x:v>1</x:v>
      </x:c>
      <x:c r="B253" s="12" t="n">
        <x:f>IF(A253,D103*1000,"")</x:f>
        <x:v>4000</x:v>
      </x:c>
      <x:c r="C253" s="12" t="n">
        <x:f>IF(A253,E103*L28,"")</x:f>
        <x:v>30</x:v>
      </x:c>
      <x:c r="D253" s="12" t="n">
        <x:f>IF(A253,M390,"")</x:f>
        <x:v>1.453125</x:v>
      </x:c>
      <x:c r="E253" s="12" t="n">
        <x:f>IF(A253,B28/C28,"")</x:f>
        <x:v>32</x:v>
      </x:c>
      <x:c r="F253" s="12" t="n">
        <x:f>IF(A253,B28/D28,"")</x:f>
        <x:v>256</x:v>
      </x:c>
      <x:c r="G253" s="12" t="n">
        <x:f>IF(A253,$F$5*E253*$B$5*60000/B253,"")</x:f>
        <x:v>7680</x:v>
      </x:c>
      <x:c r="H253" s="12" t="n">
        <x:f>IF(A253,G253/($J$5*F253),"")</x:f>
        <x:v>30</x:v>
      </x:c>
      <x:c r="I253" s="12" t="n">
        <x:f>IF(A253,$B$5*D253/C28/$B$9,"")</x:f>
        <x:v>2.90625</x:v>
      </x:c>
      <x:c r="J253" s="12" t="n">
        <x:f>IF(A253,I253*$F$5/$J$5,"")</x:f>
        <x:v>2.90625</x:v>
      </x:c>
      <x:c r="K253" s="12" t="n">
        <x:f>IF(A253,MAX(I253,J253)*2^30/(J28*1e6),"")</x:f>
        <x:v>0.65011712</x:v>
      </x:c>
      <x:c r="L253" s="12" t="n">
        <x:f>IF(A253,B253/$B$9,"")</x:f>
        <x:v>4000</x:v>
      </x:c>
      <x:c r="M253" s="54" t="n">
        <x:f>IF(A253,K253/L253,"")</x:f>
        <x:v>0.00016252928</x:v>
      </x:c>
      <x:c r="N253" s="12" t="n">
        <x:f>IF(A253,(E28*ROUNDUP(K28/D28,0)*G28*(B28-1)/B28*(ROUNDUP((ROUNDUP(F28*2/32,0)*32+32)/480,0)*512+F28*2+32)+E28*ROUNDUP(H28/B28,0)*(B28-1)*32)/1e9,"")</x:f>
        <x:v>1.96146</x:v>
      </x:c>
      <x:c r="O253" s="12" t="n">
        <x:f>IF(A253,N253*1000/I28,"")</x:f>
        <x:v>0.4086375</x:v>
      </x:c>
      <x:c r="P253" s="12" t="n">
        <x:f>IF(A253,O253/E28,"")</x:f>
        <x:v>0.0054485</x:v>
      </x:c>
      <x:c r="Q253" s="12" t="n">
        <x:f>IF(A253,N253*1000/C253,"")</x:f>
        <x:v>65.382</x:v>
      </x:c>
      <x:c r="R253" s="12" t="n">
        <x:f>IF(W253="估算",IF(OR(K253=0,O253=0),0,1-((E28-1)*MAX(0,(C253-O253)/E28-(K253))+MAX(0,L253-((E28-1)*C253/E28+P253)-(K253)))/L253),"")</x:f>
        <x:v>0.007563891404999912</x:v>
      </x:c>
      <x:c r="S253" s="12" t="n">
        <x:f>IF(W253="估算",IF(O253=0,0,MAX(0,1-(1-((E28-1)*MAX(0,(C253-O253)/E28-(L253-K253))+MAX(0,L253-((E28-1)*C253/E28+P253)-(L253-K253)))/L253))),"")</x:f>
        <x:v>0</x:v>
      </x:c>
      <x:c r="T253" s="12" t="n">
        <x:f>IF(W253="估算",IF(OR(P253=0,K253=0,$J$7=0),0,IF(P253&lt;=(1-$J$7)*K253,$J$7*P253*K253/(1-$J$7)-$J$7^2*P253^2/(2*(1-$J$7)^2),$J$7*P253*K253+$J$7^2*K253^2/2)/L253),"")</x:f>
        <x:v>9.834760826776236e-8</x:v>
      </x:c>
      <x:c r="U253" s="12" t="n">
        <x:f>IF(A253,60000/C253,"")</x:f>
        <x:v>2000</x:v>
      </x:c>
      <x:c r="V253" s="12" t="n">
        <x:f>IF(W253="估算",U253*E28*T253*M28*N28,"")</x:f>
        <x:v>0.014752141240164354</x:v>
      </x:c>
      <x:c r="W253" s="12" t="str">
        <x:f>IF(NOT(A253),"输入无效",IF(K253&gt;=L253,"KV 超载",IF(O253&gt;C253+1e-9,"TPOT 不自洽",IF(OR(C253&gt;L253,P253&gt;L253-K253),"需时序仿真","估算"))))</x:f>
        <x:v>估算</x:v>
      </x:c>
      <x:c r="X253" s="12" t="n">
        <x:f>IF(W253="估算",U253*M253,"")</x:f>
        <x:v>0.32505856</x:v>
      </x:c>
    </x:row>
    <x:row r="254" ht="25" customHeight="1">
      <x:c r="A254" s="2" t="b">
        <x:f>AND(AND(ISNUMBER($B$5),$B$5&gt;0),AND(ISNUMBER($F$5),$F$5&gt;0),AND(ISNUMBER($J$5),$J$5&gt;0),AND(ISNUMBER($B$9),$B$9&gt;0),AND(ISNUMBER(I28),I28&gt;0),AND(ISNUMBER(J28),J28&gt;0),AND(ISNUMBER(K28),K28&gt;0),AND(ISNUMBER(L28),L28&gt;0),AND(ISNUMBER(D104),D104&gt;0),AND(ISNUMBER(E104),E104&gt;0),MOD($B$5,1)=0,MOD($F$5,1)=0,MOD($J$5,1)=0,MOD($B$9,1)=0,MOD(K28,1)=0,ISNUMBER(C104),C104&gt;=2,MOD(C104,1)=0,OR($N$9=32,$N$9=64,$N$9=128),ISNUMBER($B$11),$B$11&gt;=0,MOD($B$11,1)=0,ISNUMBER($J$7),$J$7&gt;=0,$J$7&lt;1,AND(ISNUMBER(M28),M28&gt;=0,M28&lt;=1),AND(ISNUMBER(N28),N28&gt;=0,N28&lt;=1))</x:f>
        <x:v>1</x:v>
      </x:c>
      <x:c r="B254" s="12" t="n">
        <x:f>IF(A254,D104*1000,"")</x:f>
        <x:v>20000</x:v>
      </x:c>
      <x:c r="C254" s="12" t="n">
        <x:f>IF(A254,E104*L28,"")</x:f>
        <x:v>5</x:v>
      </x:c>
      <x:c r="D254" s="12" t="n">
        <x:f>IF(A254,M393,"")</x:f>
        <x:v>23.25</x:v>
      </x:c>
      <x:c r="E254" s="12" t="n">
        <x:f>IF(A254,B28/C28,"")</x:f>
        <x:v>32</x:v>
      </x:c>
      <x:c r="F254" s="12" t="n">
        <x:f>IF(A254,B28/D28,"")</x:f>
        <x:v>256</x:v>
      </x:c>
      <x:c r="G254" s="12" t="n">
        <x:f>IF(A254,$F$5*E254*$B$5*60000/B254,"")</x:f>
        <x:v>1536</x:v>
      </x:c>
      <x:c r="H254" s="12" t="n">
        <x:f>IF(A254,G254/($J$5*F254),"")</x:f>
        <x:v>6</x:v>
      </x:c>
      <x:c r="I254" s="12" t="n">
        <x:f>IF(A254,$B$5*D254/C28/$B$9,"")</x:f>
        <x:v>46.5</x:v>
      </x:c>
      <x:c r="J254" s="12" t="n">
        <x:f>IF(A254,I254*$F$5/$J$5,"")</x:f>
        <x:v>46.5</x:v>
      </x:c>
      <x:c r="K254" s="12" t="n">
        <x:f>IF(A254,MAX(I254,J254)*2^30/(J28*1e6),"")</x:f>
        <x:v>10.40187392</x:v>
      </x:c>
      <x:c r="L254" s="12" t="n">
        <x:f>IF(A254,B254/$B$9,"")</x:f>
        <x:v>20000</x:v>
      </x:c>
      <x:c r="M254" s="54" t="n">
        <x:f>IF(A254,K254/L254,"")</x:f>
        <x:v>0.000520093696</x:v>
      </x:c>
      <x:c r="N254" s="12" t="n">
        <x:f>IF(A254,(E28*ROUNDUP(K28/D28,0)*G28*(B28-1)/B28*(ROUNDUP((ROUNDUP(F28*2/32,0)*32+32)/480,0)*512+F28*2+32)+E28*ROUNDUP(H28/B28,0)*(B28-1)*32)/1e9,"")</x:f>
        <x:v>1.96146</x:v>
      </x:c>
      <x:c r="O254" s="12" t="n">
        <x:f>IF(A254,N254*1000/I28,"")</x:f>
        <x:v>0.4086375</x:v>
      </x:c>
      <x:c r="P254" s="12" t="n">
        <x:f>IF(A254,O254/E28,"")</x:f>
        <x:v>0.0054485</x:v>
      </x:c>
      <x:c r="Q254" s="12" t="n">
        <x:f>IF(A254,N254*1000/C254,"")</x:f>
        <x:v>392.29200000000003</x:v>
      </x:c>
      <x:c r="R254" s="12" t="n">
        <x:f>IF(W254="估算",IF(OR(K254=0,O254=0),0,1-((E28-1)*MAX(0,(C254-O254)/E28-(K254))+MAX(0,L254-((E28-1)*C254/E28+P254)-(K254)))/L254),"")</x:f>
        <x:v>0.000767032787666766</x:v>
      </x:c>
      <x:c r="S254" s="12" t="n">
        <x:f>IF(W254="估算",IF(O254=0,0,MAX(0,1-(1-((E28-1)*MAX(0,(C254-O254)/E28-(L254-K254))+MAX(0,L254-((E28-1)*C254/E28+P254)-(L254-K254)))/L254))),"")</x:f>
        <x:v>0.0002731546043333033</x:v>
      </x:c>
      <x:c r="T254" s="12" t="n">
        <x:f>IF(W254="估算",IF(OR(P254=0,K254=0,$J$7=0),0,IF(P254&lt;=(1-$J$7)*K254,$J$7*P254*K254/(1-$J$7)-$J$7^2*P254^2/(2*(1-$J$7)^2),$J$7*P254*K254+$J$7^2*K254^2/2)/L254),"")</x:f>
        <x:v>3.148497823468858e-7</x:v>
      </x:c>
      <x:c r="U254" s="12" t="n">
        <x:f>IF(A254,60000/C254,"")</x:f>
        <x:v>12000</x:v>
      </x:c>
      <x:c r="V254" s="12" t="n">
        <x:f>IF(W254="估算",U254*E28*T254*M28*N28,"")</x:f>
        <x:v>0.2833648041121972</x:v>
      </x:c>
      <x:c r="W254" s="12" t="str">
        <x:f>IF(NOT(A254),"输入无效",IF(K254&gt;=L254,"KV 超载",IF(O254&gt;C254+1e-9,"TPOT 不自洽",IF(OR(C254&gt;L254,P254&gt;L254-K254),"需时序仿真","估算"))))</x:f>
        <x:v>估算</x:v>
      </x:c>
      <x:c r="X254" s="12" t="n">
        <x:f>IF(W254="估算",U254*M254,"")</x:f>
        <x:v>6.241124352000001</x:v>
      </x:c>
    </x:row>
    <x:row r="255" ht="25" customHeight="1">
      <x:c r="A255" s="2" t="b">
        <x:f>AND(AND(ISNUMBER($B$5),$B$5&gt;0),AND(ISNUMBER($F$5),$F$5&gt;0),AND(ISNUMBER($J$5),$J$5&gt;0),AND(ISNUMBER($B$9),$B$9&gt;0),AND(ISNUMBER(I28),I28&gt;0),AND(ISNUMBER(J28),J28&gt;0),AND(ISNUMBER(K28),K28&gt;0),AND(ISNUMBER(L28),L28&gt;0),AND(ISNUMBER(D105),D105&gt;0),AND(ISNUMBER(E105),E105&gt;0),MOD($B$5,1)=0,MOD($F$5,1)=0,MOD($J$5,1)=0,MOD($B$9,1)=0,MOD(K28,1)=0,ISNUMBER(C105),C105&gt;=2,MOD(C105,1)=0,OR($N$9=32,$N$9=64,$N$9=128),ISNUMBER($B$11),$B$11&gt;=0,MOD($B$11,1)=0,ISNUMBER($J$7),$J$7&gt;=0,$J$7&lt;1,AND(ISNUMBER(M28),M28&gt;=0,M28&lt;=1),AND(ISNUMBER(N28),N28&gt;=0,N28&lt;=1))</x:f>
        <x:v>1</x:v>
      </x:c>
      <x:c r="B255" s="12" t="n">
        <x:f>IF(A255,D105*1000,"")</x:f>
        <x:v>20000</x:v>
      </x:c>
      <x:c r="C255" s="12" t="n">
        <x:f>IF(A255,E105*L28,"")</x:f>
        <x:v>10</x:v>
      </x:c>
      <x:c r="D255" s="12" t="n">
        <x:f>IF(A255,M393,"")</x:f>
        <x:v>23.25</x:v>
      </x:c>
      <x:c r="E255" s="12" t="n">
        <x:f>IF(A255,B28/C28,"")</x:f>
        <x:v>32</x:v>
      </x:c>
      <x:c r="F255" s="12" t="n">
        <x:f>IF(A255,B28/D28,"")</x:f>
        <x:v>256</x:v>
      </x:c>
      <x:c r="G255" s="12" t="n">
        <x:f>IF(A255,$F$5*E255*$B$5*60000/B255,"")</x:f>
        <x:v>1536</x:v>
      </x:c>
      <x:c r="H255" s="12" t="n">
        <x:f>IF(A255,G255/($J$5*F255),"")</x:f>
        <x:v>6</x:v>
      </x:c>
      <x:c r="I255" s="12" t="n">
        <x:f>IF(A255,$B$5*D255/C28/$B$9,"")</x:f>
        <x:v>46.5</x:v>
      </x:c>
      <x:c r="J255" s="12" t="n">
        <x:f>IF(A255,I255*$F$5/$J$5,"")</x:f>
        <x:v>46.5</x:v>
      </x:c>
      <x:c r="K255" s="12" t="n">
        <x:f>IF(A255,MAX(I255,J255)*2^30/(J28*1e6),"")</x:f>
        <x:v>10.40187392</x:v>
      </x:c>
      <x:c r="L255" s="12" t="n">
        <x:f>IF(A255,B255/$B$9,"")</x:f>
        <x:v>20000</x:v>
      </x:c>
      <x:c r="M255" s="54" t="n">
        <x:f>IF(A255,K255/L255,"")</x:f>
        <x:v>0.000520093696</x:v>
      </x:c>
      <x:c r="N255" s="12" t="n">
        <x:f>IF(A255,(E28*ROUNDUP(K28/D28,0)*G28*(B28-1)/B28*(ROUNDUP((ROUNDUP(F28*2/32,0)*32+32)/480,0)*512+F28*2+32)+E28*ROUNDUP(H28/B28,0)*(B28-1)*32)/1e9,"")</x:f>
        <x:v>1.96146</x:v>
      </x:c>
      <x:c r="O255" s="12" t="n">
        <x:f>IF(A255,N255*1000/I28,"")</x:f>
        <x:v>0.4086375</x:v>
      </x:c>
      <x:c r="P255" s="12" t="n">
        <x:f>IF(A255,O255/E28,"")</x:f>
        <x:v>0.0054485</x:v>
      </x:c>
      <x:c r="Q255" s="12" t="n">
        <x:f>IF(A255,N255*1000/C255,"")</x:f>
        <x:v>196.14600000000002</x:v>
      </x:c>
      <x:c r="R255" s="12" t="n">
        <x:f>IF(W255="估算",IF(OR(K255=0,O255=0),0,1-((E28-1)*MAX(0,(C255-O255)/E28-(K255))+MAX(0,L255-((E28-1)*C255/E28+P255)-(K255)))/L255),"")</x:f>
        <x:v>0.0010136994543332722</x:v>
      </x:c>
      <x:c r="S255" s="12" t="n">
        <x:f>IF(W255="估算",IF(O255=0,0,MAX(0,1-(1-((E28-1)*MAX(0,(C255-O255)/E28-(L255-K255))+MAX(0,L255-((E28-1)*C255/E28+P255)-(L255-K255)))/L255))),"")</x:f>
        <x:v>0.000026487937666797023</x:v>
      </x:c>
      <x:c r="T255" s="12" t="n">
        <x:f>IF(W255="估算",IF(OR(P255=0,K255=0,$J$7=0),0,IF(P255&lt;=(1-$J$7)*K255,$J$7*P255*K255/(1-$J$7)-$J$7^2*P255^2/(2*(1-$J$7)^2),$J$7*P255*K255+$J$7^2*K255^2/2)/L255),"")</x:f>
        <x:v>3.148497823468858e-7</x:v>
      </x:c>
      <x:c r="U255" s="12" t="n">
        <x:f>IF(A255,60000/C255,"")</x:f>
        <x:v>6000</x:v>
      </x:c>
      <x:c r="V255" s="12" t="n">
        <x:f>IF(W255="估算",U255*E28*T255*M28*N28,"")</x:f>
        <x:v>0.1416824020560986</x:v>
      </x:c>
      <x:c r="W255" s="12" t="str">
        <x:f>IF(NOT(A255),"输入无效",IF(K255&gt;=L255,"KV 超载",IF(O255&gt;C255+1e-9,"TPOT 不自洽",IF(OR(C255&gt;L255,P255&gt;L255-K255),"需时序仿真","估算"))))</x:f>
        <x:v>估算</x:v>
      </x:c>
      <x:c r="X255" s="12" t="n">
        <x:f>IF(W255="估算",U255*M255,"")</x:f>
        <x:v>3.1205621760000004</x:v>
      </x:c>
    </x:row>
    <x:row r="256" ht="25" customHeight="1">
      <x:c r="A256" s="2" t="b">
        <x:f>AND(AND(ISNUMBER($B$5),$B$5&gt;0),AND(ISNUMBER($F$5),$F$5&gt;0),AND(ISNUMBER($J$5),$J$5&gt;0),AND(ISNUMBER($B$9),$B$9&gt;0),AND(ISNUMBER(I28),I28&gt;0),AND(ISNUMBER(J28),J28&gt;0),AND(ISNUMBER(K28),K28&gt;0),AND(ISNUMBER(L28),L28&gt;0),AND(ISNUMBER(D106),D106&gt;0),AND(ISNUMBER(E106),E106&gt;0),MOD($B$5,1)=0,MOD($F$5,1)=0,MOD($J$5,1)=0,MOD($B$9,1)=0,MOD(K28,1)=0,ISNUMBER(C106),C106&gt;=2,MOD(C106,1)=0,OR($N$9=32,$N$9=64,$N$9=128),ISNUMBER($B$11),$B$11&gt;=0,MOD($B$11,1)=0,ISNUMBER($J$7),$J$7&gt;=0,$J$7&lt;1,AND(ISNUMBER(M28),M28&gt;=0,M28&lt;=1),AND(ISNUMBER(N28),N28&gt;=0,N28&lt;=1))</x:f>
        <x:v>1</x:v>
      </x:c>
      <x:c r="B256" s="12" t="n">
        <x:f>IF(A256,D106*1000,"")</x:f>
        <x:v>20000</x:v>
      </x:c>
      <x:c r="C256" s="12" t="n">
        <x:f>IF(A256,E106*L28,"")</x:f>
        <x:v>20</x:v>
      </x:c>
      <x:c r="D256" s="12" t="n">
        <x:f>IF(A256,M393,"")</x:f>
        <x:v>23.25</x:v>
      </x:c>
      <x:c r="E256" s="12" t="n">
        <x:f>IF(A256,B28/C28,"")</x:f>
        <x:v>32</x:v>
      </x:c>
      <x:c r="F256" s="12" t="n">
        <x:f>IF(A256,B28/D28,"")</x:f>
        <x:v>256</x:v>
      </x:c>
      <x:c r="G256" s="12" t="n">
        <x:f>IF(A256,$F$5*E256*$B$5*60000/B256,"")</x:f>
        <x:v>1536</x:v>
      </x:c>
      <x:c r="H256" s="12" t="n">
        <x:f>IF(A256,G256/($J$5*F256),"")</x:f>
        <x:v>6</x:v>
      </x:c>
      <x:c r="I256" s="12" t="n">
        <x:f>IF(A256,$B$5*D256/C28/$B$9,"")</x:f>
        <x:v>46.5</x:v>
      </x:c>
      <x:c r="J256" s="12" t="n">
        <x:f>IF(A256,I256*$F$5/$J$5,"")</x:f>
        <x:v>46.5</x:v>
      </x:c>
      <x:c r="K256" s="12" t="n">
        <x:f>IF(A256,MAX(I256,J256)*2^30/(J28*1e6),"")</x:f>
        <x:v>10.40187392</x:v>
      </x:c>
      <x:c r="L256" s="12" t="n">
        <x:f>IF(A256,B256/$B$9,"")</x:f>
        <x:v>20000</x:v>
      </x:c>
      <x:c r="M256" s="54" t="n">
        <x:f>IF(A256,K256/L256,"")</x:f>
        <x:v>0.000520093696</x:v>
      </x:c>
      <x:c r="N256" s="12" t="n">
        <x:f>IF(A256,(E28*ROUNDUP(K28/D28,0)*G28*(B28-1)/B28*(ROUNDUP((ROUNDUP(F28*2/32,0)*32+32)/480,0)*512+F28*2+32)+E28*ROUNDUP(H28/B28,0)*(B28-1)*32)/1e9,"")</x:f>
        <x:v>1.96146</x:v>
      </x:c>
      <x:c r="O256" s="12" t="n">
        <x:f>IF(A256,N256*1000/I28,"")</x:f>
        <x:v>0.4086375</x:v>
      </x:c>
      <x:c r="P256" s="12" t="n">
        <x:f>IF(A256,O256/E28,"")</x:f>
        <x:v>0.0054485</x:v>
      </x:c>
      <x:c r="Q256" s="12" t="n">
        <x:f>IF(A256,N256*1000/C256,"")</x:f>
        <x:v>98.07300000000001</x:v>
      </x:c>
      <x:c r="R256" s="12" t="n">
        <x:f>IF(W256="估算",IF(OR(K256=0,O256=0),0,1-((E28-1)*MAX(0,(C256-O256)/E28-(K256))+MAX(0,L256-((E28-1)*C256/E28+P256)-(K256)))/L256),"")</x:f>
        <x:v>0.0015070327876667289</x:v>
      </x:c>
      <x:c r="S256" s="12" t="n">
        <x:f>IF(W256="估算",IF(O256=0,0,MAX(0,1-(1-((E28-1)*MAX(0,(C256-O256)/E28-(L256-K256))+MAX(0,L256-((E28-1)*C256/E28+P256)-(L256-K256)))/L256))),"")</x:f>
        <x:v>0</x:v>
      </x:c>
      <x:c r="T256" s="12" t="n">
        <x:f>IF(W256="估算",IF(OR(P256=0,K256=0,$J$7=0),0,IF(P256&lt;=(1-$J$7)*K256,$J$7*P256*K256/(1-$J$7)-$J$7^2*P256^2/(2*(1-$J$7)^2),$J$7*P256*K256+$J$7^2*K256^2/2)/L256),"")</x:f>
        <x:v>3.148497823468858e-7</x:v>
      </x:c>
      <x:c r="U256" s="12" t="n">
        <x:f>IF(A256,60000/C256,"")</x:f>
        <x:v>3000</x:v>
      </x:c>
      <x:c r="V256" s="12" t="n">
        <x:f>IF(W256="估算",U256*E28*T256*M28*N28,"")</x:f>
        <x:v>0.0708412010280493</x:v>
      </x:c>
      <x:c r="W256" s="12" t="str">
        <x:f>IF(NOT(A256),"输入无效",IF(K256&gt;=L256,"KV 超载",IF(O256&gt;C256+1e-9,"TPOT 不自洽",IF(OR(C256&gt;L256,P256&gt;L256-K256),"需时序仿真","估算"))))</x:f>
        <x:v>估算</x:v>
      </x:c>
      <x:c r="X256" s="12" t="n">
        <x:f>IF(W256="估算",U256*M256,"")</x:f>
        <x:v>1.5602810880000002</x:v>
      </x:c>
    </x:row>
    <x:row r="257" ht="25" customHeight="1">
      <x:c r="A257" s="2" t="b">
        <x:f>AND(AND(ISNUMBER($B$5),$B$5&gt;0),AND(ISNUMBER($F$5),$F$5&gt;0),AND(ISNUMBER($J$5),$J$5&gt;0),AND(ISNUMBER($B$9),$B$9&gt;0),AND(ISNUMBER(I28),I28&gt;0),AND(ISNUMBER(J28),J28&gt;0),AND(ISNUMBER(K28),K28&gt;0),AND(ISNUMBER(L28),L28&gt;0),AND(ISNUMBER(D107),D107&gt;0),AND(ISNUMBER(E107),E107&gt;0),MOD($B$5,1)=0,MOD($F$5,1)=0,MOD($J$5,1)=0,MOD($B$9,1)=0,MOD(K28,1)=0,ISNUMBER(C107),C107&gt;=2,MOD(C107,1)=0,OR($N$9=32,$N$9=64,$N$9=128),ISNUMBER($B$11),$B$11&gt;=0,MOD($B$11,1)=0,ISNUMBER($J$7),$J$7&gt;=0,$J$7&lt;1,AND(ISNUMBER(M28),M28&gt;=0,M28&lt;=1),AND(ISNUMBER(N28),N28&gt;=0,N28&lt;=1))</x:f>
        <x:v>1</x:v>
      </x:c>
      <x:c r="B257" s="12" t="n">
        <x:f>IF(A257,D107*1000,"")</x:f>
        <x:v>20000</x:v>
      </x:c>
      <x:c r="C257" s="12" t="n">
        <x:f>IF(A257,E107*L28,"")</x:f>
        <x:v>30</x:v>
      </x:c>
      <x:c r="D257" s="12" t="n">
        <x:f>IF(A257,M393,"")</x:f>
        <x:v>23.25</x:v>
      </x:c>
      <x:c r="E257" s="12" t="n">
        <x:f>IF(A257,B28/C28,"")</x:f>
        <x:v>32</x:v>
      </x:c>
      <x:c r="F257" s="12" t="n">
        <x:f>IF(A257,B28/D28,"")</x:f>
        <x:v>256</x:v>
      </x:c>
      <x:c r="G257" s="12" t="n">
        <x:f>IF(A257,$F$5*E257*$B$5*60000/B257,"")</x:f>
        <x:v>1536</x:v>
      </x:c>
      <x:c r="H257" s="12" t="n">
        <x:f>IF(A257,G257/($J$5*F257),"")</x:f>
        <x:v>6</x:v>
      </x:c>
      <x:c r="I257" s="12" t="n">
        <x:f>IF(A257,$B$5*D257/C28/$B$9,"")</x:f>
        <x:v>46.5</x:v>
      </x:c>
      <x:c r="J257" s="12" t="n">
        <x:f>IF(A257,I257*$F$5/$J$5,"")</x:f>
        <x:v>46.5</x:v>
      </x:c>
      <x:c r="K257" s="12" t="n">
        <x:f>IF(A257,MAX(I257,J257)*2^30/(J28*1e6),"")</x:f>
        <x:v>10.40187392</x:v>
      </x:c>
      <x:c r="L257" s="12" t="n">
        <x:f>IF(A257,B257/$B$9,"")</x:f>
        <x:v>20000</x:v>
      </x:c>
      <x:c r="M257" s="54" t="n">
        <x:f>IF(A257,K257/L257,"")</x:f>
        <x:v>0.000520093696</x:v>
      </x:c>
      <x:c r="N257" s="12" t="n">
        <x:f>IF(A257,(E28*ROUNDUP(K28/D28,0)*G28*(B28-1)/B28*(ROUNDUP((ROUNDUP(F28*2/32,0)*32+32)/480,0)*512+F28*2+32)+E28*ROUNDUP(H28/B28,0)*(B28-1)*32)/1e9,"")</x:f>
        <x:v>1.96146</x:v>
      </x:c>
      <x:c r="O257" s="12" t="n">
        <x:f>IF(A257,N257*1000/I28,"")</x:f>
        <x:v>0.4086375</x:v>
      </x:c>
      <x:c r="P257" s="12" t="n">
        <x:f>IF(A257,O257/E28,"")</x:f>
        <x:v>0.0054485</x:v>
      </x:c>
      <x:c r="Q257" s="12" t="n">
        <x:f>IF(A257,N257*1000/C257,"")</x:f>
        <x:v>65.382</x:v>
      </x:c>
      <x:c r="R257" s="12" t="n">
        <x:f>IF(W257="估算",IF(OR(K257=0,O257=0),0,1-((E28-1)*MAX(0,(C257-O257)/E28-(K257))+MAX(0,L257-((E28-1)*C257/E28+P257)-(K257)))/L257),"")</x:f>
        <x:v>0.0020003661209999635</x:v>
      </x:c>
      <x:c r="S257" s="12" t="n">
        <x:f>IF(W257="估算",IF(O257=0,0,MAX(0,1-(1-((E28-1)*MAX(0,(C257-O257)/E28-(L257-K257))+MAX(0,L257-((E28-1)*C257/E28+P257)-(L257-K257)))/L257))),"")</x:f>
        <x:v>0</x:v>
      </x:c>
      <x:c r="T257" s="12" t="n">
        <x:f>IF(W257="估算",IF(OR(P257=0,K257=0,$J$7=0),0,IF(P257&lt;=(1-$J$7)*K257,$J$7*P257*K257/(1-$J$7)-$J$7^2*P257^2/(2*(1-$J$7)^2),$J$7*P257*K257+$J$7^2*K257^2/2)/L257),"")</x:f>
        <x:v>3.148497823468858e-7</x:v>
      </x:c>
      <x:c r="U257" s="12" t="n">
        <x:f>IF(A257,60000/C257,"")</x:f>
        <x:v>2000</x:v>
      </x:c>
      <x:c r="V257" s="12" t="n">
        <x:f>IF(W257="估算",U257*E28*T257*M28*N28,"")</x:f>
        <x:v>0.04722746735203287</x:v>
      </x:c>
      <x:c r="W257" s="12" t="str">
        <x:f>IF(NOT(A257),"输入无效",IF(K257&gt;=L257,"KV 超载",IF(O257&gt;C257+1e-9,"TPOT 不自洽",IF(OR(C257&gt;L257,P257&gt;L257-K257),"需时序仿真","估算"))))</x:f>
        <x:v>估算</x:v>
      </x:c>
      <x:c r="X257" s="12" t="n">
        <x:f>IF(W257="估算",U257*M257,"")</x:f>
        <x:v>1.040187392</x:v>
      </x:c>
    </x:row>
    <x:row r="258" ht="25" customHeight="1">
      <x:c r="A258" s="2" t="b">
        <x:f>AND(AND(ISNUMBER($B$5),$B$5&gt;0),AND(ISNUMBER($F$5),$F$5&gt;0),AND(ISNUMBER($J$5),$J$5&gt;0),AND(ISNUMBER($B$9),$B$9&gt;0),AND(ISNUMBER(I28),I28&gt;0),AND(ISNUMBER(J28),J28&gt;0),AND(ISNUMBER(K28),K28&gt;0),AND(ISNUMBER(L28),L28&gt;0),AND(ISNUMBER(D108),D108&gt;0),AND(ISNUMBER(E108),E108&gt;0),MOD($B$5,1)=0,MOD($F$5,1)=0,MOD($J$5,1)=0,MOD($B$9,1)=0,MOD(K28,1)=0,ISNUMBER(C108),C108&gt;=2,MOD(C108,1)=0,OR($N$9=32,$N$9=64,$N$9=128),ISNUMBER($B$11),$B$11&gt;=0,MOD($B$11,1)=0,ISNUMBER($J$7),$J$7&gt;=0,$J$7&lt;1,AND(ISNUMBER(M28),M28&gt;=0,M28&lt;=1),AND(ISNUMBER(N28),N28&gt;=0,N28&lt;=1))</x:f>
        <x:v>1</x:v>
      </x:c>
      <x:c r="B258" s="12" t="n">
        <x:f>IF(A258,D108*1000,"")</x:f>
        <x:v>60000</x:v>
      </x:c>
      <x:c r="C258" s="12" t="n">
        <x:f>IF(A258,E108*L28,"")</x:f>
        <x:v>5</x:v>
      </x:c>
      <x:c r="D258" s="12" t="n">
        <x:f>IF(A258,M396,"")</x:f>
        <x:v>93</x:v>
      </x:c>
      <x:c r="E258" s="12" t="n">
        <x:f>IF(A258,B28/C28,"")</x:f>
        <x:v>32</x:v>
      </x:c>
      <x:c r="F258" s="12" t="n">
        <x:f>IF(A258,B28/D28,"")</x:f>
        <x:v>256</x:v>
      </x:c>
      <x:c r="G258" s="12" t="n">
        <x:f>IF(A258,$F$5*E258*$B$5*60000/B258,"")</x:f>
        <x:v>512</x:v>
      </x:c>
      <x:c r="H258" s="12" t="n">
        <x:f>IF(A258,G258/($J$5*F258),"")</x:f>
        <x:v>2</x:v>
      </x:c>
      <x:c r="I258" s="12" t="n">
        <x:f>IF(A258,$B$5*D258/C28/$B$9,"")</x:f>
        <x:v>186</x:v>
      </x:c>
      <x:c r="J258" s="12" t="n">
        <x:f>IF(A258,I258*$F$5/$J$5,"")</x:f>
        <x:v>186</x:v>
      </x:c>
      <x:c r="K258" s="12" t="n">
        <x:f>IF(A258,MAX(I258,J258)*2^30/(J28*1e6),"")</x:f>
        <x:v>41.60749568</x:v>
      </x:c>
      <x:c r="L258" s="12" t="n">
        <x:f>IF(A258,B258/$B$9,"")</x:f>
        <x:v>60000</x:v>
      </x:c>
      <x:c r="M258" s="54" t="n">
        <x:f>IF(A258,K258/L258,"")</x:f>
        <x:v>0.0006934582613333333</x:v>
      </x:c>
      <x:c r="N258" s="12" t="n">
        <x:f>IF(A258,(E28*ROUNDUP(K28/D28,0)*G28*(B28-1)/B28*(ROUNDUP((ROUNDUP(F28*2/32,0)*32+32)/480,0)*512+F28*2+32)+E28*ROUNDUP(H28/B28,0)*(B28-1)*32)/1e9,"")</x:f>
        <x:v>1.96146</x:v>
      </x:c>
      <x:c r="O258" s="12" t="n">
        <x:f>IF(A258,N258*1000/I28,"")</x:f>
        <x:v>0.4086375</x:v>
      </x:c>
      <x:c r="P258" s="12" t="n">
        <x:f>IF(A258,O258/E28,"")</x:f>
        <x:v>0.0054485</x:v>
      </x:c>
      <x:c r="Q258" s="12" t="n">
        <x:f>IF(A258,N258*1000/C258,"")</x:f>
        <x:v>392.29200000000003</x:v>
      </x:c>
      <x:c r="R258" s="12" t="n">
        <x:f>IF(W258="估算",IF(OR(K258=0,O258=0),0,1-((E28-1)*MAX(0,(C258-O258)/E28-(K258))+MAX(0,L258-((E28-1)*C258/E28+P258)-(K258)))/L258),"")</x:f>
        <x:v>0.0007757712918888826</x:v>
      </x:c>
      <x:c r="S258" s="12" t="n">
        <x:f>IF(W258="估算",IF(O258=0,0,MAX(0,1-(1-((E28-1)*MAX(0,(C258-O258)/E28-(L258-K258))+MAX(0,L258-((E28-1)*C258/E28+P258)-(L258-K258)))/L258))),"")</x:f>
        <x:v>0.0006111452307777654</x:v>
      </x:c>
      <x:c r="T258" s="12" t="n">
        <x:f>IF(W258="估算",IF(OR(P258=0,K258=0,$J$7=0),0,IF(P258&lt;=(1-$J$7)*K258,$J$7*P258*K258/(1-$J$7)-$J$7^2*P258^2/(2*(1-$J$7)^2),$J$7*P258*K258+$J$7^2*K258^2/2)/L258),"")</x:f>
        <x:v>4.1980887218851754e-7</x:v>
      </x:c>
      <x:c r="U258" s="12" t="n">
        <x:f>IF(A258,60000/C258,"")</x:f>
        <x:v>12000</x:v>
      </x:c>
      <x:c r="V258" s="12" t="n">
        <x:f>IF(W258="估算",U258*E28*T258*M28*N28,"")</x:f>
        <x:v>0.3778279849696658</x:v>
      </x:c>
      <x:c r="W258" s="12" t="str">
        <x:f>IF(NOT(A258),"输入无效",IF(K258&gt;=L258,"KV 超载",IF(O258&gt;C258+1e-9,"TPOT 不自洽",IF(OR(C258&gt;L258,P258&gt;L258-K258),"需时序仿真","估算"))))</x:f>
        <x:v>估算</x:v>
      </x:c>
      <x:c r="X258" s="12" t="n">
        <x:f>IF(W258="估算",U258*M258,"")</x:f>
        <x:v>8.321499136</x:v>
      </x:c>
    </x:row>
    <x:row r="259" ht="25" customHeight="1">
      <x:c r="A259" s="2" t="b">
        <x:f>AND(AND(ISNUMBER($B$5),$B$5&gt;0),AND(ISNUMBER($F$5),$F$5&gt;0),AND(ISNUMBER($J$5),$J$5&gt;0),AND(ISNUMBER($B$9),$B$9&gt;0),AND(ISNUMBER(I28),I28&gt;0),AND(ISNUMBER(J28),J28&gt;0),AND(ISNUMBER(K28),K28&gt;0),AND(ISNUMBER(L28),L28&gt;0),AND(ISNUMBER(D109),D109&gt;0),AND(ISNUMBER(E109),E109&gt;0),MOD($B$5,1)=0,MOD($F$5,1)=0,MOD($J$5,1)=0,MOD($B$9,1)=0,MOD(K28,1)=0,ISNUMBER(C109),C109&gt;=2,MOD(C109,1)=0,OR($N$9=32,$N$9=64,$N$9=128),ISNUMBER($B$11),$B$11&gt;=0,MOD($B$11,1)=0,ISNUMBER($J$7),$J$7&gt;=0,$J$7&lt;1,AND(ISNUMBER(M28),M28&gt;=0,M28&lt;=1),AND(ISNUMBER(N28),N28&gt;=0,N28&lt;=1))</x:f>
        <x:v>1</x:v>
      </x:c>
      <x:c r="B259" s="12" t="n">
        <x:f>IF(A259,D109*1000,"")</x:f>
        <x:v>60000</x:v>
      </x:c>
      <x:c r="C259" s="12" t="n">
        <x:f>IF(A259,E109*L28,"")</x:f>
        <x:v>10</x:v>
      </x:c>
      <x:c r="D259" s="12" t="n">
        <x:f>IF(A259,M396,"")</x:f>
        <x:v>93</x:v>
      </x:c>
      <x:c r="E259" s="12" t="n">
        <x:f>IF(A259,B28/C28,"")</x:f>
        <x:v>32</x:v>
      </x:c>
      <x:c r="F259" s="12" t="n">
        <x:f>IF(A259,B28/D28,"")</x:f>
        <x:v>256</x:v>
      </x:c>
      <x:c r="G259" s="12" t="n">
        <x:f>IF(A259,$F$5*E259*$B$5*60000/B259,"")</x:f>
        <x:v>512</x:v>
      </x:c>
      <x:c r="H259" s="12" t="n">
        <x:f>IF(A259,G259/($J$5*F259),"")</x:f>
        <x:v>2</x:v>
      </x:c>
      <x:c r="I259" s="12" t="n">
        <x:f>IF(A259,$B$5*D259/C28/$B$9,"")</x:f>
        <x:v>186</x:v>
      </x:c>
      <x:c r="J259" s="12" t="n">
        <x:f>IF(A259,I259*$F$5/$J$5,"")</x:f>
        <x:v>186</x:v>
      </x:c>
      <x:c r="K259" s="12" t="n">
        <x:f>IF(A259,MAX(I259,J259)*2^30/(J28*1e6),"")</x:f>
        <x:v>41.60749568</x:v>
      </x:c>
      <x:c r="L259" s="12" t="n">
        <x:f>IF(A259,B259/$B$9,"")</x:f>
        <x:v>60000</x:v>
      </x:c>
      <x:c r="M259" s="54" t="n">
        <x:f>IF(A259,K259/L259,"")</x:f>
        <x:v>0.0006934582613333333</x:v>
      </x:c>
      <x:c r="N259" s="12" t="n">
        <x:f>IF(A259,(E28*ROUNDUP(K28/D28,0)*G28*(B28-1)/B28*(ROUNDUP((ROUNDUP(F28*2/32,0)*32+32)/480,0)*512+F28*2+32)+E28*ROUNDUP(H28/B28,0)*(B28-1)*32)/1e9,"")</x:f>
        <x:v>1.96146</x:v>
      </x:c>
      <x:c r="O259" s="12" t="n">
        <x:f>IF(A259,N259*1000/I28,"")</x:f>
        <x:v>0.4086375</x:v>
      </x:c>
      <x:c r="P259" s="12" t="n">
        <x:f>IF(A259,O259/E28,"")</x:f>
        <x:v>0.0054485</x:v>
      </x:c>
      <x:c r="Q259" s="12" t="n">
        <x:f>IF(A259,N259*1000/C259,"")</x:f>
        <x:v>196.14600000000002</x:v>
      </x:c>
      <x:c r="R259" s="12" t="n">
        <x:f>IF(W259="估算",IF(OR(K259=0,O259=0),0,1-((E28-1)*MAX(0,(C259-O259)/E28-(K259))+MAX(0,L259-((E28-1)*C259/E28+P259)-(K259)))/L259),"")</x:f>
        <x:v>0.0008579935141111994</x:v>
      </x:c>
      <x:c r="S259" s="12" t="n">
        <x:f>IF(W259="估算",IF(O259=0,0,MAX(0,1-(1-((E28-1)*MAX(0,(C259-O259)/E28-(L259-K259))+MAX(0,L259-((E28-1)*C259/E28+P259)-(L259-K259)))/L259))),"")</x:f>
        <x:v>0.0005289230085555596</x:v>
      </x:c>
      <x:c r="T259" s="12" t="n">
        <x:f>IF(W259="估算",IF(OR(P259=0,K259=0,$J$7=0),0,IF(P259&lt;=(1-$J$7)*K259,$J$7*P259*K259/(1-$J$7)-$J$7^2*P259^2/(2*(1-$J$7)^2),$J$7*P259*K259+$J$7^2*K259^2/2)/L259),"")</x:f>
        <x:v>4.1980887218851754e-7</x:v>
      </x:c>
      <x:c r="U259" s="12" t="n">
        <x:f>IF(A259,60000/C259,"")</x:f>
        <x:v>6000</x:v>
      </x:c>
      <x:c r="V259" s="12" t="n">
        <x:f>IF(W259="估算",U259*E28*T259*M28*N28,"")</x:f>
        <x:v>0.1889139924848329</x:v>
      </x:c>
      <x:c r="W259" s="12" t="str">
        <x:f>IF(NOT(A259),"输入无效",IF(K259&gt;=L259,"KV 超载",IF(O259&gt;C259+1e-9,"TPOT 不自洽",IF(OR(C259&gt;L259,P259&gt;L259-K259),"需时序仿真","估算"))))</x:f>
        <x:v>估算</x:v>
      </x:c>
      <x:c r="X259" s="12" t="n">
        <x:f>IF(W259="估算",U259*M259,"")</x:f>
        <x:v>4.160749568</x:v>
      </x:c>
    </x:row>
    <x:row r="260" ht="25" customHeight="1">
      <x:c r="A260" s="2" t="b">
        <x:f>AND(AND(ISNUMBER($B$5),$B$5&gt;0),AND(ISNUMBER($F$5),$F$5&gt;0),AND(ISNUMBER($J$5),$J$5&gt;0),AND(ISNUMBER($B$9),$B$9&gt;0),AND(ISNUMBER(I28),I28&gt;0),AND(ISNUMBER(J28),J28&gt;0),AND(ISNUMBER(K28),K28&gt;0),AND(ISNUMBER(L28),L28&gt;0),AND(ISNUMBER(D110),D110&gt;0),AND(ISNUMBER(E110),E110&gt;0),MOD($B$5,1)=0,MOD($F$5,1)=0,MOD($J$5,1)=0,MOD($B$9,1)=0,MOD(K28,1)=0,ISNUMBER(C110),C110&gt;=2,MOD(C110,1)=0,OR($N$9=32,$N$9=64,$N$9=128),ISNUMBER($B$11),$B$11&gt;=0,MOD($B$11,1)=0,ISNUMBER($J$7),$J$7&gt;=0,$J$7&lt;1,AND(ISNUMBER(M28),M28&gt;=0,M28&lt;=1),AND(ISNUMBER(N28),N28&gt;=0,N28&lt;=1))</x:f>
        <x:v>1</x:v>
      </x:c>
      <x:c r="B260" s="12" t="n">
        <x:f>IF(A260,D110*1000,"")</x:f>
        <x:v>60000</x:v>
      </x:c>
      <x:c r="C260" s="12" t="n">
        <x:f>IF(A260,E110*L28,"")</x:f>
        <x:v>20</x:v>
      </x:c>
      <x:c r="D260" s="12" t="n">
        <x:f>IF(A260,M396,"")</x:f>
        <x:v>93</x:v>
      </x:c>
      <x:c r="E260" s="12" t="n">
        <x:f>IF(A260,B28/C28,"")</x:f>
        <x:v>32</x:v>
      </x:c>
      <x:c r="F260" s="12" t="n">
        <x:f>IF(A260,B28/D28,"")</x:f>
        <x:v>256</x:v>
      </x:c>
      <x:c r="G260" s="12" t="n">
        <x:f>IF(A260,$F$5*E260*$B$5*60000/B260,"")</x:f>
        <x:v>512</x:v>
      </x:c>
      <x:c r="H260" s="12" t="n">
        <x:f>IF(A260,G260/($J$5*F260),"")</x:f>
        <x:v>2</x:v>
      </x:c>
      <x:c r="I260" s="12" t="n">
        <x:f>IF(A260,$B$5*D260/C28/$B$9,"")</x:f>
        <x:v>186</x:v>
      </x:c>
      <x:c r="J260" s="12" t="n">
        <x:f>IF(A260,I260*$F$5/$J$5,"")</x:f>
        <x:v>186</x:v>
      </x:c>
      <x:c r="K260" s="12" t="n">
        <x:f>IF(A260,MAX(I260,J260)*2^30/(J28*1e6),"")</x:f>
        <x:v>41.60749568</x:v>
      </x:c>
      <x:c r="L260" s="12" t="n">
        <x:f>IF(A260,B260/$B$9,"")</x:f>
        <x:v>60000</x:v>
      </x:c>
      <x:c r="M260" s="54" t="n">
        <x:f>IF(A260,K260/L260,"")</x:f>
        <x:v>0.0006934582613333333</x:v>
      </x:c>
      <x:c r="N260" s="12" t="n">
        <x:f>IF(A260,(E28*ROUNDUP(K28/D28,0)*G28*(B28-1)/B28*(ROUNDUP((ROUNDUP(F28*2/32,0)*32+32)/480,0)*512+F28*2+32)+E28*ROUNDUP(H28/B28,0)*(B28-1)*32)/1e9,"")</x:f>
        <x:v>1.96146</x:v>
      </x:c>
      <x:c r="O260" s="12" t="n">
        <x:f>IF(A260,N260*1000/I28,"")</x:f>
        <x:v>0.4086375</x:v>
      </x:c>
      <x:c r="P260" s="12" t="n">
        <x:f>IF(A260,O260/E28,"")</x:f>
        <x:v>0.0054485</x:v>
      </x:c>
      <x:c r="Q260" s="12" t="n">
        <x:f>IF(A260,N260*1000/C260,"")</x:f>
        <x:v>98.07300000000001</x:v>
      </x:c>
      <x:c r="R260" s="12" t="n">
        <x:f>IF(W260="估算",IF(OR(K260=0,O260=0),0,1-((E28-1)*MAX(0,(C260-O260)/E28-(K260))+MAX(0,L260-((E28-1)*C260/E28+P260)-(K260)))/L260),"")</x:f>
        <x:v>0.0010224379585555</x:v>
      </x:c>
      <x:c r="S260" s="12" t="n">
        <x:f>IF(W260="估算",IF(O260=0,0,MAX(0,1-(1-((E28-1)*MAX(0,(C260-O260)/E28-(L260-K260))+MAX(0,L260-((E28-1)*C260/E28+P260)-(L260-K260)))/L260))),"")</x:f>
        <x:v>0.0003644785641111481</x:v>
      </x:c>
      <x:c r="T260" s="12" t="n">
        <x:f>IF(W260="估算",IF(OR(P260=0,K260=0,$J$7=0),0,IF(P260&lt;=(1-$J$7)*K260,$J$7*P260*K260/(1-$J$7)-$J$7^2*P260^2/(2*(1-$J$7)^2),$J$7*P260*K260+$J$7^2*K260^2/2)/L260),"")</x:f>
        <x:v>4.1980887218851754e-7</x:v>
      </x:c>
      <x:c r="U260" s="12" t="n">
        <x:f>IF(A260,60000/C260,"")</x:f>
        <x:v>3000</x:v>
      </x:c>
      <x:c r="V260" s="12" t="n">
        <x:f>IF(W260="估算",U260*E28*T260*M28*N28,"")</x:f>
        <x:v>0.09445699624241645</x:v>
      </x:c>
      <x:c r="W260" s="12" t="str">
        <x:f>IF(NOT(A260),"输入无效",IF(K260&gt;=L260,"KV 超载",IF(O260&gt;C260+1e-9,"TPOT 不自洽",IF(OR(C260&gt;L260,P260&gt;L260-K260),"需时序仿真","估算"))))</x:f>
        <x:v>估算</x:v>
      </x:c>
      <x:c r="X260" s="12" t="n">
        <x:f>IF(W260="估算",U260*M260,"")</x:f>
        <x:v>2.080374784</x:v>
      </x:c>
    </x:row>
    <x:row r="261" ht="25" customHeight="1">
      <x:c r="A261" s="2" t="b">
        <x:f>AND(AND(ISNUMBER($B$5),$B$5&gt;0),AND(ISNUMBER($F$5),$F$5&gt;0),AND(ISNUMBER($J$5),$J$5&gt;0),AND(ISNUMBER($B$9),$B$9&gt;0),AND(ISNUMBER(I28),I28&gt;0),AND(ISNUMBER(J28),J28&gt;0),AND(ISNUMBER(K28),K28&gt;0),AND(ISNUMBER(L28),L28&gt;0),AND(ISNUMBER(D111),D111&gt;0),AND(ISNUMBER(E111),E111&gt;0),MOD($B$5,1)=0,MOD($F$5,1)=0,MOD($J$5,1)=0,MOD($B$9,1)=0,MOD(K28,1)=0,ISNUMBER(C111),C111&gt;=2,MOD(C111,1)=0,OR($N$9=32,$N$9=64,$N$9=128),ISNUMBER($B$11),$B$11&gt;=0,MOD($B$11,1)=0,ISNUMBER($J$7),$J$7&gt;=0,$J$7&lt;1,AND(ISNUMBER(M28),M28&gt;=0,M28&lt;=1),AND(ISNUMBER(N28),N28&gt;=0,N28&lt;=1))</x:f>
        <x:v>1</x:v>
      </x:c>
      <x:c r="B261" s="12" t="n">
        <x:f>IF(A261,D111*1000,"")</x:f>
        <x:v>60000</x:v>
      </x:c>
      <x:c r="C261" s="12" t="n">
        <x:f>IF(A261,E111*L28,"")</x:f>
        <x:v>30</x:v>
      </x:c>
      <x:c r="D261" s="12" t="n">
        <x:f>IF(A261,M396,"")</x:f>
        <x:v>93</x:v>
      </x:c>
      <x:c r="E261" s="12" t="n">
        <x:f>IF(A261,B28/C28,"")</x:f>
        <x:v>32</x:v>
      </x:c>
      <x:c r="F261" s="12" t="n">
        <x:f>IF(A261,B28/D28,"")</x:f>
        <x:v>256</x:v>
      </x:c>
      <x:c r="G261" s="12" t="n">
        <x:f>IF(A261,$F$5*E261*$B$5*60000/B261,"")</x:f>
        <x:v>512</x:v>
      </x:c>
      <x:c r="H261" s="12" t="n">
        <x:f>IF(A261,G261/($J$5*F261),"")</x:f>
        <x:v>2</x:v>
      </x:c>
      <x:c r="I261" s="12" t="n">
        <x:f>IF(A261,$B$5*D261/C28/$B$9,"")</x:f>
        <x:v>186</x:v>
      </x:c>
      <x:c r="J261" s="12" t="n">
        <x:f>IF(A261,I261*$F$5/$J$5,"")</x:f>
        <x:v>186</x:v>
      </x:c>
      <x:c r="K261" s="12" t="n">
        <x:f>IF(A261,MAX(I261,J261)*2^30/(J28*1e6),"")</x:f>
        <x:v>41.60749568</x:v>
      </x:c>
      <x:c r="L261" s="12" t="n">
        <x:f>IF(A261,B261/$B$9,"")</x:f>
        <x:v>60000</x:v>
      </x:c>
      <x:c r="M261" s="54" t="n">
        <x:f>IF(A261,K261/L261,"")</x:f>
        <x:v>0.0006934582613333333</x:v>
      </x:c>
      <x:c r="N261" s="12" t="n">
        <x:f>IF(A261,(E28*ROUNDUP(K28/D28,0)*G28*(B28-1)/B28*(ROUNDUP((ROUNDUP(F28*2/32,0)*32+32)/480,0)*512+F28*2+32)+E28*ROUNDUP(H28/B28,0)*(B28-1)*32)/1e9,"")</x:f>
        <x:v>1.96146</x:v>
      </x:c>
      <x:c r="O261" s="12" t="n">
        <x:f>IF(A261,N261*1000/I28,"")</x:f>
        <x:v>0.4086375</x:v>
      </x:c>
      <x:c r="P261" s="12" t="n">
        <x:f>IF(A261,O261/E28,"")</x:f>
        <x:v>0.0054485</x:v>
      </x:c>
      <x:c r="Q261" s="12" t="n">
        <x:f>IF(A261,N261*1000/C261,"")</x:f>
        <x:v>65.382</x:v>
      </x:c>
      <x:c r="R261" s="12" t="n">
        <x:f>IF(W261="估算",IF(OR(K261=0,O261=0),0,1-((E28-1)*MAX(0,(C261-O261)/E28-(K261))+MAX(0,L261-((E28-1)*C261/E28+P261)-(K261)))/L261),"")</x:f>
        <x:v>0.0011868824030000225</x:v>
      </x:c>
      <x:c r="S261" s="12" t="n">
        <x:f>IF(W261="估算",IF(O261=0,0,MAX(0,1-(1-((E28-1)*MAX(0,(C261-O261)/E28-(L261-K261))+MAX(0,L261-((E28-1)*C261/E28+P261)-(L261-K261)))/L261))),"")</x:f>
        <x:v>0.00020003411966673657</x:v>
      </x:c>
      <x:c r="T261" s="12" t="n">
        <x:f>IF(W261="估算",IF(OR(P261=0,K261=0,$J$7=0),0,IF(P261&lt;=(1-$J$7)*K261,$J$7*P261*K261/(1-$J$7)-$J$7^2*P261^2/(2*(1-$J$7)^2),$J$7*P261*K261+$J$7^2*K261^2/2)/L261),"")</x:f>
        <x:v>4.1980887218851754e-7</x:v>
      </x:c>
      <x:c r="U261" s="12" t="n">
        <x:f>IF(A261,60000/C261,"")</x:f>
        <x:v>2000</x:v>
      </x:c>
      <x:c r="V261" s="12" t="n">
        <x:f>IF(W261="估算",U261*E28*T261*M28*N28,"")</x:f>
        <x:v>0.06297133082827763</x:v>
      </x:c>
      <x:c r="W261" s="12" t="str">
        <x:f>IF(NOT(A261),"输入无效",IF(K261&gt;=L261,"KV 超载",IF(O261&gt;C261+1e-9,"TPOT 不自洽",IF(OR(C261&gt;L261,P261&gt;L261-K261),"需时序仿真","估算"))))</x:f>
        <x:v>估算</x:v>
      </x:c>
      <x:c r="X261" s="12" t="n">
        <x:f>IF(W261="估算",U261*M261,"")</x:f>
        <x:v>1.3869165226666667</x:v>
      </x:c>
    </x:row>
    <x:row r="262" ht="25" customHeight="1">
      <x:c r="A262" s="2" t="b">
        <x:f>AND(AND(ISNUMBER($B$5),$B$5&gt;0),AND(ISNUMBER($F$5),$F$5&gt;0),AND(ISNUMBER($J$5),$J$5&gt;0),AND(ISNUMBER($B$9),$B$9&gt;0),AND(ISNUMBER(I29),I29&gt;0),AND(ISNUMBER(J29),J29&gt;0),AND(ISNUMBER(K29),K29&gt;0),AND(ISNUMBER(L29),L29&gt;0),AND(ISNUMBER(D112),D112&gt;0),AND(ISNUMBER(E112),E112&gt;0),MOD($B$5,1)=0,MOD($F$5,1)=0,MOD($J$5,1)=0,MOD($B$9,1)=0,MOD(K29,1)=0,ISNUMBER(C112),C112&gt;=2,MOD(C112,1)=0,OR($N$9=32,$N$9=64,$N$9=128),ISNUMBER($B$11),$B$11&gt;=0,MOD($B$11,1)=0,ISNUMBER($J$7),$J$7&gt;=0,$J$7&lt;1,AND(ISNUMBER(M29),M29&gt;=0,M29&lt;=1),AND(ISNUMBER(N29),N29&gt;=0,N29&lt;=1))</x:f>
        <x:v>1</x:v>
      </x:c>
      <x:c r="B262" s="12" t="n">
        <x:f>IF(A262,D112*1000,"")</x:f>
        <x:v>4000</x:v>
      </x:c>
      <x:c r="C262" s="12" t="n">
        <x:f>IF(A262,E112*L29,"")</x:f>
        <x:v>5</x:v>
      </x:c>
      <x:c r="D262" s="12" t="n">
        <x:f>IF(A262,M400,"")</x:f>
        <x:v>3.8266754150390625</x:v>
      </x:c>
      <x:c r="E262" s="12" t="n">
        <x:f>IF(A262,B29/C29,"")</x:f>
        <x:v>4</x:v>
      </x:c>
      <x:c r="F262" s="12" t="n">
        <x:f>IF(A262,B29/D29,"")</x:f>
        <x:v>4</x:v>
      </x:c>
      <x:c r="G262" s="12" t="n">
        <x:f>IF(A262,$F$5*E262*$B$5*60000/B262,"")</x:f>
        <x:v>960</x:v>
      </x:c>
      <x:c r="H262" s="12" t="n">
        <x:f>IF(A262,G262/($J$5*F262),"")</x:f>
        <x:v>240</x:v>
      </x:c>
      <x:c r="I262" s="12" t="n">
        <x:f>IF(A262,$B$5*D262/C29/$B$9,"")</x:f>
        <x:v>7.653350830078125</x:v>
      </x:c>
      <x:c r="J262" s="12" t="n">
        <x:f>IF(A262,I262*$F$5/$J$5,"")</x:f>
        <x:v>7.653350830078125</x:v>
      </x:c>
      <x:c r="K262" s="12" t="n">
        <x:f>IF(A262,MAX(I262,J262)*2^30/(J29*1e6),"")</x:f>
        <x:v>1.7120256</x:v>
      </x:c>
      <x:c r="L262" s="12" t="n">
        <x:f>IF(A262,B262/$B$9,"")</x:f>
        <x:v>4000</x:v>
      </x:c>
      <x:c r="M262" s="54" t="n">
        <x:f>IF(A262,K262/L262,"")</x:f>
        <x:v>0.0004280064</x:v>
      </x:c>
      <x:c r="N262" s="12" t="n">
        <x:f>IF(A262,(E29*ROUNDUP(K29/D29,0)*G29*(B29-1)/B29*(ROUNDUP((ROUNDUP(F29*2/32,0)*32+32)/480,0)*512+F29*2+32)+E29*ROUNDUP(H29/B29,0)*(B29-1)*32)/1e9,"")</x:f>
        <x:v>0.68082944</x:v>
      </x:c>
      <x:c r="O262" s="12" t="n">
        <x:f>IF(A262,N262*1000/I29,"")</x:f>
        <x:v>0.14183946666666666</x:v>
      </x:c>
      <x:c r="P262" s="12" t="n">
        <x:f>IF(A262,O262/E29,"")</x:f>
        <x:v>0.0015417333333333334</x:v>
      </x:c>
      <x:c r="Q262" s="12" t="n">
        <x:f>IF(A262,N262*1000/C262,"")</x:f>
        <x:v>136.165888</x:v>
      </x:c>
      <x:c r="R262" s="12" t="n">
        <x:f>IF(W262="估算",IF(OR(K262=0,O262=0),0,1-((E29-1)*MAX(0,(C262-O262)/E29-(K262))+MAX(0,L262-((E29-1)*C262/E29+P262)-(K262)))/L262),"")</x:f>
        <x:v>0.001664804876811532</x:v>
      </x:c>
      <x:c r="S262" s="12" t="n">
        <x:f>IF(W262="估算",IF(O262=0,0,MAX(0,1-(1-((E29-1)*MAX(0,(C262-O262)/E29-(L262-K262))+MAX(0,L262-((E29-1)*C262/E29+P262)-(L262-K262)))/L262))),"")</x:f>
        <x:v>0</x:v>
      </x:c>
      <x:c r="T262" s="12" t="n">
        <x:f>IF(W262="估算",IF(OR(P262=0,K262=0,$J$7=0),0,IF(P262&lt;=(1-$J$7)*K262,$J$7*P262*K262/(1-$J$7)-$J$7^2*P262^2/(2*(1-$J$7)^2),$J$7*P262*K262+$J$7^2*K262^2/2)/L262),"")</x:f>
        <x:v>7.331541340902606e-8</x:v>
      </x:c>
      <x:c r="U262" s="12" t="n">
        <x:f>IF(A262,60000/C262,"")</x:f>
        <x:v>12000</x:v>
      </x:c>
      <x:c r="V262" s="12" t="n">
        <x:f>IF(W262="估算",U262*E29*T262*M29*N29,"")</x:f>
        <x:v>0.08094021640356477</x:v>
      </x:c>
      <x:c r="W262" s="12" t="str">
        <x:f>IF(NOT(A262),"输入无效",IF(K262&gt;=L262,"KV 超载",IF(O262&gt;C262+1e-9,"TPOT 不自洽",IF(OR(C262&gt;L262,P262&gt;L262-K262),"需时序仿真","估算"))))</x:f>
        <x:v>估算</x:v>
      </x:c>
      <x:c r="X262" s="12" t="n">
        <x:f>IF(W262="估算",U262*M262,"")</x:f>
        <x:v>5.1360768</x:v>
      </x:c>
    </x:row>
    <x:row r="263" ht="25" customHeight="1">
      <x:c r="A263" s="2" t="b">
        <x:f>AND(AND(ISNUMBER($B$5),$B$5&gt;0),AND(ISNUMBER($F$5),$F$5&gt;0),AND(ISNUMBER($J$5),$J$5&gt;0),AND(ISNUMBER($B$9),$B$9&gt;0),AND(ISNUMBER(I29),I29&gt;0),AND(ISNUMBER(J29),J29&gt;0),AND(ISNUMBER(K29),K29&gt;0),AND(ISNUMBER(L29),L29&gt;0),AND(ISNUMBER(D113),D113&gt;0),AND(ISNUMBER(E113),E113&gt;0),MOD($B$5,1)=0,MOD($F$5,1)=0,MOD($J$5,1)=0,MOD($B$9,1)=0,MOD(K29,1)=0,ISNUMBER(C113),C113&gt;=2,MOD(C113,1)=0,OR($N$9=32,$N$9=64,$N$9=128),ISNUMBER($B$11),$B$11&gt;=0,MOD($B$11,1)=0,ISNUMBER($J$7),$J$7&gt;=0,$J$7&lt;1,AND(ISNUMBER(M29),M29&gt;=0,M29&lt;=1),AND(ISNUMBER(N29),N29&gt;=0,N29&lt;=1))</x:f>
        <x:v>1</x:v>
      </x:c>
      <x:c r="B263" s="12" t="n">
        <x:f>IF(A263,D113*1000,"")</x:f>
        <x:v>4000</x:v>
      </x:c>
      <x:c r="C263" s="12" t="n">
        <x:f>IF(A263,E113*L29,"")</x:f>
        <x:v>10</x:v>
      </x:c>
      <x:c r="D263" s="12" t="n">
        <x:f>IF(A263,M400,"")</x:f>
        <x:v>3.8266754150390625</x:v>
      </x:c>
      <x:c r="E263" s="12" t="n">
        <x:f>IF(A263,B29/C29,"")</x:f>
        <x:v>4</x:v>
      </x:c>
      <x:c r="F263" s="12" t="n">
        <x:f>IF(A263,B29/D29,"")</x:f>
        <x:v>4</x:v>
      </x:c>
      <x:c r="G263" s="12" t="n">
        <x:f>IF(A263,$F$5*E263*$B$5*60000/B263,"")</x:f>
        <x:v>960</x:v>
      </x:c>
      <x:c r="H263" s="12" t="n">
        <x:f>IF(A263,G263/($J$5*F263),"")</x:f>
        <x:v>240</x:v>
      </x:c>
      <x:c r="I263" s="12" t="n">
        <x:f>IF(A263,$B$5*D263/C29/$B$9,"")</x:f>
        <x:v>7.653350830078125</x:v>
      </x:c>
      <x:c r="J263" s="12" t="n">
        <x:f>IF(A263,I263*$F$5/$J$5,"")</x:f>
        <x:v>7.653350830078125</x:v>
      </x:c>
      <x:c r="K263" s="12" t="n">
        <x:f>IF(A263,MAX(I263,J263)*2^30/(J29*1e6),"")</x:f>
        <x:v>1.7120256</x:v>
      </x:c>
      <x:c r="L263" s="12" t="n">
        <x:f>IF(A263,B263/$B$9,"")</x:f>
        <x:v>4000</x:v>
      </x:c>
      <x:c r="M263" s="54" t="n">
        <x:f>IF(A263,K263/L263,"")</x:f>
        <x:v>0.0004280064</x:v>
      </x:c>
      <x:c r="N263" s="12" t="n">
        <x:f>IF(A263,(E29*ROUNDUP(K29/D29,0)*G29*(B29-1)/B29*(ROUNDUP((ROUNDUP(F29*2/32,0)*32+32)/480,0)*512+F29*2+32)+E29*ROUNDUP(H29/B29,0)*(B29-1)*32)/1e9,"")</x:f>
        <x:v>0.68082944</x:v>
      </x:c>
      <x:c r="O263" s="12" t="n">
        <x:f>IF(A263,N263*1000/I29,"")</x:f>
        <x:v>0.14183946666666666</x:v>
      </x:c>
      <x:c r="P263" s="12" t="n">
        <x:f>IF(A263,O263/E29,"")</x:f>
        <x:v>0.0015417333333333334</x:v>
      </x:c>
      <x:c r="Q263" s="12" t="n">
        <x:f>IF(A263,N263*1000/C263,"")</x:f>
        <x:v>68.082944</x:v>
      </x:c>
      <x:c r="R263" s="12" t="n">
        <x:f>IF(W263="估算",IF(OR(K263=0,O263=0),0,1-((E29-1)*MAX(0,(C263-O263)/E29-(K263))+MAX(0,L263-((E29-1)*C263/E29+P263)-(K263)))/L263),"")</x:f>
        <x:v>0.002901217920289856</x:v>
      </x:c>
      <x:c r="S263" s="12" t="n">
        <x:f>IF(W263="估算",IF(O263=0,0,MAX(0,1-(1-((E29-1)*MAX(0,(C263-O263)/E29-(L263-K263))+MAX(0,L263-((E29-1)*C263/E29+P263)-(L263-K263)))/L263))),"")</x:f>
        <x:v>0</x:v>
      </x:c>
      <x:c r="T263" s="12" t="n">
        <x:f>IF(W263="估算",IF(OR(P263=0,K263=0,$J$7=0),0,IF(P263&lt;=(1-$J$7)*K263,$J$7*P263*K263/(1-$J$7)-$J$7^2*P263^2/(2*(1-$J$7)^2),$J$7*P263*K263+$J$7^2*K263^2/2)/L263),"")</x:f>
        <x:v>7.331541340902606e-8</x:v>
      </x:c>
      <x:c r="U263" s="12" t="n">
        <x:f>IF(A263,60000/C263,"")</x:f>
        <x:v>6000</x:v>
      </x:c>
      <x:c r="V263" s="12" t="n">
        <x:f>IF(W263="估算",U263*E29*T263*M29*N29,"")</x:f>
        <x:v>0.04047010820178239</x:v>
      </x:c>
      <x:c r="W263" s="12" t="str">
        <x:f>IF(NOT(A263),"输入无效",IF(K263&gt;=L263,"KV 超载",IF(O263&gt;C263+1e-9,"TPOT 不自洽",IF(OR(C263&gt;L263,P263&gt;L263-K263),"需时序仿真","估算"))))</x:f>
        <x:v>估算</x:v>
      </x:c>
      <x:c r="X263" s="12" t="n">
        <x:f>IF(W263="估算",U263*M263,"")</x:f>
        <x:v>2.5680384</x:v>
      </x:c>
    </x:row>
    <x:row r="264" ht="25" customHeight="1">
      <x:c r="A264" s="2" t="b">
        <x:f>AND(AND(ISNUMBER($B$5),$B$5&gt;0),AND(ISNUMBER($F$5),$F$5&gt;0),AND(ISNUMBER($J$5),$J$5&gt;0),AND(ISNUMBER($B$9),$B$9&gt;0),AND(ISNUMBER(I29),I29&gt;0),AND(ISNUMBER(J29),J29&gt;0),AND(ISNUMBER(K29),K29&gt;0),AND(ISNUMBER(L29),L29&gt;0),AND(ISNUMBER(D114),D114&gt;0),AND(ISNUMBER(E114),E114&gt;0),MOD($B$5,1)=0,MOD($F$5,1)=0,MOD($J$5,1)=0,MOD($B$9,1)=0,MOD(K29,1)=0,ISNUMBER(C114),C114&gt;=2,MOD(C114,1)=0,OR($N$9=32,$N$9=64,$N$9=128),ISNUMBER($B$11),$B$11&gt;=0,MOD($B$11,1)=0,ISNUMBER($J$7),$J$7&gt;=0,$J$7&lt;1,AND(ISNUMBER(M29),M29&gt;=0,M29&lt;=1),AND(ISNUMBER(N29),N29&gt;=0,N29&lt;=1))</x:f>
        <x:v>1</x:v>
      </x:c>
      <x:c r="B264" s="12" t="n">
        <x:f>IF(A264,D114*1000,"")</x:f>
        <x:v>4000</x:v>
      </x:c>
      <x:c r="C264" s="12" t="n">
        <x:f>IF(A264,E114*L29,"")</x:f>
        <x:v>20</x:v>
      </x:c>
      <x:c r="D264" s="12" t="n">
        <x:f>IF(A264,M400,"")</x:f>
        <x:v>3.8266754150390625</x:v>
      </x:c>
      <x:c r="E264" s="12" t="n">
        <x:f>IF(A264,B29/C29,"")</x:f>
        <x:v>4</x:v>
      </x:c>
      <x:c r="F264" s="12" t="n">
        <x:f>IF(A264,B29/D29,"")</x:f>
        <x:v>4</x:v>
      </x:c>
      <x:c r="G264" s="12" t="n">
        <x:f>IF(A264,$F$5*E264*$B$5*60000/B264,"")</x:f>
        <x:v>960</x:v>
      </x:c>
      <x:c r="H264" s="12" t="n">
        <x:f>IF(A264,G264/($J$5*F264),"")</x:f>
        <x:v>240</x:v>
      </x:c>
      <x:c r="I264" s="12" t="n">
        <x:f>IF(A264,$B$5*D264/C29/$B$9,"")</x:f>
        <x:v>7.653350830078125</x:v>
      </x:c>
      <x:c r="J264" s="12" t="n">
        <x:f>IF(A264,I264*$F$5/$J$5,"")</x:f>
        <x:v>7.653350830078125</x:v>
      </x:c>
      <x:c r="K264" s="12" t="n">
        <x:f>IF(A264,MAX(I264,J264)*2^30/(J29*1e6),"")</x:f>
        <x:v>1.7120256</x:v>
      </x:c>
      <x:c r="L264" s="12" t="n">
        <x:f>IF(A264,B264/$B$9,"")</x:f>
        <x:v>4000</x:v>
      </x:c>
      <x:c r="M264" s="54" t="n">
        <x:f>IF(A264,K264/L264,"")</x:f>
        <x:v>0.0004280064</x:v>
      </x:c>
      <x:c r="N264" s="12" t="n">
        <x:f>IF(A264,(E29*ROUNDUP(K29/D29,0)*G29*(B29-1)/B29*(ROUNDUP((ROUNDUP(F29*2/32,0)*32+32)/480,0)*512+F29*2+32)+E29*ROUNDUP(H29/B29,0)*(B29-1)*32)/1e9,"")</x:f>
        <x:v>0.68082944</x:v>
      </x:c>
      <x:c r="O264" s="12" t="n">
        <x:f>IF(A264,N264*1000/I29,"")</x:f>
        <x:v>0.14183946666666666</x:v>
      </x:c>
      <x:c r="P264" s="12" t="n">
        <x:f>IF(A264,O264/E29,"")</x:f>
        <x:v>0.0015417333333333334</x:v>
      </x:c>
      <x:c r="Q264" s="12" t="n">
        <x:f>IF(A264,N264*1000/C264,"")</x:f>
        <x:v>34.041472</x:v>
      </x:c>
      <x:c r="R264" s="12" t="n">
        <x:f>IF(W264="估算",IF(OR(K264=0,O264=0),0,1-((E29-1)*MAX(0,(C264-O264)/E29-(K264))+MAX(0,L264-((E29-1)*C264/E29+P264)-(K264)))/L264),"")</x:f>
        <x:v>0.005374044007246281</x:v>
      </x:c>
      <x:c r="S264" s="12" t="n">
        <x:f>IF(W264="估算",IF(O264=0,0,MAX(0,1-(1-((E29-1)*MAX(0,(C264-O264)/E29-(L264-K264))+MAX(0,L264-((E29-1)*C264/E29+P264)-(L264-K264)))/L264))),"")</x:f>
        <x:v>0</x:v>
      </x:c>
      <x:c r="T264" s="12" t="n">
        <x:f>IF(W264="估算",IF(OR(P264=0,K264=0,$J$7=0),0,IF(P264&lt;=(1-$J$7)*K264,$J$7*P264*K264/(1-$J$7)-$J$7^2*P264^2/(2*(1-$J$7)^2),$J$7*P264*K264+$J$7^2*K264^2/2)/L264),"")</x:f>
        <x:v>7.331541340902606e-8</x:v>
      </x:c>
      <x:c r="U264" s="12" t="n">
        <x:f>IF(A264,60000/C264,"")</x:f>
        <x:v>3000</x:v>
      </x:c>
      <x:c r="V264" s="12" t="n">
        <x:f>IF(W264="估算",U264*E29*T264*M29*N29,"")</x:f>
        <x:v>0.020235054100891194</x:v>
      </x:c>
      <x:c r="W264" s="12" t="str">
        <x:f>IF(NOT(A264),"输入无效",IF(K264&gt;=L264,"KV 超载",IF(O264&gt;C264+1e-9,"TPOT 不自洽",IF(OR(C264&gt;L264,P264&gt;L264-K264),"需时序仿真","估算"))))</x:f>
        <x:v>估算</x:v>
      </x:c>
      <x:c r="X264" s="12" t="n">
        <x:f>IF(W264="估算",U264*M264,"")</x:f>
        <x:v>1.2840192</x:v>
      </x:c>
    </x:row>
    <x:row r="265" ht="25" customHeight="1">
      <x:c r="A265" s="2" t="b">
        <x:f>AND(AND(ISNUMBER($B$5),$B$5&gt;0),AND(ISNUMBER($F$5),$F$5&gt;0),AND(ISNUMBER($J$5),$J$5&gt;0),AND(ISNUMBER($B$9),$B$9&gt;0),AND(ISNUMBER(I29),I29&gt;0),AND(ISNUMBER(J29),J29&gt;0),AND(ISNUMBER(K29),K29&gt;0),AND(ISNUMBER(L29),L29&gt;0),AND(ISNUMBER(D115),D115&gt;0),AND(ISNUMBER(E115),E115&gt;0),MOD($B$5,1)=0,MOD($F$5,1)=0,MOD($J$5,1)=0,MOD($B$9,1)=0,MOD(K29,1)=0,ISNUMBER(C115),C115&gt;=2,MOD(C115,1)=0,OR($N$9=32,$N$9=64,$N$9=128),ISNUMBER($B$11),$B$11&gt;=0,MOD($B$11,1)=0,ISNUMBER($J$7),$J$7&gt;=0,$J$7&lt;1,AND(ISNUMBER(M29),M29&gt;=0,M29&lt;=1),AND(ISNUMBER(N29),N29&gt;=0,N29&lt;=1))</x:f>
        <x:v>1</x:v>
      </x:c>
      <x:c r="B265" s="12" t="n">
        <x:f>IF(A265,D115*1000,"")</x:f>
        <x:v>4000</x:v>
      </x:c>
      <x:c r="C265" s="12" t="n">
        <x:f>IF(A265,E115*L29,"")</x:f>
        <x:v>30</x:v>
      </x:c>
      <x:c r="D265" s="12" t="n">
        <x:f>IF(A265,M400,"")</x:f>
        <x:v>3.8266754150390625</x:v>
      </x:c>
      <x:c r="E265" s="12" t="n">
        <x:f>IF(A265,B29/C29,"")</x:f>
        <x:v>4</x:v>
      </x:c>
      <x:c r="F265" s="12" t="n">
        <x:f>IF(A265,B29/D29,"")</x:f>
        <x:v>4</x:v>
      </x:c>
      <x:c r="G265" s="12" t="n">
        <x:f>IF(A265,$F$5*E265*$B$5*60000/B265,"")</x:f>
        <x:v>960</x:v>
      </x:c>
      <x:c r="H265" s="12" t="n">
        <x:f>IF(A265,G265/($J$5*F265),"")</x:f>
        <x:v>240</x:v>
      </x:c>
      <x:c r="I265" s="12" t="n">
        <x:f>IF(A265,$B$5*D265/C29/$B$9,"")</x:f>
        <x:v>7.653350830078125</x:v>
      </x:c>
      <x:c r="J265" s="12" t="n">
        <x:f>IF(A265,I265*$F$5/$J$5,"")</x:f>
        <x:v>7.653350830078125</x:v>
      </x:c>
      <x:c r="K265" s="12" t="n">
        <x:f>IF(A265,MAX(I265,J265)*2^30/(J29*1e6),"")</x:f>
        <x:v>1.7120256</x:v>
      </x:c>
      <x:c r="L265" s="12" t="n">
        <x:f>IF(A265,B265/$B$9,"")</x:f>
        <x:v>4000</x:v>
      </x:c>
      <x:c r="M265" s="54" t="n">
        <x:f>IF(A265,K265/L265,"")</x:f>
        <x:v>0.0004280064</x:v>
      </x:c>
      <x:c r="N265" s="12" t="n">
        <x:f>IF(A265,(E29*ROUNDUP(K29/D29,0)*G29*(B29-1)/B29*(ROUNDUP((ROUNDUP(F29*2/32,0)*32+32)/480,0)*512+F29*2+32)+E29*ROUNDUP(H29/B29,0)*(B29-1)*32)/1e9,"")</x:f>
        <x:v>0.68082944</x:v>
      </x:c>
      <x:c r="O265" s="12" t="n">
        <x:f>IF(A265,N265*1000/I29,"")</x:f>
        <x:v>0.14183946666666666</x:v>
      </x:c>
      <x:c r="P265" s="12" t="n">
        <x:f>IF(A265,O265/E29,"")</x:f>
        <x:v>0.0015417333333333334</x:v>
      </x:c>
      <x:c r="Q265" s="12" t="n">
        <x:f>IF(A265,N265*1000/C265,"")</x:f>
        <x:v>22.694314666666667</x:v>
      </x:c>
      <x:c r="R265" s="12" t="n">
        <x:f>IF(W265="估算",IF(OR(K265=0,O265=0),0,1-((E29-1)*MAX(0,(C265-O265)/E29-(K265))+MAX(0,L265-((E29-1)*C265/E29+P265)-(K265)))/L265),"")</x:f>
        <x:v>0.007846870094202818</x:v>
      </x:c>
      <x:c r="S265" s="12" t="n">
        <x:f>IF(W265="估算",IF(O265=0,0,MAX(0,1-(1-((E29-1)*MAX(0,(C265-O265)/E29-(L265-K265))+MAX(0,L265-((E29-1)*C265/E29+P265)-(L265-K265)))/L265))),"")</x:f>
        <x:v>0</x:v>
      </x:c>
      <x:c r="T265" s="12" t="n">
        <x:f>IF(W265="估算",IF(OR(P265=0,K265=0,$J$7=0),0,IF(P265&lt;=(1-$J$7)*K265,$J$7*P265*K265/(1-$J$7)-$J$7^2*P265^2/(2*(1-$J$7)^2),$J$7*P265*K265+$J$7^2*K265^2/2)/L265),"")</x:f>
        <x:v>7.331541340902606e-8</x:v>
      </x:c>
      <x:c r="U265" s="12" t="n">
        <x:f>IF(A265,60000/C265,"")</x:f>
        <x:v>2000</x:v>
      </x:c>
      <x:c r="V265" s="12" t="n">
        <x:f>IF(W265="估算",U265*E29*T265*M29*N29,"")</x:f>
        <x:v>0.013490036067260796</x:v>
      </x:c>
      <x:c r="W265" s="12" t="str">
        <x:f>IF(NOT(A265),"输入无效",IF(K265&gt;=L265,"KV 超载",IF(O265&gt;C265+1e-9,"TPOT 不自洽",IF(OR(C265&gt;L265,P265&gt;L265-K265),"需时序仿真","估算"))))</x:f>
        <x:v>估算</x:v>
      </x:c>
      <x:c r="X265" s="12" t="n">
        <x:f>IF(W265="估算",U265*M265,"")</x:f>
        <x:v>0.8560128</x:v>
      </x:c>
    </x:row>
    <x:row r="266" ht="25" customHeight="1">
      <x:c r="A266" s="2" t="b">
        <x:f>AND(AND(ISNUMBER($B$5),$B$5&gt;0),AND(ISNUMBER($F$5),$F$5&gt;0),AND(ISNUMBER($J$5),$J$5&gt;0),AND(ISNUMBER($B$9),$B$9&gt;0),AND(ISNUMBER(I29),I29&gt;0),AND(ISNUMBER(J29),J29&gt;0),AND(ISNUMBER(K29),K29&gt;0),AND(ISNUMBER(L29),L29&gt;0),AND(ISNUMBER(D116),D116&gt;0),AND(ISNUMBER(E116),E116&gt;0),MOD($B$5,1)=0,MOD($F$5,1)=0,MOD($J$5,1)=0,MOD($B$9,1)=0,MOD(K29,1)=0,ISNUMBER(C116),C116&gt;=2,MOD(C116,1)=0,OR($N$9=32,$N$9=64,$N$9=128),ISNUMBER($B$11),$B$11&gt;=0,MOD($B$11,1)=0,ISNUMBER($J$7),$J$7&gt;=0,$J$7&lt;1,AND(ISNUMBER(M29),M29&gt;=0,M29&lt;=1),AND(ISNUMBER(N29),N29&gt;=0,N29&lt;=1))</x:f>
        <x:v>1</x:v>
      </x:c>
      <x:c r="B266" s="12" t="n">
        <x:f>IF(A266,D116*1000,"")</x:f>
        <x:v>20000</x:v>
      </x:c>
      <x:c r="C266" s="12" t="n">
        <x:f>IF(A266,E116*L29,"")</x:f>
        <x:v>5</x:v>
      </x:c>
      <x:c r="D266" s="12" t="n">
        <x:f>IF(A266,M404,"")</x:f>
        <x:v>54.45167541503906</x:v>
      </x:c>
      <x:c r="E266" s="12" t="n">
        <x:f>IF(A266,B29/C29,"")</x:f>
        <x:v>4</x:v>
      </x:c>
      <x:c r="F266" s="12" t="n">
        <x:f>IF(A266,B29/D29,"")</x:f>
        <x:v>4</x:v>
      </x:c>
      <x:c r="G266" s="12" t="n">
        <x:f>IF(A266,$F$5*E266*$B$5*60000/B266,"")</x:f>
        <x:v>192</x:v>
      </x:c>
      <x:c r="H266" s="12" t="n">
        <x:f>IF(A266,G266/($J$5*F266),"")</x:f>
        <x:v>48</x:v>
      </x:c>
      <x:c r="I266" s="12" t="n">
        <x:f>IF(A266,$B$5*D266/C29/$B$9,"")</x:f>
        <x:v>108.90335083007812</x:v>
      </x:c>
      <x:c r="J266" s="12" t="n">
        <x:f>IF(A266,I266*$F$5/$J$5,"")</x:f>
        <x:v>108.90335083007812</x:v>
      </x:c>
      <x:c r="K266" s="12" t="n">
        <x:f>IF(A266,MAX(I266,J266)*2^30/(J29*1e6),"")</x:f>
        <x:v>24.3612672</x:v>
      </x:c>
      <x:c r="L266" s="12" t="n">
        <x:f>IF(A266,B266/$B$9,"")</x:f>
        <x:v>20000</x:v>
      </x:c>
      <x:c r="M266" s="54" t="n">
        <x:f>IF(A266,K266/L266,"")</x:f>
        <x:v>0.00121806336</x:v>
      </x:c>
      <x:c r="N266" s="12" t="n">
        <x:f>IF(A266,(E29*ROUNDUP(K29/D29,0)*G29*(B29-1)/B29*(ROUNDUP((ROUNDUP(F29*2/32,0)*32+32)/480,0)*512+F29*2+32)+E29*ROUNDUP(H29/B29,0)*(B29-1)*32)/1e9,"")</x:f>
        <x:v>0.68082944</x:v>
      </x:c>
      <x:c r="O266" s="12" t="n">
        <x:f>IF(A266,N266*1000/I29,"")</x:f>
        <x:v>0.14183946666666666</x:v>
      </x:c>
      <x:c r="P266" s="12" t="n">
        <x:f>IF(A266,O266/E29,"")</x:f>
        <x:v>0.0015417333333333334</x:v>
      </x:c>
      <x:c r="Q266" s="12" t="n">
        <x:f>IF(A266,N266*1000/C266,"")</x:f>
        <x:v>136.165888</x:v>
      </x:c>
      <x:c r="R266" s="12" t="n">
        <x:f>IF(W266="估算",IF(OR(K266=0,O266=0),0,1-((E29-1)*MAX(0,(C266-O266)/E29-(K266))+MAX(0,L266-((E29-1)*C266/E29+P266)-(K266)))/L266),"")</x:f>
        <x:v>0.001465423055362458</x:v>
      </x:c>
      <x:c r="S266" s="12" t="n">
        <x:f>IF(W266="估算",IF(O266=0,0,MAX(0,1-(1-((E29-1)*MAX(0,(C266-O266)/E29-(L266-K266))+MAX(0,L266-((E29-1)*C266/E29+P266)-(L266-K266)))/L266))),"")</x:f>
        <x:v>0.0009707036646378064</x:v>
      </x:c>
      <x:c r="T266" s="12" t="n">
        <x:f>IF(W266="估算",IF(OR(P266=0,K266=0,$J$7=0),0,IF(P266&lt;=(1-$J$7)*K266,$J$7*P266*K266/(1-$J$7)-$J$7^2*P266^2/(2*(1-$J$7)^2),$J$7*P266*K266+$J$7^2*K266^2/2)/L266),"")</x:f>
        <x:v>2.0865803128980522e-7</x:v>
      </x:c>
      <x:c r="U266" s="12" t="n">
        <x:f>IF(A266,60000/C266,"")</x:f>
        <x:v>12000</x:v>
      </x:c>
      <x:c r="V266" s="12" t="n">
        <x:f>IF(W266="估算",U266*E29*T266*M29*N29,"")</x:f>
        <x:v>0.23035846654394496</x:v>
      </x:c>
      <x:c r="W266" s="12" t="str">
        <x:f>IF(NOT(A266),"输入无效",IF(K266&gt;=L266,"KV 超载",IF(O266&gt;C266+1e-9,"TPOT 不自洽",IF(OR(C266&gt;L266,P266&gt;L266-K266),"需时序仿真","估算"))))</x:f>
        <x:v>估算</x:v>
      </x:c>
      <x:c r="X266" s="12" t="n">
        <x:f>IF(W266="估算",U266*M266,"")</x:f>
        <x:v>14.61676032</x:v>
      </x:c>
    </x:row>
    <x:row r="267" ht="25" customHeight="1">
      <x:c r="A267" s="2" t="b">
        <x:f>AND(AND(ISNUMBER($B$5),$B$5&gt;0),AND(ISNUMBER($F$5),$F$5&gt;0),AND(ISNUMBER($J$5),$J$5&gt;0),AND(ISNUMBER($B$9),$B$9&gt;0),AND(ISNUMBER(I29),I29&gt;0),AND(ISNUMBER(J29),J29&gt;0),AND(ISNUMBER(K29),K29&gt;0),AND(ISNUMBER(L29),L29&gt;0),AND(ISNUMBER(D117),D117&gt;0),AND(ISNUMBER(E117),E117&gt;0),MOD($B$5,1)=0,MOD($F$5,1)=0,MOD($J$5,1)=0,MOD($B$9,1)=0,MOD(K29,1)=0,ISNUMBER(C117),C117&gt;=2,MOD(C117,1)=0,OR($N$9=32,$N$9=64,$N$9=128),ISNUMBER($B$11),$B$11&gt;=0,MOD($B$11,1)=0,ISNUMBER($J$7),$J$7&gt;=0,$J$7&lt;1,AND(ISNUMBER(M29),M29&gt;=0,M29&lt;=1),AND(ISNUMBER(N29),N29&gt;=0,N29&lt;=1))</x:f>
        <x:v>1</x:v>
      </x:c>
      <x:c r="B267" s="12" t="n">
        <x:f>IF(A267,D117*1000,"")</x:f>
        <x:v>20000</x:v>
      </x:c>
      <x:c r="C267" s="12" t="n">
        <x:f>IF(A267,E117*L29,"")</x:f>
        <x:v>10</x:v>
      </x:c>
      <x:c r="D267" s="12" t="n">
        <x:f>IF(A267,M404,"")</x:f>
        <x:v>54.45167541503906</x:v>
      </x:c>
      <x:c r="E267" s="12" t="n">
        <x:f>IF(A267,B29/C29,"")</x:f>
        <x:v>4</x:v>
      </x:c>
      <x:c r="F267" s="12" t="n">
        <x:f>IF(A267,B29/D29,"")</x:f>
        <x:v>4</x:v>
      </x:c>
      <x:c r="G267" s="12" t="n">
        <x:f>IF(A267,$F$5*E267*$B$5*60000/B267,"")</x:f>
        <x:v>192</x:v>
      </x:c>
      <x:c r="H267" s="12" t="n">
        <x:f>IF(A267,G267/($J$5*F267),"")</x:f>
        <x:v>48</x:v>
      </x:c>
      <x:c r="I267" s="12" t="n">
        <x:f>IF(A267,$B$5*D267/C29/$B$9,"")</x:f>
        <x:v>108.90335083007812</x:v>
      </x:c>
      <x:c r="J267" s="12" t="n">
        <x:f>IF(A267,I267*$F$5/$J$5,"")</x:f>
        <x:v>108.90335083007812</x:v>
      </x:c>
      <x:c r="K267" s="12" t="n">
        <x:f>IF(A267,MAX(I267,J267)*2^30/(J29*1e6),"")</x:f>
        <x:v>24.3612672</x:v>
      </x:c>
      <x:c r="L267" s="12" t="n">
        <x:f>IF(A267,B267/$B$9,"")</x:f>
        <x:v>20000</x:v>
      </x:c>
      <x:c r="M267" s="54" t="n">
        <x:f>IF(A267,K267/L267,"")</x:f>
        <x:v>0.00121806336</x:v>
      </x:c>
      <x:c r="N267" s="12" t="n">
        <x:f>IF(A267,(E29*ROUNDUP(K29/D29,0)*G29*(B29-1)/B29*(ROUNDUP((ROUNDUP(F29*2/32,0)*32+32)/480,0)*512+F29*2+32)+E29*ROUNDUP(H29/B29,0)*(B29-1)*32)/1e9,"")</x:f>
        <x:v>0.68082944</x:v>
      </x:c>
      <x:c r="O267" s="12" t="n">
        <x:f>IF(A267,N267*1000/I29,"")</x:f>
        <x:v>0.14183946666666666</x:v>
      </x:c>
      <x:c r="P267" s="12" t="n">
        <x:f>IF(A267,O267/E29,"")</x:f>
        <x:v>0.0015417333333333334</x:v>
      </x:c>
      <x:c r="Q267" s="12" t="n">
        <x:f>IF(A267,N267*1000/C267,"")</x:f>
        <x:v>68.082944</x:v>
      </x:c>
      <x:c r="R267" s="12" t="n">
        <x:f>IF(W267="估算",IF(OR(K267=0,O267=0),0,1-((E29-1)*MAX(0,(C267-O267)/E29-(K267))+MAX(0,L267-((E29-1)*C267/E29+P267)-(K267)))/L267),"")</x:f>
        <x:v>0.0017127056640580118</x:v>
      </x:c>
      <x:c r="S267" s="12" t="n">
        <x:f>IF(W267="估算",IF(O267=0,0,MAX(0,1-(1-((E29-1)*MAX(0,(C267-O267)/E29-(L267-K267))+MAX(0,L267-((E29-1)*C267/E29+P267)-(L267-K267)))/L267))),"")</x:f>
        <x:v>0.0007234210559421417</x:v>
      </x:c>
      <x:c r="T267" s="12" t="n">
        <x:f>IF(W267="估算",IF(OR(P267=0,K267=0,$J$7=0),0,IF(P267&lt;=(1-$J$7)*K267,$J$7*P267*K267/(1-$J$7)-$J$7^2*P267^2/(2*(1-$J$7)^2),$J$7*P267*K267+$J$7^2*K267^2/2)/L267),"")</x:f>
        <x:v>2.0865803128980522e-7</x:v>
      </x:c>
      <x:c r="U267" s="12" t="n">
        <x:f>IF(A267,60000/C267,"")</x:f>
        <x:v>6000</x:v>
      </x:c>
      <x:c r="V267" s="12" t="n">
        <x:f>IF(W267="估算",U267*E29*T267*M29*N29,"")</x:f>
        <x:v>0.11517923327197248</x:v>
      </x:c>
      <x:c r="W267" s="12" t="str">
        <x:f>IF(NOT(A267),"输入无效",IF(K267&gt;=L267,"KV 超载",IF(O267&gt;C267+1e-9,"TPOT 不自洽",IF(OR(C267&gt;L267,P267&gt;L267-K267),"需时序仿真","估算"))))</x:f>
        <x:v>估算</x:v>
      </x:c>
      <x:c r="X267" s="12" t="n">
        <x:f>IF(W267="估算",U267*M267,"")</x:f>
        <x:v>7.30838016</x:v>
      </x:c>
    </x:row>
    <x:row r="268" ht="25" customHeight="1">
      <x:c r="A268" s="2" t="b">
        <x:f>AND(AND(ISNUMBER($B$5),$B$5&gt;0),AND(ISNUMBER($F$5),$F$5&gt;0),AND(ISNUMBER($J$5),$J$5&gt;0),AND(ISNUMBER($B$9),$B$9&gt;0),AND(ISNUMBER(I29),I29&gt;0),AND(ISNUMBER(J29),J29&gt;0),AND(ISNUMBER(K29),K29&gt;0),AND(ISNUMBER(L29),L29&gt;0),AND(ISNUMBER(D118),D118&gt;0),AND(ISNUMBER(E118),E118&gt;0),MOD($B$5,1)=0,MOD($F$5,1)=0,MOD($J$5,1)=0,MOD($B$9,1)=0,MOD(K29,1)=0,ISNUMBER(C118),C118&gt;=2,MOD(C118,1)=0,OR($N$9=32,$N$9=64,$N$9=128),ISNUMBER($B$11),$B$11&gt;=0,MOD($B$11,1)=0,ISNUMBER($J$7),$J$7&gt;=0,$J$7&lt;1,AND(ISNUMBER(M29),M29&gt;=0,M29&lt;=1),AND(ISNUMBER(N29),N29&gt;=0,N29&lt;=1))</x:f>
        <x:v>1</x:v>
      </x:c>
      <x:c r="B268" s="12" t="n">
        <x:f>IF(A268,D118*1000,"")</x:f>
        <x:v>20000</x:v>
      </x:c>
      <x:c r="C268" s="12" t="n">
        <x:f>IF(A268,E118*L29,"")</x:f>
        <x:v>20</x:v>
      </x:c>
      <x:c r="D268" s="12" t="n">
        <x:f>IF(A268,M404,"")</x:f>
        <x:v>54.45167541503906</x:v>
      </x:c>
      <x:c r="E268" s="12" t="n">
        <x:f>IF(A268,B29/C29,"")</x:f>
        <x:v>4</x:v>
      </x:c>
      <x:c r="F268" s="12" t="n">
        <x:f>IF(A268,B29/D29,"")</x:f>
        <x:v>4</x:v>
      </x:c>
      <x:c r="G268" s="12" t="n">
        <x:f>IF(A268,$F$5*E268*$B$5*60000/B268,"")</x:f>
        <x:v>192</x:v>
      </x:c>
      <x:c r="H268" s="12" t="n">
        <x:f>IF(A268,G268/($J$5*F268),"")</x:f>
        <x:v>48</x:v>
      </x:c>
      <x:c r="I268" s="12" t="n">
        <x:f>IF(A268,$B$5*D268/C29/$B$9,"")</x:f>
        <x:v>108.90335083007812</x:v>
      </x:c>
      <x:c r="J268" s="12" t="n">
        <x:f>IF(A268,I268*$F$5/$J$5,"")</x:f>
        <x:v>108.90335083007812</x:v>
      </x:c>
      <x:c r="K268" s="12" t="n">
        <x:f>IF(A268,MAX(I268,J268)*2^30/(J29*1e6),"")</x:f>
        <x:v>24.3612672</x:v>
      </x:c>
      <x:c r="L268" s="12" t="n">
        <x:f>IF(A268,B268/$B$9,"")</x:f>
        <x:v>20000</x:v>
      </x:c>
      <x:c r="M268" s="54" t="n">
        <x:f>IF(A268,K268/L268,"")</x:f>
        <x:v>0.00121806336</x:v>
      </x:c>
      <x:c r="N268" s="12" t="n">
        <x:f>IF(A268,(E29*ROUNDUP(K29/D29,0)*G29*(B29-1)/B29*(ROUNDUP((ROUNDUP(F29*2/32,0)*32+32)/480,0)*512+F29*2+32)+E29*ROUNDUP(H29/B29,0)*(B29-1)*32)/1e9,"")</x:f>
        <x:v>0.68082944</x:v>
      </x:c>
      <x:c r="O268" s="12" t="n">
        <x:f>IF(A268,N268*1000/I29,"")</x:f>
        <x:v>0.14183946666666666</x:v>
      </x:c>
      <x:c r="P268" s="12" t="n">
        <x:f>IF(A268,O268/E29,"")</x:f>
        <x:v>0.0015417333333333334</x:v>
      </x:c>
      <x:c r="Q268" s="12" t="n">
        <x:f>IF(A268,N268*1000/C268,"")</x:f>
        <x:v>34.041472</x:v>
      </x:c>
      <x:c r="R268" s="12" t="n">
        <x:f>IF(W268="估算",IF(OR(K268=0,O268=0),0,1-((E29-1)*MAX(0,(C268-O268)/E29-(K268))+MAX(0,L268-((E29-1)*C268/E29+P268)-(K268)))/L268),"")</x:f>
        <x:v>0.0022072708814494524</x:v>
      </x:c>
      <x:c r="S268" s="12" t="n">
        <x:f>IF(W268="估算",IF(O268=0,0,MAX(0,1-(1-((E29-1)*MAX(0,(C268-O268)/E29-(L268-K268))+MAX(0,L268-((E29-1)*C268/E29+P268)-(L268-K268)))/L268))),"")</x:f>
        <x:v>0.00022885583855081215</x:v>
      </x:c>
      <x:c r="T268" s="12" t="n">
        <x:f>IF(W268="估算",IF(OR(P268=0,K268=0,$J$7=0),0,IF(P268&lt;=(1-$J$7)*K268,$J$7*P268*K268/(1-$J$7)-$J$7^2*P268^2/(2*(1-$J$7)^2),$J$7*P268*K268+$J$7^2*K268^2/2)/L268),"")</x:f>
        <x:v>2.0865803128980522e-7</x:v>
      </x:c>
      <x:c r="U268" s="12" t="n">
        <x:f>IF(A268,60000/C268,"")</x:f>
        <x:v>3000</x:v>
      </x:c>
      <x:c r="V268" s="12" t="n">
        <x:f>IF(W268="估算",U268*E29*T268*M29*N29,"")</x:f>
        <x:v>0.05758961663598624</x:v>
      </x:c>
      <x:c r="W268" s="12" t="str">
        <x:f>IF(NOT(A268),"输入无效",IF(K268&gt;=L268,"KV 超载",IF(O268&gt;C268+1e-9,"TPOT 不自洽",IF(OR(C268&gt;L268,P268&gt;L268-K268),"需时序仿真","估算"))))</x:f>
        <x:v>估算</x:v>
      </x:c>
      <x:c r="X268" s="12" t="n">
        <x:f>IF(W268="估算",U268*M268,"")</x:f>
        <x:v>3.65419008</x:v>
      </x:c>
    </x:row>
    <x:row r="269" ht="25" customHeight="1">
      <x:c r="A269" s="2" t="b">
        <x:f>AND(AND(ISNUMBER($B$5),$B$5&gt;0),AND(ISNUMBER($F$5),$F$5&gt;0),AND(ISNUMBER($J$5),$J$5&gt;0),AND(ISNUMBER($B$9),$B$9&gt;0),AND(ISNUMBER(I29),I29&gt;0),AND(ISNUMBER(J29),J29&gt;0),AND(ISNUMBER(K29),K29&gt;0),AND(ISNUMBER(L29),L29&gt;0),AND(ISNUMBER(D119),D119&gt;0),AND(ISNUMBER(E119),E119&gt;0),MOD($B$5,1)=0,MOD($F$5,1)=0,MOD($J$5,1)=0,MOD($B$9,1)=0,MOD(K29,1)=0,ISNUMBER(C119),C119&gt;=2,MOD(C119,1)=0,OR($N$9=32,$N$9=64,$N$9=128),ISNUMBER($B$11),$B$11&gt;=0,MOD($B$11,1)=0,ISNUMBER($J$7),$J$7&gt;=0,$J$7&lt;1,AND(ISNUMBER(M29),M29&gt;=0,M29&lt;=1),AND(ISNUMBER(N29),N29&gt;=0,N29&lt;=1))</x:f>
        <x:v>1</x:v>
      </x:c>
      <x:c r="B269" s="12" t="n">
        <x:f>IF(A269,D119*1000,"")</x:f>
        <x:v>20000</x:v>
      </x:c>
      <x:c r="C269" s="12" t="n">
        <x:f>IF(A269,E119*L29,"")</x:f>
        <x:v>30</x:v>
      </x:c>
      <x:c r="D269" s="12" t="n">
        <x:f>IF(A269,M404,"")</x:f>
        <x:v>54.45167541503906</x:v>
      </x:c>
      <x:c r="E269" s="12" t="n">
        <x:f>IF(A269,B29/C29,"")</x:f>
        <x:v>4</x:v>
      </x:c>
      <x:c r="F269" s="12" t="n">
        <x:f>IF(A269,B29/D29,"")</x:f>
        <x:v>4</x:v>
      </x:c>
      <x:c r="G269" s="12" t="n">
        <x:f>IF(A269,$F$5*E269*$B$5*60000/B269,"")</x:f>
        <x:v>192</x:v>
      </x:c>
      <x:c r="H269" s="12" t="n">
        <x:f>IF(A269,G269/($J$5*F269),"")</x:f>
        <x:v>48</x:v>
      </x:c>
      <x:c r="I269" s="12" t="n">
        <x:f>IF(A269,$B$5*D269/C29/$B$9,"")</x:f>
        <x:v>108.90335083007812</x:v>
      </x:c>
      <x:c r="J269" s="12" t="n">
        <x:f>IF(A269,I269*$F$5/$J$5,"")</x:f>
        <x:v>108.90335083007812</x:v>
      </x:c>
      <x:c r="K269" s="12" t="n">
        <x:f>IF(A269,MAX(I269,J269)*2^30/(J29*1e6),"")</x:f>
        <x:v>24.3612672</x:v>
      </x:c>
      <x:c r="L269" s="12" t="n">
        <x:f>IF(A269,B269/$B$9,"")</x:f>
        <x:v>20000</x:v>
      </x:c>
      <x:c r="M269" s="54" t="n">
        <x:f>IF(A269,K269/L269,"")</x:f>
        <x:v>0.00121806336</x:v>
      </x:c>
      <x:c r="N269" s="12" t="n">
        <x:f>IF(A269,(E29*ROUNDUP(K29/D29,0)*G29*(B29-1)/B29*(ROUNDUP((ROUNDUP(F29*2/32,0)*32+32)/480,0)*512+F29*2+32)+E29*ROUNDUP(H29/B29,0)*(B29-1)*32)/1e9,"")</x:f>
        <x:v>0.68082944</x:v>
      </x:c>
      <x:c r="O269" s="12" t="n">
        <x:f>IF(A269,N269*1000/I29,"")</x:f>
        <x:v>0.14183946666666666</x:v>
      </x:c>
      <x:c r="P269" s="12" t="n">
        <x:f>IF(A269,O269/E29,"")</x:f>
        <x:v>0.0015417333333333334</x:v>
      </x:c>
      <x:c r="Q269" s="12" t="n">
        <x:f>IF(A269,N269*1000/C269,"")</x:f>
        <x:v>22.694314666666667</x:v>
      </x:c>
      <x:c r="R269" s="12" t="n">
        <x:f>IF(W269="估算",IF(OR(K269=0,O269=0),0,1-((E29-1)*MAX(0,(C269-O269)/E29-(K269))+MAX(0,L269-((E29-1)*C269/E29+P269)-(K269)))/L269),"")</x:f>
        <x:v>0.00270183609884056</x:v>
      </x:c>
      <x:c r="S269" s="12" t="n">
        <x:f>IF(W269="估算",IF(O269=0,0,MAX(0,1-(1-((E29-1)*MAX(0,(C269-O269)/E29-(L269-K269))+MAX(0,L269-((E29-1)*C269/E29+P269)-(L269-K269)))/L269))),"")</x:f>
        <x:v>0</x:v>
      </x:c>
      <x:c r="T269" s="12" t="n">
        <x:f>IF(W269="估算",IF(OR(P269=0,K269=0,$J$7=0),0,IF(P269&lt;=(1-$J$7)*K269,$J$7*P269*K269/(1-$J$7)-$J$7^2*P269^2/(2*(1-$J$7)^2),$J$7*P269*K269+$J$7^2*K269^2/2)/L269),"")</x:f>
        <x:v>2.0865803128980522e-7</x:v>
      </x:c>
      <x:c r="U269" s="12" t="n">
        <x:f>IF(A269,60000/C269,"")</x:f>
        <x:v>2000</x:v>
      </x:c>
      <x:c r="V269" s="12" t="n">
        <x:f>IF(W269="估算",U269*E29*T269*M29*N29,"")</x:f>
        <x:v>0.03839307775732416</x:v>
      </x:c>
      <x:c r="W269" s="12" t="str">
        <x:f>IF(NOT(A269),"输入无效",IF(K269&gt;=L269,"KV 超载",IF(O269&gt;C269+1e-9,"TPOT 不自洽",IF(OR(C269&gt;L269,P269&gt;L269-K269),"需时序仿真","估算"))))</x:f>
        <x:v>估算</x:v>
      </x:c>
      <x:c r="X269" s="12" t="n">
        <x:f>IF(W269="估算",U269*M269,"")</x:f>
        <x:v>2.43612672</x:v>
      </x:c>
    </x:row>
    <x:row r="270" ht="25" customHeight="1">
      <x:c r="A270" s="2" t="b">
        <x:f>AND(AND(ISNUMBER($B$5),$B$5&gt;0),AND(ISNUMBER($F$5),$F$5&gt;0),AND(ISNUMBER($J$5),$J$5&gt;0),AND(ISNUMBER($B$9),$B$9&gt;0),AND(ISNUMBER(I29),I29&gt;0),AND(ISNUMBER(J29),J29&gt;0),AND(ISNUMBER(K29),K29&gt;0),AND(ISNUMBER(L29),L29&gt;0),AND(ISNUMBER(D120),D120&gt;0),AND(ISNUMBER(E120),E120&gt;0),MOD($B$5,1)=0,MOD($F$5,1)=0,MOD($J$5,1)=0,MOD($B$9,1)=0,MOD(K29,1)=0,ISNUMBER(C120),C120&gt;=2,MOD(C120,1)=0,OR($N$9=32,$N$9=64,$N$9=128),ISNUMBER($B$11),$B$11&gt;=0,MOD($B$11,1)=0,ISNUMBER($J$7),$J$7&gt;=0,$J$7&lt;1,AND(ISNUMBER(M29),M29&gt;=0,M29&lt;=1),AND(ISNUMBER(N29),N29&gt;=0,N29&lt;=1))</x:f>
        <x:v>1</x:v>
      </x:c>
      <x:c r="B270" s="12" t="n">
        <x:f>IF(A270,D120*1000,"")</x:f>
        <x:v>60000</x:v>
      </x:c>
      <x:c r="C270" s="12" t="n">
        <x:f>IF(A270,E120*L29,"")</x:f>
        <x:v>5</x:v>
      </x:c>
      <x:c r="D270" s="12" t="n">
        <x:f>IF(A270,M408,"")</x:f>
        <x:v>216.45167541503906</x:v>
      </x:c>
      <x:c r="E270" s="12" t="n">
        <x:f>IF(A270,B29/C29,"")</x:f>
        <x:v>4</x:v>
      </x:c>
      <x:c r="F270" s="12" t="n">
        <x:f>IF(A270,B29/D29,"")</x:f>
        <x:v>4</x:v>
      </x:c>
      <x:c r="G270" s="12" t="n">
        <x:f>IF(A270,$F$5*E270*$B$5*60000/B270,"")</x:f>
        <x:v>64</x:v>
      </x:c>
      <x:c r="H270" s="12" t="n">
        <x:f>IF(A270,G270/($J$5*F270),"")</x:f>
        <x:v>16</x:v>
      </x:c>
      <x:c r="I270" s="12" t="n">
        <x:f>IF(A270,$B$5*D270/C29/$B$9,"")</x:f>
        <x:v>432.9033508300781</x:v>
      </x:c>
      <x:c r="J270" s="12" t="n">
        <x:f>IF(A270,I270*$F$5/$J$5,"")</x:f>
        <x:v>432.9033508300781</x:v>
      </x:c>
      <x:c r="K270" s="12" t="n">
        <x:f>IF(A270,MAX(I270,J270)*2^30/(J29*1e6),"")</x:f>
        <x:v>96.83884032</x:v>
      </x:c>
      <x:c r="L270" s="12" t="n">
        <x:f>IF(A270,B270/$B$9,"")</x:f>
        <x:v>60000</x:v>
      </x:c>
      <x:c r="M270" s="54" t="n">
        <x:f>IF(A270,K270/L270,"")</x:f>
        <x:v>0.001613980672</x:v>
      </x:c>
      <x:c r="N270" s="12" t="n">
        <x:f>IF(A270,(E29*ROUNDUP(K29/D29,0)*G29*(B29-1)/B29*(ROUNDUP((ROUNDUP(F29*2/32,0)*32+32)/480,0)*512+F29*2+32)+E29*ROUNDUP(H29/B29,0)*(B29-1)*32)/1e9,"")</x:f>
        <x:v>0.68082944</x:v>
      </x:c>
      <x:c r="O270" s="12" t="n">
        <x:f>IF(A270,N270*1000/I29,"")</x:f>
        <x:v>0.14183946666666666</x:v>
      </x:c>
      <x:c r="P270" s="12" t="n">
        <x:f>IF(A270,O270/E29,"")</x:f>
        <x:v>0.0015417333333333334</x:v>
      </x:c>
      <x:c r="Q270" s="12" t="n">
        <x:f>IF(A270,N270*1000/C270,"")</x:f>
        <x:v>136.165888</x:v>
      </x:c>
      <x:c r="R270" s="12" t="n">
        <x:f>IF(W270="估算",IF(OR(K270=0,O270=0),0,1-((E29-1)*MAX(0,(C270-O270)/E29-(K270))+MAX(0,L270-((E29-1)*C270/E29+P270)-(K270)))/L270),"")</x:f>
        <x:v>0.0016964339037874865</x:v>
      </x:c>
      <x:c r="S270" s="12" t="n">
        <x:f>IF(W270="估算",IF(O270=0,0,MAX(0,1-(1-((E29-1)*MAX(0,(C270-O270)/E29-(L270-K270))+MAX(0,L270-((E29-1)*C270/E29+P270)-(L270-K270)))/L270))),"")</x:f>
        <x:v>0.0015315274402125656</x:v>
      </x:c>
      <x:c r="T270" s="12" t="n">
        <x:f>IF(W270="估算",IF(OR(P270=0,K270=0,$J$7=0),0,IF(P270&lt;=(1-$J$7)*K270,$J$7*P270*K270/(1-$J$7)-$J$7^2*P270^2/(2*(1-$J$7)^2),$J$7*P270*K270+$J$7^2*K270^2/2)/L270),"")</x:f>
        <x:v>2.764806222784684e-7</x:v>
      </x:c>
      <x:c r="U270" s="12" t="n">
        <x:f>IF(A270,60000/C270,"")</x:f>
        <x:v>12000</x:v>
      </x:c>
      <x:c r="V270" s="12" t="n">
        <x:f>IF(W270="估算",U270*E29*T270*M29*N29,"")</x:f>
        <x:v>0.30523460699542915</x:v>
      </x:c>
      <x:c r="W270" s="12" t="str">
        <x:f>IF(NOT(A270),"输入无效",IF(K270&gt;=L270,"KV 超载",IF(O270&gt;C270+1e-9,"TPOT 不自洽",IF(OR(C270&gt;L270,P270&gt;L270-K270),"需时序仿真","估算"))))</x:f>
        <x:v>估算</x:v>
      </x:c>
      <x:c r="X270" s="12" t="n">
        <x:f>IF(W270="估算",U270*M270,"")</x:f>
        <x:v>19.367768064</x:v>
      </x:c>
    </x:row>
    <x:row r="271" ht="25" customHeight="1">
      <x:c r="A271" s="2" t="b">
        <x:f>AND(AND(ISNUMBER($B$5),$B$5&gt;0),AND(ISNUMBER($F$5),$F$5&gt;0),AND(ISNUMBER($J$5),$J$5&gt;0),AND(ISNUMBER($B$9),$B$9&gt;0),AND(ISNUMBER(I29),I29&gt;0),AND(ISNUMBER(J29),J29&gt;0),AND(ISNUMBER(K29),K29&gt;0),AND(ISNUMBER(L29),L29&gt;0),AND(ISNUMBER(D121),D121&gt;0),AND(ISNUMBER(E121),E121&gt;0),MOD($B$5,1)=0,MOD($F$5,1)=0,MOD($J$5,1)=0,MOD($B$9,1)=0,MOD(K29,1)=0,ISNUMBER(C121),C121&gt;=2,MOD(C121,1)=0,OR($N$9=32,$N$9=64,$N$9=128),ISNUMBER($B$11),$B$11&gt;=0,MOD($B$11,1)=0,ISNUMBER($J$7),$J$7&gt;=0,$J$7&lt;1,AND(ISNUMBER(M29),M29&gt;=0,M29&lt;=1),AND(ISNUMBER(N29),N29&gt;=0,N29&lt;=1))</x:f>
        <x:v>1</x:v>
      </x:c>
      <x:c r="B271" s="12" t="n">
        <x:f>IF(A271,D121*1000,"")</x:f>
        <x:v>60000</x:v>
      </x:c>
      <x:c r="C271" s="12" t="n">
        <x:f>IF(A271,E121*L29,"")</x:f>
        <x:v>10</x:v>
      </x:c>
      <x:c r="D271" s="12" t="n">
        <x:f>IF(A271,M408,"")</x:f>
        <x:v>216.45167541503906</x:v>
      </x:c>
      <x:c r="E271" s="12" t="n">
        <x:f>IF(A271,B29/C29,"")</x:f>
        <x:v>4</x:v>
      </x:c>
      <x:c r="F271" s="12" t="n">
        <x:f>IF(A271,B29/D29,"")</x:f>
        <x:v>4</x:v>
      </x:c>
      <x:c r="G271" s="12" t="n">
        <x:f>IF(A271,$F$5*E271*$B$5*60000/B271,"")</x:f>
        <x:v>64</x:v>
      </x:c>
      <x:c r="H271" s="12" t="n">
        <x:f>IF(A271,G271/($J$5*F271),"")</x:f>
        <x:v>16</x:v>
      </x:c>
      <x:c r="I271" s="12" t="n">
        <x:f>IF(A271,$B$5*D271/C29/$B$9,"")</x:f>
        <x:v>432.9033508300781</x:v>
      </x:c>
      <x:c r="J271" s="12" t="n">
        <x:f>IF(A271,I271*$F$5/$J$5,"")</x:f>
        <x:v>432.9033508300781</x:v>
      </x:c>
      <x:c r="K271" s="12" t="n">
        <x:f>IF(A271,MAX(I271,J271)*2^30/(J29*1e6),"")</x:f>
        <x:v>96.83884032</x:v>
      </x:c>
      <x:c r="L271" s="12" t="n">
        <x:f>IF(A271,B271/$B$9,"")</x:f>
        <x:v>60000</x:v>
      </x:c>
      <x:c r="M271" s="54" t="n">
        <x:f>IF(A271,K271/L271,"")</x:f>
        <x:v>0.001613980672</x:v>
      </x:c>
      <x:c r="N271" s="12" t="n">
        <x:f>IF(A271,(E29*ROUNDUP(K29/D29,0)*G29*(B29-1)/B29*(ROUNDUP((ROUNDUP(F29*2/32,0)*32+32)/480,0)*512+F29*2+32)+E29*ROUNDUP(H29/B29,0)*(B29-1)*32)/1e9,"")</x:f>
        <x:v>0.68082944</x:v>
      </x:c>
      <x:c r="O271" s="12" t="n">
        <x:f>IF(A271,N271*1000/I29,"")</x:f>
        <x:v>0.14183946666666666</x:v>
      </x:c>
      <x:c r="P271" s="12" t="n">
        <x:f>IF(A271,O271/E29,"")</x:f>
        <x:v>0.0015417333333333334</x:v>
      </x:c>
      <x:c r="Q271" s="12" t="n">
        <x:f>IF(A271,N271*1000/C271,"")</x:f>
        <x:v>68.082944</x:v>
      </x:c>
      <x:c r="R271" s="12" t="n">
        <x:f>IF(W271="估算",IF(OR(K271=0,O271=0),0,1-((E29-1)*MAX(0,(C271-O271)/E29-(K271))+MAX(0,L271-((E29-1)*C271/E29+P271)-(K271)))/L271),"")</x:f>
        <x:v>0.0017788614400192637</x:v>
      </x:c>
      <x:c r="S271" s="12" t="n">
        <x:f>IF(W271="估算",IF(O271=0,0,MAX(0,1-(1-((E29-1)*MAX(0,(C271-O271)/E29-(L271-K271))+MAX(0,L271-((E29-1)*C271/E29+P271)-(L271-K271)))/L271))),"")</x:f>
        <x:v>0.0014490999039806773</x:v>
      </x:c>
      <x:c r="T271" s="12" t="n">
        <x:f>IF(W271="估算",IF(OR(P271=0,K271=0,$J$7=0),0,IF(P271&lt;=(1-$J$7)*K271,$J$7*P271*K271/(1-$J$7)-$J$7^2*P271^2/(2*(1-$J$7)^2),$J$7*P271*K271+$J$7^2*K271^2/2)/L271),"")</x:f>
        <x:v>2.764806222784684e-7</x:v>
      </x:c>
      <x:c r="U271" s="12" t="n">
        <x:f>IF(A271,60000/C271,"")</x:f>
        <x:v>6000</x:v>
      </x:c>
      <x:c r="V271" s="12" t="n">
        <x:f>IF(W271="估算",U271*E29*T271*M29*N29,"")</x:f>
        <x:v>0.15261730349771457</x:v>
      </x:c>
      <x:c r="W271" s="12" t="str">
        <x:f>IF(NOT(A271),"输入无效",IF(K271&gt;=L271,"KV 超载",IF(O271&gt;C271+1e-9,"TPOT 不自洽",IF(OR(C271&gt;L271,P271&gt;L271-K271),"需时序仿真","估算"))))</x:f>
        <x:v>估算</x:v>
      </x:c>
      <x:c r="X271" s="12" t="n">
        <x:f>IF(W271="估算",U271*M271,"")</x:f>
        <x:v>9.683884032</x:v>
      </x:c>
    </x:row>
    <x:row r="272" ht="25" customHeight="1">
      <x:c r="A272" s="2" t="b">
        <x:f>AND(AND(ISNUMBER($B$5),$B$5&gt;0),AND(ISNUMBER($F$5),$F$5&gt;0),AND(ISNUMBER($J$5),$J$5&gt;0),AND(ISNUMBER($B$9),$B$9&gt;0),AND(ISNUMBER(I29),I29&gt;0),AND(ISNUMBER(J29),J29&gt;0),AND(ISNUMBER(K29),K29&gt;0),AND(ISNUMBER(L29),L29&gt;0),AND(ISNUMBER(D122),D122&gt;0),AND(ISNUMBER(E122),E122&gt;0),MOD($B$5,1)=0,MOD($F$5,1)=0,MOD($J$5,1)=0,MOD($B$9,1)=0,MOD(K29,1)=0,ISNUMBER(C122),C122&gt;=2,MOD(C122,1)=0,OR($N$9=32,$N$9=64,$N$9=128),ISNUMBER($B$11),$B$11&gt;=0,MOD($B$11,1)=0,ISNUMBER($J$7),$J$7&gt;=0,$J$7&lt;1,AND(ISNUMBER(M29),M29&gt;=0,M29&lt;=1),AND(ISNUMBER(N29),N29&gt;=0,N29&lt;=1))</x:f>
        <x:v>1</x:v>
      </x:c>
      <x:c r="B272" s="12" t="n">
        <x:f>IF(A272,D122*1000,"")</x:f>
        <x:v>60000</x:v>
      </x:c>
      <x:c r="C272" s="12" t="n">
        <x:f>IF(A272,E122*L29,"")</x:f>
        <x:v>20</x:v>
      </x:c>
      <x:c r="D272" s="12" t="n">
        <x:f>IF(A272,M408,"")</x:f>
        <x:v>216.45167541503906</x:v>
      </x:c>
      <x:c r="E272" s="12" t="n">
        <x:f>IF(A272,B29/C29,"")</x:f>
        <x:v>4</x:v>
      </x:c>
      <x:c r="F272" s="12" t="n">
        <x:f>IF(A272,B29/D29,"")</x:f>
        <x:v>4</x:v>
      </x:c>
      <x:c r="G272" s="12" t="n">
        <x:f>IF(A272,$F$5*E272*$B$5*60000/B272,"")</x:f>
        <x:v>64</x:v>
      </x:c>
      <x:c r="H272" s="12" t="n">
        <x:f>IF(A272,G272/($J$5*F272),"")</x:f>
        <x:v>16</x:v>
      </x:c>
      <x:c r="I272" s="12" t="n">
        <x:f>IF(A272,$B$5*D272/C29/$B$9,"")</x:f>
        <x:v>432.9033508300781</x:v>
      </x:c>
      <x:c r="J272" s="12" t="n">
        <x:f>IF(A272,I272*$F$5/$J$5,"")</x:f>
        <x:v>432.9033508300781</x:v>
      </x:c>
      <x:c r="K272" s="12" t="n">
        <x:f>IF(A272,MAX(I272,J272)*2^30/(J29*1e6),"")</x:f>
        <x:v>96.83884032</x:v>
      </x:c>
      <x:c r="L272" s="12" t="n">
        <x:f>IF(A272,B272/$B$9,"")</x:f>
        <x:v>60000</x:v>
      </x:c>
      <x:c r="M272" s="54" t="n">
        <x:f>IF(A272,K272/L272,"")</x:f>
        <x:v>0.001613980672</x:v>
      </x:c>
      <x:c r="N272" s="12" t="n">
        <x:f>IF(A272,(E29*ROUNDUP(K29/D29,0)*G29*(B29-1)/B29*(ROUNDUP((ROUNDUP(F29*2/32,0)*32+32)/480,0)*512+F29*2+32)+E29*ROUNDUP(H29/B29,0)*(B29-1)*32)/1e9,"")</x:f>
        <x:v>0.68082944</x:v>
      </x:c>
      <x:c r="O272" s="12" t="n">
        <x:f>IF(A272,N272*1000/I29,"")</x:f>
        <x:v>0.14183946666666666</x:v>
      </x:c>
      <x:c r="P272" s="12" t="n">
        <x:f>IF(A272,O272/E29,"")</x:f>
        <x:v>0.0015417333333333334</x:v>
      </x:c>
      <x:c r="Q272" s="12" t="n">
        <x:f>IF(A272,N272*1000/C272,"")</x:f>
        <x:v>34.041472</x:v>
      </x:c>
      <x:c r="R272" s="12" t="n">
        <x:f>IF(W272="估算",IF(OR(K272=0,O272=0),0,1-((E29-1)*MAX(0,(C272-O272)/E29-(K272))+MAX(0,L272-((E29-1)*C272/E29+P272)-(K272)))/L272),"")</x:f>
        <x:v>0.0019437165124830402</x:v>
      </x:c>
      <x:c r="S272" s="12" t="n">
        <x:f>IF(W272="估算",IF(O272=0,0,MAX(0,1-(1-((E29-1)*MAX(0,(C272-O272)/E29-(L272-K272))+MAX(0,L272-((E29-1)*C272/E29+P272)-(L272-K272)))/L272))),"")</x:f>
        <x:v>0.0012842448315170119</x:v>
      </x:c>
      <x:c r="T272" s="12" t="n">
        <x:f>IF(W272="估算",IF(OR(P272=0,K272=0,$J$7=0),0,IF(P272&lt;=(1-$J$7)*K272,$J$7*P272*K272/(1-$J$7)-$J$7^2*P272^2/(2*(1-$J$7)^2),$J$7*P272*K272+$J$7^2*K272^2/2)/L272),"")</x:f>
        <x:v>2.764806222784684e-7</x:v>
      </x:c>
      <x:c r="U272" s="12" t="n">
        <x:f>IF(A272,60000/C272,"")</x:f>
        <x:v>3000</x:v>
      </x:c>
      <x:c r="V272" s="12" t="n">
        <x:f>IF(W272="估算",U272*E29*T272*M29*N29,"")</x:f>
        <x:v>0.07630865174885729</x:v>
      </x:c>
      <x:c r="W272" s="12" t="str">
        <x:f>IF(NOT(A272),"输入无效",IF(K272&gt;=L272,"KV 超载",IF(O272&gt;C272+1e-9,"TPOT 不自洽",IF(OR(C272&gt;L272,P272&gt;L272-K272),"需时序仿真","估算"))))</x:f>
        <x:v>估算</x:v>
      </x:c>
      <x:c r="X272" s="12" t="n">
        <x:f>IF(W272="估算",U272*M272,"")</x:f>
        <x:v>4.841942016</x:v>
      </x:c>
    </x:row>
    <x:row r="273" ht="25" customHeight="1">
      <x:c r="A273" s="2" t="b">
        <x:f>AND(AND(ISNUMBER($B$5),$B$5&gt;0),AND(ISNUMBER($F$5),$F$5&gt;0),AND(ISNUMBER($J$5),$J$5&gt;0),AND(ISNUMBER($B$9),$B$9&gt;0),AND(ISNUMBER(I29),I29&gt;0),AND(ISNUMBER(J29),J29&gt;0),AND(ISNUMBER(K29),K29&gt;0),AND(ISNUMBER(L29),L29&gt;0),AND(ISNUMBER(D123),D123&gt;0),AND(ISNUMBER(E123),E123&gt;0),MOD($B$5,1)=0,MOD($F$5,1)=0,MOD($J$5,1)=0,MOD($B$9,1)=0,MOD(K29,1)=0,ISNUMBER(C123),C123&gt;=2,MOD(C123,1)=0,OR($N$9=32,$N$9=64,$N$9=128),ISNUMBER($B$11),$B$11&gt;=0,MOD($B$11,1)=0,ISNUMBER($J$7),$J$7&gt;=0,$J$7&lt;1,AND(ISNUMBER(M29),M29&gt;=0,M29&lt;=1),AND(ISNUMBER(N29),N29&gt;=0,N29&lt;=1))</x:f>
        <x:v>1</x:v>
      </x:c>
      <x:c r="B273" s="12" t="n">
        <x:f>IF(A273,D123*1000,"")</x:f>
        <x:v>60000</x:v>
      </x:c>
      <x:c r="C273" s="12" t="n">
        <x:f>IF(A273,E123*L29,"")</x:f>
        <x:v>30</x:v>
      </x:c>
      <x:c r="D273" s="12" t="n">
        <x:f>IF(A273,M408,"")</x:f>
        <x:v>216.45167541503906</x:v>
      </x:c>
      <x:c r="E273" s="12" t="n">
        <x:f>IF(A273,B29/C29,"")</x:f>
        <x:v>4</x:v>
      </x:c>
      <x:c r="F273" s="12" t="n">
        <x:f>IF(A273,B29/D29,"")</x:f>
        <x:v>4</x:v>
      </x:c>
      <x:c r="G273" s="12" t="n">
        <x:f>IF(A273,$F$5*E273*$B$5*60000/B273,"")</x:f>
        <x:v>64</x:v>
      </x:c>
      <x:c r="H273" s="12" t="n">
        <x:f>IF(A273,G273/($J$5*F273),"")</x:f>
        <x:v>16</x:v>
      </x:c>
      <x:c r="I273" s="12" t="n">
        <x:f>IF(A273,$B$5*D273/C29/$B$9,"")</x:f>
        <x:v>432.9033508300781</x:v>
      </x:c>
      <x:c r="J273" s="12" t="n">
        <x:f>IF(A273,I273*$F$5/$J$5,"")</x:f>
        <x:v>432.9033508300781</x:v>
      </x:c>
      <x:c r="K273" s="12" t="n">
        <x:f>IF(A273,MAX(I273,J273)*2^30/(J29*1e6),"")</x:f>
        <x:v>96.83884032</x:v>
      </x:c>
      <x:c r="L273" s="12" t="n">
        <x:f>IF(A273,B273/$B$9,"")</x:f>
        <x:v>60000</x:v>
      </x:c>
      <x:c r="M273" s="54" t="n">
        <x:f>IF(A273,K273/L273,"")</x:f>
        <x:v>0.001613980672</x:v>
      </x:c>
      <x:c r="N273" s="12" t="n">
        <x:f>IF(A273,(E29*ROUNDUP(K29/D29,0)*G29*(B29-1)/B29*(ROUNDUP((ROUNDUP(F29*2/32,0)*32+32)/480,0)*512+F29*2+32)+E29*ROUNDUP(H29/B29,0)*(B29-1)*32)/1e9,"")</x:f>
        <x:v>0.68082944</x:v>
      </x:c>
      <x:c r="O273" s="12" t="n">
        <x:f>IF(A273,N273*1000/I29,"")</x:f>
        <x:v>0.14183946666666666</x:v>
      </x:c>
      <x:c r="P273" s="12" t="n">
        <x:f>IF(A273,O273/E29,"")</x:f>
        <x:v>0.0015417333333333334</x:v>
      </x:c>
      <x:c r="Q273" s="12" t="n">
        <x:f>IF(A273,N273*1000/C273,"")</x:f>
        <x:v>22.694314666666667</x:v>
      </x:c>
      <x:c r="R273" s="12" t="n">
        <x:f>IF(W273="估算",IF(OR(K273=0,O273=0),0,1-((E29-1)*MAX(0,(C273-O273)/E29-(K273))+MAX(0,L273-((E29-1)*C273/E29+P273)-(K273)))/L273),"")</x:f>
        <x:v>0.0021085715849469278</x:v>
      </x:c>
      <x:c r="S273" s="12" t="n">
        <x:f>IF(W273="估算",IF(O273=0,0,MAX(0,1-(1-((E29-1)*MAX(0,(C273-O273)/E29-(L273-K273))+MAX(0,L273-((E29-1)*C273/E29+P273)-(L273-K273)))/L273))),"")</x:f>
        <x:v>0.0011193897590531243</x:v>
      </x:c>
      <x:c r="T273" s="12" t="n">
        <x:f>IF(W273="估算",IF(OR(P273=0,K273=0,$J$7=0),0,IF(P273&lt;=(1-$J$7)*K273,$J$7*P273*K273/(1-$J$7)-$J$7^2*P273^2/(2*(1-$J$7)^2),$J$7*P273*K273+$J$7^2*K273^2/2)/L273),"")</x:f>
        <x:v>2.764806222784684e-7</x:v>
      </x:c>
      <x:c r="U273" s="12" t="n">
        <x:f>IF(A273,60000/C273,"")</x:f>
        <x:v>2000</x:v>
      </x:c>
      <x:c r="V273" s="12" t="n">
        <x:f>IF(W273="估算",U273*E29*T273*M29*N29,"")</x:f>
        <x:v>0.05087243449923819</x:v>
      </x:c>
      <x:c r="W273" s="12" t="str">
        <x:f>IF(NOT(A273),"输入无效",IF(K273&gt;=L273,"KV 超载",IF(O273&gt;C273+1e-9,"TPOT 不自洽",IF(OR(C273&gt;L273,P273&gt;L273-K273),"需时序仿真","估算"))))</x:f>
        <x:v>估算</x:v>
      </x:c>
      <x:c r="X273" s="12" t="n">
        <x:f>IF(W273="估算",U273*M273,"")</x:f>
        <x:v>3.227961344</x:v>
      </x:c>
    </x:row>
    <x:row r="274" ht="25" customHeight="1">
      <x:c r="A274" s="2" t="b">
        <x:f>AND(AND(ISNUMBER($B$5),$B$5&gt;0),AND(ISNUMBER($F$5),$F$5&gt;0),AND(ISNUMBER($J$5),$J$5&gt;0),AND(ISNUMBER($B$9),$B$9&gt;0),AND(ISNUMBER(I30),I30&gt;0),AND(ISNUMBER(J30),J30&gt;0),AND(ISNUMBER(K30),K30&gt;0),AND(ISNUMBER(L30),L30&gt;0),AND(ISNUMBER(D124),D124&gt;0),AND(ISNUMBER(E124),E124&gt;0),MOD($B$5,1)=0,MOD($F$5,1)=0,MOD($J$5,1)=0,MOD($B$9,1)=0,MOD(K30,1)=0,ISNUMBER(C124),C124&gt;=2,MOD(C124,1)=0,OR($N$9=32,$N$9=64,$N$9=128),ISNUMBER($B$11),$B$11&gt;=0,MOD($B$11,1)=0,ISNUMBER($J$7),$J$7&gt;=0,$J$7&lt;1,AND(ISNUMBER(M30),M30&gt;=0,M30&lt;=1),AND(ISNUMBER(N30),N30&gt;=0,N30&lt;=1))</x:f>
        <x:v>1</x:v>
      </x:c>
      <x:c r="B274" s="12" t="n">
        <x:f>IF(A274,D124*1000,"")</x:f>
        <x:v>4000</x:v>
      </x:c>
      <x:c r="C274" s="12" t="n">
        <x:f>IF(A274,E124*L30,"")</x:f>
        <x:v>5</x:v>
      </x:c>
      <x:c r="D274" s="12" t="n">
        <x:f>IF(A274,M400,"")</x:f>
        <x:v>3.8266754150390625</x:v>
      </x:c>
      <x:c r="E274" s="12" t="n">
        <x:f>IF(A274,B30/C30,"")</x:f>
        <x:v>32</x:v>
      </x:c>
      <x:c r="F274" s="12" t="n">
        <x:f>IF(A274,B30/D30,"")</x:f>
        <x:v>32</x:v>
      </x:c>
      <x:c r="G274" s="12" t="n">
        <x:f>IF(A274,$F$5*E274*$B$5*60000/B274,"")</x:f>
        <x:v>7680</x:v>
      </x:c>
      <x:c r="H274" s="12" t="n">
        <x:f>IF(A274,G274/($J$5*F274),"")</x:f>
        <x:v>240</x:v>
      </x:c>
      <x:c r="I274" s="12" t="n">
        <x:f>IF(A274,$B$5*D274/C30/$B$9,"")</x:f>
        <x:v>7.653350830078125</x:v>
      </x:c>
      <x:c r="J274" s="12" t="n">
        <x:f>IF(A274,I274*$F$5/$J$5,"")</x:f>
        <x:v>7.653350830078125</x:v>
      </x:c>
      <x:c r="K274" s="12" t="n">
        <x:f>IF(A274,MAX(I274,J274)*2^30/(J30*1e6),"")</x:f>
        <x:v>1.7120256</x:v>
      </x:c>
      <x:c r="L274" s="12" t="n">
        <x:f>IF(A274,B274/$B$9,"")</x:f>
        <x:v>4000</x:v>
      </x:c>
      <x:c r="M274" s="54" t="n">
        <x:f>IF(A274,K274/L274,"")</x:f>
        <x:v>0.0004280064</x:v>
      </x:c>
      <x:c r="N274" s="12" t="n">
        <x:f>IF(A274,(E30*ROUNDUP(K30/D30,0)*G30*(B30-1)/B30*(ROUNDUP((ROUNDUP(F30*2/32,0)*32+32)/480,0)*512+F30*2+32)+E30*ROUNDUP(H30/B30,0)*(B30-1)*32)/1e9,"")</x:f>
        <x:v>0.70042176</x:v>
      </x:c>
      <x:c r="O274" s="12" t="n">
        <x:f>IF(A274,N274*1000/I30,"")</x:f>
        <x:v>0.1459212</x:v>
      </x:c>
      <x:c r="P274" s="12" t="n">
        <x:f>IF(A274,O274/E30,"")</x:f>
        <x:v>0.0015861</x:v>
      </x:c>
      <x:c r="Q274" s="12" t="n">
        <x:f>IF(A274,N274*1000/C274,"")</x:f>
        <x:v>140.084352</x:v>
      </x:c>
      <x:c r="R274" s="12" t="n">
        <x:f>IF(W274="估算",IF(OR(K274=0,O274=0),0,1-((E30-1)*MAX(0,(C274-O274)/E30-(K274))+MAX(0,L274-((E30-1)*C274/E30+P274)-(K274)))/L274),"")</x:f>
        <x:v>0.0016648159684782282</x:v>
      </x:c>
      <x:c r="S274" s="12" t="n">
        <x:f>IF(W274="估算",IF(O274=0,0,MAX(0,1-(1-((E30-1)*MAX(0,(C274-O274)/E30-(L274-K274))+MAX(0,L274-((E30-1)*C274/E30+P274)-(L274-K274)))/L274))),"")</x:f>
        <x:v>0</x:v>
      </x:c>
      <x:c r="T274" s="12" t="n">
        <x:f>IF(W274="估算",IF(OR(P274=0,K274=0,$J$7=0),0,IF(P274&lt;=(1-$J$7)*K274,$J$7*P274*K274/(1-$J$7)-$J$7^2*P274^2/(2*(1-$J$7)^2),$J$7*P274*K274+$J$7^2*K274^2/2)/L274),"")</x:f>
        <x:v>7.542511228652778e-8</x:v>
      </x:c>
      <x:c r="U274" s="12" t="n">
        <x:f>IF(A274,60000/C274,"")</x:f>
        <x:v>12000</x:v>
      </x:c>
      <x:c r="V274" s="12" t="n">
        <x:f>IF(W274="估算",U274*E30*T274*M30*N30,"")</x:f>
        <x:v>0.08326932396432667</x:v>
      </x:c>
      <x:c r="W274" s="12" t="str">
        <x:f>IF(NOT(A274),"输入无效",IF(K274&gt;=L274,"KV 超载",IF(O274&gt;C274+1e-9,"TPOT 不自洽",IF(OR(C274&gt;L274,P274&gt;L274-K274),"需时序仿真","估算"))))</x:f>
        <x:v>估算</x:v>
      </x:c>
      <x:c r="X274" s="12" t="n">
        <x:f>IF(W274="估算",U274*M274,"")</x:f>
        <x:v>5.1360768</x:v>
      </x:c>
    </x:row>
    <x:row r="275" ht="25" customHeight="1">
      <x:c r="A275" s="2" t="b">
        <x:f>AND(AND(ISNUMBER($B$5),$B$5&gt;0),AND(ISNUMBER($F$5),$F$5&gt;0),AND(ISNUMBER($J$5),$J$5&gt;0),AND(ISNUMBER($B$9),$B$9&gt;0),AND(ISNUMBER(I30),I30&gt;0),AND(ISNUMBER(J30),J30&gt;0),AND(ISNUMBER(K30),K30&gt;0),AND(ISNUMBER(L30),L30&gt;0),AND(ISNUMBER(D125),D125&gt;0),AND(ISNUMBER(E125),E125&gt;0),MOD($B$5,1)=0,MOD($F$5,1)=0,MOD($J$5,1)=0,MOD($B$9,1)=0,MOD(K30,1)=0,ISNUMBER(C125),C125&gt;=2,MOD(C125,1)=0,OR($N$9=32,$N$9=64,$N$9=128),ISNUMBER($B$11),$B$11&gt;=0,MOD($B$11,1)=0,ISNUMBER($J$7),$J$7&gt;=0,$J$7&lt;1,AND(ISNUMBER(M30),M30&gt;=0,M30&lt;=1),AND(ISNUMBER(N30),N30&gt;=0,N30&lt;=1))</x:f>
        <x:v>1</x:v>
      </x:c>
      <x:c r="B275" s="12" t="n">
        <x:f>IF(A275,D125*1000,"")</x:f>
        <x:v>4000</x:v>
      </x:c>
      <x:c r="C275" s="12" t="n">
        <x:f>IF(A275,E125*L30,"")</x:f>
        <x:v>10</x:v>
      </x:c>
      <x:c r="D275" s="12" t="n">
        <x:f>IF(A275,M400,"")</x:f>
        <x:v>3.8266754150390625</x:v>
      </x:c>
      <x:c r="E275" s="12" t="n">
        <x:f>IF(A275,B30/C30,"")</x:f>
        <x:v>32</x:v>
      </x:c>
      <x:c r="F275" s="12" t="n">
        <x:f>IF(A275,B30/D30,"")</x:f>
        <x:v>32</x:v>
      </x:c>
      <x:c r="G275" s="12" t="n">
        <x:f>IF(A275,$F$5*E275*$B$5*60000/B275,"")</x:f>
        <x:v>7680</x:v>
      </x:c>
      <x:c r="H275" s="12" t="n">
        <x:f>IF(A275,G275/($J$5*F275),"")</x:f>
        <x:v>240</x:v>
      </x:c>
      <x:c r="I275" s="12" t="n">
        <x:f>IF(A275,$B$5*D275/C30/$B$9,"")</x:f>
        <x:v>7.653350830078125</x:v>
      </x:c>
      <x:c r="J275" s="12" t="n">
        <x:f>IF(A275,I275*$F$5/$J$5,"")</x:f>
        <x:v>7.653350830078125</x:v>
      </x:c>
      <x:c r="K275" s="12" t="n">
        <x:f>IF(A275,MAX(I275,J275)*2^30/(J30*1e6),"")</x:f>
        <x:v>1.7120256</x:v>
      </x:c>
      <x:c r="L275" s="12" t="n">
        <x:f>IF(A275,B275/$B$9,"")</x:f>
        <x:v>4000</x:v>
      </x:c>
      <x:c r="M275" s="54" t="n">
        <x:f>IF(A275,K275/L275,"")</x:f>
        <x:v>0.0004280064</x:v>
      </x:c>
      <x:c r="N275" s="12" t="n">
        <x:f>IF(A275,(E30*ROUNDUP(K30/D30,0)*G30*(B30-1)/B30*(ROUNDUP((ROUNDUP(F30*2/32,0)*32+32)/480,0)*512+F30*2+32)+E30*ROUNDUP(H30/B30,0)*(B30-1)*32)/1e9,"")</x:f>
        <x:v>0.70042176</x:v>
      </x:c>
      <x:c r="O275" s="12" t="n">
        <x:f>IF(A275,N275*1000/I30,"")</x:f>
        <x:v>0.1459212</x:v>
      </x:c>
      <x:c r="P275" s="12" t="n">
        <x:f>IF(A275,O275/E30,"")</x:f>
        <x:v>0.0015861</x:v>
      </x:c>
      <x:c r="Q275" s="12" t="n">
        <x:f>IF(A275,N275*1000/C275,"")</x:f>
        <x:v>70.042176</x:v>
      </x:c>
      <x:c r="R275" s="12" t="n">
        <x:f>IF(W275="估算",IF(OR(K275=0,O275=0),0,1-((E30-1)*MAX(0,(C275-O275)/E30-(K275))+MAX(0,L275-((E30-1)*C275/E30+P275)-(K275)))/L275),"")</x:f>
        <x:v>0.002901229011956552</x:v>
      </x:c>
      <x:c r="S275" s="12" t="n">
        <x:f>IF(W275="估算",IF(O275=0,0,MAX(0,1-(1-((E30-1)*MAX(0,(C275-O275)/E30-(L275-K275))+MAX(0,L275-((E30-1)*C275/E30+P275)-(L275-K275)))/L275))),"")</x:f>
        <x:v>0</x:v>
      </x:c>
      <x:c r="T275" s="12" t="n">
        <x:f>IF(W275="估算",IF(OR(P275=0,K275=0,$J$7=0),0,IF(P275&lt;=(1-$J$7)*K275,$J$7*P275*K275/(1-$J$7)-$J$7^2*P275^2/(2*(1-$J$7)^2),$J$7*P275*K275+$J$7^2*K275^2/2)/L275),"")</x:f>
        <x:v>7.542511228652778e-8</x:v>
      </x:c>
      <x:c r="U275" s="12" t="n">
        <x:f>IF(A275,60000/C275,"")</x:f>
        <x:v>6000</x:v>
      </x:c>
      <x:c r="V275" s="12" t="n">
        <x:f>IF(W275="估算",U275*E30*T275*M30*N30,"")</x:f>
        <x:v>0.04163466198216333</x:v>
      </x:c>
      <x:c r="W275" s="12" t="str">
        <x:f>IF(NOT(A275),"输入无效",IF(K275&gt;=L275,"KV 超载",IF(O275&gt;C275+1e-9,"TPOT 不自洽",IF(OR(C275&gt;L275,P275&gt;L275-K275),"需时序仿真","估算"))))</x:f>
        <x:v>估算</x:v>
      </x:c>
      <x:c r="X275" s="12" t="n">
        <x:f>IF(W275="估算",U275*M275,"")</x:f>
        <x:v>2.5680384</x:v>
      </x:c>
    </x:row>
    <x:row r="276" ht="25" customHeight="1">
      <x:c r="A276" s="2" t="b">
        <x:f>AND(AND(ISNUMBER($B$5),$B$5&gt;0),AND(ISNUMBER($F$5),$F$5&gt;0),AND(ISNUMBER($J$5),$J$5&gt;0),AND(ISNUMBER($B$9),$B$9&gt;0),AND(ISNUMBER(I30),I30&gt;0),AND(ISNUMBER(J30),J30&gt;0),AND(ISNUMBER(K30),K30&gt;0),AND(ISNUMBER(L30),L30&gt;0),AND(ISNUMBER(D126),D126&gt;0),AND(ISNUMBER(E126),E126&gt;0),MOD($B$5,1)=0,MOD($F$5,1)=0,MOD($J$5,1)=0,MOD($B$9,1)=0,MOD(K30,1)=0,ISNUMBER(C126),C126&gt;=2,MOD(C126,1)=0,OR($N$9=32,$N$9=64,$N$9=128),ISNUMBER($B$11),$B$11&gt;=0,MOD($B$11,1)=0,ISNUMBER($J$7),$J$7&gt;=0,$J$7&lt;1,AND(ISNUMBER(M30),M30&gt;=0,M30&lt;=1),AND(ISNUMBER(N30),N30&gt;=0,N30&lt;=1))</x:f>
        <x:v>1</x:v>
      </x:c>
      <x:c r="B276" s="12" t="n">
        <x:f>IF(A276,D126*1000,"")</x:f>
        <x:v>4000</x:v>
      </x:c>
      <x:c r="C276" s="12" t="n">
        <x:f>IF(A276,E126*L30,"")</x:f>
        <x:v>20</x:v>
      </x:c>
      <x:c r="D276" s="12" t="n">
        <x:f>IF(A276,M400,"")</x:f>
        <x:v>3.8266754150390625</x:v>
      </x:c>
      <x:c r="E276" s="12" t="n">
        <x:f>IF(A276,B30/C30,"")</x:f>
        <x:v>32</x:v>
      </x:c>
      <x:c r="F276" s="12" t="n">
        <x:f>IF(A276,B30/D30,"")</x:f>
        <x:v>32</x:v>
      </x:c>
      <x:c r="G276" s="12" t="n">
        <x:f>IF(A276,$F$5*E276*$B$5*60000/B276,"")</x:f>
        <x:v>7680</x:v>
      </x:c>
      <x:c r="H276" s="12" t="n">
        <x:f>IF(A276,G276/($J$5*F276),"")</x:f>
        <x:v>240</x:v>
      </x:c>
      <x:c r="I276" s="12" t="n">
        <x:f>IF(A276,$B$5*D276/C30/$B$9,"")</x:f>
        <x:v>7.653350830078125</x:v>
      </x:c>
      <x:c r="J276" s="12" t="n">
        <x:f>IF(A276,I276*$F$5/$J$5,"")</x:f>
        <x:v>7.653350830078125</x:v>
      </x:c>
      <x:c r="K276" s="12" t="n">
        <x:f>IF(A276,MAX(I276,J276)*2^30/(J30*1e6),"")</x:f>
        <x:v>1.7120256</x:v>
      </x:c>
      <x:c r="L276" s="12" t="n">
        <x:f>IF(A276,B276/$B$9,"")</x:f>
        <x:v>4000</x:v>
      </x:c>
      <x:c r="M276" s="54" t="n">
        <x:f>IF(A276,K276/L276,"")</x:f>
        <x:v>0.0004280064</x:v>
      </x:c>
      <x:c r="N276" s="12" t="n">
        <x:f>IF(A276,(E30*ROUNDUP(K30/D30,0)*G30*(B30-1)/B30*(ROUNDUP((ROUNDUP(F30*2/32,0)*32+32)/480,0)*512+F30*2+32)+E30*ROUNDUP(H30/B30,0)*(B30-1)*32)/1e9,"")</x:f>
        <x:v>0.70042176</x:v>
      </x:c>
      <x:c r="O276" s="12" t="n">
        <x:f>IF(A276,N276*1000/I30,"")</x:f>
        <x:v>0.1459212</x:v>
      </x:c>
      <x:c r="P276" s="12" t="n">
        <x:f>IF(A276,O276/E30,"")</x:f>
        <x:v>0.0015861</x:v>
      </x:c>
      <x:c r="Q276" s="12" t="n">
        <x:f>IF(A276,N276*1000/C276,"")</x:f>
        <x:v>35.021088</x:v>
      </x:c>
      <x:c r="R276" s="12" t="n">
        <x:f>IF(W276="估算",IF(OR(K276=0,O276=0),0,1-((E30-1)*MAX(0,(C276-O276)/E30-(K276))+MAX(0,L276-((E30-1)*C276/E30+P276)-(K276)))/L276),"")</x:f>
        <x:v>0.005374055098912978</x:v>
      </x:c>
      <x:c r="S276" s="12" t="n">
        <x:f>IF(W276="估算",IF(O276=0,0,MAX(0,1-(1-((E30-1)*MAX(0,(C276-O276)/E30-(L276-K276))+MAX(0,L276-((E30-1)*C276/E30+P276)-(L276-K276)))/L276))),"")</x:f>
        <x:v>0</x:v>
      </x:c>
      <x:c r="T276" s="12" t="n">
        <x:f>IF(W276="估算",IF(OR(P276=0,K276=0,$J$7=0),0,IF(P276&lt;=(1-$J$7)*K276,$J$7*P276*K276/(1-$J$7)-$J$7^2*P276^2/(2*(1-$J$7)^2),$J$7*P276*K276+$J$7^2*K276^2/2)/L276),"")</x:f>
        <x:v>7.542511228652778e-8</x:v>
      </x:c>
      <x:c r="U276" s="12" t="n">
        <x:f>IF(A276,60000/C276,"")</x:f>
        <x:v>3000</x:v>
      </x:c>
      <x:c r="V276" s="12" t="n">
        <x:f>IF(W276="估算",U276*E30*T276*M30*N30,"")</x:f>
        <x:v>0.020817330991081667</x:v>
      </x:c>
      <x:c r="W276" s="12" t="str">
        <x:f>IF(NOT(A276),"输入无效",IF(K276&gt;=L276,"KV 超载",IF(O276&gt;C276+1e-9,"TPOT 不自洽",IF(OR(C276&gt;L276,P276&gt;L276-K276),"需时序仿真","估算"))))</x:f>
        <x:v>估算</x:v>
      </x:c>
      <x:c r="X276" s="12" t="n">
        <x:f>IF(W276="估算",U276*M276,"")</x:f>
        <x:v>1.2840192</x:v>
      </x:c>
    </x:row>
    <x:row r="277" ht="25" customHeight="1">
      <x:c r="A277" s="2" t="b">
        <x:f>AND(AND(ISNUMBER($B$5),$B$5&gt;0),AND(ISNUMBER($F$5),$F$5&gt;0),AND(ISNUMBER($J$5),$J$5&gt;0),AND(ISNUMBER($B$9),$B$9&gt;0),AND(ISNUMBER(I30),I30&gt;0),AND(ISNUMBER(J30),J30&gt;0),AND(ISNUMBER(K30),K30&gt;0),AND(ISNUMBER(L30),L30&gt;0),AND(ISNUMBER(D127),D127&gt;0),AND(ISNUMBER(E127),E127&gt;0),MOD($B$5,1)=0,MOD($F$5,1)=0,MOD($J$5,1)=0,MOD($B$9,1)=0,MOD(K30,1)=0,ISNUMBER(C127),C127&gt;=2,MOD(C127,1)=0,OR($N$9=32,$N$9=64,$N$9=128),ISNUMBER($B$11),$B$11&gt;=0,MOD($B$11,1)=0,ISNUMBER($J$7),$J$7&gt;=0,$J$7&lt;1,AND(ISNUMBER(M30),M30&gt;=0,M30&lt;=1),AND(ISNUMBER(N30),N30&gt;=0,N30&lt;=1))</x:f>
        <x:v>1</x:v>
      </x:c>
      <x:c r="B277" s="12" t="n">
        <x:f>IF(A277,D127*1000,"")</x:f>
        <x:v>4000</x:v>
      </x:c>
      <x:c r="C277" s="12" t="n">
        <x:f>IF(A277,E127*L30,"")</x:f>
        <x:v>30</x:v>
      </x:c>
      <x:c r="D277" s="12" t="n">
        <x:f>IF(A277,M400,"")</x:f>
        <x:v>3.8266754150390625</x:v>
      </x:c>
      <x:c r="E277" s="12" t="n">
        <x:f>IF(A277,B30/C30,"")</x:f>
        <x:v>32</x:v>
      </x:c>
      <x:c r="F277" s="12" t="n">
        <x:f>IF(A277,B30/D30,"")</x:f>
        <x:v>32</x:v>
      </x:c>
      <x:c r="G277" s="12" t="n">
        <x:f>IF(A277,$F$5*E277*$B$5*60000/B277,"")</x:f>
        <x:v>7680</x:v>
      </x:c>
      <x:c r="H277" s="12" t="n">
        <x:f>IF(A277,G277/($J$5*F277),"")</x:f>
        <x:v>240</x:v>
      </x:c>
      <x:c r="I277" s="12" t="n">
        <x:f>IF(A277,$B$5*D277/C30/$B$9,"")</x:f>
        <x:v>7.653350830078125</x:v>
      </x:c>
      <x:c r="J277" s="12" t="n">
        <x:f>IF(A277,I277*$F$5/$J$5,"")</x:f>
        <x:v>7.653350830078125</x:v>
      </x:c>
      <x:c r="K277" s="12" t="n">
        <x:f>IF(A277,MAX(I277,J277)*2^30/(J30*1e6),"")</x:f>
        <x:v>1.7120256</x:v>
      </x:c>
      <x:c r="L277" s="12" t="n">
        <x:f>IF(A277,B277/$B$9,"")</x:f>
        <x:v>4000</x:v>
      </x:c>
      <x:c r="M277" s="54" t="n">
        <x:f>IF(A277,K277/L277,"")</x:f>
        <x:v>0.0004280064</x:v>
      </x:c>
      <x:c r="N277" s="12" t="n">
        <x:f>IF(A277,(E30*ROUNDUP(K30/D30,0)*G30*(B30-1)/B30*(ROUNDUP((ROUNDUP(F30*2/32,0)*32+32)/480,0)*512+F30*2+32)+E30*ROUNDUP(H30/B30,0)*(B30-1)*32)/1e9,"")</x:f>
        <x:v>0.70042176</x:v>
      </x:c>
      <x:c r="O277" s="12" t="n">
        <x:f>IF(A277,N277*1000/I30,"")</x:f>
        <x:v>0.1459212</x:v>
      </x:c>
      <x:c r="P277" s="12" t="n">
        <x:f>IF(A277,O277/E30,"")</x:f>
        <x:v>0.0015861</x:v>
      </x:c>
      <x:c r="Q277" s="12" t="n">
        <x:f>IF(A277,N277*1000/C277,"")</x:f>
        <x:v>23.347392</x:v>
      </x:c>
      <x:c r="R277" s="12" t="n">
        <x:f>IF(W277="估算",IF(OR(K277=0,O277=0),0,1-((E30-1)*MAX(0,(C277-O277)/E30-(K277))+MAX(0,L277-((E30-1)*C277/E30+P277)-(K277)))/L277),"")</x:f>
        <x:v>0.007846881185869514</x:v>
      </x:c>
      <x:c r="S277" s="12" t="n">
        <x:f>IF(W277="估算",IF(O277=0,0,MAX(0,1-(1-((E30-1)*MAX(0,(C277-O277)/E30-(L277-K277))+MAX(0,L277-((E30-1)*C277/E30+P277)-(L277-K277)))/L277))),"")</x:f>
        <x:v>0</x:v>
      </x:c>
      <x:c r="T277" s="12" t="n">
        <x:f>IF(W277="估算",IF(OR(P277=0,K277=0,$J$7=0),0,IF(P277&lt;=(1-$J$7)*K277,$J$7*P277*K277/(1-$J$7)-$J$7^2*P277^2/(2*(1-$J$7)^2),$J$7*P277*K277+$J$7^2*K277^2/2)/L277),"")</x:f>
        <x:v>7.542511228652778e-8</x:v>
      </x:c>
      <x:c r="U277" s="12" t="n">
        <x:f>IF(A277,60000/C277,"")</x:f>
        <x:v>2000</x:v>
      </x:c>
      <x:c r="V277" s="12" t="n">
        <x:f>IF(W277="估算",U277*E30*T277*M30*N30,"")</x:f>
        <x:v>0.013878220660721112</x:v>
      </x:c>
      <x:c r="W277" s="12" t="str">
        <x:f>IF(NOT(A277),"输入无效",IF(K277&gt;=L277,"KV 超载",IF(O277&gt;C277+1e-9,"TPOT 不自洽",IF(OR(C277&gt;L277,P277&gt;L277-K277),"需时序仿真","估算"))))</x:f>
        <x:v>估算</x:v>
      </x:c>
      <x:c r="X277" s="12" t="n">
        <x:f>IF(W277="估算",U277*M277,"")</x:f>
        <x:v>0.8560128</x:v>
      </x:c>
    </x:row>
    <x:row r="278" ht="25" customHeight="1">
      <x:c r="A278" s="2" t="b">
        <x:f>AND(AND(ISNUMBER($B$5),$B$5&gt;0),AND(ISNUMBER($F$5),$F$5&gt;0),AND(ISNUMBER($J$5),$J$5&gt;0),AND(ISNUMBER($B$9),$B$9&gt;0),AND(ISNUMBER(I30),I30&gt;0),AND(ISNUMBER(J30),J30&gt;0),AND(ISNUMBER(K30),K30&gt;0),AND(ISNUMBER(L30),L30&gt;0),AND(ISNUMBER(D128),D128&gt;0),AND(ISNUMBER(E128),E128&gt;0),MOD($B$5,1)=0,MOD($F$5,1)=0,MOD($J$5,1)=0,MOD($B$9,1)=0,MOD(K30,1)=0,ISNUMBER(C128),C128&gt;=2,MOD(C128,1)=0,OR($N$9=32,$N$9=64,$N$9=128),ISNUMBER($B$11),$B$11&gt;=0,MOD($B$11,1)=0,ISNUMBER($J$7),$J$7&gt;=0,$J$7&lt;1,AND(ISNUMBER(M30),M30&gt;=0,M30&lt;=1),AND(ISNUMBER(N30),N30&gt;=0,N30&lt;=1))</x:f>
        <x:v>1</x:v>
      </x:c>
      <x:c r="B278" s="12" t="n">
        <x:f>IF(A278,D128*1000,"")</x:f>
        <x:v>20000</x:v>
      </x:c>
      <x:c r="C278" s="12" t="n">
        <x:f>IF(A278,E128*L30,"")</x:f>
        <x:v>5</x:v>
      </x:c>
      <x:c r="D278" s="12" t="n">
        <x:f>IF(A278,M404,"")</x:f>
        <x:v>54.45167541503906</x:v>
      </x:c>
      <x:c r="E278" s="12" t="n">
        <x:f>IF(A278,B30/C30,"")</x:f>
        <x:v>32</x:v>
      </x:c>
      <x:c r="F278" s="12" t="n">
        <x:f>IF(A278,B30/D30,"")</x:f>
        <x:v>32</x:v>
      </x:c>
      <x:c r="G278" s="12" t="n">
        <x:f>IF(A278,$F$5*E278*$B$5*60000/B278,"")</x:f>
        <x:v>1536</x:v>
      </x:c>
      <x:c r="H278" s="12" t="n">
        <x:f>IF(A278,G278/($J$5*F278),"")</x:f>
        <x:v>48</x:v>
      </x:c>
      <x:c r="I278" s="12" t="n">
        <x:f>IF(A278,$B$5*D278/C30/$B$9,"")</x:f>
        <x:v>108.90335083007812</x:v>
      </x:c>
      <x:c r="J278" s="12" t="n">
        <x:f>IF(A278,I278*$F$5/$J$5,"")</x:f>
        <x:v>108.90335083007812</x:v>
      </x:c>
      <x:c r="K278" s="12" t="n">
        <x:f>IF(A278,MAX(I278,J278)*2^30/(J30*1e6),"")</x:f>
        <x:v>24.3612672</x:v>
      </x:c>
      <x:c r="L278" s="12" t="n">
        <x:f>IF(A278,B278/$B$9,"")</x:f>
        <x:v>20000</x:v>
      </x:c>
      <x:c r="M278" s="54" t="n">
        <x:f>IF(A278,K278/L278,"")</x:f>
        <x:v>0.00121806336</x:v>
      </x:c>
      <x:c r="N278" s="12" t="n">
        <x:f>IF(A278,(E30*ROUNDUP(K30/D30,0)*G30*(B30-1)/B30*(ROUNDUP((ROUNDUP(F30*2/32,0)*32+32)/480,0)*512+F30*2+32)+E30*ROUNDUP(H30/B30,0)*(B30-1)*32)/1e9,"")</x:f>
        <x:v>0.70042176</x:v>
      </x:c>
      <x:c r="O278" s="12" t="n">
        <x:f>IF(A278,N278*1000/I30,"")</x:f>
        <x:v>0.1459212</x:v>
      </x:c>
      <x:c r="P278" s="12" t="n">
        <x:f>IF(A278,O278/E30,"")</x:f>
        <x:v>0.0015861</x:v>
      </x:c>
      <x:c r="Q278" s="12" t="n">
        <x:f>IF(A278,N278*1000/C278,"")</x:f>
        <x:v>140.084352</x:v>
      </x:c>
      <x:c r="R278" s="12" t="n">
        <x:f>IF(W278="估算",IF(OR(K278=0,O278=0),0,1-((E30-1)*MAX(0,(C278-O278)/E30-(K278))+MAX(0,L278-((E30-1)*C278/E30+P278)-(K278)))/L278),"")</x:f>
        <x:v>0.001465425273695642</x:v>
      </x:c>
      <x:c r="S278" s="12" t="n">
        <x:f>IF(W278="估算",IF(O278=0,0,MAX(0,1-(1-((E30-1)*MAX(0,(C278-O278)/E30-(L278-K278))+MAX(0,L278-((E30-1)*C278/E30+P278)-(L278-K278)))/L278))),"")</x:f>
        <x:v>0.0009707014463045116</x:v>
      </x:c>
      <x:c r="T278" s="12" t="n">
        <x:f>IF(W278="估算",IF(OR(P278=0,K278=0,$J$7=0),0,IF(P278&lt;=(1-$J$7)*K278,$J$7*P278*K278/(1-$J$7)-$J$7^2*P278^2/(2*(1-$J$7)^2),$J$7*P278*K278+$J$7^2*K278^2/2)/L278),"")</x:f>
        <x:v>2.1466258968930553e-7</x:v>
      </x:c>
      <x:c r="U278" s="12" t="n">
        <x:f>IF(A278,60000/C278,"")</x:f>
        <x:v>12000</x:v>
      </x:c>
      <x:c r="V278" s="12" t="n">
        <x:f>IF(W278="估算",U278*E30*T278*M30*N30,"")</x:f>
        <x:v>0.23698749901699329</x:v>
      </x:c>
      <x:c r="W278" s="12" t="str">
        <x:f>IF(NOT(A278),"输入无效",IF(K278&gt;=L278,"KV 超载",IF(O278&gt;C278+1e-9,"TPOT 不自洽",IF(OR(C278&gt;L278,P278&gt;L278-K278),"需时序仿真","估算"))))</x:f>
        <x:v>估算</x:v>
      </x:c>
      <x:c r="X278" s="12" t="n">
        <x:f>IF(W278="估算",U278*M278,"")</x:f>
        <x:v>14.61676032</x:v>
      </x:c>
    </x:row>
    <x:row r="279" ht="25" customHeight="1">
      <x:c r="A279" s="2" t="b">
        <x:f>AND(AND(ISNUMBER($B$5),$B$5&gt;0),AND(ISNUMBER($F$5),$F$5&gt;0),AND(ISNUMBER($J$5),$J$5&gt;0),AND(ISNUMBER($B$9),$B$9&gt;0),AND(ISNUMBER(I30),I30&gt;0),AND(ISNUMBER(J30),J30&gt;0),AND(ISNUMBER(K30),K30&gt;0),AND(ISNUMBER(L30),L30&gt;0),AND(ISNUMBER(D129),D129&gt;0),AND(ISNUMBER(E129),E129&gt;0),MOD($B$5,1)=0,MOD($F$5,1)=0,MOD($J$5,1)=0,MOD($B$9,1)=0,MOD(K30,1)=0,ISNUMBER(C129),C129&gt;=2,MOD(C129,1)=0,OR($N$9=32,$N$9=64,$N$9=128),ISNUMBER($B$11),$B$11&gt;=0,MOD($B$11,1)=0,ISNUMBER($J$7),$J$7&gt;=0,$J$7&lt;1,AND(ISNUMBER(M30),M30&gt;=0,M30&lt;=1),AND(ISNUMBER(N30),N30&gt;=0,N30&lt;=1))</x:f>
        <x:v>1</x:v>
      </x:c>
      <x:c r="B279" s="12" t="n">
        <x:f>IF(A279,D129*1000,"")</x:f>
        <x:v>20000</x:v>
      </x:c>
      <x:c r="C279" s="12" t="n">
        <x:f>IF(A279,E129*L30,"")</x:f>
        <x:v>10</x:v>
      </x:c>
      <x:c r="D279" s="12" t="n">
        <x:f>IF(A279,M404,"")</x:f>
        <x:v>54.45167541503906</x:v>
      </x:c>
      <x:c r="E279" s="12" t="n">
        <x:f>IF(A279,B30/C30,"")</x:f>
        <x:v>32</x:v>
      </x:c>
      <x:c r="F279" s="12" t="n">
        <x:f>IF(A279,B30/D30,"")</x:f>
        <x:v>32</x:v>
      </x:c>
      <x:c r="G279" s="12" t="n">
        <x:f>IF(A279,$F$5*E279*$B$5*60000/B279,"")</x:f>
        <x:v>1536</x:v>
      </x:c>
      <x:c r="H279" s="12" t="n">
        <x:f>IF(A279,G279/($J$5*F279),"")</x:f>
        <x:v>48</x:v>
      </x:c>
      <x:c r="I279" s="12" t="n">
        <x:f>IF(A279,$B$5*D279/C30/$B$9,"")</x:f>
        <x:v>108.90335083007812</x:v>
      </x:c>
      <x:c r="J279" s="12" t="n">
        <x:f>IF(A279,I279*$F$5/$J$5,"")</x:f>
        <x:v>108.90335083007812</x:v>
      </x:c>
      <x:c r="K279" s="12" t="n">
        <x:f>IF(A279,MAX(I279,J279)*2^30/(J30*1e6),"")</x:f>
        <x:v>24.3612672</x:v>
      </x:c>
      <x:c r="L279" s="12" t="n">
        <x:f>IF(A279,B279/$B$9,"")</x:f>
        <x:v>20000</x:v>
      </x:c>
      <x:c r="M279" s="54" t="n">
        <x:f>IF(A279,K279/L279,"")</x:f>
        <x:v>0.00121806336</x:v>
      </x:c>
      <x:c r="N279" s="12" t="n">
        <x:f>IF(A279,(E30*ROUNDUP(K30/D30,0)*G30*(B30-1)/B30*(ROUNDUP((ROUNDUP(F30*2/32,0)*32+32)/480,0)*512+F30*2+32)+E30*ROUNDUP(H30/B30,0)*(B30-1)*32)/1e9,"")</x:f>
        <x:v>0.70042176</x:v>
      </x:c>
      <x:c r="O279" s="12" t="n">
        <x:f>IF(A279,N279*1000/I30,"")</x:f>
        <x:v>0.1459212</x:v>
      </x:c>
      <x:c r="P279" s="12" t="n">
        <x:f>IF(A279,O279/E30,"")</x:f>
        <x:v>0.0015861</x:v>
      </x:c>
      <x:c r="Q279" s="12" t="n">
        <x:f>IF(A279,N279*1000/C279,"")</x:f>
        <x:v>70.042176</x:v>
      </x:c>
      <x:c r="R279" s="12" t="n">
        <x:f>IF(W279="估算",IF(OR(K279=0,O279=0),0,1-((E30-1)*MAX(0,(C279-O279)/E30-(K279))+MAX(0,L279-((E30-1)*C279/E30+P279)-(K279)))/L279),"")</x:f>
        <x:v>0.0017127078823914177</x:v>
      </x:c>
      <x:c r="S279" s="12" t="n">
        <x:f>IF(W279="估算",IF(O279=0,0,MAX(0,1-(1-((E30-1)*MAX(0,(C279-O279)/E30-(L279-K279))+MAX(0,L279-((E30-1)*C279/E30+P279)-(L279-K279)))/L279))),"")</x:f>
        <x:v>0.0007234188376087358</x:v>
      </x:c>
      <x:c r="T279" s="12" t="n">
        <x:f>IF(W279="估算",IF(OR(P279=0,K279=0,$J$7=0),0,IF(P279&lt;=(1-$J$7)*K279,$J$7*P279*K279/(1-$J$7)-$J$7^2*P279^2/(2*(1-$J$7)^2),$J$7*P279*K279+$J$7^2*K279^2/2)/L279),"")</x:f>
        <x:v>2.1466258968930553e-7</x:v>
      </x:c>
      <x:c r="U279" s="12" t="n">
        <x:f>IF(A279,60000/C279,"")</x:f>
        <x:v>6000</x:v>
      </x:c>
      <x:c r="V279" s="12" t="n">
        <x:f>IF(W279="估算",U279*E30*T279*M30*N30,"")</x:f>
        <x:v>0.11849374950849664</x:v>
      </x:c>
      <x:c r="W279" s="12" t="str">
        <x:f>IF(NOT(A279),"输入无效",IF(K279&gt;=L279,"KV 超载",IF(O279&gt;C279+1e-9,"TPOT 不自洽",IF(OR(C279&gt;L279,P279&gt;L279-K279),"需时序仿真","估算"))))</x:f>
        <x:v>估算</x:v>
      </x:c>
      <x:c r="X279" s="12" t="n">
        <x:f>IF(W279="估算",U279*M279,"")</x:f>
        <x:v>7.30838016</x:v>
      </x:c>
    </x:row>
    <x:row r="280" ht="25" customHeight="1">
      <x:c r="A280" s="2" t="b">
        <x:f>AND(AND(ISNUMBER($B$5),$B$5&gt;0),AND(ISNUMBER($F$5),$F$5&gt;0),AND(ISNUMBER($J$5),$J$5&gt;0),AND(ISNUMBER($B$9),$B$9&gt;0),AND(ISNUMBER(I30),I30&gt;0),AND(ISNUMBER(J30),J30&gt;0),AND(ISNUMBER(K30),K30&gt;0),AND(ISNUMBER(L30),L30&gt;0),AND(ISNUMBER(D130),D130&gt;0),AND(ISNUMBER(E130),E130&gt;0),MOD($B$5,1)=0,MOD($F$5,1)=0,MOD($J$5,1)=0,MOD($B$9,1)=0,MOD(K30,1)=0,ISNUMBER(C130),C130&gt;=2,MOD(C130,1)=0,OR($N$9=32,$N$9=64,$N$9=128),ISNUMBER($B$11),$B$11&gt;=0,MOD($B$11,1)=0,ISNUMBER($J$7),$J$7&gt;=0,$J$7&lt;1,AND(ISNUMBER(M30),M30&gt;=0,M30&lt;=1),AND(ISNUMBER(N30),N30&gt;=0,N30&lt;=1))</x:f>
        <x:v>1</x:v>
      </x:c>
      <x:c r="B280" s="12" t="n">
        <x:f>IF(A280,D130*1000,"")</x:f>
        <x:v>20000</x:v>
      </x:c>
      <x:c r="C280" s="12" t="n">
        <x:f>IF(A280,E130*L30,"")</x:f>
        <x:v>20</x:v>
      </x:c>
      <x:c r="D280" s="12" t="n">
        <x:f>IF(A280,M404,"")</x:f>
        <x:v>54.45167541503906</x:v>
      </x:c>
      <x:c r="E280" s="12" t="n">
        <x:f>IF(A280,B30/C30,"")</x:f>
        <x:v>32</x:v>
      </x:c>
      <x:c r="F280" s="12" t="n">
        <x:f>IF(A280,B30/D30,"")</x:f>
        <x:v>32</x:v>
      </x:c>
      <x:c r="G280" s="12" t="n">
        <x:f>IF(A280,$F$5*E280*$B$5*60000/B280,"")</x:f>
        <x:v>1536</x:v>
      </x:c>
      <x:c r="H280" s="12" t="n">
        <x:f>IF(A280,G280/($J$5*F280),"")</x:f>
        <x:v>48</x:v>
      </x:c>
      <x:c r="I280" s="12" t="n">
        <x:f>IF(A280,$B$5*D280/C30/$B$9,"")</x:f>
        <x:v>108.90335083007812</x:v>
      </x:c>
      <x:c r="J280" s="12" t="n">
        <x:f>IF(A280,I280*$F$5/$J$5,"")</x:f>
        <x:v>108.90335083007812</x:v>
      </x:c>
      <x:c r="K280" s="12" t="n">
        <x:f>IF(A280,MAX(I280,J280)*2^30/(J30*1e6),"")</x:f>
        <x:v>24.3612672</x:v>
      </x:c>
      <x:c r="L280" s="12" t="n">
        <x:f>IF(A280,B280/$B$9,"")</x:f>
        <x:v>20000</x:v>
      </x:c>
      <x:c r="M280" s="54" t="n">
        <x:f>IF(A280,K280/L280,"")</x:f>
        <x:v>0.00121806336</x:v>
      </x:c>
      <x:c r="N280" s="12" t="n">
        <x:f>IF(A280,(E30*ROUNDUP(K30/D30,0)*G30*(B30-1)/B30*(ROUNDUP((ROUNDUP(F30*2/32,0)*32+32)/480,0)*512+F30*2+32)+E30*ROUNDUP(H30/B30,0)*(B30-1)*32)/1e9,"")</x:f>
        <x:v>0.70042176</x:v>
      </x:c>
      <x:c r="O280" s="12" t="n">
        <x:f>IF(A280,N280*1000/I30,"")</x:f>
        <x:v>0.1459212</x:v>
      </x:c>
      <x:c r="P280" s="12" t="n">
        <x:f>IF(A280,O280/E30,"")</x:f>
        <x:v>0.0015861</x:v>
      </x:c>
      <x:c r="Q280" s="12" t="n">
        <x:f>IF(A280,N280*1000/C280,"")</x:f>
        <x:v>35.021088</x:v>
      </x:c>
      <x:c r="R280" s="12" t="n">
        <x:f>IF(W280="估算",IF(OR(K280=0,O280=0),0,1-((E30-1)*MAX(0,(C280-O280)/E30-(K280))+MAX(0,L280-((E30-1)*C280/E30+P280)-(K280)))/L280),"")</x:f>
        <x:v>0.002207273099782636</x:v>
      </x:c>
      <x:c r="S280" s="12" t="n">
        <x:f>IF(W280="估算",IF(O280=0,0,MAX(0,1-(1-((E30-1)*MAX(0,(C280-O280)/E30-(L280-K280))+MAX(0,L280-((E30-1)*C280/E30+P280)-(L280-K280)))/L280))),"")</x:f>
        <x:v>0.00022885362021751732</x:v>
      </x:c>
      <x:c r="T280" s="12" t="n">
        <x:f>IF(W280="估算",IF(OR(P280=0,K280=0,$J$7=0),0,IF(P280&lt;=(1-$J$7)*K280,$J$7*P280*K280/(1-$J$7)-$J$7^2*P280^2/(2*(1-$J$7)^2),$J$7*P280*K280+$J$7^2*K280^2/2)/L280),"")</x:f>
        <x:v>2.1466258968930553e-7</x:v>
      </x:c>
      <x:c r="U280" s="12" t="n">
        <x:f>IF(A280,60000/C280,"")</x:f>
        <x:v>3000</x:v>
      </x:c>
      <x:c r="V280" s="12" t="n">
        <x:f>IF(W280="估算",U280*E30*T280*M30*N30,"")</x:f>
        <x:v>0.05924687475424832</x:v>
      </x:c>
      <x:c r="W280" s="12" t="str">
        <x:f>IF(NOT(A280),"输入无效",IF(K280&gt;=L280,"KV 超载",IF(O280&gt;C280+1e-9,"TPOT 不自洽",IF(OR(C280&gt;L280,P280&gt;L280-K280),"需时序仿真","估算"))))</x:f>
        <x:v>估算</x:v>
      </x:c>
      <x:c r="X280" s="12" t="n">
        <x:f>IF(W280="估算",U280*M280,"")</x:f>
        <x:v>3.65419008</x:v>
      </x:c>
    </x:row>
    <x:row r="281" ht="25" customHeight="1">
      <x:c r="A281" s="2" t="b">
        <x:f>AND(AND(ISNUMBER($B$5),$B$5&gt;0),AND(ISNUMBER($F$5),$F$5&gt;0),AND(ISNUMBER($J$5),$J$5&gt;0),AND(ISNUMBER($B$9),$B$9&gt;0),AND(ISNUMBER(I30),I30&gt;0),AND(ISNUMBER(J30),J30&gt;0),AND(ISNUMBER(K30),K30&gt;0),AND(ISNUMBER(L30),L30&gt;0),AND(ISNUMBER(D131),D131&gt;0),AND(ISNUMBER(E131),E131&gt;0),MOD($B$5,1)=0,MOD($F$5,1)=0,MOD($J$5,1)=0,MOD($B$9,1)=0,MOD(K30,1)=0,ISNUMBER(C131),C131&gt;=2,MOD(C131,1)=0,OR($N$9=32,$N$9=64,$N$9=128),ISNUMBER($B$11),$B$11&gt;=0,MOD($B$11,1)=0,ISNUMBER($J$7),$J$7&gt;=0,$J$7&lt;1,AND(ISNUMBER(M30),M30&gt;=0,M30&lt;=1),AND(ISNUMBER(N30),N30&gt;=0,N30&lt;=1))</x:f>
        <x:v>1</x:v>
      </x:c>
      <x:c r="B281" s="12" t="n">
        <x:f>IF(A281,D131*1000,"")</x:f>
        <x:v>20000</x:v>
      </x:c>
      <x:c r="C281" s="12" t="n">
        <x:f>IF(A281,E131*L30,"")</x:f>
        <x:v>30</x:v>
      </x:c>
      <x:c r="D281" s="12" t="n">
        <x:f>IF(A281,M404,"")</x:f>
        <x:v>54.45167541503906</x:v>
      </x:c>
      <x:c r="E281" s="12" t="n">
        <x:f>IF(A281,B30/C30,"")</x:f>
        <x:v>32</x:v>
      </x:c>
      <x:c r="F281" s="12" t="n">
        <x:f>IF(A281,B30/D30,"")</x:f>
        <x:v>32</x:v>
      </x:c>
      <x:c r="G281" s="12" t="n">
        <x:f>IF(A281,$F$5*E281*$B$5*60000/B281,"")</x:f>
        <x:v>1536</x:v>
      </x:c>
      <x:c r="H281" s="12" t="n">
        <x:f>IF(A281,G281/($J$5*F281),"")</x:f>
        <x:v>48</x:v>
      </x:c>
      <x:c r="I281" s="12" t="n">
        <x:f>IF(A281,$B$5*D281/C30/$B$9,"")</x:f>
        <x:v>108.90335083007812</x:v>
      </x:c>
      <x:c r="J281" s="12" t="n">
        <x:f>IF(A281,I281*$F$5/$J$5,"")</x:f>
        <x:v>108.90335083007812</x:v>
      </x:c>
      <x:c r="K281" s="12" t="n">
        <x:f>IF(A281,MAX(I281,J281)*2^30/(J30*1e6),"")</x:f>
        <x:v>24.3612672</x:v>
      </x:c>
      <x:c r="L281" s="12" t="n">
        <x:f>IF(A281,B281/$B$9,"")</x:f>
        <x:v>20000</x:v>
      </x:c>
      <x:c r="M281" s="54" t="n">
        <x:f>IF(A281,K281/L281,"")</x:f>
        <x:v>0.00121806336</x:v>
      </x:c>
      <x:c r="N281" s="12" t="n">
        <x:f>IF(A281,(E30*ROUNDUP(K30/D30,0)*G30*(B30-1)/B30*(ROUNDUP((ROUNDUP(F30*2/32,0)*32+32)/480,0)*512+F30*2+32)+E30*ROUNDUP(H30/B30,0)*(B30-1)*32)/1e9,"")</x:f>
        <x:v>0.70042176</x:v>
      </x:c>
      <x:c r="O281" s="12" t="n">
        <x:f>IF(A281,N281*1000/I30,"")</x:f>
        <x:v>0.1459212</x:v>
      </x:c>
      <x:c r="P281" s="12" t="n">
        <x:f>IF(A281,O281/E30,"")</x:f>
        <x:v>0.0015861</x:v>
      </x:c>
      <x:c r="Q281" s="12" t="n">
        <x:f>IF(A281,N281*1000/C281,"")</x:f>
        <x:v>23.347392</x:v>
      </x:c>
      <x:c r="R281" s="12" t="n">
        <x:f>IF(W281="估算",IF(OR(K281=0,O281=0),0,1-((E30-1)*MAX(0,(C281-O281)/E30-(K281))+MAX(0,L281-((E30-1)*C281/E30+P281)-(K281)))/L281),"")</x:f>
        <x:v>0.0027018383171740767</x:v>
      </x:c>
      <x:c r="S281" s="12" t="n">
        <x:f>IF(W281="估算",IF(O281=0,0,MAX(0,1-(1-((E30-1)*MAX(0,(C281-O281)/E30-(L281-K281))+MAX(0,L281-((E30-1)*C281/E30+P281)-(L281-K281)))/L281))),"")</x:f>
        <x:v>0</x:v>
      </x:c>
      <x:c r="T281" s="12" t="n">
        <x:f>IF(W281="估算",IF(OR(P281=0,K281=0,$J$7=0),0,IF(P281&lt;=(1-$J$7)*K281,$J$7*P281*K281/(1-$J$7)-$J$7^2*P281^2/(2*(1-$J$7)^2),$J$7*P281*K281+$J$7^2*K281^2/2)/L281),"")</x:f>
        <x:v>2.1466258968930553e-7</x:v>
      </x:c>
      <x:c r="U281" s="12" t="n">
        <x:f>IF(A281,60000/C281,"")</x:f>
        <x:v>2000</x:v>
      </x:c>
      <x:c r="V281" s="12" t="n">
        <x:f>IF(W281="估算",U281*E30*T281*M30*N30,"")</x:f>
        <x:v>0.039497916502832214</x:v>
      </x:c>
      <x:c r="W281" s="12" t="str">
        <x:f>IF(NOT(A281),"输入无效",IF(K281&gt;=L281,"KV 超载",IF(O281&gt;C281+1e-9,"TPOT 不自洽",IF(OR(C281&gt;L281,P281&gt;L281-K281),"需时序仿真","估算"))))</x:f>
        <x:v>估算</x:v>
      </x:c>
      <x:c r="X281" s="12" t="n">
        <x:f>IF(W281="估算",U281*M281,"")</x:f>
        <x:v>2.43612672</x:v>
      </x:c>
    </x:row>
    <x:row r="282" ht="25" customHeight="1">
      <x:c r="A282" s="2" t="b">
        <x:f>AND(AND(ISNUMBER($B$5),$B$5&gt;0),AND(ISNUMBER($F$5),$F$5&gt;0),AND(ISNUMBER($J$5),$J$5&gt;0),AND(ISNUMBER($B$9),$B$9&gt;0),AND(ISNUMBER(I30),I30&gt;0),AND(ISNUMBER(J30),J30&gt;0),AND(ISNUMBER(K30),K30&gt;0),AND(ISNUMBER(L30),L30&gt;0),AND(ISNUMBER(D132),D132&gt;0),AND(ISNUMBER(E132),E132&gt;0),MOD($B$5,1)=0,MOD($F$5,1)=0,MOD($J$5,1)=0,MOD($B$9,1)=0,MOD(K30,1)=0,ISNUMBER(C132),C132&gt;=2,MOD(C132,1)=0,OR($N$9=32,$N$9=64,$N$9=128),ISNUMBER($B$11),$B$11&gt;=0,MOD($B$11,1)=0,ISNUMBER($J$7),$J$7&gt;=0,$J$7&lt;1,AND(ISNUMBER(M30),M30&gt;=0,M30&lt;=1),AND(ISNUMBER(N30),N30&gt;=0,N30&lt;=1))</x:f>
        <x:v>1</x:v>
      </x:c>
      <x:c r="B282" s="12" t="n">
        <x:f>IF(A282,D132*1000,"")</x:f>
        <x:v>60000</x:v>
      </x:c>
      <x:c r="C282" s="12" t="n">
        <x:f>IF(A282,E132*L30,"")</x:f>
        <x:v>5</x:v>
      </x:c>
      <x:c r="D282" s="12" t="n">
        <x:f>IF(A282,M408,"")</x:f>
        <x:v>216.45167541503906</x:v>
      </x:c>
      <x:c r="E282" s="12" t="n">
        <x:f>IF(A282,B30/C30,"")</x:f>
        <x:v>32</x:v>
      </x:c>
      <x:c r="F282" s="12" t="n">
        <x:f>IF(A282,B30/D30,"")</x:f>
        <x:v>32</x:v>
      </x:c>
      <x:c r="G282" s="12" t="n">
        <x:f>IF(A282,$F$5*E282*$B$5*60000/B282,"")</x:f>
        <x:v>512</x:v>
      </x:c>
      <x:c r="H282" s="12" t="n">
        <x:f>IF(A282,G282/($J$5*F282),"")</x:f>
        <x:v>16</x:v>
      </x:c>
      <x:c r="I282" s="12" t="n">
        <x:f>IF(A282,$B$5*D282/C30/$B$9,"")</x:f>
        <x:v>432.9033508300781</x:v>
      </x:c>
      <x:c r="J282" s="12" t="n">
        <x:f>IF(A282,I282*$F$5/$J$5,"")</x:f>
        <x:v>432.9033508300781</x:v>
      </x:c>
      <x:c r="K282" s="12" t="n">
        <x:f>IF(A282,MAX(I282,J282)*2^30/(J30*1e6),"")</x:f>
        <x:v>96.83884032</x:v>
      </x:c>
      <x:c r="L282" s="12" t="n">
        <x:f>IF(A282,B282/$B$9,"")</x:f>
        <x:v>60000</x:v>
      </x:c>
      <x:c r="M282" s="54" t="n">
        <x:f>IF(A282,K282/L282,"")</x:f>
        <x:v>0.001613980672</x:v>
      </x:c>
      <x:c r="N282" s="12" t="n">
        <x:f>IF(A282,(E30*ROUNDUP(K30/D30,0)*G30*(B30-1)/B30*(ROUNDUP((ROUNDUP(F30*2/32,0)*32+32)/480,0)*512+F30*2+32)+E30*ROUNDUP(H30/B30,0)*(B30-1)*32)/1e9,"")</x:f>
        <x:v>0.70042176</x:v>
      </x:c>
      <x:c r="O282" s="12" t="n">
        <x:f>IF(A282,N282*1000/I30,"")</x:f>
        <x:v>0.1459212</x:v>
      </x:c>
      <x:c r="P282" s="12" t="n">
        <x:f>IF(A282,O282/E30,"")</x:f>
        <x:v>0.0015861</x:v>
      </x:c>
      <x:c r="Q282" s="12" t="n">
        <x:f>IF(A282,N282*1000/C282,"")</x:f>
        <x:v>140.084352</x:v>
      </x:c>
      <x:c r="R282" s="12" t="n">
        <x:f>IF(W282="估算",IF(OR(K282=0,O282=0),0,1-((E30-1)*MAX(0,(C282-O282)/E30-(K282))+MAX(0,L282-((E30-1)*C282/E30+P282)-(K282)))/L282),"")</x:f>
        <x:v>0.001696434643231881</x:v>
      </x:c>
      <x:c r="S282" s="12" t="n">
        <x:f>IF(W282="估算",IF(O282=0,0,MAX(0,1-(1-((E30-1)*MAX(0,(C282-O282)/E30-(L282-K282))+MAX(0,L282-((E30-1)*C282/E30+P282)-(L282-K282)))/L282))),"")</x:f>
        <x:v>0.001531526700768171</x:v>
      </x:c>
      <x:c r="T282" s="12" t="n">
        <x:f>IF(W282="估算",IF(OR(P282=0,K282=0,$J$7=0),0,IF(P282&lt;=(1-$J$7)*K282,$J$7*P282*K282/(1-$J$7)-$J$7^2*P282^2/(2*(1-$J$7)^2),$J$7*P282*K282+$J$7^2*K282^2/2)/L282),"")</x:f>
        <x:v>2.844369349439018e-7</x:v>
      </x:c>
      <x:c r="U282" s="12" t="n">
        <x:f>IF(A282,60000/C282,"")</x:f>
        <x:v>12000</x:v>
      </x:c>
      <x:c r="V282" s="12" t="n">
        <x:f>IF(W282="估算",U282*E30*T282*M30*N30,"")</x:f>
        <x:v>0.3140183761780676</x:v>
      </x:c>
      <x:c r="W282" s="12" t="str">
        <x:f>IF(NOT(A282),"输入无效",IF(K282&gt;=L282,"KV 超载",IF(O282&gt;C282+1e-9,"TPOT 不自洽",IF(OR(C282&gt;L282,P282&gt;L282-K282),"需时序仿真","估算"))))</x:f>
        <x:v>估算</x:v>
      </x:c>
      <x:c r="X282" s="12" t="n">
        <x:f>IF(W282="估算",U282*M282,"")</x:f>
        <x:v>19.367768064</x:v>
      </x:c>
    </x:row>
    <x:row r="283" ht="25" customHeight="1">
      <x:c r="A283" s="2" t="b">
        <x:f>AND(AND(ISNUMBER($B$5),$B$5&gt;0),AND(ISNUMBER($F$5),$F$5&gt;0),AND(ISNUMBER($J$5),$J$5&gt;0),AND(ISNUMBER($B$9),$B$9&gt;0),AND(ISNUMBER(I30),I30&gt;0),AND(ISNUMBER(J30),J30&gt;0),AND(ISNUMBER(K30),K30&gt;0),AND(ISNUMBER(L30),L30&gt;0),AND(ISNUMBER(D133),D133&gt;0),AND(ISNUMBER(E133),E133&gt;0),MOD($B$5,1)=0,MOD($F$5,1)=0,MOD($J$5,1)=0,MOD($B$9,1)=0,MOD(K30,1)=0,ISNUMBER(C133),C133&gt;=2,MOD(C133,1)=0,OR($N$9=32,$N$9=64,$N$9=128),ISNUMBER($B$11),$B$11&gt;=0,MOD($B$11,1)=0,ISNUMBER($J$7),$J$7&gt;=0,$J$7&lt;1,AND(ISNUMBER(M30),M30&gt;=0,M30&lt;=1),AND(ISNUMBER(N30),N30&gt;=0,N30&lt;=1))</x:f>
        <x:v>1</x:v>
      </x:c>
      <x:c r="B283" s="12" t="n">
        <x:f>IF(A283,D133*1000,"")</x:f>
        <x:v>60000</x:v>
      </x:c>
      <x:c r="C283" s="12" t="n">
        <x:f>IF(A283,E133*L30,"")</x:f>
        <x:v>10</x:v>
      </x:c>
      <x:c r="D283" s="12" t="n">
        <x:f>IF(A283,M408,"")</x:f>
        <x:v>216.45167541503906</x:v>
      </x:c>
      <x:c r="E283" s="12" t="n">
        <x:f>IF(A283,B30/C30,"")</x:f>
        <x:v>32</x:v>
      </x:c>
      <x:c r="F283" s="12" t="n">
        <x:f>IF(A283,B30/D30,"")</x:f>
        <x:v>32</x:v>
      </x:c>
      <x:c r="G283" s="12" t="n">
        <x:f>IF(A283,$F$5*E283*$B$5*60000/B283,"")</x:f>
        <x:v>512</x:v>
      </x:c>
      <x:c r="H283" s="12" t="n">
        <x:f>IF(A283,G283/($J$5*F283),"")</x:f>
        <x:v>16</x:v>
      </x:c>
      <x:c r="I283" s="12" t="n">
        <x:f>IF(A283,$B$5*D283/C30/$B$9,"")</x:f>
        <x:v>432.9033508300781</x:v>
      </x:c>
      <x:c r="J283" s="12" t="n">
        <x:f>IF(A283,I283*$F$5/$J$5,"")</x:f>
        <x:v>432.9033508300781</x:v>
      </x:c>
      <x:c r="K283" s="12" t="n">
        <x:f>IF(A283,MAX(I283,J283)*2^30/(J30*1e6),"")</x:f>
        <x:v>96.83884032</x:v>
      </x:c>
      <x:c r="L283" s="12" t="n">
        <x:f>IF(A283,B283/$B$9,"")</x:f>
        <x:v>60000</x:v>
      </x:c>
      <x:c r="M283" s="54" t="n">
        <x:f>IF(A283,K283/L283,"")</x:f>
        <x:v>0.001613980672</x:v>
      </x:c>
      <x:c r="N283" s="12" t="n">
        <x:f>IF(A283,(E30*ROUNDUP(K30/D30,0)*G30*(B30-1)/B30*(ROUNDUP((ROUNDUP(F30*2/32,0)*32+32)/480,0)*512+F30*2+32)+E30*ROUNDUP(H30/B30,0)*(B30-1)*32)/1e9,"")</x:f>
        <x:v>0.70042176</x:v>
      </x:c>
      <x:c r="O283" s="12" t="n">
        <x:f>IF(A283,N283*1000/I30,"")</x:f>
        <x:v>0.1459212</x:v>
      </x:c>
      <x:c r="P283" s="12" t="n">
        <x:f>IF(A283,O283/E30,"")</x:f>
        <x:v>0.0015861</x:v>
      </x:c>
      <x:c r="Q283" s="12" t="n">
        <x:f>IF(A283,N283*1000/C283,"")</x:f>
        <x:v>70.042176</x:v>
      </x:c>
      <x:c r="R283" s="12" t="n">
        <x:f>IF(W283="估算",IF(OR(K283=0,O283=0),0,1-((E30-1)*MAX(0,(C283-O283)/E30-(K283))+MAX(0,L283-((E30-1)*C283/E30+P283)-(K283)))/L283),"")</x:f>
        <x:v>0.0017788621794637693</x:v>
      </x:c>
      <x:c r="S283" s="12" t="n">
        <x:f>IF(W283="估算",IF(O283=0,0,MAX(0,1-(1-((E30-1)*MAX(0,(C283-O283)/E30-(L283-K283))+MAX(0,L283-((E30-1)*C283/E30+P283)-(L283-K283)))/L283))),"")</x:f>
        <x:v>0.0014490991645362827</x:v>
      </x:c>
      <x:c r="T283" s="12" t="n">
        <x:f>IF(W283="估算",IF(OR(P283=0,K283=0,$J$7=0),0,IF(P283&lt;=(1-$J$7)*K283,$J$7*P283*K283/(1-$J$7)-$J$7^2*P283^2/(2*(1-$J$7)^2),$J$7*P283*K283+$J$7^2*K283^2/2)/L283),"")</x:f>
        <x:v>2.844369349439018e-7</x:v>
      </x:c>
      <x:c r="U283" s="12" t="n">
        <x:f>IF(A283,60000/C283,"")</x:f>
        <x:v>6000</x:v>
      </x:c>
      <x:c r="V283" s="12" t="n">
        <x:f>IF(W283="估算",U283*E30*T283*M30*N30,"")</x:f>
        <x:v>0.1570091880890338</x:v>
      </x:c>
      <x:c r="W283" s="12" t="str">
        <x:f>IF(NOT(A283),"输入无效",IF(K283&gt;=L283,"KV 超载",IF(O283&gt;C283+1e-9,"TPOT 不自洽",IF(OR(C283&gt;L283,P283&gt;L283-K283),"需时序仿真","估算"))))</x:f>
        <x:v>估算</x:v>
      </x:c>
      <x:c r="X283" s="12" t="n">
        <x:f>IF(W283="估算",U283*M283,"")</x:f>
        <x:v>9.683884032</x:v>
      </x:c>
    </x:row>
    <x:row r="284" ht="25" customHeight="1">
      <x:c r="A284" s="2" t="b">
        <x:f>AND(AND(ISNUMBER($B$5),$B$5&gt;0),AND(ISNUMBER($F$5),$F$5&gt;0),AND(ISNUMBER($J$5),$J$5&gt;0),AND(ISNUMBER($B$9),$B$9&gt;0),AND(ISNUMBER(I30),I30&gt;0),AND(ISNUMBER(J30),J30&gt;0),AND(ISNUMBER(K30),K30&gt;0),AND(ISNUMBER(L30),L30&gt;0),AND(ISNUMBER(D134),D134&gt;0),AND(ISNUMBER(E134),E134&gt;0),MOD($B$5,1)=0,MOD($F$5,1)=0,MOD($J$5,1)=0,MOD($B$9,1)=0,MOD(K30,1)=0,ISNUMBER(C134),C134&gt;=2,MOD(C134,1)=0,OR($N$9=32,$N$9=64,$N$9=128),ISNUMBER($B$11),$B$11&gt;=0,MOD($B$11,1)=0,ISNUMBER($J$7),$J$7&gt;=0,$J$7&lt;1,AND(ISNUMBER(M30),M30&gt;=0,M30&lt;=1),AND(ISNUMBER(N30),N30&gt;=0,N30&lt;=1))</x:f>
        <x:v>1</x:v>
      </x:c>
      <x:c r="B284" s="12" t="n">
        <x:f>IF(A284,D134*1000,"")</x:f>
        <x:v>60000</x:v>
      </x:c>
      <x:c r="C284" s="12" t="n">
        <x:f>IF(A284,E134*L30,"")</x:f>
        <x:v>20</x:v>
      </x:c>
      <x:c r="D284" s="12" t="n">
        <x:f>IF(A284,M408,"")</x:f>
        <x:v>216.45167541503906</x:v>
      </x:c>
      <x:c r="E284" s="12" t="n">
        <x:f>IF(A284,B30/C30,"")</x:f>
        <x:v>32</x:v>
      </x:c>
      <x:c r="F284" s="12" t="n">
        <x:f>IF(A284,B30/D30,"")</x:f>
        <x:v>32</x:v>
      </x:c>
      <x:c r="G284" s="12" t="n">
        <x:f>IF(A284,$F$5*E284*$B$5*60000/B284,"")</x:f>
        <x:v>512</x:v>
      </x:c>
      <x:c r="H284" s="12" t="n">
        <x:f>IF(A284,G284/($J$5*F284),"")</x:f>
        <x:v>16</x:v>
      </x:c>
      <x:c r="I284" s="12" t="n">
        <x:f>IF(A284,$B$5*D284/C30/$B$9,"")</x:f>
        <x:v>432.9033508300781</x:v>
      </x:c>
      <x:c r="J284" s="12" t="n">
        <x:f>IF(A284,I284*$F$5/$J$5,"")</x:f>
        <x:v>432.9033508300781</x:v>
      </x:c>
      <x:c r="K284" s="12" t="n">
        <x:f>IF(A284,MAX(I284,J284)*2^30/(J30*1e6),"")</x:f>
        <x:v>96.83884032</x:v>
      </x:c>
      <x:c r="L284" s="12" t="n">
        <x:f>IF(A284,B284/$B$9,"")</x:f>
        <x:v>60000</x:v>
      </x:c>
      <x:c r="M284" s="54" t="n">
        <x:f>IF(A284,K284/L284,"")</x:f>
        <x:v>0.001613980672</x:v>
      </x:c>
      <x:c r="N284" s="12" t="n">
        <x:f>IF(A284,(E30*ROUNDUP(K30/D30,0)*G30*(B30-1)/B30*(ROUNDUP((ROUNDUP(F30*2/32,0)*32+32)/480,0)*512+F30*2+32)+E30*ROUNDUP(H30/B30,0)*(B30-1)*32)/1e9,"")</x:f>
        <x:v>0.70042176</x:v>
      </x:c>
      <x:c r="O284" s="12" t="n">
        <x:f>IF(A284,N284*1000/I30,"")</x:f>
        <x:v>0.1459212</x:v>
      </x:c>
      <x:c r="P284" s="12" t="n">
        <x:f>IF(A284,O284/E30,"")</x:f>
        <x:v>0.0015861</x:v>
      </x:c>
      <x:c r="Q284" s="12" t="n">
        <x:f>IF(A284,N284*1000/C284,"")</x:f>
        <x:v>35.021088</x:v>
      </x:c>
      <x:c r="R284" s="12" t="n">
        <x:f>IF(W284="估算",IF(OR(K284=0,O284=0),0,1-((E30-1)*MAX(0,(C284-O284)/E30-(K284))+MAX(0,L284-((E30-1)*C284/E30+P284)-(K284)))/L284),"")</x:f>
        <x:v>0.0019437172519275459</x:v>
      </x:c>
      <x:c r="S284" s="12" t="n">
        <x:f>IF(W284="估算",IF(O284=0,0,MAX(0,1-(1-((E30-1)*MAX(0,(C284-O284)/E30-(L284-K284))+MAX(0,L284-((E30-1)*C284/E30+P284)-(L284-K284)))/L284))),"")</x:f>
        <x:v>0.0012842440920723952</x:v>
      </x:c>
      <x:c r="T284" s="12" t="n">
        <x:f>IF(W284="估算",IF(OR(P284=0,K284=0,$J$7=0),0,IF(P284&lt;=(1-$J$7)*K284,$J$7*P284*K284/(1-$J$7)-$J$7^2*P284^2/(2*(1-$J$7)^2),$J$7*P284*K284+$J$7^2*K284^2/2)/L284),"")</x:f>
        <x:v>2.844369349439018e-7</x:v>
      </x:c>
      <x:c r="U284" s="12" t="n">
        <x:f>IF(A284,60000/C284,"")</x:f>
        <x:v>3000</x:v>
      </x:c>
      <x:c r="V284" s="12" t="n">
        <x:f>IF(W284="估算",U284*E30*T284*M30*N30,"")</x:f>
        <x:v>0.0785045940445169</x:v>
      </x:c>
      <x:c r="W284" s="12" t="str">
        <x:f>IF(NOT(A284),"输入无效",IF(K284&gt;=L284,"KV 超载",IF(O284&gt;C284+1e-9,"TPOT 不自洽",IF(OR(C284&gt;L284,P284&gt;L284-K284),"需时序仿真","估算"))))</x:f>
        <x:v>估算</x:v>
      </x:c>
      <x:c r="X284" s="12" t="n">
        <x:f>IF(W284="估算",U284*M284,"")</x:f>
        <x:v>4.841942016</x:v>
      </x:c>
    </x:row>
    <x:row r="285" ht="25" customHeight="1">
      <x:c r="A285" s="2" t="b">
        <x:f>AND(AND(ISNUMBER($B$5),$B$5&gt;0),AND(ISNUMBER($F$5),$F$5&gt;0),AND(ISNUMBER($J$5),$J$5&gt;0),AND(ISNUMBER($B$9),$B$9&gt;0),AND(ISNUMBER(I30),I30&gt;0),AND(ISNUMBER(J30),J30&gt;0),AND(ISNUMBER(K30),K30&gt;0),AND(ISNUMBER(L30),L30&gt;0),AND(ISNUMBER(D135),D135&gt;0),AND(ISNUMBER(E135),E135&gt;0),MOD($B$5,1)=0,MOD($F$5,1)=0,MOD($J$5,1)=0,MOD($B$9,1)=0,MOD(K30,1)=0,ISNUMBER(C135),C135&gt;=2,MOD(C135,1)=0,OR($N$9=32,$N$9=64,$N$9=128),ISNUMBER($B$11),$B$11&gt;=0,MOD($B$11,1)=0,ISNUMBER($J$7),$J$7&gt;=0,$J$7&lt;1,AND(ISNUMBER(M30),M30&gt;=0,M30&lt;=1),AND(ISNUMBER(N30),N30&gt;=0,N30&lt;=1))</x:f>
        <x:v>1</x:v>
      </x:c>
      <x:c r="B285" s="12" t="n">
        <x:f>IF(A285,D135*1000,"")</x:f>
        <x:v>60000</x:v>
      </x:c>
      <x:c r="C285" s="12" t="n">
        <x:f>IF(A285,E135*L30,"")</x:f>
        <x:v>30</x:v>
      </x:c>
      <x:c r="D285" s="12" t="n">
        <x:f>IF(A285,M408,"")</x:f>
        <x:v>216.45167541503906</x:v>
      </x:c>
      <x:c r="E285" s="12" t="n">
        <x:f>IF(A285,B30/C30,"")</x:f>
        <x:v>32</x:v>
      </x:c>
      <x:c r="F285" s="12" t="n">
        <x:f>IF(A285,B30/D30,"")</x:f>
        <x:v>32</x:v>
      </x:c>
      <x:c r="G285" s="12" t="n">
        <x:f>IF(A285,$F$5*E285*$B$5*60000/B285,"")</x:f>
        <x:v>512</x:v>
      </x:c>
      <x:c r="H285" s="12" t="n">
        <x:f>IF(A285,G285/($J$5*F285),"")</x:f>
        <x:v>16</x:v>
      </x:c>
      <x:c r="I285" s="12" t="n">
        <x:f>IF(A285,$B$5*D285/C30/$B$9,"")</x:f>
        <x:v>432.9033508300781</x:v>
      </x:c>
      <x:c r="J285" s="12" t="n">
        <x:f>IF(A285,I285*$F$5/$J$5,"")</x:f>
        <x:v>432.9033508300781</x:v>
      </x:c>
      <x:c r="K285" s="12" t="n">
        <x:f>IF(A285,MAX(I285,J285)*2^30/(J30*1e6),"")</x:f>
        <x:v>96.83884032</x:v>
      </x:c>
      <x:c r="L285" s="12" t="n">
        <x:f>IF(A285,B285/$B$9,"")</x:f>
        <x:v>60000</x:v>
      </x:c>
      <x:c r="M285" s="54" t="n">
        <x:f>IF(A285,K285/L285,"")</x:f>
        <x:v>0.001613980672</x:v>
      </x:c>
      <x:c r="N285" s="12" t="n">
        <x:f>IF(A285,(E30*ROUNDUP(K30/D30,0)*G30*(B30-1)/B30*(ROUNDUP((ROUNDUP(F30*2/32,0)*32+32)/480,0)*512+F30*2+32)+E30*ROUNDUP(H30/B30,0)*(B30-1)*32)/1e9,"")</x:f>
        <x:v>0.70042176</x:v>
      </x:c>
      <x:c r="O285" s="12" t="n">
        <x:f>IF(A285,N285*1000/I30,"")</x:f>
        <x:v>0.1459212</x:v>
      </x:c>
      <x:c r="P285" s="12" t="n">
        <x:f>IF(A285,O285/E30,"")</x:f>
        <x:v>0.0015861</x:v>
      </x:c>
      <x:c r="Q285" s="12" t="n">
        <x:f>IF(A285,N285*1000/C285,"")</x:f>
        <x:v>23.347392</x:v>
      </x:c>
      <x:c r="R285" s="12" t="n">
        <x:f>IF(W285="估算",IF(OR(K285=0,O285=0),0,1-((E30-1)*MAX(0,(C285-O285)/E30-(K285))+MAX(0,L285-((E30-1)*C285/E30+P285)-(K285)))/L285),"")</x:f>
        <x:v>0.0021085723243913224</x:v>
      </x:c>
      <x:c r="S285" s="12" t="n">
        <x:f>IF(W285="估算",IF(O285=0,0,MAX(0,1-(1-((E30-1)*MAX(0,(C285-O285)/E30-(L285-K285))+MAX(0,L285-((E30-1)*C285/E30+P285)-(L285-K285)))/L285))),"")</x:f>
        <x:v>0.0011193890196087297</x:v>
      </x:c>
      <x:c r="T285" s="12" t="n">
        <x:f>IF(W285="估算",IF(OR(P285=0,K285=0,$J$7=0),0,IF(P285&lt;=(1-$J$7)*K285,$J$7*P285*K285/(1-$J$7)-$J$7^2*P285^2/(2*(1-$J$7)^2),$J$7*P285*K285+$J$7^2*K285^2/2)/L285),"")</x:f>
        <x:v>2.844369349439018e-7</x:v>
      </x:c>
      <x:c r="U285" s="12" t="n">
        <x:f>IF(A285,60000/C285,"")</x:f>
        <x:v>2000</x:v>
      </x:c>
      <x:c r="V285" s="12" t="n">
        <x:f>IF(W285="估算",U285*E30*T285*M30*N30,"")</x:f>
        <x:v>0.052336396029677934</x:v>
      </x:c>
      <x:c r="W285" s="12" t="str">
        <x:f>IF(NOT(A285),"输入无效",IF(K285&gt;=L285,"KV 超载",IF(O285&gt;C285+1e-9,"TPOT 不自洽",IF(OR(C285&gt;L285,P285&gt;L285-K285),"需时序仿真","估算"))))</x:f>
        <x:v>估算</x:v>
      </x:c>
      <x:c r="X285" s="12" t="n">
        <x:f>IF(W285="估算",U285*M285,"")</x:f>
        <x:v>3.227961344</x:v>
      </x:c>
    </x:row>
    <x:row r="286" ht="25" customHeight="1">
      <x:c r="A286" s="2" t="b">
        <x:f>AND(AND(ISNUMBER($B$5),$B$5&gt;0),AND(ISNUMBER($F$5),$F$5&gt;0),AND(ISNUMBER($J$5),$J$5&gt;0),AND(ISNUMBER($B$9),$B$9&gt;0),AND(ISNUMBER(I31),I31&gt;0),AND(ISNUMBER(J31),J31&gt;0),AND(ISNUMBER(K31),K31&gt;0),AND(ISNUMBER(L31),L31&gt;0),AND(ISNUMBER(D136),D136&gt;0),AND(ISNUMBER(E136),E136&gt;0),MOD($B$5,1)=0,MOD($F$5,1)=0,MOD($J$5,1)=0,MOD($B$9,1)=0,MOD(K31,1)=0,ISNUMBER(C136),C136&gt;=2,MOD(C136,1)=0,OR($N$9=32,$N$9=64,$N$9=128),ISNUMBER($B$11),$B$11&gt;=0,MOD($B$11,1)=0,ISNUMBER($J$7),$J$7&gt;=0,$J$7&lt;1,AND(ISNUMBER(M31),M31&gt;=0,M31&lt;=1),AND(ISNUMBER(N31),N31&gt;=0,N31&lt;=1))</x:f>
        <x:v>1</x:v>
      </x:c>
      <x:c r="B286" s="12" t="n">
        <x:f>IF(A286,D136*1000,"")</x:f>
        <x:v>4000</x:v>
      </x:c>
      <x:c r="C286" s="12" t="n">
        <x:f>IF(A286,E136*L31,"")</x:f>
        <x:v>5</x:v>
      </x:c>
      <x:c r="D286" s="12" t="n">
        <x:f>IF(A286,M412,"")</x:f>
        <x:v>3.4403839111328125</x:v>
      </x:c>
      <x:c r="E286" s="12" t="n">
        <x:f>IF(A286,B31/C31,"")</x:f>
        <x:v>4</x:v>
      </x:c>
      <x:c r="F286" s="12" t="n">
        <x:f>IF(A286,B31/D31,"")</x:f>
        <x:v>4</x:v>
      </x:c>
      <x:c r="G286" s="12" t="n">
        <x:f>IF(A286,$F$5*E286*$B$5*60000/B286,"")</x:f>
        <x:v>960</x:v>
      </x:c>
      <x:c r="H286" s="12" t="n">
        <x:f>IF(A286,G286/($J$5*F286),"")</x:f>
        <x:v>240</x:v>
      </x:c>
      <x:c r="I286" s="12" t="n">
        <x:f>IF(A286,$B$5*D286/C31/$B$9,"")</x:f>
        <x:v>6.880767822265625</x:v>
      </x:c>
      <x:c r="J286" s="12" t="n">
        <x:f>IF(A286,I286*$F$5/$J$5,"")</x:f>
        <x:v>6.880767822265625</x:v>
      </x:c>
      <x:c r="K286" s="12" t="n">
        <x:f>IF(A286,MAX(I286,J286)*2^30/(J31*1e6),"")</x:f>
        <x:v>1.5392017066666666</x:v>
      </x:c>
      <x:c r="L286" s="12" t="n">
        <x:f>IF(A286,B286/$B$9,"")</x:f>
        <x:v>4000</x:v>
      </x:c>
      <x:c r="M286" s="54" t="n">
        <x:f>IF(A286,K286/L286,"")</x:f>
        <x:v>0.00038480042666666665</x:v>
      </x:c>
      <x:c r="N286" s="12" t="n">
        <x:f>IF(A286,(E31*ROUNDUP(K31/D31,0)*G31*(B31-1)/B31*(ROUNDUP((ROUNDUP(F31*2/32,0)*32+32)/480,0)*512+F31*2+32)+E31*ROUNDUP(H31/B31,0)*(B31-1)*32)/1e9,"")</x:f>
        <x:v>0.491091584</x:v>
      </x:c>
      <x:c r="O286" s="12" t="n">
        <x:f>IF(A286,N286*1000/I31,"")</x:f>
        <x:v>0.10231074666666667</x:v>
      </x:c>
      <x:c r="P286" s="12" t="n">
        <x:f>IF(A286,O286/E31,"")</x:f>
        <x:v>0.0011120733333333335</x:v>
      </x:c>
      <x:c r="Q286" s="12" t="n">
        <x:f>IF(A286,N286*1000/C286,"")</x:f>
        <x:v>98.2183168</x:v>
      </x:c>
      <x:c r="R286" s="12" t="n">
        <x:f>IF(W286="估算",IF(OR(K286=0,O286=0),0,1-((E31-1)*MAX(0,(C286-O286)/E31-(K286))+MAX(0,L286-((E31-1)*C286/E31+P286)-(K286)))/L286),"")</x:f>
        <x:v>0.0016214914884782328</x:v>
      </x:c>
      <x:c r="S286" s="12" t="n">
        <x:f>IF(W286="估算",IF(O286=0,0,MAX(0,1-(1-((E31-1)*MAX(0,(C286-O286)/E31-(L286-K286))+MAX(0,L286-((E31-1)*C286/E31+P286)-(L286-K286)))/L286))),"")</x:f>
        <x:v>0</x:v>
      </x:c>
      <x:c r="T286" s="12" t="n">
        <x:f>IF(W286="估算",IF(OR(P286=0,K286=0,$J$7=0),0,IF(P286&lt;=(1-$J$7)*K286,$J$7*P286*K286/(1-$J$7)-$J$7^2*P286^2/(2*(1-$J$7)^2),$J$7*P286*K286+$J$7^2*K286^2/2)/L286),"")</x:f>
        <x:v>4.754545740708964e-8</x:v>
      </x:c>
      <x:c r="U286" s="12" t="n">
        <x:f>IF(A286,60000/C286,"")</x:f>
        <x:v>12000</x:v>
      </x:c>
      <x:c r="V286" s="12" t="n">
        <x:f>IF(W286="估算",U286*E31*T286*M31*N31,"")</x:f>
        <x:v>0.05249018497742697</x:v>
      </x:c>
      <x:c r="W286" s="12" t="str">
        <x:f>IF(NOT(A286),"输入无效",IF(K286&gt;=L286,"KV 超载",IF(O286&gt;C286+1e-9,"TPOT 不自洽",IF(OR(C286&gt;L286,P286&gt;L286-K286),"需时序仿真","估算"))))</x:f>
        <x:v>估算</x:v>
      </x:c>
      <x:c r="X286" s="12" t="n">
        <x:f>IF(W286="估算",U286*M286,"")</x:f>
        <x:v>4.6176051199999995</x:v>
      </x:c>
    </x:row>
    <x:row r="287" ht="25" customHeight="1">
      <x:c r="A287" s="2" t="b">
        <x:f>AND(AND(ISNUMBER($B$5),$B$5&gt;0),AND(ISNUMBER($F$5),$F$5&gt;0),AND(ISNUMBER($J$5),$J$5&gt;0),AND(ISNUMBER($B$9),$B$9&gt;0),AND(ISNUMBER(I31),I31&gt;0),AND(ISNUMBER(J31),J31&gt;0),AND(ISNUMBER(K31),K31&gt;0),AND(ISNUMBER(L31),L31&gt;0),AND(ISNUMBER(D137),D137&gt;0),AND(ISNUMBER(E137),E137&gt;0),MOD($B$5,1)=0,MOD($F$5,1)=0,MOD($J$5,1)=0,MOD($B$9,1)=0,MOD(K31,1)=0,ISNUMBER(C137),C137&gt;=2,MOD(C137,1)=0,OR($N$9=32,$N$9=64,$N$9=128),ISNUMBER($B$11),$B$11&gt;=0,MOD($B$11,1)=0,ISNUMBER($J$7),$J$7&gt;=0,$J$7&lt;1,AND(ISNUMBER(M31),M31&gt;=0,M31&lt;=1),AND(ISNUMBER(N31),N31&gt;=0,N31&lt;=1))</x:f>
        <x:v>1</x:v>
      </x:c>
      <x:c r="B287" s="12" t="n">
        <x:f>IF(A287,D137*1000,"")</x:f>
        <x:v>4000</x:v>
      </x:c>
      <x:c r="C287" s="12" t="n">
        <x:f>IF(A287,E137*L31,"")</x:f>
        <x:v>10</x:v>
      </x:c>
      <x:c r="D287" s="12" t="n">
        <x:f>IF(A287,M412,"")</x:f>
        <x:v>3.4403839111328125</x:v>
      </x:c>
      <x:c r="E287" s="12" t="n">
        <x:f>IF(A287,B31/C31,"")</x:f>
        <x:v>4</x:v>
      </x:c>
      <x:c r="F287" s="12" t="n">
        <x:f>IF(A287,B31/D31,"")</x:f>
        <x:v>4</x:v>
      </x:c>
      <x:c r="G287" s="12" t="n">
        <x:f>IF(A287,$F$5*E287*$B$5*60000/B287,"")</x:f>
        <x:v>960</x:v>
      </x:c>
      <x:c r="H287" s="12" t="n">
        <x:f>IF(A287,G287/($J$5*F287),"")</x:f>
        <x:v>240</x:v>
      </x:c>
      <x:c r="I287" s="12" t="n">
        <x:f>IF(A287,$B$5*D287/C31/$B$9,"")</x:f>
        <x:v>6.880767822265625</x:v>
      </x:c>
      <x:c r="J287" s="12" t="n">
        <x:f>IF(A287,I287*$F$5/$J$5,"")</x:f>
        <x:v>6.880767822265625</x:v>
      </x:c>
      <x:c r="K287" s="12" t="n">
        <x:f>IF(A287,MAX(I287,J287)*2^30/(J31*1e6),"")</x:f>
        <x:v>1.5392017066666666</x:v>
      </x:c>
      <x:c r="L287" s="12" t="n">
        <x:f>IF(A287,B287/$B$9,"")</x:f>
        <x:v>4000</x:v>
      </x:c>
      <x:c r="M287" s="54" t="n">
        <x:f>IF(A287,K287/L287,"")</x:f>
        <x:v>0.00038480042666666665</x:v>
      </x:c>
      <x:c r="N287" s="12" t="n">
        <x:f>IF(A287,(E31*ROUNDUP(K31/D31,0)*G31*(B31-1)/B31*(ROUNDUP((ROUNDUP(F31*2/32,0)*32+32)/480,0)*512+F31*2+32)+E31*ROUNDUP(H31/B31,0)*(B31-1)*32)/1e9,"")</x:f>
        <x:v>0.491091584</x:v>
      </x:c>
      <x:c r="O287" s="12" t="n">
        <x:f>IF(A287,N287*1000/I31,"")</x:f>
        <x:v>0.10231074666666667</x:v>
      </x:c>
      <x:c r="P287" s="12" t="n">
        <x:f>IF(A287,O287/E31,"")</x:f>
        <x:v>0.0011120733333333335</x:v>
      </x:c>
      <x:c r="Q287" s="12" t="n">
        <x:f>IF(A287,N287*1000/C287,"")</x:f>
        <x:v>49.1091584</x:v>
      </x:c>
      <x:c r="R287" s="12" t="n">
        <x:f>IF(W287="估算",IF(OR(K287=0,O287=0),0,1-((E31-1)*MAX(0,(C287-O287)/E31-(K287))+MAX(0,L287-((E31-1)*C287/E31+P287)-(K287)))/L287),"")</x:f>
        <x:v>0.0028579045319564456</x:v>
      </x:c>
      <x:c r="S287" s="12" t="n">
        <x:f>IF(W287="估算",IF(O287=0,0,MAX(0,1-(1-((E31-1)*MAX(0,(C287-O287)/E31-(L287-K287))+MAX(0,L287-((E31-1)*C287/E31+P287)-(L287-K287)))/L287))),"")</x:f>
        <x:v>0</x:v>
      </x:c>
      <x:c r="T287" s="12" t="n">
        <x:f>IF(W287="估算",IF(OR(P287=0,K287=0,$J$7=0),0,IF(P287&lt;=(1-$J$7)*K287,$J$7*P287*K287/(1-$J$7)-$J$7^2*P287^2/(2*(1-$J$7)^2),$J$7*P287*K287+$J$7^2*K287^2/2)/L287),"")</x:f>
        <x:v>4.754545740708964e-8</x:v>
      </x:c>
      <x:c r="U287" s="12" t="n">
        <x:f>IF(A287,60000/C287,"")</x:f>
        <x:v>6000</x:v>
      </x:c>
      <x:c r="V287" s="12" t="n">
        <x:f>IF(W287="估算",U287*E31*T287*M31*N31,"")</x:f>
        <x:v>0.026245092488713484</x:v>
      </x:c>
      <x:c r="W287" s="12" t="str">
        <x:f>IF(NOT(A287),"输入无效",IF(K287&gt;=L287,"KV 超载",IF(O287&gt;C287+1e-9,"TPOT 不自洽",IF(OR(C287&gt;L287,P287&gt;L287-K287),"需时序仿真","估算"))))</x:f>
        <x:v>估算</x:v>
      </x:c>
      <x:c r="X287" s="12" t="n">
        <x:f>IF(W287="估算",U287*M287,"")</x:f>
        <x:v>2.3088025599999997</x:v>
      </x:c>
    </x:row>
    <x:row r="288" ht="25" customHeight="1">
      <x:c r="A288" s="2" t="b">
        <x:f>AND(AND(ISNUMBER($B$5),$B$5&gt;0),AND(ISNUMBER($F$5),$F$5&gt;0),AND(ISNUMBER($J$5),$J$5&gt;0),AND(ISNUMBER($B$9),$B$9&gt;0),AND(ISNUMBER(I31),I31&gt;0),AND(ISNUMBER(J31),J31&gt;0),AND(ISNUMBER(K31),K31&gt;0),AND(ISNUMBER(L31),L31&gt;0),AND(ISNUMBER(D138),D138&gt;0),AND(ISNUMBER(E138),E138&gt;0),MOD($B$5,1)=0,MOD($F$5,1)=0,MOD($J$5,1)=0,MOD($B$9,1)=0,MOD(K31,1)=0,ISNUMBER(C138),C138&gt;=2,MOD(C138,1)=0,OR($N$9=32,$N$9=64,$N$9=128),ISNUMBER($B$11),$B$11&gt;=0,MOD($B$11,1)=0,ISNUMBER($J$7),$J$7&gt;=0,$J$7&lt;1,AND(ISNUMBER(M31),M31&gt;=0,M31&lt;=1),AND(ISNUMBER(N31),N31&gt;=0,N31&lt;=1))</x:f>
        <x:v>1</x:v>
      </x:c>
      <x:c r="B288" s="12" t="n">
        <x:f>IF(A288,D138*1000,"")</x:f>
        <x:v>4000</x:v>
      </x:c>
      <x:c r="C288" s="12" t="n">
        <x:f>IF(A288,E138*L31,"")</x:f>
        <x:v>20</x:v>
      </x:c>
      <x:c r="D288" s="12" t="n">
        <x:f>IF(A288,M412,"")</x:f>
        <x:v>3.4403839111328125</x:v>
      </x:c>
      <x:c r="E288" s="12" t="n">
        <x:f>IF(A288,B31/C31,"")</x:f>
        <x:v>4</x:v>
      </x:c>
      <x:c r="F288" s="12" t="n">
        <x:f>IF(A288,B31/D31,"")</x:f>
        <x:v>4</x:v>
      </x:c>
      <x:c r="G288" s="12" t="n">
        <x:f>IF(A288,$F$5*E288*$B$5*60000/B288,"")</x:f>
        <x:v>960</x:v>
      </x:c>
      <x:c r="H288" s="12" t="n">
        <x:f>IF(A288,G288/($J$5*F288),"")</x:f>
        <x:v>240</x:v>
      </x:c>
      <x:c r="I288" s="12" t="n">
        <x:f>IF(A288,$B$5*D288/C31/$B$9,"")</x:f>
        <x:v>6.880767822265625</x:v>
      </x:c>
      <x:c r="J288" s="12" t="n">
        <x:f>IF(A288,I288*$F$5/$J$5,"")</x:f>
        <x:v>6.880767822265625</x:v>
      </x:c>
      <x:c r="K288" s="12" t="n">
        <x:f>IF(A288,MAX(I288,J288)*2^30/(J31*1e6),"")</x:f>
        <x:v>1.5392017066666666</x:v>
      </x:c>
      <x:c r="L288" s="12" t="n">
        <x:f>IF(A288,B288/$B$9,"")</x:f>
        <x:v>4000</x:v>
      </x:c>
      <x:c r="M288" s="54" t="n">
        <x:f>IF(A288,K288/L288,"")</x:f>
        <x:v>0.00038480042666666665</x:v>
      </x:c>
      <x:c r="N288" s="12" t="n">
        <x:f>IF(A288,(E31*ROUNDUP(K31/D31,0)*G31*(B31-1)/B31*(ROUNDUP((ROUNDUP(F31*2/32,0)*32+32)/480,0)*512+F31*2+32)+E31*ROUNDUP(H31/B31,0)*(B31-1)*32)/1e9,"")</x:f>
        <x:v>0.491091584</x:v>
      </x:c>
      <x:c r="O288" s="12" t="n">
        <x:f>IF(A288,N288*1000/I31,"")</x:f>
        <x:v>0.10231074666666667</x:v>
      </x:c>
      <x:c r="P288" s="12" t="n">
        <x:f>IF(A288,O288/E31,"")</x:f>
        <x:v>0.0011120733333333335</x:v>
      </x:c>
      <x:c r="Q288" s="12" t="n">
        <x:f>IF(A288,N288*1000/C288,"")</x:f>
        <x:v>24.5545792</x:v>
      </x:c>
      <x:c r="R288" s="12" t="n">
        <x:f>IF(W288="估算",IF(OR(K288=0,O288=0),0,1-((E31-1)*MAX(0,(C288-O288)/E31-(K288))+MAX(0,L288-((E31-1)*C288/E31+P288)-(K288)))/L288),"")</x:f>
        <x:v>0.005330730618912982</x:v>
      </x:c>
      <x:c r="S288" s="12" t="n">
        <x:f>IF(W288="估算",IF(O288=0,0,MAX(0,1-(1-((E31-1)*MAX(0,(C288-O288)/E31-(L288-K288))+MAX(0,L288-((E31-1)*C288/E31+P288)-(L288-K288)))/L288))),"")</x:f>
        <x:v>0</x:v>
      </x:c>
      <x:c r="T288" s="12" t="n">
        <x:f>IF(W288="估算",IF(OR(P288=0,K288=0,$J$7=0),0,IF(P288&lt;=(1-$J$7)*K288,$J$7*P288*K288/(1-$J$7)-$J$7^2*P288^2/(2*(1-$J$7)^2),$J$7*P288*K288+$J$7^2*K288^2/2)/L288),"")</x:f>
        <x:v>4.754545740708964e-8</x:v>
      </x:c>
      <x:c r="U288" s="12" t="n">
        <x:f>IF(A288,60000/C288,"")</x:f>
        <x:v>3000</x:v>
      </x:c>
      <x:c r="V288" s="12" t="n">
        <x:f>IF(W288="估算",U288*E31*T288*M31*N31,"")</x:f>
        <x:v>0.013122546244356742</x:v>
      </x:c>
      <x:c r="W288" s="12" t="str">
        <x:f>IF(NOT(A288),"输入无效",IF(K288&gt;=L288,"KV 超载",IF(O288&gt;C288+1e-9,"TPOT 不自洽",IF(OR(C288&gt;L288,P288&gt;L288-K288),"需时序仿真","估算"))))</x:f>
        <x:v>估算</x:v>
      </x:c>
      <x:c r="X288" s="12" t="n">
        <x:f>IF(W288="估算",U288*M288,"")</x:f>
        <x:v>1.1544012799999999</x:v>
      </x:c>
    </x:row>
    <x:row r="289" ht="25" customHeight="1">
      <x:c r="A289" s="2" t="b">
        <x:f>AND(AND(ISNUMBER($B$5),$B$5&gt;0),AND(ISNUMBER($F$5),$F$5&gt;0),AND(ISNUMBER($J$5),$J$5&gt;0),AND(ISNUMBER($B$9),$B$9&gt;0),AND(ISNUMBER(I31),I31&gt;0),AND(ISNUMBER(J31),J31&gt;0),AND(ISNUMBER(K31),K31&gt;0),AND(ISNUMBER(L31),L31&gt;0),AND(ISNUMBER(D139),D139&gt;0),AND(ISNUMBER(E139),E139&gt;0),MOD($B$5,1)=0,MOD($F$5,1)=0,MOD($J$5,1)=0,MOD($B$9,1)=0,MOD(K31,1)=0,ISNUMBER(C139),C139&gt;=2,MOD(C139,1)=0,OR($N$9=32,$N$9=64,$N$9=128),ISNUMBER($B$11),$B$11&gt;=0,MOD($B$11,1)=0,ISNUMBER($J$7),$J$7&gt;=0,$J$7&lt;1,AND(ISNUMBER(M31),M31&gt;=0,M31&lt;=1),AND(ISNUMBER(N31),N31&gt;=0,N31&lt;=1))</x:f>
        <x:v>1</x:v>
      </x:c>
      <x:c r="B289" s="12" t="n">
        <x:f>IF(A289,D139*1000,"")</x:f>
        <x:v>4000</x:v>
      </x:c>
      <x:c r="C289" s="12" t="n">
        <x:f>IF(A289,E139*L31,"")</x:f>
        <x:v>30</x:v>
      </x:c>
      <x:c r="D289" s="12" t="n">
        <x:f>IF(A289,M412,"")</x:f>
        <x:v>3.4403839111328125</x:v>
      </x:c>
      <x:c r="E289" s="12" t="n">
        <x:f>IF(A289,B31/C31,"")</x:f>
        <x:v>4</x:v>
      </x:c>
      <x:c r="F289" s="12" t="n">
        <x:f>IF(A289,B31/D31,"")</x:f>
        <x:v>4</x:v>
      </x:c>
      <x:c r="G289" s="12" t="n">
        <x:f>IF(A289,$F$5*E289*$B$5*60000/B289,"")</x:f>
        <x:v>960</x:v>
      </x:c>
      <x:c r="H289" s="12" t="n">
        <x:f>IF(A289,G289/($J$5*F289),"")</x:f>
        <x:v>240</x:v>
      </x:c>
      <x:c r="I289" s="12" t="n">
        <x:f>IF(A289,$B$5*D289/C31/$B$9,"")</x:f>
        <x:v>6.880767822265625</x:v>
      </x:c>
      <x:c r="J289" s="12" t="n">
        <x:f>IF(A289,I289*$F$5/$J$5,"")</x:f>
        <x:v>6.880767822265625</x:v>
      </x:c>
      <x:c r="K289" s="12" t="n">
        <x:f>IF(A289,MAX(I289,J289)*2^30/(J31*1e6),"")</x:f>
        <x:v>1.5392017066666666</x:v>
      </x:c>
      <x:c r="L289" s="12" t="n">
        <x:f>IF(A289,B289/$B$9,"")</x:f>
        <x:v>4000</x:v>
      </x:c>
      <x:c r="M289" s="54" t="n">
        <x:f>IF(A289,K289/L289,"")</x:f>
        <x:v>0.00038480042666666665</x:v>
      </x:c>
      <x:c r="N289" s="12" t="n">
        <x:f>IF(A289,(E31*ROUNDUP(K31/D31,0)*G31*(B31-1)/B31*(ROUNDUP((ROUNDUP(F31*2/32,0)*32+32)/480,0)*512+F31*2+32)+E31*ROUNDUP(H31/B31,0)*(B31-1)*32)/1e9,"")</x:f>
        <x:v>0.491091584</x:v>
      </x:c>
      <x:c r="O289" s="12" t="n">
        <x:f>IF(A289,N289*1000/I31,"")</x:f>
        <x:v>0.10231074666666667</x:v>
      </x:c>
      <x:c r="P289" s="12" t="n">
        <x:f>IF(A289,O289/E31,"")</x:f>
        <x:v>0.0011120733333333335</x:v>
      </x:c>
      <x:c r="Q289" s="12" t="n">
        <x:f>IF(A289,N289*1000/C289,"")</x:f>
        <x:v>16.369719466666666</x:v>
      </x:c>
      <x:c r="R289" s="12" t="n">
        <x:f>IF(W289="估算",IF(OR(K289=0,O289=0),0,1-((E31-1)*MAX(0,(C289-O289)/E31-(K289))+MAX(0,L289-((E31-1)*C289/E31+P289)-(K289)))/L289),"")</x:f>
        <x:v>0.007803556705869519</x:v>
      </x:c>
      <x:c r="S289" s="12" t="n">
        <x:f>IF(W289="估算",IF(O289=0,0,MAX(0,1-(1-((E31-1)*MAX(0,(C289-O289)/E31-(L289-K289))+MAX(0,L289-((E31-1)*C289/E31+P289)-(L289-K289)))/L289))),"")</x:f>
        <x:v>0</x:v>
      </x:c>
      <x:c r="T289" s="12" t="n">
        <x:f>IF(W289="估算",IF(OR(P289=0,K289=0,$J$7=0),0,IF(P289&lt;=(1-$J$7)*K289,$J$7*P289*K289/(1-$J$7)-$J$7^2*P289^2/(2*(1-$J$7)^2),$J$7*P289*K289+$J$7^2*K289^2/2)/L289),"")</x:f>
        <x:v>4.754545740708964e-8</x:v>
      </x:c>
      <x:c r="U289" s="12" t="n">
        <x:f>IF(A289,60000/C289,"")</x:f>
        <x:v>2000</x:v>
      </x:c>
      <x:c r="V289" s="12" t="n">
        <x:f>IF(W289="估算",U289*E31*T289*M31*N31,"")</x:f>
        <x:v>0.008748364162904494</x:v>
      </x:c>
      <x:c r="W289" s="12" t="str">
        <x:f>IF(NOT(A289),"输入无效",IF(K289&gt;=L289,"KV 超载",IF(O289&gt;C289+1e-9,"TPOT 不自洽",IF(OR(C289&gt;L289,P289&gt;L289-K289),"需时序仿真","估算"))))</x:f>
        <x:v>估算</x:v>
      </x:c>
      <x:c r="X289" s="12" t="n">
        <x:f>IF(W289="估算",U289*M289,"")</x:f>
        <x:v>0.7696008533333333</x:v>
      </x:c>
    </x:row>
    <x:row r="290" ht="25" customHeight="1">
      <x:c r="A290" s="2" t="b">
        <x:f>AND(AND(ISNUMBER($B$5),$B$5&gt;0),AND(ISNUMBER($F$5),$F$5&gt;0),AND(ISNUMBER($J$5),$J$5&gt;0),AND(ISNUMBER($B$9),$B$9&gt;0),AND(ISNUMBER(I31),I31&gt;0),AND(ISNUMBER(J31),J31&gt;0),AND(ISNUMBER(K31),K31&gt;0),AND(ISNUMBER(L31),L31&gt;0),AND(ISNUMBER(D140),D140&gt;0),AND(ISNUMBER(E140),E140&gt;0),MOD($B$5,1)=0,MOD($F$5,1)=0,MOD($J$5,1)=0,MOD($B$9,1)=0,MOD(K31,1)=0,ISNUMBER(C140),C140&gt;=2,MOD(C140,1)=0,OR($N$9=32,$N$9=64,$N$9=128),ISNUMBER($B$11),$B$11&gt;=0,MOD($B$11,1)=0,ISNUMBER($J$7),$J$7&gt;=0,$J$7&lt;1,AND(ISNUMBER(M31),M31&gt;=0,M31&lt;=1),AND(ISNUMBER(N31),N31&gt;=0,N31&lt;=1))</x:f>
        <x:v>1</x:v>
      </x:c>
      <x:c r="B290" s="12" t="n">
        <x:f>IF(A290,D140*1000,"")</x:f>
        <x:v>20000</x:v>
      </x:c>
      <x:c r="C290" s="12" t="n">
        <x:f>IF(A290,E140*L31,"")</x:f>
        <x:v>5</x:v>
      </x:c>
      <x:c r="D290" s="12" t="n">
        <x:f>IF(A290,M416,"")</x:f>
        <x:v>46.56538391113281</x:v>
      </x:c>
      <x:c r="E290" s="12" t="n">
        <x:f>IF(A290,B31/C31,"")</x:f>
        <x:v>4</x:v>
      </x:c>
      <x:c r="F290" s="12" t="n">
        <x:f>IF(A290,B31/D31,"")</x:f>
        <x:v>4</x:v>
      </x:c>
      <x:c r="G290" s="12" t="n">
        <x:f>IF(A290,$F$5*E290*$B$5*60000/B290,"")</x:f>
        <x:v>192</x:v>
      </x:c>
      <x:c r="H290" s="12" t="n">
        <x:f>IF(A290,G290/($J$5*F290),"")</x:f>
        <x:v>48</x:v>
      </x:c>
      <x:c r="I290" s="12" t="n">
        <x:f>IF(A290,$B$5*D290/C31/$B$9,"")</x:f>
        <x:v>93.13076782226562</x:v>
      </x:c>
      <x:c r="J290" s="12" t="n">
        <x:f>IF(A290,I290*$F$5/$J$5,"")</x:f>
        <x:v>93.13076782226562</x:v>
      </x:c>
      <x:c r="K290" s="12" t="n">
        <x:f>IF(A290,MAX(I290,J290)*2^30/(J31*1e6),"")</x:f>
        <x:v>20.833000106666667</x:v>
      </x:c>
      <x:c r="L290" s="12" t="n">
        <x:f>IF(A290,B290/$B$9,"")</x:f>
        <x:v>20000</x:v>
      </x:c>
      <x:c r="M290" s="54" t="n">
        <x:f>IF(A290,K290/L290,"")</x:f>
        <x:v>0.0010416500053333333</x:v>
      </x:c>
      <x:c r="N290" s="12" t="n">
        <x:f>IF(A290,(E31*ROUNDUP(K31/D31,0)*G31*(B31-1)/B31*(ROUNDUP((ROUNDUP(F31*2/32,0)*32+32)/480,0)*512+F31*2+32)+E31*ROUNDUP(H31/B31,0)*(B31-1)*32)/1e9,"")</x:f>
        <x:v>0.491091584</x:v>
      </x:c>
      <x:c r="O290" s="12" t="n">
        <x:f>IF(A290,N290*1000/I31,"")</x:f>
        <x:v>0.10231074666666667</x:v>
      </x:c>
      <x:c r="P290" s="12" t="n">
        <x:f>IF(A290,O290/E31,"")</x:f>
        <x:v>0.0011120733333333335</x:v>
      </x:c>
      <x:c r="Q290" s="12" t="n">
        <x:f>IF(A290,N290*1000/C290,"")</x:f>
        <x:v>98.2183168</x:v>
      </x:c>
      <x:c r="R290" s="12" t="n">
        <x:f>IF(W290="估算",IF(OR(K290=0,O290=0),0,1-((E31-1)*MAX(0,(C290-O290)/E31-(K290))+MAX(0,L290-((E31-1)*C290/E31+P290)-(K290)))/L290),"")</x:f>
        <x:v>0.0012889882176956302</x:v>
      </x:c>
      <x:c r="S290" s="12" t="n">
        <x:f>IF(W290="估算",IF(O290=0,0,MAX(0,1-(1-((E31-1)*MAX(0,(C290-O290)/E31-(L290-K290))+MAX(0,L290-((E31-1)*C290/E31+P290)-(L290-K290)))/L290))),"")</x:f>
        <x:v>0.0007943117929711807</x:v>
      </x:c>
      <x:c r="T290" s="12" t="n">
        <x:f>IF(W290="估算",IF(OR(P290=0,K290=0,$J$7=0),0,IF(P290&lt;=(1-$J$7)*K290,$J$7*P290*K290/(1-$J$7)-$J$7^2*P290^2/(2*(1-$J$7)^2),$J$7*P290*K290+$J$7^2*K290^2/2)/L290),"")</x:f>
        <x:v>1.2870975092224758e-7</x:v>
      </x:c>
      <x:c r="U290" s="12" t="n">
        <x:f>IF(A290,60000/C290,"")</x:f>
        <x:v>12000</x:v>
      </x:c>
      <x:c r="V290" s="12" t="n">
        <x:f>IF(W290="估算",U290*E31*T290*M31*N31,"")</x:f>
        <x:v>0.14209556501816134</x:v>
      </x:c>
      <x:c r="W290" s="12" t="str">
        <x:f>IF(NOT(A290),"输入无效",IF(K290&gt;=L290,"KV 超载",IF(O290&gt;C290+1e-9,"TPOT 不自洽",IF(OR(C290&gt;L290,P290&gt;L290-K290),"需时序仿真","估算"))))</x:f>
        <x:v>估算</x:v>
      </x:c>
      <x:c r="X290" s="12" t="n">
        <x:f>IF(W290="估算",U290*M290,"")</x:f>
        <x:v>12.499800063999999</x:v>
      </x:c>
    </x:row>
    <x:row r="291" ht="25" customHeight="1">
      <x:c r="A291" s="2" t="b">
        <x:f>AND(AND(ISNUMBER($B$5),$B$5&gt;0),AND(ISNUMBER($F$5),$F$5&gt;0),AND(ISNUMBER($J$5),$J$5&gt;0),AND(ISNUMBER($B$9),$B$9&gt;0),AND(ISNUMBER(I31),I31&gt;0),AND(ISNUMBER(J31),J31&gt;0),AND(ISNUMBER(K31),K31&gt;0),AND(ISNUMBER(L31),L31&gt;0),AND(ISNUMBER(D141),D141&gt;0),AND(ISNUMBER(E141),E141&gt;0),MOD($B$5,1)=0,MOD($F$5,1)=0,MOD($J$5,1)=0,MOD($B$9,1)=0,MOD(K31,1)=0,ISNUMBER(C141),C141&gt;=2,MOD(C141,1)=0,OR($N$9=32,$N$9=64,$N$9=128),ISNUMBER($B$11),$B$11&gt;=0,MOD($B$11,1)=0,ISNUMBER($J$7),$J$7&gt;=0,$J$7&lt;1,AND(ISNUMBER(M31),M31&gt;=0,M31&lt;=1),AND(ISNUMBER(N31),N31&gt;=0,N31&lt;=1))</x:f>
        <x:v>1</x:v>
      </x:c>
      <x:c r="B291" s="12" t="n">
        <x:f>IF(A291,D141*1000,"")</x:f>
        <x:v>20000</x:v>
      </x:c>
      <x:c r="C291" s="12" t="n">
        <x:f>IF(A291,E141*L31,"")</x:f>
        <x:v>10</x:v>
      </x:c>
      <x:c r="D291" s="12" t="n">
        <x:f>IF(A291,M416,"")</x:f>
        <x:v>46.56538391113281</x:v>
      </x:c>
      <x:c r="E291" s="12" t="n">
        <x:f>IF(A291,B31/C31,"")</x:f>
        <x:v>4</x:v>
      </x:c>
      <x:c r="F291" s="12" t="n">
        <x:f>IF(A291,B31/D31,"")</x:f>
        <x:v>4</x:v>
      </x:c>
      <x:c r="G291" s="12" t="n">
        <x:f>IF(A291,$F$5*E291*$B$5*60000/B291,"")</x:f>
        <x:v>192</x:v>
      </x:c>
      <x:c r="H291" s="12" t="n">
        <x:f>IF(A291,G291/($J$5*F291),"")</x:f>
        <x:v>48</x:v>
      </x:c>
      <x:c r="I291" s="12" t="n">
        <x:f>IF(A291,$B$5*D291/C31/$B$9,"")</x:f>
        <x:v>93.13076782226562</x:v>
      </x:c>
      <x:c r="J291" s="12" t="n">
        <x:f>IF(A291,I291*$F$5/$J$5,"")</x:f>
        <x:v>93.13076782226562</x:v>
      </x:c>
      <x:c r="K291" s="12" t="n">
        <x:f>IF(A291,MAX(I291,J291)*2^30/(J31*1e6),"")</x:f>
        <x:v>20.833000106666667</x:v>
      </x:c>
      <x:c r="L291" s="12" t="n">
        <x:f>IF(A291,B291/$B$9,"")</x:f>
        <x:v>20000</x:v>
      </x:c>
      <x:c r="M291" s="54" t="n">
        <x:f>IF(A291,K291/L291,"")</x:f>
        <x:v>0.0010416500053333333</x:v>
      </x:c>
      <x:c r="N291" s="12" t="n">
        <x:f>IF(A291,(E31*ROUNDUP(K31/D31,0)*G31*(B31-1)/B31*(ROUNDUP((ROUNDUP(F31*2/32,0)*32+32)/480,0)*512+F31*2+32)+E31*ROUNDUP(H31/B31,0)*(B31-1)*32)/1e9,"")</x:f>
        <x:v>0.491091584</x:v>
      </x:c>
      <x:c r="O291" s="12" t="n">
        <x:f>IF(A291,N291*1000/I31,"")</x:f>
        <x:v>0.10231074666666667</x:v>
      </x:c>
      <x:c r="P291" s="12" t="n">
        <x:f>IF(A291,O291/E31,"")</x:f>
        <x:v>0.0011120733333333335</x:v>
      </x:c>
      <x:c r="Q291" s="12" t="n">
        <x:f>IF(A291,N291*1000/C291,"")</x:f>
        <x:v>49.1091584</x:v>
      </x:c>
      <x:c r="R291" s="12" t="n">
        <x:f>IF(W291="估算",IF(OR(K291=0,O291=0),0,1-((E31-1)*MAX(0,(C291-O291)/E31-(K291))+MAX(0,L291-((E31-1)*C291/E31+P291)-(K291)))/L291),"")</x:f>
        <x:v>0.001536270826391406</x:v>
      </x:c>
      <x:c r="S291" s="12" t="n">
        <x:f>IF(W291="估算",IF(O291=0,0,MAX(0,1-(1-((E31-1)*MAX(0,(C291-O291)/E31-(L291-K291))+MAX(0,L291-((E31-1)*C291/E31+P291)-(L291-K291)))/L291))),"")</x:f>
        <x:v>0.0005470291842754049</x:v>
      </x:c>
      <x:c r="T291" s="12" t="n">
        <x:f>IF(W291="估算",IF(OR(P291=0,K291=0,$J$7=0),0,IF(P291&lt;=(1-$J$7)*K291,$J$7*P291*K291/(1-$J$7)-$J$7^2*P291^2/(2*(1-$J$7)^2),$J$7*P291*K291+$J$7^2*K291^2/2)/L291),"")</x:f>
        <x:v>1.2870975092224758e-7</x:v>
      </x:c>
      <x:c r="U291" s="12" t="n">
        <x:f>IF(A291,60000/C291,"")</x:f>
        <x:v>6000</x:v>
      </x:c>
      <x:c r="V291" s="12" t="n">
        <x:f>IF(W291="估算",U291*E31*T291*M31*N31,"")</x:f>
        <x:v>0.07104778250908067</x:v>
      </x:c>
      <x:c r="W291" s="12" t="str">
        <x:f>IF(NOT(A291),"输入无效",IF(K291&gt;=L291,"KV 超载",IF(O291&gt;C291+1e-9,"TPOT 不自洽",IF(OR(C291&gt;L291,P291&gt;L291-K291),"需时序仿真","估算"))))</x:f>
        <x:v>估算</x:v>
      </x:c>
      <x:c r="X291" s="12" t="n">
        <x:f>IF(W291="估算",U291*M291,"")</x:f>
        <x:v>6.249900031999999</x:v>
      </x:c>
    </x:row>
    <x:row r="292" ht="25" customHeight="1">
      <x:c r="A292" s="2" t="b">
        <x:f>AND(AND(ISNUMBER($B$5),$B$5&gt;0),AND(ISNUMBER($F$5),$F$5&gt;0),AND(ISNUMBER($J$5),$J$5&gt;0),AND(ISNUMBER($B$9),$B$9&gt;0),AND(ISNUMBER(I31),I31&gt;0),AND(ISNUMBER(J31),J31&gt;0),AND(ISNUMBER(K31),K31&gt;0),AND(ISNUMBER(L31),L31&gt;0),AND(ISNUMBER(D142),D142&gt;0),AND(ISNUMBER(E142),E142&gt;0),MOD($B$5,1)=0,MOD($F$5,1)=0,MOD($J$5,1)=0,MOD($B$9,1)=0,MOD(K31,1)=0,ISNUMBER(C142),C142&gt;=2,MOD(C142,1)=0,OR($N$9=32,$N$9=64,$N$9=128),ISNUMBER($B$11),$B$11&gt;=0,MOD($B$11,1)=0,ISNUMBER($J$7),$J$7&gt;=0,$J$7&lt;1,AND(ISNUMBER(M31),M31&gt;=0,M31&lt;=1),AND(ISNUMBER(N31),N31&gt;=0,N31&lt;=1))</x:f>
        <x:v>1</x:v>
      </x:c>
      <x:c r="B292" s="12" t="n">
        <x:f>IF(A292,D142*1000,"")</x:f>
        <x:v>20000</x:v>
      </x:c>
      <x:c r="C292" s="12" t="n">
        <x:f>IF(A292,E142*L31,"")</x:f>
        <x:v>20</x:v>
      </x:c>
      <x:c r="D292" s="12" t="n">
        <x:f>IF(A292,M416,"")</x:f>
        <x:v>46.56538391113281</x:v>
      </x:c>
      <x:c r="E292" s="12" t="n">
        <x:f>IF(A292,B31/C31,"")</x:f>
        <x:v>4</x:v>
      </x:c>
      <x:c r="F292" s="12" t="n">
        <x:f>IF(A292,B31/D31,"")</x:f>
        <x:v>4</x:v>
      </x:c>
      <x:c r="G292" s="12" t="n">
        <x:f>IF(A292,$F$5*E292*$B$5*60000/B292,"")</x:f>
        <x:v>192</x:v>
      </x:c>
      <x:c r="H292" s="12" t="n">
        <x:f>IF(A292,G292/($J$5*F292),"")</x:f>
        <x:v>48</x:v>
      </x:c>
      <x:c r="I292" s="12" t="n">
        <x:f>IF(A292,$B$5*D292/C31/$B$9,"")</x:f>
        <x:v>93.13076782226562</x:v>
      </x:c>
      <x:c r="J292" s="12" t="n">
        <x:f>IF(A292,I292*$F$5/$J$5,"")</x:f>
        <x:v>93.13076782226562</x:v>
      </x:c>
      <x:c r="K292" s="12" t="n">
        <x:f>IF(A292,MAX(I292,J292)*2^30/(J31*1e6),"")</x:f>
        <x:v>20.833000106666667</x:v>
      </x:c>
      <x:c r="L292" s="12" t="n">
        <x:f>IF(A292,B292/$B$9,"")</x:f>
        <x:v>20000</x:v>
      </x:c>
      <x:c r="M292" s="54" t="n">
        <x:f>IF(A292,K292/L292,"")</x:f>
        <x:v>0.0010416500053333333</x:v>
      </x:c>
      <x:c r="N292" s="12" t="n">
        <x:f>IF(A292,(E31*ROUNDUP(K31/D31,0)*G31*(B31-1)/B31*(ROUNDUP((ROUNDUP(F31*2/32,0)*32+32)/480,0)*512+F31*2+32)+E31*ROUNDUP(H31/B31,0)*(B31-1)*32)/1e9,"")</x:f>
        <x:v>0.491091584</x:v>
      </x:c>
      <x:c r="O292" s="12" t="n">
        <x:f>IF(A292,N292*1000/I31,"")</x:f>
        <x:v>0.10231074666666667</x:v>
      </x:c>
      <x:c r="P292" s="12" t="n">
        <x:f>IF(A292,O292/E31,"")</x:f>
        <x:v>0.0011120733333333335</x:v>
      </x:c>
      <x:c r="Q292" s="12" t="n">
        <x:f>IF(A292,N292*1000/C292,"")</x:f>
        <x:v>24.5545792</x:v>
      </x:c>
      <x:c r="R292" s="12" t="n">
        <x:f>IF(W292="估算",IF(OR(K292=0,O292=0),0,1-((E31-1)*MAX(0,(C292-O292)/E31-(K292))+MAX(0,L292-((E31-1)*C292/E31+P292)-(K292)))/L292),"")</x:f>
        <x:v>0.0020308360437826245</x:v>
      </x:c>
      <x:c r="S292" s="12" t="n">
        <x:f>IF(W292="估算",IF(O292=0,0,MAX(0,1-(1-((E31-1)*MAX(0,(C292-O292)/E31-(L292-K292))+MAX(0,L292-((E31-1)*C292/E31+P292)-(L292-K292)))/L292))),"")</x:f>
        <x:v>0.00005246396688418642</x:v>
      </x:c>
      <x:c r="T292" s="12" t="n">
        <x:f>IF(W292="估算",IF(OR(P292=0,K292=0,$J$7=0),0,IF(P292&lt;=(1-$J$7)*K292,$J$7*P292*K292/(1-$J$7)-$J$7^2*P292^2/(2*(1-$J$7)^2),$J$7*P292*K292+$J$7^2*K292^2/2)/L292),"")</x:f>
        <x:v>1.2870975092224758e-7</x:v>
      </x:c>
      <x:c r="U292" s="12" t="n">
        <x:f>IF(A292,60000/C292,"")</x:f>
        <x:v>3000</x:v>
      </x:c>
      <x:c r="V292" s="12" t="n">
        <x:f>IF(W292="估算",U292*E31*T292*M31*N31,"")</x:f>
        <x:v>0.035523891254540335</x:v>
      </x:c>
      <x:c r="W292" s="12" t="str">
        <x:f>IF(NOT(A292),"输入无效",IF(K292&gt;=L292,"KV 超载",IF(O292&gt;C292+1e-9,"TPOT 不自洽",IF(OR(C292&gt;L292,P292&gt;L292-K292),"需时序仿真","估算"))))</x:f>
        <x:v>估算</x:v>
      </x:c>
      <x:c r="X292" s="12" t="n">
        <x:f>IF(W292="估算",U292*M292,"")</x:f>
        <x:v>3.1249500159999997</x:v>
      </x:c>
    </x:row>
    <x:row r="293" ht="25" customHeight="1">
      <x:c r="A293" s="2" t="b">
        <x:f>AND(AND(ISNUMBER($B$5),$B$5&gt;0),AND(ISNUMBER($F$5),$F$5&gt;0),AND(ISNUMBER($J$5),$J$5&gt;0),AND(ISNUMBER($B$9),$B$9&gt;0),AND(ISNUMBER(I31),I31&gt;0),AND(ISNUMBER(J31),J31&gt;0),AND(ISNUMBER(K31),K31&gt;0),AND(ISNUMBER(L31),L31&gt;0),AND(ISNUMBER(D143),D143&gt;0),AND(ISNUMBER(E143),E143&gt;0),MOD($B$5,1)=0,MOD($F$5,1)=0,MOD($J$5,1)=0,MOD($B$9,1)=0,MOD(K31,1)=0,ISNUMBER(C143),C143&gt;=2,MOD(C143,1)=0,OR($N$9=32,$N$9=64,$N$9=128),ISNUMBER($B$11),$B$11&gt;=0,MOD($B$11,1)=0,ISNUMBER($J$7),$J$7&gt;=0,$J$7&lt;1,AND(ISNUMBER(M31),M31&gt;=0,M31&lt;=1),AND(ISNUMBER(N31),N31&gt;=0,N31&lt;=1))</x:f>
        <x:v>1</x:v>
      </x:c>
      <x:c r="B293" s="12" t="n">
        <x:f>IF(A293,D143*1000,"")</x:f>
        <x:v>20000</x:v>
      </x:c>
      <x:c r="C293" s="12" t="n">
        <x:f>IF(A293,E143*L31,"")</x:f>
        <x:v>30</x:v>
      </x:c>
      <x:c r="D293" s="12" t="n">
        <x:f>IF(A293,M416,"")</x:f>
        <x:v>46.56538391113281</x:v>
      </x:c>
      <x:c r="E293" s="12" t="n">
        <x:f>IF(A293,B31/C31,"")</x:f>
        <x:v>4</x:v>
      </x:c>
      <x:c r="F293" s="12" t="n">
        <x:f>IF(A293,B31/D31,"")</x:f>
        <x:v>4</x:v>
      </x:c>
      <x:c r="G293" s="12" t="n">
        <x:f>IF(A293,$F$5*E293*$B$5*60000/B293,"")</x:f>
        <x:v>192</x:v>
      </x:c>
      <x:c r="H293" s="12" t="n">
        <x:f>IF(A293,G293/($J$5*F293),"")</x:f>
        <x:v>48</x:v>
      </x:c>
      <x:c r="I293" s="12" t="n">
        <x:f>IF(A293,$B$5*D293/C31/$B$9,"")</x:f>
        <x:v>93.13076782226562</x:v>
      </x:c>
      <x:c r="J293" s="12" t="n">
        <x:f>IF(A293,I293*$F$5/$J$5,"")</x:f>
        <x:v>93.13076782226562</x:v>
      </x:c>
      <x:c r="K293" s="12" t="n">
        <x:f>IF(A293,MAX(I293,J293)*2^30/(J31*1e6),"")</x:f>
        <x:v>20.833000106666667</x:v>
      </x:c>
      <x:c r="L293" s="12" t="n">
        <x:f>IF(A293,B293/$B$9,"")</x:f>
        <x:v>20000</x:v>
      </x:c>
      <x:c r="M293" s="54" t="n">
        <x:f>IF(A293,K293/L293,"")</x:f>
        <x:v>0.0010416500053333333</x:v>
      </x:c>
      <x:c r="N293" s="12" t="n">
        <x:f>IF(A293,(E31*ROUNDUP(K31/D31,0)*G31*(B31-1)/B31*(ROUNDUP((ROUNDUP(F31*2/32,0)*32+32)/480,0)*512+F31*2+32)+E31*ROUNDUP(H31/B31,0)*(B31-1)*32)/1e9,"")</x:f>
        <x:v>0.491091584</x:v>
      </x:c>
      <x:c r="O293" s="12" t="n">
        <x:f>IF(A293,N293*1000/I31,"")</x:f>
        <x:v>0.10231074666666667</x:v>
      </x:c>
      <x:c r="P293" s="12" t="n">
        <x:f>IF(A293,O293/E31,"")</x:f>
        <x:v>0.0011120733333333335</x:v>
      </x:c>
      <x:c r="Q293" s="12" t="n">
        <x:f>IF(A293,N293*1000/C293,"")</x:f>
        <x:v>16.369719466666666</x:v>
      </x:c>
      <x:c r="R293" s="12" t="n">
        <x:f>IF(W293="估算",IF(OR(K293=0,O293=0),0,1-((E31-1)*MAX(0,(C293-O293)/E31-(K293))+MAX(0,L293-((E31-1)*C293/E31+P293)-(K293)))/L293),"")</x:f>
        <x:v>0.002525401261174065</x:v>
      </x:c>
      <x:c r="S293" s="12" t="n">
        <x:f>IF(W293="估算",IF(O293=0,0,MAX(0,1-(1-((E31-1)*MAX(0,(C293-O293)/E31-(L293-K293))+MAX(0,L293-((E31-1)*C293/E31+P293)-(L293-K293)))/L293))),"")</x:f>
        <x:v>0</x:v>
      </x:c>
      <x:c r="T293" s="12" t="n">
        <x:f>IF(W293="估算",IF(OR(P293=0,K293=0,$J$7=0),0,IF(P293&lt;=(1-$J$7)*K293,$J$7*P293*K293/(1-$J$7)-$J$7^2*P293^2/(2*(1-$J$7)^2),$J$7*P293*K293+$J$7^2*K293^2/2)/L293),"")</x:f>
        <x:v>1.2870975092224758e-7</x:v>
      </x:c>
      <x:c r="U293" s="12" t="n">
        <x:f>IF(A293,60000/C293,"")</x:f>
        <x:v>2000</x:v>
      </x:c>
      <x:c r="V293" s="12" t="n">
        <x:f>IF(W293="估算",U293*E31*T293*M31*N31,"")</x:f>
        <x:v>0.023682594169693556</x:v>
      </x:c>
      <x:c r="W293" s="12" t="str">
        <x:f>IF(NOT(A293),"输入无效",IF(K293&gt;=L293,"KV 超载",IF(O293&gt;C293+1e-9,"TPOT 不自洽",IF(OR(C293&gt;L293,P293&gt;L293-K293),"需时序仿真","估算"))))</x:f>
        <x:v>估算</x:v>
      </x:c>
      <x:c r="X293" s="12" t="n">
        <x:f>IF(W293="估算",U293*M293,"")</x:f>
        <x:v>2.0833000106666666</x:v>
      </x:c>
    </x:row>
    <x:row r="294" ht="25" customHeight="1">
      <x:c r="A294" s="2" t="b">
        <x:f>AND(AND(ISNUMBER($B$5),$B$5&gt;0),AND(ISNUMBER($F$5),$F$5&gt;0),AND(ISNUMBER($J$5),$J$5&gt;0),AND(ISNUMBER($B$9),$B$9&gt;0),AND(ISNUMBER(I31),I31&gt;0),AND(ISNUMBER(J31),J31&gt;0),AND(ISNUMBER(K31),K31&gt;0),AND(ISNUMBER(L31),L31&gt;0),AND(ISNUMBER(D144),D144&gt;0),AND(ISNUMBER(E144),E144&gt;0),MOD($B$5,1)=0,MOD($F$5,1)=0,MOD($J$5,1)=0,MOD($B$9,1)=0,MOD(K31,1)=0,ISNUMBER(C144),C144&gt;=2,MOD(C144,1)=0,OR($N$9=32,$N$9=64,$N$9=128),ISNUMBER($B$11),$B$11&gt;=0,MOD($B$11,1)=0,ISNUMBER($J$7),$J$7&gt;=0,$J$7&lt;1,AND(ISNUMBER(M31),M31&gt;=0,M31&lt;=1),AND(ISNUMBER(N31),N31&gt;=0,N31&lt;=1))</x:f>
        <x:v>1</x:v>
      </x:c>
      <x:c r="B294" s="12" t="n">
        <x:f>IF(A294,D144*1000,"")</x:f>
        <x:v>60000</x:v>
      </x:c>
      <x:c r="C294" s="12" t="n">
        <x:f>IF(A294,E144*L31,"")</x:f>
        <x:v>5</x:v>
      </x:c>
      <x:c r="D294" s="12" t="n">
        <x:f>IF(A294,M420,"")</x:f>
        <x:v>184.5653839111328</x:v>
      </x:c>
      <x:c r="E294" s="12" t="n">
        <x:f>IF(A294,B31/C31,"")</x:f>
        <x:v>4</x:v>
      </x:c>
      <x:c r="F294" s="12" t="n">
        <x:f>IF(A294,B31/D31,"")</x:f>
        <x:v>4</x:v>
      </x:c>
      <x:c r="G294" s="12" t="n">
        <x:f>IF(A294,$F$5*E294*$B$5*60000/B294,"")</x:f>
        <x:v>64</x:v>
      </x:c>
      <x:c r="H294" s="12" t="n">
        <x:f>IF(A294,G294/($J$5*F294),"")</x:f>
        <x:v>16</x:v>
      </x:c>
      <x:c r="I294" s="12" t="n">
        <x:f>IF(A294,$B$5*D294/C31/$B$9,"")</x:f>
        <x:v>369.1307678222656</x:v>
      </x:c>
      <x:c r="J294" s="12" t="n">
        <x:f>IF(A294,I294*$F$5/$J$5,"")</x:f>
        <x:v>369.1307678222656</x:v>
      </x:c>
      <x:c r="K294" s="12" t="n">
        <x:f>IF(A294,MAX(I294,J294)*2^30/(J31*1e6),"")</x:f>
        <x:v>82.57315498666667</x:v>
      </x:c>
      <x:c r="L294" s="12" t="n">
        <x:f>IF(A294,B294/$B$9,"")</x:f>
        <x:v>60000</x:v>
      </x:c>
      <x:c r="M294" s="54" t="n">
        <x:f>IF(A294,K294/L294,"")</x:f>
        <x:v>0.0013762192497777778</x:v>
      </x:c>
      <x:c r="N294" s="12" t="n">
        <x:f>IF(A294,(E31*ROUNDUP(K31/D31,0)*G31*(B31-1)/B31*(ROUNDUP((ROUNDUP(F31*2/32,0)*32+32)/480,0)*512+F31*2+32)+E31*ROUNDUP(H31/B31,0)*(B31-1)*32)/1e9,"")</x:f>
        <x:v>0.491091584</x:v>
      </x:c>
      <x:c r="O294" s="12" t="n">
        <x:f>IF(A294,N294*1000/I31,"")</x:f>
        <x:v>0.10231074666666667</x:v>
      </x:c>
      <x:c r="P294" s="12" t="n">
        <x:f>IF(A294,O294/E31,"")</x:f>
        <x:v>0.0011120733333333335</x:v>
      </x:c>
      <x:c r="Q294" s="12" t="n">
        <x:f>IF(A294,N294*1000/C294,"")</x:f>
        <x:v>98.2183168</x:v>
      </x:c>
      <x:c r="R294" s="12" t="n">
        <x:f>IF(W294="估算",IF(OR(K294=0,O294=0),0,1-((E31-1)*MAX(0,(C294-O294)/E31-(K294))+MAX(0,L294-((E31-1)*C294/E31+P294)-(K294)))/L294),"")</x:f>
        <x:v>0.0014586653205652667</x:v>
      </x:c>
      <x:c r="S294" s="12" t="n">
        <x:f>IF(W294="估算",IF(O294=0,0,MAX(0,1-(1-((E31-1)*MAX(0,(C294-O294)/E31-(L294-K294))+MAX(0,L294-((E31-1)*C294/E31+P294)-(L294-K294)))/L294))),"")</x:f>
        <x:v>0.0012937731789903761</x:v>
      </x:c>
      <x:c r="T294" s="12" t="n">
        <x:f>IF(W294="估算",IF(OR(P294=0,K294=0,$J$7=0),0,IF(P294&lt;=(1-$J$7)*K294,$J$7*P294*K294/(1-$J$7)-$J$7^2*P294^2/(2*(1-$J$7)^2),$J$7*P294*K294+$J$7^2*K294^2/2)/L294),"")</x:f>
        <x:v>1.7005062037763417e-7</x:v>
      </x:c>
      <x:c r="U294" s="12" t="n">
        <x:f>IF(A294,60000/C294,"")</x:f>
        <x:v>12000</x:v>
      </x:c>
      <x:c r="V294" s="12" t="n">
        <x:f>IF(W294="估算",U294*E31*T294*M31*N31,"")</x:f>
        <x:v>0.18773588489690812</x:v>
      </x:c>
      <x:c r="W294" s="12" t="str">
        <x:f>IF(NOT(A294),"输入无效",IF(K294&gt;=L294,"KV 超载",IF(O294&gt;C294+1e-9,"TPOT 不自洽",IF(OR(C294&gt;L294,P294&gt;L294-K294),"需时序仿真","估算"))))</x:f>
        <x:v>估算</x:v>
      </x:c>
      <x:c r="X294" s="12" t="n">
        <x:f>IF(W294="估算",U294*M294,"")</x:f>
        <x:v>16.514630997333335</x:v>
      </x:c>
    </x:row>
    <x:row r="295" ht="25" customHeight="1">
      <x:c r="A295" s="2" t="b">
        <x:f>AND(AND(ISNUMBER($B$5),$B$5&gt;0),AND(ISNUMBER($F$5),$F$5&gt;0),AND(ISNUMBER($J$5),$J$5&gt;0),AND(ISNUMBER($B$9),$B$9&gt;0),AND(ISNUMBER(I31),I31&gt;0),AND(ISNUMBER(J31),J31&gt;0),AND(ISNUMBER(K31),K31&gt;0),AND(ISNUMBER(L31),L31&gt;0),AND(ISNUMBER(D145),D145&gt;0),AND(ISNUMBER(E145),E145&gt;0),MOD($B$5,1)=0,MOD($F$5,1)=0,MOD($J$5,1)=0,MOD($B$9,1)=0,MOD(K31,1)=0,ISNUMBER(C145),C145&gt;=2,MOD(C145,1)=0,OR($N$9=32,$N$9=64,$N$9=128),ISNUMBER($B$11),$B$11&gt;=0,MOD($B$11,1)=0,ISNUMBER($J$7),$J$7&gt;=0,$J$7&lt;1,AND(ISNUMBER(M31),M31&gt;=0,M31&lt;=1),AND(ISNUMBER(N31),N31&gt;=0,N31&lt;=1))</x:f>
        <x:v>1</x:v>
      </x:c>
      <x:c r="B295" s="12" t="n">
        <x:f>IF(A295,D145*1000,"")</x:f>
        <x:v>60000</x:v>
      </x:c>
      <x:c r="C295" s="12" t="n">
        <x:f>IF(A295,E145*L31,"")</x:f>
        <x:v>10</x:v>
      </x:c>
      <x:c r="D295" s="12" t="n">
        <x:f>IF(A295,M420,"")</x:f>
        <x:v>184.5653839111328</x:v>
      </x:c>
      <x:c r="E295" s="12" t="n">
        <x:f>IF(A295,B31/C31,"")</x:f>
        <x:v>4</x:v>
      </x:c>
      <x:c r="F295" s="12" t="n">
        <x:f>IF(A295,B31/D31,"")</x:f>
        <x:v>4</x:v>
      </x:c>
      <x:c r="G295" s="12" t="n">
        <x:f>IF(A295,$F$5*E295*$B$5*60000/B295,"")</x:f>
        <x:v>64</x:v>
      </x:c>
      <x:c r="H295" s="12" t="n">
        <x:f>IF(A295,G295/($J$5*F295),"")</x:f>
        <x:v>16</x:v>
      </x:c>
      <x:c r="I295" s="12" t="n">
        <x:f>IF(A295,$B$5*D295/C31/$B$9,"")</x:f>
        <x:v>369.1307678222656</x:v>
      </x:c>
      <x:c r="J295" s="12" t="n">
        <x:f>IF(A295,I295*$F$5/$J$5,"")</x:f>
        <x:v>369.1307678222656</x:v>
      </x:c>
      <x:c r="K295" s="12" t="n">
        <x:f>IF(A295,MAX(I295,J295)*2^30/(J31*1e6),"")</x:f>
        <x:v>82.57315498666667</x:v>
      </x:c>
      <x:c r="L295" s="12" t="n">
        <x:f>IF(A295,B295/$B$9,"")</x:f>
        <x:v>60000</x:v>
      </x:c>
      <x:c r="M295" s="54" t="n">
        <x:f>IF(A295,K295/L295,"")</x:f>
        <x:v>0.0013762192497777778</x:v>
      </x:c>
      <x:c r="N295" s="12" t="n">
        <x:f>IF(A295,(E31*ROUNDUP(K31/D31,0)*G31*(B31-1)/B31*(ROUNDUP((ROUNDUP(F31*2/32,0)*32+32)/480,0)*512+F31*2+32)+E31*ROUNDUP(H31/B31,0)*(B31-1)*32)/1e9,"")</x:f>
        <x:v>0.491091584</x:v>
      </x:c>
      <x:c r="O295" s="12" t="n">
        <x:f>IF(A295,N295*1000/I31,"")</x:f>
        <x:v>0.10231074666666667</x:v>
      </x:c>
      <x:c r="P295" s="12" t="n">
        <x:f>IF(A295,O295/E31,"")</x:f>
        <x:v>0.0011120733333333335</x:v>
      </x:c>
      <x:c r="Q295" s="12" t="n">
        <x:f>IF(A295,N295*1000/C295,"")</x:f>
        <x:v>49.1091584</x:v>
      </x:c>
      <x:c r="R295" s="12" t="n">
        <x:f>IF(W295="估算",IF(OR(K295=0,O295=0),0,1-((E31-1)*MAX(0,(C295-O295)/E31-(K295))+MAX(0,L295-((E31-1)*C295/E31+P295)-(K295)))/L295),"")</x:f>
        <x:v>0.0015410928567970439</x:v>
      </x:c>
      <x:c r="S295" s="12" t="n">
        <x:f>IF(W295="估算",IF(O295=0,0,MAX(0,1-(1-((E31-1)*MAX(0,(C295-O295)/E31-(L295-K295))+MAX(0,L295-((E31-1)*C295/E31+P295)-(L295-K295)))/L295))),"")</x:f>
        <x:v>0.0012113456427584879</x:v>
      </x:c>
      <x:c r="T295" s="12" t="n">
        <x:f>IF(W295="估算",IF(OR(P295=0,K295=0,$J$7=0),0,IF(P295&lt;=(1-$J$7)*K295,$J$7*P295*K295/(1-$J$7)-$J$7^2*P295^2/(2*(1-$J$7)^2),$J$7*P295*K295+$J$7^2*K295^2/2)/L295),"")</x:f>
        <x:v>1.7005062037763417e-7</x:v>
      </x:c>
      <x:c r="U295" s="12" t="n">
        <x:f>IF(A295,60000/C295,"")</x:f>
        <x:v>6000</x:v>
      </x:c>
      <x:c r="V295" s="12" t="n">
        <x:f>IF(W295="估算",U295*E31*T295*M31*N31,"")</x:f>
        <x:v>0.09386794244845406</x:v>
      </x:c>
      <x:c r="W295" s="12" t="str">
        <x:f>IF(NOT(A295),"输入无效",IF(K295&gt;=L295,"KV 超载",IF(O295&gt;C295+1e-9,"TPOT 不自洽",IF(OR(C295&gt;L295,P295&gt;L295-K295),"需时序仿真","估算"))))</x:f>
        <x:v>估算</x:v>
      </x:c>
      <x:c r="X295" s="12" t="n">
        <x:f>IF(W295="估算",U295*M295,"")</x:f>
        <x:v>8.257315498666667</x:v>
      </x:c>
    </x:row>
    <x:row r="296" ht="25" customHeight="1">
      <x:c r="A296" s="2" t="b">
        <x:f>AND(AND(ISNUMBER($B$5),$B$5&gt;0),AND(ISNUMBER($F$5),$F$5&gt;0),AND(ISNUMBER($J$5),$J$5&gt;0),AND(ISNUMBER($B$9),$B$9&gt;0),AND(ISNUMBER(I31),I31&gt;0),AND(ISNUMBER(J31),J31&gt;0),AND(ISNUMBER(K31),K31&gt;0),AND(ISNUMBER(L31),L31&gt;0),AND(ISNUMBER(D146),D146&gt;0),AND(ISNUMBER(E146),E146&gt;0),MOD($B$5,1)=0,MOD($F$5,1)=0,MOD($J$5,1)=0,MOD($B$9,1)=0,MOD(K31,1)=0,ISNUMBER(C146),C146&gt;=2,MOD(C146,1)=0,OR($N$9=32,$N$9=64,$N$9=128),ISNUMBER($B$11),$B$11&gt;=0,MOD($B$11,1)=0,ISNUMBER($J$7),$J$7&gt;=0,$J$7&lt;1,AND(ISNUMBER(M31),M31&gt;=0,M31&lt;=1),AND(ISNUMBER(N31),N31&gt;=0,N31&lt;=1))</x:f>
        <x:v>1</x:v>
      </x:c>
      <x:c r="B296" s="12" t="n">
        <x:f>IF(A296,D146*1000,"")</x:f>
        <x:v>60000</x:v>
      </x:c>
      <x:c r="C296" s="12" t="n">
        <x:f>IF(A296,E146*L31,"")</x:f>
        <x:v>20</x:v>
      </x:c>
      <x:c r="D296" s="12" t="n">
        <x:f>IF(A296,M420,"")</x:f>
        <x:v>184.5653839111328</x:v>
      </x:c>
      <x:c r="E296" s="12" t="n">
        <x:f>IF(A296,B31/C31,"")</x:f>
        <x:v>4</x:v>
      </x:c>
      <x:c r="F296" s="12" t="n">
        <x:f>IF(A296,B31/D31,"")</x:f>
        <x:v>4</x:v>
      </x:c>
      <x:c r="G296" s="12" t="n">
        <x:f>IF(A296,$F$5*E296*$B$5*60000/B296,"")</x:f>
        <x:v>64</x:v>
      </x:c>
      <x:c r="H296" s="12" t="n">
        <x:f>IF(A296,G296/($J$5*F296),"")</x:f>
        <x:v>16</x:v>
      </x:c>
      <x:c r="I296" s="12" t="n">
        <x:f>IF(A296,$B$5*D296/C31/$B$9,"")</x:f>
        <x:v>369.1307678222656</x:v>
      </x:c>
      <x:c r="J296" s="12" t="n">
        <x:f>IF(A296,I296*$F$5/$J$5,"")</x:f>
        <x:v>369.1307678222656</x:v>
      </x:c>
      <x:c r="K296" s="12" t="n">
        <x:f>IF(A296,MAX(I296,J296)*2^30/(J31*1e6),"")</x:f>
        <x:v>82.57315498666667</x:v>
      </x:c>
      <x:c r="L296" s="12" t="n">
        <x:f>IF(A296,B296/$B$9,"")</x:f>
        <x:v>60000</x:v>
      </x:c>
      <x:c r="M296" s="54" t="n">
        <x:f>IF(A296,K296/L296,"")</x:f>
        <x:v>0.0013762192497777778</x:v>
      </x:c>
      <x:c r="N296" s="12" t="n">
        <x:f>IF(A296,(E31*ROUNDUP(K31/D31,0)*G31*(B31-1)/B31*(ROUNDUP((ROUNDUP(F31*2/32,0)*32+32)/480,0)*512+F31*2+32)+E31*ROUNDUP(H31/B31,0)*(B31-1)*32)/1e9,"")</x:f>
        <x:v>0.491091584</x:v>
      </x:c>
      <x:c r="O296" s="12" t="n">
        <x:f>IF(A296,N296*1000/I31,"")</x:f>
        <x:v>0.10231074666666667</x:v>
      </x:c>
      <x:c r="P296" s="12" t="n">
        <x:f>IF(A296,O296/E31,"")</x:f>
        <x:v>0.0011120733333333335</x:v>
      </x:c>
      <x:c r="Q296" s="12" t="n">
        <x:f>IF(A296,N296*1000/C296,"")</x:f>
        <x:v>24.5545792</x:v>
      </x:c>
      <x:c r="R296" s="12" t="n">
        <x:f>IF(W296="估算",IF(OR(K296=0,O296=0),0,1-((E31-1)*MAX(0,(C296-O296)/E31-(K296))+MAX(0,L296-((E31-1)*C296/E31+P296)-(K296)))/L296),"")</x:f>
        <x:v>0.0017059479292609314</x:v>
      </x:c>
      <x:c r="S296" s="12" t="n">
        <x:f>IF(W296="估算",IF(O296=0,0,MAX(0,1-(1-((E31-1)*MAX(0,(C296-O296)/E31-(L296-K296))+MAX(0,L296-((E31-1)*C296/E31+P296)-(L296-K296)))/L296))),"")</x:f>
        <x:v>0.0010464905702947114</x:v>
      </x:c>
      <x:c r="T296" s="12" t="n">
        <x:f>IF(W296="估算",IF(OR(P296=0,K296=0,$J$7=0),0,IF(P296&lt;=(1-$J$7)*K296,$J$7*P296*K296/(1-$J$7)-$J$7^2*P296^2/(2*(1-$J$7)^2),$J$7*P296*K296+$J$7^2*K296^2/2)/L296),"")</x:f>
        <x:v>1.7005062037763417e-7</x:v>
      </x:c>
      <x:c r="U296" s="12" t="n">
        <x:f>IF(A296,60000/C296,"")</x:f>
        <x:v>3000</x:v>
      </x:c>
      <x:c r="V296" s="12" t="n">
        <x:f>IF(W296="估算",U296*E31*T296*M31*N31,"")</x:f>
        <x:v>0.04693397122422703</x:v>
      </x:c>
      <x:c r="W296" s="12" t="str">
        <x:f>IF(NOT(A296),"输入无效",IF(K296&gt;=L296,"KV 超载",IF(O296&gt;C296+1e-9,"TPOT 不自洽",IF(OR(C296&gt;L296,P296&gt;L296-K296),"需时序仿真","估算"))))</x:f>
        <x:v>估算</x:v>
      </x:c>
      <x:c r="X296" s="12" t="n">
        <x:f>IF(W296="估算",U296*M296,"")</x:f>
        <x:v>4.128657749333334</x:v>
      </x:c>
    </x:row>
    <x:row r="297" ht="25" customHeight="1">
      <x:c r="A297" s="2" t="b">
        <x:f>AND(AND(ISNUMBER($B$5),$B$5&gt;0),AND(ISNUMBER($F$5),$F$5&gt;0),AND(ISNUMBER($J$5),$J$5&gt;0),AND(ISNUMBER($B$9),$B$9&gt;0),AND(ISNUMBER(I31),I31&gt;0),AND(ISNUMBER(J31),J31&gt;0),AND(ISNUMBER(K31),K31&gt;0),AND(ISNUMBER(L31),L31&gt;0),AND(ISNUMBER(D147),D147&gt;0),AND(ISNUMBER(E147),E147&gt;0),MOD($B$5,1)=0,MOD($F$5,1)=0,MOD($J$5,1)=0,MOD($B$9,1)=0,MOD(K31,1)=0,ISNUMBER(C147),C147&gt;=2,MOD(C147,1)=0,OR($N$9=32,$N$9=64,$N$9=128),ISNUMBER($B$11),$B$11&gt;=0,MOD($B$11,1)=0,ISNUMBER($J$7),$J$7&gt;=0,$J$7&lt;1,AND(ISNUMBER(M31),M31&gt;=0,M31&lt;=1),AND(ISNUMBER(N31),N31&gt;=0,N31&lt;=1))</x:f>
        <x:v>1</x:v>
      </x:c>
      <x:c r="B297" s="12" t="n">
        <x:f>IF(A297,D147*1000,"")</x:f>
        <x:v>60000</x:v>
      </x:c>
      <x:c r="C297" s="12" t="n">
        <x:f>IF(A297,E147*L31,"")</x:f>
        <x:v>30</x:v>
      </x:c>
      <x:c r="D297" s="12" t="n">
        <x:f>IF(A297,M420,"")</x:f>
        <x:v>184.5653839111328</x:v>
      </x:c>
      <x:c r="E297" s="12" t="n">
        <x:f>IF(A297,B31/C31,"")</x:f>
        <x:v>4</x:v>
      </x:c>
      <x:c r="F297" s="12" t="n">
        <x:f>IF(A297,B31/D31,"")</x:f>
        <x:v>4</x:v>
      </x:c>
      <x:c r="G297" s="12" t="n">
        <x:f>IF(A297,$F$5*E297*$B$5*60000/B297,"")</x:f>
        <x:v>64</x:v>
      </x:c>
      <x:c r="H297" s="12" t="n">
        <x:f>IF(A297,G297/($J$5*F297),"")</x:f>
        <x:v>16</x:v>
      </x:c>
      <x:c r="I297" s="12" t="n">
        <x:f>IF(A297,$B$5*D297/C31/$B$9,"")</x:f>
        <x:v>369.1307678222656</x:v>
      </x:c>
      <x:c r="J297" s="12" t="n">
        <x:f>IF(A297,I297*$F$5/$J$5,"")</x:f>
        <x:v>369.1307678222656</x:v>
      </x:c>
      <x:c r="K297" s="12" t="n">
        <x:f>IF(A297,MAX(I297,J297)*2^30/(J31*1e6),"")</x:f>
        <x:v>82.57315498666667</x:v>
      </x:c>
      <x:c r="L297" s="12" t="n">
        <x:f>IF(A297,B297/$B$9,"")</x:f>
        <x:v>60000</x:v>
      </x:c>
      <x:c r="M297" s="54" t="n">
        <x:f>IF(A297,K297/L297,"")</x:f>
        <x:v>0.0013762192497777778</x:v>
      </x:c>
      <x:c r="N297" s="12" t="n">
        <x:f>IF(A297,(E31*ROUNDUP(K31/D31,0)*G31*(B31-1)/B31*(ROUNDUP((ROUNDUP(F31*2/32,0)*32+32)/480,0)*512+F31*2+32)+E31*ROUNDUP(H31/B31,0)*(B31-1)*32)/1e9,"")</x:f>
        <x:v>0.491091584</x:v>
      </x:c>
      <x:c r="O297" s="12" t="n">
        <x:f>IF(A297,N297*1000/I31,"")</x:f>
        <x:v>0.10231074666666667</x:v>
      </x:c>
      <x:c r="P297" s="12" t="n">
        <x:f>IF(A297,O297/E31,"")</x:f>
        <x:v>0.0011120733333333335</x:v>
      </x:c>
      <x:c r="Q297" s="12" t="n">
        <x:f>IF(A297,N297*1000/C297,"")</x:f>
        <x:v>16.369719466666666</x:v>
      </x:c>
      <x:c r="R297" s="12" t="n">
        <x:f>IF(W297="估算",IF(OR(K297=0,O297=0),0,1-((E31-1)*MAX(0,(C297-O297)/E31-(K297))+MAX(0,L297-((E31-1)*C297/E31+P297)-(K297)))/L297),"")</x:f>
        <x:v>0.001870803001724708</x:v>
      </x:c>
      <x:c r="S297" s="12" t="n">
        <x:f>IF(W297="估算",IF(O297=0,0,MAX(0,1-(1-((E31-1)*MAX(0,(C297-O297)/E31-(L297-K297))+MAX(0,L297-((E31-1)*C297/E31+P297)-(L297-K297)))/L297))),"")</x:f>
        <x:v>0.0008816354978309349</x:v>
      </x:c>
      <x:c r="T297" s="12" t="n">
        <x:f>IF(W297="估算",IF(OR(P297=0,K297=0,$J$7=0),0,IF(P297&lt;=(1-$J$7)*K297,$J$7*P297*K297/(1-$J$7)-$J$7^2*P297^2/(2*(1-$J$7)^2),$J$7*P297*K297+$J$7^2*K297^2/2)/L297),"")</x:f>
        <x:v>1.7005062037763417e-7</x:v>
      </x:c>
      <x:c r="U297" s="12" t="n">
        <x:f>IF(A297,60000/C297,"")</x:f>
        <x:v>2000</x:v>
      </x:c>
      <x:c r="V297" s="12" t="n">
        <x:f>IF(W297="估算",U297*E31*T297*M31*N31,"")</x:f>
        <x:v>0.03128931414948469</x:v>
      </x:c>
      <x:c r="W297" s="12" t="str">
        <x:f>IF(NOT(A297),"输入无效",IF(K297&gt;=L297,"KV 超载",IF(O297&gt;C297+1e-9,"TPOT 不自洽",IF(OR(C297&gt;L297,P297&gt;L297-K297),"需时序仿真","估算"))))</x:f>
        <x:v>估算</x:v>
      </x:c>
      <x:c r="X297" s="12" t="n">
        <x:f>IF(W297="估算",U297*M297,"")</x:f>
        <x:v>2.7524384995555558</x:v>
      </x:c>
    </x:row>
    <x:row r="298" ht="25" customHeight="1">
      <x:c r="A298" s="2" t="b">
        <x:f>AND(AND(ISNUMBER($B$5),$B$5&gt;0),AND(ISNUMBER($F$5),$F$5&gt;0),AND(ISNUMBER($J$5),$J$5&gt;0),AND(ISNUMBER($B$9),$B$9&gt;0),AND(ISNUMBER(I32),I32&gt;0),AND(ISNUMBER(J32),J32&gt;0),AND(ISNUMBER(K32),K32&gt;0),AND(ISNUMBER(L32),L32&gt;0),AND(ISNUMBER(D148),D148&gt;0),AND(ISNUMBER(E148),E148&gt;0),MOD($B$5,1)=0,MOD($F$5,1)=0,MOD($J$5,1)=0,MOD($B$9,1)=0,MOD(K32,1)=0,ISNUMBER(C148),C148&gt;=2,MOD(C148,1)=0,OR($N$9=32,$N$9=64,$N$9=128),ISNUMBER($B$11),$B$11&gt;=0,MOD($B$11,1)=0,ISNUMBER($J$7),$J$7&gt;=0,$J$7&lt;1,AND(ISNUMBER(M32),M32&gt;=0,M32&lt;=1),AND(ISNUMBER(N32),N32&gt;=0,N32&lt;=1))</x:f>
        <x:v>1</x:v>
      </x:c>
      <x:c r="B298" s="12" t="n">
        <x:f>IF(A298,D148*1000,"")</x:f>
        <x:v>4000</x:v>
      </x:c>
      <x:c r="C298" s="12" t="n">
        <x:f>IF(A298,E148*L32,"")</x:f>
        <x:v>5</x:v>
      </x:c>
      <x:c r="D298" s="12" t="n">
        <x:f>IF(A298,M412,"")</x:f>
        <x:v>3.4403839111328125</x:v>
      </x:c>
      <x:c r="E298" s="12" t="n">
        <x:f>IF(A298,B32/C32,"")</x:f>
        <x:v>32</x:v>
      </x:c>
      <x:c r="F298" s="12" t="n">
        <x:f>IF(A298,B32/D32,"")</x:f>
        <x:v>32</x:v>
      </x:c>
      <x:c r="G298" s="12" t="n">
        <x:f>IF(A298,$F$5*E298*$B$5*60000/B298,"")</x:f>
        <x:v>7680</x:v>
      </x:c>
      <x:c r="H298" s="12" t="n">
        <x:f>IF(A298,G298/($J$5*F298),"")</x:f>
        <x:v>240</x:v>
      </x:c>
      <x:c r="I298" s="12" t="n">
        <x:f>IF(A298,$B$5*D298/C32/$B$9,"")</x:f>
        <x:v>6.880767822265625</x:v>
      </x:c>
      <x:c r="J298" s="12" t="n">
        <x:f>IF(A298,I298*$F$5/$J$5,"")</x:f>
        <x:v>6.880767822265625</x:v>
      </x:c>
      <x:c r="K298" s="12" t="n">
        <x:f>IF(A298,MAX(I298,J298)*2^30/(J32*1e6),"")</x:f>
        <x:v>1.5392017066666666</x:v>
      </x:c>
      <x:c r="L298" s="12" t="n">
        <x:f>IF(A298,B298/$B$9,"")</x:f>
        <x:v>4000</x:v>
      </x:c>
      <x:c r="M298" s="54" t="n">
        <x:f>IF(A298,K298/L298,"")</x:f>
        <x:v>0.00038480042666666665</x:v>
      </x:c>
      <x:c r="N298" s="12" t="n">
        <x:f>IF(A298,(E32*ROUNDUP(K32/D32,0)*G32*(B32-1)/B32*(ROUNDUP((ROUNDUP(F32*2/32,0)*32+32)/480,0)*512+F32*2+32)+E32*ROUNDUP(H32/B32,0)*(B32-1)*32)/1e9,"")</x:f>
        <x:v>0.50495304</x:v>
      </x:c>
      <x:c r="O298" s="12" t="n">
        <x:f>IF(A298,N298*1000/I32,"")</x:f>
        <x:v>0.10519855</x:v>
      </x:c>
      <x:c r="P298" s="12" t="n">
        <x:f>IF(A298,O298/E32,"")</x:f>
        <x:v>0.0011434625</x:v>
      </x:c>
      <x:c r="Q298" s="12" t="n">
        <x:f>IF(A298,N298*1000/C298,"")</x:f>
        <x:v>100.990608</x:v>
      </x:c>
      <x:c r="R298" s="12" t="n">
        <x:f>IF(W298="估算",IF(OR(K298=0,O298=0),0,1-((E32-1)*MAX(0,(C298-O298)/E32-(K298))+MAX(0,L298-((E32-1)*C298/E32+P298)-(K298)))/L298),"")</x:f>
        <x:v>0.001621499335769827</x:v>
      </x:c>
      <x:c r="S298" s="12" t="n">
        <x:f>IF(W298="估算",IF(O298=0,0,MAX(0,1-(1-((E32-1)*MAX(0,(C298-O298)/E32-(L298-K298))+MAX(0,L298-((E32-1)*C298/E32+P298)-(L298-K298)))/L298))),"")</x:f>
        <x:v>0</x:v>
      </x:c>
      <x:c r="T298" s="12" t="n">
        <x:f>IF(W298="估算",IF(OR(P298=0,K298=0,$J$7=0),0,IF(P298&lt;=(1-$J$7)*K298,$J$7*P298*K298/(1-$J$7)-$J$7^2*P298^2/(2*(1-$J$7)^2),$J$7*P298*K298+$J$7^2*K298^2/2)/L298),"")</x:f>
        <x:v>4.8887410896109717e-8</x:v>
      </x:c>
      <x:c r="U298" s="12" t="n">
        <x:f>IF(A298,60000/C298,"")</x:f>
        <x:v>12000</x:v>
      </x:c>
      <x:c r="V298" s="12" t="n">
        <x:f>IF(W298="估算",U298*E32*T298*M32*N32,"")</x:f>
        <x:v>0.053971701629305126</x:v>
      </x:c>
      <x:c r="W298" s="12" t="str">
        <x:f>IF(NOT(A298),"输入无效",IF(K298&gt;=L298,"KV 超载",IF(O298&gt;C298+1e-9,"TPOT 不自洽",IF(OR(C298&gt;L298,P298&gt;L298-K298),"需时序仿真","估算"))))</x:f>
        <x:v>估算</x:v>
      </x:c>
      <x:c r="X298" s="12" t="n">
        <x:f>IF(W298="估算",U298*M298,"")</x:f>
        <x:v>4.6176051199999995</x:v>
      </x:c>
    </x:row>
    <x:row r="299" ht="25" customHeight="1">
      <x:c r="A299" s="2" t="b">
        <x:f>AND(AND(ISNUMBER($B$5),$B$5&gt;0),AND(ISNUMBER($F$5),$F$5&gt;0),AND(ISNUMBER($J$5),$J$5&gt;0),AND(ISNUMBER($B$9),$B$9&gt;0),AND(ISNUMBER(I32),I32&gt;0),AND(ISNUMBER(J32),J32&gt;0),AND(ISNUMBER(K32),K32&gt;0),AND(ISNUMBER(L32),L32&gt;0),AND(ISNUMBER(D149),D149&gt;0),AND(ISNUMBER(E149),E149&gt;0),MOD($B$5,1)=0,MOD($F$5,1)=0,MOD($J$5,1)=0,MOD($B$9,1)=0,MOD(K32,1)=0,ISNUMBER(C149),C149&gt;=2,MOD(C149,1)=0,OR($N$9=32,$N$9=64,$N$9=128),ISNUMBER($B$11),$B$11&gt;=0,MOD($B$11,1)=0,ISNUMBER($J$7),$J$7&gt;=0,$J$7&lt;1,AND(ISNUMBER(M32),M32&gt;=0,M32&lt;=1),AND(ISNUMBER(N32),N32&gt;=0,N32&lt;=1))</x:f>
        <x:v>1</x:v>
      </x:c>
      <x:c r="B299" s="12" t="n">
        <x:f>IF(A299,D149*1000,"")</x:f>
        <x:v>4000</x:v>
      </x:c>
      <x:c r="C299" s="12" t="n">
        <x:f>IF(A299,E149*L32,"")</x:f>
        <x:v>10</x:v>
      </x:c>
      <x:c r="D299" s="12" t="n">
        <x:f>IF(A299,M412,"")</x:f>
        <x:v>3.4403839111328125</x:v>
      </x:c>
      <x:c r="E299" s="12" t="n">
        <x:f>IF(A299,B32/C32,"")</x:f>
        <x:v>32</x:v>
      </x:c>
      <x:c r="F299" s="12" t="n">
        <x:f>IF(A299,B32/D32,"")</x:f>
        <x:v>32</x:v>
      </x:c>
      <x:c r="G299" s="12" t="n">
        <x:f>IF(A299,$F$5*E299*$B$5*60000/B299,"")</x:f>
        <x:v>7680</x:v>
      </x:c>
      <x:c r="H299" s="12" t="n">
        <x:f>IF(A299,G299/($J$5*F299),"")</x:f>
        <x:v>240</x:v>
      </x:c>
      <x:c r="I299" s="12" t="n">
        <x:f>IF(A299,$B$5*D299/C32/$B$9,"")</x:f>
        <x:v>6.880767822265625</x:v>
      </x:c>
      <x:c r="J299" s="12" t="n">
        <x:f>IF(A299,I299*$F$5/$J$5,"")</x:f>
        <x:v>6.880767822265625</x:v>
      </x:c>
      <x:c r="K299" s="12" t="n">
        <x:f>IF(A299,MAX(I299,J299)*2^30/(J32*1e6),"")</x:f>
        <x:v>1.5392017066666666</x:v>
      </x:c>
      <x:c r="L299" s="12" t="n">
        <x:f>IF(A299,B299/$B$9,"")</x:f>
        <x:v>4000</x:v>
      </x:c>
      <x:c r="M299" s="54" t="n">
        <x:f>IF(A299,K299/L299,"")</x:f>
        <x:v>0.00038480042666666665</x:v>
      </x:c>
      <x:c r="N299" s="12" t="n">
        <x:f>IF(A299,(E32*ROUNDUP(K32/D32,0)*G32*(B32-1)/B32*(ROUNDUP((ROUNDUP(F32*2/32,0)*32+32)/480,0)*512+F32*2+32)+E32*ROUNDUP(H32/B32,0)*(B32-1)*32)/1e9,"")</x:f>
        <x:v>0.50495304</x:v>
      </x:c>
      <x:c r="O299" s="12" t="n">
        <x:f>IF(A299,N299*1000/I32,"")</x:f>
        <x:v>0.10519855</x:v>
      </x:c>
      <x:c r="P299" s="12" t="n">
        <x:f>IF(A299,O299/E32,"")</x:f>
        <x:v>0.0011434625</x:v>
      </x:c>
      <x:c r="Q299" s="12" t="n">
        <x:f>IF(A299,N299*1000/C299,"")</x:f>
        <x:v>50.495304</x:v>
      </x:c>
      <x:c r="R299" s="12" t="n">
        <x:f>IF(W299="估算",IF(OR(K299=0,O299=0),0,1-((E32-1)*MAX(0,(C299-O299)/E32-(K299))+MAX(0,L299-((E32-1)*C299/E32+P299)-(K299)))/L299),"")</x:f>
        <x:v>0.002857912379248151</x:v>
      </x:c>
      <x:c r="S299" s="12" t="n">
        <x:f>IF(W299="估算",IF(O299=0,0,MAX(0,1-(1-((E32-1)*MAX(0,(C299-O299)/E32-(L299-K299))+MAX(0,L299-((E32-1)*C299/E32+P299)-(L299-K299)))/L299))),"")</x:f>
        <x:v>0</x:v>
      </x:c>
      <x:c r="T299" s="12" t="n">
        <x:f>IF(W299="估算",IF(OR(P299=0,K299=0,$J$7=0),0,IF(P299&lt;=(1-$J$7)*K299,$J$7*P299*K299/(1-$J$7)-$J$7^2*P299^2/(2*(1-$J$7)^2),$J$7*P299*K299+$J$7^2*K299^2/2)/L299),"")</x:f>
        <x:v>4.8887410896109717e-8</x:v>
      </x:c>
      <x:c r="U299" s="12" t="n">
        <x:f>IF(A299,60000/C299,"")</x:f>
        <x:v>6000</x:v>
      </x:c>
      <x:c r="V299" s="12" t="n">
        <x:f>IF(W299="估算",U299*E32*T299*M32*N32,"")</x:f>
        <x:v>0.026985850814652563</x:v>
      </x:c>
      <x:c r="W299" s="12" t="str">
        <x:f>IF(NOT(A299),"输入无效",IF(K299&gt;=L299,"KV 超载",IF(O299&gt;C299+1e-9,"TPOT 不自洽",IF(OR(C299&gt;L299,P299&gt;L299-K299),"需时序仿真","估算"))))</x:f>
        <x:v>估算</x:v>
      </x:c>
      <x:c r="X299" s="12" t="n">
        <x:f>IF(W299="估算",U299*M299,"")</x:f>
        <x:v>2.3088025599999997</x:v>
      </x:c>
    </x:row>
    <x:row r="300" ht="25" customHeight="1">
      <x:c r="A300" s="2" t="b">
        <x:f>AND(AND(ISNUMBER($B$5),$B$5&gt;0),AND(ISNUMBER($F$5),$F$5&gt;0),AND(ISNUMBER($J$5),$J$5&gt;0),AND(ISNUMBER($B$9),$B$9&gt;0),AND(ISNUMBER(I32),I32&gt;0),AND(ISNUMBER(J32),J32&gt;0),AND(ISNUMBER(K32),K32&gt;0),AND(ISNUMBER(L32),L32&gt;0),AND(ISNUMBER(D150),D150&gt;0),AND(ISNUMBER(E150),E150&gt;0),MOD($B$5,1)=0,MOD($F$5,1)=0,MOD($J$5,1)=0,MOD($B$9,1)=0,MOD(K32,1)=0,ISNUMBER(C150),C150&gt;=2,MOD(C150,1)=0,OR($N$9=32,$N$9=64,$N$9=128),ISNUMBER($B$11),$B$11&gt;=0,MOD($B$11,1)=0,ISNUMBER($J$7),$J$7&gt;=0,$J$7&lt;1,AND(ISNUMBER(M32),M32&gt;=0,M32&lt;=1),AND(ISNUMBER(N32),N32&gt;=0,N32&lt;=1))</x:f>
        <x:v>1</x:v>
      </x:c>
      <x:c r="B300" s="12" t="n">
        <x:f>IF(A300,D150*1000,"")</x:f>
        <x:v>4000</x:v>
      </x:c>
      <x:c r="C300" s="12" t="n">
        <x:f>IF(A300,E150*L32,"")</x:f>
        <x:v>20</x:v>
      </x:c>
      <x:c r="D300" s="12" t="n">
        <x:f>IF(A300,M412,"")</x:f>
        <x:v>3.4403839111328125</x:v>
      </x:c>
      <x:c r="E300" s="12" t="n">
        <x:f>IF(A300,B32/C32,"")</x:f>
        <x:v>32</x:v>
      </x:c>
      <x:c r="F300" s="12" t="n">
        <x:f>IF(A300,B32/D32,"")</x:f>
        <x:v>32</x:v>
      </x:c>
      <x:c r="G300" s="12" t="n">
        <x:f>IF(A300,$F$5*E300*$B$5*60000/B300,"")</x:f>
        <x:v>7680</x:v>
      </x:c>
      <x:c r="H300" s="12" t="n">
        <x:f>IF(A300,G300/($J$5*F300),"")</x:f>
        <x:v>240</x:v>
      </x:c>
      <x:c r="I300" s="12" t="n">
        <x:f>IF(A300,$B$5*D300/C32/$B$9,"")</x:f>
        <x:v>6.880767822265625</x:v>
      </x:c>
      <x:c r="J300" s="12" t="n">
        <x:f>IF(A300,I300*$F$5/$J$5,"")</x:f>
        <x:v>6.880767822265625</x:v>
      </x:c>
      <x:c r="K300" s="12" t="n">
        <x:f>IF(A300,MAX(I300,J300)*2^30/(J32*1e6),"")</x:f>
        <x:v>1.5392017066666666</x:v>
      </x:c>
      <x:c r="L300" s="12" t="n">
        <x:f>IF(A300,B300/$B$9,"")</x:f>
        <x:v>4000</x:v>
      </x:c>
      <x:c r="M300" s="54" t="n">
        <x:f>IF(A300,K300/L300,"")</x:f>
        <x:v>0.00038480042666666665</x:v>
      </x:c>
      <x:c r="N300" s="12" t="n">
        <x:f>IF(A300,(E32*ROUNDUP(K32/D32,0)*G32*(B32-1)/B32*(ROUNDUP((ROUNDUP(F32*2/32,0)*32+32)/480,0)*512+F32*2+32)+E32*ROUNDUP(H32/B32,0)*(B32-1)*32)/1e9,"")</x:f>
        <x:v>0.50495304</x:v>
      </x:c>
      <x:c r="O300" s="12" t="n">
        <x:f>IF(A300,N300*1000/I32,"")</x:f>
        <x:v>0.10519855</x:v>
      </x:c>
      <x:c r="P300" s="12" t="n">
        <x:f>IF(A300,O300/E32,"")</x:f>
        <x:v>0.0011434625</x:v>
      </x:c>
      <x:c r="Q300" s="12" t="n">
        <x:f>IF(A300,N300*1000/C300,"")</x:f>
        <x:v>25.247652</x:v>
      </x:c>
      <x:c r="R300" s="12" t="n">
        <x:f>IF(W300="估算",IF(OR(K300=0,O300=0),0,1-((E32-1)*MAX(0,(C300-O300)/E32-(K300))+MAX(0,L300-((E32-1)*C300/E32+P300)-(K300)))/L300),"")</x:f>
        <x:v>0.0053307384662046875</x:v>
      </x:c>
      <x:c r="S300" s="12" t="n">
        <x:f>IF(W300="估算",IF(O300=0,0,MAX(0,1-(1-((E32-1)*MAX(0,(C300-O300)/E32-(L300-K300))+MAX(0,L300-((E32-1)*C300/E32+P300)-(L300-K300)))/L300))),"")</x:f>
        <x:v>0</x:v>
      </x:c>
      <x:c r="T300" s="12" t="n">
        <x:f>IF(W300="估算",IF(OR(P300=0,K300=0,$J$7=0),0,IF(P300&lt;=(1-$J$7)*K300,$J$7*P300*K300/(1-$J$7)-$J$7^2*P300^2/(2*(1-$J$7)^2),$J$7*P300*K300+$J$7^2*K300^2/2)/L300),"")</x:f>
        <x:v>4.8887410896109717e-8</x:v>
      </x:c>
      <x:c r="U300" s="12" t="n">
        <x:f>IF(A300,60000/C300,"")</x:f>
        <x:v>3000</x:v>
      </x:c>
      <x:c r="V300" s="12" t="n">
        <x:f>IF(W300="估算",U300*E32*T300*M32*N32,"")</x:f>
        <x:v>0.013492925407326281</x:v>
      </x:c>
      <x:c r="W300" s="12" t="str">
        <x:f>IF(NOT(A300),"输入无效",IF(K300&gt;=L300,"KV 超载",IF(O300&gt;C300+1e-9,"TPOT 不自洽",IF(OR(C300&gt;L300,P300&gt;L300-K300),"需时序仿真","估算"))))</x:f>
        <x:v>估算</x:v>
      </x:c>
      <x:c r="X300" s="12" t="n">
        <x:f>IF(W300="估算",U300*M300,"")</x:f>
        <x:v>1.1544012799999999</x:v>
      </x:c>
    </x:row>
    <x:row r="301" ht="25" customHeight="1">
      <x:c r="A301" s="2" t="b">
        <x:f>AND(AND(ISNUMBER($B$5),$B$5&gt;0),AND(ISNUMBER($F$5),$F$5&gt;0),AND(ISNUMBER($J$5),$J$5&gt;0),AND(ISNUMBER($B$9),$B$9&gt;0),AND(ISNUMBER(I32),I32&gt;0),AND(ISNUMBER(J32),J32&gt;0),AND(ISNUMBER(K32),K32&gt;0),AND(ISNUMBER(L32),L32&gt;0),AND(ISNUMBER(D151),D151&gt;0),AND(ISNUMBER(E151),E151&gt;0),MOD($B$5,1)=0,MOD($F$5,1)=0,MOD($J$5,1)=0,MOD($B$9,1)=0,MOD(K32,1)=0,ISNUMBER(C151),C151&gt;=2,MOD(C151,1)=0,OR($N$9=32,$N$9=64,$N$9=128),ISNUMBER($B$11),$B$11&gt;=0,MOD($B$11,1)=0,ISNUMBER($J$7),$J$7&gt;=0,$J$7&lt;1,AND(ISNUMBER(M32),M32&gt;=0,M32&lt;=1),AND(ISNUMBER(N32),N32&gt;=0,N32&lt;=1))</x:f>
        <x:v>1</x:v>
      </x:c>
      <x:c r="B301" s="12" t="n">
        <x:f>IF(A301,D151*1000,"")</x:f>
        <x:v>4000</x:v>
      </x:c>
      <x:c r="C301" s="12" t="n">
        <x:f>IF(A301,E151*L32,"")</x:f>
        <x:v>30</x:v>
      </x:c>
      <x:c r="D301" s="12" t="n">
        <x:f>IF(A301,M412,"")</x:f>
        <x:v>3.4403839111328125</x:v>
      </x:c>
      <x:c r="E301" s="12" t="n">
        <x:f>IF(A301,B32/C32,"")</x:f>
        <x:v>32</x:v>
      </x:c>
      <x:c r="F301" s="12" t="n">
        <x:f>IF(A301,B32/D32,"")</x:f>
        <x:v>32</x:v>
      </x:c>
      <x:c r="G301" s="12" t="n">
        <x:f>IF(A301,$F$5*E301*$B$5*60000/B301,"")</x:f>
        <x:v>7680</x:v>
      </x:c>
      <x:c r="H301" s="12" t="n">
        <x:f>IF(A301,G301/($J$5*F301),"")</x:f>
        <x:v>240</x:v>
      </x:c>
      <x:c r="I301" s="12" t="n">
        <x:f>IF(A301,$B$5*D301/C32/$B$9,"")</x:f>
        <x:v>6.880767822265625</x:v>
      </x:c>
      <x:c r="J301" s="12" t="n">
        <x:f>IF(A301,I301*$F$5/$J$5,"")</x:f>
        <x:v>6.880767822265625</x:v>
      </x:c>
      <x:c r="K301" s="12" t="n">
        <x:f>IF(A301,MAX(I301,J301)*2^30/(J32*1e6),"")</x:f>
        <x:v>1.5392017066666666</x:v>
      </x:c>
      <x:c r="L301" s="12" t="n">
        <x:f>IF(A301,B301/$B$9,"")</x:f>
        <x:v>4000</x:v>
      </x:c>
      <x:c r="M301" s="54" t="n">
        <x:f>IF(A301,K301/L301,"")</x:f>
        <x:v>0.00038480042666666665</x:v>
      </x:c>
      <x:c r="N301" s="12" t="n">
        <x:f>IF(A301,(E32*ROUNDUP(K32/D32,0)*G32*(B32-1)/B32*(ROUNDUP((ROUNDUP(F32*2/32,0)*32+32)/480,0)*512+F32*2+32)+E32*ROUNDUP(H32/B32,0)*(B32-1)*32)/1e9,"")</x:f>
        <x:v>0.50495304</x:v>
      </x:c>
      <x:c r="O301" s="12" t="n">
        <x:f>IF(A301,N301*1000/I32,"")</x:f>
        <x:v>0.10519855</x:v>
      </x:c>
      <x:c r="P301" s="12" t="n">
        <x:f>IF(A301,O301/E32,"")</x:f>
        <x:v>0.0011434625</x:v>
      </x:c>
      <x:c r="Q301" s="12" t="n">
        <x:f>IF(A301,N301*1000/C301,"")</x:f>
        <x:v>16.831768</x:v>
      </x:c>
      <x:c r="R301" s="12" t="n">
        <x:f>IF(W301="估算",IF(OR(K301=0,O301=0),0,1-((E32-1)*MAX(0,(C301-O301)/E32-(K301))+MAX(0,L301-((E32-1)*C301/E32+P301)-(K301)))/L301),"")</x:f>
        <x:v>0.007803564553161224</x:v>
      </x:c>
      <x:c r="S301" s="12" t="n">
        <x:f>IF(W301="估算",IF(O301=0,0,MAX(0,1-(1-((E32-1)*MAX(0,(C301-O301)/E32-(L301-K301))+MAX(0,L301-((E32-1)*C301/E32+P301)-(L301-K301)))/L301))),"")</x:f>
        <x:v>0</x:v>
      </x:c>
      <x:c r="T301" s="12" t="n">
        <x:f>IF(W301="估算",IF(OR(P301=0,K301=0,$J$7=0),0,IF(P301&lt;=(1-$J$7)*K301,$J$7*P301*K301/(1-$J$7)-$J$7^2*P301^2/(2*(1-$J$7)^2),$J$7*P301*K301+$J$7^2*K301^2/2)/L301),"")</x:f>
        <x:v>4.8887410896109717e-8</x:v>
      </x:c>
      <x:c r="U301" s="12" t="n">
        <x:f>IF(A301,60000/C301,"")</x:f>
        <x:v>2000</x:v>
      </x:c>
      <x:c r="V301" s="12" t="n">
        <x:f>IF(W301="估算",U301*E32*T301*M32*N32,"")</x:f>
        <x:v>0.008995283604884188</x:v>
      </x:c>
      <x:c r="W301" s="12" t="str">
        <x:f>IF(NOT(A301),"输入无效",IF(K301&gt;=L301,"KV 超载",IF(O301&gt;C301+1e-9,"TPOT 不自洽",IF(OR(C301&gt;L301,P301&gt;L301-K301),"需时序仿真","估算"))))</x:f>
        <x:v>估算</x:v>
      </x:c>
      <x:c r="X301" s="12" t="n">
        <x:f>IF(W301="估算",U301*M301,"")</x:f>
        <x:v>0.7696008533333333</x:v>
      </x:c>
    </x:row>
    <x:row r="302" ht="25" customHeight="1">
      <x:c r="A302" s="2" t="b">
        <x:f>AND(AND(ISNUMBER($B$5),$B$5&gt;0),AND(ISNUMBER($F$5),$F$5&gt;0),AND(ISNUMBER($J$5),$J$5&gt;0),AND(ISNUMBER($B$9),$B$9&gt;0),AND(ISNUMBER(I32),I32&gt;0),AND(ISNUMBER(J32),J32&gt;0),AND(ISNUMBER(K32),K32&gt;0),AND(ISNUMBER(L32),L32&gt;0),AND(ISNUMBER(D152),D152&gt;0),AND(ISNUMBER(E152),E152&gt;0),MOD($B$5,1)=0,MOD($F$5,1)=0,MOD($J$5,1)=0,MOD($B$9,1)=0,MOD(K32,1)=0,ISNUMBER(C152),C152&gt;=2,MOD(C152,1)=0,OR($N$9=32,$N$9=64,$N$9=128),ISNUMBER($B$11),$B$11&gt;=0,MOD($B$11,1)=0,ISNUMBER($J$7),$J$7&gt;=0,$J$7&lt;1,AND(ISNUMBER(M32),M32&gt;=0,M32&lt;=1),AND(ISNUMBER(N32),N32&gt;=0,N32&lt;=1))</x:f>
        <x:v>1</x:v>
      </x:c>
      <x:c r="B302" s="12" t="n">
        <x:f>IF(A302,D152*1000,"")</x:f>
        <x:v>20000</x:v>
      </x:c>
      <x:c r="C302" s="12" t="n">
        <x:f>IF(A302,E152*L32,"")</x:f>
        <x:v>5</x:v>
      </x:c>
      <x:c r="D302" s="12" t="n">
        <x:f>IF(A302,M416,"")</x:f>
        <x:v>46.56538391113281</x:v>
      </x:c>
      <x:c r="E302" s="12" t="n">
        <x:f>IF(A302,B32/C32,"")</x:f>
        <x:v>32</x:v>
      </x:c>
      <x:c r="F302" s="12" t="n">
        <x:f>IF(A302,B32/D32,"")</x:f>
        <x:v>32</x:v>
      </x:c>
      <x:c r="G302" s="12" t="n">
        <x:f>IF(A302,$F$5*E302*$B$5*60000/B302,"")</x:f>
        <x:v>1536</x:v>
      </x:c>
      <x:c r="H302" s="12" t="n">
        <x:f>IF(A302,G302/($J$5*F302),"")</x:f>
        <x:v>48</x:v>
      </x:c>
      <x:c r="I302" s="12" t="n">
        <x:f>IF(A302,$B$5*D302/C32/$B$9,"")</x:f>
        <x:v>93.13076782226562</x:v>
      </x:c>
      <x:c r="J302" s="12" t="n">
        <x:f>IF(A302,I302*$F$5/$J$5,"")</x:f>
        <x:v>93.13076782226562</x:v>
      </x:c>
      <x:c r="K302" s="12" t="n">
        <x:f>IF(A302,MAX(I302,J302)*2^30/(J32*1e6),"")</x:f>
        <x:v>20.833000106666667</x:v>
      </x:c>
      <x:c r="L302" s="12" t="n">
        <x:f>IF(A302,B302/$B$9,"")</x:f>
        <x:v>20000</x:v>
      </x:c>
      <x:c r="M302" s="54" t="n">
        <x:f>IF(A302,K302/L302,"")</x:f>
        <x:v>0.0010416500053333333</x:v>
      </x:c>
      <x:c r="N302" s="12" t="n">
        <x:f>IF(A302,(E32*ROUNDUP(K32/D32,0)*G32*(B32-1)/B32*(ROUNDUP((ROUNDUP(F32*2/32,0)*32+32)/480,0)*512+F32*2+32)+E32*ROUNDUP(H32/B32,0)*(B32-1)*32)/1e9,"")</x:f>
        <x:v>0.50495304</x:v>
      </x:c>
      <x:c r="O302" s="12" t="n">
        <x:f>IF(A302,N302*1000/I32,"")</x:f>
        <x:v>0.10519855</x:v>
      </x:c>
      <x:c r="P302" s="12" t="n">
        <x:f>IF(A302,O302/E32,"")</x:f>
        <x:v>0.0011434625</x:v>
      </x:c>
      <x:c r="Q302" s="12" t="n">
        <x:f>IF(A302,N302*1000/C302,"")</x:f>
        <x:v>100.990608</x:v>
      </x:c>
      <x:c r="R302" s="12" t="n">
        <x:f>IF(W302="估算",IF(OR(K302=0,O302=0),0,1-((E32-1)*MAX(0,(C302-O302)/E32-(K302))+MAX(0,L302-((E32-1)*C302/E32+P302)-(K302)))/L302),"")</x:f>
        <x:v>0.0012889897871540823</x:v>
      </x:c>
      <x:c r="S302" s="12" t="n">
        <x:f>IF(W302="估算",IF(O302=0,0,MAX(0,1-(1-((E32-1)*MAX(0,(C302-O302)/E32-(L302-K302))+MAX(0,L302-((E32-1)*C302/E32+P302)-(L302-K302)))/L302))),"")</x:f>
        <x:v>0.0007943102235127286</x:v>
      </x:c>
      <x:c r="T302" s="12" t="n">
        <x:f>IF(W302="估算",IF(OR(P302=0,K302=0,$J$7=0),0,IF(P302&lt;=(1-$J$7)*K302,$J$7*P302*K302/(1-$J$7)-$J$7^2*P302^2/(2*(1-$J$7)^2),$J$7*P302*K302+$J$7^2*K302^2/2)/L302),"")</x:f>
        <x:v>1.3234267636233306e-7</x:v>
      </x:c>
      <x:c r="U302" s="12" t="n">
        <x:f>IF(A302,60000/C302,"")</x:f>
        <x:v>12000</x:v>
      </x:c>
      <x:c r="V302" s="12" t="n">
        <x:f>IF(W302="估算",U302*E32*T302*M32*N32,"")</x:f>
        <x:v>0.1461063147040157</x:v>
      </x:c>
      <x:c r="W302" s="12" t="str">
        <x:f>IF(NOT(A302),"输入无效",IF(K302&gt;=L302,"KV 超载",IF(O302&gt;C302+1e-9,"TPOT 不自洽",IF(OR(C302&gt;L302,P302&gt;L302-K302),"需时序仿真","估算"))))</x:f>
        <x:v>估算</x:v>
      </x:c>
      <x:c r="X302" s="12" t="n">
        <x:f>IF(W302="估算",U302*M302,"")</x:f>
        <x:v>12.499800063999999</x:v>
      </x:c>
    </x:row>
    <x:row r="303" ht="25" customHeight="1">
      <x:c r="A303" s="2" t="b">
        <x:f>AND(AND(ISNUMBER($B$5),$B$5&gt;0),AND(ISNUMBER($F$5),$F$5&gt;0),AND(ISNUMBER($J$5),$J$5&gt;0),AND(ISNUMBER($B$9),$B$9&gt;0),AND(ISNUMBER(I32),I32&gt;0),AND(ISNUMBER(J32),J32&gt;0),AND(ISNUMBER(K32),K32&gt;0),AND(ISNUMBER(L32),L32&gt;0),AND(ISNUMBER(D153),D153&gt;0),AND(ISNUMBER(E153),E153&gt;0),MOD($B$5,1)=0,MOD($F$5,1)=0,MOD($J$5,1)=0,MOD($B$9,1)=0,MOD(K32,1)=0,ISNUMBER(C153),C153&gt;=2,MOD(C153,1)=0,OR($N$9=32,$N$9=64,$N$9=128),ISNUMBER($B$11),$B$11&gt;=0,MOD($B$11,1)=0,ISNUMBER($J$7),$J$7&gt;=0,$J$7&lt;1,AND(ISNUMBER(M32),M32&gt;=0,M32&lt;=1),AND(ISNUMBER(N32),N32&gt;=0,N32&lt;=1))</x:f>
        <x:v>1</x:v>
      </x:c>
      <x:c r="B303" s="12" t="n">
        <x:f>IF(A303,D153*1000,"")</x:f>
        <x:v>20000</x:v>
      </x:c>
      <x:c r="C303" s="12" t="n">
        <x:f>IF(A303,E153*L32,"")</x:f>
        <x:v>10</x:v>
      </x:c>
      <x:c r="D303" s="12" t="n">
        <x:f>IF(A303,M416,"")</x:f>
        <x:v>46.56538391113281</x:v>
      </x:c>
      <x:c r="E303" s="12" t="n">
        <x:f>IF(A303,B32/C32,"")</x:f>
        <x:v>32</x:v>
      </x:c>
      <x:c r="F303" s="12" t="n">
        <x:f>IF(A303,B32/D32,"")</x:f>
        <x:v>32</x:v>
      </x:c>
      <x:c r="G303" s="12" t="n">
        <x:f>IF(A303,$F$5*E303*$B$5*60000/B303,"")</x:f>
        <x:v>1536</x:v>
      </x:c>
      <x:c r="H303" s="12" t="n">
        <x:f>IF(A303,G303/($J$5*F303),"")</x:f>
        <x:v>48</x:v>
      </x:c>
      <x:c r="I303" s="12" t="n">
        <x:f>IF(A303,$B$5*D303/C32/$B$9,"")</x:f>
        <x:v>93.13076782226562</x:v>
      </x:c>
      <x:c r="J303" s="12" t="n">
        <x:f>IF(A303,I303*$F$5/$J$5,"")</x:f>
        <x:v>93.13076782226562</x:v>
      </x:c>
      <x:c r="K303" s="12" t="n">
        <x:f>IF(A303,MAX(I303,J303)*2^30/(J32*1e6),"")</x:f>
        <x:v>20.833000106666667</x:v>
      </x:c>
      <x:c r="L303" s="12" t="n">
        <x:f>IF(A303,B303/$B$9,"")</x:f>
        <x:v>20000</x:v>
      </x:c>
      <x:c r="M303" s="54" t="n">
        <x:f>IF(A303,K303/L303,"")</x:f>
        <x:v>0.0010416500053333333</x:v>
      </x:c>
      <x:c r="N303" s="12" t="n">
        <x:f>IF(A303,(E32*ROUNDUP(K32/D32,0)*G32*(B32-1)/B32*(ROUNDUP((ROUNDUP(F32*2/32,0)*32+32)/480,0)*512+F32*2+32)+E32*ROUNDUP(H32/B32,0)*(B32-1)*32)/1e9,"")</x:f>
        <x:v>0.50495304</x:v>
      </x:c>
      <x:c r="O303" s="12" t="n">
        <x:f>IF(A303,N303*1000/I32,"")</x:f>
        <x:v>0.10519855</x:v>
      </x:c>
      <x:c r="P303" s="12" t="n">
        <x:f>IF(A303,O303/E32,"")</x:f>
        <x:v>0.0011434625</x:v>
      </x:c>
      <x:c r="Q303" s="12" t="n">
        <x:f>IF(A303,N303*1000/C303,"")</x:f>
        <x:v>50.495304</x:v>
      </x:c>
      <x:c r="R303" s="12" t="n">
        <x:f>IF(W303="估算",IF(OR(K303=0,O303=0),0,1-((E32-1)*MAX(0,(C303-O303)/E32-(K303))+MAX(0,L303-((E32-1)*C303/E32+P303)-(K303)))/L303),"")</x:f>
        <x:v>0.001536272395849636</x:v>
      </x:c>
      <x:c r="S303" s="12" t="n">
        <x:f>IF(W303="估算",IF(O303=0,0,MAX(0,1-(1-((E32-1)*MAX(0,(C303-O303)/E32-(L303-K303))+MAX(0,L303-((E32-1)*C303/E32+P303)-(L303-K303)))/L303))),"")</x:f>
        <x:v>0.0005470276148171749</x:v>
      </x:c>
      <x:c r="T303" s="12" t="n">
        <x:f>IF(W303="估算",IF(OR(P303=0,K303=0,$J$7=0),0,IF(P303&lt;=(1-$J$7)*K303,$J$7*P303*K303/(1-$J$7)-$J$7^2*P303^2/(2*(1-$J$7)^2),$J$7*P303*K303+$J$7^2*K303^2/2)/L303),"")</x:f>
        <x:v>1.3234267636233306e-7</x:v>
      </x:c>
      <x:c r="U303" s="12" t="n">
        <x:f>IF(A303,60000/C303,"")</x:f>
        <x:v>6000</x:v>
      </x:c>
      <x:c r="V303" s="12" t="n">
        <x:f>IF(W303="估算",U303*E32*T303*M32*N32,"")</x:f>
        <x:v>0.07305315735200785</x:v>
      </x:c>
      <x:c r="W303" s="12" t="str">
        <x:f>IF(NOT(A303),"输入无效",IF(K303&gt;=L303,"KV 超载",IF(O303&gt;C303+1e-9,"TPOT 不自洽",IF(OR(C303&gt;L303,P303&gt;L303-K303),"需时序仿真","估算"))))</x:f>
        <x:v>估算</x:v>
      </x:c>
      <x:c r="X303" s="12" t="n">
        <x:f>IF(W303="估算",U303*M303,"")</x:f>
        <x:v>6.249900031999999</x:v>
      </x:c>
    </x:row>
    <x:row r="304" ht="25" customHeight="1">
      <x:c r="A304" s="2" t="b">
        <x:f>AND(AND(ISNUMBER($B$5),$B$5&gt;0),AND(ISNUMBER($F$5),$F$5&gt;0),AND(ISNUMBER($J$5),$J$5&gt;0),AND(ISNUMBER($B$9),$B$9&gt;0),AND(ISNUMBER(I32),I32&gt;0),AND(ISNUMBER(J32),J32&gt;0),AND(ISNUMBER(K32),K32&gt;0),AND(ISNUMBER(L32),L32&gt;0),AND(ISNUMBER(D154),D154&gt;0),AND(ISNUMBER(E154),E154&gt;0),MOD($B$5,1)=0,MOD($F$5,1)=0,MOD($J$5,1)=0,MOD($B$9,1)=0,MOD(K32,1)=0,ISNUMBER(C154),C154&gt;=2,MOD(C154,1)=0,OR($N$9=32,$N$9=64,$N$9=128),ISNUMBER($B$11),$B$11&gt;=0,MOD($B$11,1)=0,ISNUMBER($J$7),$J$7&gt;=0,$J$7&lt;1,AND(ISNUMBER(M32),M32&gt;=0,M32&lt;=1),AND(ISNUMBER(N32),N32&gt;=0,N32&lt;=1))</x:f>
        <x:v>1</x:v>
      </x:c>
      <x:c r="B304" s="12" t="n">
        <x:f>IF(A304,D154*1000,"")</x:f>
        <x:v>20000</x:v>
      </x:c>
      <x:c r="C304" s="12" t="n">
        <x:f>IF(A304,E154*L32,"")</x:f>
        <x:v>20</x:v>
      </x:c>
      <x:c r="D304" s="12" t="n">
        <x:f>IF(A304,M416,"")</x:f>
        <x:v>46.56538391113281</x:v>
      </x:c>
      <x:c r="E304" s="12" t="n">
        <x:f>IF(A304,B32/C32,"")</x:f>
        <x:v>32</x:v>
      </x:c>
      <x:c r="F304" s="12" t="n">
        <x:f>IF(A304,B32/D32,"")</x:f>
        <x:v>32</x:v>
      </x:c>
      <x:c r="G304" s="12" t="n">
        <x:f>IF(A304,$F$5*E304*$B$5*60000/B304,"")</x:f>
        <x:v>1536</x:v>
      </x:c>
      <x:c r="H304" s="12" t="n">
        <x:f>IF(A304,G304/($J$5*F304),"")</x:f>
        <x:v>48</x:v>
      </x:c>
      <x:c r="I304" s="12" t="n">
        <x:f>IF(A304,$B$5*D304/C32/$B$9,"")</x:f>
        <x:v>93.13076782226562</x:v>
      </x:c>
      <x:c r="J304" s="12" t="n">
        <x:f>IF(A304,I304*$F$5/$J$5,"")</x:f>
        <x:v>93.13076782226562</x:v>
      </x:c>
      <x:c r="K304" s="12" t="n">
        <x:f>IF(A304,MAX(I304,J304)*2^30/(J32*1e6),"")</x:f>
        <x:v>20.833000106666667</x:v>
      </x:c>
      <x:c r="L304" s="12" t="n">
        <x:f>IF(A304,B304/$B$9,"")</x:f>
        <x:v>20000</x:v>
      </x:c>
      <x:c r="M304" s="54" t="n">
        <x:f>IF(A304,K304/L304,"")</x:f>
        <x:v>0.0010416500053333333</x:v>
      </x:c>
      <x:c r="N304" s="12" t="n">
        <x:f>IF(A304,(E32*ROUNDUP(K32/D32,0)*G32*(B32-1)/B32*(ROUNDUP((ROUNDUP(F32*2/32,0)*32+32)/480,0)*512+F32*2+32)+E32*ROUNDUP(H32/B32,0)*(B32-1)*32)/1e9,"")</x:f>
        <x:v>0.50495304</x:v>
      </x:c>
      <x:c r="O304" s="12" t="n">
        <x:f>IF(A304,N304*1000/I32,"")</x:f>
        <x:v>0.10519855</x:v>
      </x:c>
      <x:c r="P304" s="12" t="n">
        <x:f>IF(A304,O304/E32,"")</x:f>
        <x:v>0.0011434625</x:v>
      </x:c>
      <x:c r="Q304" s="12" t="n">
        <x:f>IF(A304,N304*1000/C304,"")</x:f>
        <x:v>25.247652</x:v>
      </x:c>
      <x:c r="R304" s="12" t="n">
        <x:f>IF(W304="估算",IF(OR(K304=0,O304=0),0,1-((E32-1)*MAX(0,(C304-O304)/E32-(K304))+MAX(0,L304-((E32-1)*C304/E32+P304)-(K304)))/L304),"")</x:f>
        <x:v>0.0020308376132410766</x:v>
      </x:c>
      <x:c r="S304" s="12" t="n">
        <x:f>IF(W304="估算",IF(O304=0,0,MAX(0,1-(1-((E32-1)*MAX(0,(C304-O304)/E32-(L304-K304))+MAX(0,L304-((E32-1)*C304/E32+P304)-(L304-K304)))/L304))),"")</x:f>
        <x:v>0.00005246239742573433</x:v>
      </x:c>
      <x:c r="T304" s="12" t="n">
        <x:f>IF(W304="估算",IF(OR(P304=0,K304=0,$J$7=0),0,IF(P304&lt;=(1-$J$7)*K304,$J$7*P304*K304/(1-$J$7)-$J$7^2*P304^2/(2*(1-$J$7)^2),$J$7*P304*K304+$J$7^2*K304^2/2)/L304),"")</x:f>
        <x:v>1.3234267636233306e-7</x:v>
      </x:c>
      <x:c r="U304" s="12" t="n">
        <x:f>IF(A304,60000/C304,"")</x:f>
        <x:v>3000</x:v>
      </x:c>
      <x:c r="V304" s="12" t="n">
        <x:f>IF(W304="估算",U304*E32*T304*M32*N32,"")</x:f>
        <x:v>0.036526578676003923</x:v>
      </x:c>
      <x:c r="W304" s="12" t="str">
        <x:f>IF(NOT(A304),"输入无效",IF(K304&gt;=L304,"KV 超载",IF(O304&gt;C304+1e-9,"TPOT 不自洽",IF(OR(C304&gt;L304,P304&gt;L304-K304),"需时序仿真","估算"))))</x:f>
        <x:v>估算</x:v>
      </x:c>
      <x:c r="X304" s="12" t="n">
        <x:f>IF(W304="估算",U304*M304,"")</x:f>
        <x:v>3.1249500159999997</x:v>
      </x:c>
    </x:row>
    <x:row r="305" ht="25" customHeight="1">
      <x:c r="A305" s="2" t="b">
        <x:f>AND(AND(ISNUMBER($B$5),$B$5&gt;0),AND(ISNUMBER($F$5),$F$5&gt;0),AND(ISNUMBER($J$5),$J$5&gt;0),AND(ISNUMBER($B$9),$B$9&gt;0),AND(ISNUMBER(I32),I32&gt;0),AND(ISNUMBER(J32),J32&gt;0),AND(ISNUMBER(K32),K32&gt;0),AND(ISNUMBER(L32),L32&gt;0),AND(ISNUMBER(D155),D155&gt;0),AND(ISNUMBER(E155),E155&gt;0),MOD($B$5,1)=0,MOD($F$5,1)=0,MOD($J$5,1)=0,MOD($B$9,1)=0,MOD(K32,1)=0,ISNUMBER(C155),C155&gt;=2,MOD(C155,1)=0,OR($N$9=32,$N$9=64,$N$9=128),ISNUMBER($B$11),$B$11&gt;=0,MOD($B$11,1)=0,ISNUMBER($J$7),$J$7&gt;=0,$J$7&lt;1,AND(ISNUMBER(M32),M32&gt;=0,M32&lt;=1),AND(ISNUMBER(N32),N32&gt;=0,N32&lt;=1))</x:f>
        <x:v>1</x:v>
      </x:c>
      <x:c r="B305" s="12" t="n">
        <x:f>IF(A305,D155*1000,"")</x:f>
        <x:v>20000</x:v>
      </x:c>
      <x:c r="C305" s="12" t="n">
        <x:f>IF(A305,E155*L32,"")</x:f>
        <x:v>30</x:v>
      </x:c>
      <x:c r="D305" s="12" t="n">
        <x:f>IF(A305,M416,"")</x:f>
        <x:v>46.56538391113281</x:v>
      </x:c>
      <x:c r="E305" s="12" t="n">
        <x:f>IF(A305,B32/C32,"")</x:f>
        <x:v>32</x:v>
      </x:c>
      <x:c r="F305" s="12" t="n">
        <x:f>IF(A305,B32/D32,"")</x:f>
        <x:v>32</x:v>
      </x:c>
      <x:c r="G305" s="12" t="n">
        <x:f>IF(A305,$F$5*E305*$B$5*60000/B305,"")</x:f>
        <x:v>1536</x:v>
      </x:c>
      <x:c r="H305" s="12" t="n">
        <x:f>IF(A305,G305/($J$5*F305),"")</x:f>
        <x:v>48</x:v>
      </x:c>
      <x:c r="I305" s="12" t="n">
        <x:f>IF(A305,$B$5*D305/C32/$B$9,"")</x:f>
        <x:v>93.13076782226562</x:v>
      </x:c>
      <x:c r="J305" s="12" t="n">
        <x:f>IF(A305,I305*$F$5/$J$5,"")</x:f>
        <x:v>93.13076782226562</x:v>
      </x:c>
      <x:c r="K305" s="12" t="n">
        <x:f>IF(A305,MAX(I305,J305)*2^30/(J32*1e6),"")</x:f>
        <x:v>20.833000106666667</x:v>
      </x:c>
      <x:c r="L305" s="12" t="n">
        <x:f>IF(A305,B305/$B$9,"")</x:f>
        <x:v>20000</x:v>
      </x:c>
      <x:c r="M305" s="54" t="n">
        <x:f>IF(A305,K305/L305,"")</x:f>
        <x:v>0.0010416500053333333</x:v>
      </x:c>
      <x:c r="N305" s="12" t="n">
        <x:f>IF(A305,(E32*ROUNDUP(K32/D32,0)*G32*(B32-1)/B32*(ROUNDUP((ROUNDUP(F32*2/32,0)*32+32)/480,0)*512+F32*2+32)+E32*ROUNDUP(H32/B32,0)*(B32-1)*32)/1e9,"")</x:f>
        <x:v>0.50495304</x:v>
      </x:c>
      <x:c r="O305" s="12" t="n">
        <x:f>IF(A305,N305*1000/I32,"")</x:f>
        <x:v>0.10519855</x:v>
      </x:c>
      <x:c r="P305" s="12" t="n">
        <x:f>IF(A305,O305/E32,"")</x:f>
        <x:v>0.0011434625</x:v>
      </x:c>
      <x:c r="Q305" s="12" t="n">
        <x:f>IF(A305,N305*1000/C305,"")</x:f>
        <x:v>16.831768</x:v>
      </x:c>
      <x:c r="R305" s="12" t="n">
        <x:f>IF(W305="估算",IF(OR(K305=0,O305=0),0,1-((E32-1)*MAX(0,(C305-O305)/E32-(K305))+MAX(0,L305-((E32-1)*C305/E32+P305)-(K305)))/L305),"")</x:f>
        <x:v>0.002525402830632295</x:v>
      </x:c>
      <x:c r="S305" s="12" t="n">
        <x:f>IF(W305="估算",IF(O305=0,0,MAX(0,1-(1-((E32-1)*MAX(0,(C305-O305)/E32-(L305-K305))+MAX(0,L305-((E32-1)*C305/E32+P305)-(L305-K305)))/L305))),"")</x:f>
        <x:v>0</x:v>
      </x:c>
      <x:c r="T305" s="12" t="n">
        <x:f>IF(W305="估算",IF(OR(P305=0,K305=0,$J$7=0),0,IF(P305&lt;=(1-$J$7)*K305,$J$7*P305*K305/(1-$J$7)-$J$7^2*P305^2/(2*(1-$J$7)^2),$J$7*P305*K305+$J$7^2*K305^2/2)/L305),"")</x:f>
        <x:v>1.3234267636233306e-7</x:v>
      </x:c>
      <x:c r="U305" s="12" t="n">
        <x:f>IF(A305,60000/C305,"")</x:f>
        <x:v>2000</x:v>
      </x:c>
      <x:c r="V305" s="12" t="n">
        <x:f>IF(W305="估算",U305*E32*T305*M32*N32,"")</x:f>
        <x:v>0.02435105245066928</x:v>
      </x:c>
      <x:c r="W305" s="12" t="str">
        <x:f>IF(NOT(A305),"输入无效",IF(K305&gt;=L305,"KV 超载",IF(O305&gt;C305+1e-9,"TPOT 不自洽",IF(OR(C305&gt;L305,P305&gt;L305-K305),"需时序仿真","估算"))))</x:f>
        <x:v>估算</x:v>
      </x:c>
      <x:c r="X305" s="12" t="n">
        <x:f>IF(W305="估算",U305*M305,"")</x:f>
        <x:v>2.0833000106666666</x:v>
      </x:c>
    </x:row>
    <x:row r="306" ht="25" customHeight="1">
      <x:c r="A306" s="2" t="b">
        <x:f>AND(AND(ISNUMBER($B$5),$B$5&gt;0),AND(ISNUMBER($F$5),$F$5&gt;0),AND(ISNUMBER($J$5),$J$5&gt;0),AND(ISNUMBER($B$9),$B$9&gt;0),AND(ISNUMBER(I32),I32&gt;0),AND(ISNUMBER(J32),J32&gt;0),AND(ISNUMBER(K32),K32&gt;0),AND(ISNUMBER(L32),L32&gt;0),AND(ISNUMBER(D156),D156&gt;0),AND(ISNUMBER(E156),E156&gt;0),MOD($B$5,1)=0,MOD($F$5,1)=0,MOD($J$5,1)=0,MOD($B$9,1)=0,MOD(K32,1)=0,ISNUMBER(C156),C156&gt;=2,MOD(C156,1)=0,OR($N$9=32,$N$9=64,$N$9=128),ISNUMBER($B$11),$B$11&gt;=0,MOD($B$11,1)=0,ISNUMBER($J$7),$J$7&gt;=0,$J$7&lt;1,AND(ISNUMBER(M32),M32&gt;=0,M32&lt;=1),AND(ISNUMBER(N32),N32&gt;=0,N32&lt;=1))</x:f>
        <x:v>1</x:v>
      </x:c>
      <x:c r="B306" s="12" t="n">
        <x:f>IF(A306,D156*1000,"")</x:f>
        <x:v>60000</x:v>
      </x:c>
      <x:c r="C306" s="12" t="n">
        <x:f>IF(A306,E156*L32,"")</x:f>
        <x:v>5</x:v>
      </x:c>
      <x:c r="D306" s="12" t="n">
        <x:f>IF(A306,M420,"")</x:f>
        <x:v>184.5653839111328</x:v>
      </x:c>
      <x:c r="E306" s="12" t="n">
        <x:f>IF(A306,B32/C32,"")</x:f>
        <x:v>32</x:v>
      </x:c>
      <x:c r="F306" s="12" t="n">
        <x:f>IF(A306,B32/D32,"")</x:f>
        <x:v>32</x:v>
      </x:c>
      <x:c r="G306" s="12" t="n">
        <x:f>IF(A306,$F$5*E306*$B$5*60000/B306,"")</x:f>
        <x:v>512</x:v>
      </x:c>
      <x:c r="H306" s="12" t="n">
        <x:f>IF(A306,G306/($J$5*F306),"")</x:f>
        <x:v>16</x:v>
      </x:c>
      <x:c r="I306" s="12" t="n">
        <x:f>IF(A306,$B$5*D306/C32/$B$9,"")</x:f>
        <x:v>369.1307678222656</x:v>
      </x:c>
      <x:c r="J306" s="12" t="n">
        <x:f>IF(A306,I306*$F$5/$J$5,"")</x:f>
        <x:v>369.1307678222656</x:v>
      </x:c>
      <x:c r="K306" s="12" t="n">
        <x:f>IF(A306,MAX(I306,J306)*2^30/(J32*1e6),"")</x:f>
        <x:v>82.57315498666667</x:v>
      </x:c>
      <x:c r="L306" s="12" t="n">
        <x:f>IF(A306,B306/$B$9,"")</x:f>
        <x:v>60000</x:v>
      </x:c>
      <x:c r="M306" s="54" t="n">
        <x:f>IF(A306,K306/L306,"")</x:f>
        <x:v>0.0013762192497777778</x:v>
      </x:c>
      <x:c r="N306" s="12" t="n">
        <x:f>IF(A306,(E32*ROUNDUP(K32/D32,0)*G32*(B32-1)/B32*(ROUNDUP((ROUNDUP(F32*2/32,0)*32+32)/480,0)*512+F32*2+32)+E32*ROUNDUP(H32/B32,0)*(B32-1)*32)/1e9,"")</x:f>
        <x:v>0.50495304</x:v>
      </x:c>
      <x:c r="O306" s="12" t="n">
        <x:f>IF(A306,N306*1000/I32,"")</x:f>
        <x:v>0.10519855</x:v>
      </x:c>
      <x:c r="P306" s="12" t="n">
        <x:f>IF(A306,O306/E32,"")</x:f>
        <x:v>0.0011434625</x:v>
      </x:c>
      <x:c r="Q306" s="12" t="n">
        <x:f>IF(A306,N306*1000/C306,"")</x:f>
        <x:v>100.990608</x:v>
      </x:c>
      <x:c r="R306" s="12" t="n">
        <x:f>IF(W306="估算",IF(OR(K306=0,O306=0),0,1-((E32-1)*MAX(0,(C306-O306)/E32-(K306))+MAX(0,L306-((E32-1)*C306/E32+P306)-(K306)))/L306),"")</x:f>
        <x:v>0.00145866584371801</x:v>
      </x:c>
      <x:c r="S306" s="12" t="n">
        <x:f>IF(W306="估算",IF(O306=0,0,MAX(0,1-(1-((E32-1)*MAX(0,(C306-O306)/E32-(L306-K306))+MAX(0,L306-((E32-1)*C306/E32+P306)-(L306-K306)))/L306))),"")</x:f>
        <x:v>0.0012937726558376328</x:v>
      </x:c>
      <x:c r="T306" s="12" t="n">
        <x:f>IF(W306="估算",IF(OR(P306=0,K306=0,$J$7=0),0,IF(P306&lt;=(1-$J$7)*K306,$J$7*P306*K306/(1-$J$7)-$J$7^2*P306^2/(2*(1-$J$7)^2),$J$7*P306*K306+$J$7^2*K306^2/2)/L306),"")</x:f>
        <x:v>1.7485043258276292e-7</x:v>
      </x:c>
      <x:c r="U306" s="12" t="n">
        <x:f>IF(A306,60000/C306,"")</x:f>
        <x:v>12000</x:v>
      </x:c>
      <x:c r="V306" s="12" t="n">
        <x:f>IF(W306="估算",U306*E32*T306*M32*N32,"")</x:f>
        <x:v>0.19303487757137025</x:v>
      </x:c>
      <x:c r="W306" s="12" t="str">
        <x:f>IF(NOT(A306),"输入无效",IF(K306&gt;=L306,"KV 超载",IF(O306&gt;C306+1e-9,"TPOT 不自洽",IF(OR(C306&gt;L306,P306&gt;L306-K306),"需时序仿真","估算"))))</x:f>
        <x:v>估算</x:v>
      </x:c>
      <x:c r="X306" s="12" t="n">
        <x:f>IF(W306="估算",U306*M306,"")</x:f>
        <x:v>16.514630997333335</x:v>
      </x:c>
    </x:row>
    <x:row r="307" ht="25" customHeight="1">
      <x:c r="A307" s="2" t="b">
        <x:f>AND(AND(ISNUMBER($B$5),$B$5&gt;0),AND(ISNUMBER($F$5),$F$5&gt;0),AND(ISNUMBER($J$5),$J$5&gt;0),AND(ISNUMBER($B$9),$B$9&gt;0),AND(ISNUMBER(I32),I32&gt;0),AND(ISNUMBER(J32),J32&gt;0),AND(ISNUMBER(K32),K32&gt;0),AND(ISNUMBER(L32),L32&gt;0),AND(ISNUMBER(D157),D157&gt;0),AND(ISNUMBER(E157),E157&gt;0),MOD($B$5,1)=0,MOD($F$5,1)=0,MOD($J$5,1)=0,MOD($B$9,1)=0,MOD(K32,1)=0,ISNUMBER(C157),C157&gt;=2,MOD(C157,1)=0,OR($N$9=32,$N$9=64,$N$9=128),ISNUMBER($B$11),$B$11&gt;=0,MOD($B$11,1)=0,ISNUMBER($J$7),$J$7&gt;=0,$J$7&lt;1,AND(ISNUMBER(M32),M32&gt;=0,M32&lt;=1),AND(ISNUMBER(N32),N32&gt;=0,N32&lt;=1))</x:f>
        <x:v>1</x:v>
      </x:c>
      <x:c r="B307" s="12" t="n">
        <x:f>IF(A307,D157*1000,"")</x:f>
        <x:v>60000</x:v>
      </x:c>
      <x:c r="C307" s="12" t="n">
        <x:f>IF(A307,E157*L32,"")</x:f>
        <x:v>10</x:v>
      </x:c>
      <x:c r="D307" s="12" t="n">
        <x:f>IF(A307,M420,"")</x:f>
        <x:v>184.5653839111328</x:v>
      </x:c>
      <x:c r="E307" s="12" t="n">
        <x:f>IF(A307,B32/C32,"")</x:f>
        <x:v>32</x:v>
      </x:c>
      <x:c r="F307" s="12" t="n">
        <x:f>IF(A307,B32/D32,"")</x:f>
        <x:v>32</x:v>
      </x:c>
      <x:c r="G307" s="12" t="n">
        <x:f>IF(A307,$F$5*E307*$B$5*60000/B307,"")</x:f>
        <x:v>512</x:v>
      </x:c>
      <x:c r="H307" s="12" t="n">
        <x:f>IF(A307,G307/($J$5*F307),"")</x:f>
        <x:v>16</x:v>
      </x:c>
      <x:c r="I307" s="12" t="n">
        <x:f>IF(A307,$B$5*D307/C32/$B$9,"")</x:f>
        <x:v>369.1307678222656</x:v>
      </x:c>
      <x:c r="J307" s="12" t="n">
        <x:f>IF(A307,I307*$F$5/$J$5,"")</x:f>
        <x:v>369.1307678222656</x:v>
      </x:c>
      <x:c r="K307" s="12" t="n">
        <x:f>IF(A307,MAX(I307,J307)*2^30/(J32*1e6),"")</x:f>
        <x:v>82.57315498666667</x:v>
      </x:c>
      <x:c r="L307" s="12" t="n">
        <x:f>IF(A307,B307/$B$9,"")</x:f>
        <x:v>60000</x:v>
      </x:c>
      <x:c r="M307" s="54" t="n">
        <x:f>IF(A307,K307/L307,"")</x:f>
        <x:v>0.0013762192497777778</x:v>
      </x:c>
      <x:c r="N307" s="12" t="n">
        <x:f>IF(A307,(E32*ROUNDUP(K32/D32,0)*G32*(B32-1)/B32*(ROUNDUP((ROUNDUP(F32*2/32,0)*32+32)/480,0)*512+F32*2+32)+E32*ROUNDUP(H32/B32,0)*(B32-1)*32)/1e9,"")</x:f>
        <x:v>0.50495304</x:v>
      </x:c>
      <x:c r="O307" s="12" t="n">
        <x:f>IF(A307,N307*1000/I32,"")</x:f>
        <x:v>0.10519855</x:v>
      </x:c>
      <x:c r="P307" s="12" t="n">
        <x:f>IF(A307,O307/E32,"")</x:f>
        <x:v>0.0011434625</x:v>
      </x:c>
      <x:c r="Q307" s="12" t="n">
        <x:f>IF(A307,N307*1000/C307,"")</x:f>
        <x:v>50.495304</x:v>
      </x:c>
      <x:c r="R307" s="12" t="n">
        <x:f>IF(W307="估算",IF(OR(K307=0,O307=0),0,1-((E32-1)*MAX(0,(C307-O307)/E32-(K307))+MAX(0,L307-((E32-1)*C307/E32+P307)-(K307)))/L307),"")</x:f>
        <x:v>0.0015410933799500093</x:v>
      </x:c>
      <x:c r="S307" s="12" t="n">
        <x:f>IF(W307="估算",IF(O307=0,0,MAX(0,1-(1-((E32-1)*MAX(0,(C307-O307)/E32-(L307-K307))+MAX(0,L307-((E32-1)*C307/E32+P307)-(L307-K307)))/L307))),"")</x:f>
        <x:v>0.0012113451196056335</x:v>
      </x:c>
      <x:c r="T307" s="12" t="n">
        <x:f>IF(W307="估算",IF(OR(P307=0,K307=0,$J$7=0),0,IF(P307&lt;=(1-$J$7)*K307,$J$7*P307*K307/(1-$J$7)-$J$7^2*P307^2/(2*(1-$J$7)^2),$J$7*P307*K307+$J$7^2*K307^2/2)/L307),"")</x:f>
        <x:v>1.7485043258276292e-7</x:v>
      </x:c>
      <x:c r="U307" s="12" t="n">
        <x:f>IF(A307,60000/C307,"")</x:f>
        <x:v>6000</x:v>
      </x:c>
      <x:c r="V307" s="12" t="n">
        <x:f>IF(W307="估算",U307*E32*T307*M32*N32,"")</x:f>
        <x:v>0.09651743878568513</x:v>
      </x:c>
      <x:c r="W307" s="12" t="str">
        <x:f>IF(NOT(A307),"输入无效",IF(K307&gt;=L307,"KV 超载",IF(O307&gt;C307+1e-9,"TPOT 不自洽",IF(OR(C307&gt;L307,P307&gt;L307-K307),"需时序仿真","估算"))))</x:f>
        <x:v>估算</x:v>
      </x:c>
      <x:c r="X307" s="12" t="n">
        <x:f>IF(W307="估算",U307*M307,"")</x:f>
        <x:v>8.257315498666667</x:v>
      </x:c>
    </x:row>
    <x:row r="308" ht="25" customHeight="1">
      <x:c r="A308" s="2" t="b">
        <x:f>AND(AND(ISNUMBER($B$5),$B$5&gt;0),AND(ISNUMBER($F$5),$F$5&gt;0),AND(ISNUMBER($J$5),$J$5&gt;0),AND(ISNUMBER($B$9),$B$9&gt;0),AND(ISNUMBER(I32),I32&gt;0),AND(ISNUMBER(J32),J32&gt;0),AND(ISNUMBER(K32),K32&gt;0),AND(ISNUMBER(L32),L32&gt;0),AND(ISNUMBER(D158),D158&gt;0),AND(ISNUMBER(E158),E158&gt;0),MOD($B$5,1)=0,MOD($F$5,1)=0,MOD($J$5,1)=0,MOD($B$9,1)=0,MOD(K32,1)=0,ISNUMBER(C158),C158&gt;=2,MOD(C158,1)=0,OR($N$9=32,$N$9=64,$N$9=128),ISNUMBER($B$11),$B$11&gt;=0,MOD($B$11,1)=0,ISNUMBER($J$7),$J$7&gt;=0,$J$7&lt;1,AND(ISNUMBER(M32),M32&gt;=0,M32&lt;=1),AND(ISNUMBER(N32),N32&gt;=0,N32&lt;=1))</x:f>
        <x:v>1</x:v>
      </x:c>
      <x:c r="B308" s="12" t="n">
        <x:f>IF(A308,D158*1000,"")</x:f>
        <x:v>60000</x:v>
      </x:c>
      <x:c r="C308" s="12" t="n">
        <x:f>IF(A308,E158*L32,"")</x:f>
        <x:v>20</x:v>
      </x:c>
      <x:c r="D308" s="12" t="n">
        <x:f>IF(A308,M420,"")</x:f>
        <x:v>184.5653839111328</x:v>
      </x:c>
      <x:c r="E308" s="12" t="n">
        <x:f>IF(A308,B32/C32,"")</x:f>
        <x:v>32</x:v>
      </x:c>
      <x:c r="F308" s="12" t="n">
        <x:f>IF(A308,B32/D32,"")</x:f>
        <x:v>32</x:v>
      </x:c>
      <x:c r="G308" s="12" t="n">
        <x:f>IF(A308,$F$5*E308*$B$5*60000/B308,"")</x:f>
        <x:v>512</x:v>
      </x:c>
      <x:c r="H308" s="12" t="n">
        <x:f>IF(A308,G308/($J$5*F308),"")</x:f>
        <x:v>16</x:v>
      </x:c>
      <x:c r="I308" s="12" t="n">
        <x:f>IF(A308,$B$5*D308/C32/$B$9,"")</x:f>
        <x:v>369.1307678222656</x:v>
      </x:c>
      <x:c r="J308" s="12" t="n">
        <x:f>IF(A308,I308*$F$5/$J$5,"")</x:f>
        <x:v>369.1307678222656</x:v>
      </x:c>
      <x:c r="K308" s="12" t="n">
        <x:f>IF(A308,MAX(I308,J308)*2^30/(J32*1e6),"")</x:f>
        <x:v>82.57315498666667</x:v>
      </x:c>
      <x:c r="L308" s="12" t="n">
        <x:f>IF(A308,B308/$B$9,"")</x:f>
        <x:v>60000</x:v>
      </x:c>
      <x:c r="M308" s="54" t="n">
        <x:f>IF(A308,K308/L308,"")</x:f>
        <x:v>0.0013762192497777778</x:v>
      </x:c>
      <x:c r="N308" s="12" t="n">
        <x:f>IF(A308,(E32*ROUNDUP(K32/D32,0)*G32*(B32-1)/B32*(ROUNDUP((ROUNDUP(F32*2/32,0)*32+32)/480,0)*512+F32*2+32)+E32*ROUNDUP(H32/B32,0)*(B32-1)*32)/1e9,"")</x:f>
        <x:v>0.50495304</x:v>
      </x:c>
      <x:c r="O308" s="12" t="n">
        <x:f>IF(A308,N308*1000/I32,"")</x:f>
        <x:v>0.10519855</x:v>
      </x:c>
      <x:c r="P308" s="12" t="n">
        <x:f>IF(A308,O308/E32,"")</x:f>
        <x:v>0.0011434625</x:v>
      </x:c>
      <x:c r="Q308" s="12" t="n">
        <x:f>IF(A308,N308*1000/C308,"")</x:f>
        <x:v>25.247652</x:v>
      </x:c>
      <x:c r="R308" s="12" t="n">
        <x:f>IF(W308="估算",IF(OR(K308=0,O308=0),0,1-((E32-1)*MAX(0,(C308-O308)/E32-(K308))+MAX(0,L308-((E32-1)*C308/E32+P308)-(K308)))/L308),"")</x:f>
        <x:v>0.0017059484524136748</x:v>
      </x:c>
      <x:c r="S308" s="12" t="n">
        <x:f>IF(W308="估算",IF(O308=0,0,MAX(0,1-(1-((E32-1)*MAX(0,(C308-O308)/E32-(L308-K308))+MAX(0,L308-((E32-1)*C308/E32+P308)-(L308-K308)))/L308))),"")</x:f>
        <x:v>0.001046490047141968</x:v>
      </x:c>
      <x:c r="T308" s="12" t="n">
        <x:f>IF(W308="估算",IF(OR(P308=0,K308=0,$J$7=0),0,IF(P308&lt;=(1-$J$7)*K308,$J$7*P308*K308/(1-$J$7)-$J$7^2*P308^2/(2*(1-$J$7)^2),$J$7*P308*K308+$J$7^2*K308^2/2)/L308),"")</x:f>
        <x:v>1.7485043258276292e-7</x:v>
      </x:c>
      <x:c r="U308" s="12" t="n">
        <x:f>IF(A308,60000/C308,"")</x:f>
        <x:v>3000</x:v>
      </x:c>
      <x:c r="V308" s="12" t="n">
        <x:f>IF(W308="估算",U308*E32*T308*M32*N32,"")</x:f>
        <x:v>0.04825871939284256</x:v>
      </x:c>
      <x:c r="W308" s="12" t="str">
        <x:f>IF(NOT(A308),"输入无效",IF(K308&gt;=L308,"KV 超载",IF(O308&gt;C308+1e-9,"TPOT 不自洽",IF(OR(C308&gt;L308,P308&gt;L308-K308),"需时序仿真","估算"))))</x:f>
        <x:v>估算</x:v>
      </x:c>
      <x:c r="X308" s="12" t="n">
        <x:f>IF(W308="估算",U308*M308,"")</x:f>
        <x:v>4.128657749333334</x:v>
      </x:c>
    </x:row>
    <x:row r="309" ht="25" customHeight="1">
      <x:c r="A309" s="2" t="b">
        <x:f>AND(AND(ISNUMBER($B$5),$B$5&gt;0),AND(ISNUMBER($F$5),$F$5&gt;0),AND(ISNUMBER($J$5),$J$5&gt;0),AND(ISNUMBER($B$9),$B$9&gt;0),AND(ISNUMBER(I32),I32&gt;0),AND(ISNUMBER(J32),J32&gt;0),AND(ISNUMBER(K32),K32&gt;0),AND(ISNUMBER(L32),L32&gt;0),AND(ISNUMBER(D159),D159&gt;0),AND(ISNUMBER(E159),E159&gt;0),MOD($B$5,1)=0,MOD($F$5,1)=0,MOD($J$5,1)=0,MOD($B$9,1)=0,MOD(K32,1)=0,ISNUMBER(C159),C159&gt;=2,MOD(C159,1)=0,OR($N$9=32,$N$9=64,$N$9=128),ISNUMBER($B$11),$B$11&gt;=0,MOD($B$11,1)=0,ISNUMBER($J$7),$J$7&gt;=0,$J$7&lt;1,AND(ISNUMBER(M32),M32&gt;=0,M32&lt;=1),AND(ISNUMBER(N32),N32&gt;=0,N32&lt;=1))</x:f>
        <x:v>1</x:v>
      </x:c>
      <x:c r="B309" s="12" t="n">
        <x:f>IF(A309,D159*1000,"")</x:f>
        <x:v>60000</x:v>
      </x:c>
      <x:c r="C309" s="12" t="n">
        <x:f>IF(A309,E159*L32,"")</x:f>
        <x:v>30</x:v>
      </x:c>
      <x:c r="D309" s="12" t="n">
        <x:f>IF(A309,M420,"")</x:f>
        <x:v>184.5653839111328</x:v>
      </x:c>
      <x:c r="E309" s="12" t="n">
        <x:f>IF(A309,B32/C32,"")</x:f>
        <x:v>32</x:v>
      </x:c>
      <x:c r="F309" s="12" t="n">
        <x:f>IF(A309,B32/D32,"")</x:f>
        <x:v>32</x:v>
      </x:c>
      <x:c r="G309" s="12" t="n">
        <x:f>IF(A309,$F$5*E309*$B$5*60000/B309,"")</x:f>
        <x:v>512</x:v>
      </x:c>
      <x:c r="H309" s="12" t="n">
        <x:f>IF(A309,G309/($J$5*F309),"")</x:f>
        <x:v>16</x:v>
      </x:c>
      <x:c r="I309" s="12" t="n">
        <x:f>IF(A309,$B$5*D309/C32/$B$9,"")</x:f>
        <x:v>369.1307678222656</x:v>
      </x:c>
      <x:c r="J309" s="12" t="n">
        <x:f>IF(A309,I309*$F$5/$J$5,"")</x:f>
        <x:v>369.1307678222656</x:v>
      </x:c>
      <x:c r="K309" s="12" t="n">
        <x:f>IF(A309,MAX(I309,J309)*2^30/(J32*1e6),"")</x:f>
        <x:v>82.57315498666667</x:v>
      </x:c>
      <x:c r="L309" s="12" t="n">
        <x:f>IF(A309,B309/$B$9,"")</x:f>
        <x:v>60000</x:v>
      </x:c>
      <x:c r="M309" s="54" t="n">
        <x:f>IF(A309,K309/L309,"")</x:f>
        <x:v>0.0013762192497777778</x:v>
      </x:c>
      <x:c r="N309" s="12" t="n">
        <x:f>IF(A309,(E32*ROUNDUP(K32/D32,0)*G32*(B32-1)/B32*(ROUNDUP((ROUNDUP(F32*2/32,0)*32+32)/480,0)*512+F32*2+32)+E32*ROUNDUP(H32/B32,0)*(B32-1)*32)/1e9,"")</x:f>
        <x:v>0.50495304</x:v>
      </x:c>
      <x:c r="O309" s="12" t="n">
        <x:f>IF(A309,N309*1000/I32,"")</x:f>
        <x:v>0.10519855</x:v>
      </x:c>
      <x:c r="P309" s="12" t="n">
        <x:f>IF(A309,O309/E32,"")</x:f>
        <x:v>0.0011434625</x:v>
      </x:c>
      <x:c r="Q309" s="12" t="n">
        <x:f>IF(A309,N309*1000/C309,"")</x:f>
        <x:v>16.831768</x:v>
      </x:c>
      <x:c r="R309" s="12" t="n">
        <x:f>IF(W309="估算",IF(OR(K309=0,O309=0),0,1-((E32-1)*MAX(0,(C309-O309)/E32-(K309))+MAX(0,L309-((E32-1)*C309/E32+P309)-(K309)))/L309),"")</x:f>
        <x:v>0.0018708035248774513</x:v>
      </x:c>
      <x:c r="S309" s="12" t="n">
        <x:f>IF(W309="估算",IF(O309=0,0,MAX(0,1-(1-((E32-1)*MAX(0,(C309-O309)/E32-(L309-K309))+MAX(0,L309-((E32-1)*C309/E32+P309)-(L309-K309)))/L309))),"")</x:f>
        <x:v>0.0008816349746781915</x:v>
      </x:c>
      <x:c r="T309" s="12" t="n">
        <x:f>IF(W309="估算",IF(OR(P309=0,K309=0,$J$7=0),0,IF(P309&lt;=(1-$J$7)*K309,$J$7*P309*K309/(1-$J$7)-$J$7^2*P309^2/(2*(1-$J$7)^2),$J$7*P309*K309+$J$7^2*K309^2/2)/L309),"")</x:f>
        <x:v>1.7485043258276292e-7</x:v>
      </x:c>
      <x:c r="U309" s="12" t="n">
        <x:f>IF(A309,60000/C309,"")</x:f>
        <x:v>2000</x:v>
      </x:c>
      <x:c r="V309" s="12" t="n">
        <x:f>IF(W309="估算",U309*E32*T309*M32*N32,"")</x:f>
        <x:v>0.03217247959522838</x:v>
      </x:c>
      <x:c r="W309" s="12" t="str">
        <x:f>IF(NOT(A309),"输入无效",IF(K309&gt;=L309,"KV 超载",IF(O309&gt;C309+1e-9,"TPOT 不自洽",IF(OR(C309&gt;L309,P309&gt;L309-K309),"需时序仿真","估算"))))</x:f>
        <x:v>估算</x:v>
      </x:c>
      <x:c r="X309" s="12" t="n">
        <x:f>IF(W309="估算",U309*M309,"")</x:f>
        <x:v>2.7524384995555558</x:v>
      </x:c>
    </x:row>
    <x:row r="310" ht="25" customHeight="1">
      <x:c r="A310" s="2" t="b">
        <x:f>AND(AND(ISNUMBER($B$5),$B$5&gt;0),AND(ISNUMBER($F$5),$F$5&gt;0),AND(ISNUMBER($J$5),$J$5&gt;0),AND(ISNUMBER($B$9),$B$9&gt;0),AND(ISNUMBER(I33),I33&gt;0),AND(ISNUMBER(J33),J33&gt;0),AND(ISNUMBER(K33),K33&gt;0),AND(ISNUMBER(L33),L33&gt;0),AND(ISNUMBER(D160),D160&gt;0),AND(ISNUMBER(E160),E160&gt;0),MOD($B$5,1)=0,MOD($F$5,1)=0,MOD($J$5,1)=0,MOD($B$9,1)=0,MOD(K33,1)=0,ISNUMBER(C160),C160&gt;=2,MOD(C160,1)=0,OR($N$9=32,$N$9=64,$N$9=128),ISNUMBER($B$11),$B$11&gt;=0,MOD($B$11,1)=0,ISNUMBER($J$7),$J$7&gt;=0,$J$7&lt;1,AND(ISNUMBER(M33),M33&gt;=0,M33&lt;=1),AND(ISNUMBER(N33),N33&gt;=0,N33&lt;=1))</x:f>
        <x:v>1</x:v>
      </x:c>
      <x:c r="B310" s="12" t="n">
        <x:f>IF(A310,D160*1000,"")</x:f>
        <x:v>4000</x:v>
      </x:c>
      <x:c r="C310" s="12" t="n">
        <x:f>IF(A310,E160*L33,"")</x:f>
        <x:v>5</x:v>
      </x:c>
      <x:c r="D310" s="12" t="n">
        <x:f>IF(A310,M427,"")</x:f>
        <x:v>0.0541534423828125</x:v>
      </x:c>
      <x:c r="E310" s="12" t="n">
        <x:f>IF(A310,B33/C33,"")</x:f>
        <x:v>4</x:v>
      </x:c>
      <x:c r="F310" s="12" t="n">
        <x:f>IF(A310,B33/D33,"")</x:f>
        <x:v>32</x:v>
      </x:c>
      <x:c r="G310" s="12" t="n">
        <x:f>IF(A310,$F$5*E310*$B$5*60000/B310,"")</x:f>
        <x:v>960</x:v>
      </x:c>
      <x:c r="H310" s="12" t="n">
        <x:f>IF(A310,G310/($J$5*F310),"")</x:f>
        <x:v>30</x:v>
      </x:c>
      <x:c r="I310" s="12" t="n">
        <x:f>IF(A310,$B$5*D310/C33/$B$9,"")</x:f>
        <x:v>0.108306884765625</x:v>
      </x:c>
      <x:c r="J310" s="12" t="n">
        <x:f>IF(A310,I310*$F$5/$J$5,"")</x:f>
        <x:v>0.108306884765625</x:v>
      </x:c>
      <x:c r="K310" s="12" t="n">
        <x:f>IF(A310,MAX(I310,J310)*2^30/(J33*1e6),"")</x:f>
        <x:v>0.02422784</x:v>
      </x:c>
      <x:c r="L310" s="12" t="n">
        <x:f>IF(A310,B310/$B$9,"")</x:f>
        <x:v>4000</x:v>
      </x:c>
      <x:c r="M310" s="54" t="n">
        <x:f>IF(A310,K310/L310,"")</x:f>
        <x:v>0.00000605696</x:v>
      </x:c>
      <x:c r="N310" s="12" t="n">
        <x:f>IF(A310,(E33*ROUNDUP(K33/D33,0)*G33*(B33-1)/B33*(ROUNDUP((ROUNDUP(F33*2/32,0)*32+32)/480,0)*512+F33*2+32)+E33*ROUNDUP(H33/B33,0)*(B33-1)*32)/1e9,"")</x:f>
        <x:v>0.64138752</x:v>
      </x:c>
      <x:c r="O310" s="12" t="n">
        <x:f>IF(A310,N310*1000/I33,"")</x:f>
        <x:v>0.1336224</x:v>
      </x:c>
      <x:c r="P310" s="12" t="n">
        <x:f>IF(A310,O310/E33,"")</x:f>
        <x:v>0.0033405600000000002</x:v>
      </x:c>
      <x:c r="Q310" s="12" t="n">
        <x:f>IF(A310,N310*1000/C310,"")</x:f>
        <x:v>128.277504</x:v>
      </x:c>
      <x:c r="R310" s="12" t="n">
        <x:f>IF(W310="估算",IF(OR(K310=0,O310=0),0,1-((E33-1)*MAX(0,(C310-O310)/E33-(K310))+MAX(0,L310-((E33-1)*C310/E33+P310)-(K310)))/L310),"")</x:f>
        <x:v>0.0002756840000001093</x:v>
      </x:c>
      <x:c r="S310" s="12" t="n">
        <x:f>IF(W310="估算",IF(O310=0,0,MAX(0,1-(1-((E33-1)*MAX(0,(C310-O310)/E33-(L310-K310))+MAX(0,L310-((E33-1)*C310/E33+P310)-(L310-K310)))/L310))),"")</x:f>
        <x:v>0</x:v>
      </x:c>
      <x:c r="T310" s="12" t="n">
        <x:f>IF(W310="估算",IF(OR(P310=0,K310=0,$J$7=0),0,IF(P310&lt;=(1-$J$7)*K310,$J$7*P310*K310/(1-$J$7)-$J$7^2*P310^2/(2*(1-$J$7)^2),$J$7*P310*K310+$J$7^2*K310^2/2)/L310),"")</x:f>
        <x:v>2.2309608276444445e-9</x:v>
      </x:c>
      <x:c r="U310" s="12" t="n">
        <x:f>IF(A310,60000/C310,"")</x:f>
        <x:v>12000</x:v>
      </x:c>
      <x:c r="V310" s="12" t="n">
        <x:f>IF(W310="估算",U310*E33*T310*M33*N33,"")</x:f>
        <x:v>0.0010708611972693335</x:v>
      </x:c>
      <x:c r="W310" s="12" t="str">
        <x:f>IF(NOT(A310),"输入无效",IF(K310&gt;=L310,"KV 超载",IF(O310&gt;C310+1e-9,"TPOT 不自洽",IF(OR(C310&gt;L310,P310&gt;L310-K310),"需时序仿真","估算"))))</x:f>
        <x:v>估算</x:v>
      </x:c>
      <x:c r="X310" s="12" t="n">
        <x:f>IF(W310="估算",U310*M310,"")</x:f>
        <x:v>0.07268352</x:v>
      </x:c>
    </x:row>
    <x:row r="311" ht="25" customHeight="1">
      <x:c r="A311" s="2" t="b">
        <x:f>AND(AND(ISNUMBER($B$5),$B$5&gt;0),AND(ISNUMBER($F$5),$F$5&gt;0),AND(ISNUMBER($J$5),$J$5&gt;0),AND(ISNUMBER($B$9),$B$9&gt;0),AND(ISNUMBER(I33),I33&gt;0),AND(ISNUMBER(J33),J33&gt;0),AND(ISNUMBER(K33),K33&gt;0),AND(ISNUMBER(L33),L33&gt;0),AND(ISNUMBER(D161),D161&gt;0),AND(ISNUMBER(E161),E161&gt;0),MOD($B$5,1)=0,MOD($F$5,1)=0,MOD($J$5,1)=0,MOD($B$9,1)=0,MOD(K33,1)=0,ISNUMBER(C161),C161&gt;=2,MOD(C161,1)=0,OR($N$9=32,$N$9=64,$N$9=128),ISNUMBER($B$11),$B$11&gt;=0,MOD($B$11,1)=0,ISNUMBER($J$7),$J$7&gt;=0,$J$7&lt;1,AND(ISNUMBER(M33),M33&gt;=0,M33&lt;=1),AND(ISNUMBER(N33),N33&gt;=0,N33&lt;=1))</x:f>
        <x:v>1</x:v>
      </x:c>
      <x:c r="B311" s="12" t="n">
        <x:f>IF(A311,D161*1000,"")</x:f>
        <x:v>4000</x:v>
      </x:c>
      <x:c r="C311" s="12" t="n">
        <x:f>IF(A311,E161*L33,"")</x:f>
        <x:v>10</x:v>
      </x:c>
      <x:c r="D311" s="12" t="n">
        <x:f>IF(A311,M427,"")</x:f>
        <x:v>0.0541534423828125</x:v>
      </x:c>
      <x:c r="E311" s="12" t="n">
        <x:f>IF(A311,B33/C33,"")</x:f>
        <x:v>4</x:v>
      </x:c>
      <x:c r="F311" s="12" t="n">
        <x:f>IF(A311,B33/D33,"")</x:f>
        <x:v>32</x:v>
      </x:c>
      <x:c r="G311" s="12" t="n">
        <x:f>IF(A311,$F$5*E311*$B$5*60000/B311,"")</x:f>
        <x:v>960</x:v>
      </x:c>
      <x:c r="H311" s="12" t="n">
        <x:f>IF(A311,G311/($J$5*F311),"")</x:f>
        <x:v>30</x:v>
      </x:c>
      <x:c r="I311" s="12" t="n">
        <x:f>IF(A311,$B$5*D311/C33/$B$9,"")</x:f>
        <x:v>0.108306884765625</x:v>
      </x:c>
      <x:c r="J311" s="12" t="n">
        <x:f>IF(A311,I311*$F$5/$J$5,"")</x:f>
        <x:v>0.108306884765625</x:v>
      </x:c>
      <x:c r="K311" s="12" t="n">
        <x:f>IF(A311,MAX(I311,J311)*2^30/(J33*1e6),"")</x:f>
        <x:v>0.02422784</x:v>
      </x:c>
      <x:c r="L311" s="12" t="n">
        <x:f>IF(A311,B311/$B$9,"")</x:f>
        <x:v>4000</x:v>
      </x:c>
      <x:c r="M311" s="54" t="n">
        <x:f>IF(A311,K311/L311,"")</x:f>
        <x:v>0.00000605696</x:v>
      </x:c>
      <x:c r="N311" s="12" t="n">
        <x:f>IF(A311,(E33*ROUNDUP(K33/D33,0)*G33*(B33-1)/B33*(ROUNDUP((ROUNDUP(F33*2/32,0)*32+32)/480,0)*512+F33*2+32)+E33*ROUNDUP(H33/B33,0)*(B33-1)*32)/1e9,"")</x:f>
        <x:v>0.64138752</x:v>
      </x:c>
      <x:c r="O311" s="12" t="n">
        <x:f>IF(A311,N311*1000/I33,"")</x:f>
        <x:v>0.1336224</x:v>
      </x:c>
      <x:c r="P311" s="12" t="n">
        <x:f>IF(A311,O311/E33,"")</x:f>
        <x:v>0.0033405600000000002</x:v>
      </x:c>
      <x:c r="Q311" s="12" t="n">
        <x:f>IF(A311,N311*1000/C311,"")</x:f>
        <x:v>64.138752</x:v>
      </x:c>
      <x:c r="R311" s="12" t="n">
        <x:f>IF(W311="估算",IF(OR(K311=0,O311=0),0,1-((E33-1)*MAX(0,(C311-O311)/E33-(K311))+MAX(0,L311-((E33-1)*C311/E33+P311)-(K311)))/L311),"")</x:f>
        <x:v>0.0002756840000001093</x:v>
      </x:c>
      <x:c r="S311" s="12" t="n">
        <x:f>IF(W311="估算",IF(O311=0,0,MAX(0,1-(1-((E33-1)*MAX(0,(C311-O311)/E33-(L311-K311))+MAX(0,L311-((E33-1)*C311/E33+P311)-(L311-K311)))/L311))),"")</x:f>
        <x:v>0</x:v>
      </x:c>
      <x:c r="T311" s="12" t="n">
        <x:f>IF(W311="估算",IF(OR(P311=0,K311=0,$J$7=0),0,IF(P311&lt;=(1-$J$7)*K311,$J$7*P311*K311/(1-$J$7)-$J$7^2*P311^2/(2*(1-$J$7)^2),$J$7*P311*K311+$J$7^2*K311^2/2)/L311),"")</x:f>
        <x:v>2.2309608276444445e-9</x:v>
      </x:c>
      <x:c r="U311" s="12" t="n">
        <x:f>IF(A311,60000/C311,"")</x:f>
        <x:v>6000</x:v>
      </x:c>
      <x:c r="V311" s="12" t="n">
        <x:f>IF(W311="估算",U311*E33*T311*M33*N33,"")</x:f>
        <x:v>0.0005354305986346667</x:v>
      </x:c>
      <x:c r="W311" s="12" t="str">
        <x:f>IF(NOT(A311),"输入无效",IF(K311&gt;=L311,"KV 超载",IF(O311&gt;C311+1e-9,"TPOT 不自洽",IF(OR(C311&gt;L311,P311&gt;L311-K311),"需时序仿真","估算"))))</x:f>
        <x:v>估算</x:v>
      </x:c>
      <x:c r="X311" s="12" t="n">
        <x:f>IF(W311="估算",U311*M311,"")</x:f>
        <x:v>0.03634176</x:v>
      </x:c>
    </x:row>
    <x:row r="312" ht="25" customHeight="1">
      <x:c r="A312" s="2" t="b">
        <x:f>AND(AND(ISNUMBER($B$5),$B$5&gt;0),AND(ISNUMBER($F$5),$F$5&gt;0),AND(ISNUMBER($J$5),$J$5&gt;0),AND(ISNUMBER($B$9),$B$9&gt;0),AND(ISNUMBER(I33),I33&gt;0),AND(ISNUMBER(J33),J33&gt;0),AND(ISNUMBER(K33),K33&gt;0),AND(ISNUMBER(L33),L33&gt;0),AND(ISNUMBER(D162),D162&gt;0),AND(ISNUMBER(E162),E162&gt;0),MOD($B$5,1)=0,MOD($F$5,1)=0,MOD($J$5,1)=0,MOD($B$9,1)=0,MOD(K33,1)=0,ISNUMBER(C162),C162&gt;=2,MOD(C162,1)=0,OR($N$9=32,$N$9=64,$N$9=128),ISNUMBER($B$11),$B$11&gt;=0,MOD($B$11,1)=0,ISNUMBER($J$7),$J$7&gt;=0,$J$7&lt;1,AND(ISNUMBER(M33),M33&gt;=0,M33&lt;=1),AND(ISNUMBER(N33),N33&gt;=0,N33&lt;=1))</x:f>
        <x:v>1</x:v>
      </x:c>
      <x:c r="B312" s="12" t="n">
        <x:f>IF(A312,D162*1000,"")</x:f>
        <x:v>4000</x:v>
      </x:c>
      <x:c r="C312" s="12" t="n">
        <x:f>IF(A312,E162*L33,"")</x:f>
        <x:v>20</x:v>
      </x:c>
      <x:c r="D312" s="12" t="n">
        <x:f>IF(A312,M427,"")</x:f>
        <x:v>0.0541534423828125</x:v>
      </x:c>
      <x:c r="E312" s="12" t="n">
        <x:f>IF(A312,B33/C33,"")</x:f>
        <x:v>4</x:v>
      </x:c>
      <x:c r="F312" s="12" t="n">
        <x:f>IF(A312,B33/D33,"")</x:f>
        <x:v>32</x:v>
      </x:c>
      <x:c r="G312" s="12" t="n">
        <x:f>IF(A312,$F$5*E312*$B$5*60000/B312,"")</x:f>
        <x:v>960</x:v>
      </x:c>
      <x:c r="H312" s="12" t="n">
        <x:f>IF(A312,G312/($J$5*F312),"")</x:f>
        <x:v>30</x:v>
      </x:c>
      <x:c r="I312" s="12" t="n">
        <x:f>IF(A312,$B$5*D312/C33/$B$9,"")</x:f>
        <x:v>0.108306884765625</x:v>
      </x:c>
      <x:c r="J312" s="12" t="n">
        <x:f>IF(A312,I312*$F$5/$J$5,"")</x:f>
        <x:v>0.108306884765625</x:v>
      </x:c>
      <x:c r="K312" s="12" t="n">
        <x:f>IF(A312,MAX(I312,J312)*2^30/(J33*1e6),"")</x:f>
        <x:v>0.02422784</x:v>
      </x:c>
      <x:c r="L312" s="12" t="n">
        <x:f>IF(A312,B312/$B$9,"")</x:f>
        <x:v>4000</x:v>
      </x:c>
      <x:c r="M312" s="54" t="n">
        <x:f>IF(A312,K312/L312,"")</x:f>
        <x:v>0.00000605696</x:v>
      </x:c>
      <x:c r="N312" s="12" t="n">
        <x:f>IF(A312,(E33*ROUNDUP(K33/D33,0)*G33*(B33-1)/B33*(ROUNDUP((ROUNDUP(F33*2/32,0)*32+32)/480,0)*512+F33*2+32)+E33*ROUNDUP(H33/B33,0)*(B33-1)*32)/1e9,"")</x:f>
        <x:v>0.64138752</x:v>
      </x:c>
      <x:c r="O312" s="12" t="n">
        <x:f>IF(A312,N312*1000/I33,"")</x:f>
        <x:v>0.1336224</x:v>
      </x:c>
      <x:c r="P312" s="12" t="n">
        <x:f>IF(A312,O312/E33,"")</x:f>
        <x:v>0.0033405600000000002</x:v>
      </x:c>
      <x:c r="Q312" s="12" t="n">
        <x:f>IF(A312,N312*1000/C312,"")</x:f>
        <x:v>32.069376</x:v>
      </x:c>
      <x:c r="R312" s="12" t="n">
        <x:f>IF(W312="估算",IF(OR(K312=0,O312=0),0,1-((E33-1)*MAX(0,(C312-O312)/E33-(K312))+MAX(0,L312-((E33-1)*C312/E33+P312)-(K312)))/L312),"")</x:f>
        <x:v>0.0002756840000001093</x:v>
      </x:c>
      <x:c r="S312" s="12" t="n">
        <x:f>IF(W312="估算",IF(O312=0,0,MAX(0,1-(1-((E33-1)*MAX(0,(C312-O312)/E33-(L312-K312))+MAX(0,L312-((E33-1)*C312/E33+P312)-(L312-K312)))/L312))),"")</x:f>
        <x:v>0</x:v>
      </x:c>
      <x:c r="T312" s="12" t="n">
        <x:f>IF(W312="估算",IF(OR(P312=0,K312=0,$J$7=0),0,IF(P312&lt;=(1-$J$7)*K312,$J$7*P312*K312/(1-$J$7)-$J$7^2*P312^2/(2*(1-$J$7)^2),$J$7*P312*K312+$J$7^2*K312^2/2)/L312),"")</x:f>
        <x:v>2.2309608276444445e-9</x:v>
      </x:c>
      <x:c r="U312" s="12" t="n">
        <x:f>IF(A312,60000/C312,"")</x:f>
        <x:v>3000</x:v>
      </x:c>
      <x:c r="V312" s="12" t="n">
        <x:f>IF(W312="估算",U312*E33*T312*M33*N33,"")</x:f>
        <x:v>0.00026771529931733336</x:v>
      </x:c>
      <x:c r="W312" s="12" t="str">
        <x:f>IF(NOT(A312),"输入无效",IF(K312&gt;=L312,"KV 超载",IF(O312&gt;C312+1e-9,"TPOT 不自洽",IF(OR(C312&gt;L312,P312&gt;L312-K312),"需时序仿真","估算"))))</x:f>
        <x:v>估算</x:v>
      </x:c>
      <x:c r="X312" s="12" t="n">
        <x:f>IF(W312="估算",U312*M312,"")</x:f>
        <x:v>0.01817088</x:v>
      </x:c>
    </x:row>
    <x:row r="313" ht="25" customHeight="1">
      <x:c r="A313" s="2" t="b">
        <x:f>AND(AND(ISNUMBER($B$5),$B$5&gt;0),AND(ISNUMBER($F$5),$F$5&gt;0),AND(ISNUMBER($J$5),$J$5&gt;0),AND(ISNUMBER($B$9),$B$9&gt;0),AND(ISNUMBER(I33),I33&gt;0),AND(ISNUMBER(J33),J33&gt;0),AND(ISNUMBER(K33),K33&gt;0),AND(ISNUMBER(L33),L33&gt;0),AND(ISNUMBER(D163),D163&gt;0),AND(ISNUMBER(E163),E163&gt;0),MOD($B$5,1)=0,MOD($F$5,1)=0,MOD($J$5,1)=0,MOD($B$9,1)=0,MOD(K33,1)=0,ISNUMBER(C163),C163&gt;=2,MOD(C163,1)=0,OR($N$9=32,$N$9=64,$N$9=128),ISNUMBER($B$11),$B$11&gt;=0,MOD($B$11,1)=0,ISNUMBER($J$7),$J$7&gt;=0,$J$7&lt;1,AND(ISNUMBER(M33),M33&gt;=0,M33&lt;=1),AND(ISNUMBER(N33),N33&gt;=0,N33&lt;=1))</x:f>
        <x:v>1</x:v>
      </x:c>
      <x:c r="B313" s="12" t="n">
        <x:f>IF(A313,D163*1000,"")</x:f>
        <x:v>4000</x:v>
      </x:c>
      <x:c r="C313" s="12" t="n">
        <x:f>IF(A313,E163*L33,"")</x:f>
        <x:v>30</x:v>
      </x:c>
      <x:c r="D313" s="12" t="n">
        <x:f>IF(A313,M427,"")</x:f>
        <x:v>0.0541534423828125</x:v>
      </x:c>
      <x:c r="E313" s="12" t="n">
        <x:f>IF(A313,B33/C33,"")</x:f>
        <x:v>4</x:v>
      </x:c>
      <x:c r="F313" s="12" t="n">
        <x:f>IF(A313,B33/D33,"")</x:f>
        <x:v>32</x:v>
      </x:c>
      <x:c r="G313" s="12" t="n">
        <x:f>IF(A313,$F$5*E313*$B$5*60000/B313,"")</x:f>
        <x:v>960</x:v>
      </x:c>
      <x:c r="H313" s="12" t="n">
        <x:f>IF(A313,G313/($J$5*F313),"")</x:f>
        <x:v>30</x:v>
      </x:c>
      <x:c r="I313" s="12" t="n">
        <x:f>IF(A313,$B$5*D313/C33/$B$9,"")</x:f>
        <x:v>0.108306884765625</x:v>
      </x:c>
      <x:c r="J313" s="12" t="n">
        <x:f>IF(A313,I313*$F$5/$J$5,"")</x:f>
        <x:v>0.108306884765625</x:v>
      </x:c>
      <x:c r="K313" s="12" t="n">
        <x:f>IF(A313,MAX(I313,J313)*2^30/(J33*1e6),"")</x:f>
        <x:v>0.02422784</x:v>
      </x:c>
      <x:c r="L313" s="12" t="n">
        <x:f>IF(A313,B313/$B$9,"")</x:f>
        <x:v>4000</x:v>
      </x:c>
      <x:c r="M313" s="54" t="n">
        <x:f>IF(A313,K313/L313,"")</x:f>
        <x:v>0.00000605696</x:v>
      </x:c>
      <x:c r="N313" s="12" t="n">
        <x:f>IF(A313,(E33*ROUNDUP(K33/D33,0)*G33*(B33-1)/B33*(ROUNDUP((ROUNDUP(F33*2/32,0)*32+32)/480,0)*512+F33*2+32)+E33*ROUNDUP(H33/B33,0)*(B33-1)*32)/1e9,"")</x:f>
        <x:v>0.64138752</x:v>
      </x:c>
      <x:c r="O313" s="12" t="n">
        <x:f>IF(A313,N313*1000/I33,"")</x:f>
        <x:v>0.1336224</x:v>
      </x:c>
      <x:c r="P313" s="12" t="n">
        <x:f>IF(A313,O313/E33,"")</x:f>
        <x:v>0.0033405600000000002</x:v>
      </x:c>
      <x:c r="Q313" s="12" t="n">
        <x:f>IF(A313,N313*1000/C313,"")</x:f>
        <x:v>21.379584</x:v>
      </x:c>
      <x:c r="R313" s="12" t="n">
        <x:f>IF(W313="估算",IF(OR(K313=0,O313=0),0,1-((E33-1)*MAX(0,(C313-O313)/E33-(K313))+MAX(0,L313-((E33-1)*C313/E33+P313)-(K313)))/L313),"")</x:f>
        <x:v>0.0002756840000001093</x:v>
      </x:c>
      <x:c r="S313" s="12" t="n">
        <x:f>IF(W313="估算",IF(O313=0,0,MAX(0,1-(1-((E33-1)*MAX(0,(C313-O313)/E33-(L313-K313))+MAX(0,L313-((E33-1)*C313/E33+P313)-(L313-K313)))/L313))),"")</x:f>
        <x:v>0</x:v>
      </x:c>
      <x:c r="T313" s="12" t="n">
        <x:f>IF(W313="估算",IF(OR(P313=0,K313=0,$J$7=0),0,IF(P313&lt;=(1-$J$7)*K313,$J$7*P313*K313/(1-$J$7)-$J$7^2*P313^2/(2*(1-$J$7)^2),$J$7*P313*K313+$J$7^2*K313^2/2)/L313),"")</x:f>
        <x:v>2.2309608276444445e-9</x:v>
      </x:c>
      <x:c r="U313" s="12" t="n">
        <x:f>IF(A313,60000/C313,"")</x:f>
        <x:v>2000</x:v>
      </x:c>
      <x:c r="V313" s="12" t="n">
        <x:f>IF(W313="估算",U313*E33*T313*M33*N33,"")</x:f>
        <x:v>0.00017847686621155556</x:v>
      </x:c>
      <x:c r="W313" s="12" t="str">
        <x:f>IF(NOT(A313),"输入无效",IF(K313&gt;=L313,"KV 超载",IF(O313&gt;C313+1e-9,"TPOT 不自洽",IF(OR(C313&gt;L313,P313&gt;L313-K313),"需时序仿真","估算"))))</x:f>
        <x:v>估算</x:v>
      </x:c>
      <x:c r="X313" s="12" t="n">
        <x:f>IF(W313="估算",U313*M313,"")</x:f>
        <x:v>0.01211392</x:v>
      </x:c>
    </x:row>
    <x:row r="314" ht="25" customHeight="1">
      <x:c r="A314" s="2" t="b">
        <x:f>AND(AND(ISNUMBER($B$5),$B$5&gt;0),AND(ISNUMBER($F$5),$F$5&gt;0),AND(ISNUMBER($J$5),$J$5&gt;0),AND(ISNUMBER($B$9),$B$9&gt;0),AND(ISNUMBER(I33),I33&gt;0),AND(ISNUMBER(J33),J33&gt;0),AND(ISNUMBER(K33),K33&gt;0),AND(ISNUMBER(L33),L33&gt;0),AND(ISNUMBER(D164),D164&gt;0),AND(ISNUMBER(E164),E164&gt;0),MOD($B$5,1)=0,MOD($F$5,1)=0,MOD($J$5,1)=0,MOD($B$9,1)=0,MOD(K33,1)=0,ISNUMBER(C164),C164&gt;=2,MOD(C164,1)=0,OR($N$9=32,$N$9=64,$N$9=128),ISNUMBER($B$11),$B$11&gt;=0,MOD($B$11,1)=0,ISNUMBER($J$7),$J$7&gt;=0,$J$7&lt;1,AND(ISNUMBER(M33),M33&gt;=0,M33&lt;=1),AND(ISNUMBER(N33),N33&gt;=0,N33&lt;=1))</x:f>
        <x:v>1</x:v>
      </x:c>
      <x:c r="B314" s="12" t="n">
        <x:f>IF(A314,D164*1000,"")</x:f>
        <x:v>20000</x:v>
      </x:c>
      <x:c r="C314" s="12" t="n">
        <x:f>IF(A314,E164*L33,"")</x:f>
        <x:v>5</x:v>
      </x:c>
      <x:c r="D314" s="12" t="n">
        <x:f>IF(A314,M434,"")</x:f>
        <x:v>0.7144775390625</x:v>
      </x:c>
      <x:c r="E314" s="12" t="n">
        <x:f>IF(A314,B33/C33,"")</x:f>
        <x:v>4</x:v>
      </x:c>
      <x:c r="F314" s="12" t="n">
        <x:f>IF(A314,B33/D33,"")</x:f>
        <x:v>32</x:v>
      </x:c>
      <x:c r="G314" s="12" t="n">
        <x:f>IF(A314,$F$5*E314*$B$5*60000/B314,"")</x:f>
        <x:v>192</x:v>
      </x:c>
      <x:c r="H314" s="12" t="n">
        <x:f>IF(A314,G314/($J$5*F314),"")</x:f>
        <x:v>6</x:v>
      </x:c>
      <x:c r="I314" s="12" t="n">
        <x:f>IF(A314,$B$5*D314/C33/$B$9,"")</x:f>
        <x:v>1.428955078125</x:v>
      </x:c>
      <x:c r="J314" s="12" t="n">
        <x:f>IF(A314,I314*$F$5/$J$5,"")</x:f>
        <x:v>1.428955078125</x:v>
      </x:c>
      <x:c r="K314" s="12" t="n">
        <x:f>IF(A314,MAX(I314,J314)*2^30/(J33*1e6),"")</x:f>
        <x:v>0.31965184</x:v>
      </x:c>
      <x:c r="L314" s="12" t="n">
        <x:f>IF(A314,B314/$B$9,"")</x:f>
        <x:v>20000</x:v>
      </x:c>
      <x:c r="M314" s="54" t="n">
        <x:f>IF(A314,K314/L314,"")</x:f>
        <x:v>0.000015982592</x:v>
      </x:c>
      <x:c r="N314" s="12" t="n">
        <x:f>IF(A314,(E33*ROUNDUP(K33/D33,0)*G33*(B33-1)/B33*(ROUNDUP((ROUNDUP(F33*2/32,0)*32+32)/480,0)*512+F33*2+32)+E33*ROUNDUP(H33/B33,0)*(B33-1)*32)/1e9,"")</x:f>
        <x:v>0.64138752</x:v>
      </x:c>
      <x:c r="O314" s="12" t="n">
        <x:f>IF(A314,N314*1000/I33,"")</x:f>
        <x:v>0.1336224</x:v>
      </x:c>
      <x:c r="P314" s="12" t="n">
        <x:f>IF(A314,O314/E33,"")</x:f>
        <x:v>0.0033405600000000002</x:v>
      </x:c>
      <x:c r="Q314" s="12" t="n">
        <x:f>IF(A314,N314*1000/C314,"")</x:f>
        <x:v>128.277504</x:v>
      </x:c>
      <x:c r="R314" s="12" t="n">
        <x:f>IF(W314="估算",IF(OR(K314=0,O314=0),0,1-((E33-1)*MAX(0,(C314-O314)/E33-(K314))+MAX(0,L314-((E33-1)*C314/E33+P314)-(K314)))/L314),"")</x:f>
        <x:v>0.00025989962000005917</x:v>
      </x:c>
      <x:c r="S314" s="12" t="n">
        <x:f>IF(W314="估算",IF(O314=0,0,MAX(0,1-(1-((E33-1)*MAX(0,(C314-O314)/E33-(L314-K314))+MAX(0,L314-((E33-1)*C314/E33+P314)-(L314-K314)))/L314))),"")</x:f>
        <x:v>0</x:v>
      </x:c>
      <x:c r="T314" s="12" t="n">
        <x:f>IF(W314="估算",IF(OR(P314=0,K314=0,$J$7=0),0,IF(P314&lt;=(1-$J$7)*K314,$J$7*P314*K314/(1-$J$7)-$J$7^2*P314^2/(2*(1-$J$7)^2),$J$7*P314*K314+$J$7^2*K314^2/2)/L314),"")</x:f>
        <x:v>5.928867706862224e-9</x:v>
      </x:c>
      <x:c r="U314" s="12" t="n">
        <x:f>IF(A314,60000/C314,"")</x:f>
        <x:v>12000</x:v>
      </x:c>
      <x:c r="V314" s="12" t="n">
        <x:f>IF(W314="估算",U314*E33*T314*M33*N33,"")</x:f>
        <x:v>0.0028458564992938674</x:v>
      </x:c>
      <x:c r="W314" s="12" t="str">
        <x:f>IF(NOT(A314),"输入无效",IF(K314&gt;=L314,"KV 超载",IF(O314&gt;C314+1e-9,"TPOT 不自洽",IF(OR(C314&gt;L314,P314&gt;L314-K314),"需时序仿真","估算"))))</x:f>
        <x:v>估算</x:v>
      </x:c>
      <x:c r="X314" s="12" t="n">
        <x:f>IF(W314="估算",U314*M314,"")</x:f>
        <x:v>0.191791104</x:v>
      </x:c>
    </x:row>
    <x:row r="315" ht="25" customHeight="1">
      <x:c r="A315" s="2" t="b">
        <x:f>AND(AND(ISNUMBER($B$5),$B$5&gt;0),AND(ISNUMBER($F$5),$F$5&gt;0),AND(ISNUMBER($J$5),$J$5&gt;0),AND(ISNUMBER($B$9),$B$9&gt;0),AND(ISNUMBER(I33),I33&gt;0),AND(ISNUMBER(J33),J33&gt;0),AND(ISNUMBER(K33),K33&gt;0),AND(ISNUMBER(L33),L33&gt;0),AND(ISNUMBER(D165),D165&gt;0),AND(ISNUMBER(E165),E165&gt;0),MOD($B$5,1)=0,MOD($F$5,1)=0,MOD($J$5,1)=0,MOD($B$9,1)=0,MOD(K33,1)=0,ISNUMBER(C165),C165&gt;=2,MOD(C165,1)=0,OR($N$9=32,$N$9=64,$N$9=128),ISNUMBER($B$11),$B$11&gt;=0,MOD($B$11,1)=0,ISNUMBER($J$7),$J$7&gt;=0,$J$7&lt;1,AND(ISNUMBER(M33),M33&gt;=0,M33&lt;=1),AND(ISNUMBER(N33),N33&gt;=0,N33&lt;=1))</x:f>
        <x:v>1</x:v>
      </x:c>
      <x:c r="B315" s="12" t="n">
        <x:f>IF(A315,D165*1000,"")</x:f>
        <x:v>20000</x:v>
      </x:c>
      <x:c r="C315" s="12" t="n">
        <x:f>IF(A315,E165*L33,"")</x:f>
        <x:v>10</x:v>
      </x:c>
      <x:c r="D315" s="12" t="n">
        <x:f>IF(A315,M434,"")</x:f>
        <x:v>0.7144775390625</x:v>
      </x:c>
      <x:c r="E315" s="12" t="n">
        <x:f>IF(A315,B33/C33,"")</x:f>
        <x:v>4</x:v>
      </x:c>
      <x:c r="F315" s="12" t="n">
        <x:f>IF(A315,B33/D33,"")</x:f>
        <x:v>32</x:v>
      </x:c>
      <x:c r="G315" s="12" t="n">
        <x:f>IF(A315,$F$5*E315*$B$5*60000/B315,"")</x:f>
        <x:v>192</x:v>
      </x:c>
      <x:c r="H315" s="12" t="n">
        <x:f>IF(A315,G315/($J$5*F315),"")</x:f>
        <x:v>6</x:v>
      </x:c>
      <x:c r="I315" s="12" t="n">
        <x:f>IF(A315,$B$5*D315/C33/$B$9,"")</x:f>
        <x:v>1.428955078125</x:v>
      </x:c>
      <x:c r="J315" s="12" t="n">
        <x:f>IF(A315,I315*$F$5/$J$5,"")</x:f>
        <x:v>1.428955078125</x:v>
      </x:c>
      <x:c r="K315" s="12" t="n">
        <x:f>IF(A315,MAX(I315,J315)*2^30/(J33*1e6),"")</x:f>
        <x:v>0.31965184</x:v>
      </x:c>
      <x:c r="L315" s="12" t="n">
        <x:f>IF(A315,B315/$B$9,"")</x:f>
        <x:v>20000</x:v>
      </x:c>
      <x:c r="M315" s="54" t="n">
        <x:f>IF(A315,K315/L315,"")</x:f>
        <x:v>0.000015982592</x:v>
      </x:c>
      <x:c r="N315" s="12" t="n">
        <x:f>IF(A315,(E33*ROUNDUP(K33/D33,0)*G33*(B33-1)/B33*(ROUNDUP((ROUNDUP(F33*2/32,0)*32+32)/480,0)*512+F33*2+32)+E33*ROUNDUP(H33/B33,0)*(B33-1)*32)/1e9,"")</x:f>
        <x:v>0.64138752</x:v>
      </x:c>
      <x:c r="O315" s="12" t="n">
        <x:f>IF(A315,N315*1000/I33,"")</x:f>
        <x:v>0.1336224</x:v>
      </x:c>
      <x:c r="P315" s="12" t="n">
        <x:f>IF(A315,O315/E33,"")</x:f>
        <x:v>0.0033405600000000002</x:v>
      </x:c>
      <x:c r="Q315" s="12" t="n">
        <x:f>IF(A315,N315*1000/C315,"")</x:f>
        <x:v>64.138752</x:v>
      </x:c>
      <x:c r="R315" s="12" t="n">
        <x:f>IF(W315="估算",IF(OR(K315=0,O315=0),0,1-((E33-1)*MAX(0,(C315-O315)/E33-(K315))+MAX(0,L315-((E33-1)*C315/E33+P315)-(K315)))/L315),"")</x:f>
        <x:v>0.0005036496200000462</x:v>
      </x:c>
      <x:c r="S315" s="12" t="n">
        <x:f>IF(W315="估算",IF(O315=0,0,MAX(0,1-(1-((E33-1)*MAX(0,(C315-O315)/E33-(L315-K315))+MAX(0,L315-((E33-1)*C315/E33+P315)-(L315-K315)))/L315))),"")</x:f>
        <x:v>0</x:v>
      </x:c>
      <x:c r="T315" s="12" t="n">
        <x:f>IF(W315="估算",IF(OR(P315=0,K315=0,$J$7=0),0,IF(P315&lt;=(1-$J$7)*K315,$J$7*P315*K315/(1-$J$7)-$J$7^2*P315^2/(2*(1-$J$7)^2),$J$7*P315*K315+$J$7^2*K315^2/2)/L315),"")</x:f>
        <x:v>5.928867706862224e-9</x:v>
      </x:c>
      <x:c r="U315" s="12" t="n">
        <x:f>IF(A315,60000/C315,"")</x:f>
        <x:v>6000</x:v>
      </x:c>
      <x:c r="V315" s="12" t="n">
        <x:f>IF(W315="估算",U315*E33*T315*M33*N33,"")</x:f>
        <x:v>0.0014229282496469337</x:v>
      </x:c>
      <x:c r="W315" s="12" t="str">
        <x:f>IF(NOT(A315),"输入无效",IF(K315&gt;=L315,"KV 超载",IF(O315&gt;C315+1e-9,"TPOT 不自洽",IF(OR(C315&gt;L315,P315&gt;L315-K315),"需时序仿真","估算"))))</x:f>
        <x:v>估算</x:v>
      </x:c>
      <x:c r="X315" s="12" t="n">
        <x:f>IF(W315="估算",U315*M315,"")</x:f>
        <x:v>0.095895552</x:v>
      </x:c>
    </x:row>
    <x:row r="316" ht="25" customHeight="1">
      <x:c r="A316" s="2" t="b">
        <x:f>AND(AND(ISNUMBER($B$5),$B$5&gt;0),AND(ISNUMBER($F$5),$F$5&gt;0),AND(ISNUMBER($J$5),$J$5&gt;0),AND(ISNUMBER($B$9),$B$9&gt;0),AND(ISNUMBER(I33),I33&gt;0),AND(ISNUMBER(J33),J33&gt;0),AND(ISNUMBER(K33),K33&gt;0),AND(ISNUMBER(L33),L33&gt;0),AND(ISNUMBER(D166),D166&gt;0),AND(ISNUMBER(E166),E166&gt;0),MOD($B$5,1)=0,MOD($F$5,1)=0,MOD($J$5,1)=0,MOD($B$9,1)=0,MOD(K33,1)=0,ISNUMBER(C166),C166&gt;=2,MOD(C166,1)=0,OR($N$9=32,$N$9=64,$N$9=128),ISNUMBER($B$11),$B$11&gt;=0,MOD($B$11,1)=0,ISNUMBER($J$7),$J$7&gt;=0,$J$7&lt;1,AND(ISNUMBER(M33),M33&gt;=0,M33&lt;=1),AND(ISNUMBER(N33),N33&gt;=0,N33&lt;=1))</x:f>
        <x:v>1</x:v>
      </x:c>
      <x:c r="B316" s="12" t="n">
        <x:f>IF(A316,D166*1000,"")</x:f>
        <x:v>20000</x:v>
      </x:c>
      <x:c r="C316" s="12" t="n">
        <x:f>IF(A316,E166*L33,"")</x:f>
        <x:v>20</x:v>
      </x:c>
      <x:c r="D316" s="12" t="n">
        <x:f>IF(A316,M434,"")</x:f>
        <x:v>0.7144775390625</x:v>
      </x:c>
      <x:c r="E316" s="12" t="n">
        <x:f>IF(A316,B33/C33,"")</x:f>
        <x:v>4</x:v>
      </x:c>
      <x:c r="F316" s="12" t="n">
        <x:f>IF(A316,B33/D33,"")</x:f>
        <x:v>32</x:v>
      </x:c>
      <x:c r="G316" s="12" t="n">
        <x:f>IF(A316,$F$5*E316*$B$5*60000/B316,"")</x:f>
        <x:v>192</x:v>
      </x:c>
      <x:c r="H316" s="12" t="n">
        <x:f>IF(A316,G316/($J$5*F316),"")</x:f>
        <x:v>6</x:v>
      </x:c>
      <x:c r="I316" s="12" t="n">
        <x:f>IF(A316,$B$5*D316/C33/$B$9,"")</x:f>
        <x:v>1.428955078125</x:v>
      </x:c>
      <x:c r="J316" s="12" t="n">
        <x:f>IF(A316,I316*$F$5/$J$5,"")</x:f>
        <x:v>1.428955078125</x:v>
      </x:c>
      <x:c r="K316" s="12" t="n">
        <x:f>IF(A316,MAX(I316,J316)*2^30/(J33*1e6),"")</x:f>
        <x:v>0.31965184</x:v>
      </x:c>
      <x:c r="L316" s="12" t="n">
        <x:f>IF(A316,B316/$B$9,"")</x:f>
        <x:v>20000</x:v>
      </x:c>
      <x:c r="M316" s="54" t="n">
        <x:f>IF(A316,K316/L316,"")</x:f>
        <x:v>0.000015982592</x:v>
      </x:c>
      <x:c r="N316" s="12" t="n">
        <x:f>IF(A316,(E33*ROUNDUP(K33/D33,0)*G33*(B33-1)/B33*(ROUNDUP((ROUNDUP(F33*2/32,0)*32+32)/480,0)*512+F33*2+32)+E33*ROUNDUP(H33/B33,0)*(B33-1)*32)/1e9,"")</x:f>
        <x:v>0.64138752</x:v>
      </x:c>
      <x:c r="O316" s="12" t="n">
        <x:f>IF(A316,N316*1000/I33,"")</x:f>
        <x:v>0.1336224</x:v>
      </x:c>
      <x:c r="P316" s="12" t="n">
        <x:f>IF(A316,O316/E33,"")</x:f>
        <x:v>0.0033405600000000002</x:v>
      </x:c>
      <x:c r="Q316" s="12" t="n">
        <x:f>IF(A316,N316*1000/C316,"")</x:f>
        <x:v>32.069376</x:v>
      </x:c>
      <x:c r="R316" s="12" t="n">
        <x:f>IF(W316="估算",IF(OR(K316=0,O316=0),0,1-((E33-1)*MAX(0,(C316-O316)/E33-(K316))+MAX(0,L316-((E33-1)*C316/E33+P316)-(K316)))/L316),"")</x:f>
        <x:v>0.000645984799999999</x:v>
      </x:c>
      <x:c r="S316" s="12" t="n">
        <x:f>IF(W316="估算",IF(O316=0,0,MAX(0,1-(1-((E33-1)*MAX(0,(C316-O316)/E33-(L316-K316))+MAX(0,L316-((E33-1)*C316/E33+P316)-(L316-K316)))/L316))),"")</x:f>
        <x:v>0</x:v>
      </x:c>
      <x:c r="T316" s="12" t="n">
        <x:f>IF(W316="估算",IF(OR(P316=0,K316=0,$J$7=0),0,IF(P316&lt;=(1-$J$7)*K316,$J$7*P316*K316/(1-$J$7)-$J$7^2*P316^2/(2*(1-$J$7)^2),$J$7*P316*K316+$J$7^2*K316^2/2)/L316),"")</x:f>
        <x:v>5.928867706862224e-9</x:v>
      </x:c>
      <x:c r="U316" s="12" t="n">
        <x:f>IF(A316,60000/C316,"")</x:f>
        <x:v>3000</x:v>
      </x:c>
      <x:c r="V316" s="12" t="n">
        <x:f>IF(W316="估算",U316*E33*T316*M33*N33,"")</x:f>
        <x:v>0.0007114641248234669</x:v>
      </x:c>
      <x:c r="W316" s="12" t="str">
        <x:f>IF(NOT(A316),"输入无效",IF(K316&gt;=L316,"KV 超载",IF(O316&gt;C316+1e-9,"TPOT 不自洽",IF(OR(C316&gt;L316,P316&gt;L316-K316),"需时序仿真","估算"))))</x:f>
        <x:v>估算</x:v>
      </x:c>
      <x:c r="X316" s="12" t="n">
        <x:f>IF(W316="估算",U316*M316,"")</x:f>
        <x:v>0.047947776</x:v>
      </x:c>
    </x:row>
    <x:row r="317" ht="25" customHeight="1">
      <x:c r="A317" s="2" t="b">
        <x:f>AND(AND(ISNUMBER($B$5),$B$5&gt;0),AND(ISNUMBER($F$5),$F$5&gt;0),AND(ISNUMBER($J$5),$J$5&gt;0),AND(ISNUMBER($B$9),$B$9&gt;0),AND(ISNUMBER(I33),I33&gt;0),AND(ISNUMBER(J33),J33&gt;0),AND(ISNUMBER(K33),K33&gt;0),AND(ISNUMBER(L33),L33&gt;0),AND(ISNUMBER(D167),D167&gt;0),AND(ISNUMBER(E167),E167&gt;0),MOD($B$5,1)=0,MOD($F$5,1)=0,MOD($J$5,1)=0,MOD($B$9,1)=0,MOD(K33,1)=0,ISNUMBER(C167),C167&gt;=2,MOD(C167,1)=0,OR($N$9=32,$N$9=64,$N$9=128),ISNUMBER($B$11),$B$11&gt;=0,MOD($B$11,1)=0,ISNUMBER($J$7),$J$7&gt;=0,$J$7&lt;1,AND(ISNUMBER(M33),M33&gt;=0,M33&lt;=1),AND(ISNUMBER(N33),N33&gt;=0,N33&lt;=1))</x:f>
        <x:v>1</x:v>
      </x:c>
      <x:c r="B317" s="12" t="n">
        <x:f>IF(A317,D167*1000,"")</x:f>
        <x:v>20000</x:v>
      </x:c>
      <x:c r="C317" s="12" t="n">
        <x:f>IF(A317,E167*L33,"")</x:f>
        <x:v>30</x:v>
      </x:c>
      <x:c r="D317" s="12" t="n">
        <x:f>IF(A317,M434,"")</x:f>
        <x:v>0.7144775390625</x:v>
      </x:c>
      <x:c r="E317" s="12" t="n">
        <x:f>IF(A317,B33/C33,"")</x:f>
        <x:v>4</x:v>
      </x:c>
      <x:c r="F317" s="12" t="n">
        <x:f>IF(A317,B33/D33,"")</x:f>
        <x:v>32</x:v>
      </x:c>
      <x:c r="G317" s="12" t="n">
        <x:f>IF(A317,$F$5*E317*$B$5*60000/B317,"")</x:f>
        <x:v>192</x:v>
      </x:c>
      <x:c r="H317" s="12" t="n">
        <x:f>IF(A317,G317/($J$5*F317),"")</x:f>
        <x:v>6</x:v>
      </x:c>
      <x:c r="I317" s="12" t="n">
        <x:f>IF(A317,$B$5*D317/C33/$B$9,"")</x:f>
        <x:v>1.428955078125</x:v>
      </x:c>
      <x:c r="J317" s="12" t="n">
        <x:f>IF(A317,I317*$F$5/$J$5,"")</x:f>
        <x:v>1.428955078125</x:v>
      </x:c>
      <x:c r="K317" s="12" t="n">
        <x:f>IF(A317,MAX(I317,J317)*2^30/(J33*1e6),"")</x:f>
        <x:v>0.31965184</x:v>
      </x:c>
      <x:c r="L317" s="12" t="n">
        <x:f>IF(A317,B317/$B$9,"")</x:f>
        <x:v>20000</x:v>
      </x:c>
      <x:c r="M317" s="54" t="n">
        <x:f>IF(A317,K317/L317,"")</x:f>
        <x:v>0.000015982592</x:v>
      </x:c>
      <x:c r="N317" s="12" t="n">
        <x:f>IF(A317,(E33*ROUNDUP(K33/D33,0)*G33*(B33-1)/B33*(ROUNDUP((ROUNDUP(F33*2/32,0)*32+32)/480,0)*512+F33*2+32)+E33*ROUNDUP(H33/B33,0)*(B33-1)*32)/1e9,"")</x:f>
        <x:v>0.64138752</x:v>
      </x:c>
      <x:c r="O317" s="12" t="n">
        <x:f>IF(A317,N317*1000/I33,"")</x:f>
        <x:v>0.1336224</x:v>
      </x:c>
      <x:c r="P317" s="12" t="n">
        <x:f>IF(A317,O317/E33,"")</x:f>
        <x:v>0.0033405600000000002</x:v>
      </x:c>
      <x:c r="Q317" s="12" t="n">
        <x:f>IF(A317,N317*1000/C317,"")</x:f>
        <x:v>21.379584</x:v>
      </x:c>
      <x:c r="R317" s="12" t="n">
        <x:f>IF(W317="估算",IF(OR(K317=0,O317=0),0,1-((E33-1)*MAX(0,(C317-O317)/E33-(K317))+MAX(0,L317-((E33-1)*C317/E33+P317)-(K317)))/L317),"")</x:f>
        <x:v>0.000645984799999999</x:v>
      </x:c>
      <x:c r="S317" s="12" t="n">
        <x:f>IF(W317="估算",IF(O317=0,0,MAX(0,1-(1-((E33-1)*MAX(0,(C317-O317)/E33-(L317-K317))+MAX(0,L317-((E33-1)*C317/E33+P317)-(L317-K317)))/L317))),"")</x:f>
        <x:v>0</x:v>
      </x:c>
      <x:c r="T317" s="12" t="n">
        <x:f>IF(W317="估算",IF(OR(P317=0,K317=0,$J$7=0),0,IF(P317&lt;=(1-$J$7)*K317,$J$7*P317*K317/(1-$J$7)-$J$7^2*P317^2/(2*(1-$J$7)^2),$J$7*P317*K317+$J$7^2*K317^2/2)/L317),"")</x:f>
        <x:v>5.928867706862224e-9</x:v>
      </x:c>
      <x:c r="U317" s="12" t="n">
        <x:f>IF(A317,60000/C317,"")</x:f>
        <x:v>2000</x:v>
      </x:c>
      <x:c r="V317" s="12" t="n">
        <x:f>IF(W317="估算",U317*E33*T317*M33*N33,"")</x:f>
        <x:v>0.0004743094165489779</x:v>
      </x:c>
      <x:c r="W317" s="12" t="str">
        <x:f>IF(NOT(A317),"输入无效",IF(K317&gt;=L317,"KV 超载",IF(O317&gt;C317+1e-9,"TPOT 不自洽",IF(OR(C317&gt;L317,P317&gt;L317-K317),"需时序仿真","估算"))))</x:f>
        <x:v>估算</x:v>
      </x:c>
      <x:c r="X317" s="12" t="n">
        <x:f>IF(W317="估算",U317*M317,"")</x:f>
        <x:v>0.031965184</x:v>
      </x:c>
    </x:row>
    <x:row r="318" ht="25" customHeight="1">
      <x:c r="A318" s="2" t="b">
        <x:f>AND(AND(ISNUMBER($B$5),$B$5&gt;0),AND(ISNUMBER($F$5),$F$5&gt;0),AND(ISNUMBER($J$5),$J$5&gt;0),AND(ISNUMBER($B$9),$B$9&gt;0),AND(ISNUMBER(I33),I33&gt;0),AND(ISNUMBER(J33),J33&gt;0),AND(ISNUMBER(K33),K33&gt;0),AND(ISNUMBER(L33),L33&gt;0),AND(ISNUMBER(D168),D168&gt;0),AND(ISNUMBER(E168),E168&gt;0),MOD($B$5,1)=0,MOD($F$5,1)=0,MOD($J$5,1)=0,MOD($B$9,1)=0,MOD(K33,1)=0,ISNUMBER(C168),C168&gt;=2,MOD(C168,1)=0,OR($N$9=32,$N$9=64,$N$9=128),ISNUMBER($B$11),$B$11&gt;=0,MOD($B$11,1)=0,ISNUMBER($J$7),$J$7&gt;=0,$J$7&lt;1,AND(ISNUMBER(M33),M33&gt;=0,M33&lt;=1),AND(ISNUMBER(N33),N33&gt;=0,N33&lt;=1))</x:f>
        <x:v>1</x:v>
      </x:c>
      <x:c r="B318" s="12" t="n">
        <x:f>IF(A318,D168*1000,"")</x:f>
        <x:v>60000</x:v>
      </x:c>
      <x:c r="C318" s="12" t="n">
        <x:f>IF(A318,E168*L33,"")</x:f>
        <x:v>5</x:v>
      </x:c>
      <x:c r="D318" s="12" t="n">
        <x:f>IF(A318,M441,"")</x:f>
        <x:v>2.8275146484375</x:v>
      </x:c>
      <x:c r="E318" s="12" t="n">
        <x:f>IF(A318,B33/C33,"")</x:f>
        <x:v>4</x:v>
      </x:c>
      <x:c r="F318" s="12" t="n">
        <x:f>IF(A318,B33/D33,"")</x:f>
        <x:v>32</x:v>
      </x:c>
      <x:c r="G318" s="12" t="n">
        <x:f>IF(A318,$F$5*E318*$B$5*60000/B318,"")</x:f>
        <x:v>64</x:v>
      </x:c>
      <x:c r="H318" s="12" t="n">
        <x:f>IF(A318,G318/($J$5*F318),"")</x:f>
        <x:v>2</x:v>
      </x:c>
      <x:c r="I318" s="12" t="n">
        <x:f>IF(A318,$B$5*D318/C33/$B$9,"")</x:f>
        <x:v>5.655029296875</x:v>
      </x:c>
      <x:c r="J318" s="12" t="n">
        <x:f>IF(A318,I318*$F$5/$J$5,"")</x:f>
        <x:v>5.655029296875</x:v>
      </x:c>
      <x:c r="K318" s="12" t="n">
        <x:f>IF(A318,MAX(I318,J318)*2^30/(J33*1e6),"")</x:f>
        <x:v>1.26500864</x:v>
      </x:c>
      <x:c r="L318" s="12" t="n">
        <x:f>IF(A318,B318/$B$9,"")</x:f>
        <x:v>60000</x:v>
      </x:c>
      <x:c r="M318" s="54" t="n">
        <x:f>IF(A318,K318/L318,"")</x:f>
        <x:v>0.000021083477333333333</x:v>
      </x:c>
      <x:c r="N318" s="12" t="n">
        <x:f>IF(A318,(E33*ROUNDUP(K33/D33,0)*G33*(B33-1)/B33*(ROUNDUP((ROUNDUP(F33*2/32,0)*32+32)/480,0)*512+F33*2+32)+E33*ROUNDUP(H33/B33,0)*(B33-1)*32)/1e9,"")</x:f>
        <x:v>0.64138752</x:v>
      </x:c>
      <x:c r="O318" s="12" t="n">
        <x:f>IF(A318,N318*1000/I33,"")</x:f>
        <x:v>0.1336224</x:v>
      </x:c>
      <x:c r="P318" s="12" t="n">
        <x:f>IF(A318,O318/E33,"")</x:f>
        <x:v>0.0033405600000000002</x:v>
      </x:c>
      <x:c r="Q318" s="12" t="n">
        <x:f>IF(A318,N318*1000/C318,"")</x:f>
        <x:v>128.277504</x:v>
      </x:c>
      <x:c r="R318" s="12" t="n">
        <x:f>IF(W318="估算",IF(OR(K318=0,O318=0),0,1-((E33-1)*MAX(0,(C318-O318)/E33-(K318))+MAX(0,L318-((E33-1)*C318/E33+P318)-(K318)))/L318),"")</x:f>
        <x:v>0.00010238915333338205</x:v>
      </x:c>
      <x:c r="S318" s="12" t="n">
        <x:f>IF(W318="估算",IF(O318=0,0,MAX(0,1-(1-((E33-1)*MAX(0,(C318-O318)/E33-(L318-K318))+MAX(0,L318-((E33-1)*C318/E33+P318)-(L318-K318)))/L318))),"")</x:f>
        <x:v>0</x:v>
      </x:c>
      <x:c r="T318" s="12" t="n">
        <x:f>IF(W318="估算",IF(OR(P318=0,K318=0,$J$7=0),0,IF(P318&lt;=(1-$J$7)*K318,$J$7*P318*K318/(1-$J$7)-$J$7^2*P318^2/(2*(1-$J$7)^2),$J$7*P318*K318+$J$7^2*K318^2/2)/L318),"")</x:f>
        <x:v>7.824476479709631e-9</x:v>
      </x:c>
      <x:c r="U318" s="12" t="n">
        <x:f>IF(A318,60000/C318,"")</x:f>
        <x:v>12000</x:v>
      </x:c>
      <x:c r="V318" s="12" t="n">
        <x:f>IF(W318="估算",U318*E33*T318*M33*N33,"")</x:f>
        <x:v>0.003755748710260623</x:v>
      </x:c>
      <x:c r="W318" s="12" t="str">
        <x:f>IF(NOT(A318),"输入无效",IF(K318&gt;=L318,"KV 超载",IF(O318&gt;C318+1e-9,"TPOT 不自洽",IF(OR(C318&gt;L318,P318&gt;L318-K318),"需时序仿真","估算"))))</x:f>
        <x:v>估算</x:v>
      </x:c>
      <x:c r="X318" s="12" t="n">
        <x:f>IF(W318="估算",U318*M318,"")</x:f>
        <x:v>0.253001728</x:v>
      </x:c>
    </x:row>
    <x:row r="319" ht="25" customHeight="1">
      <x:c r="A319" s="2" t="b">
        <x:f>AND(AND(ISNUMBER($B$5),$B$5&gt;0),AND(ISNUMBER($F$5),$F$5&gt;0),AND(ISNUMBER($J$5),$J$5&gt;0),AND(ISNUMBER($B$9),$B$9&gt;0),AND(ISNUMBER(I33),I33&gt;0),AND(ISNUMBER(J33),J33&gt;0),AND(ISNUMBER(K33),K33&gt;0),AND(ISNUMBER(L33),L33&gt;0),AND(ISNUMBER(D169),D169&gt;0),AND(ISNUMBER(E169),E169&gt;0),MOD($B$5,1)=0,MOD($F$5,1)=0,MOD($J$5,1)=0,MOD($B$9,1)=0,MOD(K33,1)=0,ISNUMBER(C169),C169&gt;=2,MOD(C169,1)=0,OR($N$9=32,$N$9=64,$N$9=128),ISNUMBER($B$11),$B$11&gt;=0,MOD($B$11,1)=0,ISNUMBER($J$7),$J$7&gt;=0,$J$7&lt;1,AND(ISNUMBER(M33),M33&gt;=0,M33&lt;=1),AND(ISNUMBER(N33),N33&gt;=0,N33&lt;=1))</x:f>
        <x:v>1</x:v>
      </x:c>
      <x:c r="B319" s="12" t="n">
        <x:f>IF(A319,D169*1000,"")</x:f>
        <x:v>60000</x:v>
      </x:c>
      <x:c r="C319" s="12" t="n">
        <x:f>IF(A319,E169*L33,"")</x:f>
        <x:v>10</x:v>
      </x:c>
      <x:c r="D319" s="12" t="n">
        <x:f>IF(A319,M441,"")</x:f>
        <x:v>2.8275146484375</x:v>
      </x:c>
      <x:c r="E319" s="12" t="n">
        <x:f>IF(A319,B33/C33,"")</x:f>
        <x:v>4</x:v>
      </x:c>
      <x:c r="F319" s="12" t="n">
        <x:f>IF(A319,B33/D33,"")</x:f>
        <x:v>32</x:v>
      </x:c>
      <x:c r="G319" s="12" t="n">
        <x:f>IF(A319,$F$5*E319*$B$5*60000/B319,"")</x:f>
        <x:v>64</x:v>
      </x:c>
      <x:c r="H319" s="12" t="n">
        <x:f>IF(A319,G319/($J$5*F319),"")</x:f>
        <x:v>2</x:v>
      </x:c>
      <x:c r="I319" s="12" t="n">
        <x:f>IF(A319,$B$5*D319/C33/$B$9,"")</x:f>
        <x:v>5.655029296875</x:v>
      </x:c>
      <x:c r="J319" s="12" t="n">
        <x:f>IF(A319,I319*$F$5/$J$5,"")</x:f>
        <x:v>5.655029296875</x:v>
      </x:c>
      <x:c r="K319" s="12" t="n">
        <x:f>IF(A319,MAX(I319,J319)*2^30/(J33*1e6),"")</x:f>
        <x:v>1.26500864</x:v>
      </x:c>
      <x:c r="L319" s="12" t="n">
        <x:f>IF(A319,B319/$B$9,"")</x:f>
        <x:v>60000</x:v>
      </x:c>
      <x:c r="M319" s="54" t="n">
        <x:f>IF(A319,K319/L319,"")</x:f>
        <x:v>0.000021083477333333333</x:v>
      </x:c>
      <x:c r="N319" s="12" t="n">
        <x:f>IF(A319,(E33*ROUNDUP(K33/D33,0)*G33*(B33-1)/B33*(ROUNDUP((ROUNDUP(F33*2/32,0)*32+32)/480,0)*512+F33*2+32)+E33*ROUNDUP(H33/B33,0)*(B33-1)*32)/1e9,"")</x:f>
        <x:v>0.64138752</x:v>
      </x:c>
      <x:c r="O319" s="12" t="n">
        <x:f>IF(A319,N319*1000/I33,"")</x:f>
        <x:v>0.1336224</x:v>
      </x:c>
      <x:c r="P319" s="12" t="n">
        <x:f>IF(A319,O319/E33,"")</x:f>
        <x:v>0.0033405600000000002</x:v>
      </x:c>
      <x:c r="Q319" s="12" t="n">
        <x:f>IF(A319,N319*1000/C319,"")</x:f>
        <x:v>64.138752</x:v>
      </x:c>
      <x:c r="R319" s="12" t="n">
        <x:f>IF(W319="估算",IF(OR(K319=0,O319=0),0,1-((E33-1)*MAX(0,(C319-O319)/E33-(K319))+MAX(0,L319-((E33-1)*C319/E33+P319)-(K319)))/L319),"")</x:f>
        <x:v>0.00018363915333330372</x:v>
      </x:c>
      <x:c r="S319" s="12" t="n">
        <x:f>IF(W319="估算",IF(O319=0,0,MAX(0,1-(1-((E33-1)*MAX(0,(C319-O319)/E33-(L319-K319))+MAX(0,L319-((E33-1)*C319/E33+P319)-(L319-K319)))/L319))),"")</x:f>
        <x:v>0</x:v>
      </x:c>
      <x:c r="T319" s="12" t="n">
        <x:f>IF(W319="估算",IF(OR(P319=0,K319=0,$J$7=0),0,IF(P319&lt;=(1-$J$7)*K319,$J$7*P319*K319/(1-$J$7)-$J$7^2*P319^2/(2*(1-$J$7)^2),$J$7*P319*K319+$J$7^2*K319^2/2)/L319),"")</x:f>
        <x:v>7.824476479709631e-9</x:v>
      </x:c>
      <x:c r="U319" s="12" t="n">
        <x:f>IF(A319,60000/C319,"")</x:f>
        <x:v>6000</x:v>
      </x:c>
      <x:c r="V319" s="12" t="n">
        <x:f>IF(W319="估算",U319*E33*T319*M33*N33,"")</x:f>
        <x:v>0.0018778743551303115</x:v>
      </x:c>
      <x:c r="W319" s="12" t="str">
        <x:f>IF(NOT(A319),"输入无效",IF(K319&gt;=L319,"KV 超载",IF(O319&gt;C319+1e-9,"TPOT 不自洽",IF(OR(C319&gt;L319,P319&gt;L319-K319),"需时序仿真","估算"))))</x:f>
        <x:v>估算</x:v>
      </x:c>
      <x:c r="X319" s="12" t="n">
        <x:f>IF(W319="估算",U319*M319,"")</x:f>
        <x:v>0.126500864</x:v>
      </x:c>
    </x:row>
    <x:row r="320" ht="25" customHeight="1">
      <x:c r="A320" s="2" t="b">
        <x:f>AND(AND(ISNUMBER($B$5),$B$5&gt;0),AND(ISNUMBER($F$5),$F$5&gt;0),AND(ISNUMBER($J$5),$J$5&gt;0),AND(ISNUMBER($B$9),$B$9&gt;0),AND(ISNUMBER(I33),I33&gt;0),AND(ISNUMBER(J33),J33&gt;0),AND(ISNUMBER(K33),K33&gt;0),AND(ISNUMBER(L33),L33&gt;0),AND(ISNUMBER(D170),D170&gt;0),AND(ISNUMBER(E170),E170&gt;0),MOD($B$5,1)=0,MOD($F$5,1)=0,MOD($J$5,1)=0,MOD($B$9,1)=0,MOD(K33,1)=0,ISNUMBER(C170),C170&gt;=2,MOD(C170,1)=0,OR($N$9=32,$N$9=64,$N$9=128),ISNUMBER($B$11),$B$11&gt;=0,MOD($B$11,1)=0,ISNUMBER($J$7),$J$7&gt;=0,$J$7&lt;1,AND(ISNUMBER(M33),M33&gt;=0,M33&lt;=1),AND(ISNUMBER(N33),N33&gt;=0,N33&lt;=1))</x:f>
        <x:v>1</x:v>
      </x:c>
      <x:c r="B320" s="12" t="n">
        <x:f>IF(A320,D170*1000,"")</x:f>
        <x:v>60000</x:v>
      </x:c>
      <x:c r="C320" s="12" t="n">
        <x:f>IF(A320,E170*L33,"")</x:f>
        <x:v>20</x:v>
      </x:c>
      <x:c r="D320" s="12" t="n">
        <x:f>IF(A320,M441,"")</x:f>
        <x:v>2.8275146484375</x:v>
      </x:c>
      <x:c r="E320" s="12" t="n">
        <x:f>IF(A320,B33/C33,"")</x:f>
        <x:v>4</x:v>
      </x:c>
      <x:c r="F320" s="12" t="n">
        <x:f>IF(A320,B33/D33,"")</x:f>
        <x:v>32</x:v>
      </x:c>
      <x:c r="G320" s="12" t="n">
        <x:f>IF(A320,$F$5*E320*$B$5*60000/B320,"")</x:f>
        <x:v>64</x:v>
      </x:c>
      <x:c r="H320" s="12" t="n">
        <x:f>IF(A320,G320/($J$5*F320),"")</x:f>
        <x:v>2</x:v>
      </x:c>
      <x:c r="I320" s="12" t="n">
        <x:f>IF(A320,$B$5*D320/C33/$B$9,"")</x:f>
        <x:v>5.655029296875</x:v>
      </x:c>
      <x:c r="J320" s="12" t="n">
        <x:f>IF(A320,I320*$F$5/$J$5,"")</x:f>
        <x:v>5.655029296875</x:v>
      </x:c>
      <x:c r="K320" s="12" t="n">
        <x:f>IF(A320,MAX(I320,J320)*2^30/(J33*1e6),"")</x:f>
        <x:v>1.26500864</x:v>
      </x:c>
      <x:c r="L320" s="12" t="n">
        <x:f>IF(A320,B320/$B$9,"")</x:f>
        <x:v>60000</x:v>
      </x:c>
      <x:c r="M320" s="54" t="n">
        <x:f>IF(A320,K320/L320,"")</x:f>
        <x:v>0.000021083477333333333</x:v>
      </x:c>
      <x:c r="N320" s="12" t="n">
        <x:f>IF(A320,(E33*ROUNDUP(K33/D33,0)*G33*(B33-1)/B33*(ROUNDUP((ROUNDUP(F33*2/32,0)*32+32)/480,0)*512+F33*2+32)+E33*ROUNDUP(H33/B33,0)*(B33-1)*32)/1e9,"")</x:f>
        <x:v>0.64138752</x:v>
      </x:c>
      <x:c r="O320" s="12" t="n">
        <x:f>IF(A320,N320*1000/I33,"")</x:f>
        <x:v>0.1336224</x:v>
      </x:c>
      <x:c r="P320" s="12" t="n">
        <x:f>IF(A320,O320/E33,"")</x:f>
        <x:v>0.0033405600000000002</x:v>
      </x:c>
      <x:c r="Q320" s="12" t="n">
        <x:f>IF(A320,N320*1000/C320,"")</x:f>
        <x:v>32.069376</x:v>
      </x:c>
      <x:c r="R320" s="12" t="n">
        <x:f>IF(W320="估算",IF(OR(K320=0,O320=0),0,1-((E33-1)*MAX(0,(C320-O320)/E33-(K320))+MAX(0,L320-((E33-1)*C320/E33+P320)-(K320)))/L320),"")</x:f>
        <x:v>0.0003461391533333691</x:v>
      </x:c>
      <x:c r="S320" s="12" t="n">
        <x:f>IF(W320="估算",IF(O320=0,0,MAX(0,1-(1-((E33-1)*MAX(0,(C320-O320)/E33-(L320-K320))+MAX(0,L320-((E33-1)*C320/E33+P320)-(L320-K320)))/L320))),"")</x:f>
        <x:v>0</x:v>
      </x:c>
      <x:c r="T320" s="12" t="n">
        <x:f>IF(W320="估算",IF(OR(P320=0,K320=0,$J$7=0),0,IF(P320&lt;=(1-$J$7)*K320,$J$7*P320*K320/(1-$J$7)-$J$7^2*P320^2/(2*(1-$J$7)^2),$J$7*P320*K320+$J$7^2*K320^2/2)/L320),"")</x:f>
        <x:v>7.824476479709631e-9</x:v>
      </x:c>
      <x:c r="U320" s="12" t="n">
        <x:f>IF(A320,60000/C320,"")</x:f>
        <x:v>3000</x:v>
      </x:c>
      <x:c r="V320" s="12" t="n">
        <x:f>IF(W320="估算",U320*E33*T320*M33*N33,"")</x:f>
        <x:v>0.0009389371775651558</x:v>
      </x:c>
      <x:c r="W320" s="12" t="str">
        <x:f>IF(NOT(A320),"输入无效",IF(K320&gt;=L320,"KV 超载",IF(O320&gt;C320+1e-9,"TPOT 不自洽",IF(OR(C320&gt;L320,P320&gt;L320-K320),"需时序仿真","估算"))))</x:f>
        <x:v>估算</x:v>
      </x:c>
      <x:c r="X320" s="12" t="n">
        <x:f>IF(W320="估算",U320*M320,"")</x:f>
        <x:v>0.063250432</x:v>
      </x:c>
    </x:row>
    <x:row r="321" ht="25" customHeight="1">
      <x:c r="A321" s="2" t="b">
        <x:f>AND(AND(ISNUMBER($B$5),$B$5&gt;0),AND(ISNUMBER($F$5),$F$5&gt;0),AND(ISNUMBER($J$5),$J$5&gt;0),AND(ISNUMBER($B$9),$B$9&gt;0),AND(ISNUMBER(I33),I33&gt;0),AND(ISNUMBER(J33),J33&gt;0),AND(ISNUMBER(K33),K33&gt;0),AND(ISNUMBER(L33),L33&gt;0),AND(ISNUMBER(D171),D171&gt;0),AND(ISNUMBER(E171),E171&gt;0),MOD($B$5,1)=0,MOD($F$5,1)=0,MOD($J$5,1)=0,MOD($B$9,1)=0,MOD(K33,1)=0,ISNUMBER(C171),C171&gt;=2,MOD(C171,1)=0,OR($N$9=32,$N$9=64,$N$9=128),ISNUMBER($B$11),$B$11&gt;=0,MOD($B$11,1)=0,ISNUMBER($J$7),$J$7&gt;=0,$J$7&lt;1,AND(ISNUMBER(M33),M33&gt;=0,M33&lt;=1),AND(ISNUMBER(N33),N33&gt;=0,N33&lt;=1))</x:f>
        <x:v>1</x:v>
      </x:c>
      <x:c r="B321" s="12" t="n">
        <x:f>IF(A321,D171*1000,"")</x:f>
        <x:v>60000</x:v>
      </x:c>
      <x:c r="C321" s="12" t="n">
        <x:f>IF(A321,E171*L33,"")</x:f>
        <x:v>30</x:v>
      </x:c>
      <x:c r="D321" s="12" t="n">
        <x:f>IF(A321,M441,"")</x:f>
        <x:v>2.8275146484375</x:v>
      </x:c>
      <x:c r="E321" s="12" t="n">
        <x:f>IF(A321,B33/C33,"")</x:f>
        <x:v>4</x:v>
      </x:c>
      <x:c r="F321" s="12" t="n">
        <x:f>IF(A321,B33/D33,"")</x:f>
        <x:v>32</x:v>
      </x:c>
      <x:c r="G321" s="12" t="n">
        <x:f>IF(A321,$F$5*E321*$B$5*60000/B321,"")</x:f>
        <x:v>64</x:v>
      </x:c>
      <x:c r="H321" s="12" t="n">
        <x:f>IF(A321,G321/($J$5*F321),"")</x:f>
        <x:v>2</x:v>
      </x:c>
      <x:c r="I321" s="12" t="n">
        <x:f>IF(A321,$B$5*D321/C33/$B$9,"")</x:f>
        <x:v>5.655029296875</x:v>
      </x:c>
      <x:c r="J321" s="12" t="n">
        <x:f>IF(A321,I321*$F$5/$J$5,"")</x:f>
        <x:v>5.655029296875</x:v>
      </x:c>
      <x:c r="K321" s="12" t="n">
        <x:f>IF(A321,MAX(I321,J321)*2^30/(J33*1e6),"")</x:f>
        <x:v>1.26500864</x:v>
      </x:c>
      <x:c r="L321" s="12" t="n">
        <x:f>IF(A321,B321/$B$9,"")</x:f>
        <x:v>60000</x:v>
      </x:c>
      <x:c r="M321" s="54" t="n">
        <x:f>IF(A321,K321/L321,"")</x:f>
        <x:v>0.000021083477333333333</x:v>
      </x:c>
      <x:c r="N321" s="12" t="n">
        <x:f>IF(A321,(E33*ROUNDUP(K33/D33,0)*G33*(B33-1)/B33*(ROUNDUP((ROUNDUP(F33*2/32,0)*32+32)/480,0)*512+F33*2+32)+E33*ROUNDUP(H33/B33,0)*(B33-1)*32)/1e9,"")</x:f>
        <x:v>0.64138752</x:v>
      </x:c>
      <x:c r="O321" s="12" t="n">
        <x:f>IF(A321,N321*1000/I33,"")</x:f>
        <x:v>0.1336224</x:v>
      </x:c>
      <x:c r="P321" s="12" t="n">
        <x:f>IF(A321,O321/E33,"")</x:f>
        <x:v>0.0033405600000000002</x:v>
      </x:c>
      <x:c r="Q321" s="12" t="n">
        <x:f>IF(A321,N321*1000/C321,"")</x:f>
        <x:v>21.379584</x:v>
      </x:c>
      <x:c r="R321" s="12" t="n">
        <x:f>IF(W321="估算",IF(OR(K321=0,O321=0),0,1-((E33-1)*MAX(0,(C321-O321)/E33-(K321))+MAX(0,L321-((E33-1)*C321/E33+P321)-(K321)))/L321),"")</x:f>
        <x:v>0.0005086391533333234</x:v>
      </x:c>
      <x:c r="S321" s="12" t="n">
        <x:f>IF(W321="估算",IF(O321=0,0,MAX(0,1-(1-((E33-1)*MAX(0,(C321-O321)/E33-(L321-K321))+MAX(0,L321-((E33-1)*C321/E33+P321)-(L321-K321)))/L321))),"")</x:f>
        <x:v>0</x:v>
      </x:c>
      <x:c r="T321" s="12" t="n">
        <x:f>IF(W321="估算",IF(OR(P321=0,K321=0,$J$7=0),0,IF(P321&lt;=(1-$J$7)*K321,$J$7*P321*K321/(1-$J$7)-$J$7^2*P321^2/(2*(1-$J$7)^2),$J$7*P321*K321+$J$7^2*K321^2/2)/L321),"")</x:f>
        <x:v>7.824476479709631e-9</x:v>
      </x:c>
      <x:c r="U321" s="12" t="n">
        <x:f>IF(A321,60000/C321,"")</x:f>
        <x:v>2000</x:v>
      </x:c>
      <x:c r="V321" s="12" t="n">
        <x:f>IF(W321="估算",U321*E33*T321*M33*N33,"")</x:f>
        <x:v>0.0006259581183767704</x:v>
      </x:c>
      <x:c r="W321" s="12" t="str">
        <x:f>IF(NOT(A321),"输入无效",IF(K321&gt;=L321,"KV 超载",IF(O321&gt;C321+1e-9,"TPOT 不自洽",IF(OR(C321&gt;L321,P321&gt;L321-K321),"需时序仿真","估算"))))</x:f>
        <x:v>估算</x:v>
      </x:c>
      <x:c r="X321" s="12" t="n">
        <x:f>IF(W321="估算",U321*M321,"")</x:f>
        <x:v>0.042166954666666666</x:v>
      </x:c>
    </x:row>
    <x:row r="322" ht="25" customHeight="1">
      <x:c r="A322" s="2" t="b">
        <x:f>AND(AND(ISNUMBER($B$5),$B$5&gt;0),AND(ISNUMBER($F$5),$F$5&gt;0),AND(ISNUMBER($J$5),$J$5&gt;0),AND(ISNUMBER($B$9),$B$9&gt;0),AND(ISNUMBER(I34),I34&gt;0),AND(ISNUMBER(J34),J34&gt;0),AND(ISNUMBER(K34),K34&gt;0),AND(ISNUMBER(L34),L34&gt;0),AND(ISNUMBER(D172),D172&gt;0),AND(ISNUMBER(E172),E172&gt;0),MOD($B$5,1)=0,MOD($F$5,1)=0,MOD($J$5,1)=0,MOD($B$9,1)=0,MOD(K34,1)=0,ISNUMBER(C172),C172&gt;=2,MOD(C172,1)=0,OR($N$9=32,$N$9=64,$N$9=128),ISNUMBER($B$11),$B$11&gt;=0,MOD($B$11,1)=0,ISNUMBER($J$7),$J$7&gt;=0,$J$7&lt;1,AND(ISNUMBER(M34),M34&gt;=0,M34&lt;=1),AND(ISNUMBER(N34),N34&gt;=0,N34&lt;=1))</x:f>
        <x:v>1</x:v>
      </x:c>
      <x:c r="B322" s="12" t="n">
        <x:f>IF(A322,D172*1000,"")</x:f>
        <x:v>4000</x:v>
      </x:c>
      <x:c r="C322" s="12" t="n">
        <x:f>IF(A322,E172*L34,"")</x:f>
        <x:v>5</x:v>
      </x:c>
      <x:c r="D322" s="12" t="n">
        <x:f>IF(A322,M427,"")</x:f>
        <x:v>0.0541534423828125</x:v>
      </x:c>
      <x:c r="E322" s="12" t="n">
        <x:f>IF(A322,B34/C34,"")</x:f>
        <x:v>32</x:v>
      </x:c>
      <x:c r="F322" s="12" t="n">
        <x:f>IF(A322,B34/D34,"")</x:f>
        <x:v>256</x:v>
      </x:c>
      <x:c r="G322" s="12" t="n">
        <x:f>IF(A322,$F$5*E322*$B$5*60000/B322,"")</x:f>
        <x:v>7680</x:v>
      </x:c>
      <x:c r="H322" s="12" t="n">
        <x:f>IF(A322,G322/($J$5*F322),"")</x:f>
        <x:v>30</x:v>
      </x:c>
      <x:c r="I322" s="12" t="n">
        <x:f>IF(A322,$B$5*D322/C34/$B$9,"")</x:f>
        <x:v>0.108306884765625</x:v>
      </x:c>
      <x:c r="J322" s="12" t="n">
        <x:f>IF(A322,I322*$F$5/$J$5,"")</x:f>
        <x:v>0.108306884765625</x:v>
      </x:c>
      <x:c r="K322" s="12" t="n">
        <x:f>IF(A322,MAX(I322,J322)*2^30/(J34*1e6),"")</x:f>
        <x:v>0.02422784</x:v>
      </x:c>
      <x:c r="L322" s="12" t="n">
        <x:f>IF(A322,B322/$B$9,"")</x:f>
        <x:v>4000</x:v>
      </x:c>
      <x:c r="M322" s="54" t="n">
        <x:f>IF(A322,K322/L322,"")</x:f>
        <x:v>0.00000605696</x:v>
      </x:c>
      <x:c r="N322" s="12" t="n">
        <x:f>IF(A322,(E34*ROUNDUP(K34/D34,0)*G34*(B34-1)/B34*(ROUNDUP((ROUNDUP(F34*2/32,0)*32+32)/480,0)*512+F34*2+32)+E34*ROUNDUP(H34/B34,0)*(B34-1)*32)/1e9,"")</x:f>
        <x:v>0.6596544</x:v>
      </x:c>
      <x:c r="O322" s="12" t="n">
        <x:f>IF(A322,N322*1000/I34,"")</x:f>
        <x:v>0.137428</x:v>
      </x:c>
      <x:c r="P322" s="12" t="n">
        <x:f>IF(A322,O322/E34,"")</x:f>
        <x:v>0.0034357</x:v>
      </x:c>
      <x:c r="Q322" s="12" t="n">
        <x:f>IF(A322,N322*1000/C322,"")</x:f>
        <x:v>131.93088</x:v>
      </x:c>
      <x:c r="R322" s="12" t="n">
        <x:f>IF(W322="估算",IF(OR(K322=0,O322=0),0,1-((E34-1)*MAX(0,(C322-O322)/E34-(K322))+MAX(0,L322-((E34-1)*C322/E34+P322)-(K322)))/L322),"")</x:f>
        <x:v>0.00027663540000000264</x:v>
      </x:c>
      <x:c r="S322" s="12" t="n">
        <x:f>IF(W322="估算",IF(O322=0,0,MAX(0,1-(1-((E34-1)*MAX(0,(C322-O322)/E34-(L322-K322))+MAX(0,L322-((E34-1)*C322/E34+P322)-(L322-K322)))/L322))),"")</x:f>
        <x:v>0</x:v>
      </x:c>
      <x:c r="T322" s="12" t="n">
        <x:f>IF(W322="估算",IF(OR(P322=0,K322=0,$J$7=0),0,IF(P322&lt;=(1-$J$7)*K322,$J$7*P322*K322/(1-$J$7)-$J$7^2*P322^2/(2*(1-$J$7)^2),$J$7*P322*K322+$J$7^2*K322^2/2)/L322),"")</x:f>
        <x:v>2.2939947276141977e-9</x:v>
      </x:c>
      <x:c r="U322" s="12" t="n">
        <x:f>IF(A322,60000/C322,"")</x:f>
        <x:v>12000</x:v>
      </x:c>
      <x:c r="V322" s="12" t="n">
        <x:f>IF(W322="估算",U322*E34*T322*M34*N34,"")</x:f>
        <x:v>0.0011011174692548149</x:v>
      </x:c>
      <x:c r="W322" s="12" t="str">
        <x:f>IF(NOT(A322),"输入无效",IF(K322&gt;=L322,"KV 超载",IF(O322&gt;C322+1e-9,"TPOT 不自洽",IF(OR(C322&gt;L322,P322&gt;L322-K322),"需时序仿真","估算"))))</x:f>
        <x:v>估算</x:v>
      </x:c>
      <x:c r="X322" s="12" t="n">
        <x:f>IF(W322="估算",U322*M322,"")</x:f>
        <x:v>0.07268352</x:v>
      </x:c>
    </x:row>
    <x:row r="323" ht="25" customHeight="1">
      <x:c r="A323" s="2" t="b">
        <x:f>AND(AND(ISNUMBER($B$5),$B$5&gt;0),AND(ISNUMBER($F$5),$F$5&gt;0),AND(ISNUMBER($J$5),$J$5&gt;0),AND(ISNUMBER($B$9),$B$9&gt;0),AND(ISNUMBER(I34),I34&gt;0),AND(ISNUMBER(J34),J34&gt;0),AND(ISNUMBER(K34),K34&gt;0),AND(ISNUMBER(L34),L34&gt;0),AND(ISNUMBER(D173),D173&gt;0),AND(ISNUMBER(E173),E173&gt;0),MOD($B$5,1)=0,MOD($F$5,1)=0,MOD($J$5,1)=0,MOD($B$9,1)=0,MOD(K34,1)=0,ISNUMBER(C173),C173&gt;=2,MOD(C173,1)=0,OR($N$9=32,$N$9=64,$N$9=128),ISNUMBER($B$11),$B$11&gt;=0,MOD($B$11,1)=0,ISNUMBER($J$7),$J$7&gt;=0,$J$7&lt;1,AND(ISNUMBER(M34),M34&gt;=0,M34&lt;=1),AND(ISNUMBER(N34),N34&gt;=0,N34&lt;=1))</x:f>
        <x:v>1</x:v>
      </x:c>
      <x:c r="B323" s="12" t="n">
        <x:f>IF(A323,D173*1000,"")</x:f>
        <x:v>4000</x:v>
      </x:c>
      <x:c r="C323" s="12" t="n">
        <x:f>IF(A323,E173*L34,"")</x:f>
        <x:v>10</x:v>
      </x:c>
      <x:c r="D323" s="12" t="n">
        <x:f>IF(A323,M427,"")</x:f>
        <x:v>0.0541534423828125</x:v>
      </x:c>
      <x:c r="E323" s="12" t="n">
        <x:f>IF(A323,B34/C34,"")</x:f>
        <x:v>32</x:v>
      </x:c>
      <x:c r="F323" s="12" t="n">
        <x:f>IF(A323,B34/D34,"")</x:f>
        <x:v>256</x:v>
      </x:c>
      <x:c r="G323" s="12" t="n">
        <x:f>IF(A323,$F$5*E323*$B$5*60000/B323,"")</x:f>
        <x:v>7680</x:v>
      </x:c>
      <x:c r="H323" s="12" t="n">
        <x:f>IF(A323,G323/($J$5*F323),"")</x:f>
        <x:v>30</x:v>
      </x:c>
      <x:c r="I323" s="12" t="n">
        <x:f>IF(A323,$B$5*D323/C34/$B$9,"")</x:f>
        <x:v>0.108306884765625</x:v>
      </x:c>
      <x:c r="J323" s="12" t="n">
        <x:f>IF(A323,I323*$F$5/$J$5,"")</x:f>
        <x:v>0.108306884765625</x:v>
      </x:c>
      <x:c r="K323" s="12" t="n">
        <x:f>IF(A323,MAX(I323,J323)*2^30/(J34*1e6),"")</x:f>
        <x:v>0.02422784</x:v>
      </x:c>
      <x:c r="L323" s="12" t="n">
        <x:f>IF(A323,B323/$B$9,"")</x:f>
        <x:v>4000</x:v>
      </x:c>
      <x:c r="M323" s="54" t="n">
        <x:f>IF(A323,K323/L323,"")</x:f>
        <x:v>0.00000605696</x:v>
      </x:c>
      <x:c r="N323" s="12" t="n">
        <x:f>IF(A323,(E34*ROUNDUP(K34/D34,0)*G34*(B34-1)/B34*(ROUNDUP((ROUNDUP(F34*2/32,0)*32+32)/480,0)*512+F34*2+32)+E34*ROUNDUP(H34/B34,0)*(B34-1)*32)/1e9,"")</x:f>
        <x:v>0.6596544</x:v>
      </x:c>
      <x:c r="O323" s="12" t="n">
        <x:f>IF(A323,N323*1000/I34,"")</x:f>
        <x:v>0.137428</x:v>
      </x:c>
      <x:c r="P323" s="12" t="n">
        <x:f>IF(A323,O323/E34,"")</x:f>
        <x:v>0.0034357</x:v>
      </x:c>
      <x:c r="Q323" s="12" t="n">
        <x:f>IF(A323,N323*1000/C323,"")</x:f>
        <x:v>65.96544</x:v>
      </x:c>
      <x:c r="R323" s="12" t="n">
        <x:f>IF(W323="估算",IF(OR(K323=0,O323=0),0,1-((E34-1)*MAX(0,(C323-O323)/E34-(K323))+MAX(0,L323-((E34-1)*C323/E34+P323)-(K323)))/L323),"")</x:f>
        <x:v>0.00027663540000000264</x:v>
      </x:c>
      <x:c r="S323" s="12" t="n">
        <x:f>IF(W323="估算",IF(O323=0,0,MAX(0,1-(1-((E34-1)*MAX(0,(C323-O323)/E34-(L323-K323))+MAX(0,L323-((E34-1)*C323/E34+P323)-(L323-K323)))/L323))),"")</x:f>
        <x:v>0</x:v>
      </x:c>
      <x:c r="T323" s="12" t="n">
        <x:f>IF(W323="估算",IF(OR(P323=0,K323=0,$J$7=0),0,IF(P323&lt;=(1-$J$7)*K323,$J$7*P323*K323/(1-$J$7)-$J$7^2*P323^2/(2*(1-$J$7)^2),$J$7*P323*K323+$J$7^2*K323^2/2)/L323),"")</x:f>
        <x:v>2.2939947276141977e-9</x:v>
      </x:c>
      <x:c r="U323" s="12" t="n">
        <x:f>IF(A323,60000/C323,"")</x:f>
        <x:v>6000</x:v>
      </x:c>
      <x:c r="V323" s="12" t="n">
        <x:f>IF(W323="估算",U323*E34*T323*M34*N34,"")</x:f>
        <x:v>0.0005505587346274074</x:v>
      </x:c>
      <x:c r="W323" s="12" t="str">
        <x:f>IF(NOT(A323),"输入无效",IF(K323&gt;=L323,"KV 超载",IF(O323&gt;C323+1e-9,"TPOT 不自洽",IF(OR(C323&gt;L323,P323&gt;L323-K323),"需时序仿真","估算"))))</x:f>
        <x:v>估算</x:v>
      </x:c>
      <x:c r="X323" s="12" t="n">
        <x:f>IF(W323="估算",U323*M323,"")</x:f>
        <x:v>0.03634176</x:v>
      </x:c>
    </x:row>
    <x:row r="324" ht="25" customHeight="1">
      <x:c r="A324" s="2" t="b">
        <x:f>AND(AND(ISNUMBER($B$5),$B$5&gt;0),AND(ISNUMBER($F$5),$F$5&gt;0),AND(ISNUMBER($J$5),$J$5&gt;0),AND(ISNUMBER($B$9),$B$9&gt;0),AND(ISNUMBER(I34),I34&gt;0),AND(ISNUMBER(J34),J34&gt;0),AND(ISNUMBER(K34),K34&gt;0),AND(ISNUMBER(L34),L34&gt;0),AND(ISNUMBER(D174),D174&gt;0),AND(ISNUMBER(E174),E174&gt;0),MOD($B$5,1)=0,MOD($F$5,1)=0,MOD($J$5,1)=0,MOD($B$9,1)=0,MOD(K34,1)=0,ISNUMBER(C174),C174&gt;=2,MOD(C174,1)=0,OR($N$9=32,$N$9=64,$N$9=128),ISNUMBER($B$11),$B$11&gt;=0,MOD($B$11,1)=0,ISNUMBER($J$7),$J$7&gt;=0,$J$7&lt;1,AND(ISNUMBER(M34),M34&gt;=0,M34&lt;=1),AND(ISNUMBER(N34),N34&gt;=0,N34&lt;=1))</x:f>
        <x:v>1</x:v>
      </x:c>
      <x:c r="B324" s="12" t="n">
        <x:f>IF(A324,D174*1000,"")</x:f>
        <x:v>4000</x:v>
      </x:c>
      <x:c r="C324" s="12" t="n">
        <x:f>IF(A324,E174*L34,"")</x:f>
        <x:v>20</x:v>
      </x:c>
      <x:c r="D324" s="12" t="n">
        <x:f>IF(A324,M427,"")</x:f>
        <x:v>0.0541534423828125</x:v>
      </x:c>
      <x:c r="E324" s="12" t="n">
        <x:f>IF(A324,B34/C34,"")</x:f>
        <x:v>32</x:v>
      </x:c>
      <x:c r="F324" s="12" t="n">
        <x:f>IF(A324,B34/D34,"")</x:f>
        <x:v>256</x:v>
      </x:c>
      <x:c r="G324" s="12" t="n">
        <x:f>IF(A324,$F$5*E324*$B$5*60000/B324,"")</x:f>
        <x:v>7680</x:v>
      </x:c>
      <x:c r="H324" s="12" t="n">
        <x:f>IF(A324,G324/($J$5*F324),"")</x:f>
        <x:v>30</x:v>
      </x:c>
      <x:c r="I324" s="12" t="n">
        <x:f>IF(A324,$B$5*D324/C34/$B$9,"")</x:f>
        <x:v>0.108306884765625</x:v>
      </x:c>
      <x:c r="J324" s="12" t="n">
        <x:f>IF(A324,I324*$F$5/$J$5,"")</x:f>
        <x:v>0.108306884765625</x:v>
      </x:c>
      <x:c r="K324" s="12" t="n">
        <x:f>IF(A324,MAX(I324,J324)*2^30/(J34*1e6),"")</x:f>
        <x:v>0.02422784</x:v>
      </x:c>
      <x:c r="L324" s="12" t="n">
        <x:f>IF(A324,B324/$B$9,"")</x:f>
        <x:v>4000</x:v>
      </x:c>
      <x:c r="M324" s="54" t="n">
        <x:f>IF(A324,K324/L324,"")</x:f>
        <x:v>0.00000605696</x:v>
      </x:c>
      <x:c r="N324" s="12" t="n">
        <x:f>IF(A324,(E34*ROUNDUP(K34/D34,0)*G34*(B34-1)/B34*(ROUNDUP((ROUNDUP(F34*2/32,0)*32+32)/480,0)*512+F34*2+32)+E34*ROUNDUP(H34/B34,0)*(B34-1)*32)/1e9,"")</x:f>
        <x:v>0.6596544</x:v>
      </x:c>
      <x:c r="O324" s="12" t="n">
        <x:f>IF(A324,N324*1000/I34,"")</x:f>
        <x:v>0.137428</x:v>
      </x:c>
      <x:c r="P324" s="12" t="n">
        <x:f>IF(A324,O324/E34,"")</x:f>
        <x:v>0.0034357</x:v>
      </x:c>
      <x:c r="Q324" s="12" t="n">
        <x:f>IF(A324,N324*1000/C324,"")</x:f>
        <x:v>32.98272</x:v>
      </x:c>
      <x:c r="R324" s="12" t="n">
        <x:f>IF(W324="估算",IF(OR(K324=0,O324=0),0,1-((E34-1)*MAX(0,(C324-O324)/E34-(K324))+MAX(0,L324-((E34-1)*C324/E34+P324)-(K324)))/L324),"")</x:f>
        <x:v>0.00027663540000000264</x:v>
      </x:c>
      <x:c r="S324" s="12" t="n">
        <x:f>IF(W324="估算",IF(O324=0,0,MAX(0,1-(1-((E34-1)*MAX(0,(C324-O324)/E34-(L324-K324))+MAX(0,L324-((E34-1)*C324/E34+P324)-(L324-K324)))/L324))),"")</x:f>
        <x:v>0</x:v>
      </x:c>
      <x:c r="T324" s="12" t="n">
        <x:f>IF(W324="估算",IF(OR(P324=0,K324=0,$J$7=0),0,IF(P324&lt;=(1-$J$7)*K324,$J$7*P324*K324/(1-$J$7)-$J$7^2*P324^2/(2*(1-$J$7)^2),$J$7*P324*K324+$J$7^2*K324^2/2)/L324),"")</x:f>
        <x:v>2.2939947276141977e-9</x:v>
      </x:c>
      <x:c r="U324" s="12" t="n">
        <x:f>IF(A324,60000/C324,"")</x:f>
        <x:v>3000</x:v>
      </x:c>
      <x:c r="V324" s="12" t="n">
        <x:f>IF(W324="估算",U324*E34*T324*M34*N34,"")</x:f>
        <x:v>0.0002752793673137037</x:v>
      </x:c>
      <x:c r="W324" s="12" t="str">
        <x:f>IF(NOT(A324),"输入无效",IF(K324&gt;=L324,"KV 超载",IF(O324&gt;C324+1e-9,"TPOT 不自洽",IF(OR(C324&gt;L324,P324&gt;L324-K324),"需时序仿真","估算"))))</x:f>
        <x:v>估算</x:v>
      </x:c>
      <x:c r="X324" s="12" t="n">
        <x:f>IF(W324="估算",U324*M324,"")</x:f>
        <x:v>0.01817088</x:v>
      </x:c>
    </x:row>
    <x:row r="325" ht="25" customHeight="1">
      <x:c r="A325" s="2" t="b">
        <x:f>AND(AND(ISNUMBER($B$5),$B$5&gt;0),AND(ISNUMBER($F$5),$F$5&gt;0),AND(ISNUMBER($J$5),$J$5&gt;0),AND(ISNUMBER($B$9),$B$9&gt;0),AND(ISNUMBER(I34),I34&gt;0),AND(ISNUMBER(J34),J34&gt;0),AND(ISNUMBER(K34),K34&gt;0),AND(ISNUMBER(L34),L34&gt;0),AND(ISNUMBER(D175),D175&gt;0),AND(ISNUMBER(E175),E175&gt;0),MOD($B$5,1)=0,MOD($F$5,1)=0,MOD($J$5,1)=0,MOD($B$9,1)=0,MOD(K34,1)=0,ISNUMBER(C175),C175&gt;=2,MOD(C175,1)=0,OR($N$9=32,$N$9=64,$N$9=128),ISNUMBER($B$11),$B$11&gt;=0,MOD($B$11,1)=0,ISNUMBER($J$7),$J$7&gt;=0,$J$7&lt;1,AND(ISNUMBER(M34),M34&gt;=0,M34&lt;=1),AND(ISNUMBER(N34),N34&gt;=0,N34&lt;=1))</x:f>
        <x:v>1</x:v>
      </x:c>
      <x:c r="B325" s="12" t="n">
        <x:f>IF(A325,D175*1000,"")</x:f>
        <x:v>4000</x:v>
      </x:c>
      <x:c r="C325" s="12" t="n">
        <x:f>IF(A325,E175*L34,"")</x:f>
        <x:v>30</x:v>
      </x:c>
      <x:c r="D325" s="12" t="n">
        <x:f>IF(A325,M427,"")</x:f>
        <x:v>0.0541534423828125</x:v>
      </x:c>
      <x:c r="E325" s="12" t="n">
        <x:f>IF(A325,B34/C34,"")</x:f>
        <x:v>32</x:v>
      </x:c>
      <x:c r="F325" s="12" t="n">
        <x:f>IF(A325,B34/D34,"")</x:f>
        <x:v>256</x:v>
      </x:c>
      <x:c r="G325" s="12" t="n">
        <x:f>IF(A325,$F$5*E325*$B$5*60000/B325,"")</x:f>
        <x:v>7680</x:v>
      </x:c>
      <x:c r="H325" s="12" t="n">
        <x:f>IF(A325,G325/($J$5*F325),"")</x:f>
        <x:v>30</x:v>
      </x:c>
      <x:c r="I325" s="12" t="n">
        <x:f>IF(A325,$B$5*D325/C34/$B$9,"")</x:f>
        <x:v>0.108306884765625</x:v>
      </x:c>
      <x:c r="J325" s="12" t="n">
        <x:f>IF(A325,I325*$F$5/$J$5,"")</x:f>
        <x:v>0.108306884765625</x:v>
      </x:c>
      <x:c r="K325" s="12" t="n">
        <x:f>IF(A325,MAX(I325,J325)*2^30/(J34*1e6),"")</x:f>
        <x:v>0.02422784</x:v>
      </x:c>
      <x:c r="L325" s="12" t="n">
        <x:f>IF(A325,B325/$B$9,"")</x:f>
        <x:v>4000</x:v>
      </x:c>
      <x:c r="M325" s="54" t="n">
        <x:f>IF(A325,K325/L325,"")</x:f>
        <x:v>0.00000605696</x:v>
      </x:c>
      <x:c r="N325" s="12" t="n">
        <x:f>IF(A325,(E34*ROUNDUP(K34/D34,0)*G34*(B34-1)/B34*(ROUNDUP((ROUNDUP(F34*2/32,0)*32+32)/480,0)*512+F34*2+32)+E34*ROUNDUP(H34/B34,0)*(B34-1)*32)/1e9,"")</x:f>
        <x:v>0.6596544</x:v>
      </x:c>
      <x:c r="O325" s="12" t="n">
        <x:f>IF(A325,N325*1000/I34,"")</x:f>
        <x:v>0.137428</x:v>
      </x:c>
      <x:c r="P325" s="12" t="n">
        <x:f>IF(A325,O325/E34,"")</x:f>
        <x:v>0.0034357</x:v>
      </x:c>
      <x:c r="Q325" s="12" t="n">
        <x:f>IF(A325,N325*1000/C325,"")</x:f>
        <x:v>21.98848</x:v>
      </x:c>
      <x:c r="R325" s="12" t="n">
        <x:f>IF(W325="估算",IF(OR(K325=0,O325=0),0,1-((E34-1)*MAX(0,(C325-O325)/E34-(K325))+MAX(0,L325-((E34-1)*C325/E34+P325)-(K325)))/L325),"")</x:f>
        <x:v>0.00027663540000000264</x:v>
      </x:c>
      <x:c r="S325" s="12" t="n">
        <x:f>IF(W325="估算",IF(O325=0,0,MAX(0,1-(1-((E34-1)*MAX(0,(C325-O325)/E34-(L325-K325))+MAX(0,L325-((E34-1)*C325/E34+P325)-(L325-K325)))/L325))),"")</x:f>
        <x:v>0</x:v>
      </x:c>
      <x:c r="T325" s="12" t="n">
        <x:f>IF(W325="估算",IF(OR(P325=0,K325=0,$J$7=0),0,IF(P325&lt;=(1-$J$7)*K325,$J$7*P325*K325/(1-$J$7)-$J$7^2*P325^2/(2*(1-$J$7)^2),$J$7*P325*K325+$J$7^2*K325^2/2)/L325),"")</x:f>
        <x:v>2.2939947276141977e-9</x:v>
      </x:c>
      <x:c r="U325" s="12" t="n">
        <x:f>IF(A325,60000/C325,"")</x:f>
        <x:v>2000</x:v>
      </x:c>
      <x:c r="V325" s="12" t="n">
        <x:f>IF(W325="估算",U325*E34*T325*M34*N34,"")</x:f>
        <x:v>0.0001835195782091358</x:v>
      </x:c>
      <x:c r="W325" s="12" t="str">
        <x:f>IF(NOT(A325),"输入无效",IF(K325&gt;=L325,"KV 超载",IF(O325&gt;C325+1e-9,"TPOT 不自洽",IF(OR(C325&gt;L325,P325&gt;L325-K325),"需时序仿真","估算"))))</x:f>
        <x:v>估算</x:v>
      </x:c>
      <x:c r="X325" s="12" t="n">
        <x:f>IF(W325="估算",U325*M325,"")</x:f>
        <x:v>0.01211392</x:v>
      </x:c>
    </x:row>
    <x:row r="326" ht="25" customHeight="1">
      <x:c r="A326" s="2" t="b">
        <x:f>AND(AND(ISNUMBER($B$5),$B$5&gt;0),AND(ISNUMBER($F$5),$F$5&gt;0),AND(ISNUMBER($J$5),$J$5&gt;0),AND(ISNUMBER($B$9),$B$9&gt;0),AND(ISNUMBER(I34),I34&gt;0),AND(ISNUMBER(J34),J34&gt;0),AND(ISNUMBER(K34),K34&gt;0),AND(ISNUMBER(L34),L34&gt;0),AND(ISNUMBER(D176),D176&gt;0),AND(ISNUMBER(E176),E176&gt;0),MOD($B$5,1)=0,MOD($F$5,1)=0,MOD($J$5,1)=0,MOD($B$9,1)=0,MOD(K34,1)=0,ISNUMBER(C176),C176&gt;=2,MOD(C176,1)=0,OR($N$9=32,$N$9=64,$N$9=128),ISNUMBER($B$11),$B$11&gt;=0,MOD($B$11,1)=0,ISNUMBER($J$7),$J$7&gt;=0,$J$7&lt;1,AND(ISNUMBER(M34),M34&gt;=0,M34&lt;=1),AND(ISNUMBER(N34),N34&gt;=0,N34&lt;=1))</x:f>
        <x:v>1</x:v>
      </x:c>
      <x:c r="B326" s="12" t="n">
        <x:f>IF(A326,D176*1000,"")</x:f>
        <x:v>20000</x:v>
      </x:c>
      <x:c r="C326" s="12" t="n">
        <x:f>IF(A326,E176*L34,"")</x:f>
        <x:v>5</x:v>
      </x:c>
      <x:c r="D326" s="12" t="n">
        <x:f>IF(A326,M434,"")</x:f>
        <x:v>0.7144775390625</x:v>
      </x:c>
      <x:c r="E326" s="12" t="n">
        <x:f>IF(A326,B34/C34,"")</x:f>
        <x:v>32</x:v>
      </x:c>
      <x:c r="F326" s="12" t="n">
        <x:f>IF(A326,B34/D34,"")</x:f>
        <x:v>256</x:v>
      </x:c>
      <x:c r="G326" s="12" t="n">
        <x:f>IF(A326,$F$5*E326*$B$5*60000/B326,"")</x:f>
        <x:v>1536</x:v>
      </x:c>
      <x:c r="H326" s="12" t="n">
        <x:f>IF(A326,G326/($J$5*F326),"")</x:f>
        <x:v>6</x:v>
      </x:c>
      <x:c r="I326" s="12" t="n">
        <x:f>IF(A326,$B$5*D326/C34/$B$9,"")</x:f>
        <x:v>1.428955078125</x:v>
      </x:c>
      <x:c r="J326" s="12" t="n">
        <x:f>IF(A326,I326*$F$5/$J$5,"")</x:f>
        <x:v>1.428955078125</x:v>
      </x:c>
      <x:c r="K326" s="12" t="n">
        <x:f>IF(A326,MAX(I326,J326)*2^30/(J34*1e6),"")</x:f>
        <x:v>0.31965184</x:v>
      </x:c>
      <x:c r="L326" s="12" t="n">
        <x:f>IF(A326,B326/$B$9,"")</x:f>
        <x:v>20000</x:v>
      </x:c>
      <x:c r="M326" s="54" t="n">
        <x:f>IF(A326,K326/L326,"")</x:f>
        <x:v>0.000015982592</x:v>
      </x:c>
      <x:c r="N326" s="12" t="n">
        <x:f>IF(A326,(E34*ROUNDUP(K34/D34,0)*G34*(B34-1)/B34*(ROUNDUP((ROUNDUP(F34*2/32,0)*32+32)/480,0)*512+F34*2+32)+E34*ROUNDUP(H34/B34,0)*(B34-1)*32)/1e9,"")</x:f>
        <x:v>0.6596544</x:v>
      </x:c>
      <x:c r="O326" s="12" t="n">
        <x:f>IF(A326,N326*1000/I34,"")</x:f>
        <x:v>0.137428</x:v>
      </x:c>
      <x:c r="P326" s="12" t="n">
        <x:f>IF(A326,O326/E34,"")</x:f>
        <x:v>0.0034357</x:v>
      </x:c>
      <x:c r="Q326" s="12" t="n">
        <x:f>IF(A326,N326*1000/C326,"")</x:f>
        <x:v>131.93088</x:v>
      </x:c>
      <x:c r="R326" s="12" t="n">
        <x:f>IF(W326="估算",IF(OR(K326=0,O326=0),0,1-((E34-1)*MAX(0,(C326-O326)/E34-(K326))+MAX(0,L326-((E34-1)*C326/E34+P326)-(K326)))/L326),"")</x:f>
        <x:v>0.0002599043770000753</x:v>
      </x:c>
      <x:c r="S326" s="12" t="n">
        <x:f>IF(W326="估算",IF(O326=0,0,MAX(0,1-(1-((E34-1)*MAX(0,(C326-O326)/E34-(L326-K326))+MAX(0,L326-((E34-1)*C326/E34+P326)-(L326-K326)))/L326))),"")</x:f>
        <x:v>0</x:v>
      </x:c>
      <x:c r="T326" s="12" t="n">
        <x:f>IF(W326="估算",IF(OR(P326=0,K326=0,$J$7=0),0,IF(P326&lt;=(1-$J$7)*K326,$J$7*P326*K326/(1-$J$7)-$J$7^2*P326^2/(2*(1-$J$7)^2),$J$7*P326*K326+$J$7^2*K326^2/2)/L326),"")</x:f>
        <x:v>6.097622483300618e-9</x:v>
      </x:c>
      <x:c r="U326" s="12" t="n">
        <x:f>IF(A326,60000/C326,"")</x:f>
        <x:v>12000</x:v>
      </x:c>
      <x:c r="V326" s="12" t="n">
        <x:f>IF(W326="估算",U326*E34*T326*M34*N34,"")</x:f>
        <x:v>0.002926858791984297</x:v>
      </x:c>
      <x:c r="W326" s="12" t="str">
        <x:f>IF(NOT(A326),"输入无效",IF(K326&gt;=L326,"KV 超载",IF(O326&gt;C326+1e-9,"TPOT 不自洽",IF(OR(C326&gt;L326,P326&gt;L326-K326),"需时序仿真","估算"))))</x:f>
        <x:v>估算</x:v>
      </x:c>
      <x:c r="X326" s="12" t="n">
        <x:f>IF(W326="估算",U326*M326,"")</x:f>
        <x:v>0.191791104</x:v>
      </x:c>
    </x:row>
    <x:row r="327" ht="25" customHeight="1">
      <x:c r="A327" s="2" t="b">
        <x:f>AND(AND(ISNUMBER($B$5),$B$5&gt;0),AND(ISNUMBER($F$5),$F$5&gt;0),AND(ISNUMBER($J$5),$J$5&gt;0),AND(ISNUMBER($B$9),$B$9&gt;0),AND(ISNUMBER(I34),I34&gt;0),AND(ISNUMBER(J34),J34&gt;0),AND(ISNUMBER(K34),K34&gt;0),AND(ISNUMBER(L34),L34&gt;0),AND(ISNUMBER(D177),D177&gt;0),AND(ISNUMBER(E177),E177&gt;0),MOD($B$5,1)=0,MOD($F$5,1)=0,MOD($J$5,1)=0,MOD($B$9,1)=0,MOD(K34,1)=0,ISNUMBER(C177),C177&gt;=2,MOD(C177,1)=0,OR($N$9=32,$N$9=64,$N$9=128),ISNUMBER($B$11),$B$11&gt;=0,MOD($B$11,1)=0,ISNUMBER($J$7),$J$7&gt;=0,$J$7&lt;1,AND(ISNUMBER(M34),M34&gt;=0,M34&lt;=1),AND(ISNUMBER(N34),N34&gt;=0,N34&lt;=1))</x:f>
        <x:v>1</x:v>
      </x:c>
      <x:c r="B327" s="12" t="n">
        <x:f>IF(A327,D177*1000,"")</x:f>
        <x:v>20000</x:v>
      </x:c>
      <x:c r="C327" s="12" t="n">
        <x:f>IF(A327,E177*L34,"")</x:f>
        <x:v>10</x:v>
      </x:c>
      <x:c r="D327" s="12" t="n">
        <x:f>IF(A327,M434,"")</x:f>
        <x:v>0.7144775390625</x:v>
      </x:c>
      <x:c r="E327" s="12" t="n">
        <x:f>IF(A327,B34/C34,"")</x:f>
        <x:v>32</x:v>
      </x:c>
      <x:c r="F327" s="12" t="n">
        <x:f>IF(A327,B34/D34,"")</x:f>
        <x:v>256</x:v>
      </x:c>
      <x:c r="G327" s="12" t="n">
        <x:f>IF(A327,$F$5*E327*$B$5*60000/B327,"")</x:f>
        <x:v>1536</x:v>
      </x:c>
      <x:c r="H327" s="12" t="n">
        <x:f>IF(A327,G327/($J$5*F327),"")</x:f>
        <x:v>6</x:v>
      </x:c>
      <x:c r="I327" s="12" t="n">
        <x:f>IF(A327,$B$5*D327/C34/$B$9,"")</x:f>
        <x:v>1.428955078125</x:v>
      </x:c>
      <x:c r="J327" s="12" t="n">
        <x:f>IF(A327,I327*$F$5/$J$5,"")</x:f>
        <x:v>1.428955078125</x:v>
      </x:c>
      <x:c r="K327" s="12" t="n">
        <x:f>IF(A327,MAX(I327,J327)*2^30/(J34*1e6),"")</x:f>
        <x:v>0.31965184</x:v>
      </x:c>
      <x:c r="L327" s="12" t="n">
        <x:f>IF(A327,B327/$B$9,"")</x:f>
        <x:v>20000</x:v>
      </x:c>
      <x:c r="M327" s="54" t="n">
        <x:f>IF(A327,K327/L327,"")</x:f>
        <x:v>0.000015982592</x:v>
      </x:c>
      <x:c r="N327" s="12" t="n">
        <x:f>IF(A327,(E34*ROUNDUP(K34/D34,0)*G34*(B34-1)/B34*(ROUNDUP((ROUNDUP(F34*2/32,0)*32+32)/480,0)*512+F34*2+32)+E34*ROUNDUP(H34/B34,0)*(B34-1)*32)/1e9,"")</x:f>
        <x:v>0.6596544</x:v>
      </x:c>
      <x:c r="O327" s="12" t="n">
        <x:f>IF(A327,N327*1000/I34,"")</x:f>
        <x:v>0.137428</x:v>
      </x:c>
      <x:c r="P327" s="12" t="n">
        <x:f>IF(A327,O327/E34,"")</x:f>
        <x:v>0.0034357</x:v>
      </x:c>
      <x:c r="Q327" s="12" t="n">
        <x:f>IF(A327,N327*1000/C327,"")</x:f>
        <x:v>65.96544</x:v>
      </x:c>
      <x:c r="R327" s="12" t="n">
        <x:f>IF(W327="估算",IF(OR(K327=0,O327=0),0,1-((E34-1)*MAX(0,(C327-O327)/E34-(K327))+MAX(0,L327-((E34-1)*C327/E34+P327)-(K327)))/L327),"")</x:f>
        <x:v>0.0005036543770000623</x:v>
      </x:c>
      <x:c r="S327" s="12" t="n">
        <x:f>IF(W327="估算",IF(O327=0,0,MAX(0,1-(1-((E34-1)*MAX(0,(C327-O327)/E34-(L327-K327))+MAX(0,L327-((E34-1)*C327/E34+P327)-(L327-K327)))/L327))),"")</x:f>
        <x:v>0</x:v>
      </x:c>
      <x:c r="T327" s="12" t="n">
        <x:f>IF(W327="估算",IF(OR(P327=0,K327=0,$J$7=0),0,IF(P327&lt;=(1-$J$7)*K327,$J$7*P327*K327/(1-$J$7)-$J$7^2*P327^2/(2*(1-$J$7)^2),$J$7*P327*K327+$J$7^2*K327^2/2)/L327),"")</x:f>
        <x:v>6.097622483300618e-9</x:v>
      </x:c>
      <x:c r="U327" s="12" t="n">
        <x:f>IF(A327,60000/C327,"")</x:f>
        <x:v>6000</x:v>
      </x:c>
      <x:c r="V327" s="12" t="n">
        <x:f>IF(W327="估算",U327*E34*T327*M34*N34,"")</x:f>
        <x:v>0.0014634293959921484</x:v>
      </x:c>
      <x:c r="W327" s="12" t="str">
        <x:f>IF(NOT(A327),"输入无效",IF(K327&gt;=L327,"KV 超载",IF(O327&gt;C327+1e-9,"TPOT 不自洽",IF(OR(C327&gt;L327,P327&gt;L327-K327),"需时序仿真","估算"))))</x:f>
        <x:v>估算</x:v>
      </x:c>
      <x:c r="X327" s="12" t="n">
        <x:f>IF(W327="估算",U327*M327,"")</x:f>
        <x:v>0.095895552</x:v>
      </x:c>
    </x:row>
    <x:row r="328" ht="25" customHeight="1">
      <x:c r="A328" s="2" t="b">
        <x:f>AND(AND(ISNUMBER($B$5),$B$5&gt;0),AND(ISNUMBER($F$5),$F$5&gt;0),AND(ISNUMBER($J$5),$J$5&gt;0),AND(ISNUMBER($B$9),$B$9&gt;0),AND(ISNUMBER(I34),I34&gt;0),AND(ISNUMBER(J34),J34&gt;0),AND(ISNUMBER(K34),K34&gt;0),AND(ISNUMBER(L34),L34&gt;0),AND(ISNUMBER(D178),D178&gt;0),AND(ISNUMBER(E178),E178&gt;0),MOD($B$5,1)=0,MOD($F$5,1)=0,MOD($J$5,1)=0,MOD($B$9,1)=0,MOD(K34,1)=0,ISNUMBER(C178),C178&gt;=2,MOD(C178,1)=0,OR($N$9=32,$N$9=64,$N$9=128),ISNUMBER($B$11),$B$11&gt;=0,MOD($B$11,1)=0,ISNUMBER($J$7),$J$7&gt;=0,$J$7&lt;1,AND(ISNUMBER(M34),M34&gt;=0,M34&lt;=1),AND(ISNUMBER(N34),N34&gt;=0,N34&lt;=1))</x:f>
        <x:v>1</x:v>
      </x:c>
      <x:c r="B328" s="12" t="n">
        <x:f>IF(A328,D178*1000,"")</x:f>
        <x:v>20000</x:v>
      </x:c>
      <x:c r="C328" s="12" t="n">
        <x:f>IF(A328,E178*L34,"")</x:f>
        <x:v>20</x:v>
      </x:c>
      <x:c r="D328" s="12" t="n">
        <x:f>IF(A328,M434,"")</x:f>
        <x:v>0.7144775390625</x:v>
      </x:c>
      <x:c r="E328" s="12" t="n">
        <x:f>IF(A328,B34/C34,"")</x:f>
        <x:v>32</x:v>
      </x:c>
      <x:c r="F328" s="12" t="n">
        <x:f>IF(A328,B34/D34,"")</x:f>
        <x:v>256</x:v>
      </x:c>
      <x:c r="G328" s="12" t="n">
        <x:f>IF(A328,$F$5*E328*$B$5*60000/B328,"")</x:f>
        <x:v>1536</x:v>
      </x:c>
      <x:c r="H328" s="12" t="n">
        <x:f>IF(A328,G328/($J$5*F328),"")</x:f>
        <x:v>6</x:v>
      </x:c>
      <x:c r="I328" s="12" t="n">
        <x:f>IF(A328,$B$5*D328/C34/$B$9,"")</x:f>
        <x:v>1.428955078125</x:v>
      </x:c>
      <x:c r="J328" s="12" t="n">
        <x:f>IF(A328,I328*$F$5/$J$5,"")</x:f>
        <x:v>1.428955078125</x:v>
      </x:c>
      <x:c r="K328" s="12" t="n">
        <x:f>IF(A328,MAX(I328,J328)*2^30/(J34*1e6),"")</x:f>
        <x:v>0.31965184</x:v>
      </x:c>
      <x:c r="L328" s="12" t="n">
        <x:f>IF(A328,B328/$B$9,"")</x:f>
        <x:v>20000</x:v>
      </x:c>
      <x:c r="M328" s="54" t="n">
        <x:f>IF(A328,K328/L328,"")</x:f>
        <x:v>0.000015982592</x:v>
      </x:c>
      <x:c r="N328" s="12" t="n">
        <x:f>IF(A328,(E34*ROUNDUP(K34/D34,0)*G34*(B34-1)/B34*(ROUNDUP((ROUNDUP(F34*2/32,0)*32+32)/480,0)*512+F34*2+32)+E34*ROUNDUP(H34/B34,0)*(B34-1)*32)/1e9,"")</x:f>
        <x:v>0.6596544</x:v>
      </x:c>
      <x:c r="O328" s="12" t="n">
        <x:f>IF(A328,N328*1000/I34,"")</x:f>
        <x:v>0.137428</x:v>
      </x:c>
      <x:c r="P328" s="12" t="n">
        <x:f>IF(A328,O328/E34,"")</x:f>
        <x:v>0.0034357</x:v>
      </x:c>
      <x:c r="Q328" s="12" t="n">
        <x:f>IF(A328,N328*1000/C328,"")</x:f>
        <x:v>32.98272</x:v>
      </x:c>
      <x:c r="R328" s="12" t="n">
        <x:f>IF(W328="估算",IF(OR(K328=0,O328=0),0,1-((E34-1)*MAX(0,(C328-O328)/E34-(K328))+MAX(0,L328-((E34-1)*C328/E34+P328)-(K328)))/L328),"")</x:f>
        <x:v>0.0006461750800000887</x:v>
      </x:c>
      <x:c r="S328" s="12" t="n">
        <x:f>IF(W328="估算",IF(O328=0,0,MAX(0,1-(1-((E34-1)*MAX(0,(C328-O328)/E34-(L328-K328))+MAX(0,L328-((E34-1)*C328/E34+P328)-(L328-K328)))/L328))),"")</x:f>
        <x:v>0</x:v>
      </x:c>
      <x:c r="T328" s="12" t="n">
        <x:f>IF(W328="估算",IF(OR(P328=0,K328=0,$J$7=0),0,IF(P328&lt;=(1-$J$7)*K328,$J$7*P328*K328/(1-$J$7)-$J$7^2*P328^2/(2*(1-$J$7)^2),$J$7*P328*K328+$J$7^2*K328^2/2)/L328),"")</x:f>
        <x:v>6.097622483300618e-9</x:v>
      </x:c>
      <x:c r="U328" s="12" t="n">
        <x:f>IF(A328,60000/C328,"")</x:f>
        <x:v>3000</x:v>
      </x:c>
      <x:c r="V328" s="12" t="n">
        <x:f>IF(W328="估算",U328*E34*T328*M34*N34,"")</x:f>
        <x:v>0.0007317146979960742</x:v>
      </x:c>
      <x:c r="W328" s="12" t="str">
        <x:f>IF(NOT(A328),"输入无效",IF(K328&gt;=L328,"KV 超载",IF(O328&gt;C328+1e-9,"TPOT 不自洽",IF(OR(C328&gt;L328,P328&gt;L328-K328),"需时序仿真","估算"))))</x:f>
        <x:v>估算</x:v>
      </x:c>
      <x:c r="X328" s="12" t="n">
        <x:f>IF(W328="估算",U328*M328,"")</x:f>
        <x:v>0.047947776</x:v>
      </x:c>
    </x:row>
    <x:row r="329" ht="25" customHeight="1">
      <x:c r="A329" s="2" t="b">
        <x:f>AND(AND(ISNUMBER($B$5),$B$5&gt;0),AND(ISNUMBER($F$5),$F$5&gt;0),AND(ISNUMBER($J$5),$J$5&gt;0),AND(ISNUMBER($B$9),$B$9&gt;0),AND(ISNUMBER(I34),I34&gt;0),AND(ISNUMBER(J34),J34&gt;0),AND(ISNUMBER(K34),K34&gt;0),AND(ISNUMBER(L34),L34&gt;0),AND(ISNUMBER(D179),D179&gt;0),AND(ISNUMBER(E179),E179&gt;0),MOD($B$5,1)=0,MOD($F$5,1)=0,MOD($J$5,1)=0,MOD($B$9,1)=0,MOD(K34,1)=0,ISNUMBER(C179),C179&gt;=2,MOD(C179,1)=0,OR($N$9=32,$N$9=64,$N$9=128),ISNUMBER($B$11),$B$11&gt;=0,MOD($B$11,1)=0,ISNUMBER($J$7),$J$7&gt;=0,$J$7&lt;1,AND(ISNUMBER(M34),M34&gt;=0,M34&lt;=1),AND(ISNUMBER(N34),N34&gt;=0,N34&lt;=1))</x:f>
        <x:v>1</x:v>
      </x:c>
      <x:c r="B329" s="12" t="n">
        <x:f>IF(A329,D179*1000,"")</x:f>
        <x:v>20000</x:v>
      </x:c>
      <x:c r="C329" s="12" t="n">
        <x:f>IF(A329,E179*L34,"")</x:f>
        <x:v>30</x:v>
      </x:c>
      <x:c r="D329" s="12" t="n">
        <x:f>IF(A329,M434,"")</x:f>
        <x:v>0.7144775390625</x:v>
      </x:c>
      <x:c r="E329" s="12" t="n">
        <x:f>IF(A329,B34/C34,"")</x:f>
        <x:v>32</x:v>
      </x:c>
      <x:c r="F329" s="12" t="n">
        <x:f>IF(A329,B34/D34,"")</x:f>
        <x:v>256</x:v>
      </x:c>
      <x:c r="G329" s="12" t="n">
        <x:f>IF(A329,$F$5*E329*$B$5*60000/B329,"")</x:f>
        <x:v>1536</x:v>
      </x:c>
      <x:c r="H329" s="12" t="n">
        <x:f>IF(A329,G329/($J$5*F329),"")</x:f>
        <x:v>6</x:v>
      </x:c>
      <x:c r="I329" s="12" t="n">
        <x:f>IF(A329,$B$5*D329/C34/$B$9,"")</x:f>
        <x:v>1.428955078125</x:v>
      </x:c>
      <x:c r="J329" s="12" t="n">
        <x:f>IF(A329,I329*$F$5/$J$5,"")</x:f>
        <x:v>1.428955078125</x:v>
      </x:c>
      <x:c r="K329" s="12" t="n">
        <x:f>IF(A329,MAX(I329,J329)*2^30/(J34*1e6),"")</x:f>
        <x:v>0.31965184</x:v>
      </x:c>
      <x:c r="L329" s="12" t="n">
        <x:f>IF(A329,B329/$B$9,"")</x:f>
        <x:v>20000</x:v>
      </x:c>
      <x:c r="M329" s="54" t="n">
        <x:f>IF(A329,K329/L329,"")</x:f>
        <x:v>0.000015982592</x:v>
      </x:c>
      <x:c r="N329" s="12" t="n">
        <x:f>IF(A329,(E34*ROUNDUP(K34/D34,0)*G34*(B34-1)/B34*(ROUNDUP((ROUNDUP(F34*2/32,0)*32+32)/480,0)*512+F34*2+32)+E34*ROUNDUP(H34/B34,0)*(B34-1)*32)/1e9,"")</x:f>
        <x:v>0.6596544</x:v>
      </x:c>
      <x:c r="O329" s="12" t="n">
        <x:f>IF(A329,N329*1000/I34,"")</x:f>
        <x:v>0.137428</x:v>
      </x:c>
      <x:c r="P329" s="12" t="n">
        <x:f>IF(A329,O329/E34,"")</x:f>
        <x:v>0.0034357</x:v>
      </x:c>
      <x:c r="Q329" s="12" t="n">
        <x:f>IF(A329,N329*1000/C329,"")</x:f>
        <x:v>21.98848</x:v>
      </x:c>
      <x:c r="R329" s="12" t="n">
        <x:f>IF(W329="估算",IF(OR(K329=0,O329=0),0,1-((E34-1)*MAX(0,(C329-O329)/E34-(K329))+MAX(0,L329-((E34-1)*C329/E34+P329)-(K329)))/L329),"")</x:f>
        <x:v>0.0006461750800000887</x:v>
      </x:c>
      <x:c r="S329" s="12" t="n">
        <x:f>IF(W329="估算",IF(O329=0,0,MAX(0,1-(1-((E34-1)*MAX(0,(C329-O329)/E34-(L329-K329))+MAX(0,L329-((E34-1)*C329/E34+P329)-(L329-K329)))/L329))),"")</x:f>
        <x:v>0</x:v>
      </x:c>
      <x:c r="T329" s="12" t="n">
        <x:f>IF(W329="估算",IF(OR(P329=0,K329=0,$J$7=0),0,IF(P329&lt;=(1-$J$7)*K329,$J$7*P329*K329/(1-$J$7)-$J$7^2*P329^2/(2*(1-$J$7)^2),$J$7*P329*K329+$J$7^2*K329^2/2)/L329),"")</x:f>
        <x:v>6.097622483300618e-9</x:v>
      </x:c>
      <x:c r="U329" s="12" t="n">
        <x:f>IF(A329,60000/C329,"")</x:f>
        <x:v>2000</x:v>
      </x:c>
      <x:c r="V329" s="12" t="n">
        <x:f>IF(W329="估算",U329*E34*T329*M34*N34,"")</x:f>
        <x:v>0.0004878097986640494</x:v>
      </x:c>
      <x:c r="W329" s="12" t="str">
        <x:f>IF(NOT(A329),"输入无效",IF(K329&gt;=L329,"KV 超载",IF(O329&gt;C329+1e-9,"TPOT 不自洽",IF(OR(C329&gt;L329,P329&gt;L329-K329),"需时序仿真","估算"))))</x:f>
        <x:v>估算</x:v>
      </x:c>
      <x:c r="X329" s="12" t="n">
        <x:f>IF(W329="估算",U329*M329,"")</x:f>
        <x:v>0.031965184</x:v>
      </x:c>
    </x:row>
    <x:row r="330" ht="25" customHeight="1">
      <x:c r="A330" s="2" t="b">
        <x:f>AND(AND(ISNUMBER($B$5),$B$5&gt;0),AND(ISNUMBER($F$5),$F$5&gt;0),AND(ISNUMBER($J$5),$J$5&gt;0),AND(ISNUMBER($B$9),$B$9&gt;0),AND(ISNUMBER(I34),I34&gt;0),AND(ISNUMBER(J34),J34&gt;0),AND(ISNUMBER(K34),K34&gt;0),AND(ISNUMBER(L34),L34&gt;0),AND(ISNUMBER(D180),D180&gt;0),AND(ISNUMBER(E180),E180&gt;0),MOD($B$5,1)=0,MOD($F$5,1)=0,MOD($J$5,1)=0,MOD($B$9,1)=0,MOD(K34,1)=0,ISNUMBER(C180),C180&gt;=2,MOD(C180,1)=0,OR($N$9=32,$N$9=64,$N$9=128),ISNUMBER($B$11),$B$11&gt;=0,MOD($B$11,1)=0,ISNUMBER($J$7),$J$7&gt;=0,$J$7&lt;1,AND(ISNUMBER(M34),M34&gt;=0,M34&lt;=1),AND(ISNUMBER(N34),N34&gt;=0,N34&lt;=1))</x:f>
        <x:v>1</x:v>
      </x:c>
      <x:c r="B330" s="12" t="n">
        <x:f>IF(A330,D180*1000,"")</x:f>
        <x:v>60000</x:v>
      </x:c>
      <x:c r="C330" s="12" t="n">
        <x:f>IF(A330,E180*L34,"")</x:f>
        <x:v>5</x:v>
      </x:c>
      <x:c r="D330" s="12" t="n">
        <x:f>IF(A330,M441,"")</x:f>
        <x:v>2.8275146484375</x:v>
      </x:c>
      <x:c r="E330" s="12" t="n">
        <x:f>IF(A330,B34/C34,"")</x:f>
        <x:v>32</x:v>
      </x:c>
      <x:c r="F330" s="12" t="n">
        <x:f>IF(A330,B34/D34,"")</x:f>
        <x:v>256</x:v>
      </x:c>
      <x:c r="G330" s="12" t="n">
        <x:f>IF(A330,$F$5*E330*$B$5*60000/B330,"")</x:f>
        <x:v>512</x:v>
      </x:c>
      <x:c r="H330" s="12" t="n">
        <x:f>IF(A330,G330/($J$5*F330),"")</x:f>
        <x:v>2</x:v>
      </x:c>
      <x:c r="I330" s="12" t="n">
        <x:f>IF(A330,$B$5*D330/C34/$B$9,"")</x:f>
        <x:v>5.655029296875</x:v>
      </x:c>
      <x:c r="J330" s="12" t="n">
        <x:f>IF(A330,I330*$F$5/$J$5,"")</x:f>
        <x:v>5.655029296875</x:v>
      </x:c>
      <x:c r="K330" s="12" t="n">
        <x:f>IF(A330,MAX(I330,J330)*2^30/(J34*1e6),"")</x:f>
        <x:v>1.26500864</x:v>
      </x:c>
      <x:c r="L330" s="12" t="n">
        <x:f>IF(A330,B330/$B$9,"")</x:f>
        <x:v>60000</x:v>
      </x:c>
      <x:c r="M330" s="54" t="n">
        <x:f>IF(A330,K330/L330,"")</x:f>
        <x:v>0.000021083477333333333</x:v>
      </x:c>
      <x:c r="N330" s="12" t="n">
        <x:f>IF(A330,(E34*ROUNDUP(K34/D34,0)*G34*(B34-1)/B34*(ROUNDUP((ROUNDUP(F34*2/32,0)*32+32)/480,0)*512+F34*2+32)+E34*ROUNDUP(H34/B34,0)*(B34-1)*32)/1e9,"")</x:f>
        <x:v>0.6596544</x:v>
      </x:c>
      <x:c r="O330" s="12" t="n">
        <x:f>IF(A330,N330*1000/I34,"")</x:f>
        <x:v>0.137428</x:v>
      </x:c>
      <x:c r="P330" s="12" t="n">
        <x:f>IF(A330,O330/E34,"")</x:f>
        <x:v>0.0034357</x:v>
      </x:c>
      <x:c r="Q330" s="12" t="n">
        <x:f>IF(A330,N330*1000/C330,"")</x:f>
        <x:v>131.93088</x:v>
      </x:c>
      <x:c r="R330" s="12" t="n">
        <x:f>IF(W330="估算",IF(OR(K330=0,O330=0),0,1-((E34-1)*MAX(0,(C330-O330)/E34-(K330))+MAX(0,L330-((E34-1)*C330/E34+P330)-(K330)))/L330),"")</x:f>
        <x:v>0.00010239073899998008</x:v>
      </x:c>
      <x:c r="S330" s="12" t="n">
        <x:f>IF(W330="估算",IF(O330=0,0,MAX(0,1-(1-((E34-1)*MAX(0,(C330-O330)/E34-(L330-K330))+MAX(0,L330-((E34-1)*C330/E34+P330)-(L330-K330)))/L330))),"")</x:f>
        <x:v>0</x:v>
      </x:c>
      <x:c r="T330" s="12" t="n">
        <x:f>IF(W330="估算",IF(OR(P330=0,K330=0,$J$7=0),0,IF(P330&lt;=(1-$J$7)*K330,$J$7*P330*K330/(1-$J$7)-$J$7^2*P330^2/(2*(1-$J$7)^2),$J$7*P330*K330+$J$7^2*K330^2/2)/L330),"")</x:f>
        <x:v>8.047285934729836e-9</x:v>
      </x:c>
      <x:c r="U330" s="12" t="n">
        <x:f>IF(A330,60000/C330,"")</x:f>
        <x:v>12000</x:v>
      </x:c>
      <x:c r="V330" s="12" t="n">
        <x:f>IF(W330="估算",U330*E34*T330*M34*N34,"")</x:f>
        <x:v>0.0038626972486703213</x:v>
      </x:c>
      <x:c r="W330" s="12" t="str">
        <x:f>IF(NOT(A330),"输入无效",IF(K330&gt;=L330,"KV 超载",IF(O330&gt;C330+1e-9,"TPOT 不自洽",IF(OR(C330&gt;L330,P330&gt;L330-K330),"需时序仿真","估算"))))</x:f>
        <x:v>估算</x:v>
      </x:c>
      <x:c r="X330" s="12" t="n">
        <x:f>IF(W330="估算",U330*M330,"")</x:f>
        <x:v>0.253001728</x:v>
      </x:c>
    </x:row>
    <x:row r="331" ht="25" customHeight="1">
      <x:c r="A331" s="2" t="b">
        <x:f>AND(AND(ISNUMBER($B$5),$B$5&gt;0),AND(ISNUMBER($F$5),$F$5&gt;0),AND(ISNUMBER($J$5),$J$5&gt;0),AND(ISNUMBER($B$9),$B$9&gt;0),AND(ISNUMBER(I34),I34&gt;0),AND(ISNUMBER(J34),J34&gt;0),AND(ISNUMBER(K34),K34&gt;0),AND(ISNUMBER(L34),L34&gt;0),AND(ISNUMBER(D181),D181&gt;0),AND(ISNUMBER(E181),E181&gt;0),MOD($B$5,1)=0,MOD($F$5,1)=0,MOD($J$5,1)=0,MOD($B$9,1)=0,MOD(K34,1)=0,ISNUMBER(C181),C181&gt;=2,MOD(C181,1)=0,OR($N$9=32,$N$9=64,$N$9=128),ISNUMBER($B$11),$B$11&gt;=0,MOD($B$11,1)=0,ISNUMBER($J$7),$J$7&gt;=0,$J$7&lt;1,AND(ISNUMBER(M34),M34&gt;=0,M34&lt;=1),AND(ISNUMBER(N34),N34&gt;=0,N34&lt;=1))</x:f>
        <x:v>1</x:v>
      </x:c>
      <x:c r="B331" s="12" t="n">
        <x:f>IF(A331,D181*1000,"")</x:f>
        <x:v>60000</x:v>
      </x:c>
      <x:c r="C331" s="12" t="n">
        <x:f>IF(A331,E181*L34,"")</x:f>
        <x:v>10</x:v>
      </x:c>
      <x:c r="D331" s="12" t="n">
        <x:f>IF(A331,M441,"")</x:f>
        <x:v>2.8275146484375</x:v>
      </x:c>
      <x:c r="E331" s="12" t="n">
        <x:f>IF(A331,B34/C34,"")</x:f>
        <x:v>32</x:v>
      </x:c>
      <x:c r="F331" s="12" t="n">
        <x:f>IF(A331,B34/D34,"")</x:f>
        <x:v>256</x:v>
      </x:c>
      <x:c r="G331" s="12" t="n">
        <x:f>IF(A331,$F$5*E331*$B$5*60000/B331,"")</x:f>
        <x:v>512</x:v>
      </x:c>
      <x:c r="H331" s="12" t="n">
        <x:f>IF(A331,G331/($J$5*F331),"")</x:f>
        <x:v>2</x:v>
      </x:c>
      <x:c r="I331" s="12" t="n">
        <x:f>IF(A331,$B$5*D331/C34/$B$9,"")</x:f>
        <x:v>5.655029296875</x:v>
      </x:c>
      <x:c r="J331" s="12" t="n">
        <x:f>IF(A331,I331*$F$5/$J$5,"")</x:f>
        <x:v>5.655029296875</x:v>
      </x:c>
      <x:c r="K331" s="12" t="n">
        <x:f>IF(A331,MAX(I331,J331)*2^30/(J34*1e6),"")</x:f>
        <x:v>1.26500864</x:v>
      </x:c>
      <x:c r="L331" s="12" t="n">
        <x:f>IF(A331,B331/$B$9,"")</x:f>
        <x:v>60000</x:v>
      </x:c>
      <x:c r="M331" s="54" t="n">
        <x:f>IF(A331,K331/L331,"")</x:f>
        <x:v>0.000021083477333333333</x:v>
      </x:c>
      <x:c r="N331" s="12" t="n">
        <x:f>IF(A331,(E34*ROUNDUP(K34/D34,0)*G34*(B34-1)/B34*(ROUNDUP((ROUNDUP(F34*2/32,0)*32+32)/480,0)*512+F34*2+32)+E34*ROUNDUP(H34/B34,0)*(B34-1)*32)/1e9,"")</x:f>
        <x:v>0.6596544</x:v>
      </x:c>
      <x:c r="O331" s="12" t="n">
        <x:f>IF(A331,N331*1000/I34,"")</x:f>
        <x:v>0.137428</x:v>
      </x:c>
      <x:c r="P331" s="12" t="n">
        <x:f>IF(A331,O331/E34,"")</x:f>
        <x:v>0.0034357</x:v>
      </x:c>
      <x:c r="Q331" s="12" t="n">
        <x:f>IF(A331,N331*1000/C331,"")</x:f>
        <x:v>65.96544</x:v>
      </x:c>
      <x:c r="R331" s="12" t="n">
        <x:f>IF(W331="估算",IF(OR(K331=0,O331=0),0,1-((E34-1)*MAX(0,(C331-O331)/E34-(K331))+MAX(0,L331-((E34-1)*C331/E34+P331)-(K331)))/L331),"")</x:f>
        <x:v>0.00018364073900001276</x:v>
      </x:c>
      <x:c r="S331" s="12" t="n">
        <x:f>IF(W331="估算",IF(O331=0,0,MAX(0,1-(1-((E34-1)*MAX(0,(C331-O331)/E34-(L331-K331))+MAX(0,L331-((E34-1)*C331/E34+P331)-(L331-K331)))/L331))),"")</x:f>
        <x:v>0</x:v>
      </x:c>
      <x:c r="T331" s="12" t="n">
        <x:f>IF(W331="估算",IF(OR(P331=0,K331=0,$J$7=0),0,IF(P331&lt;=(1-$J$7)*K331,$J$7*P331*K331/(1-$J$7)-$J$7^2*P331^2/(2*(1-$J$7)^2),$J$7*P331*K331+$J$7^2*K331^2/2)/L331),"")</x:f>
        <x:v>8.047285934729836e-9</x:v>
      </x:c>
      <x:c r="U331" s="12" t="n">
        <x:f>IF(A331,60000/C331,"")</x:f>
        <x:v>6000</x:v>
      </x:c>
      <x:c r="V331" s="12" t="n">
        <x:f>IF(W331="估算",U331*E34*T331*M34*N34,"")</x:f>
        <x:v>0.0019313486243351607</x:v>
      </x:c>
      <x:c r="W331" s="12" t="str">
        <x:f>IF(NOT(A331),"输入无效",IF(K331&gt;=L331,"KV 超载",IF(O331&gt;C331+1e-9,"TPOT 不自洽",IF(OR(C331&gt;L331,P331&gt;L331-K331),"需时序仿真","估算"))))</x:f>
        <x:v>估算</x:v>
      </x:c>
      <x:c r="X331" s="12" t="n">
        <x:f>IF(W331="估算",U331*M331,"")</x:f>
        <x:v>0.126500864</x:v>
      </x:c>
    </x:row>
    <x:row r="332" ht="25" customHeight="1">
      <x:c r="A332" s="2" t="b">
        <x:f>AND(AND(ISNUMBER($B$5),$B$5&gt;0),AND(ISNUMBER($F$5),$F$5&gt;0),AND(ISNUMBER($J$5),$J$5&gt;0),AND(ISNUMBER($B$9),$B$9&gt;0),AND(ISNUMBER(I34),I34&gt;0),AND(ISNUMBER(J34),J34&gt;0),AND(ISNUMBER(K34),K34&gt;0),AND(ISNUMBER(L34),L34&gt;0),AND(ISNUMBER(D182),D182&gt;0),AND(ISNUMBER(E182),E182&gt;0),MOD($B$5,1)=0,MOD($F$5,1)=0,MOD($J$5,1)=0,MOD($B$9,1)=0,MOD(K34,1)=0,ISNUMBER(C182),C182&gt;=2,MOD(C182,1)=0,OR($N$9=32,$N$9=64,$N$9=128),ISNUMBER($B$11),$B$11&gt;=0,MOD($B$11,1)=0,ISNUMBER($J$7),$J$7&gt;=0,$J$7&lt;1,AND(ISNUMBER(M34),M34&gt;=0,M34&lt;=1),AND(ISNUMBER(N34),N34&gt;=0,N34&lt;=1))</x:f>
        <x:v>1</x:v>
      </x:c>
      <x:c r="B332" s="12" t="n">
        <x:f>IF(A332,D182*1000,"")</x:f>
        <x:v>60000</x:v>
      </x:c>
      <x:c r="C332" s="12" t="n">
        <x:f>IF(A332,E182*L34,"")</x:f>
        <x:v>20</x:v>
      </x:c>
      <x:c r="D332" s="12" t="n">
        <x:f>IF(A332,M441,"")</x:f>
        <x:v>2.8275146484375</x:v>
      </x:c>
      <x:c r="E332" s="12" t="n">
        <x:f>IF(A332,B34/C34,"")</x:f>
        <x:v>32</x:v>
      </x:c>
      <x:c r="F332" s="12" t="n">
        <x:f>IF(A332,B34/D34,"")</x:f>
        <x:v>256</x:v>
      </x:c>
      <x:c r="G332" s="12" t="n">
        <x:f>IF(A332,$F$5*E332*$B$5*60000/B332,"")</x:f>
        <x:v>512</x:v>
      </x:c>
      <x:c r="H332" s="12" t="n">
        <x:f>IF(A332,G332/($J$5*F332),"")</x:f>
        <x:v>2</x:v>
      </x:c>
      <x:c r="I332" s="12" t="n">
        <x:f>IF(A332,$B$5*D332/C34/$B$9,"")</x:f>
        <x:v>5.655029296875</x:v>
      </x:c>
      <x:c r="J332" s="12" t="n">
        <x:f>IF(A332,I332*$F$5/$J$5,"")</x:f>
        <x:v>5.655029296875</x:v>
      </x:c>
      <x:c r="K332" s="12" t="n">
        <x:f>IF(A332,MAX(I332,J332)*2^30/(J34*1e6),"")</x:f>
        <x:v>1.26500864</x:v>
      </x:c>
      <x:c r="L332" s="12" t="n">
        <x:f>IF(A332,B332/$B$9,"")</x:f>
        <x:v>60000</x:v>
      </x:c>
      <x:c r="M332" s="54" t="n">
        <x:f>IF(A332,K332/L332,"")</x:f>
        <x:v>0.000021083477333333333</x:v>
      </x:c>
      <x:c r="N332" s="12" t="n">
        <x:f>IF(A332,(E34*ROUNDUP(K34/D34,0)*G34*(B34-1)/B34*(ROUNDUP((ROUNDUP(F34*2/32,0)*32+32)/480,0)*512+F34*2+32)+E34*ROUNDUP(H34/B34,0)*(B34-1)*32)/1e9,"")</x:f>
        <x:v>0.6596544</x:v>
      </x:c>
      <x:c r="O332" s="12" t="n">
        <x:f>IF(A332,N332*1000/I34,"")</x:f>
        <x:v>0.137428</x:v>
      </x:c>
      <x:c r="P332" s="12" t="n">
        <x:f>IF(A332,O332/E34,"")</x:f>
        <x:v>0.0034357</x:v>
      </x:c>
      <x:c r="Q332" s="12" t="n">
        <x:f>IF(A332,N332*1000/C332,"")</x:f>
        <x:v>32.98272</x:v>
      </x:c>
      <x:c r="R332" s="12" t="n">
        <x:f>IF(W332="估算",IF(OR(K332=0,O332=0),0,1-((E34-1)*MAX(0,(C332-O332)/E34-(K332))+MAX(0,L332-((E34-1)*C332/E34+P332)-(K332)))/L332),"")</x:f>
        <x:v>0.0003461407389999671</x:v>
      </x:c>
      <x:c r="S332" s="12" t="n">
        <x:f>IF(W332="估算",IF(O332=0,0,MAX(0,1-(1-((E34-1)*MAX(0,(C332-O332)/E34-(L332-K332))+MAX(0,L332-((E34-1)*C332/E34+P332)-(L332-K332)))/L332))),"")</x:f>
        <x:v>0</x:v>
      </x:c>
      <x:c r="T332" s="12" t="n">
        <x:f>IF(W332="估算",IF(OR(P332=0,K332=0,$J$7=0),0,IF(P332&lt;=(1-$J$7)*K332,$J$7*P332*K332/(1-$J$7)-$J$7^2*P332^2/(2*(1-$J$7)^2),$J$7*P332*K332+$J$7^2*K332^2/2)/L332),"")</x:f>
        <x:v>8.047285934729836e-9</x:v>
      </x:c>
      <x:c r="U332" s="12" t="n">
        <x:f>IF(A332,60000/C332,"")</x:f>
        <x:v>3000</x:v>
      </x:c>
      <x:c r="V332" s="12" t="n">
        <x:f>IF(W332="估算",U332*E34*T332*M34*N34,"")</x:f>
        <x:v>0.0009656743121675803</x:v>
      </x:c>
      <x:c r="W332" s="12" t="str">
        <x:f>IF(NOT(A332),"输入无效",IF(K332&gt;=L332,"KV 超载",IF(O332&gt;C332+1e-9,"TPOT 不自洽",IF(OR(C332&gt;L332,P332&gt;L332-K332),"需时序仿真","估算"))))</x:f>
        <x:v>估算</x:v>
      </x:c>
      <x:c r="X332" s="12" t="n">
        <x:f>IF(W332="估算",U332*M332,"")</x:f>
        <x:v>0.063250432</x:v>
      </x:c>
    </x:row>
    <x:row r="333" ht="25" customHeight="1">
      <x:c r="A333" s="2" t="b">
        <x:f>AND(AND(ISNUMBER($B$5),$B$5&gt;0),AND(ISNUMBER($F$5),$F$5&gt;0),AND(ISNUMBER($J$5),$J$5&gt;0),AND(ISNUMBER($B$9),$B$9&gt;0),AND(ISNUMBER(I34),I34&gt;0),AND(ISNUMBER(J34),J34&gt;0),AND(ISNUMBER(K34),K34&gt;0),AND(ISNUMBER(L34),L34&gt;0),AND(ISNUMBER(D183),D183&gt;0),AND(ISNUMBER(E183),E183&gt;0),MOD($B$5,1)=0,MOD($F$5,1)=0,MOD($J$5,1)=0,MOD($B$9,1)=0,MOD(K34,1)=0,ISNUMBER(C183),C183&gt;=2,MOD(C183,1)=0,OR($N$9=32,$N$9=64,$N$9=128),ISNUMBER($B$11),$B$11&gt;=0,MOD($B$11,1)=0,ISNUMBER($J$7),$J$7&gt;=0,$J$7&lt;1,AND(ISNUMBER(M34),M34&gt;=0,M34&lt;=1),AND(ISNUMBER(N34),N34&gt;=0,N34&lt;=1))</x:f>
        <x:v>1</x:v>
      </x:c>
      <x:c r="B333" s="12" t="n">
        <x:f>IF(A333,D183*1000,"")</x:f>
        <x:v>60000</x:v>
      </x:c>
      <x:c r="C333" s="12" t="n">
        <x:f>IF(A333,E183*L34,"")</x:f>
        <x:v>30</x:v>
      </x:c>
      <x:c r="D333" s="12" t="n">
        <x:f>IF(A333,M441,"")</x:f>
        <x:v>2.8275146484375</x:v>
      </x:c>
      <x:c r="E333" s="12" t="n">
        <x:f>IF(A333,B34/C34,"")</x:f>
        <x:v>32</x:v>
      </x:c>
      <x:c r="F333" s="12" t="n">
        <x:f>IF(A333,B34/D34,"")</x:f>
        <x:v>256</x:v>
      </x:c>
      <x:c r="G333" s="12" t="n">
        <x:f>IF(A333,$F$5*E333*$B$5*60000/B333,"")</x:f>
        <x:v>512</x:v>
      </x:c>
      <x:c r="H333" s="12" t="n">
        <x:f>IF(A333,G333/($J$5*F333),"")</x:f>
        <x:v>2</x:v>
      </x:c>
      <x:c r="I333" s="12" t="n">
        <x:f>IF(A333,$B$5*D333/C34/$B$9,"")</x:f>
        <x:v>5.655029296875</x:v>
      </x:c>
      <x:c r="J333" s="12" t="n">
        <x:f>IF(A333,I333*$F$5/$J$5,"")</x:f>
        <x:v>5.655029296875</x:v>
      </x:c>
      <x:c r="K333" s="12" t="n">
        <x:f>IF(A333,MAX(I333,J333)*2^30/(J34*1e6),"")</x:f>
        <x:v>1.26500864</x:v>
      </x:c>
      <x:c r="L333" s="12" t="n">
        <x:f>IF(A333,B333/$B$9,"")</x:f>
        <x:v>60000</x:v>
      </x:c>
      <x:c r="M333" s="54" t="n">
        <x:f>IF(A333,K333/L333,"")</x:f>
        <x:v>0.000021083477333333333</x:v>
      </x:c>
      <x:c r="N333" s="12" t="n">
        <x:f>IF(A333,(E34*ROUNDUP(K34/D34,0)*G34*(B34-1)/B34*(ROUNDUP((ROUNDUP(F34*2/32,0)*32+32)/480,0)*512+F34*2+32)+E34*ROUNDUP(H34/B34,0)*(B34-1)*32)/1e9,"")</x:f>
        <x:v>0.6596544</x:v>
      </x:c>
      <x:c r="O333" s="12" t="n">
        <x:f>IF(A333,N333*1000/I34,"")</x:f>
        <x:v>0.137428</x:v>
      </x:c>
      <x:c r="P333" s="12" t="n">
        <x:f>IF(A333,O333/E34,"")</x:f>
        <x:v>0.0034357</x:v>
      </x:c>
      <x:c r="Q333" s="12" t="n">
        <x:f>IF(A333,N333*1000/C333,"")</x:f>
        <x:v>21.98848</x:v>
      </x:c>
      <x:c r="R333" s="12" t="n">
        <x:f>IF(W333="估算",IF(OR(K333=0,O333=0),0,1-((E34-1)*MAX(0,(C333-O333)/E34-(K333))+MAX(0,L333-((E34-1)*C333/E34+P333)-(K333)))/L333),"")</x:f>
        <x:v>0.0005086407390000325</x:v>
      </x:c>
      <x:c r="S333" s="12" t="n">
        <x:f>IF(W333="估算",IF(O333=0,0,MAX(0,1-(1-((E34-1)*MAX(0,(C333-O333)/E34-(L333-K333))+MAX(0,L333-((E34-1)*C333/E34+P333)-(L333-K333)))/L333))),"")</x:f>
        <x:v>0</x:v>
      </x:c>
      <x:c r="T333" s="12" t="n">
        <x:f>IF(W333="估算",IF(OR(P333=0,K333=0,$J$7=0),0,IF(P333&lt;=(1-$J$7)*K333,$J$7*P333*K333/(1-$J$7)-$J$7^2*P333^2/(2*(1-$J$7)^2),$J$7*P333*K333+$J$7^2*K333^2/2)/L333),"")</x:f>
        <x:v>8.047285934729836e-9</x:v>
      </x:c>
      <x:c r="U333" s="12" t="n">
        <x:f>IF(A333,60000/C333,"")</x:f>
        <x:v>2000</x:v>
      </x:c>
      <x:c r="V333" s="12" t="n">
        <x:f>IF(W333="估算",U333*E34*T333*M34*N34,"")</x:f>
        <x:v>0.0006437828747783869</x:v>
      </x:c>
      <x:c r="W333" s="12" t="str">
        <x:f>IF(NOT(A333),"输入无效",IF(K333&gt;=L333,"KV 超载",IF(O333&gt;C333+1e-9,"TPOT 不自洽",IF(OR(C333&gt;L333,P333&gt;L333-K333),"需时序仿真","估算"))))</x:f>
        <x:v>估算</x:v>
      </x:c>
      <x:c r="X333" s="12" t="n">
        <x:f>IF(W333="估算",U333*M333,"")</x:f>
        <x:v>0.042166954666666666</x:v>
      </x:c>
    </x:row>
    <x:row r="334" ht="25" customHeight="1">
      <x:c r="A334" s="2"/>
      <x:c r="B334" s="2"/>
      <x:c r="C334" s="2"/>
      <x:c r="D334" s="2"/>
      <x:c r="E334" s="2"/>
      <x:c r="F334" s="2"/>
      <x:c r="G334" s="2"/>
      <x:c r="H334" s="2"/>
      <x:c r="I334" s="2"/>
      <x:c r="J334" s="2"/>
      <x:c r="K334" s="2"/>
      <x:c r="L334" s="2"/>
      <x:c r="M334" s="2"/>
      <x:c r="N334" s="2"/>
      <x:c r="O334" s="2"/>
      <x:c r="P334" s="2"/>
      <x:c r="Q334" s="2"/>
      <x:c r="R334" s="2"/>
      <x:c r="S334" s="2"/>
      <x:c r="T334" s="2"/>
      <x:c r="U334" s="2"/>
      <x:c r="V334" s="2"/>
      <x:c r="W334" s="2"/>
      <x:c r="X334" s="2"/>
    </x:row>
    <x:row r="335" ht="25" customHeight="1">
      <x:c r="A335" s="2"/>
      <x:c r="B335" s="2"/>
      <x:c r="C335" s="2"/>
      <x:c r="D335" s="2"/>
      <x:c r="E335" s="2"/>
      <x:c r="F335" s="2"/>
      <x:c r="G335" s="2"/>
      <x:c r="H335" s="2"/>
      <x:c r="I335" s="2"/>
      <x:c r="J335" s="2"/>
      <x:c r="K335" s="2"/>
      <x:c r="L335" s="2"/>
      <x:c r="M335" s="2"/>
      <x:c r="N335" s="2"/>
      <x:c r="O335" s="2"/>
      <x:c r="P335" s="2"/>
      <x:c r="Q335" s="2"/>
      <x:c r="R335" s="2"/>
      <x:c r="S335" s="2"/>
      <x:c r="T335" s="2"/>
      <x:c r="U335" s="2"/>
      <x:c r="V335" s="2"/>
      <x:c r="W335" s="2"/>
      <x:c r="X335" s="2"/>
    </x:row>
    <x:row r="336" ht="25" customHeight="1">
      <x:c r="A336" s="2"/>
      <x:c r="B336" s="2"/>
      <x:c r="C336" s="2"/>
      <x:c r="D336" s="2"/>
      <x:c r="E336" s="2"/>
      <x:c r="F336" s="2"/>
      <x:c r="G336" s="2"/>
      <x:c r="H336" s="2"/>
      <x:c r="I336" s="2"/>
      <x:c r="J336" s="2"/>
      <x:c r="K336" s="2"/>
      <x:c r="L336" s="2"/>
      <x:c r="M336" s="2"/>
      <x:c r="N336" s="2"/>
      <x:c r="O336" s="2"/>
      <x:c r="P336" s="2"/>
      <x:c r="Q336" s="2"/>
      <x:c r="R336" s="2"/>
      <x:c r="S336" s="2"/>
      <x:c r="T336" s="2"/>
      <x:c r="U336" s="2"/>
      <x:c r="V336" s="2"/>
      <x:c r="W336" s="2"/>
      <x:c r="X336" s="2"/>
    </x:row>
    <x:row r="337" ht="25" customHeight="1">
      <x:c r="A337" s="2" t="str">
        <x:v>KV 组件：输入长度变化时重新计算生成、保留和迁移字节</x:v>
      </x:c>
      <x:c r="B337" s="2"/>
      <x:c r="C337" s="2"/>
      <x:c r="D337" s="2"/>
      <x:c r="E337" s="2"/>
      <x:c r="F337" s="2"/>
      <x:c r="G337" s="2"/>
      <x:c r="H337" s="2"/>
      <x:c r="I337" s="2"/>
      <x:c r="J337" s="2"/>
      <x:c r="K337" s="2"/>
      <x:c r="L337" s="2"/>
      <x:c r="M337" s="2"/>
      <x:c r="N337" s="2"/>
      <x:c r="O337" s="2"/>
      <x:c r="P337" s="2"/>
      <x:c r="Q337" s="2"/>
      <x:c r="R337" s="2"/>
      <x:c r="S337" s="2"/>
      <x:c r="T337" s="2"/>
      <x:c r="U337" s="2"/>
      <x:c r="V337" s="2"/>
      <x:c r="W337" s="2"/>
      <x:c r="X337" s="2"/>
    </x:row>
    <x:row r="338" ht="25" customHeight="1">
      <x:c r="A338" s="2"/>
      <x:c r="B338" s="2"/>
      <x:c r="C338" s="2"/>
      <x:c r="D338" s="2"/>
      <x:c r="E338" s="2"/>
      <x:c r="F338" s="2"/>
      <x:c r="G338" s="2"/>
      <x:c r="H338" s="2"/>
      <x:c r="I338" s="2"/>
      <x:c r="J338" s="2"/>
      <x:c r="K338" s="2"/>
      <x:c r="L338" s="2"/>
      <x:c r="M338" s="2"/>
      <x:c r="N338" s="2"/>
      <x:c r="O338" s="2"/>
      <x:c r="P338" s="2"/>
      <x:c r="Q338" s="2"/>
      <x:c r="R338" s="2"/>
      <x:c r="S338" s="2"/>
      <x:c r="T338" s="2"/>
      <x:c r="U338" s="2"/>
      <x:c r="V338" s="2"/>
      <x:c r="W338" s="2"/>
      <x:c r="X338" s="2"/>
    </x:row>
    <x:row r="339" ht="42" customHeight="1">
      <x:c r="A339" s="52" t="str">
        <x:v>模型</x:v>
      </x:c>
      <x:c r="B339" s="52" t="str">
        <x:v>输入 tokens</x:v>
      </x:c>
      <x:c r="C339" s="52" t="str">
        <x:v>组件</x:v>
      </x:c>
      <x:c r="D339" s="52" t="str">
        <x:v>层数</x:v>
      </x:c>
      <x:c r="E339" s="52" t="str">
        <x:v>B/行/Rank</x:v>
      </x:c>
      <x:c r="F339" s="52" t="str">
        <x:v>P 副本</x:v>
      </x:c>
      <x:c r="G339" s="52" t="str">
        <x:v>D 副本</x:v>
      </x:c>
      <x:c r="H339" s="52" t="str">
        <x:v>生成行</x:v>
      </x:c>
      <x:c r="I339" s="52" t="str">
        <x:v>保留行</x:v>
      </x:c>
      <x:c r="J339" s="52" t="str">
        <x:v>取/规划行</x:v>
      </x:c>
      <x:c r="K339" s="52" t="str">
        <x:v>生成 GiB</x:v>
      </x:c>
      <x:c r="L339" s="52" t="str">
        <x:v>保留 GiB</x:v>
      </x:c>
      <x:c r="M339" s="52" t="str">
        <x:v>取/规划 GiB</x:v>
      </x:c>
      <x:c r="N339" s="2"/>
      <x:c r="O339" s="2"/>
      <x:c r="P339" s="2"/>
      <x:c r="Q339" s="2"/>
      <x:c r="R339" s="2"/>
      <x:c r="S339" s="2"/>
      <x:c r="T339" s="2"/>
      <x:c r="U339" s="2"/>
      <x:c r="V339" s="2"/>
      <x:c r="W339" s="2"/>
      <x:c r="X339" s="2"/>
    </x:row>
    <x:row r="340" ht="45" customHeight="1">
      <x:c r="A340" s="2" t="str">
        <x:v>DS V4 10T</x:v>
      </x:c>
      <x:c r="B340" s="2" t="n">
        <x:f>$B$15</x:f>
        <x:v>16384</x:v>
      </x:c>
      <x:c r="C340" s="56" t="str">
        <x:v>SWA KV / BF16</x:v>
      </x:c>
      <x:c r="D340" s="2" t="n">
        <x:v>61</x:v>
      </x:c>
      <x:c r="E340" s="2" t="n">
        <x:v>1024</x:v>
      </x:c>
      <x:c r="F340" s="2" t="n">
        <x:v>8</x:v>
      </x:c>
      <x:c r="G340" s="2" t="n">
        <x:v>1</x:v>
      </x:c>
      <x:c r="H340" s="2" t="n">
        <x:f>IF(AND(ISNUMBER($B$15),$B$15&gt;=2,MOD($B$15,1)=0,OR($N$9=32,$N$9=64,$N$9=128),ISNUMBER($B$11),$B$11&gt;=0,MOD($B$11,1)=0),($B$15-1),"")</x:f>
        <x:v>16383</x:v>
      </x:c>
      <x:c r="I340" s="2" t="n">
        <x:f>IF(AND(ISNUMBER($B$15),$B$15&gt;=2,MOD($B$15,1)=0,OR($N$9=32,$N$9=64,$N$9=128),ISNUMBER($B$11),$B$11&gt;=0,MOD($B$11,1)=0),MIN(($B$15-1),128),"")</x:f>
        <x:v>128</x:v>
      </x:c>
      <x:c r="J340" s="2" t="n">
        <x:f>IF(AND(ISNUMBER($B$15),$B$15&gt;=2,MOD($B$15,1)=0,OR($N$9=32,$N$9=64,$N$9=128),ISNUMBER($B$11),$B$11&gt;=0,MOD($B$11,1)=0),MIN(ROUNDUP(($B$15-1)/$N$9,0),ROUNDUP(128/$N$9,0)+1)*$N$9,"")</x:f>
        <x:v>256</x:v>
      </x:c>
      <x:c r="K340" s="12" t="n">
        <x:f>IF(AND(ISNUMBER($B$15),$B$15&gt;=2,MOD($B$15,1)=0,OR($N$9=32,$N$9=64,$N$9=128),ISNUMBER($B$11),$B$11&gt;=0,MOD($B$11,1)=0),D340*E340*F340*H340/2^30,"")</x:f>
        <x:v>7.624534606933594</x:v>
      </x:c>
      <x:c r="L340" s="12" t="n">
        <x:f>IF(AND(ISNUMBER($B$15),$B$15&gt;=2,MOD($B$15,1)=0,OR($N$9=32,$N$9=64,$N$9=128),ISNUMBER($B$11),$B$11&gt;=0,MOD($B$11,1)=0),D340*E340*F340*I340/2^30,"")</x:f>
        <x:v>0.0595703125</x:v>
      </x:c>
      <x:c r="M340" s="12" t="n">
        <x:f>IF(AND(ISNUMBER($B$15),$B$15&gt;=2,MOD($B$15,1)=0,OR($N$9=32,$N$9=64,$N$9=128),ISNUMBER($B$11),$B$11&gt;=0,MOD($B$11,1)=0),D340*E340*G340*J340/2^30,"")</x:f>
        <x:v>0.014892578125</x:v>
      </x:c>
      <x:c r="N340" s="2"/>
      <x:c r="O340" s="2"/>
      <x:c r="P340" s="2"/>
      <x:c r="Q340" s="2"/>
      <x:c r="R340" s="2"/>
      <x:c r="S340" s="2"/>
      <x:c r="T340" s="2"/>
      <x:c r="U340" s="2"/>
      <x:c r="V340" s="2"/>
      <x:c r="W340" s="2"/>
      <x:c r="X340" s="2"/>
    </x:row>
    <x:row r="341" ht="45" customHeight="1">
      <x:c r="A341" s="2" t="str">
        <x:v>DS V4 10T</x:v>
      </x:c>
      <x:c r="B341" s="2" t="n">
        <x:f>$B$15</x:f>
        <x:v>16384</x:v>
      </x:c>
      <x:c r="C341" s="56" t="str">
        <x:v>C4 KV / BF16</x:v>
      </x:c>
      <x:c r="D341" s="2" t="n">
        <x:v>30</x:v>
      </x:c>
      <x:c r="E341" s="2" t="n">
        <x:v>1024</x:v>
      </x:c>
      <x:c r="F341" s="2" t="n">
        <x:v>8</x:v>
      </x:c>
      <x:c r="G341" s="2" t="n">
        <x:v>1</x:v>
      </x:c>
      <x:c r="H341" s="2" t="n">
        <x:f>IF(AND(ISNUMBER($B$15),$B$15&gt;=2,MOD($B$15,1)=0,OR($N$9=32,$N$9=64,$N$9=128),ISNUMBER($B$11),$B$11&gt;=0,MOD($B$11,1)=0),INT(($B$15-1)/4),"")</x:f>
        <x:v>4095</x:v>
      </x:c>
      <x:c r="I341" s="2" t="n">
        <x:f>IF(AND(ISNUMBER($B$15),$B$15&gt;=2,MOD($B$15,1)=0,OR($N$9=32,$N$9=64,$N$9=128),ISNUMBER($B$11),$B$11&gt;=0,MOD($B$11,1)=0),INT(($B$15-1)/4),"")</x:f>
        <x:v>4095</x:v>
      </x:c>
      <x:c r="J341" s="2" t="n">
        <x:f>IF(AND(ISNUMBER($B$15),$B$15&gt;=2,MOD($B$15,1)=0,OR($N$9=32,$N$9=64,$N$9=128),ISNUMBER($B$11),$B$11&gt;=0,MOD($B$11,1)=0),ROUNDUP(($B$15-1)/(4*$N$9),0)*$N$9,"")</x:f>
        <x:v>4096</x:v>
      </x:c>
      <x:c r="K341" s="12" t="n">
        <x:f>IF(AND(ISNUMBER($B$15),$B$15&gt;=2,MOD($B$15,1)=0,OR($N$9=32,$N$9=64,$N$9=128),ISNUMBER($B$11),$B$11&gt;=0,MOD($B$11,1)=0),D341*E341*F341*H341/2^30,"")</x:f>
        <x:v>0.9372711181640625</x:v>
      </x:c>
      <x:c r="L341" s="12" t="n">
        <x:f>IF(AND(ISNUMBER($B$15),$B$15&gt;=2,MOD($B$15,1)=0,OR($N$9=32,$N$9=64,$N$9=128),ISNUMBER($B$11),$B$11&gt;=0,MOD($B$11,1)=0),D341*E341*F341*I341/2^30,"")</x:f>
        <x:v>0.9372711181640625</x:v>
      </x:c>
      <x:c r="M341" s="12" t="n">
        <x:f>IF(AND(ISNUMBER($B$15),$B$15&gt;=2,MOD($B$15,1)=0,OR($N$9=32,$N$9=64,$N$9=128),ISNUMBER($B$11),$B$11&gt;=0,MOD($B$11,1)=0),D341*E341*G341*J341/2^30,"")</x:f>
        <x:v>0.1171875</x:v>
      </x:c>
      <x:c r="N341" s="2"/>
      <x:c r="O341" s="2"/>
      <x:c r="P341" s="2"/>
      <x:c r="Q341" s="2"/>
      <x:c r="R341" s="2"/>
      <x:c r="S341" s="2"/>
      <x:c r="T341" s="2"/>
      <x:c r="U341" s="2"/>
      <x:c r="V341" s="2"/>
      <x:c r="W341" s="2"/>
      <x:c r="X341" s="2"/>
    </x:row>
    <x:row r="342" ht="45" customHeight="1">
      <x:c r="A342" s="2" t="str">
        <x:v>DS V4 10T</x:v>
      </x:c>
      <x:c r="B342" s="2" t="n">
        <x:f>$B$15</x:f>
        <x:v>16384</x:v>
      </x:c>
      <x:c r="C342" s="56" t="str">
        <x:v>C128 KV / BF16</x:v>
      </x:c>
      <x:c r="D342" s="2" t="n">
        <x:v>31</x:v>
      </x:c>
      <x:c r="E342" s="2" t="n">
        <x:v>1024</x:v>
      </x:c>
      <x:c r="F342" s="2" t="n">
        <x:v>8</x:v>
      </x:c>
      <x:c r="G342" s="2" t="n">
        <x:v>1</x:v>
      </x:c>
      <x:c r="H342" s="2" t="n">
        <x:f>IF(AND(ISNUMBER($B$15),$B$15&gt;=2,MOD($B$15,1)=0,OR($N$9=32,$N$9=64,$N$9=128),ISNUMBER($B$11),$B$11&gt;=0,MOD($B$11,1)=0),INT(($B$15-1)/128),"")</x:f>
        <x:v>127</x:v>
      </x:c>
      <x:c r="I342" s="2" t="n">
        <x:f>IF(AND(ISNUMBER($B$15),$B$15&gt;=2,MOD($B$15,1)=0,OR($N$9=32,$N$9=64,$N$9=128),ISNUMBER($B$11),$B$11&gt;=0,MOD($B$11,1)=0),INT(($B$15-1)/128),"")</x:f>
        <x:v>127</x:v>
      </x:c>
      <x:c r="J342" s="2" t="n">
        <x:f>IF(AND(ISNUMBER($B$15),$B$15&gt;=2,MOD($B$15,1)=0,OR($N$9=32,$N$9=64,$N$9=128),ISNUMBER($B$11),$B$11&gt;=0,MOD($B$11,1)=0),ROUNDUP(($B$15-1)/(128*$N$9),0)*$N$9,"")</x:f>
        <x:v>128</x:v>
      </x:c>
      <x:c r="K342" s="12" t="n">
        <x:f>IF(AND(ISNUMBER($B$15),$B$15&gt;=2,MOD($B$15,1)=0,OR($N$9=32,$N$9=64,$N$9=128),ISNUMBER($B$11),$B$11&gt;=0,MOD($B$11,1)=0),D342*E342*F342*H342/2^30,"")</x:f>
        <x:v>0.03003692626953125</x:v>
      </x:c>
      <x:c r="L342" s="12" t="n">
        <x:f>IF(AND(ISNUMBER($B$15),$B$15&gt;=2,MOD($B$15,1)=0,OR($N$9=32,$N$9=64,$N$9=128),ISNUMBER($B$11),$B$11&gt;=0,MOD($B$11,1)=0),D342*E342*F342*I342/2^30,"")</x:f>
        <x:v>0.03003692626953125</x:v>
      </x:c>
      <x:c r="M342" s="12" t="n">
        <x:f>IF(AND(ISNUMBER($B$15),$B$15&gt;=2,MOD($B$15,1)=0,OR($N$9=32,$N$9=64,$N$9=128),ISNUMBER($B$11),$B$11&gt;=0,MOD($B$11,1)=0),D342*E342*G342*J342/2^30,"")</x:f>
        <x:v>0.0037841796875</x:v>
      </x:c>
      <x:c r="N342" s="2"/>
      <x:c r="O342" s="2"/>
      <x:c r="P342" s="2"/>
      <x:c r="Q342" s="2"/>
      <x:c r="R342" s="2"/>
      <x:c r="S342" s="2"/>
      <x:c r="T342" s="2"/>
      <x:c r="U342" s="2"/>
      <x:c r="V342" s="2"/>
      <x:c r="W342" s="2"/>
      <x:c r="X342" s="2"/>
    </x:row>
    <x:row r="343" ht="45" customHeight="1">
      <x:c r="A343" s="2" t="str">
        <x:v>DS V4 10T</x:v>
      </x:c>
      <x:c r="B343" s="2" t="n">
        <x:f>$B$15</x:f>
        <x:v>16384</x:v>
      </x:c>
      <x:c r="C343" s="56" t="str">
        <x:v>C4 Indexer / INT8 + FP16 scale</x:v>
      </x:c>
      <x:c r="D343" s="2" t="n">
        <x:v>30</x:v>
      </x:c>
      <x:c r="E343" s="2" t="n">
        <x:v>130</x:v>
      </x:c>
      <x:c r="F343" s="2" t="n">
        <x:v>8</x:v>
      </x:c>
      <x:c r="G343" s="2" t="n">
        <x:v>1</x:v>
      </x:c>
      <x:c r="H343" s="2" t="n">
        <x:f>IF(AND(ISNUMBER($B$15),$B$15&gt;=2,MOD($B$15,1)=0,OR($N$9=32,$N$9=64,$N$9=128),ISNUMBER($B$11),$B$11&gt;=0,MOD($B$11,1)=0),INT(($B$15-1)/4),"")</x:f>
        <x:v>4095</x:v>
      </x:c>
      <x:c r="I343" s="2" t="n">
        <x:f>IF(AND(ISNUMBER($B$15),$B$15&gt;=2,MOD($B$15,1)=0,OR($N$9=32,$N$9=64,$N$9=128),ISNUMBER($B$11),$B$11&gt;=0,MOD($B$11,1)=0),INT(($B$15-1)/4),"")</x:f>
        <x:v>4095</x:v>
      </x:c>
      <x:c r="J343" s="2" t="n">
        <x:f>IF(AND(ISNUMBER($B$15),$B$15&gt;=2,MOD($B$15,1)=0,OR($N$9=32,$N$9=64,$N$9=128),ISNUMBER($B$11),$B$11&gt;=0,MOD($B$11,1)=0),ROUNDUP(($B$15-1)/(4*$N$9),0)*$N$9,"")</x:f>
        <x:v>4096</x:v>
      </x:c>
      <x:c r="K343" s="12" t="n">
        <x:f>IF(AND(ISNUMBER($B$15),$B$15&gt;=2,MOD($B$15,1)=0,OR($N$9=32,$N$9=64,$N$9=128),ISNUMBER($B$11),$B$11&gt;=0,MOD($B$11,1)=0),D343*E343*F343*H343/2^30,"")</x:f>
        <x:v>0.118989497423172</x:v>
      </x:c>
      <x:c r="L343" s="12" t="n">
        <x:f>IF(AND(ISNUMBER($B$15),$B$15&gt;=2,MOD($B$15,1)=0,OR($N$9=32,$N$9=64,$N$9=128),ISNUMBER($B$11),$B$11&gt;=0,MOD($B$11,1)=0),D343*E343*F343*I343/2^30,"")</x:f>
        <x:v>0.118989497423172</x:v>
      </x:c>
      <x:c r="M343" s="12" t="n">
        <x:f>IF(AND(ISNUMBER($B$15),$B$15&gt;=2,MOD($B$15,1)=0,OR($N$9=32,$N$9=64,$N$9=128),ISNUMBER($B$11),$B$11&gt;=0,MOD($B$11,1)=0),D343*E343*G343*J343/2^30,"")</x:f>
        <x:v>0.0148773193359375</x:v>
      </x:c>
      <x:c r="N343" s="2"/>
      <x:c r="O343" s="2"/>
      <x:c r="P343" s="2"/>
      <x:c r="Q343" s="2"/>
      <x:c r="R343" s="2"/>
      <x:c r="S343" s="2"/>
      <x:c r="T343" s="2"/>
      <x:c r="U343" s="2"/>
      <x:c r="V343" s="2"/>
      <x:c r="W343" s="2"/>
      <x:c r="X343" s="2"/>
    </x:row>
    <x:row r="344" ht="45" customHeight="1">
      <x:c r="A344" s="2" t="str">
        <x:v>DS V4 10T</x:v>
      </x:c>
      <x:c r="B344" s="2" t="n">
        <x:f>$B$15</x:f>
        <x:v>16384</x:v>
      </x:c>
      <x:c r="C344" s="56" t="str">
        <x:v>C4 compressor state / FP32</x:v>
      </x:c>
      <x:c r="D344" s="2" t="n">
        <x:v>30</x:v>
      </x:c>
      <x:c r="E344" s="2" t="n">
        <x:v>8192</x:v>
      </x:c>
      <x:c r="F344" s="2" t="n">
        <x:v>8</x:v>
      </x:c>
      <x:c r="G344" s="2" t="n">
        <x:v>1</x:v>
      </x:c>
      <x:c r="H344" s="2" t="n">
        <x:f>IF(AND(ISNUMBER($B$15),$B$15&gt;=2,MOD($B$15,1)=0,OR($N$9=32,$N$9=64,$N$9=128),ISNUMBER($B$11),$B$11&gt;=0,MOD($B$11,1)=0),MIN(($B$15-1),8),"")</x:f>
        <x:v>8</x:v>
      </x:c>
      <x:c r="I344" s="2" t="n">
        <x:f>IF(AND(ISNUMBER($B$15),$B$15&gt;=2,MOD($B$15,1)=0,OR($N$9=32,$N$9=64,$N$9=128),ISNUMBER($B$11),$B$11&gt;=0,MOD($B$11,1)=0),MIN(($B$15-1),8),"")</x:f>
        <x:v>8</x:v>
      </x:c>
      <x:c r="J344" s="2" t="n">
        <x:f>IF(AND(ISNUMBER($B$15),$B$15&gt;=2,MOD($B$15,1)=0,OR($N$9=32,$N$9=64,$N$9=128),ISNUMBER($B$11),$B$11&gt;=0,MOD($B$11,1)=0),MIN(ROUNDUP(($B$15-1)/($N$9/16),0),ROUNDUP(8/($N$9/16),0)+1)*($N$9/16),"")</x:f>
        <x:v>16</x:v>
      </x:c>
      <x:c r="K344" s="12" t="n">
        <x:f>IF(AND(ISNUMBER($B$15),$B$15&gt;=2,MOD($B$15,1)=0,OR($N$9=32,$N$9=64,$N$9=128),ISNUMBER($B$11),$B$11&gt;=0,MOD($B$11,1)=0),D344*E344*F344*H344/2^30,"")</x:f>
        <x:v>0.0146484375</x:v>
      </x:c>
      <x:c r="L344" s="12" t="n">
        <x:f>IF(AND(ISNUMBER($B$15),$B$15&gt;=2,MOD($B$15,1)=0,OR($N$9=32,$N$9=64,$N$9=128),ISNUMBER($B$11),$B$11&gt;=0,MOD($B$11,1)=0),D344*E344*F344*I344/2^30,"")</x:f>
        <x:v>0.0146484375</x:v>
      </x:c>
      <x:c r="M344" s="12" t="n">
        <x:f>IF(AND(ISNUMBER($B$15),$B$15&gt;=2,MOD($B$15,1)=0,OR($N$9=32,$N$9=64,$N$9=128),ISNUMBER($B$11),$B$11&gt;=0,MOD($B$11,1)=0),D344*E344*G344*J344/2^30,"")</x:f>
        <x:v>0.003662109375</x:v>
      </x:c>
      <x:c r="N344" s="2"/>
      <x:c r="O344" s="2"/>
      <x:c r="P344" s="2"/>
      <x:c r="Q344" s="2"/>
      <x:c r="R344" s="2"/>
      <x:c r="S344" s="2"/>
      <x:c r="T344" s="2"/>
      <x:c r="U344" s="2"/>
      <x:c r="V344" s="2"/>
      <x:c r="W344" s="2"/>
      <x:c r="X344" s="2"/>
    </x:row>
    <x:row r="345" ht="45" customHeight="1">
      <x:c r="A345" s="2" t="str">
        <x:v>DS V4 10T</x:v>
      </x:c>
      <x:c r="B345" s="2" t="n">
        <x:f>$B$15</x:f>
        <x:v>16384</x:v>
      </x:c>
      <x:c r="C345" s="56" t="str">
        <x:v>C128 compressor state / FP32</x:v>
      </x:c>
      <x:c r="D345" s="2" t="n">
        <x:v>31</x:v>
      </x:c>
      <x:c r="E345" s="2" t="n">
        <x:v>4096</x:v>
      </x:c>
      <x:c r="F345" s="2" t="n">
        <x:v>8</x:v>
      </x:c>
      <x:c r="G345" s="2" t="n">
        <x:v>1</x:v>
      </x:c>
      <x:c r="H345" s="2" t="n">
        <x:f>IF(AND(ISNUMBER($B$15),$B$15&gt;=2,MOD($B$15,1)=0,OR($N$9=32,$N$9=64,$N$9=128),ISNUMBER($B$11),$B$11&gt;=0,MOD($B$11,1)=0),MIN(($B$15-1),128),"")</x:f>
        <x:v>128</x:v>
      </x:c>
      <x:c r="I345" s="2" t="n">
        <x:f>IF(AND(ISNUMBER($B$15),$B$15&gt;=2,MOD($B$15,1)=0,OR($N$9=32,$N$9=64,$N$9=128),ISNUMBER($B$11),$B$11&gt;=0,MOD($B$11,1)=0),MIN(($B$15-1),128),"")</x:f>
        <x:v>128</x:v>
      </x:c>
      <x:c r="J345" s="2" t="n">
        <x:f>IF(AND(ISNUMBER($B$15),$B$15&gt;=2,MOD($B$15,1)=0,OR($N$9=32,$N$9=64,$N$9=128),ISNUMBER($B$11),$B$11&gt;=0,MOD($B$11,1)=0),MIN(ROUNDUP(($B$15-1)/($N$9/4),0),ROUNDUP(128/($N$9/4),0)+1)*($N$9/4),"")</x:f>
        <x:v>160</x:v>
      </x:c>
      <x:c r="K345" s="12" t="n">
        <x:f>IF(AND(ISNUMBER($B$15),$B$15&gt;=2,MOD($B$15,1)=0,OR($N$9=32,$N$9=64,$N$9=128),ISNUMBER($B$11),$B$11&gt;=0,MOD($B$11,1)=0),D345*E345*F345*H345/2^30,"")</x:f>
        <x:v>0.12109375</x:v>
      </x:c>
      <x:c r="L345" s="12" t="n">
        <x:f>IF(AND(ISNUMBER($B$15),$B$15&gt;=2,MOD($B$15,1)=0,OR($N$9=32,$N$9=64,$N$9=128),ISNUMBER($B$11),$B$11&gt;=0,MOD($B$11,1)=0),D345*E345*F345*I345/2^30,"")</x:f>
        <x:v>0.12109375</x:v>
      </x:c>
      <x:c r="M345" s="12" t="n">
        <x:f>IF(AND(ISNUMBER($B$15),$B$15&gt;=2,MOD($B$15,1)=0,OR($N$9=32,$N$9=64,$N$9=128),ISNUMBER($B$11),$B$11&gt;=0,MOD($B$11,1)=0),D345*E345*G345*J345/2^30,"")</x:f>
        <x:v>0.0189208984375</x:v>
      </x:c>
      <x:c r="N345" s="2"/>
      <x:c r="O345" s="2"/>
      <x:c r="P345" s="2"/>
      <x:c r="Q345" s="2"/>
      <x:c r="R345" s="2"/>
      <x:c r="S345" s="2"/>
      <x:c r="T345" s="2"/>
      <x:c r="U345" s="2"/>
      <x:c r="V345" s="2"/>
      <x:c r="W345" s="2"/>
      <x:c r="X345" s="2"/>
    </x:row>
    <x:row r="346" ht="45" customHeight="1">
      <x:c r="A346" s="2" t="str">
        <x:v>DS V4 10T</x:v>
      </x:c>
      <x:c r="B346" s="2" t="n">
        <x:f>$B$15</x:f>
        <x:v>16384</x:v>
      </x:c>
      <x:c r="C346" s="56" t="str">
        <x:v>C4 indexer state / FP32</x:v>
      </x:c>
      <x:c r="D346" s="2" t="n">
        <x:v>30</x:v>
      </x:c>
      <x:c r="E346" s="2" t="n">
        <x:v>2048</x:v>
      </x:c>
      <x:c r="F346" s="2" t="n">
        <x:v>8</x:v>
      </x:c>
      <x:c r="G346" s="2" t="n">
        <x:v>1</x:v>
      </x:c>
      <x:c r="H346" s="2" t="n">
        <x:f>IF(AND(ISNUMBER($B$15),$B$15&gt;=2,MOD($B$15,1)=0,OR($N$9=32,$N$9=64,$N$9=128),ISNUMBER($B$11),$B$11&gt;=0,MOD($B$11,1)=0),MIN(($B$15-1),8),"")</x:f>
        <x:v>8</x:v>
      </x:c>
      <x:c r="I346" s="2" t="n">
        <x:f>IF(AND(ISNUMBER($B$15),$B$15&gt;=2,MOD($B$15,1)=0,OR($N$9=32,$N$9=64,$N$9=128),ISNUMBER($B$11),$B$11&gt;=0,MOD($B$11,1)=0),MIN(($B$15-1),8),"")</x:f>
        <x:v>8</x:v>
      </x:c>
      <x:c r="J346" s="2" t="n">
        <x:f>IF(AND(ISNUMBER($B$15),$B$15&gt;=2,MOD($B$15,1)=0,OR($N$9=32,$N$9=64,$N$9=128),ISNUMBER($B$11),$B$11&gt;=0,MOD($B$11,1)=0),MIN(ROUNDUP(($B$15-1)/($N$9/16),0),ROUNDUP(8/($N$9/16),0)+1)*($N$9/16),"")</x:f>
        <x:v>16</x:v>
      </x:c>
      <x:c r="K346" s="12" t="n">
        <x:f>IF(AND(ISNUMBER($B$15),$B$15&gt;=2,MOD($B$15,1)=0,OR($N$9=32,$N$9=64,$N$9=128),ISNUMBER($B$11),$B$11&gt;=0,MOD($B$11,1)=0),D346*E346*F346*H346/2^30,"")</x:f>
        <x:v>0.003662109375</x:v>
      </x:c>
      <x:c r="L346" s="12" t="n">
        <x:f>IF(AND(ISNUMBER($B$15),$B$15&gt;=2,MOD($B$15,1)=0,OR($N$9=32,$N$9=64,$N$9=128),ISNUMBER($B$11),$B$11&gt;=0,MOD($B$11,1)=0),D346*E346*F346*I346/2^30,"")</x:f>
        <x:v>0.003662109375</x:v>
      </x:c>
      <x:c r="M346" s="12" t="n">
        <x:f>IF(AND(ISNUMBER($B$15),$B$15&gt;=2,MOD($B$15,1)=0,OR($N$9=32,$N$9=64,$N$9=128),ISNUMBER($B$11),$B$11&gt;=0,MOD($B$11,1)=0),D346*E346*G346*J346/2^30,"")</x:f>
        <x:v>0.00091552734375</x:v>
      </x:c>
      <x:c r="N346" s="2"/>
      <x:c r="O346" s="2"/>
      <x:c r="P346" s="2"/>
      <x:c r="Q346" s="2"/>
      <x:c r="R346" s="2"/>
      <x:c r="S346" s="2"/>
      <x:c r="T346" s="2"/>
      <x:c r="U346" s="2"/>
      <x:c r="V346" s="2"/>
      <x:c r="W346" s="2"/>
      <x:c r="X346" s="2"/>
    </x:row>
    <x:row r="347" ht="45" customHeight="1">
      <x:c r="A347" s="29" t="str">
        <x:v>DS V4 10T</x:v>
      </x:c>
      <x:c r="B347" s="29" t="n">
        <x:f>$B$15</x:f>
        <x:v>16384</x:v>
      </x:c>
      <x:c r="C347" s="57" t="str">
        <x:v>每请求合计</x:v>
      </x:c>
      <x:c r="D347" s="29"/>
      <x:c r="E347" s="29"/>
      <x:c r="F347" s="29"/>
      <x:c r="G347" s="29"/>
      <x:c r="H347" s="29"/>
      <x:c r="I347" s="29"/>
      <x:c r="J347" s="29"/>
      <x:c r="K347" s="55" t="n">
        <x:f>SUM(K340:K346)</x:f>
        <x:v>8.85023644566536</x:v>
      </x:c>
      <x:c r="L347" s="55" t="n">
        <x:f>SUM(L340:L346)</x:f>
        <x:v>1.2852721512317657</x:v>
      </x:c>
      <x:c r="M347" s="55" t="n">
        <x:f>SUM(M340:M346)</x:f>
        <x:v>0.1742401123046875</x:v>
      </x:c>
      <x:c r="N347" s="2"/>
      <x:c r="O347" s="2"/>
      <x:c r="P347" s="2"/>
      <x:c r="Q347" s="2"/>
      <x:c r="R347" s="2"/>
      <x:c r="S347" s="2"/>
      <x:c r="T347" s="2"/>
      <x:c r="U347" s="2"/>
      <x:c r="V347" s="2"/>
      <x:c r="W347" s="2"/>
      <x:c r="X347" s="2"/>
    </x:row>
    <x:row r="348" ht="45" customHeight="1">
      <x:c r="A348" s="2" t="str">
        <x:v>DS V4 10T</x:v>
      </x:c>
      <x:c r="B348" s="2" t="n">
        <x:f>$B$16</x:f>
        <x:v>262144</x:v>
      </x:c>
      <x:c r="C348" s="56" t="str">
        <x:v>SWA KV / BF16</x:v>
      </x:c>
      <x:c r="D348" s="2" t="n">
        <x:v>61</x:v>
      </x:c>
      <x:c r="E348" s="2" t="n">
        <x:v>1024</x:v>
      </x:c>
      <x:c r="F348" s="2" t="n">
        <x:v>8</x:v>
      </x:c>
      <x:c r="G348" s="2" t="n">
        <x:v>1</x:v>
      </x:c>
      <x:c r="H348" s="2" t="n">
        <x:f>IF(AND(ISNUMBER($B$16),$B$16&gt;=2,MOD($B$16,1)=0,OR($N$9=32,$N$9=64,$N$9=128),ISNUMBER($B$11),$B$11&gt;=0,MOD($B$11,1)=0),($B$16-1),"")</x:f>
        <x:v>262143</x:v>
      </x:c>
      <x:c r="I348" s="2" t="n">
        <x:f>IF(AND(ISNUMBER($B$16),$B$16&gt;=2,MOD($B$16,1)=0,OR($N$9=32,$N$9=64,$N$9=128),ISNUMBER($B$11),$B$11&gt;=0,MOD($B$11,1)=0),MIN(($B$16-1),128),"")</x:f>
        <x:v>128</x:v>
      </x:c>
      <x:c r="J348" s="2" t="n">
        <x:f>IF(AND(ISNUMBER($B$16),$B$16&gt;=2,MOD($B$16,1)=0,OR($N$9=32,$N$9=64,$N$9=128),ISNUMBER($B$11),$B$11&gt;=0,MOD($B$11,1)=0),MIN(ROUNDUP(($B$16-1)/$N$9,0),ROUNDUP(128/$N$9,0)+1)*$N$9,"")</x:f>
        <x:v>256</x:v>
      </x:c>
      <x:c r="K348" s="12" t="n">
        <x:f>IF(AND(ISNUMBER($B$16),$B$16&gt;=2,MOD($B$16,1)=0,OR($N$9=32,$N$9=64,$N$9=128),ISNUMBER($B$11),$B$11&gt;=0,MOD($B$11,1)=0),D348*E348*F348*H348/2^30,"")</x:f>
        <x:v>121.9995346069336</x:v>
      </x:c>
      <x:c r="L348" s="12" t="n">
        <x:f>IF(AND(ISNUMBER($B$16),$B$16&gt;=2,MOD($B$16,1)=0,OR($N$9=32,$N$9=64,$N$9=128),ISNUMBER($B$11),$B$11&gt;=0,MOD($B$11,1)=0),D348*E348*F348*I348/2^30,"")</x:f>
        <x:v>0.0595703125</x:v>
      </x:c>
      <x:c r="M348" s="12" t="n">
        <x:f>IF(AND(ISNUMBER($B$16),$B$16&gt;=2,MOD($B$16,1)=0,OR($N$9=32,$N$9=64,$N$9=128),ISNUMBER($B$11),$B$11&gt;=0,MOD($B$11,1)=0),D348*E348*G348*J348/2^30,"")</x:f>
        <x:v>0.014892578125</x:v>
      </x:c>
      <x:c r="N348" s="2"/>
      <x:c r="O348" s="2"/>
      <x:c r="P348" s="2"/>
      <x:c r="Q348" s="2"/>
      <x:c r="R348" s="2"/>
      <x:c r="S348" s="2"/>
      <x:c r="T348" s="2"/>
      <x:c r="U348" s="2"/>
      <x:c r="V348" s="2"/>
      <x:c r="W348" s="2"/>
      <x:c r="X348" s="2"/>
    </x:row>
    <x:row r="349" ht="45" customHeight="1">
      <x:c r="A349" s="2" t="str">
        <x:v>DS V4 10T</x:v>
      </x:c>
      <x:c r="B349" s="2" t="n">
        <x:f>$B$16</x:f>
        <x:v>262144</x:v>
      </x:c>
      <x:c r="C349" s="56" t="str">
        <x:v>C4 KV / BF16</x:v>
      </x:c>
      <x:c r="D349" s="2" t="n">
        <x:v>30</x:v>
      </x:c>
      <x:c r="E349" s="2" t="n">
        <x:v>1024</x:v>
      </x:c>
      <x:c r="F349" s="2" t="n">
        <x:v>8</x:v>
      </x:c>
      <x:c r="G349" s="2" t="n">
        <x:v>1</x:v>
      </x:c>
      <x:c r="H349" s="2" t="n">
        <x:f>IF(AND(ISNUMBER($B$16),$B$16&gt;=2,MOD($B$16,1)=0,OR($N$9=32,$N$9=64,$N$9=128),ISNUMBER($B$11),$B$11&gt;=0,MOD($B$11,1)=0),INT(($B$16-1)/4),"")</x:f>
        <x:v>65535</x:v>
      </x:c>
      <x:c r="I349" s="2" t="n">
        <x:f>IF(AND(ISNUMBER($B$16),$B$16&gt;=2,MOD($B$16,1)=0,OR($N$9=32,$N$9=64,$N$9=128),ISNUMBER($B$11),$B$11&gt;=0,MOD($B$11,1)=0),INT(($B$16-1)/4),"")</x:f>
        <x:v>65535</x:v>
      </x:c>
      <x:c r="J349" s="2" t="n">
        <x:f>IF(AND(ISNUMBER($B$16),$B$16&gt;=2,MOD($B$16,1)=0,OR($N$9=32,$N$9=64,$N$9=128),ISNUMBER($B$11),$B$11&gt;=0,MOD($B$11,1)=0),ROUNDUP(($B$16-1)/(4*$N$9),0)*$N$9,"")</x:f>
        <x:v>65536</x:v>
      </x:c>
      <x:c r="K349" s="12" t="n">
        <x:f>IF(AND(ISNUMBER($B$16),$B$16&gt;=2,MOD($B$16,1)=0,OR($N$9=32,$N$9=64,$N$9=128),ISNUMBER($B$11),$B$11&gt;=0,MOD($B$11,1)=0),D349*E349*F349*H349/2^30,"")</x:f>
        <x:v>14.999771118164062</x:v>
      </x:c>
      <x:c r="L349" s="12" t="n">
        <x:f>IF(AND(ISNUMBER($B$16),$B$16&gt;=2,MOD($B$16,1)=0,OR($N$9=32,$N$9=64,$N$9=128),ISNUMBER($B$11),$B$11&gt;=0,MOD($B$11,1)=0),D349*E349*F349*I349/2^30,"")</x:f>
        <x:v>14.999771118164062</x:v>
      </x:c>
      <x:c r="M349" s="12" t="n">
        <x:f>IF(AND(ISNUMBER($B$16),$B$16&gt;=2,MOD($B$16,1)=0,OR($N$9=32,$N$9=64,$N$9=128),ISNUMBER($B$11),$B$11&gt;=0,MOD($B$11,1)=0),D349*E349*G349*J349/2^30,"")</x:f>
        <x:v>1.875</x:v>
      </x:c>
      <x:c r="N349" s="2"/>
      <x:c r="O349" s="2"/>
      <x:c r="P349" s="2"/>
      <x:c r="Q349" s="2"/>
      <x:c r="R349" s="2"/>
      <x:c r="S349" s="2"/>
      <x:c r="T349" s="2"/>
      <x:c r="U349" s="2"/>
      <x:c r="V349" s="2"/>
      <x:c r="W349" s="2"/>
      <x:c r="X349" s="2"/>
    </x:row>
    <x:row r="350" ht="45" customHeight="1">
      <x:c r="A350" s="2" t="str">
        <x:v>DS V4 10T</x:v>
      </x:c>
      <x:c r="B350" s="2" t="n">
        <x:f>$B$16</x:f>
        <x:v>262144</x:v>
      </x:c>
      <x:c r="C350" s="56" t="str">
        <x:v>C128 KV / BF16</x:v>
      </x:c>
      <x:c r="D350" s="2" t="n">
        <x:v>31</x:v>
      </x:c>
      <x:c r="E350" s="2" t="n">
        <x:v>1024</x:v>
      </x:c>
      <x:c r="F350" s="2" t="n">
        <x:v>8</x:v>
      </x:c>
      <x:c r="G350" s="2" t="n">
        <x:v>1</x:v>
      </x:c>
      <x:c r="H350" s="2" t="n">
        <x:f>IF(AND(ISNUMBER($B$16),$B$16&gt;=2,MOD($B$16,1)=0,OR($N$9=32,$N$9=64,$N$9=128),ISNUMBER($B$11),$B$11&gt;=0,MOD($B$11,1)=0),INT(($B$16-1)/128),"")</x:f>
        <x:v>2047</x:v>
      </x:c>
      <x:c r="I350" s="2" t="n">
        <x:f>IF(AND(ISNUMBER($B$16),$B$16&gt;=2,MOD($B$16,1)=0,OR($N$9=32,$N$9=64,$N$9=128),ISNUMBER($B$11),$B$11&gt;=0,MOD($B$11,1)=0),INT(($B$16-1)/128),"")</x:f>
        <x:v>2047</x:v>
      </x:c>
      <x:c r="J350" s="2" t="n">
        <x:f>IF(AND(ISNUMBER($B$16),$B$16&gt;=2,MOD($B$16,1)=0,OR($N$9=32,$N$9=64,$N$9=128),ISNUMBER($B$11),$B$11&gt;=0,MOD($B$11,1)=0),ROUNDUP(($B$16-1)/(128*$N$9),0)*$N$9,"")</x:f>
        <x:v>2048</x:v>
      </x:c>
      <x:c r="K350" s="12" t="n">
        <x:f>IF(AND(ISNUMBER($B$16),$B$16&gt;=2,MOD($B$16,1)=0,OR($N$9=32,$N$9=64,$N$9=128),ISNUMBER($B$11),$B$11&gt;=0,MOD($B$11,1)=0),D350*E350*F350*H350/2^30,"")</x:f>
        <x:v>0.48413848876953125</x:v>
      </x:c>
      <x:c r="L350" s="12" t="n">
        <x:f>IF(AND(ISNUMBER($B$16),$B$16&gt;=2,MOD($B$16,1)=0,OR($N$9=32,$N$9=64,$N$9=128),ISNUMBER($B$11),$B$11&gt;=0,MOD($B$11,1)=0),D350*E350*F350*I350/2^30,"")</x:f>
        <x:v>0.48413848876953125</x:v>
      </x:c>
      <x:c r="M350" s="12" t="n">
        <x:f>IF(AND(ISNUMBER($B$16),$B$16&gt;=2,MOD($B$16,1)=0,OR($N$9=32,$N$9=64,$N$9=128),ISNUMBER($B$11),$B$11&gt;=0,MOD($B$11,1)=0),D350*E350*G350*J350/2^30,"")</x:f>
        <x:v>0.060546875</x:v>
      </x:c>
      <x:c r="N350" s="2"/>
      <x:c r="O350" s="2"/>
      <x:c r="P350" s="2"/>
      <x:c r="Q350" s="2"/>
      <x:c r="R350" s="2"/>
      <x:c r="S350" s="2"/>
      <x:c r="T350" s="2"/>
      <x:c r="U350" s="2"/>
      <x:c r="V350" s="2"/>
      <x:c r="W350" s="2"/>
      <x:c r="X350" s="2"/>
    </x:row>
    <x:row r="351" ht="45" customHeight="1">
      <x:c r="A351" s="2" t="str">
        <x:v>DS V4 10T</x:v>
      </x:c>
      <x:c r="B351" s="2" t="n">
        <x:f>$B$16</x:f>
        <x:v>262144</x:v>
      </x:c>
      <x:c r="C351" s="56" t="str">
        <x:v>C4 Indexer / INT8 + FP16 scale</x:v>
      </x:c>
      <x:c r="D351" s="2" t="n">
        <x:v>30</x:v>
      </x:c>
      <x:c r="E351" s="2" t="n">
        <x:v>130</x:v>
      </x:c>
      <x:c r="F351" s="2" t="n">
        <x:v>8</x:v>
      </x:c>
      <x:c r="G351" s="2" t="n">
        <x:v>1</x:v>
      </x:c>
      <x:c r="H351" s="2" t="n">
        <x:f>IF(AND(ISNUMBER($B$16),$B$16&gt;=2,MOD($B$16,1)=0,OR($N$9=32,$N$9=64,$N$9=128),ISNUMBER($B$11),$B$11&gt;=0,MOD($B$11,1)=0),INT(($B$16-1)/4),"")</x:f>
        <x:v>65535</x:v>
      </x:c>
      <x:c r="I351" s="2" t="n">
        <x:f>IF(AND(ISNUMBER($B$16),$B$16&gt;=2,MOD($B$16,1)=0,OR($N$9=32,$N$9=64,$N$9=128),ISNUMBER($B$11),$B$11&gt;=0,MOD($B$11,1)=0),INT(($B$16-1)/4),"")</x:f>
        <x:v>65535</x:v>
      </x:c>
      <x:c r="J351" s="2" t="n">
        <x:f>IF(AND(ISNUMBER($B$16),$B$16&gt;=2,MOD($B$16,1)=0,OR($N$9=32,$N$9=64,$N$9=128),ISNUMBER($B$11),$B$11&gt;=0,MOD($B$11,1)=0),ROUNDUP(($B$16-1)/(4*$N$9),0)*$N$9,"")</x:f>
        <x:v>65536</x:v>
      </x:c>
      <x:c r="K351" s="12" t="n">
        <x:f>IF(AND(ISNUMBER($B$16),$B$16&gt;=2,MOD($B$16,1)=0,OR($N$9=32,$N$9=64,$N$9=128),ISNUMBER($B$11),$B$11&gt;=0,MOD($B$11,1)=0),D351*E351*F351*H351/2^30,"")</x:f>
        <x:v>1.904267817735672</x:v>
      </x:c>
      <x:c r="L351" s="12" t="n">
        <x:f>IF(AND(ISNUMBER($B$16),$B$16&gt;=2,MOD($B$16,1)=0,OR($N$9=32,$N$9=64,$N$9=128),ISNUMBER($B$11),$B$11&gt;=0,MOD($B$11,1)=0),D351*E351*F351*I351/2^30,"")</x:f>
        <x:v>1.904267817735672</x:v>
      </x:c>
      <x:c r="M351" s="12" t="n">
        <x:f>IF(AND(ISNUMBER($B$16),$B$16&gt;=2,MOD($B$16,1)=0,OR($N$9=32,$N$9=64,$N$9=128),ISNUMBER($B$11),$B$11&gt;=0,MOD($B$11,1)=0),D351*E351*G351*J351/2^30,"")</x:f>
        <x:v>0.238037109375</x:v>
      </x:c>
      <x:c r="N351" s="2"/>
      <x:c r="O351" s="2"/>
      <x:c r="P351" s="2"/>
      <x:c r="Q351" s="2"/>
      <x:c r="R351" s="2"/>
      <x:c r="S351" s="2"/>
      <x:c r="T351" s="2"/>
      <x:c r="U351" s="2"/>
      <x:c r="V351" s="2"/>
      <x:c r="W351" s="2"/>
      <x:c r="X351" s="2"/>
    </x:row>
    <x:row r="352" ht="45" customHeight="1">
      <x:c r="A352" s="2" t="str">
        <x:v>DS V4 10T</x:v>
      </x:c>
      <x:c r="B352" s="2" t="n">
        <x:f>$B$16</x:f>
        <x:v>262144</x:v>
      </x:c>
      <x:c r="C352" s="56" t="str">
        <x:v>C4 compressor state / FP32</x:v>
      </x:c>
      <x:c r="D352" s="2" t="n">
        <x:v>30</x:v>
      </x:c>
      <x:c r="E352" s="2" t="n">
        <x:v>8192</x:v>
      </x:c>
      <x:c r="F352" s="2" t="n">
        <x:v>8</x:v>
      </x:c>
      <x:c r="G352" s="2" t="n">
        <x:v>1</x:v>
      </x:c>
      <x:c r="H352" s="2" t="n">
        <x:f>IF(AND(ISNUMBER($B$16),$B$16&gt;=2,MOD($B$16,1)=0,OR($N$9=32,$N$9=64,$N$9=128),ISNUMBER($B$11),$B$11&gt;=0,MOD($B$11,1)=0),MIN(($B$16-1),8),"")</x:f>
        <x:v>8</x:v>
      </x:c>
      <x:c r="I352" s="2" t="n">
        <x:f>IF(AND(ISNUMBER($B$16),$B$16&gt;=2,MOD($B$16,1)=0,OR($N$9=32,$N$9=64,$N$9=128),ISNUMBER($B$11),$B$11&gt;=0,MOD($B$11,1)=0),MIN(($B$16-1),8),"")</x:f>
        <x:v>8</x:v>
      </x:c>
      <x:c r="J352" s="2" t="n">
        <x:f>IF(AND(ISNUMBER($B$16),$B$16&gt;=2,MOD($B$16,1)=0,OR($N$9=32,$N$9=64,$N$9=128),ISNUMBER($B$11),$B$11&gt;=0,MOD($B$11,1)=0),MIN(ROUNDUP(($B$16-1)/($N$9/16),0),ROUNDUP(8/($N$9/16),0)+1)*($N$9/16),"")</x:f>
        <x:v>16</x:v>
      </x:c>
      <x:c r="K352" s="12" t="n">
        <x:f>IF(AND(ISNUMBER($B$16),$B$16&gt;=2,MOD($B$16,1)=0,OR($N$9=32,$N$9=64,$N$9=128),ISNUMBER($B$11),$B$11&gt;=0,MOD($B$11,1)=0),D352*E352*F352*H352/2^30,"")</x:f>
        <x:v>0.0146484375</x:v>
      </x:c>
      <x:c r="L352" s="12" t="n">
        <x:f>IF(AND(ISNUMBER($B$16),$B$16&gt;=2,MOD($B$16,1)=0,OR($N$9=32,$N$9=64,$N$9=128),ISNUMBER($B$11),$B$11&gt;=0,MOD($B$11,1)=0),D352*E352*F352*I352/2^30,"")</x:f>
        <x:v>0.0146484375</x:v>
      </x:c>
      <x:c r="M352" s="12" t="n">
        <x:f>IF(AND(ISNUMBER($B$16),$B$16&gt;=2,MOD($B$16,1)=0,OR($N$9=32,$N$9=64,$N$9=128),ISNUMBER($B$11),$B$11&gt;=0,MOD($B$11,1)=0),D352*E352*G352*J352/2^30,"")</x:f>
        <x:v>0.003662109375</x:v>
      </x:c>
      <x:c r="N352" s="2"/>
      <x:c r="O352" s="2"/>
      <x:c r="P352" s="2"/>
      <x:c r="Q352" s="2"/>
      <x:c r="R352" s="2"/>
      <x:c r="S352" s="2"/>
      <x:c r="T352" s="2"/>
      <x:c r="U352" s="2"/>
      <x:c r="V352" s="2"/>
      <x:c r="W352" s="2"/>
      <x:c r="X352" s="2"/>
    </x:row>
    <x:row r="353" ht="45" customHeight="1">
      <x:c r="A353" s="2" t="str">
        <x:v>DS V4 10T</x:v>
      </x:c>
      <x:c r="B353" s="2" t="n">
        <x:f>$B$16</x:f>
        <x:v>262144</x:v>
      </x:c>
      <x:c r="C353" s="56" t="str">
        <x:v>C128 compressor state / FP32</x:v>
      </x:c>
      <x:c r="D353" s="2" t="n">
        <x:v>31</x:v>
      </x:c>
      <x:c r="E353" s="2" t="n">
        <x:v>4096</x:v>
      </x:c>
      <x:c r="F353" s="2" t="n">
        <x:v>8</x:v>
      </x:c>
      <x:c r="G353" s="2" t="n">
        <x:v>1</x:v>
      </x:c>
      <x:c r="H353" s="2" t="n">
        <x:f>IF(AND(ISNUMBER($B$16),$B$16&gt;=2,MOD($B$16,1)=0,OR($N$9=32,$N$9=64,$N$9=128),ISNUMBER($B$11),$B$11&gt;=0,MOD($B$11,1)=0),MIN(($B$16-1),128),"")</x:f>
        <x:v>128</x:v>
      </x:c>
      <x:c r="I353" s="2" t="n">
        <x:f>IF(AND(ISNUMBER($B$16),$B$16&gt;=2,MOD($B$16,1)=0,OR($N$9=32,$N$9=64,$N$9=128),ISNUMBER($B$11),$B$11&gt;=0,MOD($B$11,1)=0),MIN(($B$16-1),128),"")</x:f>
        <x:v>128</x:v>
      </x:c>
      <x:c r="J353" s="2" t="n">
        <x:f>IF(AND(ISNUMBER($B$16),$B$16&gt;=2,MOD($B$16,1)=0,OR($N$9=32,$N$9=64,$N$9=128),ISNUMBER($B$11),$B$11&gt;=0,MOD($B$11,1)=0),MIN(ROUNDUP(($B$16-1)/($N$9/4),0),ROUNDUP(128/($N$9/4),0)+1)*($N$9/4),"")</x:f>
        <x:v>160</x:v>
      </x:c>
      <x:c r="K353" s="12" t="n">
        <x:f>IF(AND(ISNUMBER($B$16),$B$16&gt;=2,MOD($B$16,1)=0,OR($N$9=32,$N$9=64,$N$9=128),ISNUMBER($B$11),$B$11&gt;=0,MOD($B$11,1)=0),D353*E353*F353*H353/2^30,"")</x:f>
        <x:v>0.12109375</x:v>
      </x:c>
      <x:c r="L353" s="12" t="n">
        <x:f>IF(AND(ISNUMBER($B$16),$B$16&gt;=2,MOD($B$16,1)=0,OR($N$9=32,$N$9=64,$N$9=128),ISNUMBER($B$11),$B$11&gt;=0,MOD($B$11,1)=0),D353*E353*F353*I353/2^30,"")</x:f>
        <x:v>0.12109375</x:v>
      </x:c>
      <x:c r="M353" s="12" t="n">
        <x:f>IF(AND(ISNUMBER($B$16),$B$16&gt;=2,MOD($B$16,1)=0,OR($N$9=32,$N$9=64,$N$9=128),ISNUMBER($B$11),$B$11&gt;=0,MOD($B$11,1)=0),D353*E353*G353*J353/2^30,"")</x:f>
        <x:v>0.0189208984375</x:v>
      </x:c>
      <x:c r="N353" s="2"/>
      <x:c r="O353" s="2"/>
      <x:c r="P353" s="2"/>
      <x:c r="Q353" s="2"/>
      <x:c r="R353" s="2"/>
      <x:c r="S353" s="2"/>
      <x:c r="T353" s="2"/>
      <x:c r="U353" s="2"/>
      <x:c r="V353" s="2"/>
      <x:c r="W353" s="2"/>
      <x:c r="X353" s="2"/>
    </x:row>
    <x:row r="354" ht="45" customHeight="1">
      <x:c r="A354" s="2" t="str">
        <x:v>DS V4 10T</x:v>
      </x:c>
      <x:c r="B354" s="2" t="n">
        <x:f>$B$16</x:f>
        <x:v>262144</x:v>
      </x:c>
      <x:c r="C354" s="56" t="str">
        <x:v>C4 indexer state / FP32</x:v>
      </x:c>
      <x:c r="D354" s="2" t="n">
        <x:v>30</x:v>
      </x:c>
      <x:c r="E354" s="2" t="n">
        <x:v>2048</x:v>
      </x:c>
      <x:c r="F354" s="2" t="n">
        <x:v>8</x:v>
      </x:c>
      <x:c r="G354" s="2" t="n">
        <x:v>1</x:v>
      </x:c>
      <x:c r="H354" s="2" t="n">
        <x:f>IF(AND(ISNUMBER($B$16),$B$16&gt;=2,MOD($B$16,1)=0,OR($N$9=32,$N$9=64,$N$9=128),ISNUMBER($B$11),$B$11&gt;=0,MOD($B$11,1)=0),MIN(($B$16-1),8),"")</x:f>
        <x:v>8</x:v>
      </x:c>
      <x:c r="I354" s="2" t="n">
        <x:f>IF(AND(ISNUMBER($B$16),$B$16&gt;=2,MOD($B$16,1)=0,OR($N$9=32,$N$9=64,$N$9=128),ISNUMBER($B$11),$B$11&gt;=0,MOD($B$11,1)=0),MIN(($B$16-1),8),"")</x:f>
        <x:v>8</x:v>
      </x:c>
      <x:c r="J354" s="2" t="n">
        <x:f>IF(AND(ISNUMBER($B$16),$B$16&gt;=2,MOD($B$16,1)=0,OR($N$9=32,$N$9=64,$N$9=128),ISNUMBER($B$11),$B$11&gt;=0,MOD($B$11,1)=0),MIN(ROUNDUP(($B$16-1)/($N$9/16),0),ROUNDUP(8/($N$9/16),0)+1)*($N$9/16),"")</x:f>
        <x:v>16</x:v>
      </x:c>
      <x:c r="K354" s="12" t="n">
        <x:f>IF(AND(ISNUMBER($B$16),$B$16&gt;=2,MOD($B$16,1)=0,OR($N$9=32,$N$9=64,$N$9=128),ISNUMBER($B$11),$B$11&gt;=0,MOD($B$11,1)=0),D354*E354*F354*H354/2^30,"")</x:f>
        <x:v>0.003662109375</x:v>
      </x:c>
      <x:c r="L354" s="12" t="n">
        <x:f>IF(AND(ISNUMBER($B$16),$B$16&gt;=2,MOD($B$16,1)=0,OR($N$9=32,$N$9=64,$N$9=128),ISNUMBER($B$11),$B$11&gt;=0,MOD($B$11,1)=0),D354*E354*F354*I354/2^30,"")</x:f>
        <x:v>0.003662109375</x:v>
      </x:c>
      <x:c r="M354" s="12" t="n">
        <x:f>IF(AND(ISNUMBER($B$16),$B$16&gt;=2,MOD($B$16,1)=0,OR($N$9=32,$N$9=64,$N$9=128),ISNUMBER($B$11),$B$11&gt;=0,MOD($B$11,1)=0),D354*E354*G354*J354/2^30,"")</x:f>
        <x:v>0.00091552734375</x:v>
      </x:c>
      <x:c r="N354" s="2"/>
      <x:c r="O354" s="2"/>
      <x:c r="P354" s="2"/>
      <x:c r="Q354" s="2"/>
      <x:c r="R354" s="2"/>
      <x:c r="S354" s="2"/>
      <x:c r="T354" s="2"/>
      <x:c r="U354" s="2"/>
      <x:c r="V354" s="2"/>
      <x:c r="W354" s="2"/>
      <x:c r="X354" s="2"/>
    </x:row>
    <x:row r="355" ht="45" customHeight="1">
      <x:c r="A355" s="29" t="str">
        <x:v>DS V4 10T</x:v>
      </x:c>
      <x:c r="B355" s="29" t="n">
        <x:f>$B$16</x:f>
        <x:v>262144</x:v>
      </x:c>
      <x:c r="C355" s="57" t="str">
        <x:v>每请求合计</x:v>
      </x:c>
      <x:c r="D355" s="29"/>
      <x:c r="E355" s="29"/>
      <x:c r="F355" s="29"/>
      <x:c r="G355" s="29"/>
      <x:c r="H355" s="29"/>
      <x:c r="I355" s="29"/>
      <x:c r="J355" s="29"/>
      <x:c r="K355" s="55" t="n">
        <x:f>SUM(K348:K354)</x:f>
        <x:v>139.52711632847786</x:v>
      </x:c>
      <x:c r="L355" s="55" t="n">
        <x:f>SUM(L348:L354)</x:f>
        <x:v>17.587152034044266</x:v>
      </x:c>
      <x:c r="M355" s="55" t="n">
        <x:f>SUM(M348:M354)</x:f>
        <x:v>2.21197509765625</x:v>
      </x:c>
      <x:c r="N355" s="2"/>
      <x:c r="O355" s="2"/>
      <x:c r="P355" s="2"/>
      <x:c r="Q355" s="2"/>
      <x:c r="R355" s="2"/>
      <x:c r="S355" s="2"/>
      <x:c r="T355" s="2"/>
      <x:c r="U355" s="2"/>
      <x:c r="V355" s="2"/>
      <x:c r="W355" s="2"/>
      <x:c r="X355" s="2"/>
    </x:row>
    <x:row r="356" ht="45" customHeight="1">
      <x:c r="A356" s="2" t="str">
        <x:v>DS V4 10T</x:v>
      </x:c>
      <x:c r="B356" s="2" t="n">
        <x:f>$B$17</x:f>
        <x:v>1048576</x:v>
      </x:c>
      <x:c r="C356" s="56" t="str">
        <x:v>SWA KV / BF16</x:v>
      </x:c>
      <x:c r="D356" s="2" t="n">
        <x:v>61</x:v>
      </x:c>
      <x:c r="E356" s="2" t="n">
        <x:v>1024</x:v>
      </x:c>
      <x:c r="F356" s="2" t="n">
        <x:v>8</x:v>
      </x:c>
      <x:c r="G356" s="2" t="n">
        <x:v>1</x:v>
      </x:c>
      <x:c r="H356" s="2" t="n">
        <x:f>IF(AND(ISNUMBER($B$17),$B$17&gt;=2,MOD($B$17,1)=0,OR($N$9=32,$N$9=64,$N$9=128),ISNUMBER($B$11),$B$11&gt;=0,MOD($B$11,1)=0),($B$17-1),"")</x:f>
        <x:v>1048575</x:v>
      </x:c>
      <x:c r="I356" s="2" t="n">
        <x:f>IF(AND(ISNUMBER($B$17),$B$17&gt;=2,MOD($B$17,1)=0,OR($N$9=32,$N$9=64,$N$9=128),ISNUMBER($B$11),$B$11&gt;=0,MOD($B$11,1)=0),MIN(($B$17-1),128),"")</x:f>
        <x:v>128</x:v>
      </x:c>
      <x:c r="J356" s="2" t="n">
        <x:f>IF(AND(ISNUMBER($B$17),$B$17&gt;=2,MOD($B$17,1)=0,OR($N$9=32,$N$9=64,$N$9=128),ISNUMBER($B$11),$B$11&gt;=0,MOD($B$11,1)=0),MIN(ROUNDUP(($B$17-1)/$N$9,0),ROUNDUP(128/$N$9,0)+1)*$N$9,"")</x:f>
        <x:v>256</x:v>
      </x:c>
      <x:c r="K356" s="12" t="n">
        <x:f>IF(AND(ISNUMBER($B$17),$B$17&gt;=2,MOD($B$17,1)=0,OR($N$9=32,$N$9=64,$N$9=128),ISNUMBER($B$11),$B$11&gt;=0,MOD($B$11,1)=0),D356*E356*F356*H356/2^30,"")</x:f>
        <x:v>487.9995346069336</x:v>
      </x:c>
      <x:c r="L356" s="12" t="n">
        <x:f>IF(AND(ISNUMBER($B$17),$B$17&gt;=2,MOD($B$17,1)=0,OR($N$9=32,$N$9=64,$N$9=128),ISNUMBER($B$11),$B$11&gt;=0,MOD($B$11,1)=0),D356*E356*F356*I356/2^30,"")</x:f>
        <x:v>0.0595703125</x:v>
      </x:c>
      <x:c r="M356" s="12" t="n">
        <x:f>IF(AND(ISNUMBER($B$17),$B$17&gt;=2,MOD($B$17,1)=0,OR($N$9=32,$N$9=64,$N$9=128),ISNUMBER($B$11),$B$11&gt;=0,MOD($B$11,1)=0),D356*E356*G356*J356/2^30,"")</x:f>
        <x:v>0.014892578125</x:v>
      </x:c>
      <x:c r="N356" s="2"/>
      <x:c r="O356" s="2"/>
      <x:c r="P356" s="2"/>
      <x:c r="Q356" s="2"/>
      <x:c r="R356" s="2"/>
      <x:c r="S356" s="2"/>
      <x:c r="T356" s="2"/>
      <x:c r="U356" s="2"/>
      <x:c r="V356" s="2"/>
      <x:c r="W356" s="2"/>
      <x:c r="X356" s="2"/>
    </x:row>
    <x:row r="357" ht="45" customHeight="1">
      <x:c r="A357" s="2" t="str">
        <x:v>DS V4 10T</x:v>
      </x:c>
      <x:c r="B357" s="2" t="n">
        <x:f>$B$17</x:f>
        <x:v>1048576</x:v>
      </x:c>
      <x:c r="C357" s="56" t="str">
        <x:v>C4 KV / BF16</x:v>
      </x:c>
      <x:c r="D357" s="2" t="n">
        <x:v>30</x:v>
      </x:c>
      <x:c r="E357" s="2" t="n">
        <x:v>1024</x:v>
      </x:c>
      <x:c r="F357" s="2" t="n">
        <x:v>8</x:v>
      </x:c>
      <x:c r="G357" s="2" t="n">
        <x:v>1</x:v>
      </x:c>
      <x:c r="H357" s="2" t="n">
        <x:f>IF(AND(ISNUMBER($B$17),$B$17&gt;=2,MOD($B$17,1)=0,OR($N$9=32,$N$9=64,$N$9=128),ISNUMBER($B$11),$B$11&gt;=0,MOD($B$11,1)=0),INT(($B$17-1)/4),"")</x:f>
        <x:v>262143</x:v>
      </x:c>
      <x:c r="I357" s="2" t="n">
        <x:f>IF(AND(ISNUMBER($B$17),$B$17&gt;=2,MOD($B$17,1)=0,OR($N$9=32,$N$9=64,$N$9=128),ISNUMBER($B$11),$B$11&gt;=0,MOD($B$11,1)=0),INT(($B$17-1)/4),"")</x:f>
        <x:v>262143</x:v>
      </x:c>
      <x:c r="J357" s="2" t="n">
        <x:f>IF(AND(ISNUMBER($B$17),$B$17&gt;=2,MOD($B$17,1)=0,OR($N$9=32,$N$9=64,$N$9=128),ISNUMBER($B$11),$B$11&gt;=0,MOD($B$11,1)=0),ROUNDUP(($B$17-1)/(4*$N$9),0)*$N$9,"")</x:f>
        <x:v>262144</x:v>
      </x:c>
      <x:c r="K357" s="12" t="n">
        <x:f>IF(AND(ISNUMBER($B$17),$B$17&gt;=2,MOD($B$17,1)=0,OR($N$9=32,$N$9=64,$N$9=128),ISNUMBER($B$11),$B$11&gt;=0,MOD($B$11,1)=0),D357*E357*F357*H357/2^30,"")</x:f>
        <x:v>59.99977111816406</x:v>
      </x:c>
      <x:c r="L357" s="12" t="n">
        <x:f>IF(AND(ISNUMBER($B$17),$B$17&gt;=2,MOD($B$17,1)=0,OR($N$9=32,$N$9=64,$N$9=128),ISNUMBER($B$11),$B$11&gt;=0,MOD($B$11,1)=0),D357*E357*F357*I357/2^30,"")</x:f>
        <x:v>59.99977111816406</x:v>
      </x:c>
      <x:c r="M357" s="12" t="n">
        <x:f>IF(AND(ISNUMBER($B$17),$B$17&gt;=2,MOD($B$17,1)=0,OR($N$9=32,$N$9=64,$N$9=128),ISNUMBER($B$11),$B$11&gt;=0,MOD($B$11,1)=0),D357*E357*G357*J357/2^30,"")</x:f>
        <x:v>7.5</x:v>
      </x:c>
      <x:c r="N357" s="2"/>
      <x:c r="O357" s="2"/>
      <x:c r="P357" s="2"/>
      <x:c r="Q357" s="2"/>
      <x:c r="R357" s="2"/>
      <x:c r="S357" s="2"/>
      <x:c r="T357" s="2"/>
      <x:c r="U357" s="2"/>
      <x:c r="V357" s="2"/>
      <x:c r="W357" s="2"/>
      <x:c r="X357" s="2"/>
    </x:row>
    <x:row r="358" ht="45" customHeight="1">
      <x:c r="A358" s="2" t="str">
        <x:v>DS V4 10T</x:v>
      </x:c>
      <x:c r="B358" s="2" t="n">
        <x:f>$B$17</x:f>
        <x:v>1048576</x:v>
      </x:c>
      <x:c r="C358" s="56" t="str">
        <x:v>C128 KV / BF16</x:v>
      </x:c>
      <x:c r="D358" s="2" t="n">
        <x:v>31</x:v>
      </x:c>
      <x:c r="E358" s="2" t="n">
        <x:v>1024</x:v>
      </x:c>
      <x:c r="F358" s="2" t="n">
        <x:v>8</x:v>
      </x:c>
      <x:c r="G358" s="2" t="n">
        <x:v>1</x:v>
      </x:c>
      <x:c r="H358" s="2" t="n">
        <x:f>IF(AND(ISNUMBER($B$17),$B$17&gt;=2,MOD($B$17,1)=0,OR($N$9=32,$N$9=64,$N$9=128),ISNUMBER($B$11),$B$11&gt;=0,MOD($B$11,1)=0),INT(($B$17-1)/128),"")</x:f>
        <x:v>8191</x:v>
      </x:c>
      <x:c r="I358" s="2" t="n">
        <x:f>IF(AND(ISNUMBER($B$17),$B$17&gt;=2,MOD($B$17,1)=0,OR($N$9=32,$N$9=64,$N$9=128),ISNUMBER($B$11),$B$11&gt;=0,MOD($B$11,1)=0),INT(($B$17-1)/128),"")</x:f>
        <x:v>8191</x:v>
      </x:c>
      <x:c r="J358" s="2" t="n">
        <x:f>IF(AND(ISNUMBER($B$17),$B$17&gt;=2,MOD($B$17,1)=0,OR($N$9=32,$N$9=64,$N$9=128),ISNUMBER($B$11),$B$11&gt;=0,MOD($B$11,1)=0),ROUNDUP(($B$17-1)/(128*$N$9),0)*$N$9,"")</x:f>
        <x:v>8192</x:v>
      </x:c>
      <x:c r="K358" s="12" t="n">
        <x:f>IF(AND(ISNUMBER($B$17),$B$17&gt;=2,MOD($B$17,1)=0,OR($N$9=32,$N$9=64,$N$9=128),ISNUMBER($B$11),$B$11&gt;=0,MOD($B$11,1)=0),D358*E358*F358*H358/2^30,"")</x:f>
        <x:v>1.9372634887695312</x:v>
      </x:c>
      <x:c r="L358" s="12" t="n">
        <x:f>IF(AND(ISNUMBER($B$17),$B$17&gt;=2,MOD($B$17,1)=0,OR($N$9=32,$N$9=64,$N$9=128),ISNUMBER($B$11),$B$11&gt;=0,MOD($B$11,1)=0),D358*E358*F358*I358/2^30,"")</x:f>
        <x:v>1.9372634887695312</x:v>
      </x:c>
      <x:c r="M358" s="12" t="n">
        <x:f>IF(AND(ISNUMBER($B$17),$B$17&gt;=2,MOD($B$17,1)=0,OR($N$9=32,$N$9=64,$N$9=128),ISNUMBER($B$11),$B$11&gt;=0,MOD($B$11,1)=0),D358*E358*G358*J358/2^30,"")</x:f>
        <x:v>0.2421875</x:v>
      </x:c>
      <x:c r="N358" s="2"/>
      <x:c r="O358" s="2"/>
      <x:c r="P358" s="2"/>
      <x:c r="Q358" s="2"/>
      <x:c r="R358" s="2"/>
      <x:c r="S358" s="2"/>
      <x:c r="T358" s="2"/>
      <x:c r="U358" s="2"/>
      <x:c r="V358" s="2"/>
      <x:c r="W358" s="2"/>
      <x:c r="X358" s="2"/>
    </x:row>
    <x:row r="359" ht="45" customHeight="1">
      <x:c r="A359" s="2" t="str">
        <x:v>DS V4 10T</x:v>
      </x:c>
      <x:c r="B359" s="2" t="n">
        <x:f>$B$17</x:f>
        <x:v>1048576</x:v>
      </x:c>
      <x:c r="C359" s="56" t="str">
        <x:v>C4 Indexer / INT8 + FP16 scale</x:v>
      </x:c>
      <x:c r="D359" s="2" t="n">
        <x:v>30</x:v>
      </x:c>
      <x:c r="E359" s="2" t="n">
        <x:v>130</x:v>
      </x:c>
      <x:c r="F359" s="2" t="n">
        <x:v>8</x:v>
      </x:c>
      <x:c r="G359" s="2" t="n">
        <x:v>1</x:v>
      </x:c>
      <x:c r="H359" s="2" t="n">
        <x:f>IF(AND(ISNUMBER($B$17),$B$17&gt;=2,MOD($B$17,1)=0,OR($N$9=32,$N$9=64,$N$9=128),ISNUMBER($B$11),$B$11&gt;=0,MOD($B$11,1)=0),INT(($B$17-1)/4),"")</x:f>
        <x:v>262143</x:v>
      </x:c>
      <x:c r="I359" s="2" t="n">
        <x:f>IF(AND(ISNUMBER($B$17),$B$17&gt;=2,MOD($B$17,1)=0,OR($N$9=32,$N$9=64,$N$9=128),ISNUMBER($B$11),$B$11&gt;=0,MOD($B$11,1)=0),INT(($B$17-1)/4),"")</x:f>
        <x:v>262143</x:v>
      </x:c>
      <x:c r="J359" s="2" t="n">
        <x:f>IF(AND(ISNUMBER($B$17),$B$17&gt;=2,MOD($B$17,1)=0,OR($N$9=32,$N$9=64,$N$9=128),ISNUMBER($B$11),$B$11&gt;=0,MOD($B$11,1)=0),ROUNDUP(($B$17-1)/(4*$N$9),0)*$N$9,"")</x:f>
        <x:v>262144</x:v>
      </x:c>
      <x:c r="K359" s="12" t="n">
        <x:f>IF(AND(ISNUMBER($B$17),$B$17&gt;=2,MOD($B$17,1)=0,OR($N$9=32,$N$9=64,$N$9=128),ISNUMBER($B$11),$B$11&gt;=0,MOD($B$11,1)=0),D359*E359*F359*H359/2^30,"")</x:f>
        <x:v>7.617158442735672</x:v>
      </x:c>
      <x:c r="L359" s="12" t="n">
        <x:f>IF(AND(ISNUMBER($B$17),$B$17&gt;=2,MOD($B$17,1)=0,OR($N$9=32,$N$9=64,$N$9=128),ISNUMBER($B$11),$B$11&gt;=0,MOD($B$11,1)=0),D359*E359*F359*I359/2^30,"")</x:f>
        <x:v>7.617158442735672</x:v>
      </x:c>
      <x:c r="M359" s="12" t="n">
        <x:f>IF(AND(ISNUMBER($B$17),$B$17&gt;=2,MOD($B$17,1)=0,OR($N$9=32,$N$9=64,$N$9=128),ISNUMBER($B$11),$B$11&gt;=0,MOD($B$11,1)=0),D359*E359*G359*J359/2^30,"")</x:f>
        <x:v>0.9521484375</x:v>
      </x:c>
      <x:c r="N359" s="2"/>
      <x:c r="O359" s="2"/>
      <x:c r="P359" s="2"/>
      <x:c r="Q359" s="2"/>
      <x:c r="R359" s="2"/>
      <x:c r="S359" s="2"/>
      <x:c r="T359" s="2"/>
      <x:c r="U359" s="2"/>
      <x:c r="V359" s="2"/>
      <x:c r="W359" s="2"/>
      <x:c r="X359" s="2"/>
    </x:row>
    <x:row r="360" ht="45" customHeight="1">
      <x:c r="A360" s="2" t="str">
        <x:v>DS V4 10T</x:v>
      </x:c>
      <x:c r="B360" s="2" t="n">
        <x:f>$B$17</x:f>
        <x:v>1048576</x:v>
      </x:c>
      <x:c r="C360" s="56" t="str">
        <x:v>C4 compressor state / FP32</x:v>
      </x:c>
      <x:c r="D360" s="2" t="n">
        <x:v>30</x:v>
      </x:c>
      <x:c r="E360" s="2" t="n">
        <x:v>8192</x:v>
      </x:c>
      <x:c r="F360" s="2" t="n">
        <x:v>8</x:v>
      </x:c>
      <x:c r="G360" s="2" t="n">
        <x:v>1</x:v>
      </x:c>
      <x:c r="H360" s="2" t="n">
        <x:f>IF(AND(ISNUMBER($B$17),$B$17&gt;=2,MOD($B$17,1)=0,OR($N$9=32,$N$9=64,$N$9=128),ISNUMBER($B$11),$B$11&gt;=0,MOD($B$11,1)=0),MIN(($B$17-1),8),"")</x:f>
        <x:v>8</x:v>
      </x:c>
      <x:c r="I360" s="2" t="n">
        <x:f>IF(AND(ISNUMBER($B$17),$B$17&gt;=2,MOD($B$17,1)=0,OR($N$9=32,$N$9=64,$N$9=128),ISNUMBER($B$11),$B$11&gt;=0,MOD($B$11,1)=0),MIN(($B$17-1),8),"")</x:f>
        <x:v>8</x:v>
      </x:c>
      <x:c r="J360" s="2" t="n">
        <x:f>IF(AND(ISNUMBER($B$17),$B$17&gt;=2,MOD($B$17,1)=0,OR($N$9=32,$N$9=64,$N$9=128),ISNUMBER($B$11),$B$11&gt;=0,MOD($B$11,1)=0),MIN(ROUNDUP(($B$17-1)/($N$9/16),0),ROUNDUP(8/($N$9/16),0)+1)*($N$9/16),"")</x:f>
        <x:v>16</x:v>
      </x:c>
      <x:c r="K360" s="12" t="n">
        <x:f>IF(AND(ISNUMBER($B$17),$B$17&gt;=2,MOD($B$17,1)=0,OR($N$9=32,$N$9=64,$N$9=128),ISNUMBER($B$11),$B$11&gt;=0,MOD($B$11,1)=0),D360*E360*F360*H360/2^30,"")</x:f>
        <x:v>0.0146484375</x:v>
      </x:c>
      <x:c r="L360" s="12" t="n">
        <x:f>IF(AND(ISNUMBER($B$17),$B$17&gt;=2,MOD($B$17,1)=0,OR($N$9=32,$N$9=64,$N$9=128),ISNUMBER($B$11),$B$11&gt;=0,MOD($B$11,1)=0),D360*E360*F360*I360/2^30,"")</x:f>
        <x:v>0.0146484375</x:v>
      </x:c>
      <x:c r="M360" s="12" t="n">
        <x:f>IF(AND(ISNUMBER($B$17),$B$17&gt;=2,MOD($B$17,1)=0,OR($N$9=32,$N$9=64,$N$9=128),ISNUMBER($B$11),$B$11&gt;=0,MOD($B$11,1)=0),D360*E360*G360*J360/2^30,"")</x:f>
        <x:v>0.003662109375</x:v>
      </x:c>
      <x:c r="N360" s="2"/>
      <x:c r="O360" s="2"/>
      <x:c r="P360" s="2"/>
      <x:c r="Q360" s="2"/>
      <x:c r="R360" s="2"/>
      <x:c r="S360" s="2"/>
      <x:c r="T360" s="2"/>
      <x:c r="U360" s="2"/>
      <x:c r="V360" s="2"/>
      <x:c r="W360" s="2"/>
      <x:c r="X360" s="2"/>
    </x:row>
    <x:row r="361" ht="45" customHeight="1">
      <x:c r="A361" s="2" t="str">
        <x:v>DS V4 10T</x:v>
      </x:c>
      <x:c r="B361" s="2" t="n">
        <x:f>$B$17</x:f>
        <x:v>1048576</x:v>
      </x:c>
      <x:c r="C361" s="56" t="str">
        <x:v>C128 compressor state / FP32</x:v>
      </x:c>
      <x:c r="D361" s="2" t="n">
        <x:v>31</x:v>
      </x:c>
      <x:c r="E361" s="2" t="n">
        <x:v>4096</x:v>
      </x:c>
      <x:c r="F361" s="2" t="n">
        <x:v>8</x:v>
      </x:c>
      <x:c r="G361" s="2" t="n">
        <x:v>1</x:v>
      </x:c>
      <x:c r="H361" s="2" t="n">
        <x:f>IF(AND(ISNUMBER($B$17),$B$17&gt;=2,MOD($B$17,1)=0,OR($N$9=32,$N$9=64,$N$9=128),ISNUMBER($B$11),$B$11&gt;=0,MOD($B$11,1)=0),MIN(($B$17-1),128),"")</x:f>
        <x:v>128</x:v>
      </x:c>
      <x:c r="I361" s="2" t="n">
        <x:f>IF(AND(ISNUMBER($B$17),$B$17&gt;=2,MOD($B$17,1)=0,OR($N$9=32,$N$9=64,$N$9=128),ISNUMBER($B$11),$B$11&gt;=0,MOD($B$11,1)=0),MIN(($B$17-1),128),"")</x:f>
        <x:v>128</x:v>
      </x:c>
      <x:c r="J361" s="2" t="n">
        <x:f>IF(AND(ISNUMBER($B$17),$B$17&gt;=2,MOD($B$17,1)=0,OR($N$9=32,$N$9=64,$N$9=128),ISNUMBER($B$11),$B$11&gt;=0,MOD($B$11,1)=0),MIN(ROUNDUP(($B$17-1)/($N$9/4),0),ROUNDUP(128/($N$9/4),0)+1)*($N$9/4),"")</x:f>
        <x:v>160</x:v>
      </x:c>
      <x:c r="K361" s="12" t="n">
        <x:f>IF(AND(ISNUMBER($B$17),$B$17&gt;=2,MOD($B$17,1)=0,OR($N$9=32,$N$9=64,$N$9=128),ISNUMBER($B$11),$B$11&gt;=0,MOD($B$11,1)=0),D361*E361*F361*H361/2^30,"")</x:f>
        <x:v>0.12109375</x:v>
      </x:c>
      <x:c r="L361" s="12" t="n">
        <x:f>IF(AND(ISNUMBER($B$17),$B$17&gt;=2,MOD($B$17,1)=0,OR($N$9=32,$N$9=64,$N$9=128),ISNUMBER($B$11),$B$11&gt;=0,MOD($B$11,1)=0),D361*E361*F361*I361/2^30,"")</x:f>
        <x:v>0.12109375</x:v>
      </x:c>
      <x:c r="M361" s="12" t="n">
        <x:f>IF(AND(ISNUMBER($B$17),$B$17&gt;=2,MOD($B$17,1)=0,OR($N$9=32,$N$9=64,$N$9=128),ISNUMBER($B$11),$B$11&gt;=0,MOD($B$11,1)=0),D361*E361*G361*J361/2^30,"")</x:f>
        <x:v>0.0189208984375</x:v>
      </x:c>
      <x:c r="N361" s="2"/>
      <x:c r="O361" s="2"/>
      <x:c r="P361" s="2"/>
      <x:c r="Q361" s="2"/>
      <x:c r="R361" s="2"/>
      <x:c r="S361" s="2"/>
      <x:c r="T361" s="2"/>
      <x:c r="U361" s="2"/>
      <x:c r="V361" s="2"/>
      <x:c r="W361" s="2"/>
      <x:c r="X361" s="2"/>
    </x:row>
    <x:row r="362" ht="45" customHeight="1">
      <x:c r="A362" s="2" t="str">
        <x:v>DS V4 10T</x:v>
      </x:c>
      <x:c r="B362" s="2" t="n">
        <x:f>$B$17</x:f>
        <x:v>1048576</x:v>
      </x:c>
      <x:c r="C362" s="56" t="str">
        <x:v>C4 indexer state / FP32</x:v>
      </x:c>
      <x:c r="D362" s="2" t="n">
        <x:v>30</x:v>
      </x:c>
      <x:c r="E362" s="2" t="n">
        <x:v>2048</x:v>
      </x:c>
      <x:c r="F362" s="2" t="n">
        <x:v>8</x:v>
      </x:c>
      <x:c r="G362" s="2" t="n">
        <x:v>1</x:v>
      </x:c>
      <x:c r="H362" s="2" t="n">
        <x:f>IF(AND(ISNUMBER($B$17),$B$17&gt;=2,MOD($B$17,1)=0,OR($N$9=32,$N$9=64,$N$9=128),ISNUMBER($B$11),$B$11&gt;=0,MOD($B$11,1)=0),MIN(($B$17-1),8),"")</x:f>
        <x:v>8</x:v>
      </x:c>
      <x:c r="I362" s="2" t="n">
        <x:f>IF(AND(ISNUMBER($B$17),$B$17&gt;=2,MOD($B$17,1)=0,OR($N$9=32,$N$9=64,$N$9=128),ISNUMBER($B$11),$B$11&gt;=0,MOD($B$11,1)=0),MIN(($B$17-1),8),"")</x:f>
        <x:v>8</x:v>
      </x:c>
      <x:c r="J362" s="2" t="n">
        <x:f>IF(AND(ISNUMBER($B$17),$B$17&gt;=2,MOD($B$17,1)=0,OR($N$9=32,$N$9=64,$N$9=128),ISNUMBER($B$11),$B$11&gt;=0,MOD($B$11,1)=0),MIN(ROUNDUP(($B$17-1)/($N$9/16),0),ROUNDUP(8/($N$9/16),0)+1)*($N$9/16),"")</x:f>
        <x:v>16</x:v>
      </x:c>
      <x:c r="K362" s="12" t="n">
        <x:f>IF(AND(ISNUMBER($B$17),$B$17&gt;=2,MOD($B$17,1)=0,OR($N$9=32,$N$9=64,$N$9=128),ISNUMBER($B$11),$B$11&gt;=0,MOD($B$11,1)=0),D362*E362*F362*H362/2^30,"")</x:f>
        <x:v>0.003662109375</x:v>
      </x:c>
      <x:c r="L362" s="12" t="n">
        <x:f>IF(AND(ISNUMBER($B$17),$B$17&gt;=2,MOD($B$17,1)=0,OR($N$9=32,$N$9=64,$N$9=128),ISNUMBER($B$11),$B$11&gt;=0,MOD($B$11,1)=0),D362*E362*F362*I362/2^30,"")</x:f>
        <x:v>0.003662109375</x:v>
      </x:c>
      <x:c r="M362" s="12" t="n">
        <x:f>IF(AND(ISNUMBER($B$17),$B$17&gt;=2,MOD($B$17,1)=0,OR($N$9=32,$N$9=64,$N$9=128),ISNUMBER($B$11),$B$11&gt;=0,MOD($B$11,1)=0),D362*E362*G362*J362/2^30,"")</x:f>
        <x:v>0.00091552734375</x:v>
      </x:c>
      <x:c r="N362" s="2"/>
      <x:c r="O362" s="2"/>
      <x:c r="P362" s="2"/>
      <x:c r="Q362" s="2"/>
      <x:c r="R362" s="2"/>
      <x:c r="S362" s="2"/>
      <x:c r="T362" s="2"/>
      <x:c r="U362" s="2"/>
      <x:c r="V362" s="2"/>
      <x:c r="W362" s="2"/>
      <x:c r="X362" s="2"/>
    </x:row>
    <x:row r="363" ht="45" customHeight="1">
      <x:c r="A363" s="29" t="str">
        <x:v>DS V4 10T</x:v>
      </x:c>
      <x:c r="B363" s="29" t="n">
        <x:f>$B$17</x:f>
        <x:v>1048576</x:v>
      </x:c>
      <x:c r="C363" s="57" t="str">
        <x:v>每请求合计</x:v>
      </x:c>
      <x:c r="D363" s="29"/>
      <x:c r="E363" s="29"/>
      <x:c r="F363" s="29"/>
      <x:c r="G363" s="29"/>
      <x:c r="H363" s="29"/>
      <x:c r="I363" s="29"/>
      <x:c r="J363" s="29"/>
      <x:c r="K363" s="55" t="n">
        <x:f>SUM(K356:K362)</x:f>
        <x:v>557.6931319534779</x:v>
      </x:c>
      <x:c r="L363" s="55" t="n">
        <x:f>SUM(L356:L362)</x:f>
        <x:v>69.75316765904427</x:v>
      </x:c>
      <x:c r="M363" s="55" t="n">
        <x:f>SUM(M356:M362)</x:f>
        <x:v>8.73272705078125</x:v>
      </x:c>
      <x:c r="N363" s="2"/>
      <x:c r="O363" s="2"/>
      <x:c r="P363" s="2"/>
      <x:c r="Q363" s="2"/>
      <x:c r="R363" s="2"/>
      <x:c r="S363" s="2"/>
      <x:c r="T363" s="2"/>
      <x:c r="U363" s="2"/>
      <x:c r="V363" s="2"/>
      <x:c r="W363" s="2"/>
      <x:c r="X363" s="2"/>
    </x:row>
    <x:row r="364" ht="45" customHeight="1">
      <x:c r="A364" s="2" t="str">
        <x:v>DS V4 Pro</x:v>
      </x:c>
      <x:c r="B364" s="2" t="n">
        <x:f>$B$15</x:f>
        <x:v>16384</x:v>
      </x:c>
      <x:c r="C364" s="56" t="str">
        <x:v>SWA KV / BF16</x:v>
      </x:c>
      <x:c r="D364" s="2" t="n">
        <x:v>61</x:v>
      </x:c>
      <x:c r="E364" s="2" t="n">
        <x:v>1024</x:v>
      </x:c>
      <x:c r="F364" s="2" t="n">
        <x:v>8</x:v>
      </x:c>
      <x:c r="G364" s="2" t="n">
        <x:v>1</x:v>
      </x:c>
      <x:c r="H364" s="2" t="n">
        <x:f>IF(AND(ISNUMBER($B$15),$B$15&gt;=2,MOD($B$15,1)=0,OR($N$9=32,$N$9=64,$N$9=128),ISNUMBER($B$11),$B$11&gt;=0,MOD($B$11,1)=0),($B$15-1),"")</x:f>
        <x:v>16383</x:v>
      </x:c>
      <x:c r="I364" s="2" t="n">
        <x:f>IF(AND(ISNUMBER($B$15),$B$15&gt;=2,MOD($B$15,1)=0,OR($N$9=32,$N$9=64,$N$9=128),ISNUMBER($B$11),$B$11&gt;=0,MOD($B$11,1)=0),MIN(($B$15-1),128),"")</x:f>
        <x:v>128</x:v>
      </x:c>
      <x:c r="J364" s="2" t="n">
        <x:f>IF(AND(ISNUMBER($B$15),$B$15&gt;=2,MOD($B$15,1)=0,OR($N$9=32,$N$9=64,$N$9=128),ISNUMBER($B$11),$B$11&gt;=0,MOD($B$11,1)=0),MIN(ROUNDUP(($B$15-1)/$N$9,0),ROUNDUP(128/$N$9,0)+1)*$N$9,"")</x:f>
        <x:v>256</x:v>
      </x:c>
      <x:c r="K364" s="12" t="n">
        <x:f>IF(AND(ISNUMBER($B$15),$B$15&gt;=2,MOD($B$15,1)=0,OR($N$9=32,$N$9=64,$N$9=128),ISNUMBER($B$11),$B$11&gt;=0,MOD($B$11,1)=0),D364*E364*F364*H364/2^30,"")</x:f>
        <x:v>7.624534606933594</x:v>
      </x:c>
      <x:c r="L364" s="12" t="n">
        <x:f>IF(AND(ISNUMBER($B$15),$B$15&gt;=2,MOD($B$15,1)=0,OR($N$9=32,$N$9=64,$N$9=128),ISNUMBER($B$11),$B$11&gt;=0,MOD($B$11,1)=0),D364*E364*F364*I364/2^30,"")</x:f>
        <x:v>0.0595703125</x:v>
      </x:c>
      <x:c r="M364" s="12" t="n">
        <x:f>IF(AND(ISNUMBER($B$15),$B$15&gt;=2,MOD($B$15,1)=0,OR($N$9=32,$N$9=64,$N$9=128),ISNUMBER($B$11),$B$11&gt;=0,MOD($B$11,1)=0),D364*E364*G364*J364/2^30,"")</x:f>
        <x:v>0.014892578125</x:v>
      </x:c>
      <x:c r="N364" s="2"/>
      <x:c r="O364" s="2"/>
      <x:c r="P364" s="2"/>
      <x:c r="Q364" s="2"/>
      <x:c r="R364" s="2"/>
      <x:c r="S364" s="2"/>
      <x:c r="T364" s="2"/>
      <x:c r="U364" s="2"/>
      <x:c r="V364" s="2"/>
      <x:c r="W364" s="2"/>
      <x:c r="X364" s="2"/>
    </x:row>
    <x:row r="365" ht="45" customHeight="1">
      <x:c r="A365" s="2" t="str">
        <x:v>DS V4 Pro</x:v>
      </x:c>
      <x:c r="B365" s="2" t="n">
        <x:f>$B$15</x:f>
        <x:v>16384</x:v>
      </x:c>
      <x:c r="C365" s="56" t="str">
        <x:v>C4 KV / BF16</x:v>
      </x:c>
      <x:c r="D365" s="2" t="n">
        <x:v>30</x:v>
      </x:c>
      <x:c r="E365" s="2" t="n">
        <x:v>1024</x:v>
      </x:c>
      <x:c r="F365" s="2" t="n">
        <x:v>8</x:v>
      </x:c>
      <x:c r="G365" s="2" t="n">
        <x:v>1</x:v>
      </x:c>
      <x:c r="H365" s="2" t="n">
        <x:f>IF(AND(ISNUMBER($B$15),$B$15&gt;=2,MOD($B$15,1)=0,OR($N$9=32,$N$9=64,$N$9=128),ISNUMBER($B$11),$B$11&gt;=0,MOD($B$11,1)=0),INT(($B$15-1)/4),"")</x:f>
        <x:v>4095</x:v>
      </x:c>
      <x:c r="I365" s="2" t="n">
        <x:f>IF(AND(ISNUMBER($B$15),$B$15&gt;=2,MOD($B$15,1)=0,OR($N$9=32,$N$9=64,$N$9=128),ISNUMBER($B$11),$B$11&gt;=0,MOD($B$11,1)=0),INT(($B$15-1)/4),"")</x:f>
        <x:v>4095</x:v>
      </x:c>
      <x:c r="J365" s="2" t="n">
        <x:f>IF(AND(ISNUMBER($B$15),$B$15&gt;=2,MOD($B$15,1)=0,OR($N$9=32,$N$9=64,$N$9=128),ISNUMBER($B$11),$B$11&gt;=0,MOD($B$11,1)=0),ROUNDUP(($B$15-1)/(4*$N$9),0)*$N$9,"")</x:f>
        <x:v>4096</x:v>
      </x:c>
      <x:c r="K365" s="12" t="n">
        <x:f>IF(AND(ISNUMBER($B$15),$B$15&gt;=2,MOD($B$15,1)=0,OR($N$9=32,$N$9=64,$N$9=128),ISNUMBER($B$11),$B$11&gt;=0,MOD($B$11,1)=0),D365*E365*F365*H365/2^30,"")</x:f>
        <x:v>0.9372711181640625</x:v>
      </x:c>
      <x:c r="L365" s="12" t="n">
        <x:f>IF(AND(ISNUMBER($B$15),$B$15&gt;=2,MOD($B$15,1)=0,OR($N$9=32,$N$9=64,$N$9=128),ISNUMBER($B$11),$B$11&gt;=0,MOD($B$11,1)=0),D365*E365*F365*I365/2^30,"")</x:f>
        <x:v>0.9372711181640625</x:v>
      </x:c>
      <x:c r="M365" s="12" t="n">
        <x:f>IF(AND(ISNUMBER($B$15),$B$15&gt;=2,MOD($B$15,1)=0,OR($N$9=32,$N$9=64,$N$9=128),ISNUMBER($B$11),$B$11&gt;=0,MOD($B$11,1)=0),D365*E365*G365*J365/2^30,"")</x:f>
        <x:v>0.1171875</x:v>
      </x:c>
      <x:c r="N365" s="2"/>
      <x:c r="O365" s="2"/>
      <x:c r="P365" s="2"/>
      <x:c r="Q365" s="2"/>
      <x:c r="R365" s="2"/>
      <x:c r="S365" s="2"/>
      <x:c r="T365" s="2"/>
      <x:c r="U365" s="2"/>
      <x:c r="V365" s="2"/>
      <x:c r="W365" s="2"/>
      <x:c r="X365" s="2"/>
    </x:row>
    <x:row r="366" ht="45" customHeight="1">
      <x:c r="A366" s="2" t="str">
        <x:v>DS V4 Pro</x:v>
      </x:c>
      <x:c r="B366" s="2" t="n">
        <x:f>$B$15</x:f>
        <x:v>16384</x:v>
      </x:c>
      <x:c r="C366" s="56" t="str">
        <x:v>C128 KV / BF16</x:v>
      </x:c>
      <x:c r="D366" s="2" t="n">
        <x:v>31</x:v>
      </x:c>
      <x:c r="E366" s="2" t="n">
        <x:v>1024</x:v>
      </x:c>
      <x:c r="F366" s="2" t="n">
        <x:v>8</x:v>
      </x:c>
      <x:c r="G366" s="2" t="n">
        <x:v>1</x:v>
      </x:c>
      <x:c r="H366" s="2" t="n">
        <x:f>IF(AND(ISNUMBER($B$15),$B$15&gt;=2,MOD($B$15,1)=0,OR($N$9=32,$N$9=64,$N$9=128),ISNUMBER($B$11),$B$11&gt;=0,MOD($B$11,1)=0),INT(($B$15-1)/128),"")</x:f>
        <x:v>127</x:v>
      </x:c>
      <x:c r="I366" s="2" t="n">
        <x:f>IF(AND(ISNUMBER($B$15),$B$15&gt;=2,MOD($B$15,1)=0,OR($N$9=32,$N$9=64,$N$9=128),ISNUMBER($B$11),$B$11&gt;=0,MOD($B$11,1)=0),INT(($B$15-1)/128),"")</x:f>
        <x:v>127</x:v>
      </x:c>
      <x:c r="J366" s="2" t="n">
        <x:f>IF(AND(ISNUMBER($B$15),$B$15&gt;=2,MOD($B$15,1)=0,OR($N$9=32,$N$9=64,$N$9=128),ISNUMBER($B$11),$B$11&gt;=0,MOD($B$11,1)=0),ROUNDUP(($B$15-1)/(128*$N$9),0)*$N$9,"")</x:f>
        <x:v>128</x:v>
      </x:c>
      <x:c r="K366" s="12" t="n">
        <x:f>IF(AND(ISNUMBER($B$15),$B$15&gt;=2,MOD($B$15,1)=0,OR($N$9=32,$N$9=64,$N$9=128),ISNUMBER($B$11),$B$11&gt;=0,MOD($B$11,1)=0),D366*E366*F366*H366/2^30,"")</x:f>
        <x:v>0.03003692626953125</x:v>
      </x:c>
      <x:c r="L366" s="12" t="n">
        <x:f>IF(AND(ISNUMBER($B$15),$B$15&gt;=2,MOD($B$15,1)=0,OR($N$9=32,$N$9=64,$N$9=128),ISNUMBER($B$11),$B$11&gt;=0,MOD($B$11,1)=0),D366*E366*F366*I366/2^30,"")</x:f>
        <x:v>0.03003692626953125</x:v>
      </x:c>
      <x:c r="M366" s="12" t="n">
        <x:f>IF(AND(ISNUMBER($B$15),$B$15&gt;=2,MOD($B$15,1)=0,OR($N$9=32,$N$9=64,$N$9=128),ISNUMBER($B$11),$B$11&gt;=0,MOD($B$11,1)=0),D366*E366*G366*J366/2^30,"")</x:f>
        <x:v>0.0037841796875</x:v>
      </x:c>
      <x:c r="N366" s="2"/>
      <x:c r="O366" s="2"/>
      <x:c r="P366" s="2"/>
      <x:c r="Q366" s="2"/>
      <x:c r="R366" s="2"/>
      <x:c r="S366" s="2"/>
      <x:c r="T366" s="2"/>
      <x:c r="U366" s="2"/>
      <x:c r="V366" s="2"/>
      <x:c r="W366" s="2"/>
      <x:c r="X366" s="2"/>
    </x:row>
    <x:row r="367" ht="45" customHeight="1">
      <x:c r="A367" s="2" t="str">
        <x:v>DS V4 Pro</x:v>
      </x:c>
      <x:c r="B367" s="2" t="n">
        <x:f>$B$15</x:f>
        <x:v>16384</x:v>
      </x:c>
      <x:c r="C367" s="56" t="str">
        <x:v>C4 Indexer / INT8 + FP16 scale</x:v>
      </x:c>
      <x:c r="D367" s="2" t="n">
        <x:v>30</x:v>
      </x:c>
      <x:c r="E367" s="2" t="n">
        <x:v>130</x:v>
      </x:c>
      <x:c r="F367" s="2" t="n">
        <x:v>8</x:v>
      </x:c>
      <x:c r="G367" s="2" t="n">
        <x:v>1</x:v>
      </x:c>
      <x:c r="H367" s="2" t="n">
        <x:f>IF(AND(ISNUMBER($B$15),$B$15&gt;=2,MOD($B$15,1)=0,OR($N$9=32,$N$9=64,$N$9=128),ISNUMBER($B$11),$B$11&gt;=0,MOD($B$11,1)=0),INT(($B$15-1)/4),"")</x:f>
        <x:v>4095</x:v>
      </x:c>
      <x:c r="I367" s="2" t="n">
        <x:f>IF(AND(ISNUMBER($B$15),$B$15&gt;=2,MOD($B$15,1)=0,OR($N$9=32,$N$9=64,$N$9=128),ISNUMBER($B$11),$B$11&gt;=0,MOD($B$11,1)=0),INT(($B$15-1)/4),"")</x:f>
        <x:v>4095</x:v>
      </x:c>
      <x:c r="J367" s="2" t="n">
        <x:f>IF(AND(ISNUMBER($B$15),$B$15&gt;=2,MOD($B$15,1)=0,OR($N$9=32,$N$9=64,$N$9=128),ISNUMBER($B$11),$B$11&gt;=0,MOD($B$11,1)=0),ROUNDUP(($B$15-1)/(4*$N$9),0)*$N$9,"")</x:f>
        <x:v>4096</x:v>
      </x:c>
      <x:c r="K367" s="12" t="n">
        <x:f>IF(AND(ISNUMBER($B$15),$B$15&gt;=2,MOD($B$15,1)=0,OR($N$9=32,$N$9=64,$N$9=128),ISNUMBER($B$11),$B$11&gt;=0,MOD($B$11,1)=0),D367*E367*F367*H367/2^30,"")</x:f>
        <x:v>0.118989497423172</x:v>
      </x:c>
      <x:c r="L367" s="12" t="n">
        <x:f>IF(AND(ISNUMBER($B$15),$B$15&gt;=2,MOD($B$15,1)=0,OR($N$9=32,$N$9=64,$N$9=128),ISNUMBER($B$11),$B$11&gt;=0,MOD($B$11,1)=0),D367*E367*F367*I367/2^30,"")</x:f>
        <x:v>0.118989497423172</x:v>
      </x:c>
      <x:c r="M367" s="12" t="n">
        <x:f>IF(AND(ISNUMBER($B$15),$B$15&gt;=2,MOD($B$15,1)=0,OR($N$9=32,$N$9=64,$N$9=128),ISNUMBER($B$11),$B$11&gt;=0,MOD($B$11,1)=0),D367*E367*G367*J367/2^30,"")</x:f>
        <x:v>0.0148773193359375</x:v>
      </x:c>
      <x:c r="N367" s="2"/>
      <x:c r="O367" s="2"/>
      <x:c r="P367" s="2"/>
      <x:c r="Q367" s="2"/>
      <x:c r="R367" s="2"/>
      <x:c r="S367" s="2"/>
      <x:c r="T367" s="2"/>
      <x:c r="U367" s="2"/>
      <x:c r="V367" s="2"/>
      <x:c r="W367" s="2"/>
      <x:c r="X367" s="2"/>
    </x:row>
    <x:row r="368" ht="45" customHeight="1">
      <x:c r="A368" s="2" t="str">
        <x:v>DS V4 Pro</x:v>
      </x:c>
      <x:c r="B368" s="2" t="n">
        <x:f>$B$15</x:f>
        <x:v>16384</x:v>
      </x:c>
      <x:c r="C368" s="56" t="str">
        <x:v>C4 compressor state / FP32</x:v>
      </x:c>
      <x:c r="D368" s="2" t="n">
        <x:v>30</x:v>
      </x:c>
      <x:c r="E368" s="2" t="n">
        <x:v>8192</x:v>
      </x:c>
      <x:c r="F368" s="2" t="n">
        <x:v>8</x:v>
      </x:c>
      <x:c r="G368" s="2" t="n">
        <x:v>1</x:v>
      </x:c>
      <x:c r="H368" s="2" t="n">
        <x:f>IF(AND(ISNUMBER($B$15),$B$15&gt;=2,MOD($B$15,1)=0,OR($N$9=32,$N$9=64,$N$9=128),ISNUMBER($B$11),$B$11&gt;=0,MOD($B$11,1)=0),MIN(($B$15-1),8),"")</x:f>
        <x:v>8</x:v>
      </x:c>
      <x:c r="I368" s="2" t="n">
        <x:f>IF(AND(ISNUMBER($B$15),$B$15&gt;=2,MOD($B$15,1)=0,OR($N$9=32,$N$9=64,$N$9=128),ISNUMBER($B$11),$B$11&gt;=0,MOD($B$11,1)=0),MIN(($B$15-1),8),"")</x:f>
        <x:v>8</x:v>
      </x:c>
      <x:c r="J368" s="2" t="n">
        <x:f>IF(AND(ISNUMBER($B$15),$B$15&gt;=2,MOD($B$15,1)=0,OR($N$9=32,$N$9=64,$N$9=128),ISNUMBER($B$11),$B$11&gt;=0,MOD($B$11,1)=0),MIN(ROUNDUP(($B$15-1)/($N$9/16),0),ROUNDUP(8/($N$9/16),0)+1)*($N$9/16),"")</x:f>
        <x:v>16</x:v>
      </x:c>
      <x:c r="K368" s="12" t="n">
        <x:f>IF(AND(ISNUMBER($B$15),$B$15&gt;=2,MOD($B$15,1)=0,OR($N$9=32,$N$9=64,$N$9=128),ISNUMBER($B$11),$B$11&gt;=0,MOD($B$11,1)=0),D368*E368*F368*H368/2^30,"")</x:f>
        <x:v>0.0146484375</x:v>
      </x:c>
      <x:c r="L368" s="12" t="n">
        <x:f>IF(AND(ISNUMBER($B$15),$B$15&gt;=2,MOD($B$15,1)=0,OR($N$9=32,$N$9=64,$N$9=128),ISNUMBER($B$11),$B$11&gt;=0,MOD($B$11,1)=0),D368*E368*F368*I368/2^30,"")</x:f>
        <x:v>0.0146484375</x:v>
      </x:c>
      <x:c r="M368" s="12" t="n">
        <x:f>IF(AND(ISNUMBER($B$15),$B$15&gt;=2,MOD($B$15,1)=0,OR($N$9=32,$N$9=64,$N$9=128),ISNUMBER($B$11),$B$11&gt;=0,MOD($B$11,1)=0),D368*E368*G368*J368/2^30,"")</x:f>
        <x:v>0.003662109375</x:v>
      </x:c>
      <x:c r="N368" s="2"/>
      <x:c r="O368" s="2"/>
      <x:c r="P368" s="2"/>
      <x:c r="Q368" s="2"/>
      <x:c r="R368" s="2"/>
      <x:c r="S368" s="2"/>
      <x:c r="T368" s="2"/>
      <x:c r="U368" s="2"/>
      <x:c r="V368" s="2"/>
      <x:c r="W368" s="2"/>
      <x:c r="X368" s="2"/>
    </x:row>
    <x:row r="369" ht="45" customHeight="1">
      <x:c r="A369" s="2" t="str">
        <x:v>DS V4 Pro</x:v>
      </x:c>
      <x:c r="B369" s="2" t="n">
        <x:f>$B$15</x:f>
        <x:v>16384</x:v>
      </x:c>
      <x:c r="C369" s="56" t="str">
        <x:v>C128 compressor state / FP32</x:v>
      </x:c>
      <x:c r="D369" s="2" t="n">
        <x:v>31</x:v>
      </x:c>
      <x:c r="E369" s="2" t="n">
        <x:v>4096</x:v>
      </x:c>
      <x:c r="F369" s="2" t="n">
        <x:v>8</x:v>
      </x:c>
      <x:c r="G369" s="2" t="n">
        <x:v>1</x:v>
      </x:c>
      <x:c r="H369" s="2" t="n">
        <x:f>IF(AND(ISNUMBER($B$15),$B$15&gt;=2,MOD($B$15,1)=0,OR($N$9=32,$N$9=64,$N$9=128),ISNUMBER($B$11),$B$11&gt;=0,MOD($B$11,1)=0),MIN(($B$15-1),128),"")</x:f>
        <x:v>128</x:v>
      </x:c>
      <x:c r="I369" s="2" t="n">
        <x:f>IF(AND(ISNUMBER($B$15),$B$15&gt;=2,MOD($B$15,1)=0,OR($N$9=32,$N$9=64,$N$9=128),ISNUMBER($B$11),$B$11&gt;=0,MOD($B$11,1)=0),MIN(($B$15-1),128),"")</x:f>
        <x:v>128</x:v>
      </x:c>
      <x:c r="J369" s="2" t="n">
        <x:f>IF(AND(ISNUMBER($B$15),$B$15&gt;=2,MOD($B$15,1)=0,OR($N$9=32,$N$9=64,$N$9=128),ISNUMBER($B$11),$B$11&gt;=0,MOD($B$11,1)=0),MIN(ROUNDUP(($B$15-1)/($N$9/4),0),ROUNDUP(128/($N$9/4),0)+1)*($N$9/4),"")</x:f>
        <x:v>160</x:v>
      </x:c>
      <x:c r="K369" s="12" t="n">
        <x:f>IF(AND(ISNUMBER($B$15),$B$15&gt;=2,MOD($B$15,1)=0,OR($N$9=32,$N$9=64,$N$9=128),ISNUMBER($B$11),$B$11&gt;=0,MOD($B$11,1)=0),D369*E369*F369*H369/2^30,"")</x:f>
        <x:v>0.12109375</x:v>
      </x:c>
      <x:c r="L369" s="12" t="n">
        <x:f>IF(AND(ISNUMBER($B$15),$B$15&gt;=2,MOD($B$15,1)=0,OR($N$9=32,$N$9=64,$N$9=128),ISNUMBER($B$11),$B$11&gt;=0,MOD($B$11,1)=0),D369*E369*F369*I369/2^30,"")</x:f>
        <x:v>0.12109375</x:v>
      </x:c>
      <x:c r="M369" s="12" t="n">
        <x:f>IF(AND(ISNUMBER($B$15),$B$15&gt;=2,MOD($B$15,1)=0,OR($N$9=32,$N$9=64,$N$9=128),ISNUMBER($B$11),$B$11&gt;=0,MOD($B$11,1)=0),D369*E369*G369*J369/2^30,"")</x:f>
        <x:v>0.0189208984375</x:v>
      </x:c>
      <x:c r="N369" s="2"/>
      <x:c r="O369" s="2"/>
      <x:c r="P369" s="2"/>
      <x:c r="Q369" s="2"/>
      <x:c r="R369" s="2"/>
      <x:c r="S369" s="2"/>
      <x:c r="T369" s="2"/>
      <x:c r="U369" s="2"/>
      <x:c r="V369" s="2"/>
      <x:c r="W369" s="2"/>
      <x:c r="X369" s="2"/>
    </x:row>
    <x:row r="370" ht="45" customHeight="1">
      <x:c r="A370" s="2" t="str">
        <x:v>DS V4 Pro</x:v>
      </x:c>
      <x:c r="B370" s="2" t="n">
        <x:f>$B$15</x:f>
        <x:v>16384</x:v>
      </x:c>
      <x:c r="C370" s="56" t="str">
        <x:v>C4 indexer state / FP32</x:v>
      </x:c>
      <x:c r="D370" s="2" t="n">
        <x:v>30</x:v>
      </x:c>
      <x:c r="E370" s="2" t="n">
        <x:v>2048</x:v>
      </x:c>
      <x:c r="F370" s="2" t="n">
        <x:v>8</x:v>
      </x:c>
      <x:c r="G370" s="2" t="n">
        <x:v>1</x:v>
      </x:c>
      <x:c r="H370" s="2" t="n">
        <x:f>IF(AND(ISNUMBER($B$15),$B$15&gt;=2,MOD($B$15,1)=0,OR($N$9=32,$N$9=64,$N$9=128),ISNUMBER($B$11),$B$11&gt;=0,MOD($B$11,1)=0),MIN(($B$15-1),8),"")</x:f>
        <x:v>8</x:v>
      </x:c>
      <x:c r="I370" s="2" t="n">
        <x:f>IF(AND(ISNUMBER($B$15),$B$15&gt;=2,MOD($B$15,1)=0,OR($N$9=32,$N$9=64,$N$9=128),ISNUMBER($B$11),$B$11&gt;=0,MOD($B$11,1)=0),MIN(($B$15-1),8),"")</x:f>
        <x:v>8</x:v>
      </x:c>
      <x:c r="J370" s="2" t="n">
        <x:f>IF(AND(ISNUMBER($B$15),$B$15&gt;=2,MOD($B$15,1)=0,OR($N$9=32,$N$9=64,$N$9=128),ISNUMBER($B$11),$B$11&gt;=0,MOD($B$11,1)=0),MIN(ROUNDUP(($B$15-1)/($N$9/16),0),ROUNDUP(8/($N$9/16),0)+1)*($N$9/16),"")</x:f>
        <x:v>16</x:v>
      </x:c>
      <x:c r="K370" s="12" t="n">
        <x:f>IF(AND(ISNUMBER($B$15),$B$15&gt;=2,MOD($B$15,1)=0,OR($N$9=32,$N$9=64,$N$9=128),ISNUMBER($B$11),$B$11&gt;=0,MOD($B$11,1)=0),D370*E370*F370*H370/2^30,"")</x:f>
        <x:v>0.003662109375</x:v>
      </x:c>
      <x:c r="L370" s="12" t="n">
        <x:f>IF(AND(ISNUMBER($B$15),$B$15&gt;=2,MOD($B$15,1)=0,OR($N$9=32,$N$9=64,$N$9=128),ISNUMBER($B$11),$B$11&gt;=0,MOD($B$11,1)=0),D370*E370*F370*I370/2^30,"")</x:f>
        <x:v>0.003662109375</x:v>
      </x:c>
      <x:c r="M370" s="12" t="n">
        <x:f>IF(AND(ISNUMBER($B$15),$B$15&gt;=2,MOD($B$15,1)=0,OR($N$9=32,$N$9=64,$N$9=128),ISNUMBER($B$11),$B$11&gt;=0,MOD($B$11,1)=0),D370*E370*G370*J370/2^30,"")</x:f>
        <x:v>0.00091552734375</x:v>
      </x:c>
      <x:c r="N370" s="2"/>
      <x:c r="O370" s="2"/>
      <x:c r="P370" s="2"/>
      <x:c r="Q370" s="2"/>
      <x:c r="R370" s="2"/>
      <x:c r="S370" s="2"/>
      <x:c r="T370" s="2"/>
      <x:c r="U370" s="2"/>
      <x:c r="V370" s="2"/>
      <x:c r="W370" s="2"/>
      <x:c r="X370" s="2"/>
    </x:row>
    <x:row r="371" ht="45" customHeight="1">
      <x:c r="A371" s="29" t="str">
        <x:v>DS V4 Pro</x:v>
      </x:c>
      <x:c r="B371" s="29" t="n">
        <x:f>$B$15</x:f>
        <x:v>16384</x:v>
      </x:c>
      <x:c r="C371" s="57" t="str">
        <x:v>每请求合计</x:v>
      </x:c>
      <x:c r="D371" s="29"/>
      <x:c r="E371" s="29"/>
      <x:c r="F371" s="29"/>
      <x:c r="G371" s="29"/>
      <x:c r="H371" s="29"/>
      <x:c r="I371" s="29"/>
      <x:c r="J371" s="29"/>
      <x:c r="K371" s="55" t="n">
        <x:f>SUM(K364:K370)</x:f>
        <x:v>8.85023644566536</x:v>
      </x:c>
      <x:c r="L371" s="55" t="n">
        <x:f>SUM(L364:L370)</x:f>
        <x:v>1.2852721512317657</x:v>
      </x:c>
      <x:c r="M371" s="55" t="n">
        <x:f>SUM(M364:M370)</x:f>
        <x:v>0.1742401123046875</x:v>
      </x:c>
      <x:c r="N371" s="2"/>
      <x:c r="O371" s="2"/>
      <x:c r="P371" s="2"/>
      <x:c r="Q371" s="2"/>
      <x:c r="R371" s="2"/>
      <x:c r="S371" s="2"/>
      <x:c r="T371" s="2"/>
      <x:c r="U371" s="2"/>
      <x:c r="V371" s="2"/>
      <x:c r="W371" s="2"/>
      <x:c r="X371" s="2"/>
    </x:row>
    <x:row r="372" ht="45" customHeight="1">
      <x:c r="A372" s="2" t="str">
        <x:v>DS V4 Pro</x:v>
      </x:c>
      <x:c r="B372" s="2" t="n">
        <x:f>$B$16</x:f>
        <x:v>262144</x:v>
      </x:c>
      <x:c r="C372" s="56" t="str">
        <x:v>SWA KV / BF16</x:v>
      </x:c>
      <x:c r="D372" s="2" t="n">
        <x:v>61</x:v>
      </x:c>
      <x:c r="E372" s="2" t="n">
        <x:v>1024</x:v>
      </x:c>
      <x:c r="F372" s="2" t="n">
        <x:v>8</x:v>
      </x:c>
      <x:c r="G372" s="2" t="n">
        <x:v>1</x:v>
      </x:c>
      <x:c r="H372" s="2" t="n">
        <x:f>IF(AND(ISNUMBER($B$16),$B$16&gt;=2,MOD($B$16,1)=0,OR($N$9=32,$N$9=64,$N$9=128),ISNUMBER($B$11),$B$11&gt;=0,MOD($B$11,1)=0),($B$16-1),"")</x:f>
        <x:v>262143</x:v>
      </x:c>
      <x:c r="I372" s="2" t="n">
        <x:f>IF(AND(ISNUMBER($B$16),$B$16&gt;=2,MOD($B$16,1)=0,OR($N$9=32,$N$9=64,$N$9=128),ISNUMBER($B$11),$B$11&gt;=0,MOD($B$11,1)=0),MIN(($B$16-1),128),"")</x:f>
        <x:v>128</x:v>
      </x:c>
      <x:c r="J372" s="2" t="n">
        <x:f>IF(AND(ISNUMBER($B$16),$B$16&gt;=2,MOD($B$16,1)=0,OR($N$9=32,$N$9=64,$N$9=128),ISNUMBER($B$11),$B$11&gt;=0,MOD($B$11,1)=0),MIN(ROUNDUP(($B$16-1)/$N$9,0),ROUNDUP(128/$N$9,0)+1)*$N$9,"")</x:f>
        <x:v>256</x:v>
      </x:c>
      <x:c r="K372" s="12" t="n">
        <x:f>IF(AND(ISNUMBER($B$16),$B$16&gt;=2,MOD($B$16,1)=0,OR($N$9=32,$N$9=64,$N$9=128),ISNUMBER($B$11),$B$11&gt;=0,MOD($B$11,1)=0),D372*E372*F372*H372/2^30,"")</x:f>
        <x:v>121.9995346069336</x:v>
      </x:c>
      <x:c r="L372" s="12" t="n">
        <x:f>IF(AND(ISNUMBER($B$16),$B$16&gt;=2,MOD($B$16,1)=0,OR($N$9=32,$N$9=64,$N$9=128),ISNUMBER($B$11),$B$11&gt;=0,MOD($B$11,1)=0),D372*E372*F372*I372/2^30,"")</x:f>
        <x:v>0.0595703125</x:v>
      </x:c>
      <x:c r="M372" s="12" t="n">
        <x:f>IF(AND(ISNUMBER($B$16),$B$16&gt;=2,MOD($B$16,1)=0,OR($N$9=32,$N$9=64,$N$9=128),ISNUMBER($B$11),$B$11&gt;=0,MOD($B$11,1)=0),D372*E372*G372*J372/2^30,"")</x:f>
        <x:v>0.014892578125</x:v>
      </x:c>
      <x:c r="N372" s="2"/>
      <x:c r="O372" s="2"/>
      <x:c r="P372" s="2"/>
      <x:c r="Q372" s="2"/>
      <x:c r="R372" s="2"/>
      <x:c r="S372" s="2"/>
      <x:c r="T372" s="2"/>
      <x:c r="U372" s="2"/>
      <x:c r="V372" s="2"/>
      <x:c r="W372" s="2"/>
      <x:c r="X372" s="2"/>
    </x:row>
    <x:row r="373" ht="45" customHeight="1">
      <x:c r="A373" s="2" t="str">
        <x:v>DS V4 Pro</x:v>
      </x:c>
      <x:c r="B373" s="2" t="n">
        <x:f>$B$16</x:f>
        <x:v>262144</x:v>
      </x:c>
      <x:c r="C373" s="56" t="str">
        <x:v>C4 KV / BF16</x:v>
      </x:c>
      <x:c r="D373" s="2" t="n">
        <x:v>30</x:v>
      </x:c>
      <x:c r="E373" s="2" t="n">
        <x:v>1024</x:v>
      </x:c>
      <x:c r="F373" s="2" t="n">
        <x:v>8</x:v>
      </x:c>
      <x:c r="G373" s="2" t="n">
        <x:v>1</x:v>
      </x:c>
      <x:c r="H373" s="2" t="n">
        <x:f>IF(AND(ISNUMBER($B$16),$B$16&gt;=2,MOD($B$16,1)=0,OR($N$9=32,$N$9=64,$N$9=128),ISNUMBER($B$11),$B$11&gt;=0,MOD($B$11,1)=0),INT(($B$16-1)/4),"")</x:f>
        <x:v>65535</x:v>
      </x:c>
      <x:c r="I373" s="2" t="n">
        <x:f>IF(AND(ISNUMBER($B$16),$B$16&gt;=2,MOD($B$16,1)=0,OR($N$9=32,$N$9=64,$N$9=128),ISNUMBER($B$11),$B$11&gt;=0,MOD($B$11,1)=0),INT(($B$16-1)/4),"")</x:f>
        <x:v>65535</x:v>
      </x:c>
      <x:c r="J373" s="2" t="n">
        <x:f>IF(AND(ISNUMBER($B$16),$B$16&gt;=2,MOD($B$16,1)=0,OR($N$9=32,$N$9=64,$N$9=128),ISNUMBER($B$11),$B$11&gt;=0,MOD($B$11,1)=0),ROUNDUP(($B$16-1)/(4*$N$9),0)*$N$9,"")</x:f>
        <x:v>65536</x:v>
      </x:c>
      <x:c r="K373" s="12" t="n">
        <x:f>IF(AND(ISNUMBER($B$16),$B$16&gt;=2,MOD($B$16,1)=0,OR($N$9=32,$N$9=64,$N$9=128),ISNUMBER($B$11),$B$11&gt;=0,MOD($B$11,1)=0),D373*E373*F373*H373/2^30,"")</x:f>
        <x:v>14.999771118164062</x:v>
      </x:c>
      <x:c r="L373" s="12" t="n">
        <x:f>IF(AND(ISNUMBER($B$16),$B$16&gt;=2,MOD($B$16,1)=0,OR($N$9=32,$N$9=64,$N$9=128),ISNUMBER($B$11),$B$11&gt;=0,MOD($B$11,1)=0),D373*E373*F373*I373/2^30,"")</x:f>
        <x:v>14.999771118164062</x:v>
      </x:c>
      <x:c r="M373" s="12" t="n">
        <x:f>IF(AND(ISNUMBER($B$16),$B$16&gt;=2,MOD($B$16,1)=0,OR($N$9=32,$N$9=64,$N$9=128),ISNUMBER($B$11),$B$11&gt;=0,MOD($B$11,1)=0),D373*E373*G373*J373/2^30,"")</x:f>
        <x:v>1.875</x:v>
      </x:c>
      <x:c r="N373" s="2"/>
      <x:c r="O373" s="2"/>
      <x:c r="P373" s="2"/>
      <x:c r="Q373" s="2"/>
      <x:c r="R373" s="2"/>
      <x:c r="S373" s="2"/>
      <x:c r="T373" s="2"/>
      <x:c r="U373" s="2"/>
      <x:c r="V373" s="2"/>
      <x:c r="W373" s="2"/>
      <x:c r="X373" s="2"/>
    </x:row>
    <x:row r="374" ht="45" customHeight="1">
      <x:c r="A374" s="2" t="str">
        <x:v>DS V4 Pro</x:v>
      </x:c>
      <x:c r="B374" s="2" t="n">
        <x:f>$B$16</x:f>
        <x:v>262144</x:v>
      </x:c>
      <x:c r="C374" s="56" t="str">
        <x:v>C128 KV / BF16</x:v>
      </x:c>
      <x:c r="D374" s="2" t="n">
        <x:v>31</x:v>
      </x:c>
      <x:c r="E374" s="2" t="n">
        <x:v>1024</x:v>
      </x:c>
      <x:c r="F374" s="2" t="n">
        <x:v>8</x:v>
      </x:c>
      <x:c r="G374" s="2" t="n">
        <x:v>1</x:v>
      </x:c>
      <x:c r="H374" s="2" t="n">
        <x:f>IF(AND(ISNUMBER($B$16),$B$16&gt;=2,MOD($B$16,1)=0,OR($N$9=32,$N$9=64,$N$9=128),ISNUMBER($B$11),$B$11&gt;=0,MOD($B$11,1)=0),INT(($B$16-1)/128),"")</x:f>
        <x:v>2047</x:v>
      </x:c>
      <x:c r="I374" s="2" t="n">
        <x:f>IF(AND(ISNUMBER($B$16),$B$16&gt;=2,MOD($B$16,1)=0,OR($N$9=32,$N$9=64,$N$9=128),ISNUMBER($B$11),$B$11&gt;=0,MOD($B$11,1)=0),INT(($B$16-1)/128),"")</x:f>
        <x:v>2047</x:v>
      </x:c>
      <x:c r="J374" s="2" t="n">
        <x:f>IF(AND(ISNUMBER($B$16),$B$16&gt;=2,MOD($B$16,1)=0,OR($N$9=32,$N$9=64,$N$9=128),ISNUMBER($B$11),$B$11&gt;=0,MOD($B$11,1)=0),ROUNDUP(($B$16-1)/(128*$N$9),0)*$N$9,"")</x:f>
        <x:v>2048</x:v>
      </x:c>
      <x:c r="K374" s="12" t="n">
        <x:f>IF(AND(ISNUMBER($B$16),$B$16&gt;=2,MOD($B$16,1)=0,OR($N$9=32,$N$9=64,$N$9=128),ISNUMBER($B$11),$B$11&gt;=0,MOD($B$11,1)=0),D374*E374*F374*H374/2^30,"")</x:f>
        <x:v>0.48413848876953125</x:v>
      </x:c>
      <x:c r="L374" s="12" t="n">
        <x:f>IF(AND(ISNUMBER($B$16),$B$16&gt;=2,MOD($B$16,1)=0,OR($N$9=32,$N$9=64,$N$9=128),ISNUMBER($B$11),$B$11&gt;=0,MOD($B$11,1)=0),D374*E374*F374*I374/2^30,"")</x:f>
        <x:v>0.48413848876953125</x:v>
      </x:c>
      <x:c r="M374" s="12" t="n">
        <x:f>IF(AND(ISNUMBER($B$16),$B$16&gt;=2,MOD($B$16,1)=0,OR($N$9=32,$N$9=64,$N$9=128),ISNUMBER($B$11),$B$11&gt;=0,MOD($B$11,1)=0),D374*E374*G374*J374/2^30,"")</x:f>
        <x:v>0.060546875</x:v>
      </x:c>
      <x:c r="N374" s="2"/>
      <x:c r="O374" s="2"/>
      <x:c r="P374" s="2"/>
      <x:c r="Q374" s="2"/>
      <x:c r="R374" s="2"/>
      <x:c r="S374" s="2"/>
      <x:c r="T374" s="2"/>
      <x:c r="U374" s="2"/>
      <x:c r="V374" s="2"/>
      <x:c r="W374" s="2"/>
      <x:c r="X374" s="2"/>
    </x:row>
    <x:row r="375" ht="45" customHeight="1">
      <x:c r="A375" s="2" t="str">
        <x:v>DS V4 Pro</x:v>
      </x:c>
      <x:c r="B375" s="2" t="n">
        <x:f>$B$16</x:f>
        <x:v>262144</x:v>
      </x:c>
      <x:c r="C375" s="56" t="str">
        <x:v>C4 Indexer / INT8 + FP16 scale</x:v>
      </x:c>
      <x:c r="D375" s="2" t="n">
        <x:v>30</x:v>
      </x:c>
      <x:c r="E375" s="2" t="n">
        <x:v>130</x:v>
      </x:c>
      <x:c r="F375" s="2" t="n">
        <x:v>8</x:v>
      </x:c>
      <x:c r="G375" s="2" t="n">
        <x:v>1</x:v>
      </x:c>
      <x:c r="H375" s="2" t="n">
        <x:f>IF(AND(ISNUMBER($B$16),$B$16&gt;=2,MOD($B$16,1)=0,OR($N$9=32,$N$9=64,$N$9=128),ISNUMBER($B$11),$B$11&gt;=0,MOD($B$11,1)=0),INT(($B$16-1)/4),"")</x:f>
        <x:v>65535</x:v>
      </x:c>
      <x:c r="I375" s="2" t="n">
        <x:f>IF(AND(ISNUMBER($B$16),$B$16&gt;=2,MOD($B$16,1)=0,OR($N$9=32,$N$9=64,$N$9=128),ISNUMBER($B$11),$B$11&gt;=0,MOD($B$11,1)=0),INT(($B$16-1)/4),"")</x:f>
        <x:v>65535</x:v>
      </x:c>
      <x:c r="J375" s="2" t="n">
        <x:f>IF(AND(ISNUMBER($B$16),$B$16&gt;=2,MOD($B$16,1)=0,OR($N$9=32,$N$9=64,$N$9=128),ISNUMBER($B$11),$B$11&gt;=0,MOD($B$11,1)=0),ROUNDUP(($B$16-1)/(4*$N$9),0)*$N$9,"")</x:f>
        <x:v>65536</x:v>
      </x:c>
      <x:c r="K375" s="12" t="n">
        <x:f>IF(AND(ISNUMBER($B$16),$B$16&gt;=2,MOD($B$16,1)=0,OR($N$9=32,$N$9=64,$N$9=128),ISNUMBER($B$11),$B$11&gt;=0,MOD($B$11,1)=0),D375*E375*F375*H375/2^30,"")</x:f>
        <x:v>1.904267817735672</x:v>
      </x:c>
      <x:c r="L375" s="12" t="n">
        <x:f>IF(AND(ISNUMBER($B$16),$B$16&gt;=2,MOD($B$16,1)=0,OR($N$9=32,$N$9=64,$N$9=128),ISNUMBER($B$11),$B$11&gt;=0,MOD($B$11,1)=0),D375*E375*F375*I375/2^30,"")</x:f>
        <x:v>1.904267817735672</x:v>
      </x:c>
      <x:c r="M375" s="12" t="n">
        <x:f>IF(AND(ISNUMBER($B$16),$B$16&gt;=2,MOD($B$16,1)=0,OR($N$9=32,$N$9=64,$N$9=128),ISNUMBER($B$11),$B$11&gt;=0,MOD($B$11,1)=0),D375*E375*G375*J375/2^30,"")</x:f>
        <x:v>0.238037109375</x:v>
      </x:c>
      <x:c r="N375" s="2"/>
      <x:c r="O375" s="2"/>
      <x:c r="P375" s="2"/>
      <x:c r="Q375" s="2"/>
      <x:c r="R375" s="2"/>
      <x:c r="S375" s="2"/>
      <x:c r="T375" s="2"/>
      <x:c r="U375" s="2"/>
      <x:c r="V375" s="2"/>
      <x:c r="W375" s="2"/>
      <x:c r="X375" s="2"/>
    </x:row>
    <x:row r="376" ht="45" customHeight="1">
      <x:c r="A376" s="2" t="str">
        <x:v>DS V4 Pro</x:v>
      </x:c>
      <x:c r="B376" s="2" t="n">
        <x:f>$B$16</x:f>
        <x:v>262144</x:v>
      </x:c>
      <x:c r="C376" s="56" t="str">
        <x:v>C4 compressor state / FP32</x:v>
      </x:c>
      <x:c r="D376" s="2" t="n">
        <x:v>30</x:v>
      </x:c>
      <x:c r="E376" s="2" t="n">
        <x:v>8192</x:v>
      </x:c>
      <x:c r="F376" s="2" t="n">
        <x:v>8</x:v>
      </x:c>
      <x:c r="G376" s="2" t="n">
        <x:v>1</x:v>
      </x:c>
      <x:c r="H376" s="2" t="n">
        <x:f>IF(AND(ISNUMBER($B$16),$B$16&gt;=2,MOD($B$16,1)=0,OR($N$9=32,$N$9=64,$N$9=128),ISNUMBER($B$11),$B$11&gt;=0,MOD($B$11,1)=0),MIN(($B$16-1),8),"")</x:f>
        <x:v>8</x:v>
      </x:c>
      <x:c r="I376" s="2" t="n">
        <x:f>IF(AND(ISNUMBER($B$16),$B$16&gt;=2,MOD($B$16,1)=0,OR($N$9=32,$N$9=64,$N$9=128),ISNUMBER($B$11),$B$11&gt;=0,MOD($B$11,1)=0),MIN(($B$16-1),8),"")</x:f>
        <x:v>8</x:v>
      </x:c>
      <x:c r="J376" s="2" t="n">
        <x:f>IF(AND(ISNUMBER($B$16),$B$16&gt;=2,MOD($B$16,1)=0,OR($N$9=32,$N$9=64,$N$9=128),ISNUMBER($B$11),$B$11&gt;=0,MOD($B$11,1)=0),MIN(ROUNDUP(($B$16-1)/($N$9/16),0),ROUNDUP(8/($N$9/16),0)+1)*($N$9/16),"")</x:f>
        <x:v>16</x:v>
      </x:c>
      <x:c r="K376" s="12" t="n">
        <x:f>IF(AND(ISNUMBER($B$16),$B$16&gt;=2,MOD($B$16,1)=0,OR($N$9=32,$N$9=64,$N$9=128),ISNUMBER($B$11),$B$11&gt;=0,MOD($B$11,1)=0),D376*E376*F376*H376/2^30,"")</x:f>
        <x:v>0.0146484375</x:v>
      </x:c>
      <x:c r="L376" s="12" t="n">
        <x:f>IF(AND(ISNUMBER($B$16),$B$16&gt;=2,MOD($B$16,1)=0,OR($N$9=32,$N$9=64,$N$9=128),ISNUMBER($B$11),$B$11&gt;=0,MOD($B$11,1)=0),D376*E376*F376*I376/2^30,"")</x:f>
        <x:v>0.0146484375</x:v>
      </x:c>
      <x:c r="M376" s="12" t="n">
        <x:f>IF(AND(ISNUMBER($B$16),$B$16&gt;=2,MOD($B$16,1)=0,OR($N$9=32,$N$9=64,$N$9=128),ISNUMBER($B$11),$B$11&gt;=0,MOD($B$11,1)=0),D376*E376*G376*J376/2^30,"")</x:f>
        <x:v>0.003662109375</x:v>
      </x:c>
      <x:c r="N376" s="2"/>
      <x:c r="O376" s="2"/>
      <x:c r="P376" s="2"/>
      <x:c r="Q376" s="2"/>
      <x:c r="R376" s="2"/>
      <x:c r="S376" s="2"/>
      <x:c r="T376" s="2"/>
      <x:c r="U376" s="2"/>
      <x:c r="V376" s="2"/>
      <x:c r="W376" s="2"/>
      <x:c r="X376" s="2"/>
    </x:row>
    <x:row r="377" ht="45" customHeight="1">
      <x:c r="A377" s="2" t="str">
        <x:v>DS V4 Pro</x:v>
      </x:c>
      <x:c r="B377" s="2" t="n">
        <x:f>$B$16</x:f>
        <x:v>262144</x:v>
      </x:c>
      <x:c r="C377" s="56" t="str">
        <x:v>C128 compressor state / FP32</x:v>
      </x:c>
      <x:c r="D377" s="2" t="n">
        <x:v>31</x:v>
      </x:c>
      <x:c r="E377" s="2" t="n">
        <x:v>4096</x:v>
      </x:c>
      <x:c r="F377" s="2" t="n">
        <x:v>8</x:v>
      </x:c>
      <x:c r="G377" s="2" t="n">
        <x:v>1</x:v>
      </x:c>
      <x:c r="H377" s="2" t="n">
        <x:f>IF(AND(ISNUMBER($B$16),$B$16&gt;=2,MOD($B$16,1)=0,OR($N$9=32,$N$9=64,$N$9=128),ISNUMBER($B$11),$B$11&gt;=0,MOD($B$11,1)=0),MIN(($B$16-1),128),"")</x:f>
        <x:v>128</x:v>
      </x:c>
      <x:c r="I377" s="2" t="n">
        <x:f>IF(AND(ISNUMBER($B$16),$B$16&gt;=2,MOD($B$16,1)=0,OR($N$9=32,$N$9=64,$N$9=128),ISNUMBER($B$11),$B$11&gt;=0,MOD($B$11,1)=0),MIN(($B$16-1),128),"")</x:f>
        <x:v>128</x:v>
      </x:c>
      <x:c r="J377" s="2" t="n">
        <x:f>IF(AND(ISNUMBER($B$16),$B$16&gt;=2,MOD($B$16,1)=0,OR($N$9=32,$N$9=64,$N$9=128),ISNUMBER($B$11),$B$11&gt;=0,MOD($B$11,1)=0),MIN(ROUNDUP(($B$16-1)/($N$9/4),0),ROUNDUP(128/($N$9/4),0)+1)*($N$9/4),"")</x:f>
        <x:v>160</x:v>
      </x:c>
      <x:c r="K377" s="12" t="n">
        <x:f>IF(AND(ISNUMBER($B$16),$B$16&gt;=2,MOD($B$16,1)=0,OR($N$9=32,$N$9=64,$N$9=128),ISNUMBER($B$11),$B$11&gt;=0,MOD($B$11,1)=0),D377*E377*F377*H377/2^30,"")</x:f>
        <x:v>0.12109375</x:v>
      </x:c>
      <x:c r="L377" s="12" t="n">
        <x:f>IF(AND(ISNUMBER($B$16),$B$16&gt;=2,MOD($B$16,1)=0,OR($N$9=32,$N$9=64,$N$9=128),ISNUMBER($B$11),$B$11&gt;=0,MOD($B$11,1)=0),D377*E377*F377*I377/2^30,"")</x:f>
        <x:v>0.12109375</x:v>
      </x:c>
      <x:c r="M377" s="12" t="n">
        <x:f>IF(AND(ISNUMBER($B$16),$B$16&gt;=2,MOD($B$16,1)=0,OR($N$9=32,$N$9=64,$N$9=128),ISNUMBER($B$11),$B$11&gt;=0,MOD($B$11,1)=0),D377*E377*G377*J377/2^30,"")</x:f>
        <x:v>0.0189208984375</x:v>
      </x:c>
      <x:c r="N377" s="2"/>
      <x:c r="O377" s="2"/>
      <x:c r="P377" s="2"/>
      <x:c r="Q377" s="2"/>
      <x:c r="R377" s="2"/>
      <x:c r="S377" s="2"/>
      <x:c r="T377" s="2"/>
      <x:c r="U377" s="2"/>
      <x:c r="V377" s="2"/>
      <x:c r="W377" s="2"/>
      <x:c r="X377" s="2"/>
    </x:row>
    <x:row r="378" ht="45" customHeight="1">
      <x:c r="A378" s="2" t="str">
        <x:v>DS V4 Pro</x:v>
      </x:c>
      <x:c r="B378" s="2" t="n">
        <x:f>$B$16</x:f>
        <x:v>262144</x:v>
      </x:c>
      <x:c r="C378" s="56" t="str">
        <x:v>C4 indexer state / FP32</x:v>
      </x:c>
      <x:c r="D378" s="2" t="n">
        <x:v>30</x:v>
      </x:c>
      <x:c r="E378" s="2" t="n">
        <x:v>2048</x:v>
      </x:c>
      <x:c r="F378" s="2" t="n">
        <x:v>8</x:v>
      </x:c>
      <x:c r="G378" s="2" t="n">
        <x:v>1</x:v>
      </x:c>
      <x:c r="H378" s="2" t="n">
        <x:f>IF(AND(ISNUMBER($B$16),$B$16&gt;=2,MOD($B$16,1)=0,OR($N$9=32,$N$9=64,$N$9=128),ISNUMBER($B$11),$B$11&gt;=0,MOD($B$11,1)=0),MIN(($B$16-1),8),"")</x:f>
        <x:v>8</x:v>
      </x:c>
      <x:c r="I378" s="2" t="n">
        <x:f>IF(AND(ISNUMBER($B$16),$B$16&gt;=2,MOD($B$16,1)=0,OR($N$9=32,$N$9=64,$N$9=128),ISNUMBER($B$11),$B$11&gt;=0,MOD($B$11,1)=0),MIN(($B$16-1),8),"")</x:f>
        <x:v>8</x:v>
      </x:c>
      <x:c r="J378" s="2" t="n">
        <x:f>IF(AND(ISNUMBER($B$16),$B$16&gt;=2,MOD($B$16,1)=0,OR($N$9=32,$N$9=64,$N$9=128),ISNUMBER($B$11),$B$11&gt;=0,MOD($B$11,1)=0),MIN(ROUNDUP(($B$16-1)/($N$9/16),0),ROUNDUP(8/($N$9/16),0)+1)*($N$9/16),"")</x:f>
        <x:v>16</x:v>
      </x:c>
      <x:c r="K378" s="12" t="n">
        <x:f>IF(AND(ISNUMBER($B$16),$B$16&gt;=2,MOD($B$16,1)=0,OR($N$9=32,$N$9=64,$N$9=128),ISNUMBER($B$11),$B$11&gt;=0,MOD($B$11,1)=0),D378*E378*F378*H378/2^30,"")</x:f>
        <x:v>0.003662109375</x:v>
      </x:c>
      <x:c r="L378" s="12" t="n">
        <x:f>IF(AND(ISNUMBER($B$16),$B$16&gt;=2,MOD($B$16,1)=0,OR($N$9=32,$N$9=64,$N$9=128),ISNUMBER($B$11),$B$11&gt;=0,MOD($B$11,1)=0),D378*E378*F378*I378/2^30,"")</x:f>
        <x:v>0.003662109375</x:v>
      </x:c>
      <x:c r="M378" s="12" t="n">
        <x:f>IF(AND(ISNUMBER($B$16),$B$16&gt;=2,MOD($B$16,1)=0,OR($N$9=32,$N$9=64,$N$9=128),ISNUMBER($B$11),$B$11&gt;=0,MOD($B$11,1)=0),D378*E378*G378*J378/2^30,"")</x:f>
        <x:v>0.00091552734375</x:v>
      </x:c>
      <x:c r="N378" s="2"/>
      <x:c r="O378" s="2"/>
      <x:c r="P378" s="2"/>
      <x:c r="Q378" s="2"/>
      <x:c r="R378" s="2"/>
      <x:c r="S378" s="2"/>
      <x:c r="T378" s="2"/>
      <x:c r="U378" s="2"/>
      <x:c r="V378" s="2"/>
      <x:c r="W378" s="2"/>
      <x:c r="X378" s="2"/>
    </x:row>
    <x:row r="379" ht="45" customHeight="1">
      <x:c r="A379" s="29" t="str">
        <x:v>DS V4 Pro</x:v>
      </x:c>
      <x:c r="B379" s="29" t="n">
        <x:f>$B$16</x:f>
        <x:v>262144</x:v>
      </x:c>
      <x:c r="C379" s="57" t="str">
        <x:v>每请求合计</x:v>
      </x:c>
      <x:c r="D379" s="29"/>
      <x:c r="E379" s="29"/>
      <x:c r="F379" s="29"/>
      <x:c r="G379" s="29"/>
      <x:c r="H379" s="29"/>
      <x:c r="I379" s="29"/>
      <x:c r="J379" s="29"/>
      <x:c r="K379" s="55" t="n">
        <x:f>SUM(K372:K378)</x:f>
        <x:v>139.52711632847786</x:v>
      </x:c>
      <x:c r="L379" s="55" t="n">
        <x:f>SUM(L372:L378)</x:f>
        <x:v>17.587152034044266</x:v>
      </x:c>
      <x:c r="M379" s="55" t="n">
        <x:f>SUM(M372:M378)</x:f>
        <x:v>2.21197509765625</x:v>
      </x:c>
      <x:c r="N379" s="2"/>
      <x:c r="O379" s="2"/>
      <x:c r="P379" s="2"/>
      <x:c r="Q379" s="2"/>
      <x:c r="R379" s="2"/>
      <x:c r="S379" s="2"/>
      <x:c r="T379" s="2"/>
      <x:c r="U379" s="2"/>
      <x:c r="V379" s="2"/>
      <x:c r="W379" s="2"/>
      <x:c r="X379" s="2"/>
    </x:row>
    <x:row r="380" ht="45" customHeight="1">
      <x:c r="A380" s="2" t="str">
        <x:v>DS V4 Pro</x:v>
      </x:c>
      <x:c r="B380" s="2" t="n">
        <x:f>$B$17</x:f>
        <x:v>1048576</x:v>
      </x:c>
      <x:c r="C380" s="56" t="str">
        <x:v>SWA KV / BF16</x:v>
      </x:c>
      <x:c r="D380" s="2" t="n">
        <x:v>61</x:v>
      </x:c>
      <x:c r="E380" s="2" t="n">
        <x:v>1024</x:v>
      </x:c>
      <x:c r="F380" s="2" t="n">
        <x:v>8</x:v>
      </x:c>
      <x:c r="G380" s="2" t="n">
        <x:v>1</x:v>
      </x:c>
      <x:c r="H380" s="2" t="n">
        <x:f>IF(AND(ISNUMBER($B$17),$B$17&gt;=2,MOD($B$17,1)=0,OR($N$9=32,$N$9=64,$N$9=128),ISNUMBER($B$11),$B$11&gt;=0,MOD($B$11,1)=0),($B$17-1),"")</x:f>
        <x:v>1048575</x:v>
      </x:c>
      <x:c r="I380" s="2" t="n">
        <x:f>IF(AND(ISNUMBER($B$17),$B$17&gt;=2,MOD($B$17,1)=0,OR($N$9=32,$N$9=64,$N$9=128),ISNUMBER($B$11),$B$11&gt;=0,MOD($B$11,1)=0),MIN(($B$17-1),128),"")</x:f>
        <x:v>128</x:v>
      </x:c>
      <x:c r="J380" s="2" t="n">
        <x:f>IF(AND(ISNUMBER($B$17),$B$17&gt;=2,MOD($B$17,1)=0,OR($N$9=32,$N$9=64,$N$9=128),ISNUMBER($B$11),$B$11&gt;=0,MOD($B$11,1)=0),MIN(ROUNDUP(($B$17-1)/$N$9,0),ROUNDUP(128/$N$9,0)+1)*$N$9,"")</x:f>
        <x:v>256</x:v>
      </x:c>
      <x:c r="K380" s="12" t="n">
        <x:f>IF(AND(ISNUMBER($B$17),$B$17&gt;=2,MOD($B$17,1)=0,OR($N$9=32,$N$9=64,$N$9=128),ISNUMBER($B$11),$B$11&gt;=0,MOD($B$11,1)=0),D380*E380*F380*H380/2^30,"")</x:f>
        <x:v>487.9995346069336</x:v>
      </x:c>
      <x:c r="L380" s="12" t="n">
        <x:f>IF(AND(ISNUMBER($B$17),$B$17&gt;=2,MOD($B$17,1)=0,OR($N$9=32,$N$9=64,$N$9=128),ISNUMBER($B$11),$B$11&gt;=0,MOD($B$11,1)=0),D380*E380*F380*I380/2^30,"")</x:f>
        <x:v>0.0595703125</x:v>
      </x:c>
      <x:c r="M380" s="12" t="n">
        <x:f>IF(AND(ISNUMBER($B$17),$B$17&gt;=2,MOD($B$17,1)=0,OR($N$9=32,$N$9=64,$N$9=128),ISNUMBER($B$11),$B$11&gt;=0,MOD($B$11,1)=0),D380*E380*G380*J380/2^30,"")</x:f>
        <x:v>0.014892578125</x:v>
      </x:c>
      <x:c r="N380" s="2"/>
      <x:c r="O380" s="2"/>
      <x:c r="P380" s="2"/>
      <x:c r="Q380" s="2"/>
      <x:c r="R380" s="2"/>
      <x:c r="S380" s="2"/>
      <x:c r="T380" s="2"/>
      <x:c r="U380" s="2"/>
      <x:c r="V380" s="2"/>
      <x:c r="W380" s="2"/>
      <x:c r="X380" s="2"/>
    </x:row>
    <x:row r="381" ht="45" customHeight="1">
      <x:c r="A381" s="2" t="str">
        <x:v>DS V4 Pro</x:v>
      </x:c>
      <x:c r="B381" s="2" t="n">
        <x:f>$B$17</x:f>
        <x:v>1048576</x:v>
      </x:c>
      <x:c r="C381" s="56" t="str">
        <x:v>C4 KV / BF16</x:v>
      </x:c>
      <x:c r="D381" s="2" t="n">
        <x:v>30</x:v>
      </x:c>
      <x:c r="E381" s="2" t="n">
        <x:v>1024</x:v>
      </x:c>
      <x:c r="F381" s="2" t="n">
        <x:v>8</x:v>
      </x:c>
      <x:c r="G381" s="2" t="n">
        <x:v>1</x:v>
      </x:c>
      <x:c r="H381" s="2" t="n">
        <x:f>IF(AND(ISNUMBER($B$17),$B$17&gt;=2,MOD($B$17,1)=0,OR($N$9=32,$N$9=64,$N$9=128),ISNUMBER($B$11),$B$11&gt;=0,MOD($B$11,1)=0),INT(($B$17-1)/4),"")</x:f>
        <x:v>262143</x:v>
      </x:c>
      <x:c r="I381" s="2" t="n">
        <x:f>IF(AND(ISNUMBER($B$17),$B$17&gt;=2,MOD($B$17,1)=0,OR($N$9=32,$N$9=64,$N$9=128),ISNUMBER($B$11),$B$11&gt;=0,MOD($B$11,1)=0),INT(($B$17-1)/4),"")</x:f>
        <x:v>262143</x:v>
      </x:c>
      <x:c r="J381" s="2" t="n">
        <x:f>IF(AND(ISNUMBER($B$17),$B$17&gt;=2,MOD($B$17,1)=0,OR($N$9=32,$N$9=64,$N$9=128),ISNUMBER($B$11),$B$11&gt;=0,MOD($B$11,1)=0),ROUNDUP(($B$17-1)/(4*$N$9),0)*$N$9,"")</x:f>
        <x:v>262144</x:v>
      </x:c>
      <x:c r="K381" s="12" t="n">
        <x:f>IF(AND(ISNUMBER($B$17),$B$17&gt;=2,MOD($B$17,1)=0,OR($N$9=32,$N$9=64,$N$9=128),ISNUMBER($B$11),$B$11&gt;=0,MOD($B$11,1)=0),D381*E381*F381*H381/2^30,"")</x:f>
        <x:v>59.99977111816406</x:v>
      </x:c>
      <x:c r="L381" s="12" t="n">
        <x:f>IF(AND(ISNUMBER($B$17),$B$17&gt;=2,MOD($B$17,1)=0,OR($N$9=32,$N$9=64,$N$9=128),ISNUMBER($B$11),$B$11&gt;=0,MOD($B$11,1)=0),D381*E381*F381*I381/2^30,"")</x:f>
        <x:v>59.99977111816406</x:v>
      </x:c>
      <x:c r="M381" s="12" t="n">
        <x:f>IF(AND(ISNUMBER($B$17),$B$17&gt;=2,MOD($B$17,1)=0,OR($N$9=32,$N$9=64,$N$9=128),ISNUMBER($B$11),$B$11&gt;=0,MOD($B$11,1)=0),D381*E381*G381*J381/2^30,"")</x:f>
        <x:v>7.5</x:v>
      </x:c>
      <x:c r="N381" s="2"/>
      <x:c r="O381" s="2"/>
      <x:c r="P381" s="2"/>
      <x:c r="Q381" s="2"/>
      <x:c r="R381" s="2"/>
      <x:c r="S381" s="2"/>
      <x:c r="T381" s="2"/>
      <x:c r="U381" s="2"/>
      <x:c r="V381" s="2"/>
      <x:c r="W381" s="2"/>
      <x:c r="X381" s="2"/>
    </x:row>
    <x:row r="382" ht="45" customHeight="1">
      <x:c r="A382" s="2" t="str">
        <x:v>DS V4 Pro</x:v>
      </x:c>
      <x:c r="B382" s="2" t="n">
        <x:f>$B$17</x:f>
        <x:v>1048576</x:v>
      </x:c>
      <x:c r="C382" s="56" t="str">
        <x:v>C128 KV / BF16</x:v>
      </x:c>
      <x:c r="D382" s="2" t="n">
        <x:v>31</x:v>
      </x:c>
      <x:c r="E382" s="2" t="n">
        <x:v>1024</x:v>
      </x:c>
      <x:c r="F382" s="2" t="n">
        <x:v>8</x:v>
      </x:c>
      <x:c r="G382" s="2" t="n">
        <x:v>1</x:v>
      </x:c>
      <x:c r="H382" s="2" t="n">
        <x:f>IF(AND(ISNUMBER($B$17),$B$17&gt;=2,MOD($B$17,1)=0,OR($N$9=32,$N$9=64,$N$9=128),ISNUMBER($B$11),$B$11&gt;=0,MOD($B$11,1)=0),INT(($B$17-1)/128),"")</x:f>
        <x:v>8191</x:v>
      </x:c>
      <x:c r="I382" s="2" t="n">
        <x:f>IF(AND(ISNUMBER($B$17),$B$17&gt;=2,MOD($B$17,1)=0,OR($N$9=32,$N$9=64,$N$9=128),ISNUMBER($B$11),$B$11&gt;=0,MOD($B$11,1)=0),INT(($B$17-1)/128),"")</x:f>
        <x:v>8191</x:v>
      </x:c>
      <x:c r="J382" s="2" t="n">
        <x:f>IF(AND(ISNUMBER($B$17),$B$17&gt;=2,MOD($B$17,1)=0,OR($N$9=32,$N$9=64,$N$9=128),ISNUMBER($B$11),$B$11&gt;=0,MOD($B$11,1)=0),ROUNDUP(($B$17-1)/(128*$N$9),0)*$N$9,"")</x:f>
        <x:v>8192</x:v>
      </x:c>
      <x:c r="K382" s="12" t="n">
        <x:f>IF(AND(ISNUMBER($B$17),$B$17&gt;=2,MOD($B$17,1)=0,OR($N$9=32,$N$9=64,$N$9=128),ISNUMBER($B$11),$B$11&gt;=0,MOD($B$11,1)=0),D382*E382*F382*H382/2^30,"")</x:f>
        <x:v>1.9372634887695312</x:v>
      </x:c>
      <x:c r="L382" s="12" t="n">
        <x:f>IF(AND(ISNUMBER($B$17),$B$17&gt;=2,MOD($B$17,1)=0,OR($N$9=32,$N$9=64,$N$9=128),ISNUMBER($B$11),$B$11&gt;=0,MOD($B$11,1)=0),D382*E382*F382*I382/2^30,"")</x:f>
        <x:v>1.9372634887695312</x:v>
      </x:c>
      <x:c r="M382" s="12" t="n">
        <x:f>IF(AND(ISNUMBER($B$17),$B$17&gt;=2,MOD($B$17,1)=0,OR($N$9=32,$N$9=64,$N$9=128),ISNUMBER($B$11),$B$11&gt;=0,MOD($B$11,1)=0),D382*E382*G382*J382/2^30,"")</x:f>
        <x:v>0.2421875</x:v>
      </x:c>
      <x:c r="N382" s="2"/>
      <x:c r="O382" s="2"/>
      <x:c r="P382" s="2"/>
      <x:c r="Q382" s="2"/>
      <x:c r="R382" s="2"/>
      <x:c r="S382" s="2"/>
      <x:c r="T382" s="2"/>
      <x:c r="U382" s="2"/>
      <x:c r="V382" s="2"/>
      <x:c r="W382" s="2"/>
      <x:c r="X382" s="2"/>
    </x:row>
    <x:row r="383" ht="45" customHeight="1">
      <x:c r="A383" s="2" t="str">
        <x:v>DS V4 Pro</x:v>
      </x:c>
      <x:c r="B383" s="2" t="n">
        <x:f>$B$17</x:f>
        <x:v>1048576</x:v>
      </x:c>
      <x:c r="C383" s="56" t="str">
        <x:v>C4 Indexer / INT8 + FP16 scale</x:v>
      </x:c>
      <x:c r="D383" s="2" t="n">
        <x:v>30</x:v>
      </x:c>
      <x:c r="E383" s="2" t="n">
        <x:v>130</x:v>
      </x:c>
      <x:c r="F383" s="2" t="n">
        <x:v>8</x:v>
      </x:c>
      <x:c r="G383" s="2" t="n">
        <x:v>1</x:v>
      </x:c>
      <x:c r="H383" s="2" t="n">
        <x:f>IF(AND(ISNUMBER($B$17),$B$17&gt;=2,MOD($B$17,1)=0,OR($N$9=32,$N$9=64,$N$9=128),ISNUMBER($B$11),$B$11&gt;=0,MOD($B$11,1)=0),INT(($B$17-1)/4),"")</x:f>
        <x:v>262143</x:v>
      </x:c>
      <x:c r="I383" s="2" t="n">
        <x:f>IF(AND(ISNUMBER($B$17),$B$17&gt;=2,MOD($B$17,1)=0,OR($N$9=32,$N$9=64,$N$9=128),ISNUMBER($B$11),$B$11&gt;=0,MOD($B$11,1)=0),INT(($B$17-1)/4),"")</x:f>
        <x:v>262143</x:v>
      </x:c>
      <x:c r="J383" s="2" t="n">
        <x:f>IF(AND(ISNUMBER($B$17),$B$17&gt;=2,MOD($B$17,1)=0,OR($N$9=32,$N$9=64,$N$9=128),ISNUMBER($B$11),$B$11&gt;=0,MOD($B$11,1)=0),ROUNDUP(($B$17-1)/(4*$N$9),0)*$N$9,"")</x:f>
        <x:v>262144</x:v>
      </x:c>
      <x:c r="K383" s="12" t="n">
        <x:f>IF(AND(ISNUMBER($B$17),$B$17&gt;=2,MOD($B$17,1)=0,OR($N$9=32,$N$9=64,$N$9=128),ISNUMBER($B$11),$B$11&gt;=0,MOD($B$11,1)=0),D383*E383*F383*H383/2^30,"")</x:f>
        <x:v>7.617158442735672</x:v>
      </x:c>
      <x:c r="L383" s="12" t="n">
        <x:f>IF(AND(ISNUMBER($B$17),$B$17&gt;=2,MOD($B$17,1)=0,OR($N$9=32,$N$9=64,$N$9=128),ISNUMBER($B$11),$B$11&gt;=0,MOD($B$11,1)=0),D383*E383*F383*I383/2^30,"")</x:f>
        <x:v>7.617158442735672</x:v>
      </x:c>
      <x:c r="M383" s="12" t="n">
        <x:f>IF(AND(ISNUMBER($B$17),$B$17&gt;=2,MOD($B$17,1)=0,OR($N$9=32,$N$9=64,$N$9=128),ISNUMBER($B$11),$B$11&gt;=0,MOD($B$11,1)=0),D383*E383*G383*J383/2^30,"")</x:f>
        <x:v>0.9521484375</x:v>
      </x:c>
      <x:c r="N383" s="2"/>
      <x:c r="O383" s="2"/>
      <x:c r="P383" s="2"/>
      <x:c r="Q383" s="2"/>
      <x:c r="R383" s="2"/>
      <x:c r="S383" s="2"/>
      <x:c r="T383" s="2"/>
      <x:c r="U383" s="2"/>
      <x:c r="V383" s="2"/>
      <x:c r="W383" s="2"/>
      <x:c r="X383" s="2"/>
    </x:row>
    <x:row r="384" ht="45" customHeight="1">
      <x:c r="A384" s="2" t="str">
        <x:v>DS V4 Pro</x:v>
      </x:c>
      <x:c r="B384" s="2" t="n">
        <x:f>$B$17</x:f>
        <x:v>1048576</x:v>
      </x:c>
      <x:c r="C384" s="56" t="str">
        <x:v>C4 compressor state / FP32</x:v>
      </x:c>
      <x:c r="D384" s="2" t="n">
        <x:v>30</x:v>
      </x:c>
      <x:c r="E384" s="2" t="n">
        <x:v>8192</x:v>
      </x:c>
      <x:c r="F384" s="2" t="n">
        <x:v>8</x:v>
      </x:c>
      <x:c r="G384" s="2" t="n">
        <x:v>1</x:v>
      </x:c>
      <x:c r="H384" s="2" t="n">
        <x:f>IF(AND(ISNUMBER($B$17),$B$17&gt;=2,MOD($B$17,1)=0,OR($N$9=32,$N$9=64,$N$9=128),ISNUMBER($B$11),$B$11&gt;=0,MOD($B$11,1)=0),MIN(($B$17-1),8),"")</x:f>
        <x:v>8</x:v>
      </x:c>
      <x:c r="I384" s="2" t="n">
        <x:f>IF(AND(ISNUMBER($B$17),$B$17&gt;=2,MOD($B$17,1)=0,OR($N$9=32,$N$9=64,$N$9=128),ISNUMBER($B$11),$B$11&gt;=0,MOD($B$11,1)=0),MIN(($B$17-1),8),"")</x:f>
        <x:v>8</x:v>
      </x:c>
      <x:c r="J384" s="2" t="n">
        <x:f>IF(AND(ISNUMBER($B$17),$B$17&gt;=2,MOD($B$17,1)=0,OR($N$9=32,$N$9=64,$N$9=128),ISNUMBER($B$11),$B$11&gt;=0,MOD($B$11,1)=0),MIN(ROUNDUP(($B$17-1)/($N$9/16),0),ROUNDUP(8/($N$9/16),0)+1)*($N$9/16),"")</x:f>
        <x:v>16</x:v>
      </x:c>
      <x:c r="K384" s="12" t="n">
        <x:f>IF(AND(ISNUMBER($B$17),$B$17&gt;=2,MOD($B$17,1)=0,OR($N$9=32,$N$9=64,$N$9=128),ISNUMBER($B$11),$B$11&gt;=0,MOD($B$11,1)=0),D384*E384*F384*H384/2^30,"")</x:f>
        <x:v>0.0146484375</x:v>
      </x:c>
      <x:c r="L384" s="12" t="n">
        <x:f>IF(AND(ISNUMBER($B$17),$B$17&gt;=2,MOD($B$17,1)=0,OR($N$9=32,$N$9=64,$N$9=128),ISNUMBER($B$11),$B$11&gt;=0,MOD($B$11,1)=0),D384*E384*F384*I384/2^30,"")</x:f>
        <x:v>0.0146484375</x:v>
      </x:c>
      <x:c r="M384" s="12" t="n">
        <x:f>IF(AND(ISNUMBER($B$17),$B$17&gt;=2,MOD($B$17,1)=0,OR($N$9=32,$N$9=64,$N$9=128),ISNUMBER($B$11),$B$11&gt;=0,MOD($B$11,1)=0),D384*E384*G384*J384/2^30,"")</x:f>
        <x:v>0.003662109375</x:v>
      </x:c>
      <x:c r="N384" s="2"/>
      <x:c r="O384" s="2"/>
      <x:c r="P384" s="2"/>
      <x:c r="Q384" s="2"/>
      <x:c r="R384" s="2"/>
      <x:c r="S384" s="2"/>
      <x:c r="T384" s="2"/>
      <x:c r="U384" s="2"/>
      <x:c r="V384" s="2"/>
      <x:c r="W384" s="2"/>
      <x:c r="X384" s="2"/>
    </x:row>
    <x:row r="385" ht="45" customHeight="1">
      <x:c r="A385" s="2" t="str">
        <x:v>DS V4 Pro</x:v>
      </x:c>
      <x:c r="B385" s="2" t="n">
        <x:f>$B$17</x:f>
        <x:v>1048576</x:v>
      </x:c>
      <x:c r="C385" s="56" t="str">
        <x:v>C128 compressor state / FP32</x:v>
      </x:c>
      <x:c r="D385" s="2" t="n">
        <x:v>31</x:v>
      </x:c>
      <x:c r="E385" s="2" t="n">
        <x:v>4096</x:v>
      </x:c>
      <x:c r="F385" s="2" t="n">
        <x:v>8</x:v>
      </x:c>
      <x:c r="G385" s="2" t="n">
        <x:v>1</x:v>
      </x:c>
      <x:c r="H385" s="2" t="n">
        <x:f>IF(AND(ISNUMBER($B$17),$B$17&gt;=2,MOD($B$17,1)=0,OR($N$9=32,$N$9=64,$N$9=128),ISNUMBER($B$11),$B$11&gt;=0,MOD($B$11,1)=0),MIN(($B$17-1),128),"")</x:f>
        <x:v>128</x:v>
      </x:c>
      <x:c r="I385" s="2" t="n">
        <x:f>IF(AND(ISNUMBER($B$17),$B$17&gt;=2,MOD($B$17,1)=0,OR($N$9=32,$N$9=64,$N$9=128),ISNUMBER($B$11),$B$11&gt;=0,MOD($B$11,1)=0),MIN(($B$17-1),128),"")</x:f>
        <x:v>128</x:v>
      </x:c>
      <x:c r="J385" s="2" t="n">
        <x:f>IF(AND(ISNUMBER($B$17),$B$17&gt;=2,MOD($B$17,1)=0,OR($N$9=32,$N$9=64,$N$9=128),ISNUMBER($B$11),$B$11&gt;=0,MOD($B$11,1)=0),MIN(ROUNDUP(($B$17-1)/($N$9/4),0),ROUNDUP(128/($N$9/4),0)+1)*($N$9/4),"")</x:f>
        <x:v>160</x:v>
      </x:c>
      <x:c r="K385" s="12" t="n">
        <x:f>IF(AND(ISNUMBER($B$17),$B$17&gt;=2,MOD($B$17,1)=0,OR($N$9=32,$N$9=64,$N$9=128),ISNUMBER($B$11),$B$11&gt;=0,MOD($B$11,1)=0),D385*E385*F385*H385/2^30,"")</x:f>
        <x:v>0.12109375</x:v>
      </x:c>
      <x:c r="L385" s="12" t="n">
        <x:f>IF(AND(ISNUMBER($B$17),$B$17&gt;=2,MOD($B$17,1)=0,OR($N$9=32,$N$9=64,$N$9=128),ISNUMBER($B$11),$B$11&gt;=0,MOD($B$11,1)=0),D385*E385*F385*I385/2^30,"")</x:f>
        <x:v>0.12109375</x:v>
      </x:c>
      <x:c r="M385" s="12" t="n">
        <x:f>IF(AND(ISNUMBER($B$17),$B$17&gt;=2,MOD($B$17,1)=0,OR($N$9=32,$N$9=64,$N$9=128),ISNUMBER($B$11),$B$11&gt;=0,MOD($B$11,1)=0),D385*E385*G385*J385/2^30,"")</x:f>
        <x:v>0.0189208984375</x:v>
      </x:c>
      <x:c r="N385" s="2"/>
      <x:c r="O385" s="2"/>
      <x:c r="P385" s="2"/>
      <x:c r="Q385" s="2"/>
      <x:c r="R385" s="2"/>
      <x:c r="S385" s="2"/>
      <x:c r="T385" s="2"/>
      <x:c r="U385" s="2"/>
      <x:c r="V385" s="2"/>
      <x:c r="W385" s="2"/>
      <x:c r="X385" s="2"/>
    </x:row>
    <x:row r="386" ht="45" customHeight="1">
      <x:c r="A386" s="2" t="str">
        <x:v>DS V4 Pro</x:v>
      </x:c>
      <x:c r="B386" s="2" t="n">
        <x:f>$B$17</x:f>
        <x:v>1048576</x:v>
      </x:c>
      <x:c r="C386" s="56" t="str">
        <x:v>C4 indexer state / FP32</x:v>
      </x:c>
      <x:c r="D386" s="2" t="n">
        <x:v>30</x:v>
      </x:c>
      <x:c r="E386" s="2" t="n">
        <x:v>2048</x:v>
      </x:c>
      <x:c r="F386" s="2" t="n">
        <x:v>8</x:v>
      </x:c>
      <x:c r="G386" s="2" t="n">
        <x:v>1</x:v>
      </x:c>
      <x:c r="H386" s="2" t="n">
        <x:f>IF(AND(ISNUMBER($B$17),$B$17&gt;=2,MOD($B$17,1)=0,OR($N$9=32,$N$9=64,$N$9=128),ISNUMBER($B$11),$B$11&gt;=0,MOD($B$11,1)=0),MIN(($B$17-1),8),"")</x:f>
        <x:v>8</x:v>
      </x:c>
      <x:c r="I386" s="2" t="n">
        <x:f>IF(AND(ISNUMBER($B$17),$B$17&gt;=2,MOD($B$17,1)=0,OR($N$9=32,$N$9=64,$N$9=128),ISNUMBER($B$11),$B$11&gt;=0,MOD($B$11,1)=0),MIN(($B$17-1),8),"")</x:f>
        <x:v>8</x:v>
      </x:c>
      <x:c r="J386" s="2" t="n">
        <x:f>IF(AND(ISNUMBER($B$17),$B$17&gt;=2,MOD($B$17,1)=0,OR($N$9=32,$N$9=64,$N$9=128),ISNUMBER($B$11),$B$11&gt;=0,MOD($B$11,1)=0),MIN(ROUNDUP(($B$17-1)/($N$9/16),0),ROUNDUP(8/($N$9/16),0)+1)*($N$9/16),"")</x:f>
        <x:v>16</x:v>
      </x:c>
      <x:c r="K386" s="12" t="n">
        <x:f>IF(AND(ISNUMBER($B$17),$B$17&gt;=2,MOD($B$17,1)=0,OR($N$9=32,$N$9=64,$N$9=128),ISNUMBER($B$11),$B$11&gt;=0,MOD($B$11,1)=0),D386*E386*F386*H386/2^30,"")</x:f>
        <x:v>0.003662109375</x:v>
      </x:c>
      <x:c r="L386" s="12" t="n">
        <x:f>IF(AND(ISNUMBER($B$17),$B$17&gt;=2,MOD($B$17,1)=0,OR($N$9=32,$N$9=64,$N$9=128),ISNUMBER($B$11),$B$11&gt;=0,MOD($B$11,1)=0),D386*E386*F386*I386/2^30,"")</x:f>
        <x:v>0.003662109375</x:v>
      </x:c>
      <x:c r="M386" s="12" t="n">
        <x:f>IF(AND(ISNUMBER($B$17),$B$17&gt;=2,MOD($B$17,1)=0,OR($N$9=32,$N$9=64,$N$9=128),ISNUMBER($B$11),$B$11&gt;=0,MOD($B$11,1)=0),D386*E386*G386*J386/2^30,"")</x:f>
        <x:v>0.00091552734375</x:v>
      </x:c>
      <x:c r="N386" s="2"/>
      <x:c r="O386" s="2"/>
      <x:c r="P386" s="2"/>
      <x:c r="Q386" s="2"/>
      <x:c r="R386" s="2"/>
      <x:c r="S386" s="2"/>
      <x:c r="T386" s="2"/>
      <x:c r="U386" s="2"/>
      <x:c r="V386" s="2"/>
      <x:c r="W386" s="2"/>
      <x:c r="X386" s="2"/>
    </x:row>
    <x:row r="387" ht="45" customHeight="1">
      <x:c r="A387" s="29" t="str">
        <x:v>DS V4 Pro</x:v>
      </x:c>
      <x:c r="B387" s="29" t="n">
        <x:f>$B$17</x:f>
        <x:v>1048576</x:v>
      </x:c>
      <x:c r="C387" s="57" t="str">
        <x:v>每请求合计</x:v>
      </x:c>
      <x:c r="D387" s="29"/>
      <x:c r="E387" s="29"/>
      <x:c r="F387" s="29"/>
      <x:c r="G387" s="29"/>
      <x:c r="H387" s="29"/>
      <x:c r="I387" s="29"/>
      <x:c r="J387" s="29"/>
      <x:c r="K387" s="55" t="n">
        <x:f>SUM(K380:K386)</x:f>
        <x:v>557.6931319534779</x:v>
      </x:c>
      <x:c r="L387" s="55" t="n">
        <x:f>SUM(L380:L386)</x:f>
        <x:v>69.75316765904427</x:v>
      </x:c>
      <x:c r="M387" s="55" t="n">
        <x:f>SUM(M380:M386)</x:f>
        <x:v>8.73272705078125</x:v>
      </x:c>
      <x:c r="N387" s="2"/>
      <x:c r="O387" s="2"/>
      <x:c r="P387" s="2"/>
      <x:c r="Q387" s="2"/>
      <x:c r="R387" s="2"/>
      <x:c r="S387" s="2"/>
      <x:c r="T387" s="2"/>
      <x:c r="U387" s="2"/>
      <x:c r="V387" s="2"/>
      <x:c r="W387" s="2"/>
      <x:c r="X387" s="2"/>
    </x:row>
    <x:row r="388" ht="45" customHeight="1">
      <x:c r="A388" s="2" t="str">
        <x:v>GLM5.3</x:v>
      </x:c>
      <x:c r="B388" s="2" t="n">
        <x:f>$B$15</x:f>
        <x:v>16384</x:v>
      </x:c>
      <x:c r="C388" s="56" t="str">
        <x:v>MLA / BF16</x:v>
      </x:c>
      <x:c r="D388" s="2" t="n">
        <x:v>78</x:v>
      </x:c>
      <x:c r="E388" s="2" t="n">
        <x:v>1152</x:v>
      </x:c>
      <x:c r="F388" s="2" t="n">
        <x:v>8</x:v>
      </x:c>
      <x:c r="G388" s="2" t="n">
        <x:v>1</x:v>
      </x:c>
      <x:c r="H388" s="2" t="n">
        <x:f>IF(AND(ISNUMBER($B$15),$B$15&gt;=2,MOD($B$15,1)=0,OR($N$9=32,$N$9=64,$N$9=128),ISNUMBER($B$11),$B$11&gt;=0,MOD($B$11,1)=0),INT($B$15/1),"")</x:f>
        <x:v>16384</x:v>
      </x:c>
      <x:c r="I388" s="2" t="n">
        <x:f>IF(AND(ISNUMBER($B$15),$B$15&gt;=2,MOD($B$15,1)=0,OR($N$9=32,$N$9=64,$N$9=128),ISNUMBER($B$11),$B$11&gt;=0,MOD($B$11,1)=0),INT($B$15/1),"")</x:f>
        <x:v>16384</x:v>
      </x:c>
      <x:c r="J388" s="2" t="n">
        <x:f>IF(AND(ISNUMBER($B$15),$B$15&gt;=2,MOD($B$15,1)=0,OR($N$9=32,$N$9=64,$N$9=128),ISNUMBER($B$11),$B$11&gt;=0,MOD($B$11,1)=0),ROUNDUP($B$15/(1*$N$9),0)*$N$9,"")</x:f>
        <x:v>16384</x:v>
      </x:c>
      <x:c r="K388" s="12" t="n">
        <x:f>IF(AND(ISNUMBER($B$15),$B$15&gt;=2,MOD($B$15,1)=0,OR($N$9=32,$N$9=64,$N$9=128),ISNUMBER($B$11),$B$11&gt;=0,MOD($B$11,1)=0),D388*E388*F388*H388/2^30,"")</x:f>
        <x:v>10.96875</x:v>
      </x:c>
      <x:c r="L388" s="12" t="n">
        <x:f>IF(AND(ISNUMBER($B$15),$B$15&gt;=2,MOD($B$15,1)=0,OR($N$9=32,$N$9=64,$N$9=128),ISNUMBER($B$11),$B$11&gt;=0,MOD($B$11,1)=0),D388*E388*F388*I388/2^30,"")</x:f>
        <x:v>10.96875</x:v>
      </x:c>
      <x:c r="M388" s="12" t="n">
        <x:f>IF(AND(ISNUMBER($B$15),$B$15&gt;=2,MOD($B$15,1)=0,OR($N$9=32,$N$9=64,$N$9=128),ISNUMBER($B$11),$B$11&gt;=0,MOD($B$11,1)=0),D388*E388*G388*J388/2^30,"")</x:f>
        <x:v>1.37109375</x:v>
      </x:c>
      <x:c r="N388" s="2"/>
      <x:c r="O388" s="2"/>
      <x:c r="P388" s="2"/>
      <x:c r="Q388" s="2"/>
      <x:c r="R388" s="2"/>
      <x:c r="S388" s="2"/>
      <x:c r="T388" s="2"/>
      <x:c r="U388" s="2"/>
      <x:c r="V388" s="2"/>
      <x:c r="W388" s="2"/>
      <x:c r="X388" s="2"/>
    </x:row>
    <x:row r="389" ht="45" customHeight="1">
      <x:c r="A389" s="2" t="str">
        <x:v>GLM5.3</x:v>
      </x:c>
      <x:c r="B389" s="2" t="n">
        <x:f>$B$15</x:f>
        <x:v>16384</x:v>
      </x:c>
      <x:c r="C389" s="56" t="str">
        <x:v>Indexer / BF16</x:v>
      </x:c>
      <x:c r="D389" s="2" t="n">
        <x:v>21</x:v>
      </x:c>
      <x:c r="E389" s="2" t="n">
        <x:v>256</x:v>
      </x:c>
      <x:c r="F389" s="2" t="n">
        <x:v>8</x:v>
      </x:c>
      <x:c r="G389" s="2" t="n">
        <x:v>1</x:v>
      </x:c>
      <x:c r="H389" s="2" t="n">
        <x:f>IF(AND(ISNUMBER($B$15),$B$15&gt;=2,MOD($B$15,1)=0,OR($N$9=32,$N$9=64,$N$9=128),ISNUMBER($B$11),$B$11&gt;=0,MOD($B$11,1)=0),INT($B$15/1),"")</x:f>
        <x:v>16384</x:v>
      </x:c>
      <x:c r="I389" s="2" t="n">
        <x:f>IF(AND(ISNUMBER($B$15),$B$15&gt;=2,MOD($B$15,1)=0,OR($N$9=32,$N$9=64,$N$9=128),ISNUMBER($B$11),$B$11&gt;=0,MOD($B$11,1)=0),INT($B$15/1),"")</x:f>
        <x:v>16384</x:v>
      </x:c>
      <x:c r="J389" s="2" t="n">
        <x:f>IF(AND(ISNUMBER($B$15),$B$15&gt;=2,MOD($B$15,1)=0,OR($N$9=32,$N$9=64,$N$9=128),ISNUMBER($B$11),$B$11&gt;=0,MOD($B$11,1)=0),ROUNDUP($B$15/(1*$N$9),0)*$N$9,"")</x:f>
        <x:v>16384</x:v>
      </x:c>
      <x:c r="K389" s="12" t="n">
        <x:f>IF(AND(ISNUMBER($B$15),$B$15&gt;=2,MOD($B$15,1)=0,OR($N$9=32,$N$9=64,$N$9=128),ISNUMBER($B$11),$B$11&gt;=0,MOD($B$11,1)=0),D389*E389*F389*H389/2^30,"")</x:f>
        <x:v>0.65625</x:v>
      </x:c>
      <x:c r="L389" s="12" t="n">
        <x:f>IF(AND(ISNUMBER($B$15),$B$15&gt;=2,MOD($B$15,1)=0,OR($N$9=32,$N$9=64,$N$9=128),ISNUMBER($B$11),$B$11&gt;=0,MOD($B$11,1)=0),D389*E389*F389*I389/2^30,"")</x:f>
        <x:v>0.65625</x:v>
      </x:c>
      <x:c r="M389" s="12" t="n">
        <x:f>IF(AND(ISNUMBER($B$15),$B$15&gt;=2,MOD($B$15,1)=0,OR($N$9=32,$N$9=64,$N$9=128),ISNUMBER($B$11),$B$11&gt;=0,MOD($B$11,1)=0),D389*E389*G389*J389/2^30,"")</x:f>
        <x:v>0.08203125</x:v>
      </x:c>
      <x:c r="N389" s="2"/>
      <x:c r="O389" s="2"/>
      <x:c r="P389" s="2"/>
      <x:c r="Q389" s="2"/>
      <x:c r="R389" s="2"/>
      <x:c r="S389" s="2"/>
      <x:c r="T389" s="2"/>
      <x:c r="U389" s="2"/>
      <x:c r="V389" s="2"/>
      <x:c r="W389" s="2"/>
      <x:c r="X389" s="2"/>
    </x:row>
    <x:row r="390" ht="45" customHeight="1">
      <x:c r="A390" s="29" t="str">
        <x:v>GLM5.3</x:v>
      </x:c>
      <x:c r="B390" s="29" t="n">
        <x:f>$B$15</x:f>
        <x:v>16384</x:v>
      </x:c>
      <x:c r="C390" s="57" t="str">
        <x:v>每请求合计</x:v>
      </x:c>
      <x:c r="D390" s="29"/>
      <x:c r="E390" s="29"/>
      <x:c r="F390" s="29"/>
      <x:c r="G390" s="29"/>
      <x:c r="H390" s="29"/>
      <x:c r="I390" s="29"/>
      <x:c r="J390" s="29"/>
      <x:c r="K390" s="55" t="n">
        <x:f>SUM(K388:K389)</x:f>
        <x:v>11.625</x:v>
      </x:c>
      <x:c r="L390" s="55" t="n">
        <x:f>SUM(L388:L389)</x:f>
        <x:v>11.625</x:v>
      </x:c>
      <x:c r="M390" s="55" t="n">
        <x:f>SUM(M388:M389)</x:f>
        <x:v>1.453125</x:v>
      </x:c>
      <x:c r="N390" s="2"/>
      <x:c r="O390" s="2"/>
      <x:c r="P390" s="2"/>
      <x:c r="Q390" s="2"/>
      <x:c r="R390" s="2"/>
      <x:c r="S390" s="2"/>
      <x:c r="T390" s="2"/>
      <x:c r="U390" s="2"/>
      <x:c r="V390" s="2"/>
      <x:c r="W390" s="2"/>
      <x:c r="X390" s="2"/>
    </x:row>
    <x:row r="391" ht="45" customHeight="1">
      <x:c r="A391" s="2" t="str">
        <x:v>GLM5.3</x:v>
      </x:c>
      <x:c r="B391" s="2" t="n">
        <x:f>$B$16</x:f>
        <x:v>262144</x:v>
      </x:c>
      <x:c r="C391" s="56" t="str">
        <x:v>MLA / BF16</x:v>
      </x:c>
      <x:c r="D391" s="2" t="n">
        <x:v>78</x:v>
      </x:c>
      <x:c r="E391" s="2" t="n">
        <x:v>1152</x:v>
      </x:c>
      <x:c r="F391" s="2" t="n">
        <x:v>8</x:v>
      </x:c>
      <x:c r="G391" s="2" t="n">
        <x:v>1</x:v>
      </x:c>
      <x:c r="H391" s="2" t="n">
        <x:f>IF(AND(ISNUMBER($B$16),$B$16&gt;=2,MOD($B$16,1)=0,OR($N$9=32,$N$9=64,$N$9=128),ISNUMBER($B$11),$B$11&gt;=0,MOD($B$11,1)=0),INT($B$16/1),"")</x:f>
        <x:v>262144</x:v>
      </x:c>
      <x:c r="I391" s="2" t="n">
        <x:f>IF(AND(ISNUMBER($B$16),$B$16&gt;=2,MOD($B$16,1)=0,OR($N$9=32,$N$9=64,$N$9=128),ISNUMBER($B$11),$B$11&gt;=0,MOD($B$11,1)=0),INT($B$16/1),"")</x:f>
        <x:v>262144</x:v>
      </x:c>
      <x:c r="J391" s="2" t="n">
        <x:f>IF(AND(ISNUMBER($B$16),$B$16&gt;=2,MOD($B$16,1)=0,OR($N$9=32,$N$9=64,$N$9=128),ISNUMBER($B$11),$B$11&gt;=0,MOD($B$11,1)=0),ROUNDUP($B$16/(1*$N$9),0)*$N$9,"")</x:f>
        <x:v>262144</x:v>
      </x:c>
      <x:c r="K391" s="12" t="n">
        <x:f>IF(AND(ISNUMBER($B$16),$B$16&gt;=2,MOD($B$16,1)=0,OR($N$9=32,$N$9=64,$N$9=128),ISNUMBER($B$11),$B$11&gt;=0,MOD($B$11,1)=0),D391*E391*F391*H391/2^30,"")</x:f>
        <x:v>175.5</x:v>
      </x:c>
      <x:c r="L391" s="12" t="n">
        <x:f>IF(AND(ISNUMBER($B$16),$B$16&gt;=2,MOD($B$16,1)=0,OR($N$9=32,$N$9=64,$N$9=128),ISNUMBER($B$11),$B$11&gt;=0,MOD($B$11,1)=0),D391*E391*F391*I391/2^30,"")</x:f>
        <x:v>175.5</x:v>
      </x:c>
      <x:c r="M391" s="12" t="n">
        <x:f>IF(AND(ISNUMBER($B$16),$B$16&gt;=2,MOD($B$16,1)=0,OR($N$9=32,$N$9=64,$N$9=128),ISNUMBER($B$11),$B$11&gt;=0,MOD($B$11,1)=0),D391*E391*G391*J391/2^30,"")</x:f>
        <x:v>21.9375</x:v>
      </x:c>
      <x:c r="N391" s="2"/>
      <x:c r="O391" s="2"/>
      <x:c r="P391" s="2"/>
      <x:c r="Q391" s="2"/>
      <x:c r="R391" s="2"/>
      <x:c r="S391" s="2"/>
      <x:c r="T391" s="2"/>
      <x:c r="U391" s="2"/>
      <x:c r="V391" s="2"/>
      <x:c r="W391" s="2"/>
      <x:c r="X391" s="2"/>
    </x:row>
    <x:row r="392" ht="45" customHeight="1">
      <x:c r="A392" s="2" t="str">
        <x:v>GLM5.3</x:v>
      </x:c>
      <x:c r="B392" s="2" t="n">
        <x:f>$B$16</x:f>
        <x:v>262144</x:v>
      </x:c>
      <x:c r="C392" s="56" t="str">
        <x:v>Indexer / BF16</x:v>
      </x:c>
      <x:c r="D392" s="2" t="n">
        <x:v>21</x:v>
      </x:c>
      <x:c r="E392" s="2" t="n">
        <x:v>256</x:v>
      </x:c>
      <x:c r="F392" s="2" t="n">
        <x:v>8</x:v>
      </x:c>
      <x:c r="G392" s="2" t="n">
        <x:v>1</x:v>
      </x:c>
      <x:c r="H392" s="2" t="n">
        <x:f>IF(AND(ISNUMBER($B$16),$B$16&gt;=2,MOD($B$16,1)=0,OR($N$9=32,$N$9=64,$N$9=128),ISNUMBER($B$11),$B$11&gt;=0,MOD($B$11,1)=0),INT($B$16/1),"")</x:f>
        <x:v>262144</x:v>
      </x:c>
      <x:c r="I392" s="2" t="n">
        <x:f>IF(AND(ISNUMBER($B$16),$B$16&gt;=2,MOD($B$16,1)=0,OR($N$9=32,$N$9=64,$N$9=128),ISNUMBER($B$11),$B$11&gt;=0,MOD($B$11,1)=0),INT($B$16/1),"")</x:f>
        <x:v>262144</x:v>
      </x:c>
      <x:c r="J392" s="2" t="n">
        <x:f>IF(AND(ISNUMBER($B$16),$B$16&gt;=2,MOD($B$16,1)=0,OR($N$9=32,$N$9=64,$N$9=128),ISNUMBER($B$11),$B$11&gt;=0,MOD($B$11,1)=0),ROUNDUP($B$16/(1*$N$9),0)*$N$9,"")</x:f>
        <x:v>262144</x:v>
      </x:c>
      <x:c r="K392" s="12" t="n">
        <x:f>IF(AND(ISNUMBER($B$16),$B$16&gt;=2,MOD($B$16,1)=0,OR($N$9=32,$N$9=64,$N$9=128),ISNUMBER($B$11),$B$11&gt;=0,MOD($B$11,1)=0),D392*E392*F392*H392/2^30,"")</x:f>
        <x:v>10.5</x:v>
      </x:c>
      <x:c r="L392" s="12" t="n">
        <x:f>IF(AND(ISNUMBER($B$16),$B$16&gt;=2,MOD($B$16,1)=0,OR($N$9=32,$N$9=64,$N$9=128),ISNUMBER($B$11),$B$11&gt;=0,MOD($B$11,1)=0),D392*E392*F392*I392/2^30,"")</x:f>
        <x:v>10.5</x:v>
      </x:c>
      <x:c r="M392" s="12" t="n">
        <x:f>IF(AND(ISNUMBER($B$16),$B$16&gt;=2,MOD($B$16,1)=0,OR($N$9=32,$N$9=64,$N$9=128),ISNUMBER($B$11),$B$11&gt;=0,MOD($B$11,1)=0),D392*E392*G392*J392/2^30,"")</x:f>
        <x:v>1.3125</x:v>
      </x:c>
      <x:c r="N392" s="2"/>
      <x:c r="O392" s="2"/>
      <x:c r="P392" s="2"/>
      <x:c r="Q392" s="2"/>
      <x:c r="R392" s="2"/>
      <x:c r="S392" s="2"/>
      <x:c r="T392" s="2"/>
      <x:c r="U392" s="2"/>
      <x:c r="V392" s="2"/>
      <x:c r="W392" s="2"/>
      <x:c r="X392" s="2"/>
    </x:row>
    <x:row r="393" ht="45" customHeight="1">
      <x:c r="A393" s="29" t="str">
        <x:v>GLM5.3</x:v>
      </x:c>
      <x:c r="B393" s="29" t="n">
        <x:f>$B$16</x:f>
        <x:v>262144</x:v>
      </x:c>
      <x:c r="C393" s="57" t="str">
        <x:v>每请求合计</x:v>
      </x:c>
      <x:c r="D393" s="29"/>
      <x:c r="E393" s="29"/>
      <x:c r="F393" s="29"/>
      <x:c r="G393" s="29"/>
      <x:c r="H393" s="29"/>
      <x:c r="I393" s="29"/>
      <x:c r="J393" s="29"/>
      <x:c r="K393" s="55" t="n">
        <x:f>SUM(K391:K392)</x:f>
        <x:v>186</x:v>
      </x:c>
      <x:c r="L393" s="55" t="n">
        <x:f>SUM(L391:L392)</x:f>
        <x:v>186</x:v>
      </x:c>
      <x:c r="M393" s="55" t="n">
        <x:f>SUM(M391:M392)</x:f>
        <x:v>23.25</x:v>
      </x:c>
      <x:c r="N393" s="2"/>
      <x:c r="O393" s="2"/>
      <x:c r="P393" s="2"/>
      <x:c r="Q393" s="2"/>
      <x:c r="R393" s="2"/>
      <x:c r="S393" s="2"/>
      <x:c r="T393" s="2"/>
      <x:c r="U393" s="2"/>
      <x:c r="V393" s="2"/>
      <x:c r="W393" s="2"/>
      <x:c r="X393" s="2"/>
    </x:row>
    <x:row r="394" ht="45" customHeight="1">
      <x:c r="A394" s="2" t="str">
        <x:v>GLM5.3</x:v>
      </x:c>
      <x:c r="B394" s="2" t="n">
        <x:f>$B$17</x:f>
        <x:v>1048576</x:v>
      </x:c>
      <x:c r="C394" s="56" t="str">
        <x:v>MLA / BF16</x:v>
      </x:c>
      <x:c r="D394" s="2" t="n">
        <x:v>78</x:v>
      </x:c>
      <x:c r="E394" s="2" t="n">
        <x:v>1152</x:v>
      </x:c>
      <x:c r="F394" s="2" t="n">
        <x:v>8</x:v>
      </x:c>
      <x:c r="G394" s="2" t="n">
        <x:v>1</x:v>
      </x:c>
      <x:c r="H394" s="2" t="n">
        <x:f>IF(AND(ISNUMBER($B$17),$B$17&gt;=2,MOD($B$17,1)=0,OR($N$9=32,$N$9=64,$N$9=128),ISNUMBER($B$11),$B$11&gt;=0,MOD($B$11,1)=0),INT($B$17/1),"")</x:f>
        <x:v>1048576</x:v>
      </x:c>
      <x:c r="I394" s="2" t="n">
        <x:f>IF(AND(ISNUMBER($B$17),$B$17&gt;=2,MOD($B$17,1)=0,OR($N$9=32,$N$9=64,$N$9=128),ISNUMBER($B$11),$B$11&gt;=0,MOD($B$11,1)=0),INT($B$17/1),"")</x:f>
        <x:v>1048576</x:v>
      </x:c>
      <x:c r="J394" s="2" t="n">
        <x:f>IF(AND(ISNUMBER($B$17),$B$17&gt;=2,MOD($B$17,1)=0,OR($N$9=32,$N$9=64,$N$9=128),ISNUMBER($B$11),$B$11&gt;=0,MOD($B$11,1)=0),ROUNDUP($B$17/(1*$N$9),0)*$N$9,"")</x:f>
        <x:v>1048576</x:v>
      </x:c>
      <x:c r="K394" s="12" t="n">
        <x:f>IF(AND(ISNUMBER($B$17),$B$17&gt;=2,MOD($B$17,1)=0,OR($N$9=32,$N$9=64,$N$9=128),ISNUMBER($B$11),$B$11&gt;=0,MOD($B$11,1)=0),D394*E394*F394*H394/2^30,"")</x:f>
        <x:v>702</x:v>
      </x:c>
      <x:c r="L394" s="12" t="n">
        <x:f>IF(AND(ISNUMBER($B$17),$B$17&gt;=2,MOD($B$17,1)=0,OR($N$9=32,$N$9=64,$N$9=128),ISNUMBER($B$11),$B$11&gt;=0,MOD($B$11,1)=0),D394*E394*F394*I394/2^30,"")</x:f>
        <x:v>702</x:v>
      </x:c>
      <x:c r="M394" s="12" t="n">
        <x:f>IF(AND(ISNUMBER($B$17),$B$17&gt;=2,MOD($B$17,1)=0,OR($N$9=32,$N$9=64,$N$9=128),ISNUMBER($B$11),$B$11&gt;=0,MOD($B$11,1)=0),D394*E394*G394*J394/2^30,"")</x:f>
        <x:v>87.75</x:v>
      </x:c>
      <x:c r="N394" s="2"/>
      <x:c r="O394" s="2"/>
      <x:c r="P394" s="2"/>
      <x:c r="Q394" s="2"/>
      <x:c r="R394" s="2"/>
      <x:c r="S394" s="2"/>
      <x:c r="T394" s="2"/>
      <x:c r="U394" s="2"/>
      <x:c r="V394" s="2"/>
      <x:c r="W394" s="2"/>
      <x:c r="X394" s="2"/>
    </x:row>
    <x:row r="395" ht="45" customHeight="1">
      <x:c r="A395" s="2" t="str">
        <x:v>GLM5.3</x:v>
      </x:c>
      <x:c r="B395" s="2" t="n">
        <x:f>$B$17</x:f>
        <x:v>1048576</x:v>
      </x:c>
      <x:c r="C395" s="56" t="str">
        <x:v>Indexer / BF16</x:v>
      </x:c>
      <x:c r="D395" s="2" t="n">
        <x:v>21</x:v>
      </x:c>
      <x:c r="E395" s="2" t="n">
        <x:v>256</x:v>
      </x:c>
      <x:c r="F395" s="2" t="n">
        <x:v>8</x:v>
      </x:c>
      <x:c r="G395" s="2" t="n">
        <x:v>1</x:v>
      </x:c>
      <x:c r="H395" s="2" t="n">
        <x:f>IF(AND(ISNUMBER($B$17),$B$17&gt;=2,MOD($B$17,1)=0,OR($N$9=32,$N$9=64,$N$9=128),ISNUMBER($B$11),$B$11&gt;=0,MOD($B$11,1)=0),INT($B$17/1),"")</x:f>
        <x:v>1048576</x:v>
      </x:c>
      <x:c r="I395" s="2" t="n">
        <x:f>IF(AND(ISNUMBER($B$17),$B$17&gt;=2,MOD($B$17,1)=0,OR($N$9=32,$N$9=64,$N$9=128),ISNUMBER($B$11),$B$11&gt;=0,MOD($B$11,1)=0),INT($B$17/1),"")</x:f>
        <x:v>1048576</x:v>
      </x:c>
      <x:c r="J395" s="2" t="n">
        <x:f>IF(AND(ISNUMBER($B$17),$B$17&gt;=2,MOD($B$17,1)=0,OR($N$9=32,$N$9=64,$N$9=128),ISNUMBER($B$11),$B$11&gt;=0,MOD($B$11,1)=0),ROUNDUP($B$17/(1*$N$9),0)*$N$9,"")</x:f>
        <x:v>1048576</x:v>
      </x:c>
      <x:c r="K395" s="12" t="n">
        <x:f>IF(AND(ISNUMBER($B$17),$B$17&gt;=2,MOD($B$17,1)=0,OR($N$9=32,$N$9=64,$N$9=128),ISNUMBER($B$11),$B$11&gt;=0,MOD($B$11,1)=0),D395*E395*F395*H395/2^30,"")</x:f>
        <x:v>42</x:v>
      </x:c>
      <x:c r="L395" s="12" t="n">
        <x:f>IF(AND(ISNUMBER($B$17),$B$17&gt;=2,MOD($B$17,1)=0,OR($N$9=32,$N$9=64,$N$9=128),ISNUMBER($B$11),$B$11&gt;=0,MOD($B$11,1)=0),D395*E395*F395*I395/2^30,"")</x:f>
        <x:v>42</x:v>
      </x:c>
      <x:c r="M395" s="12" t="n">
        <x:f>IF(AND(ISNUMBER($B$17),$B$17&gt;=2,MOD($B$17,1)=0,OR($N$9=32,$N$9=64,$N$9=128),ISNUMBER($B$11),$B$11&gt;=0,MOD($B$11,1)=0),D395*E395*G395*J395/2^30,"")</x:f>
        <x:v>5.25</x:v>
      </x:c>
      <x:c r="N395" s="2"/>
      <x:c r="O395" s="2"/>
      <x:c r="P395" s="2"/>
      <x:c r="Q395" s="2"/>
      <x:c r="R395" s="2"/>
      <x:c r="S395" s="2"/>
      <x:c r="T395" s="2"/>
      <x:c r="U395" s="2"/>
      <x:c r="V395" s="2"/>
      <x:c r="W395" s="2"/>
      <x:c r="X395" s="2"/>
    </x:row>
    <x:row r="396" ht="45" customHeight="1">
      <x:c r="A396" s="29" t="str">
        <x:v>GLM5.3</x:v>
      </x:c>
      <x:c r="B396" s="29" t="n">
        <x:f>$B$17</x:f>
        <x:v>1048576</x:v>
      </x:c>
      <x:c r="C396" s="57" t="str">
        <x:v>每请求合计</x:v>
      </x:c>
      <x:c r="D396" s="29"/>
      <x:c r="E396" s="29"/>
      <x:c r="F396" s="29"/>
      <x:c r="G396" s="29"/>
      <x:c r="H396" s="29"/>
      <x:c r="I396" s="29"/>
      <x:c r="J396" s="29"/>
      <x:c r="K396" s="55" t="n">
        <x:f>SUM(K394:K395)</x:f>
        <x:v>744</x:v>
      </x:c>
      <x:c r="L396" s="55" t="n">
        <x:f>SUM(L394:L395)</x:f>
        <x:v>744</x:v>
      </x:c>
      <x:c r="M396" s="55" t="n">
        <x:f>SUM(M394:M395)</x:f>
        <x:v>93</x:v>
      </x:c>
      <x:c r="N396" s="2"/>
      <x:c r="O396" s="2"/>
      <x:c r="P396" s="2"/>
      <x:c r="Q396" s="2"/>
      <x:c r="R396" s="2"/>
      <x:c r="S396" s="2"/>
      <x:c r="T396" s="2"/>
      <x:c r="U396" s="2"/>
      <x:c r="V396" s="2"/>
      <x:c r="W396" s="2"/>
      <x:c r="X396" s="2"/>
    </x:row>
    <x:row r="397" ht="45" customHeight="1">
      <x:c r="A397" s="2" t="str">
        <x:v>KimiK3</x:v>
      </x:c>
      <x:c r="B397" s="2" t="n">
        <x:f>$B$15</x:f>
        <x:v>16384</x:v>
      </x:c>
      <x:c r="C397" s="56" t="str">
        <x:v>MLA replicated / BF16</x:v>
      </x:c>
      <x:c r="D397" s="2" t="n">
        <x:v>24</x:v>
      </x:c>
      <x:c r="E397" s="2" t="n">
        <x:v>1152</x:v>
      </x:c>
      <x:c r="F397" s="2" t="n">
        <x:v>8</x:v>
      </x:c>
      <x:c r="G397" s="2" t="n">
        <x:v>8</x:v>
      </x:c>
      <x:c r="H397" s="2" t="n">
        <x:f>IF(AND(ISNUMBER($B$15),$B$15&gt;=2,MOD($B$15,1)=0,OR($N$9=32,$N$9=64,$N$9=128),ISNUMBER($B$11),$B$11&gt;=0,MOD($B$11,1)=0),INT(($B$15-1)/1),"")</x:f>
        <x:v>16383</x:v>
      </x:c>
      <x:c r="I397" s="2" t="n">
        <x:f>IF(AND(ISNUMBER($B$15),$B$15&gt;=2,MOD($B$15,1)=0,OR($N$9=32,$N$9=64,$N$9=128),ISNUMBER($B$11),$B$11&gt;=0,MOD($B$11,1)=0),INT(($B$15-1)/1),"")</x:f>
        <x:v>16383</x:v>
      </x:c>
      <x:c r="J397" s="2" t="n">
        <x:f>IF(AND(ISNUMBER($B$15),$B$15&gt;=2,MOD($B$15,1)=0,OR($N$9=32,$N$9=64,$N$9=128),ISNUMBER($B$11),$B$11&gt;=0,MOD($B$11,1)=0),ROUNDUP(($B$15-1)/(1*$N$9),0)*$N$9,"")</x:f>
        <x:v>16384</x:v>
      </x:c>
      <x:c r="K397" s="12" t="n">
        <x:f>IF(AND(ISNUMBER($B$15),$B$15&gt;=2,MOD($B$15,1)=0,OR($N$9=32,$N$9=64,$N$9=128),ISNUMBER($B$11),$B$11&gt;=0,MOD($B$11,1)=0),D397*E397*F397*H397/2^30,"")</x:f>
        <x:v>3.3747940063476562</x:v>
      </x:c>
      <x:c r="L397" s="12" t="n">
        <x:f>IF(AND(ISNUMBER($B$15),$B$15&gt;=2,MOD($B$15,1)=0,OR($N$9=32,$N$9=64,$N$9=128),ISNUMBER($B$11),$B$11&gt;=0,MOD($B$11,1)=0),D397*E397*F397*I397/2^30,"")</x:f>
        <x:v>3.3747940063476562</x:v>
      </x:c>
      <x:c r="M397" s="12" t="n">
        <x:f>IF(AND(ISNUMBER($B$15),$B$15&gt;=2,MOD($B$15,1)=0,OR($N$9=32,$N$9=64,$N$9=128),ISNUMBER($B$11),$B$11&gt;=0,MOD($B$11,1)=0),D397*E397*G397*J397/2^30,"")</x:f>
        <x:v>3.375</x:v>
      </x:c>
      <x:c r="N397" s="2"/>
      <x:c r="O397" s="2"/>
      <x:c r="P397" s="2"/>
      <x:c r="Q397" s="2"/>
      <x:c r="R397" s="2"/>
      <x:c r="S397" s="2"/>
      <x:c r="T397" s="2"/>
      <x:c r="U397" s="2"/>
      <x:c r="V397" s="2"/>
      <x:c r="W397" s="2"/>
      <x:c r="X397" s="2"/>
    </x:row>
    <x:row r="398" ht="45" customHeight="1">
      <x:c r="A398" s="2" t="str">
        <x:v>KimiK3</x:v>
      </x:c>
      <x:c r="B398" s="2" t="n">
        <x:f>$B$15</x:f>
        <x:v>16384</x:v>
      </x:c>
      <x:c r="C398" s="56" t="str">
        <x:v>Conv state / BF16</x:v>
      </x:c>
      <x:c r="D398" s="2" t="n">
        <x:v>69</x:v>
      </x:c>
      <x:c r="E398" s="2" t="n">
        <x:v>9216</x:v>
      </x:c>
      <x:c r="F398" s="2" t="n">
        <x:v>8</x:v>
      </x:c>
      <x:c r="G398" s="2" t="n">
        <x:v>8</x:v>
      </x:c>
      <x:c r="H398" s="2" t="n">
        <x:f>IF(AND(ISNUMBER($B$15),$B$15&gt;=2,MOD($B$15,1)=0,OR($N$9=32,$N$9=64,$N$9=128),ISNUMBER($B$11),$B$11&gt;=0,MOD($B$11,1)=0),MIN(($B$15-1),3),"")</x:f>
        <x:v>3</x:v>
      </x:c>
      <x:c r="I398" s="2" t="n">
        <x:f>IF(AND(ISNUMBER($B$15),$B$15&gt;=2,MOD($B$15,1)=0,OR($N$9=32,$N$9=64,$N$9=128),ISNUMBER($B$11),$B$11&gt;=0,MOD($B$11,1)=0),MIN(($B$15-1),3),"")</x:f>
        <x:v>3</x:v>
      </x:c>
      <x:c r="J398" s="2" t="n">
        <x:f>IF(AND(ISNUMBER($B$15),$B$15&gt;=2,MOD($B$15,1)=0,OR($N$9=32,$N$9=64,$N$9=128),ISNUMBER($B$11),$B$11&gt;=0,MOD($B$11,1)=0),3+$B$11,"")</x:f>
        <x:v>10</x:v>
      </x:c>
      <x:c r="K398" s="12" t="n">
        <x:f>IF(AND(ISNUMBER($B$15),$B$15&gt;=2,MOD($B$15,1)=0,OR($N$9=32,$N$9=64,$N$9=128),ISNUMBER($B$11),$B$11&gt;=0,MOD($B$11,1)=0),D398*E398*F398*H398/2^30,"")</x:f>
        <x:v>0.01421356201171875</x:v>
      </x:c>
      <x:c r="L398" s="12" t="n">
        <x:f>IF(AND(ISNUMBER($B$15),$B$15&gt;=2,MOD($B$15,1)=0,OR($N$9=32,$N$9=64,$N$9=128),ISNUMBER($B$11),$B$11&gt;=0,MOD($B$11,1)=0),D398*E398*F398*I398/2^30,"")</x:f>
        <x:v>0.01421356201171875</x:v>
      </x:c>
      <x:c r="M398" s="12" t="n">
        <x:f>IF(AND(ISNUMBER($B$15),$B$15&gt;=2,MOD($B$15,1)=0,OR($N$9=32,$N$9=64,$N$9=128),ISNUMBER($B$11),$B$11&gt;=0,MOD($B$11,1)=0),D398*E398*G398*J398/2^30,"")</x:f>
        <x:v>0.0473785400390625</x:v>
      </x:c>
      <x:c r="N398" s="2"/>
      <x:c r="O398" s="2"/>
      <x:c r="P398" s="2"/>
      <x:c r="Q398" s="2"/>
      <x:c r="R398" s="2"/>
      <x:c r="S398" s="2"/>
      <x:c r="T398" s="2"/>
      <x:c r="U398" s="2"/>
      <x:c r="V398" s="2"/>
      <x:c r="W398" s="2"/>
      <x:c r="X398" s="2"/>
    </x:row>
    <x:row r="399" ht="45" customHeight="1">
      <x:c r="A399" s="2" t="str">
        <x:v>KimiK3</x:v>
      </x:c>
      <x:c r="B399" s="2" t="n">
        <x:f>$B$15</x:f>
        <x:v>16384</x:v>
      </x:c>
      <x:c r="C399" s="56" t="str">
        <x:v>Recurrent state / FP32</x:v>
      </x:c>
      <x:c r="D399" s="2" t="n">
        <x:v>69</x:v>
      </x:c>
      <x:c r="E399" s="2" t="n">
        <x:v>786432</x:v>
      </x:c>
      <x:c r="F399" s="2" t="n">
        <x:v>8</x:v>
      </x:c>
      <x:c r="G399" s="2" t="n">
        <x:v>8</x:v>
      </x:c>
      <x:c r="H399" s="2" t="n">
        <x:f>IF(AND(ISNUMBER($B$15),$B$15&gt;=2,MOD($B$15,1)=0,OR($N$9=32,$N$9=64,$N$9=128),ISNUMBER($B$11),$B$11&gt;=0,MOD($B$11,1)=0),1,"")</x:f>
        <x:v>1</x:v>
      </x:c>
      <x:c r="I399" s="2" t="n">
        <x:f>IF(AND(ISNUMBER($B$15),$B$15&gt;=2,MOD($B$15,1)=0,OR($N$9=32,$N$9=64,$N$9=128),ISNUMBER($B$11),$B$11&gt;=0,MOD($B$11,1)=0),1,"")</x:f>
        <x:v>1</x:v>
      </x:c>
      <x:c r="J399" s="2" t="n">
        <x:f>IF(AND(ISNUMBER($B$15),$B$15&gt;=2,MOD($B$15,1)=0,OR($N$9=32,$N$9=64,$N$9=128),ISNUMBER($B$11),$B$11&gt;=0,MOD($B$11,1)=0),1,"")</x:f>
        <x:v>1</x:v>
      </x:c>
      <x:c r="K399" s="12" t="n">
        <x:f>IF(AND(ISNUMBER($B$15),$B$15&gt;=2,MOD($B$15,1)=0,OR($N$9=32,$N$9=64,$N$9=128),ISNUMBER($B$11),$B$11&gt;=0,MOD($B$11,1)=0),D399*E399*F399*H399/2^30,"")</x:f>
        <x:v>0.404296875</x:v>
      </x:c>
      <x:c r="L399" s="12" t="n">
        <x:f>IF(AND(ISNUMBER($B$15),$B$15&gt;=2,MOD($B$15,1)=0,OR($N$9=32,$N$9=64,$N$9=128),ISNUMBER($B$11),$B$11&gt;=0,MOD($B$11,1)=0),D399*E399*F399*I399/2^30,"")</x:f>
        <x:v>0.404296875</x:v>
      </x:c>
      <x:c r="M399" s="12" t="n">
        <x:f>IF(AND(ISNUMBER($B$15),$B$15&gt;=2,MOD($B$15,1)=0,OR($N$9=32,$N$9=64,$N$9=128),ISNUMBER($B$11),$B$11&gt;=0,MOD($B$11,1)=0),D399*E399*G399*J399/2^30,"")</x:f>
        <x:v>0.404296875</x:v>
      </x:c>
      <x:c r="N399" s="2"/>
      <x:c r="O399" s="2"/>
      <x:c r="P399" s="2"/>
      <x:c r="Q399" s="2"/>
      <x:c r="R399" s="2"/>
      <x:c r="S399" s="2"/>
      <x:c r="T399" s="2"/>
      <x:c r="U399" s="2"/>
      <x:c r="V399" s="2"/>
      <x:c r="W399" s="2"/>
      <x:c r="X399" s="2"/>
    </x:row>
    <x:row r="400" ht="45" customHeight="1">
      <x:c r="A400" s="29" t="str">
        <x:v>KimiK3</x:v>
      </x:c>
      <x:c r="B400" s="29" t="n">
        <x:f>$B$15</x:f>
        <x:v>16384</x:v>
      </x:c>
      <x:c r="C400" s="57" t="str">
        <x:v>每请求合计</x:v>
      </x:c>
      <x:c r="D400" s="29"/>
      <x:c r="E400" s="29"/>
      <x:c r="F400" s="29"/>
      <x:c r="G400" s="29"/>
      <x:c r="H400" s="29"/>
      <x:c r="I400" s="29"/>
      <x:c r="J400" s="29"/>
      <x:c r="K400" s="55" t="n">
        <x:f>SUM(K397:K399)</x:f>
        <x:v>3.793304443359375</x:v>
      </x:c>
      <x:c r="L400" s="55" t="n">
        <x:f>SUM(L397:L399)</x:f>
        <x:v>3.793304443359375</x:v>
      </x:c>
      <x:c r="M400" s="55" t="n">
        <x:f>SUM(M397:M399)</x:f>
        <x:v>3.8266754150390625</x:v>
      </x:c>
      <x:c r="N400" s="2"/>
      <x:c r="O400" s="2"/>
      <x:c r="P400" s="2"/>
      <x:c r="Q400" s="2"/>
      <x:c r="R400" s="2"/>
      <x:c r="S400" s="2"/>
      <x:c r="T400" s="2"/>
      <x:c r="U400" s="2"/>
      <x:c r="V400" s="2"/>
      <x:c r="W400" s="2"/>
      <x:c r="X400" s="2"/>
    </x:row>
    <x:row r="401" ht="45" customHeight="1">
      <x:c r="A401" s="2" t="str">
        <x:v>KimiK3</x:v>
      </x:c>
      <x:c r="B401" s="2" t="n">
        <x:f>$B$16</x:f>
        <x:v>262144</x:v>
      </x:c>
      <x:c r="C401" s="56" t="str">
        <x:v>MLA replicated / BF16</x:v>
      </x:c>
      <x:c r="D401" s="2" t="n">
        <x:v>24</x:v>
      </x:c>
      <x:c r="E401" s="2" t="n">
        <x:v>1152</x:v>
      </x:c>
      <x:c r="F401" s="2" t="n">
        <x:v>8</x:v>
      </x:c>
      <x:c r="G401" s="2" t="n">
        <x:v>8</x:v>
      </x:c>
      <x:c r="H401" s="2" t="n">
        <x:f>IF(AND(ISNUMBER($B$16),$B$16&gt;=2,MOD($B$16,1)=0,OR($N$9=32,$N$9=64,$N$9=128),ISNUMBER($B$11),$B$11&gt;=0,MOD($B$11,1)=0),INT(($B$16-1)/1),"")</x:f>
        <x:v>262143</x:v>
      </x:c>
      <x:c r="I401" s="2" t="n">
        <x:f>IF(AND(ISNUMBER($B$16),$B$16&gt;=2,MOD($B$16,1)=0,OR($N$9=32,$N$9=64,$N$9=128),ISNUMBER($B$11),$B$11&gt;=0,MOD($B$11,1)=0),INT(($B$16-1)/1),"")</x:f>
        <x:v>262143</x:v>
      </x:c>
      <x:c r="J401" s="2" t="n">
        <x:f>IF(AND(ISNUMBER($B$16),$B$16&gt;=2,MOD($B$16,1)=0,OR($N$9=32,$N$9=64,$N$9=128),ISNUMBER($B$11),$B$11&gt;=0,MOD($B$11,1)=0),ROUNDUP(($B$16-1)/(1*$N$9),0)*$N$9,"")</x:f>
        <x:v>262144</x:v>
      </x:c>
      <x:c r="K401" s="12" t="n">
        <x:f>IF(AND(ISNUMBER($B$16),$B$16&gt;=2,MOD($B$16,1)=0,OR($N$9=32,$N$9=64,$N$9=128),ISNUMBER($B$11),$B$11&gt;=0,MOD($B$11,1)=0),D401*E401*F401*H401/2^30,"")</x:f>
        <x:v>53.999794006347656</x:v>
      </x:c>
      <x:c r="L401" s="12" t="n">
        <x:f>IF(AND(ISNUMBER($B$16),$B$16&gt;=2,MOD($B$16,1)=0,OR($N$9=32,$N$9=64,$N$9=128),ISNUMBER($B$11),$B$11&gt;=0,MOD($B$11,1)=0),D401*E401*F401*I401/2^30,"")</x:f>
        <x:v>53.999794006347656</x:v>
      </x:c>
      <x:c r="M401" s="12" t="n">
        <x:f>IF(AND(ISNUMBER($B$16),$B$16&gt;=2,MOD($B$16,1)=0,OR($N$9=32,$N$9=64,$N$9=128),ISNUMBER($B$11),$B$11&gt;=0,MOD($B$11,1)=0),D401*E401*G401*J401/2^30,"")</x:f>
        <x:v>54</x:v>
      </x:c>
      <x:c r="N401" s="2"/>
      <x:c r="O401" s="2"/>
      <x:c r="P401" s="2"/>
      <x:c r="Q401" s="2"/>
      <x:c r="R401" s="2"/>
      <x:c r="S401" s="2"/>
      <x:c r="T401" s="2"/>
      <x:c r="U401" s="2"/>
      <x:c r="V401" s="2"/>
      <x:c r="W401" s="2"/>
      <x:c r="X401" s="2"/>
    </x:row>
    <x:row r="402" ht="45" customHeight="1">
      <x:c r="A402" s="2" t="str">
        <x:v>KimiK3</x:v>
      </x:c>
      <x:c r="B402" s="2" t="n">
        <x:f>$B$16</x:f>
        <x:v>262144</x:v>
      </x:c>
      <x:c r="C402" s="56" t="str">
        <x:v>Conv state / BF16</x:v>
      </x:c>
      <x:c r="D402" s="2" t="n">
        <x:v>69</x:v>
      </x:c>
      <x:c r="E402" s="2" t="n">
        <x:v>9216</x:v>
      </x:c>
      <x:c r="F402" s="2" t="n">
        <x:v>8</x:v>
      </x:c>
      <x:c r="G402" s="2" t="n">
        <x:v>8</x:v>
      </x:c>
      <x:c r="H402" s="2" t="n">
        <x:f>IF(AND(ISNUMBER($B$16),$B$16&gt;=2,MOD($B$16,1)=0,OR($N$9=32,$N$9=64,$N$9=128),ISNUMBER($B$11),$B$11&gt;=0,MOD($B$11,1)=0),MIN(($B$16-1),3),"")</x:f>
        <x:v>3</x:v>
      </x:c>
      <x:c r="I402" s="2" t="n">
        <x:f>IF(AND(ISNUMBER($B$16),$B$16&gt;=2,MOD($B$16,1)=0,OR($N$9=32,$N$9=64,$N$9=128),ISNUMBER($B$11),$B$11&gt;=0,MOD($B$11,1)=0),MIN(($B$16-1),3),"")</x:f>
        <x:v>3</x:v>
      </x:c>
      <x:c r="J402" s="2" t="n">
        <x:f>IF(AND(ISNUMBER($B$16),$B$16&gt;=2,MOD($B$16,1)=0,OR($N$9=32,$N$9=64,$N$9=128),ISNUMBER($B$11),$B$11&gt;=0,MOD($B$11,1)=0),3+$B$11,"")</x:f>
        <x:v>10</x:v>
      </x:c>
      <x:c r="K402" s="12" t="n">
        <x:f>IF(AND(ISNUMBER($B$16),$B$16&gt;=2,MOD($B$16,1)=0,OR($N$9=32,$N$9=64,$N$9=128),ISNUMBER($B$11),$B$11&gt;=0,MOD($B$11,1)=0),D402*E402*F402*H402/2^30,"")</x:f>
        <x:v>0.01421356201171875</x:v>
      </x:c>
      <x:c r="L402" s="12" t="n">
        <x:f>IF(AND(ISNUMBER($B$16),$B$16&gt;=2,MOD($B$16,1)=0,OR($N$9=32,$N$9=64,$N$9=128),ISNUMBER($B$11),$B$11&gt;=0,MOD($B$11,1)=0),D402*E402*F402*I402/2^30,"")</x:f>
        <x:v>0.01421356201171875</x:v>
      </x:c>
      <x:c r="M402" s="12" t="n">
        <x:f>IF(AND(ISNUMBER($B$16),$B$16&gt;=2,MOD($B$16,1)=0,OR($N$9=32,$N$9=64,$N$9=128),ISNUMBER($B$11),$B$11&gt;=0,MOD($B$11,1)=0),D402*E402*G402*J402/2^30,"")</x:f>
        <x:v>0.0473785400390625</x:v>
      </x:c>
      <x:c r="N402" s="2"/>
      <x:c r="O402" s="2"/>
      <x:c r="P402" s="2"/>
      <x:c r="Q402" s="2"/>
      <x:c r="R402" s="2"/>
      <x:c r="S402" s="2"/>
      <x:c r="T402" s="2"/>
      <x:c r="U402" s="2"/>
      <x:c r="V402" s="2"/>
      <x:c r="W402" s="2"/>
      <x:c r="X402" s="2"/>
    </x:row>
    <x:row r="403" ht="45" customHeight="1">
      <x:c r="A403" s="2" t="str">
        <x:v>KimiK3</x:v>
      </x:c>
      <x:c r="B403" s="2" t="n">
        <x:f>$B$16</x:f>
        <x:v>262144</x:v>
      </x:c>
      <x:c r="C403" s="56" t="str">
        <x:v>Recurrent state / FP32</x:v>
      </x:c>
      <x:c r="D403" s="2" t="n">
        <x:v>69</x:v>
      </x:c>
      <x:c r="E403" s="2" t="n">
        <x:v>786432</x:v>
      </x:c>
      <x:c r="F403" s="2" t="n">
        <x:v>8</x:v>
      </x:c>
      <x:c r="G403" s="2" t="n">
        <x:v>8</x:v>
      </x:c>
      <x:c r="H403" s="2" t="n">
        <x:f>IF(AND(ISNUMBER($B$16),$B$16&gt;=2,MOD($B$16,1)=0,OR($N$9=32,$N$9=64,$N$9=128),ISNUMBER($B$11),$B$11&gt;=0,MOD($B$11,1)=0),1,"")</x:f>
        <x:v>1</x:v>
      </x:c>
      <x:c r="I403" s="2" t="n">
        <x:f>IF(AND(ISNUMBER($B$16),$B$16&gt;=2,MOD($B$16,1)=0,OR($N$9=32,$N$9=64,$N$9=128),ISNUMBER($B$11),$B$11&gt;=0,MOD($B$11,1)=0),1,"")</x:f>
        <x:v>1</x:v>
      </x:c>
      <x:c r="J403" s="2" t="n">
        <x:f>IF(AND(ISNUMBER($B$16),$B$16&gt;=2,MOD($B$16,1)=0,OR($N$9=32,$N$9=64,$N$9=128),ISNUMBER($B$11),$B$11&gt;=0,MOD($B$11,1)=0),1,"")</x:f>
        <x:v>1</x:v>
      </x:c>
      <x:c r="K403" s="12" t="n">
        <x:f>IF(AND(ISNUMBER($B$16),$B$16&gt;=2,MOD($B$16,1)=0,OR($N$9=32,$N$9=64,$N$9=128),ISNUMBER($B$11),$B$11&gt;=0,MOD($B$11,1)=0),D403*E403*F403*H403/2^30,"")</x:f>
        <x:v>0.404296875</x:v>
      </x:c>
      <x:c r="L403" s="12" t="n">
        <x:f>IF(AND(ISNUMBER($B$16),$B$16&gt;=2,MOD($B$16,1)=0,OR($N$9=32,$N$9=64,$N$9=128),ISNUMBER($B$11),$B$11&gt;=0,MOD($B$11,1)=0),D403*E403*F403*I403/2^30,"")</x:f>
        <x:v>0.404296875</x:v>
      </x:c>
      <x:c r="M403" s="12" t="n">
        <x:f>IF(AND(ISNUMBER($B$16),$B$16&gt;=2,MOD($B$16,1)=0,OR($N$9=32,$N$9=64,$N$9=128),ISNUMBER($B$11),$B$11&gt;=0,MOD($B$11,1)=0),D403*E403*G403*J403/2^30,"")</x:f>
        <x:v>0.404296875</x:v>
      </x:c>
      <x:c r="N403" s="2"/>
      <x:c r="O403" s="2"/>
      <x:c r="P403" s="2"/>
      <x:c r="Q403" s="2"/>
      <x:c r="R403" s="2"/>
      <x:c r="S403" s="2"/>
      <x:c r="T403" s="2"/>
      <x:c r="U403" s="2"/>
      <x:c r="V403" s="2"/>
      <x:c r="W403" s="2"/>
      <x:c r="X403" s="2"/>
    </x:row>
    <x:row r="404" ht="45" customHeight="1">
      <x:c r="A404" s="29" t="str">
        <x:v>KimiK3</x:v>
      </x:c>
      <x:c r="B404" s="29" t="n">
        <x:f>$B$16</x:f>
        <x:v>262144</x:v>
      </x:c>
      <x:c r="C404" s="57" t="str">
        <x:v>每请求合计</x:v>
      </x:c>
      <x:c r="D404" s="29"/>
      <x:c r="E404" s="29"/>
      <x:c r="F404" s="29"/>
      <x:c r="G404" s="29"/>
      <x:c r="H404" s="29"/>
      <x:c r="I404" s="29"/>
      <x:c r="J404" s="29"/>
      <x:c r="K404" s="55" t="n">
        <x:f>SUM(K401:K403)</x:f>
        <x:v>54.418304443359375</x:v>
      </x:c>
      <x:c r="L404" s="55" t="n">
        <x:f>SUM(L401:L403)</x:f>
        <x:v>54.418304443359375</x:v>
      </x:c>
      <x:c r="M404" s="55" t="n">
        <x:f>SUM(M401:M403)</x:f>
        <x:v>54.45167541503906</x:v>
      </x:c>
      <x:c r="N404" s="2"/>
      <x:c r="O404" s="2"/>
      <x:c r="P404" s="2"/>
      <x:c r="Q404" s="2"/>
      <x:c r="R404" s="2"/>
      <x:c r="S404" s="2"/>
      <x:c r="T404" s="2"/>
      <x:c r="U404" s="2"/>
      <x:c r="V404" s="2"/>
      <x:c r="W404" s="2"/>
      <x:c r="X404" s="2"/>
    </x:row>
    <x:row r="405" ht="45" customHeight="1">
      <x:c r="A405" s="2" t="str">
        <x:v>KimiK3</x:v>
      </x:c>
      <x:c r="B405" s="2" t="n">
        <x:f>$B$17</x:f>
        <x:v>1048576</x:v>
      </x:c>
      <x:c r="C405" s="56" t="str">
        <x:v>MLA replicated / BF16</x:v>
      </x:c>
      <x:c r="D405" s="2" t="n">
        <x:v>24</x:v>
      </x:c>
      <x:c r="E405" s="2" t="n">
        <x:v>1152</x:v>
      </x:c>
      <x:c r="F405" s="2" t="n">
        <x:v>8</x:v>
      </x:c>
      <x:c r="G405" s="2" t="n">
        <x:v>8</x:v>
      </x:c>
      <x:c r="H405" s="2" t="n">
        <x:f>IF(AND(ISNUMBER($B$17),$B$17&gt;=2,MOD($B$17,1)=0,OR($N$9=32,$N$9=64,$N$9=128),ISNUMBER($B$11),$B$11&gt;=0,MOD($B$11,1)=0),INT(($B$17-1)/1),"")</x:f>
        <x:v>1048575</x:v>
      </x:c>
      <x:c r="I405" s="2" t="n">
        <x:f>IF(AND(ISNUMBER($B$17),$B$17&gt;=2,MOD($B$17,1)=0,OR($N$9=32,$N$9=64,$N$9=128),ISNUMBER($B$11),$B$11&gt;=0,MOD($B$11,1)=0),INT(($B$17-1)/1),"")</x:f>
        <x:v>1048575</x:v>
      </x:c>
      <x:c r="J405" s="2" t="n">
        <x:f>IF(AND(ISNUMBER($B$17),$B$17&gt;=2,MOD($B$17,1)=0,OR($N$9=32,$N$9=64,$N$9=128),ISNUMBER($B$11),$B$11&gt;=0,MOD($B$11,1)=0),ROUNDUP(($B$17-1)/(1*$N$9),0)*$N$9,"")</x:f>
        <x:v>1048576</x:v>
      </x:c>
      <x:c r="K405" s="12" t="n">
        <x:f>IF(AND(ISNUMBER($B$17),$B$17&gt;=2,MOD($B$17,1)=0,OR($N$9=32,$N$9=64,$N$9=128),ISNUMBER($B$11),$B$11&gt;=0,MOD($B$11,1)=0),D405*E405*F405*H405/2^30,"")</x:f>
        <x:v>215.99979400634766</x:v>
      </x:c>
      <x:c r="L405" s="12" t="n">
        <x:f>IF(AND(ISNUMBER($B$17),$B$17&gt;=2,MOD($B$17,1)=0,OR($N$9=32,$N$9=64,$N$9=128),ISNUMBER($B$11),$B$11&gt;=0,MOD($B$11,1)=0),D405*E405*F405*I405/2^30,"")</x:f>
        <x:v>215.99979400634766</x:v>
      </x:c>
      <x:c r="M405" s="12" t="n">
        <x:f>IF(AND(ISNUMBER($B$17),$B$17&gt;=2,MOD($B$17,1)=0,OR($N$9=32,$N$9=64,$N$9=128),ISNUMBER($B$11),$B$11&gt;=0,MOD($B$11,1)=0),D405*E405*G405*J405/2^30,"")</x:f>
        <x:v>216</x:v>
      </x:c>
      <x:c r="N405" s="2"/>
      <x:c r="O405" s="2"/>
      <x:c r="P405" s="2"/>
      <x:c r="Q405" s="2"/>
      <x:c r="R405" s="2"/>
      <x:c r="S405" s="2"/>
      <x:c r="T405" s="2"/>
      <x:c r="U405" s="2"/>
      <x:c r="V405" s="2"/>
      <x:c r="W405" s="2"/>
      <x:c r="X405" s="2"/>
    </x:row>
    <x:row r="406" ht="45" customHeight="1">
      <x:c r="A406" s="2" t="str">
        <x:v>KimiK3</x:v>
      </x:c>
      <x:c r="B406" s="2" t="n">
        <x:f>$B$17</x:f>
        <x:v>1048576</x:v>
      </x:c>
      <x:c r="C406" s="56" t="str">
        <x:v>Conv state / BF16</x:v>
      </x:c>
      <x:c r="D406" s="2" t="n">
        <x:v>69</x:v>
      </x:c>
      <x:c r="E406" s="2" t="n">
        <x:v>9216</x:v>
      </x:c>
      <x:c r="F406" s="2" t="n">
        <x:v>8</x:v>
      </x:c>
      <x:c r="G406" s="2" t="n">
        <x:v>8</x:v>
      </x:c>
      <x:c r="H406" s="2" t="n">
        <x:f>IF(AND(ISNUMBER($B$17),$B$17&gt;=2,MOD($B$17,1)=0,OR($N$9=32,$N$9=64,$N$9=128),ISNUMBER($B$11),$B$11&gt;=0,MOD($B$11,1)=0),MIN(($B$17-1),3),"")</x:f>
        <x:v>3</x:v>
      </x:c>
      <x:c r="I406" s="2" t="n">
        <x:f>IF(AND(ISNUMBER($B$17),$B$17&gt;=2,MOD($B$17,1)=0,OR($N$9=32,$N$9=64,$N$9=128),ISNUMBER($B$11),$B$11&gt;=0,MOD($B$11,1)=0),MIN(($B$17-1),3),"")</x:f>
        <x:v>3</x:v>
      </x:c>
      <x:c r="J406" s="2" t="n">
        <x:f>IF(AND(ISNUMBER($B$17),$B$17&gt;=2,MOD($B$17,1)=0,OR($N$9=32,$N$9=64,$N$9=128),ISNUMBER($B$11),$B$11&gt;=0,MOD($B$11,1)=0),3+$B$11,"")</x:f>
        <x:v>10</x:v>
      </x:c>
      <x:c r="K406" s="12" t="n">
        <x:f>IF(AND(ISNUMBER($B$17),$B$17&gt;=2,MOD($B$17,1)=0,OR($N$9=32,$N$9=64,$N$9=128),ISNUMBER($B$11),$B$11&gt;=0,MOD($B$11,1)=0),D406*E406*F406*H406/2^30,"")</x:f>
        <x:v>0.01421356201171875</x:v>
      </x:c>
      <x:c r="L406" s="12" t="n">
        <x:f>IF(AND(ISNUMBER($B$17),$B$17&gt;=2,MOD($B$17,1)=0,OR($N$9=32,$N$9=64,$N$9=128),ISNUMBER($B$11),$B$11&gt;=0,MOD($B$11,1)=0),D406*E406*F406*I406/2^30,"")</x:f>
        <x:v>0.01421356201171875</x:v>
      </x:c>
      <x:c r="M406" s="12" t="n">
        <x:f>IF(AND(ISNUMBER($B$17),$B$17&gt;=2,MOD($B$17,1)=0,OR($N$9=32,$N$9=64,$N$9=128),ISNUMBER($B$11),$B$11&gt;=0,MOD($B$11,1)=0),D406*E406*G406*J406/2^30,"")</x:f>
        <x:v>0.0473785400390625</x:v>
      </x:c>
      <x:c r="N406" s="2"/>
      <x:c r="O406" s="2"/>
      <x:c r="P406" s="2"/>
      <x:c r="Q406" s="2"/>
      <x:c r="R406" s="2"/>
      <x:c r="S406" s="2"/>
      <x:c r="T406" s="2"/>
      <x:c r="U406" s="2"/>
      <x:c r="V406" s="2"/>
      <x:c r="W406" s="2"/>
      <x:c r="X406" s="2"/>
    </x:row>
    <x:row r="407" ht="45" customHeight="1">
      <x:c r="A407" s="2" t="str">
        <x:v>KimiK3</x:v>
      </x:c>
      <x:c r="B407" s="2" t="n">
        <x:f>$B$17</x:f>
        <x:v>1048576</x:v>
      </x:c>
      <x:c r="C407" s="56" t="str">
        <x:v>Recurrent state / FP32</x:v>
      </x:c>
      <x:c r="D407" s="2" t="n">
        <x:v>69</x:v>
      </x:c>
      <x:c r="E407" s="2" t="n">
        <x:v>786432</x:v>
      </x:c>
      <x:c r="F407" s="2" t="n">
        <x:v>8</x:v>
      </x:c>
      <x:c r="G407" s="2" t="n">
        <x:v>8</x:v>
      </x:c>
      <x:c r="H407" s="2" t="n">
        <x:f>IF(AND(ISNUMBER($B$17),$B$17&gt;=2,MOD($B$17,1)=0,OR($N$9=32,$N$9=64,$N$9=128),ISNUMBER($B$11),$B$11&gt;=0,MOD($B$11,1)=0),1,"")</x:f>
        <x:v>1</x:v>
      </x:c>
      <x:c r="I407" s="2" t="n">
        <x:f>IF(AND(ISNUMBER($B$17),$B$17&gt;=2,MOD($B$17,1)=0,OR($N$9=32,$N$9=64,$N$9=128),ISNUMBER($B$11),$B$11&gt;=0,MOD($B$11,1)=0),1,"")</x:f>
        <x:v>1</x:v>
      </x:c>
      <x:c r="J407" s="2" t="n">
        <x:f>IF(AND(ISNUMBER($B$17),$B$17&gt;=2,MOD($B$17,1)=0,OR($N$9=32,$N$9=64,$N$9=128),ISNUMBER($B$11),$B$11&gt;=0,MOD($B$11,1)=0),1,"")</x:f>
        <x:v>1</x:v>
      </x:c>
      <x:c r="K407" s="12" t="n">
        <x:f>IF(AND(ISNUMBER($B$17),$B$17&gt;=2,MOD($B$17,1)=0,OR($N$9=32,$N$9=64,$N$9=128),ISNUMBER($B$11),$B$11&gt;=0,MOD($B$11,1)=0),D407*E407*F407*H407/2^30,"")</x:f>
        <x:v>0.404296875</x:v>
      </x:c>
      <x:c r="L407" s="12" t="n">
        <x:f>IF(AND(ISNUMBER($B$17),$B$17&gt;=2,MOD($B$17,1)=0,OR($N$9=32,$N$9=64,$N$9=128),ISNUMBER($B$11),$B$11&gt;=0,MOD($B$11,1)=0),D407*E407*F407*I407/2^30,"")</x:f>
        <x:v>0.404296875</x:v>
      </x:c>
      <x:c r="M407" s="12" t="n">
        <x:f>IF(AND(ISNUMBER($B$17),$B$17&gt;=2,MOD($B$17,1)=0,OR($N$9=32,$N$9=64,$N$9=128),ISNUMBER($B$11),$B$11&gt;=0,MOD($B$11,1)=0),D407*E407*G407*J407/2^30,"")</x:f>
        <x:v>0.404296875</x:v>
      </x:c>
      <x:c r="N407" s="2"/>
      <x:c r="O407" s="2"/>
      <x:c r="P407" s="2"/>
      <x:c r="Q407" s="2"/>
      <x:c r="R407" s="2"/>
      <x:c r="S407" s="2"/>
      <x:c r="T407" s="2"/>
      <x:c r="U407" s="2"/>
      <x:c r="V407" s="2"/>
      <x:c r="W407" s="2"/>
      <x:c r="X407" s="2"/>
    </x:row>
    <x:row r="408" ht="45" customHeight="1">
      <x:c r="A408" s="29" t="str">
        <x:v>KimiK3</x:v>
      </x:c>
      <x:c r="B408" s="29" t="n">
        <x:f>$B$17</x:f>
        <x:v>1048576</x:v>
      </x:c>
      <x:c r="C408" s="57" t="str">
        <x:v>每请求合计</x:v>
      </x:c>
      <x:c r="D408" s="29"/>
      <x:c r="E408" s="29"/>
      <x:c r="F408" s="29"/>
      <x:c r="G408" s="29"/>
      <x:c r="H408" s="29"/>
      <x:c r="I408" s="29"/>
      <x:c r="J408" s="29"/>
      <x:c r="K408" s="55" t="n">
        <x:f>SUM(K405:K407)</x:f>
        <x:v>216.41830444335938</x:v>
      </x:c>
      <x:c r="L408" s="55" t="n">
        <x:f>SUM(L405:L407)</x:f>
        <x:v>216.41830444335938</x:v>
      </x:c>
      <x:c r="M408" s="55" t="n">
        <x:f>SUM(M405:M407)</x:f>
        <x:v>216.45167541503906</x:v>
      </x:c>
      <x:c r="N408" s="2"/>
      <x:c r="O408" s="2"/>
      <x:c r="P408" s="2"/>
      <x:c r="Q408" s="2"/>
      <x:c r="R408" s="2"/>
      <x:c r="S408" s="2"/>
      <x:c r="T408" s="2"/>
      <x:c r="U408" s="2"/>
      <x:c r="V408" s="2"/>
      <x:c r="W408" s="2"/>
      <x:c r="X408" s="2"/>
    </x:row>
    <x:row r="409" ht="45" customHeight="1">
      <x:c r="A409" s="2" t="str">
        <x:v>Qwen3.8 2.4T</x:v>
      </x:c>
      <x:c r="B409" s="2" t="n">
        <x:f>$B$15</x:f>
        <x:v>16384</x:v>
      </x:c>
      <x:c r="C409" s="56" t="str">
        <x:v>GQA K+V / BF16 (KV heads replicated)</x:v>
      </x:c>
      <x:c r="D409" s="2" t="n">
        <x:v>23</x:v>
      </x:c>
      <x:c r="E409" s="2" t="n">
        <x:v>1024</x:v>
      </x:c>
      <x:c r="F409" s="2" t="n">
        <x:v>8</x:v>
      </x:c>
      <x:c r="G409" s="2" t="n">
        <x:v>8</x:v>
      </x:c>
      <x:c r="H409" s="2" t="n">
        <x:f>IF(AND(ISNUMBER($B$15),$B$15&gt;=2,MOD($B$15,1)=0,OR($N$9=32,$N$9=64,$N$9=128),ISNUMBER($B$11),$B$11&gt;=0,MOD($B$11,1)=0),INT(($B$15-1)/1),"")</x:f>
        <x:v>16383</x:v>
      </x:c>
      <x:c r="I409" s="2" t="n">
        <x:f>IF(AND(ISNUMBER($B$15),$B$15&gt;=2,MOD($B$15,1)=0,OR($N$9=32,$N$9=64,$N$9=128),ISNUMBER($B$11),$B$11&gt;=0,MOD($B$11,1)=0),INT(($B$15-1)/1),"")</x:f>
        <x:v>16383</x:v>
      </x:c>
      <x:c r="J409" s="2" t="n">
        <x:f>IF(AND(ISNUMBER($B$15),$B$15&gt;=2,MOD($B$15,1)=0,OR($N$9=32,$N$9=64,$N$9=128),ISNUMBER($B$11),$B$11&gt;=0,MOD($B$11,1)=0),ROUNDUP(($B$15-1)/(1*$N$9),0)*$N$9,"")</x:f>
        <x:v>16384</x:v>
      </x:c>
      <x:c r="K409" s="12" t="n">
        <x:f>IF(AND(ISNUMBER($B$15),$B$15&gt;=2,MOD($B$15,1)=0,OR($N$9=32,$N$9=64,$N$9=128),ISNUMBER($B$11),$B$11&gt;=0,MOD($B$11,1)=0),D409*E409*F409*H409/2^30,"")</x:f>
        <x:v>2.8748245239257812</x:v>
      </x:c>
      <x:c r="L409" s="12" t="n">
        <x:f>IF(AND(ISNUMBER($B$15),$B$15&gt;=2,MOD($B$15,1)=0,OR($N$9=32,$N$9=64,$N$9=128),ISNUMBER($B$11),$B$11&gt;=0,MOD($B$11,1)=0),D409*E409*F409*I409/2^30,"")</x:f>
        <x:v>2.8748245239257812</x:v>
      </x:c>
      <x:c r="M409" s="12" t="n">
        <x:f>IF(AND(ISNUMBER($B$15),$B$15&gt;=2,MOD($B$15,1)=0,OR($N$9=32,$N$9=64,$N$9=128),ISNUMBER($B$11),$B$11&gt;=0,MOD($B$11,1)=0),D409*E409*G409*J409/2^30,"")</x:f>
        <x:v>2.875</x:v>
      </x:c>
      <x:c r="N409" s="2"/>
      <x:c r="O409" s="2"/>
      <x:c r="P409" s="2"/>
      <x:c r="Q409" s="2"/>
      <x:c r="R409" s="2"/>
      <x:c r="S409" s="2"/>
      <x:c r="T409" s="2"/>
      <x:c r="U409" s="2"/>
      <x:c r="V409" s="2"/>
      <x:c r="W409" s="2"/>
      <x:c r="X409" s="2"/>
    </x:row>
    <x:row r="410" ht="45" customHeight="1">
      <x:c r="A410" s="2" t="str">
        <x:v>Qwen3.8 2.4T</x:v>
      </x:c>
      <x:c r="B410" s="2" t="n">
        <x:f>$B$15</x:f>
        <x:v>16384</x:v>
      </x:c>
      <x:c r="C410" s="56" t="str">
        <x:v>Conv state / BF16</x:v>
      </x:c>
      <x:c r="D410" s="2" t="n">
        <x:v>69</x:v>
      </x:c>
      <x:c r="E410" s="2" t="n">
        <x:v>5120</x:v>
      </x:c>
      <x:c r="F410" s="2" t="n">
        <x:v>8</x:v>
      </x:c>
      <x:c r="G410" s="2" t="n">
        <x:v>8</x:v>
      </x:c>
      <x:c r="H410" s="2" t="n">
        <x:f>IF(AND(ISNUMBER($B$15),$B$15&gt;=2,MOD($B$15,1)=0,OR($N$9=32,$N$9=64,$N$9=128),ISNUMBER($B$11),$B$11&gt;=0,MOD($B$11,1)=0),MIN(($B$15-1),3),"")</x:f>
        <x:v>3</x:v>
      </x:c>
      <x:c r="I410" s="2" t="n">
        <x:f>IF(AND(ISNUMBER($B$15),$B$15&gt;=2,MOD($B$15,1)=0,OR($N$9=32,$N$9=64,$N$9=128),ISNUMBER($B$11),$B$11&gt;=0,MOD($B$11,1)=0),MIN(($B$15-1),3),"")</x:f>
        <x:v>3</x:v>
      </x:c>
      <x:c r="J410" s="2" t="n">
        <x:f>IF(AND(ISNUMBER($B$15),$B$15&gt;=2,MOD($B$15,1)=0,OR($N$9=32,$N$9=64,$N$9=128),ISNUMBER($B$11),$B$11&gt;=0,MOD($B$11,1)=0),3+$B$11,"")</x:f>
        <x:v>10</x:v>
      </x:c>
      <x:c r="K410" s="12" t="n">
        <x:f>IF(AND(ISNUMBER($B$15),$B$15&gt;=2,MOD($B$15,1)=0,OR($N$9=32,$N$9=64,$N$9=128),ISNUMBER($B$11),$B$11&gt;=0,MOD($B$11,1)=0),D410*E410*F410*H410/2^30,"")</x:f>
        <x:v>0.00789642333984375</x:v>
      </x:c>
      <x:c r="L410" s="12" t="n">
        <x:f>IF(AND(ISNUMBER($B$15),$B$15&gt;=2,MOD($B$15,1)=0,OR($N$9=32,$N$9=64,$N$9=128),ISNUMBER($B$11),$B$11&gt;=0,MOD($B$11,1)=0),D410*E410*F410*I410/2^30,"")</x:f>
        <x:v>0.00789642333984375</x:v>
      </x:c>
      <x:c r="M410" s="12" t="n">
        <x:f>IF(AND(ISNUMBER($B$15),$B$15&gt;=2,MOD($B$15,1)=0,OR($N$9=32,$N$9=64,$N$9=128),ISNUMBER($B$11),$B$11&gt;=0,MOD($B$11,1)=0),D410*E410*G410*J410/2^30,"")</x:f>
        <x:v>0.0263214111328125</x:v>
      </x:c>
      <x:c r="N410" s="2"/>
      <x:c r="O410" s="2"/>
      <x:c r="P410" s="2"/>
      <x:c r="Q410" s="2"/>
      <x:c r="R410" s="2"/>
      <x:c r="S410" s="2"/>
      <x:c r="T410" s="2"/>
      <x:c r="U410" s="2"/>
      <x:c r="V410" s="2"/>
      <x:c r="W410" s="2"/>
      <x:c r="X410" s="2"/>
    </x:row>
    <x:row r="411" ht="45" customHeight="1">
      <x:c r="A411" s="2" t="str">
        <x:v>Qwen3.8 2.4T</x:v>
      </x:c>
      <x:c r="B411" s="2" t="n">
        <x:f>$B$15</x:f>
        <x:v>16384</x:v>
      </x:c>
      <x:c r="C411" s="56" t="str">
        <x:v>Recurrent state / FP32</x:v>
      </x:c>
      <x:c r="D411" s="2" t="n">
        <x:v>69</x:v>
      </x:c>
      <x:c r="E411" s="2" t="n">
        <x:v>1048576</x:v>
      </x:c>
      <x:c r="F411" s="2" t="n">
        <x:v>8</x:v>
      </x:c>
      <x:c r="G411" s="2" t="n">
        <x:v>8</x:v>
      </x:c>
      <x:c r="H411" s="2" t="n">
        <x:f>IF(AND(ISNUMBER($B$15),$B$15&gt;=2,MOD($B$15,1)=0,OR($N$9=32,$N$9=64,$N$9=128),ISNUMBER($B$11),$B$11&gt;=0,MOD($B$11,1)=0),1,"")</x:f>
        <x:v>1</x:v>
      </x:c>
      <x:c r="I411" s="2" t="n">
        <x:f>IF(AND(ISNUMBER($B$15),$B$15&gt;=2,MOD($B$15,1)=0,OR($N$9=32,$N$9=64,$N$9=128),ISNUMBER($B$11),$B$11&gt;=0,MOD($B$11,1)=0),1,"")</x:f>
        <x:v>1</x:v>
      </x:c>
      <x:c r="J411" s="2" t="n">
        <x:f>IF(AND(ISNUMBER($B$15),$B$15&gt;=2,MOD($B$15,1)=0,OR($N$9=32,$N$9=64,$N$9=128),ISNUMBER($B$11),$B$11&gt;=0,MOD($B$11,1)=0),1,"")</x:f>
        <x:v>1</x:v>
      </x:c>
      <x:c r="K411" s="12" t="n">
        <x:f>IF(AND(ISNUMBER($B$15),$B$15&gt;=2,MOD($B$15,1)=0,OR($N$9=32,$N$9=64,$N$9=128),ISNUMBER($B$11),$B$11&gt;=0,MOD($B$11,1)=0),D411*E411*F411*H411/2^30,"")</x:f>
        <x:v>0.5390625</x:v>
      </x:c>
      <x:c r="L411" s="12" t="n">
        <x:f>IF(AND(ISNUMBER($B$15),$B$15&gt;=2,MOD($B$15,1)=0,OR($N$9=32,$N$9=64,$N$9=128),ISNUMBER($B$11),$B$11&gt;=0,MOD($B$11,1)=0),D411*E411*F411*I411/2^30,"")</x:f>
        <x:v>0.5390625</x:v>
      </x:c>
      <x:c r="M411" s="12" t="n">
        <x:f>IF(AND(ISNUMBER($B$15),$B$15&gt;=2,MOD($B$15,1)=0,OR($N$9=32,$N$9=64,$N$9=128),ISNUMBER($B$11),$B$11&gt;=0,MOD($B$11,1)=0),D411*E411*G411*J411/2^30,"")</x:f>
        <x:v>0.5390625</x:v>
      </x:c>
      <x:c r="N411" s="2"/>
      <x:c r="O411" s="2"/>
      <x:c r="P411" s="2"/>
      <x:c r="Q411" s="2"/>
      <x:c r="R411" s="2"/>
      <x:c r="S411" s="2"/>
      <x:c r="T411" s="2"/>
      <x:c r="U411" s="2"/>
      <x:c r="V411" s="2"/>
      <x:c r="W411" s="2"/>
      <x:c r="X411" s="2"/>
    </x:row>
    <x:row r="412" ht="45" customHeight="1">
      <x:c r="A412" s="29" t="str">
        <x:v>Qwen3.8 2.4T</x:v>
      </x:c>
      <x:c r="B412" s="29" t="n">
        <x:f>$B$15</x:f>
        <x:v>16384</x:v>
      </x:c>
      <x:c r="C412" s="57" t="str">
        <x:v>每请求合计</x:v>
      </x:c>
      <x:c r="D412" s="29"/>
      <x:c r="E412" s="29"/>
      <x:c r="F412" s="29"/>
      <x:c r="G412" s="29"/>
      <x:c r="H412" s="29"/>
      <x:c r="I412" s="29"/>
      <x:c r="J412" s="29"/>
      <x:c r="K412" s="55" t="n">
        <x:f>SUM(K409:K411)</x:f>
        <x:v>3.421783447265625</x:v>
      </x:c>
      <x:c r="L412" s="55" t="n">
        <x:f>SUM(L409:L411)</x:f>
        <x:v>3.421783447265625</x:v>
      </x:c>
      <x:c r="M412" s="55" t="n">
        <x:f>SUM(M409:M411)</x:f>
        <x:v>3.4403839111328125</x:v>
      </x:c>
      <x:c r="N412" s="2"/>
      <x:c r="O412" s="2"/>
      <x:c r="P412" s="2"/>
      <x:c r="Q412" s="2"/>
      <x:c r="R412" s="2"/>
      <x:c r="S412" s="2"/>
      <x:c r="T412" s="2"/>
      <x:c r="U412" s="2"/>
      <x:c r="V412" s="2"/>
      <x:c r="W412" s="2"/>
      <x:c r="X412" s="2"/>
    </x:row>
    <x:row r="413" ht="45" customHeight="1">
      <x:c r="A413" s="2" t="str">
        <x:v>Qwen3.8 2.4T</x:v>
      </x:c>
      <x:c r="B413" s="2" t="n">
        <x:f>$B$16</x:f>
        <x:v>262144</x:v>
      </x:c>
      <x:c r="C413" s="56" t="str">
        <x:v>GQA K+V / BF16 (KV heads replicated)</x:v>
      </x:c>
      <x:c r="D413" s="2" t="n">
        <x:v>23</x:v>
      </x:c>
      <x:c r="E413" s="2" t="n">
        <x:v>1024</x:v>
      </x:c>
      <x:c r="F413" s="2" t="n">
        <x:v>8</x:v>
      </x:c>
      <x:c r="G413" s="2" t="n">
        <x:v>8</x:v>
      </x:c>
      <x:c r="H413" s="2" t="n">
        <x:f>IF(AND(ISNUMBER($B$16),$B$16&gt;=2,MOD($B$16,1)=0,OR($N$9=32,$N$9=64,$N$9=128),ISNUMBER($B$11),$B$11&gt;=0,MOD($B$11,1)=0),INT(($B$16-1)/1),"")</x:f>
        <x:v>262143</x:v>
      </x:c>
      <x:c r="I413" s="2" t="n">
        <x:f>IF(AND(ISNUMBER($B$16),$B$16&gt;=2,MOD($B$16,1)=0,OR($N$9=32,$N$9=64,$N$9=128),ISNUMBER($B$11),$B$11&gt;=0,MOD($B$11,1)=0),INT(($B$16-1)/1),"")</x:f>
        <x:v>262143</x:v>
      </x:c>
      <x:c r="J413" s="2" t="n">
        <x:f>IF(AND(ISNUMBER($B$16),$B$16&gt;=2,MOD($B$16,1)=0,OR($N$9=32,$N$9=64,$N$9=128),ISNUMBER($B$11),$B$11&gt;=0,MOD($B$11,1)=0),ROUNDUP(($B$16-1)/(1*$N$9),0)*$N$9,"")</x:f>
        <x:v>262144</x:v>
      </x:c>
      <x:c r="K413" s="12" t="n">
        <x:f>IF(AND(ISNUMBER($B$16),$B$16&gt;=2,MOD($B$16,1)=0,OR($N$9=32,$N$9=64,$N$9=128),ISNUMBER($B$11),$B$11&gt;=0,MOD($B$11,1)=0),D413*E413*F413*H413/2^30,"")</x:f>
        <x:v>45.99982452392578</x:v>
      </x:c>
      <x:c r="L413" s="12" t="n">
        <x:f>IF(AND(ISNUMBER($B$16),$B$16&gt;=2,MOD($B$16,1)=0,OR($N$9=32,$N$9=64,$N$9=128),ISNUMBER($B$11),$B$11&gt;=0,MOD($B$11,1)=0),D413*E413*F413*I413/2^30,"")</x:f>
        <x:v>45.99982452392578</x:v>
      </x:c>
      <x:c r="M413" s="12" t="n">
        <x:f>IF(AND(ISNUMBER($B$16),$B$16&gt;=2,MOD($B$16,1)=0,OR($N$9=32,$N$9=64,$N$9=128),ISNUMBER($B$11),$B$11&gt;=0,MOD($B$11,1)=0),D413*E413*G413*J413/2^30,"")</x:f>
        <x:v>46</x:v>
      </x:c>
      <x:c r="N413" s="2"/>
      <x:c r="O413" s="2"/>
      <x:c r="P413" s="2"/>
      <x:c r="Q413" s="2"/>
      <x:c r="R413" s="2"/>
      <x:c r="S413" s="2"/>
      <x:c r="T413" s="2"/>
      <x:c r="U413" s="2"/>
      <x:c r="V413" s="2"/>
      <x:c r="W413" s="2"/>
      <x:c r="X413" s="2"/>
    </x:row>
    <x:row r="414" ht="45" customHeight="1">
      <x:c r="A414" s="2" t="str">
        <x:v>Qwen3.8 2.4T</x:v>
      </x:c>
      <x:c r="B414" s="2" t="n">
        <x:f>$B$16</x:f>
        <x:v>262144</x:v>
      </x:c>
      <x:c r="C414" s="56" t="str">
        <x:v>Conv state / BF16</x:v>
      </x:c>
      <x:c r="D414" s="2" t="n">
        <x:v>69</x:v>
      </x:c>
      <x:c r="E414" s="2" t="n">
        <x:v>5120</x:v>
      </x:c>
      <x:c r="F414" s="2" t="n">
        <x:v>8</x:v>
      </x:c>
      <x:c r="G414" s="2" t="n">
        <x:v>8</x:v>
      </x:c>
      <x:c r="H414" s="2" t="n">
        <x:f>IF(AND(ISNUMBER($B$16),$B$16&gt;=2,MOD($B$16,1)=0,OR($N$9=32,$N$9=64,$N$9=128),ISNUMBER($B$11),$B$11&gt;=0,MOD($B$11,1)=0),MIN(($B$16-1),3),"")</x:f>
        <x:v>3</x:v>
      </x:c>
      <x:c r="I414" s="2" t="n">
        <x:f>IF(AND(ISNUMBER($B$16),$B$16&gt;=2,MOD($B$16,1)=0,OR($N$9=32,$N$9=64,$N$9=128),ISNUMBER($B$11),$B$11&gt;=0,MOD($B$11,1)=0),MIN(($B$16-1),3),"")</x:f>
        <x:v>3</x:v>
      </x:c>
      <x:c r="J414" s="2" t="n">
        <x:f>IF(AND(ISNUMBER($B$16),$B$16&gt;=2,MOD($B$16,1)=0,OR($N$9=32,$N$9=64,$N$9=128),ISNUMBER($B$11),$B$11&gt;=0,MOD($B$11,1)=0),3+$B$11,"")</x:f>
        <x:v>10</x:v>
      </x:c>
      <x:c r="K414" s="12" t="n">
        <x:f>IF(AND(ISNUMBER($B$16),$B$16&gt;=2,MOD($B$16,1)=0,OR($N$9=32,$N$9=64,$N$9=128),ISNUMBER($B$11),$B$11&gt;=0,MOD($B$11,1)=0),D414*E414*F414*H414/2^30,"")</x:f>
        <x:v>0.00789642333984375</x:v>
      </x:c>
      <x:c r="L414" s="12" t="n">
        <x:f>IF(AND(ISNUMBER($B$16),$B$16&gt;=2,MOD($B$16,1)=0,OR($N$9=32,$N$9=64,$N$9=128),ISNUMBER($B$11),$B$11&gt;=0,MOD($B$11,1)=0),D414*E414*F414*I414/2^30,"")</x:f>
        <x:v>0.00789642333984375</x:v>
      </x:c>
      <x:c r="M414" s="12" t="n">
        <x:f>IF(AND(ISNUMBER($B$16),$B$16&gt;=2,MOD($B$16,1)=0,OR($N$9=32,$N$9=64,$N$9=128),ISNUMBER($B$11),$B$11&gt;=0,MOD($B$11,1)=0),D414*E414*G414*J414/2^30,"")</x:f>
        <x:v>0.0263214111328125</x:v>
      </x:c>
      <x:c r="N414" s="2"/>
      <x:c r="O414" s="2"/>
      <x:c r="P414" s="2"/>
      <x:c r="Q414" s="2"/>
      <x:c r="R414" s="2"/>
      <x:c r="S414" s="2"/>
      <x:c r="T414" s="2"/>
      <x:c r="U414" s="2"/>
      <x:c r="V414" s="2"/>
      <x:c r="W414" s="2"/>
      <x:c r="X414" s="2"/>
    </x:row>
    <x:row r="415" ht="45" customHeight="1">
      <x:c r="A415" s="2" t="str">
        <x:v>Qwen3.8 2.4T</x:v>
      </x:c>
      <x:c r="B415" s="2" t="n">
        <x:f>$B$16</x:f>
        <x:v>262144</x:v>
      </x:c>
      <x:c r="C415" s="56" t="str">
        <x:v>Recurrent state / FP32</x:v>
      </x:c>
      <x:c r="D415" s="2" t="n">
        <x:v>69</x:v>
      </x:c>
      <x:c r="E415" s="2" t="n">
        <x:v>1048576</x:v>
      </x:c>
      <x:c r="F415" s="2" t="n">
        <x:v>8</x:v>
      </x:c>
      <x:c r="G415" s="2" t="n">
        <x:v>8</x:v>
      </x:c>
      <x:c r="H415" s="2" t="n">
        <x:f>IF(AND(ISNUMBER($B$16),$B$16&gt;=2,MOD($B$16,1)=0,OR($N$9=32,$N$9=64,$N$9=128),ISNUMBER($B$11),$B$11&gt;=0,MOD($B$11,1)=0),1,"")</x:f>
        <x:v>1</x:v>
      </x:c>
      <x:c r="I415" s="2" t="n">
        <x:f>IF(AND(ISNUMBER($B$16),$B$16&gt;=2,MOD($B$16,1)=0,OR($N$9=32,$N$9=64,$N$9=128),ISNUMBER($B$11),$B$11&gt;=0,MOD($B$11,1)=0),1,"")</x:f>
        <x:v>1</x:v>
      </x:c>
      <x:c r="J415" s="2" t="n">
        <x:f>IF(AND(ISNUMBER($B$16),$B$16&gt;=2,MOD($B$16,1)=0,OR($N$9=32,$N$9=64,$N$9=128),ISNUMBER($B$11),$B$11&gt;=0,MOD($B$11,1)=0),1,"")</x:f>
        <x:v>1</x:v>
      </x:c>
      <x:c r="K415" s="12" t="n">
        <x:f>IF(AND(ISNUMBER($B$16),$B$16&gt;=2,MOD($B$16,1)=0,OR($N$9=32,$N$9=64,$N$9=128),ISNUMBER($B$11),$B$11&gt;=0,MOD($B$11,1)=0),D415*E415*F415*H415/2^30,"")</x:f>
        <x:v>0.5390625</x:v>
      </x:c>
      <x:c r="L415" s="12" t="n">
        <x:f>IF(AND(ISNUMBER($B$16),$B$16&gt;=2,MOD($B$16,1)=0,OR($N$9=32,$N$9=64,$N$9=128),ISNUMBER($B$11),$B$11&gt;=0,MOD($B$11,1)=0),D415*E415*F415*I415/2^30,"")</x:f>
        <x:v>0.5390625</x:v>
      </x:c>
      <x:c r="M415" s="12" t="n">
        <x:f>IF(AND(ISNUMBER($B$16),$B$16&gt;=2,MOD($B$16,1)=0,OR($N$9=32,$N$9=64,$N$9=128),ISNUMBER($B$11),$B$11&gt;=0,MOD($B$11,1)=0),D415*E415*G415*J415/2^30,"")</x:f>
        <x:v>0.5390625</x:v>
      </x:c>
      <x:c r="N415" s="2"/>
      <x:c r="O415" s="2"/>
      <x:c r="P415" s="2"/>
      <x:c r="Q415" s="2"/>
      <x:c r="R415" s="2"/>
      <x:c r="S415" s="2"/>
      <x:c r="T415" s="2"/>
      <x:c r="U415" s="2"/>
      <x:c r="V415" s="2"/>
      <x:c r="W415" s="2"/>
      <x:c r="X415" s="2"/>
    </x:row>
    <x:row r="416" ht="45" customHeight="1">
      <x:c r="A416" s="29" t="str">
        <x:v>Qwen3.8 2.4T</x:v>
      </x:c>
      <x:c r="B416" s="29" t="n">
        <x:f>$B$16</x:f>
        <x:v>262144</x:v>
      </x:c>
      <x:c r="C416" s="57" t="str">
        <x:v>每请求合计</x:v>
      </x:c>
      <x:c r="D416" s="29"/>
      <x:c r="E416" s="29"/>
      <x:c r="F416" s="29"/>
      <x:c r="G416" s="29"/>
      <x:c r="H416" s="29"/>
      <x:c r="I416" s="29"/>
      <x:c r="J416" s="29"/>
      <x:c r="K416" s="55" t="n">
        <x:f>SUM(K413:K415)</x:f>
        <x:v>46.546783447265625</x:v>
      </x:c>
      <x:c r="L416" s="55" t="n">
        <x:f>SUM(L413:L415)</x:f>
        <x:v>46.546783447265625</x:v>
      </x:c>
      <x:c r="M416" s="55" t="n">
        <x:f>SUM(M413:M415)</x:f>
        <x:v>46.56538391113281</x:v>
      </x:c>
      <x:c r="N416" s="2"/>
      <x:c r="O416" s="2"/>
      <x:c r="P416" s="2"/>
      <x:c r="Q416" s="2"/>
      <x:c r="R416" s="2"/>
      <x:c r="S416" s="2"/>
      <x:c r="T416" s="2"/>
      <x:c r="U416" s="2"/>
      <x:c r="V416" s="2"/>
      <x:c r="W416" s="2"/>
      <x:c r="X416" s="2"/>
    </x:row>
    <x:row r="417" ht="45" customHeight="1">
      <x:c r="A417" s="2" t="str">
        <x:v>Qwen3.8 2.4T</x:v>
      </x:c>
      <x:c r="B417" s="2" t="n">
        <x:f>$B$17</x:f>
        <x:v>1048576</x:v>
      </x:c>
      <x:c r="C417" s="56" t="str">
        <x:v>GQA K+V / BF16 (KV heads replicated)</x:v>
      </x:c>
      <x:c r="D417" s="2" t="n">
        <x:v>23</x:v>
      </x:c>
      <x:c r="E417" s="2" t="n">
        <x:v>1024</x:v>
      </x:c>
      <x:c r="F417" s="2" t="n">
        <x:v>8</x:v>
      </x:c>
      <x:c r="G417" s="2" t="n">
        <x:v>8</x:v>
      </x:c>
      <x:c r="H417" s="2" t="n">
        <x:f>IF(AND(ISNUMBER($B$17),$B$17&gt;=2,MOD($B$17,1)=0,OR($N$9=32,$N$9=64,$N$9=128),ISNUMBER($B$11),$B$11&gt;=0,MOD($B$11,1)=0),INT(($B$17-1)/1),"")</x:f>
        <x:v>1048575</x:v>
      </x:c>
      <x:c r="I417" s="2" t="n">
        <x:f>IF(AND(ISNUMBER($B$17),$B$17&gt;=2,MOD($B$17,1)=0,OR($N$9=32,$N$9=64,$N$9=128),ISNUMBER($B$11),$B$11&gt;=0,MOD($B$11,1)=0),INT(($B$17-1)/1),"")</x:f>
        <x:v>1048575</x:v>
      </x:c>
      <x:c r="J417" s="2" t="n">
        <x:f>IF(AND(ISNUMBER($B$17),$B$17&gt;=2,MOD($B$17,1)=0,OR($N$9=32,$N$9=64,$N$9=128),ISNUMBER($B$11),$B$11&gt;=0,MOD($B$11,1)=0),ROUNDUP(($B$17-1)/(1*$N$9),0)*$N$9,"")</x:f>
        <x:v>1048576</x:v>
      </x:c>
      <x:c r="K417" s="12" t="n">
        <x:f>IF(AND(ISNUMBER($B$17),$B$17&gt;=2,MOD($B$17,1)=0,OR($N$9=32,$N$9=64,$N$9=128),ISNUMBER($B$11),$B$11&gt;=0,MOD($B$11,1)=0),D417*E417*F417*H417/2^30,"")</x:f>
        <x:v>183.99982452392578</x:v>
      </x:c>
      <x:c r="L417" s="12" t="n">
        <x:f>IF(AND(ISNUMBER($B$17),$B$17&gt;=2,MOD($B$17,1)=0,OR($N$9=32,$N$9=64,$N$9=128),ISNUMBER($B$11),$B$11&gt;=0,MOD($B$11,1)=0),D417*E417*F417*I417/2^30,"")</x:f>
        <x:v>183.99982452392578</x:v>
      </x:c>
      <x:c r="M417" s="12" t="n">
        <x:f>IF(AND(ISNUMBER($B$17),$B$17&gt;=2,MOD($B$17,1)=0,OR($N$9=32,$N$9=64,$N$9=128),ISNUMBER($B$11),$B$11&gt;=0,MOD($B$11,1)=0),D417*E417*G417*J417/2^30,"")</x:f>
        <x:v>184</x:v>
      </x:c>
      <x:c r="N417" s="2"/>
      <x:c r="O417" s="2"/>
      <x:c r="P417" s="2"/>
      <x:c r="Q417" s="2"/>
      <x:c r="R417" s="2"/>
      <x:c r="S417" s="2"/>
      <x:c r="T417" s="2"/>
      <x:c r="U417" s="2"/>
      <x:c r="V417" s="2"/>
      <x:c r="W417" s="2"/>
      <x:c r="X417" s="2"/>
    </x:row>
    <x:row r="418" ht="45" customHeight="1">
      <x:c r="A418" s="2" t="str">
        <x:v>Qwen3.8 2.4T</x:v>
      </x:c>
      <x:c r="B418" s="2" t="n">
        <x:f>$B$17</x:f>
        <x:v>1048576</x:v>
      </x:c>
      <x:c r="C418" s="56" t="str">
        <x:v>Conv state / BF16</x:v>
      </x:c>
      <x:c r="D418" s="2" t="n">
        <x:v>69</x:v>
      </x:c>
      <x:c r="E418" s="2" t="n">
        <x:v>5120</x:v>
      </x:c>
      <x:c r="F418" s="2" t="n">
        <x:v>8</x:v>
      </x:c>
      <x:c r="G418" s="2" t="n">
        <x:v>8</x:v>
      </x:c>
      <x:c r="H418" s="2" t="n">
        <x:f>IF(AND(ISNUMBER($B$17),$B$17&gt;=2,MOD($B$17,1)=0,OR($N$9=32,$N$9=64,$N$9=128),ISNUMBER($B$11),$B$11&gt;=0,MOD($B$11,1)=0),MIN(($B$17-1),3),"")</x:f>
        <x:v>3</x:v>
      </x:c>
      <x:c r="I418" s="2" t="n">
        <x:f>IF(AND(ISNUMBER($B$17),$B$17&gt;=2,MOD($B$17,1)=0,OR($N$9=32,$N$9=64,$N$9=128),ISNUMBER($B$11),$B$11&gt;=0,MOD($B$11,1)=0),MIN(($B$17-1),3),"")</x:f>
        <x:v>3</x:v>
      </x:c>
      <x:c r="J418" s="2" t="n">
        <x:f>IF(AND(ISNUMBER($B$17),$B$17&gt;=2,MOD($B$17,1)=0,OR($N$9=32,$N$9=64,$N$9=128),ISNUMBER($B$11),$B$11&gt;=0,MOD($B$11,1)=0),3+$B$11,"")</x:f>
        <x:v>10</x:v>
      </x:c>
      <x:c r="K418" s="12" t="n">
        <x:f>IF(AND(ISNUMBER($B$17),$B$17&gt;=2,MOD($B$17,1)=0,OR($N$9=32,$N$9=64,$N$9=128),ISNUMBER($B$11),$B$11&gt;=0,MOD($B$11,1)=0),D418*E418*F418*H418/2^30,"")</x:f>
        <x:v>0.00789642333984375</x:v>
      </x:c>
      <x:c r="L418" s="12" t="n">
        <x:f>IF(AND(ISNUMBER($B$17),$B$17&gt;=2,MOD($B$17,1)=0,OR($N$9=32,$N$9=64,$N$9=128),ISNUMBER($B$11),$B$11&gt;=0,MOD($B$11,1)=0),D418*E418*F418*I418/2^30,"")</x:f>
        <x:v>0.00789642333984375</x:v>
      </x:c>
      <x:c r="M418" s="12" t="n">
        <x:f>IF(AND(ISNUMBER($B$17),$B$17&gt;=2,MOD($B$17,1)=0,OR($N$9=32,$N$9=64,$N$9=128),ISNUMBER($B$11),$B$11&gt;=0,MOD($B$11,1)=0),D418*E418*G418*J418/2^30,"")</x:f>
        <x:v>0.0263214111328125</x:v>
      </x:c>
      <x:c r="N418" s="2"/>
      <x:c r="O418" s="2"/>
      <x:c r="P418" s="2"/>
      <x:c r="Q418" s="2"/>
      <x:c r="R418" s="2"/>
      <x:c r="S418" s="2"/>
      <x:c r="T418" s="2"/>
      <x:c r="U418" s="2"/>
      <x:c r="V418" s="2"/>
      <x:c r="W418" s="2"/>
      <x:c r="X418" s="2"/>
    </x:row>
    <x:row r="419" ht="45" customHeight="1">
      <x:c r="A419" s="2" t="str">
        <x:v>Qwen3.8 2.4T</x:v>
      </x:c>
      <x:c r="B419" s="2" t="n">
        <x:f>$B$17</x:f>
        <x:v>1048576</x:v>
      </x:c>
      <x:c r="C419" s="56" t="str">
        <x:v>Recurrent state / FP32</x:v>
      </x:c>
      <x:c r="D419" s="2" t="n">
        <x:v>69</x:v>
      </x:c>
      <x:c r="E419" s="2" t="n">
        <x:v>1048576</x:v>
      </x:c>
      <x:c r="F419" s="2" t="n">
        <x:v>8</x:v>
      </x:c>
      <x:c r="G419" s="2" t="n">
        <x:v>8</x:v>
      </x:c>
      <x:c r="H419" s="2" t="n">
        <x:f>IF(AND(ISNUMBER($B$17),$B$17&gt;=2,MOD($B$17,1)=0,OR($N$9=32,$N$9=64,$N$9=128),ISNUMBER($B$11),$B$11&gt;=0,MOD($B$11,1)=0),1,"")</x:f>
        <x:v>1</x:v>
      </x:c>
      <x:c r="I419" s="2" t="n">
        <x:f>IF(AND(ISNUMBER($B$17),$B$17&gt;=2,MOD($B$17,1)=0,OR($N$9=32,$N$9=64,$N$9=128),ISNUMBER($B$11),$B$11&gt;=0,MOD($B$11,1)=0),1,"")</x:f>
        <x:v>1</x:v>
      </x:c>
      <x:c r="J419" s="2" t="n">
        <x:f>IF(AND(ISNUMBER($B$17),$B$17&gt;=2,MOD($B$17,1)=0,OR($N$9=32,$N$9=64,$N$9=128),ISNUMBER($B$11),$B$11&gt;=0,MOD($B$11,1)=0),1,"")</x:f>
        <x:v>1</x:v>
      </x:c>
      <x:c r="K419" s="12" t="n">
        <x:f>IF(AND(ISNUMBER($B$17),$B$17&gt;=2,MOD($B$17,1)=0,OR($N$9=32,$N$9=64,$N$9=128),ISNUMBER($B$11),$B$11&gt;=0,MOD($B$11,1)=0),D419*E419*F419*H419/2^30,"")</x:f>
        <x:v>0.5390625</x:v>
      </x:c>
      <x:c r="L419" s="12" t="n">
        <x:f>IF(AND(ISNUMBER($B$17),$B$17&gt;=2,MOD($B$17,1)=0,OR($N$9=32,$N$9=64,$N$9=128),ISNUMBER($B$11),$B$11&gt;=0,MOD($B$11,1)=0),D419*E419*F419*I419/2^30,"")</x:f>
        <x:v>0.5390625</x:v>
      </x:c>
      <x:c r="M419" s="12" t="n">
        <x:f>IF(AND(ISNUMBER($B$17),$B$17&gt;=2,MOD($B$17,1)=0,OR($N$9=32,$N$9=64,$N$9=128),ISNUMBER($B$11),$B$11&gt;=0,MOD($B$11,1)=0),D419*E419*G419*J419/2^30,"")</x:f>
        <x:v>0.5390625</x:v>
      </x:c>
      <x:c r="N419" s="2"/>
      <x:c r="O419" s="2"/>
      <x:c r="P419" s="2"/>
      <x:c r="Q419" s="2"/>
      <x:c r="R419" s="2"/>
      <x:c r="S419" s="2"/>
      <x:c r="T419" s="2"/>
      <x:c r="U419" s="2"/>
      <x:c r="V419" s="2"/>
      <x:c r="W419" s="2"/>
      <x:c r="X419" s="2"/>
    </x:row>
    <x:row r="420" ht="45" customHeight="1">
      <x:c r="A420" s="29" t="str">
        <x:v>Qwen3.8 2.4T</x:v>
      </x:c>
      <x:c r="B420" s="29" t="n">
        <x:f>$B$17</x:f>
        <x:v>1048576</x:v>
      </x:c>
      <x:c r="C420" s="57" t="str">
        <x:v>每请求合计</x:v>
      </x:c>
      <x:c r="D420" s="29"/>
      <x:c r="E420" s="29"/>
      <x:c r="F420" s="29"/>
      <x:c r="G420" s="29"/>
      <x:c r="H420" s="29"/>
      <x:c r="I420" s="29"/>
      <x:c r="J420" s="29"/>
      <x:c r="K420" s="55" t="n">
        <x:f>SUM(K417:K419)</x:f>
        <x:v>184.54678344726562</x:v>
      </x:c>
      <x:c r="L420" s="55" t="n">
        <x:f>SUM(L417:L419)</x:f>
        <x:v>184.54678344726562</x:v>
      </x:c>
      <x:c r="M420" s="55" t="n">
        <x:f>SUM(M417:M419)</x:f>
        <x:v>184.5653839111328</x:v>
      </x:c>
      <x:c r="N420" s="2"/>
      <x:c r="O420" s="2"/>
      <x:c r="P420" s="2"/>
      <x:c r="Q420" s="2"/>
      <x:c r="R420" s="2"/>
      <x:c r="S420" s="2"/>
      <x:c r="T420" s="2"/>
      <x:c r="U420" s="2"/>
      <x:c r="V420" s="2"/>
      <x:c r="W420" s="2"/>
      <x:c r="X420" s="2"/>
    </x:row>
    <x:row r="421" ht="45" customHeight="1">
      <x:c r="A421" s="2" t="str">
        <x:v>DS V4.1 Flash</x:v>
      </x:c>
      <x:c r="B421" s="2" t="n">
        <x:f>$B$15</x:f>
        <x:v>16384</x:v>
      </x:c>
      <x:c r="C421" s="56" t="str">
        <x:v>SWA KV / BF16</x:v>
      </x:c>
      <x:c r="D421" s="2" t="n">
        <x:v>40</x:v>
      </x:c>
      <x:c r="E421" s="2" t="n">
        <x:v>1024</x:v>
      </x:c>
      <x:c r="F421" s="2" t="n">
        <x:v>8</x:v>
      </x:c>
      <x:c r="G421" s="2" t="n">
        <x:v>1</x:v>
      </x:c>
      <x:c r="H421" s="2" t="n">
        <x:f>IF(AND(ISNUMBER($B$15),$B$15&gt;=2,MOD($B$15,1)=0,OR($N$9=32,$N$9=64,$N$9=128),ISNUMBER($B$11),$B$11&gt;=0,MOD($B$11,1)=0),$B$15,"")</x:f>
        <x:v>16384</x:v>
      </x:c>
      <x:c r="I421" s="2" t="n">
        <x:f>IF(AND(ISNUMBER($B$15),$B$15&gt;=2,MOD($B$15,1)=0,OR($N$9=32,$N$9=64,$N$9=128),ISNUMBER($B$11),$B$11&gt;=0,MOD($B$11,1)=0),MIN($B$15,128),"")</x:f>
        <x:v>128</x:v>
      </x:c>
      <x:c r="J421" s="2" t="n">
        <x:f>IF(AND(ISNUMBER($B$15),$B$15&gt;=2,MOD($B$15,1)=0,OR($N$9=32,$N$9=64,$N$9=128),ISNUMBER($B$11),$B$11&gt;=0,MOD($B$11,1)=0),MIN(ROUNDUP($B$15/$N$9,0),ROUNDUP(128/$N$9,0)+1)*$N$9,"")</x:f>
        <x:v>256</x:v>
      </x:c>
      <x:c r="K421" s="12" t="n">
        <x:f>IF(AND(ISNUMBER($B$15),$B$15&gt;=2,MOD($B$15,1)=0,OR($N$9=32,$N$9=64,$N$9=128),ISNUMBER($B$11),$B$11&gt;=0,MOD($B$11,1)=0),D421*E421*F421*H421/2^30,"")</x:f>
        <x:v>5</x:v>
      </x:c>
      <x:c r="L421" s="12" t="n">
        <x:f>IF(AND(ISNUMBER($B$15),$B$15&gt;=2,MOD($B$15,1)=0,OR($N$9=32,$N$9=64,$N$9=128),ISNUMBER($B$11),$B$11&gt;=0,MOD($B$11,1)=0),D421*E421*F421*I421/2^30,"")</x:f>
        <x:v>0.0390625</x:v>
      </x:c>
      <x:c r="M421" s="12" t="n">
        <x:f>IF(AND(ISNUMBER($B$15),$B$15&gt;=2,MOD($B$15,1)=0,OR($N$9=32,$N$9=64,$N$9=128),ISNUMBER($B$11),$B$11&gt;=0,MOD($B$11,1)=0),D421*E421*G421*J421/2^30,"")</x:f>
        <x:v>0.009765625</x:v>
      </x:c>
      <x:c r="N421" s="2"/>
      <x:c r="O421" s="2"/>
      <x:c r="P421" s="2"/>
      <x:c r="Q421" s="2"/>
      <x:c r="R421" s="2"/>
      <x:c r="S421" s="2"/>
      <x:c r="T421" s="2"/>
      <x:c r="U421" s="2"/>
      <x:c r="V421" s="2"/>
      <x:c r="W421" s="2"/>
      <x:c r="X421" s="2"/>
    </x:row>
    <x:row r="422" ht="45" customHeight="1">
      <x:c r="A422" s="2" t="str">
        <x:v>DS V4.1 Flash</x:v>
      </x:c>
      <x:c r="B422" s="2" t="n">
        <x:f>$B$15</x:f>
        <x:v>16384</x:v>
      </x:c>
      <x:c r="C422" s="56" t="str">
        <x:v>C2 shared KV / BF16</x:v>
      </x:c>
      <x:c r="D422" s="2" t="n">
        <x:v>3</x:v>
      </x:c>
      <x:c r="E422" s="2" t="n">
        <x:v>1024</x:v>
      </x:c>
      <x:c r="F422" s="2" t="n">
        <x:v>8</x:v>
      </x:c>
      <x:c r="G422" s="2" t="n">
        <x:v>1</x:v>
      </x:c>
      <x:c r="H422" s="2" t="n">
        <x:f>IF(AND(ISNUMBER($B$15),$B$15&gt;=2,MOD($B$15,1)=0,OR($N$9=32,$N$9=64,$N$9=128),ISNUMBER($B$11),$B$11&gt;=0,MOD($B$11,1)=0),INT($B$15/2),"")</x:f>
        <x:v>8192</x:v>
      </x:c>
      <x:c r="I422" s="2" t="n">
        <x:f>IF(AND(ISNUMBER($B$15),$B$15&gt;=2,MOD($B$15,1)=0,OR($N$9=32,$N$9=64,$N$9=128),ISNUMBER($B$11),$B$11&gt;=0,MOD($B$11,1)=0),INT($B$15/2),"")</x:f>
        <x:v>8192</x:v>
      </x:c>
      <x:c r="J422" s="2" t="n">
        <x:f>IF(AND(ISNUMBER($B$15),$B$15&gt;=2,MOD($B$15,1)=0,OR($N$9=32,$N$9=64,$N$9=128),ISNUMBER($B$11),$B$11&gt;=0,MOD($B$11,1)=0),ROUNDUP(INT($B$15/2)/($N$9/2),0)*($N$9/2),"")</x:f>
        <x:v>8192</x:v>
      </x:c>
      <x:c r="K422" s="12" t="n">
        <x:f>IF(AND(ISNUMBER($B$15),$B$15&gt;=2,MOD($B$15,1)=0,OR($N$9=32,$N$9=64,$N$9=128),ISNUMBER($B$11),$B$11&gt;=0,MOD($B$11,1)=0),D422*E422*F422*H422/2^30,"")</x:f>
        <x:v>0.1875</x:v>
      </x:c>
      <x:c r="L422" s="12" t="n">
        <x:f>IF(AND(ISNUMBER($B$15),$B$15&gt;=2,MOD($B$15,1)=0,OR($N$9=32,$N$9=64,$N$9=128),ISNUMBER($B$11),$B$11&gt;=0,MOD($B$11,1)=0),D422*E422*F422*I422/2^30,"")</x:f>
        <x:v>0.1875</x:v>
      </x:c>
      <x:c r="M422" s="12" t="n">
        <x:f>IF(AND(ISNUMBER($B$15),$B$15&gt;=2,MOD($B$15,1)=0,OR($N$9=32,$N$9=64,$N$9=128),ISNUMBER($B$11),$B$11&gt;=0,MOD($B$11,1)=0),D422*E422*G422*J422/2^30,"")</x:f>
        <x:v>0.0234375</x:v>
      </x:c>
      <x:c r="N422" s="2"/>
      <x:c r="O422" s="2"/>
      <x:c r="P422" s="2"/>
      <x:c r="Q422" s="2"/>
      <x:c r="R422" s="2"/>
      <x:c r="S422" s="2"/>
      <x:c r="T422" s="2"/>
      <x:c r="U422" s="2"/>
      <x:c r="V422" s="2"/>
      <x:c r="W422" s="2"/>
      <x:c r="X422" s="2"/>
    </x:row>
    <x:row r="423" ht="45" customHeight="1">
      <x:c r="A423" s="2" t="str">
        <x:v>DS V4.1 Flash</x:v>
      </x:c>
      <x:c r="B423" s="2" t="n">
        <x:f>$B$15</x:f>
        <x:v>16384</x:v>
      </x:c>
      <x:c r="C423" s="56" t="str">
        <x:v>C2 shared Indexer / INT8 + FP16 scale</x:v>
      </x:c>
      <x:c r="D423" s="2" t="n">
        <x:v>3</x:v>
      </x:c>
      <x:c r="E423" s="2" t="n">
        <x:v>130</x:v>
      </x:c>
      <x:c r="F423" s="2" t="n">
        <x:v>8</x:v>
      </x:c>
      <x:c r="G423" s="2" t="n">
        <x:v>1</x:v>
      </x:c>
      <x:c r="H423" s="2" t="n">
        <x:f>IF(AND(ISNUMBER($B$15),$B$15&gt;=2,MOD($B$15,1)=0,OR($N$9=32,$N$9=64,$N$9=128),ISNUMBER($B$11),$B$11&gt;=0,MOD($B$11,1)=0),INT($B$15/2),"")</x:f>
        <x:v>8192</x:v>
      </x:c>
      <x:c r="I423" s="2" t="n">
        <x:f>IF(AND(ISNUMBER($B$15),$B$15&gt;=2,MOD($B$15,1)=0,OR($N$9=32,$N$9=64,$N$9=128),ISNUMBER($B$11),$B$11&gt;=0,MOD($B$11,1)=0),INT($B$15/2),"")</x:f>
        <x:v>8192</x:v>
      </x:c>
      <x:c r="J423" s="2" t="n">
        <x:f>IF(AND(ISNUMBER($B$15),$B$15&gt;=2,MOD($B$15,1)=0,OR($N$9=32,$N$9=64,$N$9=128),ISNUMBER($B$11),$B$11&gt;=0,MOD($B$11,1)=0),ROUNDUP(INT($B$15/2)/($N$9/2),0)*($N$9/2),"")</x:f>
        <x:v>8192</x:v>
      </x:c>
      <x:c r="K423" s="12" t="n">
        <x:f>IF(AND(ISNUMBER($B$15),$B$15&gt;=2,MOD($B$15,1)=0,OR($N$9=32,$N$9=64,$N$9=128),ISNUMBER($B$11),$B$11&gt;=0,MOD($B$11,1)=0),D423*E423*F423*H423/2^30,"")</x:f>
        <x:v>0.0238037109375</x:v>
      </x:c>
      <x:c r="L423" s="12" t="n">
        <x:f>IF(AND(ISNUMBER($B$15),$B$15&gt;=2,MOD($B$15,1)=0,OR($N$9=32,$N$9=64,$N$9=128),ISNUMBER($B$11),$B$11&gt;=0,MOD($B$11,1)=0),D423*E423*F423*I423/2^30,"")</x:f>
        <x:v>0.0238037109375</x:v>
      </x:c>
      <x:c r="M423" s="12" t="n">
        <x:f>IF(AND(ISNUMBER($B$15),$B$15&gt;=2,MOD($B$15,1)=0,OR($N$9=32,$N$9=64,$N$9=128),ISNUMBER($B$11),$B$11&gt;=0,MOD($B$11,1)=0),D423*E423*G423*J423/2^30,"")</x:f>
        <x:v>0.0029754638671875</x:v>
      </x:c>
      <x:c r="N423" s="2"/>
      <x:c r="O423" s="2"/>
      <x:c r="P423" s="2"/>
      <x:c r="Q423" s="2"/>
      <x:c r="R423" s="2"/>
      <x:c r="S423" s="2"/>
      <x:c r="T423" s="2"/>
      <x:c r="U423" s="2"/>
      <x:c r="V423" s="2"/>
      <x:c r="W423" s="2"/>
      <x:c r="X423" s="2"/>
    </x:row>
    <x:row r="424" ht="45" customHeight="1">
      <x:c r="A424" s="2" t="str">
        <x:v>DS V4.1 Flash</x:v>
      </x:c>
      <x:c r="B424" s="2" t="n">
        <x:f>$B$15</x:f>
        <x:v>16384</x:v>
      </x:c>
      <x:c r="C424" s="56" t="str">
        <x:v>C1 shared KV / BF16</x:v>
      </x:c>
      <x:c r="D424" s="2" t="n">
        <x:v>1</x:v>
      </x:c>
      <x:c r="E424" s="2" t="n">
        <x:v>1024</x:v>
      </x:c>
      <x:c r="F424" s="2" t="n">
        <x:v>8</x:v>
      </x:c>
      <x:c r="G424" s="2" t="n">
        <x:v>1</x:v>
      </x:c>
      <x:c r="H424" s="2" t="n">
        <x:f>IF(AND(ISNUMBER($B$15),$B$15&gt;=2,MOD($B$15,1)=0,OR($N$9=32,$N$9=64,$N$9=128),ISNUMBER($B$11),$B$11&gt;=0,MOD($B$11,1)=0),INT($B$15/1),"")</x:f>
        <x:v>16384</x:v>
      </x:c>
      <x:c r="I424" s="2" t="n">
        <x:f>IF(AND(ISNUMBER($B$15),$B$15&gt;=2,MOD($B$15,1)=0,OR($N$9=32,$N$9=64,$N$9=128),ISNUMBER($B$11),$B$11&gt;=0,MOD($B$11,1)=0),INT($B$15/1),"")</x:f>
        <x:v>16384</x:v>
      </x:c>
      <x:c r="J424" s="2" t="n">
        <x:f>IF(AND(ISNUMBER($B$15),$B$15&gt;=2,MOD($B$15,1)=0,OR($N$9=32,$N$9=64,$N$9=128),ISNUMBER($B$11),$B$11&gt;=0,MOD($B$11,1)=0),ROUNDUP(INT($B$15/1)/($N$9/1),0)*($N$9/1),"")</x:f>
        <x:v>16384</x:v>
      </x:c>
      <x:c r="K424" s="12" t="n">
        <x:f>IF(AND(ISNUMBER($B$15),$B$15&gt;=2,MOD($B$15,1)=0,OR($N$9=32,$N$9=64,$N$9=128),ISNUMBER($B$11),$B$11&gt;=0,MOD($B$11,1)=0),D424*E424*F424*H424/2^30,"")</x:f>
        <x:v>0.125</x:v>
      </x:c>
      <x:c r="L424" s="12" t="n">
        <x:f>IF(AND(ISNUMBER($B$15),$B$15&gt;=2,MOD($B$15,1)=0,OR($N$9=32,$N$9=64,$N$9=128),ISNUMBER($B$11),$B$11&gt;=0,MOD($B$11,1)=0),D424*E424*F424*I424/2^30,"")</x:f>
        <x:v>0.125</x:v>
      </x:c>
      <x:c r="M424" s="12" t="n">
        <x:f>IF(AND(ISNUMBER($B$15),$B$15&gt;=2,MOD($B$15,1)=0,OR($N$9=32,$N$9=64,$N$9=128),ISNUMBER($B$11),$B$11&gt;=0,MOD($B$11,1)=0),D424*E424*G424*J424/2^30,"")</x:f>
        <x:v>0.015625</x:v>
      </x:c>
      <x:c r="N424" s="2"/>
      <x:c r="O424" s="2"/>
      <x:c r="P424" s="2"/>
      <x:c r="Q424" s="2"/>
      <x:c r="R424" s="2"/>
      <x:c r="S424" s="2"/>
      <x:c r="T424" s="2"/>
      <x:c r="U424" s="2"/>
      <x:c r="V424" s="2"/>
      <x:c r="W424" s="2"/>
      <x:c r="X424" s="2"/>
    </x:row>
    <x:row r="425" ht="45" customHeight="1">
      <x:c r="A425" s="2" t="str">
        <x:v>DS V4.1 Flash</x:v>
      </x:c>
      <x:c r="B425" s="2" t="n">
        <x:f>$B$15</x:f>
        <x:v>16384</x:v>
      </x:c>
      <x:c r="C425" s="56" t="str">
        <x:v>C1 shared Indexer / INT8 + FP16 scale</x:v>
      </x:c>
      <x:c r="D425" s="2" t="n">
        <x:v>1</x:v>
      </x:c>
      <x:c r="E425" s="2" t="n">
        <x:v>130</x:v>
      </x:c>
      <x:c r="F425" s="2" t="n">
        <x:v>8</x:v>
      </x:c>
      <x:c r="G425" s="2" t="n">
        <x:v>1</x:v>
      </x:c>
      <x:c r="H425" s="2" t="n">
        <x:f>IF(AND(ISNUMBER($B$15),$B$15&gt;=2,MOD($B$15,1)=0,OR($N$9=32,$N$9=64,$N$9=128),ISNUMBER($B$11),$B$11&gt;=0,MOD($B$11,1)=0),INT($B$15/1),"")</x:f>
        <x:v>16384</x:v>
      </x:c>
      <x:c r="I425" s="2" t="n">
        <x:f>IF(AND(ISNUMBER($B$15),$B$15&gt;=2,MOD($B$15,1)=0,OR($N$9=32,$N$9=64,$N$9=128),ISNUMBER($B$11),$B$11&gt;=0,MOD($B$11,1)=0),INT($B$15/1),"")</x:f>
        <x:v>16384</x:v>
      </x:c>
      <x:c r="J425" s="2" t="n">
        <x:f>IF(AND(ISNUMBER($B$15),$B$15&gt;=2,MOD($B$15,1)=0,OR($N$9=32,$N$9=64,$N$9=128),ISNUMBER($B$11),$B$11&gt;=0,MOD($B$11,1)=0),ROUNDUP(INT($B$15/1)/($N$9/1),0)*($N$9/1),"")</x:f>
        <x:v>16384</x:v>
      </x:c>
      <x:c r="K425" s="12" t="n">
        <x:f>IF(AND(ISNUMBER($B$15),$B$15&gt;=2,MOD($B$15,1)=0,OR($N$9=32,$N$9=64,$N$9=128),ISNUMBER($B$11),$B$11&gt;=0,MOD($B$11,1)=0),D425*E425*F425*H425/2^30,"")</x:f>
        <x:v>0.015869140625</x:v>
      </x:c>
      <x:c r="L425" s="12" t="n">
        <x:f>IF(AND(ISNUMBER($B$15),$B$15&gt;=2,MOD($B$15,1)=0,OR($N$9=32,$N$9=64,$N$9=128),ISNUMBER($B$11),$B$11&gt;=0,MOD($B$11,1)=0),D425*E425*F425*I425/2^30,"")</x:f>
        <x:v>0.015869140625</x:v>
      </x:c>
      <x:c r="M425" s="12" t="n">
        <x:f>IF(AND(ISNUMBER($B$15),$B$15&gt;=2,MOD($B$15,1)=0,OR($N$9=32,$N$9=64,$N$9=128),ISNUMBER($B$11),$B$11&gt;=0,MOD($B$11,1)=0),D425*E425*G425*J425/2^30,"")</x:f>
        <x:v>0.001983642578125</x:v>
      </x:c>
      <x:c r="N425" s="2"/>
      <x:c r="O425" s="2"/>
      <x:c r="P425" s="2"/>
      <x:c r="Q425" s="2"/>
      <x:c r="R425" s="2"/>
      <x:c r="S425" s="2"/>
      <x:c r="T425" s="2"/>
      <x:c r="U425" s="2"/>
      <x:c r="V425" s="2"/>
      <x:c r="W425" s="2"/>
      <x:c r="X425" s="2"/>
    </x:row>
    <x:row r="426" ht="45" customHeight="1">
      <x:c r="A426" s="2" t="str">
        <x:v>DS V4.1 Flash</x:v>
      </x:c>
      <x:c r="B426" s="2" t="n">
        <x:f>$B$15</x:f>
        <x:v>16384</x:v>
      </x:c>
      <x:c r="C426" s="56" t="str">
        <x:v>C2 circular ring / FP32 KV+score</x:v>
      </x:c>
      <x:c r="D426" s="2" t="n">
        <x:v>3</x:v>
      </x:c>
      <x:c r="E426" s="2" t="n">
        <x:v>4096</x:v>
      </x:c>
      <x:c r="F426" s="2" t="n">
        <x:v>8</x:v>
      </x:c>
      <x:c r="G426" s="2" t="n">
        <x:v>1</x:v>
      </x:c>
      <x:c r="H426" s="2" t="n">
        <x:f>IF(AND(ISNUMBER($B$15),$B$15&gt;=2,MOD($B$15,1)=0,OR($N$9=32,$N$9=64,$N$9=128),ISNUMBER($B$11),$B$11&gt;=0,MOD($B$11,1)=0),MIN($B$15,32),"")</x:f>
        <x:v>32</x:v>
      </x:c>
      <x:c r="I426" s="2" t="n">
        <x:f>IF(AND(ISNUMBER($B$15),$B$15&gt;=2,MOD($B$15,1)=0,OR($N$9=32,$N$9=64,$N$9=128),ISNUMBER($B$11),$B$11&gt;=0,MOD($B$11,1)=0),MIN($B$15,32),"")</x:f>
        <x:v>32</x:v>
      </x:c>
      <x:c r="J426" s="2" t="n">
        <x:f>IF(AND(ISNUMBER($B$15),$B$15&gt;=2,MOD($B$15,1)=0,OR($N$9=32,$N$9=64,$N$9=128),ISNUMBER($B$11),$B$11&gt;=0,MOD($B$11,1)=0),32,"")</x:f>
        <x:v>32</x:v>
      </x:c>
      <x:c r="K426" s="12" t="n">
        <x:f>IF(AND(ISNUMBER($B$15),$B$15&gt;=2,MOD($B$15,1)=0,OR($N$9=32,$N$9=64,$N$9=128),ISNUMBER($B$11),$B$11&gt;=0,MOD($B$11,1)=0),D426*E426*F426*H426/2^30,"")</x:f>
        <x:v>0.0029296875</x:v>
      </x:c>
      <x:c r="L426" s="12" t="n">
        <x:f>IF(AND(ISNUMBER($B$15),$B$15&gt;=2,MOD($B$15,1)=0,OR($N$9=32,$N$9=64,$N$9=128),ISNUMBER($B$11),$B$11&gt;=0,MOD($B$11,1)=0),D426*E426*F426*I426/2^30,"")</x:f>
        <x:v>0.0029296875</x:v>
      </x:c>
      <x:c r="M426" s="12" t="n">
        <x:f>IF(AND(ISNUMBER($B$15),$B$15&gt;=2,MOD($B$15,1)=0,OR($N$9=32,$N$9=64,$N$9=128),ISNUMBER($B$11),$B$11&gt;=0,MOD($B$11,1)=0),D426*E426*G426*J426/2^30,"")</x:f>
        <x:v>0.0003662109375</x:v>
      </x:c>
      <x:c r="N426" s="2"/>
      <x:c r="O426" s="2"/>
      <x:c r="P426" s="2"/>
      <x:c r="Q426" s="2"/>
      <x:c r="R426" s="2"/>
      <x:c r="S426" s="2"/>
      <x:c r="T426" s="2"/>
      <x:c r="U426" s="2"/>
      <x:c r="V426" s="2"/>
      <x:c r="W426" s="2"/>
      <x:c r="X426" s="2"/>
    </x:row>
    <x:row r="427" ht="45" customHeight="1">
      <x:c r="A427" s="29" t="str">
        <x:v>DS V4.1 Flash</x:v>
      </x:c>
      <x:c r="B427" s="29" t="n">
        <x:f>$B$15</x:f>
        <x:v>16384</x:v>
      </x:c>
      <x:c r="C427" s="57" t="str">
        <x:v>每请求合计</x:v>
      </x:c>
      <x:c r="D427" s="29"/>
      <x:c r="E427" s="29"/>
      <x:c r="F427" s="29"/>
      <x:c r="G427" s="29"/>
      <x:c r="H427" s="29"/>
      <x:c r="I427" s="29"/>
      <x:c r="J427" s="29"/>
      <x:c r="K427" s="55" t="n">
        <x:f>SUM(K421:K426)</x:f>
        <x:v>5.3551025390625</x:v>
      </x:c>
      <x:c r="L427" s="55" t="n">
        <x:f>SUM(L421:L426)</x:f>
        <x:v>0.3941650390625</x:v>
      </x:c>
      <x:c r="M427" s="55" t="n">
        <x:f>SUM(M421:M426)</x:f>
        <x:v>0.0541534423828125</x:v>
      </x:c>
      <x:c r="N427" s="2"/>
      <x:c r="O427" s="2"/>
      <x:c r="P427" s="2"/>
      <x:c r="Q427" s="2"/>
      <x:c r="R427" s="2"/>
      <x:c r="S427" s="2"/>
      <x:c r="T427" s="2"/>
      <x:c r="U427" s="2"/>
      <x:c r="V427" s="2"/>
      <x:c r="W427" s="2"/>
      <x:c r="X427" s="2"/>
    </x:row>
    <x:row r="428" ht="45" customHeight="1">
      <x:c r="A428" s="2" t="str">
        <x:v>DS V4.1 Flash</x:v>
      </x:c>
      <x:c r="B428" s="2" t="n">
        <x:f>$B$16</x:f>
        <x:v>262144</x:v>
      </x:c>
      <x:c r="C428" s="56" t="str">
        <x:v>SWA KV / BF16</x:v>
      </x:c>
      <x:c r="D428" s="2" t="n">
        <x:v>40</x:v>
      </x:c>
      <x:c r="E428" s="2" t="n">
        <x:v>1024</x:v>
      </x:c>
      <x:c r="F428" s="2" t="n">
        <x:v>8</x:v>
      </x:c>
      <x:c r="G428" s="2" t="n">
        <x:v>1</x:v>
      </x:c>
      <x:c r="H428" s="2" t="n">
        <x:f>IF(AND(ISNUMBER($B$16),$B$16&gt;=2,MOD($B$16,1)=0,OR($N$9=32,$N$9=64,$N$9=128),ISNUMBER($B$11),$B$11&gt;=0,MOD($B$11,1)=0),$B$16,"")</x:f>
        <x:v>262144</x:v>
      </x:c>
      <x:c r="I428" s="2" t="n">
        <x:f>IF(AND(ISNUMBER($B$16),$B$16&gt;=2,MOD($B$16,1)=0,OR($N$9=32,$N$9=64,$N$9=128),ISNUMBER($B$11),$B$11&gt;=0,MOD($B$11,1)=0),MIN($B$16,128),"")</x:f>
        <x:v>128</x:v>
      </x:c>
      <x:c r="J428" s="2" t="n">
        <x:f>IF(AND(ISNUMBER($B$16),$B$16&gt;=2,MOD($B$16,1)=0,OR($N$9=32,$N$9=64,$N$9=128),ISNUMBER($B$11),$B$11&gt;=0,MOD($B$11,1)=0),MIN(ROUNDUP($B$16/$N$9,0),ROUNDUP(128/$N$9,0)+1)*$N$9,"")</x:f>
        <x:v>256</x:v>
      </x:c>
      <x:c r="K428" s="12" t="n">
        <x:f>IF(AND(ISNUMBER($B$16),$B$16&gt;=2,MOD($B$16,1)=0,OR($N$9=32,$N$9=64,$N$9=128),ISNUMBER($B$11),$B$11&gt;=0,MOD($B$11,1)=0),D428*E428*F428*H428/2^30,"")</x:f>
        <x:v>80</x:v>
      </x:c>
      <x:c r="L428" s="12" t="n">
        <x:f>IF(AND(ISNUMBER($B$16),$B$16&gt;=2,MOD($B$16,1)=0,OR($N$9=32,$N$9=64,$N$9=128),ISNUMBER($B$11),$B$11&gt;=0,MOD($B$11,1)=0),D428*E428*F428*I428/2^30,"")</x:f>
        <x:v>0.0390625</x:v>
      </x:c>
      <x:c r="M428" s="12" t="n">
        <x:f>IF(AND(ISNUMBER($B$16),$B$16&gt;=2,MOD($B$16,1)=0,OR($N$9=32,$N$9=64,$N$9=128),ISNUMBER($B$11),$B$11&gt;=0,MOD($B$11,1)=0),D428*E428*G428*J428/2^30,"")</x:f>
        <x:v>0.009765625</x:v>
      </x:c>
      <x:c r="N428" s="2"/>
      <x:c r="O428" s="2"/>
      <x:c r="P428" s="2"/>
      <x:c r="Q428" s="2"/>
      <x:c r="R428" s="2"/>
      <x:c r="S428" s="2"/>
      <x:c r="T428" s="2"/>
      <x:c r="U428" s="2"/>
      <x:c r="V428" s="2"/>
      <x:c r="W428" s="2"/>
      <x:c r="X428" s="2"/>
    </x:row>
    <x:row r="429" ht="45" customHeight="1">
      <x:c r="A429" s="2" t="str">
        <x:v>DS V4.1 Flash</x:v>
      </x:c>
      <x:c r="B429" s="2" t="n">
        <x:f>$B$16</x:f>
        <x:v>262144</x:v>
      </x:c>
      <x:c r="C429" s="56" t="str">
        <x:v>C2 shared KV / BF16</x:v>
      </x:c>
      <x:c r="D429" s="2" t="n">
        <x:v>3</x:v>
      </x:c>
      <x:c r="E429" s="2" t="n">
        <x:v>1024</x:v>
      </x:c>
      <x:c r="F429" s="2" t="n">
        <x:v>8</x:v>
      </x:c>
      <x:c r="G429" s="2" t="n">
        <x:v>1</x:v>
      </x:c>
      <x:c r="H429" s="2" t="n">
        <x:f>IF(AND(ISNUMBER($B$16),$B$16&gt;=2,MOD($B$16,1)=0,OR($N$9=32,$N$9=64,$N$9=128),ISNUMBER($B$11),$B$11&gt;=0,MOD($B$11,1)=0),INT($B$16/2),"")</x:f>
        <x:v>131072</x:v>
      </x:c>
      <x:c r="I429" s="2" t="n">
        <x:f>IF(AND(ISNUMBER($B$16),$B$16&gt;=2,MOD($B$16,1)=0,OR($N$9=32,$N$9=64,$N$9=128),ISNUMBER($B$11),$B$11&gt;=0,MOD($B$11,1)=0),INT($B$16/2),"")</x:f>
        <x:v>131072</x:v>
      </x:c>
      <x:c r="J429" s="2" t="n">
        <x:f>IF(AND(ISNUMBER($B$16),$B$16&gt;=2,MOD($B$16,1)=0,OR($N$9=32,$N$9=64,$N$9=128),ISNUMBER($B$11),$B$11&gt;=0,MOD($B$11,1)=0),ROUNDUP(INT($B$16/2)/($N$9/2),0)*($N$9/2),"")</x:f>
        <x:v>131072</x:v>
      </x:c>
      <x:c r="K429" s="12" t="n">
        <x:f>IF(AND(ISNUMBER($B$16),$B$16&gt;=2,MOD($B$16,1)=0,OR($N$9=32,$N$9=64,$N$9=128),ISNUMBER($B$11),$B$11&gt;=0,MOD($B$11,1)=0),D429*E429*F429*H429/2^30,"")</x:f>
        <x:v>3</x:v>
      </x:c>
      <x:c r="L429" s="12" t="n">
        <x:f>IF(AND(ISNUMBER($B$16),$B$16&gt;=2,MOD($B$16,1)=0,OR($N$9=32,$N$9=64,$N$9=128),ISNUMBER($B$11),$B$11&gt;=0,MOD($B$11,1)=0),D429*E429*F429*I429/2^30,"")</x:f>
        <x:v>3</x:v>
      </x:c>
      <x:c r="M429" s="12" t="n">
        <x:f>IF(AND(ISNUMBER($B$16),$B$16&gt;=2,MOD($B$16,1)=0,OR($N$9=32,$N$9=64,$N$9=128),ISNUMBER($B$11),$B$11&gt;=0,MOD($B$11,1)=0),D429*E429*G429*J429/2^30,"")</x:f>
        <x:v>0.375</x:v>
      </x:c>
      <x:c r="N429" s="2"/>
      <x:c r="O429" s="2"/>
      <x:c r="P429" s="2"/>
      <x:c r="Q429" s="2"/>
      <x:c r="R429" s="2"/>
      <x:c r="S429" s="2"/>
      <x:c r="T429" s="2"/>
      <x:c r="U429" s="2"/>
      <x:c r="V429" s="2"/>
      <x:c r="W429" s="2"/>
      <x:c r="X429" s="2"/>
    </x:row>
    <x:row r="430" ht="45" customHeight="1">
      <x:c r="A430" s="2" t="str">
        <x:v>DS V4.1 Flash</x:v>
      </x:c>
      <x:c r="B430" s="2" t="n">
        <x:f>$B$16</x:f>
        <x:v>262144</x:v>
      </x:c>
      <x:c r="C430" s="56" t="str">
        <x:v>C2 shared Indexer / INT8 + FP16 scale</x:v>
      </x:c>
      <x:c r="D430" s="2" t="n">
        <x:v>3</x:v>
      </x:c>
      <x:c r="E430" s="2" t="n">
        <x:v>130</x:v>
      </x:c>
      <x:c r="F430" s="2" t="n">
        <x:v>8</x:v>
      </x:c>
      <x:c r="G430" s="2" t="n">
        <x:v>1</x:v>
      </x:c>
      <x:c r="H430" s="2" t="n">
        <x:f>IF(AND(ISNUMBER($B$16),$B$16&gt;=2,MOD($B$16,1)=0,OR($N$9=32,$N$9=64,$N$9=128),ISNUMBER($B$11),$B$11&gt;=0,MOD($B$11,1)=0),INT($B$16/2),"")</x:f>
        <x:v>131072</x:v>
      </x:c>
      <x:c r="I430" s="2" t="n">
        <x:f>IF(AND(ISNUMBER($B$16),$B$16&gt;=2,MOD($B$16,1)=0,OR($N$9=32,$N$9=64,$N$9=128),ISNUMBER($B$11),$B$11&gt;=0,MOD($B$11,1)=0),INT($B$16/2),"")</x:f>
        <x:v>131072</x:v>
      </x:c>
      <x:c r="J430" s="2" t="n">
        <x:f>IF(AND(ISNUMBER($B$16),$B$16&gt;=2,MOD($B$16,1)=0,OR($N$9=32,$N$9=64,$N$9=128),ISNUMBER($B$11),$B$11&gt;=0,MOD($B$11,1)=0),ROUNDUP(INT($B$16/2)/($N$9/2),0)*($N$9/2),"")</x:f>
        <x:v>131072</x:v>
      </x:c>
      <x:c r="K430" s="12" t="n">
        <x:f>IF(AND(ISNUMBER($B$16),$B$16&gt;=2,MOD($B$16,1)=0,OR($N$9=32,$N$9=64,$N$9=128),ISNUMBER($B$11),$B$11&gt;=0,MOD($B$11,1)=0),D430*E430*F430*H430/2^30,"")</x:f>
        <x:v>0.380859375</x:v>
      </x:c>
      <x:c r="L430" s="12" t="n">
        <x:f>IF(AND(ISNUMBER($B$16),$B$16&gt;=2,MOD($B$16,1)=0,OR($N$9=32,$N$9=64,$N$9=128),ISNUMBER($B$11),$B$11&gt;=0,MOD($B$11,1)=0),D430*E430*F430*I430/2^30,"")</x:f>
        <x:v>0.380859375</x:v>
      </x:c>
      <x:c r="M430" s="12" t="n">
        <x:f>IF(AND(ISNUMBER($B$16),$B$16&gt;=2,MOD($B$16,1)=0,OR($N$9=32,$N$9=64,$N$9=128),ISNUMBER($B$11),$B$11&gt;=0,MOD($B$11,1)=0),D430*E430*G430*J430/2^30,"")</x:f>
        <x:v>0.047607421875</x:v>
      </x:c>
      <x:c r="N430" s="2"/>
      <x:c r="O430" s="2"/>
      <x:c r="P430" s="2"/>
      <x:c r="Q430" s="2"/>
      <x:c r="R430" s="2"/>
      <x:c r="S430" s="2"/>
      <x:c r="T430" s="2"/>
      <x:c r="U430" s="2"/>
      <x:c r="V430" s="2"/>
      <x:c r="W430" s="2"/>
      <x:c r="X430" s="2"/>
    </x:row>
    <x:row r="431" ht="45" customHeight="1">
      <x:c r="A431" s="2" t="str">
        <x:v>DS V4.1 Flash</x:v>
      </x:c>
      <x:c r="B431" s="2" t="n">
        <x:f>$B$16</x:f>
        <x:v>262144</x:v>
      </x:c>
      <x:c r="C431" s="56" t="str">
        <x:v>C1 shared KV / BF16</x:v>
      </x:c>
      <x:c r="D431" s="2" t="n">
        <x:v>1</x:v>
      </x:c>
      <x:c r="E431" s="2" t="n">
        <x:v>1024</x:v>
      </x:c>
      <x:c r="F431" s="2" t="n">
        <x:v>8</x:v>
      </x:c>
      <x:c r="G431" s="2" t="n">
        <x:v>1</x:v>
      </x:c>
      <x:c r="H431" s="2" t="n">
        <x:f>IF(AND(ISNUMBER($B$16),$B$16&gt;=2,MOD($B$16,1)=0,OR($N$9=32,$N$9=64,$N$9=128),ISNUMBER($B$11),$B$11&gt;=0,MOD($B$11,1)=0),INT($B$16/1),"")</x:f>
        <x:v>262144</x:v>
      </x:c>
      <x:c r="I431" s="2" t="n">
        <x:f>IF(AND(ISNUMBER($B$16),$B$16&gt;=2,MOD($B$16,1)=0,OR($N$9=32,$N$9=64,$N$9=128),ISNUMBER($B$11),$B$11&gt;=0,MOD($B$11,1)=0),INT($B$16/1),"")</x:f>
        <x:v>262144</x:v>
      </x:c>
      <x:c r="J431" s="2" t="n">
        <x:f>IF(AND(ISNUMBER($B$16),$B$16&gt;=2,MOD($B$16,1)=0,OR($N$9=32,$N$9=64,$N$9=128),ISNUMBER($B$11),$B$11&gt;=0,MOD($B$11,1)=0),ROUNDUP(INT($B$16/1)/($N$9/1),0)*($N$9/1),"")</x:f>
        <x:v>262144</x:v>
      </x:c>
      <x:c r="K431" s="12" t="n">
        <x:f>IF(AND(ISNUMBER($B$16),$B$16&gt;=2,MOD($B$16,1)=0,OR($N$9=32,$N$9=64,$N$9=128),ISNUMBER($B$11),$B$11&gt;=0,MOD($B$11,1)=0),D431*E431*F431*H431/2^30,"")</x:f>
        <x:v>2</x:v>
      </x:c>
      <x:c r="L431" s="12" t="n">
        <x:f>IF(AND(ISNUMBER($B$16),$B$16&gt;=2,MOD($B$16,1)=0,OR($N$9=32,$N$9=64,$N$9=128),ISNUMBER($B$11),$B$11&gt;=0,MOD($B$11,1)=0),D431*E431*F431*I431/2^30,"")</x:f>
        <x:v>2</x:v>
      </x:c>
      <x:c r="M431" s="12" t="n">
        <x:f>IF(AND(ISNUMBER($B$16),$B$16&gt;=2,MOD($B$16,1)=0,OR($N$9=32,$N$9=64,$N$9=128),ISNUMBER($B$11),$B$11&gt;=0,MOD($B$11,1)=0),D431*E431*G431*J431/2^30,"")</x:f>
        <x:v>0.25</x:v>
      </x:c>
      <x:c r="N431" s="2"/>
      <x:c r="O431" s="2"/>
      <x:c r="P431" s="2"/>
      <x:c r="Q431" s="2"/>
      <x:c r="R431" s="2"/>
      <x:c r="S431" s="2"/>
      <x:c r="T431" s="2"/>
      <x:c r="U431" s="2"/>
      <x:c r="V431" s="2"/>
      <x:c r="W431" s="2"/>
      <x:c r="X431" s="2"/>
    </x:row>
    <x:row r="432" ht="45" customHeight="1">
      <x:c r="A432" s="2" t="str">
        <x:v>DS V4.1 Flash</x:v>
      </x:c>
      <x:c r="B432" s="2" t="n">
        <x:f>$B$16</x:f>
        <x:v>262144</x:v>
      </x:c>
      <x:c r="C432" s="56" t="str">
        <x:v>C1 shared Indexer / INT8 + FP16 scale</x:v>
      </x:c>
      <x:c r="D432" s="2" t="n">
        <x:v>1</x:v>
      </x:c>
      <x:c r="E432" s="2" t="n">
        <x:v>130</x:v>
      </x:c>
      <x:c r="F432" s="2" t="n">
        <x:v>8</x:v>
      </x:c>
      <x:c r="G432" s="2" t="n">
        <x:v>1</x:v>
      </x:c>
      <x:c r="H432" s="2" t="n">
        <x:f>IF(AND(ISNUMBER($B$16),$B$16&gt;=2,MOD($B$16,1)=0,OR($N$9=32,$N$9=64,$N$9=128),ISNUMBER($B$11),$B$11&gt;=0,MOD($B$11,1)=0),INT($B$16/1),"")</x:f>
        <x:v>262144</x:v>
      </x:c>
      <x:c r="I432" s="2" t="n">
        <x:f>IF(AND(ISNUMBER($B$16),$B$16&gt;=2,MOD($B$16,1)=0,OR($N$9=32,$N$9=64,$N$9=128),ISNUMBER($B$11),$B$11&gt;=0,MOD($B$11,1)=0),INT($B$16/1),"")</x:f>
        <x:v>262144</x:v>
      </x:c>
      <x:c r="J432" s="2" t="n">
        <x:f>IF(AND(ISNUMBER($B$16),$B$16&gt;=2,MOD($B$16,1)=0,OR($N$9=32,$N$9=64,$N$9=128),ISNUMBER($B$11),$B$11&gt;=0,MOD($B$11,1)=0),ROUNDUP(INT($B$16/1)/($N$9/1),0)*($N$9/1),"")</x:f>
        <x:v>262144</x:v>
      </x:c>
      <x:c r="K432" s="12" t="n">
        <x:f>IF(AND(ISNUMBER($B$16),$B$16&gt;=2,MOD($B$16,1)=0,OR($N$9=32,$N$9=64,$N$9=128),ISNUMBER($B$11),$B$11&gt;=0,MOD($B$11,1)=0),D432*E432*F432*H432/2^30,"")</x:f>
        <x:v>0.25390625</x:v>
      </x:c>
      <x:c r="L432" s="12" t="n">
        <x:f>IF(AND(ISNUMBER($B$16),$B$16&gt;=2,MOD($B$16,1)=0,OR($N$9=32,$N$9=64,$N$9=128),ISNUMBER($B$11),$B$11&gt;=0,MOD($B$11,1)=0),D432*E432*F432*I432/2^30,"")</x:f>
        <x:v>0.25390625</x:v>
      </x:c>
      <x:c r="M432" s="12" t="n">
        <x:f>IF(AND(ISNUMBER($B$16),$B$16&gt;=2,MOD($B$16,1)=0,OR($N$9=32,$N$9=64,$N$9=128),ISNUMBER($B$11),$B$11&gt;=0,MOD($B$11,1)=0),D432*E432*G432*J432/2^30,"")</x:f>
        <x:v>0.03173828125</x:v>
      </x:c>
      <x:c r="N432" s="2"/>
      <x:c r="O432" s="2"/>
      <x:c r="P432" s="2"/>
      <x:c r="Q432" s="2"/>
      <x:c r="R432" s="2"/>
      <x:c r="S432" s="2"/>
      <x:c r="T432" s="2"/>
      <x:c r="U432" s="2"/>
      <x:c r="V432" s="2"/>
      <x:c r="W432" s="2"/>
      <x:c r="X432" s="2"/>
    </x:row>
    <x:row r="433" ht="45" customHeight="1">
      <x:c r="A433" s="2" t="str">
        <x:v>DS V4.1 Flash</x:v>
      </x:c>
      <x:c r="B433" s="2" t="n">
        <x:f>$B$16</x:f>
        <x:v>262144</x:v>
      </x:c>
      <x:c r="C433" s="56" t="str">
        <x:v>C2 circular ring / FP32 KV+score</x:v>
      </x:c>
      <x:c r="D433" s="2" t="n">
        <x:v>3</x:v>
      </x:c>
      <x:c r="E433" s="2" t="n">
        <x:v>4096</x:v>
      </x:c>
      <x:c r="F433" s="2" t="n">
        <x:v>8</x:v>
      </x:c>
      <x:c r="G433" s="2" t="n">
        <x:v>1</x:v>
      </x:c>
      <x:c r="H433" s="2" t="n">
        <x:f>IF(AND(ISNUMBER($B$16),$B$16&gt;=2,MOD($B$16,1)=0,OR($N$9=32,$N$9=64,$N$9=128),ISNUMBER($B$11),$B$11&gt;=0,MOD($B$11,1)=0),MIN($B$16,32),"")</x:f>
        <x:v>32</x:v>
      </x:c>
      <x:c r="I433" s="2" t="n">
        <x:f>IF(AND(ISNUMBER($B$16),$B$16&gt;=2,MOD($B$16,1)=0,OR($N$9=32,$N$9=64,$N$9=128),ISNUMBER($B$11),$B$11&gt;=0,MOD($B$11,1)=0),MIN($B$16,32),"")</x:f>
        <x:v>32</x:v>
      </x:c>
      <x:c r="J433" s="2" t="n">
        <x:f>IF(AND(ISNUMBER($B$16),$B$16&gt;=2,MOD($B$16,1)=0,OR($N$9=32,$N$9=64,$N$9=128),ISNUMBER($B$11),$B$11&gt;=0,MOD($B$11,1)=0),32,"")</x:f>
        <x:v>32</x:v>
      </x:c>
      <x:c r="K433" s="12" t="n">
        <x:f>IF(AND(ISNUMBER($B$16),$B$16&gt;=2,MOD($B$16,1)=0,OR($N$9=32,$N$9=64,$N$9=128),ISNUMBER($B$11),$B$11&gt;=0,MOD($B$11,1)=0),D433*E433*F433*H433/2^30,"")</x:f>
        <x:v>0.0029296875</x:v>
      </x:c>
      <x:c r="L433" s="12" t="n">
        <x:f>IF(AND(ISNUMBER($B$16),$B$16&gt;=2,MOD($B$16,1)=0,OR($N$9=32,$N$9=64,$N$9=128),ISNUMBER($B$11),$B$11&gt;=0,MOD($B$11,1)=0),D433*E433*F433*I433/2^30,"")</x:f>
        <x:v>0.0029296875</x:v>
      </x:c>
      <x:c r="M433" s="12" t="n">
        <x:f>IF(AND(ISNUMBER($B$16),$B$16&gt;=2,MOD($B$16,1)=0,OR($N$9=32,$N$9=64,$N$9=128),ISNUMBER($B$11),$B$11&gt;=0,MOD($B$11,1)=0),D433*E433*G433*J433/2^30,"")</x:f>
        <x:v>0.0003662109375</x:v>
      </x:c>
      <x:c r="N433" s="2"/>
      <x:c r="O433" s="2"/>
      <x:c r="P433" s="2"/>
      <x:c r="Q433" s="2"/>
      <x:c r="R433" s="2"/>
      <x:c r="S433" s="2"/>
      <x:c r="T433" s="2"/>
      <x:c r="U433" s="2"/>
      <x:c r="V433" s="2"/>
      <x:c r="W433" s="2"/>
      <x:c r="X433" s="2"/>
    </x:row>
    <x:row r="434" ht="45" customHeight="1">
      <x:c r="A434" s="29" t="str">
        <x:v>DS V4.1 Flash</x:v>
      </x:c>
      <x:c r="B434" s="29" t="n">
        <x:f>$B$16</x:f>
        <x:v>262144</x:v>
      </x:c>
      <x:c r="C434" s="57" t="str">
        <x:v>每请求合计</x:v>
      </x:c>
      <x:c r="D434" s="29"/>
      <x:c r="E434" s="29"/>
      <x:c r="F434" s="29"/>
      <x:c r="G434" s="29"/>
      <x:c r="H434" s="29"/>
      <x:c r="I434" s="29"/>
      <x:c r="J434" s="29"/>
      <x:c r="K434" s="55" t="n">
        <x:f>SUM(K428:K433)</x:f>
        <x:v>85.6376953125</x:v>
      </x:c>
      <x:c r="L434" s="55" t="n">
        <x:f>SUM(L428:L433)</x:f>
        <x:v>5.6767578125</x:v>
      </x:c>
      <x:c r="M434" s="55" t="n">
        <x:f>SUM(M428:M433)</x:f>
        <x:v>0.7144775390625</x:v>
      </x:c>
      <x:c r="N434" s="2"/>
      <x:c r="O434" s="2"/>
      <x:c r="P434" s="2"/>
      <x:c r="Q434" s="2"/>
      <x:c r="R434" s="2"/>
      <x:c r="S434" s="2"/>
      <x:c r="T434" s="2"/>
      <x:c r="U434" s="2"/>
      <x:c r="V434" s="2"/>
      <x:c r="W434" s="2"/>
      <x:c r="X434" s="2"/>
    </x:row>
    <x:row r="435" ht="45" customHeight="1">
      <x:c r="A435" s="2" t="str">
        <x:v>DS V4.1 Flash</x:v>
      </x:c>
      <x:c r="B435" s="2" t="n">
        <x:f>$B$17</x:f>
        <x:v>1048576</x:v>
      </x:c>
      <x:c r="C435" s="56" t="str">
        <x:v>SWA KV / BF16</x:v>
      </x:c>
      <x:c r="D435" s="2" t="n">
        <x:v>40</x:v>
      </x:c>
      <x:c r="E435" s="2" t="n">
        <x:v>1024</x:v>
      </x:c>
      <x:c r="F435" s="2" t="n">
        <x:v>8</x:v>
      </x:c>
      <x:c r="G435" s="2" t="n">
        <x:v>1</x:v>
      </x:c>
      <x:c r="H435" s="2" t="n">
        <x:f>IF(AND(ISNUMBER($B$17),$B$17&gt;=2,MOD($B$17,1)=0,OR($N$9=32,$N$9=64,$N$9=128),ISNUMBER($B$11),$B$11&gt;=0,MOD($B$11,1)=0),$B$17,"")</x:f>
        <x:v>1048576</x:v>
      </x:c>
      <x:c r="I435" s="2" t="n">
        <x:f>IF(AND(ISNUMBER($B$17),$B$17&gt;=2,MOD($B$17,1)=0,OR($N$9=32,$N$9=64,$N$9=128),ISNUMBER($B$11),$B$11&gt;=0,MOD($B$11,1)=0),MIN($B$17,128),"")</x:f>
        <x:v>128</x:v>
      </x:c>
      <x:c r="J435" s="2" t="n">
        <x:f>IF(AND(ISNUMBER($B$17),$B$17&gt;=2,MOD($B$17,1)=0,OR($N$9=32,$N$9=64,$N$9=128),ISNUMBER($B$11),$B$11&gt;=0,MOD($B$11,1)=0),MIN(ROUNDUP($B$17/$N$9,0),ROUNDUP(128/$N$9,0)+1)*$N$9,"")</x:f>
        <x:v>256</x:v>
      </x:c>
      <x:c r="K435" s="12" t="n">
        <x:f>IF(AND(ISNUMBER($B$17),$B$17&gt;=2,MOD($B$17,1)=0,OR($N$9=32,$N$9=64,$N$9=128),ISNUMBER($B$11),$B$11&gt;=0,MOD($B$11,1)=0),D435*E435*F435*H435/2^30,"")</x:f>
        <x:v>320</x:v>
      </x:c>
      <x:c r="L435" s="12" t="n">
        <x:f>IF(AND(ISNUMBER($B$17),$B$17&gt;=2,MOD($B$17,1)=0,OR($N$9=32,$N$9=64,$N$9=128),ISNUMBER($B$11),$B$11&gt;=0,MOD($B$11,1)=0),D435*E435*F435*I435/2^30,"")</x:f>
        <x:v>0.0390625</x:v>
      </x:c>
      <x:c r="M435" s="12" t="n">
        <x:f>IF(AND(ISNUMBER($B$17),$B$17&gt;=2,MOD($B$17,1)=0,OR($N$9=32,$N$9=64,$N$9=128),ISNUMBER($B$11),$B$11&gt;=0,MOD($B$11,1)=0),D435*E435*G435*J435/2^30,"")</x:f>
        <x:v>0.009765625</x:v>
      </x:c>
      <x:c r="N435" s="2"/>
      <x:c r="O435" s="2"/>
      <x:c r="P435" s="2"/>
      <x:c r="Q435" s="2"/>
      <x:c r="R435" s="2"/>
      <x:c r="S435" s="2"/>
      <x:c r="T435" s="2"/>
      <x:c r="U435" s="2"/>
      <x:c r="V435" s="2"/>
      <x:c r="W435" s="2"/>
      <x:c r="X435" s="2"/>
    </x:row>
    <x:row r="436" ht="45" customHeight="1">
      <x:c r="A436" s="2" t="str">
        <x:v>DS V4.1 Flash</x:v>
      </x:c>
      <x:c r="B436" s="2" t="n">
        <x:f>$B$17</x:f>
        <x:v>1048576</x:v>
      </x:c>
      <x:c r="C436" s="56" t="str">
        <x:v>C2 shared KV / BF16</x:v>
      </x:c>
      <x:c r="D436" s="2" t="n">
        <x:v>3</x:v>
      </x:c>
      <x:c r="E436" s="2" t="n">
        <x:v>1024</x:v>
      </x:c>
      <x:c r="F436" s="2" t="n">
        <x:v>8</x:v>
      </x:c>
      <x:c r="G436" s="2" t="n">
        <x:v>1</x:v>
      </x:c>
      <x:c r="H436" s="2" t="n">
        <x:f>IF(AND(ISNUMBER($B$17),$B$17&gt;=2,MOD($B$17,1)=0,OR($N$9=32,$N$9=64,$N$9=128),ISNUMBER($B$11),$B$11&gt;=0,MOD($B$11,1)=0),INT($B$17/2),"")</x:f>
        <x:v>524288</x:v>
      </x:c>
      <x:c r="I436" s="2" t="n">
        <x:f>IF(AND(ISNUMBER($B$17),$B$17&gt;=2,MOD($B$17,1)=0,OR($N$9=32,$N$9=64,$N$9=128),ISNUMBER($B$11),$B$11&gt;=0,MOD($B$11,1)=0),INT($B$17/2),"")</x:f>
        <x:v>524288</x:v>
      </x:c>
      <x:c r="J436" s="2" t="n">
        <x:f>IF(AND(ISNUMBER($B$17),$B$17&gt;=2,MOD($B$17,1)=0,OR($N$9=32,$N$9=64,$N$9=128),ISNUMBER($B$11),$B$11&gt;=0,MOD($B$11,1)=0),ROUNDUP(INT($B$17/2)/($N$9/2),0)*($N$9/2),"")</x:f>
        <x:v>524288</x:v>
      </x:c>
      <x:c r="K436" s="12" t="n">
        <x:f>IF(AND(ISNUMBER($B$17),$B$17&gt;=2,MOD($B$17,1)=0,OR($N$9=32,$N$9=64,$N$9=128),ISNUMBER($B$11),$B$11&gt;=0,MOD($B$11,1)=0),D436*E436*F436*H436/2^30,"")</x:f>
        <x:v>12</x:v>
      </x:c>
      <x:c r="L436" s="12" t="n">
        <x:f>IF(AND(ISNUMBER($B$17),$B$17&gt;=2,MOD($B$17,1)=0,OR($N$9=32,$N$9=64,$N$9=128),ISNUMBER($B$11),$B$11&gt;=0,MOD($B$11,1)=0),D436*E436*F436*I436/2^30,"")</x:f>
        <x:v>12</x:v>
      </x:c>
      <x:c r="M436" s="12" t="n">
        <x:f>IF(AND(ISNUMBER($B$17),$B$17&gt;=2,MOD($B$17,1)=0,OR($N$9=32,$N$9=64,$N$9=128),ISNUMBER($B$11),$B$11&gt;=0,MOD($B$11,1)=0),D436*E436*G436*J436/2^30,"")</x:f>
        <x:v>1.5</x:v>
      </x:c>
      <x:c r="N436" s="2"/>
      <x:c r="O436" s="2"/>
      <x:c r="P436" s="2"/>
      <x:c r="Q436" s="2"/>
      <x:c r="R436" s="2"/>
      <x:c r="S436" s="2"/>
      <x:c r="T436" s="2"/>
      <x:c r="U436" s="2"/>
      <x:c r="V436" s="2"/>
      <x:c r="W436" s="2"/>
      <x:c r="X436" s="2"/>
    </x:row>
    <x:row r="437" ht="45" customHeight="1">
      <x:c r="A437" s="2" t="str">
        <x:v>DS V4.1 Flash</x:v>
      </x:c>
      <x:c r="B437" s="2" t="n">
        <x:f>$B$17</x:f>
        <x:v>1048576</x:v>
      </x:c>
      <x:c r="C437" s="56" t="str">
        <x:v>C2 shared Indexer / INT8 + FP16 scale</x:v>
      </x:c>
      <x:c r="D437" s="2" t="n">
        <x:v>3</x:v>
      </x:c>
      <x:c r="E437" s="2" t="n">
        <x:v>130</x:v>
      </x:c>
      <x:c r="F437" s="2" t="n">
        <x:v>8</x:v>
      </x:c>
      <x:c r="G437" s="2" t="n">
        <x:v>1</x:v>
      </x:c>
      <x:c r="H437" s="2" t="n">
        <x:f>IF(AND(ISNUMBER($B$17),$B$17&gt;=2,MOD($B$17,1)=0,OR($N$9=32,$N$9=64,$N$9=128),ISNUMBER($B$11),$B$11&gt;=0,MOD($B$11,1)=0),INT($B$17/2),"")</x:f>
        <x:v>524288</x:v>
      </x:c>
      <x:c r="I437" s="2" t="n">
        <x:f>IF(AND(ISNUMBER($B$17),$B$17&gt;=2,MOD($B$17,1)=0,OR($N$9=32,$N$9=64,$N$9=128),ISNUMBER($B$11),$B$11&gt;=0,MOD($B$11,1)=0),INT($B$17/2),"")</x:f>
        <x:v>524288</x:v>
      </x:c>
      <x:c r="J437" s="2" t="n">
        <x:f>IF(AND(ISNUMBER($B$17),$B$17&gt;=2,MOD($B$17,1)=0,OR($N$9=32,$N$9=64,$N$9=128),ISNUMBER($B$11),$B$11&gt;=0,MOD($B$11,1)=0),ROUNDUP(INT($B$17/2)/($N$9/2),0)*($N$9/2),"")</x:f>
        <x:v>524288</x:v>
      </x:c>
      <x:c r="K437" s="12" t="n">
        <x:f>IF(AND(ISNUMBER($B$17),$B$17&gt;=2,MOD($B$17,1)=0,OR($N$9=32,$N$9=64,$N$9=128),ISNUMBER($B$11),$B$11&gt;=0,MOD($B$11,1)=0),D437*E437*F437*H437/2^30,"")</x:f>
        <x:v>1.5234375</x:v>
      </x:c>
      <x:c r="L437" s="12" t="n">
        <x:f>IF(AND(ISNUMBER($B$17),$B$17&gt;=2,MOD($B$17,1)=0,OR($N$9=32,$N$9=64,$N$9=128),ISNUMBER($B$11),$B$11&gt;=0,MOD($B$11,1)=0),D437*E437*F437*I437/2^30,"")</x:f>
        <x:v>1.5234375</x:v>
      </x:c>
      <x:c r="M437" s="12" t="n">
        <x:f>IF(AND(ISNUMBER($B$17),$B$17&gt;=2,MOD($B$17,1)=0,OR($N$9=32,$N$9=64,$N$9=128),ISNUMBER($B$11),$B$11&gt;=0,MOD($B$11,1)=0),D437*E437*G437*J437/2^30,"")</x:f>
        <x:v>0.1904296875</x:v>
      </x:c>
      <x:c r="N437" s="2"/>
      <x:c r="O437" s="2"/>
      <x:c r="P437" s="2"/>
      <x:c r="Q437" s="2"/>
      <x:c r="R437" s="2"/>
      <x:c r="S437" s="2"/>
      <x:c r="T437" s="2"/>
      <x:c r="U437" s="2"/>
      <x:c r="V437" s="2"/>
      <x:c r="W437" s="2"/>
      <x:c r="X437" s="2"/>
    </x:row>
    <x:row r="438" ht="45" customHeight="1">
      <x:c r="A438" s="2" t="str">
        <x:v>DS V4.1 Flash</x:v>
      </x:c>
      <x:c r="B438" s="2" t="n">
        <x:f>$B$17</x:f>
        <x:v>1048576</x:v>
      </x:c>
      <x:c r="C438" s="56" t="str">
        <x:v>C1 shared KV / BF16</x:v>
      </x:c>
      <x:c r="D438" s="2" t="n">
        <x:v>1</x:v>
      </x:c>
      <x:c r="E438" s="2" t="n">
        <x:v>1024</x:v>
      </x:c>
      <x:c r="F438" s="2" t="n">
        <x:v>8</x:v>
      </x:c>
      <x:c r="G438" s="2" t="n">
        <x:v>1</x:v>
      </x:c>
      <x:c r="H438" s="2" t="n">
        <x:f>IF(AND(ISNUMBER($B$17),$B$17&gt;=2,MOD($B$17,1)=0,OR($N$9=32,$N$9=64,$N$9=128),ISNUMBER($B$11),$B$11&gt;=0,MOD($B$11,1)=0),INT($B$17/1),"")</x:f>
        <x:v>1048576</x:v>
      </x:c>
      <x:c r="I438" s="2" t="n">
        <x:f>IF(AND(ISNUMBER($B$17),$B$17&gt;=2,MOD($B$17,1)=0,OR($N$9=32,$N$9=64,$N$9=128),ISNUMBER($B$11),$B$11&gt;=0,MOD($B$11,1)=0),INT($B$17/1),"")</x:f>
        <x:v>1048576</x:v>
      </x:c>
      <x:c r="J438" s="2" t="n">
        <x:f>IF(AND(ISNUMBER($B$17),$B$17&gt;=2,MOD($B$17,1)=0,OR($N$9=32,$N$9=64,$N$9=128),ISNUMBER($B$11),$B$11&gt;=0,MOD($B$11,1)=0),ROUNDUP(INT($B$17/1)/($N$9/1),0)*($N$9/1),"")</x:f>
        <x:v>1048576</x:v>
      </x:c>
      <x:c r="K438" s="12" t="n">
        <x:f>IF(AND(ISNUMBER($B$17),$B$17&gt;=2,MOD($B$17,1)=0,OR($N$9=32,$N$9=64,$N$9=128),ISNUMBER($B$11),$B$11&gt;=0,MOD($B$11,1)=0),D438*E438*F438*H438/2^30,"")</x:f>
        <x:v>8</x:v>
      </x:c>
      <x:c r="L438" s="12" t="n">
        <x:f>IF(AND(ISNUMBER($B$17),$B$17&gt;=2,MOD($B$17,1)=0,OR($N$9=32,$N$9=64,$N$9=128),ISNUMBER($B$11),$B$11&gt;=0,MOD($B$11,1)=0),D438*E438*F438*I438/2^30,"")</x:f>
        <x:v>8</x:v>
      </x:c>
      <x:c r="M438" s="12" t="n">
        <x:f>IF(AND(ISNUMBER($B$17),$B$17&gt;=2,MOD($B$17,1)=0,OR($N$9=32,$N$9=64,$N$9=128),ISNUMBER($B$11),$B$11&gt;=0,MOD($B$11,1)=0),D438*E438*G438*J438/2^30,"")</x:f>
        <x:v>1</x:v>
      </x:c>
      <x:c r="N438" s="2"/>
      <x:c r="O438" s="2"/>
      <x:c r="P438" s="2"/>
      <x:c r="Q438" s="2"/>
      <x:c r="R438" s="2"/>
      <x:c r="S438" s="2"/>
      <x:c r="T438" s="2"/>
      <x:c r="U438" s="2"/>
      <x:c r="V438" s="2"/>
      <x:c r="W438" s="2"/>
      <x:c r="X438" s="2"/>
    </x:row>
    <x:row r="439" ht="45" customHeight="1">
      <x:c r="A439" s="2" t="str">
        <x:v>DS V4.1 Flash</x:v>
      </x:c>
      <x:c r="B439" s="2" t="n">
        <x:f>$B$17</x:f>
        <x:v>1048576</x:v>
      </x:c>
      <x:c r="C439" s="56" t="str">
        <x:v>C1 shared Indexer / INT8 + FP16 scale</x:v>
      </x:c>
      <x:c r="D439" s="2" t="n">
        <x:v>1</x:v>
      </x:c>
      <x:c r="E439" s="2" t="n">
        <x:v>130</x:v>
      </x:c>
      <x:c r="F439" s="2" t="n">
        <x:v>8</x:v>
      </x:c>
      <x:c r="G439" s="2" t="n">
        <x:v>1</x:v>
      </x:c>
      <x:c r="H439" s="2" t="n">
        <x:f>IF(AND(ISNUMBER($B$17),$B$17&gt;=2,MOD($B$17,1)=0,OR($N$9=32,$N$9=64,$N$9=128),ISNUMBER($B$11),$B$11&gt;=0,MOD($B$11,1)=0),INT($B$17/1),"")</x:f>
        <x:v>1048576</x:v>
      </x:c>
      <x:c r="I439" s="2" t="n">
        <x:f>IF(AND(ISNUMBER($B$17),$B$17&gt;=2,MOD($B$17,1)=0,OR($N$9=32,$N$9=64,$N$9=128),ISNUMBER($B$11),$B$11&gt;=0,MOD($B$11,1)=0),INT($B$17/1),"")</x:f>
        <x:v>1048576</x:v>
      </x:c>
      <x:c r="J439" s="2" t="n">
        <x:f>IF(AND(ISNUMBER($B$17),$B$17&gt;=2,MOD($B$17,1)=0,OR($N$9=32,$N$9=64,$N$9=128),ISNUMBER($B$11),$B$11&gt;=0,MOD($B$11,1)=0),ROUNDUP(INT($B$17/1)/($N$9/1),0)*($N$9/1),"")</x:f>
        <x:v>1048576</x:v>
      </x:c>
      <x:c r="K439" s="12" t="n">
        <x:f>IF(AND(ISNUMBER($B$17),$B$17&gt;=2,MOD($B$17,1)=0,OR($N$9=32,$N$9=64,$N$9=128),ISNUMBER($B$11),$B$11&gt;=0,MOD($B$11,1)=0),D439*E439*F439*H439/2^30,"")</x:f>
        <x:v>1.015625</x:v>
      </x:c>
      <x:c r="L439" s="12" t="n">
        <x:f>IF(AND(ISNUMBER($B$17),$B$17&gt;=2,MOD($B$17,1)=0,OR($N$9=32,$N$9=64,$N$9=128),ISNUMBER($B$11),$B$11&gt;=0,MOD($B$11,1)=0),D439*E439*F439*I439/2^30,"")</x:f>
        <x:v>1.015625</x:v>
      </x:c>
      <x:c r="M439" s="12" t="n">
        <x:f>IF(AND(ISNUMBER($B$17),$B$17&gt;=2,MOD($B$17,1)=0,OR($N$9=32,$N$9=64,$N$9=128),ISNUMBER($B$11),$B$11&gt;=0,MOD($B$11,1)=0),D439*E439*G439*J439/2^30,"")</x:f>
        <x:v>0.126953125</x:v>
      </x:c>
      <x:c r="N439" s="2"/>
      <x:c r="O439" s="2"/>
      <x:c r="P439" s="2"/>
      <x:c r="Q439" s="2"/>
      <x:c r="R439" s="2"/>
      <x:c r="S439" s="2"/>
      <x:c r="T439" s="2"/>
      <x:c r="U439" s="2"/>
      <x:c r="V439" s="2"/>
      <x:c r="W439" s="2"/>
      <x:c r="X439" s="2"/>
    </x:row>
    <x:row r="440" ht="45" customHeight="1">
      <x:c r="A440" s="2" t="str">
        <x:v>DS V4.1 Flash</x:v>
      </x:c>
      <x:c r="B440" s="2" t="n">
        <x:f>$B$17</x:f>
        <x:v>1048576</x:v>
      </x:c>
      <x:c r="C440" s="56" t="str">
        <x:v>C2 circular ring / FP32 KV+score</x:v>
      </x:c>
      <x:c r="D440" s="2" t="n">
        <x:v>3</x:v>
      </x:c>
      <x:c r="E440" s="2" t="n">
        <x:v>4096</x:v>
      </x:c>
      <x:c r="F440" s="2" t="n">
        <x:v>8</x:v>
      </x:c>
      <x:c r="G440" s="2" t="n">
        <x:v>1</x:v>
      </x:c>
      <x:c r="H440" s="2" t="n">
        <x:f>IF(AND(ISNUMBER($B$17),$B$17&gt;=2,MOD($B$17,1)=0,OR($N$9=32,$N$9=64,$N$9=128),ISNUMBER($B$11),$B$11&gt;=0,MOD($B$11,1)=0),MIN($B$17,32),"")</x:f>
        <x:v>32</x:v>
      </x:c>
      <x:c r="I440" s="2" t="n">
        <x:f>IF(AND(ISNUMBER($B$17),$B$17&gt;=2,MOD($B$17,1)=0,OR($N$9=32,$N$9=64,$N$9=128),ISNUMBER($B$11),$B$11&gt;=0,MOD($B$11,1)=0),MIN($B$17,32),"")</x:f>
        <x:v>32</x:v>
      </x:c>
      <x:c r="J440" s="2" t="n">
        <x:f>IF(AND(ISNUMBER($B$17),$B$17&gt;=2,MOD($B$17,1)=0,OR($N$9=32,$N$9=64,$N$9=128),ISNUMBER($B$11),$B$11&gt;=0,MOD($B$11,1)=0),32,"")</x:f>
        <x:v>32</x:v>
      </x:c>
      <x:c r="K440" s="12" t="n">
        <x:f>IF(AND(ISNUMBER($B$17),$B$17&gt;=2,MOD($B$17,1)=0,OR($N$9=32,$N$9=64,$N$9=128),ISNUMBER($B$11),$B$11&gt;=0,MOD($B$11,1)=0),D440*E440*F440*H440/2^30,"")</x:f>
        <x:v>0.0029296875</x:v>
      </x:c>
      <x:c r="L440" s="12" t="n">
        <x:f>IF(AND(ISNUMBER($B$17),$B$17&gt;=2,MOD($B$17,1)=0,OR($N$9=32,$N$9=64,$N$9=128),ISNUMBER($B$11),$B$11&gt;=0,MOD($B$11,1)=0),D440*E440*F440*I440/2^30,"")</x:f>
        <x:v>0.0029296875</x:v>
      </x:c>
      <x:c r="M440" s="12" t="n">
        <x:f>IF(AND(ISNUMBER($B$17),$B$17&gt;=2,MOD($B$17,1)=0,OR($N$9=32,$N$9=64,$N$9=128),ISNUMBER($B$11),$B$11&gt;=0,MOD($B$11,1)=0),D440*E440*G440*J440/2^30,"")</x:f>
        <x:v>0.0003662109375</x:v>
      </x:c>
      <x:c r="N440" s="2"/>
      <x:c r="O440" s="2"/>
      <x:c r="P440" s="2"/>
      <x:c r="Q440" s="2"/>
      <x:c r="R440" s="2"/>
      <x:c r="S440" s="2"/>
      <x:c r="T440" s="2"/>
      <x:c r="U440" s="2"/>
      <x:c r="V440" s="2"/>
      <x:c r="W440" s="2"/>
      <x:c r="X440" s="2"/>
    </x:row>
    <x:row r="441" ht="45" customHeight="1">
      <x:c r="A441" s="29" t="str">
        <x:v>DS V4.1 Flash</x:v>
      </x:c>
      <x:c r="B441" s="29" t="n">
        <x:f>$B$17</x:f>
        <x:v>1048576</x:v>
      </x:c>
      <x:c r="C441" s="57" t="str">
        <x:v>每请求合计</x:v>
      </x:c>
      <x:c r="D441" s="29"/>
      <x:c r="E441" s="29"/>
      <x:c r="F441" s="29"/>
      <x:c r="G441" s="29"/>
      <x:c r="H441" s="29"/>
      <x:c r="I441" s="29"/>
      <x:c r="J441" s="29"/>
      <x:c r="K441" s="55" t="n">
        <x:f>SUM(K435:K440)</x:f>
        <x:v>342.5419921875</x:v>
      </x:c>
      <x:c r="L441" s="55" t="n">
        <x:f>SUM(L435:L440)</x:f>
        <x:v>22.5810546875</x:v>
      </x:c>
      <x:c r="M441" s="55" t="n">
        <x:f>SUM(M435:M440)</x:f>
        <x:v>2.8275146484375</x:v>
      </x:c>
      <x:c r="N441" s="2"/>
      <x:c r="O441" s="2"/>
      <x:c r="P441" s="2"/>
      <x:c r="Q441" s="2"/>
      <x:c r="R441" s="2"/>
      <x:c r="S441" s="2"/>
      <x:c r="T441" s="2"/>
      <x:c r="U441" s="2"/>
      <x:c r="V441" s="2"/>
      <x:c r="W441" s="2"/>
      <x:c r="X441" s="2"/>
    </x:row>
    <x:row r="442" ht="45" customHeight="1">
      <x:c r="A442" s="2"/>
      <x:c r="B442" s="2"/>
      <x:c r="C442" s="56"/>
      <x:c r="D442" s="2"/>
      <x:c r="E442" s="2"/>
      <x:c r="F442" s="2"/>
      <x:c r="G442" s="2"/>
      <x:c r="H442" s="2"/>
      <x:c r="I442" s="2"/>
      <x:c r="J442" s="2"/>
      <x:c r="K442" s="12"/>
      <x:c r="L442" s="12"/>
      <x:c r="M442" s="12"/>
      <x:c r="N442" s="2"/>
      <x:c r="O442" s="2"/>
      <x:c r="P442" s="2"/>
      <x:c r="Q442" s="2"/>
      <x:c r="R442" s="2"/>
      <x:c r="S442" s="2"/>
      <x:c r="T442" s="2"/>
      <x:c r="U442" s="2"/>
      <x:c r="V442" s="2"/>
      <x:c r="W442" s="2"/>
      <x:c r="X442" s="2"/>
    </x:row>
    <x:row r="443" ht="25" customHeight="1">
      <x:c r="A443" s="2"/>
      <x:c r="B443" s="2"/>
      <x:c r="C443" s="2"/>
      <x:c r="D443" s="2"/>
      <x:c r="E443" s="2"/>
      <x:c r="F443" s="2"/>
      <x:c r="G443" s="2"/>
      <x:c r="H443" s="2"/>
      <x:c r="I443" s="2"/>
      <x:c r="J443" s="2"/>
      <x:c r="K443" s="2"/>
      <x:c r="L443" s="2"/>
      <x:c r="M443" s="2"/>
      <x:c r="N443" s="2"/>
      <x:c r="O443" s="2"/>
      <x:c r="P443" s="2"/>
      <x:c r="Q443" s="2"/>
      <x:c r="R443" s="2"/>
      <x:c r="S443" s="2"/>
      <x:c r="T443" s="2"/>
      <x:c r="U443" s="2"/>
      <x:c r="V443" s="2"/>
      <x:c r="W443" s="2"/>
      <x:c r="X443" s="2"/>
    </x:row>
    <x:row r="444" ht="25" customHeight="1">
      <x:c r="A444" s="2"/>
      <x:c r="B444" s="2"/>
      <x:c r="C444" s="2"/>
      <x:c r="D444" s="2"/>
      <x:c r="E444" s="2"/>
      <x:c r="F444" s="2"/>
      <x:c r="G444" s="2"/>
      <x:c r="H444" s="2"/>
      <x:c r="I444" s="2"/>
      <x:c r="J444" s="2"/>
      <x:c r="K444" s="2"/>
      <x:c r="L444" s="2"/>
      <x:c r="M444" s="2"/>
      <x:c r="N444" s="2"/>
      <x:c r="O444" s="2"/>
      <x:c r="P444" s="2"/>
      <x:c r="Q444" s="2"/>
      <x:c r="R444" s="2"/>
      <x:c r="S444" s="2"/>
      <x:c r="T444" s="2"/>
      <x:c r="U444" s="2"/>
      <x:c r="V444" s="2"/>
      <x:c r="W444" s="2"/>
      <x:c r="X444" s="2"/>
    </x:row>
    <x:row r="445" ht="25" customHeight="1">
      <x:c r="A445" s="2" t="str">
        <x:v>来源：库内 config.json、analysis/KV-EP-SPECS.md、analysis/PD-MINUTE.md；V4.1 为既有 KV 规划量。</x:v>
      </x:c>
      <x:c r="B445" s="2"/>
      <x:c r="C445" s="2"/>
      <x:c r="D445" s="2"/>
      <x:c r="E445" s="2"/>
      <x:c r="F445" s="2"/>
      <x:c r="G445" s="2"/>
      <x:c r="H445" s="2"/>
      <x:c r="I445" s="2"/>
      <x:c r="J445" s="2"/>
      <x:c r="K445" s="2"/>
      <x:c r="L445" s="2"/>
      <x:c r="M445" s="2"/>
      <x:c r="N445" s="2"/>
      <x:c r="O445" s="2"/>
      <x:c r="P445" s="2"/>
      <x:c r="Q445" s="2"/>
      <x:c r="R445" s="2"/>
      <x:c r="S445" s="2"/>
      <x:c r="T445" s="2"/>
      <x:c r="U445" s="2"/>
      <x:c r="V445" s="2"/>
      <x:c r="W445" s="2"/>
      <x:c r="X445" s="2"/>
    </x:row>
    <x:row r="446" ht="25" customHeight="1">
      <x:c r="A446" s="2" t="str">
        <x:v>MC2：A3 FullMesh BF16；均衡路由。未计 TP / Attention / Engram、通信启动和真实排队，未复现 NPU 实测。</x:v>
      </x:c>
      <x:c r="B446" s="2"/>
      <x:c r="C446" s="2"/>
      <x:c r="D446" s="2"/>
      <x:c r="E446" s="2"/>
      <x:c r="F446" s="2"/>
      <x:c r="G446" s="2"/>
      <x:c r="H446" s="2"/>
      <x:c r="I446" s="2"/>
      <x:c r="J446" s="2"/>
      <x:c r="K446" s="2"/>
      <x:c r="L446" s="2"/>
      <x:c r="M446" s="2"/>
      <x:c r="N446" s="2"/>
      <x:c r="O446" s="2"/>
      <x:c r="P446" s="2"/>
      <x:c r="Q446" s="2"/>
      <x:c r="R446" s="2"/>
      <x:c r="S446" s="2"/>
      <x:c r="T446" s="2"/>
      <x:c r="U446" s="2"/>
      <x:c r="V446" s="2"/>
      <x:c r="W446" s="2"/>
      <x:c r="X446" s="2"/>
    </x:row>
    <x:row r="447" ht="25" customHeight="1">
      <x:c r="A447" s="2"/>
      <x:c r="B447" s="2"/>
      <x:c r="C447" s="2"/>
      <x:c r="D447" s="2"/>
      <x:c r="E447" s="2"/>
      <x:c r="F447" s="2"/>
      <x:c r="G447" s="2"/>
      <x:c r="H447" s="2"/>
      <x:c r="I447" s="2"/>
      <x:c r="J447" s="2"/>
      <x:c r="K447" s="2"/>
      <x:c r="L447" s="2"/>
      <x:c r="M447" s="2"/>
      <x:c r="N447" s="2"/>
      <x:c r="O447" s="2"/>
      <x:c r="P447" s="2"/>
      <x:c r="Q447" s="2"/>
      <x:c r="R447" s="2"/>
      <x:c r="S447" s="2"/>
      <x:c r="T447" s="2"/>
      <x:c r="U447" s="2"/>
      <x:c r="V447" s="2"/>
      <x:c r="W447" s="2"/>
      <x:c r="X447" s="2"/>
    </x:row>
    <x:row r="448" ht="25" customHeight="1">
      <x:c r="A448" s="2"/>
      <x:c r="B448" s="2"/>
      <x:c r="C448" s="2"/>
      <x:c r="D448" s="2"/>
      <x:c r="E448" s="2"/>
      <x:c r="F448" s="2"/>
      <x:c r="G448" s="2"/>
      <x:c r="H448" s="2"/>
      <x:c r="I448" s="2"/>
      <x:c r="J448" s="2"/>
      <x:c r="K448" s="2"/>
      <x:c r="L448" s="2"/>
      <x:c r="M448" s="2"/>
      <x:c r="N448" s="2"/>
      <x:c r="O448" s="2"/>
      <x:c r="P448" s="2"/>
      <x:c r="Q448" s="2"/>
      <x:c r="R448" s="2"/>
      <x:c r="S448" s="2"/>
      <x:c r="T448" s="2"/>
      <x:c r="U448" s="2"/>
      <x:c r="V448" s="2"/>
      <x:c r="W448" s="2"/>
      <x:c r="X448" s="2"/>
    </x:row>
    <x:row r="449" ht="25" customHeight="1">
      <x:c r="A449" s="2"/>
      <x:c r="B449" s="2"/>
      <x:c r="C449" s="2"/>
      <x:c r="D449" s="2"/>
      <x:c r="E449" s="2"/>
      <x:c r="F449" s="2"/>
      <x:c r="G449" s="2"/>
      <x:c r="H449" s="2"/>
      <x:c r="I449" s="2"/>
      <x:c r="J449" s="2"/>
      <x:c r="K449" s="2"/>
      <x:c r="L449" s="2"/>
      <x:c r="M449" s="2"/>
      <x:c r="N449" s="2"/>
      <x:c r="O449" s="2"/>
      <x:c r="P449" s="2"/>
      <x:c r="Q449" s="2"/>
      <x:c r="R449" s="2"/>
      <x:c r="S449" s="2"/>
      <x:c r="T449" s="2"/>
      <x:c r="U449" s="2"/>
      <x:c r="V449" s="2"/>
      <x:c r="W449" s="2"/>
      <x:c r="X449" s="2"/>
    </x:row>
    <x:row r="450" ht="25" customHeight="1">
      <x:c r="A450" s="2"/>
      <x:c r="B450" s="2"/>
      <x:c r="C450" s="2"/>
      <x:c r="D450" s="2"/>
      <x:c r="E450" s="2"/>
      <x:c r="F450" s="2"/>
      <x:c r="G450" s="2"/>
      <x:c r="H450" s="2"/>
      <x:c r="I450" s="2"/>
      <x:c r="J450" s="2"/>
      <x:c r="K450" s="2"/>
      <x:c r="L450" s="2"/>
      <x:c r="M450" s="2"/>
      <x:c r="N450" s="2"/>
      <x:c r="O450" s="2"/>
      <x:c r="P450" s="2"/>
      <x:c r="Q450" s="2"/>
      <x:c r="R450" s="2"/>
      <x:c r="S450" s="2"/>
      <x:c r="T450" s="2"/>
      <x:c r="U450" s="2"/>
      <x:c r="V450" s="2"/>
      <x:c r="W450" s="2"/>
      <x:c r="X450" s="2"/>
    </x:row>
    <x:row r="451" ht="25" customHeight="1">
      <x:c r="A451" s="2"/>
      <x:c r="B451" s="2"/>
      <x:c r="C451" s="2"/>
      <x:c r="D451" s="2"/>
      <x:c r="E451" s="2"/>
      <x:c r="F451" s="2"/>
      <x:c r="G451" s="2"/>
      <x:c r="H451" s="2"/>
      <x:c r="I451" s="2"/>
      <x:c r="J451" s="2"/>
      <x:c r="K451" s="2"/>
      <x:c r="L451" s="2"/>
      <x:c r="M451" s="2"/>
      <x:c r="N451" s="2"/>
      <x:c r="O451" s="2"/>
      <x:c r="P451" s="2"/>
      <x:c r="Q451" s="2"/>
      <x:c r="R451" s="2"/>
      <x:c r="S451" s="2"/>
      <x:c r="T451" s="2"/>
      <x:c r="U451" s="2"/>
      <x:c r="V451" s="2"/>
      <x:c r="W451" s="2"/>
      <x:c r="X451" s="2"/>
    </x:row>
    <x:row r="452" ht="25" customHeight="1">
      <x:c r="A452" s="2"/>
      <x:c r="B452" s="2"/>
      <x:c r="C452" s="2"/>
      <x:c r="D452" s="2"/>
      <x:c r="E452" s="2"/>
      <x:c r="F452" s="2"/>
      <x:c r="G452" s="2"/>
      <x:c r="H452" s="2"/>
      <x:c r="I452" s="2"/>
      <x:c r="J452" s="2"/>
      <x:c r="K452" s="2"/>
      <x:c r="L452" s="2"/>
      <x:c r="M452" s="2"/>
      <x:c r="N452" s="2"/>
      <x:c r="O452" s="2"/>
      <x:c r="P452" s="2"/>
      <x:c r="Q452" s="2"/>
      <x:c r="R452" s="2"/>
      <x:c r="S452" s="2"/>
      <x:c r="T452" s="2"/>
      <x:c r="U452" s="2"/>
      <x:c r="V452" s="2"/>
      <x:c r="W452" s="2"/>
      <x:c r="X452" s="2"/>
    </x:row>
    <x:row r="453" ht="25" customHeight="1">
      <x:c r="A453" s="2"/>
      <x:c r="B453" s="2"/>
      <x:c r="C453" s="2"/>
      <x:c r="D453" s="2"/>
      <x:c r="E453" s="2"/>
      <x:c r="F453" s="2"/>
      <x:c r="G453" s="2"/>
      <x:c r="H453" s="2"/>
      <x:c r="I453" s="2"/>
      <x:c r="J453" s="2"/>
      <x:c r="K453" s="2"/>
      <x:c r="L453" s="2"/>
      <x:c r="M453" s="2"/>
      <x:c r="N453" s="2"/>
      <x:c r="O453" s="2"/>
      <x:c r="P453" s="2"/>
      <x:c r="Q453" s="2"/>
      <x:c r="R453" s="2"/>
      <x:c r="S453" s="2"/>
      <x:c r="T453" s="2"/>
      <x:c r="U453" s="2"/>
      <x:c r="V453" s="2"/>
      <x:c r="W453" s="2"/>
      <x:c r="X453" s="2"/>
    </x:row>
    <x:row r="454" ht="25" customHeight="1">
      <x:c r="A454" s="2"/>
      <x:c r="B454" s="2"/>
      <x:c r="C454" s="2"/>
      <x:c r="D454" s="2"/>
      <x:c r="E454" s="2"/>
      <x:c r="F454" s="2"/>
      <x:c r="G454" s="2"/>
      <x:c r="H454" s="2"/>
      <x:c r="I454" s="2"/>
      <x:c r="J454" s="2"/>
      <x:c r="K454" s="2"/>
      <x:c r="L454" s="2"/>
      <x:c r="M454" s="2"/>
      <x:c r="N454" s="2"/>
      <x:c r="O454" s="2"/>
      <x:c r="P454" s="2"/>
      <x:c r="Q454" s="2"/>
      <x:c r="R454" s="2"/>
      <x:c r="S454" s="2"/>
      <x:c r="T454" s="2"/>
      <x:c r="U454" s="2"/>
      <x:c r="V454" s="2"/>
      <x:c r="W454" s="2"/>
      <x:c r="X454" s="2"/>
    </x:row>
    <x:row r="455" ht="25" customHeight="1">
      <x:c r="A455" s="2"/>
      <x:c r="B455" s="2"/>
      <x:c r="C455" s="2"/>
      <x:c r="D455" s="2"/>
      <x:c r="E455" s="2"/>
      <x:c r="F455" s="2"/>
      <x:c r="G455" s="2"/>
      <x:c r="H455" s="2"/>
      <x:c r="I455" s="2"/>
      <x:c r="J455" s="2"/>
      <x:c r="K455" s="2"/>
      <x:c r="L455" s="2"/>
      <x:c r="M455" s="2"/>
      <x:c r="N455" s="2"/>
      <x:c r="O455" s="2"/>
      <x:c r="P455" s="2"/>
      <x:c r="Q455" s="2"/>
      <x:c r="R455" s="2"/>
      <x:c r="S455" s="2"/>
      <x:c r="T455" s="2"/>
      <x:c r="U455" s="2"/>
      <x:c r="V455" s="2"/>
      <x:c r="W455" s="2"/>
      <x:c r="X455" s="2"/>
    </x:row>
    <x:row r="456" ht="25" customHeight="1">
      <x:c r="A456" s="2"/>
      <x:c r="B456" s="2"/>
      <x:c r="C456" s="2"/>
      <x:c r="D456" s="2"/>
      <x:c r="E456" s="2"/>
      <x:c r="F456" s="2"/>
      <x:c r="G456" s="2"/>
      <x:c r="H456" s="2"/>
      <x:c r="I456" s="2"/>
      <x:c r="J456" s="2"/>
      <x:c r="K456" s="2"/>
      <x:c r="L456" s="2"/>
      <x:c r="M456" s="2"/>
      <x:c r="N456" s="2"/>
      <x:c r="O456" s="2"/>
      <x:c r="P456" s="2"/>
      <x:c r="Q456" s="2"/>
      <x:c r="R456" s="2"/>
      <x:c r="S456" s="2"/>
      <x:c r="T456" s="2"/>
      <x:c r="U456" s="2"/>
      <x:c r="V456" s="2"/>
      <x:c r="W456" s="2"/>
      <x:c r="X456" s="2"/>
    </x:row>
    <x:row r="457" ht="25" customHeight="1">
      <x:c r="A457" s="2"/>
      <x:c r="B457" s="2"/>
      <x:c r="C457" s="2"/>
      <x:c r="D457" s="2"/>
      <x:c r="E457" s="2"/>
      <x:c r="F457" s="2"/>
      <x:c r="G457" s="2"/>
      <x:c r="H457" s="2"/>
      <x:c r="I457" s="2"/>
      <x:c r="J457" s="2"/>
      <x:c r="K457" s="2"/>
      <x:c r="L457" s="2"/>
      <x:c r="M457" s="2"/>
      <x:c r="N457" s="2"/>
      <x:c r="O457" s="2"/>
      <x:c r="P457" s="2"/>
      <x:c r="Q457" s="2"/>
      <x:c r="R457" s="2"/>
      <x:c r="S457" s="2"/>
      <x:c r="T457" s="2"/>
      <x:c r="U457" s="2"/>
      <x:c r="V457" s="2"/>
      <x:c r="W457" s="2"/>
      <x:c r="X457" s="2"/>
    </x:row>
    <x:row r="458" ht="25" customHeight="1">
      <x:c r="A458" s="2"/>
      <x:c r="B458" s="2"/>
      <x:c r="C458" s="2"/>
      <x:c r="D458" s="2"/>
      <x:c r="E458" s="2"/>
      <x:c r="F458" s="2"/>
      <x:c r="G458" s="2"/>
      <x:c r="H458" s="2"/>
      <x:c r="I458" s="2"/>
      <x:c r="J458" s="2"/>
      <x:c r="K458" s="2"/>
      <x:c r="L458" s="2"/>
      <x:c r="M458" s="2"/>
      <x:c r="N458" s="2"/>
      <x:c r="O458" s="2"/>
      <x:c r="P458" s="2"/>
      <x:c r="Q458" s="2"/>
      <x:c r="R458" s="2"/>
      <x:c r="S458" s="2"/>
      <x:c r="T458" s="2"/>
      <x:c r="U458" s="2"/>
      <x:c r="V458" s="2"/>
      <x:c r="W458" s="2"/>
      <x:c r="X458" s="2"/>
    </x:row>
    <x:row r="459" ht="25" customHeight="1">
      <x:c r="A459" s="2"/>
      <x:c r="B459" s="2"/>
      <x:c r="C459" s="2"/>
      <x:c r="D459" s="2"/>
      <x:c r="E459" s="2"/>
      <x:c r="F459" s="2"/>
      <x:c r="G459" s="2"/>
      <x:c r="H459" s="2"/>
      <x:c r="I459" s="2"/>
      <x:c r="J459" s="2"/>
      <x:c r="K459" s="2"/>
      <x:c r="L459" s="2"/>
      <x:c r="M459" s="2"/>
      <x:c r="N459" s="2"/>
      <x:c r="O459" s="2"/>
      <x:c r="P459" s="2"/>
      <x:c r="Q459" s="2"/>
      <x:c r="R459" s="2"/>
      <x:c r="S459" s="2"/>
      <x:c r="T459" s="2"/>
      <x:c r="U459" s="2"/>
      <x:c r="V459" s="2"/>
      <x:c r="W459" s="2"/>
      <x:c r="X459" s="2"/>
    </x:row>
    <x:row r="460" ht="25" customHeight="1">
      <x:c r="A460" s="2"/>
      <x:c r="B460" s="2"/>
      <x:c r="C460" s="2"/>
      <x:c r="D460" s="2"/>
      <x:c r="E460" s="2"/>
      <x:c r="F460" s="2"/>
      <x:c r="G460" s="2"/>
      <x:c r="H460" s="2"/>
      <x:c r="I460" s="2"/>
      <x:c r="J460" s="2"/>
      <x:c r="K460" s="2"/>
      <x:c r="L460" s="2"/>
      <x:c r="M460" s="2"/>
      <x:c r="N460" s="2"/>
      <x:c r="O460" s="2"/>
      <x:c r="P460" s="2"/>
      <x:c r="Q460" s="2"/>
      <x:c r="R460" s="2"/>
      <x:c r="S460" s="2"/>
      <x:c r="T460" s="2"/>
      <x:c r="U460" s="2"/>
      <x:c r="V460" s="2"/>
      <x:c r="W460" s="2"/>
      <x:c r="X460" s="2"/>
    </x:row>
    <x:row r="461" ht="25" customHeight="1">
      <x:c r="A461" s="2"/>
      <x:c r="B461" s="2"/>
      <x:c r="C461" s="2"/>
      <x:c r="D461" s="2"/>
      <x:c r="E461" s="2"/>
      <x:c r="F461" s="2"/>
      <x:c r="G461" s="2"/>
      <x:c r="H461" s="2"/>
      <x:c r="I461" s="2"/>
      <x:c r="J461" s="2"/>
      <x:c r="K461" s="2"/>
      <x:c r="L461" s="2"/>
      <x:c r="M461" s="2"/>
      <x:c r="N461" s="2"/>
      <x:c r="O461" s="2"/>
      <x:c r="P461" s="2"/>
      <x:c r="Q461" s="2"/>
      <x:c r="R461" s="2"/>
      <x:c r="S461" s="2"/>
      <x:c r="T461" s="2"/>
      <x:c r="U461" s="2"/>
      <x:c r="V461" s="2"/>
      <x:c r="W461" s="2"/>
      <x:c r="X461" s="2"/>
    </x:row>
    <x:row r="462" ht="25" customHeight="1">
      <x:c r="A462" s="2"/>
      <x:c r="B462" s="2"/>
      <x:c r="C462" s="2"/>
      <x:c r="D462" s="2"/>
      <x:c r="E462" s="2"/>
      <x:c r="F462" s="2"/>
      <x:c r="G462" s="2"/>
      <x:c r="H462" s="2"/>
      <x:c r="I462" s="2"/>
      <x:c r="J462" s="2"/>
      <x:c r="K462" s="2"/>
      <x:c r="L462" s="2"/>
      <x:c r="M462" s="2"/>
      <x:c r="N462" s="2"/>
      <x:c r="O462" s="2"/>
      <x:c r="P462" s="2"/>
      <x:c r="Q462" s="2"/>
      <x:c r="R462" s="2"/>
      <x:c r="S462" s="2"/>
      <x:c r="T462" s="2"/>
      <x:c r="U462" s="2"/>
      <x:c r="V462" s="2"/>
      <x:c r="W462" s="2"/>
      <x:c r="X462" s="2"/>
    </x:row>
    <x:row r="463" ht="25" customHeight="1">
      <x:c r="A463" s="2"/>
      <x:c r="B463" s="2"/>
      <x:c r="C463" s="2"/>
      <x:c r="D463" s="2"/>
      <x:c r="E463" s="2"/>
      <x:c r="F463" s="2"/>
      <x:c r="G463" s="2"/>
      <x:c r="H463" s="2"/>
      <x:c r="I463" s="2"/>
      <x:c r="J463" s="2"/>
      <x:c r="K463" s="2"/>
      <x:c r="L463" s="2"/>
      <x:c r="M463" s="2"/>
      <x:c r="N463" s="2"/>
      <x:c r="O463" s="2"/>
      <x:c r="P463" s="2"/>
      <x:c r="Q463" s="2"/>
      <x:c r="R463" s="2"/>
      <x:c r="S463" s="2"/>
      <x:c r="T463" s="2"/>
      <x:c r="U463" s="2"/>
      <x:c r="V463" s="2"/>
      <x:c r="W463" s="2"/>
      <x:c r="X463" s="2"/>
    </x:row>
    <x:row r="464" ht="25" customHeight="1">
      <x:c r="A464" s="2"/>
      <x:c r="B464" s="2"/>
      <x:c r="C464" s="2"/>
      <x:c r="D464" s="2"/>
      <x:c r="E464" s="2"/>
      <x:c r="F464" s="2"/>
      <x:c r="G464" s="2"/>
      <x:c r="H464" s="2"/>
      <x:c r="I464" s="2"/>
      <x:c r="J464" s="2"/>
      <x:c r="K464" s="2"/>
      <x:c r="L464" s="2"/>
      <x:c r="M464" s="2"/>
      <x:c r="N464" s="2"/>
      <x:c r="O464" s="2"/>
      <x:c r="P464" s="2"/>
      <x:c r="Q464" s="2"/>
      <x:c r="R464" s="2"/>
      <x:c r="S464" s="2"/>
      <x:c r="T464" s="2"/>
      <x:c r="U464" s="2"/>
      <x:c r="V464" s="2"/>
      <x:c r="W464" s="2"/>
      <x:c r="X464" s="2"/>
    </x:row>
    <x:row r="465" ht="25" customHeight="1">
      <x:c r="A465" s="2"/>
      <x:c r="B465" s="2"/>
      <x:c r="C465" s="2"/>
      <x:c r="D465" s="2"/>
      <x:c r="E465" s="2"/>
      <x:c r="F465" s="2"/>
      <x:c r="G465" s="2"/>
      <x:c r="H465" s="2"/>
      <x:c r="I465" s="2"/>
      <x:c r="J465" s="2"/>
      <x:c r="K465" s="2"/>
      <x:c r="L465" s="2"/>
      <x:c r="M465" s="2"/>
      <x:c r="N465" s="2"/>
      <x:c r="O465" s="2"/>
      <x:c r="P465" s="2"/>
      <x:c r="Q465" s="2"/>
      <x:c r="R465" s="2"/>
      <x:c r="S465" s="2"/>
      <x:c r="T465" s="2"/>
      <x:c r="U465" s="2"/>
      <x:c r="V465" s="2"/>
      <x:c r="W465" s="2"/>
      <x:c r="X465" s="2"/>
    </x:row>
    <x:row r="466" ht="25" customHeight="1">
      <x:c r="A466" s="2"/>
      <x:c r="B466" s="2"/>
      <x:c r="C466" s="2"/>
      <x:c r="D466" s="2"/>
      <x:c r="E466" s="2"/>
      <x:c r="F466" s="2"/>
      <x:c r="G466" s="2"/>
      <x:c r="H466" s="2"/>
      <x:c r="I466" s="2"/>
      <x:c r="J466" s="2"/>
      <x:c r="K466" s="2"/>
      <x:c r="L466" s="2"/>
      <x:c r="M466" s="2"/>
      <x:c r="N466" s="2"/>
      <x:c r="O466" s="2"/>
      <x:c r="P466" s="2"/>
      <x:c r="Q466" s="2"/>
      <x:c r="R466" s="2"/>
      <x:c r="S466" s="2"/>
      <x:c r="T466" s="2"/>
      <x:c r="U466" s="2"/>
      <x:c r="V466" s="2"/>
      <x:c r="W466" s="2"/>
      <x:c r="X466" s="2"/>
    </x:row>
    <x:row r="467" ht="25" customHeight="1">
      <x:c r="A467" s="2"/>
      <x:c r="B467" s="2"/>
      <x:c r="C467" s="2"/>
      <x:c r="D467" s="2"/>
      <x:c r="E467" s="2"/>
      <x:c r="F467" s="2"/>
      <x:c r="G467" s="2"/>
      <x:c r="H467" s="2"/>
      <x:c r="I467" s="2"/>
      <x:c r="J467" s="2"/>
      <x:c r="K467" s="2"/>
      <x:c r="L467" s="2"/>
      <x:c r="M467" s="2"/>
      <x:c r="N467" s="2"/>
      <x:c r="O467" s="2"/>
      <x:c r="P467" s="2"/>
      <x:c r="Q467" s="2"/>
      <x:c r="R467" s="2"/>
      <x:c r="S467" s="2"/>
      <x:c r="T467" s="2"/>
      <x:c r="U467" s="2"/>
      <x:c r="V467" s="2"/>
      <x:c r="W467" s="2"/>
      <x:c r="X467" s="2"/>
    </x:row>
    <x:row r="468" ht="25" customHeight="1">
      <x:c r="A468" s="2"/>
      <x:c r="B468" s="2"/>
      <x:c r="C468" s="2"/>
      <x:c r="D468" s="2"/>
      <x:c r="E468" s="2"/>
      <x:c r="F468" s="2"/>
      <x:c r="G468" s="2"/>
      <x:c r="H468" s="2"/>
      <x:c r="I468" s="2"/>
      <x:c r="J468" s="2"/>
      <x:c r="K468" s="2"/>
      <x:c r="L468" s="2"/>
      <x:c r="M468" s="2"/>
      <x:c r="N468" s="2"/>
      <x:c r="O468" s="2"/>
      <x:c r="P468" s="2"/>
      <x:c r="Q468" s="2"/>
      <x:c r="R468" s="2"/>
      <x:c r="S468" s="2"/>
      <x:c r="T468" s="2"/>
      <x:c r="U468" s="2"/>
      <x:c r="V468" s="2"/>
      <x:c r="W468" s="2"/>
      <x:c r="X468" s="2"/>
    </x:row>
    <x:row r="469" ht="25" customHeight="1">
      <x:c r="A469" s="2"/>
      <x:c r="B469" s="2"/>
      <x:c r="C469" s="2"/>
      <x:c r="D469" s="2"/>
      <x:c r="E469" s="2"/>
      <x:c r="F469" s="2"/>
      <x:c r="G469" s="2"/>
      <x:c r="H469" s="2"/>
      <x:c r="I469" s="2"/>
      <x:c r="J469" s="2"/>
      <x:c r="K469" s="2"/>
      <x:c r="L469" s="2"/>
      <x:c r="M469" s="2"/>
      <x:c r="N469" s="2"/>
      <x:c r="O469" s="2"/>
      <x:c r="P469" s="2"/>
      <x:c r="Q469" s="2"/>
      <x:c r="R469" s="2"/>
      <x:c r="S469" s="2"/>
      <x:c r="T469" s="2"/>
      <x:c r="U469" s="2"/>
      <x:c r="V469" s="2"/>
      <x:c r="W469" s="2"/>
      <x:c r="X469" s="2"/>
    </x:row>
    <x:row r="470" ht="25" customHeight="1">
      <x:c r="A470" s="2"/>
      <x:c r="B470" s="2"/>
      <x:c r="C470" s="2"/>
      <x:c r="D470" s="2"/>
      <x:c r="E470" s="2"/>
      <x:c r="F470" s="2"/>
      <x:c r="G470" s="2"/>
      <x:c r="H470" s="2"/>
      <x:c r="I470" s="2"/>
      <x:c r="J470" s="2"/>
      <x:c r="K470" s="2"/>
      <x:c r="L470" s="2"/>
      <x:c r="M470" s="2"/>
      <x:c r="N470" s="2"/>
      <x:c r="O470" s="2"/>
      <x:c r="P470" s="2"/>
      <x:c r="Q470" s="2"/>
      <x:c r="R470" s="2"/>
      <x:c r="S470" s="2"/>
      <x:c r="T470" s="2"/>
      <x:c r="U470" s="2"/>
      <x:c r="V470" s="2"/>
      <x:c r="W470" s="2"/>
      <x:c r="X470" s="2"/>
    </x:row>
    <x:row r="471" ht="25" customHeight="1">
      <x:c r="A471" s="2"/>
      <x:c r="B471" s="2"/>
      <x:c r="C471" s="2"/>
      <x:c r="D471" s="2"/>
      <x:c r="E471" s="2"/>
      <x:c r="F471" s="2"/>
      <x:c r="G471" s="2"/>
      <x:c r="H471" s="2"/>
      <x:c r="I471" s="2"/>
      <x:c r="J471" s="2"/>
      <x:c r="K471" s="2"/>
      <x:c r="L471" s="2"/>
      <x:c r="M471" s="2"/>
      <x:c r="N471" s="2"/>
      <x:c r="O471" s="2"/>
      <x:c r="P471" s="2"/>
      <x:c r="Q471" s="2"/>
      <x:c r="R471" s="2"/>
      <x:c r="S471" s="2"/>
      <x:c r="T471" s="2"/>
      <x:c r="U471" s="2"/>
      <x:c r="V471" s="2"/>
      <x:c r="W471" s="2"/>
      <x:c r="X471" s="2"/>
    </x:row>
    <x:row r="472" ht="25" customHeight="1">
      <x:c r="A472" s="2"/>
      <x:c r="B472" s="2"/>
      <x:c r="C472" s="2"/>
      <x:c r="D472" s="2"/>
      <x:c r="E472" s="2"/>
      <x:c r="F472" s="2"/>
      <x:c r="G472" s="2"/>
      <x:c r="H472" s="2"/>
      <x:c r="I472" s="2"/>
      <x:c r="J472" s="2"/>
      <x:c r="K472" s="2"/>
      <x:c r="L472" s="2"/>
      <x:c r="M472" s="2"/>
      <x:c r="N472" s="2"/>
      <x:c r="O472" s="2"/>
      <x:c r="P472" s="2"/>
      <x:c r="Q472" s="2"/>
      <x:c r="R472" s="2"/>
      <x:c r="S472" s="2"/>
      <x:c r="T472" s="2"/>
      <x:c r="U472" s="2"/>
      <x:c r="V472" s="2"/>
      <x:c r="W472" s="2"/>
      <x:c r="X472" s="2"/>
    </x:row>
    <x:row r="473" ht="25" customHeight="1">
      <x:c r="A473" s="2"/>
      <x:c r="B473" s="2"/>
      <x:c r="C473" s="2"/>
      <x:c r="D473" s="2"/>
      <x:c r="E473" s="2"/>
      <x:c r="F473" s="2"/>
      <x:c r="G473" s="2"/>
      <x:c r="H473" s="2"/>
      <x:c r="I473" s="2"/>
      <x:c r="J473" s="2"/>
      <x:c r="K473" s="2"/>
      <x:c r="L473" s="2"/>
      <x:c r="M473" s="2"/>
      <x:c r="N473" s="2"/>
      <x:c r="O473" s="2"/>
      <x:c r="P473" s="2"/>
      <x:c r="Q473" s="2"/>
      <x:c r="R473" s="2"/>
      <x:c r="S473" s="2"/>
      <x:c r="T473" s="2"/>
      <x:c r="U473" s="2"/>
      <x:c r="V473" s="2"/>
      <x:c r="W473" s="2"/>
      <x:c r="X473" s="2"/>
    </x:row>
    <x:row r="474" ht="25" customHeight="1">
      <x:c r="A474" s="2"/>
      <x:c r="B474" s="2"/>
      <x:c r="C474" s="2"/>
      <x:c r="D474" s="2"/>
      <x:c r="E474" s="2"/>
      <x:c r="F474" s="2"/>
      <x:c r="G474" s="2"/>
      <x:c r="H474" s="2"/>
      <x:c r="I474" s="2"/>
      <x:c r="J474" s="2"/>
      <x:c r="K474" s="2"/>
      <x:c r="L474" s="2"/>
      <x:c r="M474" s="2"/>
      <x:c r="N474" s="2"/>
      <x:c r="O474" s="2"/>
      <x:c r="P474" s="2"/>
      <x:c r="Q474" s="2"/>
      <x:c r="R474" s="2"/>
      <x:c r="S474" s="2"/>
      <x:c r="T474" s="2"/>
      <x:c r="U474" s="2"/>
      <x:c r="V474" s="2"/>
      <x:c r="W474" s="2"/>
      <x:c r="X474" s="2"/>
    </x:row>
    <x:row r="475" ht="25" customHeight="1">
      <x:c r="A475" s="2"/>
      <x:c r="B475" s="2"/>
      <x:c r="C475" s="2"/>
      <x:c r="D475" s="2"/>
      <x:c r="E475" s="2"/>
      <x:c r="F475" s="2"/>
      <x:c r="G475" s="2"/>
      <x:c r="H475" s="2"/>
      <x:c r="I475" s="2"/>
      <x:c r="J475" s="2"/>
      <x:c r="K475" s="2"/>
      <x:c r="L475" s="2"/>
      <x:c r="M475" s="2"/>
      <x:c r="N475" s="2"/>
      <x:c r="O475" s="2"/>
      <x:c r="P475" s="2"/>
      <x:c r="Q475" s="2"/>
      <x:c r="R475" s="2"/>
      <x:c r="S475" s="2"/>
      <x:c r="T475" s="2"/>
      <x:c r="U475" s="2"/>
      <x:c r="V475" s="2"/>
      <x:c r="W475" s="2"/>
      <x:c r="X475" s="2"/>
    </x:row>
    <x:row r="476" ht="25" customHeight="1">
      <x:c r="A476" s="2"/>
      <x:c r="B476" s="2"/>
      <x:c r="C476" s="2"/>
      <x:c r="D476" s="2"/>
      <x:c r="E476" s="2"/>
      <x:c r="F476" s="2"/>
      <x:c r="G476" s="2"/>
      <x:c r="H476" s="2"/>
      <x:c r="I476" s="2"/>
      <x:c r="J476" s="2"/>
      <x:c r="K476" s="2"/>
      <x:c r="L476" s="2"/>
      <x:c r="M476" s="2"/>
      <x:c r="N476" s="2"/>
      <x:c r="O476" s="2"/>
      <x:c r="P476" s="2"/>
      <x:c r="Q476" s="2"/>
      <x:c r="R476" s="2"/>
      <x:c r="S476" s="2"/>
      <x:c r="T476" s="2"/>
      <x:c r="U476" s="2"/>
      <x:c r="V476" s="2"/>
      <x:c r="W476" s="2"/>
      <x:c r="X476" s="2"/>
    </x:row>
    <x:row r="477" ht="25" customHeight="1">
      <x:c r="A477" s="2"/>
      <x:c r="B477" s="2"/>
      <x:c r="C477" s="2"/>
      <x:c r="D477" s="2"/>
      <x:c r="E477" s="2"/>
      <x:c r="F477" s="2"/>
      <x:c r="G477" s="2"/>
      <x:c r="H477" s="2"/>
      <x:c r="I477" s="2"/>
      <x:c r="J477" s="2"/>
      <x:c r="K477" s="2"/>
      <x:c r="L477" s="2"/>
      <x:c r="M477" s="2"/>
      <x:c r="N477" s="2"/>
      <x:c r="O477" s="2"/>
      <x:c r="P477" s="2"/>
      <x:c r="Q477" s="2"/>
      <x:c r="R477" s="2"/>
      <x:c r="S477" s="2"/>
      <x:c r="T477" s="2"/>
      <x:c r="U477" s="2"/>
      <x:c r="V477" s="2"/>
      <x:c r="W477" s="2"/>
      <x:c r="X477" s="2"/>
    </x:row>
    <x:row r="478" ht="25" customHeight="1">
      <x:c r="A478" s="2"/>
      <x:c r="B478" s="2"/>
      <x:c r="C478" s="2"/>
      <x:c r="D478" s="2"/>
      <x:c r="E478" s="2"/>
      <x:c r="F478" s="2"/>
      <x:c r="G478" s="2"/>
      <x:c r="H478" s="2"/>
      <x:c r="I478" s="2"/>
      <x:c r="J478" s="2"/>
      <x:c r="K478" s="2"/>
      <x:c r="L478" s="2"/>
      <x:c r="M478" s="2"/>
      <x:c r="N478" s="2"/>
      <x:c r="O478" s="2"/>
      <x:c r="P478" s="2"/>
      <x:c r="Q478" s="2"/>
      <x:c r="R478" s="2"/>
      <x:c r="S478" s="2"/>
      <x:c r="T478" s="2"/>
      <x:c r="U478" s="2"/>
      <x:c r="V478" s="2"/>
      <x:c r="W478" s="2"/>
      <x:c r="X478" s="2"/>
    </x:row>
    <x:row r="479" ht="25" customHeight="1">
      <x:c r="A479" s="2"/>
      <x:c r="B479" s="2"/>
      <x:c r="C479" s="2"/>
      <x:c r="D479" s="2"/>
      <x:c r="E479" s="2"/>
      <x:c r="F479" s="2"/>
      <x:c r="G479" s="2"/>
      <x:c r="H479" s="2"/>
      <x:c r="I479" s="2"/>
      <x:c r="J479" s="2"/>
      <x:c r="K479" s="2"/>
      <x:c r="L479" s="2"/>
      <x:c r="M479" s="2"/>
      <x:c r="N479" s="2"/>
      <x:c r="O479" s="2"/>
      <x:c r="P479" s="2"/>
      <x:c r="Q479" s="2"/>
      <x:c r="R479" s="2"/>
      <x:c r="S479" s="2"/>
      <x:c r="T479" s="2"/>
      <x:c r="U479" s="2"/>
      <x:c r="V479" s="2"/>
      <x:c r="W479" s="2"/>
      <x:c r="X479" s="2"/>
    </x:row>
    <x:row r="480" ht="25" customHeight="1">
      <x:c r="A480" s="2"/>
      <x:c r="B480" s="2"/>
      <x:c r="C480" s="2"/>
      <x:c r="D480" s="2"/>
      <x:c r="E480" s="2"/>
      <x:c r="F480" s="2"/>
      <x:c r="G480" s="2"/>
      <x:c r="H480" s="2"/>
      <x:c r="I480" s="2"/>
      <x:c r="J480" s="2"/>
      <x:c r="K480" s="2"/>
      <x:c r="L480" s="2"/>
      <x:c r="M480" s="2"/>
      <x:c r="N480" s="2"/>
      <x:c r="O480" s="2"/>
      <x:c r="P480" s="2"/>
      <x:c r="Q480" s="2"/>
      <x:c r="R480" s="2"/>
      <x:c r="S480" s="2"/>
      <x:c r="T480" s="2"/>
      <x:c r="U480" s="2"/>
      <x:c r="V480" s="2"/>
      <x:c r="W480" s="2"/>
      <x:c r="X480" s="2"/>
    </x:row>
    <x:row r="481" ht="25" customHeight="1">
      <x:c r="A481" s="2"/>
      <x:c r="B481" s="2"/>
      <x:c r="C481" s="2"/>
      <x:c r="D481" s="2"/>
      <x:c r="E481" s="2"/>
      <x:c r="F481" s="2"/>
      <x:c r="G481" s="2"/>
      <x:c r="H481" s="2"/>
      <x:c r="I481" s="2"/>
      <x:c r="J481" s="2"/>
      <x:c r="K481" s="2"/>
      <x:c r="L481" s="2"/>
      <x:c r="M481" s="2"/>
      <x:c r="N481" s="2"/>
      <x:c r="O481" s="2"/>
      <x:c r="P481" s="2"/>
      <x:c r="Q481" s="2"/>
      <x:c r="R481" s="2"/>
      <x:c r="S481" s="2"/>
      <x:c r="T481" s="2"/>
      <x:c r="U481" s="2"/>
      <x:c r="V481" s="2"/>
      <x:c r="W481" s="2"/>
      <x:c r="X481" s="2"/>
    </x:row>
    <x:row r="482" ht="25" customHeight="1">
      <x:c r="A482" s="2"/>
      <x:c r="B482" s="2"/>
      <x:c r="C482" s="2"/>
      <x:c r="D482" s="2"/>
      <x:c r="E482" s="2"/>
      <x:c r="F482" s="2"/>
      <x:c r="G482" s="2"/>
      <x:c r="H482" s="2"/>
      <x:c r="I482" s="2"/>
      <x:c r="J482" s="2"/>
      <x:c r="K482" s="2"/>
      <x:c r="L482" s="2"/>
      <x:c r="M482" s="2"/>
      <x:c r="N482" s="2"/>
      <x:c r="O482" s="2"/>
      <x:c r="P482" s="2"/>
      <x:c r="Q482" s="2"/>
      <x:c r="R482" s="2"/>
      <x:c r="S482" s="2"/>
      <x:c r="T482" s="2"/>
      <x:c r="U482" s="2"/>
      <x:c r="V482" s="2"/>
      <x:c r="W482" s="2"/>
      <x:c r="X482" s="2"/>
    </x:row>
    <x:row r="483" ht="25" customHeight="1">
      <x:c r="A483" s="2"/>
      <x:c r="B483" s="2"/>
      <x:c r="C483" s="2"/>
      <x:c r="D483" s="2"/>
      <x:c r="E483" s="2"/>
      <x:c r="F483" s="2"/>
      <x:c r="G483" s="2"/>
      <x:c r="H483" s="2"/>
      <x:c r="I483" s="2"/>
      <x:c r="J483" s="2"/>
      <x:c r="K483" s="2"/>
      <x:c r="L483" s="2"/>
      <x:c r="M483" s="2"/>
      <x:c r="N483" s="2"/>
      <x:c r="O483" s="2"/>
      <x:c r="P483" s="2"/>
      <x:c r="Q483" s="2"/>
      <x:c r="R483" s="2"/>
      <x:c r="S483" s="2"/>
      <x:c r="T483" s="2"/>
      <x:c r="U483" s="2"/>
      <x:c r="V483" s="2"/>
      <x:c r="W483" s="2"/>
      <x:c r="X483" s="2"/>
    </x:row>
    <x:row r="484" ht="25" customHeight="1">
      <x:c r="A484" s="2"/>
      <x:c r="B484" s="2"/>
      <x:c r="C484" s="2"/>
      <x:c r="D484" s="2"/>
      <x:c r="E484" s="2"/>
      <x:c r="F484" s="2"/>
      <x:c r="G484" s="2"/>
      <x:c r="H484" s="2"/>
      <x:c r="I484" s="2"/>
      <x:c r="J484" s="2"/>
      <x:c r="K484" s="2"/>
      <x:c r="L484" s="2"/>
      <x:c r="M484" s="2"/>
      <x:c r="N484" s="2"/>
      <x:c r="O484" s="2"/>
      <x:c r="P484" s="2"/>
      <x:c r="Q484" s="2"/>
      <x:c r="R484" s="2"/>
      <x:c r="S484" s="2"/>
      <x:c r="T484" s="2"/>
      <x:c r="U484" s="2"/>
      <x:c r="V484" s="2"/>
      <x:c r="W484" s="2"/>
      <x:c r="X484" s="2"/>
    </x:row>
    <x:row r="485" ht="25" customHeight="1">
      <x:c r="A485" s="2"/>
      <x:c r="B485" s="2"/>
      <x:c r="C485" s="2"/>
      <x:c r="D485" s="2"/>
      <x:c r="E485" s="2"/>
      <x:c r="F485" s="2"/>
      <x:c r="G485" s="2"/>
      <x:c r="H485" s="2"/>
      <x:c r="I485" s="2"/>
      <x:c r="J485" s="2"/>
      <x:c r="K485" s="2"/>
      <x:c r="L485" s="2"/>
      <x:c r="M485" s="2"/>
      <x:c r="N485" s="2"/>
      <x:c r="O485" s="2"/>
      <x:c r="P485" s="2"/>
      <x:c r="Q485" s="2"/>
      <x:c r="R485" s="2"/>
      <x:c r="S485" s="2"/>
      <x:c r="T485" s="2"/>
      <x:c r="U485" s="2"/>
      <x:c r="V485" s="2"/>
      <x:c r="W485" s="2"/>
      <x:c r="X485" s="2"/>
    </x:row>
    <x:row r="486" ht="25" customHeight="1">
      <x:c r="A486" s="2"/>
      <x:c r="B486" s="2"/>
      <x:c r="C486" s="2"/>
      <x:c r="D486" s="2"/>
      <x:c r="E486" s="2"/>
      <x:c r="F486" s="2"/>
      <x:c r="G486" s="2"/>
      <x:c r="H486" s="2"/>
      <x:c r="I486" s="2"/>
      <x:c r="J486" s="2"/>
      <x:c r="K486" s="2"/>
      <x:c r="L486" s="2"/>
      <x:c r="M486" s="2"/>
      <x:c r="N486" s="2"/>
      <x:c r="O486" s="2"/>
      <x:c r="P486" s="2"/>
      <x:c r="Q486" s="2"/>
      <x:c r="R486" s="2"/>
      <x:c r="S486" s="2"/>
      <x:c r="T486" s="2"/>
      <x:c r="U486" s="2"/>
      <x:c r="V486" s="2"/>
      <x:c r="W486" s="2"/>
      <x:c r="X486" s="2"/>
    </x:row>
    <x:row r="487" ht="25" customHeight="1">
      <x:c r="A487" s="2"/>
      <x:c r="B487" s="2"/>
      <x:c r="C487" s="2"/>
      <x:c r="D487" s="2"/>
      <x:c r="E487" s="2"/>
      <x:c r="F487" s="2"/>
      <x:c r="G487" s="2"/>
      <x:c r="H487" s="2"/>
      <x:c r="I487" s="2"/>
      <x:c r="J487" s="2"/>
      <x:c r="K487" s="2"/>
      <x:c r="L487" s="2"/>
      <x:c r="M487" s="2"/>
      <x:c r="N487" s="2"/>
      <x:c r="O487" s="2"/>
      <x:c r="P487" s="2"/>
      <x:c r="Q487" s="2"/>
      <x:c r="R487" s="2"/>
      <x:c r="S487" s="2"/>
      <x:c r="T487" s="2"/>
      <x:c r="U487" s="2"/>
      <x:c r="V487" s="2"/>
      <x:c r="W487" s="2"/>
      <x:c r="X487" s="2"/>
    </x:row>
    <x:row r="488" ht="25" customHeight="1">
      <x:c r="A488" s="2"/>
      <x:c r="B488" s="2"/>
      <x:c r="C488" s="2"/>
      <x:c r="D488" s="2"/>
      <x:c r="E488" s="2"/>
      <x:c r="F488" s="2"/>
      <x:c r="G488" s="2"/>
      <x:c r="H488" s="2"/>
      <x:c r="I488" s="2"/>
      <x:c r="J488" s="2"/>
      <x:c r="K488" s="2"/>
      <x:c r="L488" s="2"/>
      <x:c r="M488" s="2"/>
      <x:c r="N488" s="2"/>
      <x:c r="O488" s="2"/>
      <x:c r="P488" s="2"/>
      <x:c r="Q488" s="2"/>
      <x:c r="R488" s="2"/>
      <x:c r="S488" s="2"/>
      <x:c r="T488" s="2"/>
      <x:c r="U488" s="2"/>
      <x:c r="V488" s="2"/>
      <x:c r="W488" s="2"/>
      <x:c r="X488" s="2"/>
    </x:row>
    <x:row r="489" ht="25" customHeight="1">
      <x:c r="A489" s="2"/>
      <x:c r="B489" s="2"/>
      <x:c r="C489" s="2"/>
      <x:c r="D489" s="2"/>
      <x:c r="E489" s="2"/>
      <x:c r="F489" s="2"/>
      <x:c r="G489" s="2"/>
      <x:c r="H489" s="2"/>
      <x:c r="I489" s="2"/>
      <x:c r="J489" s="2"/>
      <x:c r="K489" s="2"/>
      <x:c r="L489" s="2"/>
      <x:c r="M489" s="2"/>
      <x:c r="N489" s="2"/>
      <x:c r="O489" s="2"/>
      <x:c r="P489" s="2"/>
      <x:c r="Q489" s="2"/>
      <x:c r="R489" s="2"/>
      <x:c r="S489" s="2"/>
      <x:c r="T489" s="2"/>
      <x:c r="U489" s="2"/>
      <x:c r="V489" s="2"/>
      <x:c r="W489" s="2"/>
      <x:c r="X489" s="2"/>
    </x:row>
    <x:row r="490" ht="25" customHeight="1">
      <x:c r="A490" s="2"/>
      <x:c r="B490" s="2"/>
      <x:c r="C490" s="2"/>
      <x:c r="D490" s="2"/>
      <x:c r="E490" s="2"/>
      <x:c r="F490" s="2"/>
      <x:c r="G490" s="2"/>
      <x:c r="H490" s="2"/>
      <x:c r="I490" s="2"/>
      <x:c r="J490" s="2"/>
      <x:c r="K490" s="2"/>
      <x:c r="L490" s="2"/>
      <x:c r="M490" s="2"/>
      <x:c r="N490" s="2"/>
      <x:c r="O490" s="2"/>
      <x:c r="P490" s="2"/>
      <x:c r="Q490" s="2"/>
      <x:c r="R490" s="2"/>
      <x:c r="S490" s="2"/>
      <x:c r="T490" s="2"/>
      <x:c r="U490" s="2"/>
      <x:c r="V490" s="2"/>
      <x:c r="W490" s="2"/>
      <x:c r="X490" s="2"/>
    </x:row>
    <x:row r="491" ht="25" customHeight="1">
      <x:c r="A491" s="2"/>
      <x:c r="B491" s="2"/>
      <x:c r="C491" s="2"/>
      <x:c r="D491" s="2"/>
      <x:c r="E491" s="2"/>
      <x:c r="F491" s="2"/>
      <x:c r="G491" s="2"/>
      <x:c r="H491" s="2"/>
      <x:c r="I491" s="2"/>
      <x:c r="J491" s="2"/>
      <x:c r="K491" s="2"/>
      <x:c r="L491" s="2"/>
      <x:c r="M491" s="2"/>
      <x:c r="N491" s="2"/>
      <x:c r="O491" s="2"/>
      <x:c r="P491" s="2"/>
      <x:c r="Q491" s="2"/>
      <x:c r="R491" s="2"/>
      <x:c r="S491" s="2"/>
      <x:c r="T491" s="2"/>
      <x:c r="U491" s="2"/>
      <x:c r="V491" s="2"/>
      <x:c r="W491" s="2"/>
      <x:c r="X491" s="2"/>
    </x:row>
    <x:row r="492" ht="25" customHeight="1">
      <x:c r="A492" s="2"/>
      <x:c r="B492" s="2"/>
      <x:c r="C492" s="2"/>
      <x:c r="D492" s="2"/>
      <x:c r="E492" s="2"/>
      <x:c r="F492" s="2"/>
      <x:c r="G492" s="2"/>
      <x:c r="H492" s="2"/>
      <x:c r="I492" s="2"/>
      <x:c r="J492" s="2"/>
      <x:c r="K492" s="2"/>
      <x:c r="L492" s="2"/>
      <x:c r="M492" s="2"/>
      <x:c r="N492" s="2"/>
      <x:c r="O492" s="2"/>
      <x:c r="P492" s="2"/>
      <x:c r="Q492" s="2"/>
      <x:c r="R492" s="2"/>
      <x:c r="S492" s="2"/>
      <x:c r="T492" s="2"/>
      <x:c r="U492" s="2"/>
      <x:c r="V492" s="2"/>
      <x:c r="W492" s="2"/>
      <x:c r="X492" s="2"/>
    </x:row>
    <x:row r="493" ht="25" customHeight="1">
      <x:c r="A493" s="2"/>
      <x:c r="B493" s="2"/>
      <x:c r="C493" s="2"/>
      <x:c r="D493" s="2"/>
      <x:c r="E493" s="2"/>
      <x:c r="F493" s="2"/>
      <x:c r="G493" s="2"/>
      <x:c r="H493" s="2"/>
      <x:c r="I493" s="2"/>
      <x:c r="J493" s="2"/>
      <x:c r="K493" s="2"/>
      <x:c r="L493" s="2"/>
      <x:c r="M493" s="2"/>
      <x:c r="N493" s="2"/>
      <x:c r="O493" s="2"/>
      <x:c r="P493" s="2"/>
      <x:c r="Q493" s="2"/>
      <x:c r="R493" s="2"/>
      <x:c r="S493" s="2"/>
      <x:c r="T493" s="2"/>
      <x:c r="U493" s="2"/>
      <x:c r="V493" s="2"/>
      <x:c r="W493" s="2"/>
      <x:c r="X493" s="2"/>
    </x:row>
    <x:row r="494" ht="25" customHeight="1">
      <x:c r="A494" s="2"/>
      <x:c r="B494" s="2"/>
      <x:c r="C494" s="2"/>
      <x:c r="D494" s="2"/>
      <x:c r="E494" s="2"/>
      <x:c r="F494" s="2"/>
      <x:c r="G494" s="2"/>
      <x:c r="H494" s="2"/>
      <x:c r="I494" s="2"/>
      <x:c r="J494" s="2"/>
      <x:c r="K494" s="2"/>
      <x:c r="L494" s="2"/>
      <x:c r="M494" s="2"/>
      <x:c r="N494" s="2"/>
      <x:c r="O494" s="2"/>
      <x:c r="P494" s="2"/>
      <x:c r="Q494" s="2"/>
      <x:c r="R494" s="2"/>
      <x:c r="S494" s="2"/>
      <x:c r="T494" s="2"/>
      <x:c r="U494" s="2"/>
      <x:c r="V494" s="2"/>
      <x:c r="W494" s="2"/>
      <x:c r="X494" s="2"/>
    </x:row>
    <x:row r="495" ht="25" customHeight="1">
      <x:c r="A495" s="2"/>
      <x:c r="B495" s="2"/>
      <x:c r="C495" s="2"/>
      <x:c r="D495" s="2"/>
      <x:c r="E495" s="2"/>
      <x:c r="F495" s="2"/>
      <x:c r="G495" s="2"/>
      <x:c r="H495" s="2"/>
      <x:c r="I495" s="2"/>
      <x:c r="J495" s="2"/>
      <x:c r="K495" s="2"/>
      <x:c r="L495" s="2"/>
      <x:c r="M495" s="2"/>
      <x:c r="N495" s="2"/>
      <x:c r="O495" s="2"/>
      <x:c r="P495" s="2"/>
      <x:c r="Q495" s="2"/>
      <x:c r="R495" s="2"/>
      <x:c r="S495" s="2"/>
      <x:c r="T495" s="2"/>
      <x:c r="U495" s="2"/>
      <x:c r="V495" s="2"/>
      <x:c r="W495" s="2"/>
      <x:c r="X495" s="2"/>
    </x:row>
    <x:row r="496" ht="25" customHeight="1">
      <x:c r="A496" s="2"/>
      <x:c r="B496" s="2"/>
      <x:c r="C496" s="2"/>
      <x:c r="D496" s="2"/>
      <x:c r="E496" s="2"/>
      <x:c r="F496" s="2"/>
      <x:c r="G496" s="2"/>
      <x:c r="H496" s="2"/>
      <x:c r="I496" s="2"/>
      <x:c r="J496" s="2"/>
      <x:c r="K496" s="2"/>
      <x:c r="L496" s="2"/>
      <x:c r="M496" s="2"/>
      <x:c r="N496" s="2"/>
      <x:c r="O496" s="2"/>
      <x:c r="P496" s="2"/>
      <x:c r="Q496" s="2"/>
      <x:c r="R496" s="2"/>
      <x:c r="S496" s="2"/>
      <x:c r="T496" s="2"/>
      <x:c r="U496" s="2"/>
      <x:c r="V496" s="2"/>
      <x:c r="W496" s="2"/>
      <x:c r="X496" s="2"/>
    </x:row>
    <x:row r="497" ht="25" customHeight="1">
      <x:c r="A497" s="2"/>
      <x:c r="B497" s="2"/>
      <x:c r="C497" s="2"/>
      <x:c r="D497" s="2"/>
      <x:c r="E497" s="2"/>
      <x:c r="F497" s="2"/>
      <x:c r="G497" s="2"/>
      <x:c r="H497" s="2"/>
      <x:c r="I497" s="2"/>
      <x:c r="J497" s="2"/>
      <x:c r="K497" s="2"/>
      <x:c r="L497" s="2"/>
      <x:c r="M497" s="2"/>
      <x:c r="N497" s="2"/>
      <x:c r="O497" s="2"/>
      <x:c r="P497" s="2"/>
      <x:c r="Q497" s="2"/>
      <x:c r="R497" s="2"/>
      <x:c r="S497" s="2"/>
      <x:c r="T497" s="2"/>
      <x:c r="U497" s="2"/>
      <x:c r="V497" s="2"/>
      <x:c r="W497" s="2"/>
      <x:c r="X497" s="2"/>
    </x:row>
    <x:row r="498" ht="25" customHeight="1">
      <x:c r="A498" s="2"/>
      <x:c r="B498" s="2"/>
      <x:c r="C498" s="2"/>
      <x:c r="D498" s="2"/>
      <x:c r="E498" s="2"/>
      <x:c r="F498" s="2"/>
      <x:c r="G498" s="2"/>
      <x:c r="H498" s="2"/>
      <x:c r="I498" s="2"/>
      <x:c r="J498" s="2"/>
      <x:c r="K498" s="2"/>
      <x:c r="L498" s="2"/>
      <x:c r="M498" s="2"/>
      <x:c r="N498" s="2"/>
      <x:c r="O498" s="2"/>
      <x:c r="P498" s="2"/>
      <x:c r="Q498" s="2"/>
      <x:c r="R498" s="2"/>
      <x:c r="S498" s="2"/>
      <x:c r="T498" s="2"/>
      <x:c r="U498" s="2"/>
      <x:c r="V498" s="2"/>
      <x:c r="W498" s="2"/>
      <x:c r="X498" s="2"/>
    </x:row>
    <x:row r="499" ht="25" customHeight="1">
      <x:c r="A499" s="2"/>
      <x:c r="B499" s="2"/>
      <x:c r="C499" s="2"/>
      <x:c r="D499" s="2"/>
      <x:c r="E499" s="2"/>
      <x:c r="F499" s="2"/>
      <x:c r="G499" s="2"/>
      <x:c r="H499" s="2"/>
      <x:c r="I499" s="2"/>
      <x:c r="J499" s="2"/>
      <x:c r="K499" s="2"/>
      <x:c r="L499" s="2"/>
      <x:c r="M499" s="2"/>
      <x:c r="N499" s="2"/>
      <x:c r="O499" s="2"/>
      <x:c r="P499" s="2"/>
      <x:c r="Q499" s="2"/>
      <x:c r="R499" s="2"/>
      <x:c r="S499" s="2"/>
      <x:c r="T499" s="2"/>
      <x:c r="U499" s="2"/>
      <x:c r="V499" s="2"/>
      <x:c r="W499" s="2"/>
      <x:c r="X499" s="2"/>
    </x:row>
    <x:row r="500" ht="25" customHeight="1">
      <x:c r="A500" s="2"/>
      <x:c r="B500" s="2"/>
      <x:c r="C500" s="2"/>
      <x:c r="D500" s="2"/>
      <x:c r="E500" s="2"/>
      <x:c r="F500" s="2"/>
      <x:c r="G500" s="2"/>
      <x:c r="H500" s="2"/>
      <x:c r="I500" s="2"/>
      <x:c r="J500" s="2"/>
      <x:c r="K500" s="2"/>
      <x:c r="L500" s="2"/>
      <x:c r="M500" s="2"/>
      <x:c r="N500" s="2"/>
      <x:c r="O500" s="2"/>
      <x:c r="P500" s="2"/>
      <x:c r="Q500" s="2"/>
      <x:c r="R500" s="2"/>
      <x:c r="S500" s="2"/>
      <x:c r="T500" s="2"/>
      <x:c r="U500" s="2"/>
      <x:c r="V500" s="2"/>
      <x:c r="W500" s="2"/>
      <x:c r="X500" s="2"/>
    </x:row>
    <x:row r="501" ht="25" customHeight="1">
      <x:c r="A501" s="2"/>
      <x:c r="B501" s="2"/>
      <x:c r="C501" s="2"/>
      <x:c r="D501" s="2"/>
      <x:c r="E501" s="2"/>
      <x:c r="F501" s="2"/>
      <x:c r="G501" s="2"/>
      <x:c r="H501" s="2"/>
      <x:c r="I501" s="2"/>
      <x:c r="J501" s="2"/>
      <x:c r="K501" s="2"/>
      <x:c r="L501" s="2"/>
      <x:c r="M501" s="2"/>
      <x:c r="N501" s="2"/>
      <x:c r="O501" s="2"/>
      <x:c r="P501" s="2"/>
      <x:c r="Q501" s="2"/>
      <x:c r="R501" s="2"/>
      <x:c r="S501" s="2"/>
      <x:c r="T501" s="2"/>
      <x:c r="U501" s="2"/>
      <x:c r="V501" s="2"/>
      <x:c r="W501" s="2"/>
      <x:c r="X501" s="2"/>
    </x:row>
    <x:row r="502" ht="25" customHeight="1">
      <x:c r="A502" s="2"/>
      <x:c r="B502" s="2"/>
      <x:c r="C502" s="2"/>
      <x:c r="D502" s="2"/>
      <x:c r="E502" s="2"/>
      <x:c r="F502" s="2"/>
      <x:c r="G502" s="2"/>
      <x:c r="H502" s="2"/>
      <x:c r="I502" s="2"/>
      <x:c r="J502" s="2"/>
      <x:c r="K502" s="2"/>
      <x:c r="L502" s="2"/>
      <x:c r="M502" s="2"/>
      <x:c r="N502" s="2"/>
      <x:c r="O502" s="2"/>
      <x:c r="P502" s="2"/>
      <x:c r="Q502" s="2"/>
      <x:c r="R502" s="2"/>
      <x:c r="S502" s="2"/>
      <x:c r="T502" s="2"/>
      <x:c r="U502" s="2"/>
      <x:c r="V502" s="2"/>
      <x:c r="W502" s="2"/>
      <x:c r="X502" s="2"/>
    </x:row>
    <x:row r="503" ht="25" customHeight="1">
      <x:c r="A503" s="2"/>
      <x:c r="B503" s="2"/>
      <x:c r="C503" s="2"/>
      <x:c r="D503" s="2"/>
      <x:c r="E503" s="2"/>
      <x:c r="F503" s="2"/>
      <x:c r="G503" s="2"/>
      <x:c r="H503" s="2"/>
      <x:c r="I503" s="2"/>
      <x:c r="J503" s="2"/>
      <x:c r="K503" s="2"/>
      <x:c r="L503" s="2"/>
      <x:c r="M503" s="2"/>
      <x:c r="N503" s="2"/>
      <x:c r="O503" s="2"/>
      <x:c r="P503" s="2"/>
      <x:c r="Q503" s="2"/>
      <x:c r="R503" s="2"/>
      <x:c r="S503" s="2"/>
      <x:c r="T503" s="2"/>
      <x:c r="U503" s="2"/>
      <x:c r="V503" s="2"/>
      <x:c r="W503" s="2"/>
      <x:c r="X503" s="2"/>
    </x:row>
    <x:row r="504" ht="25" customHeight="1">
      <x:c r="A504" s="2"/>
      <x:c r="B504" s="2"/>
      <x:c r="C504" s="2"/>
      <x:c r="D504" s="2"/>
      <x:c r="E504" s="2"/>
      <x:c r="F504" s="2"/>
      <x:c r="G504" s="2"/>
      <x:c r="H504" s="2"/>
      <x:c r="I504" s="2"/>
      <x:c r="J504" s="2"/>
      <x:c r="K504" s="2"/>
      <x:c r="L504" s="2"/>
      <x:c r="M504" s="2"/>
      <x:c r="N504" s="2"/>
      <x:c r="O504" s="2"/>
      <x:c r="P504" s="2"/>
      <x:c r="Q504" s="2"/>
      <x:c r="R504" s="2"/>
      <x:c r="S504" s="2"/>
      <x:c r="T504" s="2"/>
      <x:c r="U504" s="2"/>
      <x:c r="V504" s="2"/>
      <x:c r="W504" s="2"/>
      <x:c r="X504" s="2"/>
    </x:row>
    <x:row r="505" ht="25" customHeight="1">
      <x:c r="A505" s="2"/>
      <x:c r="B505" s="2"/>
      <x:c r="C505" s="2"/>
      <x:c r="D505" s="2"/>
      <x:c r="E505" s="2"/>
      <x:c r="F505" s="2"/>
      <x:c r="G505" s="2"/>
      <x:c r="H505" s="2"/>
      <x:c r="I505" s="2"/>
      <x:c r="J505" s="2"/>
      <x:c r="K505" s="2"/>
      <x:c r="L505" s="2"/>
      <x:c r="M505" s="2"/>
      <x:c r="N505" s="2"/>
      <x:c r="O505" s="2"/>
      <x:c r="P505" s="2"/>
      <x:c r="Q505" s="2"/>
      <x:c r="R505" s="2"/>
      <x:c r="S505" s="2"/>
      <x:c r="T505" s="2"/>
      <x:c r="U505" s="2"/>
      <x:c r="V505" s="2"/>
      <x:c r="W505" s="2"/>
      <x:c r="X505" s="2"/>
    </x:row>
    <x:row r="506" ht="25" customHeight="1">
      <x:c r="A506" s="2"/>
      <x:c r="B506" s="2"/>
      <x:c r="C506" s="2"/>
      <x:c r="D506" s="2"/>
      <x:c r="E506" s="2"/>
      <x:c r="F506" s="2"/>
      <x:c r="G506" s="2"/>
      <x:c r="H506" s="2"/>
      <x:c r="I506" s="2"/>
      <x:c r="J506" s="2"/>
      <x:c r="K506" s="2"/>
      <x:c r="L506" s="2"/>
      <x:c r="M506" s="2"/>
      <x:c r="N506" s="2"/>
      <x:c r="O506" s="2"/>
      <x:c r="P506" s="2"/>
      <x:c r="Q506" s="2"/>
      <x:c r="R506" s="2"/>
      <x:c r="S506" s="2"/>
      <x:c r="T506" s="2"/>
      <x:c r="U506" s="2"/>
      <x:c r="V506" s="2"/>
      <x:c r="W506" s="2"/>
      <x:c r="X506" s="2"/>
    </x:row>
    <x:row r="507" ht="25" customHeight="1">
      <x:c r="A507" s="2"/>
      <x:c r="B507" s="2"/>
      <x:c r="C507" s="2"/>
      <x:c r="D507" s="2"/>
      <x:c r="E507" s="2"/>
      <x:c r="F507" s="2"/>
      <x:c r="G507" s="2"/>
      <x:c r="H507" s="2"/>
      <x:c r="I507" s="2"/>
      <x:c r="J507" s="2"/>
      <x:c r="K507" s="2"/>
      <x:c r="L507" s="2"/>
      <x:c r="M507" s="2"/>
      <x:c r="N507" s="2"/>
      <x:c r="O507" s="2"/>
      <x:c r="P507" s="2"/>
      <x:c r="Q507" s="2"/>
      <x:c r="R507" s="2"/>
      <x:c r="S507" s="2"/>
      <x:c r="T507" s="2"/>
      <x:c r="U507" s="2"/>
      <x:c r="V507" s="2"/>
      <x:c r="W507" s="2"/>
      <x:c r="X507" s="2"/>
    </x:row>
    <x:row r="508" ht="25" customHeight="1">
      <x:c r="A508" s="2"/>
      <x:c r="B508" s="2"/>
      <x:c r="C508" s="2"/>
      <x:c r="D508" s="2"/>
      <x:c r="E508" s="2"/>
      <x:c r="F508" s="2"/>
      <x:c r="G508" s="2"/>
      <x:c r="H508" s="2"/>
      <x:c r="I508" s="2"/>
      <x:c r="J508" s="2"/>
      <x:c r="K508" s="2"/>
      <x:c r="L508" s="2"/>
      <x:c r="M508" s="2"/>
      <x:c r="N508" s="2"/>
      <x:c r="O508" s="2"/>
      <x:c r="P508" s="2"/>
      <x:c r="Q508" s="2"/>
      <x:c r="R508" s="2"/>
      <x:c r="S508" s="2"/>
      <x:c r="T508" s="2"/>
      <x:c r="U508" s="2"/>
      <x:c r="V508" s="2"/>
      <x:c r="W508" s="2"/>
      <x:c r="X508" s="2"/>
    </x:row>
    <x:row r="509" ht="25" customHeight="1">
      <x:c r="A509" s="2"/>
      <x:c r="B509" s="2"/>
      <x:c r="C509" s="2"/>
      <x:c r="D509" s="2"/>
      <x:c r="E509" s="2"/>
      <x:c r="F509" s="2"/>
      <x:c r="G509" s="2"/>
      <x:c r="H509" s="2"/>
      <x:c r="I509" s="2"/>
      <x:c r="J509" s="2"/>
      <x:c r="K509" s="2"/>
      <x:c r="L509" s="2"/>
      <x:c r="M509" s="2"/>
      <x:c r="N509" s="2"/>
      <x:c r="O509" s="2"/>
      <x:c r="P509" s="2"/>
      <x:c r="Q509" s="2"/>
      <x:c r="R509" s="2"/>
      <x:c r="S509" s="2"/>
      <x:c r="T509" s="2"/>
      <x:c r="U509" s="2"/>
      <x:c r="V509" s="2"/>
      <x:c r="W509" s="2"/>
      <x:c r="X509" s="2"/>
    </x:row>
    <x:row r="510" ht="25" customHeight="1">
      <x:c r="A510" s="2"/>
      <x:c r="B510" s="2"/>
      <x:c r="C510" s="2"/>
      <x:c r="D510" s="2"/>
      <x:c r="E510" s="2"/>
      <x:c r="F510" s="2"/>
      <x:c r="G510" s="2"/>
      <x:c r="H510" s="2"/>
      <x:c r="I510" s="2"/>
      <x:c r="J510" s="2"/>
      <x:c r="K510" s="2"/>
      <x:c r="L510" s="2"/>
      <x:c r="M510" s="2"/>
      <x:c r="N510" s="2"/>
      <x:c r="O510" s="2"/>
      <x:c r="P510" s="2"/>
      <x:c r="Q510" s="2"/>
      <x:c r="R510" s="2"/>
      <x:c r="S510" s="2"/>
      <x:c r="T510" s="2"/>
      <x:c r="U510" s="2"/>
      <x:c r="V510" s="2"/>
      <x:c r="W510" s="2"/>
      <x:c r="X510" s="2"/>
    </x:row>
    <x:row r="511" ht="25" customHeight="1">
      <x:c r="A511" s="2"/>
      <x:c r="B511" s="2"/>
      <x:c r="C511" s="2"/>
      <x:c r="D511" s="2"/>
      <x:c r="E511" s="2"/>
      <x:c r="F511" s="2"/>
      <x:c r="G511" s="2"/>
      <x:c r="H511" s="2"/>
      <x:c r="I511" s="2"/>
      <x:c r="J511" s="2"/>
      <x:c r="K511" s="2"/>
      <x:c r="L511" s="2"/>
      <x:c r="M511" s="2"/>
      <x:c r="N511" s="2"/>
      <x:c r="O511" s="2"/>
      <x:c r="P511" s="2"/>
      <x:c r="Q511" s="2"/>
      <x:c r="R511" s="2"/>
      <x:c r="S511" s="2"/>
      <x:c r="T511" s="2"/>
      <x:c r="U511" s="2"/>
      <x:c r="V511" s="2"/>
      <x:c r="W511" s="2"/>
      <x:c r="X511" s="2"/>
    </x:row>
    <x:row r="512" ht="25" customHeight="1">
      <x:c r="A512" s="2"/>
      <x:c r="B512" s="2"/>
      <x:c r="C512" s="2"/>
      <x:c r="D512" s="2"/>
      <x:c r="E512" s="2"/>
      <x:c r="F512" s="2"/>
      <x:c r="G512" s="2"/>
      <x:c r="H512" s="2"/>
      <x:c r="I512" s="2"/>
      <x:c r="J512" s="2"/>
      <x:c r="K512" s="2"/>
      <x:c r="L512" s="2"/>
      <x:c r="M512" s="2"/>
      <x:c r="N512" s="2"/>
      <x:c r="O512" s="2"/>
      <x:c r="P512" s="2"/>
      <x:c r="Q512" s="2"/>
      <x:c r="R512" s="2"/>
      <x:c r="S512" s="2"/>
      <x:c r="T512" s="2"/>
      <x:c r="U512" s="2"/>
      <x:c r="V512" s="2"/>
      <x:c r="W512" s="2"/>
      <x:c r="X512" s="2"/>
    </x:row>
    <x:row r="513" ht="25" customHeight="1">
      <x:c r="A513" s="2"/>
      <x:c r="B513" s="2"/>
      <x:c r="C513" s="2"/>
      <x:c r="D513" s="2"/>
      <x:c r="E513" s="2"/>
      <x:c r="F513" s="2"/>
      <x:c r="G513" s="2"/>
      <x:c r="H513" s="2"/>
      <x:c r="I513" s="2"/>
      <x:c r="J513" s="2"/>
      <x:c r="K513" s="2"/>
      <x:c r="L513" s="2"/>
      <x:c r="M513" s="2"/>
      <x:c r="N513" s="2"/>
      <x:c r="O513" s="2"/>
      <x:c r="P513" s="2"/>
      <x:c r="Q513" s="2"/>
      <x:c r="R513" s="2"/>
      <x:c r="S513" s="2"/>
      <x:c r="T513" s="2"/>
      <x:c r="U513" s="2"/>
      <x:c r="V513" s="2"/>
      <x:c r="W513" s="2"/>
      <x:c r="X513" s="2"/>
    </x:row>
    <x:row r="514" ht="25" customHeight="1">
      <x:c r="A514" s="2"/>
      <x:c r="B514" s="2"/>
      <x:c r="C514" s="2"/>
      <x:c r="D514" s="2"/>
      <x:c r="E514" s="2"/>
      <x:c r="F514" s="2"/>
      <x:c r="G514" s="2"/>
      <x:c r="H514" s="2"/>
      <x:c r="I514" s="2"/>
      <x:c r="J514" s="2"/>
      <x:c r="K514" s="2"/>
      <x:c r="L514" s="2"/>
      <x:c r="M514" s="2"/>
      <x:c r="N514" s="2"/>
      <x:c r="O514" s="2"/>
      <x:c r="P514" s="2"/>
      <x:c r="Q514" s="2"/>
      <x:c r="R514" s="2"/>
      <x:c r="S514" s="2"/>
      <x:c r="T514" s="2"/>
      <x:c r="U514" s="2"/>
      <x:c r="V514" s="2"/>
      <x:c r="W514" s="2"/>
      <x:c r="X514" s="2"/>
    </x:row>
    <x:row r="515" ht="25" customHeight="1">
      <x:c r="A515" s="2"/>
      <x:c r="B515" s="2"/>
      <x:c r="C515" s="2"/>
      <x:c r="D515" s="2"/>
      <x:c r="E515" s="2"/>
      <x:c r="F515" s="2"/>
      <x:c r="G515" s="2"/>
      <x:c r="H515" s="2"/>
      <x:c r="I515" s="2"/>
      <x:c r="J515" s="2"/>
      <x:c r="K515" s="2"/>
      <x:c r="L515" s="2"/>
      <x:c r="M515" s="2"/>
      <x:c r="N515" s="2"/>
      <x:c r="O515" s="2"/>
      <x:c r="P515" s="2"/>
      <x:c r="Q515" s="2"/>
      <x:c r="R515" s="2"/>
      <x:c r="S515" s="2"/>
      <x:c r="T515" s="2"/>
      <x:c r="U515" s="2"/>
      <x:c r="V515" s="2"/>
      <x:c r="W515" s="2"/>
      <x:c r="X515" s="2"/>
    </x:row>
    <x:row r="516" ht="25" customHeight="1">
      <x:c r="A516" s="2"/>
      <x:c r="B516" s="2"/>
      <x:c r="C516" s="2"/>
      <x:c r="D516" s="2"/>
      <x:c r="E516" s="2"/>
      <x:c r="F516" s="2"/>
      <x:c r="G516" s="2"/>
      <x:c r="H516" s="2"/>
      <x:c r="I516" s="2"/>
      <x:c r="J516" s="2"/>
      <x:c r="K516" s="2"/>
      <x:c r="L516" s="2"/>
      <x:c r="M516" s="2"/>
      <x:c r="N516" s="2"/>
      <x:c r="O516" s="2"/>
      <x:c r="P516" s="2"/>
      <x:c r="Q516" s="2"/>
      <x:c r="R516" s="2"/>
      <x:c r="S516" s="2"/>
      <x:c r="T516" s="2"/>
      <x:c r="U516" s="2"/>
      <x:c r="V516" s="2"/>
      <x:c r="W516" s="2"/>
      <x:c r="X516" s="2"/>
    </x:row>
    <x:row r="517" ht="25" customHeight="1">
      <x:c r="A517" s="2"/>
      <x:c r="B517" s="2"/>
      <x:c r="C517" s="2"/>
      <x:c r="D517" s="2"/>
      <x:c r="E517" s="2"/>
      <x:c r="F517" s="2"/>
      <x:c r="G517" s="2"/>
      <x:c r="H517" s="2"/>
      <x:c r="I517" s="2"/>
      <x:c r="J517" s="2"/>
      <x:c r="K517" s="2"/>
      <x:c r="L517" s="2"/>
      <x:c r="M517" s="2"/>
      <x:c r="N517" s="2"/>
      <x:c r="O517" s="2"/>
      <x:c r="P517" s="2"/>
      <x:c r="Q517" s="2"/>
      <x:c r="R517" s="2"/>
      <x:c r="S517" s="2"/>
      <x:c r="T517" s="2"/>
      <x:c r="U517" s="2"/>
      <x:c r="V517" s="2"/>
      <x:c r="W517" s="2"/>
      <x:c r="X517" s="2"/>
    </x:row>
    <x:row r="518" ht="25" customHeight="1">
      <x:c r="A518" s="2"/>
      <x:c r="B518" s="2"/>
      <x:c r="C518" s="2"/>
      <x:c r="D518" s="2"/>
      <x:c r="E518" s="2"/>
      <x:c r="F518" s="2"/>
      <x:c r="G518" s="2"/>
      <x:c r="H518" s="2"/>
      <x:c r="I518" s="2"/>
      <x:c r="J518" s="2"/>
      <x:c r="K518" s="2"/>
      <x:c r="L518" s="2"/>
      <x:c r="M518" s="2"/>
      <x:c r="N518" s="2"/>
      <x:c r="O518" s="2"/>
      <x:c r="P518" s="2"/>
      <x:c r="Q518" s="2"/>
      <x:c r="R518" s="2"/>
      <x:c r="S518" s="2"/>
      <x:c r="T518" s="2"/>
      <x:c r="U518" s="2"/>
      <x:c r="V518" s="2"/>
      <x:c r="W518" s="2"/>
      <x:c r="X518" s="2"/>
    </x:row>
    <x:row r="519" ht="25" customHeight="1">
      <x:c r="A519" s="2"/>
      <x:c r="B519" s="2"/>
      <x:c r="C519" s="2"/>
      <x:c r="D519" s="2"/>
      <x:c r="E519" s="2"/>
      <x:c r="F519" s="2"/>
      <x:c r="G519" s="2"/>
      <x:c r="H519" s="2"/>
      <x:c r="I519" s="2"/>
      <x:c r="J519" s="2"/>
      <x:c r="K519" s="2"/>
      <x:c r="L519" s="2"/>
      <x:c r="M519" s="2"/>
      <x:c r="N519" s="2"/>
      <x:c r="O519" s="2"/>
      <x:c r="P519" s="2"/>
      <x:c r="Q519" s="2"/>
      <x:c r="R519" s="2"/>
      <x:c r="S519" s="2"/>
      <x:c r="T519" s="2"/>
      <x:c r="U519" s="2"/>
      <x:c r="V519" s="2"/>
      <x:c r="W519" s="2"/>
      <x:c r="X519" s="2"/>
    </x:row>
    <x:row r="520" ht="25" customHeight="1">
      <x:c r="A520" s="2"/>
      <x:c r="B520" s="2"/>
      <x:c r="C520" s="2"/>
      <x:c r="D520" s="2"/>
      <x:c r="E520" s="2"/>
      <x:c r="F520" s="2"/>
      <x:c r="G520" s="2"/>
      <x:c r="H520" s="2"/>
      <x:c r="I520" s="2"/>
      <x:c r="J520" s="2"/>
      <x:c r="K520" s="2"/>
      <x:c r="L520" s="2"/>
      <x:c r="M520" s="2"/>
      <x:c r="N520" s="2"/>
      <x:c r="O520" s="2"/>
      <x:c r="P520" s="2"/>
      <x:c r="Q520" s="2"/>
      <x:c r="R520" s="2"/>
      <x:c r="S520" s="2"/>
      <x:c r="T520" s="2"/>
      <x:c r="U520" s="2"/>
      <x:c r="V520" s="2"/>
      <x:c r="W520" s="2"/>
      <x:c r="X520" s="2"/>
    </x:row>
    <x:row r="521" ht="25" customHeight="1">
      <x:c r="A521" s="2"/>
      <x:c r="B521" s="2"/>
      <x:c r="C521" s="2"/>
      <x:c r="D521" s="2"/>
      <x:c r="E521" s="2"/>
      <x:c r="F521" s="2"/>
      <x:c r="G521" s="2"/>
      <x:c r="H521" s="2"/>
      <x:c r="I521" s="2"/>
      <x:c r="J521" s="2"/>
      <x:c r="K521" s="2"/>
      <x:c r="L521" s="2"/>
      <x:c r="M521" s="2"/>
      <x:c r="N521" s="2"/>
      <x:c r="O521" s="2"/>
      <x:c r="P521" s="2"/>
      <x:c r="Q521" s="2"/>
      <x:c r="R521" s="2"/>
      <x:c r="S521" s="2"/>
      <x:c r="T521" s="2"/>
      <x:c r="U521" s="2"/>
      <x:c r="V521" s="2"/>
      <x:c r="W521" s="2"/>
      <x:c r="X521" s="2"/>
    </x:row>
    <x:row r="522" ht="25" customHeight="1">
      <x:c r="A522" s="2"/>
      <x:c r="B522" s="2"/>
      <x:c r="C522" s="2"/>
      <x:c r="D522" s="2"/>
      <x:c r="E522" s="2"/>
      <x:c r="F522" s="2"/>
      <x:c r="G522" s="2"/>
      <x:c r="H522" s="2"/>
      <x:c r="I522" s="2"/>
      <x:c r="J522" s="2"/>
      <x:c r="K522" s="2"/>
      <x:c r="L522" s="2"/>
      <x:c r="M522" s="2"/>
      <x:c r="N522" s="2"/>
      <x:c r="O522" s="2"/>
      <x:c r="P522" s="2"/>
      <x:c r="Q522" s="2"/>
      <x:c r="R522" s="2"/>
      <x:c r="S522" s="2"/>
      <x:c r="T522" s="2"/>
      <x:c r="U522" s="2"/>
      <x:c r="V522" s="2"/>
      <x:c r="W522" s="2"/>
      <x:c r="X522" s="2"/>
    </x:row>
    <x:row r="523" ht="25" customHeight="1">
      <x:c r="A523" s="2"/>
      <x:c r="B523" s="2"/>
      <x:c r="C523" s="2"/>
      <x:c r="D523" s="2"/>
      <x:c r="E523" s="2"/>
      <x:c r="F523" s="2"/>
      <x:c r="G523" s="2"/>
      <x:c r="H523" s="2"/>
      <x:c r="I523" s="2"/>
      <x:c r="J523" s="2"/>
      <x:c r="K523" s="2"/>
      <x:c r="L523" s="2"/>
      <x:c r="M523" s="2"/>
      <x:c r="N523" s="2"/>
      <x:c r="O523" s="2"/>
      <x:c r="P523" s="2"/>
      <x:c r="Q523" s="2"/>
      <x:c r="R523" s="2"/>
      <x:c r="S523" s="2"/>
      <x:c r="T523" s="2"/>
      <x:c r="U523" s="2"/>
      <x:c r="V523" s="2"/>
      <x:c r="W523" s="2"/>
      <x:c r="X523" s="2"/>
    </x:row>
    <x:row r="524" ht="25" customHeight="1">
      <x:c r="A524" s="2"/>
      <x:c r="B524" s="2"/>
      <x:c r="C524" s="2"/>
      <x:c r="D524" s="2"/>
      <x:c r="E524" s="2"/>
      <x:c r="F524" s="2"/>
      <x:c r="G524" s="2"/>
      <x:c r="H524" s="2"/>
      <x:c r="I524" s="2"/>
      <x:c r="J524" s="2"/>
      <x:c r="K524" s="2"/>
      <x:c r="L524" s="2"/>
      <x:c r="M524" s="2"/>
      <x:c r="N524" s="2"/>
      <x:c r="O524" s="2"/>
      <x:c r="P524" s="2"/>
      <x:c r="Q524" s="2"/>
      <x:c r="R524" s="2"/>
      <x:c r="S524" s="2"/>
      <x:c r="T524" s="2"/>
      <x:c r="U524" s="2"/>
      <x:c r="V524" s="2"/>
      <x:c r="W524" s="2"/>
      <x:c r="X524" s="2"/>
    </x:row>
    <x:row r="525" ht="25" customHeight="1">
      <x:c r="A525" s="2"/>
      <x:c r="B525" s="2"/>
      <x:c r="C525" s="2"/>
      <x:c r="D525" s="2"/>
      <x:c r="E525" s="2"/>
      <x:c r="F525" s="2"/>
      <x:c r="G525" s="2"/>
      <x:c r="H525" s="2"/>
      <x:c r="I525" s="2"/>
      <x:c r="J525" s="2"/>
      <x:c r="K525" s="2"/>
      <x:c r="L525" s="2"/>
      <x:c r="M525" s="2"/>
      <x:c r="N525" s="2"/>
      <x:c r="O525" s="2"/>
      <x:c r="P525" s="2"/>
      <x:c r="Q525" s="2"/>
      <x:c r="R525" s="2"/>
      <x:c r="S525" s="2"/>
      <x:c r="T525" s="2"/>
      <x:c r="U525" s="2"/>
      <x:c r="V525" s="2"/>
      <x:c r="W525" s="2"/>
      <x:c r="X525" s="2"/>
    </x:row>
    <x:row r="526" ht="25" customHeight="1">
      <x:c r="A526" s="2"/>
      <x:c r="B526" s="2"/>
      <x:c r="C526" s="2"/>
      <x:c r="D526" s="2"/>
      <x:c r="E526" s="2"/>
      <x:c r="F526" s="2"/>
      <x:c r="G526" s="2"/>
      <x:c r="H526" s="2"/>
      <x:c r="I526" s="2"/>
      <x:c r="J526" s="2"/>
      <x:c r="K526" s="2"/>
      <x:c r="L526" s="2"/>
      <x:c r="M526" s="2"/>
      <x:c r="N526" s="2"/>
      <x:c r="O526" s="2"/>
      <x:c r="P526" s="2"/>
      <x:c r="Q526" s="2"/>
      <x:c r="R526" s="2"/>
      <x:c r="S526" s="2"/>
      <x:c r="T526" s="2"/>
      <x:c r="U526" s="2"/>
      <x:c r="V526" s="2"/>
      <x:c r="W526" s="2"/>
      <x:c r="X526" s="2"/>
    </x:row>
    <x:row r="527" ht="25" customHeight="1">
      <x:c r="A527" s="2"/>
      <x:c r="B527" s="2"/>
      <x:c r="C527" s="2"/>
      <x:c r="D527" s="2"/>
      <x:c r="E527" s="2"/>
      <x:c r="F527" s="2"/>
      <x:c r="G527" s="2"/>
      <x:c r="H527" s="2"/>
      <x:c r="I527" s="2"/>
      <x:c r="J527" s="2"/>
      <x:c r="K527" s="2"/>
      <x:c r="L527" s="2"/>
      <x:c r="M527" s="2"/>
      <x:c r="N527" s="2"/>
      <x:c r="O527" s="2"/>
      <x:c r="P527" s="2"/>
      <x:c r="Q527" s="2"/>
      <x:c r="R527" s="2"/>
      <x:c r="S527" s="2"/>
      <x:c r="T527" s="2"/>
      <x:c r="U527" s="2"/>
      <x:c r="V527" s="2"/>
      <x:c r="W527" s="2"/>
      <x:c r="X527" s="2"/>
    </x:row>
    <x:row r="528" ht="25" customHeight="1">
      <x:c r="A528" s="2"/>
      <x:c r="B528" s="2"/>
      <x:c r="C528" s="2"/>
      <x:c r="D528" s="2"/>
      <x:c r="E528" s="2"/>
      <x:c r="F528" s="2"/>
      <x:c r="G528" s="2"/>
      <x:c r="H528" s="2"/>
      <x:c r="I528" s="2"/>
      <x:c r="J528" s="2"/>
      <x:c r="K528" s="2"/>
      <x:c r="L528" s="2"/>
      <x:c r="M528" s="2"/>
      <x:c r="N528" s="2"/>
      <x:c r="O528" s="2"/>
      <x:c r="P528" s="2"/>
      <x:c r="Q528" s="2"/>
      <x:c r="R528" s="2"/>
      <x:c r="S528" s="2"/>
      <x:c r="T528" s="2"/>
      <x:c r="U528" s="2"/>
      <x:c r="V528" s="2"/>
      <x:c r="W528" s="2"/>
      <x:c r="X528" s="2"/>
    </x:row>
    <x:row r="529" ht="25" customHeight="1">
      <x:c r="A529" s="2"/>
      <x:c r="B529" s="2"/>
      <x:c r="C529" s="2"/>
      <x:c r="D529" s="2"/>
      <x:c r="E529" s="2"/>
      <x:c r="F529" s="2"/>
      <x:c r="G529" s="2"/>
      <x:c r="H529" s="2"/>
      <x:c r="I529" s="2"/>
      <x:c r="J529" s="2"/>
      <x:c r="K529" s="2"/>
      <x:c r="L529" s="2"/>
      <x:c r="M529" s="2"/>
      <x:c r="N529" s="2"/>
      <x:c r="O529" s="2"/>
      <x:c r="P529" s="2"/>
      <x:c r="Q529" s="2"/>
      <x:c r="R529" s="2"/>
      <x:c r="S529" s="2"/>
      <x:c r="T529" s="2"/>
      <x:c r="U529" s="2"/>
      <x:c r="V529" s="2"/>
      <x:c r="W529" s="2"/>
      <x:c r="X529" s="2"/>
    </x:row>
    <x:row r="530" ht="25" customHeight="1">
      <x:c r="A530" s="2"/>
      <x:c r="B530" s="2"/>
      <x:c r="C530" s="2"/>
      <x:c r="D530" s="2"/>
      <x:c r="E530" s="2"/>
      <x:c r="F530" s="2"/>
      <x:c r="G530" s="2"/>
      <x:c r="H530" s="2"/>
      <x:c r="I530" s="2"/>
      <x:c r="J530" s="2"/>
      <x:c r="K530" s="2"/>
      <x:c r="L530" s="2"/>
      <x:c r="M530" s="2"/>
      <x:c r="N530" s="2"/>
      <x:c r="O530" s="2"/>
      <x:c r="P530" s="2"/>
      <x:c r="Q530" s="2"/>
      <x:c r="R530" s="2"/>
      <x:c r="S530" s="2"/>
      <x:c r="T530" s="2"/>
      <x:c r="U530" s="2"/>
      <x:c r="V530" s="2"/>
      <x:c r="W530" s="2"/>
      <x:c r="X530" s="2"/>
    </x:row>
    <x:row r="531" ht="25" customHeight="1">
      <x:c r="A531" s="2"/>
      <x:c r="B531" s="2"/>
      <x:c r="C531" s="2"/>
      <x:c r="D531" s="2"/>
      <x:c r="E531" s="2"/>
      <x:c r="F531" s="2"/>
      <x:c r="G531" s="2"/>
      <x:c r="H531" s="2"/>
      <x:c r="I531" s="2"/>
      <x:c r="J531" s="2"/>
      <x:c r="K531" s="2"/>
      <x:c r="L531" s="2"/>
      <x:c r="M531" s="2"/>
      <x:c r="N531" s="2"/>
      <x:c r="O531" s="2"/>
      <x:c r="P531" s="2"/>
      <x:c r="Q531" s="2"/>
      <x:c r="R531" s="2"/>
      <x:c r="S531" s="2"/>
      <x:c r="T531" s="2"/>
      <x:c r="U531" s="2"/>
      <x:c r="V531" s="2"/>
      <x:c r="W531" s="2"/>
      <x:c r="X531" s="2"/>
    </x:row>
    <x:row r="532" ht="25" customHeight="1">
      <x:c r="A532" s="2"/>
      <x:c r="B532" s="2"/>
      <x:c r="C532" s="2"/>
      <x:c r="D532" s="2"/>
      <x:c r="E532" s="2"/>
      <x:c r="F532" s="2"/>
      <x:c r="G532" s="2"/>
      <x:c r="H532" s="2"/>
      <x:c r="I532" s="2"/>
      <x:c r="J532" s="2"/>
      <x:c r="K532" s="2"/>
      <x:c r="L532" s="2"/>
      <x:c r="M532" s="2"/>
      <x:c r="N532" s="2"/>
      <x:c r="O532" s="2"/>
      <x:c r="P532" s="2"/>
      <x:c r="Q532" s="2"/>
      <x:c r="R532" s="2"/>
      <x:c r="S532" s="2"/>
      <x:c r="T532" s="2"/>
      <x:c r="U532" s="2"/>
      <x:c r="V532" s="2"/>
      <x:c r="W532" s="2"/>
      <x:c r="X532" s="2"/>
    </x:row>
    <x:row r="533" ht="25" customHeight="1">
      <x:c r="A533" s="2"/>
      <x:c r="B533" s="2"/>
      <x:c r="C533" s="2"/>
      <x:c r="D533" s="2"/>
      <x:c r="E533" s="2"/>
      <x:c r="F533" s="2"/>
      <x:c r="G533" s="2"/>
      <x:c r="H533" s="2"/>
      <x:c r="I533" s="2"/>
      <x:c r="J533" s="2"/>
      <x:c r="K533" s="2"/>
      <x:c r="L533" s="2"/>
      <x:c r="M533" s="2"/>
      <x:c r="N533" s="2"/>
      <x:c r="O533" s="2"/>
      <x:c r="P533" s="2"/>
      <x:c r="Q533" s="2"/>
      <x:c r="R533" s="2"/>
      <x:c r="S533" s="2"/>
      <x:c r="T533" s="2"/>
      <x:c r="U533" s="2"/>
      <x:c r="V533" s="2"/>
      <x:c r="W533" s="2"/>
      <x:c r="X533" s="2"/>
    </x:row>
    <x:row r="534" ht="25" customHeight="1">
      <x:c r="A534" s="2"/>
      <x:c r="B534" s="2"/>
      <x:c r="C534" s="2"/>
      <x:c r="D534" s="2"/>
      <x:c r="E534" s="2"/>
      <x:c r="F534" s="2"/>
      <x:c r="G534" s="2"/>
      <x:c r="H534" s="2"/>
      <x:c r="I534" s="2"/>
      <x:c r="J534" s="2"/>
      <x:c r="K534" s="2"/>
      <x:c r="L534" s="2"/>
      <x:c r="M534" s="2"/>
      <x:c r="N534" s="2"/>
      <x:c r="O534" s="2"/>
      <x:c r="P534" s="2"/>
      <x:c r="Q534" s="2"/>
      <x:c r="R534" s="2"/>
      <x:c r="S534" s="2"/>
      <x:c r="T534" s="2"/>
      <x:c r="U534" s="2"/>
      <x:c r="V534" s="2"/>
      <x:c r="W534" s="2"/>
      <x:c r="X534" s="2"/>
    </x:row>
    <x:row r="535" ht="25" customHeight="1">
      <x:c r="A535" s="2"/>
      <x:c r="B535" s="2"/>
      <x:c r="C535" s="2"/>
      <x:c r="D535" s="2"/>
      <x:c r="E535" s="2"/>
      <x:c r="F535" s="2"/>
      <x:c r="G535" s="2"/>
      <x:c r="H535" s="2"/>
      <x:c r="I535" s="2"/>
      <x:c r="J535" s="2"/>
      <x:c r="K535" s="2"/>
      <x:c r="L535" s="2"/>
      <x:c r="M535" s="2"/>
      <x:c r="N535" s="2"/>
      <x:c r="O535" s="2"/>
      <x:c r="P535" s="2"/>
      <x:c r="Q535" s="2"/>
      <x:c r="R535" s="2"/>
      <x:c r="S535" s="2"/>
      <x:c r="T535" s="2"/>
      <x:c r="U535" s="2"/>
      <x:c r="V535" s="2"/>
      <x:c r="W535" s="2"/>
      <x:c r="X535" s="2"/>
    </x:row>
    <x:row r="536" ht="25" customHeight="1">
      <x:c r="A536" s="2"/>
      <x:c r="B536" s="2"/>
      <x:c r="C536" s="2"/>
      <x:c r="D536" s="2"/>
      <x:c r="E536" s="2"/>
      <x:c r="F536" s="2"/>
      <x:c r="G536" s="2"/>
      <x:c r="H536" s="2"/>
      <x:c r="I536" s="2"/>
      <x:c r="J536" s="2"/>
      <x:c r="K536" s="2"/>
      <x:c r="L536" s="2"/>
      <x:c r="M536" s="2"/>
      <x:c r="N536" s="2"/>
      <x:c r="O536" s="2"/>
      <x:c r="P536" s="2"/>
      <x:c r="Q536" s="2"/>
      <x:c r="R536" s="2"/>
      <x:c r="S536" s="2"/>
      <x:c r="T536" s="2"/>
      <x:c r="U536" s="2"/>
      <x:c r="V536" s="2"/>
      <x:c r="W536" s="2"/>
      <x:c r="X536" s="2"/>
    </x:row>
    <x:row r="537" ht="25" customHeight="1">
      <x:c r="A537" s="2"/>
      <x:c r="B537" s="2"/>
      <x:c r="C537" s="2"/>
      <x:c r="D537" s="2"/>
      <x:c r="E537" s="2"/>
      <x:c r="F537" s="2"/>
      <x:c r="G537" s="2"/>
      <x:c r="H537" s="2"/>
      <x:c r="I537" s="2"/>
      <x:c r="J537" s="2"/>
      <x:c r="K537" s="2"/>
      <x:c r="L537" s="2"/>
      <x:c r="M537" s="2"/>
      <x:c r="N537" s="2"/>
      <x:c r="O537" s="2"/>
      <x:c r="P537" s="2"/>
      <x:c r="Q537" s="2"/>
      <x:c r="R537" s="2"/>
      <x:c r="S537" s="2"/>
      <x:c r="T537" s="2"/>
      <x:c r="U537" s="2"/>
      <x:c r="V537" s="2"/>
      <x:c r="W537" s="2"/>
      <x:c r="X537" s="2"/>
    </x:row>
    <x:row r="538" ht="25" customHeight="1">
      <x:c r="A538" s="2"/>
      <x:c r="B538" s="2"/>
      <x:c r="C538" s="2"/>
      <x:c r="D538" s="2"/>
      <x:c r="E538" s="2"/>
      <x:c r="F538" s="2"/>
      <x:c r="G538" s="2"/>
      <x:c r="H538" s="2"/>
      <x:c r="I538" s="2"/>
      <x:c r="J538" s="2"/>
      <x:c r="K538" s="2"/>
      <x:c r="L538" s="2"/>
      <x:c r="M538" s="2"/>
      <x:c r="N538" s="2"/>
      <x:c r="O538" s="2"/>
      <x:c r="P538" s="2"/>
      <x:c r="Q538" s="2"/>
      <x:c r="R538" s="2"/>
      <x:c r="S538" s="2"/>
      <x:c r="T538" s="2"/>
      <x:c r="U538" s="2"/>
      <x:c r="V538" s="2"/>
      <x:c r="W538" s="2"/>
      <x:c r="X538" s="2"/>
    </x:row>
    <x:row r="539" ht="25" customHeight="1">
      <x:c r="A539" s="2"/>
      <x:c r="B539" s="2"/>
      <x:c r="C539" s="2"/>
      <x:c r="D539" s="2"/>
      <x:c r="E539" s="2"/>
      <x:c r="F539" s="2"/>
      <x:c r="G539" s="2"/>
      <x:c r="H539" s="2"/>
      <x:c r="I539" s="2"/>
      <x:c r="J539" s="2"/>
      <x:c r="K539" s="2"/>
      <x:c r="L539" s="2"/>
      <x:c r="M539" s="2"/>
      <x:c r="N539" s="2"/>
      <x:c r="O539" s="2"/>
      <x:c r="P539" s="2"/>
      <x:c r="Q539" s="2"/>
      <x:c r="R539" s="2"/>
      <x:c r="S539" s="2"/>
      <x:c r="T539" s="2"/>
      <x:c r="U539" s="2"/>
      <x:c r="V539" s="2"/>
      <x:c r="W539" s="2"/>
      <x:c r="X539" s="2"/>
    </x:row>
    <x:row r="540" ht="25" customHeight="1">
      <x:c r="A540" s="2"/>
      <x:c r="B540" s="2"/>
      <x:c r="C540" s="2"/>
      <x:c r="D540" s="2"/>
      <x:c r="E540" s="2"/>
      <x:c r="F540" s="2"/>
      <x:c r="G540" s="2"/>
      <x:c r="H540" s="2"/>
      <x:c r="I540" s="2"/>
      <x:c r="J540" s="2"/>
      <x:c r="K540" s="2"/>
      <x:c r="L540" s="2"/>
      <x:c r="M540" s="2"/>
      <x:c r="N540" s="2"/>
      <x:c r="O540" s="2"/>
      <x:c r="P540" s="2"/>
      <x:c r="Q540" s="2"/>
      <x:c r="R540" s="2"/>
      <x:c r="S540" s="2"/>
      <x:c r="T540" s="2"/>
      <x:c r="U540" s="2"/>
      <x:c r="V540" s="2"/>
      <x:c r="W540" s="2"/>
      <x:c r="X540" s="2"/>
    </x:row>
    <x:row r="541" ht="25" customHeight="1">
      <x:c r="A541" s="2"/>
      <x:c r="B541" s="2"/>
      <x:c r="C541" s="2"/>
      <x:c r="D541" s="2"/>
      <x:c r="E541" s="2"/>
      <x:c r="F541" s="2"/>
      <x:c r="G541" s="2"/>
      <x:c r="H541" s="2"/>
      <x:c r="I541" s="2"/>
      <x:c r="J541" s="2"/>
      <x:c r="K541" s="2"/>
      <x:c r="L541" s="2"/>
      <x:c r="M541" s="2"/>
      <x:c r="N541" s="2"/>
      <x:c r="O541" s="2"/>
      <x:c r="P541" s="2"/>
      <x:c r="Q541" s="2"/>
      <x:c r="R541" s="2"/>
      <x:c r="S541" s="2"/>
      <x:c r="T541" s="2"/>
      <x:c r="U541" s="2"/>
      <x:c r="V541" s="2"/>
      <x:c r="W541" s="2"/>
      <x:c r="X541" s="2"/>
    </x:row>
    <x:row r="542" ht="25" customHeight="1">
      <x:c r="A542" s="2"/>
      <x:c r="B542" s="2"/>
      <x:c r="C542" s="2"/>
      <x:c r="D542" s="2"/>
      <x:c r="E542" s="2"/>
      <x:c r="F542" s="2"/>
      <x:c r="G542" s="2"/>
      <x:c r="H542" s="2"/>
      <x:c r="I542" s="2"/>
      <x:c r="J542" s="2"/>
      <x:c r="K542" s="2"/>
      <x:c r="L542" s="2"/>
      <x:c r="M542" s="2"/>
      <x:c r="N542" s="2"/>
      <x:c r="O542" s="2"/>
      <x:c r="P542" s="2"/>
      <x:c r="Q542" s="2"/>
      <x:c r="R542" s="2"/>
      <x:c r="S542" s="2"/>
      <x:c r="T542" s="2"/>
      <x:c r="U542" s="2"/>
      <x:c r="V542" s="2"/>
      <x:c r="W542" s="2"/>
      <x:c r="X542" s="2"/>
    </x:row>
    <x:row r="543" ht="25" customHeight="1">
      <x:c r="A543" s="2"/>
      <x:c r="B543" s="2"/>
      <x:c r="C543" s="2"/>
      <x:c r="D543" s="2"/>
      <x:c r="E543" s="2"/>
      <x:c r="F543" s="2"/>
      <x:c r="G543" s="2"/>
      <x:c r="H543" s="2"/>
      <x:c r="I543" s="2"/>
      <x:c r="J543" s="2"/>
      <x:c r="K543" s="2"/>
      <x:c r="L543" s="2"/>
      <x:c r="M543" s="2"/>
      <x:c r="N543" s="2"/>
      <x:c r="O543" s="2"/>
      <x:c r="P543" s="2"/>
      <x:c r="Q543" s="2"/>
      <x:c r="R543" s="2"/>
      <x:c r="S543" s="2"/>
      <x:c r="T543" s="2"/>
      <x:c r="U543" s="2"/>
      <x:c r="V543" s="2"/>
      <x:c r="W543" s="2"/>
      <x:c r="X543" s="2"/>
    </x:row>
    <x:row r="544" ht="25" customHeight="1">
      <x:c r="A544" s="2"/>
      <x:c r="B544" s="2"/>
      <x:c r="C544" s="2"/>
      <x:c r="D544" s="2"/>
      <x:c r="E544" s="2"/>
      <x:c r="F544" s="2"/>
      <x:c r="G544" s="2"/>
      <x:c r="H544" s="2"/>
      <x:c r="I544" s="2"/>
      <x:c r="J544" s="2"/>
      <x:c r="K544" s="2"/>
      <x:c r="L544" s="2"/>
      <x:c r="M544" s="2"/>
      <x:c r="N544" s="2"/>
      <x:c r="O544" s="2"/>
      <x:c r="P544" s="2"/>
      <x:c r="Q544" s="2"/>
      <x:c r="R544" s="2"/>
      <x:c r="S544" s="2"/>
      <x:c r="T544" s="2"/>
      <x:c r="U544" s="2"/>
      <x:c r="V544" s="2"/>
      <x:c r="W544" s="2"/>
      <x:c r="X544" s="2"/>
    </x:row>
    <x:row r="545" ht="25" customHeight="1">
      <x:c r="A545" s="2"/>
      <x:c r="B545" s="2"/>
      <x:c r="C545" s="2"/>
      <x:c r="D545" s="2"/>
      <x:c r="E545" s="2"/>
      <x:c r="F545" s="2"/>
      <x:c r="G545" s="2"/>
      <x:c r="H545" s="2"/>
      <x:c r="I545" s="2"/>
      <x:c r="J545" s="2"/>
      <x:c r="K545" s="2"/>
      <x:c r="L545" s="2"/>
      <x:c r="M545" s="2"/>
      <x:c r="N545" s="2"/>
      <x:c r="O545" s="2"/>
      <x:c r="P545" s="2"/>
      <x:c r="Q545" s="2"/>
      <x:c r="R545" s="2"/>
      <x:c r="S545" s="2"/>
      <x:c r="T545" s="2"/>
      <x:c r="U545" s="2"/>
      <x:c r="V545" s="2"/>
      <x:c r="W545" s="2"/>
      <x:c r="X545" s="2"/>
    </x:row>
    <x:row r="546" ht="25" customHeight="1">
      <x:c r="A546" s="2"/>
      <x:c r="B546" s="2"/>
      <x:c r="C546" s="2"/>
      <x:c r="D546" s="2"/>
      <x:c r="E546" s="2"/>
      <x:c r="F546" s="2"/>
      <x:c r="G546" s="2"/>
      <x:c r="H546" s="2"/>
      <x:c r="I546" s="2"/>
      <x:c r="J546" s="2"/>
      <x:c r="K546" s="2"/>
      <x:c r="L546" s="2"/>
      <x:c r="M546" s="2"/>
      <x:c r="N546" s="2"/>
      <x:c r="O546" s="2"/>
      <x:c r="P546" s="2"/>
      <x:c r="Q546" s="2"/>
      <x:c r="R546" s="2"/>
      <x:c r="S546" s="2"/>
      <x:c r="T546" s="2"/>
      <x:c r="U546" s="2"/>
      <x:c r="V546" s="2"/>
      <x:c r="W546" s="2"/>
      <x:c r="X546" s="2"/>
    </x:row>
    <x:row r="547" ht="25" customHeight="1">
      <x:c r="A547" s="2"/>
      <x:c r="B547" s="2"/>
      <x:c r="C547" s="2"/>
      <x:c r="D547" s="2"/>
      <x:c r="E547" s="2"/>
      <x:c r="F547" s="2"/>
      <x:c r="G547" s="2"/>
      <x:c r="H547" s="2"/>
      <x:c r="I547" s="2"/>
      <x:c r="J547" s="2"/>
      <x:c r="K547" s="2"/>
      <x:c r="L547" s="2"/>
      <x:c r="M547" s="2"/>
      <x:c r="N547" s="2"/>
      <x:c r="O547" s="2"/>
      <x:c r="P547" s="2"/>
      <x:c r="Q547" s="2"/>
      <x:c r="R547" s="2"/>
      <x:c r="S547" s="2"/>
      <x:c r="T547" s="2"/>
      <x:c r="U547" s="2"/>
      <x:c r="V547" s="2"/>
      <x:c r="W547" s="2"/>
      <x:c r="X547" s="2"/>
    </x:row>
    <x:row r="548" ht="25" customHeight="1">
      <x:c r="A548" s="2"/>
      <x:c r="B548" s="2"/>
      <x:c r="C548" s="2"/>
      <x:c r="D548" s="2"/>
      <x:c r="E548" s="2"/>
      <x:c r="F548" s="2"/>
      <x:c r="G548" s="2"/>
      <x:c r="H548" s="2"/>
      <x:c r="I548" s="2"/>
      <x:c r="J548" s="2"/>
      <x:c r="K548" s="2"/>
      <x:c r="L548" s="2"/>
      <x:c r="M548" s="2"/>
      <x:c r="N548" s="2"/>
      <x:c r="O548" s="2"/>
      <x:c r="P548" s="2"/>
      <x:c r="Q548" s="2"/>
      <x:c r="R548" s="2"/>
      <x:c r="S548" s="2"/>
      <x:c r="T548" s="2"/>
      <x:c r="U548" s="2"/>
      <x:c r="V548" s="2"/>
      <x:c r="W548" s="2"/>
      <x:c r="X548" s="2"/>
    </x:row>
    <x:row r="549" ht="25" customHeight="1">
      <x:c r="A549" s="2"/>
      <x:c r="B549" s="2"/>
      <x:c r="C549" s="2"/>
      <x:c r="D549" s="2"/>
      <x:c r="E549" s="2"/>
      <x:c r="F549" s="2"/>
      <x:c r="G549" s="2"/>
      <x:c r="H549" s="2"/>
      <x:c r="I549" s="2"/>
      <x:c r="J549" s="2"/>
      <x:c r="K549" s="2"/>
      <x:c r="L549" s="2"/>
      <x:c r="M549" s="2"/>
      <x:c r="N549" s="2"/>
      <x:c r="O549" s="2"/>
      <x:c r="P549" s="2"/>
      <x:c r="Q549" s="2"/>
      <x:c r="R549" s="2"/>
      <x:c r="S549" s="2"/>
      <x:c r="T549" s="2"/>
      <x:c r="U549" s="2"/>
      <x:c r="V549" s="2"/>
      <x:c r="W549" s="2"/>
      <x:c r="X549" s="2"/>
    </x:row>
    <x:row r="550" ht="25" customHeight="1">
      <x:c r="A550" s="2"/>
      <x:c r="B550" s="2"/>
      <x:c r="C550" s="2"/>
      <x:c r="D550" s="2"/>
      <x:c r="E550" s="2"/>
      <x:c r="F550" s="2"/>
      <x:c r="G550" s="2"/>
      <x:c r="H550" s="2"/>
      <x:c r="I550" s="2"/>
      <x:c r="J550" s="2"/>
      <x:c r="K550" s="2"/>
      <x:c r="L550" s="2"/>
      <x:c r="M550" s="2"/>
      <x:c r="N550" s="2"/>
      <x:c r="O550" s="2"/>
      <x:c r="P550" s="2"/>
      <x:c r="Q550" s="2"/>
      <x:c r="R550" s="2"/>
      <x:c r="S550" s="2"/>
      <x:c r="T550" s="2"/>
      <x:c r="U550" s="2"/>
      <x:c r="V550" s="2"/>
      <x:c r="W550" s="2"/>
      <x:c r="X550" s="2"/>
    </x:row>
    <x:row r="551" ht="25" customHeight="1">
      <x:c r="A551" s="2"/>
      <x:c r="B551" s="2"/>
      <x:c r="C551" s="2"/>
      <x:c r="D551" s="2"/>
      <x:c r="E551" s="2"/>
      <x:c r="F551" s="2"/>
      <x:c r="G551" s="2"/>
      <x:c r="H551" s="2"/>
      <x:c r="I551" s="2"/>
      <x:c r="J551" s="2"/>
      <x:c r="K551" s="2"/>
      <x:c r="L551" s="2"/>
      <x:c r="M551" s="2"/>
      <x:c r="N551" s="2"/>
      <x:c r="O551" s="2"/>
      <x:c r="P551" s="2"/>
      <x:c r="Q551" s="2"/>
      <x:c r="R551" s="2"/>
      <x:c r="S551" s="2"/>
      <x:c r="T551" s="2"/>
      <x:c r="U551" s="2"/>
      <x:c r="V551" s="2"/>
      <x:c r="W551" s="2"/>
      <x:c r="X551" s="2"/>
    </x:row>
    <x:row r="552" ht="25" customHeight="1">
      <x:c r="A552" s="2"/>
      <x:c r="B552" s="2"/>
      <x:c r="C552" s="2"/>
      <x:c r="D552" s="2"/>
      <x:c r="E552" s="2"/>
      <x:c r="F552" s="2"/>
      <x:c r="G552" s="2"/>
      <x:c r="H552" s="2"/>
      <x:c r="I552" s="2"/>
      <x:c r="J552" s="2"/>
      <x:c r="K552" s="2"/>
      <x:c r="L552" s="2"/>
      <x:c r="M552" s="2"/>
      <x:c r="N552" s="2"/>
      <x:c r="O552" s="2"/>
      <x:c r="P552" s="2"/>
      <x:c r="Q552" s="2"/>
      <x:c r="R552" s="2"/>
      <x:c r="S552" s="2"/>
      <x:c r="T552" s="2"/>
      <x:c r="U552" s="2"/>
      <x:c r="V552" s="2"/>
      <x:c r="W552" s="2"/>
      <x:c r="X552" s="2"/>
    </x:row>
    <x:row r="553" ht="25" customHeight="1">
      <x:c r="A553" s="2"/>
      <x:c r="B553" s="2"/>
      <x:c r="C553" s="2"/>
      <x:c r="D553" s="2"/>
      <x:c r="E553" s="2"/>
      <x:c r="F553" s="2"/>
      <x:c r="G553" s="2"/>
      <x:c r="H553" s="2"/>
      <x:c r="I553" s="2"/>
      <x:c r="J553" s="2"/>
      <x:c r="K553" s="2"/>
      <x:c r="L553" s="2"/>
      <x:c r="M553" s="2"/>
      <x:c r="N553" s="2"/>
      <x:c r="O553" s="2"/>
      <x:c r="P553" s="2"/>
      <x:c r="Q553" s="2"/>
      <x:c r="R553" s="2"/>
      <x:c r="S553" s="2"/>
      <x:c r="T553" s="2"/>
      <x:c r="U553" s="2"/>
      <x:c r="V553" s="2"/>
      <x:c r="W553" s="2"/>
      <x:c r="X553" s="2"/>
    </x:row>
    <x:row r="554" ht="25" customHeight="1">
      <x:c r="A554" s="2"/>
      <x:c r="B554" s="2"/>
      <x:c r="C554" s="2"/>
      <x:c r="D554" s="2"/>
      <x:c r="E554" s="2"/>
      <x:c r="F554" s="2"/>
      <x:c r="G554" s="2"/>
      <x:c r="H554" s="2"/>
      <x:c r="I554" s="2"/>
      <x:c r="J554" s="2"/>
      <x:c r="K554" s="2"/>
      <x:c r="L554" s="2"/>
      <x:c r="M554" s="2"/>
      <x:c r="N554" s="2"/>
      <x:c r="O554" s="2"/>
      <x:c r="P554" s="2"/>
      <x:c r="Q554" s="2"/>
      <x:c r="R554" s="2"/>
      <x:c r="S554" s="2"/>
      <x:c r="T554" s="2"/>
      <x:c r="U554" s="2"/>
      <x:c r="V554" s="2"/>
      <x:c r="W554" s="2"/>
      <x:c r="X554" s="2"/>
    </x:row>
    <x:row r="555" ht="25" customHeight="1">
      <x:c r="A555" s="2"/>
      <x:c r="B555" s="2"/>
      <x:c r="C555" s="2"/>
      <x:c r="D555" s="2"/>
      <x:c r="E555" s="2"/>
      <x:c r="F555" s="2"/>
      <x:c r="G555" s="2"/>
      <x:c r="H555" s="2"/>
      <x:c r="I555" s="2"/>
      <x:c r="J555" s="2"/>
      <x:c r="K555" s="2"/>
      <x:c r="L555" s="2"/>
      <x:c r="M555" s="2"/>
      <x:c r="N555" s="2"/>
      <x:c r="O555" s="2"/>
      <x:c r="P555" s="2"/>
      <x:c r="Q555" s="2"/>
      <x:c r="R555" s="2"/>
      <x:c r="S555" s="2"/>
      <x:c r="T555" s="2"/>
      <x:c r="U555" s="2"/>
      <x:c r="V555" s="2"/>
      <x:c r="W555" s="2"/>
      <x:c r="X555" s="2"/>
    </x:row>
    <x:row r="556" ht="25" customHeight="1">
      <x:c r="A556" s="2"/>
      <x:c r="B556" s="2"/>
      <x:c r="C556" s="2"/>
      <x:c r="D556" s="2"/>
      <x:c r="E556" s="2"/>
      <x:c r="F556" s="2"/>
      <x:c r="G556" s="2"/>
      <x:c r="H556" s="2"/>
      <x:c r="I556" s="2"/>
      <x:c r="J556" s="2"/>
      <x:c r="K556" s="2"/>
      <x:c r="L556" s="2"/>
      <x:c r="M556" s="2"/>
      <x:c r="N556" s="2"/>
      <x:c r="O556" s="2"/>
      <x:c r="P556" s="2"/>
      <x:c r="Q556" s="2"/>
      <x:c r="R556" s="2"/>
      <x:c r="S556" s="2"/>
      <x:c r="T556" s="2"/>
      <x:c r="U556" s="2"/>
      <x:c r="V556" s="2"/>
      <x:c r="W556" s="2"/>
      <x:c r="X556" s="2"/>
    </x:row>
    <x:row r="557" ht="25" customHeight="1">
      <x:c r="A557" s="2"/>
      <x:c r="B557" s="2"/>
      <x:c r="C557" s="2"/>
      <x:c r="D557" s="2"/>
      <x:c r="E557" s="2"/>
      <x:c r="F557" s="2"/>
      <x:c r="G557" s="2"/>
      <x:c r="H557" s="2"/>
      <x:c r="I557" s="2"/>
      <x:c r="J557" s="2"/>
      <x:c r="K557" s="2"/>
      <x:c r="L557" s="2"/>
      <x:c r="M557" s="2"/>
      <x:c r="N557" s="2"/>
      <x:c r="O557" s="2"/>
      <x:c r="P557" s="2"/>
      <x:c r="Q557" s="2"/>
      <x:c r="R557" s="2"/>
      <x:c r="S557" s="2"/>
      <x:c r="T557" s="2"/>
      <x:c r="U557" s="2"/>
      <x:c r="V557" s="2"/>
      <x:c r="W557" s="2"/>
      <x:c r="X557" s="2"/>
    </x:row>
    <x:row r="558" ht="25" customHeight="1">
      <x:c r="A558" s="2"/>
      <x:c r="B558" s="2"/>
      <x:c r="C558" s="2"/>
      <x:c r="D558" s="2"/>
      <x:c r="E558" s="2"/>
      <x:c r="F558" s="2"/>
      <x:c r="G558" s="2"/>
      <x:c r="H558" s="2"/>
      <x:c r="I558" s="2"/>
      <x:c r="J558" s="2"/>
      <x:c r="K558" s="2"/>
      <x:c r="L558" s="2"/>
      <x:c r="M558" s="2"/>
      <x:c r="N558" s="2"/>
      <x:c r="O558" s="2"/>
      <x:c r="P558" s="2"/>
      <x:c r="Q558" s="2"/>
      <x:c r="R558" s="2"/>
      <x:c r="S558" s="2"/>
      <x:c r="T558" s="2"/>
      <x:c r="U558" s="2"/>
      <x:c r="V558" s="2"/>
      <x:c r="W558" s="2"/>
      <x:c r="X558" s="2"/>
    </x:row>
    <x:row r="559" ht="25" customHeight="1">
      <x:c r="A559" s="2"/>
      <x:c r="B559" s="2"/>
      <x:c r="C559" s="2"/>
      <x:c r="D559" s="2"/>
      <x:c r="E559" s="2"/>
      <x:c r="F559" s="2"/>
      <x:c r="G559" s="2"/>
      <x:c r="H559" s="2"/>
      <x:c r="I559" s="2"/>
      <x:c r="J559" s="2"/>
      <x:c r="K559" s="2"/>
      <x:c r="L559" s="2"/>
      <x:c r="M559" s="2"/>
      <x:c r="N559" s="2"/>
      <x:c r="O559" s="2"/>
      <x:c r="P559" s="2"/>
      <x:c r="Q559" s="2"/>
      <x:c r="R559" s="2"/>
      <x:c r="S559" s="2"/>
      <x:c r="T559" s="2"/>
      <x:c r="U559" s="2"/>
      <x:c r="V559" s="2"/>
      <x:c r="W559" s="2"/>
      <x:c r="X559" s="2"/>
    </x:row>
    <x:row r="560" ht="25" customHeight="1">
      <x:c r="A560" s="2"/>
      <x:c r="B560" s="2"/>
      <x:c r="C560" s="2"/>
      <x:c r="D560" s="2"/>
      <x:c r="E560" s="2"/>
      <x:c r="F560" s="2"/>
      <x:c r="G560" s="2"/>
      <x:c r="H560" s="2"/>
      <x:c r="I560" s="2"/>
      <x:c r="J560" s="2"/>
      <x:c r="K560" s="2"/>
      <x:c r="L560" s="2"/>
      <x:c r="M560" s="2"/>
      <x:c r="N560" s="2"/>
      <x:c r="O560" s="2"/>
      <x:c r="P560" s="2"/>
      <x:c r="Q560" s="2"/>
      <x:c r="R560" s="2"/>
      <x:c r="S560" s="2"/>
      <x:c r="T560" s="2"/>
      <x:c r="U560" s="2"/>
      <x:c r="V560" s="2"/>
      <x:c r="W560" s="2"/>
      <x:c r="X560" s="2"/>
    </x:row>
    <x:row r="561" ht="25" customHeight="1">
      <x:c r="A561" s="2"/>
      <x:c r="B561" s="2"/>
      <x:c r="C561" s="2"/>
      <x:c r="D561" s="2"/>
      <x:c r="E561" s="2"/>
      <x:c r="F561" s="2"/>
      <x:c r="G561" s="2"/>
      <x:c r="H561" s="2"/>
      <x:c r="I561" s="2"/>
      <x:c r="J561" s="2"/>
      <x:c r="K561" s="2"/>
      <x:c r="L561" s="2"/>
      <x:c r="M561" s="2"/>
      <x:c r="N561" s="2"/>
      <x:c r="O561" s="2"/>
      <x:c r="P561" s="2"/>
      <x:c r="Q561" s="2"/>
      <x:c r="R561" s="2"/>
      <x:c r="S561" s="2"/>
      <x:c r="T561" s="2"/>
      <x:c r="U561" s="2"/>
      <x:c r="V561" s="2"/>
      <x:c r="W561" s="2"/>
      <x:c r="X561" s="2"/>
    </x:row>
    <x:row r="562" ht="25" customHeight="1">
      <x:c r="A562" s="2"/>
      <x:c r="B562" s="2"/>
      <x:c r="C562" s="2"/>
      <x:c r="D562" s="2"/>
      <x:c r="E562" s="2"/>
      <x:c r="F562" s="2"/>
      <x:c r="G562" s="2"/>
      <x:c r="H562" s="2"/>
      <x:c r="I562" s="2"/>
      <x:c r="J562" s="2"/>
      <x:c r="K562" s="2"/>
      <x:c r="L562" s="2"/>
      <x:c r="M562" s="2"/>
      <x:c r="N562" s="2"/>
      <x:c r="O562" s="2"/>
      <x:c r="P562" s="2"/>
      <x:c r="Q562" s="2"/>
      <x:c r="R562" s="2"/>
      <x:c r="S562" s="2"/>
      <x:c r="T562" s="2"/>
      <x:c r="U562" s="2"/>
      <x:c r="V562" s="2"/>
      <x:c r="W562" s="2"/>
      <x:c r="X562" s="2"/>
    </x:row>
    <x:row r="563" ht="25" customHeight="1">
      <x:c r="A563" s="2"/>
      <x:c r="B563" s="2"/>
      <x:c r="C563" s="2"/>
      <x:c r="D563" s="2"/>
      <x:c r="E563" s="2"/>
      <x:c r="F563" s="2"/>
      <x:c r="G563" s="2"/>
      <x:c r="H563" s="2"/>
      <x:c r="I563" s="2"/>
      <x:c r="J563" s="2"/>
      <x:c r="K563" s="2"/>
      <x:c r="L563" s="2"/>
      <x:c r="M563" s="2"/>
      <x:c r="N563" s="2"/>
      <x:c r="O563" s="2"/>
      <x:c r="P563" s="2"/>
      <x:c r="Q563" s="2"/>
      <x:c r="R563" s="2"/>
      <x:c r="S563" s="2"/>
      <x:c r="T563" s="2"/>
      <x:c r="U563" s="2"/>
      <x:c r="V563" s="2"/>
      <x:c r="W563" s="2"/>
      <x:c r="X563" s="2"/>
    </x:row>
    <x:row r="564" ht="25" customHeight="1">
      <x:c r="A564" s="2"/>
      <x:c r="B564" s="2"/>
      <x:c r="C564" s="2"/>
      <x:c r="D564" s="2"/>
      <x:c r="E564" s="2"/>
      <x:c r="F564" s="2"/>
      <x:c r="G564" s="2"/>
      <x:c r="H564" s="2"/>
      <x:c r="I564" s="2"/>
      <x:c r="J564" s="2"/>
      <x:c r="K564" s="2"/>
      <x:c r="L564" s="2"/>
      <x:c r="M564" s="2"/>
      <x:c r="N564" s="2"/>
      <x:c r="O564" s="2"/>
      <x:c r="P564" s="2"/>
      <x:c r="Q564" s="2"/>
      <x:c r="R564" s="2"/>
      <x:c r="S564" s="2"/>
      <x:c r="T564" s="2"/>
      <x:c r="U564" s="2"/>
      <x:c r="V564" s="2"/>
      <x:c r="W564" s="2"/>
      <x:c r="X564" s="2"/>
    </x:row>
    <x:row r="565" ht="25" customHeight="1">
      <x:c r="A565" s="2"/>
      <x:c r="B565" s="2"/>
      <x:c r="C565" s="2"/>
      <x:c r="D565" s="2"/>
      <x:c r="E565" s="2"/>
      <x:c r="F565" s="2"/>
      <x:c r="G565" s="2"/>
      <x:c r="H565" s="2"/>
      <x:c r="I565" s="2"/>
      <x:c r="J565" s="2"/>
      <x:c r="K565" s="2"/>
      <x:c r="L565" s="2"/>
      <x:c r="M565" s="2"/>
      <x:c r="N565" s="2"/>
      <x:c r="O565" s="2"/>
      <x:c r="P565" s="2"/>
      <x:c r="Q565" s="2"/>
      <x:c r="R565" s="2"/>
      <x:c r="S565" s="2"/>
      <x:c r="T565" s="2"/>
      <x:c r="U565" s="2"/>
      <x:c r="V565" s="2"/>
      <x:c r="W565" s="2"/>
      <x:c r="X565" s="2"/>
    </x:row>
    <x:row r="566" ht="25" customHeight="1">
      <x:c r="A566" s="2"/>
      <x:c r="B566" s="2"/>
      <x:c r="C566" s="2"/>
      <x:c r="D566" s="2"/>
      <x:c r="E566" s="2"/>
      <x:c r="F566" s="2"/>
      <x:c r="G566" s="2"/>
      <x:c r="H566" s="2"/>
      <x:c r="I566" s="2"/>
      <x:c r="J566" s="2"/>
      <x:c r="K566" s="2"/>
      <x:c r="L566" s="2"/>
      <x:c r="M566" s="2"/>
      <x:c r="N566" s="2"/>
      <x:c r="O566" s="2"/>
      <x:c r="P566" s="2"/>
      <x:c r="Q566" s="2"/>
      <x:c r="R566" s="2"/>
      <x:c r="S566" s="2"/>
      <x:c r="T566" s="2"/>
      <x:c r="U566" s="2"/>
      <x:c r="V566" s="2"/>
      <x:c r="W566" s="2"/>
      <x:c r="X566" s="2"/>
    </x:row>
    <x:row r="567" ht="25" customHeight="1">
      <x:c r="A567" s="2"/>
      <x:c r="B567" s="2"/>
      <x:c r="C567" s="2"/>
      <x:c r="D567" s="2"/>
      <x:c r="E567" s="2"/>
      <x:c r="F567" s="2"/>
      <x:c r="G567" s="2"/>
      <x:c r="H567" s="2"/>
      <x:c r="I567" s="2"/>
      <x:c r="J567" s="2"/>
      <x:c r="K567" s="2"/>
      <x:c r="L567" s="2"/>
      <x:c r="M567" s="2"/>
      <x:c r="N567" s="2"/>
      <x:c r="O567" s="2"/>
      <x:c r="P567" s="2"/>
      <x:c r="Q567" s="2"/>
      <x:c r="R567" s="2"/>
      <x:c r="S567" s="2"/>
      <x:c r="T567" s="2"/>
      <x:c r="U567" s="2"/>
      <x:c r="V567" s="2"/>
      <x:c r="W567" s="2"/>
      <x:c r="X567" s="2"/>
    </x:row>
    <x:row r="568" ht="25" customHeight="1">
      <x:c r="A568" s="2"/>
      <x:c r="B568" s="2"/>
      <x:c r="C568" s="2"/>
      <x:c r="D568" s="2"/>
      <x:c r="E568" s="2"/>
      <x:c r="F568" s="2"/>
      <x:c r="G568" s="2"/>
      <x:c r="H568" s="2"/>
      <x:c r="I568" s="2"/>
      <x:c r="J568" s="2"/>
      <x:c r="K568" s="2"/>
      <x:c r="L568" s="2"/>
      <x:c r="M568" s="2"/>
      <x:c r="N568" s="2"/>
      <x:c r="O568" s="2"/>
      <x:c r="P568" s="2"/>
      <x:c r="Q568" s="2"/>
      <x:c r="R568" s="2"/>
      <x:c r="S568" s="2"/>
      <x:c r="T568" s="2"/>
      <x:c r="U568" s="2"/>
      <x:c r="V568" s="2"/>
      <x:c r="W568" s="2"/>
      <x:c r="X568" s="2"/>
    </x:row>
    <x:row r="569" ht="25" customHeight="1">
      <x:c r="A569" s="2"/>
      <x:c r="B569" s="2"/>
      <x:c r="C569" s="2"/>
      <x:c r="D569" s="2"/>
      <x:c r="E569" s="2"/>
      <x:c r="F569" s="2"/>
      <x:c r="G569" s="2"/>
      <x:c r="H569" s="2"/>
      <x:c r="I569" s="2"/>
      <x:c r="J569" s="2"/>
      <x:c r="K569" s="2"/>
      <x:c r="L569" s="2"/>
      <x:c r="M569" s="2"/>
      <x:c r="N569" s="2"/>
      <x:c r="O569" s="2"/>
      <x:c r="P569" s="2"/>
      <x:c r="Q569" s="2"/>
      <x:c r="R569" s="2"/>
      <x:c r="S569" s="2"/>
      <x:c r="T569" s="2"/>
      <x:c r="U569" s="2"/>
      <x:c r="V569" s="2"/>
      <x:c r="W569" s="2"/>
      <x:c r="X569" s="2"/>
    </x:row>
    <x:row r="570" ht="25" customHeight="1">
      <x:c r="A570" s="2"/>
      <x:c r="B570" s="2"/>
      <x:c r="C570" s="2"/>
      <x:c r="D570" s="2"/>
      <x:c r="E570" s="2"/>
      <x:c r="F570" s="2"/>
      <x:c r="G570" s="2"/>
      <x:c r="H570" s="2"/>
      <x:c r="I570" s="2"/>
      <x:c r="J570" s="2"/>
      <x:c r="K570" s="2"/>
      <x:c r="L570" s="2"/>
      <x:c r="M570" s="2"/>
      <x:c r="N570" s="2"/>
      <x:c r="O570" s="2"/>
      <x:c r="P570" s="2"/>
      <x:c r="Q570" s="2"/>
      <x:c r="R570" s="2"/>
      <x:c r="S570" s="2"/>
      <x:c r="T570" s="2"/>
      <x:c r="U570" s="2"/>
      <x:c r="V570" s="2"/>
      <x:c r="W570" s="2"/>
      <x:c r="X570" s="2"/>
    </x:row>
    <x:row r="571" ht="25" customHeight="1">
      <x:c r="A571" s="2"/>
      <x:c r="B571" s="2"/>
      <x:c r="C571" s="2"/>
      <x:c r="D571" s="2"/>
      <x:c r="E571" s="2"/>
      <x:c r="F571" s="2"/>
      <x:c r="G571" s="2"/>
      <x:c r="H571" s="2"/>
      <x:c r="I571" s="2"/>
      <x:c r="J571" s="2"/>
      <x:c r="K571" s="2"/>
      <x:c r="L571" s="2"/>
      <x:c r="M571" s="2"/>
      <x:c r="N571" s="2"/>
      <x:c r="O571" s="2"/>
      <x:c r="P571" s="2"/>
      <x:c r="Q571" s="2"/>
      <x:c r="R571" s="2"/>
      <x:c r="S571" s="2"/>
      <x:c r="T571" s="2"/>
      <x:c r="U571" s="2"/>
      <x:c r="V571" s="2"/>
      <x:c r="W571" s="2"/>
      <x:c r="X571" s="2"/>
    </x:row>
    <x:row r="572" ht="25" customHeight="1">
      <x:c r="A572" s="2"/>
      <x:c r="B572" s="2"/>
      <x:c r="C572" s="2"/>
      <x:c r="D572" s="2"/>
      <x:c r="E572" s="2"/>
      <x:c r="F572" s="2"/>
      <x:c r="G572" s="2"/>
      <x:c r="H572" s="2"/>
      <x:c r="I572" s="2"/>
      <x:c r="J572" s="2"/>
      <x:c r="K572" s="2"/>
      <x:c r="L572" s="2"/>
      <x:c r="M572" s="2"/>
      <x:c r="N572" s="2"/>
      <x:c r="O572" s="2"/>
      <x:c r="P572" s="2"/>
      <x:c r="Q572" s="2"/>
      <x:c r="R572" s="2"/>
      <x:c r="S572" s="2"/>
      <x:c r="T572" s="2"/>
      <x:c r="U572" s="2"/>
      <x:c r="V572" s="2"/>
      <x:c r="W572" s="2"/>
      <x:c r="X572" s="2"/>
    </x:row>
    <x:row r="573" ht="25" customHeight="1">
      <x:c r="A573" s="2"/>
      <x:c r="B573" s="2"/>
      <x:c r="C573" s="2"/>
      <x:c r="D573" s="2"/>
      <x:c r="E573" s="2"/>
      <x:c r="F573" s="2"/>
      <x:c r="G573" s="2"/>
      <x:c r="H573" s="2"/>
      <x:c r="I573" s="2"/>
      <x:c r="J573" s="2"/>
      <x:c r="K573" s="2"/>
      <x:c r="L573" s="2"/>
      <x:c r="M573" s="2"/>
      <x:c r="N573" s="2"/>
      <x:c r="O573" s="2"/>
      <x:c r="P573" s="2"/>
      <x:c r="Q573" s="2"/>
      <x:c r="R573" s="2"/>
      <x:c r="S573" s="2"/>
      <x:c r="T573" s="2"/>
      <x:c r="U573" s="2"/>
      <x:c r="V573" s="2"/>
      <x:c r="W573" s="2"/>
      <x:c r="X573" s="2"/>
    </x:row>
    <x:row r="574" ht="25" customHeight="1">
      <x:c r="A574" s="2"/>
      <x:c r="B574" s="2"/>
      <x:c r="C574" s="2"/>
      <x:c r="D574" s="2"/>
      <x:c r="E574" s="2"/>
      <x:c r="F574" s="2"/>
      <x:c r="G574" s="2"/>
      <x:c r="H574" s="2"/>
      <x:c r="I574" s="2"/>
      <x:c r="J574" s="2"/>
      <x:c r="K574" s="2"/>
      <x:c r="L574" s="2"/>
      <x:c r="M574" s="2"/>
      <x:c r="N574" s="2"/>
      <x:c r="O574" s="2"/>
      <x:c r="P574" s="2"/>
      <x:c r="Q574" s="2"/>
      <x:c r="R574" s="2"/>
      <x:c r="S574" s="2"/>
      <x:c r="T574" s="2"/>
      <x:c r="U574" s="2"/>
      <x:c r="V574" s="2"/>
      <x:c r="W574" s="2"/>
      <x:c r="X574" s="2"/>
    </x:row>
    <x:row r="575" ht="25" customHeight="1">
      <x:c r="A575" s="2"/>
      <x:c r="B575" s="2"/>
      <x:c r="C575" s="2"/>
      <x:c r="D575" s="2"/>
      <x:c r="E575" s="2"/>
      <x:c r="F575" s="2"/>
      <x:c r="G575" s="2"/>
      <x:c r="H575" s="2"/>
      <x:c r="I575" s="2"/>
      <x:c r="J575" s="2"/>
      <x:c r="K575" s="2"/>
      <x:c r="L575" s="2"/>
      <x:c r="M575" s="2"/>
      <x:c r="N575" s="2"/>
      <x:c r="O575" s="2"/>
      <x:c r="P575" s="2"/>
      <x:c r="Q575" s="2"/>
      <x:c r="R575" s="2"/>
      <x:c r="S575" s="2"/>
      <x:c r="T575" s="2"/>
      <x:c r="U575" s="2"/>
      <x:c r="V575" s="2"/>
      <x:c r="W575" s="2"/>
      <x:c r="X575" s="2"/>
    </x:row>
    <x:row r="576" ht="25" customHeight="1">
      <x:c r="A576" s="2"/>
      <x:c r="B576" s="2"/>
      <x:c r="C576" s="2"/>
      <x:c r="D576" s="2"/>
      <x:c r="E576" s="2"/>
      <x:c r="F576" s="2"/>
      <x:c r="G576" s="2"/>
      <x:c r="H576" s="2"/>
      <x:c r="I576" s="2"/>
      <x:c r="J576" s="2"/>
      <x:c r="K576" s="2"/>
      <x:c r="L576" s="2"/>
      <x:c r="M576" s="2"/>
      <x:c r="N576" s="2"/>
      <x:c r="O576" s="2"/>
      <x:c r="P576" s="2"/>
      <x:c r="Q576" s="2"/>
      <x:c r="R576" s="2"/>
      <x:c r="S576" s="2"/>
      <x:c r="T576" s="2"/>
      <x:c r="U576" s="2"/>
      <x:c r="V576" s="2"/>
      <x:c r="W576" s="2"/>
      <x:c r="X576" s="2"/>
    </x:row>
    <x:row r="577" ht="25" customHeight="1">
      <x:c r="A577" s="2"/>
      <x:c r="B577" s="2"/>
      <x:c r="C577" s="2"/>
      <x:c r="D577" s="2"/>
      <x:c r="E577" s="2"/>
      <x:c r="F577" s="2"/>
      <x:c r="G577" s="2"/>
      <x:c r="H577" s="2"/>
      <x:c r="I577" s="2"/>
      <x:c r="J577" s="2"/>
      <x:c r="K577" s="2"/>
      <x:c r="L577" s="2"/>
      <x:c r="M577" s="2"/>
      <x:c r="N577" s="2"/>
      <x:c r="O577" s="2"/>
      <x:c r="P577" s="2"/>
      <x:c r="Q577" s="2"/>
      <x:c r="R577" s="2"/>
      <x:c r="S577" s="2"/>
      <x:c r="T577" s="2"/>
      <x:c r="U577" s="2"/>
      <x:c r="V577" s="2"/>
      <x:c r="W577" s="2"/>
      <x:c r="X577" s="2"/>
    </x:row>
    <x:row r="578" ht="25" customHeight="1">
      <x:c r="A578" s="2"/>
      <x:c r="B578" s="2"/>
      <x:c r="C578" s="2"/>
      <x:c r="D578" s="2"/>
      <x:c r="E578" s="2"/>
      <x:c r="F578" s="2"/>
      <x:c r="G578" s="2"/>
      <x:c r="H578" s="2"/>
      <x:c r="I578" s="2"/>
      <x:c r="J578" s="2"/>
      <x:c r="K578" s="2"/>
      <x:c r="L578" s="2"/>
      <x:c r="M578" s="2"/>
      <x:c r="N578" s="2"/>
      <x:c r="O578" s="2"/>
      <x:c r="P578" s="2"/>
      <x:c r="Q578" s="2"/>
      <x:c r="R578" s="2"/>
      <x:c r="S578" s="2"/>
      <x:c r="T578" s="2"/>
      <x:c r="U578" s="2"/>
      <x:c r="V578" s="2"/>
      <x:c r="W578" s="2"/>
      <x:c r="X578" s="2"/>
    </x:row>
    <x:row r="579" ht="25" customHeight="1">
      <x:c r="A579" s="2"/>
      <x:c r="B579" s="2"/>
      <x:c r="C579" s="2"/>
      <x:c r="D579" s="2"/>
      <x:c r="E579" s="2"/>
      <x:c r="F579" s="2"/>
      <x:c r="G579" s="2"/>
      <x:c r="H579" s="2"/>
      <x:c r="I579" s="2"/>
      <x:c r="J579" s="2"/>
      <x:c r="K579" s="2"/>
      <x:c r="L579" s="2"/>
      <x:c r="M579" s="2"/>
      <x:c r="N579" s="2"/>
      <x:c r="O579" s="2"/>
      <x:c r="P579" s="2"/>
      <x:c r="Q579" s="2"/>
      <x:c r="R579" s="2"/>
      <x:c r="S579" s="2"/>
      <x:c r="T579" s="2"/>
      <x:c r="U579" s="2"/>
      <x:c r="V579" s="2"/>
      <x:c r="W579" s="2"/>
      <x:c r="X579" s="2"/>
    </x:row>
  </x:sheetData>
  <x:conditionalFormatting sqref="O40:O183">
    <x:cfRule type="containsText" dxfId="2" priority="1" operator="containsText" text="输入无效"/>
    <x:cfRule type="containsText" dxfId="3" priority="2" operator="containsText" text="KV 超载"/>
    <x:cfRule type="containsText" dxfId="4" priority="3" operator="containsText" text="TPOT 不自洽"/>
    <x:cfRule type="containsText" dxfId="5" priority="4" operator="containsText" text="需时序仿真"/>
  </x:conditionalFormatting>
  <x:dataValidations count="1">
    <x:dataValidation type="list" sqref="N9">
      <x:formula1>"32,64,128"</x:formula1>
    </x:dataValidation>
  </x:dataValidations>
  <x:pageMargins left="0.7" right="0.7" top="0.75" bottom="0.75" header="0.3" footer="0.3"/>
</x:worksheet>
</file>