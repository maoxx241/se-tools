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63b210b0b4d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ram H2D" sheetId="1" r:id="Rf543c4d015734367"/>
    <x:sheet xmlns:r="http://schemas.openxmlformats.org/officeDocument/2006/relationships" name="Prefix RH2D" sheetId="2" r:id="R62f2e8282ba843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%"/>
    <x:numFmt numFmtId="202" formatCode="#,##0.000000"/>
  </x:numFmts>
  <x:fonts count="4">
    <x:font>
      <x:sz val="11"/>
      <x:name val="Carlito"/>
    </x:font>
    <x:font>
      <x:sz val="11"/>
      <x:color rgb="FF000000"/>
      <x:name val="Carlito"/>
    </x:font>
    <x:font>
      <x:b/>
      <x:sz val="14"/>
      <x:color rgb="FF000000"/>
      <x:name val="Carlito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D9E1F2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 wrapText="1"/>
    </x:xf>
    <x:xf numFmtId="20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3" fillId="3" borderId="1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4bc35010a149e3" /><Relationship Type="http://schemas.openxmlformats.org/officeDocument/2006/relationships/theme" Target="/xl/theme/theme1.xml" Id="R8d4ba92cd0434430" /><Relationship Type="http://schemas.openxmlformats.org/officeDocument/2006/relationships/sharedStrings" Target="/xl/sharedStrings.xml" Id="R11a78909197e4b63" /><Relationship Type="http://schemas.openxmlformats.org/officeDocument/2006/relationships/worksheet" Target="/xl/worksheets/sheet1.xml" Id="Rf543c4d015734367" /><Relationship Type="http://schemas.openxmlformats.org/officeDocument/2006/relationships/worksheet" Target="/xl/worksheets/sheet2.xml" Id="R62f2e8282ba843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D9E1F2"/>
  </x:sheetPr>
  <x:sheetViews>
    <x:sheetView showGridLines="1" workbookViewId="0">
      <x:pane ySplit="11" topLeftCell="A1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6" hidden="0" customWidth="1"/>
    <x:col min="14" max="14" width="44" hidden="0" customWidth="1"/>
  </x:cols>
  <x:sheetData>
    <x:row r="1" ht="23" customHeight="1">
      <x:c r="A1" s="2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2"/>
    </x:row>
    <x:row r="2" ht="30" customHeight="1">
      <x:c r="A2" s="6" t="str">
        <x:v>Engram offloading · P / D H2D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3"/>
      <x:c r="N2" s="2"/>
    </x:row>
    <x:row r="3" ht="30" customHeight="1">
      <x:c r="A3" s="4" t="str">
        <x:v>黄色可编辑。主表按 V4.1 token lookup；CPU 表 FP8/MXFP8 → CPU 解量化 → BF16 H2D。单卡列为均衡 owner 平均值。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3"/>
      <x:c r="N3" s="2"/>
    </x:row>
    <x:row r="4" ht="23" customHeight="1">
      <x:c r="A4" s="2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2"/>
    </x:row>
    <x:row r="5" ht="29" customHeight="1">
      <x:c r="A5" s="4" t="str">
        <x:v>Requests / P DP</x:v>
      </x:c>
      <x:c r="B5" s="5"/>
      <x:c r="C5" s="5"/>
      <x:c r="D5" s="3" t="n">
        <x:f>'Prefix RH2D'!D5</x:f>
        <x:v>16</x:v>
      </x:c>
      <x:c r="E5" s="5" t="str">
        <x:v>P chunk tokens / DP</x:v>
      </x:c>
      <x:c r="F5" s="5"/>
      <x:c r="G5" s="5"/>
      <x:c r="H5" s="7" t="n">
        <x:v>16384</x:v>
      </x:c>
      <x:c r="I5" s="5" t="str">
        <x:v>D tokens / DP / step</x:v>
      </x:c>
      <x:c r="J5" s="5"/>
      <x:c r="K5" s="5"/>
      <x:c r="L5" s="7" t="n">
        <x:v>128</x:v>
      </x:c>
      <x:c r="M5" s="3"/>
      <x:c r="N5" s="2"/>
    </x:row>
    <x:row r="6" ht="29" customHeight="1">
      <x:c r="A6" s="4" t="str">
        <x:v>P TP</x:v>
      </x:c>
      <x:c r="B6" s="5"/>
      <x:c r="C6" s="5"/>
      <x:c r="D6" s="7" t="n">
        <x:v>8</x:v>
      </x:c>
      <x:c r="E6" s="5" t="str">
        <x:v>D TP</x:v>
      </x:c>
      <x:c r="F6" s="5"/>
      <x:c r="G6" s="5"/>
      <x:c r="H6" s="7" t="n">
        <x:v>1</x:v>
      </x:c>
      <x:c r="I6" s="5" t="str">
        <x:v>Ranks / node</x:v>
      </x:c>
      <x:c r="J6" s="5"/>
      <x:c r="K6" s="5"/>
      <x:c r="L6" s="7" t="n">
        <x:v>8</x:v>
      </x:c>
      <x:c r="M6" s="3"/>
      <x:c r="N6" s="2"/>
    </x:row>
    <x:row r="7" ht="29" customHeight="1">
      <x:c r="A7" s="4" t="str">
        <x:v>CPU-served vectors</x:v>
      </x:c>
      <x:c r="B7" s="5"/>
      <x:c r="C7" s="5"/>
      <x:c r="D7" s="8" t="n">
        <x:v>1</x:v>
      </x:c>
      <x:c r="E7" s="5" t="str">
        <x:v>H2D bytes / element</x:v>
      </x:c>
      <x:c r="F7" s="5"/>
      <x:c r="G7" s="5"/>
      <x:c r="H7" s="7" t="n">
        <x:v>2</x:v>
      </x:c>
      <x:c r="I7" s="5" t="str">
        <x:v>H2D vector format</x:v>
      </x:c>
      <x:c r="J7" s="5"/>
      <x:c r="K7" s="5"/>
      <x:c r="L7" s="3" t="str">
        <x:f>IF(H7=2,"BF16","custom bytes")</x:f>
        <x:v>BF16</x:v>
      </x:c>
      <x:c r="M7" s="3"/>
      <x:c r="N7" s="2"/>
    </x:row>
    <x:row r="8" ht="29" customHeight="1">
      <x:c r="A8" s="4" t="str">
        <x:v>Device metadata 0/1</x:v>
      </x:c>
      <x:c r="B8" s="5"/>
      <x:c r="C8" s="5"/>
      <x:c r="D8" s="7" t="n">
        <x:v>1</x:v>
      </x:c>
      <x:c r="E8" s="5" t="str">
        <x:v>Lookups / token</x:v>
      </x:c>
      <x:c r="F8" s="5"/>
      <x:c r="G8" s="5"/>
      <x:c r="H8" s="3" t="n">
        <x:f>F36</x:f>
        <x:v>48</x:v>
      </x:c>
      <x:c r="I8" s="5" t="str">
        <x:v>Vector bytes / token</x:v>
      </x:c>
      <x:c r="J8" s="5"/>
      <x:c r="K8" s="5"/>
      <x:c r="L8" s="3" t="n">
        <x:f>G36</x:f>
        <x:v>24576</x:v>
      </x:c>
      <x:c r="M8" s="3"/>
      <x:c r="N8" s="2"/>
    </x:row>
    <x:row r="9" ht="30" customHeight="1">
      <x:c r="A9" s="4" t="str">
        <x:v>Requests、长度、EP 共用第二页输入；H2D total = vectors + int64 IDs/order + device metadata。设备间 AllToAll / TP broadcast 不计入 H2D。</x:v>
      </x:c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3"/>
      <x:c r="N9" s="2"/>
    </x:row>
    <x:row r="10" ht="23" customHeight="1">
      <x:c r="A10" s="2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2"/>
    </x:row>
    <x:row r="11" ht="48" customHeight="1">
      <x:c r="A11" s="17" t="str">
        <x:v>Stage / batch</x:v>
      </x:c>
      <x:c r="B11" s="18" t="str">
        <x:v>EP</x:v>
      </x:c>
      <x:c r="C11" s="18" t="str">
        <x:v>TP</x:v>
      </x:c>
      <x:c r="D11" s="18" t="str">
        <x:v>DP</x:v>
      </x:c>
      <x:c r="E11" s="18" t="str">
        <x:v>Tokens / DP</x:v>
      </x:c>
      <x:c r="F11" s="18" t="str">
        <x:v>Rounds / DP</x:v>
      </x:c>
      <x:c r="G11" s="18" t="str">
        <x:v>Vectors MiB / rank</x:v>
      </x:c>
      <x:c r="H11" s="18" t="str">
        <x:v>IDs + meta MiB / rank</x:v>
      </x:c>
      <x:c r="I11" s="18" t="str">
        <x:v>H2D total MiB / rank</x:v>
      </x:c>
      <x:c r="J11" s="18" t="str">
        <x:v>H2D total GiB / node</x:v>
      </x:c>
      <x:c r="K11" s="18" t="str">
        <x:v>H2D total GiB / EP</x:v>
      </x:c>
      <x:c r="L11" s="18" t="str">
        <x:v>TP leader H2D MiB</x:v>
      </x:c>
      <x:c r="M11" s="3"/>
      <x:c r="N11" s="2"/>
    </x:row>
    <x:row r="12" ht="23" customHeight="1">
      <x:c r="A12" s="2" t="str">
        <x:v>P forward</x:v>
      </x:c>
      <x:c r="B12" s="3" t="n">
        <x:f>'Prefix RH2D'!D63</x:f>
        <x:v>32</x:v>
      </x:c>
      <x:c r="C12" s="3" t="n">
        <x:f>$D$6</x:f>
        <x:v>8</x:v>
      </x:c>
      <x:c r="D12" s="3" t="n">
        <x:f>B12/C12</x:f>
        <x:v>4</x:v>
      </x:c>
      <x:c r="E12" s="3" t="n">
        <x:f>$H$5</x:f>
        <x:v>16384</x:v>
      </x:c>
      <x:c r="F12" s="3" t="n">
        <x:f>1</x:f>
        <x:v>1</x:v>
      </x:c>
      <x:c r="G12" s="19" t="n">
        <x:f>E12/C12*$L$8*$D$7/2^20</x:f>
        <x:v>48</x:v>
      </x:c>
      <x:c r="H12" s="19" t="n">
        <x:f>(E12/C12*$H$8*16+F12*$B$36*($L$6+1)*8*$D$8)/2^20</x:f>
        <x:v>1.5001373291015625</x:v>
      </x:c>
      <x:c r="I12" s="19" t="n">
        <x:f>G12+H12</x:f>
        <x:v>49.50013732910156</x:v>
      </x:c>
      <x:c r="J12" s="19" t="n">
        <x:f>I12*$L$6/1024</x:f>
        <x:v>0.38671982288360596</x:v>
      </x:c>
      <x:c r="K12" s="19" t="n">
        <x:f>I12*B12/1024</x:f>
        <x:v>1.5468792915344238</x:v>
      </x:c>
      <x:c r="L12" s="19" t="n">
        <x:f>G12+(E12*$H$8*16+F12*$B$36*($L$6+1)*8*$D$8)/2^20</x:f>
        <x:v>60.00013732910156</x:v>
      </x:c>
      <x:c r="M12" s="3"/>
      <x:c r="N12" s="2"/>
    </x:row>
    <x:row r="13" ht="23" customHeight="1">
      <x:c r="A13" s="2" t="str">
        <x:v>D forward</x:v>
      </x:c>
      <x:c r="B13" s="3" t="n">
        <x:f>'Prefix RH2D'!D63</x:f>
        <x:v>32</x:v>
      </x:c>
      <x:c r="C13" s="3" t="n">
        <x:f>$H$6</x:f>
        <x:v>1</x:v>
      </x:c>
      <x:c r="D13" s="3" t="n">
        <x:f>B13/C13</x:f>
        <x:v>32</x:v>
      </x:c>
      <x:c r="E13" s="3" t="n">
        <x:f>$L$5</x:f>
        <x:v>128</x:v>
      </x:c>
      <x:c r="F13" s="3" t="n">
        <x:f>1</x:f>
        <x:v>1</x:v>
      </x:c>
      <x:c r="G13" s="19" t="n">
        <x:f>E13/C13*$L$8*$D$7/2^20</x:f>
        <x:v>3</x:v>
      </x:c>
      <x:c r="H13" s="19" t="n">
        <x:f>(E13/C13*$H$8*16+F13*$B$36*($L$6+1)*8*$D$8)/2^20</x:f>
        <x:v>0.0938873291015625</x:v>
      </x:c>
      <x:c r="I13" s="19" t="n">
        <x:f>G13+H13</x:f>
        <x:v>3.0938873291015625</x:v>
      </x:c>
      <x:c r="J13" s="19" t="n">
        <x:f>I13*$L$6/1024</x:f>
        <x:v>0.024170994758605957</x:v>
      </x:c>
      <x:c r="K13" s="19" t="n">
        <x:f>I13*B13/1024</x:f>
        <x:v>0.09668397903442383</x:v>
      </x:c>
      <x:c r="L13" s="19" t="n">
        <x:f>G13+(E13*$H$8*16+F13*$B$36*($L$6+1)*8*$D$8)/2^20</x:f>
        <x:v>3.0938873291015625</x:v>
      </x:c>
      <x:c r="M13" s="3"/>
      <x:c r="N13" s="2"/>
    </x:row>
    <x:row r="14" ht="23" customHeight="1">
      <x:c r="A14" s="2" t="str">
        <x:v>P batch · case 1</x:v>
      </x:c>
      <x:c r="B14" s="3" t="n">
        <x:f>'Prefix RH2D'!D63</x:f>
        <x:v>32</x:v>
      </x:c>
      <x:c r="C14" s="3" t="n">
        <x:f>$D$6</x:f>
        <x:v>8</x:v>
      </x:c>
      <x:c r="D14" s="3" t="n">
        <x:f>B14/C14</x:f>
        <x:v>4</x:v>
      </x:c>
      <x:c r="E14" s="3" t="n">
        <x:f>$D$5*'Prefix RH2D'!B63</x:f>
        <x:v>262144</x:v>
      </x:c>
      <x:c r="F14" s="3" t="n">
        <x:f>ROUNDUP(E14/$H$5,0)</x:f>
        <x:v>16</x:v>
      </x:c>
      <x:c r="G14" s="19" t="n">
        <x:f>E14/C14*$L$8*$D$7/2^20</x:f>
        <x:v>768</x:v>
      </x:c>
      <x:c r="H14" s="19" t="n">
        <x:f>(E14/C14*$H$8*16+F14*$B$36*($L$6+1)*8*$D$8)/2^20</x:f>
        <x:v>24.002197265625</x:v>
      </x:c>
      <x:c r="I14" s="19" t="n">
        <x:f>G14+H14</x:f>
        <x:v>792.002197265625</x:v>
      </x:c>
      <x:c r="J14" s="19" t="n">
        <x:f>I14*$L$6/1024</x:f>
        <x:v>6.187517166137695</x:v>
      </x:c>
      <x:c r="K14" s="19" t="n">
        <x:f>I14*B14/1024</x:f>
        <x:v>24.75006866455078</x:v>
      </x:c>
      <x:c r="L14" s="19" t="n">
        <x:f>G14+(E14*$H$8*16+F14*$B$36*($L$6+1)*8*$D$8)/2^20</x:f>
        <x:v>960.002197265625</x:v>
      </x:c>
      <x:c r="M14" s="3"/>
      <x:c r="N14" s="2"/>
    </x:row>
    <x:row r="15" ht="23" customHeight="1">
      <x:c r="A15" s="2" t="str">
        <x:v>P batch · case 2</x:v>
      </x:c>
      <x:c r="B15" s="3" t="n">
        <x:f>'Prefix RH2D'!D63</x:f>
        <x:v>32</x:v>
      </x:c>
      <x:c r="C15" s="3" t="n">
        <x:f>$D$6</x:f>
        <x:v>8</x:v>
      </x:c>
      <x:c r="D15" s="3" t="n">
        <x:f>B15/C15</x:f>
        <x:v>4</x:v>
      </x:c>
      <x:c r="E15" s="3" t="n">
        <x:f>$D$5*'Prefix RH2D'!B64</x:f>
        <x:v>4194304</x:v>
      </x:c>
      <x:c r="F15" s="3" t="n">
        <x:f>ROUNDUP(E15/$H$5,0)</x:f>
        <x:v>256</x:v>
      </x:c>
      <x:c r="G15" s="19" t="n">
        <x:f>E15/C15*$L$8*$D$7/2^20</x:f>
        <x:v>12288</x:v>
      </x:c>
      <x:c r="H15" s="19" t="n">
        <x:f>(E15/C15*$H$8*16+F15*$B$36*($L$6+1)*8*$D$8)/2^20</x:f>
        <x:v>384.03515625</x:v>
      </x:c>
      <x:c r="I15" s="19" t="n">
        <x:f>G15+H15</x:f>
        <x:v>12672.03515625</x:v>
      </x:c>
      <x:c r="J15" s="19" t="n">
        <x:f>I15*$L$6/1024</x:f>
        <x:v>99.00027465820312</x:v>
      </x:c>
      <x:c r="K15" s="19" t="n">
        <x:f>I15*B15/1024</x:f>
        <x:v>396.0010986328125</x:v>
      </x:c>
      <x:c r="L15" s="19" t="n">
        <x:f>G15+(E15*$H$8*16+F15*$B$36*($L$6+1)*8*$D$8)/2^20</x:f>
        <x:v>15360.03515625</x:v>
      </x:c>
      <x:c r="M15" s="3"/>
      <x:c r="N15" s="2"/>
    </x:row>
    <x:row r="16" ht="23" customHeight="1">
      <x:c r="A16" s="2" t="str">
        <x:v>P batch · case 3</x:v>
      </x:c>
      <x:c r="B16" s="3" t="n">
        <x:f>'Prefix RH2D'!D63</x:f>
        <x:v>32</x:v>
      </x:c>
      <x:c r="C16" s="3" t="n">
        <x:f>$D$6</x:f>
        <x:v>8</x:v>
      </x:c>
      <x:c r="D16" s="3" t="n">
        <x:f>B16/C16</x:f>
        <x:v>4</x:v>
      </x:c>
      <x:c r="E16" s="3" t="n">
        <x:f>$D$5*'Prefix RH2D'!B65</x:f>
        <x:v>16777216</x:v>
      </x:c>
      <x:c r="F16" s="3" t="n">
        <x:f>ROUNDUP(E16/$H$5,0)</x:f>
        <x:v>1024</x:v>
      </x:c>
      <x:c r="G16" s="19" t="n">
        <x:f>E16/C16*$L$8*$D$7/2^20</x:f>
        <x:v>49152</x:v>
      </x:c>
      <x:c r="H16" s="19" t="n">
        <x:f>(E16/C16*$H$8*16+F16*$B$36*($L$6+1)*8*$D$8)/2^20</x:f>
        <x:v>1536.140625</x:v>
      </x:c>
      <x:c r="I16" s="19" t="n">
        <x:f>G16+H16</x:f>
        <x:v>50688.140625</x:v>
      </x:c>
      <x:c r="J16" s="19" t="n">
        <x:f>I16*$L$6/1024</x:f>
        <x:v>396.0010986328125</x:v>
      </x:c>
      <x:c r="K16" s="19" t="n">
        <x:f>I16*B16/1024</x:f>
        <x:v>1584.00439453125</x:v>
      </x:c>
      <x:c r="L16" s="19" t="n">
        <x:f>G16+(E16*$H$8*16+F16*$B$36*($L$6+1)*8*$D$8)/2^20</x:f>
        <x:v>61440.140625</x:v>
      </x:c>
      <x:c r="M16" s="3"/>
      <x:c r="N16" s="2"/>
    </x:row>
    <x:row r="17" ht="23" customHeight="1">
      <x:c r="A17" s="2" t="str">
        <x:v>P forward</x:v>
      </x:c>
      <x:c r="B17" s="3" t="n">
        <x:f>'Prefix RH2D'!D64</x:f>
        <x:v>256</x:v>
      </x:c>
      <x:c r="C17" s="3" t="n">
        <x:f>$D$6</x:f>
        <x:v>8</x:v>
      </x:c>
      <x:c r="D17" s="3" t="n">
        <x:f>B17/C17</x:f>
        <x:v>32</x:v>
      </x:c>
      <x:c r="E17" s="3" t="n">
        <x:f>$H$5</x:f>
        <x:v>16384</x:v>
      </x:c>
      <x:c r="F17" s="3" t="n">
        <x:f>1</x:f>
        <x:v>1</x:v>
      </x:c>
      <x:c r="G17" s="19" t="n">
        <x:f>E17/C17*$L$8*$D$7/2^20</x:f>
        <x:v>48</x:v>
      </x:c>
      <x:c r="H17" s="19" t="n">
        <x:f>(E17/C17*$H$8*16+F17*$B$36*($L$6+1)*8*$D$8)/2^20</x:f>
        <x:v>1.5001373291015625</x:v>
      </x:c>
      <x:c r="I17" s="19" t="n">
        <x:f>G17+H17</x:f>
        <x:v>49.50013732910156</x:v>
      </x:c>
      <x:c r="J17" s="19" t="n">
        <x:f>I17*$L$6/1024</x:f>
        <x:v>0.38671982288360596</x:v>
      </x:c>
      <x:c r="K17" s="19" t="n">
        <x:f>I17*B17/1024</x:f>
        <x:v>12.37503433227539</x:v>
      </x:c>
      <x:c r="L17" s="19" t="n">
        <x:f>G17+(E17*$H$8*16+F17*$B$36*($L$6+1)*8*$D$8)/2^20</x:f>
        <x:v>60.00013732910156</x:v>
      </x:c>
      <x:c r="M17" s="3"/>
      <x:c r="N17" s="2"/>
    </x:row>
    <x:row r="18" ht="23" customHeight="1">
      <x:c r="A18" s="2" t="str">
        <x:v>D forward</x:v>
      </x:c>
      <x:c r="B18" s="3" t="n">
        <x:f>'Prefix RH2D'!D64</x:f>
        <x:v>256</x:v>
      </x:c>
      <x:c r="C18" s="3" t="n">
        <x:f>$H$6</x:f>
        <x:v>1</x:v>
      </x:c>
      <x:c r="D18" s="3" t="n">
        <x:f>B18/C18</x:f>
        <x:v>256</x:v>
      </x:c>
      <x:c r="E18" s="3" t="n">
        <x:f>$L$5</x:f>
        <x:v>128</x:v>
      </x:c>
      <x:c r="F18" s="3" t="n">
        <x:f>1</x:f>
        <x:v>1</x:v>
      </x:c>
      <x:c r="G18" s="19" t="n">
        <x:f>E18/C18*$L$8*$D$7/2^20</x:f>
        <x:v>3</x:v>
      </x:c>
      <x:c r="H18" s="19" t="n">
        <x:f>(E18/C18*$H$8*16+F18*$B$36*($L$6+1)*8*$D$8)/2^20</x:f>
        <x:v>0.0938873291015625</x:v>
      </x:c>
      <x:c r="I18" s="19" t="n">
        <x:f>G18+H18</x:f>
        <x:v>3.0938873291015625</x:v>
      </x:c>
      <x:c r="J18" s="19" t="n">
        <x:f>I18*$L$6/1024</x:f>
        <x:v>0.024170994758605957</x:v>
      </x:c>
      <x:c r="K18" s="19" t="n">
        <x:f>I18*B18/1024</x:f>
        <x:v>0.7734718322753906</x:v>
      </x:c>
      <x:c r="L18" s="19" t="n">
        <x:f>G18+(E18*$H$8*16+F18*$B$36*($L$6+1)*8*$D$8)/2^20</x:f>
        <x:v>3.0938873291015625</x:v>
      </x:c>
      <x:c r="M18" s="3"/>
      <x:c r="N18" s="2"/>
    </x:row>
    <x:row r="19" ht="23" customHeight="1">
      <x:c r="A19" s="2" t="str">
        <x:v>P batch · case 1</x:v>
      </x:c>
      <x:c r="B19" s="3" t="n">
        <x:f>'Prefix RH2D'!D64</x:f>
        <x:v>256</x:v>
      </x:c>
      <x:c r="C19" s="3" t="n">
        <x:f>$D$6</x:f>
        <x:v>8</x:v>
      </x:c>
      <x:c r="D19" s="3" t="n">
        <x:f>B19/C19</x:f>
        <x:v>32</x:v>
      </x:c>
      <x:c r="E19" s="3" t="n">
        <x:f>$D$5*'Prefix RH2D'!B63</x:f>
        <x:v>262144</x:v>
      </x:c>
      <x:c r="F19" s="3" t="n">
        <x:f>ROUNDUP(E19/$H$5,0)</x:f>
        <x:v>16</x:v>
      </x:c>
      <x:c r="G19" s="19" t="n">
        <x:f>E19/C19*$L$8*$D$7/2^20</x:f>
        <x:v>768</x:v>
      </x:c>
      <x:c r="H19" s="19" t="n">
        <x:f>(E19/C19*$H$8*16+F19*$B$36*($L$6+1)*8*$D$8)/2^20</x:f>
        <x:v>24.002197265625</x:v>
      </x:c>
      <x:c r="I19" s="19" t="n">
        <x:f>G19+H19</x:f>
        <x:v>792.002197265625</x:v>
      </x:c>
      <x:c r="J19" s="19" t="n">
        <x:f>I19*$L$6/1024</x:f>
        <x:v>6.187517166137695</x:v>
      </x:c>
      <x:c r="K19" s="19" t="n">
        <x:f>I19*B19/1024</x:f>
        <x:v>198.00054931640625</x:v>
      </x:c>
      <x:c r="L19" s="19" t="n">
        <x:f>G19+(E19*$H$8*16+F19*$B$36*($L$6+1)*8*$D$8)/2^20</x:f>
        <x:v>960.002197265625</x:v>
      </x:c>
      <x:c r="M19" s="3"/>
      <x:c r="N19" s="2"/>
    </x:row>
    <x:row r="20" ht="23" customHeight="1">
      <x:c r="A20" s="2" t="str">
        <x:v>P batch · case 2</x:v>
      </x:c>
      <x:c r="B20" s="3" t="n">
        <x:f>'Prefix RH2D'!D64</x:f>
        <x:v>256</x:v>
      </x:c>
      <x:c r="C20" s="3" t="n">
        <x:f>$D$6</x:f>
        <x:v>8</x:v>
      </x:c>
      <x:c r="D20" s="3" t="n">
        <x:f>B20/C20</x:f>
        <x:v>32</x:v>
      </x:c>
      <x:c r="E20" s="3" t="n">
        <x:f>$D$5*'Prefix RH2D'!B64</x:f>
        <x:v>4194304</x:v>
      </x:c>
      <x:c r="F20" s="3" t="n">
        <x:f>ROUNDUP(E20/$H$5,0)</x:f>
        <x:v>256</x:v>
      </x:c>
      <x:c r="G20" s="19" t="n">
        <x:f>E20/C20*$L$8*$D$7/2^20</x:f>
        <x:v>12288</x:v>
      </x:c>
      <x:c r="H20" s="19" t="n">
        <x:f>(E20/C20*$H$8*16+F20*$B$36*($L$6+1)*8*$D$8)/2^20</x:f>
        <x:v>384.03515625</x:v>
      </x:c>
      <x:c r="I20" s="19" t="n">
        <x:f>G20+H20</x:f>
        <x:v>12672.03515625</x:v>
      </x:c>
      <x:c r="J20" s="19" t="n">
        <x:f>I20*$L$6/1024</x:f>
        <x:v>99.00027465820312</x:v>
      </x:c>
      <x:c r="K20" s="19" t="n">
        <x:f>I20*B20/1024</x:f>
        <x:v>3168.0087890625</x:v>
      </x:c>
      <x:c r="L20" s="19" t="n">
        <x:f>G20+(E20*$H$8*16+F20*$B$36*($L$6+1)*8*$D$8)/2^20</x:f>
        <x:v>15360.03515625</x:v>
      </x:c>
      <x:c r="M20" s="3"/>
      <x:c r="N20" s="2"/>
    </x:row>
    <x:row r="21" ht="23" customHeight="1">
      <x:c r="A21" s="2" t="str">
        <x:v>P batch · case 3</x:v>
      </x:c>
      <x:c r="B21" s="3" t="n">
        <x:f>'Prefix RH2D'!D64</x:f>
        <x:v>256</x:v>
      </x:c>
      <x:c r="C21" s="3" t="n">
        <x:f>$D$6</x:f>
        <x:v>8</x:v>
      </x:c>
      <x:c r="D21" s="3" t="n">
        <x:f>B21/C21</x:f>
        <x:v>32</x:v>
      </x:c>
      <x:c r="E21" s="3" t="n">
        <x:f>$D$5*'Prefix RH2D'!B65</x:f>
        <x:v>16777216</x:v>
      </x:c>
      <x:c r="F21" s="3" t="n">
        <x:f>ROUNDUP(E21/$H$5,0)</x:f>
        <x:v>1024</x:v>
      </x:c>
      <x:c r="G21" s="19" t="n">
        <x:f>E21/C21*$L$8*$D$7/2^20</x:f>
        <x:v>49152</x:v>
      </x:c>
      <x:c r="H21" s="19" t="n">
        <x:f>(E21/C21*$H$8*16+F21*$B$36*($L$6+1)*8*$D$8)/2^20</x:f>
        <x:v>1536.140625</x:v>
      </x:c>
      <x:c r="I21" s="19" t="n">
        <x:f>G21+H21</x:f>
        <x:v>50688.140625</x:v>
      </x:c>
      <x:c r="J21" s="19" t="n">
        <x:f>I21*$L$6/1024</x:f>
        <x:v>396.0010986328125</x:v>
      </x:c>
      <x:c r="K21" s="19" t="n">
        <x:f>I21*B21/1024</x:f>
        <x:v>12672.03515625</x:v>
      </x:c>
      <x:c r="L21" s="19" t="n">
        <x:f>G21+(E21*$H$8*16+F21*$B$36*($L$6+1)*8*$D$8)/2^20</x:f>
        <x:v>61440.140625</x:v>
      </x:c>
      <x:c r="M21" s="3"/>
      <x:c r="N21" s="2"/>
    </x:row>
    <x:row r="22" ht="23" customHeight="1">
      <x:c r="A22" s="2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2"/>
    </x:row>
    <x:row r="23" ht="30" customHeight="1">
      <x:c r="A23" s="4" t="str">
        <x:v>P batch 是每 P DP 整批完整 prompt 的累计搬运；P/D forward 是一次调度 step。默认没有 lookup 去重，重复命中的向量仍逐次搬运。</x:v>
      </x:c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3"/>
      <x:c r="N23" s="2"/>
    </x:row>
    <x:row r="24" ht="30" customHeight="1">
      <x:c r="A24" s="4" t="str">
        <x:v>CPU-served vectors 默认 100%。降低此值仅模拟额外的 HBM 向量缓存/混合驻留；当前 offload 路径没有这一命中缓存。</x:v>
      </x:c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3"/>
      <x:c r="N24" s="2"/>
    </x:row>
    <x:row r="25" ht="30" customHeight="1">
      <x:c r="A25" s="4" t="str">
        <x:v>TP leader 额外上传查询 IDs 和排序下标；所有 rank 分摊向量 owner 负载。双缓冲只增加暂存空间，不使传输量乘 2。</x:v>
      </x:c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3"/>
      <x:c r="N25" s="2"/>
    </x:row>
    <x:row r="26" ht="30" customHeight="1">
      <x:c r="A26" s="4" t="str">
        <x:v>单位：MiB=2^20 B，GiB=2^30 B。反向 D2H 的查询 IDs、metadata，以及 CPU 内部解量化访存不混入本页 H2D。</x:v>
      </x:c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3"/>
      <x:c r="N26" s="2"/>
    </x:row>
    <x:row r="27" ht="23" customHeight="1">
      <x:c r="A27" s="2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2"/>
    </x:row>
    <x:row r="28" ht="30" customHeight="1">
      <x:c r="A28" s="6" t="str">
        <x:v>Model inputs · 下列参数可直接修改</x:v>
      </x:c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3"/>
      <x:c r="N28" s="2"/>
    </x:row>
    <x:row r="29" ht="23" customHeight="1">
      <x:c r="A29" s="2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2"/>
    </x:row>
    <x:row r="30" ht="48" customHeight="1">
      <x:c r="A30" s="17" t="str">
        <x:v>Model</x:v>
      </x:c>
      <x:c r="B30" s="18" t="str">
        <x:v>Engram layers</x:v>
      </x:c>
      <x:c r="C30" s="18" t="str">
        <x:v>Max n-gram</x:v>
      </x:c>
      <x:c r="D30" s="18" t="str">
        <x:v>Heads / n-gram</x:v>
      </x:c>
      <x:c r="E30" s="18" t="str">
        <x:v>Vector dim</x:v>
      </x:c>
      <x:c r="F30" s="18" t="str">
        <x:v>Lookups / token</x:v>
      </x:c>
      <x:c r="G30" s="18" t="str">
        <x:v>Vector B / token</x:v>
      </x:c>
      <x:c r="H30" s="18" t="str">
        <x:v>CPU storage</x:v>
      </x:c>
      <x:c r="I30" s="18" t="str">
        <x:v>H2D format</x:v>
      </x:c>
      <x:c r="J30" s="18" t="str">
        <x:v>Scope</x:v>
      </x:c>
      <x:c r="K30" s="3"/>
      <x:c r="L30" s="3"/>
      <x:c r="M30" s="3"/>
      <x:c r="N30" s="2"/>
    </x:row>
    <x:row r="31" ht="23" customHeight="1">
      <x:c r="A31" s="2" t="str">
        <x:v>DS V4 10T</x:v>
      </x:c>
      <x:c r="B31" s="7" t="n">
        <x:v>0</x:v>
      </x:c>
      <x:c r="C31" s="7" t="n">
        <x:v>1</x:v>
      </x:c>
      <x:c r="D31" s="7" t="n">
        <x:v>0</x:v>
      </x:c>
      <x:c r="E31" s="7" t="n">
        <x:v>0</x:v>
      </x:c>
      <x:c r="F31" s="3" t="n">
        <x:f>B31*MAX(0,C31-1)*D31</x:f>
        <x:v>0</x:v>
      </x:c>
      <x:c r="G31" s="3" t="n">
        <x:f>F31*E31*$H$7</x:f>
        <x:v>0</x:v>
      </x:c>
      <x:c r="H31" s="3" t="str">
        <x:v>—</x:v>
      </x:c>
      <x:c r="I31" s="3" t="str">
        <x:f>"—"</x:f>
        <x:v>—</x:v>
      </x:c>
      <x:c r="J31" s="3" t="str">
        <x:v>No Engram in archived config</x:v>
      </x:c>
      <x:c r="K31" s="3"/>
      <x:c r="L31" s="3"/>
      <x:c r="M31" s="3"/>
      <x:c r="N31" s="2"/>
    </x:row>
    <x:row r="32" ht="23" customHeight="1">
      <x:c r="A32" s="2" t="str">
        <x:v>DS V4 Pro</x:v>
      </x:c>
      <x:c r="B32" s="7" t="n">
        <x:v>0</x:v>
      </x:c>
      <x:c r="C32" s="7" t="n">
        <x:v>1</x:v>
      </x:c>
      <x:c r="D32" s="7" t="n">
        <x:v>0</x:v>
      </x:c>
      <x:c r="E32" s="7" t="n">
        <x:v>0</x:v>
      </x:c>
      <x:c r="F32" s="3" t="n">
        <x:f>B32*MAX(0,C32-1)*D32</x:f>
        <x:v>0</x:v>
      </x:c>
      <x:c r="G32" s="3" t="n">
        <x:f>F32*E32*$H$7</x:f>
        <x:v>0</x:v>
      </x:c>
      <x:c r="H32" s="3" t="str">
        <x:v>—</x:v>
      </x:c>
      <x:c r="I32" s="3" t="str">
        <x:f>"—"</x:f>
        <x:v>—</x:v>
      </x:c>
      <x:c r="J32" s="3" t="str">
        <x:v>No Engram in archived config</x:v>
      </x:c>
      <x:c r="K32" s="3"/>
      <x:c r="L32" s="3"/>
      <x:c r="M32" s="3"/>
      <x:c r="N32" s="2"/>
    </x:row>
    <x:row r="33" ht="23" customHeight="1">
      <x:c r="A33" s="2" t="str">
        <x:v>GLM5.3</x:v>
      </x:c>
      <x:c r="B33" s="7" t="n">
        <x:v>0</x:v>
      </x:c>
      <x:c r="C33" s="7" t="n">
        <x:v>1</x:v>
      </x:c>
      <x:c r="D33" s="7" t="n">
        <x:v>0</x:v>
      </x:c>
      <x:c r="E33" s="7" t="n">
        <x:v>0</x:v>
      </x:c>
      <x:c r="F33" s="3" t="n">
        <x:f>B33*MAX(0,C33-1)*D33</x:f>
        <x:v>0</x:v>
      </x:c>
      <x:c r="G33" s="3" t="n">
        <x:f>F33*E33*$H$7</x:f>
        <x:v>0</x:v>
      </x:c>
      <x:c r="H33" s="3" t="str">
        <x:v>—</x:v>
      </x:c>
      <x:c r="I33" s="3" t="str">
        <x:f>"—"</x:f>
        <x:v>—</x:v>
      </x:c>
      <x:c r="J33" s="3" t="str">
        <x:v>No Engram in archived config</x:v>
      </x:c>
      <x:c r="K33" s="3"/>
      <x:c r="L33" s="3"/>
      <x:c r="M33" s="3"/>
      <x:c r="N33" s="2"/>
    </x:row>
    <x:row r="34" ht="23" customHeight="1">
      <x:c r="A34" s="2" t="str">
        <x:v>KimiK3</x:v>
      </x:c>
      <x:c r="B34" s="7" t="n">
        <x:v>0</x:v>
      </x:c>
      <x:c r="C34" s="7" t="n">
        <x:v>1</x:v>
      </x:c>
      <x:c r="D34" s="7" t="n">
        <x:v>0</x:v>
      </x:c>
      <x:c r="E34" s="7" t="n">
        <x:v>0</x:v>
      </x:c>
      <x:c r="F34" s="3" t="n">
        <x:f>B34*MAX(0,C34-1)*D34</x:f>
        <x:v>0</x:v>
      </x:c>
      <x:c r="G34" s="3" t="n">
        <x:f>F34*E34*$H$7</x:f>
        <x:v>0</x:v>
      </x:c>
      <x:c r="H34" s="3" t="str">
        <x:v>—</x:v>
      </x:c>
      <x:c r="I34" s="3" t="str">
        <x:f>"—"</x:f>
        <x:v>—</x:v>
      </x:c>
      <x:c r="J34" s="3" t="str">
        <x:v>No Engram in archived config</x:v>
      </x:c>
      <x:c r="K34" s="3"/>
      <x:c r="L34" s="3"/>
      <x:c r="M34" s="3"/>
      <x:c r="N34" s="2"/>
    </x:row>
    <x:row r="35" ht="23" customHeight="1">
      <x:c r="A35" s="2" t="str">
        <x:v>Qwen3.8 2.4T</x:v>
      </x:c>
      <x:c r="B35" s="7" t="n">
        <x:v>0</x:v>
      </x:c>
      <x:c r="C35" s="7" t="n">
        <x:v>1</x:v>
      </x:c>
      <x:c r="D35" s="7" t="n">
        <x:v>0</x:v>
      </x:c>
      <x:c r="E35" s="7" t="n">
        <x:v>0</x:v>
      </x:c>
      <x:c r="F35" s="3" t="n">
        <x:f>B35*MAX(0,C35-1)*D35</x:f>
        <x:v>0</x:v>
      </x:c>
      <x:c r="G35" s="3" t="n">
        <x:f>F35*E35*$H$7</x:f>
        <x:v>0</x:v>
      </x:c>
      <x:c r="H35" s="3" t="str">
        <x:v>—</x:v>
      </x:c>
      <x:c r="I35" s="3" t="str">
        <x:f>"—"</x:f>
        <x:v>—</x:v>
      </x:c>
      <x:c r="J35" s="3" t="str">
        <x:v>No Engram in archived config</x:v>
      </x:c>
      <x:c r="K35" s="3"/>
      <x:c r="L35" s="3"/>
      <x:c r="M35" s="3"/>
      <x:c r="N35" s="2"/>
    </x:row>
    <x:row r="36" ht="23" customHeight="1">
      <x:c r="A36" s="2" t="str">
        <x:v>DS V4.1 Flash</x:v>
      </x:c>
      <x:c r="B36" s="7" t="n">
        <x:v>2</x:v>
      </x:c>
      <x:c r="C36" s="7" t="n">
        <x:v>4</x:v>
      </x:c>
      <x:c r="D36" s="7" t="n">
        <x:v>8</x:v>
      </x:c>
      <x:c r="E36" s="7" t="n">
        <x:v>256</x:v>
      </x:c>
      <x:c r="F36" s="3" t="n">
        <x:f>B36*MAX(0,C36-1)*D36</x:f>
        <x:v>48</x:v>
      </x:c>
      <x:c r="G36" s="3" t="n">
        <x:f>F36*E36*$H$7</x:f>
        <x:v>24576</x:v>
      </x:c>
      <x:c r="H36" s="3" t="str">
        <x:v>FP8 / MXFP8</x:v>
      </x:c>
      <x:c r="I36" s="3" t="str">
        <x:f>$L$7</x:f>
        <x:v>BF16</x:v>
      </x:c>
      <x:c r="J36" s="3" t="str">
        <x:v>Rows 12–21 use this model</x:v>
      </x:c>
      <x:c r="K36" s="3"/>
      <x:c r="L36" s="3"/>
      <x:c r="M36" s="3"/>
      <x:c r="N36" s="2"/>
    </x:row>
    <x:row r="37" ht="23" customHeight="1">
      <x:c r="A37" s="2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2"/>
    </x:row>
    <x:row r="38" ht="30" customHeight="1">
      <x:c r="A38" s="4" t="str">
        <x:v>CPU FP8 storage is 256 codes + 8 E8M0 scales per row; current H2D is 256 × 2 = 512 B per lookup. Source snapshot: 2026-09-22.</x:v>
      </x:c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3"/>
      <x:c r="N38" s="2"/>
    </x:row>
    <x:row r="39" ht="23" customHeight="1">
      <x:c r="A39" s="2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2"/>
    </x:row>
    <x:row r="40" ht="30" customHeight="1">
      <x:c r="A40" s="4" t="str">
        <x:v>Source: GDzhu01/vllm-ascend-v41-private @ 6bb7aee · engram_hbm.py (lookup_local / _forward_with_gathered / route_many).</x:v>
      </x:c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3"/>
      <x:c r="N40" s="2"/>
    </x:row>
    <x:row r="41" ht="30" customHeight="1">
      <x:c r="A41" s="4" t="str">
        <x:v>https://github.com/GDzhu01/vllm-ascend-v41-private/blob/6bb7aeecf01b660ae14d9adddfc2f7035d3d1305/vllm_ascend/models/deepseek_v41/engram_hbm.py</x:v>
      </x:c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3"/>
      <x:c r="N41" s="2"/>
    </x:row>
    <x:row r="42" ht="30" customHeight="1">
      <x:c r="A42" s="4" t="str">
        <x:v>Config: models/deepseek-v4.1-flash/config.json · HF DeepSeek-V4.1-Flash @ dba1be0a40aa45a94ad051997016db3960a90277</x:v>
      </x:c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3"/>
      <x:c r="N42" s="2"/>
    </x:row>
    <x:row r="43" ht="23" customHeight="1">
      <x:c r="A43" s="2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2"/>
    </x:row>
    <x:row r="44" ht="23" customHeight="1">
      <x:c r="A44" s="2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2"/>
    </x:row>
    <x:row r="45" ht="23" customHeight="1">
      <x:c r="A45" s="2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2"/>
    </x:row>
    <x:row r="46" ht="23" customHeight="1">
      <x:c r="A46" s="2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2"/>
    </x:row>
    <x:row r="47" ht="23" customHeight="1">
      <x:c r="A47" s="2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2"/>
    </x:row>
    <x:row r="48" ht="23" customHeight="1">
      <x:c r="A48" s="2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2"/>
    </x:row>
    <x:row r="49" ht="23" customHeight="1">
      <x:c r="A49" s="2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2"/>
    </x:row>
    <x:row r="50" ht="23" customHeight="1">
      <x:c r="A50" s="2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2"/>
    </x:row>
    <x:row r="51" ht="23" customHeight="1">
      <x:c r="A51" s="2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2"/>
    </x:row>
    <x:row r="52" ht="23" customHeight="1">
      <x:c r="A52" s="2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2"/>
    </x:row>
    <x:row r="53" ht="23" customHeight="1">
      <x:c r="A53" s="2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2"/>
    </x:row>
    <x:row r="54" ht="23" customHeight="1">
      <x:c r="A54" s="2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2"/>
    </x:row>
    <x:row r="55" ht="23" customHeight="1">
      <x:c r="A55" s="2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2"/>
    </x:row>
    <x:row r="56" ht="23" customHeight="1">
      <x:c r="A56" s="2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2"/>
    </x:row>
    <x:row r="57" ht="23" customHeight="1">
      <x:c r="A57" s="2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2"/>
    </x:row>
    <x:row r="58" ht="23" customHeight="1">
      <x:c r="A58" s="2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2"/>
    </x:row>
    <x:row r="59" ht="23" customHeight="1">
      <x:c r="A59" s="2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2"/>
    </x:row>
    <x:row r="60" ht="23" customHeight="1">
      <x:c r="A60" s="2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2"/>
    </x:row>
    <x:row r="61" ht="23" customHeight="1">
      <x:c r="A61" s="2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2"/>
    </x:row>
    <x:row r="62" ht="23" customHeight="1">
      <x:c r="A62" s="2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2"/>
    </x:row>
    <x:row r="63" ht="23" customHeight="1">
      <x:c r="A63" s="2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2"/>
    </x:row>
    <x:row r="64" ht="23" customHeight="1">
      <x:c r="A64" s="2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2"/>
    </x:row>
    <x:row r="65" ht="23" customHeight="1">
      <x:c r="A65" s="2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2"/>
    </x:row>
    <x:row r="66" ht="23" customHeight="1">
      <x:c r="A66" s="2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2"/>
    </x:row>
    <x:row r="67" ht="23" customHeight="1">
      <x:c r="A67" s="2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2"/>
    </x:row>
    <x:row r="68" ht="23" customHeight="1">
      <x:c r="A68" s="2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2"/>
    </x:row>
    <x:row r="69" ht="23" customHeight="1">
      <x:c r="A69" s="2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2"/>
    </x:row>
    <x:row r="70" ht="23" customHeight="1">
      <x:c r="A70" s="2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2"/>
    </x:row>
    <x:row r="71" ht="23" customHeight="1">
      <x:c r="A71" s="2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2"/>
    </x:row>
    <x:row r="72" ht="23" customHeight="1">
      <x:c r="A72" s="2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2"/>
    </x:row>
    <x:row r="73" ht="23" customHeight="1">
      <x:c r="A73" s="2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2"/>
    </x:row>
    <x:row r="74" ht="23" customHeight="1">
      <x:c r="A74" s="2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2"/>
    </x:row>
    <x:row r="75" ht="23" customHeight="1">
      <x:c r="A75" s="2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2"/>
    </x:row>
    <x:row r="76" ht="23" customHeight="1">
      <x:c r="A76" s="2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2"/>
    </x:row>
    <x:row r="77" ht="23" customHeight="1">
      <x:c r="A77" s="2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2"/>
    </x:row>
    <x:row r="78" ht="23" customHeight="1">
      <x:c r="A78" s="2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2"/>
    </x:row>
    <x:row r="79" ht="23" customHeight="1">
      <x:c r="A79" s="2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2"/>
    </x:row>
    <x:row r="80" ht="23" customHeight="1">
      <x:c r="A80" s="2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2"/>
    </x:row>
    <x:row r="81" ht="23" customHeight="1">
      <x:c r="A81" s="2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2"/>
    </x:row>
    <x:row r="82" ht="23" customHeight="1">
      <x:c r="A82" s="2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2"/>
    </x:row>
    <x:row r="83" ht="23" customHeight="1">
      <x:c r="A83" s="2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2"/>
    </x:row>
    <x:row r="84" ht="23" customHeight="1">
      <x:c r="A84" s="2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2"/>
    </x:row>
    <x:row r="85" ht="23" customHeight="1">
      <x:c r="A85" s="2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2"/>
    </x:row>
    <x:row r="86" ht="23" customHeight="1">
      <x:c r="A86" s="2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2"/>
    </x:row>
    <x:row r="87" ht="23" customHeight="1">
      <x:c r="A87" s="2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2"/>
    </x:row>
    <x:row r="88" ht="23" customHeight="1">
      <x:c r="A88" s="2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2"/>
    </x:row>
    <x:row r="89" ht="23" customHeight="1">
      <x:c r="A89" s="2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2"/>
    </x:row>
    <x:row r="90" ht="23" customHeight="1">
      <x:c r="A90" s="2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2"/>
    </x:row>
    <x:row r="91" ht="23" customHeight="1">
      <x:c r="A91" s="2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2"/>
    </x:row>
    <x:row r="92" ht="23" customHeight="1">
      <x:c r="A92" s="2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2"/>
    </x:row>
    <x:row r="93" ht="23" customHeight="1">
      <x:c r="A93" s="2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2"/>
    </x:row>
    <x:row r="94" ht="23" customHeight="1">
      <x:c r="A94" s="2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2"/>
    </x:row>
    <x:row r="95" ht="23" customHeight="1">
      <x:c r="A95" s="2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2"/>
    </x:row>
    <x:row r="96" ht="23" customHeight="1">
      <x:c r="A96" s="2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2"/>
    </x:row>
    <x:row r="97" ht="23" customHeight="1">
      <x:c r="A97" s="2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2"/>
    </x:row>
    <x:row r="98" ht="23" customHeight="1">
      <x:c r="A98" s="2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2"/>
    </x:row>
    <x:row r="99" ht="23" customHeight="1">
      <x:c r="A99" s="2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2"/>
    </x:row>
    <x:row r="100" ht="23" customHeight="1">
      <x:c r="A100" s="2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2"/>
    </x:row>
    <x:row r="101" ht="23" customHeight="1">
      <x:c r="A101" s="2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2"/>
    </x:row>
    <x:row r="102" ht="23" customHeight="1">
      <x:c r="A102" s="2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2"/>
    </x:row>
    <x:row r="103" ht="23" customHeight="1">
      <x:c r="A103" s="2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2"/>
    </x:row>
    <x:row r="104" ht="23" customHeight="1">
      <x:c r="A104" s="2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2"/>
    </x:row>
    <x:row r="105" ht="23" customHeight="1">
      <x:c r="A105" s="2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2"/>
    </x:row>
    <x:row r="106" ht="23" customHeight="1">
      <x:c r="A106" s="2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2"/>
    </x:row>
    <x:row r="107" ht="23" customHeight="1">
      <x:c r="A107" s="2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2"/>
    </x:row>
    <x:row r="108" ht="23" customHeight="1">
      <x:c r="A108" s="2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2"/>
    </x:row>
    <x:row r="109" ht="23" customHeight="1">
      <x:c r="A109" s="2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2"/>
    </x:row>
    <x:row r="110" ht="23" customHeight="1">
      <x:c r="A110" s="2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2"/>
    </x:row>
    <x:row r="111" ht="23" customHeight="1">
      <x:c r="A111" s="2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2"/>
    </x:row>
    <x:row r="112" ht="23" customHeight="1">
      <x:c r="A112" s="2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2"/>
    </x:row>
    <x:row r="113" ht="23" customHeight="1">
      <x:c r="A113" s="2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2"/>
    </x:row>
    <x:row r="114" ht="23" customHeight="1">
      <x:c r="A114" s="2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2"/>
    </x:row>
    <x:row r="115" ht="23" customHeight="1">
      <x:c r="A115" s="2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2"/>
    </x:row>
    <x:row r="116" ht="23" customHeight="1">
      <x:c r="A116" s="2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2"/>
    </x:row>
    <x:row r="117" ht="23" customHeight="1">
      <x:c r="A117" s="2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2"/>
    </x:row>
    <x:row r="118" ht="23" customHeight="1">
      <x:c r="A118" s="2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2"/>
    </x:row>
    <x:row r="119" ht="23" customHeight="1">
      <x:c r="A119" s="2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2"/>
    </x:row>
    <x:row r="120" ht="23" customHeight="1">
      <x:c r="A120" s="2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2"/>
    </x:row>
    <x:row r="121" ht="23" customHeight="1">
      <x:c r="A121" s="2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2"/>
    </x:row>
    <x:row r="122" ht="23" customHeight="1">
      <x:c r="A122" s="2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2"/>
    </x:row>
    <x:row r="123" ht="23" customHeight="1">
      <x:c r="A123" s="2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2"/>
    </x:row>
    <x:row r="124" ht="23" customHeight="1">
      <x:c r="A124" s="2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2"/>
    </x:row>
    <x:row r="125" ht="23" customHeight="1">
      <x:c r="A125" s="2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2"/>
    </x:row>
    <x:row r="126" ht="23" customHeight="1">
      <x:c r="A126" s="2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2"/>
    </x:row>
    <x:row r="127" ht="23" customHeight="1">
      <x:c r="A127" s="2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2"/>
    </x:row>
    <x:row r="128" ht="23" customHeight="1">
      <x:c r="A128" s="2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2"/>
    </x:row>
    <x:row r="129" ht="23" customHeight="1">
      <x:c r="A129" s="2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2"/>
    </x:row>
    <x:row r="130" ht="23" customHeight="1">
      <x:c r="A130" s="2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2"/>
    </x:row>
    <x:row r="131" ht="23" customHeight="1">
      <x:c r="A131" s="2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2"/>
    </x:row>
    <x:row r="132" ht="23" customHeight="1">
      <x:c r="A132" s="2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2"/>
    </x:row>
    <x:row r="133" ht="23" customHeight="1">
      <x:c r="A133" s="2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2"/>
    </x:row>
    <x:row r="134" ht="23" customHeight="1">
      <x:c r="A134" s="2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2"/>
    </x:row>
    <x:row r="135" ht="23" customHeight="1">
      <x:c r="A135" s="2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2"/>
    </x:row>
    <x:row r="136" ht="23" customHeight="1">
      <x:c r="A136" s="2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2"/>
    </x:row>
    <x:row r="137" ht="23" customHeight="1">
      <x:c r="A137" s="2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2"/>
    </x:row>
    <x:row r="138" ht="23" customHeight="1">
      <x:c r="A138" s="2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2"/>
    </x:row>
    <x:row r="139" ht="23" customHeight="1">
      <x:c r="A139" s="2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2"/>
    </x:row>
    <x:row r="140" ht="23" customHeight="1">
      <x:c r="A140" s="2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2"/>
    </x:row>
    <x:row r="141" ht="23" customHeight="1">
      <x:c r="A141" s="2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2"/>
    </x:row>
    <x:row r="142" ht="23" customHeight="1">
      <x:c r="A142" s="2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2"/>
    </x:row>
    <x:row r="143" ht="23" customHeight="1">
      <x:c r="A143" s="2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2"/>
    </x:row>
    <x:row r="144" ht="23" customHeight="1">
      <x:c r="A144" s="2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2"/>
    </x:row>
    <x:row r="145" ht="23" customHeight="1">
      <x:c r="A145" s="2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2"/>
    </x:row>
    <x:row r="146" ht="23" customHeight="1">
      <x:c r="A146" s="2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2"/>
    </x:row>
    <x:row r="147" ht="23" customHeight="1">
      <x:c r="A147" s="2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2"/>
    </x:row>
    <x:row r="148" ht="23" customHeight="1">
      <x:c r="A148" s="2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2"/>
    </x:row>
    <x:row r="149" ht="23" customHeight="1">
      <x:c r="A149" s="2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2"/>
    </x:row>
    <x:row r="150" ht="23" customHeight="1">
      <x:c r="A150" s="2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2"/>
    </x:row>
    <x:row r="151" ht="23" customHeight="1">
      <x:c r="A151" s="2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2"/>
    </x:row>
    <x:row r="152" ht="23" customHeight="1">
      <x:c r="A152" s="2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2"/>
    </x:row>
    <x:row r="153" ht="23" customHeight="1">
      <x:c r="A153" s="2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2"/>
    </x:row>
    <x:row r="154" ht="23" customHeight="1">
      <x:c r="A154" s="2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2"/>
    </x:row>
    <x:row r="155" ht="23" customHeight="1">
      <x:c r="A155" s="2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2"/>
    </x:row>
    <x:row r="156" ht="23" customHeight="1">
      <x:c r="A156" s="2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2"/>
    </x:row>
    <x:row r="157" ht="23" customHeight="1">
      <x:c r="A157" s="2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2"/>
    </x:row>
    <x:row r="158" ht="23" customHeight="1">
      <x:c r="A158" s="2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2"/>
    </x:row>
    <x:row r="159" ht="23" customHeight="1">
      <x:c r="A159" s="2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2"/>
    </x:row>
    <x:row r="160" ht="23" customHeight="1">
      <x:c r="A160" s="2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2"/>
    </x:row>
    <x:row r="161" ht="23" customHeight="1">
      <x:c r="A161" s="2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2"/>
    </x:row>
    <x:row r="162" ht="23" customHeight="1">
      <x:c r="A162" s="2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2"/>
    </x:row>
    <x:row r="163" ht="23" customHeight="1">
      <x:c r="A163" s="2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2"/>
    </x:row>
    <x:row r="164" ht="23" customHeight="1">
      <x:c r="A164" s="2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2"/>
    </x:row>
    <x:row r="165" ht="23" customHeight="1">
      <x:c r="A165" s="2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2"/>
    </x:row>
    <x:row r="166" ht="23" customHeight="1">
      <x:c r="A166" s="2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2"/>
    </x:row>
    <x:row r="167" ht="23" customHeight="1">
      <x:c r="A167" s="2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2"/>
    </x:row>
    <x:row r="168" ht="23" customHeight="1">
      <x:c r="A168" s="2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2"/>
    </x:row>
    <x:row r="169" ht="23" customHeight="1">
      <x:c r="A169" s="2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2"/>
    </x:row>
    <x:row r="170" ht="23" customHeight="1">
      <x:c r="A170" s="2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2"/>
    </x:row>
    <x:row r="171" ht="23" customHeight="1">
      <x:c r="A171" s="2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2"/>
    </x:row>
    <x:row r="172" ht="23" customHeight="1">
      <x:c r="A172" s="2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2"/>
    </x:row>
    <x:row r="173" ht="23" customHeight="1">
      <x:c r="A173" s="2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2"/>
    </x:row>
    <x:row r="174" ht="23" customHeight="1">
      <x:c r="A174" s="2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2"/>
    </x:row>
    <x:row r="175" ht="23" customHeight="1">
      <x:c r="A175" s="2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2"/>
    </x:row>
    <x:row r="176" ht="23" customHeight="1">
      <x:c r="A176" s="2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2"/>
    </x:row>
    <x:row r="177" ht="23" customHeight="1">
      <x:c r="A177" s="2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2"/>
    </x:row>
    <x:row r="178" ht="23" customHeight="1">
      <x:c r="A178" s="2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2"/>
    </x:row>
    <x:row r="179" ht="23" customHeight="1">
      <x:c r="A179" s="2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2"/>
    </x:row>
    <x:row r="180" ht="23" customHeight="1">
      <x:c r="A180" s="2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2"/>
    </x:row>
    <x:row r="181" ht="23" customHeight="1">
      <x:c r="A181" s="2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2"/>
    </x:row>
    <x:row r="182" ht="23" customHeight="1">
      <x:c r="A182" s="2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2"/>
    </x:row>
    <x:row r="183" ht="23" customHeight="1">
      <x:c r="A183" s="2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2"/>
    </x:row>
    <x:row r="184" ht="23" customHeight="1">
      <x:c r="A184" s="2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2"/>
    </x:row>
    <x:row r="185" ht="23" customHeight="1">
      <x:c r="A185" s="2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2"/>
    </x:row>
    <x:row r="186" ht="23" customHeight="1">
      <x:c r="A186" s="2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2"/>
    </x:row>
    <x:row r="187" ht="23" customHeight="1">
      <x:c r="A187" s="2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2"/>
    </x:row>
    <x:row r="188" ht="23" customHeight="1">
      <x:c r="A188" s="2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2"/>
    </x:row>
    <x:row r="189" ht="23" customHeight="1">
      <x:c r="A189" s="2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2"/>
    </x:row>
    <x:row r="190" ht="23" customHeight="1">
      <x:c r="A190" s="2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2"/>
    </x:row>
    <x:row r="191" ht="23" customHeight="1">
      <x:c r="A191" s="2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2"/>
    </x:row>
    <x:row r="192" ht="23" customHeight="1">
      <x:c r="A192" s="2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2"/>
    </x:row>
    <x:row r="193" ht="23" customHeight="1">
      <x:c r="A193" s="2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2"/>
    </x:row>
    <x:row r="194" ht="23" customHeight="1">
      <x:c r="A194" s="2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2"/>
    </x:row>
    <x:row r="195" ht="23" customHeight="1">
      <x:c r="A195" s="2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2"/>
    </x:row>
    <x:row r="196" ht="23" customHeight="1">
      <x:c r="A196" s="2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2"/>
    </x:row>
    <x:row r="197" ht="23" customHeight="1">
      <x:c r="A197" s="2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2"/>
    </x:row>
    <x:row r="198" ht="23" customHeight="1">
      <x:c r="A198" s="2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2"/>
    </x:row>
    <x:row r="199" ht="23" customHeight="1">
      <x:c r="A199" s="2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2"/>
    </x:row>
    <x:row r="200" ht="23" customHeight="1">
      <x:c r="A200" s="2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2"/>
    </x:row>
    <x:row r="201" ht="23" customHeight="1">
      <x:c r="A201" s="2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2"/>
    </x:row>
    <x:row r="202" ht="23" customHeight="1">
      <x:c r="A202" s="2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2"/>
    </x:row>
    <x:row r="203" ht="23" customHeight="1">
      <x:c r="A203" s="2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2"/>
    </x:row>
    <x:row r="204" ht="23" customHeight="1">
      <x:c r="A204" s="2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2"/>
    </x:row>
    <x:row r="205" ht="23" customHeight="1">
      <x:c r="A205" s="2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2"/>
    </x:row>
    <x:row r="206" ht="23" customHeight="1">
      <x:c r="A206" s="2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2"/>
    </x:row>
    <x:row r="207" ht="23" customHeight="1">
      <x:c r="A207" s="2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2"/>
    </x:row>
    <x:row r="208" ht="23" customHeight="1">
      <x:c r="A208" s="2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2"/>
    </x:row>
    <x:row r="209" ht="23" customHeight="1">
      <x:c r="A209" s="2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2"/>
    </x:row>
    <x:row r="210" ht="23" customHeight="1">
      <x:c r="A210" s="2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2"/>
    </x:row>
  </x:sheetData>
  <x:mergeCells>
    <x:mergeCell ref="A2:L2"/>
    <x:mergeCell ref="A3:L3"/>
    <x:mergeCell ref="A5:C5"/>
    <x:mergeCell ref="E5:G5"/>
    <x:mergeCell ref="I5:K5"/>
    <x:mergeCell ref="A6:C6"/>
    <x:mergeCell ref="E6:G6"/>
    <x:mergeCell ref="I6:K6"/>
    <x:mergeCell ref="A7:C7"/>
    <x:mergeCell ref="E7:G7"/>
    <x:mergeCell ref="I7:K7"/>
    <x:mergeCell ref="A8:C8"/>
    <x:mergeCell ref="E8:G8"/>
    <x:mergeCell ref="I8:K8"/>
    <x:mergeCell ref="A9:L9"/>
    <x:mergeCell ref="A23:L23"/>
    <x:mergeCell ref="A24:L24"/>
    <x:mergeCell ref="A25:L25"/>
    <x:mergeCell ref="A26:L26"/>
    <x:mergeCell ref="A28:L28"/>
    <x:mergeCell ref="J31:L31"/>
    <x:mergeCell ref="J32:L32"/>
    <x:mergeCell ref="J33:L33"/>
    <x:mergeCell ref="J34:L34"/>
    <x:mergeCell ref="J35:L35"/>
    <x:mergeCell ref="J36:L36"/>
    <x:mergeCell ref="A38:L38"/>
    <x:mergeCell ref="A40:L40"/>
    <x:mergeCell ref="A41:L41"/>
    <x:mergeCell ref="A42:L42"/>
  </x:mergeCells>
  <x:dataValidations count="6">
    <x:dataValidation type="decimal" operator="between" sqref="D7">
      <x:formula1>0</x:formula1>
      <x:formula2>1</x:formula2>
    </x:dataValidation>
    <x:dataValidation type="list" sqref="D6">
      <x:formula1>"1,2,4,8"</x:formula1>
    </x:dataValidation>
    <x:dataValidation type="list" sqref="H6">
      <x:formula1>"1,2,4,8"</x:formula1>
    </x:dataValidation>
    <x:dataValidation type="list" sqref="D8">
      <x:formula1>"0,1"</x:formula1>
    </x:dataValidation>
    <x:dataValidation type="whole" operator="between" sqref="H5">
      <x:formula1>1</x:formula1>
      <x:formula2>10000000</x:formula2>
    </x:dataValidation>
    <x:dataValidation type="whole" operator="between" sqref="L5">
      <x:formula1>1</x:formula1>
      <x:formula2>10000000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9E1F2"/>
  </x:sheetPr>
  <x:sheetViews>
    <x:sheetView showGridLines="1" workbookViewId="0">
      <x:pane ySplit="11" topLeftCell="A12" activePane="bottomLeft" state="frozen"/>
    </x:sheetView>
  </x:sheetViews>
  <x:sheetFormatPr defaultRowHeight="15"/>
  <x:cols>
    <x:col min="1" max="1" width="23" hidden="0" customWidth="1"/>
    <x:col min="2" max="2" width="26" hidden="0" customWidth="1"/>
    <x:col min="3" max="3" width="15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6" hidden="0" customWidth="1"/>
    <x:col min="14" max="14" width="44" hidden="0" customWidth="1"/>
  </x:cols>
  <x:sheetData>
    <x:row r="1" ht="23" customHeight="1">
      <x:c r="A1" s="2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2"/>
    </x:row>
    <x:row r="2" ht="30" customHeight="1">
      <x:c r="A2" s="6" t="str">
        <x:v>Prefix pooling · D host → P device RH2D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3"/>
      <x:c r="N2" s="2"/>
    </x:row>
    <x:row r="3" ht="30" customHeight="1">
      <x:c r="A3" s="4" t="str">
        <x:v>D 节点 host pool 中的前缀拉到 P。六模型、EP32/256、16K/256K/1M；黄色可编辑。按接收端 payload 计一次，不再把发送和接收相加。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3"/>
      <x:c r="N3" s="2"/>
    </x:row>
    <x:row r="4" ht="23" customHeight="1">
      <x:c r="A4" s="2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2"/>
    </x:row>
    <x:row r="5" ht="32" customHeight="1">
      <x:c r="A5" s="4" t="str">
        <x:v>Requests / P DP</x:v>
      </x:c>
      <x:c r="B5" s="5"/>
      <x:c r="C5" s="5"/>
      <x:c r="D5" s="7" t="n">
        <x:v>16</x:v>
      </x:c>
      <x:c r="E5" s="5" t="str">
        <x:v>Prefix hit %</x:v>
      </x:c>
      <x:c r="F5" s="5"/>
      <x:c r="G5" s="5"/>
      <x:c r="H5" s="8" t="n">
        <x:v>1</x:v>
      </x:c>
      <x:c r="I5" s="5" t="str">
        <x:v>P-local reuse % requests</x:v>
      </x:c>
      <x:c r="J5" s="5"/>
      <x:c r="K5" s="5"/>
      <x:c r="L5" s="8" t="n">
        <x:v>0</x:v>
      </x:c>
      <x:c r="M5" s="3"/>
      <x:c r="N5" s="2"/>
    </x:row>
    <x:row r="6" ht="32" customHeight="1">
      <x:c r="A6" s="4" t="str">
        <x:v>Base block tokens</x:v>
      </x:c>
      <x:c r="B6" s="5"/>
      <x:c r="C6" s="5"/>
      <x:c r="D6" s="7" t="n">
        <x:v>128</x:v>
      </x:c>
      <x:c r="E6" s="5" t="str">
        <x:v>Extra conv slots</x:v>
      </x:c>
      <x:c r="F6" s="5"/>
      <x:c r="G6" s="5"/>
      <x:c r="H6" s="7" t="n">
        <x:v>0</x:v>
      </x:c>
      <x:c r="I6" s="5" t="str">
        <x:v>Model scope</x:v>
      </x:c>
      <x:c r="J6" s="5"/>
      <x:c r="K6" s="5"/>
      <x:c r="L6" s="3" t="str">
        <x:v>Target only</x:v>
      </x:c>
      <x:c r="M6" s="3"/>
      <x:c r="N6" s="2"/>
    </x:row>
    <x:row r="7" ht="23" customHeight="1">
      <x:c r="A7" s="2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2"/>
    </x:row>
    <x:row r="8" ht="30" customHeight="1">
      <x:c r="A8" s="4" t="str">
        <x:v>默认每个请求的前缀均需远端拉取；P-local reuse 是整请求已在 P 命中的比例。Kimi / Qwen 需 align state；P/D TP 与缓存布局须兼容。</x:v>
      </x:c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3"/>
      <x:c r="N8" s="2"/>
    </x:row>
    <x:row r="9" ht="30" customHeight="1">
      <x:c r="A9" s="4" t="str">
        <x:v>G–I 是一个远端命中请求的量；J–L 是整批实际 RH2D。EP=TP×DP。P TP 副本计入流量，D 的重复副本不重复相加。</x:v>
      </x:c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3"/>
      <x:c r="N9" s="2"/>
    </x:row>
    <x:row r="10" ht="23" customHeight="1">
      <x:c r="A10" s="2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2"/>
    </x:row>
    <x:row r="11" ht="48" customHeight="1">
      <x:c r="A11" s="17" t="str">
        <x:v>Model</x:v>
      </x:c>
      <x:c r="B11" s="18" t="str">
        <x:v>EP</x:v>
      </x:c>
      <x:c r="C11" s="18" t="str">
        <x:v>P TP</x:v>
      </x:c>
      <x:c r="D11" s="18" t="str">
        <x:v>P DP</x:v>
      </x:c>
      <x:c r="E11" s="18" t="str">
        <x:v>Input tokens</x:v>
      </x:c>
      <x:c r="F11" s="18" t="str">
        <x:v>Pool-hit tokens</x:v>
      </x:c>
      <x:c r="G11" s="18" t="str">
        <x:v>Cache MiB / rank / req</x:v>
      </x:c>
      <x:c r="H11" s="18" t="str">
        <x:v>State MiB / rank / req</x:v>
      </x:c>
      <x:c r="I11" s="18" t="str">
        <x:v>Total MiB / all P TP / req</x:v>
      </x:c>
      <x:c r="J11" s="18" t="str">
        <x:v>RH2D GiB / rank / batch</x:v>
      </x:c>
      <x:c r="K11" s="18" t="str">
        <x:v>RH2D GiB / P DP / batch</x:v>
      </x:c>
      <x:c r="L11" s="18" t="str">
        <x:v>RH2D GiB / P EP / batch</x:v>
      </x:c>
      <x:c r="M11" s="3"/>
      <x:c r="N11" s="2"/>
    </x:row>
    <x:row r="12" ht="26" customHeight="1">
      <x:c r="A12" s="2" t="str">
        <x:v>DS V4 10T</x:v>
      </x:c>
      <x:c r="B12" s="3" t="n">
        <x:f>$D$63</x:f>
        <x:v>32</x:v>
      </x:c>
      <x:c r="C12" s="3" t="n">
        <x:f>$B$54</x:f>
        <x:v>8</x:v>
      </x:c>
      <x:c r="D12" s="3" t="n">
        <x:f>B12/C12</x:f>
        <x:v>4</x:v>
      </x:c>
      <x:c r="E12" s="3" t="n">
        <x:f>B104</x:f>
        <x:v>16384</x:v>
      </x:c>
      <x:c r="F12" s="3" t="n">
        <x:f>C104</x:f>
        <x:v>16384</x:v>
      </x:c>
      <x:c r="G12" s="19" t="n">
        <x:f>IF($F$54="OK",SUM(H104,H105,H106,H107)/2^20,NA())</x:f>
        <x:v>146.734375</x:v>
      </x:c>
      <x:c r="H12" s="19" t="n">
        <x:f>IF($F$54="OK",SUM(H108,H109,H110)/2^20,NA())</x:f>
        <x:v>17.84375</x:v>
      </x:c>
      <x:c r="I12" s="19" t="n">
        <x:f>(G12+H12)*C12</x:f>
        <x:v>1316.625</x:v>
      </x:c>
      <x:c r="J12" s="19" t="n">
        <x:f>(G12+H12)*$D$5*(1-$L$5)/1024</x:f>
        <x:v>2.571533203125</x:v>
      </x:c>
      <x:c r="K12" s="19" t="n">
        <x:f>J12*C12</x:f>
        <x:v>20.572265625</x:v>
      </x:c>
      <x:c r="L12" s="19" t="n">
        <x:f>J12*B12</x:f>
        <x:v>82.2890625</x:v>
      </x:c>
      <x:c r="M12" s="3"/>
      <x:c r="N12" s="2"/>
    </x:row>
    <x:row r="13" ht="26" customHeight="1">
      <x:c r="A13" s="2" t="str">
        <x:v>DS V4 10T</x:v>
      </x:c>
      <x:c r="B13" s="3" t="n">
        <x:f>$D$63</x:f>
        <x:v>32</x:v>
      </x:c>
      <x:c r="C13" s="3" t="n">
        <x:f>$B$54</x:f>
        <x:v>8</x:v>
      </x:c>
      <x:c r="D13" s="3" t="n">
        <x:f>B13/C13</x:f>
        <x:v>4</x:v>
      </x:c>
      <x:c r="E13" s="3" t="n">
        <x:f>B111</x:f>
        <x:v>262144</x:v>
      </x:c>
      <x:c r="F13" s="3" t="n">
        <x:f>C111</x:f>
        <x:v>262144</x:v>
      </x:c>
      <x:c r="G13" s="19" t="n">
        <x:f>IF($F$54="OK",SUM(H111,H112,H113,H114)/2^20,NA())</x:f>
        <x:v>2233.375</x:v>
      </x:c>
      <x:c r="H13" s="19" t="n">
        <x:f>IF($F$54="OK",SUM(H115,H116,H117)/2^20,NA())</x:f>
        <x:v>17.84375</x:v>
      </x:c>
      <x:c r="I13" s="19" t="n">
        <x:f>(G13+H13)*C13</x:f>
        <x:v>18009.75</x:v>
      </x:c>
      <x:c r="J13" s="19" t="n">
        <x:f>(G13+H13)*$D$5*(1-$L$5)/1024</x:f>
        <x:v>35.17529296875</x:v>
      </x:c>
      <x:c r="K13" s="19" t="n">
        <x:f>J13*C13</x:f>
        <x:v>281.40234375</x:v>
      </x:c>
      <x:c r="L13" s="19" t="n">
        <x:f>J13*B13</x:f>
        <x:v>1125.609375</x:v>
      </x:c>
      <x:c r="M13" s="3"/>
      <x:c r="N13" s="2"/>
    </x:row>
    <x:row r="14" ht="26" customHeight="1">
      <x:c r="A14" s="2" t="str">
        <x:v>DS V4 10T</x:v>
      </x:c>
      <x:c r="B14" s="3" t="n">
        <x:f>$D$63</x:f>
        <x:v>32</x:v>
      </x:c>
      <x:c r="C14" s="3" t="n">
        <x:f>$B$54</x:f>
        <x:v>8</x:v>
      </x:c>
      <x:c r="D14" s="3" t="n">
        <x:f>B14/C14</x:f>
        <x:v>4</x:v>
      </x:c>
      <x:c r="E14" s="3" t="n">
        <x:f>B118</x:f>
        <x:v>1048576</x:v>
      </x:c>
      <x:c r="F14" s="3" t="n">
        <x:f>C118</x:f>
        <x:v>1048576</x:v>
      </x:c>
      <x:c r="G14" s="19" t="n">
        <x:f>IF($F$54="OK",SUM(H118,H119,H120,H121)/2^20,NA())</x:f>
        <x:v>8910.625</x:v>
      </x:c>
      <x:c r="H14" s="19" t="n">
        <x:f>IF($F$54="OK",SUM(H122,H123,H124)/2^20,NA())</x:f>
        <x:v>17.84375</x:v>
      </x:c>
      <x:c r="I14" s="19" t="n">
        <x:f>(G14+H14)*C14</x:f>
        <x:v>71427.75</x:v>
      </x:c>
      <x:c r="J14" s="19" t="n">
        <x:f>(G14+H14)*$D$5*(1-$L$5)/1024</x:f>
        <x:v>139.50732421875</x:v>
      </x:c>
      <x:c r="K14" s="19" t="n">
        <x:f>J14*C14</x:f>
        <x:v>1116.05859375</x:v>
      </x:c>
      <x:c r="L14" s="19" t="n">
        <x:f>J14*B14</x:f>
        <x:v>4464.234375</x:v>
      </x:c>
      <x:c r="M14" s="3"/>
      <x:c r="N14" s="2"/>
    </x:row>
    <x:row r="15" ht="26" customHeight="1">
      <x:c r="A15" s="2" t="str">
        <x:v>DS V4 10T</x:v>
      </x:c>
      <x:c r="B15" s="3" t="n">
        <x:f>$D$64</x:f>
        <x:v>256</x:v>
      </x:c>
      <x:c r="C15" s="3" t="n">
        <x:f>$B$54</x:f>
        <x:v>8</x:v>
      </x:c>
      <x:c r="D15" s="3" t="n">
        <x:f>B15/C15</x:f>
        <x:v>32</x:v>
      </x:c>
      <x:c r="E15" s="3" t="n">
        <x:f>B104</x:f>
        <x:v>16384</x:v>
      </x:c>
      <x:c r="F15" s="3" t="n">
        <x:f>C104</x:f>
        <x:v>16384</x:v>
      </x:c>
      <x:c r="G15" s="19" t="n">
        <x:f>IF($F$54="OK",SUM(H104,H105,H106,H107)/2^20,NA())</x:f>
        <x:v>146.734375</x:v>
      </x:c>
      <x:c r="H15" s="19" t="n">
        <x:f>IF($F$54="OK",SUM(H108,H109,H110)/2^20,NA())</x:f>
        <x:v>17.84375</x:v>
      </x:c>
      <x:c r="I15" s="19" t="n">
        <x:f>(G15+H15)*C15</x:f>
        <x:v>1316.625</x:v>
      </x:c>
      <x:c r="J15" s="19" t="n">
        <x:f>(G15+H15)*$D$5*(1-$L$5)/1024</x:f>
        <x:v>2.571533203125</x:v>
      </x:c>
      <x:c r="K15" s="19" t="n">
        <x:f>J15*C15</x:f>
        <x:v>20.572265625</x:v>
      </x:c>
      <x:c r="L15" s="19" t="n">
        <x:f>J15*B15</x:f>
        <x:v>658.3125</x:v>
      </x:c>
      <x:c r="M15" s="3"/>
      <x:c r="N15" s="2"/>
    </x:row>
    <x:row r="16" ht="26" customHeight="1">
      <x:c r="A16" s="2" t="str">
        <x:v>DS V4 10T</x:v>
      </x:c>
      <x:c r="B16" s="3" t="n">
        <x:f>$D$64</x:f>
        <x:v>256</x:v>
      </x:c>
      <x:c r="C16" s="3" t="n">
        <x:f>$B$54</x:f>
        <x:v>8</x:v>
      </x:c>
      <x:c r="D16" s="3" t="n">
        <x:f>B16/C16</x:f>
        <x:v>32</x:v>
      </x:c>
      <x:c r="E16" s="3" t="n">
        <x:f>B111</x:f>
        <x:v>262144</x:v>
      </x:c>
      <x:c r="F16" s="3" t="n">
        <x:f>C111</x:f>
        <x:v>262144</x:v>
      </x:c>
      <x:c r="G16" s="19" t="n">
        <x:f>IF($F$54="OK",SUM(H111,H112,H113,H114)/2^20,NA())</x:f>
        <x:v>2233.375</x:v>
      </x:c>
      <x:c r="H16" s="19" t="n">
        <x:f>IF($F$54="OK",SUM(H115,H116,H117)/2^20,NA())</x:f>
        <x:v>17.84375</x:v>
      </x:c>
      <x:c r="I16" s="19" t="n">
        <x:f>(G16+H16)*C16</x:f>
        <x:v>18009.75</x:v>
      </x:c>
      <x:c r="J16" s="19" t="n">
        <x:f>(G16+H16)*$D$5*(1-$L$5)/1024</x:f>
        <x:v>35.17529296875</x:v>
      </x:c>
      <x:c r="K16" s="19" t="n">
        <x:f>J16*C16</x:f>
        <x:v>281.40234375</x:v>
      </x:c>
      <x:c r="L16" s="19" t="n">
        <x:f>J16*B16</x:f>
        <x:v>9004.875</x:v>
      </x:c>
      <x:c r="M16" s="3"/>
      <x:c r="N16" s="2"/>
    </x:row>
    <x:row r="17" ht="26" customHeight="1">
      <x:c r="A17" s="2" t="str">
        <x:v>DS V4 10T</x:v>
      </x:c>
      <x:c r="B17" s="3" t="n">
        <x:f>$D$64</x:f>
        <x:v>256</x:v>
      </x:c>
      <x:c r="C17" s="3" t="n">
        <x:f>$B$54</x:f>
        <x:v>8</x:v>
      </x:c>
      <x:c r="D17" s="3" t="n">
        <x:f>B17/C17</x:f>
        <x:v>32</x:v>
      </x:c>
      <x:c r="E17" s="3" t="n">
        <x:f>B118</x:f>
        <x:v>1048576</x:v>
      </x:c>
      <x:c r="F17" s="3" t="n">
        <x:f>C118</x:f>
        <x:v>1048576</x:v>
      </x:c>
      <x:c r="G17" s="19" t="n">
        <x:f>IF($F$54="OK",SUM(H118,H119,H120,H121)/2^20,NA())</x:f>
        <x:v>8910.625</x:v>
      </x:c>
      <x:c r="H17" s="19" t="n">
        <x:f>IF($F$54="OK",SUM(H122,H123,H124)/2^20,NA())</x:f>
        <x:v>17.84375</x:v>
      </x:c>
      <x:c r="I17" s="19" t="n">
        <x:f>(G17+H17)*C17</x:f>
        <x:v>71427.75</x:v>
      </x:c>
      <x:c r="J17" s="19" t="n">
        <x:f>(G17+H17)*$D$5*(1-$L$5)/1024</x:f>
        <x:v>139.50732421875</x:v>
      </x:c>
      <x:c r="K17" s="19" t="n">
        <x:f>J17*C17</x:f>
        <x:v>1116.05859375</x:v>
      </x:c>
      <x:c r="L17" s="19" t="n">
        <x:f>J17*B17</x:f>
        <x:v>35713.875</x:v>
      </x:c>
      <x:c r="M17" s="3"/>
      <x:c r="N17" s="2"/>
    </x:row>
    <x:row r="18" ht="26" customHeight="1">
      <x:c r="A18" s="2" t="str">
        <x:v>DS V4 Pro</x:v>
      </x:c>
      <x:c r="B18" s="3" t="n">
        <x:f>$D$63</x:f>
        <x:v>32</x:v>
      </x:c>
      <x:c r="C18" s="3" t="n">
        <x:f>$B$55</x:f>
        <x:v>8</x:v>
      </x:c>
      <x:c r="D18" s="3" t="n">
        <x:f>B18/C18</x:f>
        <x:v>4</x:v>
      </x:c>
      <x:c r="E18" s="3" t="n">
        <x:f>B125</x:f>
        <x:v>16384</x:v>
      </x:c>
      <x:c r="F18" s="3" t="n">
        <x:f>C125</x:f>
        <x:v>16384</x:v>
      </x:c>
      <x:c r="G18" s="19" t="n">
        <x:f>IF($F$55="OK",SUM(H125,H126,H127,H128)/2^20,NA())</x:f>
        <x:v>146.734375</x:v>
      </x:c>
      <x:c r="H18" s="19" t="n">
        <x:f>IF($F$55="OK",SUM(H129,H130,H131)/2^20,NA())</x:f>
        <x:v>17.84375</x:v>
      </x:c>
      <x:c r="I18" s="19" t="n">
        <x:f>(G18+H18)*C18</x:f>
        <x:v>1316.625</x:v>
      </x:c>
      <x:c r="J18" s="19" t="n">
        <x:f>(G18+H18)*$D$5*(1-$L$5)/1024</x:f>
        <x:v>2.571533203125</x:v>
      </x:c>
      <x:c r="K18" s="19" t="n">
        <x:f>J18*C18</x:f>
        <x:v>20.572265625</x:v>
      </x:c>
      <x:c r="L18" s="19" t="n">
        <x:f>J18*B18</x:f>
        <x:v>82.2890625</x:v>
      </x:c>
      <x:c r="M18" s="3"/>
      <x:c r="N18" s="2"/>
    </x:row>
    <x:row r="19" ht="26" customHeight="1">
      <x:c r="A19" s="2" t="str">
        <x:v>DS V4 Pro</x:v>
      </x:c>
      <x:c r="B19" s="3" t="n">
        <x:f>$D$63</x:f>
        <x:v>32</x:v>
      </x:c>
      <x:c r="C19" s="3" t="n">
        <x:f>$B$55</x:f>
        <x:v>8</x:v>
      </x:c>
      <x:c r="D19" s="3" t="n">
        <x:f>B19/C19</x:f>
        <x:v>4</x:v>
      </x:c>
      <x:c r="E19" s="3" t="n">
        <x:f>B132</x:f>
        <x:v>262144</x:v>
      </x:c>
      <x:c r="F19" s="3" t="n">
        <x:f>C132</x:f>
        <x:v>262144</x:v>
      </x:c>
      <x:c r="G19" s="19" t="n">
        <x:f>IF($F$55="OK",SUM(H132,H133,H134,H135)/2^20,NA())</x:f>
        <x:v>2233.375</x:v>
      </x:c>
      <x:c r="H19" s="19" t="n">
        <x:f>IF($F$55="OK",SUM(H136,H137,H138)/2^20,NA())</x:f>
        <x:v>17.84375</x:v>
      </x:c>
      <x:c r="I19" s="19" t="n">
        <x:f>(G19+H19)*C19</x:f>
        <x:v>18009.75</x:v>
      </x:c>
      <x:c r="J19" s="19" t="n">
        <x:f>(G19+H19)*$D$5*(1-$L$5)/1024</x:f>
        <x:v>35.17529296875</x:v>
      </x:c>
      <x:c r="K19" s="19" t="n">
        <x:f>J19*C19</x:f>
        <x:v>281.40234375</x:v>
      </x:c>
      <x:c r="L19" s="19" t="n">
        <x:f>J19*B19</x:f>
        <x:v>1125.609375</x:v>
      </x:c>
      <x:c r="M19" s="3"/>
      <x:c r="N19" s="2"/>
    </x:row>
    <x:row r="20" ht="26" customHeight="1">
      <x:c r="A20" s="2" t="str">
        <x:v>DS V4 Pro</x:v>
      </x:c>
      <x:c r="B20" s="3" t="n">
        <x:f>$D$63</x:f>
        <x:v>32</x:v>
      </x:c>
      <x:c r="C20" s="3" t="n">
        <x:f>$B$55</x:f>
        <x:v>8</x:v>
      </x:c>
      <x:c r="D20" s="3" t="n">
        <x:f>B20/C20</x:f>
        <x:v>4</x:v>
      </x:c>
      <x:c r="E20" s="3" t="n">
        <x:f>B139</x:f>
        <x:v>1048576</x:v>
      </x:c>
      <x:c r="F20" s="3" t="n">
        <x:f>C139</x:f>
        <x:v>1048576</x:v>
      </x:c>
      <x:c r="G20" s="19" t="n">
        <x:f>IF($F$55="OK",SUM(H139,H140,H141,H142)/2^20,NA())</x:f>
        <x:v>8910.625</x:v>
      </x:c>
      <x:c r="H20" s="19" t="n">
        <x:f>IF($F$55="OK",SUM(H143,H144,H145)/2^20,NA())</x:f>
        <x:v>17.84375</x:v>
      </x:c>
      <x:c r="I20" s="19" t="n">
        <x:f>(G20+H20)*C20</x:f>
        <x:v>71427.75</x:v>
      </x:c>
      <x:c r="J20" s="19" t="n">
        <x:f>(G20+H20)*$D$5*(1-$L$5)/1024</x:f>
        <x:v>139.50732421875</x:v>
      </x:c>
      <x:c r="K20" s="19" t="n">
        <x:f>J20*C20</x:f>
        <x:v>1116.05859375</x:v>
      </x:c>
      <x:c r="L20" s="19" t="n">
        <x:f>J20*B20</x:f>
        <x:v>4464.234375</x:v>
      </x:c>
      <x:c r="M20" s="3"/>
      <x:c r="N20" s="2"/>
    </x:row>
    <x:row r="21" ht="26" customHeight="1">
      <x:c r="A21" s="2" t="str">
        <x:v>DS V4 Pro</x:v>
      </x:c>
      <x:c r="B21" s="3" t="n">
        <x:f>$D$64</x:f>
        <x:v>256</x:v>
      </x:c>
      <x:c r="C21" s="3" t="n">
        <x:f>$B$55</x:f>
        <x:v>8</x:v>
      </x:c>
      <x:c r="D21" s="3" t="n">
        <x:f>B21/C21</x:f>
        <x:v>32</x:v>
      </x:c>
      <x:c r="E21" s="3" t="n">
        <x:f>B125</x:f>
        <x:v>16384</x:v>
      </x:c>
      <x:c r="F21" s="3" t="n">
        <x:f>C125</x:f>
        <x:v>16384</x:v>
      </x:c>
      <x:c r="G21" s="19" t="n">
        <x:f>IF($F$55="OK",SUM(H125,H126,H127,H128)/2^20,NA())</x:f>
        <x:v>146.734375</x:v>
      </x:c>
      <x:c r="H21" s="19" t="n">
        <x:f>IF($F$55="OK",SUM(H129,H130,H131)/2^20,NA())</x:f>
        <x:v>17.84375</x:v>
      </x:c>
      <x:c r="I21" s="19" t="n">
        <x:f>(G21+H21)*C21</x:f>
        <x:v>1316.625</x:v>
      </x:c>
      <x:c r="J21" s="19" t="n">
        <x:f>(G21+H21)*$D$5*(1-$L$5)/1024</x:f>
        <x:v>2.571533203125</x:v>
      </x:c>
      <x:c r="K21" s="19" t="n">
        <x:f>J21*C21</x:f>
        <x:v>20.572265625</x:v>
      </x:c>
      <x:c r="L21" s="19" t="n">
        <x:f>J21*B21</x:f>
        <x:v>658.3125</x:v>
      </x:c>
      <x:c r="M21" s="3"/>
      <x:c r="N21" s="2"/>
    </x:row>
    <x:row r="22" ht="26" customHeight="1">
      <x:c r="A22" s="2" t="str">
        <x:v>DS V4 Pro</x:v>
      </x:c>
      <x:c r="B22" s="3" t="n">
        <x:f>$D$64</x:f>
        <x:v>256</x:v>
      </x:c>
      <x:c r="C22" s="3" t="n">
        <x:f>$B$55</x:f>
        <x:v>8</x:v>
      </x:c>
      <x:c r="D22" s="3" t="n">
        <x:f>B22/C22</x:f>
        <x:v>32</x:v>
      </x:c>
      <x:c r="E22" s="3" t="n">
        <x:f>B132</x:f>
        <x:v>262144</x:v>
      </x:c>
      <x:c r="F22" s="3" t="n">
        <x:f>C132</x:f>
        <x:v>262144</x:v>
      </x:c>
      <x:c r="G22" s="19" t="n">
        <x:f>IF($F$55="OK",SUM(H132,H133,H134,H135)/2^20,NA())</x:f>
        <x:v>2233.375</x:v>
      </x:c>
      <x:c r="H22" s="19" t="n">
        <x:f>IF($F$55="OK",SUM(H136,H137,H138)/2^20,NA())</x:f>
        <x:v>17.84375</x:v>
      </x:c>
      <x:c r="I22" s="19" t="n">
        <x:f>(G22+H22)*C22</x:f>
        <x:v>18009.75</x:v>
      </x:c>
      <x:c r="J22" s="19" t="n">
        <x:f>(G22+H22)*$D$5*(1-$L$5)/1024</x:f>
        <x:v>35.17529296875</x:v>
      </x:c>
      <x:c r="K22" s="19" t="n">
        <x:f>J22*C22</x:f>
        <x:v>281.40234375</x:v>
      </x:c>
      <x:c r="L22" s="19" t="n">
        <x:f>J22*B22</x:f>
        <x:v>9004.875</x:v>
      </x:c>
      <x:c r="M22" s="3"/>
      <x:c r="N22" s="2"/>
    </x:row>
    <x:row r="23" ht="26" customHeight="1">
      <x:c r="A23" s="2" t="str">
        <x:v>DS V4 Pro</x:v>
      </x:c>
      <x:c r="B23" s="3" t="n">
        <x:f>$D$64</x:f>
        <x:v>256</x:v>
      </x:c>
      <x:c r="C23" s="3" t="n">
        <x:f>$B$55</x:f>
        <x:v>8</x:v>
      </x:c>
      <x:c r="D23" s="3" t="n">
        <x:f>B23/C23</x:f>
        <x:v>32</x:v>
      </x:c>
      <x:c r="E23" s="3" t="n">
        <x:f>B139</x:f>
        <x:v>1048576</x:v>
      </x:c>
      <x:c r="F23" s="3" t="n">
        <x:f>C139</x:f>
        <x:v>1048576</x:v>
      </x:c>
      <x:c r="G23" s="19" t="n">
        <x:f>IF($F$55="OK",SUM(H139,H140,H141,H142)/2^20,NA())</x:f>
        <x:v>8910.625</x:v>
      </x:c>
      <x:c r="H23" s="19" t="n">
        <x:f>IF($F$55="OK",SUM(H143,H144,H145)/2^20,NA())</x:f>
        <x:v>17.84375</x:v>
      </x:c>
      <x:c r="I23" s="19" t="n">
        <x:f>(G23+H23)*C23</x:f>
        <x:v>71427.75</x:v>
      </x:c>
      <x:c r="J23" s="19" t="n">
        <x:f>(G23+H23)*$D$5*(1-$L$5)/1024</x:f>
        <x:v>139.50732421875</x:v>
      </x:c>
      <x:c r="K23" s="19" t="n">
        <x:f>J23*C23</x:f>
        <x:v>1116.05859375</x:v>
      </x:c>
      <x:c r="L23" s="19" t="n">
        <x:f>J23*B23</x:f>
        <x:v>35713.875</x:v>
      </x:c>
      <x:c r="M23" s="3"/>
      <x:c r="N23" s="2"/>
    </x:row>
    <x:row r="24" ht="26" customHeight="1">
      <x:c r="A24" s="2" t="str">
        <x:v>GLM5.3</x:v>
      </x:c>
      <x:c r="B24" s="3" t="n">
        <x:f>$D$63</x:f>
        <x:v>32</x:v>
      </x:c>
      <x:c r="C24" s="3" t="n">
        <x:f>$B$56</x:f>
        <x:v>8</x:v>
      </x:c>
      <x:c r="D24" s="3" t="n">
        <x:f>B24/C24</x:f>
        <x:v>4</x:v>
      </x:c>
      <x:c r="E24" s="3" t="n">
        <x:f>B146</x:f>
        <x:v>16384</x:v>
      </x:c>
      <x:c r="F24" s="3" t="n">
        <x:f>C146</x:f>
        <x:v>16384</x:v>
      </x:c>
      <x:c r="G24" s="19" t="n">
        <x:f>IF($F$56="OK",SUM(H146,H147)/2^20,NA())</x:f>
        <x:v>1488</x:v>
      </x:c>
      <x:c r="H24" s="19" t="n">
        <x:f>IF($F$56="OK",0/2^20,NA())</x:f>
        <x:v>0</x:v>
      </x:c>
      <x:c r="I24" s="19" t="n">
        <x:f>(G24+H24)*C24</x:f>
        <x:v>11904</x:v>
      </x:c>
      <x:c r="J24" s="19" t="n">
        <x:f>(G24+H24)*$D$5*(1-$L$5)/1024</x:f>
        <x:v>23.25</x:v>
      </x:c>
      <x:c r="K24" s="19" t="n">
        <x:f>J24*C24</x:f>
        <x:v>186</x:v>
      </x:c>
      <x:c r="L24" s="19" t="n">
        <x:f>J24*B24</x:f>
        <x:v>744</x:v>
      </x:c>
      <x:c r="M24" s="3"/>
      <x:c r="N24" s="2"/>
    </x:row>
    <x:row r="25" ht="26" customHeight="1">
      <x:c r="A25" s="2" t="str">
        <x:v>GLM5.3</x:v>
      </x:c>
      <x:c r="B25" s="3" t="n">
        <x:f>$D$63</x:f>
        <x:v>32</x:v>
      </x:c>
      <x:c r="C25" s="3" t="n">
        <x:f>$B$56</x:f>
        <x:v>8</x:v>
      </x:c>
      <x:c r="D25" s="3" t="n">
        <x:f>B25/C25</x:f>
        <x:v>4</x:v>
      </x:c>
      <x:c r="E25" s="3" t="n">
        <x:f>B148</x:f>
        <x:v>262144</x:v>
      </x:c>
      <x:c r="F25" s="3" t="n">
        <x:f>C148</x:f>
        <x:v>262144</x:v>
      </x:c>
      <x:c r="G25" s="19" t="n">
        <x:f>IF($F$56="OK",SUM(H148,H149)/2^20,NA())</x:f>
        <x:v>23808</x:v>
      </x:c>
      <x:c r="H25" s="19" t="n">
        <x:f>IF($F$56="OK",0/2^20,NA())</x:f>
        <x:v>0</x:v>
      </x:c>
      <x:c r="I25" s="19" t="n">
        <x:f>(G25+H25)*C25</x:f>
        <x:v>190464</x:v>
      </x:c>
      <x:c r="J25" s="19" t="n">
        <x:f>(G25+H25)*$D$5*(1-$L$5)/1024</x:f>
        <x:v>372</x:v>
      </x:c>
      <x:c r="K25" s="19" t="n">
        <x:f>J25*C25</x:f>
        <x:v>2976</x:v>
      </x:c>
      <x:c r="L25" s="19" t="n">
        <x:f>J25*B25</x:f>
        <x:v>11904</x:v>
      </x:c>
      <x:c r="M25" s="3"/>
      <x:c r="N25" s="2"/>
    </x:row>
    <x:row r="26" ht="26" customHeight="1">
      <x:c r="A26" s="2" t="str">
        <x:v>GLM5.3</x:v>
      </x:c>
      <x:c r="B26" s="3" t="n">
        <x:f>$D$63</x:f>
        <x:v>32</x:v>
      </x:c>
      <x:c r="C26" s="3" t="n">
        <x:f>$B$56</x:f>
        <x:v>8</x:v>
      </x:c>
      <x:c r="D26" s="3" t="n">
        <x:f>B26/C26</x:f>
        <x:v>4</x:v>
      </x:c>
      <x:c r="E26" s="3" t="n">
        <x:f>B150</x:f>
        <x:v>1048576</x:v>
      </x:c>
      <x:c r="F26" s="3" t="n">
        <x:f>C150</x:f>
        <x:v>1048576</x:v>
      </x:c>
      <x:c r="G26" s="19" t="n">
        <x:f>IF($F$56="OK",SUM(H150,H151)/2^20,NA())</x:f>
        <x:v>95232</x:v>
      </x:c>
      <x:c r="H26" s="19" t="n">
        <x:f>IF($F$56="OK",0/2^20,NA())</x:f>
        <x:v>0</x:v>
      </x:c>
      <x:c r="I26" s="19" t="n">
        <x:f>(G26+H26)*C26</x:f>
        <x:v>761856</x:v>
      </x:c>
      <x:c r="J26" s="19" t="n">
        <x:f>(G26+H26)*$D$5*(1-$L$5)/1024</x:f>
        <x:v>1488</x:v>
      </x:c>
      <x:c r="K26" s="19" t="n">
        <x:f>J26*C26</x:f>
        <x:v>11904</x:v>
      </x:c>
      <x:c r="L26" s="19" t="n">
        <x:f>J26*B26</x:f>
        <x:v>47616</x:v>
      </x:c>
      <x:c r="M26" s="3"/>
      <x:c r="N26" s="2"/>
    </x:row>
    <x:row r="27" ht="26" customHeight="1">
      <x:c r="A27" s="2" t="str">
        <x:v>GLM5.3</x:v>
      </x:c>
      <x:c r="B27" s="3" t="n">
        <x:f>$D$64</x:f>
        <x:v>256</x:v>
      </x:c>
      <x:c r="C27" s="3" t="n">
        <x:f>$B$56</x:f>
        <x:v>8</x:v>
      </x:c>
      <x:c r="D27" s="3" t="n">
        <x:f>B27/C27</x:f>
        <x:v>32</x:v>
      </x:c>
      <x:c r="E27" s="3" t="n">
        <x:f>B146</x:f>
        <x:v>16384</x:v>
      </x:c>
      <x:c r="F27" s="3" t="n">
        <x:f>C146</x:f>
        <x:v>16384</x:v>
      </x:c>
      <x:c r="G27" s="19" t="n">
        <x:f>IF($F$56="OK",SUM(H146,H147)/2^20,NA())</x:f>
        <x:v>1488</x:v>
      </x:c>
      <x:c r="H27" s="19" t="n">
        <x:f>IF($F$56="OK",0/2^20,NA())</x:f>
        <x:v>0</x:v>
      </x:c>
      <x:c r="I27" s="19" t="n">
        <x:f>(G27+H27)*C27</x:f>
        <x:v>11904</x:v>
      </x:c>
      <x:c r="J27" s="19" t="n">
        <x:f>(G27+H27)*$D$5*(1-$L$5)/1024</x:f>
        <x:v>23.25</x:v>
      </x:c>
      <x:c r="K27" s="19" t="n">
        <x:f>J27*C27</x:f>
        <x:v>186</x:v>
      </x:c>
      <x:c r="L27" s="19" t="n">
        <x:f>J27*B27</x:f>
        <x:v>5952</x:v>
      </x:c>
      <x:c r="M27" s="3"/>
      <x:c r="N27" s="2"/>
    </x:row>
    <x:row r="28" ht="26" customHeight="1">
      <x:c r="A28" s="2" t="str">
        <x:v>GLM5.3</x:v>
      </x:c>
      <x:c r="B28" s="3" t="n">
        <x:f>$D$64</x:f>
        <x:v>256</x:v>
      </x:c>
      <x:c r="C28" s="3" t="n">
        <x:f>$B$56</x:f>
        <x:v>8</x:v>
      </x:c>
      <x:c r="D28" s="3" t="n">
        <x:f>B28/C28</x:f>
        <x:v>32</x:v>
      </x:c>
      <x:c r="E28" s="3" t="n">
        <x:f>B148</x:f>
        <x:v>262144</x:v>
      </x:c>
      <x:c r="F28" s="3" t="n">
        <x:f>C148</x:f>
        <x:v>262144</x:v>
      </x:c>
      <x:c r="G28" s="19" t="n">
        <x:f>IF($F$56="OK",SUM(H148,H149)/2^20,NA())</x:f>
        <x:v>23808</x:v>
      </x:c>
      <x:c r="H28" s="19" t="n">
        <x:f>IF($F$56="OK",0/2^20,NA())</x:f>
        <x:v>0</x:v>
      </x:c>
      <x:c r="I28" s="19" t="n">
        <x:f>(G28+H28)*C28</x:f>
        <x:v>190464</x:v>
      </x:c>
      <x:c r="J28" s="19" t="n">
        <x:f>(G28+H28)*$D$5*(1-$L$5)/1024</x:f>
        <x:v>372</x:v>
      </x:c>
      <x:c r="K28" s="19" t="n">
        <x:f>J28*C28</x:f>
        <x:v>2976</x:v>
      </x:c>
      <x:c r="L28" s="19" t="n">
        <x:f>J28*B28</x:f>
        <x:v>95232</x:v>
      </x:c>
      <x:c r="M28" s="3"/>
      <x:c r="N28" s="2"/>
    </x:row>
    <x:row r="29" ht="26" customHeight="1">
      <x:c r="A29" s="2" t="str">
        <x:v>GLM5.3</x:v>
      </x:c>
      <x:c r="B29" s="3" t="n">
        <x:f>$D$64</x:f>
        <x:v>256</x:v>
      </x:c>
      <x:c r="C29" s="3" t="n">
        <x:f>$B$56</x:f>
        <x:v>8</x:v>
      </x:c>
      <x:c r="D29" s="3" t="n">
        <x:f>B29/C29</x:f>
        <x:v>32</x:v>
      </x:c>
      <x:c r="E29" s="3" t="n">
        <x:f>B150</x:f>
        <x:v>1048576</x:v>
      </x:c>
      <x:c r="F29" s="3" t="n">
        <x:f>C150</x:f>
        <x:v>1048576</x:v>
      </x:c>
      <x:c r="G29" s="19" t="n">
        <x:f>IF($F$56="OK",SUM(H150,H151)/2^20,NA())</x:f>
        <x:v>95232</x:v>
      </x:c>
      <x:c r="H29" s="19" t="n">
        <x:f>IF($F$56="OK",0/2^20,NA())</x:f>
        <x:v>0</x:v>
      </x:c>
      <x:c r="I29" s="19" t="n">
        <x:f>(G29+H29)*C29</x:f>
        <x:v>761856</x:v>
      </x:c>
      <x:c r="J29" s="19" t="n">
        <x:f>(G29+H29)*$D$5*(1-$L$5)/1024</x:f>
        <x:v>1488</x:v>
      </x:c>
      <x:c r="K29" s="19" t="n">
        <x:f>J29*C29</x:f>
        <x:v>11904</x:v>
      </x:c>
      <x:c r="L29" s="19" t="n">
        <x:f>J29*B29</x:f>
        <x:v>380928</x:v>
      </x:c>
      <x:c r="M29" s="3"/>
      <x:c r="N29" s="2"/>
    </x:row>
    <x:row r="30" ht="26" customHeight="1">
      <x:c r="A30" s="2" t="str">
        <x:v>KimiK3</x:v>
      </x:c>
      <x:c r="B30" s="3" t="n">
        <x:f>$D$63</x:f>
        <x:v>32</x:v>
      </x:c>
      <x:c r="C30" s="3" t="n">
        <x:f>$B$57</x:f>
        <x:v>8</x:v>
      </x:c>
      <x:c r="D30" s="3" t="n">
        <x:f>B30/C30</x:f>
        <x:v>4</x:v>
      </x:c>
      <x:c r="E30" s="3" t="n">
        <x:f>B152</x:f>
        <x:v>16384</x:v>
      </x:c>
      <x:c r="F30" s="3" t="n">
        <x:f>C152</x:f>
        <x:v>16384</x:v>
      </x:c>
      <x:c r="G30" s="19" t="n">
        <x:f>IF($F$57="OK",SUM(H152)/2^20,NA())</x:f>
        <x:v>432</x:v>
      </x:c>
      <x:c r="H30" s="19" t="n">
        <x:f>IF($F$57="OK",SUM(H153,H154)/2^20,NA())</x:f>
        <x:v>53.5693359375</x:v>
      </x:c>
      <x:c r="I30" s="19" t="n">
        <x:f>(G30+H30)*C30</x:f>
        <x:v>3884.5546875</x:v>
      </x:c>
      <x:c r="J30" s="19" t="n">
        <x:f>(G30+H30)*$D$5*(1-$L$5)/1024</x:f>
        <x:v>7.5870208740234375</x:v>
      </x:c>
      <x:c r="K30" s="19" t="n">
        <x:f>J30*C30</x:f>
        <x:v>60.6961669921875</x:v>
      </x:c>
      <x:c r="L30" s="19" t="n">
        <x:f>J30*B30</x:f>
        <x:v>242.78466796875</x:v>
      </x:c>
      <x:c r="M30" s="3"/>
      <x:c r="N30" s="2"/>
    </x:row>
    <x:row r="31" ht="26" customHeight="1">
      <x:c r="A31" s="2" t="str">
        <x:v>KimiK3</x:v>
      </x:c>
      <x:c r="B31" s="3" t="n">
        <x:f>$D$63</x:f>
        <x:v>32</x:v>
      </x:c>
      <x:c r="C31" s="3" t="n">
        <x:f>$B$57</x:f>
        <x:v>8</x:v>
      </x:c>
      <x:c r="D31" s="3" t="n">
        <x:f>B31/C31</x:f>
        <x:v>4</x:v>
      </x:c>
      <x:c r="E31" s="3" t="n">
        <x:f>B155</x:f>
        <x:v>262144</x:v>
      </x:c>
      <x:c r="F31" s="3" t="n">
        <x:f>C155</x:f>
        <x:v>262144</x:v>
      </x:c>
      <x:c r="G31" s="19" t="n">
        <x:f>IF($F$57="OK",SUM(H155)/2^20,NA())</x:f>
        <x:v>6912</x:v>
      </x:c>
      <x:c r="H31" s="19" t="n">
        <x:f>IF($F$57="OK",SUM(H156,H157)/2^20,NA())</x:f>
        <x:v>53.5693359375</x:v>
      </x:c>
      <x:c r="I31" s="19" t="n">
        <x:f>(G31+H31)*C31</x:f>
        <x:v>55724.5546875</x:v>
      </x:c>
      <x:c r="J31" s="19" t="n">
        <x:f>(G31+H31)*$D$5*(1-$L$5)/1024</x:f>
        <x:v>108.83702087402344</x:v>
      </x:c>
      <x:c r="K31" s="19" t="n">
        <x:f>J31*C31</x:f>
        <x:v>870.6961669921875</x:v>
      </x:c>
      <x:c r="L31" s="19" t="n">
        <x:f>J31*B31</x:f>
        <x:v>3482.78466796875</x:v>
      </x:c>
      <x:c r="M31" s="3"/>
      <x:c r="N31" s="2"/>
    </x:row>
    <x:row r="32" ht="26" customHeight="1">
      <x:c r="A32" s="2" t="str">
        <x:v>KimiK3</x:v>
      </x:c>
      <x:c r="B32" s="3" t="n">
        <x:f>$D$63</x:f>
        <x:v>32</x:v>
      </x:c>
      <x:c r="C32" s="3" t="n">
        <x:f>$B$57</x:f>
        <x:v>8</x:v>
      </x:c>
      <x:c r="D32" s="3" t="n">
        <x:f>B32/C32</x:f>
        <x:v>4</x:v>
      </x:c>
      <x:c r="E32" s="3" t="n">
        <x:f>B158</x:f>
        <x:v>1048576</x:v>
      </x:c>
      <x:c r="F32" s="3" t="n">
        <x:f>C158</x:f>
        <x:v>1048576</x:v>
      </x:c>
      <x:c r="G32" s="19" t="n">
        <x:f>IF($F$57="OK",SUM(H158)/2^20,NA())</x:f>
        <x:v>27648</x:v>
      </x:c>
      <x:c r="H32" s="19" t="n">
        <x:f>IF($F$57="OK",SUM(H159,H160)/2^20,NA())</x:f>
        <x:v>53.5693359375</x:v>
      </x:c>
      <x:c r="I32" s="19" t="n">
        <x:f>(G32+H32)*C32</x:f>
        <x:v>221612.5546875</x:v>
      </x:c>
      <x:c r="J32" s="19" t="n">
        <x:f>(G32+H32)*$D$5*(1-$L$5)/1024</x:f>
        <x:v>432.83702087402344</x:v>
      </x:c>
      <x:c r="K32" s="19" t="n">
        <x:f>J32*C32</x:f>
        <x:v>3462.6961669921875</x:v>
      </x:c>
      <x:c r="L32" s="19" t="n">
        <x:f>J32*B32</x:f>
        <x:v>13850.78466796875</x:v>
      </x:c>
      <x:c r="M32" s="3"/>
      <x:c r="N32" s="2"/>
    </x:row>
    <x:row r="33" ht="26" customHeight="1">
      <x:c r="A33" s="2" t="str">
        <x:v>KimiK3</x:v>
      </x:c>
      <x:c r="B33" s="3" t="n">
        <x:f>$D$64</x:f>
        <x:v>256</x:v>
      </x:c>
      <x:c r="C33" s="3" t="n">
        <x:f>$B$57</x:f>
        <x:v>8</x:v>
      </x:c>
      <x:c r="D33" s="3" t="n">
        <x:f>B33/C33</x:f>
        <x:v>32</x:v>
      </x:c>
      <x:c r="E33" s="3" t="n">
        <x:f>B152</x:f>
        <x:v>16384</x:v>
      </x:c>
      <x:c r="F33" s="3" t="n">
        <x:f>C152</x:f>
        <x:v>16384</x:v>
      </x:c>
      <x:c r="G33" s="19" t="n">
        <x:f>IF($F$57="OK",SUM(H152)/2^20,NA())</x:f>
        <x:v>432</x:v>
      </x:c>
      <x:c r="H33" s="19" t="n">
        <x:f>IF($F$57="OK",SUM(H153,H154)/2^20,NA())</x:f>
        <x:v>53.5693359375</x:v>
      </x:c>
      <x:c r="I33" s="19" t="n">
        <x:f>(G33+H33)*C33</x:f>
        <x:v>3884.5546875</x:v>
      </x:c>
      <x:c r="J33" s="19" t="n">
        <x:f>(G33+H33)*$D$5*(1-$L$5)/1024</x:f>
        <x:v>7.5870208740234375</x:v>
      </x:c>
      <x:c r="K33" s="19" t="n">
        <x:f>J33*C33</x:f>
        <x:v>60.6961669921875</x:v>
      </x:c>
      <x:c r="L33" s="19" t="n">
        <x:f>J33*B33</x:f>
        <x:v>1942.27734375</x:v>
      </x:c>
      <x:c r="M33" s="3"/>
      <x:c r="N33" s="2"/>
    </x:row>
    <x:row r="34" ht="26" customHeight="1">
      <x:c r="A34" s="2" t="str">
        <x:v>KimiK3</x:v>
      </x:c>
      <x:c r="B34" s="3" t="n">
        <x:f>$D$64</x:f>
        <x:v>256</x:v>
      </x:c>
      <x:c r="C34" s="3" t="n">
        <x:f>$B$57</x:f>
        <x:v>8</x:v>
      </x:c>
      <x:c r="D34" s="3" t="n">
        <x:f>B34/C34</x:f>
        <x:v>32</x:v>
      </x:c>
      <x:c r="E34" s="3" t="n">
        <x:f>B155</x:f>
        <x:v>262144</x:v>
      </x:c>
      <x:c r="F34" s="3" t="n">
        <x:f>C155</x:f>
        <x:v>262144</x:v>
      </x:c>
      <x:c r="G34" s="19" t="n">
        <x:f>IF($F$57="OK",SUM(H155)/2^20,NA())</x:f>
        <x:v>6912</x:v>
      </x:c>
      <x:c r="H34" s="19" t="n">
        <x:f>IF($F$57="OK",SUM(H156,H157)/2^20,NA())</x:f>
        <x:v>53.5693359375</x:v>
      </x:c>
      <x:c r="I34" s="19" t="n">
        <x:f>(G34+H34)*C34</x:f>
        <x:v>55724.5546875</x:v>
      </x:c>
      <x:c r="J34" s="19" t="n">
        <x:f>(G34+H34)*$D$5*(1-$L$5)/1024</x:f>
        <x:v>108.83702087402344</x:v>
      </x:c>
      <x:c r="K34" s="19" t="n">
        <x:f>J34*C34</x:f>
        <x:v>870.6961669921875</x:v>
      </x:c>
      <x:c r="L34" s="19" t="n">
        <x:f>J34*B34</x:f>
        <x:v>27862.27734375</x:v>
      </x:c>
      <x:c r="M34" s="3"/>
      <x:c r="N34" s="2"/>
    </x:row>
    <x:row r="35" ht="26" customHeight="1">
      <x:c r="A35" s="2" t="str">
        <x:v>KimiK3</x:v>
      </x:c>
      <x:c r="B35" s="3" t="n">
        <x:f>$D$64</x:f>
        <x:v>256</x:v>
      </x:c>
      <x:c r="C35" s="3" t="n">
        <x:f>$B$57</x:f>
        <x:v>8</x:v>
      </x:c>
      <x:c r="D35" s="3" t="n">
        <x:f>B35/C35</x:f>
        <x:v>32</x:v>
      </x:c>
      <x:c r="E35" s="3" t="n">
        <x:f>B158</x:f>
        <x:v>1048576</x:v>
      </x:c>
      <x:c r="F35" s="3" t="n">
        <x:f>C158</x:f>
        <x:v>1048576</x:v>
      </x:c>
      <x:c r="G35" s="19" t="n">
        <x:f>IF($F$57="OK",SUM(H158)/2^20,NA())</x:f>
        <x:v>27648</x:v>
      </x:c>
      <x:c r="H35" s="19" t="n">
        <x:f>IF($F$57="OK",SUM(H159,H160)/2^20,NA())</x:f>
        <x:v>53.5693359375</x:v>
      </x:c>
      <x:c r="I35" s="19" t="n">
        <x:f>(G35+H35)*C35</x:f>
        <x:v>221612.5546875</x:v>
      </x:c>
      <x:c r="J35" s="19" t="n">
        <x:f>(G35+H35)*$D$5*(1-$L$5)/1024</x:f>
        <x:v>432.83702087402344</x:v>
      </x:c>
      <x:c r="K35" s="19" t="n">
        <x:f>J35*C35</x:f>
        <x:v>3462.6961669921875</x:v>
      </x:c>
      <x:c r="L35" s="19" t="n">
        <x:f>J35*B35</x:f>
        <x:v>110806.27734375</x:v>
      </x:c>
      <x:c r="M35" s="3"/>
      <x:c r="N35" s="2"/>
    </x:row>
    <x:row r="36" ht="26" customHeight="1">
      <x:c r="A36" s="2" t="str">
        <x:v>Qwen3.8 2.4T</x:v>
      </x:c>
      <x:c r="B36" s="3" t="n">
        <x:f>$D$63</x:f>
        <x:v>32</x:v>
      </x:c>
      <x:c r="C36" s="3" t="n">
        <x:f>$B$58</x:f>
        <x:v>8</x:v>
      </x:c>
      <x:c r="D36" s="3" t="n">
        <x:f>B36/C36</x:f>
        <x:v>4</x:v>
      </x:c>
      <x:c r="E36" s="3" t="n">
        <x:f>B161</x:f>
        <x:v>16384</x:v>
      </x:c>
      <x:c r="F36" s="3" t="n">
        <x:f>C161</x:f>
        <x:v>16384</x:v>
      </x:c>
      <x:c r="G36" s="19" t="n">
        <x:f>IF($F$58="OK",SUM(H161)/2^20,NA())</x:f>
        <x:v>368</x:v>
      </x:c>
      <x:c r="H36" s="19" t="n">
        <x:f>IF($F$58="OK",SUM(H162,H163)/2^20,NA())</x:f>
        <x:v>70.0107421875</x:v>
      </x:c>
      <x:c r="I36" s="19" t="n">
        <x:f>(G36+H36)*C36</x:f>
        <x:v>3504.0859375</x:v>
      </x:c>
      <x:c r="J36" s="19" t="n">
        <x:f>(G36+H36)*$D$5*(1-$L$5)/1024</x:f>
        <x:v>6.8439178466796875</x:v>
      </x:c>
      <x:c r="K36" s="19" t="n">
        <x:f>J36*C36</x:f>
        <x:v>54.7513427734375</x:v>
      </x:c>
      <x:c r="L36" s="19" t="n">
        <x:f>J36*B36</x:f>
        <x:v>219.00537109375</x:v>
      </x:c>
      <x:c r="M36" s="3"/>
      <x:c r="N36" s="2"/>
    </x:row>
    <x:row r="37" ht="26" customHeight="1">
      <x:c r="A37" s="2" t="str">
        <x:v>Qwen3.8 2.4T</x:v>
      </x:c>
      <x:c r="B37" s="3" t="n">
        <x:f>$D$63</x:f>
        <x:v>32</x:v>
      </x:c>
      <x:c r="C37" s="3" t="n">
        <x:f>$B$58</x:f>
        <x:v>8</x:v>
      </x:c>
      <x:c r="D37" s="3" t="n">
        <x:f>B37/C37</x:f>
        <x:v>4</x:v>
      </x:c>
      <x:c r="E37" s="3" t="n">
        <x:f>B164</x:f>
        <x:v>262144</x:v>
      </x:c>
      <x:c r="F37" s="3" t="n">
        <x:f>C164</x:f>
        <x:v>262144</x:v>
      </x:c>
      <x:c r="G37" s="19" t="n">
        <x:f>IF($F$58="OK",SUM(H164)/2^20,NA())</x:f>
        <x:v>5888</x:v>
      </x:c>
      <x:c r="H37" s="19" t="n">
        <x:f>IF($F$58="OK",SUM(H165,H166)/2^20,NA())</x:f>
        <x:v>70.0107421875</x:v>
      </x:c>
      <x:c r="I37" s="19" t="n">
        <x:f>(G37+H37)*C37</x:f>
        <x:v>47664.0859375</x:v>
      </x:c>
      <x:c r="J37" s="19" t="n">
        <x:f>(G37+H37)*$D$5*(1-$L$5)/1024</x:f>
        <x:v>93.09391784667969</x:v>
      </x:c>
      <x:c r="K37" s="19" t="n">
        <x:f>J37*C37</x:f>
        <x:v>744.7513427734375</x:v>
      </x:c>
      <x:c r="L37" s="19" t="n">
        <x:f>J37*B37</x:f>
        <x:v>2979.00537109375</x:v>
      </x:c>
      <x:c r="M37" s="3"/>
      <x:c r="N37" s="2"/>
    </x:row>
    <x:row r="38" ht="26" customHeight="1">
      <x:c r="A38" s="2" t="str">
        <x:v>Qwen3.8 2.4T</x:v>
      </x:c>
      <x:c r="B38" s="3" t="n">
        <x:f>$D$63</x:f>
        <x:v>32</x:v>
      </x:c>
      <x:c r="C38" s="3" t="n">
        <x:f>$B$58</x:f>
        <x:v>8</x:v>
      </x:c>
      <x:c r="D38" s="3" t="n">
        <x:f>B38/C38</x:f>
        <x:v>4</x:v>
      </x:c>
      <x:c r="E38" s="3" t="n">
        <x:f>B167</x:f>
        <x:v>1048576</x:v>
      </x:c>
      <x:c r="F38" s="3" t="n">
        <x:f>C167</x:f>
        <x:v>1048576</x:v>
      </x:c>
      <x:c r="G38" s="19" t="n">
        <x:f>IF($F$58="OK",SUM(H167)/2^20,NA())</x:f>
        <x:v>23552</x:v>
      </x:c>
      <x:c r="H38" s="19" t="n">
        <x:f>IF($F$58="OK",SUM(H168,H169)/2^20,NA())</x:f>
        <x:v>70.0107421875</x:v>
      </x:c>
      <x:c r="I38" s="19" t="n">
        <x:f>(G38+H38)*C38</x:f>
        <x:v>188976.0859375</x:v>
      </x:c>
      <x:c r="J38" s="19" t="n">
        <x:f>(G38+H38)*$D$5*(1-$L$5)/1024</x:f>
        <x:v>369.0939178466797</x:v>
      </x:c>
      <x:c r="K38" s="19" t="n">
        <x:f>J38*C38</x:f>
        <x:v>2952.7513427734375</x:v>
      </x:c>
      <x:c r="L38" s="19" t="n">
        <x:f>J38*B38</x:f>
        <x:v>11811.00537109375</x:v>
      </x:c>
      <x:c r="M38" s="3"/>
      <x:c r="N38" s="2"/>
    </x:row>
    <x:row r="39" ht="26" customHeight="1">
      <x:c r="A39" s="2" t="str">
        <x:v>Qwen3.8 2.4T</x:v>
      </x:c>
      <x:c r="B39" s="3" t="n">
        <x:f>$D$64</x:f>
        <x:v>256</x:v>
      </x:c>
      <x:c r="C39" s="3" t="n">
        <x:f>$B$58</x:f>
        <x:v>8</x:v>
      </x:c>
      <x:c r="D39" s="3" t="n">
        <x:f>B39/C39</x:f>
        <x:v>32</x:v>
      </x:c>
      <x:c r="E39" s="3" t="n">
        <x:f>B161</x:f>
        <x:v>16384</x:v>
      </x:c>
      <x:c r="F39" s="3" t="n">
        <x:f>C161</x:f>
        <x:v>16384</x:v>
      </x:c>
      <x:c r="G39" s="19" t="n">
        <x:f>IF($F$58="OK",SUM(H161)/2^20,NA())</x:f>
        <x:v>368</x:v>
      </x:c>
      <x:c r="H39" s="19" t="n">
        <x:f>IF($F$58="OK",SUM(H162,H163)/2^20,NA())</x:f>
        <x:v>70.0107421875</x:v>
      </x:c>
      <x:c r="I39" s="19" t="n">
        <x:f>(G39+H39)*C39</x:f>
        <x:v>3504.0859375</x:v>
      </x:c>
      <x:c r="J39" s="19" t="n">
        <x:f>(G39+H39)*$D$5*(1-$L$5)/1024</x:f>
        <x:v>6.8439178466796875</x:v>
      </x:c>
      <x:c r="K39" s="19" t="n">
        <x:f>J39*C39</x:f>
        <x:v>54.7513427734375</x:v>
      </x:c>
      <x:c r="L39" s="19" t="n">
        <x:f>J39*B39</x:f>
        <x:v>1752.04296875</x:v>
      </x:c>
      <x:c r="M39" s="3"/>
      <x:c r="N39" s="2"/>
    </x:row>
    <x:row r="40" ht="26" customHeight="1">
      <x:c r="A40" s="2" t="str">
        <x:v>Qwen3.8 2.4T</x:v>
      </x:c>
      <x:c r="B40" s="3" t="n">
        <x:f>$D$64</x:f>
        <x:v>256</x:v>
      </x:c>
      <x:c r="C40" s="3" t="n">
        <x:f>$B$58</x:f>
        <x:v>8</x:v>
      </x:c>
      <x:c r="D40" s="3" t="n">
        <x:f>B40/C40</x:f>
        <x:v>32</x:v>
      </x:c>
      <x:c r="E40" s="3" t="n">
        <x:f>B164</x:f>
        <x:v>262144</x:v>
      </x:c>
      <x:c r="F40" s="3" t="n">
        <x:f>C164</x:f>
        <x:v>262144</x:v>
      </x:c>
      <x:c r="G40" s="19" t="n">
        <x:f>IF($F$58="OK",SUM(H164)/2^20,NA())</x:f>
        <x:v>5888</x:v>
      </x:c>
      <x:c r="H40" s="19" t="n">
        <x:f>IF($F$58="OK",SUM(H165,H166)/2^20,NA())</x:f>
        <x:v>70.0107421875</x:v>
      </x:c>
      <x:c r="I40" s="19" t="n">
        <x:f>(G40+H40)*C40</x:f>
        <x:v>47664.0859375</x:v>
      </x:c>
      <x:c r="J40" s="19" t="n">
        <x:f>(G40+H40)*$D$5*(1-$L$5)/1024</x:f>
        <x:v>93.09391784667969</x:v>
      </x:c>
      <x:c r="K40" s="19" t="n">
        <x:f>J40*C40</x:f>
        <x:v>744.7513427734375</x:v>
      </x:c>
      <x:c r="L40" s="19" t="n">
        <x:f>J40*B40</x:f>
        <x:v>23832.04296875</x:v>
      </x:c>
      <x:c r="M40" s="3"/>
      <x:c r="N40" s="2"/>
    </x:row>
    <x:row r="41" ht="26" customHeight="1">
      <x:c r="A41" s="2" t="str">
        <x:v>Qwen3.8 2.4T</x:v>
      </x:c>
      <x:c r="B41" s="3" t="n">
        <x:f>$D$64</x:f>
        <x:v>256</x:v>
      </x:c>
      <x:c r="C41" s="3" t="n">
        <x:f>$B$58</x:f>
        <x:v>8</x:v>
      </x:c>
      <x:c r="D41" s="3" t="n">
        <x:f>B41/C41</x:f>
        <x:v>32</x:v>
      </x:c>
      <x:c r="E41" s="3" t="n">
        <x:f>B167</x:f>
        <x:v>1048576</x:v>
      </x:c>
      <x:c r="F41" s="3" t="n">
        <x:f>C167</x:f>
        <x:v>1048576</x:v>
      </x:c>
      <x:c r="G41" s="19" t="n">
        <x:f>IF($F$58="OK",SUM(H167)/2^20,NA())</x:f>
        <x:v>23552</x:v>
      </x:c>
      <x:c r="H41" s="19" t="n">
        <x:f>IF($F$58="OK",SUM(H168,H169)/2^20,NA())</x:f>
        <x:v>70.0107421875</x:v>
      </x:c>
      <x:c r="I41" s="19" t="n">
        <x:f>(G41+H41)*C41</x:f>
        <x:v>188976.0859375</x:v>
      </x:c>
      <x:c r="J41" s="19" t="n">
        <x:f>(G41+H41)*$D$5*(1-$L$5)/1024</x:f>
        <x:v>369.0939178466797</x:v>
      </x:c>
      <x:c r="K41" s="19" t="n">
        <x:f>J41*C41</x:f>
        <x:v>2952.7513427734375</x:v>
      </x:c>
      <x:c r="L41" s="19" t="n">
        <x:f>J41*B41</x:f>
        <x:v>94488.04296875</x:v>
      </x:c>
      <x:c r="M41" s="3"/>
      <x:c r="N41" s="2"/>
    </x:row>
    <x:row r="42" ht="26" customHeight="1">
      <x:c r="A42" s="2" t="str">
        <x:v>DS V4.1 Flash</x:v>
      </x:c>
      <x:c r="B42" s="3" t="n">
        <x:f>$D$63</x:f>
        <x:v>32</x:v>
      </x:c>
      <x:c r="C42" s="3" t="n">
        <x:f>$B$59</x:f>
        <x:v>8</x:v>
      </x:c>
      <x:c r="D42" s="3" t="n">
        <x:f>B42/C42</x:f>
        <x:v>4</x:v>
      </x:c>
      <x:c r="E42" s="3" t="n">
        <x:f>B170</x:f>
        <x:v>16384</x:v>
      </x:c>
      <x:c r="F42" s="3" t="n">
        <x:f>C170</x:f>
        <x:v>16384</x:v>
      </x:c>
      <x:c r="G42" s="19" t="n">
        <x:f>IF($F$59="OK",SUM(H170,H171,H172,H173,H174)/2^20,NA())</x:f>
        <x:v>50.078125</x:v>
      </x:c>
      <x:c r="H42" s="19" t="n">
        <x:f>IF($F$59="OK",0/2^20,NA())</x:f>
        <x:v>0</x:v>
      </x:c>
      <x:c r="I42" s="19" t="n">
        <x:f>(G42+H42)*C42</x:f>
        <x:v>400.625</x:v>
      </x:c>
      <x:c r="J42" s="19" t="n">
        <x:f>(G42+H42)*$D$5*(1-$L$5)/1024</x:f>
        <x:v>0.782470703125</x:v>
      </x:c>
      <x:c r="K42" s="19" t="n">
        <x:f>J42*C42</x:f>
        <x:v>6.259765625</x:v>
      </x:c>
      <x:c r="L42" s="19" t="n">
        <x:f>J42*B42</x:f>
        <x:v>25.0390625</x:v>
      </x:c>
      <x:c r="M42" s="3"/>
      <x:c r="N42" s="2"/>
    </x:row>
    <x:row r="43" ht="26" customHeight="1">
      <x:c r="A43" s="2" t="str">
        <x:v>DS V4.1 Flash</x:v>
      </x:c>
      <x:c r="B43" s="3" t="n">
        <x:f>$D$63</x:f>
        <x:v>32</x:v>
      </x:c>
      <x:c r="C43" s="3" t="n">
        <x:f>$B$59</x:f>
        <x:v>8</x:v>
      </x:c>
      <x:c r="D43" s="3" t="n">
        <x:f>B43/C43</x:f>
        <x:v>4</x:v>
      </x:c>
      <x:c r="E43" s="3" t="n">
        <x:f>B175</x:f>
        <x:v>262144</x:v>
      </x:c>
      <x:c r="F43" s="3" t="n">
        <x:f>C175</x:f>
        <x:v>262144</x:v>
      </x:c>
      <x:c r="G43" s="19" t="n">
        <x:f>IF($F$59="OK",SUM(H175,H176,H177,H178,H179)/2^20,NA())</x:f>
        <x:v>726.25</x:v>
      </x:c>
      <x:c r="H43" s="19" t="n">
        <x:f>IF($F$59="OK",0/2^20,NA())</x:f>
        <x:v>0</x:v>
      </x:c>
      <x:c r="I43" s="19" t="n">
        <x:f>(G43+H43)*C43</x:f>
        <x:v>5810</x:v>
      </x:c>
      <x:c r="J43" s="19" t="n">
        <x:f>(G43+H43)*$D$5*(1-$L$5)/1024</x:f>
        <x:v>11.34765625</x:v>
      </x:c>
      <x:c r="K43" s="19" t="n">
        <x:f>J43*C43</x:f>
        <x:v>90.78125</x:v>
      </x:c>
      <x:c r="L43" s="19" t="n">
        <x:f>J43*B43</x:f>
        <x:v>363.125</x:v>
      </x:c>
      <x:c r="M43" s="3"/>
      <x:c r="N43" s="2"/>
    </x:row>
    <x:row r="44" ht="26" customHeight="1">
      <x:c r="A44" s="2" t="str">
        <x:v>DS V4.1 Flash</x:v>
      </x:c>
      <x:c r="B44" s="3" t="n">
        <x:f>$D$63</x:f>
        <x:v>32</x:v>
      </x:c>
      <x:c r="C44" s="3" t="n">
        <x:f>$B$59</x:f>
        <x:v>8</x:v>
      </x:c>
      <x:c r="D44" s="3" t="n">
        <x:f>B44/C44</x:f>
        <x:v>4</x:v>
      </x:c>
      <x:c r="E44" s="3" t="n">
        <x:f>B180</x:f>
        <x:v>1048576</x:v>
      </x:c>
      <x:c r="F44" s="3" t="n">
        <x:f>C180</x:f>
        <x:v>1048576</x:v>
      </x:c>
      <x:c r="G44" s="19" t="n">
        <x:f>IF($F$59="OK",SUM(H180,H181,H182,H183,H184)/2^20,NA())</x:f>
        <x:v>2890</x:v>
      </x:c>
      <x:c r="H44" s="19" t="n">
        <x:f>IF($F$59="OK",0/2^20,NA())</x:f>
        <x:v>0</x:v>
      </x:c>
      <x:c r="I44" s="19" t="n">
        <x:f>(G44+H44)*C44</x:f>
        <x:v>23120</x:v>
      </x:c>
      <x:c r="J44" s="19" t="n">
        <x:f>(G44+H44)*$D$5*(1-$L$5)/1024</x:f>
        <x:v>45.15625</x:v>
      </x:c>
      <x:c r="K44" s="19" t="n">
        <x:f>J44*C44</x:f>
        <x:v>361.25</x:v>
      </x:c>
      <x:c r="L44" s="19" t="n">
        <x:f>J44*B44</x:f>
        <x:v>1445</x:v>
      </x:c>
      <x:c r="M44" s="3"/>
      <x:c r="N44" s="2"/>
    </x:row>
    <x:row r="45" ht="26" customHeight="1">
      <x:c r="A45" s="2" t="str">
        <x:v>DS V4.1 Flash</x:v>
      </x:c>
      <x:c r="B45" s="3" t="n">
        <x:f>$D$64</x:f>
        <x:v>256</x:v>
      </x:c>
      <x:c r="C45" s="3" t="n">
        <x:f>$B$59</x:f>
        <x:v>8</x:v>
      </x:c>
      <x:c r="D45" s="3" t="n">
        <x:f>B45/C45</x:f>
        <x:v>32</x:v>
      </x:c>
      <x:c r="E45" s="3" t="n">
        <x:f>B170</x:f>
        <x:v>16384</x:v>
      </x:c>
      <x:c r="F45" s="3" t="n">
        <x:f>C170</x:f>
        <x:v>16384</x:v>
      </x:c>
      <x:c r="G45" s="19" t="n">
        <x:f>IF($F$59="OK",SUM(H170,H171,H172,H173,H174)/2^20,NA())</x:f>
        <x:v>50.078125</x:v>
      </x:c>
      <x:c r="H45" s="19" t="n">
        <x:f>IF($F$59="OK",0/2^20,NA())</x:f>
        <x:v>0</x:v>
      </x:c>
      <x:c r="I45" s="19" t="n">
        <x:f>(G45+H45)*C45</x:f>
        <x:v>400.625</x:v>
      </x:c>
      <x:c r="J45" s="19" t="n">
        <x:f>(G45+H45)*$D$5*(1-$L$5)/1024</x:f>
        <x:v>0.782470703125</x:v>
      </x:c>
      <x:c r="K45" s="19" t="n">
        <x:f>J45*C45</x:f>
        <x:v>6.259765625</x:v>
      </x:c>
      <x:c r="L45" s="19" t="n">
        <x:f>J45*B45</x:f>
        <x:v>200.3125</x:v>
      </x:c>
      <x:c r="M45" s="3"/>
      <x:c r="N45" s="2"/>
    </x:row>
    <x:row r="46" ht="26" customHeight="1">
      <x:c r="A46" s="2" t="str">
        <x:v>DS V4.1 Flash</x:v>
      </x:c>
      <x:c r="B46" s="3" t="n">
        <x:f>$D$64</x:f>
        <x:v>256</x:v>
      </x:c>
      <x:c r="C46" s="3" t="n">
        <x:f>$B$59</x:f>
        <x:v>8</x:v>
      </x:c>
      <x:c r="D46" s="3" t="n">
        <x:f>B46/C46</x:f>
        <x:v>32</x:v>
      </x:c>
      <x:c r="E46" s="3" t="n">
        <x:f>B175</x:f>
        <x:v>262144</x:v>
      </x:c>
      <x:c r="F46" s="3" t="n">
        <x:f>C175</x:f>
        <x:v>262144</x:v>
      </x:c>
      <x:c r="G46" s="19" t="n">
        <x:f>IF($F$59="OK",SUM(H175,H176,H177,H178,H179)/2^20,NA())</x:f>
        <x:v>726.25</x:v>
      </x:c>
      <x:c r="H46" s="19" t="n">
        <x:f>IF($F$59="OK",0/2^20,NA())</x:f>
        <x:v>0</x:v>
      </x:c>
      <x:c r="I46" s="19" t="n">
        <x:f>(G46+H46)*C46</x:f>
        <x:v>5810</x:v>
      </x:c>
      <x:c r="J46" s="19" t="n">
        <x:f>(G46+H46)*$D$5*(1-$L$5)/1024</x:f>
        <x:v>11.34765625</x:v>
      </x:c>
      <x:c r="K46" s="19" t="n">
        <x:f>J46*C46</x:f>
        <x:v>90.78125</x:v>
      </x:c>
      <x:c r="L46" s="19" t="n">
        <x:f>J46*B46</x:f>
        <x:v>2905</x:v>
      </x:c>
      <x:c r="M46" s="3"/>
      <x:c r="N46" s="2"/>
    </x:row>
    <x:row r="47" ht="26" customHeight="1">
      <x:c r="A47" s="2" t="str">
        <x:v>DS V4.1 Flash</x:v>
      </x:c>
      <x:c r="B47" s="3" t="n">
        <x:f>$D$64</x:f>
        <x:v>256</x:v>
      </x:c>
      <x:c r="C47" s="3" t="n">
        <x:f>$B$59</x:f>
        <x:v>8</x:v>
      </x:c>
      <x:c r="D47" s="3" t="n">
        <x:f>B47/C47</x:f>
        <x:v>32</x:v>
      </x:c>
      <x:c r="E47" s="3" t="n">
        <x:f>B180</x:f>
        <x:v>1048576</x:v>
      </x:c>
      <x:c r="F47" s="3" t="n">
        <x:f>C180</x:f>
        <x:v>1048576</x:v>
      </x:c>
      <x:c r="G47" s="19" t="n">
        <x:f>IF($F$59="OK",SUM(H180,H181,H182,H183,H184)/2^20,NA())</x:f>
        <x:v>2890</x:v>
      </x:c>
      <x:c r="H47" s="19" t="n">
        <x:f>IF($F$59="OK",0/2^20,NA())</x:f>
        <x:v>0</x:v>
      </x:c>
      <x:c r="I47" s="19" t="n">
        <x:f>(G47+H47)*C47</x:f>
        <x:v>23120</x:v>
      </x:c>
      <x:c r="J47" s="19" t="n">
        <x:f>(G47+H47)*$D$5*(1-$L$5)/1024</x:f>
        <x:v>45.15625</x:v>
      </x:c>
      <x:c r="K47" s="19" t="n">
        <x:f>J47*C47</x:f>
        <x:v>361.25</x:v>
      </x:c>
      <x:c r="L47" s="19" t="n">
        <x:f>J47*B47</x:f>
        <x:v>11560</x:v>
      </x:c>
      <x:c r="M47" s="3"/>
      <x:c r="N47" s="2"/>
    </x:row>
    <x:row r="48" ht="23" customHeight="1">
      <x:c r="A48" s="2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2"/>
    </x:row>
    <x:row r="49" ht="23" customHeight="1">
      <x:c r="A49" s="2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2"/>
    </x:row>
    <x:row r="50" ht="30" customHeight="1">
      <x:c r="A50" s="6" t="str">
        <x:v>Topology &amp; block alignment · P/D 参数与池化对齐</x:v>
      </x:c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3"/>
      <x:c r="N50" s="2"/>
    </x:row>
    <x:row r="51" ht="23" customHeight="1">
      <x:c r="A51" s="2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2"/>
    </x:row>
    <x:row r="52" ht="23" customHeight="1">
      <x:c r="A52" s="2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2"/>
    </x:row>
    <x:row r="53" ht="48" customHeight="1">
      <x:c r="A53" s="17" t="str">
        <x:v>Model</x:v>
      </x:c>
      <x:c r="B53" s="18" t="str">
        <x:v>P TP</x:v>
      </x:c>
      <x:c r="C53" s="18" t="str">
        <x:v>D TP</x:v>
      </x:c>
      <x:c r="D53" s="18" t="str">
        <x:v>Pool align tokens</x:v>
      </x:c>
      <x:c r="E53" s="18" t="str">
        <x:v>Base block</x:v>
      </x:c>
      <x:c r="F53" s="18" t="str">
        <x:v>Input check</x:v>
      </x:c>
      <x:c r="G53" s="18" t="str">
        <x:v>Cache / transfer rule</x:v>
      </x:c>
      <x:c r="H53" s="3"/>
      <x:c r="I53" s="3"/>
      <x:c r="J53" s="3"/>
      <x:c r="K53" s="3"/>
      <x:c r="L53" s="3"/>
      <x:c r="M53" s="3"/>
      <x:c r="N53" s="2"/>
    </x:row>
    <x:row r="54" ht="33" customHeight="1">
      <x:c r="A54" s="2" t="str">
        <x:v>DS V4 10T</x:v>
      </x:c>
      <x:c r="B54" s="7" t="n">
        <x:v>8</x:v>
      </x:c>
      <x:c r="C54" s="7" t="n">
        <x:v>1</x:v>
      </x:c>
      <x:c r="D54" s="7" t="n">
        <x:f>$D$6*128</x:f>
        <x:v>16384</x:v>
      </x:c>
      <x:c r="E54" s="3" t="n">
        <x:f>$D$6</x:f>
        <x:v>128</x:v>
      </x:c>
      <x:c r="F54" s="3" t="str">
        <x:f>IF(AND(B54&gt;0,D54&gt;0,MOD($D$63,B54)=0,MOD($D$64,B54)=0,MOD(D54,H72)=0,MOD(D54,H73)=0,MOD(D54,H74)=0,MOD(D54,H75)=0,MOD(D54,H76)=0,MOD(D54,H77)=0,MOD(D54,H78)=0),"OK","CHECK inputs")</x:f>
        <x:v>OK</x:v>
      </x:c>
      <x:c r="G54" s="5" t="str">
        <x:v>BF16 KV; PP=PCP=DCP=1; full-block prefix lookup.</x:v>
      </x:c>
      <x:c r="H54" s="5"/>
      <x:c r="I54" s="5"/>
      <x:c r="J54" s="5"/>
      <x:c r="K54" s="5"/>
      <x:c r="L54" s="5"/>
      <x:c r="M54" s="3"/>
      <x:c r="N54" s="2"/>
    </x:row>
    <x:row r="55" ht="33" customHeight="1">
      <x:c r="A55" s="2" t="str">
        <x:v>DS V4 Pro</x:v>
      </x:c>
      <x:c r="B55" s="7" t="n">
        <x:v>8</x:v>
      </x:c>
      <x:c r="C55" s="7" t="n">
        <x:v>1</x:v>
      </x:c>
      <x:c r="D55" s="7" t="n">
        <x:f>$D$6*128</x:f>
        <x:v>16384</x:v>
      </x:c>
      <x:c r="E55" s="3" t="n">
        <x:f>$D$6</x:f>
        <x:v>128</x:v>
      </x:c>
      <x:c r="F55" s="3" t="str">
        <x:f>IF(AND(B55&gt;0,D55&gt;0,MOD($D$63,B55)=0,MOD($D$64,B55)=0,MOD(D55,H79)=0,MOD(D55,H80)=0,MOD(D55,H81)=0,MOD(D55,H82)=0,MOD(D55,H83)=0,MOD(D55,H84)=0,MOD(D55,H85)=0),"OK","CHECK inputs")</x:f>
        <x:v>OK</x:v>
      </x:c>
      <x:c r="G55" s="5" t="str">
        <x:v>BF16 KV; PP=PCP=DCP=1; full-block prefix lookup.</x:v>
      </x:c>
      <x:c r="H55" s="5"/>
      <x:c r="I55" s="5"/>
      <x:c r="J55" s="5"/>
      <x:c r="K55" s="5"/>
      <x:c r="L55" s="5"/>
      <x:c r="M55" s="3"/>
      <x:c r="N55" s="2"/>
    </x:row>
    <x:row r="56" ht="33" customHeight="1">
      <x:c r="A56" s="2" t="str">
        <x:v>GLM5.3</x:v>
      </x:c>
      <x:c r="B56" s="7" t="n">
        <x:v>8</x:v>
      </x:c>
      <x:c r="C56" s="7" t="n">
        <x:v>1</x:v>
      </x:c>
      <x:c r="D56" s="7" t="n">
        <x:f>$D$6*1</x:f>
        <x:v>128</x:v>
      </x:c>
      <x:c r="E56" s="3" t="n">
        <x:f>$D$6</x:f>
        <x:v>128</x:v>
      </x:c>
      <x:c r="F56" s="3" t="str">
        <x:f>IF(AND(B56&gt;0,D56&gt;0,MOD($D$63,B56)=0,MOD($D$64,B56)=0,MOD(D56,H86)=0,MOD(D56,H87)=0),"OK","CHECK inputs")</x:f>
        <x:v>OK</x:v>
      </x:c>
      <x:c r="G56" s="5" t="str">
        <x:v>BF16 KV; PP=PCP=DCP=1; full-block prefix lookup.</x:v>
      </x:c>
      <x:c r="H56" s="5"/>
      <x:c r="I56" s="5"/>
      <x:c r="J56" s="5"/>
      <x:c r="K56" s="5"/>
      <x:c r="L56" s="5"/>
      <x:c r="M56" s="3"/>
      <x:c r="N56" s="2"/>
    </x:row>
    <x:row r="57" ht="33" customHeight="1">
      <x:c r="A57" s="2" t="str">
        <x:v>KimiK3</x:v>
      </x:c>
      <x:c r="B57" s="7" t="n">
        <x:v>8</x:v>
      </x:c>
      <x:c r="C57" s="7" t="n">
        <x:v>8</x:v>
      </x:c>
      <x:c r="D57" s="7" t="n">
        <x:f>$D$6*1</x:f>
        <x:v>128</x:v>
      </x:c>
      <x:c r="E57" s="3" t="n">
        <x:f>$D$6</x:f>
        <x:v>128</x:v>
      </x:c>
      <x:c r="F57" s="3" t="str">
        <x:f>IF(AND(B57&gt;0,D57&gt;0,MOD($D$63,B57)=0,MOD($D$64,B57)=0,MOD(D57,H88)=0,MOD(D57,H89)=0,MOD(D57,H90)=0,B57=C57),"OK","CHECK inputs")</x:f>
        <x:v>OK</x:v>
      </x:c>
      <x:c r="G57" s="5" t="str">
        <x:v>mamba_cache_mode=align; matching P/D TP and state layout.</x:v>
      </x:c>
      <x:c r="H57" s="5"/>
      <x:c r="I57" s="5"/>
      <x:c r="J57" s="5"/>
      <x:c r="K57" s="5"/>
      <x:c r="L57" s="5"/>
      <x:c r="M57" s="3"/>
      <x:c r="N57" s="2"/>
    </x:row>
    <x:row r="58" ht="33" customHeight="1">
      <x:c r="A58" s="2" t="str">
        <x:v>Qwen3.8 2.4T</x:v>
      </x:c>
      <x:c r="B58" s="7" t="n">
        <x:v>8</x:v>
      </x:c>
      <x:c r="C58" s="7" t="n">
        <x:v>8</x:v>
      </x:c>
      <x:c r="D58" s="7" t="n">
        <x:f>$D$6*1</x:f>
        <x:v>128</x:v>
      </x:c>
      <x:c r="E58" s="3" t="n">
        <x:f>$D$6</x:f>
        <x:v>128</x:v>
      </x:c>
      <x:c r="F58" s="3" t="str">
        <x:f>IF(AND(B58&gt;0,D58&gt;0,MOD($D$63,B58)=0,MOD($D$64,B58)=0,MOD(D58,H91)=0,MOD(D58,H92)=0,MOD(D58,H93)=0,B58=C58),"OK","CHECK inputs")</x:f>
        <x:v>OK</x:v>
      </x:c>
      <x:c r="G58" s="5" t="str">
        <x:v>mamba_cache_mode=align; matching P/D TP and state layout.</x:v>
      </x:c>
      <x:c r="H58" s="5"/>
      <x:c r="I58" s="5"/>
      <x:c r="J58" s="5"/>
      <x:c r="K58" s="5"/>
      <x:c r="L58" s="5"/>
      <x:c r="M58" s="3"/>
      <x:c r="N58" s="2"/>
    </x:row>
    <x:row r="59" ht="33" customHeight="1">
      <x:c r="A59" s="2" t="str">
        <x:v>DS V4.1 Flash</x:v>
      </x:c>
      <x:c r="B59" s="7" t="n">
        <x:v>8</x:v>
      </x:c>
      <x:c r="C59" s="7" t="n">
        <x:v>1</x:v>
      </x:c>
      <x:c r="D59" s="7" t="n">
        <x:f>$D$6*1</x:f>
        <x:v>128</x:v>
      </x:c>
      <x:c r="E59" s="3" t="n">
        <x:f>$D$6</x:f>
        <x:v>128</x:v>
      </x:c>
      <x:c r="F59" s="3" t="str">
        <x:f>IF(AND(B59&gt;0,D59&gt;0,MOD($D$63,B59)=0,MOD($D$64,B59)=0,MOD(D59,H94)=0,MOD(D59,H95)=0,MOD(D59,H96)=0,MOD(D59,H97)=0,MOD(D59,H98)=0),"OK","CHECK inputs")</x:f>
        <x:v>OK</x:v>
      </x:c>
      <x:c r="G59" s="5" t="str">
        <x:v>Cacheable planes only; private ring/history require separate restore.</x:v>
      </x:c>
      <x:c r="H59" s="5"/>
      <x:c r="I59" s="5"/>
      <x:c r="J59" s="5"/>
      <x:c r="K59" s="5"/>
      <x:c r="L59" s="5"/>
      <x:c r="M59" s="3"/>
      <x:c r="N59" s="2"/>
    </x:row>
    <x:row r="60" ht="23" customHeight="1">
      <x:c r="A60" s="2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2"/>
    </x:row>
    <x:row r="61" ht="23" customHeight="1">
      <x:c r="A61" s="2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2"/>
    </x:row>
    <x:row r="62" ht="48" customHeight="1">
      <x:c r="A62" s="17" t="str">
        <x:v>Case</x:v>
      </x:c>
      <x:c r="B62" s="18" t="str">
        <x:v>Input tokens</x:v>
      </x:c>
      <x:c r="C62" s="18" t="str">
        <x:v>EP case</x:v>
      </x:c>
      <x:c r="D62" s="18" t="str">
        <x:v>EP</x:v>
      </x:c>
      <x:c r="E62" s="3"/>
      <x:c r="F62" s="3"/>
      <x:c r="G62" s="3"/>
      <x:c r="H62" s="3"/>
      <x:c r="I62" s="3"/>
      <x:c r="J62" s="3"/>
      <x:c r="K62" s="3"/>
      <x:c r="L62" s="3"/>
      <x:c r="M62" s="3"/>
      <x:c r="N62" s="2"/>
    </x:row>
    <x:row r="63" ht="23" customHeight="1">
      <x:c r="A63" s="2" t="str">
        <x:v>case 1</x:v>
      </x:c>
      <x:c r="B63" s="7" t="n">
        <x:v>16384</x:v>
      </x:c>
      <x:c r="C63" s="3" t="str">
        <x:v>EP case 1</x:v>
      </x:c>
      <x:c r="D63" s="7" t="n">
        <x:v>32</x:v>
      </x:c>
      <x:c r="E63" s="3"/>
      <x:c r="F63" s="3"/>
      <x:c r="G63" s="3"/>
      <x:c r="H63" s="3"/>
      <x:c r="I63" s="3"/>
      <x:c r="J63" s="3"/>
      <x:c r="K63" s="3"/>
      <x:c r="L63" s="3"/>
      <x:c r="M63" s="3"/>
      <x:c r="N63" s="2"/>
    </x:row>
    <x:row r="64" ht="23" customHeight="1">
      <x:c r="A64" s="2" t="str">
        <x:v>case 2</x:v>
      </x:c>
      <x:c r="B64" s="7" t="n">
        <x:v>262144</x:v>
      </x:c>
      <x:c r="C64" s="3" t="str">
        <x:v>EP case 2</x:v>
      </x:c>
      <x:c r="D64" s="7" t="n">
        <x:v>256</x:v>
      </x:c>
      <x:c r="E64" s="3"/>
      <x:c r="F64" s="3"/>
      <x:c r="G64" s="3"/>
      <x:c r="H64" s="3"/>
      <x:c r="I64" s="3"/>
      <x:c r="J64" s="3"/>
      <x:c r="K64" s="3"/>
      <x:c r="L64" s="3"/>
      <x:c r="M64" s="3"/>
      <x:c r="N64" s="2"/>
    </x:row>
    <x:row r="65" ht="23" customHeight="1">
      <x:c r="A65" s="2" t="str">
        <x:v>case 3</x:v>
      </x:c>
      <x:c r="B65" s="7" t="n">
        <x:v>1048576</x:v>
      </x:c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2"/>
    </x:row>
    <x:row r="66" ht="23" customHeight="1">
      <x:c r="A66" s="2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2"/>
    </x:row>
    <x:row r="67" ht="30" customHeight="1">
      <x:c r="A67" s="4" t="str">
        <x:v>Pool align 默认：DS V4 为 C128 物理块对应的 128×128 raw tokens；其余为 128。实际启动若调整 state/cache group block，请填实际 LCM。</x:v>
      </x:c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3"/>
      <x:c r="N67" s="2"/>
    </x:row>
    <x:row r="68" ht="30" customHeight="1">
      <x:c r="A68" s="4" t="str">
        <x:v>100% 命中时 scheduler 仍可能重算最后一个 token；pool worker 会拉完整末块。本页按实际块 payload 计量，不把命中长度简单减 1。</x:v>
      </x:c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3"/>
      <x:c r="N68" s="2"/>
    </x:row>
    <x:row r="69" ht="23" customHeight="1">
      <x:c r="A69" s="2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2"/>
    </x:row>
    <x:row r="70" ht="30" customHeight="1">
      <x:c r="A70" s="6" t="str">
        <x:v>Cache component inputs · 参数表（BF16=2 B，FP32=4 B，INT8=1 B）</x:v>
      </x:c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3"/>
      <x:c r="N70" s="2"/>
    </x:row>
    <x:row r="71" ht="48" customHeight="1">
      <x:c r="A71" s="17" t="str">
        <x:v>Model</x:v>
      </x:c>
      <x:c r="B71" s="18" t="str">
        <x:v>Component</x:v>
      </x:c>
      <x:c r="C71" s="18" t="str">
        <x:v>Layers</x:v>
      </x:c>
      <x:c r="D71" s="18" t="str">
        <x:v>Elements / row</x:v>
      </x:c>
      <x:c r="E71" s="18" t="str">
        <x:v>B / element</x:v>
      </x:c>
      <x:c r="F71" s="18" t="str">
        <x:v>Extra B / row</x:v>
      </x:c>
      <x:c r="G71" s="18" t="str">
        <x:v>Compress ratio</x:v>
      </x:c>
      <x:c r="H71" s="18" t="str">
        <x:v>Block raw tokens</x:v>
      </x:c>
      <x:c r="I71" s="18" t="str">
        <x:v>Window tokens</x:v>
      </x:c>
      <x:c r="J71" s="18" t="str">
        <x:v>Row mode</x:v>
      </x:c>
      <x:c r="K71" s="18" t="str">
        <x:v>TP mode</x:v>
      </x:c>
      <x:c r="L71" s="18" t="str">
        <x:v>KV heads</x:v>
      </x:c>
      <x:c r="M71" s="18" t="str">
        <x:v>State rows</x:v>
      </x:c>
      <x:c r="N71" s="17" t="str">
        <x:v>Notes</x:v>
      </x:c>
    </x:row>
    <x:row r="72" ht="39" customHeight="1">
      <x:c r="A72" s="4" t="str">
        <x:v>DS V4 10T</x:v>
      </x:c>
      <x:c r="B72" s="5" t="str">
        <x:v>SWA KV</x:v>
      </x:c>
      <x:c r="C72" s="20" t="n">
        <x:v>61</x:v>
      </x:c>
      <x:c r="D72" s="20" t="n">
        <x:v>512</x:v>
      </x:c>
      <x:c r="E72" s="20" t="n">
        <x:v>2</x:v>
      </x:c>
      <x:c r="F72" s="20" t="n">
        <x:v>0</x:v>
      </x:c>
      <x:c r="G72" s="20" t="n">
        <x:v>1</x:v>
      </x:c>
      <x:c r="H72" s="20" t="n">
        <x:f>$D$6*1</x:f>
        <x:v>128</x:v>
      </x:c>
      <x:c r="I72" s="20" t="n">
        <x:v>128</x:v>
      </x:c>
      <x:c r="J72" s="20" t="str">
        <x:v>tail</x:v>
      </x:c>
      <x:c r="K72" s="20" t="str">
        <x:v>replicated</x:v>
      </x:c>
      <x:c r="L72" s="20" t="n">
        <x:v>1</x:v>
      </x:c>
      <x:c r="M72" s="20" t="n">
        <x:v>1</x:v>
      </x:c>
      <x:c r="N72" s="4" t="str"/>
    </x:row>
    <x:row r="73" ht="39" customHeight="1">
      <x:c r="A73" s="4" t="str">
        <x:v>DS V4 10T</x:v>
      </x:c>
      <x:c r="B73" s="5" t="str">
        <x:v>C4 KV</x:v>
      </x:c>
      <x:c r="C73" s="20" t="n">
        <x:v>30</x:v>
      </x:c>
      <x:c r="D73" s="20" t="n">
        <x:v>512</x:v>
      </x:c>
      <x:c r="E73" s="20" t="n">
        <x:v>2</x:v>
      </x:c>
      <x:c r="F73" s="20" t="n">
        <x:v>0</x:v>
      </x:c>
      <x:c r="G73" s="20" t="n">
        <x:v>4</x:v>
      </x:c>
      <x:c r="H73" s="20" t="n">
        <x:f>$D$6*4</x:f>
        <x:v>512</x:v>
      </x:c>
      <x:c r="I73" s="20" t="n">
        <x:v>0</x:v>
      </x:c>
      <x:c r="J73" s="20" t="str">
        <x:v>full</x:v>
      </x:c>
      <x:c r="K73" s="20" t="str">
        <x:v>replicated</x:v>
      </x:c>
      <x:c r="L73" s="20" t="n">
        <x:v>1</x:v>
      </x:c>
      <x:c r="M73" s="20" t="n">
        <x:v>1</x:v>
      </x:c>
      <x:c r="N73" s="4" t="str"/>
    </x:row>
    <x:row r="74" ht="39" customHeight="1">
      <x:c r="A74" s="4" t="str">
        <x:v>DS V4 10T</x:v>
      </x:c>
      <x:c r="B74" s="5" t="str">
        <x:v>C128 KV</x:v>
      </x:c>
      <x:c r="C74" s="20" t="n">
        <x:v>31</x:v>
      </x:c>
      <x:c r="D74" s="20" t="n">
        <x:v>512</x:v>
      </x:c>
      <x:c r="E74" s="20" t="n">
        <x:v>2</x:v>
      </x:c>
      <x:c r="F74" s="20" t="n">
        <x:v>0</x:v>
      </x:c>
      <x:c r="G74" s="20" t="n">
        <x:v>128</x:v>
      </x:c>
      <x:c r="H74" s="20" t="n">
        <x:f>$D$6*128</x:f>
        <x:v>16384</x:v>
      </x:c>
      <x:c r="I74" s="20" t="n">
        <x:v>0</x:v>
      </x:c>
      <x:c r="J74" s="20" t="str">
        <x:v>full</x:v>
      </x:c>
      <x:c r="K74" s="20" t="str">
        <x:v>replicated</x:v>
      </x:c>
      <x:c r="L74" s="20" t="n">
        <x:v>1</x:v>
      </x:c>
      <x:c r="M74" s="20" t="n">
        <x:v>1</x:v>
      </x:c>
      <x:c r="N74" s="4" t="str"/>
    </x:row>
    <x:row r="75" ht="39" customHeight="1">
      <x:c r="A75" s="4" t="str">
        <x:v>DS V4 10T</x:v>
      </x:c>
      <x:c r="B75" s="5" t="str">
        <x:v>C4 Indexer</x:v>
      </x:c>
      <x:c r="C75" s="20" t="n">
        <x:v>30</x:v>
      </x:c>
      <x:c r="D75" s="20" t="n">
        <x:v>128</x:v>
      </x:c>
      <x:c r="E75" s="20" t="n">
        <x:v>1</x:v>
      </x:c>
      <x:c r="F75" s="20" t="n">
        <x:v>2</x:v>
      </x:c>
      <x:c r="G75" s="20" t="n">
        <x:v>4</x:v>
      </x:c>
      <x:c r="H75" s="20" t="n">
        <x:f>$D$6*4</x:f>
        <x:v>512</x:v>
      </x:c>
      <x:c r="I75" s="20" t="n">
        <x:v>0</x:v>
      </x:c>
      <x:c r="J75" s="20" t="str">
        <x:v>full</x:v>
      </x:c>
      <x:c r="K75" s="20" t="str">
        <x:v>replicated</x:v>
      </x:c>
      <x:c r="L75" s="20" t="n">
        <x:v>1</x:v>
      </x:c>
      <x:c r="M75" s="20" t="n">
        <x:v>1</x:v>
      </x:c>
      <x:c r="N75" s="4" t="str">
        <x:v>INT8 + 2 B scale</x:v>
      </x:c>
    </x:row>
    <x:row r="76" ht="39" customHeight="1">
      <x:c r="A76" s="4" t="str">
        <x:v>DS V4 10T</x:v>
      </x:c>
      <x:c r="B76" s="5" t="str">
        <x:v>C4 compressor state</x:v>
      </x:c>
      <x:c r="C76" s="20" t="n">
        <x:v>30</x:v>
      </x:c>
      <x:c r="D76" s="20" t="n">
        <x:v>2048</x:v>
      </x:c>
      <x:c r="E76" s="20" t="n">
        <x:v>4</x:v>
      </x:c>
      <x:c r="F76" s="20" t="n">
        <x:v>0</x:v>
      </x:c>
      <x:c r="G76" s="20" t="n">
        <x:v>1</x:v>
      </x:c>
      <x:c r="H76" s="20" t="n">
        <x:f>$D$6*0.0625</x:f>
        <x:v>8</x:v>
      </x:c>
      <x:c r="I76" s="20" t="n">
        <x:v>8</x:v>
      </x:c>
      <x:c r="J76" s="20" t="str">
        <x:v>tail</x:v>
      </x:c>
      <x:c r="K76" s="20" t="str">
        <x:v>replicated</x:v>
      </x:c>
      <x:c r="L76" s="20" t="n">
        <x:v>1</x:v>
      </x:c>
      <x:c r="M76" s="20" t="n">
        <x:v>1</x:v>
      </x:c>
      <x:c r="N76" s="4" t="str"/>
    </x:row>
    <x:row r="77" ht="39" customHeight="1">
      <x:c r="A77" s="4" t="str">
        <x:v>DS V4 10T</x:v>
      </x:c>
      <x:c r="B77" s="5" t="str">
        <x:v>C128 compressor state</x:v>
      </x:c>
      <x:c r="C77" s="20" t="n">
        <x:v>31</x:v>
      </x:c>
      <x:c r="D77" s="20" t="n">
        <x:v>1024</x:v>
      </x:c>
      <x:c r="E77" s="20" t="n">
        <x:v>4</x:v>
      </x:c>
      <x:c r="F77" s="20" t="n">
        <x:v>0</x:v>
      </x:c>
      <x:c r="G77" s="20" t="n">
        <x:v>1</x:v>
      </x:c>
      <x:c r="H77" s="20" t="n">
        <x:f>$D$6*0.25</x:f>
        <x:v>32</x:v>
      </x:c>
      <x:c r="I77" s="20" t="n">
        <x:v>128</x:v>
      </x:c>
      <x:c r="J77" s="20" t="str">
        <x:v>tail</x:v>
      </x:c>
      <x:c r="K77" s="20" t="str">
        <x:v>replicated</x:v>
      </x:c>
      <x:c r="L77" s="20" t="n">
        <x:v>1</x:v>
      </x:c>
      <x:c r="M77" s="20" t="n">
        <x:v>1</x:v>
      </x:c>
      <x:c r="N77" s="4" t="str"/>
    </x:row>
    <x:row r="78" ht="39" customHeight="1">
      <x:c r="A78" s="4" t="str">
        <x:v>DS V4 10T</x:v>
      </x:c>
      <x:c r="B78" s="5" t="str">
        <x:v>C4 indexer state</x:v>
      </x:c>
      <x:c r="C78" s="20" t="n">
        <x:v>30</x:v>
      </x:c>
      <x:c r="D78" s="20" t="n">
        <x:v>512</x:v>
      </x:c>
      <x:c r="E78" s="20" t="n">
        <x:v>4</x:v>
      </x:c>
      <x:c r="F78" s="20" t="n">
        <x:v>0</x:v>
      </x:c>
      <x:c r="G78" s="20" t="n">
        <x:v>1</x:v>
      </x:c>
      <x:c r="H78" s="20" t="n">
        <x:f>$D$6*0.0625</x:f>
        <x:v>8</x:v>
      </x:c>
      <x:c r="I78" s="20" t="n">
        <x:v>8</x:v>
      </x:c>
      <x:c r="J78" s="20" t="str">
        <x:v>tail</x:v>
      </x:c>
      <x:c r="K78" s="20" t="str">
        <x:v>replicated</x:v>
      </x:c>
      <x:c r="L78" s="20" t="n">
        <x:v>1</x:v>
      </x:c>
      <x:c r="M78" s="20" t="n">
        <x:v>1</x:v>
      </x:c>
      <x:c r="N78" s="4" t="str"/>
    </x:row>
    <x:row r="79" ht="39" customHeight="1">
      <x:c r="A79" s="4" t="str">
        <x:v>DS V4 Pro</x:v>
      </x:c>
      <x:c r="B79" s="5" t="str">
        <x:v>SWA KV</x:v>
      </x:c>
      <x:c r="C79" s="20" t="n">
        <x:v>61</x:v>
      </x:c>
      <x:c r="D79" s="20" t="n">
        <x:v>512</x:v>
      </x:c>
      <x:c r="E79" s="20" t="n">
        <x:v>2</x:v>
      </x:c>
      <x:c r="F79" s="20" t="n">
        <x:v>0</x:v>
      </x:c>
      <x:c r="G79" s="20" t="n">
        <x:v>1</x:v>
      </x:c>
      <x:c r="H79" s="20" t="n">
        <x:f>$D$6*1</x:f>
        <x:v>128</x:v>
      </x:c>
      <x:c r="I79" s="20" t="n">
        <x:v>128</x:v>
      </x:c>
      <x:c r="J79" s="20" t="str">
        <x:v>tail</x:v>
      </x:c>
      <x:c r="K79" s="20" t="str">
        <x:v>replicated</x:v>
      </x:c>
      <x:c r="L79" s="20" t="n">
        <x:v>1</x:v>
      </x:c>
      <x:c r="M79" s="20" t="n">
        <x:v>1</x:v>
      </x:c>
      <x:c r="N79" s="4" t="str"/>
    </x:row>
    <x:row r="80" ht="39" customHeight="1">
      <x:c r="A80" s="4" t="str">
        <x:v>DS V4 Pro</x:v>
      </x:c>
      <x:c r="B80" s="5" t="str">
        <x:v>C4 KV</x:v>
      </x:c>
      <x:c r="C80" s="20" t="n">
        <x:v>30</x:v>
      </x:c>
      <x:c r="D80" s="20" t="n">
        <x:v>512</x:v>
      </x:c>
      <x:c r="E80" s="20" t="n">
        <x:v>2</x:v>
      </x:c>
      <x:c r="F80" s="20" t="n">
        <x:v>0</x:v>
      </x:c>
      <x:c r="G80" s="20" t="n">
        <x:v>4</x:v>
      </x:c>
      <x:c r="H80" s="20" t="n">
        <x:f>$D$6*4</x:f>
        <x:v>512</x:v>
      </x:c>
      <x:c r="I80" s="20" t="n">
        <x:v>0</x:v>
      </x:c>
      <x:c r="J80" s="20" t="str">
        <x:v>full</x:v>
      </x:c>
      <x:c r="K80" s="20" t="str">
        <x:v>replicated</x:v>
      </x:c>
      <x:c r="L80" s="20" t="n">
        <x:v>1</x:v>
      </x:c>
      <x:c r="M80" s="20" t="n">
        <x:v>1</x:v>
      </x:c>
      <x:c r="N80" s="4" t="str"/>
    </x:row>
    <x:row r="81" ht="39" customHeight="1">
      <x:c r="A81" s="4" t="str">
        <x:v>DS V4 Pro</x:v>
      </x:c>
      <x:c r="B81" s="5" t="str">
        <x:v>C128 KV</x:v>
      </x:c>
      <x:c r="C81" s="20" t="n">
        <x:v>31</x:v>
      </x:c>
      <x:c r="D81" s="20" t="n">
        <x:v>512</x:v>
      </x:c>
      <x:c r="E81" s="20" t="n">
        <x:v>2</x:v>
      </x:c>
      <x:c r="F81" s="20" t="n">
        <x:v>0</x:v>
      </x:c>
      <x:c r="G81" s="20" t="n">
        <x:v>128</x:v>
      </x:c>
      <x:c r="H81" s="20" t="n">
        <x:f>$D$6*128</x:f>
        <x:v>16384</x:v>
      </x:c>
      <x:c r="I81" s="20" t="n">
        <x:v>0</x:v>
      </x:c>
      <x:c r="J81" s="20" t="str">
        <x:v>full</x:v>
      </x:c>
      <x:c r="K81" s="20" t="str">
        <x:v>replicated</x:v>
      </x:c>
      <x:c r="L81" s="20" t="n">
        <x:v>1</x:v>
      </x:c>
      <x:c r="M81" s="20" t="n">
        <x:v>1</x:v>
      </x:c>
      <x:c r="N81" s="4" t="str"/>
    </x:row>
    <x:row r="82" ht="39" customHeight="1">
      <x:c r="A82" s="4" t="str">
        <x:v>DS V4 Pro</x:v>
      </x:c>
      <x:c r="B82" s="5" t="str">
        <x:v>C4 Indexer</x:v>
      </x:c>
      <x:c r="C82" s="20" t="n">
        <x:v>30</x:v>
      </x:c>
      <x:c r="D82" s="20" t="n">
        <x:v>128</x:v>
      </x:c>
      <x:c r="E82" s="20" t="n">
        <x:v>1</x:v>
      </x:c>
      <x:c r="F82" s="20" t="n">
        <x:v>2</x:v>
      </x:c>
      <x:c r="G82" s="20" t="n">
        <x:v>4</x:v>
      </x:c>
      <x:c r="H82" s="20" t="n">
        <x:f>$D$6*4</x:f>
        <x:v>512</x:v>
      </x:c>
      <x:c r="I82" s="20" t="n">
        <x:v>0</x:v>
      </x:c>
      <x:c r="J82" s="20" t="str">
        <x:v>full</x:v>
      </x:c>
      <x:c r="K82" s="20" t="str">
        <x:v>replicated</x:v>
      </x:c>
      <x:c r="L82" s="20" t="n">
        <x:v>1</x:v>
      </x:c>
      <x:c r="M82" s="20" t="n">
        <x:v>1</x:v>
      </x:c>
      <x:c r="N82" s="4" t="str">
        <x:v>INT8 + 2 B scale</x:v>
      </x:c>
    </x:row>
    <x:row r="83" ht="39" customHeight="1">
      <x:c r="A83" s="4" t="str">
        <x:v>DS V4 Pro</x:v>
      </x:c>
      <x:c r="B83" s="5" t="str">
        <x:v>C4 compressor state</x:v>
      </x:c>
      <x:c r="C83" s="20" t="n">
        <x:v>30</x:v>
      </x:c>
      <x:c r="D83" s="20" t="n">
        <x:v>2048</x:v>
      </x:c>
      <x:c r="E83" s="20" t="n">
        <x:v>4</x:v>
      </x:c>
      <x:c r="F83" s="20" t="n">
        <x:v>0</x:v>
      </x:c>
      <x:c r="G83" s="20" t="n">
        <x:v>1</x:v>
      </x:c>
      <x:c r="H83" s="20" t="n">
        <x:f>$D$6*0.0625</x:f>
        <x:v>8</x:v>
      </x:c>
      <x:c r="I83" s="20" t="n">
        <x:v>8</x:v>
      </x:c>
      <x:c r="J83" s="20" t="str">
        <x:v>tail</x:v>
      </x:c>
      <x:c r="K83" s="20" t="str">
        <x:v>replicated</x:v>
      </x:c>
      <x:c r="L83" s="20" t="n">
        <x:v>1</x:v>
      </x:c>
      <x:c r="M83" s="20" t="n">
        <x:v>1</x:v>
      </x:c>
      <x:c r="N83" s="4" t="str"/>
    </x:row>
    <x:row r="84" ht="39" customHeight="1">
      <x:c r="A84" s="4" t="str">
        <x:v>DS V4 Pro</x:v>
      </x:c>
      <x:c r="B84" s="5" t="str">
        <x:v>C128 compressor state</x:v>
      </x:c>
      <x:c r="C84" s="20" t="n">
        <x:v>31</x:v>
      </x:c>
      <x:c r="D84" s="20" t="n">
        <x:v>1024</x:v>
      </x:c>
      <x:c r="E84" s="20" t="n">
        <x:v>4</x:v>
      </x:c>
      <x:c r="F84" s="20" t="n">
        <x:v>0</x:v>
      </x:c>
      <x:c r="G84" s="20" t="n">
        <x:v>1</x:v>
      </x:c>
      <x:c r="H84" s="20" t="n">
        <x:f>$D$6*0.25</x:f>
        <x:v>32</x:v>
      </x:c>
      <x:c r="I84" s="20" t="n">
        <x:v>128</x:v>
      </x:c>
      <x:c r="J84" s="20" t="str">
        <x:v>tail</x:v>
      </x:c>
      <x:c r="K84" s="20" t="str">
        <x:v>replicated</x:v>
      </x:c>
      <x:c r="L84" s="20" t="n">
        <x:v>1</x:v>
      </x:c>
      <x:c r="M84" s="20" t="n">
        <x:v>1</x:v>
      </x:c>
      <x:c r="N84" s="4" t="str"/>
    </x:row>
    <x:row r="85" ht="39" customHeight="1">
      <x:c r="A85" s="4" t="str">
        <x:v>DS V4 Pro</x:v>
      </x:c>
      <x:c r="B85" s="5" t="str">
        <x:v>C4 indexer state</x:v>
      </x:c>
      <x:c r="C85" s="20" t="n">
        <x:v>30</x:v>
      </x:c>
      <x:c r="D85" s="20" t="n">
        <x:v>512</x:v>
      </x:c>
      <x:c r="E85" s="20" t="n">
        <x:v>4</x:v>
      </x:c>
      <x:c r="F85" s="20" t="n">
        <x:v>0</x:v>
      </x:c>
      <x:c r="G85" s="20" t="n">
        <x:v>1</x:v>
      </x:c>
      <x:c r="H85" s="20" t="n">
        <x:f>$D$6*0.0625</x:f>
        <x:v>8</x:v>
      </x:c>
      <x:c r="I85" s="20" t="n">
        <x:v>8</x:v>
      </x:c>
      <x:c r="J85" s="20" t="str">
        <x:v>tail</x:v>
      </x:c>
      <x:c r="K85" s="20" t="str">
        <x:v>replicated</x:v>
      </x:c>
      <x:c r="L85" s="20" t="n">
        <x:v>1</x:v>
      </x:c>
      <x:c r="M85" s="20" t="n">
        <x:v>1</x:v>
      </x:c>
      <x:c r="N85" s="4" t="str"/>
    </x:row>
    <x:row r="86" ht="39" customHeight="1">
      <x:c r="A86" s="4" t="str">
        <x:v>GLM5.3</x:v>
      </x:c>
      <x:c r="B86" s="5" t="str">
        <x:v>MLA</x:v>
      </x:c>
      <x:c r="C86" s="20" t="n">
        <x:v>78</x:v>
      </x:c>
      <x:c r="D86" s="20" t="n">
        <x:v>576</x:v>
      </x:c>
      <x:c r="E86" s="20" t="n">
        <x:v>2</x:v>
      </x:c>
      <x:c r="F86" s="20" t="n">
        <x:v>0</x:v>
      </x:c>
      <x:c r="G86" s="20" t="n">
        <x:v>1</x:v>
      </x:c>
      <x:c r="H86" s="20" t="n">
        <x:f>$D$6*1</x:f>
        <x:v>128</x:v>
      </x:c>
      <x:c r="I86" s="20" t="n">
        <x:v>0</x:v>
      </x:c>
      <x:c r="J86" s="20" t="str">
        <x:v>full</x:v>
      </x:c>
      <x:c r="K86" s="20" t="str">
        <x:v>replicated</x:v>
      </x:c>
      <x:c r="L86" s="20" t="n">
        <x:v>1</x:v>
      </x:c>
      <x:c r="M86" s="20" t="n">
        <x:v>1</x:v>
      </x:c>
      <x:c r="N86" s="4" t="str"/>
    </x:row>
    <x:row r="87" ht="39" customHeight="1">
      <x:c r="A87" s="4" t="str">
        <x:v>GLM5.3</x:v>
      </x:c>
      <x:c r="B87" s="5" t="str">
        <x:v>Indexer</x:v>
      </x:c>
      <x:c r="C87" s="20" t="n">
        <x:v>21</x:v>
      </x:c>
      <x:c r="D87" s="20" t="n">
        <x:v>128</x:v>
      </x:c>
      <x:c r="E87" s="20" t="n">
        <x:v>2</x:v>
      </x:c>
      <x:c r="F87" s="20" t="n">
        <x:v>0</x:v>
      </x:c>
      <x:c r="G87" s="20" t="n">
        <x:v>1</x:v>
      </x:c>
      <x:c r="H87" s="20" t="n">
        <x:f>$D$6*1</x:f>
        <x:v>128</x:v>
      </x:c>
      <x:c r="I87" s="20" t="n">
        <x:v>0</x:v>
      </x:c>
      <x:c r="J87" s="20" t="str">
        <x:v>full</x:v>
      </x:c>
      <x:c r="K87" s="20" t="str">
        <x:v>replicated</x:v>
      </x:c>
      <x:c r="L87" s="20" t="n">
        <x:v>1</x:v>
      </x:c>
      <x:c r="M87" s="20" t="n">
        <x:v>1</x:v>
      </x:c>
      <x:c r="N87" s="4" t="str"/>
    </x:row>
    <x:row r="88" ht="39" customHeight="1">
      <x:c r="A88" s="4" t="str">
        <x:v>KimiK3</x:v>
      </x:c>
      <x:c r="B88" s="5" t="str">
        <x:v>MLA</x:v>
      </x:c>
      <x:c r="C88" s="20" t="n">
        <x:v>24</x:v>
      </x:c>
      <x:c r="D88" s="20" t="n">
        <x:v>576</x:v>
      </x:c>
      <x:c r="E88" s="20" t="n">
        <x:v>2</x:v>
      </x:c>
      <x:c r="F88" s="20" t="n">
        <x:v>0</x:v>
      </x:c>
      <x:c r="G88" s="20" t="n">
        <x:v>1</x:v>
      </x:c>
      <x:c r="H88" s="20" t="n">
        <x:f>$D$6*1</x:f>
        <x:v>128</x:v>
      </x:c>
      <x:c r="I88" s="20" t="n">
        <x:v>0</x:v>
      </x:c>
      <x:c r="J88" s="20" t="str">
        <x:v>full</x:v>
      </x:c>
      <x:c r="K88" s="20" t="str">
        <x:v>replicated</x:v>
      </x:c>
      <x:c r="L88" s="20" t="n">
        <x:v>1</x:v>
      </x:c>
      <x:c r="M88" s="20" t="n">
        <x:v>1</x:v>
      </x:c>
      <x:c r="N88" s="4" t="str"/>
    </x:row>
    <x:row r="89" ht="39" customHeight="1">
      <x:c r="A89" s="4" t="str">
        <x:v>KimiK3</x:v>
      </x:c>
      <x:c r="B89" s="5" t="str">
        <x:v>Conv state</x:v>
      </x:c>
      <x:c r="C89" s="20" t="n">
        <x:v>69</x:v>
      </x:c>
      <x:c r="D89" s="20" t="n">
        <x:v>36864</x:v>
      </x:c>
      <x:c r="E89" s="20" t="n">
        <x:v>2</x:v>
      </x:c>
      <x:c r="F89" s="20" t="n">
        <x:v>0</x:v>
      </x:c>
      <x:c r="G89" s="20" t="n">
        <x:v>1</x:v>
      </x:c>
      <x:c r="H89" s="20" t="n">
        <x:f>$D$6*1</x:f>
        <x:v>128</x:v>
      </x:c>
      <x:c r="I89" s="20" t="n">
        <x:v>0</x:v>
      </x:c>
      <x:c r="J89" s="20" t="str">
        <x:v>endpoint</x:v>
      </x:c>
      <x:c r="K89" s="20" t="str">
        <x:v>sharded</x:v>
      </x:c>
      <x:c r="L89" s="20" t="n">
        <x:v>1</x:v>
      </x:c>
      <x:c r="M89" s="20" t="n">
        <x:f>3+$H$6</x:f>
        <x:v>3</x:v>
      </x:c>
      <x:c r="N89" s="4" t="str">
        <x:v>Whole-TP width / TP; add editable speculative conv slots</x:v>
      </x:c>
    </x:row>
    <x:row r="90" ht="39" customHeight="1">
      <x:c r="A90" s="4" t="str">
        <x:v>KimiK3</x:v>
      </x:c>
      <x:c r="B90" s="5" t="str">
        <x:v>Recurrent state</x:v>
      </x:c>
      <x:c r="C90" s="20" t="n">
        <x:v>69</x:v>
      </x:c>
      <x:c r="D90" s="20" t="n">
        <x:v>1572864</x:v>
      </x:c>
      <x:c r="E90" s="20" t="n">
        <x:v>4</x:v>
      </x:c>
      <x:c r="F90" s="20" t="n">
        <x:v>0</x:v>
      </x:c>
      <x:c r="G90" s="20" t="n">
        <x:v>1</x:v>
      </x:c>
      <x:c r="H90" s="20" t="n">
        <x:f>$D$6*1</x:f>
        <x:v>128</x:v>
      </x:c>
      <x:c r="I90" s="20" t="n">
        <x:v>0</x:v>
      </x:c>
      <x:c r="J90" s="20" t="str">
        <x:v>endpoint</x:v>
      </x:c>
      <x:c r="K90" s="20" t="str">
        <x:v>sharded</x:v>
      </x:c>
      <x:c r="L90" s="20" t="n">
        <x:v>1</x:v>
      </x:c>
      <x:c r="M90" s="20" t="n">
        <x:v>1</x:v>
      </x:c>
      <x:c r="N90" s="4" t="str">
        <x:v>One aligned endpoint state, not one state per token</x:v>
      </x:c>
    </x:row>
    <x:row r="91" ht="39" customHeight="1">
      <x:c r="A91" s="4" t="str">
        <x:v>Qwen3.8 2.4T</x:v>
      </x:c>
      <x:c r="B91" s="5" t="str">
        <x:v>GQA K+V</x:v>
      </x:c>
      <x:c r="C91" s="20" t="n">
        <x:v>23</x:v>
      </x:c>
      <x:c r="D91" s="20" t="n">
        <x:v>512</x:v>
      </x:c>
      <x:c r="E91" s="20" t="n">
        <x:v>2</x:v>
      </x:c>
      <x:c r="F91" s="20" t="n">
        <x:v>0</x:v>
      </x:c>
      <x:c r="G91" s="20" t="n">
        <x:v>1</x:v>
      </x:c>
      <x:c r="H91" s="20" t="n">
        <x:f>$D$6*1</x:f>
        <x:v>128</x:v>
      </x:c>
      <x:c r="I91" s="20" t="n">
        <x:v>0</x:v>
      </x:c>
      <x:c r="J91" s="20" t="str">
        <x:v>full</x:v>
      </x:c>
      <x:c r="K91" s="20" t="str">
        <x:v>kv-heads</x:v>
      </x:c>
      <x:c r="L91" s="20" t="n">
        <x:v>4</x:v>
      </x:c>
      <x:c r="M91" s="20" t="n">
        <x:v>1</x:v>
      </x:c>
      <x:c r="N91" s="4" t="str"/>
    </x:row>
    <x:row r="92" ht="39" customHeight="1">
      <x:c r="A92" s="4" t="str">
        <x:v>Qwen3.8 2.4T</x:v>
      </x:c>
      <x:c r="B92" s="5" t="str">
        <x:v>Conv state</x:v>
      </x:c>
      <x:c r="C92" s="20" t="n">
        <x:v>69</x:v>
      </x:c>
      <x:c r="D92" s="20" t="n">
        <x:v>20480</x:v>
      </x:c>
      <x:c r="E92" s="20" t="n">
        <x:v>2</x:v>
      </x:c>
      <x:c r="F92" s="20" t="n">
        <x:v>0</x:v>
      </x:c>
      <x:c r="G92" s="20" t="n">
        <x:v>1</x:v>
      </x:c>
      <x:c r="H92" s="20" t="n">
        <x:f>$D$6*1</x:f>
        <x:v>128</x:v>
      </x:c>
      <x:c r="I92" s="20" t="n">
        <x:v>0</x:v>
      </x:c>
      <x:c r="J92" s="20" t="str">
        <x:v>endpoint</x:v>
      </x:c>
      <x:c r="K92" s="20" t="str">
        <x:v>sharded</x:v>
      </x:c>
      <x:c r="L92" s="20" t="n">
        <x:v>1</x:v>
      </x:c>
      <x:c r="M92" s="20" t="n">
        <x:f>3+$H$6</x:f>
        <x:v>3</x:v>
      </x:c>
      <x:c r="N92" s="4" t="str">
        <x:v>Whole-TP width / TP; add editable speculative conv slots</x:v>
      </x:c>
    </x:row>
    <x:row r="93" ht="39" customHeight="1">
      <x:c r="A93" s="4" t="str">
        <x:v>Qwen3.8 2.4T</x:v>
      </x:c>
      <x:c r="B93" s="5" t="str">
        <x:v>Recurrent state</x:v>
      </x:c>
      <x:c r="C93" s="20" t="n">
        <x:v>69</x:v>
      </x:c>
      <x:c r="D93" s="20" t="n">
        <x:v>2097152</x:v>
      </x:c>
      <x:c r="E93" s="20" t="n">
        <x:v>4</x:v>
      </x:c>
      <x:c r="F93" s="20" t="n">
        <x:v>0</x:v>
      </x:c>
      <x:c r="G93" s="20" t="n">
        <x:v>1</x:v>
      </x:c>
      <x:c r="H93" s="20" t="n">
        <x:f>$D$6*1</x:f>
        <x:v>128</x:v>
      </x:c>
      <x:c r="I93" s="20" t="n">
        <x:v>0</x:v>
      </x:c>
      <x:c r="J93" s="20" t="str">
        <x:v>endpoint</x:v>
      </x:c>
      <x:c r="K93" s="20" t="str">
        <x:v>sharded</x:v>
      </x:c>
      <x:c r="L93" s="20" t="n">
        <x:v>1</x:v>
      </x:c>
      <x:c r="M93" s="20" t="n">
        <x:v>1</x:v>
      </x:c>
      <x:c r="N93" s="4" t="str">
        <x:v>One aligned endpoint state, not one state per token</x:v>
      </x:c>
    </x:row>
    <x:row r="94" ht="39" customHeight="1">
      <x:c r="A94" s="4" t="str">
        <x:v>DS V4.1 Flash</x:v>
      </x:c>
      <x:c r="B94" s="5" t="str">
        <x:v>SWA KV</x:v>
      </x:c>
      <x:c r="C94" s="20" t="n">
        <x:v>40</x:v>
      </x:c>
      <x:c r="D94" s="20" t="n">
        <x:v>512</x:v>
      </x:c>
      <x:c r="E94" s="20" t="n">
        <x:v>2</x:v>
      </x:c>
      <x:c r="F94" s="20" t="n">
        <x:v>0</x:v>
      </x:c>
      <x:c r="G94" s="20" t="n">
        <x:v>1</x:v>
      </x:c>
      <x:c r="H94" s="20" t="n">
        <x:f>$D$6*1</x:f>
        <x:v>128</x:v>
      </x:c>
      <x:c r="I94" s="20" t="n">
        <x:v>128</x:v>
      </x:c>
      <x:c r="J94" s="20" t="str">
        <x:v>tail</x:v>
      </x:c>
      <x:c r="K94" s="20" t="str">
        <x:v>replicated</x:v>
      </x:c>
      <x:c r="L94" s="20" t="n">
        <x:v>1</x:v>
      </x:c>
      <x:c r="M94" s="20" t="n">
        <x:v>1</x:v>
      </x:c>
      <x:c r="N94" s="4" t="str"/>
    </x:row>
    <x:row r="95" ht="39" customHeight="1">
      <x:c r="A95" s="4" t="str">
        <x:v>DS V4.1 Flash</x:v>
      </x:c>
      <x:c r="B95" s="5" t="str">
        <x:v>C2 shared KV</x:v>
      </x:c>
      <x:c r="C95" s="20" t="n">
        <x:v>3</x:v>
      </x:c>
      <x:c r="D95" s="20" t="n">
        <x:v>512</x:v>
      </x:c>
      <x:c r="E95" s="20" t="n">
        <x:v>2</x:v>
      </x:c>
      <x:c r="F95" s="20" t="n">
        <x:v>0</x:v>
      </x:c>
      <x:c r="G95" s="20" t="n">
        <x:v>2</x:v>
      </x:c>
      <x:c r="H95" s="20" t="n">
        <x:f>$D$6*1</x:f>
        <x:v>128</x:v>
      </x:c>
      <x:c r="I95" s="20" t="n">
        <x:v>0</x:v>
      </x:c>
      <x:c r="J95" s="20" t="str">
        <x:v>full</x:v>
      </x:c>
      <x:c r="K95" s="20" t="str">
        <x:v>replicated</x:v>
      </x:c>
      <x:c r="L95" s="20" t="n">
        <x:v>1</x:v>
      </x:c>
      <x:c r="M95" s="20" t="n">
        <x:v>1</x:v>
      </x:c>
      <x:c r="N95" s="4" t="str"/>
    </x:row>
    <x:row r="96" ht="39" customHeight="1">
      <x:c r="A96" s="4" t="str">
        <x:v>DS V4.1 Flash</x:v>
      </x:c>
      <x:c r="B96" s="5" t="str">
        <x:v>C2 shared Indexer</x:v>
      </x:c>
      <x:c r="C96" s="20" t="n">
        <x:v>3</x:v>
      </x:c>
      <x:c r="D96" s="20" t="n">
        <x:v>128</x:v>
      </x:c>
      <x:c r="E96" s="20" t="n">
        <x:v>1</x:v>
      </x:c>
      <x:c r="F96" s="20" t="n">
        <x:v>2</x:v>
      </x:c>
      <x:c r="G96" s="20" t="n">
        <x:v>2</x:v>
      </x:c>
      <x:c r="H96" s="20" t="n">
        <x:f>$D$6*1</x:f>
        <x:v>128</x:v>
      </x:c>
      <x:c r="I96" s="20" t="n">
        <x:v>0</x:v>
      </x:c>
      <x:c r="J96" s="20" t="str">
        <x:v>full</x:v>
      </x:c>
      <x:c r="K96" s="20" t="str">
        <x:v>replicated</x:v>
      </x:c>
      <x:c r="L96" s="20" t="n">
        <x:v>1</x:v>
      </x:c>
      <x:c r="M96" s="20" t="n">
        <x:v>1</x:v>
      </x:c>
      <x:c r="N96" s="4" t="str">
        <x:v>Unique owner planes; INT8 + 2 B scale</x:v>
      </x:c>
    </x:row>
    <x:row r="97" ht="39" customHeight="1">
      <x:c r="A97" s="4" t="str">
        <x:v>DS V4.1 Flash</x:v>
      </x:c>
      <x:c r="B97" s="5" t="str">
        <x:v>C1 shared KV</x:v>
      </x:c>
      <x:c r="C97" s="20" t="n">
        <x:v>1</x:v>
      </x:c>
      <x:c r="D97" s="20" t="n">
        <x:v>512</x:v>
      </x:c>
      <x:c r="E97" s="20" t="n">
        <x:v>2</x:v>
      </x:c>
      <x:c r="F97" s="20" t="n">
        <x:v>0</x:v>
      </x:c>
      <x:c r="G97" s="20" t="n">
        <x:v>1</x:v>
      </x:c>
      <x:c r="H97" s="20" t="n">
        <x:f>$D$6*1</x:f>
        <x:v>128</x:v>
      </x:c>
      <x:c r="I97" s="20" t="n">
        <x:v>0</x:v>
      </x:c>
      <x:c r="J97" s="20" t="str">
        <x:v>full</x:v>
      </x:c>
      <x:c r="K97" s="20" t="str">
        <x:v>replicated</x:v>
      </x:c>
      <x:c r="L97" s="20" t="n">
        <x:v>1</x:v>
      </x:c>
      <x:c r="M97" s="20" t="n">
        <x:v>1</x:v>
      </x:c>
      <x:c r="N97" s="4" t="str"/>
    </x:row>
    <x:row r="98" ht="39" customHeight="1">
      <x:c r="A98" s="4" t="str">
        <x:v>DS V4.1 Flash</x:v>
      </x:c>
      <x:c r="B98" s="5" t="str">
        <x:v>C1 shared Indexer</x:v>
      </x:c>
      <x:c r="C98" s="20" t="n">
        <x:v>1</x:v>
      </x:c>
      <x:c r="D98" s="20" t="n">
        <x:v>128</x:v>
      </x:c>
      <x:c r="E98" s="20" t="n">
        <x:v>1</x:v>
      </x:c>
      <x:c r="F98" s="20" t="n">
        <x:v>2</x:v>
      </x:c>
      <x:c r="G98" s="20" t="n">
        <x:v>1</x:v>
      </x:c>
      <x:c r="H98" s="20" t="n">
        <x:f>$D$6*1</x:f>
        <x:v>128</x:v>
      </x:c>
      <x:c r="I98" s="20" t="n">
        <x:v>0</x:v>
      </x:c>
      <x:c r="J98" s="20" t="str">
        <x:v>full</x:v>
      </x:c>
      <x:c r="K98" s="20" t="str">
        <x:v>replicated</x:v>
      </x:c>
      <x:c r="L98" s="20" t="n">
        <x:v>1</x:v>
      </x:c>
      <x:c r="M98" s="20" t="n">
        <x:v>1</x:v>
      </x:c>
      <x:c r="N98" s="4" t="str">
        <x:v>Unique owner planes; INT8 + 2 B scale</x:v>
      </x:c>
    </x:row>
    <x:row r="99" ht="23" customHeight="1">
      <x:c r="A99" s="2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2"/>
    </x:row>
    <x:row r="100" ht="23" customHeight="1">
      <x:c r="A100" s="2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2"/>
    </x:row>
    <x:row r="101" ht="23" customHeight="1">
      <x:c r="A101" s="2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2"/>
    </x:row>
    <x:row r="102" ht="30" customHeight="1">
      <x:c r="A102" s="6" t="str">
        <x:v>Transfer build · 逐组件字节计算（每个远端命中请求 / P rank）</x:v>
      </x:c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3"/>
      <x:c r="N102" s="2"/>
    </x:row>
    <x:row r="103" ht="48" customHeight="1">
      <x:c r="A103" s="17" t="str">
        <x:v>Model</x:v>
      </x:c>
      <x:c r="B103" s="18" t="str">
        <x:v>Input tokens</x:v>
      </x:c>
      <x:c r="C103" s="18" t="str">
        <x:v>Pool-hit tokens</x:v>
      </x:c>
      <x:c r="D103" s="18" t="str">
        <x:v>Component</x:v>
      </x:c>
      <x:c r="E103" s="18" t="str">
        <x:v>Transferred rows</x:v>
      </x:c>
      <x:c r="F103" s="18" t="str">
        <x:v>Bytes / row / rank</x:v>
      </x:c>
      <x:c r="G103" s="18" t="str">
        <x:v>Layers</x:v>
      </x:c>
      <x:c r="H103" s="18" t="str">
        <x:v>Bytes / rank</x:v>
      </x:c>
      <x:c r="I103" s="18" t="str">
        <x:v>Kind</x:v>
      </x:c>
      <x:c r="J103" s="3"/>
      <x:c r="K103" s="3"/>
      <x:c r="L103" s="3"/>
      <x:c r="M103" s="3"/>
      <x:c r="N103" s="2"/>
    </x:row>
    <x:row r="104" ht="35" customHeight="1">
      <x:c r="A104" s="4" t="str">
        <x:v>DS V4 10T</x:v>
      </x:c>
      <x:c r="B104" s="5" t="n">
        <x:f>$B$63</x:f>
        <x:v>16384</x:v>
      </x:c>
      <x:c r="C104" s="5" t="n">
        <x:f>INT(B104*$H$5/$D$54)*$D$54</x:f>
        <x:v>16384</x:v>
      </x:c>
      <x:c r="D104" s="5" t="str">
        <x:f>B72</x:f>
        <x:v>SWA KV</x:v>
      </x:c>
      <x:c r="E104" s="5" t="n">
        <x:f>IF(C104=0,0,IF(J72="endpoint",M72,IF(J72="tail",MIN(C104/H72,ROUNDUP(MAX(0,I72-1)/H72,0))*H72/G72,C104/G72)))</x:f>
        <x:v>128</x:v>
      </x:c>
      <x:c r="F104" s="5" t="n">
        <x:f>(D72*E72+F72)*IF(K72="sharded",1/$B$54,IF(K72="kv-heads",MAX(1,L72/$B$54),1))</x:f>
        <x:v>1024</x:v>
      </x:c>
      <x:c r="G104" s="5" t="n">
        <x:f>C72</x:f>
        <x:v>61</x:v>
      </x:c>
      <x:c r="H104" s="5" t="n">
        <x:f>E104*F104*G104</x:f>
        <x:v>7995392</x:v>
      </x:c>
      <x:c r="I104" s="5" t="str">
        <x:v>cache</x:v>
      </x:c>
      <x:c r="J104" s="3"/>
      <x:c r="K104" s="3"/>
      <x:c r="L104" s="3"/>
      <x:c r="M104" s="3"/>
      <x:c r="N104" s="2"/>
    </x:row>
    <x:row r="105" ht="35" customHeight="1">
      <x:c r="A105" s="4" t="str">
        <x:v>DS V4 10T</x:v>
      </x:c>
      <x:c r="B105" s="5" t="n">
        <x:f>$B$63</x:f>
        <x:v>16384</x:v>
      </x:c>
      <x:c r="C105" s="5" t="n">
        <x:f>INT(B105*$H$5/$D$54)*$D$54</x:f>
        <x:v>16384</x:v>
      </x:c>
      <x:c r="D105" s="5" t="str">
        <x:f>B73</x:f>
        <x:v>C4 KV</x:v>
      </x:c>
      <x:c r="E105" s="5" t="n">
        <x:f>IF(C105=0,0,IF(J73="endpoint",M73,IF(J73="tail",MIN(C105/H73,ROUNDUP(MAX(0,I73-1)/H73,0))*H73/G73,C105/G73)))</x:f>
        <x:v>4096</x:v>
      </x:c>
      <x:c r="F105" s="5" t="n">
        <x:f>(D73*E73+F73)*IF(K73="sharded",1/$B$54,IF(K73="kv-heads",MAX(1,L73/$B$54),1))</x:f>
        <x:v>1024</x:v>
      </x:c>
      <x:c r="G105" s="5" t="n">
        <x:f>C73</x:f>
        <x:v>30</x:v>
      </x:c>
      <x:c r="H105" s="5" t="n">
        <x:f>E105*F105*G105</x:f>
        <x:v>125829120</x:v>
      </x:c>
      <x:c r="I105" s="5" t="str">
        <x:v>cache</x:v>
      </x:c>
      <x:c r="J105" s="3"/>
      <x:c r="K105" s="3"/>
      <x:c r="L105" s="3"/>
      <x:c r="M105" s="3"/>
      <x:c r="N105" s="2"/>
    </x:row>
    <x:row r="106" ht="35" customHeight="1">
      <x:c r="A106" s="4" t="str">
        <x:v>DS V4 10T</x:v>
      </x:c>
      <x:c r="B106" s="5" t="n">
        <x:f>$B$63</x:f>
        <x:v>16384</x:v>
      </x:c>
      <x:c r="C106" s="5" t="n">
        <x:f>INT(B106*$H$5/$D$54)*$D$54</x:f>
        <x:v>16384</x:v>
      </x:c>
      <x:c r="D106" s="5" t="str">
        <x:f>B74</x:f>
        <x:v>C128 KV</x:v>
      </x:c>
      <x:c r="E106" s="5" t="n">
        <x:f>IF(C106=0,0,IF(J74="endpoint",M74,IF(J74="tail",MIN(C106/H74,ROUNDUP(MAX(0,I74-1)/H74,0))*H74/G74,C106/G74)))</x:f>
        <x:v>128</x:v>
      </x:c>
      <x:c r="F106" s="5" t="n">
        <x:f>(D74*E74+F74)*IF(K74="sharded",1/$B$54,IF(K74="kv-heads",MAX(1,L74/$B$54),1))</x:f>
        <x:v>1024</x:v>
      </x:c>
      <x:c r="G106" s="5" t="n">
        <x:f>C74</x:f>
        <x:v>31</x:v>
      </x:c>
      <x:c r="H106" s="5" t="n">
        <x:f>E106*F106*G106</x:f>
        <x:v>4063232</x:v>
      </x:c>
      <x:c r="I106" s="5" t="str">
        <x:v>cache</x:v>
      </x:c>
      <x:c r="J106" s="3"/>
      <x:c r="K106" s="3"/>
      <x:c r="L106" s="3"/>
      <x:c r="M106" s="3"/>
      <x:c r="N106" s="2"/>
    </x:row>
    <x:row r="107" ht="35" customHeight="1">
      <x:c r="A107" s="4" t="str">
        <x:v>DS V4 10T</x:v>
      </x:c>
      <x:c r="B107" s="5" t="n">
        <x:f>$B$63</x:f>
        <x:v>16384</x:v>
      </x:c>
      <x:c r="C107" s="5" t="n">
        <x:f>INT(B107*$H$5/$D$54)*$D$54</x:f>
        <x:v>16384</x:v>
      </x:c>
      <x:c r="D107" s="5" t="str">
        <x:f>B75</x:f>
        <x:v>C4 Indexer</x:v>
      </x:c>
      <x:c r="E107" s="5" t="n">
        <x:f>IF(C107=0,0,IF(J75="endpoint",M75,IF(J75="tail",MIN(C107/H75,ROUNDUP(MAX(0,I75-1)/H75,0))*H75/G75,C107/G75)))</x:f>
        <x:v>4096</x:v>
      </x:c>
      <x:c r="F107" s="5" t="n">
        <x:f>(D75*E75+F75)*IF(K75="sharded",1/$B$54,IF(K75="kv-heads",MAX(1,L75/$B$54),1))</x:f>
        <x:v>130</x:v>
      </x:c>
      <x:c r="G107" s="5" t="n">
        <x:f>C75</x:f>
        <x:v>30</x:v>
      </x:c>
      <x:c r="H107" s="5" t="n">
        <x:f>E107*F107*G107</x:f>
        <x:v>15974400</x:v>
      </x:c>
      <x:c r="I107" s="5" t="str">
        <x:v>cache</x:v>
      </x:c>
      <x:c r="J107" s="3"/>
      <x:c r="K107" s="3"/>
      <x:c r="L107" s="3"/>
      <x:c r="M107" s="3"/>
      <x:c r="N107" s="2"/>
    </x:row>
    <x:row r="108" ht="35" customHeight="1">
      <x:c r="A108" s="4" t="str">
        <x:v>DS V4 10T</x:v>
      </x:c>
      <x:c r="B108" s="5" t="n">
        <x:f>$B$63</x:f>
        <x:v>16384</x:v>
      </x:c>
      <x:c r="C108" s="5" t="n">
        <x:f>INT(B108*$H$5/$D$54)*$D$54</x:f>
        <x:v>16384</x:v>
      </x:c>
      <x:c r="D108" s="5" t="str">
        <x:f>B76</x:f>
        <x:v>C4 compressor state</x:v>
      </x:c>
      <x:c r="E108" s="5" t="n">
        <x:f>IF(C108=0,0,IF(J76="endpoint",M76,IF(J76="tail",MIN(C108/H76,ROUNDUP(MAX(0,I76-1)/H76,0))*H76/G76,C108/G76)))</x:f>
        <x:v>8</x:v>
      </x:c>
      <x:c r="F108" s="5" t="n">
        <x:f>(D76*E76+F76)*IF(K76="sharded",1/$B$54,IF(K76="kv-heads",MAX(1,L76/$B$54),1))</x:f>
        <x:v>8192</x:v>
      </x:c>
      <x:c r="G108" s="5" t="n">
        <x:f>C76</x:f>
        <x:v>30</x:v>
      </x:c>
      <x:c r="H108" s="5" t="n">
        <x:f>E108*F108*G108</x:f>
        <x:v>1966080</x:v>
      </x:c>
      <x:c r="I108" s="5" t="str">
        <x:v>state</x:v>
      </x:c>
      <x:c r="J108" s="3"/>
      <x:c r="K108" s="3"/>
      <x:c r="L108" s="3"/>
      <x:c r="M108" s="3"/>
      <x:c r="N108" s="2"/>
    </x:row>
    <x:row r="109" ht="35" customHeight="1">
      <x:c r="A109" s="4" t="str">
        <x:v>DS V4 10T</x:v>
      </x:c>
      <x:c r="B109" s="5" t="n">
        <x:f>$B$63</x:f>
        <x:v>16384</x:v>
      </x:c>
      <x:c r="C109" s="5" t="n">
        <x:f>INT(B109*$H$5/$D$54)*$D$54</x:f>
        <x:v>16384</x:v>
      </x:c>
      <x:c r="D109" s="5" t="str">
        <x:f>B77</x:f>
        <x:v>C128 compressor state</x:v>
      </x:c>
      <x:c r="E109" s="5" t="n">
        <x:f>IF(C109=0,0,IF(J77="endpoint",M77,IF(J77="tail",MIN(C109/H77,ROUNDUP(MAX(0,I77-1)/H77,0))*H77/G77,C109/G77)))</x:f>
        <x:v>128</x:v>
      </x:c>
      <x:c r="F109" s="5" t="n">
        <x:f>(D77*E77+F77)*IF(K77="sharded",1/$B$54,IF(K77="kv-heads",MAX(1,L77/$B$54),1))</x:f>
        <x:v>4096</x:v>
      </x:c>
      <x:c r="G109" s="5" t="n">
        <x:f>C77</x:f>
        <x:v>31</x:v>
      </x:c>
      <x:c r="H109" s="5" t="n">
        <x:f>E109*F109*G109</x:f>
        <x:v>16252928</x:v>
      </x:c>
      <x:c r="I109" s="5" t="str">
        <x:v>state</x:v>
      </x:c>
      <x:c r="J109" s="3"/>
      <x:c r="K109" s="3"/>
      <x:c r="L109" s="3"/>
      <x:c r="M109" s="3"/>
      <x:c r="N109" s="2"/>
    </x:row>
    <x:row r="110" ht="35" customHeight="1">
      <x:c r="A110" s="4" t="str">
        <x:v>DS V4 10T</x:v>
      </x:c>
      <x:c r="B110" s="5" t="n">
        <x:f>$B$63</x:f>
        <x:v>16384</x:v>
      </x:c>
      <x:c r="C110" s="5" t="n">
        <x:f>INT(B110*$H$5/$D$54)*$D$54</x:f>
        <x:v>16384</x:v>
      </x:c>
      <x:c r="D110" s="5" t="str">
        <x:f>B78</x:f>
        <x:v>C4 indexer state</x:v>
      </x:c>
      <x:c r="E110" s="5" t="n">
        <x:f>IF(C110=0,0,IF(J78="endpoint",M78,IF(J78="tail",MIN(C110/H78,ROUNDUP(MAX(0,I78-1)/H78,0))*H78/G78,C110/G78)))</x:f>
        <x:v>8</x:v>
      </x:c>
      <x:c r="F110" s="5" t="n">
        <x:f>(D78*E78+F78)*IF(K78="sharded",1/$B$54,IF(K78="kv-heads",MAX(1,L78/$B$54),1))</x:f>
        <x:v>2048</x:v>
      </x:c>
      <x:c r="G110" s="5" t="n">
        <x:f>C78</x:f>
        <x:v>30</x:v>
      </x:c>
      <x:c r="H110" s="5" t="n">
        <x:f>E110*F110*G110</x:f>
        <x:v>491520</x:v>
      </x:c>
      <x:c r="I110" s="5" t="str">
        <x:v>state</x:v>
      </x:c>
      <x:c r="J110" s="3"/>
      <x:c r="K110" s="3"/>
      <x:c r="L110" s="3"/>
      <x:c r="M110" s="3"/>
      <x:c r="N110" s="2"/>
    </x:row>
    <x:row r="111" ht="35" customHeight="1">
      <x:c r="A111" s="4" t="str">
        <x:v>DS V4 10T</x:v>
      </x:c>
      <x:c r="B111" s="5" t="n">
        <x:f>$B$64</x:f>
        <x:v>262144</x:v>
      </x:c>
      <x:c r="C111" s="5" t="n">
        <x:f>INT(B111*$H$5/$D$54)*$D$54</x:f>
        <x:v>262144</x:v>
      </x:c>
      <x:c r="D111" s="5" t="str">
        <x:f>B72</x:f>
        <x:v>SWA KV</x:v>
      </x:c>
      <x:c r="E111" s="5" t="n">
        <x:f>IF(C111=0,0,IF(J72="endpoint",M72,IF(J72="tail",MIN(C111/H72,ROUNDUP(MAX(0,I72-1)/H72,0))*H72/G72,C111/G72)))</x:f>
        <x:v>128</x:v>
      </x:c>
      <x:c r="F111" s="5" t="n">
        <x:f>(D72*E72+F72)*IF(K72="sharded",1/$B$54,IF(K72="kv-heads",MAX(1,L72/$B$54),1))</x:f>
        <x:v>1024</x:v>
      </x:c>
      <x:c r="G111" s="5" t="n">
        <x:f>C72</x:f>
        <x:v>61</x:v>
      </x:c>
      <x:c r="H111" s="5" t="n">
        <x:f>E111*F111*G111</x:f>
        <x:v>7995392</x:v>
      </x:c>
      <x:c r="I111" s="5" t="str">
        <x:v>cache</x:v>
      </x:c>
      <x:c r="J111" s="3"/>
      <x:c r="K111" s="3"/>
      <x:c r="L111" s="3"/>
      <x:c r="M111" s="3"/>
      <x:c r="N111" s="2"/>
    </x:row>
    <x:row r="112" ht="35" customHeight="1">
      <x:c r="A112" s="4" t="str">
        <x:v>DS V4 10T</x:v>
      </x:c>
      <x:c r="B112" s="5" t="n">
        <x:f>$B$64</x:f>
        <x:v>262144</x:v>
      </x:c>
      <x:c r="C112" s="5" t="n">
        <x:f>INT(B112*$H$5/$D$54)*$D$54</x:f>
        <x:v>262144</x:v>
      </x:c>
      <x:c r="D112" s="5" t="str">
        <x:f>B73</x:f>
        <x:v>C4 KV</x:v>
      </x:c>
      <x:c r="E112" s="5" t="n">
        <x:f>IF(C112=0,0,IF(J73="endpoint",M73,IF(J73="tail",MIN(C112/H73,ROUNDUP(MAX(0,I73-1)/H73,0))*H73/G73,C112/G73)))</x:f>
        <x:v>65536</x:v>
      </x:c>
      <x:c r="F112" s="5" t="n">
        <x:f>(D73*E73+F73)*IF(K73="sharded",1/$B$54,IF(K73="kv-heads",MAX(1,L73/$B$54),1))</x:f>
        <x:v>1024</x:v>
      </x:c>
      <x:c r="G112" s="5" t="n">
        <x:f>C73</x:f>
        <x:v>30</x:v>
      </x:c>
      <x:c r="H112" s="5" t="n">
        <x:f>E112*F112*G112</x:f>
        <x:v>2013265920</x:v>
      </x:c>
      <x:c r="I112" s="5" t="str">
        <x:v>cache</x:v>
      </x:c>
      <x:c r="J112" s="3"/>
      <x:c r="K112" s="3"/>
      <x:c r="L112" s="3"/>
      <x:c r="M112" s="3"/>
      <x:c r="N112" s="2"/>
    </x:row>
    <x:row r="113" ht="35" customHeight="1">
      <x:c r="A113" s="4" t="str">
        <x:v>DS V4 10T</x:v>
      </x:c>
      <x:c r="B113" s="5" t="n">
        <x:f>$B$64</x:f>
        <x:v>262144</x:v>
      </x:c>
      <x:c r="C113" s="5" t="n">
        <x:f>INT(B113*$H$5/$D$54)*$D$54</x:f>
        <x:v>262144</x:v>
      </x:c>
      <x:c r="D113" s="5" t="str">
        <x:f>B74</x:f>
        <x:v>C128 KV</x:v>
      </x:c>
      <x:c r="E113" s="5" t="n">
        <x:f>IF(C113=0,0,IF(J74="endpoint",M74,IF(J74="tail",MIN(C113/H74,ROUNDUP(MAX(0,I74-1)/H74,0))*H74/G74,C113/G74)))</x:f>
        <x:v>2048</x:v>
      </x:c>
      <x:c r="F113" s="5" t="n">
        <x:f>(D74*E74+F74)*IF(K74="sharded",1/$B$54,IF(K74="kv-heads",MAX(1,L74/$B$54),1))</x:f>
        <x:v>1024</x:v>
      </x:c>
      <x:c r="G113" s="5" t="n">
        <x:f>C74</x:f>
        <x:v>31</x:v>
      </x:c>
      <x:c r="H113" s="5" t="n">
        <x:f>E113*F113*G113</x:f>
        <x:v>65011712</x:v>
      </x:c>
      <x:c r="I113" s="5" t="str">
        <x:v>cache</x:v>
      </x:c>
      <x:c r="J113" s="3"/>
      <x:c r="K113" s="3"/>
      <x:c r="L113" s="3"/>
      <x:c r="M113" s="3"/>
      <x:c r="N113" s="2"/>
    </x:row>
    <x:row r="114" ht="35" customHeight="1">
      <x:c r="A114" s="4" t="str">
        <x:v>DS V4 10T</x:v>
      </x:c>
      <x:c r="B114" s="5" t="n">
        <x:f>$B$64</x:f>
        <x:v>262144</x:v>
      </x:c>
      <x:c r="C114" s="5" t="n">
        <x:f>INT(B114*$H$5/$D$54)*$D$54</x:f>
        <x:v>262144</x:v>
      </x:c>
      <x:c r="D114" s="5" t="str">
        <x:f>B75</x:f>
        <x:v>C4 Indexer</x:v>
      </x:c>
      <x:c r="E114" s="5" t="n">
        <x:f>IF(C114=0,0,IF(J75="endpoint",M75,IF(J75="tail",MIN(C114/H75,ROUNDUP(MAX(0,I75-1)/H75,0))*H75/G75,C114/G75)))</x:f>
        <x:v>65536</x:v>
      </x:c>
      <x:c r="F114" s="5" t="n">
        <x:f>(D75*E75+F75)*IF(K75="sharded",1/$B$54,IF(K75="kv-heads",MAX(1,L75/$B$54),1))</x:f>
        <x:v>130</x:v>
      </x:c>
      <x:c r="G114" s="5" t="n">
        <x:f>C75</x:f>
        <x:v>30</x:v>
      </x:c>
      <x:c r="H114" s="5" t="n">
        <x:f>E114*F114*G114</x:f>
        <x:v>255590400</x:v>
      </x:c>
      <x:c r="I114" s="5" t="str">
        <x:v>cache</x:v>
      </x:c>
      <x:c r="J114" s="3"/>
      <x:c r="K114" s="3"/>
      <x:c r="L114" s="3"/>
      <x:c r="M114" s="3"/>
      <x:c r="N114" s="2"/>
    </x:row>
    <x:row r="115" ht="35" customHeight="1">
      <x:c r="A115" s="4" t="str">
        <x:v>DS V4 10T</x:v>
      </x:c>
      <x:c r="B115" s="5" t="n">
        <x:f>$B$64</x:f>
        <x:v>262144</x:v>
      </x:c>
      <x:c r="C115" s="5" t="n">
        <x:f>INT(B115*$H$5/$D$54)*$D$54</x:f>
        <x:v>262144</x:v>
      </x:c>
      <x:c r="D115" s="5" t="str">
        <x:f>B76</x:f>
        <x:v>C4 compressor state</x:v>
      </x:c>
      <x:c r="E115" s="5" t="n">
        <x:f>IF(C115=0,0,IF(J76="endpoint",M76,IF(J76="tail",MIN(C115/H76,ROUNDUP(MAX(0,I76-1)/H76,0))*H76/G76,C115/G76)))</x:f>
        <x:v>8</x:v>
      </x:c>
      <x:c r="F115" s="5" t="n">
        <x:f>(D76*E76+F76)*IF(K76="sharded",1/$B$54,IF(K76="kv-heads",MAX(1,L76/$B$54),1))</x:f>
        <x:v>8192</x:v>
      </x:c>
      <x:c r="G115" s="5" t="n">
        <x:f>C76</x:f>
        <x:v>30</x:v>
      </x:c>
      <x:c r="H115" s="5" t="n">
        <x:f>E115*F115*G115</x:f>
        <x:v>1966080</x:v>
      </x:c>
      <x:c r="I115" s="5" t="str">
        <x:v>state</x:v>
      </x:c>
      <x:c r="J115" s="3"/>
      <x:c r="K115" s="3"/>
      <x:c r="L115" s="3"/>
      <x:c r="M115" s="3"/>
      <x:c r="N115" s="2"/>
    </x:row>
    <x:row r="116" ht="35" customHeight="1">
      <x:c r="A116" s="4" t="str">
        <x:v>DS V4 10T</x:v>
      </x:c>
      <x:c r="B116" s="5" t="n">
        <x:f>$B$64</x:f>
        <x:v>262144</x:v>
      </x:c>
      <x:c r="C116" s="5" t="n">
        <x:f>INT(B116*$H$5/$D$54)*$D$54</x:f>
        <x:v>262144</x:v>
      </x:c>
      <x:c r="D116" s="5" t="str">
        <x:f>B77</x:f>
        <x:v>C128 compressor state</x:v>
      </x:c>
      <x:c r="E116" s="5" t="n">
        <x:f>IF(C116=0,0,IF(J77="endpoint",M77,IF(J77="tail",MIN(C116/H77,ROUNDUP(MAX(0,I77-1)/H77,0))*H77/G77,C116/G77)))</x:f>
        <x:v>128</x:v>
      </x:c>
      <x:c r="F116" s="5" t="n">
        <x:f>(D77*E77+F77)*IF(K77="sharded",1/$B$54,IF(K77="kv-heads",MAX(1,L77/$B$54),1))</x:f>
        <x:v>4096</x:v>
      </x:c>
      <x:c r="G116" s="5" t="n">
        <x:f>C77</x:f>
        <x:v>31</x:v>
      </x:c>
      <x:c r="H116" s="5" t="n">
        <x:f>E116*F116*G116</x:f>
        <x:v>16252928</x:v>
      </x:c>
      <x:c r="I116" s="5" t="str">
        <x:v>state</x:v>
      </x:c>
      <x:c r="J116" s="3"/>
      <x:c r="K116" s="3"/>
      <x:c r="L116" s="3"/>
      <x:c r="M116" s="3"/>
      <x:c r="N116" s="2"/>
    </x:row>
    <x:row r="117" ht="35" customHeight="1">
      <x:c r="A117" s="4" t="str">
        <x:v>DS V4 10T</x:v>
      </x:c>
      <x:c r="B117" s="5" t="n">
        <x:f>$B$64</x:f>
        <x:v>262144</x:v>
      </x:c>
      <x:c r="C117" s="5" t="n">
        <x:f>INT(B117*$H$5/$D$54)*$D$54</x:f>
        <x:v>262144</x:v>
      </x:c>
      <x:c r="D117" s="5" t="str">
        <x:f>B78</x:f>
        <x:v>C4 indexer state</x:v>
      </x:c>
      <x:c r="E117" s="5" t="n">
        <x:f>IF(C117=0,0,IF(J78="endpoint",M78,IF(J78="tail",MIN(C117/H78,ROUNDUP(MAX(0,I78-1)/H78,0))*H78/G78,C117/G78)))</x:f>
        <x:v>8</x:v>
      </x:c>
      <x:c r="F117" s="5" t="n">
        <x:f>(D78*E78+F78)*IF(K78="sharded",1/$B$54,IF(K78="kv-heads",MAX(1,L78/$B$54),1))</x:f>
        <x:v>2048</x:v>
      </x:c>
      <x:c r="G117" s="5" t="n">
        <x:f>C78</x:f>
        <x:v>30</x:v>
      </x:c>
      <x:c r="H117" s="5" t="n">
        <x:f>E117*F117*G117</x:f>
        <x:v>491520</x:v>
      </x:c>
      <x:c r="I117" s="5" t="str">
        <x:v>state</x:v>
      </x:c>
      <x:c r="J117" s="3"/>
      <x:c r="K117" s="3"/>
      <x:c r="L117" s="3"/>
      <x:c r="M117" s="3"/>
      <x:c r="N117" s="2"/>
    </x:row>
    <x:row r="118" ht="35" customHeight="1">
      <x:c r="A118" s="4" t="str">
        <x:v>DS V4 10T</x:v>
      </x:c>
      <x:c r="B118" s="5" t="n">
        <x:f>$B$65</x:f>
        <x:v>1048576</x:v>
      </x:c>
      <x:c r="C118" s="5" t="n">
        <x:f>INT(B118*$H$5/$D$54)*$D$54</x:f>
        <x:v>1048576</x:v>
      </x:c>
      <x:c r="D118" s="5" t="str">
        <x:f>B72</x:f>
        <x:v>SWA KV</x:v>
      </x:c>
      <x:c r="E118" s="5" t="n">
        <x:f>IF(C118=0,0,IF(J72="endpoint",M72,IF(J72="tail",MIN(C118/H72,ROUNDUP(MAX(0,I72-1)/H72,0))*H72/G72,C118/G72)))</x:f>
        <x:v>128</x:v>
      </x:c>
      <x:c r="F118" s="5" t="n">
        <x:f>(D72*E72+F72)*IF(K72="sharded",1/$B$54,IF(K72="kv-heads",MAX(1,L72/$B$54),1))</x:f>
        <x:v>1024</x:v>
      </x:c>
      <x:c r="G118" s="5" t="n">
        <x:f>C72</x:f>
        <x:v>61</x:v>
      </x:c>
      <x:c r="H118" s="5" t="n">
        <x:f>E118*F118*G118</x:f>
        <x:v>7995392</x:v>
      </x:c>
      <x:c r="I118" s="5" t="str">
        <x:v>cache</x:v>
      </x:c>
      <x:c r="J118" s="3"/>
      <x:c r="K118" s="3"/>
      <x:c r="L118" s="3"/>
      <x:c r="M118" s="3"/>
      <x:c r="N118" s="2"/>
    </x:row>
    <x:row r="119" ht="35" customHeight="1">
      <x:c r="A119" s="4" t="str">
        <x:v>DS V4 10T</x:v>
      </x:c>
      <x:c r="B119" s="5" t="n">
        <x:f>$B$65</x:f>
        <x:v>1048576</x:v>
      </x:c>
      <x:c r="C119" s="5" t="n">
        <x:f>INT(B119*$H$5/$D$54)*$D$54</x:f>
        <x:v>1048576</x:v>
      </x:c>
      <x:c r="D119" s="5" t="str">
        <x:f>B73</x:f>
        <x:v>C4 KV</x:v>
      </x:c>
      <x:c r="E119" s="5" t="n">
        <x:f>IF(C119=0,0,IF(J73="endpoint",M73,IF(J73="tail",MIN(C119/H73,ROUNDUP(MAX(0,I73-1)/H73,0))*H73/G73,C119/G73)))</x:f>
        <x:v>262144</x:v>
      </x:c>
      <x:c r="F119" s="5" t="n">
        <x:f>(D73*E73+F73)*IF(K73="sharded",1/$B$54,IF(K73="kv-heads",MAX(1,L73/$B$54),1))</x:f>
        <x:v>1024</x:v>
      </x:c>
      <x:c r="G119" s="5" t="n">
        <x:f>C73</x:f>
        <x:v>30</x:v>
      </x:c>
      <x:c r="H119" s="5" t="n">
        <x:f>E119*F119*G119</x:f>
        <x:v>8053063680</x:v>
      </x:c>
      <x:c r="I119" s="5" t="str">
        <x:v>cache</x:v>
      </x:c>
      <x:c r="J119" s="3"/>
      <x:c r="K119" s="3"/>
      <x:c r="L119" s="3"/>
      <x:c r="M119" s="3"/>
      <x:c r="N119" s="2"/>
    </x:row>
    <x:row r="120" ht="35" customHeight="1">
      <x:c r="A120" s="4" t="str">
        <x:v>DS V4 10T</x:v>
      </x:c>
      <x:c r="B120" s="5" t="n">
        <x:f>$B$65</x:f>
        <x:v>1048576</x:v>
      </x:c>
      <x:c r="C120" s="5" t="n">
        <x:f>INT(B120*$H$5/$D$54)*$D$54</x:f>
        <x:v>1048576</x:v>
      </x:c>
      <x:c r="D120" s="5" t="str">
        <x:f>B74</x:f>
        <x:v>C128 KV</x:v>
      </x:c>
      <x:c r="E120" s="5" t="n">
        <x:f>IF(C120=0,0,IF(J74="endpoint",M74,IF(J74="tail",MIN(C120/H74,ROUNDUP(MAX(0,I74-1)/H74,0))*H74/G74,C120/G74)))</x:f>
        <x:v>8192</x:v>
      </x:c>
      <x:c r="F120" s="5" t="n">
        <x:f>(D74*E74+F74)*IF(K74="sharded",1/$B$54,IF(K74="kv-heads",MAX(1,L74/$B$54),1))</x:f>
        <x:v>1024</x:v>
      </x:c>
      <x:c r="G120" s="5" t="n">
        <x:f>C74</x:f>
        <x:v>31</x:v>
      </x:c>
      <x:c r="H120" s="5" t="n">
        <x:f>E120*F120*G120</x:f>
        <x:v>260046848</x:v>
      </x:c>
      <x:c r="I120" s="5" t="str">
        <x:v>cache</x:v>
      </x:c>
      <x:c r="J120" s="3"/>
      <x:c r="K120" s="3"/>
      <x:c r="L120" s="3"/>
      <x:c r="M120" s="3"/>
      <x:c r="N120" s="2"/>
    </x:row>
    <x:row r="121" ht="35" customHeight="1">
      <x:c r="A121" s="4" t="str">
        <x:v>DS V4 10T</x:v>
      </x:c>
      <x:c r="B121" s="5" t="n">
        <x:f>$B$65</x:f>
        <x:v>1048576</x:v>
      </x:c>
      <x:c r="C121" s="5" t="n">
        <x:f>INT(B121*$H$5/$D$54)*$D$54</x:f>
        <x:v>1048576</x:v>
      </x:c>
      <x:c r="D121" s="5" t="str">
        <x:f>B75</x:f>
        <x:v>C4 Indexer</x:v>
      </x:c>
      <x:c r="E121" s="5" t="n">
        <x:f>IF(C121=0,0,IF(J75="endpoint",M75,IF(J75="tail",MIN(C121/H75,ROUNDUP(MAX(0,I75-1)/H75,0))*H75/G75,C121/G75)))</x:f>
        <x:v>262144</x:v>
      </x:c>
      <x:c r="F121" s="5" t="n">
        <x:f>(D75*E75+F75)*IF(K75="sharded",1/$B$54,IF(K75="kv-heads",MAX(1,L75/$B$54),1))</x:f>
        <x:v>130</x:v>
      </x:c>
      <x:c r="G121" s="5" t="n">
        <x:f>C75</x:f>
        <x:v>30</x:v>
      </x:c>
      <x:c r="H121" s="5" t="n">
        <x:f>E121*F121*G121</x:f>
        <x:v>1022361600</x:v>
      </x:c>
      <x:c r="I121" s="5" t="str">
        <x:v>cache</x:v>
      </x:c>
      <x:c r="J121" s="3"/>
      <x:c r="K121" s="3"/>
      <x:c r="L121" s="3"/>
      <x:c r="M121" s="3"/>
      <x:c r="N121" s="2"/>
    </x:row>
    <x:row r="122" ht="35" customHeight="1">
      <x:c r="A122" s="4" t="str">
        <x:v>DS V4 10T</x:v>
      </x:c>
      <x:c r="B122" s="5" t="n">
        <x:f>$B$65</x:f>
        <x:v>1048576</x:v>
      </x:c>
      <x:c r="C122" s="5" t="n">
        <x:f>INT(B122*$H$5/$D$54)*$D$54</x:f>
        <x:v>1048576</x:v>
      </x:c>
      <x:c r="D122" s="5" t="str">
        <x:f>B76</x:f>
        <x:v>C4 compressor state</x:v>
      </x:c>
      <x:c r="E122" s="5" t="n">
        <x:f>IF(C122=0,0,IF(J76="endpoint",M76,IF(J76="tail",MIN(C122/H76,ROUNDUP(MAX(0,I76-1)/H76,0))*H76/G76,C122/G76)))</x:f>
        <x:v>8</x:v>
      </x:c>
      <x:c r="F122" s="5" t="n">
        <x:f>(D76*E76+F76)*IF(K76="sharded",1/$B$54,IF(K76="kv-heads",MAX(1,L76/$B$54),1))</x:f>
        <x:v>8192</x:v>
      </x:c>
      <x:c r="G122" s="5" t="n">
        <x:f>C76</x:f>
        <x:v>30</x:v>
      </x:c>
      <x:c r="H122" s="5" t="n">
        <x:f>E122*F122*G122</x:f>
        <x:v>1966080</x:v>
      </x:c>
      <x:c r="I122" s="5" t="str">
        <x:v>state</x:v>
      </x:c>
      <x:c r="J122" s="3"/>
      <x:c r="K122" s="3"/>
      <x:c r="L122" s="3"/>
      <x:c r="M122" s="3"/>
      <x:c r="N122" s="2"/>
    </x:row>
    <x:row r="123" ht="35" customHeight="1">
      <x:c r="A123" s="4" t="str">
        <x:v>DS V4 10T</x:v>
      </x:c>
      <x:c r="B123" s="5" t="n">
        <x:f>$B$65</x:f>
        <x:v>1048576</x:v>
      </x:c>
      <x:c r="C123" s="5" t="n">
        <x:f>INT(B123*$H$5/$D$54)*$D$54</x:f>
        <x:v>1048576</x:v>
      </x:c>
      <x:c r="D123" s="5" t="str">
        <x:f>B77</x:f>
        <x:v>C128 compressor state</x:v>
      </x:c>
      <x:c r="E123" s="5" t="n">
        <x:f>IF(C123=0,0,IF(J77="endpoint",M77,IF(J77="tail",MIN(C123/H77,ROUNDUP(MAX(0,I77-1)/H77,0))*H77/G77,C123/G77)))</x:f>
        <x:v>128</x:v>
      </x:c>
      <x:c r="F123" s="5" t="n">
        <x:f>(D77*E77+F77)*IF(K77="sharded",1/$B$54,IF(K77="kv-heads",MAX(1,L77/$B$54),1))</x:f>
        <x:v>4096</x:v>
      </x:c>
      <x:c r="G123" s="5" t="n">
        <x:f>C77</x:f>
        <x:v>31</x:v>
      </x:c>
      <x:c r="H123" s="5" t="n">
        <x:f>E123*F123*G123</x:f>
        <x:v>16252928</x:v>
      </x:c>
      <x:c r="I123" s="5" t="str">
        <x:v>state</x:v>
      </x:c>
      <x:c r="J123" s="3"/>
      <x:c r="K123" s="3"/>
      <x:c r="L123" s="3"/>
      <x:c r="M123" s="3"/>
      <x:c r="N123" s="2"/>
    </x:row>
    <x:row r="124" ht="35" customHeight="1">
      <x:c r="A124" s="4" t="str">
        <x:v>DS V4 10T</x:v>
      </x:c>
      <x:c r="B124" s="5" t="n">
        <x:f>$B$65</x:f>
        <x:v>1048576</x:v>
      </x:c>
      <x:c r="C124" s="5" t="n">
        <x:f>INT(B124*$H$5/$D$54)*$D$54</x:f>
        <x:v>1048576</x:v>
      </x:c>
      <x:c r="D124" s="5" t="str">
        <x:f>B78</x:f>
        <x:v>C4 indexer state</x:v>
      </x:c>
      <x:c r="E124" s="5" t="n">
        <x:f>IF(C124=0,0,IF(J78="endpoint",M78,IF(J78="tail",MIN(C124/H78,ROUNDUP(MAX(0,I78-1)/H78,0))*H78/G78,C124/G78)))</x:f>
        <x:v>8</x:v>
      </x:c>
      <x:c r="F124" s="5" t="n">
        <x:f>(D78*E78+F78)*IF(K78="sharded",1/$B$54,IF(K78="kv-heads",MAX(1,L78/$B$54),1))</x:f>
        <x:v>2048</x:v>
      </x:c>
      <x:c r="G124" s="5" t="n">
        <x:f>C78</x:f>
        <x:v>30</x:v>
      </x:c>
      <x:c r="H124" s="5" t="n">
        <x:f>E124*F124*G124</x:f>
        <x:v>491520</x:v>
      </x:c>
      <x:c r="I124" s="5" t="str">
        <x:v>state</x:v>
      </x:c>
      <x:c r="J124" s="3"/>
      <x:c r="K124" s="3"/>
      <x:c r="L124" s="3"/>
      <x:c r="M124" s="3"/>
      <x:c r="N124" s="2"/>
    </x:row>
    <x:row r="125" ht="35" customHeight="1">
      <x:c r="A125" s="4" t="str">
        <x:v>DS V4 Pro</x:v>
      </x:c>
      <x:c r="B125" s="5" t="n">
        <x:f>$B$63</x:f>
        <x:v>16384</x:v>
      </x:c>
      <x:c r="C125" s="5" t="n">
        <x:f>INT(B125*$H$5/$D$55)*$D$55</x:f>
        <x:v>16384</x:v>
      </x:c>
      <x:c r="D125" s="5" t="str">
        <x:f>B79</x:f>
        <x:v>SWA KV</x:v>
      </x:c>
      <x:c r="E125" s="5" t="n">
        <x:f>IF(C125=0,0,IF(J79="endpoint",M79,IF(J79="tail",MIN(C125/H79,ROUNDUP(MAX(0,I79-1)/H79,0))*H79/G79,C125/G79)))</x:f>
        <x:v>128</x:v>
      </x:c>
      <x:c r="F125" s="5" t="n">
        <x:f>(D79*E79+F79)*IF(K79="sharded",1/$B$55,IF(K79="kv-heads",MAX(1,L79/$B$55),1))</x:f>
        <x:v>1024</x:v>
      </x:c>
      <x:c r="G125" s="5" t="n">
        <x:f>C79</x:f>
        <x:v>61</x:v>
      </x:c>
      <x:c r="H125" s="5" t="n">
        <x:f>E125*F125*G125</x:f>
        <x:v>7995392</x:v>
      </x:c>
      <x:c r="I125" s="5" t="str">
        <x:v>cache</x:v>
      </x:c>
      <x:c r="J125" s="3"/>
      <x:c r="K125" s="3"/>
      <x:c r="L125" s="3"/>
      <x:c r="M125" s="3"/>
      <x:c r="N125" s="2"/>
    </x:row>
    <x:row r="126" ht="35" customHeight="1">
      <x:c r="A126" s="4" t="str">
        <x:v>DS V4 Pro</x:v>
      </x:c>
      <x:c r="B126" s="5" t="n">
        <x:f>$B$63</x:f>
        <x:v>16384</x:v>
      </x:c>
      <x:c r="C126" s="5" t="n">
        <x:f>INT(B126*$H$5/$D$55)*$D$55</x:f>
        <x:v>16384</x:v>
      </x:c>
      <x:c r="D126" s="5" t="str">
        <x:f>B80</x:f>
        <x:v>C4 KV</x:v>
      </x:c>
      <x:c r="E126" s="5" t="n">
        <x:f>IF(C126=0,0,IF(J80="endpoint",M80,IF(J80="tail",MIN(C126/H80,ROUNDUP(MAX(0,I80-1)/H80,0))*H80/G80,C126/G80)))</x:f>
        <x:v>4096</x:v>
      </x:c>
      <x:c r="F126" s="5" t="n">
        <x:f>(D80*E80+F80)*IF(K80="sharded",1/$B$55,IF(K80="kv-heads",MAX(1,L80/$B$55),1))</x:f>
        <x:v>1024</x:v>
      </x:c>
      <x:c r="G126" s="5" t="n">
        <x:f>C80</x:f>
        <x:v>30</x:v>
      </x:c>
      <x:c r="H126" s="5" t="n">
        <x:f>E126*F126*G126</x:f>
        <x:v>125829120</x:v>
      </x:c>
      <x:c r="I126" s="5" t="str">
        <x:v>cache</x:v>
      </x:c>
      <x:c r="J126" s="3"/>
      <x:c r="K126" s="3"/>
      <x:c r="L126" s="3"/>
      <x:c r="M126" s="3"/>
      <x:c r="N126" s="2"/>
    </x:row>
    <x:row r="127" ht="35" customHeight="1">
      <x:c r="A127" s="4" t="str">
        <x:v>DS V4 Pro</x:v>
      </x:c>
      <x:c r="B127" s="5" t="n">
        <x:f>$B$63</x:f>
        <x:v>16384</x:v>
      </x:c>
      <x:c r="C127" s="5" t="n">
        <x:f>INT(B127*$H$5/$D$55)*$D$55</x:f>
        <x:v>16384</x:v>
      </x:c>
      <x:c r="D127" s="5" t="str">
        <x:f>B81</x:f>
        <x:v>C128 KV</x:v>
      </x:c>
      <x:c r="E127" s="5" t="n">
        <x:f>IF(C127=0,0,IF(J81="endpoint",M81,IF(J81="tail",MIN(C127/H81,ROUNDUP(MAX(0,I81-1)/H81,0))*H81/G81,C127/G81)))</x:f>
        <x:v>128</x:v>
      </x:c>
      <x:c r="F127" s="5" t="n">
        <x:f>(D81*E81+F81)*IF(K81="sharded",1/$B$55,IF(K81="kv-heads",MAX(1,L81/$B$55),1))</x:f>
        <x:v>1024</x:v>
      </x:c>
      <x:c r="G127" s="5" t="n">
        <x:f>C81</x:f>
        <x:v>31</x:v>
      </x:c>
      <x:c r="H127" s="5" t="n">
        <x:f>E127*F127*G127</x:f>
        <x:v>4063232</x:v>
      </x:c>
      <x:c r="I127" s="5" t="str">
        <x:v>cache</x:v>
      </x:c>
      <x:c r="J127" s="3"/>
      <x:c r="K127" s="3"/>
      <x:c r="L127" s="3"/>
      <x:c r="M127" s="3"/>
      <x:c r="N127" s="2"/>
    </x:row>
    <x:row r="128" ht="35" customHeight="1">
      <x:c r="A128" s="4" t="str">
        <x:v>DS V4 Pro</x:v>
      </x:c>
      <x:c r="B128" s="5" t="n">
        <x:f>$B$63</x:f>
        <x:v>16384</x:v>
      </x:c>
      <x:c r="C128" s="5" t="n">
        <x:f>INT(B128*$H$5/$D$55)*$D$55</x:f>
        <x:v>16384</x:v>
      </x:c>
      <x:c r="D128" s="5" t="str">
        <x:f>B82</x:f>
        <x:v>C4 Indexer</x:v>
      </x:c>
      <x:c r="E128" s="5" t="n">
        <x:f>IF(C128=0,0,IF(J82="endpoint",M82,IF(J82="tail",MIN(C128/H82,ROUNDUP(MAX(0,I82-1)/H82,0))*H82/G82,C128/G82)))</x:f>
        <x:v>4096</x:v>
      </x:c>
      <x:c r="F128" s="5" t="n">
        <x:f>(D82*E82+F82)*IF(K82="sharded",1/$B$55,IF(K82="kv-heads",MAX(1,L82/$B$55),1))</x:f>
        <x:v>130</x:v>
      </x:c>
      <x:c r="G128" s="5" t="n">
        <x:f>C82</x:f>
        <x:v>30</x:v>
      </x:c>
      <x:c r="H128" s="5" t="n">
        <x:f>E128*F128*G128</x:f>
        <x:v>15974400</x:v>
      </x:c>
      <x:c r="I128" s="5" t="str">
        <x:v>cache</x:v>
      </x:c>
      <x:c r="J128" s="3"/>
      <x:c r="K128" s="3"/>
      <x:c r="L128" s="3"/>
      <x:c r="M128" s="3"/>
      <x:c r="N128" s="2"/>
    </x:row>
    <x:row r="129" ht="35" customHeight="1">
      <x:c r="A129" s="4" t="str">
        <x:v>DS V4 Pro</x:v>
      </x:c>
      <x:c r="B129" s="5" t="n">
        <x:f>$B$63</x:f>
        <x:v>16384</x:v>
      </x:c>
      <x:c r="C129" s="5" t="n">
        <x:f>INT(B129*$H$5/$D$55)*$D$55</x:f>
        <x:v>16384</x:v>
      </x:c>
      <x:c r="D129" s="5" t="str">
        <x:f>B83</x:f>
        <x:v>C4 compressor state</x:v>
      </x:c>
      <x:c r="E129" s="5" t="n">
        <x:f>IF(C129=0,0,IF(J83="endpoint",M83,IF(J83="tail",MIN(C129/H83,ROUNDUP(MAX(0,I83-1)/H83,0))*H83/G83,C129/G83)))</x:f>
        <x:v>8</x:v>
      </x:c>
      <x:c r="F129" s="5" t="n">
        <x:f>(D83*E83+F83)*IF(K83="sharded",1/$B$55,IF(K83="kv-heads",MAX(1,L83/$B$55),1))</x:f>
        <x:v>8192</x:v>
      </x:c>
      <x:c r="G129" s="5" t="n">
        <x:f>C83</x:f>
        <x:v>30</x:v>
      </x:c>
      <x:c r="H129" s="5" t="n">
        <x:f>E129*F129*G129</x:f>
        <x:v>1966080</x:v>
      </x:c>
      <x:c r="I129" s="5" t="str">
        <x:v>state</x:v>
      </x:c>
      <x:c r="J129" s="3"/>
      <x:c r="K129" s="3"/>
      <x:c r="L129" s="3"/>
      <x:c r="M129" s="3"/>
      <x:c r="N129" s="2"/>
    </x:row>
    <x:row r="130" ht="35" customHeight="1">
      <x:c r="A130" s="4" t="str">
        <x:v>DS V4 Pro</x:v>
      </x:c>
      <x:c r="B130" s="5" t="n">
        <x:f>$B$63</x:f>
        <x:v>16384</x:v>
      </x:c>
      <x:c r="C130" s="5" t="n">
        <x:f>INT(B130*$H$5/$D$55)*$D$55</x:f>
        <x:v>16384</x:v>
      </x:c>
      <x:c r="D130" s="5" t="str">
        <x:f>B84</x:f>
        <x:v>C128 compressor state</x:v>
      </x:c>
      <x:c r="E130" s="5" t="n">
        <x:f>IF(C130=0,0,IF(J84="endpoint",M84,IF(J84="tail",MIN(C130/H84,ROUNDUP(MAX(0,I84-1)/H84,0))*H84/G84,C130/G84)))</x:f>
        <x:v>128</x:v>
      </x:c>
      <x:c r="F130" s="5" t="n">
        <x:f>(D84*E84+F84)*IF(K84="sharded",1/$B$55,IF(K84="kv-heads",MAX(1,L84/$B$55),1))</x:f>
        <x:v>4096</x:v>
      </x:c>
      <x:c r="G130" s="5" t="n">
        <x:f>C84</x:f>
        <x:v>31</x:v>
      </x:c>
      <x:c r="H130" s="5" t="n">
        <x:f>E130*F130*G130</x:f>
        <x:v>16252928</x:v>
      </x:c>
      <x:c r="I130" s="5" t="str">
        <x:v>state</x:v>
      </x:c>
      <x:c r="J130" s="3"/>
      <x:c r="K130" s="3"/>
      <x:c r="L130" s="3"/>
      <x:c r="M130" s="3"/>
      <x:c r="N130" s="2"/>
    </x:row>
    <x:row r="131" ht="35" customHeight="1">
      <x:c r="A131" s="4" t="str">
        <x:v>DS V4 Pro</x:v>
      </x:c>
      <x:c r="B131" s="5" t="n">
        <x:f>$B$63</x:f>
        <x:v>16384</x:v>
      </x:c>
      <x:c r="C131" s="5" t="n">
        <x:f>INT(B131*$H$5/$D$55)*$D$55</x:f>
        <x:v>16384</x:v>
      </x:c>
      <x:c r="D131" s="5" t="str">
        <x:f>B85</x:f>
        <x:v>C4 indexer state</x:v>
      </x:c>
      <x:c r="E131" s="5" t="n">
        <x:f>IF(C131=0,0,IF(J85="endpoint",M85,IF(J85="tail",MIN(C131/H85,ROUNDUP(MAX(0,I85-1)/H85,0))*H85/G85,C131/G85)))</x:f>
        <x:v>8</x:v>
      </x:c>
      <x:c r="F131" s="5" t="n">
        <x:f>(D85*E85+F85)*IF(K85="sharded",1/$B$55,IF(K85="kv-heads",MAX(1,L85/$B$55),1))</x:f>
        <x:v>2048</x:v>
      </x:c>
      <x:c r="G131" s="5" t="n">
        <x:f>C85</x:f>
        <x:v>30</x:v>
      </x:c>
      <x:c r="H131" s="5" t="n">
        <x:f>E131*F131*G131</x:f>
        <x:v>491520</x:v>
      </x:c>
      <x:c r="I131" s="5" t="str">
        <x:v>state</x:v>
      </x:c>
      <x:c r="J131" s="3"/>
      <x:c r="K131" s="3"/>
      <x:c r="L131" s="3"/>
      <x:c r="M131" s="3"/>
      <x:c r="N131" s="2"/>
    </x:row>
    <x:row r="132" ht="35" customHeight="1">
      <x:c r="A132" s="4" t="str">
        <x:v>DS V4 Pro</x:v>
      </x:c>
      <x:c r="B132" s="5" t="n">
        <x:f>$B$64</x:f>
        <x:v>262144</x:v>
      </x:c>
      <x:c r="C132" s="5" t="n">
        <x:f>INT(B132*$H$5/$D$55)*$D$55</x:f>
        <x:v>262144</x:v>
      </x:c>
      <x:c r="D132" s="5" t="str">
        <x:f>B79</x:f>
        <x:v>SWA KV</x:v>
      </x:c>
      <x:c r="E132" s="5" t="n">
        <x:f>IF(C132=0,0,IF(J79="endpoint",M79,IF(J79="tail",MIN(C132/H79,ROUNDUP(MAX(0,I79-1)/H79,0))*H79/G79,C132/G79)))</x:f>
        <x:v>128</x:v>
      </x:c>
      <x:c r="F132" s="5" t="n">
        <x:f>(D79*E79+F79)*IF(K79="sharded",1/$B$55,IF(K79="kv-heads",MAX(1,L79/$B$55),1))</x:f>
        <x:v>1024</x:v>
      </x:c>
      <x:c r="G132" s="5" t="n">
        <x:f>C79</x:f>
        <x:v>61</x:v>
      </x:c>
      <x:c r="H132" s="5" t="n">
        <x:f>E132*F132*G132</x:f>
        <x:v>7995392</x:v>
      </x:c>
      <x:c r="I132" s="5" t="str">
        <x:v>cache</x:v>
      </x:c>
      <x:c r="J132" s="3"/>
      <x:c r="K132" s="3"/>
      <x:c r="L132" s="3"/>
      <x:c r="M132" s="3"/>
      <x:c r="N132" s="2"/>
    </x:row>
    <x:row r="133" ht="35" customHeight="1">
      <x:c r="A133" s="4" t="str">
        <x:v>DS V4 Pro</x:v>
      </x:c>
      <x:c r="B133" s="5" t="n">
        <x:f>$B$64</x:f>
        <x:v>262144</x:v>
      </x:c>
      <x:c r="C133" s="5" t="n">
        <x:f>INT(B133*$H$5/$D$55)*$D$55</x:f>
        <x:v>262144</x:v>
      </x:c>
      <x:c r="D133" s="5" t="str">
        <x:f>B80</x:f>
        <x:v>C4 KV</x:v>
      </x:c>
      <x:c r="E133" s="5" t="n">
        <x:f>IF(C133=0,0,IF(J80="endpoint",M80,IF(J80="tail",MIN(C133/H80,ROUNDUP(MAX(0,I80-1)/H80,0))*H80/G80,C133/G80)))</x:f>
        <x:v>65536</x:v>
      </x:c>
      <x:c r="F133" s="5" t="n">
        <x:f>(D80*E80+F80)*IF(K80="sharded",1/$B$55,IF(K80="kv-heads",MAX(1,L80/$B$55),1))</x:f>
        <x:v>1024</x:v>
      </x:c>
      <x:c r="G133" s="5" t="n">
        <x:f>C80</x:f>
        <x:v>30</x:v>
      </x:c>
      <x:c r="H133" s="5" t="n">
        <x:f>E133*F133*G133</x:f>
        <x:v>2013265920</x:v>
      </x:c>
      <x:c r="I133" s="5" t="str">
        <x:v>cache</x:v>
      </x:c>
      <x:c r="J133" s="3"/>
      <x:c r="K133" s="3"/>
      <x:c r="L133" s="3"/>
      <x:c r="M133" s="3"/>
      <x:c r="N133" s="2"/>
    </x:row>
    <x:row r="134" ht="35" customHeight="1">
      <x:c r="A134" s="4" t="str">
        <x:v>DS V4 Pro</x:v>
      </x:c>
      <x:c r="B134" s="5" t="n">
        <x:f>$B$64</x:f>
        <x:v>262144</x:v>
      </x:c>
      <x:c r="C134" s="5" t="n">
        <x:f>INT(B134*$H$5/$D$55)*$D$55</x:f>
        <x:v>262144</x:v>
      </x:c>
      <x:c r="D134" s="5" t="str">
        <x:f>B81</x:f>
        <x:v>C128 KV</x:v>
      </x:c>
      <x:c r="E134" s="5" t="n">
        <x:f>IF(C134=0,0,IF(J81="endpoint",M81,IF(J81="tail",MIN(C134/H81,ROUNDUP(MAX(0,I81-1)/H81,0))*H81/G81,C134/G81)))</x:f>
        <x:v>2048</x:v>
      </x:c>
      <x:c r="F134" s="5" t="n">
        <x:f>(D81*E81+F81)*IF(K81="sharded",1/$B$55,IF(K81="kv-heads",MAX(1,L81/$B$55),1))</x:f>
        <x:v>1024</x:v>
      </x:c>
      <x:c r="G134" s="5" t="n">
        <x:f>C81</x:f>
        <x:v>31</x:v>
      </x:c>
      <x:c r="H134" s="5" t="n">
        <x:f>E134*F134*G134</x:f>
        <x:v>65011712</x:v>
      </x:c>
      <x:c r="I134" s="5" t="str">
        <x:v>cache</x:v>
      </x:c>
      <x:c r="J134" s="3"/>
      <x:c r="K134" s="3"/>
      <x:c r="L134" s="3"/>
      <x:c r="M134" s="3"/>
      <x:c r="N134" s="2"/>
    </x:row>
    <x:row r="135" ht="35" customHeight="1">
      <x:c r="A135" s="4" t="str">
        <x:v>DS V4 Pro</x:v>
      </x:c>
      <x:c r="B135" s="5" t="n">
        <x:f>$B$64</x:f>
        <x:v>262144</x:v>
      </x:c>
      <x:c r="C135" s="5" t="n">
        <x:f>INT(B135*$H$5/$D$55)*$D$55</x:f>
        <x:v>262144</x:v>
      </x:c>
      <x:c r="D135" s="5" t="str">
        <x:f>B82</x:f>
        <x:v>C4 Indexer</x:v>
      </x:c>
      <x:c r="E135" s="5" t="n">
        <x:f>IF(C135=0,0,IF(J82="endpoint",M82,IF(J82="tail",MIN(C135/H82,ROUNDUP(MAX(0,I82-1)/H82,0))*H82/G82,C135/G82)))</x:f>
        <x:v>65536</x:v>
      </x:c>
      <x:c r="F135" s="5" t="n">
        <x:f>(D82*E82+F82)*IF(K82="sharded",1/$B$55,IF(K82="kv-heads",MAX(1,L82/$B$55),1))</x:f>
        <x:v>130</x:v>
      </x:c>
      <x:c r="G135" s="5" t="n">
        <x:f>C82</x:f>
        <x:v>30</x:v>
      </x:c>
      <x:c r="H135" s="5" t="n">
        <x:f>E135*F135*G135</x:f>
        <x:v>255590400</x:v>
      </x:c>
      <x:c r="I135" s="5" t="str">
        <x:v>cache</x:v>
      </x:c>
      <x:c r="J135" s="3"/>
      <x:c r="K135" s="3"/>
      <x:c r="L135" s="3"/>
      <x:c r="M135" s="3"/>
      <x:c r="N135" s="2"/>
    </x:row>
    <x:row r="136" ht="35" customHeight="1">
      <x:c r="A136" s="4" t="str">
        <x:v>DS V4 Pro</x:v>
      </x:c>
      <x:c r="B136" s="5" t="n">
        <x:f>$B$64</x:f>
        <x:v>262144</x:v>
      </x:c>
      <x:c r="C136" s="5" t="n">
        <x:f>INT(B136*$H$5/$D$55)*$D$55</x:f>
        <x:v>262144</x:v>
      </x:c>
      <x:c r="D136" s="5" t="str">
        <x:f>B83</x:f>
        <x:v>C4 compressor state</x:v>
      </x:c>
      <x:c r="E136" s="5" t="n">
        <x:f>IF(C136=0,0,IF(J83="endpoint",M83,IF(J83="tail",MIN(C136/H83,ROUNDUP(MAX(0,I83-1)/H83,0))*H83/G83,C136/G83)))</x:f>
        <x:v>8</x:v>
      </x:c>
      <x:c r="F136" s="5" t="n">
        <x:f>(D83*E83+F83)*IF(K83="sharded",1/$B$55,IF(K83="kv-heads",MAX(1,L83/$B$55),1))</x:f>
        <x:v>8192</x:v>
      </x:c>
      <x:c r="G136" s="5" t="n">
        <x:f>C83</x:f>
        <x:v>30</x:v>
      </x:c>
      <x:c r="H136" s="5" t="n">
        <x:f>E136*F136*G136</x:f>
        <x:v>1966080</x:v>
      </x:c>
      <x:c r="I136" s="5" t="str">
        <x:v>state</x:v>
      </x:c>
      <x:c r="J136" s="3"/>
      <x:c r="K136" s="3"/>
      <x:c r="L136" s="3"/>
      <x:c r="M136" s="3"/>
      <x:c r="N136" s="2"/>
    </x:row>
    <x:row r="137" ht="35" customHeight="1">
      <x:c r="A137" s="4" t="str">
        <x:v>DS V4 Pro</x:v>
      </x:c>
      <x:c r="B137" s="5" t="n">
        <x:f>$B$64</x:f>
        <x:v>262144</x:v>
      </x:c>
      <x:c r="C137" s="5" t="n">
        <x:f>INT(B137*$H$5/$D$55)*$D$55</x:f>
        <x:v>262144</x:v>
      </x:c>
      <x:c r="D137" s="5" t="str">
        <x:f>B84</x:f>
        <x:v>C128 compressor state</x:v>
      </x:c>
      <x:c r="E137" s="5" t="n">
        <x:f>IF(C137=0,0,IF(J84="endpoint",M84,IF(J84="tail",MIN(C137/H84,ROUNDUP(MAX(0,I84-1)/H84,0))*H84/G84,C137/G84)))</x:f>
        <x:v>128</x:v>
      </x:c>
      <x:c r="F137" s="5" t="n">
        <x:f>(D84*E84+F84)*IF(K84="sharded",1/$B$55,IF(K84="kv-heads",MAX(1,L84/$B$55),1))</x:f>
        <x:v>4096</x:v>
      </x:c>
      <x:c r="G137" s="5" t="n">
        <x:f>C84</x:f>
        <x:v>31</x:v>
      </x:c>
      <x:c r="H137" s="5" t="n">
        <x:f>E137*F137*G137</x:f>
        <x:v>16252928</x:v>
      </x:c>
      <x:c r="I137" s="5" t="str">
        <x:v>state</x:v>
      </x:c>
      <x:c r="J137" s="3"/>
      <x:c r="K137" s="3"/>
      <x:c r="L137" s="3"/>
      <x:c r="M137" s="3"/>
      <x:c r="N137" s="2"/>
    </x:row>
    <x:row r="138" ht="35" customHeight="1">
      <x:c r="A138" s="4" t="str">
        <x:v>DS V4 Pro</x:v>
      </x:c>
      <x:c r="B138" s="5" t="n">
        <x:f>$B$64</x:f>
        <x:v>262144</x:v>
      </x:c>
      <x:c r="C138" s="5" t="n">
        <x:f>INT(B138*$H$5/$D$55)*$D$55</x:f>
        <x:v>262144</x:v>
      </x:c>
      <x:c r="D138" s="5" t="str">
        <x:f>B85</x:f>
        <x:v>C4 indexer state</x:v>
      </x:c>
      <x:c r="E138" s="5" t="n">
        <x:f>IF(C138=0,0,IF(J85="endpoint",M85,IF(J85="tail",MIN(C138/H85,ROUNDUP(MAX(0,I85-1)/H85,0))*H85/G85,C138/G85)))</x:f>
        <x:v>8</x:v>
      </x:c>
      <x:c r="F138" s="5" t="n">
        <x:f>(D85*E85+F85)*IF(K85="sharded",1/$B$55,IF(K85="kv-heads",MAX(1,L85/$B$55),1))</x:f>
        <x:v>2048</x:v>
      </x:c>
      <x:c r="G138" s="5" t="n">
        <x:f>C85</x:f>
        <x:v>30</x:v>
      </x:c>
      <x:c r="H138" s="5" t="n">
        <x:f>E138*F138*G138</x:f>
        <x:v>491520</x:v>
      </x:c>
      <x:c r="I138" s="5" t="str">
        <x:v>state</x:v>
      </x:c>
      <x:c r="J138" s="3"/>
      <x:c r="K138" s="3"/>
      <x:c r="L138" s="3"/>
      <x:c r="M138" s="3"/>
      <x:c r="N138" s="2"/>
    </x:row>
    <x:row r="139" ht="35" customHeight="1">
      <x:c r="A139" s="4" t="str">
        <x:v>DS V4 Pro</x:v>
      </x:c>
      <x:c r="B139" s="5" t="n">
        <x:f>$B$65</x:f>
        <x:v>1048576</x:v>
      </x:c>
      <x:c r="C139" s="5" t="n">
        <x:f>INT(B139*$H$5/$D$55)*$D$55</x:f>
        <x:v>1048576</x:v>
      </x:c>
      <x:c r="D139" s="5" t="str">
        <x:f>B79</x:f>
        <x:v>SWA KV</x:v>
      </x:c>
      <x:c r="E139" s="5" t="n">
        <x:f>IF(C139=0,0,IF(J79="endpoint",M79,IF(J79="tail",MIN(C139/H79,ROUNDUP(MAX(0,I79-1)/H79,0))*H79/G79,C139/G79)))</x:f>
        <x:v>128</x:v>
      </x:c>
      <x:c r="F139" s="5" t="n">
        <x:f>(D79*E79+F79)*IF(K79="sharded",1/$B$55,IF(K79="kv-heads",MAX(1,L79/$B$55),1))</x:f>
        <x:v>1024</x:v>
      </x:c>
      <x:c r="G139" s="5" t="n">
        <x:f>C79</x:f>
        <x:v>61</x:v>
      </x:c>
      <x:c r="H139" s="5" t="n">
        <x:f>E139*F139*G139</x:f>
        <x:v>7995392</x:v>
      </x:c>
      <x:c r="I139" s="5" t="str">
        <x:v>cache</x:v>
      </x:c>
      <x:c r="J139" s="3"/>
      <x:c r="K139" s="3"/>
      <x:c r="L139" s="3"/>
      <x:c r="M139" s="3"/>
      <x:c r="N139" s="2"/>
    </x:row>
    <x:row r="140" ht="35" customHeight="1">
      <x:c r="A140" s="4" t="str">
        <x:v>DS V4 Pro</x:v>
      </x:c>
      <x:c r="B140" s="5" t="n">
        <x:f>$B$65</x:f>
        <x:v>1048576</x:v>
      </x:c>
      <x:c r="C140" s="5" t="n">
        <x:f>INT(B140*$H$5/$D$55)*$D$55</x:f>
        <x:v>1048576</x:v>
      </x:c>
      <x:c r="D140" s="5" t="str">
        <x:f>B80</x:f>
        <x:v>C4 KV</x:v>
      </x:c>
      <x:c r="E140" s="5" t="n">
        <x:f>IF(C140=0,0,IF(J80="endpoint",M80,IF(J80="tail",MIN(C140/H80,ROUNDUP(MAX(0,I80-1)/H80,0))*H80/G80,C140/G80)))</x:f>
        <x:v>262144</x:v>
      </x:c>
      <x:c r="F140" s="5" t="n">
        <x:f>(D80*E80+F80)*IF(K80="sharded",1/$B$55,IF(K80="kv-heads",MAX(1,L80/$B$55),1))</x:f>
        <x:v>1024</x:v>
      </x:c>
      <x:c r="G140" s="5" t="n">
        <x:f>C80</x:f>
        <x:v>30</x:v>
      </x:c>
      <x:c r="H140" s="5" t="n">
        <x:f>E140*F140*G140</x:f>
        <x:v>8053063680</x:v>
      </x:c>
      <x:c r="I140" s="5" t="str">
        <x:v>cache</x:v>
      </x:c>
      <x:c r="J140" s="3"/>
      <x:c r="K140" s="3"/>
      <x:c r="L140" s="3"/>
      <x:c r="M140" s="3"/>
      <x:c r="N140" s="2"/>
    </x:row>
    <x:row r="141" ht="35" customHeight="1">
      <x:c r="A141" s="4" t="str">
        <x:v>DS V4 Pro</x:v>
      </x:c>
      <x:c r="B141" s="5" t="n">
        <x:f>$B$65</x:f>
        <x:v>1048576</x:v>
      </x:c>
      <x:c r="C141" s="5" t="n">
        <x:f>INT(B141*$H$5/$D$55)*$D$55</x:f>
        <x:v>1048576</x:v>
      </x:c>
      <x:c r="D141" s="5" t="str">
        <x:f>B81</x:f>
        <x:v>C128 KV</x:v>
      </x:c>
      <x:c r="E141" s="5" t="n">
        <x:f>IF(C141=0,0,IF(J81="endpoint",M81,IF(J81="tail",MIN(C141/H81,ROUNDUP(MAX(0,I81-1)/H81,0))*H81/G81,C141/G81)))</x:f>
        <x:v>8192</x:v>
      </x:c>
      <x:c r="F141" s="5" t="n">
        <x:f>(D81*E81+F81)*IF(K81="sharded",1/$B$55,IF(K81="kv-heads",MAX(1,L81/$B$55),1))</x:f>
        <x:v>1024</x:v>
      </x:c>
      <x:c r="G141" s="5" t="n">
        <x:f>C81</x:f>
        <x:v>31</x:v>
      </x:c>
      <x:c r="H141" s="5" t="n">
        <x:f>E141*F141*G141</x:f>
        <x:v>260046848</x:v>
      </x:c>
      <x:c r="I141" s="5" t="str">
        <x:v>cache</x:v>
      </x:c>
      <x:c r="J141" s="3"/>
      <x:c r="K141" s="3"/>
      <x:c r="L141" s="3"/>
      <x:c r="M141" s="3"/>
      <x:c r="N141" s="2"/>
    </x:row>
    <x:row r="142" ht="35" customHeight="1">
      <x:c r="A142" s="4" t="str">
        <x:v>DS V4 Pro</x:v>
      </x:c>
      <x:c r="B142" s="5" t="n">
        <x:f>$B$65</x:f>
        <x:v>1048576</x:v>
      </x:c>
      <x:c r="C142" s="5" t="n">
        <x:f>INT(B142*$H$5/$D$55)*$D$55</x:f>
        <x:v>1048576</x:v>
      </x:c>
      <x:c r="D142" s="5" t="str">
        <x:f>B82</x:f>
        <x:v>C4 Indexer</x:v>
      </x:c>
      <x:c r="E142" s="5" t="n">
        <x:f>IF(C142=0,0,IF(J82="endpoint",M82,IF(J82="tail",MIN(C142/H82,ROUNDUP(MAX(0,I82-1)/H82,0))*H82/G82,C142/G82)))</x:f>
        <x:v>262144</x:v>
      </x:c>
      <x:c r="F142" s="5" t="n">
        <x:f>(D82*E82+F82)*IF(K82="sharded",1/$B$55,IF(K82="kv-heads",MAX(1,L82/$B$55),1))</x:f>
        <x:v>130</x:v>
      </x:c>
      <x:c r="G142" s="5" t="n">
        <x:f>C82</x:f>
        <x:v>30</x:v>
      </x:c>
      <x:c r="H142" s="5" t="n">
        <x:f>E142*F142*G142</x:f>
        <x:v>1022361600</x:v>
      </x:c>
      <x:c r="I142" s="5" t="str">
        <x:v>cache</x:v>
      </x:c>
      <x:c r="J142" s="3"/>
      <x:c r="K142" s="3"/>
      <x:c r="L142" s="3"/>
      <x:c r="M142" s="3"/>
      <x:c r="N142" s="2"/>
    </x:row>
    <x:row r="143" ht="35" customHeight="1">
      <x:c r="A143" s="4" t="str">
        <x:v>DS V4 Pro</x:v>
      </x:c>
      <x:c r="B143" s="5" t="n">
        <x:f>$B$65</x:f>
        <x:v>1048576</x:v>
      </x:c>
      <x:c r="C143" s="5" t="n">
        <x:f>INT(B143*$H$5/$D$55)*$D$55</x:f>
        <x:v>1048576</x:v>
      </x:c>
      <x:c r="D143" s="5" t="str">
        <x:f>B83</x:f>
        <x:v>C4 compressor state</x:v>
      </x:c>
      <x:c r="E143" s="5" t="n">
        <x:f>IF(C143=0,0,IF(J83="endpoint",M83,IF(J83="tail",MIN(C143/H83,ROUNDUP(MAX(0,I83-1)/H83,0))*H83/G83,C143/G83)))</x:f>
        <x:v>8</x:v>
      </x:c>
      <x:c r="F143" s="5" t="n">
        <x:f>(D83*E83+F83)*IF(K83="sharded",1/$B$55,IF(K83="kv-heads",MAX(1,L83/$B$55),1))</x:f>
        <x:v>8192</x:v>
      </x:c>
      <x:c r="G143" s="5" t="n">
        <x:f>C83</x:f>
        <x:v>30</x:v>
      </x:c>
      <x:c r="H143" s="5" t="n">
        <x:f>E143*F143*G143</x:f>
        <x:v>1966080</x:v>
      </x:c>
      <x:c r="I143" s="5" t="str">
        <x:v>state</x:v>
      </x:c>
      <x:c r="J143" s="3"/>
      <x:c r="K143" s="3"/>
      <x:c r="L143" s="3"/>
      <x:c r="M143" s="3"/>
      <x:c r="N143" s="2"/>
    </x:row>
    <x:row r="144" ht="35" customHeight="1">
      <x:c r="A144" s="4" t="str">
        <x:v>DS V4 Pro</x:v>
      </x:c>
      <x:c r="B144" s="5" t="n">
        <x:f>$B$65</x:f>
        <x:v>1048576</x:v>
      </x:c>
      <x:c r="C144" s="5" t="n">
        <x:f>INT(B144*$H$5/$D$55)*$D$55</x:f>
        <x:v>1048576</x:v>
      </x:c>
      <x:c r="D144" s="5" t="str">
        <x:f>B84</x:f>
        <x:v>C128 compressor state</x:v>
      </x:c>
      <x:c r="E144" s="5" t="n">
        <x:f>IF(C144=0,0,IF(J84="endpoint",M84,IF(J84="tail",MIN(C144/H84,ROUNDUP(MAX(0,I84-1)/H84,0))*H84/G84,C144/G84)))</x:f>
        <x:v>128</x:v>
      </x:c>
      <x:c r="F144" s="5" t="n">
        <x:f>(D84*E84+F84)*IF(K84="sharded",1/$B$55,IF(K84="kv-heads",MAX(1,L84/$B$55),1))</x:f>
        <x:v>4096</x:v>
      </x:c>
      <x:c r="G144" s="5" t="n">
        <x:f>C84</x:f>
        <x:v>31</x:v>
      </x:c>
      <x:c r="H144" s="5" t="n">
        <x:f>E144*F144*G144</x:f>
        <x:v>16252928</x:v>
      </x:c>
      <x:c r="I144" s="5" t="str">
        <x:v>state</x:v>
      </x:c>
      <x:c r="J144" s="3"/>
      <x:c r="K144" s="3"/>
      <x:c r="L144" s="3"/>
      <x:c r="M144" s="3"/>
      <x:c r="N144" s="2"/>
    </x:row>
    <x:row r="145" ht="35" customHeight="1">
      <x:c r="A145" s="4" t="str">
        <x:v>DS V4 Pro</x:v>
      </x:c>
      <x:c r="B145" s="5" t="n">
        <x:f>$B$65</x:f>
        <x:v>1048576</x:v>
      </x:c>
      <x:c r="C145" s="5" t="n">
        <x:f>INT(B145*$H$5/$D$55)*$D$55</x:f>
        <x:v>1048576</x:v>
      </x:c>
      <x:c r="D145" s="5" t="str">
        <x:f>B85</x:f>
        <x:v>C4 indexer state</x:v>
      </x:c>
      <x:c r="E145" s="5" t="n">
        <x:f>IF(C145=0,0,IF(J85="endpoint",M85,IF(J85="tail",MIN(C145/H85,ROUNDUP(MAX(0,I85-1)/H85,0))*H85/G85,C145/G85)))</x:f>
        <x:v>8</x:v>
      </x:c>
      <x:c r="F145" s="5" t="n">
        <x:f>(D85*E85+F85)*IF(K85="sharded",1/$B$55,IF(K85="kv-heads",MAX(1,L85/$B$55),1))</x:f>
        <x:v>2048</x:v>
      </x:c>
      <x:c r="G145" s="5" t="n">
        <x:f>C85</x:f>
        <x:v>30</x:v>
      </x:c>
      <x:c r="H145" s="5" t="n">
        <x:f>E145*F145*G145</x:f>
        <x:v>491520</x:v>
      </x:c>
      <x:c r="I145" s="5" t="str">
        <x:v>state</x:v>
      </x:c>
      <x:c r="J145" s="3"/>
      <x:c r="K145" s="3"/>
      <x:c r="L145" s="3"/>
      <x:c r="M145" s="3"/>
      <x:c r="N145" s="2"/>
    </x:row>
    <x:row r="146" ht="35" customHeight="1">
      <x:c r="A146" s="4" t="str">
        <x:v>GLM5.3</x:v>
      </x:c>
      <x:c r="B146" s="5" t="n">
        <x:f>$B$63</x:f>
        <x:v>16384</x:v>
      </x:c>
      <x:c r="C146" s="5" t="n">
        <x:f>INT(B146*$H$5/$D$56)*$D$56</x:f>
        <x:v>16384</x:v>
      </x:c>
      <x:c r="D146" s="5" t="str">
        <x:f>B86</x:f>
        <x:v>MLA</x:v>
      </x:c>
      <x:c r="E146" s="5" t="n">
        <x:f>IF(C146=0,0,IF(J86="endpoint",M86,IF(J86="tail",MIN(C146/H86,ROUNDUP(MAX(0,I86-1)/H86,0))*H86/G86,C146/G86)))</x:f>
        <x:v>16384</x:v>
      </x:c>
      <x:c r="F146" s="5" t="n">
        <x:f>(D86*E86+F86)*IF(K86="sharded",1/$B$56,IF(K86="kv-heads",MAX(1,L86/$B$56),1))</x:f>
        <x:v>1152</x:v>
      </x:c>
      <x:c r="G146" s="5" t="n">
        <x:f>C86</x:f>
        <x:v>78</x:v>
      </x:c>
      <x:c r="H146" s="5" t="n">
        <x:f>E146*F146*G146</x:f>
        <x:v>1472200704</x:v>
      </x:c>
      <x:c r="I146" s="5" t="str">
        <x:v>cache</x:v>
      </x:c>
      <x:c r="J146" s="3"/>
      <x:c r="K146" s="3"/>
      <x:c r="L146" s="3"/>
      <x:c r="M146" s="3"/>
      <x:c r="N146" s="2"/>
    </x:row>
    <x:row r="147" ht="35" customHeight="1">
      <x:c r="A147" s="4" t="str">
        <x:v>GLM5.3</x:v>
      </x:c>
      <x:c r="B147" s="5" t="n">
        <x:f>$B$63</x:f>
        <x:v>16384</x:v>
      </x:c>
      <x:c r="C147" s="5" t="n">
        <x:f>INT(B147*$H$5/$D$56)*$D$56</x:f>
        <x:v>16384</x:v>
      </x:c>
      <x:c r="D147" s="5" t="str">
        <x:f>B87</x:f>
        <x:v>Indexer</x:v>
      </x:c>
      <x:c r="E147" s="5" t="n">
        <x:f>IF(C147=0,0,IF(J87="endpoint",M87,IF(J87="tail",MIN(C147/H87,ROUNDUP(MAX(0,I87-1)/H87,0))*H87/G87,C147/G87)))</x:f>
        <x:v>16384</x:v>
      </x:c>
      <x:c r="F147" s="5" t="n">
        <x:f>(D87*E87+F87)*IF(K87="sharded",1/$B$56,IF(K87="kv-heads",MAX(1,L87/$B$56),1))</x:f>
        <x:v>256</x:v>
      </x:c>
      <x:c r="G147" s="5" t="n">
        <x:f>C87</x:f>
        <x:v>21</x:v>
      </x:c>
      <x:c r="H147" s="5" t="n">
        <x:f>E147*F147*G147</x:f>
        <x:v>88080384</x:v>
      </x:c>
      <x:c r="I147" s="5" t="str">
        <x:v>cache</x:v>
      </x:c>
      <x:c r="J147" s="3"/>
      <x:c r="K147" s="3"/>
      <x:c r="L147" s="3"/>
      <x:c r="M147" s="3"/>
      <x:c r="N147" s="2"/>
    </x:row>
    <x:row r="148" ht="35" customHeight="1">
      <x:c r="A148" s="4" t="str">
        <x:v>GLM5.3</x:v>
      </x:c>
      <x:c r="B148" s="5" t="n">
        <x:f>$B$64</x:f>
        <x:v>262144</x:v>
      </x:c>
      <x:c r="C148" s="5" t="n">
        <x:f>INT(B148*$H$5/$D$56)*$D$56</x:f>
        <x:v>262144</x:v>
      </x:c>
      <x:c r="D148" s="5" t="str">
        <x:f>B86</x:f>
        <x:v>MLA</x:v>
      </x:c>
      <x:c r="E148" s="5" t="n">
        <x:f>IF(C148=0,0,IF(J86="endpoint",M86,IF(J86="tail",MIN(C148/H86,ROUNDUP(MAX(0,I86-1)/H86,0))*H86/G86,C148/G86)))</x:f>
        <x:v>262144</x:v>
      </x:c>
      <x:c r="F148" s="5" t="n">
        <x:f>(D86*E86+F86)*IF(K86="sharded",1/$B$56,IF(K86="kv-heads",MAX(1,L86/$B$56),1))</x:f>
        <x:v>1152</x:v>
      </x:c>
      <x:c r="G148" s="5" t="n">
        <x:f>C86</x:f>
        <x:v>78</x:v>
      </x:c>
      <x:c r="H148" s="5" t="n">
        <x:f>E148*F148*G148</x:f>
        <x:v>23555211264</x:v>
      </x:c>
      <x:c r="I148" s="5" t="str">
        <x:v>cache</x:v>
      </x:c>
      <x:c r="J148" s="3"/>
      <x:c r="K148" s="3"/>
      <x:c r="L148" s="3"/>
      <x:c r="M148" s="3"/>
      <x:c r="N148" s="2"/>
    </x:row>
    <x:row r="149" ht="35" customHeight="1">
      <x:c r="A149" s="4" t="str">
        <x:v>GLM5.3</x:v>
      </x:c>
      <x:c r="B149" s="5" t="n">
        <x:f>$B$64</x:f>
        <x:v>262144</x:v>
      </x:c>
      <x:c r="C149" s="5" t="n">
        <x:f>INT(B149*$H$5/$D$56)*$D$56</x:f>
        <x:v>262144</x:v>
      </x:c>
      <x:c r="D149" s="5" t="str">
        <x:f>B87</x:f>
        <x:v>Indexer</x:v>
      </x:c>
      <x:c r="E149" s="5" t="n">
        <x:f>IF(C149=0,0,IF(J87="endpoint",M87,IF(J87="tail",MIN(C149/H87,ROUNDUP(MAX(0,I87-1)/H87,0))*H87/G87,C149/G87)))</x:f>
        <x:v>262144</x:v>
      </x:c>
      <x:c r="F149" s="5" t="n">
        <x:f>(D87*E87+F87)*IF(K87="sharded",1/$B$56,IF(K87="kv-heads",MAX(1,L87/$B$56),1))</x:f>
        <x:v>256</x:v>
      </x:c>
      <x:c r="G149" s="5" t="n">
        <x:f>C87</x:f>
        <x:v>21</x:v>
      </x:c>
      <x:c r="H149" s="5" t="n">
        <x:f>E149*F149*G149</x:f>
        <x:v>1409286144</x:v>
      </x:c>
      <x:c r="I149" s="5" t="str">
        <x:v>cache</x:v>
      </x:c>
      <x:c r="J149" s="3"/>
      <x:c r="K149" s="3"/>
      <x:c r="L149" s="3"/>
      <x:c r="M149" s="3"/>
      <x:c r="N149" s="2"/>
    </x:row>
    <x:row r="150" ht="35" customHeight="1">
      <x:c r="A150" s="4" t="str">
        <x:v>GLM5.3</x:v>
      </x:c>
      <x:c r="B150" s="5" t="n">
        <x:f>$B$65</x:f>
        <x:v>1048576</x:v>
      </x:c>
      <x:c r="C150" s="5" t="n">
        <x:f>INT(B150*$H$5/$D$56)*$D$56</x:f>
        <x:v>1048576</x:v>
      </x:c>
      <x:c r="D150" s="5" t="str">
        <x:f>B86</x:f>
        <x:v>MLA</x:v>
      </x:c>
      <x:c r="E150" s="5" t="n">
        <x:f>IF(C150=0,0,IF(J86="endpoint",M86,IF(J86="tail",MIN(C150/H86,ROUNDUP(MAX(0,I86-1)/H86,0))*H86/G86,C150/G86)))</x:f>
        <x:v>1048576</x:v>
      </x:c>
      <x:c r="F150" s="5" t="n">
        <x:f>(D86*E86+F86)*IF(K86="sharded",1/$B$56,IF(K86="kv-heads",MAX(1,L86/$B$56),1))</x:f>
        <x:v>1152</x:v>
      </x:c>
      <x:c r="G150" s="5" t="n">
        <x:f>C86</x:f>
        <x:v>78</x:v>
      </x:c>
      <x:c r="H150" s="5" t="n">
        <x:f>E150*F150*G150</x:f>
        <x:v>94220845056</x:v>
      </x:c>
      <x:c r="I150" s="5" t="str">
        <x:v>cache</x:v>
      </x:c>
      <x:c r="J150" s="3"/>
      <x:c r="K150" s="3"/>
      <x:c r="L150" s="3"/>
      <x:c r="M150" s="3"/>
      <x:c r="N150" s="2"/>
    </x:row>
    <x:row r="151" ht="35" customHeight="1">
      <x:c r="A151" s="4" t="str">
        <x:v>GLM5.3</x:v>
      </x:c>
      <x:c r="B151" s="5" t="n">
        <x:f>$B$65</x:f>
        <x:v>1048576</x:v>
      </x:c>
      <x:c r="C151" s="5" t="n">
        <x:f>INT(B151*$H$5/$D$56)*$D$56</x:f>
        <x:v>1048576</x:v>
      </x:c>
      <x:c r="D151" s="5" t="str">
        <x:f>B87</x:f>
        <x:v>Indexer</x:v>
      </x:c>
      <x:c r="E151" s="5" t="n">
        <x:f>IF(C151=0,0,IF(J87="endpoint",M87,IF(J87="tail",MIN(C151/H87,ROUNDUP(MAX(0,I87-1)/H87,0))*H87/G87,C151/G87)))</x:f>
        <x:v>1048576</x:v>
      </x:c>
      <x:c r="F151" s="5" t="n">
        <x:f>(D87*E87+F87)*IF(K87="sharded",1/$B$56,IF(K87="kv-heads",MAX(1,L87/$B$56),1))</x:f>
        <x:v>256</x:v>
      </x:c>
      <x:c r="G151" s="5" t="n">
        <x:f>C87</x:f>
        <x:v>21</x:v>
      </x:c>
      <x:c r="H151" s="5" t="n">
        <x:f>E151*F151*G151</x:f>
        <x:v>5637144576</x:v>
      </x:c>
      <x:c r="I151" s="5" t="str">
        <x:v>cache</x:v>
      </x:c>
      <x:c r="J151" s="3"/>
      <x:c r="K151" s="3"/>
      <x:c r="L151" s="3"/>
      <x:c r="M151" s="3"/>
      <x:c r="N151" s="2"/>
    </x:row>
    <x:row r="152" ht="35" customHeight="1">
      <x:c r="A152" s="4" t="str">
        <x:v>KimiK3</x:v>
      </x:c>
      <x:c r="B152" s="5" t="n">
        <x:f>$B$63</x:f>
        <x:v>16384</x:v>
      </x:c>
      <x:c r="C152" s="5" t="n">
        <x:f>INT(B152*$H$5/$D$57)*$D$57</x:f>
        <x:v>16384</x:v>
      </x:c>
      <x:c r="D152" s="5" t="str">
        <x:f>B88</x:f>
        <x:v>MLA</x:v>
      </x:c>
      <x:c r="E152" s="5" t="n">
        <x:f>IF(C152=0,0,IF(J88="endpoint",M88,IF(J88="tail",MIN(C152/H88,ROUNDUP(MAX(0,I88-1)/H88,0))*H88/G88,C152/G88)))</x:f>
        <x:v>16384</x:v>
      </x:c>
      <x:c r="F152" s="5" t="n">
        <x:f>(D88*E88+F88)*IF(K88="sharded",1/$B$57,IF(K88="kv-heads",MAX(1,L88/$B$57),1))</x:f>
        <x:v>1152</x:v>
      </x:c>
      <x:c r="G152" s="5" t="n">
        <x:f>C88</x:f>
        <x:v>24</x:v>
      </x:c>
      <x:c r="H152" s="5" t="n">
        <x:f>E152*F152*G152</x:f>
        <x:v>452984832</x:v>
      </x:c>
      <x:c r="I152" s="5" t="str">
        <x:v>cache</x:v>
      </x:c>
      <x:c r="J152" s="3"/>
      <x:c r="K152" s="3"/>
      <x:c r="L152" s="3"/>
      <x:c r="M152" s="3"/>
      <x:c r="N152" s="2"/>
    </x:row>
    <x:row r="153" ht="35" customHeight="1">
      <x:c r="A153" s="4" t="str">
        <x:v>KimiK3</x:v>
      </x:c>
      <x:c r="B153" s="5" t="n">
        <x:f>$B$63</x:f>
        <x:v>16384</x:v>
      </x:c>
      <x:c r="C153" s="5" t="n">
        <x:f>INT(B153*$H$5/$D$57)*$D$57</x:f>
        <x:v>16384</x:v>
      </x:c>
      <x:c r="D153" s="5" t="str">
        <x:f>B89</x:f>
        <x:v>Conv state</x:v>
      </x:c>
      <x:c r="E153" s="5" t="n">
        <x:f>IF(C153=0,0,IF(J89="endpoint",M89,IF(J89="tail",MIN(C153/H89,ROUNDUP(MAX(0,I89-1)/H89,0))*H89/G89,C153/G89)))</x:f>
        <x:v>3</x:v>
      </x:c>
      <x:c r="F153" s="5" t="n">
        <x:f>(D89*E89+F89)*IF(K89="sharded",1/$B$57,IF(K89="kv-heads",MAX(1,L89/$B$57),1))</x:f>
        <x:v>9216</x:v>
      </x:c>
      <x:c r="G153" s="5" t="n">
        <x:f>C89</x:f>
        <x:v>69</x:v>
      </x:c>
      <x:c r="H153" s="5" t="n">
        <x:f>E153*F153*G153</x:f>
        <x:v>1907712</x:v>
      </x:c>
      <x:c r="I153" s="5" t="str">
        <x:v>state</x:v>
      </x:c>
      <x:c r="J153" s="3"/>
      <x:c r="K153" s="3"/>
      <x:c r="L153" s="3"/>
      <x:c r="M153" s="3"/>
      <x:c r="N153" s="2"/>
    </x:row>
    <x:row r="154" ht="35" customHeight="1">
      <x:c r="A154" s="4" t="str">
        <x:v>KimiK3</x:v>
      </x:c>
      <x:c r="B154" s="5" t="n">
        <x:f>$B$63</x:f>
        <x:v>16384</x:v>
      </x:c>
      <x:c r="C154" s="5" t="n">
        <x:f>INT(B154*$H$5/$D$57)*$D$57</x:f>
        <x:v>16384</x:v>
      </x:c>
      <x:c r="D154" s="5" t="str">
        <x:f>B90</x:f>
        <x:v>Recurrent state</x:v>
      </x:c>
      <x:c r="E154" s="5" t="n">
        <x:f>IF(C154=0,0,IF(J90="endpoint",M90,IF(J90="tail",MIN(C154/H90,ROUNDUP(MAX(0,I90-1)/H90,0))*H90/G90,C154/G90)))</x:f>
        <x:v>1</x:v>
      </x:c>
      <x:c r="F154" s="5" t="n">
        <x:f>(D90*E90+F90)*IF(K90="sharded",1/$B$57,IF(K90="kv-heads",MAX(1,L90/$B$57),1))</x:f>
        <x:v>786432</x:v>
      </x:c>
      <x:c r="G154" s="5" t="n">
        <x:f>C90</x:f>
        <x:v>69</x:v>
      </x:c>
      <x:c r="H154" s="5" t="n">
        <x:f>E154*F154*G154</x:f>
        <x:v>54263808</x:v>
      </x:c>
      <x:c r="I154" s="5" t="str">
        <x:v>state</x:v>
      </x:c>
      <x:c r="J154" s="3"/>
      <x:c r="K154" s="3"/>
      <x:c r="L154" s="3"/>
      <x:c r="M154" s="3"/>
      <x:c r="N154" s="2"/>
    </x:row>
    <x:row r="155" ht="35" customHeight="1">
      <x:c r="A155" s="4" t="str">
        <x:v>KimiK3</x:v>
      </x:c>
      <x:c r="B155" s="5" t="n">
        <x:f>$B$64</x:f>
        <x:v>262144</x:v>
      </x:c>
      <x:c r="C155" s="5" t="n">
        <x:f>INT(B155*$H$5/$D$57)*$D$57</x:f>
        <x:v>262144</x:v>
      </x:c>
      <x:c r="D155" s="5" t="str">
        <x:f>B88</x:f>
        <x:v>MLA</x:v>
      </x:c>
      <x:c r="E155" s="5" t="n">
        <x:f>IF(C155=0,0,IF(J88="endpoint",M88,IF(J88="tail",MIN(C155/H88,ROUNDUP(MAX(0,I88-1)/H88,0))*H88/G88,C155/G88)))</x:f>
        <x:v>262144</x:v>
      </x:c>
      <x:c r="F155" s="5" t="n">
        <x:f>(D88*E88+F88)*IF(K88="sharded",1/$B$57,IF(K88="kv-heads",MAX(1,L88/$B$57),1))</x:f>
        <x:v>1152</x:v>
      </x:c>
      <x:c r="G155" s="5" t="n">
        <x:f>C88</x:f>
        <x:v>24</x:v>
      </x:c>
      <x:c r="H155" s="5" t="n">
        <x:f>E155*F155*G155</x:f>
        <x:v>7247757312</x:v>
      </x:c>
      <x:c r="I155" s="5" t="str">
        <x:v>cache</x:v>
      </x:c>
      <x:c r="J155" s="3"/>
      <x:c r="K155" s="3"/>
      <x:c r="L155" s="3"/>
      <x:c r="M155" s="3"/>
      <x:c r="N155" s="2"/>
    </x:row>
    <x:row r="156" ht="35" customHeight="1">
      <x:c r="A156" s="4" t="str">
        <x:v>KimiK3</x:v>
      </x:c>
      <x:c r="B156" s="5" t="n">
        <x:f>$B$64</x:f>
        <x:v>262144</x:v>
      </x:c>
      <x:c r="C156" s="5" t="n">
        <x:f>INT(B156*$H$5/$D$57)*$D$57</x:f>
        <x:v>262144</x:v>
      </x:c>
      <x:c r="D156" s="5" t="str">
        <x:f>B89</x:f>
        <x:v>Conv state</x:v>
      </x:c>
      <x:c r="E156" s="5" t="n">
        <x:f>IF(C156=0,0,IF(J89="endpoint",M89,IF(J89="tail",MIN(C156/H89,ROUNDUP(MAX(0,I89-1)/H89,0))*H89/G89,C156/G89)))</x:f>
        <x:v>3</x:v>
      </x:c>
      <x:c r="F156" s="5" t="n">
        <x:f>(D89*E89+F89)*IF(K89="sharded",1/$B$57,IF(K89="kv-heads",MAX(1,L89/$B$57),1))</x:f>
        <x:v>9216</x:v>
      </x:c>
      <x:c r="G156" s="5" t="n">
        <x:f>C89</x:f>
        <x:v>69</x:v>
      </x:c>
      <x:c r="H156" s="5" t="n">
        <x:f>E156*F156*G156</x:f>
        <x:v>1907712</x:v>
      </x:c>
      <x:c r="I156" s="5" t="str">
        <x:v>state</x:v>
      </x:c>
      <x:c r="J156" s="3"/>
      <x:c r="K156" s="3"/>
      <x:c r="L156" s="3"/>
      <x:c r="M156" s="3"/>
      <x:c r="N156" s="2"/>
    </x:row>
    <x:row r="157" ht="35" customHeight="1">
      <x:c r="A157" s="4" t="str">
        <x:v>KimiK3</x:v>
      </x:c>
      <x:c r="B157" s="5" t="n">
        <x:f>$B$64</x:f>
        <x:v>262144</x:v>
      </x:c>
      <x:c r="C157" s="5" t="n">
        <x:f>INT(B157*$H$5/$D$57)*$D$57</x:f>
        <x:v>262144</x:v>
      </x:c>
      <x:c r="D157" s="5" t="str">
        <x:f>B90</x:f>
        <x:v>Recurrent state</x:v>
      </x:c>
      <x:c r="E157" s="5" t="n">
        <x:f>IF(C157=0,0,IF(J90="endpoint",M90,IF(J90="tail",MIN(C157/H90,ROUNDUP(MAX(0,I90-1)/H90,0))*H90/G90,C157/G90)))</x:f>
        <x:v>1</x:v>
      </x:c>
      <x:c r="F157" s="5" t="n">
        <x:f>(D90*E90+F90)*IF(K90="sharded",1/$B$57,IF(K90="kv-heads",MAX(1,L90/$B$57),1))</x:f>
        <x:v>786432</x:v>
      </x:c>
      <x:c r="G157" s="5" t="n">
        <x:f>C90</x:f>
        <x:v>69</x:v>
      </x:c>
      <x:c r="H157" s="5" t="n">
        <x:f>E157*F157*G157</x:f>
        <x:v>54263808</x:v>
      </x:c>
      <x:c r="I157" s="5" t="str">
        <x:v>state</x:v>
      </x:c>
      <x:c r="J157" s="3"/>
      <x:c r="K157" s="3"/>
      <x:c r="L157" s="3"/>
      <x:c r="M157" s="3"/>
      <x:c r="N157" s="2"/>
    </x:row>
    <x:row r="158" ht="35" customHeight="1">
      <x:c r="A158" s="4" t="str">
        <x:v>KimiK3</x:v>
      </x:c>
      <x:c r="B158" s="5" t="n">
        <x:f>$B$65</x:f>
        <x:v>1048576</x:v>
      </x:c>
      <x:c r="C158" s="5" t="n">
        <x:f>INT(B158*$H$5/$D$57)*$D$57</x:f>
        <x:v>1048576</x:v>
      </x:c>
      <x:c r="D158" s="5" t="str">
        <x:f>B88</x:f>
        <x:v>MLA</x:v>
      </x:c>
      <x:c r="E158" s="5" t="n">
        <x:f>IF(C158=0,0,IF(J88="endpoint",M88,IF(J88="tail",MIN(C158/H88,ROUNDUP(MAX(0,I88-1)/H88,0))*H88/G88,C158/G88)))</x:f>
        <x:v>1048576</x:v>
      </x:c>
      <x:c r="F158" s="5" t="n">
        <x:f>(D88*E88+F88)*IF(K88="sharded",1/$B$57,IF(K88="kv-heads",MAX(1,L88/$B$57),1))</x:f>
        <x:v>1152</x:v>
      </x:c>
      <x:c r="G158" s="5" t="n">
        <x:f>C88</x:f>
        <x:v>24</x:v>
      </x:c>
      <x:c r="H158" s="5" t="n">
        <x:f>E158*F158*G158</x:f>
        <x:v>28991029248</x:v>
      </x:c>
      <x:c r="I158" s="5" t="str">
        <x:v>cache</x:v>
      </x:c>
      <x:c r="J158" s="3"/>
      <x:c r="K158" s="3"/>
      <x:c r="L158" s="3"/>
      <x:c r="M158" s="3"/>
      <x:c r="N158" s="2"/>
    </x:row>
    <x:row r="159" ht="35" customHeight="1">
      <x:c r="A159" s="4" t="str">
        <x:v>KimiK3</x:v>
      </x:c>
      <x:c r="B159" s="5" t="n">
        <x:f>$B$65</x:f>
        <x:v>1048576</x:v>
      </x:c>
      <x:c r="C159" s="5" t="n">
        <x:f>INT(B159*$H$5/$D$57)*$D$57</x:f>
        <x:v>1048576</x:v>
      </x:c>
      <x:c r="D159" s="5" t="str">
        <x:f>B89</x:f>
        <x:v>Conv state</x:v>
      </x:c>
      <x:c r="E159" s="5" t="n">
        <x:f>IF(C159=0,0,IF(J89="endpoint",M89,IF(J89="tail",MIN(C159/H89,ROUNDUP(MAX(0,I89-1)/H89,0))*H89/G89,C159/G89)))</x:f>
        <x:v>3</x:v>
      </x:c>
      <x:c r="F159" s="5" t="n">
        <x:f>(D89*E89+F89)*IF(K89="sharded",1/$B$57,IF(K89="kv-heads",MAX(1,L89/$B$57),1))</x:f>
        <x:v>9216</x:v>
      </x:c>
      <x:c r="G159" s="5" t="n">
        <x:f>C89</x:f>
        <x:v>69</x:v>
      </x:c>
      <x:c r="H159" s="5" t="n">
        <x:f>E159*F159*G159</x:f>
        <x:v>1907712</x:v>
      </x:c>
      <x:c r="I159" s="5" t="str">
        <x:v>state</x:v>
      </x:c>
      <x:c r="J159" s="3"/>
      <x:c r="K159" s="3"/>
      <x:c r="L159" s="3"/>
      <x:c r="M159" s="3"/>
      <x:c r="N159" s="2"/>
    </x:row>
    <x:row r="160" ht="35" customHeight="1">
      <x:c r="A160" s="4" t="str">
        <x:v>KimiK3</x:v>
      </x:c>
      <x:c r="B160" s="5" t="n">
        <x:f>$B$65</x:f>
        <x:v>1048576</x:v>
      </x:c>
      <x:c r="C160" s="5" t="n">
        <x:f>INT(B160*$H$5/$D$57)*$D$57</x:f>
        <x:v>1048576</x:v>
      </x:c>
      <x:c r="D160" s="5" t="str">
        <x:f>B90</x:f>
        <x:v>Recurrent state</x:v>
      </x:c>
      <x:c r="E160" s="5" t="n">
        <x:f>IF(C160=0,0,IF(J90="endpoint",M90,IF(J90="tail",MIN(C160/H90,ROUNDUP(MAX(0,I90-1)/H90,0))*H90/G90,C160/G90)))</x:f>
        <x:v>1</x:v>
      </x:c>
      <x:c r="F160" s="5" t="n">
        <x:f>(D90*E90+F90)*IF(K90="sharded",1/$B$57,IF(K90="kv-heads",MAX(1,L90/$B$57),1))</x:f>
        <x:v>786432</x:v>
      </x:c>
      <x:c r="G160" s="5" t="n">
        <x:f>C90</x:f>
        <x:v>69</x:v>
      </x:c>
      <x:c r="H160" s="5" t="n">
        <x:f>E160*F160*G160</x:f>
        <x:v>54263808</x:v>
      </x:c>
      <x:c r="I160" s="5" t="str">
        <x:v>state</x:v>
      </x:c>
      <x:c r="J160" s="3"/>
      <x:c r="K160" s="3"/>
      <x:c r="L160" s="3"/>
      <x:c r="M160" s="3"/>
      <x:c r="N160" s="2"/>
    </x:row>
    <x:row r="161" ht="35" customHeight="1">
      <x:c r="A161" s="4" t="str">
        <x:v>Qwen3.8 2.4T</x:v>
      </x:c>
      <x:c r="B161" s="5" t="n">
        <x:f>$B$63</x:f>
        <x:v>16384</x:v>
      </x:c>
      <x:c r="C161" s="5" t="n">
        <x:f>INT(B161*$H$5/$D$58)*$D$58</x:f>
        <x:v>16384</x:v>
      </x:c>
      <x:c r="D161" s="5" t="str">
        <x:f>B91</x:f>
        <x:v>GQA K+V</x:v>
      </x:c>
      <x:c r="E161" s="5" t="n">
        <x:f>IF(C161=0,0,IF(J91="endpoint",M91,IF(J91="tail",MIN(C161/H91,ROUNDUP(MAX(0,I91-1)/H91,0))*H91/G91,C161/G91)))</x:f>
        <x:v>16384</x:v>
      </x:c>
      <x:c r="F161" s="5" t="n">
        <x:f>(D91*E91+F91)*IF(K91="sharded",1/$B$58,IF(K91="kv-heads",MAX(1,L91/$B$58),1))</x:f>
        <x:v>1024</x:v>
      </x:c>
      <x:c r="G161" s="5" t="n">
        <x:f>C91</x:f>
        <x:v>23</x:v>
      </x:c>
      <x:c r="H161" s="5" t="n">
        <x:f>E161*F161*G161</x:f>
        <x:v>385875968</x:v>
      </x:c>
      <x:c r="I161" s="5" t="str">
        <x:v>cache</x:v>
      </x:c>
      <x:c r="J161" s="3"/>
      <x:c r="K161" s="3"/>
      <x:c r="L161" s="3"/>
      <x:c r="M161" s="3"/>
      <x:c r="N161" s="2"/>
    </x:row>
    <x:row r="162" ht="35" customHeight="1">
      <x:c r="A162" s="4" t="str">
        <x:v>Qwen3.8 2.4T</x:v>
      </x:c>
      <x:c r="B162" s="5" t="n">
        <x:f>$B$63</x:f>
        <x:v>16384</x:v>
      </x:c>
      <x:c r="C162" s="5" t="n">
        <x:f>INT(B162*$H$5/$D$58)*$D$58</x:f>
        <x:v>16384</x:v>
      </x:c>
      <x:c r="D162" s="5" t="str">
        <x:f>B92</x:f>
        <x:v>Conv state</x:v>
      </x:c>
      <x:c r="E162" s="5" t="n">
        <x:f>IF(C162=0,0,IF(J92="endpoint",M92,IF(J92="tail",MIN(C162/H92,ROUNDUP(MAX(0,I92-1)/H92,0))*H92/G92,C162/G92)))</x:f>
        <x:v>3</x:v>
      </x:c>
      <x:c r="F162" s="5" t="n">
        <x:f>(D92*E92+F92)*IF(K92="sharded",1/$B$58,IF(K92="kv-heads",MAX(1,L92/$B$58),1))</x:f>
        <x:v>5120</x:v>
      </x:c>
      <x:c r="G162" s="5" t="n">
        <x:f>C92</x:f>
        <x:v>69</x:v>
      </x:c>
      <x:c r="H162" s="5" t="n">
        <x:f>E162*F162*G162</x:f>
        <x:v>1059840</x:v>
      </x:c>
      <x:c r="I162" s="5" t="str">
        <x:v>state</x:v>
      </x:c>
      <x:c r="J162" s="3"/>
      <x:c r="K162" s="3"/>
      <x:c r="L162" s="3"/>
      <x:c r="M162" s="3"/>
      <x:c r="N162" s="2"/>
    </x:row>
    <x:row r="163" ht="35" customHeight="1">
      <x:c r="A163" s="4" t="str">
        <x:v>Qwen3.8 2.4T</x:v>
      </x:c>
      <x:c r="B163" s="5" t="n">
        <x:f>$B$63</x:f>
        <x:v>16384</x:v>
      </x:c>
      <x:c r="C163" s="5" t="n">
        <x:f>INT(B163*$H$5/$D$58)*$D$58</x:f>
        <x:v>16384</x:v>
      </x:c>
      <x:c r="D163" s="5" t="str">
        <x:f>B93</x:f>
        <x:v>Recurrent state</x:v>
      </x:c>
      <x:c r="E163" s="5" t="n">
        <x:f>IF(C163=0,0,IF(J93="endpoint",M93,IF(J93="tail",MIN(C163/H93,ROUNDUP(MAX(0,I93-1)/H93,0))*H93/G93,C163/G93)))</x:f>
        <x:v>1</x:v>
      </x:c>
      <x:c r="F163" s="5" t="n">
        <x:f>(D93*E93+F93)*IF(K93="sharded",1/$B$58,IF(K93="kv-heads",MAX(1,L93/$B$58),1))</x:f>
        <x:v>1048576</x:v>
      </x:c>
      <x:c r="G163" s="5" t="n">
        <x:f>C93</x:f>
        <x:v>69</x:v>
      </x:c>
      <x:c r="H163" s="5" t="n">
        <x:f>E163*F163*G163</x:f>
        <x:v>72351744</x:v>
      </x:c>
      <x:c r="I163" s="5" t="str">
        <x:v>state</x:v>
      </x:c>
      <x:c r="J163" s="3"/>
      <x:c r="K163" s="3"/>
      <x:c r="L163" s="3"/>
      <x:c r="M163" s="3"/>
      <x:c r="N163" s="2"/>
    </x:row>
    <x:row r="164" ht="35" customHeight="1">
      <x:c r="A164" s="4" t="str">
        <x:v>Qwen3.8 2.4T</x:v>
      </x:c>
      <x:c r="B164" s="5" t="n">
        <x:f>$B$64</x:f>
        <x:v>262144</x:v>
      </x:c>
      <x:c r="C164" s="5" t="n">
        <x:f>INT(B164*$H$5/$D$58)*$D$58</x:f>
        <x:v>262144</x:v>
      </x:c>
      <x:c r="D164" s="5" t="str">
        <x:f>B91</x:f>
        <x:v>GQA K+V</x:v>
      </x:c>
      <x:c r="E164" s="5" t="n">
        <x:f>IF(C164=0,0,IF(J91="endpoint",M91,IF(J91="tail",MIN(C164/H91,ROUNDUP(MAX(0,I91-1)/H91,0))*H91/G91,C164/G91)))</x:f>
        <x:v>262144</x:v>
      </x:c>
      <x:c r="F164" s="5" t="n">
        <x:f>(D91*E91+F91)*IF(K91="sharded",1/$B$58,IF(K91="kv-heads",MAX(1,L91/$B$58),1))</x:f>
        <x:v>1024</x:v>
      </x:c>
      <x:c r="G164" s="5" t="n">
        <x:f>C91</x:f>
        <x:v>23</x:v>
      </x:c>
      <x:c r="H164" s="5" t="n">
        <x:f>E164*F164*G164</x:f>
        <x:v>6174015488</x:v>
      </x:c>
      <x:c r="I164" s="5" t="str">
        <x:v>cache</x:v>
      </x:c>
      <x:c r="J164" s="3"/>
      <x:c r="K164" s="3"/>
      <x:c r="L164" s="3"/>
      <x:c r="M164" s="3"/>
      <x:c r="N164" s="2"/>
    </x:row>
    <x:row r="165" ht="35" customHeight="1">
      <x:c r="A165" s="4" t="str">
        <x:v>Qwen3.8 2.4T</x:v>
      </x:c>
      <x:c r="B165" s="5" t="n">
        <x:f>$B$64</x:f>
        <x:v>262144</x:v>
      </x:c>
      <x:c r="C165" s="5" t="n">
        <x:f>INT(B165*$H$5/$D$58)*$D$58</x:f>
        <x:v>262144</x:v>
      </x:c>
      <x:c r="D165" s="5" t="str">
        <x:f>B92</x:f>
        <x:v>Conv state</x:v>
      </x:c>
      <x:c r="E165" s="5" t="n">
        <x:f>IF(C165=0,0,IF(J92="endpoint",M92,IF(J92="tail",MIN(C165/H92,ROUNDUP(MAX(0,I92-1)/H92,0))*H92/G92,C165/G92)))</x:f>
        <x:v>3</x:v>
      </x:c>
      <x:c r="F165" s="5" t="n">
        <x:f>(D92*E92+F92)*IF(K92="sharded",1/$B$58,IF(K92="kv-heads",MAX(1,L92/$B$58),1))</x:f>
        <x:v>5120</x:v>
      </x:c>
      <x:c r="G165" s="5" t="n">
        <x:f>C92</x:f>
        <x:v>69</x:v>
      </x:c>
      <x:c r="H165" s="5" t="n">
        <x:f>E165*F165*G165</x:f>
        <x:v>1059840</x:v>
      </x:c>
      <x:c r="I165" s="5" t="str">
        <x:v>state</x:v>
      </x:c>
      <x:c r="J165" s="3"/>
      <x:c r="K165" s="3"/>
      <x:c r="L165" s="3"/>
      <x:c r="M165" s="3"/>
      <x:c r="N165" s="2"/>
    </x:row>
    <x:row r="166" ht="35" customHeight="1">
      <x:c r="A166" s="4" t="str">
        <x:v>Qwen3.8 2.4T</x:v>
      </x:c>
      <x:c r="B166" s="5" t="n">
        <x:f>$B$64</x:f>
        <x:v>262144</x:v>
      </x:c>
      <x:c r="C166" s="5" t="n">
        <x:f>INT(B166*$H$5/$D$58)*$D$58</x:f>
        <x:v>262144</x:v>
      </x:c>
      <x:c r="D166" s="5" t="str">
        <x:f>B93</x:f>
        <x:v>Recurrent state</x:v>
      </x:c>
      <x:c r="E166" s="5" t="n">
        <x:f>IF(C166=0,0,IF(J93="endpoint",M93,IF(J93="tail",MIN(C166/H93,ROUNDUP(MAX(0,I93-1)/H93,0))*H93/G93,C166/G93)))</x:f>
        <x:v>1</x:v>
      </x:c>
      <x:c r="F166" s="5" t="n">
        <x:f>(D93*E93+F93)*IF(K93="sharded",1/$B$58,IF(K93="kv-heads",MAX(1,L93/$B$58),1))</x:f>
        <x:v>1048576</x:v>
      </x:c>
      <x:c r="G166" s="5" t="n">
        <x:f>C93</x:f>
        <x:v>69</x:v>
      </x:c>
      <x:c r="H166" s="5" t="n">
        <x:f>E166*F166*G166</x:f>
        <x:v>72351744</x:v>
      </x:c>
      <x:c r="I166" s="5" t="str">
        <x:v>state</x:v>
      </x:c>
      <x:c r="J166" s="3"/>
      <x:c r="K166" s="3"/>
      <x:c r="L166" s="3"/>
      <x:c r="M166" s="3"/>
      <x:c r="N166" s="2"/>
    </x:row>
    <x:row r="167" ht="35" customHeight="1">
      <x:c r="A167" s="4" t="str">
        <x:v>Qwen3.8 2.4T</x:v>
      </x:c>
      <x:c r="B167" s="5" t="n">
        <x:f>$B$65</x:f>
        <x:v>1048576</x:v>
      </x:c>
      <x:c r="C167" s="5" t="n">
        <x:f>INT(B167*$H$5/$D$58)*$D$58</x:f>
        <x:v>1048576</x:v>
      </x:c>
      <x:c r="D167" s="5" t="str">
        <x:f>B91</x:f>
        <x:v>GQA K+V</x:v>
      </x:c>
      <x:c r="E167" s="5" t="n">
        <x:f>IF(C167=0,0,IF(J91="endpoint",M91,IF(J91="tail",MIN(C167/H91,ROUNDUP(MAX(0,I91-1)/H91,0))*H91/G91,C167/G91)))</x:f>
        <x:v>1048576</x:v>
      </x:c>
      <x:c r="F167" s="5" t="n">
        <x:f>(D91*E91+F91)*IF(K91="sharded",1/$B$58,IF(K91="kv-heads",MAX(1,L91/$B$58),1))</x:f>
        <x:v>1024</x:v>
      </x:c>
      <x:c r="G167" s="5" t="n">
        <x:f>C91</x:f>
        <x:v>23</x:v>
      </x:c>
      <x:c r="H167" s="5" t="n">
        <x:f>E167*F167*G167</x:f>
        <x:v>24696061952</x:v>
      </x:c>
      <x:c r="I167" s="5" t="str">
        <x:v>cache</x:v>
      </x:c>
      <x:c r="J167" s="3"/>
      <x:c r="K167" s="3"/>
      <x:c r="L167" s="3"/>
      <x:c r="M167" s="3"/>
      <x:c r="N167" s="2"/>
    </x:row>
    <x:row r="168" ht="35" customHeight="1">
      <x:c r="A168" s="4" t="str">
        <x:v>Qwen3.8 2.4T</x:v>
      </x:c>
      <x:c r="B168" s="5" t="n">
        <x:f>$B$65</x:f>
        <x:v>1048576</x:v>
      </x:c>
      <x:c r="C168" s="5" t="n">
        <x:f>INT(B168*$H$5/$D$58)*$D$58</x:f>
        <x:v>1048576</x:v>
      </x:c>
      <x:c r="D168" s="5" t="str">
        <x:f>B92</x:f>
        <x:v>Conv state</x:v>
      </x:c>
      <x:c r="E168" s="5" t="n">
        <x:f>IF(C168=0,0,IF(J92="endpoint",M92,IF(J92="tail",MIN(C168/H92,ROUNDUP(MAX(0,I92-1)/H92,0))*H92/G92,C168/G92)))</x:f>
        <x:v>3</x:v>
      </x:c>
      <x:c r="F168" s="5" t="n">
        <x:f>(D92*E92+F92)*IF(K92="sharded",1/$B$58,IF(K92="kv-heads",MAX(1,L92/$B$58),1))</x:f>
        <x:v>5120</x:v>
      </x:c>
      <x:c r="G168" s="5" t="n">
        <x:f>C92</x:f>
        <x:v>69</x:v>
      </x:c>
      <x:c r="H168" s="5" t="n">
        <x:f>E168*F168*G168</x:f>
        <x:v>1059840</x:v>
      </x:c>
      <x:c r="I168" s="5" t="str">
        <x:v>state</x:v>
      </x:c>
      <x:c r="J168" s="3"/>
      <x:c r="K168" s="3"/>
      <x:c r="L168" s="3"/>
      <x:c r="M168" s="3"/>
      <x:c r="N168" s="2"/>
    </x:row>
    <x:row r="169" ht="35" customHeight="1">
      <x:c r="A169" s="4" t="str">
        <x:v>Qwen3.8 2.4T</x:v>
      </x:c>
      <x:c r="B169" s="5" t="n">
        <x:f>$B$65</x:f>
        <x:v>1048576</x:v>
      </x:c>
      <x:c r="C169" s="5" t="n">
        <x:f>INT(B169*$H$5/$D$58)*$D$58</x:f>
        <x:v>1048576</x:v>
      </x:c>
      <x:c r="D169" s="5" t="str">
        <x:f>B93</x:f>
        <x:v>Recurrent state</x:v>
      </x:c>
      <x:c r="E169" s="5" t="n">
        <x:f>IF(C169=0,0,IF(J93="endpoint",M93,IF(J93="tail",MIN(C169/H93,ROUNDUP(MAX(0,I93-1)/H93,0))*H93/G93,C169/G93)))</x:f>
        <x:v>1</x:v>
      </x:c>
      <x:c r="F169" s="5" t="n">
        <x:f>(D93*E93+F93)*IF(K93="sharded",1/$B$58,IF(K93="kv-heads",MAX(1,L93/$B$58),1))</x:f>
        <x:v>1048576</x:v>
      </x:c>
      <x:c r="G169" s="5" t="n">
        <x:f>C93</x:f>
        <x:v>69</x:v>
      </x:c>
      <x:c r="H169" s="5" t="n">
        <x:f>E169*F169*G169</x:f>
        <x:v>72351744</x:v>
      </x:c>
      <x:c r="I169" s="5" t="str">
        <x:v>state</x:v>
      </x:c>
      <x:c r="J169" s="3"/>
      <x:c r="K169" s="3"/>
      <x:c r="L169" s="3"/>
      <x:c r="M169" s="3"/>
      <x:c r="N169" s="2"/>
    </x:row>
    <x:row r="170" ht="35" customHeight="1">
      <x:c r="A170" s="4" t="str">
        <x:v>DS V4.1 Flash</x:v>
      </x:c>
      <x:c r="B170" s="5" t="n">
        <x:f>$B$63</x:f>
        <x:v>16384</x:v>
      </x:c>
      <x:c r="C170" s="5" t="n">
        <x:f>INT(B170*$H$5/$D$59)*$D$59</x:f>
        <x:v>16384</x:v>
      </x:c>
      <x:c r="D170" s="5" t="str">
        <x:f>B94</x:f>
        <x:v>SWA KV</x:v>
      </x:c>
      <x:c r="E170" s="5" t="n">
        <x:f>IF(C170=0,0,IF(J94="endpoint",M94,IF(J94="tail",MIN(C170/H94,ROUNDUP(MAX(0,I94-1)/H94,0))*H94/G94,C170/G94)))</x:f>
        <x:v>128</x:v>
      </x:c>
      <x:c r="F170" s="5" t="n">
        <x:f>(D94*E94+F94)*IF(K94="sharded",1/$B$59,IF(K94="kv-heads",MAX(1,L94/$B$59),1))</x:f>
        <x:v>1024</x:v>
      </x:c>
      <x:c r="G170" s="5" t="n">
        <x:f>C94</x:f>
        <x:v>40</x:v>
      </x:c>
      <x:c r="H170" s="5" t="n">
        <x:f>E170*F170*G170</x:f>
        <x:v>5242880</x:v>
      </x:c>
      <x:c r="I170" s="5" t="str">
        <x:v>cache</x:v>
      </x:c>
      <x:c r="J170" s="3"/>
      <x:c r="K170" s="3"/>
      <x:c r="L170" s="3"/>
      <x:c r="M170" s="3"/>
      <x:c r="N170" s="2"/>
    </x:row>
    <x:row r="171" ht="35" customHeight="1">
      <x:c r="A171" s="4" t="str">
        <x:v>DS V4.1 Flash</x:v>
      </x:c>
      <x:c r="B171" s="5" t="n">
        <x:f>$B$63</x:f>
        <x:v>16384</x:v>
      </x:c>
      <x:c r="C171" s="5" t="n">
        <x:f>INT(B171*$H$5/$D$59)*$D$59</x:f>
        <x:v>16384</x:v>
      </x:c>
      <x:c r="D171" s="5" t="str">
        <x:f>B95</x:f>
        <x:v>C2 shared KV</x:v>
      </x:c>
      <x:c r="E171" s="5" t="n">
        <x:f>IF(C171=0,0,IF(J95="endpoint",M95,IF(J95="tail",MIN(C171/H95,ROUNDUP(MAX(0,I95-1)/H95,0))*H95/G95,C171/G95)))</x:f>
        <x:v>8192</x:v>
      </x:c>
      <x:c r="F171" s="5" t="n">
        <x:f>(D95*E95+F95)*IF(K95="sharded",1/$B$59,IF(K95="kv-heads",MAX(1,L95/$B$59),1))</x:f>
        <x:v>1024</x:v>
      </x:c>
      <x:c r="G171" s="5" t="n">
        <x:f>C95</x:f>
        <x:v>3</x:v>
      </x:c>
      <x:c r="H171" s="5" t="n">
        <x:f>E171*F171*G171</x:f>
        <x:v>25165824</x:v>
      </x:c>
      <x:c r="I171" s="5" t="str">
        <x:v>cache</x:v>
      </x:c>
      <x:c r="J171" s="3"/>
      <x:c r="K171" s="3"/>
      <x:c r="L171" s="3"/>
      <x:c r="M171" s="3"/>
      <x:c r="N171" s="2"/>
    </x:row>
    <x:row r="172" ht="35" customHeight="1">
      <x:c r="A172" s="4" t="str">
        <x:v>DS V4.1 Flash</x:v>
      </x:c>
      <x:c r="B172" s="5" t="n">
        <x:f>$B$63</x:f>
        <x:v>16384</x:v>
      </x:c>
      <x:c r="C172" s="5" t="n">
        <x:f>INT(B172*$H$5/$D$59)*$D$59</x:f>
        <x:v>16384</x:v>
      </x:c>
      <x:c r="D172" s="5" t="str">
        <x:f>B96</x:f>
        <x:v>C2 shared Indexer</x:v>
      </x:c>
      <x:c r="E172" s="5" t="n">
        <x:f>IF(C172=0,0,IF(J96="endpoint",M96,IF(J96="tail",MIN(C172/H96,ROUNDUP(MAX(0,I96-1)/H96,0))*H96/G96,C172/G96)))</x:f>
        <x:v>8192</x:v>
      </x:c>
      <x:c r="F172" s="5" t="n">
        <x:f>(D96*E96+F96)*IF(K96="sharded",1/$B$59,IF(K96="kv-heads",MAX(1,L96/$B$59),1))</x:f>
        <x:v>130</x:v>
      </x:c>
      <x:c r="G172" s="5" t="n">
        <x:f>C96</x:f>
        <x:v>3</x:v>
      </x:c>
      <x:c r="H172" s="5" t="n">
        <x:f>E172*F172*G172</x:f>
        <x:v>3194880</x:v>
      </x:c>
      <x:c r="I172" s="5" t="str">
        <x:v>cache</x:v>
      </x:c>
      <x:c r="J172" s="3"/>
      <x:c r="K172" s="3"/>
      <x:c r="L172" s="3"/>
      <x:c r="M172" s="3"/>
      <x:c r="N172" s="2"/>
    </x:row>
    <x:row r="173" ht="35" customHeight="1">
      <x:c r="A173" s="4" t="str">
        <x:v>DS V4.1 Flash</x:v>
      </x:c>
      <x:c r="B173" s="5" t="n">
        <x:f>$B$63</x:f>
        <x:v>16384</x:v>
      </x:c>
      <x:c r="C173" s="5" t="n">
        <x:f>INT(B173*$H$5/$D$59)*$D$59</x:f>
        <x:v>16384</x:v>
      </x:c>
      <x:c r="D173" s="5" t="str">
        <x:f>B97</x:f>
        <x:v>C1 shared KV</x:v>
      </x:c>
      <x:c r="E173" s="5" t="n">
        <x:f>IF(C173=0,0,IF(J97="endpoint",M97,IF(J97="tail",MIN(C173/H97,ROUNDUP(MAX(0,I97-1)/H97,0))*H97/G97,C173/G97)))</x:f>
        <x:v>16384</x:v>
      </x:c>
      <x:c r="F173" s="5" t="n">
        <x:f>(D97*E97+F97)*IF(K97="sharded",1/$B$59,IF(K97="kv-heads",MAX(1,L97/$B$59),1))</x:f>
        <x:v>1024</x:v>
      </x:c>
      <x:c r="G173" s="5" t="n">
        <x:f>C97</x:f>
        <x:v>1</x:v>
      </x:c>
      <x:c r="H173" s="5" t="n">
        <x:f>E173*F173*G173</x:f>
        <x:v>16777216</x:v>
      </x:c>
      <x:c r="I173" s="5" t="str">
        <x:v>cache</x:v>
      </x:c>
      <x:c r="J173" s="3"/>
      <x:c r="K173" s="3"/>
      <x:c r="L173" s="3"/>
      <x:c r="M173" s="3"/>
      <x:c r="N173" s="2"/>
    </x:row>
    <x:row r="174" ht="35" customHeight="1">
      <x:c r="A174" s="4" t="str">
        <x:v>DS V4.1 Flash</x:v>
      </x:c>
      <x:c r="B174" s="5" t="n">
        <x:f>$B$63</x:f>
        <x:v>16384</x:v>
      </x:c>
      <x:c r="C174" s="5" t="n">
        <x:f>INT(B174*$H$5/$D$59)*$D$59</x:f>
        <x:v>16384</x:v>
      </x:c>
      <x:c r="D174" s="5" t="str">
        <x:f>B98</x:f>
        <x:v>C1 shared Indexer</x:v>
      </x:c>
      <x:c r="E174" s="5" t="n">
        <x:f>IF(C174=0,0,IF(J98="endpoint",M98,IF(J98="tail",MIN(C174/H98,ROUNDUP(MAX(0,I98-1)/H98,0))*H98/G98,C174/G98)))</x:f>
        <x:v>16384</x:v>
      </x:c>
      <x:c r="F174" s="5" t="n">
        <x:f>(D98*E98+F98)*IF(K98="sharded",1/$B$59,IF(K98="kv-heads",MAX(1,L98/$B$59),1))</x:f>
        <x:v>130</x:v>
      </x:c>
      <x:c r="G174" s="5" t="n">
        <x:f>C98</x:f>
        <x:v>1</x:v>
      </x:c>
      <x:c r="H174" s="5" t="n">
        <x:f>E174*F174*G174</x:f>
        <x:v>2129920</x:v>
      </x:c>
      <x:c r="I174" s="5" t="str">
        <x:v>cache</x:v>
      </x:c>
      <x:c r="J174" s="3"/>
      <x:c r="K174" s="3"/>
      <x:c r="L174" s="3"/>
      <x:c r="M174" s="3"/>
      <x:c r="N174" s="2"/>
    </x:row>
    <x:row r="175" ht="35" customHeight="1">
      <x:c r="A175" s="4" t="str">
        <x:v>DS V4.1 Flash</x:v>
      </x:c>
      <x:c r="B175" s="5" t="n">
        <x:f>$B$64</x:f>
        <x:v>262144</x:v>
      </x:c>
      <x:c r="C175" s="5" t="n">
        <x:f>INT(B175*$H$5/$D$59)*$D$59</x:f>
        <x:v>262144</x:v>
      </x:c>
      <x:c r="D175" s="5" t="str">
        <x:f>B94</x:f>
        <x:v>SWA KV</x:v>
      </x:c>
      <x:c r="E175" s="5" t="n">
        <x:f>IF(C175=0,0,IF(J94="endpoint",M94,IF(J94="tail",MIN(C175/H94,ROUNDUP(MAX(0,I94-1)/H94,0))*H94/G94,C175/G94)))</x:f>
        <x:v>128</x:v>
      </x:c>
      <x:c r="F175" s="5" t="n">
        <x:f>(D94*E94+F94)*IF(K94="sharded",1/$B$59,IF(K94="kv-heads",MAX(1,L94/$B$59),1))</x:f>
        <x:v>1024</x:v>
      </x:c>
      <x:c r="G175" s="5" t="n">
        <x:f>C94</x:f>
        <x:v>40</x:v>
      </x:c>
      <x:c r="H175" s="5" t="n">
        <x:f>E175*F175*G175</x:f>
        <x:v>5242880</x:v>
      </x:c>
      <x:c r="I175" s="5" t="str">
        <x:v>cache</x:v>
      </x:c>
      <x:c r="J175" s="3"/>
      <x:c r="K175" s="3"/>
      <x:c r="L175" s="3"/>
      <x:c r="M175" s="3"/>
      <x:c r="N175" s="2"/>
    </x:row>
    <x:row r="176" ht="35" customHeight="1">
      <x:c r="A176" s="4" t="str">
        <x:v>DS V4.1 Flash</x:v>
      </x:c>
      <x:c r="B176" s="5" t="n">
        <x:f>$B$64</x:f>
        <x:v>262144</x:v>
      </x:c>
      <x:c r="C176" s="5" t="n">
        <x:f>INT(B176*$H$5/$D$59)*$D$59</x:f>
        <x:v>262144</x:v>
      </x:c>
      <x:c r="D176" s="5" t="str">
        <x:f>B95</x:f>
        <x:v>C2 shared KV</x:v>
      </x:c>
      <x:c r="E176" s="5" t="n">
        <x:f>IF(C176=0,0,IF(J95="endpoint",M95,IF(J95="tail",MIN(C176/H95,ROUNDUP(MAX(0,I95-1)/H95,0))*H95/G95,C176/G95)))</x:f>
        <x:v>131072</x:v>
      </x:c>
      <x:c r="F176" s="5" t="n">
        <x:f>(D95*E95+F95)*IF(K95="sharded",1/$B$59,IF(K95="kv-heads",MAX(1,L95/$B$59),1))</x:f>
        <x:v>1024</x:v>
      </x:c>
      <x:c r="G176" s="5" t="n">
        <x:f>C95</x:f>
        <x:v>3</x:v>
      </x:c>
      <x:c r="H176" s="5" t="n">
        <x:f>E176*F176*G176</x:f>
        <x:v>402653184</x:v>
      </x:c>
      <x:c r="I176" s="5" t="str">
        <x:v>cache</x:v>
      </x:c>
      <x:c r="J176" s="3"/>
      <x:c r="K176" s="3"/>
      <x:c r="L176" s="3"/>
      <x:c r="M176" s="3"/>
      <x:c r="N176" s="2"/>
    </x:row>
    <x:row r="177" ht="35" customHeight="1">
      <x:c r="A177" s="4" t="str">
        <x:v>DS V4.1 Flash</x:v>
      </x:c>
      <x:c r="B177" s="5" t="n">
        <x:f>$B$64</x:f>
        <x:v>262144</x:v>
      </x:c>
      <x:c r="C177" s="5" t="n">
        <x:f>INT(B177*$H$5/$D$59)*$D$59</x:f>
        <x:v>262144</x:v>
      </x:c>
      <x:c r="D177" s="5" t="str">
        <x:f>B96</x:f>
        <x:v>C2 shared Indexer</x:v>
      </x:c>
      <x:c r="E177" s="5" t="n">
        <x:f>IF(C177=0,0,IF(J96="endpoint",M96,IF(J96="tail",MIN(C177/H96,ROUNDUP(MAX(0,I96-1)/H96,0))*H96/G96,C177/G96)))</x:f>
        <x:v>131072</x:v>
      </x:c>
      <x:c r="F177" s="5" t="n">
        <x:f>(D96*E96+F96)*IF(K96="sharded",1/$B$59,IF(K96="kv-heads",MAX(1,L96/$B$59),1))</x:f>
        <x:v>130</x:v>
      </x:c>
      <x:c r="G177" s="5" t="n">
        <x:f>C96</x:f>
        <x:v>3</x:v>
      </x:c>
      <x:c r="H177" s="5" t="n">
        <x:f>E177*F177*G177</x:f>
        <x:v>51118080</x:v>
      </x:c>
      <x:c r="I177" s="5" t="str">
        <x:v>cache</x:v>
      </x:c>
      <x:c r="J177" s="3"/>
      <x:c r="K177" s="3"/>
      <x:c r="L177" s="3"/>
      <x:c r="M177" s="3"/>
      <x:c r="N177" s="2"/>
    </x:row>
    <x:row r="178" ht="35" customHeight="1">
      <x:c r="A178" s="4" t="str">
        <x:v>DS V4.1 Flash</x:v>
      </x:c>
      <x:c r="B178" s="5" t="n">
        <x:f>$B$64</x:f>
        <x:v>262144</x:v>
      </x:c>
      <x:c r="C178" s="5" t="n">
        <x:f>INT(B178*$H$5/$D$59)*$D$59</x:f>
        <x:v>262144</x:v>
      </x:c>
      <x:c r="D178" s="5" t="str">
        <x:f>B97</x:f>
        <x:v>C1 shared KV</x:v>
      </x:c>
      <x:c r="E178" s="5" t="n">
        <x:f>IF(C178=0,0,IF(J97="endpoint",M97,IF(J97="tail",MIN(C178/H97,ROUNDUP(MAX(0,I97-1)/H97,0))*H97/G97,C178/G97)))</x:f>
        <x:v>262144</x:v>
      </x:c>
      <x:c r="F178" s="5" t="n">
        <x:f>(D97*E97+F97)*IF(K97="sharded",1/$B$59,IF(K97="kv-heads",MAX(1,L97/$B$59),1))</x:f>
        <x:v>1024</x:v>
      </x:c>
      <x:c r="G178" s="5" t="n">
        <x:f>C97</x:f>
        <x:v>1</x:v>
      </x:c>
      <x:c r="H178" s="5" t="n">
        <x:f>E178*F178*G178</x:f>
        <x:v>268435456</x:v>
      </x:c>
      <x:c r="I178" s="5" t="str">
        <x:v>cache</x:v>
      </x:c>
      <x:c r="J178" s="3"/>
      <x:c r="K178" s="3"/>
      <x:c r="L178" s="3"/>
      <x:c r="M178" s="3"/>
      <x:c r="N178" s="2"/>
    </x:row>
    <x:row r="179" ht="35" customHeight="1">
      <x:c r="A179" s="4" t="str">
        <x:v>DS V4.1 Flash</x:v>
      </x:c>
      <x:c r="B179" s="5" t="n">
        <x:f>$B$64</x:f>
        <x:v>262144</x:v>
      </x:c>
      <x:c r="C179" s="5" t="n">
        <x:f>INT(B179*$H$5/$D$59)*$D$59</x:f>
        <x:v>262144</x:v>
      </x:c>
      <x:c r="D179" s="5" t="str">
        <x:f>B98</x:f>
        <x:v>C1 shared Indexer</x:v>
      </x:c>
      <x:c r="E179" s="5" t="n">
        <x:f>IF(C179=0,0,IF(J98="endpoint",M98,IF(J98="tail",MIN(C179/H98,ROUNDUP(MAX(0,I98-1)/H98,0))*H98/G98,C179/G98)))</x:f>
        <x:v>262144</x:v>
      </x:c>
      <x:c r="F179" s="5" t="n">
        <x:f>(D98*E98+F98)*IF(K98="sharded",1/$B$59,IF(K98="kv-heads",MAX(1,L98/$B$59),1))</x:f>
        <x:v>130</x:v>
      </x:c>
      <x:c r="G179" s="5" t="n">
        <x:f>C98</x:f>
        <x:v>1</x:v>
      </x:c>
      <x:c r="H179" s="5" t="n">
        <x:f>E179*F179*G179</x:f>
        <x:v>34078720</x:v>
      </x:c>
      <x:c r="I179" s="5" t="str">
        <x:v>cache</x:v>
      </x:c>
      <x:c r="J179" s="3"/>
      <x:c r="K179" s="3"/>
      <x:c r="L179" s="3"/>
      <x:c r="M179" s="3"/>
      <x:c r="N179" s="2"/>
    </x:row>
    <x:row r="180" ht="35" customHeight="1">
      <x:c r="A180" s="4" t="str">
        <x:v>DS V4.1 Flash</x:v>
      </x:c>
      <x:c r="B180" s="5" t="n">
        <x:f>$B$65</x:f>
        <x:v>1048576</x:v>
      </x:c>
      <x:c r="C180" s="5" t="n">
        <x:f>INT(B180*$H$5/$D$59)*$D$59</x:f>
        <x:v>1048576</x:v>
      </x:c>
      <x:c r="D180" s="5" t="str">
        <x:f>B94</x:f>
        <x:v>SWA KV</x:v>
      </x:c>
      <x:c r="E180" s="5" t="n">
        <x:f>IF(C180=0,0,IF(J94="endpoint",M94,IF(J94="tail",MIN(C180/H94,ROUNDUP(MAX(0,I94-1)/H94,0))*H94/G94,C180/G94)))</x:f>
        <x:v>128</x:v>
      </x:c>
      <x:c r="F180" s="5" t="n">
        <x:f>(D94*E94+F94)*IF(K94="sharded",1/$B$59,IF(K94="kv-heads",MAX(1,L94/$B$59),1))</x:f>
        <x:v>1024</x:v>
      </x:c>
      <x:c r="G180" s="5" t="n">
        <x:f>C94</x:f>
        <x:v>40</x:v>
      </x:c>
      <x:c r="H180" s="5" t="n">
        <x:f>E180*F180*G180</x:f>
        <x:v>5242880</x:v>
      </x:c>
      <x:c r="I180" s="5" t="str">
        <x:v>cache</x:v>
      </x:c>
      <x:c r="J180" s="3"/>
      <x:c r="K180" s="3"/>
      <x:c r="L180" s="3"/>
      <x:c r="M180" s="3"/>
      <x:c r="N180" s="2"/>
    </x:row>
    <x:row r="181" ht="35" customHeight="1">
      <x:c r="A181" s="4" t="str">
        <x:v>DS V4.1 Flash</x:v>
      </x:c>
      <x:c r="B181" s="5" t="n">
        <x:f>$B$65</x:f>
        <x:v>1048576</x:v>
      </x:c>
      <x:c r="C181" s="5" t="n">
        <x:f>INT(B181*$H$5/$D$59)*$D$59</x:f>
        <x:v>1048576</x:v>
      </x:c>
      <x:c r="D181" s="5" t="str">
        <x:f>B95</x:f>
        <x:v>C2 shared KV</x:v>
      </x:c>
      <x:c r="E181" s="5" t="n">
        <x:f>IF(C181=0,0,IF(J95="endpoint",M95,IF(J95="tail",MIN(C181/H95,ROUNDUP(MAX(0,I95-1)/H95,0))*H95/G95,C181/G95)))</x:f>
        <x:v>524288</x:v>
      </x:c>
      <x:c r="F181" s="5" t="n">
        <x:f>(D95*E95+F95)*IF(K95="sharded",1/$B$59,IF(K95="kv-heads",MAX(1,L95/$B$59),1))</x:f>
        <x:v>1024</x:v>
      </x:c>
      <x:c r="G181" s="5" t="n">
        <x:f>C95</x:f>
        <x:v>3</x:v>
      </x:c>
      <x:c r="H181" s="5" t="n">
        <x:f>E181*F181*G181</x:f>
        <x:v>1610612736</x:v>
      </x:c>
      <x:c r="I181" s="5" t="str">
        <x:v>cache</x:v>
      </x:c>
      <x:c r="J181" s="3"/>
      <x:c r="K181" s="3"/>
      <x:c r="L181" s="3"/>
      <x:c r="M181" s="3"/>
      <x:c r="N181" s="2"/>
    </x:row>
    <x:row r="182" ht="35" customHeight="1">
      <x:c r="A182" s="4" t="str">
        <x:v>DS V4.1 Flash</x:v>
      </x:c>
      <x:c r="B182" s="5" t="n">
        <x:f>$B$65</x:f>
        <x:v>1048576</x:v>
      </x:c>
      <x:c r="C182" s="5" t="n">
        <x:f>INT(B182*$H$5/$D$59)*$D$59</x:f>
        <x:v>1048576</x:v>
      </x:c>
      <x:c r="D182" s="5" t="str">
        <x:f>B96</x:f>
        <x:v>C2 shared Indexer</x:v>
      </x:c>
      <x:c r="E182" s="5" t="n">
        <x:f>IF(C182=0,0,IF(J96="endpoint",M96,IF(J96="tail",MIN(C182/H96,ROUNDUP(MAX(0,I96-1)/H96,0))*H96/G96,C182/G96)))</x:f>
        <x:v>524288</x:v>
      </x:c>
      <x:c r="F182" s="5" t="n">
        <x:f>(D96*E96+F96)*IF(K96="sharded",1/$B$59,IF(K96="kv-heads",MAX(1,L96/$B$59),1))</x:f>
        <x:v>130</x:v>
      </x:c>
      <x:c r="G182" s="5" t="n">
        <x:f>C96</x:f>
        <x:v>3</x:v>
      </x:c>
      <x:c r="H182" s="5" t="n">
        <x:f>E182*F182*G182</x:f>
        <x:v>204472320</x:v>
      </x:c>
      <x:c r="I182" s="5" t="str">
        <x:v>cache</x:v>
      </x:c>
      <x:c r="J182" s="3"/>
      <x:c r="K182" s="3"/>
      <x:c r="L182" s="3"/>
      <x:c r="M182" s="3"/>
      <x:c r="N182" s="2"/>
    </x:row>
    <x:row r="183" ht="35" customHeight="1">
      <x:c r="A183" s="4" t="str">
        <x:v>DS V4.1 Flash</x:v>
      </x:c>
      <x:c r="B183" s="5" t="n">
        <x:f>$B$65</x:f>
        <x:v>1048576</x:v>
      </x:c>
      <x:c r="C183" s="5" t="n">
        <x:f>INT(B183*$H$5/$D$59)*$D$59</x:f>
        <x:v>1048576</x:v>
      </x:c>
      <x:c r="D183" s="5" t="str">
        <x:f>B97</x:f>
        <x:v>C1 shared KV</x:v>
      </x:c>
      <x:c r="E183" s="5" t="n">
        <x:f>IF(C183=0,0,IF(J97="endpoint",M97,IF(J97="tail",MIN(C183/H97,ROUNDUP(MAX(0,I97-1)/H97,0))*H97/G97,C183/G97)))</x:f>
        <x:v>1048576</x:v>
      </x:c>
      <x:c r="F183" s="5" t="n">
        <x:f>(D97*E97+F97)*IF(K97="sharded",1/$B$59,IF(K97="kv-heads",MAX(1,L97/$B$59),1))</x:f>
        <x:v>1024</x:v>
      </x:c>
      <x:c r="G183" s="5" t="n">
        <x:f>C97</x:f>
        <x:v>1</x:v>
      </x:c>
      <x:c r="H183" s="5" t="n">
        <x:f>E183*F183*G183</x:f>
        <x:v>1073741824</x:v>
      </x:c>
      <x:c r="I183" s="5" t="str">
        <x:v>cache</x:v>
      </x:c>
      <x:c r="J183" s="3"/>
      <x:c r="K183" s="3"/>
      <x:c r="L183" s="3"/>
      <x:c r="M183" s="3"/>
      <x:c r="N183" s="2"/>
    </x:row>
    <x:row r="184" ht="35" customHeight="1">
      <x:c r="A184" s="4" t="str">
        <x:v>DS V4.1 Flash</x:v>
      </x:c>
      <x:c r="B184" s="5" t="n">
        <x:f>$B$65</x:f>
        <x:v>1048576</x:v>
      </x:c>
      <x:c r="C184" s="5" t="n">
        <x:f>INT(B184*$H$5/$D$59)*$D$59</x:f>
        <x:v>1048576</x:v>
      </x:c>
      <x:c r="D184" s="5" t="str">
        <x:f>B98</x:f>
        <x:v>C1 shared Indexer</x:v>
      </x:c>
      <x:c r="E184" s="5" t="n">
        <x:f>IF(C184=0,0,IF(J98="endpoint",M98,IF(J98="tail",MIN(C184/H98,ROUNDUP(MAX(0,I98-1)/H98,0))*H98/G98,C184/G98)))</x:f>
        <x:v>1048576</x:v>
      </x:c>
      <x:c r="F184" s="5" t="n">
        <x:f>(D98*E98+F98)*IF(K98="sharded",1/$B$59,IF(K98="kv-heads",MAX(1,L98/$B$59),1))</x:f>
        <x:v>130</x:v>
      </x:c>
      <x:c r="G184" s="5" t="n">
        <x:f>C98</x:f>
        <x:v>1</x:v>
      </x:c>
      <x:c r="H184" s="5" t="n">
        <x:f>E184*F184*G184</x:f>
        <x:v>136314880</x:v>
      </x:c>
      <x:c r="I184" s="5" t="str">
        <x:v>cache</x:v>
      </x:c>
      <x:c r="J184" s="3"/>
      <x:c r="K184" s="3"/>
      <x:c r="L184" s="3"/>
      <x:c r="M184" s="3"/>
      <x:c r="N184" s="2"/>
    </x:row>
    <x:row r="185" ht="23" customHeight="1">
      <x:c r="A185" s="2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2"/>
    </x:row>
    <x:row r="186" ht="23" customHeight="1">
      <x:c r="A186" s="2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2"/>
    </x:row>
    <x:row r="187" ht="30" customHeight="1">
      <x:c r="A187" s="4" t="str">
        <x:v>SWA / compressor tail: ceil((window−1)/block) 个末尾块；Mamba/KDA/GDN: 一个对齐端点状态；Full KV: 命中的全部历史。没有累计中间状态。</x:v>
      </x:c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3"/>
      <x:c r="N187" s="2"/>
    </x:row>
    <x:row r="188" ht="30" customHeight="1">
      <x:c r="A188" s="4" t="str">
        <x:v>V4.1 只计 40 个 SWA 与 4 个共享 KV / Indexer 源。私有 FP32 ring 与 Engram history 不在 prefix-hit payload 中；恢复路径需另外处理。</x:v>
      </x:c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3"/>
      <x:c r="N188" s="2"/>
    </x:row>
    <x:row r="189" ht="30" customHeight="1">
      <x:c r="A189" s="4" t="str">
        <x:v>本页算 host pool → device 的搬运字节；不包含 D→host 写入、allocator padding、协议/重试，也不将 byte budget 当成端到端可用性结论。</x:v>
      </x:c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3"/>
      <x:c r="N189" s="2"/>
    </x:row>
    <x:row r="190" ht="23" customHeight="1">
      <x:c r="A190" s="2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2"/>
    </x:row>
    <x:row r="191" ht="30" customHeight="1">
      <x:c r="A191" s="4" t="str">
        <x:v>Sources / reproducibility: analysis/HOST-TRANSFERS.md · analysis/host-transfer-sources.json · models/&lt;model&gt;/config.json</x:v>
      </x:c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3"/>
      <x:c r="N191" s="2"/>
    </x:row>
    <x:row r="192" ht="30" customHeight="1">
      <x:c r="A192" s="4" t="str">
        <x:v>https://github.com/GDzhu01/vllm-ascend-v41-private/tree/6bb7aeecf01b660ae14d9adddfc2f7035d3d1305/vllm_ascend/distributed/kv_transfer/kv_pool/ascend_store</x:v>
      </x:c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3"/>
      <x:c r="N192" s="2"/>
    </x:row>
    <x:row r="193" ht="30" customHeight="1">
      <x:c r="A193" s="4" t="str">
        <x:v>https://github.com/vllm-project/vllm/blob/c8438a3d40168ce1d9eade0dc15ccbe5d27adb68/vllm/v1/core/single_type_kv_cache_manager.py</x:v>
      </x:c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3"/>
      <x:c r="N193" s="2"/>
    </x:row>
    <x:row r="194" ht="23" customHeight="1">
      <x:c r="A194" s="2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2"/>
    </x:row>
    <x:row r="195" ht="23" customHeight="1">
      <x:c r="A195" s="2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2"/>
    </x:row>
    <x:row r="196" ht="23" customHeight="1">
      <x:c r="A196" s="2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2"/>
    </x:row>
    <x:row r="197" ht="23" customHeight="1">
      <x:c r="A197" s="2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2"/>
    </x:row>
    <x:row r="198" ht="23" customHeight="1">
      <x:c r="A198" s="2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2"/>
    </x:row>
    <x:row r="199" ht="23" customHeight="1">
      <x:c r="A199" s="2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2"/>
    </x:row>
    <x:row r="200" ht="23" customHeight="1">
      <x:c r="A200" s="2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2"/>
    </x:row>
    <x:row r="201" ht="23" customHeight="1">
      <x:c r="A201" s="2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2"/>
    </x:row>
    <x:row r="202" ht="23" customHeight="1">
      <x:c r="A202" s="2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2"/>
    </x:row>
    <x:row r="203" ht="23" customHeight="1">
      <x:c r="A203" s="2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2"/>
    </x:row>
    <x:row r="204" ht="23" customHeight="1">
      <x:c r="A204" s="2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2"/>
    </x:row>
    <x:row r="205" ht="23" customHeight="1">
      <x:c r="A205" s="2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2"/>
    </x:row>
    <x:row r="206" ht="23" customHeight="1">
      <x:c r="A206" s="2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2"/>
    </x:row>
    <x:row r="207" ht="23" customHeight="1">
      <x:c r="A207" s="2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2"/>
    </x:row>
    <x:row r="208" ht="23" customHeight="1">
      <x:c r="A208" s="2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2"/>
    </x:row>
    <x:row r="209" ht="23" customHeight="1">
      <x:c r="A209" s="2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2"/>
    </x:row>
    <x:row r="210" ht="23" customHeight="1">
      <x:c r="A210" s="2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2"/>
    </x:row>
  </x:sheetData>
  <x:mergeCells>
    <x:mergeCell ref="A2:L2"/>
    <x:mergeCell ref="A3:L3"/>
    <x:mergeCell ref="A5:C5"/>
    <x:mergeCell ref="E5:G5"/>
    <x:mergeCell ref="I5:K5"/>
    <x:mergeCell ref="A6:C6"/>
    <x:mergeCell ref="E6:G6"/>
    <x:mergeCell ref="I6:K6"/>
    <x:mergeCell ref="A8:L8"/>
    <x:mergeCell ref="A9:L9"/>
    <x:mergeCell ref="A50:L50"/>
    <x:mergeCell ref="G54:L54"/>
    <x:mergeCell ref="G55:L55"/>
    <x:mergeCell ref="G56:L56"/>
    <x:mergeCell ref="G57:L57"/>
    <x:mergeCell ref="G58:L58"/>
    <x:mergeCell ref="G59:L59"/>
    <x:mergeCell ref="A67:L67"/>
    <x:mergeCell ref="A68:L68"/>
    <x:mergeCell ref="A70:L70"/>
    <x:mergeCell ref="A102:L102"/>
    <x:mergeCell ref="A187:L187"/>
    <x:mergeCell ref="A188:L188"/>
    <x:mergeCell ref="A189:L189"/>
    <x:mergeCell ref="A191:L191"/>
    <x:mergeCell ref="A192:L192"/>
    <x:mergeCell ref="A193:L193"/>
  </x:mergeCells>
  <x:dataValidations count="62">
    <x:dataValidation type="decimal" operator="between" sqref="H5">
      <x:formula1>0</x:formula1>
      <x:formula2>1</x:formula2>
    </x:dataValidation>
    <x:dataValidation type="decimal" operator="between" sqref="L5">
      <x:formula1>0</x:formula1>
      <x:formula2>1</x:formula2>
    </x:dataValidation>
    <x:dataValidation type="list" sqref="B54:C59">
      <x:formula1>"1,2,4,8"</x:formula1>
    </x:dataValidation>
    <x:dataValidation type="list" sqref="D6">
      <x:formula1>"32,64,128"</x:formula1>
    </x:dataValidation>
    <x:dataValidation type="whole" operator="between" sqref="D5">
      <x:formula1>1</x:formula1>
      <x:formula2>10000000</x:formula2>
    </x:dataValidation>
    <x:dataValidation type="whole" operator="between" sqref="B63:B65">
      <x:formula1>1</x:formula1>
      <x:formula2>10000000</x:formula2>
    </x:dataValidation>
    <x:dataValidation type="whole" operator="between" sqref="H6">
      <x:formula1>0</x:formula1>
      <x:formula2>64</x:formula2>
    </x:dataValidation>
    <x:dataValidation type="list" sqref="D63:D64">
      <x:formula1>"32,64,128,256"</x:formula1>
    </x:dataValidation>
    <x:dataValidation type="list" sqref="J72">
      <x:formula1>"full,tail,endpoint"</x:formula1>
    </x:dataValidation>
    <x:dataValidation type="list" sqref="K72">
      <x:formula1>"replicated,sharded,kv-heads"</x:formula1>
    </x:dataValidation>
    <x:dataValidation type="list" sqref="J73">
      <x:formula1>"full,tail,endpoint"</x:formula1>
    </x:dataValidation>
    <x:dataValidation type="list" sqref="K73">
      <x:formula1>"replicated,sharded,kv-heads"</x:formula1>
    </x:dataValidation>
    <x:dataValidation type="list" sqref="J74">
      <x:formula1>"full,tail,endpoint"</x:formula1>
    </x:dataValidation>
    <x:dataValidation type="list" sqref="K74">
      <x:formula1>"replicated,sharded,kv-heads"</x:formula1>
    </x:dataValidation>
    <x:dataValidation type="list" sqref="J75">
      <x:formula1>"full,tail,endpoint"</x:formula1>
    </x:dataValidation>
    <x:dataValidation type="list" sqref="K75">
      <x:formula1>"replicated,sharded,kv-heads"</x:formula1>
    </x:dataValidation>
    <x:dataValidation type="list" sqref="J76">
      <x:formula1>"full,tail,endpoint"</x:formula1>
    </x:dataValidation>
    <x:dataValidation type="list" sqref="K76">
      <x:formula1>"replicated,sharded,kv-heads"</x:formula1>
    </x:dataValidation>
    <x:dataValidation type="list" sqref="J77">
      <x:formula1>"full,tail,endpoint"</x:formula1>
    </x:dataValidation>
    <x:dataValidation type="list" sqref="K77">
      <x:formula1>"replicated,sharded,kv-heads"</x:formula1>
    </x:dataValidation>
    <x:dataValidation type="list" sqref="J78">
      <x:formula1>"full,tail,endpoint"</x:formula1>
    </x:dataValidation>
    <x:dataValidation type="list" sqref="K78">
      <x:formula1>"replicated,sharded,kv-heads"</x:formula1>
    </x:dataValidation>
    <x:dataValidation type="list" sqref="J79">
      <x:formula1>"full,tail,endpoint"</x:formula1>
    </x:dataValidation>
    <x:dataValidation type="list" sqref="K79">
      <x:formula1>"replicated,sharded,kv-heads"</x:formula1>
    </x:dataValidation>
    <x:dataValidation type="list" sqref="J80">
      <x:formula1>"full,tail,endpoint"</x:formula1>
    </x:dataValidation>
    <x:dataValidation type="list" sqref="K80">
      <x:formula1>"replicated,sharded,kv-heads"</x:formula1>
    </x:dataValidation>
    <x:dataValidation type="list" sqref="J81">
      <x:formula1>"full,tail,endpoint"</x:formula1>
    </x:dataValidation>
    <x:dataValidation type="list" sqref="K81">
      <x:formula1>"replicated,sharded,kv-heads"</x:formula1>
    </x:dataValidation>
    <x:dataValidation type="list" sqref="J82">
      <x:formula1>"full,tail,endpoint"</x:formula1>
    </x:dataValidation>
    <x:dataValidation type="list" sqref="K82">
      <x:formula1>"replicated,sharded,kv-heads"</x:formula1>
    </x:dataValidation>
    <x:dataValidation type="list" sqref="J83">
      <x:formula1>"full,tail,endpoint"</x:formula1>
    </x:dataValidation>
    <x:dataValidation type="list" sqref="K83">
      <x:formula1>"replicated,sharded,kv-heads"</x:formula1>
    </x:dataValidation>
    <x:dataValidation type="list" sqref="J84">
      <x:formula1>"full,tail,endpoint"</x:formula1>
    </x:dataValidation>
    <x:dataValidation type="list" sqref="K84">
      <x:formula1>"replicated,sharded,kv-heads"</x:formula1>
    </x:dataValidation>
    <x:dataValidation type="list" sqref="J85">
      <x:formula1>"full,tail,endpoint"</x:formula1>
    </x:dataValidation>
    <x:dataValidation type="list" sqref="K85">
      <x:formula1>"replicated,sharded,kv-heads"</x:formula1>
    </x:dataValidation>
    <x:dataValidation type="list" sqref="J86">
      <x:formula1>"full,tail,endpoint"</x:formula1>
    </x:dataValidation>
    <x:dataValidation type="list" sqref="K86">
      <x:formula1>"replicated,sharded,kv-heads"</x:formula1>
    </x:dataValidation>
    <x:dataValidation type="list" sqref="J87">
      <x:formula1>"full,tail,endpoint"</x:formula1>
    </x:dataValidation>
    <x:dataValidation type="list" sqref="K87">
      <x:formula1>"replicated,sharded,kv-heads"</x:formula1>
    </x:dataValidation>
    <x:dataValidation type="list" sqref="J88">
      <x:formula1>"full,tail,endpoint"</x:formula1>
    </x:dataValidation>
    <x:dataValidation type="list" sqref="K88">
      <x:formula1>"replicated,sharded,kv-heads"</x:formula1>
    </x:dataValidation>
    <x:dataValidation type="list" sqref="J89">
      <x:formula1>"full,tail,endpoint"</x:formula1>
    </x:dataValidation>
    <x:dataValidation type="list" sqref="K89">
      <x:formula1>"replicated,sharded,kv-heads"</x:formula1>
    </x:dataValidation>
    <x:dataValidation type="list" sqref="J90">
      <x:formula1>"full,tail,endpoint"</x:formula1>
    </x:dataValidation>
    <x:dataValidation type="list" sqref="K90">
      <x:formula1>"replicated,sharded,kv-heads"</x:formula1>
    </x:dataValidation>
    <x:dataValidation type="list" sqref="J91">
      <x:formula1>"full,tail,endpoint"</x:formula1>
    </x:dataValidation>
    <x:dataValidation type="list" sqref="K91">
      <x:formula1>"replicated,sharded,kv-heads"</x:formula1>
    </x:dataValidation>
    <x:dataValidation type="list" sqref="J92">
      <x:formula1>"full,tail,endpoint"</x:formula1>
    </x:dataValidation>
    <x:dataValidation type="list" sqref="K92">
      <x:formula1>"replicated,sharded,kv-heads"</x:formula1>
    </x:dataValidation>
    <x:dataValidation type="list" sqref="J93">
      <x:formula1>"full,tail,endpoint"</x:formula1>
    </x:dataValidation>
    <x:dataValidation type="list" sqref="K93">
      <x:formula1>"replicated,sharded,kv-heads"</x:formula1>
    </x:dataValidation>
    <x:dataValidation type="list" sqref="J94">
      <x:formula1>"full,tail,endpoint"</x:formula1>
    </x:dataValidation>
    <x:dataValidation type="list" sqref="K94">
      <x:formula1>"replicated,sharded,kv-heads"</x:formula1>
    </x:dataValidation>
    <x:dataValidation type="list" sqref="J95">
      <x:formula1>"full,tail,endpoint"</x:formula1>
    </x:dataValidation>
    <x:dataValidation type="list" sqref="K95">
      <x:formula1>"replicated,sharded,kv-heads"</x:formula1>
    </x:dataValidation>
    <x:dataValidation type="list" sqref="J96">
      <x:formula1>"full,tail,endpoint"</x:formula1>
    </x:dataValidation>
    <x:dataValidation type="list" sqref="K96">
      <x:formula1>"replicated,sharded,kv-heads"</x:formula1>
    </x:dataValidation>
    <x:dataValidation type="list" sqref="J97">
      <x:formula1>"full,tail,endpoint"</x:formula1>
    </x:dataValidation>
    <x:dataValidation type="list" sqref="K97">
      <x:formula1>"replicated,sharded,kv-heads"</x:formula1>
    </x:dataValidation>
    <x:dataValidation type="list" sqref="J98">
      <x:formula1>"full,tail,endpoint"</x:formula1>
    </x:dataValidation>
    <x:dataValidation type="list" sqref="K98">
      <x:formula1>"replicated,sharded,kv-heads"</x:formula1>
    </x:dataValidation>
  </x:dataValidations>
  <x:pageMargins left="0.7" right="0.7" top="0.75" bottom="0.75" header="0.3" footer="0.3"/>
</x:worksheet>
</file>