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53d63c59e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Prefill" sheetId="1" r:id="R20b5120ae00c4b51"/>
    <x:sheet xmlns:r="http://schemas.openxmlformats.org/officeDocument/2006/relationships" name="Source_Decode" sheetId="2" r:id="Re7ffe7767e214227"/>
    <x:sheet xmlns:r="http://schemas.openxmlformats.org/officeDocument/2006/relationships" name="MXFP_PP2_Prefill" sheetId="3" r:id="R71a25316254f4995"/>
    <x:sheet xmlns:r="http://schemas.openxmlformats.org/officeDocument/2006/relationships" name="Dynamic_Decode" sheetId="4" r:id="R8301020433ed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General"/>
    <x:numFmt numFmtId="202" formatCode="0.00000"/>
    <x:numFmt numFmtId="203" formatCode="0.0000"/>
    <x:numFmt numFmtId="204" formatCode="0.0%"/>
    <x:numFmt numFmtId="205" formatCode="0.000000"/>
    <x:numFmt numFmtId="206" formatCode="0"/>
  </x:numFmts>
  <x:fonts count="4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1"/>
      <x:color rgb="FF44546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A6A6A6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/>
      <x:diagonal/>
    </x:border>
    <x:border>
      <x:left/>
      <x:right/>
      <x:top style="thin">
        <x:color rgb="FFD9D9D9"/>
      </x:top>
      <x:bottom style="thin">
        <x:color rgb="FFA6A6A6"/>
      </x:bottom>
      <x:diagonal/>
    </x:border>
    <x:border>
      <x:left/>
      <x:right/>
      <x:top style="medium">
        <x:color rgb="FF999999"/>
      </x:top>
      <x:bottom style="thin">
        <x:color rgb="FFD9D9D9"/>
      </x:bottom>
      <x:diagonal/>
    </x:border>
    <x:border>
      <x:left/>
      <x:right/>
      <x:top style="medium">
        <x:color rgb="FF999999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2" fillId="2" borderId="5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2" fillId="2" borderId="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5" fontId="1" fillId="0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6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c7c4eed2c41f7" /><Relationship Type="http://schemas.openxmlformats.org/officeDocument/2006/relationships/theme" Target="/xl/theme/theme1.xml" Id="Rcf4c3de6b99c41d9" /><Relationship Type="http://schemas.openxmlformats.org/officeDocument/2006/relationships/sharedStrings" Target="/xl/sharedStrings.xml" Id="R800e3db06ff94d19" /><Relationship Type="http://schemas.openxmlformats.org/officeDocument/2006/relationships/worksheet" Target="/xl/worksheets/sheet1.xml" Id="R20b5120ae00c4b51" /><Relationship Type="http://schemas.openxmlformats.org/officeDocument/2006/relationships/worksheet" Target="/xl/worksheets/sheet2.xml" Id="Re7ffe7767e214227" /><Relationship Type="http://schemas.openxmlformats.org/officeDocument/2006/relationships/worksheet" Target="/xl/worksheets/sheet3.xml" Id="R71a25316254f4995" /><Relationship Type="http://schemas.openxmlformats.org/officeDocument/2006/relationships/worksheet" Target="/xl/worksheets/sheet4.xml" Id="R8301020433ed42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本卡主权重 bytes</x:v>
      </x:c>
      <x:c r="AC1" s="5" t="str">
        <x:v>本卡 scale bytes</x:v>
      </x:c>
      <x:c r="AD1" s="5" t="str">
        <x:v>本卡附加 bytes</x:v>
      </x:c>
      <x:c r="AE1" s="5" t="str">
        <x:v>全局主权重 bytes</x:v>
      </x:c>
      <x:c r="AF1" s="5" t="str">
        <x:v>全局 scale bytes</x:v>
      </x:c>
      <x:c r="AG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[1024,256]</x:v>
      </x:c>
      <x:c r="D2" s="49" t="str">
        <x:v>BF16</x:v>
      </x:c>
      <x:c r="E2" s="50" t="n">
        <x:v>1</x:v>
      </x:c>
      <x:c r="F2" s="50" t="n">
        <x:f>(1024)*(256)</x:f>
        <x:v>262144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E2*SUM(AE2:AG2)/1073741824</x:f>
        <x:v>0.00048828125</x:v>
      </x:c>
      <x:c r="K2" s="51" t="n">
        <x:f>AA2</x:f>
        <x:v>0.0001220703125</x:v>
      </x:c>
      <x:c r="L2" s="48" t="str">
        <x:f>IF(OR(D2="MXFP4",D2="MXFP8"),"group 32 / E8M0",IF(D2="INT8","channel / 8 B",IF(D2="INT4","channel / 16 B","")))</x:f>
      </x:c>
      <x:c r="M2" s="52" t="n">
        <x:f>$R$7</x:f>
        <x:v>4</x:v>
      </x:c>
      <x:c r="N2" s="48" t="str">
        <x:f>"["&amp;(1024/M2)&amp;","&amp;(256)&amp;"]"</x:f>
        <x:v>[256,256]</x:v>
      </x:c>
      <x:c r="O2" s="50" t="n">
        <x:f>CHOOSE($R$22+1,1)</x:f>
        <x:v>1</x:v>
      </x:c>
      <x:c r="P2" s="2"/>
      <x:c r="Q2" s="6" t="str">
        <x:v>KDA 主体 TP</x:v>
      </x:c>
      <x:c r="R2" s="13" t="n">
        <x:v>4</x:v>
      </x:c>
      <x:c r="S2" s="6" t="str">
        <x:v>本 stage KDA 层数</x:v>
      </x:c>
      <x:c r="T2" s="6" t="n">
        <x:f>CHOOSE(R22+1,4)</x:f>
        <x:v>4</x:v>
      </x:c>
      <x:c r="U2" s="19"/>
      <x:c r="V2" s="19"/>
      <x:c r="W2" s="2"/>
      <x:c r="X2" s="2"/>
      <x:c r="Y2" s="2"/>
      <x:c r="Z2" s="2"/>
      <x:c r="AA2" s="38" t="n">
        <x:f>IF($R$30=1,SUM(AB2:AD2)*(1)/1073741824,NA())</x:f>
        <x:v>0.0001220703125</x:v>
      </x:c>
      <x:c r="AB2" s="39" t="n">
        <x:f>(1024/M2)*ROUNDUP((256)*VLOOKUP(D2,$Q$32:$R$38,2,FALSE),0)</x:f>
        <x:v>131072</x:v>
      </x:c>
      <x:c r="AC2" s="39" t="n">
        <x:f>IF(OR(D2="MXFP4",D2="MXFP8"),(1024/M2)*ROUNDUP((256)/32,0),0)</x:f>
        <x:v>0</x:v>
      </x:c>
      <x:c r="AD2" s="39" t="n">
        <x:f>IF(D2="INT8",(1024/M2)*8,IF(D2="INT4",(1024/M2)*16,0))</x:f>
        <x:v>0</x:v>
      </x:c>
      <x:c r="AE2" s="39" t="n">
        <x:f>(1024)*ROUNDUP((256)*VLOOKUP(D2,$Q$32:$R$38,2,FALSE),0)</x:f>
        <x:v>524288</x:v>
      </x:c>
      <x:c r="AF2" s="39" t="n">
        <x:f>IF(OR(D2="MXFP4",D2="MXFP8"),(1024)*ROUNDUP((256)/32,0),0)</x:f>
        <x:v>0</x:v>
      </x:c>
      <x:c r="AG2" s="39" t="n">
        <x:f>IF(D2="INT8",(1024)*8,IF(D2="INT4",(1024)*16,0))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[1024,256]</x:v>
      </x:c>
      <x:c r="D3" s="10" t="str">
        <x:v>BF16</x:v>
      </x:c>
      <x:c r="E3" s="34" t="n">
        <x:v>1</x:v>
      </x:c>
      <x:c r="F3" s="34" t="n">
        <x:f>(1024)*(256)</x:f>
        <x:v>262144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E3*SUM(AE3:AG3)/1073741824</x:f>
        <x:v>0.00048828125</x:v>
      </x:c>
      <x:c r="K3" s="44" t="n">
        <x:f>AA3</x:f>
        <x:v>0.0001220703125</x:v>
      </x:c>
      <x:c r="L3" s="7" t="str">
        <x:f>IF(OR(D3="MXFP4",D3="MXFP8"),"group 32 / E8M0",IF(D3="INT8","channel / 8 B",IF(D3="INT4","channel / 16 B","")))</x:f>
      </x:c>
      <x:c r="M3" s="45" t="n">
        <x:f>$R$6</x:f>
        <x:v>4</x:v>
      </x:c>
      <x:c r="N3" s="7" t="str">
        <x:f>"["&amp;(1024/M3)&amp;","&amp;(256)&amp;"]"</x:f>
        <x:v>[256,256]</x:v>
      </x:c>
      <x:c r="O3" s="34" t="n">
        <x:f>CHOOSE($R$22+1,1)</x:f>
        <x:v>1</x:v>
      </x:c>
      <x:c r="P3" s="2"/>
      <x:c r="Q3" s="7" t="str">
        <x:v>KDA o_proj TP</x:v>
      </x:c>
      <x:c r="R3" s="14" t="n">
        <x:f>$R$2*1</x:f>
        <x:v>4</x:v>
      </x:c>
      <x:c r="S3" s="7" t="str">
        <x:v>本 stage Attention 层数</x:v>
      </x:c>
      <x:c r="T3" s="7" t="n">
        <x:f>CHOOSE(R22+1,2)</x:f>
        <x:v>2</x:v>
      </x:c>
      <x:c r="U3" s="2"/>
      <x:c r="V3" s="2"/>
      <x:c r="W3" s="2"/>
      <x:c r="X3" s="2"/>
      <x:c r="Y3" s="2"/>
      <x:c r="Z3" s="2"/>
      <x:c r="AA3" s="38" t="n">
        <x:f>IF($R$30=1,SUM(AB3:AD3)*(1)/1073741824,NA())</x:f>
        <x:v>0.0001220703125</x:v>
      </x:c>
      <x:c r="AB3" s="39" t="n">
        <x:f>(1024/M3)*ROUNDUP((256)*VLOOKUP(D3,$Q$32:$R$38,2,FALSE),0)</x:f>
        <x:v>131072</x:v>
      </x:c>
      <x:c r="AC3" s="39" t="n">
        <x:f>IF(OR(D3="MXFP4",D3="MXFP8"),(1024/M3)*ROUNDUP((256)/32,0),0)</x:f>
        <x:v>0</x:v>
      </x:c>
      <x:c r="AD3" s="39" t="n">
        <x:f>IF(D3="INT8",(1024/M3)*8,IF(D3="INT4",(1024/M3)*16,0))</x:f>
        <x:v>0</x:v>
      </x:c>
      <x:c r="AE3" s="39" t="n">
        <x:f>(1024)*ROUNDUP((256)*VLOOKUP(D3,$Q$32:$R$38,2,FALSE),0)</x:f>
        <x:v>524288</x:v>
      </x:c>
      <x:c r="AF3" s="39" t="n">
        <x:f>IF(OR(D3="MXFP4",D3="MXFP8"),(1024)*ROUNDUP((256)/32,0),0)</x:f>
        <x:v>0</x:v>
      </x:c>
      <x:c r="AG3" s="39" t="n">
        <x:f>IF(D3="INT8",(1024)*8,IF(D3="INT4",(1024)*16,0))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[256]</x:v>
      </x:c>
      <x:c r="D4" s="49" t="str">
        <x:v>BF16</x:v>
      </x:c>
      <x:c r="E4" s="50" t="n">
        <x:v>6</x:v>
      </x:c>
      <x:c r="F4" s="50" t="n">
        <x:f>(256)</x:f>
        <x:v>256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E4*SUM(AE4:AG4)/1073741824</x:f>
        <x:v>0.00000286102294921875</x:v>
      </x:c>
      <x:c r="K4" s="51" t="n">
        <x:f>AA4</x:f>
        <x:v>0.00000286102294921875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"["&amp;(256/M4)&amp;"]"</x:f>
        <x:v>[256]</x:v>
      </x:c>
      <x:c r="O4" s="50" t="n">
        <x:f>CHOOSE($R$22+1,6)</x:f>
        <x:v>6</x:v>
      </x:c>
      <x:c r="P4" s="2"/>
      <x:c r="Q4" s="7" t="str">
        <x:v>Attention 主体 TP</x:v>
      </x:c>
      <x:c r="R4" s="14" t="n">
        <x:f>IF(R11&gt;1,1,R2)</x:f>
        <x:v>1</x:v>
      </x:c>
      <x:c r="S4" s="7" t="str">
        <x:v>KDA heads</x:v>
      </x:c>
      <x:c r="T4" s="7" t="n">
        <x:v>8</x:v>
      </x:c>
      <x:c r="U4" s="2"/>
      <x:c r="V4" s="2"/>
      <x:c r="W4" s="2"/>
      <x:c r="X4" s="2"/>
      <x:c r="Y4" s="2"/>
      <x:c r="Z4" s="2"/>
      <x:c r="AA4" s="38" t="n">
        <x:f>IF($R$30=1,SUM(AB4:AD4)*(6)/1073741824,NA())</x:f>
        <x:v>0.00000286102294921875</x:v>
      </x:c>
      <x:c r="AB4" s="39" t="n">
        <x:f>1*ROUNDUP((256/M4)*VLOOKUP(D4,$Q$32:$R$38,2,FALSE),0)</x:f>
        <x:v>512</x:v>
      </x:c>
      <x:c r="AC4" s="39" t="n">
        <x:f>IF(OR(D4="MXFP4",D4="MXFP8"),1*ROUNDUP((256/M4)/32,0),0)</x:f>
        <x:v>0</x:v>
      </x:c>
      <x:c r="AD4" s="39" t="n">
        <x:f>IF(D4="INT8",(256/M4)*8,IF(D4="INT4",(256/M4)*16,0))</x:f>
        <x:v>0</x:v>
      </x:c>
      <x:c r="AE4" s="39" t="n">
        <x:f>1*ROUNDUP((256)*VLOOKUP(D4,$Q$32:$R$38,2,FALSE),0)</x:f>
        <x:v>512</x:v>
      </x:c>
      <x:c r="AF4" s="39" t="n">
        <x:f>IF(OR(D4="MXFP4",D4="MXFP8"),1*ROUNDUP((256)/32,0),0)</x:f>
        <x:v>0</x:v>
      </x:c>
      <x:c r="AG4" s="39" t="n">
        <x:f>IF(D4="INT8",(256)*8,IF(D4="INT4",(256)*16,0))</x:f>
        <x:v>0</x:v>
      </x:c>
    </x:row>
    <x:row r="5" ht="18" customHeight="1">
      <x:c r="A5" s="48" t="str">
        <x:v>Dense MLP</x:v>
      </x:c>
      <x:c r="B5" s="48" t="str">
        <x:v>gate_proj.weight</x:v>
      </x:c>
      <x:c r="C5" s="48" t="str">
        <x:v>[512,256]</x:v>
      </x:c>
      <x:c r="D5" s="49" t="str">
        <x:v>BF16</x:v>
      </x:c>
      <x:c r="E5" s="50" t="n">
        <x:v>1</x:v>
      </x:c>
      <x:c r="F5" s="50" t="n">
        <x:f>(512)*(256)</x:f>
        <x:v>131072</x:v>
      </x:c>
      <x:c r="G5" s="48" t="str">
        <x:v>Other TP</x:v>
      </x:c>
      <x:c r="H5" s="48" t="str">
        <x:v>None</x:v>
      </x:c>
      <x:c r="I5" s="48" t="str">
        <x:v>否</x:v>
      </x:c>
      <x:c r="J5" s="51" t="n">
        <x:f>E5*SUM(AE5:AG5)/1073741824</x:f>
        <x:v>0.000244140625</x:v>
      </x:c>
      <x:c r="K5" s="51" t="n">
        <x:f>AA5</x:f>
        <x:v>0.00006103515625</x:v>
      </x:c>
      <x:c r="L5" s="48" t="str">
        <x:f>IF(OR(D5="MXFP4",D5="MXFP8"),"group 32 / E8M0",IF(D5="INT8","channel / 8 B",IF(D5="INT4","channel / 16 B","")))</x:f>
      </x:c>
      <x:c r="M5" s="52" t="n">
        <x:f>$R$8</x:f>
        <x:v>4</x:v>
      </x:c>
      <x:c r="N5" s="48" t="str">
        <x:f>"["&amp;(512/M5)&amp;","&amp;(256)&amp;"]"</x:f>
        <x:v>[128,256]</x:v>
      </x:c>
      <x:c r="O5" s="50" t="n">
        <x:f>CHOOSE($R$22+1,1)</x:f>
        <x:v>1</x:v>
      </x:c>
      <x:c r="P5" s="2"/>
      <x:c r="Q5" s="7" t="str">
        <x:v>Attention o_proj TP</x:v>
      </x:c>
      <x:c r="R5" s="14" t="n">
        <x:f>$R$2*1</x:f>
        <x:v>4</x:v>
      </x:c>
      <x:c r="S5" s="7" t="str">
        <x:v>KDA head dim</x:v>
      </x:c>
      <x:c r="T5" s="7" t="n">
        <x:v>16</x:v>
      </x:c>
      <x:c r="U5" s="2"/>
      <x:c r="V5" s="2"/>
      <x:c r="W5" s="2"/>
      <x:c r="X5" s="2"/>
      <x:c r="Y5" s="2"/>
      <x:c r="Z5" s="2"/>
      <x:c r="AA5" s="38" t="n">
        <x:f>IF($R$30=1,SUM(AB5:AD5)*(1)/1073741824,NA())</x:f>
        <x:v>0.00006103515625</x:v>
      </x:c>
      <x:c r="AB5" s="39" t="n">
        <x:f>(512/M5)*ROUNDUP((256)*VLOOKUP(D5,$Q$32:$R$38,2,FALSE),0)</x:f>
        <x:v>65536</x:v>
      </x:c>
      <x:c r="AC5" s="39" t="n">
        <x:f>IF(OR(D5="MXFP4",D5="MXFP8"),(512/M5)*ROUNDUP((256)/32,0),0)</x:f>
        <x:v>0</x:v>
      </x:c>
      <x:c r="AD5" s="39" t="n">
        <x:f>IF(D5="INT8",(512/M5)*8,IF(D5="INT4",(512/M5)*16,0))</x:f>
        <x:v>0</x:v>
      </x:c>
      <x:c r="AE5" s="39" t="n">
        <x:f>(512)*ROUNDUP((256)*VLOOKUP(D5,$Q$32:$R$38,2,FALSE),0)</x:f>
        <x:v>262144</x:v>
      </x:c>
      <x:c r="AF5" s="39" t="n">
        <x:f>IF(OR(D5="MXFP4",D5="MXFP8"),(512)*ROUNDUP((256)/32,0),0)</x:f>
        <x:v>0</x:v>
      </x:c>
      <x:c r="AG5" s="39" t="n">
        <x:f>IF(D5="INT8",(512)*8,IF(D5="INT4",(512)*16,0))</x:f>
        <x:v>0</x:v>
      </x:c>
    </x:row>
    <x:row r="6" ht="18" customHeight="1">
      <x:c r="A6" s="48" t="str">
        <x:v>KDA</x:v>
      </x:c>
      <x:c r="B6" s="48" t="str">
        <x:v>q_proj</x:v>
      </x:c>
      <x:c r="C6" s="48" t="str">
        <x:v>[128,256]</x:v>
      </x:c>
      <x:c r="D6" s="49" t="str">
        <x:v>BF16</x:v>
      </x:c>
      <x:c r="E6" s="50" t="n">
        <x:v>4</x:v>
      </x:c>
      <x:c r="F6" s="50" t="n">
        <x:f>(128)*(256)</x:f>
        <x:v>32768</x:v>
      </x:c>
      <x:c r="G6" s="48" t="str">
        <x:v>KDA TP</x:v>
      </x:c>
      <x:c r="H6" s="48" t="str">
        <x:v>None</x:v>
      </x:c>
      <x:c r="I6" s="48" t="str">
        <x:v>否</x:v>
      </x:c>
      <x:c r="J6" s="51" t="n">
        <x:f>E6*SUM(AE6:AG6)/1073741824</x:f>
        <x:v>0.000244140625</x:v>
      </x:c>
      <x:c r="K6" s="51" t="n">
        <x:f>AA6</x:f>
        <x:v>0.00006103515625</x:v>
      </x:c>
      <x:c r="L6" s="48" t="str">
        <x:f>IF(OR(D6="MXFP4",D6="MXFP8"),"group 32 / E8M0",IF(D6="INT8","channel / 8 B",IF(D6="INT4","channel / 16 B","")))</x:f>
      </x:c>
      <x:c r="M6" s="52" t="n">
        <x:f>$R$2</x:f>
        <x:v>4</x:v>
      </x:c>
      <x:c r="N6" s="48" t="str">
        <x:f>"["&amp;(128/M6)&amp;","&amp;(256)&amp;"]"</x:f>
        <x:v>[32,256]</x:v>
      </x:c>
      <x:c r="O6" s="50" t="n">
        <x:f>CHOOSE($R$22+1,4)</x:f>
        <x:v>4</x:v>
      </x:c>
      <x:c r="P6" s="2"/>
      <x:c r="Q6" s="7" t="str">
        <x:v>lm_head TP</x:v>
      </x:c>
      <x:c r="R6" s="14" t="n">
        <x:f>$R$2*1</x:f>
        <x:v>4</x:v>
      </x:c>
      <x:c r="S6" s="7" t="str">
        <x:v>Attention heads</x:v>
      </x:c>
      <x:c r="T6" s="7" t="n">
        <x:v>8</x:v>
      </x:c>
      <x:c r="U6" s="2"/>
      <x:c r="V6" s="2"/>
      <x:c r="W6" s="2"/>
      <x:c r="X6" s="2"/>
      <x:c r="Y6" s="2"/>
      <x:c r="Z6" s="2"/>
      <x:c r="AA6" s="38" t="n">
        <x:f>IF($R$30=1,SUM(AB6:AD6)*(4)/1073741824,NA())</x:f>
        <x:v>0.00006103515625</x:v>
      </x:c>
      <x:c r="AB6" s="39" t="n">
        <x:f>(128/M6)*ROUNDUP((256)*VLOOKUP(D6,$Q$32:$R$38,2,FALSE),0)</x:f>
        <x:v>16384</x:v>
      </x:c>
      <x:c r="AC6" s="39" t="n">
        <x:f>IF(OR(D6="MXFP4",D6="MXFP8"),(128/M6)*ROUNDUP((256)/32,0),0)</x:f>
        <x:v>0</x:v>
      </x:c>
      <x:c r="AD6" s="39" t="n">
        <x:f>IF(D6="INT8",(128/M6)*8,IF(D6="INT4",(128/M6)*16,0))</x:f>
        <x:v>0</x:v>
      </x:c>
      <x:c r="AE6" s="39" t="n">
        <x:f>(128)*ROUNDUP((256)*VLOOKUP(D6,$Q$32:$R$38,2,FALSE),0)</x:f>
        <x:v>65536</x:v>
      </x:c>
      <x:c r="AF6" s="39" t="n">
        <x:f>IF(OR(D6="MXFP4",D6="MXFP8"),(128)*ROUNDUP((256)/32,0),0)</x:f>
        <x:v>0</x:v>
      </x:c>
      <x:c r="AG6" s="39" t="n">
        <x:f>IF(D6="INT8",(128)*8,IF(D6="INT4",(128)*16,0))</x:f>
        <x:v>0</x:v>
      </x:c>
    </x:row>
    <x:row r="7" ht="18" customHeight="1">
      <x:c r="A7" s="7" t="str">
        <x:v>KDA</x:v>
      </x:c>
      <x:c r="B7" s="7" t="str">
        <x:v>o_proj</x:v>
      </x:c>
      <x:c r="C7" s="7" t="str">
        <x:v>[256,128]</x:v>
      </x:c>
      <x:c r="D7" s="10" t="str">
        <x:v>BF16</x:v>
      </x:c>
      <x:c r="E7" s="34" t="n">
        <x:v>4</x:v>
      </x:c>
      <x:c r="F7" s="34" t="n">
        <x:f>(256)*(128)</x:f>
        <x:v>32768</x:v>
      </x:c>
      <x:c r="G7" s="7" t="str">
        <x:v>KDA O TP</x:v>
      </x:c>
      <x:c r="H7" s="7" t="str">
        <x:v>None</x:v>
      </x:c>
      <x:c r="I7" s="7" t="str">
        <x:v>否</x:v>
      </x:c>
      <x:c r="J7" s="44" t="n">
        <x:f>E7*SUM(AE7:AG7)/1073741824</x:f>
        <x:v>0.000244140625</x:v>
      </x:c>
      <x:c r="K7" s="44" t="n">
        <x:f>AA7</x:f>
        <x:v>0.00006103515625</x:v>
      </x:c>
      <x:c r="L7" s="7" t="str">
        <x:f>IF(OR(D7="MXFP4",D7="MXFP8"),"group 32 / E8M0",IF(D7="INT8","channel / 8 B",IF(D7="INT4","channel / 16 B","")))</x:f>
      </x:c>
      <x:c r="M7" s="45" t="n">
        <x:f>$R$3</x:f>
        <x:v>4</x:v>
      </x:c>
      <x:c r="N7" s="7" t="str">
        <x:f>"["&amp;(256)&amp;","&amp;(128/M7)&amp;"]"</x:f>
        <x:v>[256,32]</x:v>
      </x:c>
      <x:c r="O7" s="34" t="n">
        <x:f>CHOOSE($R$22+1,4)</x:f>
        <x:v>4</x:v>
      </x:c>
      <x:c r="P7" s="2"/>
      <x:c r="Q7" s="7" t="str">
        <x:v>embedding TP</x:v>
      </x:c>
      <x:c r="R7" s="14" t="n">
        <x:f>$R$2*1</x:f>
        <x:v>4</x:v>
      </x:c>
      <x:c r="S7" s="7" t="str">
        <x:v>Indexer query heads</x:v>
      </x:c>
      <x:c r="T7" s="7" t="n">
        <x:v>4</x:v>
      </x:c>
      <x:c r="U7" s="2"/>
      <x:c r="V7" s="2"/>
      <x:c r="W7" s="2"/>
      <x:c r="X7" s="2"/>
      <x:c r="Y7" s="2"/>
      <x:c r="Z7" s="2"/>
      <x:c r="AA7" s="38" t="n">
        <x:f>IF($R$30=1,SUM(AB7:AD7)*(4)/1073741824,NA())</x:f>
        <x:v>0.00006103515625</x:v>
      </x:c>
      <x:c r="AB7" s="39" t="n">
        <x:f>(256)*ROUNDUP((128/M7)*VLOOKUP(D7,$Q$32:$R$38,2,FALSE),0)</x:f>
        <x:v>16384</x:v>
      </x:c>
      <x:c r="AC7" s="39" t="n">
        <x:f>IF(OR(D7="MXFP4",D7="MXFP8"),(256)*ROUNDUP((128/M7)/32,0),0)</x:f>
        <x:v>0</x:v>
      </x:c>
      <x:c r="AD7" s="39" t="n">
        <x:f>IF(D7="INT8",(256)*8,IF(D7="INT4",(256)*16,0))</x:f>
        <x:v>0</x:v>
      </x:c>
      <x:c r="AE7" s="39" t="n">
        <x:f>(256)*ROUNDUP((128)*VLOOKUP(D7,$Q$32:$R$38,2,FALSE),0)</x:f>
        <x:v>65536</x:v>
      </x:c>
      <x:c r="AF7" s="39" t="n">
        <x:f>IF(OR(D7="MXFP4",D7="MXFP8"),(256)*ROUNDUP((128)/32,0),0)</x:f>
        <x:v>0</x:v>
      </x:c>
      <x:c r="AG7" s="39" t="n">
        <x:f>IF(D7="INT8",(256)*8,IF(D7="INT4",(256)*16,0))</x:f>
        <x:v>0</x:v>
      </x:c>
    </x:row>
    <x:row r="8" ht="18" customHeight="1">
      <x:c r="A8" s="48" t="str">
        <x:v>DSA MLA</x:v>
      </x:c>
      <x:c r="B8" s="48" t="str">
        <x:v>q_b_proj</x:v>
      </x:c>
      <x:c r="C8" s="48" t="str">
        <x:v>[128,64]</x:v>
      </x:c>
      <x:c r="D8" s="49" t="str">
        <x:v>BF16</x:v>
      </x:c>
      <x:c r="E8" s="50" t="n">
        <x:v>2</x:v>
      </x:c>
      <x:c r="F8" s="50" t="n">
        <x:f>(128)*(64)</x:f>
        <x:v>8192</x:v>
      </x:c>
      <x:c r="G8" s="48" t="str">
        <x:v>DSA TP</x:v>
      </x:c>
      <x:c r="H8" s="48" t="str">
        <x:v>None</x:v>
      </x:c>
      <x:c r="I8" s="48" t="str">
        <x:v>否</x:v>
      </x:c>
      <x:c r="J8" s="51" t="n">
        <x:f>E8*SUM(AE8:AG8)/1073741824</x:f>
        <x:v>0.000030517578125</x:v>
      </x:c>
      <x:c r="K8" s="51" t="n">
        <x:f>AA8</x:f>
        <x:v>0.000030517578125</x:v>
      </x:c>
      <x:c r="L8" s="48" t="str">
        <x:f>IF(OR(D8="MXFP4",D8="MXFP8"),"group 32 / E8M0",IF(D8="INT8","channel / 8 B",IF(D8="INT4","channel / 16 B","")))</x:f>
      </x:c>
      <x:c r="M8" s="52" t="n">
        <x:f>$R$4</x:f>
        <x:v>1</x:v>
      </x:c>
      <x:c r="N8" s="48" t="str">
        <x:f>"["&amp;(128/M8)&amp;","&amp;(64)&amp;"]"</x:f>
        <x:v>[128,64]</x:v>
      </x:c>
      <x:c r="O8" s="50" t="n">
        <x:f>CHOOSE($R$22+1,2)</x:f>
        <x:v>2</x:v>
      </x:c>
      <x:c r="P8" s="2"/>
      <x:c r="Q8" s="7" t="str">
        <x:v>其他语言 TP</x:v>
      </x:c>
      <x:c r="R8" s="14" t="n">
        <x:f>$R$2*1</x:f>
        <x:v>4</x:v>
      </x:c>
      <x:c r="S8" s="7" t="str">
        <x:v>本 stage MoE 层数</x:v>
      </x:c>
      <x:c r="T8" s="7" t="n">
        <x:f>CHOOSE(R22+1,5)</x:f>
        <x:v>5</x:v>
      </x:c>
      <x:c r="U8" s="2"/>
      <x:c r="V8" s="2"/>
      <x:c r="W8" s="2"/>
      <x:c r="X8" s="2"/>
      <x:c r="Y8" s="2"/>
      <x:c r="Z8" s="2"/>
      <x:c r="AA8" s="38" t="n">
        <x:f>IF($R$30=1,SUM(AB8:AD8)*(2)/1073741824,NA())</x:f>
        <x:v>0.000030517578125</x:v>
      </x:c>
      <x:c r="AB8" s="39" t="n">
        <x:f>(128/M8)*ROUNDUP((64)*VLOOKUP(D8,$Q$32:$R$38,2,FALSE),0)</x:f>
        <x:v>16384</x:v>
      </x:c>
      <x:c r="AC8" s="39" t="n">
        <x:f>IF(OR(D8="MXFP4",D8="MXFP8"),(128/M8)*ROUNDUP((64)/32,0),0)</x:f>
        <x:v>0</x:v>
      </x:c>
      <x:c r="AD8" s="39" t="n">
        <x:f>IF(D8="INT8",(128/M8)*8,IF(D8="INT4",(128/M8)*16,0))</x:f>
        <x:v>0</x:v>
      </x:c>
      <x:c r="AE8" s="39" t="n">
        <x:f>(128)*ROUNDUP((64)*VLOOKUP(D8,$Q$32:$R$38,2,FALSE),0)</x:f>
        <x:v>16384</x:v>
      </x:c>
      <x:c r="AF8" s="39" t="n">
        <x:f>IF(OR(D8="MXFP4",D8="MXFP8"),(128)*ROUNDUP((64)/32,0),0)</x:f>
        <x:v>0</x:v>
      </x:c>
      <x:c r="AG8" s="39" t="n">
        <x:f>IF(D8="INT8",(128)*8,IF(D8="INT4",(128)*16,0))</x:f>
        <x:v>0</x:v>
      </x:c>
    </x:row>
    <x:row r="9" ht="18" customHeight="1">
      <x:c r="A9" s="7" t="str">
        <x:v>DSA MLA</x:v>
      </x:c>
      <x:c r="B9" s="7" t="str">
        <x:v>o_proj</x:v>
      </x:c>
      <x:c r="C9" s="7" t="str">
        <x:v>[256,128]</x:v>
      </x:c>
      <x:c r="D9" s="10" t="str">
        <x:v>BF16</x:v>
      </x:c>
      <x:c r="E9" s="34" t="n">
        <x:v>2</x:v>
      </x:c>
      <x:c r="F9" s="34" t="n">
        <x:f>(256)*(128)</x:f>
        <x:v>32768</x:v>
      </x:c>
      <x:c r="G9" s="7" t="str">
        <x:v>DSA O TP</x:v>
      </x:c>
      <x:c r="H9" s="7" t="str">
        <x:v>None</x:v>
      </x:c>
      <x:c r="I9" s="7" t="str">
        <x:v>否</x:v>
      </x:c>
      <x:c r="J9" s="44" t="n">
        <x:f>E9*SUM(AE9:AG9)/1073741824</x:f>
        <x:v>0.0001220703125</x:v>
      </x:c>
      <x:c r="K9" s="44" t="n">
        <x:f>AA9</x:f>
        <x:v>0.000030517578125</x:v>
      </x:c>
      <x:c r="L9" s="7" t="str">
        <x:f>IF(OR(D9="MXFP4",D9="MXFP8"),"group 32 / E8M0",IF(D9="INT8","channel / 8 B",IF(D9="INT4","channel / 16 B","")))</x:f>
      </x:c>
      <x:c r="M9" s="45" t="n">
        <x:f>$R$5</x:f>
        <x:v>4</x:v>
      </x:c>
      <x:c r="N9" s="7" t="str">
        <x:f>"["&amp;(256)&amp;","&amp;(128/M9)&amp;"]"</x:f>
        <x:v>[256,32]</x:v>
      </x:c>
      <x:c r="O9" s="34" t="n">
        <x:f>CHOOSE($R$22+1,2)</x:f>
        <x:v>2</x:v>
      </x:c>
      <x:c r="P9" s="2"/>
      <x:c r="Q9" s="7" t="str">
        <x:v>EP</x:v>
      </x:c>
      <x:c r="R9" s="14" t="n">
        <x:v>12</x:v>
      </x:c>
      <x:c r="S9" s="7" t="str">
        <x:v>Routed experts / layer</x:v>
      </x:c>
      <x:c r="T9" s="7" t="n">
        <x:v>10</x:v>
      </x:c>
      <x:c r="U9" s="2"/>
      <x:c r="V9" s="2"/>
      <x:c r="W9" s="2"/>
      <x:c r="X9" s="2"/>
      <x:c r="Y9" s="2"/>
      <x:c r="Z9" s="2"/>
      <x:c r="AA9" s="38" t="n">
        <x:f>IF($R$30=1,SUM(AB9:AD9)*(2)/1073741824,NA())</x:f>
        <x:v>0.000030517578125</x:v>
      </x:c>
      <x:c r="AB9" s="39" t="n">
        <x:f>(256)*ROUNDUP((128/M9)*VLOOKUP(D9,$Q$32:$R$38,2,FALSE),0)</x:f>
        <x:v>16384</x:v>
      </x:c>
      <x:c r="AC9" s="39" t="n">
        <x:f>IF(OR(D9="MXFP4",D9="MXFP8"),(256)*ROUNDUP((128/M9)/32,0),0)</x:f>
        <x:v>0</x:v>
      </x:c>
      <x:c r="AD9" s="39" t="n">
        <x:f>IF(D9="INT8",(256)*8,IF(D9="INT4",(256)*16,0))</x:f>
        <x:v>0</x:v>
      </x:c>
      <x:c r="AE9" s="39" t="n">
        <x:f>(256)*ROUNDUP((128)*VLOOKUP(D9,$Q$32:$R$38,2,FALSE),0)</x:f>
        <x:v>65536</x:v>
      </x:c>
      <x:c r="AF9" s="39" t="n">
        <x:f>IF(OR(D9="MXFP4",D9="MXFP8"),(256)*ROUNDUP((128)/32,0),0)</x:f>
        <x:v>0</x:v>
      </x:c>
      <x:c r="AG9" s="39" t="n">
        <x:f>IF(D9="INT8",(256)*8,IF(D9="INT4",(256)*16,0))</x:f>
        <x:v>0</x:v>
      </x:c>
    </x:row>
    <x:row r="10" ht="18" customHeight="1">
      <x:c r="A10" s="48" t="str">
        <x:v>DSA Indexer</x:v>
      </x:c>
      <x:c r="B10" s="48" t="str">
        <x:v>key.weight</x:v>
      </x:c>
      <x:c r="C10" s="48" t="str">
        <x:v>[32,256]</x:v>
      </x:c>
      <x:c r="D10" s="49" t="str">
        <x:v>BF16</x:v>
      </x:c>
      <x:c r="E10" s="50" t="n">
        <x:v>2</x:v>
      </x:c>
      <x:c r="F10" s="50" t="n">
        <x:f>(32)*(256)</x:f>
        <x:v>8192</x:v>
      </x:c>
      <x:c r="G10" s="48" t="str">
        <x:v>Replicated</x:v>
      </x:c>
      <x:c r="H10" s="48" t="str">
        <x:v>None</x:v>
      </x:c>
      <x:c r="I10" s="48" t="str">
        <x:v>否</x:v>
      </x:c>
      <x:c r="J10" s="51" t="n">
        <x:f>E10*SUM(AE10:AG10)/1073741824</x:f>
        <x:v>0.000030517578125</x:v>
      </x:c>
      <x:c r="K10" s="51" t="n">
        <x:f>AA10</x:f>
        <x:v>0.000030517578125</x:v>
      </x:c>
      <x:c r="L10" s="48" t="str">
        <x:f>IF(OR(D10="MXFP4",D10="MXFP8"),"group 32 / E8M0",IF(D10="INT8","channel / 8 B",IF(D10="INT4","channel / 16 B","")))</x:f>
      </x:c>
      <x:c r="M10" s="52" t="n">
        <x:f>1</x:f>
        <x:v>1</x:v>
      </x:c>
      <x:c r="N10" s="48" t="str">
        <x:f>"["&amp;(32/M10)&amp;","&amp;(256)&amp;"]"</x:f>
        <x:v>[32,256]</x:v>
      </x:c>
      <x:c r="O10" s="50" t="n">
        <x:f>CHOOSE($R$22+1,2)</x:f>
        <x:v>2</x:v>
      </x:c>
      <x:c r="P10" s="2"/>
      <x:c r="Q10" s="7" t="str">
        <x:v>共享专家 TP</x:v>
      </x:c>
      <x:c r="R10" s="14" t="n">
        <x:v>4</x:v>
      </x:c>
      <x:c r="S10" s="7" t="str">
        <x:v>Shared experts / layer</x:v>
      </x:c>
      <x:c r="T10" s="7" t="n">
        <x:v>1</x:v>
      </x:c>
      <x:c r="U10" s="2"/>
      <x:c r="V10" s="2"/>
      <x:c r="W10" s="2"/>
      <x:c r="X10" s="2"/>
      <x:c r="Y10" s="2"/>
      <x:c r="Z10" s="2"/>
      <x:c r="AA10" s="38" t="n">
        <x:f>IF($R$30=1,SUM(AB10:AD10)*(2)/1073741824,NA())</x:f>
        <x:v>0.000030517578125</x:v>
      </x:c>
      <x:c r="AB10" s="39" t="n">
        <x:f>(32/M10)*ROUNDUP((256)*VLOOKUP(D10,$Q$32:$R$38,2,FALSE),0)</x:f>
        <x:v>16384</x:v>
      </x:c>
      <x:c r="AC10" s="39" t="n">
        <x:f>IF(OR(D10="MXFP4",D10="MXFP8"),(32/M10)*ROUNDUP((256)/32,0),0)</x:f>
        <x:v>0</x:v>
      </x:c>
      <x:c r="AD10" s="39" t="n">
        <x:f>IF(D10="INT8",(32/M10)*8,IF(D10="INT4",(32/M10)*16,0))</x:f>
        <x:v>0</x:v>
      </x:c>
      <x:c r="AE10" s="39" t="n">
        <x:f>(32)*ROUNDUP((256)*VLOOKUP(D10,$Q$32:$R$38,2,FALSE),0)</x:f>
        <x:v>16384</x:v>
      </x:c>
      <x:c r="AF10" s="39" t="n">
        <x:f>IF(OR(D10="MXFP4",D10="MXFP8"),(32)*ROUNDUP((256)/32,0),0)</x:f>
        <x:v>0</x:v>
      </x:c>
      <x:c r="AG10" s="39" t="n">
        <x:f>IF(D10="INT8",(32)*8,IF(D10="INT4",(32)*16,0))</x:f>
        <x:v>0</x:v>
      </x:c>
    </x:row>
    <x:row r="11" ht="18" customHeight="1">
      <x:c r="A11" s="48" t="str">
        <x:v>MoE</x:v>
      </x:c>
      <x:c r="B11" s="48" t="str">
        <x:v>router.weight</x:v>
      </x:c>
      <x:c r="C11" s="48" t="str">
        <x:v>[10,256]</x:v>
      </x:c>
      <x:c r="D11" s="49" t="str">
        <x:v>BF16</x:v>
      </x:c>
      <x:c r="E11" s="50" t="n">
        <x:v>5</x:v>
      </x:c>
      <x:c r="F11" s="50" t="n">
        <x:f>(10)*(256)</x:f>
        <x:v>2560</x:v>
      </x:c>
      <x:c r="G11" s="48" t="str">
        <x:v>Replicated</x:v>
      </x:c>
      <x:c r="H11" s="48" t="str">
        <x:v>None</x:v>
      </x:c>
      <x:c r="I11" s="48" t="str">
        <x:v>否</x:v>
      </x:c>
      <x:c r="J11" s="51" t="n">
        <x:f>E11*SUM(AE11:AG11)/1073741824</x:f>
        <x:v>0.00002384185791015625</x:v>
      </x:c>
      <x:c r="K11" s="51" t="n">
        <x:f>AA11</x:f>
        <x:v>0.00002384185791015625</x:v>
      </x:c>
      <x:c r="L11" s="48" t="str">
        <x:f>IF(OR(D11="MXFP4",D11="MXFP8"),"group 32 / E8M0",IF(D11="INT8","channel / 8 B",IF(D11="INT4","channel / 16 B","")))</x:f>
      </x:c>
      <x:c r="M11" s="52" t="n">
        <x:f>1</x:f>
        <x:v>1</x:v>
      </x:c>
      <x:c r="N11" s="48" t="str">
        <x:f>"["&amp;(10/M11)&amp;","&amp;(256)&amp;"]"</x:f>
        <x:v>[10,256]</x:v>
      </x:c>
      <x:c r="O11" s="50" t="n">
        <x:f>CHOOSE($R$22+1,5)</x:f>
        <x:v>5</x:v>
      </x:c>
      <x:c r="P11" s="2"/>
      <x:c r="Q11" s="7" t="str">
        <x:v>DSA CP</x:v>
      </x:c>
      <x:c r="R11" s="14" t="n">
        <x:f>$R$2*1</x:f>
        <x:v>4</x:v>
      </x:c>
      <x:c r="S11" s="7" t="str">
        <x:v>MLA latent dim</x:v>
      </x:c>
      <x:c r="T11" s="7" t="n">
        <x:v>64</x:v>
      </x:c>
      <x:c r="U11" s="2"/>
      <x:c r="V11" s="2"/>
      <x:c r="W11" s="2"/>
      <x:c r="X11" s="2"/>
      <x:c r="Y11" s="2"/>
      <x:c r="Z11" s="2"/>
      <x:c r="AA11" s="38" t="n">
        <x:f>IF($R$30=1,SUM(AB11:AD11)*(5)/1073741824,NA())</x:f>
        <x:v>0.00002384185791015625</x:v>
      </x:c>
      <x:c r="AB11" s="39" t="n">
        <x:f>(10/M11)*ROUNDUP((256)*VLOOKUP(D11,$Q$32:$R$38,2,FALSE),0)</x:f>
        <x:v>5120</x:v>
      </x:c>
      <x:c r="AC11" s="39" t="n">
        <x:f>IF(OR(D11="MXFP4",D11="MXFP8"),(10/M11)*ROUNDUP((256)/32,0),0)</x:f>
        <x:v>0</x:v>
      </x:c>
      <x:c r="AD11" s="39" t="n">
        <x:f>IF(D11="INT8",(10/M11)*8,IF(D11="INT4",(10/M11)*16,0))</x:f>
        <x:v>0</x:v>
      </x:c>
      <x:c r="AE11" s="39" t="n">
        <x:f>(10)*ROUNDUP((256)*VLOOKUP(D11,$Q$32:$R$38,2,FALSE),0)</x:f>
        <x:v>5120</x:v>
      </x:c>
      <x:c r="AF11" s="39" t="n">
        <x:f>IF(OR(D11="MXFP4",D11="MXFP8"),(10)*ROUNDUP((256)/32,0),0)</x:f>
        <x:v>0</x:v>
      </x:c>
      <x:c r="AG11" s="39" t="n">
        <x:f>IF(D11="INT8",(10)*8,IF(D11="INT4",(10)*16,0))</x:f>
        <x:v>0</x:v>
      </x:c>
    </x:row>
    <x:row r="12" ht="18" customHeight="1">
      <x:c r="A12" s="7" t="str">
        <x:v>MoE</x:v>
      </x:c>
      <x:c r="B12" s="7" t="str">
        <x:v>experts.*.w1</x:v>
      </x:c>
      <x:c r="C12" s="7" t="str">
        <x:v>[64,128]</x:v>
      </x:c>
      <x:c r="D12" s="10" t="str">
        <x:v>MXFP4</x:v>
      </x:c>
      <x:c r="E12" s="34" t="n">
        <x:v>50</x:v>
      </x:c>
      <x:c r="F12" s="34" t="n">
        <x:f>(64)*(128)</x:f>
        <x:v>8192</x:v>
      </x:c>
      <x:c r="G12" s="7" t="str">
        <x:v>EP</x:v>
      </x:c>
      <x:c r="H12" s="7" t="str">
        <x:v>EP</x:v>
      </x:c>
      <x:c r="I12" s="7" t="str">
        <x:v>否</x:v>
      </x:c>
      <x:c r="J12" s="44" t="n">
        <x:f>E12*SUM(AE12:AG12)/1073741824</x:f>
        <x:v>0.00020265579223632812</x:v>
      </x:c>
      <x:c r="K12" s="44" t="n">
        <x:f>AA12</x:f>
        <x:v>0.000020265579223632812</x:v>
      </x:c>
      <x:c r="L12" s="7" t="str">
        <x:f>IF(OR(D12="MXFP4",D12="MXFP8"),"group 32 / E8M0",IF(D12="INT8","channel / 8 B",IF(D12="INT4","channel / 16 B","")))</x:f>
        <x:v>group 32 / E8M0</x:v>
      </x:c>
      <x:c r="M12" s="45" t="n">
        <x:f>1</x:f>
        <x:v>1</x:v>
      </x:c>
      <x:c r="N12" s="7" t="str">
        <x:f>"["&amp;(64/M12)&amp;","&amp;(128)&amp;"]"</x:f>
        <x:v>[64,128]</x:v>
      </x:c>
      <x:c r="O12" s="34" t="n">
        <x:f>CHOOSE($R$22+1,5*ROUNDUP(10/$R$9,0))</x:f>
        <x:v>5</x:v>
      </x:c>
      <x:c r="P12" s="2"/>
      <x:c r="Q12" s="7" t="str">
        <x:v>DCP</x:v>
      </x:c>
      <x:c r="R12" s="15" t="n">
        <x:v>1</x:v>
      </x:c>
      <x:c r="S12" s="7" t="str">
        <x:v>RoPE dim</x:v>
      </x:c>
      <x:c r="T12" s="7" t="n">
        <x:v>16</x:v>
      </x:c>
      <x:c r="U12" s="2"/>
      <x:c r="V12" s="2"/>
      <x:c r="W12" s="2"/>
      <x:c r="X12" s="2"/>
      <x:c r="Y12" s="2"/>
      <x:c r="Z12" s="2"/>
      <x:c r="AA12" s="38" t="n">
        <x:f>IF($R$30=1,SUM(AB12:AD12)*(5*ROUNDUP(10/$R$9,0))/1073741824,NA())</x:f>
        <x:v>0.000020265579223632812</x:v>
      </x:c>
      <x:c r="AB12" s="39" t="n">
        <x:f>(64/M12)*ROUNDUP((128)*VLOOKUP(D12,$Q$32:$R$38,2,FALSE),0)</x:f>
        <x:v>4096</x:v>
      </x:c>
      <x:c r="AC12" s="39" t="n">
        <x:f>IF(OR(D12="MXFP4",D12="MXFP8"),(64/M12)*ROUNDUP((128)/32,0),0)</x:f>
        <x:v>256</x:v>
      </x:c>
      <x:c r="AD12" s="39" t="n">
        <x:f>IF(D12="INT8",(64/M12)*8,IF(D12="INT4",(64/M12)*16,0))</x:f>
        <x:v>0</x:v>
      </x:c>
      <x:c r="AE12" s="39" t="n">
        <x:f>(64)*ROUNDUP((128)*VLOOKUP(D12,$Q$32:$R$38,2,FALSE),0)</x:f>
        <x:v>4096</x:v>
      </x:c>
      <x:c r="AF12" s="39" t="n">
        <x:f>IF(OR(D12="MXFP4",D12="MXFP8"),(64)*ROUNDUP((128)/32,0),0)</x:f>
        <x:v>256</x:v>
      </x:c>
      <x:c r="AG12" s="39" t="n">
        <x:f>IF(D12="INT8",(64)*8,IF(D12="INT4",(64)*16,0))</x:f>
        <x:v>0</x:v>
      </x:c>
    </x:row>
    <x:row r="13" ht="18" customHeight="1">
      <x:c r="A13" s="7" t="str">
        <x:v>MoE</x:v>
      </x:c>
      <x:c r="B13" s="7" t="str">
        <x:v>shared_experts.down_proj</x:v>
      </x:c>
      <x:c r="C13" s="7" t="str">
        <x:v>[256,64]</x:v>
      </x:c>
      <x:c r="D13" s="10" t="str">
        <x:v>BF16</x:v>
      </x:c>
      <x:c r="E13" s="34" t="n">
        <x:v>5</x:v>
      </x:c>
      <x:c r="F13" s="34" t="n">
        <x:f>(256)*(64)</x:f>
        <x:v>16384</x:v>
      </x:c>
      <x:c r="G13" s="7" t="str">
        <x:v>Shared TP</x:v>
      </x:c>
      <x:c r="H13" s="7" t="str">
        <x:v>None</x:v>
      </x:c>
      <x:c r="I13" s="7" t="str">
        <x:v>是</x:v>
      </x:c>
      <x:c r="J13" s="44" t="n">
        <x:f>E13*SUM(AE13:AG13)/1073741824</x:f>
        <x:v>0.000152587890625</x:v>
      </x:c>
      <x:c r="K13" s="44" t="n">
        <x:f>AA13</x:f>
        <x:v>0.00003814697265625</x:v>
      </x:c>
      <x:c r="L13" s="7" t="str">
        <x:f>IF(OR(D13="MXFP4",D13="MXFP8"),"group 32 / E8M0",IF(D13="INT8","channel / 8 B",IF(D13="INT4","channel / 16 B","")))</x:f>
      </x:c>
      <x:c r="M13" s="45" t="n">
        <x:f>$R$10</x:f>
        <x:v>4</x:v>
      </x:c>
      <x:c r="N13" s="7" t="str">
        <x:f>"["&amp;(256)&amp;","&amp;(64/M13)&amp;"]"</x:f>
        <x:v>[256,16]</x:v>
      </x:c>
      <x:c r="O13" s="34" t="n">
        <x:f>CHOOSE($R$22+1,5)</x:f>
        <x:v>5</x:v>
      </x:c>
      <x:c r="P13" s="2"/>
      <x:c r="Q13" s="7" t="str">
        <x:v>MLA cache dtype</x:v>
      </x:c>
      <x:c r="R13" s="17" t="str">
        <x:v>INT8</x:v>
      </x:c>
      <x:c r="S13" s="7" t="str">
        <x:v>Indexer key dim</x:v>
      </x:c>
      <x:c r="T13" s="7" t="n">
        <x:v>32</x:v>
      </x:c>
      <x:c r="U13" s="2"/>
      <x:c r="V13" s="2"/>
      <x:c r="W13" s="2"/>
      <x:c r="X13" s="2"/>
      <x:c r="Y13" s="2"/>
      <x:c r="Z13" s="2"/>
      <x:c r="AA13" s="38" t="n">
        <x:f>IF($R$30=1,SUM(AB13:AD13)*(5)/1073741824,NA())</x:f>
        <x:v>0.00003814697265625</x:v>
      </x:c>
      <x:c r="AB13" s="39" t="n">
        <x:f>(256)*ROUNDUP((64/M13)*VLOOKUP(D13,$Q$32:$R$38,2,FALSE),0)</x:f>
        <x:v>8192</x:v>
      </x:c>
      <x:c r="AC13" s="39" t="n">
        <x:f>IF(OR(D13="MXFP4",D13="MXFP8"),(256)*ROUNDUP((64/M13)/32,0),0)</x:f>
        <x:v>0</x:v>
      </x:c>
      <x:c r="AD13" s="39" t="n">
        <x:f>IF(D13="INT8",(256)*8,IF(D13="INT4",(256)*16,0))</x:f>
        <x:v>0</x:v>
      </x:c>
      <x:c r="AE13" s="39" t="n">
        <x:f>(256)*ROUNDUP((64)*VLOOKUP(D13,$Q$32:$R$38,2,FALSE),0)</x:f>
        <x:v>32768</x:v>
      </x:c>
      <x:c r="AF13" s="39" t="n">
        <x:f>IF(OR(D13="MXFP4",D13="MXFP8"),(256)*ROUNDUP((64)/32,0),0)</x:f>
        <x:v>0</x:v>
      </x:c>
      <x:c r="AG13" s="39" t="n">
        <x:f>IF(D13="INT8",(256)*8,IF(D13="INT4",(256)*16,0))</x:f>
        <x:v>0</x:v>
      </x:c>
    </x:row>
    <x:row r="14" ht="18" customHeight="1">
      <x:c r="A14" s="48" t="str">
        <x:v>ViT patch</x:v>
      </x:c>
      <x:c r="B14" s="48" t="str">
        <x:v>patch.weight</x:v>
      </x:c>
      <x:c r="C14" s="48" t="str">
        <x:v>[16,3,4,4]</x:v>
      </x:c>
      <x:c r="D14" s="49" t="str">
        <x:v>BF16</x:v>
      </x:c>
      <x:c r="E14" s="50" t="n">
        <x:v>1</x:v>
      </x:c>
      <x:c r="F14" s="50" t="n">
        <x:f>(16)*(3)*(4)*(4)</x:f>
        <x:v>768</x:v>
      </x:c>
      <x:c r="G14" s="48" t="str">
        <x:v>Replicated</x:v>
      </x:c>
      <x:c r="H14" s="48" t="str">
        <x:v>None</x:v>
      </x:c>
      <x:c r="I14" s="48" t="str">
        <x:v>否</x:v>
      </x:c>
      <x:c r="J14" s="51" t="n">
        <x:f>E14*SUM(AE14:AG14)/1073741824</x:f>
        <x:v>0.000001430511474609375</x:v>
      </x:c>
      <x:c r="K14" s="51" t="n">
        <x:f>AA14</x:f>
        <x:v>0.000001430511474609375</x:v>
      </x:c>
      <x:c r="L14" s="48" t="str">
        <x:f>IF(OR(D14="MXFP4",D14="MXFP8"),"group 32 / E8M0",IF(D14="INT8","channel / 8 B",IF(D14="INT4","channel / 16 B","")))</x:f>
      </x:c>
      <x:c r="M14" s="52" t="n">
        <x:f>1</x:f>
        <x:v>1</x:v>
      </x:c>
      <x:c r="N14" s="48" t="str">
        <x:f>"["&amp;(16/M14)&amp;","&amp;(3)&amp;","&amp;(4)&amp;","&amp;(4)&amp;"]"</x:f>
        <x:v>[16,3,4,4]</x:v>
      </x:c>
      <x:c r="O14" s="50" t="n">
        <x:f>CHOOSE($R$22+1,1)</x:f>
        <x:v>1</x:v>
      </x:c>
      <x:c r="P14" s="2"/>
      <x:c r="Q14" s="7" t="str">
        <x:v>Indexer cache dtype</x:v>
      </x:c>
      <x:c r="R14" s="17" t="str">
        <x:v>INT8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38" t="n">
        <x:f>IF($R$30=1,SUM(AB14:AD14)*(1)/1073741824,NA())</x:f>
        <x:v>0.000001430511474609375</x:v>
      </x:c>
      <x:c r="AB14" s="39" t="n">
        <x:f>(16/M14)*(3)*(4)*ROUNDUP((4)*VLOOKUP(D14,$Q$32:$R$38,2,FALSE),0)</x:f>
        <x:v>1536</x:v>
      </x:c>
      <x:c r="AC14" s="39" t="n">
        <x:f>IF(OR(D14="MXFP4",D14="MXFP8"),(16/M14)*(3)*(4)*ROUNDUP((4)/32,0),0)</x:f>
        <x:v>0</x:v>
      </x:c>
      <x:c r="AD14" s="39" t="n">
        <x:f>IF(D14="INT8",(16/M14)*8,IF(D14="INT4",(16/M14)*16,0))</x:f>
        <x:v>0</x:v>
      </x:c>
      <x:c r="AE14" s="39" t="n">
        <x:f>(16)*(3)*(4)*ROUNDUP((4)*VLOOKUP(D14,$Q$32:$R$38,2,FALSE),0)</x:f>
        <x:v>1536</x:v>
      </x:c>
      <x:c r="AF14" s="39" t="n">
        <x:f>IF(OR(D14="MXFP4",D14="MXFP8"),(16)*(3)*(4)*ROUNDUP((4)/32,0),0)</x:f>
        <x:v>0</x:v>
      </x:c>
      <x:c r="AG14" s="39" t="n">
        <x:f>IF(D14="INT8",(16)*8,IF(D14="INT4",(16)*16,0))</x:f>
        <x:v>0</x:v>
      </x:c>
    </x:row>
    <x:row r="15" ht="18" customHeight="1">
      <x:c r="A15" s="53" t="str">
        <x:v>ViT blocks</x:v>
      </x:c>
      <x:c r="B15" s="53" t="str">
        <x:v>blocks.*.weight</x:v>
      </x:c>
      <x:c r="C15" s="53" t="str">
        <x:v>[32,16]</x:v>
      </x:c>
      <x:c r="D15" s="54" t="str">
        <x:v>BF16</x:v>
      </x:c>
      <x:c r="E15" s="55" t="n">
        <x:v>2</x:v>
      </x:c>
      <x:c r="F15" s="55" t="n">
        <x:f>(32)*(16)</x:f>
        <x:v>512</x:v>
      </x:c>
      <x:c r="G15" s="53" t="str">
        <x:v>Replicated</x:v>
      </x:c>
      <x:c r="H15" s="53" t="str">
        <x:v>None</x:v>
      </x:c>
      <x:c r="I15" s="53" t="str">
        <x:v>否</x:v>
      </x:c>
      <x:c r="J15" s="56" t="n">
        <x:f>E15*SUM(AE15:AG15)/1073741824</x:f>
        <x:v>0.0000019073486328125</x:v>
      </x:c>
      <x:c r="K15" s="56" t="n">
        <x:f>AA15</x:f>
        <x:v>0.0000019073486328125</x:v>
      </x:c>
      <x:c r="L15" s="53" t="str">
        <x:f>IF(OR(D15="MXFP4",D15="MXFP8"),"group 32 / E8M0",IF(D15="INT8","channel / 8 B",IF(D15="INT4","channel / 16 B","")))</x:f>
      </x:c>
      <x:c r="M15" s="57" t="n">
        <x:f>1</x:f>
        <x:v>1</x:v>
      </x:c>
      <x:c r="N15" s="53" t="str">
        <x:f>"["&amp;(32/M15)&amp;","&amp;(16)&amp;"]"</x:f>
        <x:v>[32,16]</x:v>
      </x:c>
      <x:c r="O15" s="55" t="n">
        <x:f>CHOOSE($R$22+1,2)</x:f>
        <x:v>2</x:v>
      </x:c>
      <x:c r="P15" s="2"/>
      <x:c r="Q15" s="7" t="str">
        <x:v>Indexer scale bytes</x:v>
      </x:c>
      <x:c r="R15" s="15" t="n">
        <x:f>IF(R14="BF16",0,IF(R14="INT8",2,4))</x:f>
        <x:v>2</x:v>
      </x:c>
      <x:c r="S15" s="7" t="str">
        <x:v>Cache block size</x:v>
      </x:c>
      <x:c r="T15" s="7" t="n">
        <x:f>R19</x:f>
        <x:v>32</x:v>
      </x:c>
      <x:c r="U15" s="2"/>
      <x:c r="V15" s="2"/>
      <x:c r="W15" s="2"/>
      <x:c r="X15" s="2"/>
      <x:c r="Y15" s="2"/>
      <x:c r="Z15" s="2"/>
      <x:c r="AA15" s="38" t="n">
        <x:f>IF($R$30=1,SUM(AB15:AD15)*(2)/1073741824,NA())</x:f>
        <x:v>0.0000019073486328125</x:v>
      </x:c>
      <x:c r="AB15" s="39" t="n">
        <x:f>(32/M15)*ROUNDUP((16)*VLOOKUP(D15,$Q$32:$R$38,2,FALSE),0)</x:f>
        <x:v>1024</x:v>
      </x:c>
      <x:c r="AC15" s="39" t="n">
        <x:f>IF(OR(D15="MXFP4",D15="MXFP8"),(32/M15)*ROUNDUP((16)/32,0),0)</x:f>
        <x:v>0</x:v>
      </x:c>
      <x:c r="AD15" s="39" t="n">
        <x:f>IF(D15="INT8",(32/M15)*8,IF(D15="INT4",(32/M15)*16,0))</x:f>
        <x:v>0</x:v>
      </x:c>
      <x:c r="AE15" s="39" t="n">
        <x:f>(32)*ROUNDUP((16)*VLOOKUP(D15,$Q$32:$R$38,2,FALSE),0)</x:f>
        <x:v>1024</x:v>
      </x:c>
      <x:c r="AF15" s="39" t="n">
        <x:f>IF(OR(D15="MXFP4",D15="MXFP8"),(32)*ROUNDUP((16)/32,0),0)</x:f>
        <x:v>0</x:v>
      </x:c>
      <x:c r="AG15" s="39" t="n">
        <x:f>IF(D15="INT8",(32)*8,IF(D15="INT4",(32)*16,0))</x:f>
        <x:v>0</x:v>
      </x:c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257</x:v>
      </x:c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Prefill</x:v>
      </x:c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7" t="str">
        <x:v>单请求 token 数</x:v>
      </x:c>
      <x:c r="R18" s="14" t="n">
        <x:v>257</x:v>
      </x:c>
      <x:c r="S18" s="7" t="str">
        <x:v>ViT</x:v>
      </x:c>
      <x:c r="T18" s="7" t="str">
        <x:v>包含</x:v>
      </x:c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7" t="str">
        <x:v>Cache block size</x:v>
      </x:c>
      <x:c r="R19" s="14" t="n">
        <x:v>32</x:v>
      </x:c>
      <x:c r="S19" s="7" t="str">
        <x:v>KDA local heads</x:v>
      </x:c>
      <x:c r="T19" s="7" t="n">
        <x:f>T4/R2</x:f>
        <x:v>2</x:v>
      </x:c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8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7" t="str">
        <x:v>主缓存 context 切分</x:v>
      </x:c>
      <x:c r="R21" s="15" t="n">
        <x:f>R12</x:f>
        <x:v>1</x:v>
      </x:c>
      <x:c r="S21" s="7" t="str">
        <x:v>Indexer key heads</x:v>
      </x:c>
      <x:c r="T21" s="7" t="n">
        <x:v>1</x:v>
      </x:c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8</x:v>
      </x:c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6" t="str">
        <x:v>单卡权重 GiB</x:v>
      </x:c>
      <x:c r="R23" s="27" t="n">
        <x:f>SUM(K2:K15)</x:f>
        <x:v>0.0006072521209716797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7" t="str">
        <x:v>权重 + cache GiB</x:v>
      </x:c>
      <x:c r="R24" s="28" t="n">
        <x:f>R23+R27</x:f>
        <x:v>0.0006889104843139648</x:v>
      </x:c>
      <x:c r="S24" s="6" t="str">
        <x:v>DP</x:v>
      </x:c>
      <x:c r="T24" s="6" t="n">
        <x:f>R9/R2</x:f>
        <x:v>3</x:v>
      </x:c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7" t="str">
        <x:v>o_proj buffer GiB</x:v>
      </x:c>
      <x:c r="R25" s="28" t="n">
        <x:f>SUM(R57:R58)</x:f>
        <x:v>0.000091552734375</x:v>
      </x:c>
      <x:c r="S25" s="7" t="str">
        <x:v>PP</x:v>
      </x:c>
      <x:c r="T25" s="7" t="n">
        <x:v>1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7" t="str">
        <x:v>总参数量 T</x:v>
      </x:c>
      <x:c r="R26" s="28" t="n">
        <x:f>SUMPRODUCT(E2:E15,F2:F15)/1000000000000</x:f>
        <x:v>0.000001523456</x:v>
      </x:c>
      <x:c r="S26" s="7" t="str">
        <x:v>EP / stage</x:v>
      </x:c>
      <x:c r="T26" s="7" t="n">
        <x:f>R9</x:f>
        <x:v>12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7" t="str">
        <x:v>单请求 cache GiB</x:v>
      </x:c>
      <x:c r="R27" s="28" t="n">
        <x:f>X63</x:f>
        <x:v>0.00008165836334228516</x:v>
      </x:c>
      <x:c r="S27" s="7" t="str">
        <x:v>总设备数</x:v>
      </x:c>
      <x:c r="T27" s="7" t="n">
        <x:f>R9*T25</x:f>
        <x:v>12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7" t="str">
        <x:v>权重 + cache + buffer GiB</x:v>
      </x:c>
      <x:c r="R28" s="28" t="n">
        <x:f>R23+R27+R25</x:f>
        <x:v>0.0007804632186889648</x:v>
      </x:c>
      <x:c r="S28" s="8" t="str">
        <x:v>DCP</x:v>
      </x:c>
      <x:c r="T28" s="8" t="n">
        <x:f>R12</x:f>
        <x:v>1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8" t="str">
        <x:v>本页 token 数</x:v>
      </x:c>
      <x:c r="R29" s="8" t="n">
        <x:f>R18</x:f>
        <x:v>257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 t="str">
        <x:v>参数校验（1=有效）</x:v>
      </x:c>
      <x:c r="R30" s="2" t="n">
        <x:f>IF(AND(AND(R2&gt;=1,R9&gt;=1,R12&gt;=1,R19&gt;=1,R18&gt;=1,R18&lt;=4096,MOD(R9,R2)=0,MOD(T4,R2)=0,MOD(R2,R12)=0,R22&gt;=0,R22&lt;1,MOD(R22,1)=0,R20&gt;=0,MOD(R20,1)=0,R12=1,OR(R11=1,R11=R2)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(1024,R7)=0,MOD(1024,R6)=0,MOD(512,R8)=0,MOD(128,R2)=0,MOD(128,R3)=0,MOD(128,R4)=0,MOD(128,R5)=0,MOD(64,R10)=0)),1,0)</x:f>
        <x:v>1</x:v>
      </x:c>
      <x:c r="S30" s="2" t="str">
        <x:v>量化方案</x:v>
      </x:c>
      <x:c r="T30" s="2" t="str">
        <x:v>checkpoint</x:v>
      </x:c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1</x:v>
      </x:c>
      <x:c r="U32" s="6" t="n">
        <x:f>IF(R13="BF16",0,ROUNDUP(T11/128,0)*4)</x:f>
        <x:v>4</x:v>
      </x:c>
      <x:c r="V32" s="6" t="n">
        <x:f>T11*T32+U32</x:f>
        <x:v>68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32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100</x:v>
      </x:c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1</x:v>
      </x:c>
      <x:c r="U35" s="8" t="n">
        <x:f>R15</x:f>
        <x:v>2</x:v>
      </x:c>
      <x:c r="V35" s="8" t="n">
        <x:f>T13*T35+U35</x:f>
        <x:v>34</x:v>
      </x:c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2"/>
      <x:c r="AB39" s="2"/>
      <x:c r="AC39" s="2"/>
      <x:c r="AD39" s="2"/>
      <x:c r="AE39" s="2"/>
      <x:c r="AF39" s="2"/>
      <x:c r="AG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6" t="str">
        <x:v>embedding</x:v>
      </x:c>
      <x:c r="R40" s="6" t="n">
        <x:f>CHOOSE($R$22+1,1)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0.0001220703125</x:v>
      </x:c>
      <x:c r="V40" s="27" t="n">
        <x:f>SUM(K2)</x:f>
        <x:v>0.0001220703125</x:v>
      </x:c>
      <x:c r="W40" s="30" t="n">
        <x:f>V40/$R$23</x:f>
        <x:v>0.2010208087946604</x:v>
      </x:c>
      <x:c r="X40" s="6" t="str"/>
      <x:c r="Y40" s="2"/>
      <x:c r="Z40" s="2"/>
      <x:c r="AA40" s="2"/>
      <x:c r="AB40" s="2"/>
      <x:c r="AC40" s="2"/>
      <x:c r="AD40" s="2"/>
      <x:c r="AE40" s="2"/>
      <x:c r="AF40" s="2"/>
      <x:c r="AG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7" t="str">
        <x:v>lm_head</x:v>
      </x:c>
      <x:c r="R41" s="7" t="n">
        <x:f>CHOOSE($R$22+1,1)</x:f>
        <x:v>1</x:v>
      </x:c>
      <x:c r="S41" s="7" t="n">
        <x:f>1</x:f>
        <x:v>1</x:v>
      </x:c>
      <x:c r="T41" s="7" t="n">
        <x:f>R41*S41</x:f>
        <x:v>1</x:v>
      </x:c>
      <x:c r="U41" s="28" t="n">
        <x:f>IF(T41=0,0,V41/T41)</x:f>
        <x:v>0.0001220703125</x:v>
      </x:c>
      <x:c r="V41" s="28" t="n">
        <x:f>SUM(K3)</x:f>
        <x:v>0.0001220703125</x:v>
      </x:c>
      <x:c r="W41" s="31" t="n">
        <x:f>V41/$R$23</x:f>
        <x:v>0.2010208087946604</x:v>
      </x:c>
      <x:c r="X41" s="7" t="str"/>
      <x:c r="Y41" s="2"/>
      <x:c r="Z41" s="2"/>
      <x:c r="AA41" s="2"/>
      <x:c r="AB41" s="2"/>
      <x:c r="AC41" s="2"/>
      <x:c r="AD41" s="2"/>
      <x:c r="AE41" s="2"/>
      <x:c r="AF41" s="2"/>
      <x:c r="AG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7" t="str">
        <x:v>Decoder norms / residual</x:v>
      </x:c>
      <x:c r="R42" s="7" t="n">
        <x:f>CHOOSE($R$22+1,6)</x:f>
        <x:v>6</x:v>
      </x:c>
      <x:c r="S42" s="7" t="n">
        <x:f>1</x:f>
        <x:v>1</x:v>
      </x:c>
      <x:c r="T42" s="7" t="n">
        <x:f>R42*S42</x:f>
        <x:v>6</x:v>
      </x:c>
      <x:c r="U42" s="28" t="n">
        <x:f>IF(T42=0,0,V42/T42)</x:f>
        <x:v>4.76837158203125e-7</x:v>
      </x:c>
      <x:c r="V42" s="28" t="n">
        <x:f>SUM(K4)</x:f>
        <x:v>0.00000286102294921875</x:v>
      </x:c>
      <x:c r="W42" s="31" t="n">
        <x:f>V42/$R$23</x:f>
        <x:v>0.004711425206124852</x:v>
      </x:c>
      <x:c r="X42" s="7" t="str"/>
      <x:c r="Y42" s="2"/>
      <x:c r="Z42" s="2"/>
      <x:c r="AA42" s="2"/>
      <x:c r="AB42" s="2"/>
      <x:c r="AC42" s="2"/>
      <x:c r="AD42" s="2"/>
      <x:c r="AE42" s="2"/>
      <x:c r="AF42" s="2"/>
      <x:c r="AG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7" t="str">
        <x:v>Final norm / residual</x:v>
      </x:c>
      <x:c r="R43" s="7" t="n">
        <x:f>CHOOSE($R$22+1,1)</x:f>
        <x:v>1</x:v>
      </x:c>
      <x:c r="S43" s="7" t="n">
        <x:f>1</x:f>
        <x:v>1</x:v>
      </x:c>
      <x:c r="T43" s="7" t="n">
        <x:f>R43*S43</x:f>
        <x:v>1</x:v>
      </x:c>
      <x:c r="U43" s="28" t="n">
        <x:f>IF(T43=0,0,V43/T43)</x:f>
        <x:v>0</x:v>
      </x:c>
      <x:c r="V43" s="28" t="n">
        <x:f>0</x:f>
        <x:v>0</x:v>
      </x:c>
      <x:c r="W43" s="31" t="n">
        <x:f>V43/$R$23</x:f>
        <x:v>0</x:v>
      </x:c>
      <x:c r="X43" s="7" t="str"/>
      <x:c r="Y43" s="2"/>
      <x:c r="Z43" s="2"/>
      <x:c r="AA43" s="2"/>
      <x:c r="AB43" s="2"/>
      <x:c r="AC43" s="2"/>
      <x:c r="AD43" s="2"/>
      <x:c r="AE43" s="2"/>
      <x:c r="AF43" s="2"/>
      <x:c r="AG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7" t="str">
        <x:v>Dense MLP</x:v>
      </x:c>
      <x:c r="R44" s="7" t="n">
        <x:f>CHOOSE($R$22+1,1)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0.00006103515625</x:v>
      </x:c>
      <x:c r="V44" s="28" t="n">
        <x:f>SUM(K5)</x:f>
        <x:v>0.00006103515625</x:v>
      </x:c>
      <x:c r="W44" s="31" t="n">
        <x:f>V44/$R$23</x:f>
        <x:v>0.1005104043973302</x:v>
      </x:c>
      <x:c r="X44" s="7" t="str"/>
      <x:c r="Y44" s="2"/>
      <x:c r="Z44" s="2"/>
      <x:c r="AA44" s="2"/>
      <x:c r="AB44" s="2"/>
      <x:c r="AC44" s="2"/>
      <x:c r="AD44" s="2"/>
      <x:c r="AE44" s="2"/>
      <x:c r="AF44" s="2"/>
      <x:c r="AG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7" t="str">
        <x:v>KDA</x:v>
      </x:c>
      <x:c r="R45" s="7" t="n">
        <x:f>CHOOSE($R$22+1,4)</x:f>
        <x:v>4</x:v>
      </x:c>
      <x:c r="S45" s="7" t="n">
        <x:f>1</x:f>
        <x:v>1</x:v>
      </x:c>
      <x:c r="T45" s="7" t="n">
        <x:f>R45*S45</x:f>
        <x:v>4</x:v>
      </x:c>
      <x:c r="U45" s="28" t="n">
        <x:f>IF(T45=0,0,V45/T45)</x:f>
        <x:v>0.000030517578125</x:v>
      </x:c>
      <x:c r="V45" s="28" t="n">
        <x:f>SUM(K6,K7)</x:f>
        <x:v>0.0001220703125</x:v>
      </x:c>
      <x:c r="W45" s="31" t="n">
        <x:f>V45/$R$23</x:f>
        <x:v>0.2010208087946604</x:v>
      </x:c>
      <x:c r="X45" s="7" t="str"/>
      <x:c r="Y45" s="2"/>
      <x:c r="Z45" s="2"/>
      <x:c r="AA45" s="2"/>
      <x:c r="AB45" s="2"/>
      <x:c r="AC45" s="2"/>
      <x:c r="AD45" s="2"/>
      <x:c r="AE45" s="2"/>
      <x:c r="AF45" s="2"/>
      <x:c r="AG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7" t="str">
        <x:v>DSA MLA</x:v>
      </x:c>
      <x:c r="R46" s="7" t="n">
        <x:f>CHOOSE($R$22+1,2)</x:f>
        <x:v>2</x:v>
      </x:c>
      <x:c r="S46" s="7" t="n">
        <x:f>1</x:f>
        <x:v>1</x:v>
      </x:c>
      <x:c r="T46" s="7" t="n">
        <x:f>R46*S46</x:f>
        <x:v>2</x:v>
      </x:c>
      <x:c r="U46" s="28" t="n">
        <x:f>IF(T46=0,0,V46/T46)</x:f>
        <x:v>0.000030517578125</x:v>
      </x:c>
      <x:c r="V46" s="28" t="n">
        <x:f>SUM(K8,K9)</x:f>
        <x:v>0.00006103515625</x:v>
      </x:c>
      <x:c r="W46" s="31" t="n">
        <x:f>V46/$R$23</x:f>
        <x:v>0.1005104043973302</x:v>
      </x:c>
      <x:c r="X46" s="7" t="str"/>
      <x:c r="Y46" s="2"/>
      <x:c r="Z46" s="2"/>
      <x:c r="AA46" s="2"/>
      <x:c r="AB46" s="2"/>
      <x:c r="AC46" s="2"/>
      <x:c r="AD46" s="2"/>
      <x:c r="AE46" s="2"/>
      <x:c r="AF46" s="2"/>
      <x:c r="AG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7" t="str">
        <x:v>DSA Indexer</x:v>
      </x:c>
      <x:c r="R47" s="7" t="n">
        <x:f>CHOOSE($R$22+1,2)</x:f>
        <x:v>2</x:v>
      </x:c>
      <x:c r="S47" s="7" t="n">
        <x:f>1</x:f>
        <x:v>1</x:v>
      </x:c>
      <x:c r="T47" s="7" t="n">
        <x:f>R47*S47</x:f>
        <x:v>2</x:v>
      </x:c>
      <x:c r="U47" s="28" t="n">
        <x:f>IF(T47=0,0,V47/T47)</x:f>
        <x:v>0.0000152587890625</x:v>
      </x:c>
      <x:c r="V47" s="28" t="n">
        <x:f>SUM(K10)</x:f>
        <x:v>0.000030517578125</x:v>
      </x:c>
      <x:c r="W47" s="31" t="n">
        <x:f>V47/$R$23</x:f>
        <x:v>0.0502552021986651</x:v>
      </x:c>
      <x:c r="X47" s="7" t="str"/>
      <x:c r="Y47" s="2"/>
      <x:c r="Z47" s="2"/>
      <x:c r="AA47" s="2"/>
      <x:c r="AB47" s="2"/>
      <x:c r="AC47" s="2"/>
      <x:c r="AD47" s="2"/>
      <x:c r="AE47" s="2"/>
      <x:c r="AF47" s="2"/>
      <x:c r="AG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7" t="str">
        <x:v>MoE router / latent</x:v>
      </x:c>
      <x:c r="R48" s="7" t="n">
        <x:f>CHOOSE($R$22+1,5)</x:f>
        <x:v>5</x:v>
      </x:c>
      <x:c r="S48" s="7" t="n">
        <x:f>1</x:f>
        <x:v>1</x:v>
      </x:c>
      <x:c r="T48" s="7" t="n">
        <x:f>R48*S48</x:f>
        <x:v>5</x:v>
      </x:c>
      <x:c r="U48" s="28" t="n">
        <x:f>IF(T48=0,0,V48/T48)</x:f>
        <x:v>0.00000476837158203125</x:v>
      </x:c>
      <x:c r="V48" s="28" t="n">
        <x:f>SUM(K11)</x:f>
        <x:v>0.00002384185791015625</x:v>
      </x:c>
      <x:c r="W48" s="31" t="n">
        <x:f>V48/$R$23</x:f>
        <x:v>0.0392618767177071</x:v>
      </x:c>
      <x:c r="X48" s="7" t="str"/>
      <x:c r="Y48" s="2"/>
      <x:c r="Z48" s="2"/>
      <x:c r="AA48" s="2"/>
      <x:c r="AB48" s="2"/>
      <x:c r="AC48" s="2"/>
      <x:c r="AD48" s="2"/>
      <x:c r="AE48" s="2"/>
      <x:c r="AF48" s="2"/>
      <x:c r="AG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7" t="str">
        <x:v>Routed experts</x:v>
      </x:c>
      <x:c r="R49" s="7" t="n">
        <x:f>CHOOSE($R$22+1,5)</x:f>
        <x:v>5</x:v>
      </x:c>
      <x:c r="S49" s="7" t="n">
        <x:f>ROUNDUP($T$9/$R$9,0)</x:f>
        <x:v>1</x:v>
      </x:c>
      <x:c r="T49" s="7" t="n">
        <x:f>R49*S49</x:f>
        <x:v>5</x:v>
      </x:c>
      <x:c r="U49" s="28" t="n">
        <x:f>IF(T49=0,0,V49/T49)</x:f>
        <x:v>0.0000040531158447265625</x:v>
      </x:c>
      <x:c r="V49" s="28" t="n">
        <x:f>SUM(K12)</x:f>
        <x:v>0.000020265579223632812</x:v>
      </x:c>
      <x:c r="W49" s="31" t="n">
        <x:f>V49/$R$23</x:f>
        <x:v>0.03337259521005104</x:v>
      </x:c>
      <x:c r="X49" s="7" t="str"/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7" t="str">
        <x:v>Shared experts</x:v>
      </x:c>
      <x:c r="R50" s="7" t="n">
        <x:f>CHOOSE($R$22+1,5)</x:f>
        <x:v>5</x:v>
      </x:c>
      <x:c r="S50" s="7" t="n">
        <x:f>1</x:f>
        <x:v>1</x:v>
      </x:c>
      <x:c r="T50" s="7" t="n">
        <x:f>R50*S50</x:f>
        <x:v>5</x:v>
      </x:c>
      <x:c r="U50" s="28" t="n">
        <x:f>IF(T50=0,0,V50/T50)</x:f>
        <x:v>0.00000762939453125</x:v>
      </x:c>
      <x:c r="V50" s="28" t="n">
        <x:f>SUM(K13)</x:f>
        <x:v>0.00003814697265625</x:v>
      </x:c>
      <x:c r="W50" s="31" t="n">
        <x:f>V50/$R$23</x:f>
        <x:v>0.06281900274833137</x:v>
      </x:c>
      <x:c r="X50" s="7" t="str">
        <x:v>1 experts 融合单元</x:v>
      </x:c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7" t="str">
        <x:v>ViT blocks</x:v>
      </x:c>
      <x:c r="R51" s="7" t="n">
        <x:f>CHOOSE($R$22+1,2)</x:f>
        <x:v>2</x:v>
      </x:c>
      <x:c r="S51" s="7" t="n">
        <x:f>1</x:f>
        <x:v>1</x:v>
      </x:c>
      <x:c r="T51" s="7" t="n">
        <x:f>R51*S51</x:f>
        <x:v>2</x:v>
      </x:c>
      <x:c r="U51" s="28" t="n">
        <x:f>IF(T51=0,0,V51/T51)</x:f>
        <x:v>9.5367431640625e-7</x:v>
      </x:c>
      <x:c r="V51" s="28" t="n">
        <x:f>SUM(K15)</x:f>
        <x:v>0.0000019073486328125</x:v>
      </x:c>
      <x:c r="W51" s="31" t="n">
        <x:f>V51/$R$23</x:f>
        <x:v>0.0031409501374165686</x:v>
      </x:c>
      <x:c r="X51" s="7" t="str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7" t="str">
        <x:v>ViT patch / final / MM</x:v>
      </x:c>
      <x:c r="R52" s="7" t="n">
        <x:f>CHOOSE($R$22+1,1)</x:f>
        <x:v>1</x:v>
      </x:c>
      <x:c r="S52" s="7" t="n">
        <x:f>1</x:f>
        <x:v>1</x:v>
      </x:c>
      <x:c r="T52" s="7" t="n">
        <x:f>R52*S52</x:f>
        <x:v>1</x:v>
      </x:c>
      <x:c r="U52" s="28" t="n">
        <x:f>IF(T52=0,0,V52/T52)</x:f>
        <x:v>0.000001430511474609375</x:v>
      </x:c>
      <x:c r="V52" s="28" t="n">
        <x:f>SUM(K14)</x:f>
        <x:v>0.000001430511474609375</x:v>
      </x:c>
      <x:c r="W52" s="31" t="n">
        <x:f>V52/$R$23</x:f>
        <x:v>0.002355712603062426</x:v>
      </x:c>
      <x:c r="X52" s="7" t="str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6" t="str">
        <x:v>合计</x:v>
      </x:c>
      <x:c r="R53" s="26"/>
      <x:c r="S53" s="26"/>
      <x:c r="T53" s="26"/>
      <x:c r="U53" s="29"/>
      <x:c r="V53" s="29" t="n">
        <x:f>SUM(V40:V52)</x:f>
        <x:v>0.0006072521209716797</x:v>
      </x:c>
      <x:c r="W53" s="26"/>
      <x:c r="X53" s="26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 t="str">
        <x:v>Attention o_proj full gather</x:v>
      </x:c>
      <x:c r="R57" s="32" t="n">
        <x:f>IF(AND(R11&gt;1,T3&gt;0),SUM(AE9:AF9)/1073741824,0)</x:f>
        <x:v>0.00006103515625</x:v>
      </x:c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 t="str">
        <x:v>Attention o_proj transpose shard</x:v>
      </x:c>
      <x:c r="R58" s="32" t="n">
        <x:f>IF(AND(R11&gt;1,OR(D9="BF16",D9="FP32")),K9,0)</x:f>
        <x:v>0.000030517578125</x:v>
      </x:c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257</x:v>
      </x:c>
      <x:c r="R63" s="33" t="n">
        <x:f>ROUNDUP(Q63/($R$19*$R$12),0)*$R$19</x:f>
        <x:v>288</x:v>
      </x:c>
      <x:c r="S63" s="27" t="n">
        <x:f>R63*$T$3*$V$32/1073741824</x:f>
        <x:v>0.00003647804260253906</x:v>
      </x:c>
      <x:c r="T63" s="27" t="n">
        <x:f>R63*$T$3*$V$33/1073741824</x:f>
        <x:v>0.0000171661376953125</x:v>
      </x:c>
      <x:c r="U63" s="27" t="n">
        <x:f>R63*$R$12*$T$3*$V$35/1073741824</x:f>
        <x:v>0.00001823902130126953</x:v>
      </x:c>
      <x:c r="V63" s="27" t="n">
        <x:f>$T$2*($T$4/$R$2)*$T$5*$T$5*$R$17/1073741824</x:f>
        <x:v>0.00000762939453125</x:v>
      </x:c>
      <x:c r="W63" s="27" t="n">
        <x:f>$T$2*3*($T$4/$R$2)*$T$5*($T$14-1+$R$20)*$R$16/1073741824</x:f>
        <x:v>0.0000021457672119140625</x:v>
      </x:c>
      <x:c r="X63" s="27" t="n">
        <x:f>IF($R$30=1,SUM(S63:W63),NA())</x:f>
        <x:v>0.00008165836334228516</x:v>
      </x:c>
      <x:c r="Y63" s="27" t="n">
        <x:f>$R$23+X63</x:f>
        <x:v>0.0006889104843139648</x:v>
      </x:c>
      <x:c r="Z63" s="2"/>
      <x:c r="AA63" s="2"/>
      <x:c r="AB63" s="2"/>
      <x:c r="AC63" s="2"/>
      <x:c r="AD63" s="2"/>
      <x:c r="AE63" s="2"/>
      <x:c r="AF63" s="2"/>
      <x:c r="AG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16</x:v>
      </x:c>
      <x:c r="R64" s="34" t="n">
        <x:f>ROUNDUP(Q64/($R$19*$R$12),0)*$R$19</x:f>
        <x:v>32</x:v>
      </x:c>
      <x:c r="S64" s="28" t="n">
        <x:f>R64*$T$3*$V$32/1073741824</x:f>
        <x:v>0.0000040531158447265625</x:v>
      </x:c>
      <x:c r="T64" s="28" t="n">
        <x:f>R64*$T$3*$V$33/1073741824</x:f>
        <x:v>0.0000019073486328125</x:v>
      </x:c>
      <x:c r="U64" s="28" t="n">
        <x:f>R64*$R$12*$T$3*$V$35/1073741824</x:f>
        <x:v>0.0000020265579223632812</x:v>
      </x:c>
      <x:c r="V64" s="28" t="n">
        <x:f>$T$2*($T$4/$R$2)*$T$5*$T$5*$R$17/1073741824</x:f>
        <x:v>0.00000762939453125</x:v>
      </x:c>
      <x:c r="W64" s="28" t="n">
        <x:f>$T$2*3*($T$4/$R$2)*$T$5*($T$14-1+$R$20)*$R$16/1073741824</x:f>
        <x:v>0.0000021457672119140625</x:v>
      </x:c>
      <x:c r="X64" s="28" t="n">
        <x:f>IF($R$30=1,SUM(S64:W64),NA())</x:f>
        <x:v>0.000017762184143066406</x:v>
      </x:c>
      <x:c r="Y64" s="28" t="n">
        <x:f>$R$23+X64</x:f>
        <x:v>0.0006250143051147461</x:v>
      </x:c>
      <x:c r="Z64" s="2"/>
      <x:c r="AA64" s="2"/>
      <x:c r="AB64" s="2"/>
      <x:c r="AC64" s="2"/>
      <x:c r="AD64" s="2"/>
      <x:c r="AE64" s="2"/>
      <x:c r="AF64" s="2"/>
      <x:c r="AG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32</x:v>
      </x:c>
      <x:c r="R65" s="34" t="n">
        <x:f>ROUNDUP(Q65/($R$19*$R$12),0)*$R$19</x:f>
        <x:v>32</x:v>
      </x:c>
      <x:c r="S65" s="28" t="n">
        <x:f>R65*$T$3*$V$32/1073741824</x:f>
        <x:v>0.0000040531158447265625</x:v>
      </x:c>
      <x:c r="T65" s="28" t="n">
        <x:f>R65*$T$3*$V$33/1073741824</x:f>
        <x:v>0.0000019073486328125</x:v>
      </x:c>
      <x:c r="U65" s="28" t="n">
        <x:f>R65*$R$12*$T$3*$V$35/1073741824</x:f>
        <x:v>0.0000020265579223632812</x:v>
      </x:c>
      <x:c r="V65" s="28" t="n">
        <x:f>$T$2*($T$4/$R$2)*$T$5*$T$5*$R$17/1073741824</x:f>
        <x:v>0.00000762939453125</x:v>
      </x:c>
      <x:c r="W65" s="28" t="n">
        <x:f>$T$2*3*($T$4/$R$2)*$T$5*($T$14-1+$R$20)*$R$16/1073741824</x:f>
        <x:v>0.0000021457672119140625</x:v>
      </x:c>
      <x:c r="X65" s="28" t="n">
        <x:f>IF($R$30=1,SUM(S65:W65),NA())</x:f>
        <x:v>0.000017762184143066406</x:v>
      </x:c>
      <x:c r="Y65" s="28" t="n">
        <x:f>$R$23+X65</x:f>
        <x:v>0.0006250143051147461</x:v>
      </x:c>
      <x:c r="Z65" s="2"/>
      <x:c r="AA65" s="2"/>
      <x:c r="AB65" s="2"/>
      <x:c r="AC65" s="2"/>
      <x:c r="AD65" s="2"/>
      <x:c r="AE65" s="2"/>
      <x:c r="AF65" s="2"/>
      <x:c r="AG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64</x:v>
      </x:c>
      <x:c r="R66" s="34" t="n">
        <x:f>ROUNDUP(Q66/($R$19*$R$12),0)*$R$19</x:f>
        <x:v>64</x:v>
      </x:c>
      <x:c r="S66" s="28" t="n">
        <x:f>R66*$T$3*$V$32/1073741824</x:f>
        <x:v>0.000008106231689453125</x:v>
      </x:c>
      <x:c r="T66" s="28" t="n">
        <x:f>R66*$T$3*$V$33/1073741824</x:f>
        <x:v>0.000003814697265625</x:v>
      </x:c>
      <x:c r="U66" s="28" t="n">
        <x:f>R66*$R$12*$T$3*$V$35/1073741824</x:f>
        <x:v>0.0000040531158447265625</x:v>
      </x:c>
      <x:c r="V66" s="28" t="n">
        <x:f>$T$2*($T$4/$R$2)*$T$5*$T$5*$R$17/1073741824</x:f>
        <x:v>0.00000762939453125</x:v>
      </x:c>
      <x:c r="W66" s="28" t="n">
        <x:f>$T$2*3*($T$4/$R$2)*$T$5*($T$14-1+$R$20)*$R$16/1073741824</x:f>
        <x:v>0.0000021457672119140625</x:v>
      </x:c>
      <x:c r="X66" s="28" t="n">
        <x:f>IF($R$30=1,SUM(S66:W66),NA())</x:f>
        <x:v>0.00002574920654296875</x:v>
      </x:c>
      <x:c r="Y66" s="28" t="n">
        <x:f>$R$23+X66</x:f>
        <x:v>0.0006330013275146484</x:v>
      </x:c>
      <x:c r="Z66" s="2"/>
      <x:c r="AA66" s="2"/>
      <x:c r="AB66" s="2"/>
      <x:c r="AC66" s="2"/>
      <x:c r="AD66" s="2"/>
      <x:c r="AE66" s="2"/>
      <x:c r="AF66" s="2"/>
      <x:c r="AG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128</x:v>
      </x:c>
      <x:c r="R67" s="34" t="n">
        <x:f>ROUNDUP(Q67/($R$19*$R$12),0)*$R$19</x:f>
        <x:v>128</x:v>
      </x:c>
      <x:c r="S67" s="28" t="n">
        <x:f>R67*$T$3*$V$32/1073741824</x:f>
        <x:v>0.00001621246337890625</x:v>
      </x:c>
      <x:c r="T67" s="28" t="n">
        <x:f>R67*$T$3*$V$33/1073741824</x:f>
        <x:v>0.00000762939453125</x:v>
      </x:c>
      <x:c r="U67" s="28" t="n">
        <x:f>R67*$R$12*$T$3*$V$35/1073741824</x:f>
        <x:v>0.000008106231689453125</x:v>
      </x:c>
      <x:c r="V67" s="28" t="n">
        <x:f>$T$2*($T$4/$R$2)*$T$5*$T$5*$R$17/1073741824</x:f>
        <x:v>0.00000762939453125</x:v>
      </x:c>
      <x:c r="W67" s="28" t="n">
        <x:f>$T$2*3*($T$4/$R$2)*$T$5*($T$14-1+$R$20)*$R$16/1073741824</x:f>
        <x:v>0.0000021457672119140625</x:v>
      </x:c>
      <x:c r="X67" s="28" t="n">
        <x:f>IF($R$30=1,SUM(S67:W67),NA())</x:f>
        <x:v>0.00004172325134277344</x:v>
      </x:c>
      <x:c r="Y67" s="28" t="n">
        <x:f>$R$23+X67</x:f>
        <x:v>0.0006489753723144531</x:v>
      </x:c>
      <x:c r="Z67" s="2"/>
      <x:c r="AA67" s="2"/>
      <x:c r="AB67" s="2"/>
      <x:c r="AC67" s="2"/>
      <x:c r="AD67" s="2"/>
      <x:c r="AE67" s="2"/>
      <x:c r="AF67" s="2"/>
      <x:c r="AG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256</x:v>
      </x:c>
      <x:c r="R68" s="34" t="n">
        <x:f>ROUNDUP(Q68/($R$19*$R$12),0)*$R$19</x:f>
        <x:v>256</x:v>
      </x:c>
      <x:c r="S68" s="28" t="n">
        <x:f>R68*$T$3*$V$32/1073741824</x:f>
        <x:v>0.0000324249267578125</x:v>
      </x:c>
      <x:c r="T68" s="28" t="n">
        <x:f>R68*$T$3*$V$33/1073741824</x:f>
        <x:v>0.0000152587890625</x:v>
      </x:c>
      <x:c r="U68" s="28" t="n">
        <x:f>R68*$R$12*$T$3*$V$35/1073741824</x:f>
        <x:v>0.00001621246337890625</x:v>
      </x:c>
      <x:c r="V68" s="28" t="n">
        <x:f>$T$2*($T$4/$R$2)*$T$5*$T$5*$R$17/1073741824</x:f>
        <x:v>0.00000762939453125</x:v>
      </x:c>
      <x:c r="W68" s="28" t="n">
        <x:f>$T$2*3*($T$4/$R$2)*$T$5*($T$14-1+$R$20)*$R$16/1073741824</x:f>
        <x:v>0.0000021457672119140625</x:v>
      </x:c>
      <x:c r="X68" s="28" t="n">
        <x:f>IF($R$30=1,SUM(S68:W68),NA())</x:f>
        <x:v>0.00007367134094238281</x:v>
      </x:c>
      <x:c r="Y68" s="28" t="n">
        <x:f>$R$23+X68</x:f>
        <x:v>0.0006809234619140625</x:v>
      </x:c>
      <x:c r="Z68" s="2"/>
      <x:c r="AA68" s="2"/>
      <x:c r="AB68" s="2"/>
      <x:c r="AC68" s="2"/>
      <x:c r="AD68" s="2"/>
      <x:c r="AE68" s="2"/>
      <x:c r="AF68" s="2"/>
      <x:c r="AG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512</x:v>
      </x:c>
      <x:c r="R69" s="34" t="n">
        <x:f>ROUNDUP(Q69/($R$19*$R$12),0)*$R$19</x:f>
        <x:v>512</x:v>
      </x:c>
      <x:c r="S69" s="28" t="n">
        <x:f>R69*$T$3*$V$32/1073741824</x:f>
        <x:v>0.000064849853515625</x:v>
      </x:c>
      <x:c r="T69" s="28" t="n">
        <x:f>R69*$T$3*$V$33/1073741824</x:f>
        <x:v>0.000030517578125</x:v>
      </x:c>
      <x:c r="U69" s="28" t="n">
        <x:f>R69*$R$12*$T$3*$V$35/1073741824</x:f>
        <x:v>0.0000324249267578125</x:v>
      </x:c>
      <x:c r="V69" s="28" t="n">
        <x:f>$T$2*($T$4/$R$2)*$T$5*$T$5*$R$17/1073741824</x:f>
        <x:v>0.00000762939453125</x:v>
      </x:c>
      <x:c r="W69" s="28" t="n">
        <x:f>$T$2*3*($T$4/$R$2)*$T$5*($T$14-1+$R$20)*$R$16/1073741824</x:f>
        <x:v>0.0000021457672119140625</x:v>
      </x:c>
      <x:c r="X69" s="28" t="n">
        <x:f>IF($R$30=1,SUM(S69:W69),NA())</x:f>
        <x:v>0.00013756752014160156</x:v>
      </x:c>
      <x:c r="Y69" s="28" t="n">
        <x:f>$R$23+X69</x:f>
        <x:v>0.0007448196411132812</x:v>
      </x:c>
      <x:c r="Z69" s="2"/>
      <x:c r="AA69" s="2"/>
      <x:c r="AB69" s="2"/>
      <x:c r="AC69" s="2"/>
      <x:c r="AD69" s="2"/>
      <x:c r="AE69" s="2"/>
      <x:c r="AF69" s="2"/>
      <x:c r="AG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1024</x:v>
      </x:c>
      <x:c r="R70" s="34" t="n">
        <x:f>ROUNDUP(Q70/($R$19*$R$12),0)*$R$19</x:f>
        <x:v>1024</x:v>
      </x:c>
      <x:c r="S70" s="28" t="n">
        <x:f>R70*$T$3*$V$32/1073741824</x:f>
        <x:v>0.00012969970703125</x:v>
      </x:c>
      <x:c r="T70" s="28" t="n">
        <x:f>R70*$T$3*$V$33/1073741824</x:f>
        <x:v>0.00006103515625</x:v>
      </x:c>
      <x:c r="U70" s="28" t="n">
        <x:f>R70*$R$12*$T$3*$V$35/1073741824</x:f>
        <x:v>0.000064849853515625</x:v>
      </x:c>
      <x:c r="V70" s="28" t="n">
        <x:f>$T$2*($T$4/$R$2)*$T$5*$T$5*$R$17/1073741824</x:f>
        <x:v>0.00000762939453125</x:v>
      </x:c>
      <x:c r="W70" s="28" t="n">
        <x:f>$T$2*3*($T$4/$R$2)*$T$5*($T$14-1+$R$20)*$R$16/1073741824</x:f>
        <x:v>0.0000021457672119140625</x:v>
      </x:c>
      <x:c r="X70" s="28" t="n">
        <x:f>IF($R$30=1,SUM(S70:W70),NA())</x:f>
        <x:v>0.00026535987854003906</x:v>
      </x:c>
      <x:c r="Y70" s="28" t="n">
        <x:f>$R$23+X70</x:f>
        <x:v>0.0008726119995117188</x:v>
      </x:c>
      <x:c r="Z70" s="2"/>
      <x:c r="AA70" s="2"/>
      <x:c r="AB70" s="2"/>
      <x:c r="AC70" s="2"/>
      <x:c r="AD70" s="2"/>
      <x:c r="AE70" s="2"/>
      <x:c r="AF70" s="2"/>
      <x:c r="AG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2048</x:v>
      </x:c>
      <x:c r="R71" s="34" t="n">
        <x:f>ROUNDUP(Q71/($R$19*$R$12),0)*$R$19</x:f>
        <x:v>2048</x:v>
      </x:c>
      <x:c r="S71" s="28" t="n">
        <x:f>R71*$T$3*$V$32/1073741824</x:f>
        <x:v>0.0002593994140625</x:v>
      </x:c>
      <x:c r="T71" s="28" t="n">
        <x:f>R71*$T$3*$V$33/1073741824</x:f>
        <x:v>0.0001220703125</x:v>
      </x:c>
      <x:c r="U71" s="28" t="n">
        <x:f>R71*$R$12*$T$3*$V$35/1073741824</x:f>
        <x:v>0.00012969970703125</x:v>
      </x:c>
      <x:c r="V71" s="28" t="n">
        <x:f>$T$2*($T$4/$R$2)*$T$5*$T$5*$R$17/1073741824</x:f>
        <x:v>0.00000762939453125</x:v>
      </x:c>
      <x:c r="W71" s="28" t="n">
        <x:f>$T$2*3*($T$4/$R$2)*$T$5*($T$14-1+$R$20)*$R$16/1073741824</x:f>
        <x:v>0.0000021457672119140625</x:v>
      </x:c>
      <x:c r="X71" s="28" t="n">
        <x:f>IF($R$30=1,SUM(S71:W71),NA())</x:f>
        <x:v>0.0005209445953369141</x:v>
      </x:c>
      <x:c r="Y71" s="28" t="n">
        <x:f>$R$23+X71</x:f>
        <x:v>0.0011281967163085938</x:v>
      </x:c>
      <x:c r="Z71" s="2"/>
      <x:c r="AA71" s="2"/>
      <x:c r="AB71" s="2"/>
      <x:c r="AC71" s="2"/>
      <x:c r="AD71" s="2"/>
      <x:c r="AE71" s="2"/>
      <x:c r="AF71" s="2"/>
      <x:c r="AG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4096</x:v>
      </x:c>
      <x:c r="R72" s="35" t="n">
        <x:f>ROUNDUP(Q72/($R$19*$R$12),0)*$R$19</x:f>
        <x:v>4096</x:v>
      </x:c>
      <x:c r="S72" s="36" t="n">
        <x:f>R72*$T$3*$V$32/1073741824</x:f>
        <x:v>0.000518798828125</x:v>
      </x:c>
      <x:c r="T72" s="36" t="n">
        <x:f>R72*$T$3*$V$33/1073741824</x:f>
        <x:v>0.000244140625</x:v>
      </x:c>
      <x:c r="U72" s="36" t="n">
        <x:f>R72*$R$12*$T$3*$V$35/1073741824</x:f>
        <x:v>0.0002593994140625</x:v>
      </x:c>
      <x:c r="V72" s="36" t="n">
        <x:f>$T$2*($T$4/$R$2)*$T$5*$T$5*$R$17/1073741824</x:f>
        <x:v>0.00000762939453125</x:v>
      </x:c>
      <x:c r="W72" s="36" t="n">
        <x:f>$T$2*3*($T$4/$R$2)*$T$5*($T$14-1+$R$20)*$R$16/1073741824</x:f>
        <x:v>0.0000021457672119140625</x:v>
      </x:c>
      <x:c r="X72" s="36" t="n">
        <x:f>IF($R$30=1,SUM(S72:W72),NA())</x:f>
        <x:v>0.001032114028930664</x:v>
      </x:c>
      <x:c r="Y72" s="36" t="n">
        <x:f>$R$23+X72</x:f>
        <x:v>0.0016393661499023438</x:v>
      </x:c>
      <x:c r="Z72" s="2"/>
      <x:c r="AA72" s="2"/>
      <x:c r="AB72" s="2"/>
      <x:c r="AC72" s="2"/>
      <x:c r="AD72" s="2"/>
      <x:c r="AE72" s="2"/>
      <x:c r="AF72" s="2"/>
      <x:c r="AG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32, 1, 100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DCP 组内按卡复制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DSA CP 切计算，主 KV 按卡保存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IF(R14="BF16","无",IF(R14="INT8","FP16 / token","FP32 / token"))</x:f>
        <x:v>FP16 / token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INT8 / Indexer INT8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 t="n">
        <x:v>0</x:v>
      </x:c>
      <x:c r="R87" s="2" t="str">
        <x:v>1-6</x:v>
      </x:c>
      <x:c r="S87" s="2" t="n">
        <x:v>6</x:v>
      </x:c>
      <x:c r="T87" s="2" t="n">
        <x:v>4</x:v>
      </x:c>
      <x:c r="U87" s="2" t="n">
        <x:v>2</x:v>
      </x:c>
      <x:c r="V87" s="2" t="n">
        <x:v>5</x:v>
      </x:c>
      <x:c r="W87" s="32" t="n">
        <x:f>SUM(AA2:AA15)</x:f>
        <x:v>0.0006072521209716797</x:v>
      </x:c>
      <x:c r="X87" s="32" t="n">
        <x:f>IF($R$30=1,ROUNDUP($R$18/($R$19*$R$12),0)*$R$19*U87*($V$34+$R$12*$V$35)/1073741824+T87*($T$4/$R$2)*$T$5*$T$5*$R$17/1073741824+T87*3*($T$4/$R$2)*$T$5*($T$14-1+$R$20)*$R$16/1073741824,NA())</x:f>
        <x:v>0.00008165836334228516</x:v>
      </x:c>
      <x:c r="Y87" s="32" t="n">
        <x:f>W87+X87+AC87</x:f>
        <x:v>0.0007804632186889648</x:v>
      </x:c>
      <x:c r="Z87" s="2" t="n">
        <x:v>1</x:v>
      </x:c>
      <x:c r="AA87" s="2" t="n">
        <x:v>1</x:v>
      </x:c>
      <x:c r="AB87" s="2" t="n">
        <x:v>1</x:v>
      </x:c>
      <x:c r="AC87" s="32" t="n">
        <x:f>IF($R$11&gt;1,IF(U87&gt;0,SUM(AE9:AF9)/1073741824,0)+IF(OR($D$9="BF16",$D$9="FP32"),AA9,0),0)</x:f>
        <x:v>0.000091552734375</x:v>
      </x:c>
      <x:c r="AD87" s="2"/>
      <x:c r="AE87" s="2"/>
      <x:c r="AF87" s="2"/>
      <x:c r="AG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32"/>
      <x:c r="X88" s="32"/>
      <x:c r="Y88" s="32"/>
      <x:c r="Z88" s="2"/>
      <x:c r="AA88" s="2"/>
      <x:c r="AB88" s="2"/>
      <x:c r="AC88" s="32"/>
      <x:c r="AD88" s="2"/>
      <x:c r="AE88" s="2"/>
      <x:c r="AF88" s="2"/>
      <x:c r="AG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MAX(W87:W87)</x:f>
        <x:v>0.0006072521209716797</x:v>
      </x:c>
      <x:c r="X92" s="37" t="n">
        <x:f>MAX(X87:X87)</x:f>
        <x:v>0.00008165836334228516</x:v>
      </x:c>
      <x:c r="Y92" s="37" t="n">
        <x:f>MAX(Y87:Y87)</x:f>
        <x:v>0.0007804632186889648</x:v>
      </x:c>
      <x:c r="Z92" s="5"/>
      <x:c r="AA92" s="5"/>
      <x:c r="AB92" s="5"/>
      <x:c r="AC92" s="37" t="n">
        <x:f>MAX(AC87:AC87)</x:f>
        <x:v>0.000091552734375</x:v>
      </x:c>
      <x:c r="AD92" s="2"/>
      <x:c r="AE92" s="2"/>
      <x:c r="AF92" s="2"/>
      <x:c r="AG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</x:row>
  </x:sheetData>
  <x:mergeCells>
    <x:mergeCell ref="U1:V2"/>
  </x:mergeCells>
  <x:conditionalFormatting sqref="R30:R30">
    <x:cfRule type="cellIs" dxfId="0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4096</x:formula2>
    </x:dataValidation>
    <x:dataValidation type="whole" operator="between" sqref="R19">
      <x:formula1>1</x:formula1>
      <x:formula2>4096</x:formula2>
    </x:dataValidation>
    <x:dataValidation type="whole" operator="between" sqref="R20">
      <x:formula1>0</x:formula1>
      <x:formula2>64</x:formula2>
    </x:dataValidation>
    <x:dataValidation type="list" sqref="R22">
      <x:formula1>"0"</x:formula1>
    </x:dataValidation>
    <x:dataValidation type="list" sqref="R13">
      <x:formula1>"BF16,INT8,FP8"</x:formula1>
    </x:dataValidation>
    <x:dataValidation type="list" sqref="R14">
      <x:formula1>"BF16,INT8,FP8"</x:formula1>
    </x:dataValidation>
    <x:dataValidation type="list" sqref="D2:D15">
      <x:formula1>"BF16,FP32,FP8,MXFP4,MXFP8,INT4,INT8"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本卡主权重 bytes</x:v>
      </x:c>
      <x:c r="AC1" s="5" t="str">
        <x:v>本卡 scale bytes</x:v>
      </x:c>
      <x:c r="AD1" s="5" t="str">
        <x:v>本卡附加 bytes</x:v>
      </x:c>
      <x:c r="AE1" s="5" t="str">
        <x:v>全局主权重 bytes</x:v>
      </x:c>
      <x:c r="AF1" s="5" t="str">
        <x:v>全局 scale bytes</x:v>
      </x:c>
      <x:c r="AG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[1024,256]</x:v>
      </x:c>
      <x:c r="D2" s="49" t="str">
        <x:v>BF16</x:v>
      </x:c>
      <x:c r="E2" s="50" t="n">
        <x:v>1</x:v>
      </x:c>
      <x:c r="F2" s="50" t="n">
        <x:f>(1024)*(256)</x:f>
        <x:v>262144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E2*SUM(AE2:AG2)/1073741824</x:f>
        <x:v>0.00048828125</x:v>
      </x:c>
      <x:c r="K2" s="51" t="n">
        <x:f>AA2</x:f>
        <x:v>0.0001220703125</x:v>
      </x:c>
      <x:c r="L2" s="48" t="str">
        <x:f>IF(OR(D2="MXFP4",D2="MXFP8"),"group 32 / E8M0",IF(D2="INT8","channel / 8 B",IF(D2="INT4","channel / 16 B","")))</x:f>
      </x:c>
      <x:c r="M2" s="52" t="n">
        <x:f>$R$7</x:f>
        <x:v>4</x:v>
      </x:c>
      <x:c r="N2" s="48" t="str">
        <x:f>"["&amp;(1024/M2)&amp;","&amp;(256)&amp;"]"</x:f>
        <x:v>[256,256]</x:v>
      </x:c>
      <x:c r="O2" s="50" t="n">
        <x:f>CHOOSE($R$22+1,1)</x:f>
        <x:v>1</x:v>
      </x:c>
      <x:c r="P2" s="2"/>
      <x:c r="Q2" s="6" t="str">
        <x:v>KDA 主体 TP</x:v>
      </x:c>
      <x:c r="R2" s="13" t="n">
        <x:v>4</x:v>
      </x:c>
      <x:c r="S2" s="6" t="str">
        <x:v>本 stage KDA 层数</x:v>
      </x:c>
      <x:c r="T2" s="6" t="n">
        <x:f>CHOOSE(R22+1,4)</x:f>
        <x:v>4</x:v>
      </x:c>
      <x:c r="U2" s="19"/>
      <x:c r="V2" s="19"/>
      <x:c r="W2" s="2"/>
      <x:c r="X2" s="2"/>
      <x:c r="Y2" s="2"/>
      <x:c r="Z2" s="2"/>
      <x:c r="AA2" s="38" t="n">
        <x:f>IF($R$30=1,SUM(AB2:AD2)*(1)/1073741824,NA())</x:f>
        <x:v>0.0001220703125</x:v>
      </x:c>
      <x:c r="AB2" s="39" t="n">
        <x:f>(1024/M2)*ROUNDUP((256)*VLOOKUP(D2,$Q$32:$R$38,2,FALSE),0)</x:f>
        <x:v>131072</x:v>
      </x:c>
      <x:c r="AC2" s="39" t="n">
        <x:f>IF(OR(D2="MXFP4",D2="MXFP8"),(1024/M2)*ROUNDUP((256)/32,0),0)</x:f>
        <x:v>0</x:v>
      </x:c>
      <x:c r="AD2" s="39" t="n">
        <x:f>IF(D2="INT8",(1024/M2)*8,IF(D2="INT4",(1024/M2)*16,0))</x:f>
        <x:v>0</x:v>
      </x:c>
      <x:c r="AE2" s="39" t="n">
        <x:f>(1024)*ROUNDUP((256)*VLOOKUP(D2,$Q$32:$R$38,2,FALSE),0)</x:f>
        <x:v>524288</x:v>
      </x:c>
      <x:c r="AF2" s="39" t="n">
        <x:f>IF(OR(D2="MXFP4",D2="MXFP8"),(1024)*ROUNDUP((256)/32,0),0)</x:f>
        <x:v>0</x:v>
      </x:c>
      <x:c r="AG2" s="39" t="n">
        <x:f>IF(D2="INT8",(1024)*8,IF(D2="INT4",(1024)*16,0))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[1024,256]</x:v>
      </x:c>
      <x:c r="D3" s="10" t="str">
        <x:v>BF16</x:v>
      </x:c>
      <x:c r="E3" s="34" t="n">
        <x:v>1</x:v>
      </x:c>
      <x:c r="F3" s="34" t="n">
        <x:f>(1024)*(256)</x:f>
        <x:v>262144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E3*SUM(AE3:AG3)/1073741824</x:f>
        <x:v>0.00048828125</x:v>
      </x:c>
      <x:c r="K3" s="44" t="n">
        <x:f>AA3</x:f>
        <x:v>0.0001220703125</x:v>
      </x:c>
      <x:c r="L3" s="7" t="str">
        <x:f>IF(OR(D3="MXFP4",D3="MXFP8"),"group 32 / E8M0",IF(D3="INT8","channel / 8 B",IF(D3="INT4","channel / 16 B","")))</x:f>
      </x:c>
      <x:c r="M3" s="45" t="n">
        <x:f>$R$6</x:f>
        <x:v>4</x:v>
      </x:c>
      <x:c r="N3" s="7" t="str">
        <x:f>"["&amp;(1024/M3)&amp;","&amp;(256)&amp;"]"</x:f>
        <x:v>[256,256]</x:v>
      </x:c>
      <x:c r="O3" s="34" t="n">
        <x:f>CHOOSE($R$22+1,1)</x:f>
        <x:v>1</x:v>
      </x:c>
      <x:c r="P3" s="2"/>
      <x:c r="Q3" s="7" t="str">
        <x:v>KDA o_proj TP</x:v>
      </x:c>
      <x:c r="R3" s="14" t="n">
        <x:f>$R$2*1</x:f>
        <x:v>4</x:v>
      </x:c>
      <x:c r="S3" s="7" t="str">
        <x:v>本 stage Attention 层数</x:v>
      </x:c>
      <x:c r="T3" s="7" t="n">
        <x:f>CHOOSE(R22+1,2)</x:f>
        <x:v>2</x:v>
      </x:c>
      <x:c r="U3" s="2"/>
      <x:c r="V3" s="2"/>
      <x:c r="W3" s="2"/>
      <x:c r="X3" s="2"/>
      <x:c r="Y3" s="2"/>
      <x:c r="Z3" s="2"/>
      <x:c r="AA3" s="38" t="n">
        <x:f>IF($R$30=1,SUM(AB3:AD3)*(1)/1073741824,NA())</x:f>
        <x:v>0.0001220703125</x:v>
      </x:c>
      <x:c r="AB3" s="39" t="n">
        <x:f>(1024/M3)*ROUNDUP((256)*VLOOKUP(D3,$Q$32:$R$38,2,FALSE),0)</x:f>
        <x:v>131072</x:v>
      </x:c>
      <x:c r="AC3" s="39" t="n">
        <x:f>IF(OR(D3="MXFP4",D3="MXFP8"),(1024/M3)*ROUNDUP((256)/32,0),0)</x:f>
        <x:v>0</x:v>
      </x:c>
      <x:c r="AD3" s="39" t="n">
        <x:f>IF(D3="INT8",(1024/M3)*8,IF(D3="INT4",(1024/M3)*16,0))</x:f>
        <x:v>0</x:v>
      </x:c>
      <x:c r="AE3" s="39" t="n">
        <x:f>(1024)*ROUNDUP((256)*VLOOKUP(D3,$Q$32:$R$38,2,FALSE),0)</x:f>
        <x:v>524288</x:v>
      </x:c>
      <x:c r="AF3" s="39" t="n">
        <x:f>IF(OR(D3="MXFP4",D3="MXFP8"),(1024)*ROUNDUP((256)/32,0),0)</x:f>
        <x:v>0</x:v>
      </x:c>
      <x:c r="AG3" s="39" t="n">
        <x:f>IF(D3="INT8",(1024)*8,IF(D3="INT4",(1024)*16,0))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[256]</x:v>
      </x:c>
      <x:c r="D4" s="49" t="str">
        <x:v>BF16</x:v>
      </x:c>
      <x:c r="E4" s="50" t="n">
        <x:v>6</x:v>
      </x:c>
      <x:c r="F4" s="50" t="n">
        <x:f>(256)</x:f>
        <x:v>256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E4*SUM(AE4:AG4)/1073741824</x:f>
        <x:v>0.00000286102294921875</x:v>
      </x:c>
      <x:c r="K4" s="51" t="n">
        <x:f>AA4</x:f>
        <x:v>0.00000286102294921875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"["&amp;(256/M4)&amp;"]"</x:f>
        <x:v>[256]</x:v>
      </x:c>
      <x:c r="O4" s="50" t="n">
        <x:f>CHOOSE($R$22+1,6)</x:f>
        <x:v>6</x:v>
      </x:c>
      <x:c r="P4" s="2"/>
      <x:c r="Q4" s="7" t="str">
        <x:v>Attention 主体 TP</x:v>
      </x:c>
      <x:c r="R4" s="14" t="n">
        <x:f>IF(R11&gt;1,1,R2)</x:f>
        <x:v>4</x:v>
      </x:c>
      <x:c r="S4" s="7" t="str">
        <x:v>KDA heads</x:v>
      </x:c>
      <x:c r="T4" s="7" t="n">
        <x:v>8</x:v>
      </x:c>
      <x:c r="U4" s="2"/>
      <x:c r="V4" s="2"/>
      <x:c r="W4" s="2"/>
      <x:c r="X4" s="2"/>
      <x:c r="Y4" s="2"/>
      <x:c r="Z4" s="2"/>
      <x:c r="AA4" s="38" t="n">
        <x:f>IF($R$30=1,SUM(AB4:AD4)*(6)/1073741824,NA())</x:f>
        <x:v>0.00000286102294921875</x:v>
      </x:c>
      <x:c r="AB4" s="39" t="n">
        <x:f>1*ROUNDUP((256/M4)*VLOOKUP(D4,$Q$32:$R$38,2,FALSE),0)</x:f>
        <x:v>512</x:v>
      </x:c>
      <x:c r="AC4" s="39" t="n">
        <x:f>IF(OR(D4="MXFP4",D4="MXFP8"),1*ROUNDUP((256/M4)/32,0),0)</x:f>
        <x:v>0</x:v>
      </x:c>
      <x:c r="AD4" s="39" t="n">
        <x:f>IF(D4="INT8",(256/M4)*8,IF(D4="INT4",(256/M4)*16,0))</x:f>
        <x:v>0</x:v>
      </x:c>
      <x:c r="AE4" s="39" t="n">
        <x:f>1*ROUNDUP((256)*VLOOKUP(D4,$Q$32:$R$38,2,FALSE),0)</x:f>
        <x:v>512</x:v>
      </x:c>
      <x:c r="AF4" s="39" t="n">
        <x:f>IF(OR(D4="MXFP4",D4="MXFP8"),1*ROUNDUP((256)/32,0),0)</x:f>
        <x:v>0</x:v>
      </x:c>
      <x:c r="AG4" s="39" t="n">
        <x:f>IF(D4="INT8",(256)*8,IF(D4="INT4",(256)*16,0))</x:f>
        <x:v>0</x:v>
      </x:c>
    </x:row>
    <x:row r="5" ht="18" customHeight="1">
      <x:c r="A5" s="48" t="str">
        <x:v>Dense MLP</x:v>
      </x:c>
      <x:c r="B5" s="48" t="str">
        <x:v>gate_proj.weight</x:v>
      </x:c>
      <x:c r="C5" s="48" t="str">
        <x:v>[512,256]</x:v>
      </x:c>
      <x:c r="D5" s="49" t="str">
        <x:v>BF16</x:v>
      </x:c>
      <x:c r="E5" s="50" t="n">
        <x:v>1</x:v>
      </x:c>
      <x:c r="F5" s="50" t="n">
        <x:f>(512)*(256)</x:f>
        <x:v>131072</x:v>
      </x:c>
      <x:c r="G5" s="48" t="str">
        <x:v>Other TP</x:v>
      </x:c>
      <x:c r="H5" s="48" t="str">
        <x:v>None</x:v>
      </x:c>
      <x:c r="I5" s="48" t="str">
        <x:v>否</x:v>
      </x:c>
      <x:c r="J5" s="51" t="n">
        <x:f>E5*SUM(AE5:AG5)/1073741824</x:f>
        <x:v>0.000244140625</x:v>
      </x:c>
      <x:c r="K5" s="51" t="n">
        <x:f>AA5</x:f>
        <x:v>0.00006103515625</x:v>
      </x:c>
      <x:c r="L5" s="48" t="str">
        <x:f>IF(OR(D5="MXFP4",D5="MXFP8"),"group 32 / E8M0",IF(D5="INT8","channel / 8 B",IF(D5="INT4","channel / 16 B","")))</x:f>
      </x:c>
      <x:c r="M5" s="52" t="n">
        <x:f>$R$8</x:f>
        <x:v>4</x:v>
      </x:c>
      <x:c r="N5" s="48" t="str">
        <x:f>"["&amp;(512/M5)&amp;","&amp;(256)&amp;"]"</x:f>
        <x:v>[128,256]</x:v>
      </x:c>
      <x:c r="O5" s="50" t="n">
        <x:f>CHOOSE($R$22+1,1)</x:f>
        <x:v>1</x:v>
      </x:c>
      <x:c r="P5" s="2"/>
      <x:c r="Q5" s="7" t="str">
        <x:v>Attention o_proj TP</x:v>
      </x:c>
      <x:c r="R5" s="14" t="n">
        <x:f>$R$2*1</x:f>
        <x:v>4</x:v>
      </x:c>
      <x:c r="S5" s="7" t="str">
        <x:v>KDA head dim</x:v>
      </x:c>
      <x:c r="T5" s="7" t="n">
        <x:v>16</x:v>
      </x:c>
      <x:c r="U5" s="2"/>
      <x:c r="V5" s="2"/>
      <x:c r="W5" s="2"/>
      <x:c r="X5" s="2"/>
      <x:c r="Y5" s="2"/>
      <x:c r="Z5" s="2"/>
      <x:c r="AA5" s="38" t="n">
        <x:f>IF($R$30=1,SUM(AB5:AD5)*(1)/1073741824,NA())</x:f>
        <x:v>0.00006103515625</x:v>
      </x:c>
      <x:c r="AB5" s="39" t="n">
        <x:f>(512/M5)*ROUNDUP((256)*VLOOKUP(D5,$Q$32:$R$38,2,FALSE),0)</x:f>
        <x:v>65536</x:v>
      </x:c>
      <x:c r="AC5" s="39" t="n">
        <x:f>IF(OR(D5="MXFP4",D5="MXFP8"),(512/M5)*ROUNDUP((256)/32,0),0)</x:f>
        <x:v>0</x:v>
      </x:c>
      <x:c r="AD5" s="39" t="n">
        <x:f>IF(D5="INT8",(512/M5)*8,IF(D5="INT4",(512/M5)*16,0))</x:f>
        <x:v>0</x:v>
      </x:c>
      <x:c r="AE5" s="39" t="n">
        <x:f>(512)*ROUNDUP((256)*VLOOKUP(D5,$Q$32:$R$38,2,FALSE),0)</x:f>
        <x:v>262144</x:v>
      </x:c>
      <x:c r="AF5" s="39" t="n">
        <x:f>IF(OR(D5="MXFP4",D5="MXFP8"),(512)*ROUNDUP((256)/32,0),0)</x:f>
        <x:v>0</x:v>
      </x:c>
      <x:c r="AG5" s="39" t="n">
        <x:f>IF(D5="INT8",(512)*8,IF(D5="INT4",(512)*16,0))</x:f>
        <x:v>0</x:v>
      </x:c>
    </x:row>
    <x:row r="6" ht="18" customHeight="1">
      <x:c r="A6" s="48" t="str">
        <x:v>KDA</x:v>
      </x:c>
      <x:c r="B6" s="48" t="str">
        <x:v>q_proj</x:v>
      </x:c>
      <x:c r="C6" s="48" t="str">
        <x:v>[128,256]</x:v>
      </x:c>
      <x:c r="D6" s="49" t="str">
        <x:v>BF16</x:v>
      </x:c>
      <x:c r="E6" s="50" t="n">
        <x:v>4</x:v>
      </x:c>
      <x:c r="F6" s="50" t="n">
        <x:f>(128)*(256)</x:f>
        <x:v>32768</x:v>
      </x:c>
      <x:c r="G6" s="48" t="str">
        <x:v>KDA TP</x:v>
      </x:c>
      <x:c r="H6" s="48" t="str">
        <x:v>None</x:v>
      </x:c>
      <x:c r="I6" s="48" t="str">
        <x:v>否</x:v>
      </x:c>
      <x:c r="J6" s="51" t="n">
        <x:f>E6*SUM(AE6:AG6)/1073741824</x:f>
        <x:v>0.000244140625</x:v>
      </x:c>
      <x:c r="K6" s="51" t="n">
        <x:f>AA6</x:f>
        <x:v>0.00006103515625</x:v>
      </x:c>
      <x:c r="L6" s="48" t="str">
        <x:f>IF(OR(D6="MXFP4",D6="MXFP8"),"group 32 / E8M0",IF(D6="INT8","channel / 8 B",IF(D6="INT4","channel / 16 B","")))</x:f>
      </x:c>
      <x:c r="M6" s="52" t="n">
        <x:f>$R$2</x:f>
        <x:v>4</x:v>
      </x:c>
      <x:c r="N6" s="48" t="str">
        <x:f>"["&amp;(128/M6)&amp;","&amp;(256)&amp;"]"</x:f>
        <x:v>[32,256]</x:v>
      </x:c>
      <x:c r="O6" s="50" t="n">
        <x:f>CHOOSE($R$22+1,4)</x:f>
        <x:v>4</x:v>
      </x:c>
      <x:c r="P6" s="2"/>
      <x:c r="Q6" s="7" t="str">
        <x:v>lm_head TP</x:v>
      </x:c>
      <x:c r="R6" s="14" t="n">
        <x:f>$R$2*1</x:f>
        <x:v>4</x:v>
      </x:c>
      <x:c r="S6" s="7" t="str">
        <x:v>Attention heads</x:v>
      </x:c>
      <x:c r="T6" s="7" t="n">
        <x:v>8</x:v>
      </x:c>
      <x:c r="U6" s="2"/>
      <x:c r="V6" s="2"/>
      <x:c r="W6" s="2"/>
      <x:c r="X6" s="2"/>
      <x:c r="Y6" s="2"/>
      <x:c r="Z6" s="2"/>
      <x:c r="AA6" s="38" t="n">
        <x:f>IF($R$30=1,SUM(AB6:AD6)*(4)/1073741824,NA())</x:f>
        <x:v>0.00006103515625</x:v>
      </x:c>
      <x:c r="AB6" s="39" t="n">
        <x:f>(128/M6)*ROUNDUP((256)*VLOOKUP(D6,$Q$32:$R$38,2,FALSE),0)</x:f>
        <x:v>16384</x:v>
      </x:c>
      <x:c r="AC6" s="39" t="n">
        <x:f>IF(OR(D6="MXFP4",D6="MXFP8"),(128/M6)*ROUNDUP((256)/32,0),0)</x:f>
        <x:v>0</x:v>
      </x:c>
      <x:c r="AD6" s="39" t="n">
        <x:f>IF(D6="INT8",(128/M6)*8,IF(D6="INT4",(128/M6)*16,0))</x:f>
        <x:v>0</x:v>
      </x:c>
      <x:c r="AE6" s="39" t="n">
        <x:f>(128)*ROUNDUP((256)*VLOOKUP(D6,$Q$32:$R$38,2,FALSE),0)</x:f>
        <x:v>65536</x:v>
      </x:c>
      <x:c r="AF6" s="39" t="n">
        <x:f>IF(OR(D6="MXFP4",D6="MXFP8"),(128)*ROUNDUP((256)/32,0),0)</x:f>
        <x:v>0</x:v>
      </x:c>
      <x:c r="AG6" s="39" t="n">
        <x:f>IF(D6="INT8",(128)*8,IF(D6="INT4",(128)*16,0))</x:f>
        <x:v>0</x:v>
      </x:c>
    </x:row>
    <x:row r="7" ht="18" customHeight="1">
      <x:c r="A7" s="7" t="str">
        <x:v>KDA</x:v>
      </x:c>
      <x:c r="B7" s="7" t="str">
        <x:v>o_proj</x:v>
      </x:c>
      <x:c r="C7" s="7" t="str">
        <x:v>[256,128]</x:v>
      </x:c>
      <x:c r="D7" s="10" t="str">
        <x:v>BF16</x:v>
      </x:c>
      <x:c r="E7" s="34" t="n">
        <x:v>4</x:v>
      </x:c>
      <x:c r="F7" s="34" t="n">
        <x:f>(256)*(128)</x:f>
        <x:v>32768</x:v>
      </x:c>
      <x:c r="G7" s="7" t="str">
        <x:v>KDA O TP</x:v>
      </x:c>
      <x:c r="H7" s="7" t="str">
        <x:v>None</x:v>
      </x:c>
      <x:c r="I7" s="7" t="str">
        <x:v>否</x:v>
      </x:c>
      <x:c r="J7" s="44" t="n">
        <x:f>E7*SUM(AE7:AG7)/1073741824</x:f>
        <x:v>0.000244140625</x:v>
      </x:c>
      <x:c r="K7" s="44" t="n">
        <x:f>AA7</x:f>
        <x:v>0.00006103515625</x:v>
      </x:c>
      <x:c r="L7" s="7" t="str">
        <x:f>IF(OR(D7="MXFP4",D7="MXFP8"),"group 32 / E8M0",IF(D7="INT8","channel / 8 B",IF(D7="INT4","channel / 16 B","")))</x:f>
      </x:c>
      <x:c r="M7" s="45" t="n">
        <x:f>$R$3</x:f>
        <x:v>4</x:v>
      </x:c>
      <x:c r="N7" s="7" t="str">
        <x:f>"["&amp;(256)&amp;","&amp;(128/M7)&amp;"]"</x:f>
        <x:v>[256,32]</x:v>
      </x:c>
      <x:c r="O7" s="34" t="n">
        <x:f>CHOOSE($R$22+1,4)</x:f>
        <x:v>4</x:v>
      </x:c>
      <x:c r="P7" s="2"/>
      <x:c r="Q7" s="7" t="str">
        <x:v>embedding TP</x:v>
      </x:c>
      <x:c r="R7" s="14" t="n">
        <x:f>$R$2*1</x:f>
        <x:v>4</x:v>
      </x:c>
      <x:c r="S7" s="7" t="str">
        <x:v>Indexer query heads</x:v>
      </x:c>
      <x:c r="T7" s="7" t="n">
        <x:v>4</x:v>
      </x:c>
      <x:c r="U7" s="2"/>
      <x:c r="V7" s="2"/>
      <x:c r="W7" s="2"/>
      <x:c r="X7" s="2"/>
      <x:c r="Y7" s="2"/>
      <x:c r="Z7" s="2"/>
      <x:c r="AA7" s="38" t="n">
        <x:f>IF($R$30=1,SUM(AB7:AD7)*(4)/1073741824,NA())</x:f>
        <x:v>0.00006103515625</x:v>
      </x:c>
      <x:c r="AB7" s="39" t="n">
        <x:f>(256)*ROUNDUP((128/M7)*VLOOKUP(D7,$Q$32:$R$38,2,FALSE),0)</x:f>
        <x:v>16384</x:v>
      </x:c>
      <x:c r="AC7" s="39" t="n">
        <x:f>IF(OR(D7="MXFP4",D7="MXFP8"),(256)*ROUNDUP((128/M7)/32,0),0)</x:f>
        <x:v>0</x:v>
      </x:c>
      <x:c r="AD7" s="39" t="n">
        <x:f>IF(D7="INT8",(256)*8,IF(D7="INT4",(256)*16,0))</x:f>
        <x:v>0</x:v>
      </x:c>
      <x:c r="AE7" s="39" t="n">
        <x:f>(256)*ROUNDUP((128)*VLOOKUP(D7,$Q$32:$R$38,2,FALSE),0)</x:f>
        <x:v>65536</x:v>
      </x:c>
      <x:c r="AF7" s="39" t="n">
        <x:f>IF(OR(D7="MXFP4",D7="MXFP8"),(256)*ROUNDUP((128)/32,0),0)</x:f>
        <x:v>0</x:v>
      </x:c>
      <x:c r="AG7" s="39" t="n">
        <x:f>IF(D7="INT8",(256)*8,IF(D7="INT4",(256)*16,0))</x:f>
        <x:v>0</x:v>
      </x:c>
    </x:row>
    <x:row r="8" ht="18" customHeight="1">
      <x:c r="A8" s="48" t="str">
        <x:v>DSA MLA</x:v>
      </x:c>
      <x:c r="B8" s="48" t="str">
        <x:v>q_b_proj</x:v>
      </x:c>
      <x:c r="C8" s="48" t="str">
        <x:v>[128,64]</x:v>
      </x:c>
      <x:c r="D8" s="49" t="str">
        <x:v>BF16</x:v>
      </x:c>
      <x:c r="E8" s="50" t="n">
        <x:v>2</x:v>
      </x:c>
      <x:c r="F8" s="50" t="n">
        <x:f>(128)*(64)</x:f>
        <x:v>8192</x:v>
      </x:c>
      <x:c r="G8" s="48" t="str">
        <x:v>DSA TP</x:v>
      </x:c>
      <x:c r="H8" s="48" t="str">
        <x:v>None</x:v>
      </x:c>
      <x:c r="I8" s="48" t="str">
        <x:v>否</x:v>
      </x:c>
      <x:c r="J8" s="51" t="n">
        <x:f>E8*SUM(AE8:AG8)/1073741824</x:f>
        <x:v>0.000030517578125</x:v>
      </x:c>
      <x:c r="K8" s="51" t="n">
        <x:f>AA8</x:f>
        <x:v>0.00000762939453125</x:v>
      </x:c>
      <x:c r="L8" s="48" t="str">
        <x:f>IF(OR(D8="MXFP4",D8="MXFP8"),"group 32 / E8M0",IF(D8="INT8","channel / 8 B",IF(D8="INT4","channel / 16 B","")))</x:f>
      </x:c>
      <x:c r="M8" s="52" t="n">
        <x:f>$R$4</x:f>
        <x:v>4</x:v>
      </x:c>
      <x:c r="N8" s="48" t="str">
        <x:f>"["&amp;(128/M8)&amp;","&amp;(64)&amp;"]"</x:f>
        <x:v>[32,64]</x:v>
      </x:c>
      <x:c r="O8" s="50" t="n">
        <x:f>CHOOSE($R$22+1,2)</x:f>
        <x:v>2</x:v>
      </x:c>
      <x:c r="P8" s="2"/>
      <x:c r="Q8" s="7" t="str">
        <x:v>其他语言 TP</x:v>
      </x:c>
      <x:c r="R8" s="14" t="n">
        <x:f>$R$2*1</x:f>
        <x:v>4</x:v>
      </x:c>
      <x:c r="S8" s="7" t="str">
        <x:v>本 stage MoE 层数</x:v>
      </x:c>
      <x:c r="T8" s="7" t="n">
        <x:f>CHOOSE(R22+1,5)</x:f>
        <x:v>5</x:v>
      </x:c>
      <x:c r="U8" s="2"/>
      <x:c r="V8" s="2"/>
      <x:c r="W8" s="2"/>
      <x:c r="X8" s="2"/>
      <x:c r="Y8" s="2"/>
      <x:c r="Z8" s="2"/>
      <x:c r="AA8" s="38" t="n">
        <x:f>IF($R$30=1,SUM(AB8:AD8)*(2)/1073741824,NA())</x:f>
        <x:v>0.00000762939453125</x:v>
      </x:c>
      <x:c r="AB8" s="39" t="n">
        <x:f>(128/M8)*ROUNDUP((64)*VLOOKUP(D8,$Q$32:$R$38,2,FALSE),0)</x:f>
        <x:v>4096</x:v>
      </x:c>
      <x:c r="AC8" s="39" t="n">
        <x:f>IF(OR(D8="MXFP4",D8="MXFP8"),(128/M8)*ROUNDUP((64)/32,0),0)</x:f>
        <x:v>0</x:v>
      </x:c>
      <x:c r="AD8" s="39" t="n">
        <x:f>IF(D8="INT8",(128/M8)*8,IF(D8="INT4",(128/M8)*16,0))</x:f>
        <x:v>0</x:v>
      </x:c>
      <x:c r="AE8" s="39" t="n">
        <x:f>(128)*ROUNDUP((64)*VLOOKUP(D8,$Q$32:$R$38,2,FALSE),0)</x:f>
        <x:v>16384</x:v>
      </x:c>
      <x:c r="AF8" s="39" t="n">
        <x:f>IF(OR(D8="MXFP4",D8="MXFP8"),(128)*ROUNDUP((64)/32,0),0)</x:f>
        <x:v>0</x:v>
      </x:c>
      <x:c r="AG8" s="39" t="n">
        <x:f>IF(D8="INT8",(128)*8,IF(D8="INT4",(128)*16,0))</x:f>
        <x:v>0</x:v>
      </x:c>
    </x:row>
    <x:row r="9" ht="18" customHeight="1">
      <x:c r="A9" s="7" t="str">
        <x:v>DSA MLA</x:v>
      </x:c>
      <x:c r="B9" s="7" t="str">
        <x:v>o_proj</x:v>
      </x:c>
      <x:c r="C9" s="7" t="str">
        <x:v>[256,128]</x:v>
      </x:c>
      <x:c r="D9" s="10" t="str">
        <x:v>BF16</x:v>
      </x:c>
      <x:c r="E9" s="34" t="n">
        <x:v>2</x:v>
      </x:c>
      <x:c r="F9" s="34" t="n">
        <x:f>(256)*(128)</x:f>
        <x:v>32768</x:v>
      </x:c>
      <x:c r="G9" s="7" t="str">
        <x:v>DSA O TP</x:v>
      </x:c>
      <x:c r="H9" s="7" t="str">
        <x:v>None</x:v>
      </x:c>
      <x:c r="I9" s="7" t="str">
        <x:v>否</x:v>
      </x:c>
      <x:c r="J9" s="44" t="n">
        <x:f>E9*SUM(AE9:AG9)/1073741824</x:f>
        <x:v>0.0001220703125</x:v>
      </x:c>
      <x:c r="K9" s="44" t="n">
        <x:f>AA9</x:f>
        <x:v>0.000030517578125</x:v>
      </x:c>
      <x:c r="L9" s="7" t="str">
        <x:f>IF(OR(D9="MXFP4",D9="MXFP8"),"group 32 / E8M0",IF(D9="INT8","channel / 8 B",IF(D9="INT4","channel / 16 B","")))</x:f>
      </x:c>
      <x:c r="M9" s="45" t="n">
        <x:f>$R$5</x:f>
        <x:v>4</x:v>
      </x:c>
      <x:c r="N9" s="7" t="str">
        <x:f>"["&amp;(256)&amp;","&amp;(128/M9)&amp;"]"</x:f>
        <x:v>[256,32]</x:v>
      </x:c>
      <x:c r="O9" s="34" t="n">
        <x:f>CHOOSE($R$22+1,2)</x:f>
        <x:v>2</x:v>
      </x:c>
      <x:c r="P9" s="2"/>
      <x:c r="Q9" s="7" t="str">
        <x:v>EP</x:v>
      </x:c>
      <x:c r="R9" s="14" t="n">
        <x:v>12</x:v>
      </x:c>
      <x:c r="S9" s="7" t="str">
        <x:v>Routed experts / layer</x:v>
      </x:c>
      <x:c r="T9" s="7" t="n">
        <x:v>10</x:v>
      </x:c>
      <x:c r="U9" s="2"/>
      <x:c r="V9" s="2"/>
      <x:c r="W9" s="2"/>
      <x:c r="X9" s="2"/>
      <x:c r="Y9" s="2"/>
      <x:c r="Z9" s="2"/>
      <x:c r="AA9" s="38" t="n">
        <x:f>IF($R$30=1,SUM(AB9:AD9)*(2)/1073741824,NA())</x:f>
        <x:v>0.000030517578125</x:v>
      </x:c>
      <x:c r="AB9" s="39" t="n">
        <x:f>(256)*ROUNDUP((128/M9)*VLOOKUP(D9,$Q$32:$R$38,2,FALSE),0)</x:f>
        <x:v>16384</x:v>
      </x:c>
      <x:c r="AC9" s="39" t="n">
        <x:f>IF(OR(D9="MXFP4",D9="MXFP8"),(256)*ROUNDUP((128/M9)/32,0),0)</x:f>
        <x:v>0</x:v>
      </x:c>
      <x:c r="AD9" s="39" t="n">
        <x:f>IF(D9="INT8",(256)*8,IF(D9="INT4",(256)*16,0))</x:f>
        <x:v>0</x:v>
      </x:c>
      <x:c r="AE9" s="39" t="n">
        <x:f>(256)*ROUNDUP((128)*VLOOKUP(D9,$Q$32:$R$38,2,FALSE),0)</x:f>
        <x:v>65536</x:v>
      </x:c>
      <x:c r="AF9" s="39" t="n">
        <x:f>IF(OR(D9="MXFP4",D9="MXFP8"),(256)*ROUNDUP((128)/32,0),0)</x:f>
        <x:v>0</x:v>
      </x:c>
      <x:c r="AG9" s="39" t="n">
        <x:f>IF(D9="INT8",(256)*8,IF(D9="INT4",(256)*16,0))</x:f>
        <x:v>0</x:v>
      </x:c>
    </x:row>
    <x:row r="10" ht="18" customHeight="1">
      <x:c r="A10" s="48" t="str">
        <x:v>DSA Indexer</x:v>
      </x:c>
      <x:c r="B10" s="48" t="str">
        <x:v>key.weight</x:v>
      </x:c>
      <x:c r="C10" s="48" t="str">
        <x:v>[32,256]</x:v>
      </x:c>
      <x:c r="D10" s="49" t="str">
        <x:v>BF16</x:v>
      </x:c>
      <x:c r="E10" s="50" t="n">
        <x:v>2</x:v>
      </x:c>
      <x:c r="F10" s="50" t="n">
        <x:f>(32)*(256)</x:f>
        <x:v>8192</x:v>
      </x:c>
      <x:c r="G10" s="48" t="str">
        <x:v>Replicated</x:v>
      </x:c>
      <x:c r="H10" s="48" t="str">
        <x:v>None</x:v>
      </x:c>
      <x:c r="I10" s="48" t="str">
        <x:v>否</x:v>
      </x:c>
      <x:c r="J10" s="51" t="n">
        <x:f>E10*SUM(AE10:AG10)/1073741824</x:f>
        <x:v>0.000030517578125</x:v>
      </x:c>
      <x:c r="K10" s="51" t="n">
        <x:f>AA10</x:f>
        <x:v>0.000030517578125</x:v>
      </x:c>
      <x:c r="L10" s="48" t="str">
        <x:f>IF(OR(D10="MXFP4",D10="MXFP8"),"group 32 / E8M0",IF(D10="INT8","channel / 8 B",IF(D10="INT4","channel / 16 B","")))</x:f>
      </x:c>
      <x:c r="M10" s="52" t="n">
        <x:f>1</x:f>
        <x:v>1</x:v>
      </x:c>
      <x:c r="N10" s="48" t="str">
        <x:f>"["&amp;(32/M10)&amp;","&amp;(256)&amp;"]"</x:f>
        <x:v>[32,256]</x:v>
      </x:c>
      <x:c r="O10" s="50" t="n">
        <x:f>CHOOSE($R$22+1,2)</x:f>
        <x:v>2</x:v>
      </x:c>
      <x:c r="P10" s="2"/>
      <x:c r="Q10" s="7" t="str">
        <x:v>共享专家 TP</x:v>
      </x:c>
      <x:c r="R10" s="14" t="n">
        <x:v>4</x:v>
      </x:c>
      <x:c r="S10" s="7" t="str">
        <x:v>Shared experts / layer</x:v>
      </x:c>
      <x:c r="T10" s="7" t="n">
        <x:v>1</x:v>
      </x:c>
      <x:c r="U10" s="2"/>
      <x:c r="V10" s="2"/>
      <x:c r="W10" s="2"/>
      <x:c r="X10" s="2"/>
      <x:c r="Y10" s="2"/>
      <x:c r="Z10" s="2"/>
      <x:c r="AA10" s="38" t="n">
        <x:f>IF($R$30=1,SUM(AB10:AD10)*(2)/1073741824,NA())</x:f>
        <x:v>0.000030517578125</x:v>
      </x:c>
      <x:c r="AB10" s="39" t="n">
        <x:f>(32/M10)*ROUNDUP((256)*VLOOKUP(D10,$Q$32:$R$38,2,FALSE),0)</x:f>
        <x:v>16384</x:v>
      </x:c>
      <x:c r="AC10" s="39" t="n">
        <x:f>IF(OR(D10="MXFP4",D10="MXFP8"),(32/M10)*ROUNDUP((256)/32,0),0)</x:f>
        <x:v>0</x:v>
      </x:c>
      <x:c r="AD10" s="39" t="n">
        <x:f>IF(D10="INT8",(32/M10)*8,IF(D10="INT4",(32/M10)*16,0))</x:f>
        <x:v>0</x:v>
      </x:c>
      <x:c r="AE10" s="39" t="n">
        <x:f>(32)*ROUNDUP((256)*VLOOKUP(D10,$Q$32:$R$38,2,FALSE),0)</x:f>
        <x:v>16384</x:v>
      </x:c>
      <x:c r="AF10" s="39" t="n">
        <x:f>IF(OR(D10="MXFP4",D10="MXFP8"),(32)*ROUNDUP((256)/32,0),0)</x:f>
        <x:v>0</x:v>
      </x:c>
      <x:c r="AG10" s="39" t="n">
        <x:f>IF(D10="INT8",(32)*8,IF(D10="INT4",(32)*16,0))</x:f>
        <x:v>0</x:v>
      </x:c>
    </x:row>
    <x:row r="11" ht="18" customHeight="1">
      <x:c r="A11" s="48" t="str">
        <x:v>MoE</x:v>
      </x:c>
      <x:c r="B11" s="48" t="str">
        <x:v>router.weight</x:v>
      </x:c>
      <x:c r="C11" s="48" t="str">
        <x:v>[10,256]</x:v>
      </x:c>
      <x:c r="D11" s="49" t="str">
        <x:v>BF16</x:v>
      </x:c>
      <x:c r="E11" s="50" t="n">
        <x:v>5</x:v>
      </x:c>
      <x:c r="F11" s="50" t="n">
        <x:f>(10)*(256)</x:f>
        <x:v>2560</x:v>
      </x:c>
      <x:c r="G11" s="48" t="str">
        <x:v>Replicated</x:v>
      </x:c>
      <x:c r="H11" s="48" t="str">
        <x:v>None</x:v>
      </x:c>
      <x:c r="I11" s="48" t="str">
        <x:v>否</x:v>
      </x:c>
      <x:c r="J11" s="51" t="n">
        <x:f>E11*SUM(AE11:AG11)/1073741824</x:f>
        <x:v>0.00002384185791015625</x:v>
      </x:c>
      <x:c r="K11" s="51" t="n">
        <x:f>AA11</x:f>
        <x:v>0.00002384185791015625</x:v>
      </x:c>
      <x:c r="L11" s="48" t="str">
        <x:f>IF(OR(D11="MXFP4",D11="MXFP8"),"group 32 / E8M0",IF(D11="INT8","channel / 8 B",IF(D11="INT4","channel / 16 B","")))</x:f>
      </x:c>
      <x:c r="M11" s="52" t="n">
        <x:f>1</x:f>
        <x:v>1</x:v>
      </x:c>
      <x:c r="N11" s="48" t="str">
        <x:f>"["&amp;(10/M11)&amp;","&amp;(256)&amp;"]"</x:f>
        <x:v>[10,256]</x:v>
      </x:c>
      <x:c r="O11" s="50" t="n">
        <x:f>CHOOSE($R$22+1,5)</x:f>
        <x:v>5</x:v>
      </x:c>
      <x:c r="P11" s="2"/>
      <x:c r="Q11" s="7" t="str">
        <x:v>DSA CP</x:v>
      </x:c>
      <x:c r="R11" s="15" t="n">
        <x:v>1</x:v>
      </x:c>
      <x:c r="S11" s="7" t="str">
        <x:v>MLA latent dim</x:v>
      </x:c>
      <x:c r="T11" s="7" t="n">
        <x:v>64</x:v>
      </x:c>
      <x:c r="U11" s="2"/>
      <x:c r="V11" s="2"/>
      <x:c r="W11" s="2"/>
      <x:c r="X11" s="2"/>
      <x:c r="Y11" s="2"/>
      <x:c r="Z11" s="2"/>
      <x:c r="AA11" s="38" t="n">
        <x:f>IF($R$30=1,SUM(AB11:AD11)*(5)/1073741824,NA())</x:f>
        <x:v>0.00002384185791015625</x:v>
      </x:c>
      <x:c r="AB11" s="39" t="n">
        <x:f>(10/M11)*ROUNDUP((256)*VLOOKUP(D11,$Q$32:$R$38,2,FALSE),0)</x:f>
        <x:v>5120</x:v>
      </x:c>
      <x:c r="AC11" s="39" t="n">
        <x:f>IF(OR(D11="MXFP4",D11="MXFP8"),(10/M11)*ROUNDUP((256)/32,0),0)</x:f>
        <x:v>0</x:v>
      </x:c>
      <x:c r="AD11" s="39" t="n">
        <x:f>IF(D11="INT8",(10/M11)*8,IF(D11="INT4",(10/M11)*16,0))</x:f>
        <x:v>0</x:v>
      </x:c>
      <x:c r="AE11" s="39" t="n">
        <x:f>(10)*ROUNDUP((256)*VLOOKUP(D11,$Q$32:$R$38,2,FALSE),0)</x:f>
        <x:v>5120</x:v>
      </x:c>
      <x:c r="AF11" s="39" t="n">
        <x:f>IF(OR(D11="MXFP4",D11="MXFP8"),(10)*ROUNDUP((256)/32,0),0)</x:f>
        <x:v>0</x:v>
      </x:c>
      <x:c r="AG11" s="39" t="n">
        <x:f>IF(D11="INT8",(10)*8,IF(D11="INT4",(10)*16,0))</x:f>
        <x:v>0</x:v>
      </x:c>
    </x:row>
    <x:row r="12" ht="18" customHeight="1">
      <x:c r="A12" s="7" t="str">
        <x:v>MoE</x:v>
      </x:c>
      <x:c r="B12" s="7" t="str">
        <x:v>experts.*.w1</x:v>
      </x:c>
      <x:c r="C12" s="7" t="str">
        <x:v>[64,128]</x:v>
      </x:c>
      <x:c r="D12" s="10" t="str">
        <x:v>MXFP4</x:v>
      </x:c>
      <x:c r="E12" s="34" t="n">
        <x:v>50</x:v>
      </x:c>
      <x:c r="F12" s="34" t="n">
        <x:f>(64)*(128)</x:f>
        <x:v>8192</x:v>
      </x:c>
      <x:c r="G12" s="7" t="str">
        <x:v>EP</x:v>
      </x:c>
      <x:c r="H12" s="7" t="str">
        <x:v>EP</x:v>
      </x:c>
      <x:c r="I12" s="7" t="str">
        <x:v>否</x:v>
      </x:c>
      <x:c r="J12" s="44" t="n">
        <x:f>E12*SUM(AE12:AG12)/1073741824</x:f>
        <x:v>0.00020265579223632812</x:v>
      </x:c>
      <x:c r="K12" s="44" t="n">
        <x:f>AA12</x:f>
        <x:v>0.000020265579223632812</x:v>
      </x:c>
      <x:c r="L12" s="7" t="str">
        <x:f>IF(OR(D12="MXFP4",D12="MXFP8"),"group 32 / E8M0",IF(D12="INT8","channel / 8 B",IF(D12="INT4","channel / 16 B","")))</x:f>
        <x:v>group 32 / E8M0</x:v>
      </x:c>
      <x:c r="M12" s="45" t="n">
        <x:f>1</x:f>
        <x:v>1</x:v>
      </x:c>
      <x:c r="N12" s="7" t="str">
        <x:f>"["&amp;(64/M12)&amp;","&amp;(128)&amp;"]"</x:f>
        <x:v>[64,128]</x:v>
      </x:c>
      <x:c r="O12" s="34" t="n">
        <x:f>CHOOSE($R$22+1,5*ROUNDUP(10/$R$9,0))</x:f>
        <x:v>5</x:v>
      </x:c>
      <x:c r="P12" s="2"/>
      <x:c r="Q12" s="7" t="str">
        <x:v>DCP</x:v>
      </x:c>
      <x:c r="R12" s="14" t="n">
        <x:f>$R$2*1</x:f>
        <x:v>4</x:v>
      </x:c>
      <x:c r="S12" s="7" t="str">
        <x:v>RoPE dim</x:v>
      </x:c>
      <x:c r="T12" s="7" t="n">
        <x:v>16</x:v>
      </x:c>
      <x:c r="U12" s="2"/>
      <x:c r="V12" s="2"/>
      <x:c r="W12" s="2"/>
      <x:c r="X12" s="2"/>
      <x:c r="Y12" s="2"/>
      <x:c r="Z12" s="2"/>
      <x:c r="AA12" s="38" t="n">
        <x:f>IF($R$30=1,SUM(AB12:AD12)*(5*ROUNDUP(10/$R$9,0))/1073741824,NA())</x:f>
        <x:v>0.000020265579223632812</x:v>
      </x:c>
      <x:c r="AB12" s="39" t="n">
        <x:f>(64/M12)*ROUNDUP((128)*VLOOKUP(D12,$Q$32:$R$38,2,FALSE),0)</x:f>
        <x:v>4096</x:v>
      </x:c>
      <x:c r="AC12" s="39" t="n">
        <x:f>IF(OR(D12="MXFP4",D12="MXFP8"),(64/M12)*ROUNDUP((128)/32,0),0)</x:f>
        <x:v>256</x:v>
      </x:c>
      <x:c r="AD12" s="39" t="n">
        <x:f>IF(D12="INT8",(64/M12)*8,IF(D12="INT4",(64/M12)*16,0))</x:f>
        <x:v>0</x:v>
      </x:c>
      <x:c r="AE12" s="39" t="n">
        <x:f>(64)*ROUNDUP((128)*VLOOKUP(D12,$Q$32:$R$38,2,FALSE),0)</x:f>
        <x:v>4096</x:v>
      </x:c>
      <x:c r="AF12" s="39" t="n">
        <x:f>IF(OR(D12="MXFP4",D12="MXFP8"),(64)*ROUNDUP((128)/32,0),0)</x:f>
        <x:v>256</x:v>
      </x:c>
      <x:c r="AG12" s="39" t="n">
        <x:f>IF(D12="INT8",(64)*8,IF(D12="INT4",(64)*16,0))</x:f>
        <x:v>0</x:v>
      </x:c>
    </x:row>
    <x:row r="13" ht="18" customHeight="1">
      <x:c r="A13" s="7" t="str">
        <x:v>MoE</x:v>
      </x:c>
      <x:c r="B13" s="7" t="str">
        <x:v>shared_experts.down_proj</x:v>
      </x:c>
      <x:c r="C13" s="7" t="str">
        <x:v>[256,64]</x:v>
      </x:c>
      <x:c r="D13" s="10" t="str">
        <x:v>BF16</x:v>
      </x:c>
      <x:c r="E13" s="34" t="n">
        <x:v>5</x:v>
      </x:c>
      <x:c r="F13" s="34" t="n">
        <x:f>(256)*(64)</x:f>
        <x:v>16384</x:v>
      </x:c>
      <x:c r="G13" s="7" t="str">
        <x:v>Shared TP</x:v>
      </x:c>
      <x:c r="H13" s="7" t="str">
        <x:v>None</x:v>
      </x:c>
      <x:c r="I13" s="7" t="str">
        <x:v>是</x:v>
      </x:c>
      <x:c r="J13" s="44" t="n">
        <x:f>E13*SUM(AE13:AG13)/1073741824</x:f>
        <x:v>0.000152587890625</x:v>
      </x:c>
      <x:c r="K13" s="44" t="n">
        <x:f>AA13</x:f>
        <x:v>0.00003814697265625</x:v>
      </x:c>
      <x:c r="L13" s="7" t="str">
        <x:f>IF(OR(D13="MXFP4",D13="MXFP8"),"group 32 / E8M0",IF(D13="INT8","channel / 8 B",IF(D13="INT4","channel / 16 B","")))</x:f>
      </x:c>
      <x:c r="M13" s="45" t="n">
        <x:f>$R$10</x:f>
        <x:v>4</x:v>
      </x:c>
      <x:c r="N13" s="7" t="str">
        <x:f>"["&amp;(256)&amp;","&amp;(64/M13)&amp;"]"</x:f>
        <x:v>[256,16]</x:v>
      </x:c>
      <x:c r="O13" s="34" t="n">
        <x:f>CHOOSE($R$22+1,5)</x:f>
        <x:v>5</x:v>
      </x:c>
      <x:c r="P13" s="2"/>
      <x:c r="Q13" s="7" t="str">
        <x:v>MLA cache dtype</x:v>
      </x:c>
      <x:c r="R13" s="17" t="str">
        <x:v>INT8</x:v>
      </x:c>
      <x:c r="S13" s="7" t="str">
        <x:v>Indexer key dim</x:v>
      </x:c>
      <x:c r="T13" s="7" t="n">
        <x:v>32</x:v>
      </x:c>
      <x:c r="U13" s="2"/>
      <x:c r="V13" s="2"/>
      <x:c r="W13" s="2"/>
      <x:c r="X13" s="2"/>
      <x:c r="Y13" s="2"/>
      <x:c r="Z13" s="2"/>
      <x:c r="AA13" s="38" t="n">
        <x:f>IF($R$30=1,SUM(AB13:AD13)*(5)/1073741824,NA())</x:f>
        <x:v>0.00003814697265625</x:v>
      </x:c>
      <x:c r="AB13" s="39" t="n">
        <x:f>(256)*ROUNDUP((64/M13)*VLOOKUP(D13,$Q$32:$R$38,2,FALSE),0)</x:f>
        <x:v>8192</x:v>
      </x:c>
      <x:c r="AC13" s="39" t="n">
        <x:f>IF(OR(D13="MXFP4",D13="MXFP8"),(256)*ROUNDUP((64/M13)/32,0),0)</x:f>
        <x:v>0</x:v>
      </x:c>
      <x:c r="AD13" s="39" t="n">
        <x:f>IF(D13="INT8",(256)*8,IF(D13="INT4",(256)*16,0))</x:f>
        <x:v>0</x:v>
      </x:c>
      <x:c r="AE13" s="39" t="n">
        <x:f>(256)*ROUNDUP((64)*VLOOKUP(D13,$Q$32:$R$38,2,FALSE),0)</x:f>
        <x:v>32768</x:v>
      </x:c>
      <x:c r="AF13" s="39" t="n">
        <x:f>IF(OR(D13="MXFP4",D13="MXFP8"),(256)*ROUNDUP((64)/32,0),0)</x:f>
        <x:v>0</x:v>
      </x:c>
      <x:c r="AG13" s="39" t="n">
        <x:f>IF(D13="INT8",(256)*8,IF(D13="INT4",(256)*16,0))</x:f>
        <x:v>0</x:v>
      </x:c>
    </x:row>
    <x:row r="14" ht="18" customHeight="1">
      <x:c r="A14" s="48" t="str">
        <x:v>ViT patch</x:v>
      </x:c>
      <x:c r="B14" s="48" t="str">
        <x:v>patch.weight</x:v>
      </x:c>
      <x:c r="C14" s="48" t="str">
        <x:v>[16,3,4,4]</x:v>
      </x:c>
      <x:c r="D14" s="49" t="str">
        <x:v>BF16</x:v>
      </x:c>
      <x:c r="E14" s="50" t="n">
        <x:v>1</x:v>
      </x:c>
      <x:c r="F14" s="50" t="n">
        <x:f>(16)*(3)*(4)*(4)</x:f>
        <x:v>768</x:v>
      </x:c>
      <x:c r="G14" s="48" t="str">
        <x:v>Replicated</x:v>
      </x:c>
      <x:c r="H14" s="48" t="str">
        <x:v>None</x:v>
      </x:c>
      <x:c r="I14" s="48" t="str">
        <x:v>否</x:v>
      </x:c>
      <x:c r="J14" s="51" t="n">
        <x:f>E14*SUM(AE14:AG14)/1073741824</x:f>
        <x:v>0.000001430511474609375</x:v>
      </x:c>
      <x:c r="K14" s="51" t="n">
        <x:f>AA14</x:f>
        <x:v>0.000001430511474609375</x:v>
      </x:c>
      <x:c r="L14" s="48" t="str">
        <x:f>IF(OR(D14="MXFP4",D14="MXFP8"),"group 32 / E8M0",IF(D14="INT8","channel / 8 B",IF(D14="INT4","channel / 16 B","")))</x:f>
      </x:c>
      <x:c r="M14" s="52" t="n">
        <x:f>1</x:f>
        <x:v>1</x:v>
      </x:c>
      <x:c r="N14" s="48" t="str">
        <x:f>"["&amp;(16/M14)&amp;","&amp;(3)&amp;","&amp;(4)&amp;","&amp;(4)&amp;"]"</x:f>
        <x:v>[16,3,4,4]</x:v>
      </x:c>
      <x:c r="O14" s="50" t="n">
        <x:f>CHOOSE($R$22+1,1)</x:f>
        <x:v>1</x:v>
      </x:c>
      <x:c r="P14" s="2"/>
      <x:c r="Q14" s="7" t="str">
        <x:v>Indexer cache dtype</x:v>
      </x:c>
      <x:c r="R14" s="17" t="str">
        <x:v>INT8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38" t="n">
        <x:f>IF($R$30=1,SUM(AB14:AD14)*(1)/1073741824,NA())</x:f>
        <x:v>0.000001430511474609375</x:v>
      </x:c>
      <x:c r="AB14" s="39" t="n">
        <x:f>(16/M14)*(3)*(4)*ROUNDUP((4)*VLOOKUP(D14,$Q$32:$R$38,2,FALSE),0)</x:f>
        <x:v>1536</x:v>
      </x:c>
      <x:c r="AC14" s="39" t="n">
        <x:f>IF(OR(D14="MXFP4",D14="MXFP8"),(16/M14)*(3)*(4)*ROUNDUP((4)/32,0),0)</x:f>
        <x:v>0</x:v>
      </x:c>
      <x:c r="AD14" s="39" t="n">
        <x:f>IF(D14="INT8",(16/M14)*8,IF(D14="INT4",(16/M14)*16,0))</x:f>
        <x:v>0</x:v>
      </x:c>
      <x:c r="AE14" s="39" t="n">
        <x:f>(16)*(3)*(4)*ROUNDUP((4)*VLOOKUP(D14,$Q$32:$R$38,2,FALSE),0)</x:f>
        <x:v>1536</x:v>
      </x:c>
      <x:c r="AF14" s="39" t="n">
        <x:f>IF(OR(D14="MXFP4",D14="MXFP8"),(16)*(3)*(4)*ROUNDUP((4)/32,0),0)</x:f>
        <x:v>0</x:v>
      </x:c>
      <x:c r="AG14" s="39" t="n">
        <x:f>IF(D14="INT8",(16)*8,IF(D14="INT4",(16)*16,0))</x:f>
        <x:v>0</x:v>
      </x:c>
    </x:row>
    <x:row r="15" ht="18" customHeight="1">
      <x:c r="A15" s="53" t="str">
        <x:v>ViT blocks</x:v>
      </x:c>
      <x:c r="B15" s="53" t="str">
        <x:v>blocks.*.weight</x:v>
      </x:c>
      <x:c r="C15" s="53" t="str">
        <x:v>[32,16]</x:v>
      </x:c>
      <x:c r="D15" s="54" t="str">
        <x:v>BF16</x:v>
      </x:c>
      <x:c r="E15" s="55" t="n">
        <x:v>2</x:v>
      </x:c>
      <x:c r="F15" s="55" t="n">
        <x:f>(32)*(16)</x:f>
        <x:v>512</x:v>
      </x:c>
      <x:c r="G15" s="53" t="str">
        <x:v>Replicated</x:v>
      </x:c>
      <x:c r="H15" s="53" t="str">
        <x:v>None</x:v>
      </x:c>
      <x:c r="I15" s="53" t="str">
        <x:v>否</x:v>
      </x:c>
      <x:c r="J15" s="56" t="n">
        <x:f>E15*SUM(AE15:AG15)/1073741824</x:f>
        <x:v>0.0000019073486328125</x:v>
      </x:c>
      <x:c r="K15" s="56" t="n">
        <x:f>AA15</x:f>
        <x:v>0.0000019073486328125</x:v>
      </x:c>
      <x:c r="L15" s="53" t="str">
        <x:f>IF(OR(D15="MXFP4",D15="MXFP8"),"group 32 / E8M0",IF(D15="INT8","channel / 8 B",IF(D15="INT4","channel / 16 B","")))</x:f>
      </x:c>
      <x:c r="M15" s="57" t="n">
        <x:f>1</x:f>
        <x:v>1</x:v>
      </x:c>
      <x:c r="N15" s="53" t="str">
        <x:f>"["&amp;(32/M15)&amp;","&amp;(16)&amp;"]"</x:f>
        <x:v>[32,16]</x:v>
      </x:c>
      <x:c r="O15" s="55" t="n">
        <x:f>CHOOSE($R$22+1,2)</x:f>
        <x:v>2</x:v>
      </x:c>
      <x:c r="P15" s="2"/>
      <x:c r="Q15" s="7" t="str">
        <x:v>Indexer scale bytes</x:v>
      </x:c>
      <x:c r="R15" s="15" t="n">
        <x:f>IF(R14="BF16",0,IF(R14="INT8",2,4))</x:f>
        <x:v>2</x:v>
      </x:c>
      <x:c r="S15" s="7" t="str">
        <x:v>Cache block size</x:v>
      </x:c>
      <x:c r="T15" s="7" t="n">
        <x:f>R19</x:f>
        <x:v>32</x:v>
      </x:c>
      <x:c r="U15" s="2"/>
      <x:c r="V15" s="2"/>
      <x:c r="W15" s="2"/>
      <x:c r="X15" s="2"/>
      <x:c r="Y15" s="2"/>
      <x:c r="Z15" s="2"/>
      <x:c r="AA15" s="38" t="n">
        <x:f>IF($R$30=1,SUM(AB15:AD15)*(2)/1073741824,NA())</x:f>
        <x:v>0.0000019073486328125</x:v>
      </x:c>
      <x:c r="AB15" s="39" t="n">
        <x:f>(32/M15)*ROUNDUP((16)*VLOOKUP(D15,$Q$32:$R$38,2,FALSE),0)</x:f>
        <x:v>1024</x:v>
      </x:c>
      <x:c r="AC15" s="39" t="n">
        <x:f>IF(OR(D15="MXFP4",D15="MXFP8"),(32/M15)*ROUNDUP((16)/32,0),0)</x:f>
        <x:v>0</x:v>
      </x:c>
      <x:c r="AD15" s="39" t="n">
        <x:f>IF(D15="INT8",(32/M15)*8,IF(D15="INT4",(32/M15)*16,0))</x:f>
        <x:v>0</x:v>
      </x:c>
      <x:c r="AE15" s="39" t="n">
        <x:f>(32)*ROUNDUP((16)*VLOOKUP(D15,$Q$32:$R$38,2,FALSE),0)</x:f>
        <x:v>1024</x:v>
      </x:c>
      <x:c r="AF15" s="39" t="n">
        <x:f>IF(OR(D15="MXFP4",D15="MXFP8"),(32)*ROUNDUP((16)/32,0),0)</x:f>
        <x:v>0</x:v>
      </x:c>
      <x:c r="AG15" s="39" t="n">
        <x:f>IF(D15="INT8",(32)*8,IF(D15="INT4",(32)*16,0))</x:f>
        <x:v>0</x:v>
      </x:c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257</x:v>
      </x:c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Decode</x:v>
      </x:c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7" t="str">
        <x:v>单请求 token 数</x:v>
      </x:c>
      <x:c r="R18" s="14" t="n">
        <x:v>257</x:v>
      </x:c>
      <x:c r="S18" s="7" t="str">
        <x:v>ViT</x:v>
      </x:c>
      <x:c r="T18" s="7" t="str">
        <x:v>包含</x:v>
      </x:c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7" t="str">
        <x:v>Cache block size</x:v>
      </x:c>
      <x:c r="R19" s="14" t="n">
        <x:v>32</x:v>
      </x:c>
      <x:c r="S19" s="7" t="str">
        <x:v>KDA local heads</x:v>
      </x:c>
      <x:c r="T19" s="7" t="n">
        <x:f>T4/R2</x:f>
        <x:v>2</x:v>
      </x:c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2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7" t="str">
        <x:v>主缓存 context 切分</x:v>
      </x:c>
      <x:c r="R21" s="15" t="n">
        <x:f>R12</x:f>
        <x:v>4</x:v>
      </x:c>
      <x:c r="S21" s="7" t="str">
        <x:v>Indexer key heads</x:v>
      </x:c>
      <x:c r="T21" s="7" t="n">
        <x:v>1</x:v>
      </x:c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8</x:v>
      </x:c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6" t="str">
        <x:v>单卡权重 GiB</x:v>
      </x:c>
      <x:c r="R23" s="27" t="n">
        <x:f>SUM(K2:K15)</x:f>
        <x:v>0.0005843639373779297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7" t="str">
        <x:v>权重 + cache GiB</x:v>
      </x:c>
      <x:c r="R24" s="28" t="n">
        <x:f>R23+R27</x:f>
        <x:v>0.0006363391876220703</x:v>
      </x:c>
      <x:c r="S24" s="6" t="str">
        <x:v>DP</x:v>
      </x:c>
      <x:c r="T24" s="6" t="n">
        <x:f>R9/R2</x:f>
        <x:v>3</x:v>
      </x:c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7" t="str">
        <x:v>o_proj buffer GiB</x:v>
      </x:c>
      <x:c r="R25" s="28" t="n">
        <x:f>SUM(R57:R58)</x:f>
        <x:v>0</x:v>
      </x:c>
      <x:c r="S25" s="7" t="str">
        <x:v>PP</x:v>
      </x:c>
      <x:c r="T25" s="7" t="n">
        <x:v>1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7" t="str">
        <x:v>总参数量 T</x:v>
      </x:c>
      <x:c r="R26" s="28" t="n">
        <x:f>SUMPRODUCT(E2:E15,F2:F15)/1000000000000</x:f>
        <x:v>0.000001523456</x:v>
      </x:c>
      <x:c r="S26" s="7" t="str">
        <x:v>EP / stage</x:v>
      </x:c>
      <x:c r="T26" s="7" t="n">
        <x:f>R9</x:f>
        <x:v>12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7" t="str">
        <x:v>单请求 cache GiB</x:v>
      </x:c>
      <x:c r="R27" s="28" t="n">
        <x:f>X63</x:f>
        <x:v>0.000051975250244140625</x:v>
      </x:c>
      <x:c r="S27" s="7" t="str">
        <x:v>总设备数</x:v>
      </x:c>
      <x:c r="T27" s="7" t="n">
        <x:f>R9*T25</x:f>
        <x:v>12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7" t="str">
        <x:v>权重 + cache + buffer GiB</x:v>
      </x:c>
      <x:c r="R28" s="28" t="n">
        <x:f>R23+R27+R25</x:f>
        <x:v>0.0006363391876220703</x:v>
      </x:c>
      <x:c r="S28" s="8" t="str">
        <x:v>DCP</x:v>
      </x:c>
      <x:c r="T28" s="8" t="n">
        <x:f>R12</x:f>
        <x:v>4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8" t="str">
        <x:v>本页 token 数</x:v>
      </x:c>
      <x:c r="R29" s="8" t="n">
        <x:f>R18</x:f>
        <x:v>257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 t="str">
        <x:v>参数校验（1=有效）</x:v>
      </x:c>
      <x:c r="R30" s="2" t="n">
        <x:f>IF(AND(AND(R2&gt;=1,R9&gt;=1,R12&gt;=1,R19&gt;=1,R18&gt;=1,R18&lt;=4096,MOD(R9,R2)=0,MOD(T4,R2)=0,MOD(R2,R12)=0,R22&gt;=0,R22&lt;1,MOD(R22,1)=0,R20&gt;=0,MOD(R20,1)=0,R11=1,OR(R11=1,R11=R2)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(1024,R7)=0,MOD(1024,R6)=0,MOD(512,R8)=0,MOD(128,R2)=0,MOD(128,R3)=0,MOD(128,R4)=0,MOD(128,R5)=0,MOD(64,R10)=0)),1,0)</x:f>
        <x:v>1</x:v>
      </x:c>
      <x:c r="S30" s="2" t="str">
        <x:v>量化方案</x:v>
      </x:c>
      <x:c r="T30" s="2" t="str">
        <x:v>checkpoint</x:v>
      </x:c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1</x:v>
      </x:c>
      <x:c r="U32" s="6" t="n">
        <x:f>IF(R13="BF16",0,ROUNDUP(T11/128,0)*4)</x:f>
        <x:v>4</x:v>
      </x:c>
      <x:c r="V32" s="6" t="n">
        <x:f>T11*T32+U32</x:f>
        <x:v>68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32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100</x:v>
      </x:c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1</x:v>
      </x:c>
      <x:c r="U35" s="8" t="n">
        <x:f>R15</x:f>
        <x:v>2</x:v>
      </x:c>
      <x:c r="V35" s="8" t="n">
        <x:f>T13*T35+U35</x:f>
        <x:v>34</x:v>
      </x:c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2"/>
      <x:c r="AB39" s="2"/>
      <x:c r="AC39" s="2"/>
      <x:c r="AD39" s="2"/>
      <x:c r="AE39" s="2"/>
      <x:c r="AF39" s="2"/>
      <x:c r="AG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6" t="str">
        <x:v>embedding</x:v>
      </x:c>
      <x:c r="R40" s="6" t="n">
        <x:f>CHOOSE($R$22+1,1)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0.0001220703125</x:v>
      </x:c>
      <x:c r="V40" s="27" t="n">
        <x:f>SUM(K2)</x:f>
        <x:v>0.0001220703125</x:v>
      </x:c>
      <x:c r="W40" s="30" t="n">
        <x:f>V40/$R$23</x:f>
        <x:v>0.20889432884536924</x:v>
      </x:c>
      <x:c r="X40" s="6" t="str"/>
      <x:c r="Y40" s="2"/>
      <x:c r="Z40" s="2"/>
      <x:c r="AA40" s="2"/>
      <x:c r="AB40" s="2"/>
      <x:c r="AC40" s="2"/>
      <x:c r="AD40" s="2"/>
      <x:c r="AE40" s="2"/>
      <x:c r="AF40" s="2"/>
      <x:c r="AG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7" t="str">
        <x:v>lm_head</x:v>
      </x:c>
      <x:c r="R41" s="7" t="n">
        <x:f>CHOOSE($R$22+1,1)</x:f>
        <x:v>1</x:v>
      </x:c>
      <x:c r="S41" s="7" t="n">
        <x:f>1</x:f>
        <x:v>1</x:v>
      </x:c>
      <x:c r="T41" s="7" t="n">
        <x:f>R41*S41</x:f>
        <x:v>1</x:v>
      </x:c>
      <x:c r="U41" s="28" t="n">
        <x:f>IF(T41=0,0,V41/T41)</x:f>
        <x:v>0.0001220703125</x:v>
      </x:c>
      <x:c r="V41" s="28" t="n">
        <x:f>SUM(K3)</x:f>
        <x:v>0.0001220703125</x:v>
      </x:c>
      <x:c r="W41" s="31" t="n">
        <x:f>V41/$R$23</x:f>
        <x:v>0.20889432884536924</x:v>
      </x:c>
      <x:c r="X41" s="7" t="str"/>
      <x:c r="Y41" s="2"/>
      <x:c r="Z41" s="2"/>
      <x:c r="AA41" s="2"/>
      <x:c r="AB41" s="2"/>
      <x:c r="AC41" s="2"/>
      <x:c r="AD41" s="2"/>
      <x:c r="AE41" s="2"/>
      <x:c r="AF41" s="2"/>
      <x:c r="AG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7" t="str">
        <x:v>Decoder norms / residual</x:v>
      </x:c>
      <x:c r="R42" s="7" t="n">
        <x:f>CHOOSE($R$22+1,6)</x:f>
        <x:v>6</x:v>
      </x:c>
      <x:c r="S42" s="7" t="n">
        <x:f>1</x:f>
        <x:v>1</x:v>
      </x:c>
      <x:c r="T42" s="7" t="n">
        <x:f>R42*S42</x:f>
        <x:v>6</x:v>
      </x:c>
      <x:c r="U42" s="28" t="n">
        <x:f>IF(T42=0,0,V42/T42)</x:f>
        <x:v>4.76837158203125e-7</x:v>
      </x:c>
      <x:c r="V42" s="28" t="n">
        <x:f>SUM(K4)</x:f>
        <x:v>0.00000286102294921875</x:v>
      </x:c>
      <x:c r="W42" s="31" t="n">
        <x:f>V42/$R$23</x:f>
        <x:v>0.004895960832313341</x:v>
      </x:c>
      <x:c r="X42" s="7" t="str"/>
      <x:c r="Y42" s="2"/>
      <x:c r="Z42" s="2"/>
      <x:c r="AA42" s="2"/>
      <x:c r="AB42" s="2"/>
      <x:c r="AC42" s="2"/>
      <x:c r="AD42" s="2"/>
      <x:c r="AE42" s="2"/>
      <x:c r="AF42" s="2"/>
      <x:c r="AG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7" t="str">
        <x:v>Final norm / residual</x:v>
      </x:c>
      <x:c r="R43" s="7" t="n">
        <x:f>CHOOSE($R$22+1,1)</x:f>
        <x:v>1</x:v>
      </x:c>
      <x:c r="S43" s="7" t="n">
        <x:f>1</x:f>
        <x:v>1</x:v>
      </x:c>
      <x:c r="T43" s="7" t="n">
        <x:f>R43*S43</x:f>
        <x:v>1</x:v>
      </x:c>
      <x:c r="U43" s="28" t="n">
        <x:f>IF(T43=0,0,V43/T43)</x:f>
        <x:v>0</x:v>
      </x:c>
      <x:c r="V43" s="28" t="n">
        <x:f>0</x:f>
        <x:v>0</x:v>
      </x:c>
      <x:c r="W43" s="31" t="n">
        <x:f>V43/$R$23</x:f>
        <x:v>0</x:v>
      </x:c>
      <x:c r="X43" s="7" t="str"/>
      <x:c r="Y43" s="2"/>
      <x:c r="Z43" s="2"/>
      <x:c r="AA43" s="2"/>
      <x:c r="AB43" s="2"/>
      <x:c r="AC43" s="2"/>
      <x:c r="AD43" s="2"/>
      <x:c r="AE43" s="2"/>
      <x:c r="AF43" s="2"/>
      <x:c r="AG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7" t="str">
        <x:v>Dense MLP</x:v>
      </x:c>
      <x:c r="R44" s="7" t="n">
        <x:f>CHOOSE($R$22+1,1)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0.00006103515625</x:v>
      </x:c>
      <x:c r="V44" s="28" t="n">
        <x:f>SUM(K5)</x:f>
        <x:v>0.00006103515625</x:v>
      </x:c>
      <x:c r="W44" s="31" t="n">
        <x:f>V44/$R$23</x:f>
        <x:v>0.10444716442268462</x:v>
      </x:c>
      <x:c r="X44" s="7" t="str"/>
      <x:c r="Y44" s="2"/>
      <x:c r="Z44" s="2"/>
      <x:c r="AA44" s="2"/>
      <x:c r="AB44" s="2"/>
      <x:c r="AC44" s="2"/>
      <x:c r="AD44" s="2"/>
      <x:c r="AE44" s="2"/>
      <x:c r="AF44" s="2"/>
      <x:c r="AG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7" t="str">
        <x:v>KDA</x:v>
      </x:c>
      <x:c r="R45" s="7" t="n">
        <x:f>CHOOSE($R$22+1,4)</x:f>
        <x:v>4</x:v>
      </x:c>
      <x:c r="S45" s="7" t="n">
        <x:f>1</x:f>
        <x:v>1</x:v>
      </x:c>
      <x:c r="T45" s="7" t="n">
        <x:f>R45*S45</x:f>
        <x:v>4</x:v>
      </x:c>
      <x:c r="U45" s="28" t="n">
        <x:f>IF(T45=0,0,V45/T45)</x:f>
        <x:v>0.000030517578125</x:v>
      </x:c>
      <x:c r="V45" s="28" t="n">
        <x:f>SUM(K6,K7)</x:f>
        <x:v>0.0001220703125</x:v>
      </x:c>
      <x:c r="W45" s="31" t="n">
        <x:f>V45/$R$23</x:f>
        <x:v>0.20889432884536924</x:v>
      </x:c>
      <x:c r="X45" s="7" t="str"/>
      <x:c r="Y45" s="2"/>
      <x:c r="Z45" s="2"/>
      <x:c r="AA45" s="2"/>
      <x:c r="AB45" s="2"/>
      <x:c r="AC45" s="2"/>
      <x:c r="AD45" s="2"/>
      <x:c r="AE45" s="2"/>
      <x:c r="AF45" s="2"/>
      <x:c r="AG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7" t="str">
        <x:v>DSA MLA</x:v>
      </x:c>
      <x:c r="R46" s="7" t="n">
        <x:f>CHOOSE($R$22+1,2)</x:f>
        <x:v>2</x:v>
      </x:c>
      <x:c r="S46" s="7" t="n">
        <x:f>1</x:f>
        <x:v>1</x:v>
      </x:c>
      <x:c r="T46" s="7" t="n">
        <x:f>R46*S46</x:f>
        <x:v>2</x:v>
      </x:c>
      <x:c r="U46" s="28" t="n">
        <x:f>IF(T46=0,0,V46/T46)</x:f>
        <x:v>0.000019073486328125</x:v>
      </x:c>
      <x:c r="V46" s="28" t="n">
        <x:f>SUM(K8,K9)</x:f>
        <x:v>0.00003814697265625</x:v>
      </x:c>
      <x:c r="W46" s="31" t="n">
        <x:f>V46/$R$23</x:f>
        <x:v>0.06527947776417789</x:v>
      </x:c>
      <x:c r="X46" s="7" t="str"/>
      <x:c r="Y46" s="2"/>
      <x:c r="Z46" s="2"/>
      <x:c r="AA46" s="2"/>
      <x:c r="AB46" s="2"/>
      <x:c r="AC46" s="2"/>
      <x:c r="AD46" s="2"/>
      <x:c r="AE46" s="2"/>
      <x:c r="AF46" s="2"/>
      <x:c r="AG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7" t="str">
        <x:v>DSA Indexer</x:v>
      </x:c>
      <x:c r="R47" s="7" t="n">
        <x:f>CHOOSE($R$22+1,2)</x:f>
        <x:v>2</x:v>
      </x:c>
      <x:c r="S47" s="7" t="n">
        <x:f>1</x:f>
        <x:v>1</x:v>
      </x:c>
      <x:c r="T47" s="7" t="n">
        <x:f>R47*S47</x:f>
        <x:v>2</x:v>
      </x:c>
      <x:c r="U47" s="28" t="n">
        <x:f>IF(T47=0,0,V47/T47)</x:f>
        <x:v>0.0000152587890625</x:v>
      </x:c>
      <x:c r="V47" s="28" t="n">
        <x:f>SUM(K10)</x:f>
        <x:v>0.000030517578125</x:v>
      </x:c>
      <x:c r="W47" s="31" t="n">
        <x:f>V47/$R$23</x:f>
        <x:v>0.05222358221134231</x:v>
      </x:c>
      <x:c r="X47" s="7" t="str"/>
      <x:c r="Y47" s="2"/>
      <x:c r="Z47" s="2"/>
      <x:c r="AA47" s="2"/>
      <x:c r="AB47" s="2"/>
      <x:c r="AC47" s="2"/>
      <x:c r="AD47" s="2"/>
      <x:c r="AE47" s="2"/>
      <x:c r="AF47" s="2"/>
      <x:c r="AG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7" t="str">
        <x:v>MoE router / latent</x:v>
      </x:c>
      <x:c r="R48" s="7" t="n">
        <x:f>CHOOSE($R$22+1,5)</x:f>
        <x:v>5</x:v>
      </x:c>
      <x:c r="S48" s="7" t="n">
        <x:f>1</x:f>
        <x:v>1</x:v>
      </x:c>
      <x:c r="T48" s="7" t="n">
        <x:f>R48*S48</x:f>
        <x:v>5</x:v>
      </x:c>
      <x:c r="U48" s="28" t="n">
        <x:f>IF(T48=0,0,V48/T48)</x:f>
        <x:v>0.00000476837158203125</x:v>
      </x:c>
      <x:c r="V48" s="28" t="n">
        <x:f>SUM(K11)</x:f>
        <x:v>0.00002384185791015625</x:v>
      </x:c>
      <x:c r="W48" s="31" t="n">
        <x:f>V48/$R$23</x:f>
        <x:v>0.04079967360261118</x:v>
      </x:c>
      <x:c r="X48" s="7" t="str"/>
      <x:c r="Y48" s="2"/>
      <x:c r="Z48" s="2"/>
      <x:c r="AA48" s="2"/>
      <x:c r="AB48" s="2"/>
      <x:c r="AC48" s="2"/>
      <x:c r="AD48" s="2"/>
      <x:c r="AE48" s="2"/>
      <x:c r="AF48" s="2"/>
      <x:c r="AG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7" t="str">
        <x:v>Routed experts</x:v>
      </x:c>
      <x:c r="R49" s="7" t="n">
        <x:f>CHOOSE($R$22+1,5)</x:f>
        <x:v>5</x:v>
      </x:c>
      <x:c r="S49" s="7" t="n">
        <x:f>ROUNDUP($T$9/$R$9,0)</x:f>
        <x:v>1</x:v>
      </x:c>
      <x:c r="T49" s="7" t="n">
        <x:f>R49*S49</x:f>
        <x:v>5</x:v>
      </x:c>
      <x:c r="U49" s="28" t="n">
        <x:f>IF(T49=0,0,V49/T49)</x:f>
        <x:v>0.0000040531158447265625</x:v>
      </x:c>
      <x:c r="V49" s="28" t="n">
        <x:f>SUM(K12)</x:f>
        <x:v>0.000020265579223632812</x:v>
      </x:c>
      <x:c r="W49" s="31" t="n">
        <x:f>V49/$R$23</x:f>
        <x:v>0.0346797225622195</x:v>
      </x:c>
      <x:c r="X49" s="7" t="str"/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7" t="str">
        <x:v>Shared experts</x:v>
      </x:c>
      <x:c r="R50" s="7" t="n">
        <x:f>CHOOSE($R$22+1,5)</x:f>
        <x:v>5</x:v>
      </x:c>
      <x:c r="S50" s="7" t="n">
        <x:f>1</x:f>
        <x:v>1</x:v>
      </x:c>
      <x:c r="T50" s="7" t="n">
        <x:f>R50*S50</x:f>
        <x:v>5</x:v>
      </x:c>
      <x:c r="U50" s="28" t="n">
        <x:f>IF(T50=0,0,V50/T50)</x:f>
        <x:v>0.00000762939453125</x:v>
      </x:c>
      <x:c r="V50" s="28" t="n">
        <x:f>SUM(K13)</x:f>
        <x:v>0.00003814697265625</x:v>
      </x:c>
      <x:c r="W50" s="31" t="n">
        <x:f>V50/$R$23</x:f>
        <x:v>0.06527947776417789</x:v>
      </x:c>
      <x:c r="X50" s="7" t="str">
        <x:v>1 experts 融合单元</x:v>
      </x:c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7" t="str">
        <x:v>ViT blocks</x:v>
      </x:c>
      <x:c r="R51" s="7" t="n">
        <x:f>CHOOSE($R$22+1,2)</x:f>
        <x:v>2</x:v>
      </x:c>
      <x:c r="S51" s="7" t="n">
        <x:f>1</x:f>
        <x:v>1</x:v>
      </x:c>
      <x:c r="T51" s="7" t="n">
        <x:f>R51*S51</x:f>
        <x:v>2</x:v>
      </x:c>
      <x:c r="U51" s="28" t="n">
        <x:f>IF(T51=0,0,V51/T51)</x:f>
        <x:v>9.5367431640625e-7</x:v>
      </x:c>
      <x:c r="V51" s="28" t="n">
        <x:f>SUM(K15)</x:f>
        <x:v>0.0000019073486328125</x:v>
      </x:c>
      <x:c r="W51" s="31" t="n">
        <x:f>V51/$R$23</x:f>
        <x:v>0.0032639738882088943</x:v>
      </x:c>
      <x:c r="X51" s="7" t="str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7" t="str">
        <x:v>ViT patch / final / MM</x:v>
      </x:c>
      <x:c r="R52" s="7" t="n">
        <x:f>CHOOSE($R$22+1,1)</x:f>
        <x:v>1</x:v>
      </x:c>
      <x:c r="S52" s="7" t="n">
        <x:f>1</x:f>
        <x:v>1</x:v>
      </x:c>
      <x:c r="T52" s="7" t="n">
        <x:f>R52*S52</x:f>
        <x:v>1</x:v>
      </x:c>
      <x:c r="U52" s="28" t="n">
        <x:f>IF(T52=0,0,V52/T52)</x:f>
        <x:v>0.000001430511474609375</x:v>
      </x:c>
      <x:c r="V52" s="28" t="n">
        <x:f>SUM(K14)</x:f>
        <x:v>0.000001430511474609375</x:v>
      </x:c>
      <x:c r="W52" s="31" t="n">
        <x:f>V52/$R$23</x:f>
        <x:v>0.0024479804161566705</x:v>
      </x:c>
      <x:c r="X52" s="7" t="str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6" t="str">
        <x:v>合计</x:v>
      </x:c>
      <x:c r="R53" s="26"/>
      <x:c r="S53" s="26"/>
      <x:c r="T53" s="26"/>
      <x:c r="U53" s="29"/>
      <x:c r="V53" s="29" t="n">
        <x:f>SUM(V40:V52)</x:f>
        <x:v>0.0005843639373779297</x:v>
      </x:c>
      <x:c r="W53" s="26"/>
      <x:c r="X53" s="26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 t="str">
        <x:v>Attention o_proj full gather</x:v>
      </x:c>
      <x:c r="R57" s="32" t="n">
        <x:f>0</x:f>
        <x:v>0</x:v>
      </x:c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 t="str">
        <x:v>Attention o_proj transpose shard</x:v>
      </x:c>
      <x:c r="R58" s="32" t="n">
        <x:f>0</x:f>
        <x:v>0</x:v>
      </x:c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257</x:v>
      </x:c>
      <x:c r="R63" s="33" t="n">
        <x:f>ROUNDUP(Q63/($R$19*$R$12),0)*$R$19</x:f>
        <x:v>96</x:v>
      </x:c>
      <x:c r="S63" s="27" t="n">
        <x:f>R63*$T$3*$V$32/1073741824</x:f>
        <x:v>0.000012159347534179688</x:v>
      </x:c>
      <x:c r="T63" s="27" t="n">
        <x:f>R63*$T$3*$V$33/1073741824</x:f>
        <x:v>0.0000057220458984375</x:v>
      </x:c>
      <x:c r="U63" s="27" t="n">
        <x:f>R63*$R$12*$T$3*$V$35/1073741824</x:f>
        <x:v>0.000024318695068359375</x:v>
      </x:c>
      <x:c r="V63" s="27" t="n">
        <x:f>$T$2*($T$4/$R$2)*$T$5*$T$5*$R$17/1073741824</x:f>
        <x:v>0.00000762939453125</x:v>
      </x:c>
      <x:c r="W63" s="27" t="n">
        <x:f>$T$2*3*($T$4/$R$2)*$T$5*($T$14-1+$R$20)*$R$16/1073741824</x:f>
        <x:v>0.0000021457672119140625</x:v>
      </x:c>
      <x:c r="X63" s="27" t="n">
        <x:f>IF($R$30=1,SUM(S63:W63),NA())</x:f>
        <x:v>0.000051975250244140625</x:v>
      </x:c>
      <x:c r="Y63" s="27" t="n">
        <x:f>$R$23+X63</x:f>
        <x:v>0.0006363391876220703</x:v>
      </x:c>
      <x:c r="Z63" s="2"/>
      <x:c r="AA63" s="2"/>
      <x:c r="AB63" s="2"/>
      <x:c r="AC63" s="2"/>
      <x:c r="AD63" s="2"/>
      <x:c r="AE63" s="2"/>
      <x:c r="AF63" s="2"/>
      <x:c r="AG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16</x:v>
      </x:c>
      <x:c r="R64" s="34" t="n">
        <x:f>ROUNDUP(Q64/($R$19*$R$12),0)*$R$19</x:f>
        <x:v>32</x:v>
      </x:c>
      <x:c r="S64" s="28" t="n">
        <x:f>R64*$T$3*$V$32/1073741824</x:f>
        <x:v>0.0000040531158447265625</x:v>
      </x:c>
      <x:c r="T64" s="28" t="n">
        <x:f>R64*$T$3*$V$33/1073741824</x:f>
        <x:v>0.0000019073486328125</x:v>
      </x:c>
      <x:c r="U64" s="28" t="n">
        <x:f>R64*$R$12*$T$3*$V$35/1073741824</x:f>
        <x:v>0.000008106231689453125</x:v>
      </x:c>
      <x:c r="V64" s="28" t="n">
        <x:f>$T$2*($T$4/$R$2)*$T$5*$T$5*$R$17/1073741824</x:f>
        <x:v>0.00000762939453125</x:v>
      </x:c>
      <x:c r="W64" s="28" t="n">
        <x:f>$T$2*3*($T$4/$R$2)*$T$5*($T$14-1+$R$20)*$R$16/1073741824</x:f>
        <x:v>0.0000021457672119140625</x:v>
      </x:c>
      <x:c r="X64" s="28" t="n">
        <x:f>IF($R$30=1,SUM(S64:W64),NA())</x:f>
        <x:v>0.00002384185791015625</x:v>
      </x:c>
      <x:c r="Y64" s="28" t="n">
        <x:f>$R$23+X64</x:f>
        <x:v>0.0006082057952880859</x:v>
      </x:c>
      <x:c r="Z64" s="2"/>
      <x:c r="AA64" s="2"/>
      <x:c r="AB64" s="2"/>
      <x:c r="AC64" s="2"/>
      <x:c r="AD64" s="2"/>
      <x:c r="AE64" s="2"/>
      <x:c r="AF64" s="2"/>
      <x:c r="AG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32</x:v>
      </x:c>
      <x:c r="R65" s="34" t="n">
        <x:f>ROUNDUP(Q65/($R$19*$R$12),0)*$R$19</x:f>
        <x:v>32</x:v>
      </x:c>
      <x:c r="S65" s="28" t="n">
        <x:f>R65*$T$3*$V$32/1073741824</x:f>
        <x:v>0.0000040531158447265625</x:v>
      </x:c>
      <x:c r="T65" s="28" t="n">
        <x:f>R65*$T$3*$V$33/1073741824</x:f>
        <x:v>0.0000019073486328125</x:v>
      </x:c>
      <x:c r="U65" s="28" t="n">
        <x:f>R65*$R$12*$T$3*$V$35/1073741824</x:f>
        <x:v>0.000008106231689453125</x:v>
      </x:c>
      <x:c r="V65" s="28" t="n">
        <x:f>$T$2*($T$4/$R$2)*$T$5*$T$5*$R$17/1073741824</x:f>
        <x:v>0.00000762939453125</x:v>
      </x:c>
      <x:c r="W65" s="28" t="n">
        <x:f>$T$2*3*($T$4/$R$2)*$T$5*($T$14-1+$R$20)*$R$16/1073741824</x:f>
        <x:v>0.0000021457672119140625</x:v>
      </x:c>
      <x:c r="X65" s="28" t="n">
        <x:f>IF($R$30=1,SUM(S65:W65),NA())</x:f>
        <x:v>0.00002384185791015625</x:v>
      </x:c>
      <x:c r="Y65" s="28" t="n">
        <x:f>$R$23+X65</x:f>
        <x:v>0.0006082057952880859</x:v>
      </x:c>
      <x:c r="Z65" s="2"/>
      <x:c r="AA65" s="2"/>
      <x:c r="AB65" s="2"/>
      <x:c r="AC65" s="2"/>
      <x:c r="AD65" s="2"/>
      <x:c r="AE65" s="2"/>
      <x:c r="AF65" s="2"/>
      <x:c r="AG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64</x:v>
      </x:c>
      <x:c r="R66" s="34" t="n">
        <x:f>ROUNDUP(Q66/($R$19*$R$12),0)*$R$19</x:f>
        <x:v>32</x:v>
      </x:c>
      <x:c r="S66" s="28" t="n">
        <x:f>R66*$T$3*$V$32/1073741824</x:f>
        <x:v>0.0000040531158447265625</x:v>
      </x:c>
      <x:c r="T66" s="28" t="n">
        <x:f>R66*$T$3*$V$33/1073741824</x:f>
        <x:v>0.0000019073486328125</x:v>
      </x:c>
      <x:c r="U66" s="28" t="n">
        <x:f>R66*$R$12*$T$3*$V$35/1073741824</x:f>
        <x:v>0.000008106231689453125</x:v>
      </x:c>
      <x:c r="V66" s="28" t="n">
        <x:f>$T$2*($T$4/$R$2)*$T$5*$T$5*$R$17/1073741824</x:f>
        <x:v>0.00000762939453125</x:v>
      </x:c>
      <x:c r="W66" s="28" t="n">
        <x:f>$T$2*3*($T$4/$R$2)*$T$5*($T$14-1+$R$20)*$R$16/1073741824</x:f>
        <x:v>0.0000021457672119140625</x:v>
      </x:c>
      <x:c r="X66" s="28" t="n">
        <x:f>IF($R$30=1,SUM(S66:W66),NA())</x:f>
        <x:v>0.00002384185791015625</x:v>
      </x:c>
      <x:c r="Y66" s="28" t="n">
        <x:f>$R$23+X66</x:f>
        <x:v>0.0006082057952880859</x:v>
      </x:c>
      <x:c r="Z66" s="2"/>
      <x:c r="AA66" s="2"/>
      <x:c r="AB66" s="2"/>
      <x:c r="AC66" s="2"/>
      <x:c r="AD66" s="2"/>
      <x:c r="AE66" s="2"/>
      <x:c r="AF66" s="2"/>
      <x:c r="AG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128</x:v>
      </x:c>
      <x:c r="R67" s="34" t="n">
        <x:f>ROUNDUP(Q67/($R$19*$R$12),0)*$R$19</x:f>
        <x:v>32</x:v>
      </x:c>
      <x:c r="S67" s="28" t="n">
        <x:f>R67*$T$3*$V$32/1073741824</x:f>
        <x:v>0.0000040531158447265625</x:v>
      </x:c>
      <x:c r="T67" s="28" t="n">
        <x:f>R67*$T$3*$V$33/1073741824</x:f>
        <x:v>0.0000019073486328125</x:v>
      </x:c>
      <x:c r="U67" s="28" t="n">
        <x:f>R67*$R$12*$T$3*$V$35/1073741824</x:f>
        <x:v>0.000008106231689453125</x:v>
      </x:c>
      <x:c r="V67" s="28" t="n">
        <x:f>$T$2*($T$4/$R$2)*$T$5*$T$5*$R$17/1073741824</x:f>
        <x:v>0.00000762939453125</x:v>
      </x:c>
      <x:c r="W67" s="28" t="n">
        <x:f>$T$2*3*($T$4/$R$2)*$T$5*($T$14-1+$R$20)*$R$16/1073741824</x:f>
        <x:v>0.0000021457672119140625</x:v>
      </x:c>
      <x:c r="X67" s="28" t="n">
        <x:f>IF($R$30=1,SUM(S67:W67),NA())</x:f>
        <x:v>0.00002384185791015625</x:v>
      </x:c>
      <x:c r="Y67" s="28" t="n">
        <x:f>$R$23+X67</x:f>
        <x:v>0.0006082057952880859</x:v>
      </x:c>
      <x:c r="Z67" s="2"/>
      <x:c r="AA67" s="2"/>
      <x:c r="AB67" s="2"/>
      <x:c r="AC67" s="2"/>
      <x:c r="AD67" s="2"/>
      <x:c r="AE67" s="2"/>
      <x:c r="AF67" s="2"/>
      <x:c r="AG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256</x:v>
      </x:c>
      <x:c r="R68" s="34" t="n">
        <x:f>ROUNDUP(Q68/($R$19*$R$12),0)*$R$19</x:f>
        <x:v>64</x:v>
      </x:c>
      <x:c r="S68" s="28" t="n">
        <x:f>R68*$T$3*$V$32/1073741824</x:f>
        <x:v>0.000008106231689453125</x:v>
      </x:c>
      <x:c r="T68" s="28" t="n">
        <x:f>R68*$T$3*$V$33/1073741824</x:f>
        <x:v>0.000003814697265625</x:v>
      </x:c>
      <x:c r="U68" s="28" t="n">
        <x:f>R68*$R$12*$T$3*$V$35/1073741824</x:f>
        <x:v>0.00001621246337890625</x:v>
      </x:c>
      <x:c r="V68" s="28" t="n">
        <x:f>$T$2*($T$4/$R$2)*$T$5*$T$5*$R$17/1073741824</x:f>
        <x:v>0.00000762939453125</x:v>
      </x:c>
      <x:c r="W68" s="28" t="n">
        <x:f>$T$2*3*($T$4/$R$2)*$T$5*($T$14-1+$R$20)*$R$16/1073741824</x:f>
        <x:v>0.0000021457672119140625</x:v>
      </x:c>
      <x:c r="X68" s="28" t="n">
        <x:f>IF($R$30=1,SUM(S68:W68),NA())</x:f>
        <x:v>0.00003790855407714844</x:v>
      </x:c>
      <x:c r="Y68" s="28" t="n">
        <x:f>$R$23+X68</x:f>
        <x:v>0.0006222724914550781</x:v>
      </x:c>
      <x:c r="Z68" s="2"/>
      <x:c r="AA68" s="2"/>
      <x:c r="AB68" s="2"/>
      <x:c r="AC68" s="2"/>
      <x:c r="AD68" s="2"/>
      <x:c r="AE68" s="2"/>
      <x:c r="AF68" s="2"/>
      <x:c r="AG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512</x:v>
      </x:c>
      <x:c r="R69" s="34" t="n">
        <x:f>ROUNDUP(Q69/($R$19*$R$12),0)*$R$19</x:f>
        <x:v>128</x:v>
      </x:c>
      <x:c r="S69" s="28" t="n">
        <x:f>R69*$T$3*$V$32/1073741824</x:f>
        <x:v>0.00001621246337890625</x:v>
      </x:c>
      <x:c r="T69" s="28" t="n">
        <x:f>R69*$T$3*$V$33/1073741824</x:f>
        <x:v>0.00000762939453125</x:v>
      </x:c>
      <x:c r="U69" s="28" t="n">
        <x:f>R69*$R$12*$T$3*$V$35/1073741824</x:f>
        <x:v>0.0000324249267578125</x:v>
      </x:c>
      <x:c r="V69" s="28" t="n">
        <x:f>$T$2*($T$4/$R$2)*$T$5*$T$5*$R$17/1073741824</x:f>
        <x:v>0.00000762939453125</x:v>
      </x:c>
      <x:c r="W69" s="28" t="n">
        <x:f>$T$2*3*($T$4/$R$2)*$T$5*($T$14-1+$R$20)*$R$16/1073741824</x:f>
        <x:v>0.0000021457672119140625</x:v>
      </x:c>
      <x:c r="X69" s="28" t="n">
        <x:f>IF($R$30=1,SUM(S69:W69),NA())</x:f>
        <x:v>0.00006604194641113281</x:v>
      </x:c>
      <x:c r="Y69" s="28" t="n">
        <x:f>$R$23+X69</x:f>
        <x:v>0.0006504058837890625</x:v>
      </x:c>
      <x:c r="Z69" s="2"/>
      <x:c r="AA69" s="2"/>
      <x:c r="AB69" s="2"/>
      <x:c r="AC69" s="2"/>
      <x:c r="AD69" s="2"/>
      <x:c r="AE69" s="2"/>
      <x:c r="AF69" s="2"/>
      <x:c r="AG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1024</x:v>
      </x:c>
      <x:c r="R70" s="34" t="n">
        <x:f>ROUNDUP(Q70/($R$19*$R$12),0)*$R$19</x:f>
        <x:v>256</x:v>
      </x:c>
      <x:c r="S70" s="28" t="n">
        <x:f>R70*$T$3*$V$32/1073741824</x:f>
        <x:v>0.0000324249267578125</x:v>
      </x:c>
      <x:c r="T70" s="28" t="n">
        <x:f>R70*$T$3*$V$33/1073741824</x:f>
        <x:v>0.0000152587890625</x:v>
      </x:c>
      <x:c r="U70" s="28" t="n">
        <x:f>R70*$R$12*$T$3*$V$35/1073741824</x:f>
        <x:v>0.000064849853515625</x:v>
      </x:c>
      <x:c r="V70" s="28" t="n">
        <x:f>$T$2*($T$4/$R$2)*$T$5*$T$5*$R$17/1073741824</x:f>
        <x:v>0.00000762939453125</x:v>
      </x:c>
      <x:c r="W70" s="28" t="n">
        <x:f>$T$2*3*($T$4/$R$2)*$T$5*($T$14-1+$R$20)*$R$16/1073741824</x:f>
        <x:v>0.0000021457672119140625</x:v>
      </x:c>
      <x:c r="X70" s="28" t="n">
        <x:f>IF($R$30=1,SUM(S70:W70),NA())</x:f>
        <x:v>0.00012230873107910156</x:v>
      </x:c>
      <x:c r="Y70" s="28" t="n">
        <x:f>$R$23+X70</x:f>
        <x:v>0.0007066726684570312</x:v>
      </x:c>
      <x:c r="Z70" s="2"/>
      <x:c r="AA70" s="2"/>
      <x:c r="AB70" s="2"/>
      <x:c r="AC70" s="2"/>
      <x:c r="AD70" s="2"/>
      <x:c r="AE70" s="2"/>
      <x:c r="AF70" s="2"/>
      <x:c r="AG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2048</x:v>
      </x:c>
      <x:c r="R71" s="34" t="n">
        <x:f>ROUNDUP(Q71/($R$19*$R$12),0)*$R$19</x:f>
        <x:v>512</x:v>
      </x:c>
      <x:c r="S71" s="28" t="n">
        <x:f>R71*$T$3*$V$32/1073741824</x:f>
        <x:v>0.000064849853515625</x:v>
      </x:c>
      <x:c r="T71" s="28" t="n">
        <x:f>R71*$T$3*$V$33/1073741824</x:f>
        <x:v>0.000030517578125</x:v>
      </x:c>
      <x:c r="U71" s="28" t="n">
        <x:f>R71*$R$12*$T$3*$V$35/1073741824</x:f>
        <x:v>0.00012969970703125</x:v>
      </x:c>
      <x:c r="V71" s="28" t="n">
        <x:f>$T$2*($T$4/$R$2)*$T$5*$T$5*$R$17/1073741824</x:f>
        <x:v>0.00000762939453125</x:v>
      </x:c>
      <x:c r="W71" s="28" t="n">
        <x:f>$T$2*3*($T$4/$R$2)*$T$5*($T$14-1+$R$20)*$R$16/1073741824</x:f>
        <x:v>0.0000021457672119140625</x:v>
      </x:c>
      <x:c r="X71" s="28" t="n">
        <x:f>IF($R$30=1,SUM(S71:W71),NA())</x:f>
        <x:v>0.00023484230041503906</x:v>
      </x:c>
      <x:c r="Y71" s="28" t="n">
        <x:f>$R$23+X71</x:f>
        <x:v>0.0008192062377929688</x:v>
      </x:c>
      <x:c r="Z71" s="2"/>
      <x:c r="AA71" s="2"/>
      <x:c r="AB71" s="2"/>
      <x:c r="AC71" s="2"/>
      <x:c r="AD71" s="2"/>
      <x:c r="AE71" s="2"/>
      <x:c r="AF71" s="2"/>
      <x:c r="AG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4096</x:v>
      </x:c>
      <x:c r="R72" s="35" t="n">
        <x:f>ROUNDUP(Q72/($R$19*$R$12),0)*$R$19</x:f>
        <x:v>1024</x:v>
      </x:c>
      <x:c r="S72" s="36" t="n">
        <x:f>R72*$T$3*$V$32/1073741824</x:f>
        <x:v>0.00012969970703125</x:v>
      </x:c>
      <x:c r="T72" s="36" t="n">
        <x:f>R72*$T$3*$V$33/1073741824</x:f>
        <x:v>0.00006103515625</x:v>
      </x:c>
      <x:c r="U72" s="36" t="n">
        <x:f>R72*$R$12*$T$3*$V$35/1073741824</x:f>
        <x:v>0.0002593994140625</x:v>
      </x:c>
      <x:c r="V72" s="36" t="n">
        <x:f>$T$2*($T$4/$R$2)*$T$5*$T$5*$R$17/1073741824</x:f>
        <x:v>0.00000762939453125</x:v>
      </x:c>
      <x:c r="W72" s="36" t="n">
        <x:f>$T$2*3*($T$4/$R$2)*$T$5*($T$14-1+$R$20)*$R$16/1073741824</x:f>
        <x:v>0.0000021457672119140625</x:v>
      </x:c>
      <x:c r="X72" s="36" t="n">
        <x:f>IF($R$30=1,SUM(S72:W72),NA())</x:f>
        <x:v>0.00045990943908691406</x:v>
      </x:c>
      <x:c r="Y72" s="36" t="n">
        <x:f>$R$23+X72</x:f>
        <x:v>0.0010442733764648438</x:v>
      </x:c>
      <x:c r="Z72" s="2"/>
      <x:c r="AA72" s="2"/>
      <x:c r="AB72" s="2"/>
      <x:c r="AC72" s="2"/>
      <x:c r="AD72" s="2"/>
      <x:c r="AE72" s="2"/>
      <x:c r="AF72" s="2"/>
      <x:c r="AG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32, 1, 100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DCP 组内按卡复制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MLA 按 DCP 切 token，Indexer 按卡复制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IF(R14="BF16","无",IF(R14="INT8","FP16 / token","FP32 / token"))</x:f>
        <x:v>FP16 / token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INT8 / Indexer INT8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 t="n">
        <x:v>0</x:v>
      </x:c>
      <x:c r="R87" s="2" t="str">
        <x:v>1-6</x:v>
      </x:c>
      <x:c r="S87" s="2" t="n">
        <x:v>6</x:v>
      </x:c>
      <x:c r="T87" s="2" t="n">
        <x:v>4</x:v>
      </x:c>
      <x:c r="U87" s="2" t="n">
        <x:v>2</x:v>
      </x:c>
      <x:c r="V87" s="2" t="n">
        <x:v>5</x:v>
      </x:c>
      <x:c r="W87" s="32" t="n">
        <x:f>SUM(AA2:AA15)</x:f>
        <x:v>0.0005843639373779297</x:v>
      </x:c>
      <x:c r="X87" s="32" t="n">
        <x:f>IF($R$30=1,ROUNDUP($R$18/($R$19*$R$12),0)*$R$19*U87*($V$34+$R$12*$V$35)/1073741824+T87*($T$4/$R$2)*$T$5*$T$5*$R$17/1073741824+T87*3*($T$4/$R$2)*$T$5*($T$14-1+$R$20)*$R$16/1073741824,NA())</x:f>
        <x:v>0.000051975250244140625</x:v>
      </x:c>
      <x:c r="Y87" s="32" t="n">
        <x:f>W87+X87+AC87</x:f>
        <x:v>0.0006363391876220703</x:v>
      </x:c>
      <x:c r="Z87" s="2" t="n">
        <x:v>1</x:v>
      </x:c>
      <x:c r="AA87" s="2" t="n">
        <x:v>1</x:v>
      </x:c>
      <x:c r="AB87" s="2" t="n">
        <x:v>1</x:v>
      </x:c>
      <x:c r="AC87" s="32" t="n">
        <x:f>0</x:f>
        <x:v>0</x:v>
      </x:c>
      <x:c r="AD87" s="2"/>
      <x:c r="AE87" s="2"/>
      <x:c r="AF87" s="2"/>
      <x:c r="AG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32"/>
      <x:c r="X88" s="32"/>
      <x:c r="Y88" s="32"/>
      <x:c r="Z88" s="2"/>
      <x:c r="AA88" s="2"/>
      <x:c r="AB88" s="2"/>
      <x:c r="AC88" s="32"/>
      <x:c r="AD88" s="2"/>
      <x:c r="AE88" s="2"/>
      <x:c r="AF88" s="2"/>
      <x:c r="AG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MAX(W87:W87)</x:f>
        <x:v>0.0005843639373779297</x:v>
      </x:c>
      <x:c r="X92" s="37" t="n">
        <x:f>MAX(X87:X87)</x:f>
        <x:v>0.000051975250244140625</x:v>
      </x:c>
      <x:c r="Y92" s="37" t="n">
        <x:f>MAX(Y87:Y87)</x:f>
        <x:v>0.0006363391876220703</x:v>
      </x:c>
      <x:c r="Z92" s="5"/>
      <x:c r="AA92" s="5"/>
      <x:c r="AB92" s="5"/>
      <x:c r="AC92" s="37" t="n">
        <x:f>MAX(AC87:AC87)</x:f>
        <x:v>0</x:v>
      </x:c>
      <x:c r="AD92" s="2"/>
      <x:c r="AE92" s="2"/>
      <x:c r="AF92" s="2"/>
      <x:c r="AG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</x:row>
  </x:sheetData>
  <x:mergeCells>
    <x:mergeCell ref="U1:V2"/>
  </x:mergeCells>
  <x:conditionalFormatting sqref="R30:R30">
    <x:cfRule type="cellIs" dxfId="1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4096</x:formula2>
    </x:dataValidation>
    <x:dataValidation type="whole" operator="between" sqref="R19">
      <x:formula1>1</x:formula1>
      <x:formula2>4096</x:formula2>
    </x:dataValidation>
    <x:dataValidation type="whole" operator="between" sqref="R20">
      <x:formula1>0</x:formula1>
      <x:formula2>64</x:formula2>
    </x:dataValidation>
    <x:dataValidation type="list" sqref="R22">
      <x:formula1>"0"</x:formula1>
    </x:dataValidation>
    <x:dataValidation type="list" sqref="R13">
      <x:formula1>"BF16,INT8,FP8"</x:formula1>
    </x:dataValidation>
    <x:dataValidation type="list" sqref="R14">
      <x:formula1>"BF16,INT8,FP8"</x:formula1>
    </x:dataValidation>
    <x:dataValidation type="list" sqref="D2:D15">
      <x:formula1>"BF16,FP32,FP8,MXFP4,MXFP8,INT4,INT8"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PP1 单卡 GiB</x:v>
      </x:c>
      <x:c r="AC1" s="5" t="str">
        <x:v>本卡主权重 bytes</x:v>
      </x:c>
      <x:c r="AD1" s="5" t="str">
        <x:v>本卡 scale bytes</x:v>
      </x:c>
      <x:c r="AE1" s="5" t="str">
        <x:v>本卡附加 bytes</x:v>
      </x:c>
      <x:c r="AF1" s="5" t="str">
        <x:v>全局主权重 bytes</x:v>
      </x:c>
      <x:c r="AG1" s="5" t="str">
        <x:v>全局 scale bytes</x:v>
      </x:c>
      <x:c r="AH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[1024,256]</x:v>
      </x:c>
      <x:c r="D2" s="49" t="str">
        <x:v>BF16</x:v>
      </x:c>
      <x:c r="E2" s="50" t="n">
        <x:v>1</x:v>
      </x:c>
      <x:c r="F2" s="50" t="n">
        <x:f>(1024)*(256)</x:f>
        <x:v>262144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E2*SUM(AF2:AH2)/1073741824</x:f>
        <x:v>0.00048828125</x:v>
      </x:c>
      <x:c r="K2" s="51" t="n">
        <x:f>INDEX(AA2:AB2,1,$R$22+1)</x:f>
        <x:v>0.0001220703125</x:v>
      </x:c>
      <x:c r="L2" s="48" t="str">
        <x:f>IF(OR(D2="MXFP4",D2="MXFP8"),"group 32 / E8M0",IF(D2="INT8","channel / 8 B",IF(D2="INT4","channel / 16 B","")))</x:f>
      </x:c>
      <x:c r="M2" s="52" t="n">
        <x:f>$R$7</x:f>
        <x:v>4</x:v>
      </x:c>
      <x:c r="N2" s="48" t="str">
        <x:f>"["&amp;(1024/M2)&amp;","&amp;(256)&amp;"]"</x:f>
        <x:v>[256,256]</x:v>
      </x:c>
      <x:c r="O2" s="50" t="n">
        <x:f>CHOOSE($R$22+1,1,0)</x:f>
        <x:v>1</x:v>
      </x:c>
      <x:c r="P2" s="2"/>
      <x:c r="Q2" s="6" t="str">
        <x:v>KDA 主体 TP</x:v>
      </x:c>
      <x:c r="R2" s="13" t="n">
        <x:v>4</x:v>
      </x:c>
      <x:c r="S2" s="6" t="str">
        <x:v>本 stage KDA 层数</x:v>
      </x:c>
      <x:c r="T2" s="6" t="n">
        <x:f>CHOOSE(R22+1,2,2)</x:f>
        <x:v>2</x:v>
      </x:c>
      <x:c r="U2" s="19"/>
      <x:c r="V2" s="19"/>
      <x:c r="W2" s="2"/>
      <x:c r="X2" s="2"/>
      <x:c r="Y2" s="2"/>
      <x:c r="Z2" s="2"/>
      <x:c r="AA2" s="38" t="n">
        <x:f>IF($R$30=1,SUM(AC2:AE2)*(1)/1073741824,NA())</x:f>
        <x:v>0.0001220703125</x:v>
      </x:c>
      <x:c r="AB2" s="38" t="n">
        <x:f>IF($R$30=1,SUM(AC2:AE2)*(0)/1073741824,NA())</x:f>
        <x:v>0</x:v>
      </x:c>
      <x:c r="AC2" s="39" t="n">
        <x:f>(1024/M2)*ROUNDUP((256)*VLOOKUP(D2,$Q$32:$R$38,2,FALSE),0)</x:f>
        <x:v>131072</x:v>
      </x:c>
      <x:c r="AD2" s="39" t="n">
        <x:f>IF(OR(D2="MXFP4",D2="MXFP8"),(1024/M2)*ROUNDUP((256)/32,0),0)</x:f>
        <x:v>0</x:v>
      </x:c>
      <x:c r="AE2" s="39" t="n">
        <x:f>IF(D2="INT8",(1024/M2)*8,IF(D2="INT4",(1024/M2)*16,0))</x:f>
        <x:v>0</x:v>
      </x:c>
      <x:c r="AF2" s="39" t="n">
        <x:f>(1024)*ROUNDUP((256)*VLOOKUP(D2,$Q$32:$R$38,2,FALSE),0)</x:f>
        <x:v>524288</x:v>
      </x:c>
      <x:c r="AG2" s="39" t="n">
        <x:f>IF(OR(D2="MXFP4",D2="MXFP8"),(1024)*ROUNDUP((256)/32,0),0)</x:f>
        <x:v>0</x:v>
      </x:c>
      <x:c r="AH2" s="39" t="n">
        <x:f>IF(D2="INT8",(1024)*8,IF(D2="INT4",(1024)*16,0))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[1024,256]</x:v>
      </x:c>
      <x:c r="D3" s="10" t="str">
        <x:v>BF16</x:v>
      </x:c>
      <x:c r="E3" s="34" t="n">
        <x:v>1</x:v>
      </x:c>
      <x:c r="F3" s="34" t="n">
        <x:f>(1024)*(256)</x:f>
        <x:v>262144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E3*SUM(AF3:AH3)/1073741824</x:f>
        <x:v>0.00048828125</x:v>
      </x:c>
      <x:c r="K3" s="44" t="n">
        <x:f>INDEX(AA3:AB3,1,$R$22+1)</x:f>
        <x:v>0</x:v>
      </x:c>
      <x:c r="L3" s="7" t="str">
        <x:f>IF(OR(D3="MXFP4",D3="MXFP8"),"group 32 / E8M0",IF(D3="INT8","channel / 8 B",IF(D3="INT4","channel / 16 B","")))</x:f>
      </x:c>
      <x:c r="M3" s="45" t="n">
        <x:f>$R$6</x:f>
        <x:v>4</x:v>
      </x:c>
      <x:c r="N3" s="7" t="str">
        <x:f>"["&amp;(1024/M3)&amp;","&amp;(256)&amp;"]"</x:f>
        <x:v>[256,256]</x:v>
      </x:c>
      <x:c r="O3" s="34" t="n">
        <x:f>CHOOSE($R$22+1,0,1)</x:f>
        <x:v>0</x:v>
      </x:c>
      <x:c r="P3" s="2"/>
      <x:c r="Q3" s="7" t="str">
        <x:v>KDA o_proj TP</x:v>
      </x:c>
      <x:c r="R3" s="14" t="n">
        <x:f>$R$2*1</x:f>
        <x:v>4</x:v>
      </x:c>
      <x:c r="S3" s="7" t="str">
        <x:v>本 stage Attention 层数</x:v>
      </x:c>
      <x:c r="T3" s="7" t="n">
        <x:f>CHOOSE(R22+1,0,2)</x:f>
        <x:v>0</x:v>
      </x:c>
      <x:c r="U3" s="2"/>
      <x:c r="V3" s="2"/>
      <x:c r="W3" s="2"/>
      <x:c r="X3" s="2"/>
      <x:c r="Y3" s="2"/>
      <x:c r="Z3" s="2"/>
      <x:c r="AA3" s="38" t="n">
        <x:f>IF($R$30=1,SUM(AC3:AE3)*(0)/1073741824,NA())</x:f>
        <x:v>0</x:v>
      </x:c>
      <x:c r="AB3" s="38" t="n">
        <x:f>IF($R$30=1,SUM(AC3:AE3)*(1)/1073741824,NA())</x:f>
        <x:v>0.0001220703125</x:v>
      </x:c>
      <x:c r="AC3" s="39" t="n">
        <x:f>(1024/M3)*ROUNDUP((256)*VLOOKUP(D3,$Q$32:$R$38,2,FALSE),0)</x:f>
        <x:v>131072</x:v>
      </x:c>
      <x:c r="AD3" s="39" t="n">
        <x:f>IF(OR(D3="MXFP4",D3="MXFP8"),(1024/M3)*ROUNDUP((256)/32,0),0)</x:f>
        <x:v>0</x:v>
      </x:c>
      <x:c r="AE3" s="39" t="n">
        <x:f>IF(D3="INT8",(1024/M3)*8,IF(D3="INT4",(1024/M3)*16,0))</x:f>
        <x:v>0</x:v>
      </x:c>
      <x:c r="AF3" s="39" t="n">
        <x:f>(1024)*ROUNDUP((256)*VLOOKUP(D3,$Q$32:$R$38,2,FALSE),0)</x:f>
        <x:v>524288</x:v>
      </x:c>
      <x:c r="AG3" s="39" t="n">
        <x:f>IF(OR(D3="MXFP4",D3="MXFP8"),(1024)*ROUNDUP((256)/32,0),0)</x:f>
        <x:v>0</x:v>
      </x:c>
      <x:c r="AH3" s="39" t="n">
        <x:f>IF(D3="INT8",(1024)*8,IF(D3="INT4",(1024)*16,0))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[256]</x:v>
      </x:c>
      <x:c r="D4" s="49" t="str">
        <x:v>BF16</x:v>
      </x:c>
      <x:c r="E4" s="50" t="n">
        <x:v>6</x:v>
      </x:c>
      <x:c r="F4" s="50" t="n">
        <x:f>(256)</x:f>
        <x:v>256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E4*SUM(AF4:AH4)/1073741824</x:f>
        <x:v>0.00000286102294921875</x:v>
      </x:c>
      <x:c r="K4" s="51" t="n">
        <x:f>INDEX(AA4:AB4,1,$R$22+1)</x:f>
        <x:v>9.5367431640625e-7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"["&amp;(256/M4)&amp;"]"</x:f>
        <x:v>[256]</x:v>
      </x:c>
      <x:c r="O4" s="50" t="n">
        <x:f>CHOOSE($R$22+1,2,4)</x:f>
        <x:v>2</x:v>
      </x:c>
      <x:c r="P4" s="2"/>
      <x:c r="Q4" s="7" t="str">
        <x:v>Attention 主体 TP</x:v>
      </x:c>
      <x:c r="R4" s="14" t="n">
        <x:f>IF(R11&gt;1,1,R2)</x:f>
        <x:v>1</x:v>
      </x:c>
      <x:c r="S4" s="7" t="str">
        <x:v>KDA heads</x:v>
      </x:c>
      <x:c r="T4" s="7" t="n">
        <x:v>8</x:v>
      </x:c>
      <x:c r="U4" s="2"/>
      <x:c r="V4" s="2"/>
      <x:c r="W4" s="2"/>
      <x:c r="X4" s="2"/>
      <x:c r="Y4" s="2"/>
      <x:c r="Z4" s="2"/>
      <x:c r="AA4" s="38" t="n">
        <x:f>IF($R$30=1,SUM(AC4:AE4)*(2)/1073741824,NA())</x:f>
        <x:v>9.5367431640625e-7</x:v>
      </x:c>
      <x:c r="AB4" s="38" t="n">
        <x:f>IF($R$30=1,SUM(AC4:AE4)*(4)/1073741824,NA())</x:f>
        <x:v>0.0000019073486328125</x:v>
      </x:c>
      <x:c r="AC4" s="39" t="n">
        <x:f>1*ROUNDUP((256/M4)*VLOOKUP(D4,$Q$32:$R$38,2,FALSE),0)</x:f>
        <x:v>512</x:v>
      </x:c>
      <x:c r="AD4" s="39" t="n">
        <x:f>IF(OR(D4="MXFP4",D4="MXFP8"),1*ROUNDUP((256/M4)/32,0),0)</x:f>
        <x:v>0</x:v>
      </x:c>
      <x:c r="AE4" s="39" t="n">
        <x:f>IF(D4="INT8",(256/M4)*8,IF(D4="INT4",(256/M4)*16,0))</x:f>
        <x:v>0</x:v>
      </x:c>
      <x:c r="AF4" s="39" t="n">
        <x:f>1*ROUNDUP((256)*VLOOKUP(D4,$Q$32:$R$38,2,FALSE),0)</x:f>
        <x:v>512</x:v>
      </x:c>
      <x:c r="AG4" s="39" t="n">
        <x:f>IF(OR(D4="MXFP4",D4="MXFP8"),1*ROUNDUP((256)/32,0),0)</x:f>
        <x:v>0</x:v>
      </x:c>
      <x:c r="AH4" s="39" t="n">
        <x:f>IF(D4="INT8",(256)*8,IF(D4="INT4",(256)*16,0))</x:f>
        <x:v>0</x:v>
      </x:c>
    </x:row>
    <x:row r="5" ht="18" customHeight="1">
      <x:c r="A5" s="48" t="str">
        <x:v>Dense MLP</x:v>
      </x:c>
      <x:c r="B5" s="48" t="str">
        <x:v>gate_proj.weight</x:v>
      </x:c>
      <x:c r="C5" s="48" t="str">
        <x:v>[512,256]</x:v>
      </x:c>
      <x:c r="D5" s="49" t="str">
        <x:v>MXFP8</x:v>
      </x:c>
      <x:c r="E5" s="50" t="n">
        <x:v>1</x:v>
      </x:c>
      <x:c r="F5" s="50" t="n">
        <x:f>(512)*(256)</x:f>
        <x:v>131072</x:v>
      </x:c>
      <x:c r="G5" s="48" t="str">
        <x:v>Other TP</x:v>
      </x:c>
      <x:c r="H5" s="48" t="str">
        <x:v>None</x:v>
      </x:c>
      <x:c r="I5" s="48" t="str">
        <x:v>否</x:v>
      </x:c>
      <x:c r="J5" s="51" t="n">
        <x:f>E5*SUM(AF5:AH5)/1073741824</x:f>
        <x:v>0.000125885009765625</x:v>
      </x:c>
      <x:c r="K5" s="51" t="n">
        <x:f>INDEX(AA5:AB5,1,$R$22+1)</x:f>
        <x:v>0.00003147125244140625</x:v>
      </x:c>
      <x:c r="L5" s="48" t="str">
        <x:f>IF(OR(D5="MXFP4",D5="MXFP8"),"group 32 / E8M0",IF(D5="INT8","channel / 8 B",IF(D5="INT4","channel / 16 B","")))</x:f>
        <x:v>group 32 / E8M0</x:v>
      </x:c>
      <x:c r="M5" s="52" t="n">
        <x:f>$R$8</x:f>
        <x:v>4</x:v>
      </x:c>
      <x:c r="N5" s="48" t="str">
        <x:f>"["&amp;(512/M5)&amp;","&amp;(256)&amp;"]"</x:f>
        <x:v>[128,256]</x:v>
      </x:c>
      <x:c r="O5" s="50" t="n">
        <x:f>CHOOSE($R$22+1,1,0)</x:f>
        <x:v>1</x:v>
      </x:c>
      <x:c r="P5" s="2"/>
      <x:c r="Q5" s="7" t="str">
        <x:v>Attention o_proj TP</x:v>
      </x:c>
      <x:c r="R5" s="14" t="n">
        <x:f>$R$2*1</x:f>
        <x:v>4</x:v>
      </x:c>
      <x:c r="S5" s="7" t="str">
        <x:v>KDA head dim</x:v>
      </x:c>
      <x:c r="T5" s="7" t="n">
        <x:v>16</x:v>
      </x:c>
      <x:c r="U5" s="2"/>
      <x:c r="V5" s="2"/>
      <x:c r="W5" s="2"/>
      <x:c r="X5" s="2"/>
      <x:c r="Y5" s="2"/>
      <x:c r="Z5" s="2"/>
      <x:c r="AA5" s="38" t="n">
        <x:f>IF($R$30=1,SUM(AC5:AE5)*(1)/1073741824,NA())</x:f>
        <x:v>0.00003147125244140625</x:v>
      </x:c>
      <x:c r="AB5" s="38" t="n">
        <x:f>IF($R$30=1,SUM(AC5:AE5)*(0)/1073741824,NA())</x:f>
        <x:v>0</x:v>
      </x:c>
      <x:c r="AC5" s="39" t="n">
        <x:f>(512/M5)*ROUNDUP((256)*VLOOKUP(D5,$Q$32:$R$38,2,FALSE),0)</x:f>
        <x:v>32768</x:v>
      </x:c>
      <x:c r="AD5" s="39" t="n">
        <x:f>IF(OR(D5="MXFP4",D5="MXFP8"),(512/M5)*ROUNDUP((256)/32,0),0)</x:f>
        <x:v>1024</x:v>
      </x:c>
      <x:c r="AE5" s="39" t="n">
        <x:f>IF(D5="INT8",(512/M5)*8,IF(D5="INT4",(512/M5)*16,0))</x:f>
        <x:v>0</x:v>
      </x:c>
      <x:c r="AF5" s="39" t="n">
        <x:f>(512)*ROUNDUP((256)*VLOOKUP(D5,$Q$32:$R$38,2,FALSE),0)</x:f>
        <x:v>131072</x:v>
      </x:c>
      <x:c r="AG5" s="39" t="n">
        <x:f>IF(OR(D5="MXFP4",D5="MXFP8"),(512)*ROUNDUP((256)/32,0),0)</x:f>
        <x:v>4096</x:v>
      </x:c>
      <x:c r="AH5" s="39" t="n">
        <x:f>IF(D5="INT8",(512)*8,IF(D5="INT4",(512)*16,0))</x:f>
        <x:v>0</x:v>
      </x:c>
    </x:row>
    <x:row r="6" ht="18" customHeight="1">
      <x:c r="A6" s="48" t="str">
        <x:v>KDA</x:v>
      </x:c>
      <x:c r="B6" s="48" t="str">
        <x:v>q_proj</x:v>
      </x:c>
      <x:c r="C6" s="48" t="str">
        <x:v>[128,256]</x:v>
      </x:c>
      <x:c r="D6" s="49" t="str">
        <x:v>MXFP8</x:v>
      </x:c>
      <x:c r="E6" s="50" t="n">
        <x:v>4</x:v>
      </x:c>
      <x:c r="F6" s="50" t="n">
        <x:f>(128)*(256)</x:f>
        <x:v>32768</x:v>
      </x:c>
      <x:c r="G6" s="48" t="str">
        <x:v>KDA TP</x:v>
      </x:c>
      <x:c r="H6" s="48" t="str">
        <x:v>None</x:v>
      </x:c>
      <x:c r="I6" s="48" t="str">
        <x:v>否</x:v>
      </x:c>
      <x:c r="J6" s="51" t="n">
        <x:f>E6*SUM(AF6:AH6)/1073741824</x:f>
        <x:v>0.000125885009765625</x:v>
      </x:c>
      <x:c r="K6" s="51" t="n">
        <x:f>INDEX(AA6:AB6,1,$R$22+1)</x:f>
        <x:v>0.000015735626220703125</x:v>
      </x:c>
      <x:c r="L6" s="48" t="str">
        <x:f>IF(OR(D6="MXFP4",D6="MXFP8"),"group 32 / E8M0",IF(D6="INT8","channel / 8 B",IF(D6="INT4","channel / 16 B","")))</x:f>
        <x:v>group 32 / E8M0</x:v>
      </x:c>
      <x:c r="M6" s="52" t="n">
        <x:f>$R$2</x:f>
        <x:v>4</x:v>
      </x:c>
      <x:c r="N6" s="48" t="str">
        <x:f>"["&amp;(128/M6)&amp;","&amp;(256)&amp;"]"</x:f>
        <x:v>[32,256]</x:v>
      </x:c>
      <x:c r="O6" s="50" t="n">
        <x:f>CHOOSE($R$22+1,2,2)</x:f>
        <x:v>2</x:v>
      </x:c>
      <x:c r="P6" s="2"/>
      <x:c r="Q6" s="7" t="str">
        <x:v>lm_head TP</x:v>
      </x:c>
      <x:c r="R6" s="14" t="n">
        <x:f>$R$2*1</x:f>
        <x:v>4</x:v>
      </x:c>
      <x:c r="S6" s="7" t="str">
        <x:v>Attention heads</x:v>
      </x:c>
      <x:c r="T6" s="7" t="n">
        <x:v>8</x:v>
      </x:c>
      <x:c r="U6" s="2"/>
      <x:c r="V6" s="2"/>
      <x:c r="W6" s="2"/>
      <x:c r="X6" s="2"/>
      <x:c r="Y6" s="2"/>
      <x:c r="Z6" s="2"/>
      <x:c r="AA6" s="38" t="n">
        <x:f>IF($R$30=1,SUM(AC6:AE6)*(2)/1073741824,NA())</x:f>
        <x:v>0.000015735626220703125</x:v>
      </x:c>
      <x:c r="AB6" s="38" t="n">
        <x:f>IF($R$30=1,SUM(AC6:AE6)*(2)/1073741824,NA())</x:f>
        <x:v>0.000015735626220703125</x:v>
      </x:c>
      <x:c r="AC6" s="39" t="n">
        <x:f>(128/M6)*ROUNDUP((256)*VLOOKUP(D6,$Q$32:$R$38,2,FALSE),0)</x:f>
        <x:v>8192</x:v>
      </x:c>
      <x:c r="AD6" s="39" t="n">
        <x:f>IF(OR(D6="MXFP4",D6="MXFP8"),(128/M6)*ROUNDUP((256)/32,0),0)</x:f>
        <x:v>256</x:v>
      </x:c>
      <x:c r="AE6" s="39" t="n">
        <x:f>IF(D6="INT8",(128/M6)*8,IF(D6="INT4",(128/M6)*16,0))</x:f>
        <x:v>0</x:v>
      </x:c>
      <x:c r="AF6" s="39" t="n">
        <x:f>(128)*ROUNDUP((256)*VLOOKUP(D6,$Q$32:$R$38,2,FALSE),0)</x:f>
        <x:v>32768</x:v>
      </x:c>
      <x:c r="AG6" s="39" t="n">
        <x:f>IF(OR(D6="MXFP4",D6="MXFP8"),(128)*ROUNDUP((256)/32,0),0)</x:f>
        <x:v>1024</x:v>
      </x:c>
      <x:c r="AH6" s="39" t="n">
        <x:f>IF(D6="INT8",(128)*8,IF(D6="INT4",(128)*16,0))</x:f>
        <x:v>0</x:v>
      </x:c>
    </x:row>
    <x:row r="7" ht="18" customHeight="1">
      <x:c r="A7" s="7" t="str">
        <x:v>KDA</x:v>
      </x:c>
      <x:c r="B7" s="7" t="str">
        <x:v>o_proj</x:v>
      </x:c>
      <x:c r="C7" s="7" t="str">
        <x:v>[256,128]</x:v>
      </x:c>
      <x:c r="D7" s="10" t="str">
        <x:v>BF16</x:v>
      </x:c>
      <x:c r="E7" s="34" t="n">
        <x:v>4</x:v>
      </x:c>
      <x:c r="F7" s="34" t="n">
        <x:f>(256)*(128)</x:f>
        <x:v>32768</x:v>
      </x:c>
      <x:c r="G7" s="7" t="str">
        <x:v>KDA O TP</x:v>
      </x:c>
      <x:c r="H7" s="7" t="str">
        <x:v>None</x:v>
      </x:c>
      <x:c r="I7" s="7" t="str">
        <x:v>否</x:v>
      </x:c>
      <x:c r="J7" s="44" t="n">
        <x:f>E7*SUM(AF7:AH7)/1073741824</x:f>
        <x:v>0.000244140625</x:v>
      </x:c>
      <x:c r="K7" s="44" t="n">
        <x:f>INDEX(AA7:AB7,1,$R$22+1)</x:f>
        <x:v>0.000030517578125</x:v>
      </x:c>
      <x:c r="L7" s="7" t="str">
        <x:f>IF(OR(D7="MXFP4",D7="MXFP8"),"group 32 / E8M0",IF(D7="INT8","channel / 8 B",IF(D7="INT4","channel / 16 B","")))</x:f>
      </x:c>
      <x:c r="M7" s="45" t="n">
        <x:f>$R$3</x:f>
        <x:v>4</x:v>
      </x:c>
      <x:c r="N7" s="7" t="str">
        <x:f>"["&amp;(256)&amp;","&amp;(128/M7)&amp;"]"</x:f>
        <x:v>[256,32]</x:v>
      </x:c>
      <x:c r="O7" s="34" t="n">
        <x:f>CHOOSE($R$22+1,2,2)</x:f>
        <x:v>2</x:v>
      </x:c>
      <x:c r="P7" s="2"/>
      <x:c r="Q7" s="7" t="str">
        <x:v>embedding TP</x:v>
      </x:c>
      <x:c r="R7" s="14" t="n">
        <x:f>$R$2*1</x:f>
        <x:v>4</x:v>
      </x:c>
      <x:c r="S7" s="7" t="str">
        <x:v>Indexer query heads</x:v>
      </x:c>
      <x:c r="T7" s="7" t="n">
        <x:v>4</x:v>
      </x:c>
      <x:c r="U7" s="2"/>
      <x:c r="V7" s="2"/>
      <x:c r="W7" s="2"/>
      <x:c r="X7" s="2"/>
      <x:c r="Y7" s="2"/>
      <x:c r="Z7" s="2"/>
      <x:c r="AA7" s="38" t="n">
        <x:f>IF($R$30=1,SUM(AC7:AE7)*(2)/1073741824,NA())</x:f>
        <x:v>0.000030517578125</x:v>
      </x:c>
      <x:c r="AB7" s="38" t="n">
        <x:f>IF($R$30=1,SUM(AC7:AE7)*(2)/1073741824,NA())</x:f>
        <x:v>0.000030517578125</x:v>
      </x:c>
      <x:c r="AC7" s="39" t="n">
        <x:f>(256)*ROUNDUP((128/M7)*VLOOKUP(D7,$Q$32:$R$38,2,FALSE),0)</x:f>
        <x:v>16384</x:v>
      </x:c>
      <x:c r="AD7" s="39" t="n">
        <x:f>IF(OR(D7="MXFP4",D7="MXFP8"),(256)*ROUNDUP((128/M7)/32,0),0)</x:f>
        <x:v>0</x:v>
      </x:c>
      <x:c r="AE7" s="39" t="n">
        <x:f>IF(D7="INT8",(256)*8,IF(D7="INT4",(256)*16,0))</x:f>
        <x:v>0</x:v>
      </x:c>
      <x:c r="AF7" s="39" t="n">
        <x:f>(256)*ROUNDUP((128)*VLOOKUP(D7,$Q$32:$R$38,2,FALSE),0)</x:f>
        <x:v>65536</x:v>
      </x:c>
      <x:c r="AG7" s="39" t="n">
        <x:f>IF(OR(D7="MXFP4",D7="MXFP8"),(256)*ROUNDUP((128)/32,0),0)</x:f>
        <x:v>0</x:v>
      </x:c>
      <x:c r="AH7" s="39" t="n">
        <x:f>IF(D7="INT8",(256)*8,IF(D7="INT4",(256)*16,0))</x:f>
        <x:v>0</x:v>
      </x:c>
    </x:row>
    <x:row r="8" ht="18" customHeight="1">
      <x:c r="A8" s="48" t="str">
        <x:v>DSA MLA</x:v>
      </x:c>
      <x:c r="B8" s="48" t="str">
        <x:v>q_b_proj</x:v>
      </x:c>
      <x:c r="C8" s="48" t="str">
        <x:v>[128,64]</x:v>
      </x:c>
      <x:c r="D8" s="49" t="str">
        <x:v>MXFP8</x:v>
      </x:c>
      <x:c r="E8" s="50" t="n">
        <x:v>2</x:v>
      </x:c>
      <x:c r="F8" s="50" t="n">
        <x:f>(128)*(64)</x:f>
        <x:v>8192</x:v>
      </x:c>
      <x:c r="G8" s="48" t="str">
        <x:v>DSA TP</x:v>
      </x:c>
      <x:c r="H8" s="48" t="str">
        <x:v>None</x:v>
      </x:c>
      <x:c r="I8" s="48" t="str">
        <x:v>否</x:v>
      </x:c>
      <x:c r="J8" s="51" t="n">
        <x:f>E8*SUM(AF8:AH8)/1073741824</x:f>
        <x:v>0.000015735626220703125</x:v>
      </x:c>
      <x:c r="K8" s="51" t="n">
        <x:f>INDEX(AA8:AB8,1,$R$22+1)</x:f>
        <x:v>0</x:v>
      </x:c>
      <x:c r="L8" s="48" t="str">
        <x:f>IF(OR(D8="MXFP4",D8="MXFP8"),"group 32 / E8M0",IF(D8="INT8","channel / 8 B",IF(D8="INT4","channel / 16 B","")))</x:f>
        <x:v>group 32 / E8M0</x:v>
      </x:c>
      <x:c r="M8" s="52" t="n">
        <x:f>$R$4</x:f>
        <x:v>1</x:v>
      </x:c>
      <x:c r="N8" s="48" t="str">
        <x:f>"["&amp;(128/M8)&amp;","&amp;(64)&amp;"]"</x:f>
        <x:v>[128,64]</x:v>
      </x:c>
      <x:c r="O8" s="50" t="n">
        <x:f>CHOOSE($R$22+1,0,2)</x:f>
        <x:v>0</x:v>
      </x:c>
      <x:c r="P8" s="2"/>
      <x:c r="Q8" s="7" t="str">
        <x:v>其他语言 TP</x:v>
      </x:c>
      <x:c r="R8" s="14" t="n">
        <x:f>$R$2*1</x:f>
        <x:v>4</x:v>
      </x:c>
      <x:c r="S8" s="7" t="str">
        <x:v>本 stage MoE 层数</x:v>
      </x:c>
      <x:c r="T8" s="7" t="n">
        <x:f>CHOOSE(R22+1,1,4)</x:f>
        <x:v>1</x:v>
      </x:c>
      <x:c r="U8" s="2"/>
      <x:c r="V8" s="2"/>
      <x:c r="W8" s="2"/>
      <x:c r="X8" s="2"/>
      <x:c r="Y8" s="2"/>
      <x:c r="Z8" s="2"/>
      <x:c r="AA8" s="38" t="n">
        <x:f>IF($R$30=1,SUM(AC8:AE8)*(0)/1073741824,NA())</x:f>
        <x:v>0</x:v>
      </x:c>
      <x:c r="AB8" s="38" t="n">
        <x:f>IF($R$30=1,SUM(AC8:AE8)*(2)/1073741824,NA())</x:f>
        <x:v>0.000015735626220703125</x:v>
      </x:c>
      <x:c r="AC8" s="39" t="n">
        <x:f>(128/M8)*ROUNDUP((64)*VLOOKUP(D8,$Q$32:$R$38,2,FALSE),0)</x:f>
        <x:v>8192</x:v>
      </x:c>
      <x:c r="AD8" s="39" t="n">
        <x:f>IF(OR(D8="MXFP4",D8="MXFP8"),(128/M8)*ROUNDUP((64)/32,0),0)</x:f>
        <x:v>256</x:v>
      </x:c>
      <x:c r="AE8" s="39" t="n">
        <x:f>IF(D8="INT8",(128/M8)*8,IF(D8="INT4",(128/M8)*16,0))</x:f>
        <x:v>0</x:v>
      </x:c>
      <x:c r="AF8" s="39" t="n">
        <x:f>(128)*ROUNDUP((64)*VLOOKUP(D8,$Q$32:$R$38,2,FALSE),0)</x:f>
        <x:v>8192</x:v>
      </x:c>
      <x:c r="AG8" s="39" t="n">
        <x:f>IF(OR(D8="MXFP4",D8="MXFP8"),(128)*ROUNDUP((64)/32,0),0)</x:f>
        <x:v>256</x:v>
      </x:c>
      <x:c r="AH8" s="39" t="n">
        <x:f>IF(D8="INT8",(128)*8,IF(D8="INT4",(128)*16,0))</x:f>
        <x:v>0</x:v>
      </x:c>
    </x:row>
    <x:row r="9" ht="18" customHeight="1">
      <x:c r="A9" s="7" t="str">
        <x:v>DSA MLA</x:v>
      </x:c>
      <x:c r="B9" s="7" t="str">
        <x:v>o_proj</x:v>
      </x:c>
      <x:c r="C9" s="7" t="str">
        <x:v>[256,128]</x:v>
      </x:c>
      <x:c r="D9" s="10" t="str">
        <x:v>MXFP8</x:v>
      </x:c>
      <x:c r="E9" s="34" t="n">
        <x:v>2</x:v>
      </x:c>
      <x:c r="F9" s="34" t="n">
        <x:f>(256)*(128)</x:f>
        <x:v>32768</x:v>
      </x:c>
      <x:c r="G9" s="7" t="str">
        <x:v>DSA O TP</x:v>
      </x:c>
      <x:c r="H9" s="7" t="str">
        <x:v>None</x:v>
      </x:c>
      <x:c r="I9" s="7" t="str">
        <x:v>否</x:v>
      </x:c>
      <x:c r="J9" s="44" t="n">
        <x:f>E9*SUM(AF9:AH9)/1073741824</x:f>
        <x:v>0.0000629425048828125</x:v>
      </x:c>
      <x:c r="K9" s="44" t="n">
        <x:f>INDEX(AA9:AB9,1,$R$22+1)</x:f>
        <x:v>0</x:v>
      </x:c>
      <x:c r="L9" s="7" t="str">
        <x:f>IF(OR(D9="MXFP4",D9="MXFP8"),"group 32 / E8M0",IF(D9="INT8","channel / 8 B",IF(D9="INT4","channel / 16 B","")))</x:f>
        <x:v>group 32 / E8M0</x:v>
      </x:c>
      <x:c r="M9" s="45" t="n">
        <x:f>$R$5</x:f>
        <x:v>4</x:v>
      </x:c>
      <x:c r="N9" s="7" t="str">
        <x:f>"["&amp;(256)&amp;","&amp;(128/M9)&amp;"]"</x:f>
        <x:v>[256,32]</x:v>
      </x:c>
      <x:c r="O9" s="34" t="n">
        <x:f>CHOOSE($R$22+1,0,2)</x:f>
        <x:v>0</x:v>
      </x:c>
      <x:c r="P9" s="2"/>
      <x:c r="Q9" s="7" t="str">
        <x:v>EP</x:v>
      </x:c>
      <x:c r="R9" s="14" t="n">
        <x:v>12</x:v>
      </x:c>
      <x:c r="S9" s="7" t="str">
        <x:v>Routed experts / layer</x:v>
      </x:c>
      <x:c r="T9" s="7" t="n">
        <x:v>10</x:v>
      </x:c>
      <x:c r="U9" s="2"/>
      <x:c r="V9" s="2"/>
      <x:c r="W9" s="2"/>
      <x:c r="X9" s="2"/>
      <x:c r="Y9" s="2"/>
      <x:c r="Z9" s="2"/>
      <x:c r="AA9" s="38" t="n">
        <x:f>IF($R$30=1,SUM(AC9:AE9)*(0)/1073741824,NA())</x:f>
        <x:v>0</x:v>
      </x:c>
      <x:c r="AB9" s="38" t="n">
        <x:f>IF($R$30=1,SUM(AC9:AE9)*(2)/1073741824,NA())</x:f>
        <x:v>0.000015735626220703125</x:v>
      </x:c>
      <x:c r="AC9" s="39" t="n">
        <x:f>(256)*ROUNDUP((128/M9)*VLOOKUP(D9,$Q$32:$R$38,2,FALSE),0)</x:f>
        <x:v>8192</x:v>
      </x:c>
      <x:c r="AD9" s="39" t="n">
        <x:f>IF(OR(D9="MXFP4",D9="MXFP8"),(256)*ROUNDUP((128/M9)/32,0),0)</x:f>
        <x:v>256</x:v>
      </x:c>
      <x:c r="AE9" s="39" t="n">
        <x:f>IF(D9="INT8",(256)*8,IF(D9="INT4",(256)*16,0))</x:f>
        <x:v>0</x:v>
      </x:c>
      <x:c r="AF9" s="39" t="n">
        <x:f>(256)*ROUNDUP((128)*VLOOKUP(D9,$Q$32:$R$38,2,FALSE),0)</x:f>
        <x:v>32768</x:v>
      </x:c>
      <x:c r="AG9" s="39" t="n">
        <x:f>IF(OR(D9="MXFP4",D9="MXFP8"),(256)*ROUNDUP((128)/32,0),0)</x:f>
        <x:v>1024</x:v>
      </x:c>
      <x:c r="AH9" s="39" t="n">
        <x:f>IF(D9="INT8",(256)*8,IF(D9="INT4",(256)*16,0))</x:f>
        <x:v>0</x:v>
      </x:c>
    </x:row>
    <x:row r="10" ht="18" customHeight="1">
      <x:c r="A10" s="48" t="str">
        <x:v>DSA Indexer</x:v>
      </x:c>
      <x:c r="B10" s="48" t="str">
        <x:v>key.weight</x:v>
      </x:c>
      <x:c r="C10" s="48" t="str">
        <x:v>[32,256]</x:v>
      </x:c>
      <x:c r="D10" s="49" t="str">
        <x:v>BF16</x:v>
      </x:c>
      <x:c r="E10" s="50" t="n">
        <x:v>2</x:v>
      </x:c>
      <x:c r="F10" s="50" t="n">
        <x:f>(32)*(256)</x:f>
        <x:v>8192</x:v>
      </x:c>
      <x:c r="G10" s="48" t="str">
        <x:v>Replicated</x:v>
      </x:c>
      <x:c r="H10" s="48" t="str">
        <x:v>None</x:v>
      </x:c>
      <x:c r="I10" s="48" t="str">
        <x:v>否</x:v>
      </x:c>
      <x:c r="J10" s="51" t="n">
        <x:f>E10*SUM(AF10:AH10)/1073741824</x:f>
        <x:v>0.000030517578125</x:v>
      </x:c>
      <x:c r="K10" s="51" t="n">
        <x:f>INDEX(AA10:AB10,1,$R$22+1)</x:f>
        <x:v>0</x:v>
      </x:c>
      <x:c r="L10" s="48" t="str">
        <x:f>IF(OR(D10="MXFP4",D10="MXFP8"),"group 32 / E8M0",IF(D10="INT8","channel / 8 B",IF(D10="INT4","channel / 16 B","")))</x:f>
      </x:c>
      <x:c r="M10" s="52" t="n">
        <x:f>1</x:f>
        <x:v>1</x:v>
      </x:c>
      <x:c r="N10" s="48" t="str">
        <x:f>"["&amp;(32/M10)&amp;","&amp;(256)&amp;"]"</x:f>
        <x:v>[32,256]</x:v>
      </x:c>
      <x:c r="O10" s="50" t="n">
        <x:f>CHOOSE($R$22+1,0,2)</x:f>
        <x:v>0</x:v>
      </x:c>
      <x:c r="P10" s="2"/>
      <x:c r="Q10" s="7" t="str">
        <x:v>共享专家 TP</x:v>
      </x:c>
      <x:c r="R10" s="14" t="n">
        <x:v>4</x:v>
      </x:c>
      <x:c r="S10" s="7" t="str">
        <x:v>Shared experts / layer</x:v>
      </x:c>
      <x:c r="T10" s="7" t="n">
        <x:v>1</x:v>
      </x:c>
      <x:c r="U10" s="2"/>
      <x:c r="V10" s="2"/>
      <x:c r="W10" s="2"/>
      <x:c r="X10" s="2"/>
      <x:c r="Y10" s="2"/>
      <x:c r="Z10" s="2"/>
      <x:c r="AA10" s="38" t="n">
        <x:f>IF($R$30=1,SUM(AC10:AE10)*(0)/1073741824,NA())</x:f>
        <x:v>0</x:v>
      </x:c>
      <x:c r="AB10" s="38" t="n">
        <x:f>IF($R$30=1,SUM(AC10:AE10)*(2)/1073741824,NA())</x:f>
        <x:v>0.000030517578125</x:v>
      </x:c>
      <x:c r="AC10" s="39" t="n">
        <x:f>(32/M10)*ROUNDUP((256)*VLOOKUP(D10,$Q$32:$R$38,2,FALSE),0)</x:f>
        <x:v>16384</x:v>
      </x:c>
      <x:c r="AD10" s="39" t="n">
        <x:f>IF(OR(D10="MXFP4",D10="MXFP8"),(32/M10)*ROUNDUP((256)/32,0),0)</x:f>
        <x:v>0</x:v>
      </x:c>
      <x:c r="AE10" s="39" t="n">
        <x:f>IF(D10="INT8",(32/M10)*8,IF(D10="INT4",(32/M10)*16,0))</x:f>
        <x:v>0</x:v>
      </x:c>
      <x:c r="AF10" s="39" t="n">
        <x:f>(32)*ROUNDUP((256)*VLOOKUP(D10,$Q$32:$R$38,2,FALSE),0)</x:f>
        <x:v>16384</x:v>
      </x:c>
      <x:c r="AG10" s="39" t="n">
        <x:f>IF(OR(D10="MXFP4",D10="MXFP8"),(32)*ROUNDUP((256)/32,0),0)</x:f>
        <x:v>0</x:v>
      </x:c>
      <x:c r="AH10" s="39" t="n">
        <x:f>IF(D10="INT8",(32)*8,IF(D10="INT4",(32)*16,0))</x:f>
        <x:v>0</x:v>
      </x:c>
    </x:row>
    <x:row r="11" ht="18" customHeight="1">
      <x:c r="A11" s="48" t="str">
        <x:v>MoE</x:v>
      </x:c>
      <x:c r="B11" s="48" t="str">
        <x:v>router.weight</x:v>
      </x:c>
      <x:c r="C11" s="48" t="str">
        <x:v>[10,256]</x:v>
      </x:c>
      <x:c r="D11" s="49" t="str">
        <x:v>BF16</x:v>
      </x:c>
      <x:c r="E11" s="50" t="n">
        <x:v>5</x:v>
      </x:c>
      <x:c r="F11" s="50" t="n">
        <x:f>(10)*(256)</x:f>
        <x:v>2560</x:v>
      </x:c>
      <x:c r="G11" s="48" t="str">
        <x:v>Replicated</x:v>
      </x:c>
      <x:c r="H11" s="48" t="str">
        <x:v>None</x:v>
      </x:c>
      <x:c r="I11" s="48" t="str">
        <x:v>否</x:v>
      </x:c>
      <x:c r="J11" s="51" t="n">
        <x:f>E11*SUM(AF11:AH11)/1073741824</x:f>
        <x:v>0.00002384185791015625</x:v>
      </x:c>
      <x:c r="K11" s="51" t="n">
        <x:f>INDEX(AA11:AB11,1,$R$22+1)</x:f>
        <x:v>0.00000476837158203125</x:v>
      </x:c>
      <x:c r="L11" s="48" t="str">
        <x:f>IF(OR(D11="MXFP4",D11="MXFP8"),"group 32 / E8M0",IF(D11="INT8","channel / 8 B",IF(D11="INT4","channel / 16 B","")))</x:f>
      </x:c>
      <x:c r="M11" s="52" t="n">
        <x:f>1</x:f>
        <x:v>1</x:v>
      </x:c>
      <x:c r="N11" s="48" t="str">
        <x:f>"["&amp;(10/M11)&amp;","&amp;(256)&amp;"]"</x:f>
        <x:v>[10,256]</x:v>
      </x:c>
      <x:c r="O11" s="50" t="n">
        <x:f>CHOOSE($R$22+1,1,4)</x:f>
        <x:v>1</x:v>
      </x:c>
      <x:c r="P11" s="2"/>
      <x:c r="Q11" s="7" t="str">
        <x:v>DSA CP</x:v>
      </x:c>
      <x:c r="R11" s="14" t="n">
        <x:f>$R$2*1</x:f>
        <x:v>4</x:v>
      </x:c>
      <x:c r="S11" s="7" t="str">
        <x:v>MLA latent dim</x:v>
      </x:c>
      <x:c r="T11" s="7" t="n">
        <x:v>64</x:v>
      </x:c>
      <x:c r="U11" s="2"/>
      <x:c r="V11" s="2"/>
      <x:c r="W11" s="2"/>
      <x:c r="X11" s="2"/>
      <x:c r="Y11" s="2"/>
      <x:c r="Z11" s="2"/>
      <x:c r="AA11" s="38" t="n">
        <x:f>IF($R$30=1,SUM(AC11:AE11)*(1)/1073741824,NA())</x:f>
        <x:v>0.00000476837158203125</x:v>
      </x:c>
      <x:c r="AB11" s="38" t="n">
        <x:f>IF($R$30=1,SUM(AC11:AE11)*(4)/1073741824,NA())</x:f>
        <x:v>0.000019073486328125</x:v>
      </x:c>
      <x:c r="AC11" s="39" t="n">
        <x:f>(10/M11)*ROUNDUP((256)*VLOOKUP(D11,$Q$32:$R$38,2,FALSE),0)</x:f>
        <x:v>5120</x:v>
      </x:c>
      <x:c r="AD11" s="39" t="n">
        <x:f>IF(OR(D11="MXFP4",D11="MXFP8"),(10/M11)*ROUNDUP((256)/32,0),0)</x:f>
        <x:v>0</x:v>
      </x:c>
      <x:c r="AE11" s="39" t="n">
        <x:f>IF(D11="INT8",(10/M11)*8,IF(D11="INT4",(10/M11)*16,0))</x:f>
        <x:v>0</x:v>
      </x:c>
      <x:c r="AF11" s="39" t="n">
        <x:f>(10)*ROUNDUP((256)*VLOOKUP(D11,$Q$32:$R$38,2,FALSE),0)</x:f>
        <x:v>5120</x:v>
      </x:c>
      <x:c r="AG11" s="39" t="n">
        <x:f>IF(OR(D11="MXFP4",D11="MXFP8"),(10)*ROUNDUP((256)/32,0),0)</x:f>
        <x:v>0</x:v>
      </x:c>
      <x:c r="AH11" s="39" t="n">
        <x:f>IF(D11="INT8",(10)*8,IF(D11="INT4",(10)*16,0))</x:f>
        <x:v>0</x:v>
      </x:c>
    </x:row>
    <x:row r="12" ht="18" customHeight="1">
      <x:c r="A12" s="7" t="str">
        <x:v>MoE</x:v>
      </x:c>
      <x:c r="B12" s="7" t="str">
        <x:v>experts.*.w1</x:v>
      </x:c>
      <x:c r="C12" s="7" t="str">
        <x:v>[64,128]</x:v>
      </x:c>
      <x:c r="D12" s="10" t="str">
        <x:v>MXFP4</x:v>
      </x:c>
      <x:c r="E12" s="34" t="n">
        <x:v>50</x:v>
      </x:c>
      <x:c r="F12" s="34" t="n">
        <x:f>(64)*(128)</x:f>
        <x:v>8192</x:v>
      </x:c>
      <x:c r="G12" s="7" t="str">
        <x:v>EP</x:v>
      </x:c>
      <x:c r="H12" s="7" t="str">
        <x:v>EP</x:v>
      </x:c>
      <x:c r="I12" s="7" t="str">
        <x:v>否</x:v>
      </x:c>
      <x:c r="J12" s="44" t="n">
        <x:f>E12*SUM(AF12:AH12)/1073741824</x:f>
        <x:v>0.00020265579223632812</x:v>
      </x:c>
      <x:c r="K12" s="44" t="n">
        <x:f>INDEX(AA12:AB12,1,$R$22+1)</x:f>
        <x:v>0.0000040531158447265625</x:v>
      </x:c>
      <x:c r="L12" s="7" t="str">
        <x:f>IF(OR(D12="MXFP4",D12="MXFP8"),"group 32 / E8M0",IF(D12="INT8","channel / 8 B",IF(D12="INT4","channel / 16 B","")))</x:f>
        <x:v>group 32 / E8M0</x:v>
      </x:c>
      <x:c r="M12" s="45" t="n">
        <x:f>1</x:f>
        <x:v>1</x:v>
      </x:c>
      <x:c r="N12" s="7" t="str">
        <x:f>"["&amp;(64/M12)&amp;","&amp;(128)&amp;"]"</x:f>
        <x:v>[64,128]</x:v>
      </x:c>
      <x:c r="O12" s="34" t="n">
        <x:f>CHOOSE($R$22+1,1*ROUNDUP(10/$R$9,0),4*ROUNDUP(10/$R$9,0))</x:f>
        <x:v>1</x:v>
      </x:c>
      <x:c r="P12" s="2"/>
      <x:c r="Q12" s="7" t="str">
        <x:v>DCP</x:v>
      </x:c>
      <x:c r="R12" s="15" t="n">
        <x:v>1</x:v>
      </x:c>
      <x:c r="S12" s="7" t="str">
        <x:v>RoPE dim</x:v>
      </x:c>
      <x:c r="T12" s="7" t="n">
        <x:v>16</x:v>
      </x:c>
      <x:c r="U12" s="2"/>
      <x:c r="V12" s="2"/>
      <x:c r="W12" s="2"/>
      <x:c r="X12" s="2"/>
      <x:c r="Y12" s="2"/>
      <x:c r="Z12" s="2"/>
      <x:c r="AA12" s="38" t="n">
        <x:f>IF($R$30=1,SUM(AC12:AE12)*(1*ROUNDUP(10/$R$9,0))/1073741824,NA())</x:f>
        <x:v>0.0000040531158447265625</x:v>
      </x:c>
      <x:c r="AB12" s="38" t="n">
        <x:f>IF($R$30=1,SUM(AC12:AE12)*(4*ROUNDUP(10/$R$9,0))/1073741824,NA())</x:f>
        <x:v>0.00001621246337890625</x:v>
      </x:c>
      <x:c r="AC12" s="39" t="n">
        <x:f>(64/M12)*ROUNDUP((128)*VLOOKUP(D12,$Q$32:$R$38,2,FALSE),0)</x:f>
        <x:v>4096</x:v>
      </x:c>
      <x:c r="AD12" s="39" t="n">
        <x:f>IF(OR(D12="MXFP4",D12="MXFP8"),(64/M12)*ROUNDUP((128)/32,0),0)</x:f>
        <x:v>256</x:v>
      </x:c>
      <x:c r="AE12" s="39" t="n">
        <x:f>IF(D12="INT8",(64/M12)*8,IF(D12="INT4",(64/M12)*16,0))</x:f>
        <x:v>0</x:v>
      </x:c>
      <x:c r="AF12" s="39" t="n">
        <x:f>(64)*ROUNDUP((128)*VLOOKUP(D12,$Q$32:$R$38,2,FALSE),0)</x:f>
        <x:v>4096</x:v>
      </x:c>
      <x:c r="AG12" s="39" t="n">
        <x:f>IF(OR(D12="MXFP4",D12="MXFP8"),(64)*ROUNDUP((128)/32,0),0)</x:f>
        <x:v>256</x:v>
      </x:c>
      <x:c r="AH12" s="39" t="n">
        <x:f>IF(D12="INT8",(64)*8,IF(D12="INT4",(64)*16,0))</x:f>
        <x:v>0</x:v>
      </x:c>
    </x:row>
    <x:row r="13" ht="18" customHeight="1">
      <x:c r="A13" s="7" t="str">
        <x:v>MoE</x:v>
      </x:c>
      <x:c r="B13" s="7" t="str">
        <x:v>shared_experts.down_proj</x:v>
      </x:c>
      <x:c r="C13" s="7" t="str">
        <x:v>[256,64]</x:v>
      </x:c>
      <x:c r="D13" s="10" t="str">
        <x:v>MXFP4</x:v>
      </x:c>
      <x:c r="E13" s="34" t="n">
        <x:v>5</x:v>
      </x:c>
      <x:c r="F13" s="34" t="n">
        <x:f>(256)*(64)</x:f>
        <x:v>16384</x:v>
      </x:c>
      <x:c r="G13" s="7" t="str">
        <x:v>Shared TP</x:v>
      </x:c>
      <x:c r="H13" s="7" t="str">
        <x:v>None</x:v>
      </x:c>
      <x:c r="I13" s="7" t="str">
        <x:v>是</x:v>
      </x:c>
      <x:c r="J13" s="44" t="n">
        <x:f>E13*SUM(AF13:AH13)/1073741824</x:f>
        <x:v>0.000040531158447265625</x:v>
      </x:c>
      <x:c r="K13" s="44" t="n">
        <x:f>INDEX(AA13:AB13,1,$R$22+1)</x:f>
        <x:v>0.0000021457672119140625</x:v>
      </x:c>
      <x:c r="L13" s="7" t="str">
        <x:f>IF(OR(D13="MXFP4",D13="MXFP8"),"group 32 / E8M0",IF(D13="INT8","channel / 8 B",IF(D13="INT4","channel / 16 B","")))</x:f>
        <x:v>group 32 / E8M0</x:v>
      </x:c>
      <x:c r="M13" s="45" t="n">
        <x:f>$R$10</x:f>
        <x:v>4</x:v>
      </x:c>
      <x:c r="N13" s="7" t="str">
        <x:f>"["&amp;(256)&amp;","&amp;(64/M13)&amp;"]"</x:f>
        <x:v>[256,16]</x:v>
      </x:c>
      <x:c r="O13" s="34" t="n">
        <x:f>CHOOSE($R$22+1,1,4)</x:f>
        <x:v>1</x:v>
      </x:c>
      <x:c r="P13" s="2"/>
      <x:c r="Q13" s="7" t="str">
        <x:v>MLA cache dtype</x:v>
      </x:c>
      <x:c r="R13" s="17" t="str">
        <x:v>INT8</x:v>
      </x:c>
      <x:c r="S13" s="7" t="str">
        <x:v>Indexer key dim</x:v>
      </x:c>
      <x:c r="T13" s="7" t="n">
        <x:v>32</x:v>
      </x:c>
      <x:c r="U13" s="2"/>
      <x:c r="V13" s="2"/>
      <x:c r="W13" s="2"/>
      <x:c r="X13" s="2"/>
      <x:c r="Y13" s="2"/>
      <x:c r="Z13" s="2"/>
      <x:c r="AA13" s="38" t="n">
        <x:f>IF($R$30=1,SUM(AC13:AE13)*(1)/1073741824,NA())</x:f>
        <x:v>0.0000021457672119140625</x:v>
      </x:c>
      <x:c r="AB13" s="38" t="n">
        <x:f>IF($R$30=1,SUM(AC13:AE13)*(4)/1073741824,NA())</x:f>
        <x:v>0.00000858306884765625</x:v>
      </x:c>
      <x:c r="AC13" s="39" t="n">
        <x:f>(256)*ROUNDUP((64/M13)*VLOOKUP(D13,$Q$32:$R$38,2,FALSE),0)</x:f>
        <x:v>2048</x:v>
      </x:c>
      <x:c r="AD13" s="39" t="n">
        <x:f>IF(OR(D13="MXFP4",D13="MXFP8"),(256)*ROUNDUP((64/M13)/32,0),0)</x:f>
        <x:v>256</x:v>
      </x:c>
      <x:c r="AE13" s="39" t="n">
        <x:f>IF(D13="INT8",(256)*8,IF(D13="INT4",(256)*16,0))</x:f>
        <x:v>0</x:v>
      </x:c>
      <x:c r="AF13" s="39" t="n">
        <x:f>(256)*ROUNDUP((64)*VLOOKUP(D13,$Q$32:$R$38,2,FALSE),0)</x:f>
        <x:v>8192</x:v>
      </x:c>
      <x:c r="AG13" s="39" t="n">
        <x:f>IF(OR(D13="MXFP4",D13="MXFP8"),(256)*ROUNDUP((64)/32,0),0)</x:f>
        <x:v>512</x:v>
      </x:c>
      <x:c r="AH13" s="39" t="n">
        <x:f>IF(D13="INT8",(256)*8,IF(D13="INT4",(256)*16,0))</x:f>
        <x:v>0</x:v>
      </x:c>
    </x:row>
    <x:row r="14" ht="18" customHeight="1">
      <x:c r="A14" s="48" t="str">
        <x:v>ViT patch</x:v>
      </x:c>
      <x:c r="B14" s="48" t="str">
        <x:v>patch.weight</x:v>
      </x:c>
      <x:c r="C14" s="48" t="str">
        <x:v>[16,3,4,4]</x:v>
      </x:c>
      <x:c r="D14" s="49" t="str">
        <x:v>BF16</x:v>
      </x:c>
      <x:c r="E14" s="50" t="n">
        <x:v>1</x:v>
      </x:c>
      <x:c r="F14" s="50" t="n">
        <x:f>(16)*(3)*(4)*(4)</x:f>
        <x:v>768</x:v>
      </x:c>
      <x:c r="G14" s="48" t="str">
        <x:v>Replicated</x:v>
      </x:c>
      <x:c r="H14" s="48" t="str">
        <x:v>None</x:v>
      </x:c>
      <x:c r="I14" s="48" t="str">
        <x:v>否</x:v>
      </x:c>
      <x:c r="J14" s="51" t="n">
        <x:f>E14*SUM(AF14:AH14)/1073741824</x:f>
        <x:v>0.000001430511474609375</x:v>
      </x:c>
      <x:c r="K14" s="51" t="n">
        <x:f>INDEX(AA14:AB14,1,$R$22+1)</x:f>
        <x:v>0.000001430511474609375</x:v>
      </x:c>
      <x:c r="L14" s="48" t="str">
        <x:f>IF(OR(D14="MXFP4",D14="MXFP8"),"group 32 / E8M0",IF(D14="INT8","channel / 8 B",IF(D14="INT4","channel / 16 B","")))</x:f>
      </x:c>
      <x:c r="M14" s="52" t="n">
        <x:f>1</x:f>
        <x:v>1</x:v>
      </x:c>
      <x:c r="N14" s="48" t="str">
        <x:f>"["&amp;(16/M14)&amp;","&amp;(3)&amp;","&amp;(4)&amp;","&amp;(4)&amp;"]"</x:f>
        <x:v>[16,3,4,4]</x:v>
      </x:c>
      <x:c r="O14" s="50" t="n">
        <x:f>CHOOSE($R$22+1,1,0)</x:f>
        <x:v>1</x:v>
      </x:c>
      <x:c r="P14" s="2"/>
      <x:c r="Q14" s="7" t="str">
        <x:v>Indexer cache dtype</x:v>
      </x:c>
      <x:c r="R14" s="17" t="str">
        <x:v>INT8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38" t="n">
        <x:f>IF($R$30=1,SUM(AC14:AE14)*(1)/1073741824,NA())</x:f>
        <x:v>0.000001430511474609375</x:v>
      </x:c>
      <x:c r="AB14" s="38" t="n">
        <x:f>IF($R$30=1,SUM(AC14:AE14)*(0)/1073741824,NA())</x:f>
        <x:v>0</x:v>
      </x:c>
      <x:c r="AC14" s="39" t="n">
        <x:f>(16/M14)*(3)*(4)*ROUNDUP((4)*VLOOKUP(D14,$Q$32:$R$38,2,FALSE),0)</x:f>
        <x:v>1536</x:v>
      </x:c>
      <x:c r="AD14" s="39" t="n">
        <x:f>IF(OR(D14="MXFP4",D14="MXFP8"),(16/M14)*(3)*(4)*ROUNDUP((4)/32,0),0)</x:f>
        <x:v>0</x:v>
      </x:c>
      <x:c r="AE14" s="39" t="n">
        <x:f>IF(D14="INT8",(16/M14)*8,IF(D14="INT4",(16/M14)*16,0))</x:f>
        <x:v>0</x:v>
      </x:c>
      <x:c r="AF14" s="39" t="n">
        <x:f>(16)*(3)*(4)*ROUNDUP((4)*VLOOKUP(D14,$Q$32:$R$38,2,FALSE),0)</x:f>
        <x:v>1536</x:v>
      </x:c>
      <x:c r="AG14" s="39" t="n">
        <x:f>IF(OR(D14="MXFP4",D14="MXFP8"),(16)*(3)*(4)*ROUNDUP((4)/32,0),0)</x:f>
        <x:v>0</x:v>
      </x:c>
      <x:c r="AH14" s="39" t="n">
        <x:f>IF(D14="INT8",(16)*8,IF(D14="INT4",(16)*16,0))</x:f>
        <x:v>0</x:v>
      </x:c>
    </x:row>
    <x:row r="15" ht="18" customHeight="1">
      <x:c r="A15" s="53" t="str">
        <x:v>ViT blocks</x:v>
      </x:c>
      <x:c r="B15" s="53" t="str">
        <x:v>blocks.*.weight</x:v>
      </x:c>
      <x:c r="C15" s="53" t="str">
        <x:v>[32,16]</x:v>
      </x:c>
      <x:c r="D15" s="54" t="str">
        <x:v>BF16</x:v>
      </x:c>
      <x:c r="E15" s="55" t="n">
        <x:v>2</x:v>
      </x:c>
      <x:c r="F15" s="55" t="n">
        <x:f>(32)*(16)</x:f>
        <x:v>512</x:v>
      </x:c>
      <x:c r="G15" s="53" t="str">
        <x:v>Replicated</x:v>
      </x:c>
      <x:c r="H15" s="53" t="str">
        <x:v>None</x:v>
      </x:c>
      <x:c r="I15" s="53" t="str">
        <x:v>否</x:v>
      </x:c>
      <x:c r="J15" s="56" t="n">
        <x:f>E15*SUM(AF15:AH15)/1073741824</x:f>
        <x:v>0.0000019073486328125</x:v>
      </x:c>
      <x:c r="K15" s="56" t="n">
        <x:f>INDEX(AA15:AB15,1,$R$22+1)</x:f>
        <x:v>0.0000019073486328125</x:v>
      </x:c>
      <x:c r="L15" s="53" t="str">
        <x:f>IF(OR(D15="MXFP4",D15="MXFP8"),"group 32 / E8M0",IF(D15="INT8","channel / 8 B",IF(D15="INT4","channel / 16 B","")))</x:f>
      </x:c>
      <x:c r="M15" s="57" t="n">
        <x:f>1</x:f>
        <x:v>1</x:v>
      </x:c>
      <x:c r="N15" s="53" t="str">
        <x:f>"["&amp;(32/M15)&amp;","&amp;(16)&amp;"]"</x:f>
        <x:v>[32,16]</x:v>
      </x:c>
      <x:c r="O15" s="55" t="n">
        <x:f>CHOOSE($R$22+1,2,0)</x:f>
        <x:v>2</x:v>
      </x:c>
      <x:c r="P15" s="2"/>
      <x:c r="Q15" s="7" t="str">
        <x:v>Indexer scale bytes</x:v>
      </x:c>
      <x:c r="R15" s="15" t="n">
        <x:f>IF(R14="BF16",0,IF(R14="INT8",2,4))</x:f>
        <x:v>2</x:v>
      </x:c>
      <x:c r="S15" s="7" t="str">
        <x:v>Cache block size</x:v>
      </x:c>
      <x:c r="T15" s="7" t="n">
        <x:f>R19</x:f>
        <x:v>32</x:v>
      </x:c>
      <x:c r="U15" s="2"/>
      <x:c r="V15" s="2"/>
      <x:c r="W15" s="2"/>
      <x:c r="X15" s="2"/>
      <x:c r="Y15" s="2"/>
      <x:c r="Z15" s="2"/>
      <x:c r="AA15" s="38" t="n">
        <x:f>IF($R$30=1,SUM(AC15:AE15)*(2)/1073741824,NA())</x:f>
        <x:v>0.0000019073486328125</x:v>
      </x:c>
      <x:c r="AB15" s="38" t="n">
        <x:f>IF($R$30=1,SUM(AC15:AE15)*(0)/1073741824,NA())</x:f>
        <x:v>0</x:v>
      </x:c>
      <x:c r="AC15" s="39" t="n">
        <x:f>(32/M15)*ROUNDUP((16)*VLOOKUP(D15,$Q$32:$R$38,2,FALSE),0)</x:f>
        <x:v>1024</x:v>
      </x:c>
      <x:c r="AD15" s="39" t="n">
        <x:f>IF(OR(D15="MXFP4",D15="MXFP8"),(32/M15)*ROUNDUP((16)/32,0),0)</x:f>
        <x:v>0</x:v>
      </x:c>
      <x:c r="AE15" s="39" t="n">
        <x:f>IF(D15="INT8",(32/M15)*8,IF(D15="INT4",(32/M15)*16,0))</x:f>
        <x:v>0</x:v>
      </x:c>
      <x:c r="AF15" s="39" t="n">
        <x:f>(32)*ROUNDUP((16)*VLOOKUP(D15,$Q$32:$R$38,2,FALSE),0)</x:f>
        <x:v>1024</x:v>
      </x:c>
      <x:c r="AG15" s="39" t="n">
        <x:f>IF(OR(D15="MXFP4",D15="MXFP8"),(32)*ROUNDUP((16)/32,0),0)</x:f>
        <x:v>0</x:v>
      </x:c>
      <x:c r="AH15" s="39" t="n">
        <x:f>IF(D15="INT8",(32)*8,IF(D15="INT4",(32)*16,0))</x:f>
        <x:v>0</x:v>
      </x:c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257</x:v>
      </x:c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Prefill</x:v>
      </x:c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7" t="str">
        <x:v>单请求 token 数</x:v>
      </x:c>
      <x:c r="R18" s="14" t="n">
        <x:v>257</x:v>
      </x:c>
      <x:c r="S18" s="7" t="str">
        <x:v>ViT</x:v>
      </x:c>
      <x:c r="T18" s="7" t="str">
        <x:v>包含</x:v>
      </x:c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7" t="str">
        <x:v>Cache block size</x:v>
      </x:c>
      <x:c r="R19" s="14" t="n">
        <x:v>32</x:v>
      </x:c>
      <x:c r="S19" s="7" t="str">
        <x:v>KDA local heads</x:v>
      </x:c>
      <x:c r="T19" s="7" t="n">
        <x:f>T4/R2</x:f>
        <x:v>2</x:v>
      </x:c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8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7" t="str">
        <x:v>主缓存 context 切分</x:v>
      </x:c>
      <x:c r="R21" s="15" t="n">
        <x:f>R12</x:f>
        <x:v>1</x:v>
      </x:c>
      <x:c r="S21" s="7" t="str">
        <x:v>Indexer key heads</x:v>
      </x:c>
      <x:c r="T21" s="7" t="n">
        <x:v>1</x:v>
      </x:c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8</x:v>
      </x:c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6" t="str">
        <x:v>单卡权重 GiB</x:v>
      </x:c>
      <x:c r="R23" s="27" t="n">
        <x:f>SUM(K2:K15)</x:f>
        <x:v>0.00021505355834960938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7" t="str">
        <x:v>权重 + cache GiB</x:v>
      </x:c>
      <x:c r="R24" s="28" t="n">
        <x:f>R23+R27</x:f>
        <x:v>0.0002199411392211914</x:v>
      </x:c>
      <x:c r="S24" s="6" t="str">
        <x:v>DP</x:v>
      </x:c>
      <x:c r="T24" s="6" t="n">
        <x:f>R9/R2</x:f>
        <x:v>3</x:v>
      </x:c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7" t="str">
        <x:v>o_proj buffer GiB</x:v>
      </x:c>
      <x:c r="R25" s="28" t="n">
        <x:f>SUM(R57:R58)</x:f>
        <x:v>0</x:v>
      </x:c>
      <x:c r="S25" s="7" t="str">
        <x:v>PP</x:v>
      </x:c>
      <x:c r="T25" s="7" t="n">
        <x:v>2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7" t="str">
        <x:v>总参数量 T</x:v>
      </x:c>
      <x:c r="R26" s="28" t="n">
        <x:f>SUMPRODUCT(E2:E15,F2:F15)/1000000000000</x:f>
        <x:v>0.000001523456</x:v>
      </x:c>
      <x:c r="S26" s="7" t="str">
        <x:v>EP / stage</x:v>
      </x:c>
      <x:c r="T26" s="7" t="n">
        <x:f>R9</x:f>
        <x:v>12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7" t="str">
        <x:v>单请求 cache GiB</x:v>
      </x:c>
      <x:c r="R27" s="28" t="n">
        <x:f>X63</x:f>
        <x:v>0.000004887580871582031</x:v>
      </x:c>
      <x:c r="S27" s="7" t="str">
        <x:v>总设备数</x:v>
      </x:c>
      <x:c r="T27" s="7" t="n">
        <x:f>R9*T25</x:f>
        <x:v>24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7" t="str">
        <x:v>权重 + cache + buffer GiB</x:v>
      </x:c>
      <x:c r="R28" s="28" t="n">
        <x:f>R23+R27+R25</x:f>
        <x:v>0.0002199411392211914</x:v>
      </x:c>
      <x:c r="S28" s="8" t="str">
        <x:v>DCP</x:v>
      </x:c>
      <x:c r="T28" s="8" t="n">
        <x:f>R12</x:f>
        <x:v>1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8" t="str">
        <x:v>本页 token 数</x:v>
      </x:c>
      <x:c r="R29" s="8" t="n">
        <x:f>R18</x:f>
        <x:v>257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 t="str">
        <x:v>参数校验（1=有效）</x:v>
      </x:c>
      <x:c r="R30" s="2" t="n">
        <x:f>IF(AND(AND(R2&gt;=1,R9&gt;=1,R12&gt;=1,R19&gt;=1,R18&gt;=1,R18&lt;=4096,MOD(R9,R2)=0,MOD(T4,R2)=0,MOD(R2,R12)=0,R22&gt;=0,R22&lt;2,MOD(R22,1)=0,R20&gt;=0,MOD(R20,1)=0,R12=1,OR(R11=1,R11=R2)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(1024,R7)=0,MOD(1024,R6)=0,MOD(512,R8)=0,MOD(128,R2)=0,MOD(128,R3)=0,MOD(128,R4)=0,MOD(128,R5)=0,MOD(64,R10)=0)),1,0)</x:f>
        <x:v>1</x:v>
      </x:c>
      <x:c r="S30" s="2" t="str">
        <x:v>量化方案</x:v>
      </x:c>
      <x:c r="T30" s="2" t="str">
        <x:v>mxfp</x:v>
      </x:c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1</x:v>
      </x:c>
      <x:c r="U32" s="6" t="n">
        <x:f>IF(R13="BF16",0,ROUNDUP(T11/128,0)*4)</x:f>
        <x:v>4</x:v>
      </x:c>
      <x:c r="V32" s="6" t="n">
        <x:f>T11*T32+U32</x:f>
        <x:v>68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32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100</x:v>
      </x:c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1</x:v>
      </x:c>
      <x:c r="U35" s="8" t="n">
        <x:f>R15</x:f>
        <x:v>2</x:v>
      </x:c>
      <x:c r="V35" s="8" t="n">
        <x:f>T13*T35+U35</x:f>
        <x:v>34</x:v>
      </x:c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6" t="str">
        <x:v>embedding</x:v>
      </x:c>
      <x:c r="R40" s="6" t="n">
        <x:f>CHOOSE($R$22+1,1,0)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0.0001220703125</x:v>
      </x:c>
      <x:c r="V40" s="27" t="n">
        <x:f>SUM(K2)</x:f>
        <x:v>0.0001220703125</x:v>
      </x:c>
      <x:c r="W40" s="30" t="n">
        <x:f>V40/$R$23</x:f>
        <x:v>0.5676274944567627</x:v>
      </x:c>
      <x:c r="X40" s="6" t="str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7" t="str">
        <x:v>lm_head</x:v>
      </x:c>
      <x:c r="R41" s="7" t="n">
        <x:f>CHOOSE($R$22+1,0,1)</x:f>
        <x:v>0</x:v>
      </x:c>
      <x:c r="S41" s="7" t="n">
        <x:f>1</x:f>
        <x:v>1</x:v>
      </x:c>
      <x:c r="T41" s="7" t="n">
        <x:f>R41*S41</x:f>
        <x:v>0</x:v>
      </x:c>
      <x:c r="U41" s="28" t="n">
        <x:f>IF(T41=0,0,V41/T41)</x:f>
        <x:v>0</x:v>
      </x:c>
      <x:c r="V41" s="28" t="n">
        <x:f>SUM(K3)</x:f>
        <x:v>0</x:v>
      </x:c>
      <x:c r="W41" s="31" t="n">
        <x:f>V41/$R$23</x:f>
        <x:v>0</x:v>
      </x:c>
      <x:c r="X41" s="7" t="str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7" t="str">
        <x:v>Decoder norms / residual</x:v>
      </x:c>
      <x:c r="R42" s="7" t="n">
        <x:f>CHOOSE($R$22+1,2,4)</x:f>
        <x:v>2</x:v>
      </x:c>
      <x:c r="S42" s="7" t="n">
        <x:f>1</x:f>
        <x:v>1</x:v>
      </x:c>
      <x:c r="T42" s="7" t="n">
        <x:f>R42*S42</x:f>
        <x:v>2</x:v>
      </x:c>
      <x:c r="U42" s="28" t="n">
        <x:f>IF(T42=0,0,V42/T42)</x:f>
        <x:v>4.76837158203125e-7</x:v>
      </x:c>
      <x:c r="V42" s="28" t="n">
        <x:f>SUM(K4)</x:f>
        <x:v>9.5367431640625e-7</x:v>
      </x:c>
      <x:c r="W42" s="31" t="n">
        <x:f>V42/$R$23</x:f>
        <x:v>0.004434589800443459</x:v>
      </x:c>
      <x:c r="X42" s="7" t="str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7" t="str">
        <x:v>Final norm / residual</x:v>
      </x:c>
      <x:c r="R43" s="7" t="n">
        <x:f>CHOOSE($R$22+1,0,1)</x:f>
        <x:v>0</x:v>
      </x:c>
      <x:c r="S43" s="7" t="n">
        <x:f>1</x:f>
        <x:v>1</x:v>
      </x:c>
      <x:c r="T43" s="7" t="n">
        <x:f>R43*S43</x:f>
        <x:v>0</x:v>
      </x:c>
      <x:c r="U43" s="28" t="n">
        <x:f>IF(T43=0,0,V43/T43)</x:f>
        <x:v>0</x:v>
      </x:c>
      <x:c r="V43" s="28" t="n">
        <x:f>0</x:f>
        <x:v>0</x:v>
      </x:c>
      <x:c r="W43" s="31" t="n">
        <x:f>V43/$R$23</x:f>
        <x:v>0</x:v>
      </x:c>
      <x:c r="X43" s="7" t="str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7" t="str">
        <x:v>Dense MLP</x:v>
      </x:c>
      <x:c r="R44" s="7" t="n">
        <x:f>CHOOSE($R$22+1,1,0)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0.00003147125244140625</x:v>
      </x:c>
      <x:c r="V44" s="28" t="n">
        <x:f>SUM(K5)</x:f>
        <x:v>0.00003147125244140625</x:v>
      </x:c>
      <x:c r="W44" s="31" t="n">
        <x:f>V44/$R$23</x:f>
        <x:v>0.14634146341463414</x:v>
      </x:c>
      <x:c r="X44" s="7" t="str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7" t="str">
        <x:v>KDA</x:v>
      </x:c>
      <x:c r="R45" s="7" t="n">
        <x:f>CHOOSE($R$22+1,2,2)</x:f>
        <x:v>2</x:v>
      </x:c>
      <x:c r="S45" s="7" t="n">
        <x:f>1</x:f>
        <x:v>1</x:v>
      </x:c>
      <x:c r="T45" s="7" t="n">
        <x:f>R45*S45</x:f>
        <x:v>2</x:v>
      </x:c>
      <x:c r="U45" s="28" t="n">
        <x:f>IF(T45=0,0,V45/T45)</x:f>
        <x:v>0.000023126602172851562</x:v>
      </x:c>
      <x:c r="V45" s="28" t="n">
        <x:f>SUM(K6,K7)</x:f>
        <x:v>0.000046253204345703125</x:v>
      </x:c>
      <x:c r="W45" s="31" t="n">
        <x:f>V45/$R$23</x:f>
        <x:v>0.21507760532150777</x:v>
      </x:c>
      <x:c r="X45" s="7" t="str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7" t="str">
        <x:v>DSA MLA</x:v>
      </x:c>
      <x:c r="R46" s="7" t="n">
        <x:f>CHOOSE($R$22+1,0,2)</x:f>
        <x:v>0</x:v>
      </x:c>
      <x:c r="S46" s="7" t="n">
        <x:f>1</x:f>
        <x:v>1</x:v>
      </x:c>
      <x:c r="T46" s="7" t="n">
        <x:f>R46*S46</x:f>
        <x:v>0</x:v>
      </x:c>
      <x:c r="U46" s="28" t="n">
        <x:f>IF(T46=0,0,V46/T46)</x:f>
        <x:v>0</x:v>
      </x:c>
      <x:c r="V46" s="28" t="n">
        <x:f>SUM(K8,K9)</x:f>
        <x:v>0</x:v>
      </x:c>
      <x:c r="W46" s="31" t="n">
        <x:f>V46/$R$23</x:f>
        <x:v>0</x:v>
      </x:c>
      <x:c r="X46" s="7" t="str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7" t="str">
        <x:v>DSA Indexer</x:v>
      </x:c>
      <x:c r="R47" s="7" t="n">
        <x:f>CHOOSE($R$22+1,0,2)</x:f>
        <x:v>0</x:v>
      </x:c>
      <x:c r="S47" s="7" t="n">
        <x:f>1</x:f>
        <x:v>1</x:v>
      </x:c>
      <x:c r="T47" s="7" t="n">
        <x:f>R47*S47</x:f>
        <x:v>0</x:v>
      </x:c>
      <x:c r="U47" s="28" t="n">
        <x:f>IF(T47=0,0,V47/T47)</x:f>
        <x:v>0</x:v>
      </x:c>
      <x:c r="V47" s="28" t="n">
        <x:f>SUM(K10)</x:f>
        <x:v>0</x:v>
      </x:c>
      <x:c r="W47" s="31" t="n">
        <x:f>V47/$R$23</x:f>
        <x:v>0</x:v>
      </x:c>
      <x:c r="X47" s="7" t="str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7" t="str">
        <x:v>MoE router / latent</x:v>
      </x:c>
      <x:c r="R48" s="7" t="n">
        <x:f>CHOOSE($R$22+1,1,4)</x:f>
        <x:v>1</x:v>
      </x:c>
      <x:c r="S48" s="7" t="n">
        <x:f>1</x:f>
        <x:v>1</x:v>
      </x:c>
      <x:c r="T48" s="7" t="n">
        <x:f>R48*S48</x:f>
        <x:v>1</x:v>
      </x:c>
      <x:c r="U48" s="28" t="n">
        <x:f>IF(T48=0,0,V48/T48)</x:f>
        <x:v>0.00000476837158203125</x:v>
      </x:c>
      <x:c r="V48" s="28" t="n">
        <x:f>SUM(K11)</x:f>
        <x:v>0.00000476837158203125</x:v>
      </x:c>
      <x:c r="W48" s="31" t="n">
        <x:f>V48/$R$23</x:f>
        <x:v>0.022172949002217297</x:v>
      </x:c>
      <x:c r="X48" s="7" t="str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7" t="str">
        <x:v>Routed experts</x:v>
      </x:c>
      <x:c r="R49" s="7" t="n">
        <x:f>CHOOSE($R$22+1,1,4)</x:f>
        <x:v>1</x:v>
      </x:c>
      <x:c r="S49" s="7" t="n">
        <x:f>ROUNDUP($T$9/$R$9,0)</x:f>
        <x:v>1</x:v>
      </x:c>
      <x:c r="T49" s="7" t="n">
        <x:f>R49*S49</x:f>
        <x:v>1</x:v>
      </x:c>
      <x:c r="U49" s="28" t="n">
        <x:f>IF(T49=0,0,V49/T49)</x:f>
        <x:v>0.0000040531158447265625</x:v>
      </x:c>
      <x:c r="V49" s="28" t="n">
        <x:f>SUM(K12)</x:f>
        <x:v>0.0000040531158447265625</x:v>
      </x:c>
      <x:c r="W49" s="31" t="n">
        <x:f>V49/$R$23</x:f>
        <x:v>0.018847006651884702</x:v>
      </x:c>
      <x:c r="X49" s="7" t="str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7" t="str">
        <x:v>Shared experts</x:v>
      </x:c>
      <x:c r="R50" s="7" t="n">
        <x:f>CHOOSE($R$22+1,1,4)</x:f>
        <x:v>1</x:v>
      </x:c>
      <x:c r="S50" s="7" t="n">
        <x:f>1</x:f>
        <x:v>1</x:v>
      </x:c>
      <x:c r="T50" s="7" t="n">
        <x:f>R50*S50</x:f>
        <x:v>1</x:v>
      </x:c>
      <x:c r="U50" s="28" t="n">
        <x:f>IF(T50=0,0,V50/T50)</x:f>
        <x:v>0.0000021457672119140625</x:v>
      </x:c>
      <x:c r="V50" s="28" t="n">
        <x:f>SUM(K13)</x:f>
        <x:v>0.0000021457672119140625</x:v>
      </x:c>
      <x:c r="W50" s="31" t="n">
        <x:f>V50/$R$23</x:f>
        <x:v>0.009977827050997782</x:v>
      </x:c>
      <x:c r="X50" s="7" t="str">
        <x:v>1 experts 融合单元</x:v>
      </x:c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7" t="str">
        <x:v>ViT blocks</x:v>
      </x:c>
      <x:c r="R51" s="7" t="n">
        <x:f>CHOOSE($R$22+1,2,0)</x:f>
        <x:v>2</x:v>
      </x:c>
      <x:c r="S51" s="7" t="n">
        <x:f>1</x:f>
        <x:v>1</x:v>
      </x:c>
      <x:c r="T51" s="7" t="n">
        <x:f>R51*S51</x:f>
        <x:v>2</x:v>
      </x:c>
      <x:c r="U51" s="28" t="n">
        <x:f>IF(T51=0,0,V51/T51)</x:f>
        <x:v>9.5367431640625e-7</x:v>
      </x:c>
      <x:c r="V51" s="28" t="n">
        <x:f>SUM(K15)</x:f>
        <x:v>0.0000019073486328125</x:v>
      </x:c>
      <x:c r="W51" s="31" t="n">
        <x:f>V51/$R$23</x:f>
        <x:v>0.008869179600886918</x:v>
      </x:c>
      <x:c r="X51" s="7" t="str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7" t="str">
        <x:v>ViT patch / final / MM</x:v>
      </x:c>
      <x:c r="R52" s="7" t="n">
        <x:f>CHOOSE($R$22+1,1,0)</x:f>
        <x:v>1</x:v>
      </x:c>
      <x:c r="S52" s="7" t="n">
        <x:f>1</x:f>
        <x:v>1</x:v>
      </x:c>
      <x:c r="T52" s="7" t="n">
        <x:f>R52*S52</x:f>
        <x:v>1</x:v>
      </x:c>
      <x:c r="U52" s="28" t="n">
        <x:f>IF(T52=0,0,V52/T52)</x:f>
        <x:v>0.000001430511474609375</x:v>
      </x:c>
      <x:c r="V52" s="28" t="n">
        <x:f>SUM(K14)</x:f>
        <x:v>0.000001430511474609375</x:v>
      </x:c>
      <x:c r="W52" s="31" t="n">
        <x:f>V52/$R$23</x:f>
        <x:v>0.0066518847006651885</x:v>
      </x:c>
      <x:c r="X52" s="7" t="str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6" t="str">
        <x:v>合计</x:v>
      </x:c>
      <x:c r="R53" s="26"/>
      <x:c r="S53" s="26"/>
      <x:c r="T53" s="26"/>
      <x:c r="U53" s="29"/>
      <x:c r="V53" s="29" t="n">
        <x:f>SUM(V40:V52)</x:f>
        <x:v>0.00021505355834960938</x:v>
      </x:c>
      <x:c r="W53" s="26"/>
      <x:c r="X53" s="26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 t="str">
        <x:v>Attention o_proj full gather</x:v>
      </x:c>
      <x:c r="R57" s="32" t="n">
        <x:f>IF(AND(R11&gt;1,T3&gt;0),SUM(AF9:AG9)/1073741824,0)</x:f>
        <x:v>0</x:v>
      </x:c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 t="str">
        <x:v>Attention o_proj transpose shard</x:v>
      </x:c>
      <x:c r="R58" s="32" t="n">
        <x:f>IF(AND(R11&gt;1,OR(D9="BF16",D9="FP32")),K9,0)</x:f>
        <x:v>0</x:v>
      </x:c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  <x:c r="AH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257</x:v>
      </x:c>
      <x:c r="R63" s="33" t="n">
        <x:f>ROUNDUP(Q63/($R$19*$R$12),0)*$R$19</x:f>
        <x:v>288</x:v>
      </x:c>
      <x:c r="S63" s="27" t="n">
        <x:f>R63*$T$3*$V$32/1073741824</x:f>
        <x:v>0</x:v>
      </x:c>
      <x:c r="T63" s="27" t="n">
        <x:f>R63*$T$3*$V$33/1073741824</x:f>
        <x:v>0</x:v>
      </x:c>
      <x:c r="U63" s="27" t="n">
        <x:f>R63*$R$12*$T$3*$V$35/1073741824</x:f>
        <x:v>0</x:v>
      </x:c>
      <x:c r="V63" s="27" t="n">
        <x:f>$T$2*($T$4/$R$2)*$T$5*$T$5*$R$17/1073741824</x:f>
        <x:v>0.000003814697265625</x:v>
      </x:c>
      <x:c r="W63" s="27" t="n">
        <x:f>$T$2*3*($T$4/$R$2)*$T$5*($T$14-1+$R$20)*$R$16/1073741824</x:f>
        <x:v>0.0000010728836059570312</x:v>
      </x:c>
      <x:c r="X63" s="27" t="n">
        <x:f>IF($R$30=1,SUM(S63:W63),NA())</x:f>
        <x:v>0.000004887580871582031</x:v>
      </x:c>
      <x:c r="Y63" s="27" t="n">
        <x:f>$R$23+X63</x:f>
        <x:v>0.0002199411392211914</x:v>
      </x:c>
      <x:c r="Z63" s="2"/>
      <x:c r="AA63" s="2"/>
      <x:c r="AB63" s="2"/>
      <x:c r="AC63" s="2"/>
      <x:c r="AD63" s="2"/>
      <x:c r="AE63" s="2"/>
      <x:c r="AF63" s="2"/>
      <x:c r="AG63" s="2"/>
      <x:c r="AH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16</x:v>
      </x:c>
      <x:c r="R64" s="34" t="n">
        <x:f>ROUNDUP(Q64/($R$19*$R$12),0)*$R$19</x:f>
        <x:v>32</x:v>
      </x:c>
      <x:c r="S64" s="28" t="n">
        <x:f>R64*$T$3*$V$32/1073741824</x:f>
        <x:v>0</x:v>
      </x:c>
      <x:c r="T64" s="28" t="n">
        <x:f>R64*$T$3*$V$33/1073741824</x:f>
        <x:v>0</x:v>
      </x:c>
      <x:c r="U64" s="28" t="n">
        <x:f>R64*$R$12*$T$3*$V$35/1073741824</x:f>
        <x:v>0</x:v>
      </x:c>
      <x:c r="V64" s="28" t="n">
        <x:f>$T$2*($T$4/$R$2)*$T$5*$T$5*$R$17/1073741824</x:f>
        <x:v>0.000003814697265625</x:v>
      </x:c>
      <x:c r="W64" s="28" t="n">
        <x:f>$T$2*3*($T$4/$R$2)*$T$5*($T$14-1+$R$20)*$R$16/1073741824</x:f>
        <x:v>0.0000010728836059570312</x:v>
      </x:c>
      <x:c r="X64" s="28" t="n">
        <x:f>IF($R$30=1,SUM(S64:W64),NA())</x:f>
        <x:v>0.000004887580871582031</x:v>
      </x:c>
      <x:c r="Y64" s="28" t="n">
        <x:f>$R$23+X64</x:f>
        <x:v>0.0002199411392211914</x:v>
      </x:c>
      <x:c r="Z64" s="2"/>
      <x:c r="AA64" s="2"/>
      <x:c r="AB64" s="2"/>
      <x:c r="AC64" s="2"/>
      <x:c r="AD64" s="2"/>
      <x:c r="AE64" s="2"/>
      <x:c r="AF64" s="2"/>
      <x:c r="AG64" s="2"/>
      <x:c r="AH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32</x:v>
      </x:c>
      <x:c r="R65" s="34" t="n">
        <x:f>ROUNDUP(Q65/($R$19*$R$12),0)*$R$19</x:f>
        <x:v>32</x:v>
      </x:c>
      <x:c r="S65" s="28" t="n">
        <x:f>R65*$T$3*$V$32/1073741824</x:f>
        <x:v>0</x:v>
      </x:c>
      <x:c r="T65" s="28" t="n">
        <x:f>R65*$T$3*$V$33/1073741824</x:f>
        <x:v>0</x:v>
      </x:c>
      <x:c r="U65" s="28" t="n">
        <x:f>R65*$R$12*$T$3*$V$35/1073741824</x:f>
        <x:v>0</x:v>
      </x:c>
      <x:c r="V65" s="28" t="n">
        <x:f>$T$2*($T$4/$R$2)*$T$5*$T$5*$R$17/1073741824</x:f>
        <x:v>0.000003814697265625</x:v>
      </x:c>
      <x:c r="W65" s="28" t="n">
        <x:f>$T$2*3*($T$4/$R$2)*$T$5*($T$14-1+$R$20)*$R$16/1073741824</x:f>
        <x:v>0.0000010728836059570312</x:v>
      </x:c>
      <x:c r="X65" s="28" t="n">
        <x:f>IF($R$30=1,SUM(S65:W65),NA())</x:f>
        <x:v>0.000004887580871582031</x:v>
      </x:c>
      <x:c r="Y65" s="28" t="n">
        <x:f>$R$23+X65</x:f>
        <x:v>0.0002199411392211914</x:v>
      </x:c>
      <x:c r="Z65" s="2"/>
      <x:c r="AA65" s="2"/>
      <x:c r="AB65" s="2"/>
      <x:c r="AC65" s="2"/>
      <x:c r="AD65" s="2"/>
      <x:c r="AE65" s="2"/>
      <x:c r="AF65" s="2"/>
      <x:c r="AG65" s="2"/>
      <x:c r="AH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64</x:v>
      </x:c>
      <x:c r="R66" s="34" t="n">
        <x:f>ROUNDUP(Q66/($R$19*$R$12),0)*$R$19</x:f>
        <x:v>64</x:v>
      </x:c>
      <x:c r="S66" s="28" t="n">
        <x:f>R66*$T$3*$V$32/1073741824</x:f>
        <x:v>0</x:v>
      </x:c>
      <x:c r="T66" s="28" t="n">
        <x:f>R66*$T$3*$V$33/1073741824</x:f>
        <x:v>0</x:v>
      </x:c>
      <x:c r="U66" s="28" t="n">
        <x:f>R66*$R$12*$T$3*$V$35/1073741824</x:f>
        <x:v>0</x:v>
      </x:c>
      <x:c r="V66" s="28" t="n">
        <x:f>$T$2*($T$4/$R$2)*$T$5*$T$5*$R$17/1073741824</x:f>
        <x:v>0.000003814697265625</x:v>
      </x:c>
      <x:c r="W66" s="28" t="n">
        <x:f>$T$2*3*($T$4/$R$2)*$T$5*($T$14-1+$R$20)*$R$16/1073741824</x:f>
        <x:v>0.0000010728836059570312</x:v>
      </x:c>
      <x:c r="X66" s="28" t="n">
        <x:f>IF($R$30=1,SUM(S66:W66),NA())</x:f>
        <x:v>0.000004887580871582031</x:v>
      </x:c>
      <x:c r="Y66" s="28" t="n">
        <x:f>$R$23+X66</x:f>
        <x:v>0.0002199411392211914</x:v>
      </x:c>
      <x:c r="Z66" s="2"/>
      <x:c r="AA66" s="2"/>
      <x:c r="AB66" s="2"/>
      <x:c r="AC66" s="2"/>
      <x:c r="AD66" s="2"/>
      <x:c r="AE66" s="2"/>
      <x:c r="AF66" s="2"/>
      <x:c r="AG66" s="2"/>
      <x:c r="AH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128</x:v>
      </x:c>
      <x:c r="R67" s="34" t="n">
        <x:f>ROUNDUP(Q67/($R$19*$R$12),0)*$R$19</x:f>
        <x:v>128</x:v>
      </x:c>
      <x:c r="S67" s="28" t="n">
        <x:f>R67*$T$3*$V$32/1073741824</x:f>
        <x:v>0</x:v>
      </x:c>
      <x:c r="T67" s="28" t="n">
        <x:f>R67*$T$3*$V$33/1073741824</x:f>
        <x:v>0</x:v>
      </x:c>
      <x:c r="U67" s="28" t="n">
        <x:f>R67*$R$12*$T$3*$V$35/1073741824</x:f>
        <x:v>0</x:v>
      </x:c>
      <x:c r="V67" s="28" t="n">
        <x:f>$T$2*($T$4/$R$2)*$T$5*$T$5*$R$17/1073741824</x:f>
        <x:v>0.000003814697265625</x:v>
      </x:c>
      <x:c r="W67" s="28" t="n">
        <x:f>$T$2*3*($T$4/$R$2)*$T$5*($T$14-1+$R$20)*$R$16/1073741824</x:f>
        <x:v>0.0000010728836059570312</x:v>
      </x:c>
      <x:c r="X67" s="28" t="n">
        <x:f>IF($R$30=1,SUM(S67:W67),NA())</x:f>
        <x:v>0.000004887580871582031</x:v>
      </x:c>
      <x:c r="Y67" s="28" t="n">
        <x:f>$R$23+X67</x:f>
        <x:v>0.0002199411392211914</x:v>
      </x:c>
      <x:c r="Z67" s="2"/>
      <x:c r="AA67" s="2"/>
      <x:c r="AB67" s="2"/>
      <x:c r="AC67" s="2"/>
      <x:c r="AD67" s="2"/>
      <x:c r="AE67" s="2"/>
      <x:c r="AF67" s="2"/>
      <x:c r="AG67" s="2"/>
      <x:c r="AH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256</x:v>
      </x:c>
      <x:c r="R68" s="34" t="n">
        <x:f>ROUNDUP(Q68/($R$19*$R$12),0)*$R$19</x:f>
        <x:v>256</x:v>
      </x:c>
      <x:c r="S68" s="28" t="n">
        <x:f>R68*$T$3*$V$32/1073741824</x:f>
        <x:v>0</x:v>
      </x:c>
      <x:c r="T68" s="28" t="n">
        <x:f>R68*$T$3*$V$33/1073741824</x:f>
        <x:v>0</x:v>
      </x:c>
      <x:c r="U68" s="28" t="n">
        <x:f>R68*$R$12*$T$3*$V$35/1073741824</x:f>
        <x:v>0</x:v>
      </x:c>
      <x:c r="V68" s="28" t="n">
        <x:f>$T$2*($T$4/$R$2)*$T$5*$T$5*$R$17/1073741824</x:f>
        <x:v>0.000003814697265625</x:v>
      </x:c>
      <x:c r="W68" s="28" t="n">
        <x:f>$T$2*3*($T$4/$R$2)*$T$5*($T$14-1+$R$20)*$R$16/1073741824</x:f>
        <x:v>0.0000010728836059570312</x:v>
      </x:c>
      <x:c r="X68" s="28" t="n">
        <x:f>IF($R$30=1,SUM(S68:W68),NA())</x:f>
        <x:v>0.000004887580871582031</x:v>
      </x:c>
      <x:c r="Y68" s="28" t="n">
        <x:f>$R$23+X68</x:f>
        <x:v>0.0002199411392211914</x:v>
      </x:c>
      <x:c r="Z68" s="2"/>
      <x:c r="AA68" s="2"/>
      <x:c r="AB68" s="2"/>
      <x:c r="AC68" s="2"/>
      <x:c r="AD68" s="2"/>
      <x:c r="AE68" s="2"/>
      <x:c r="AF68" s="2"/>
      <x:c r="AG68" s="2"/>
      <x:c r="AH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512</x:v>
      </x:c>
      <x:c r="R69" s="34" t="n">
        <x:f>ROUNDUP(Q69/($R$19*$R$12),0)*$R$19</x:f>
        <x:v>512</x:v>
      </x:c>
      <x:c r="S69" s="28" t="n">
        <x:f>R69*$T$3*$V$32/1073741824</x:f>
        <x:v>0</x:v>
      </x:c>
      <x:c r="T69" s="28" t="n">
        <x:f>R69*$T$3*$V$33/1073741824</x:f>
        <x:v>0</x:v>
      </x:c>
      <x:c r="U69" s="28" t="n">
        <x:f>R69*$R$12*$T$3*$V$35/1073741824</x:f>
        <x:v>0</x:v>
      </x:c>
      <x:c r="V69" s="28" t="n">
        <x:f>$T$2*($T$4/$R$2)*$T$5*$T$5*$R$17/1073741824</x:f>
        <x:v>0.000003814697265625</x:v>
      </x:c>
      <x:c r="W69" s="28" t="n">
        <x:f>$T$2*3*($T$4/$R$2)*$T$5*($T$14-1+$R$20)*$R$16/1073741824</x:f>
        <x:v>0.0000010728836059570312</x:v>
      </x:c>
      <x:c r="X69" s="28" t="n">
        <x:f>IF($R$30=1,SUM(S69:W69),NA())</x:f>
        <x:v>0.000004887580871582031</x:v>
      </x:c>
      <x:c r="Y69" s="28" t="n">
        <x:f>$R$23+X69</x:f>
        <x:v>0.0002199411392211914</x:v>
      </x:c>
      <x:c r="Z69" s="2"/>
      <x:c r="AA69" s="2"/>
      <x:c r="AB69" s="2"/>
      <x:c r="AC69" s="2"/>
      <x:c r="AD69" s="2"/>
      <x:c r="AE69" s="2"/>
      <x:c r="AF69" s="2"/>
      <x:c r="AG69" s="2"/>
      <x:c r="AH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1024</x:v>
      </x:c>
      <x:c r="R70" s="34" t="n">
        <x:f>ROUNDUP(Q70/($R$19*$R$12),0)*$R$19</x:f>
        <x:v>1024</x:v>
      </x:c>
      <x:c r="S70" s="28" t="n">
        <x:f>R70*$T$3*$V$32/1073741824</x:f>
        <x:v>0</x:v>
      </x:c>
      <x:c r="T70" s="28" t="n">
        <x:f>R70*$T$3*$V$33/1073741824</x:f>
        <x:v>0</x:v>
      </x:c>
      <x:c r="U70" s="28" t="n">
        <x:f>R70*$R$12*$T$3*$V$35/1073741824</x:f>
        <x:v>0</x:v>
      </x:c>
      <x:c r="V70" s="28" t="n">
        <x:f>$T$2*($T$4/$R$2)*$T$5*$T$5*$R$17/1073741824</x:f>
        <x:v>0.000003814697265625</x:v>
      </x:c>
      <x:c r="W70" s="28" t="n">
        <x:f>$T$2*3*($T$4/$R$2)*$T$5*($T$14-1+$R$20)*$R$16/1073741824</x:f>
        <x:v>0.0000010728836059570312</x:v>
      </x:c>
      <x:c r="X70" s="28" t="n">
        <x:f>IF($R$30=1,SUM(S70:W70),NA())</x:f>
        <x:v>0.000004887580871582031</x:v>
      </x:c>
      <x:c r="Y70" s="28" t="n">
        <x:f>$R$23+X70</x:f>
        <x:v>0.0002199411392211914</x:v>
      </x:c>
      <x:c r="Z70" s="2"/>
      <x:c r="AA70" s="2"/>
      <x:c r="AB70" s="2"/>
      <x:c r="AC70" s="2"/>
      <x:c r="AD70" s="2"/>
      <x:c r="AE70" s="2"/>
      <x:c r="AF70" s="2"/>
      <x:c r="AG70" s="2"/>
      <x:c r="AH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2048</x:v>
      </x:c>
      <x:c r="R71" s="34" t="n">
        <x:f>ROUNDUP(Q71/($R$19*$R$12),0)*$R$19</x:f>
        <x:v>2048</x:v>
      </x:c>
      <x:c r="S71" s="28" t="n">
        <x:f>R71*$T$3*$V$32/1073741824</x:f>
        <x:v>0</x:v>
      </x:c>
      <x:c r="T71" s="28" t="n">
        <x:f>R71*$T$3*$V$33/1073741824</x:f>
        <x:v>0</x:v>
      </x:c>
      <x:c r="U71" s="28" t="n">
        <x:f>R71*$R$12*$T$3*$V$35/1073741824</x:f>
        <x:v>0</x:v>
      </x:c>
      <x:c r="V71" s="28" t="n">
        <x:f>$T$2*($T$4/$R$2)*$T$5*$T$5*$R$17/1073741824</x:f>
        <x:v>0.000003814697265625</x:v>
      </x:c>
      <x:c r="W71" s="28" t="n">
        <x:f>$T$2*3*($T$4/$R$2)*$T$5*($T$14-1+$R$20)*$R$16/1073741824</x:f>
        <x:v>0.0000010728836059570312</x:v>
      </x:c>
      <x:c r="X71" s="28" t="n">
        <x:f>IF($R$30=1,SUM(S71:W71),NA())</x:f>
        <x:v>0.000004887580871582031</x:v>
      </x:c>
      <x:c r="Y71" s="28" t="n">
        <x:f>$R$23+X71</x:f>
        <x:v>0.0002199411392211914</x:v>
      </x:c>
      <x:c r="Z71" s="2"/>
      <x:c r="AA71" s="2"/>
      <x:c r="AB71" s="2"/>
      <x:c r="AC71" s="2"/>
      <x:c r="AD71" s="2"/>
      <x:c r="AE71" s="2"/>
      <x:c r="AF71" s="2"/>
      <x:c r="AG71" s="2"/>
      <x:c r="AH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4096</x:v>
      </x:c>
      <x:c r="R72" s="35" t="n">
        <x:f>ROUNDUP(Q72/($R$19*$R$12),0)*$R$19</x:f>
        <x:v>4096</x:v>
      </x:c>
      <x:c r="S72" s="36" t="n">
        <x:f>R72*$T$3*$V$32/1073741824</x:f>
        <x:v>0</x:v>
      </x:c>
      <x:c r="T72" s="36" t="n">
        <x:f>R72*$T$3*$V$33/1073741824</x:f>
        <x:v>0</x:v>
      </x:c>
      <x:c r="U72" s="36" t="n">
        <x:f>R72*$R$12*$T$3*$V$35/1073741824</x:f>
        <x:v>0</x:v>
      </x:c>
      <x:c r="V72" s="36" t="n">
        <x:f>$T$2*($T$4/$R$2)*$T$5*$T$5*$R$17/1073741824</x:f>
        <x:v>0.000003814697265625</x:v>
      </x:c>
      <x:c r="W72" s="36" t="n">
        <x:f>$T$2*3*($T$4/$R$2)*$T$5*($T$14-1+$R$20)*$R$16/1073741824</x:f>
        <x:v>0.0000010728836059570312</x:v>
      </x:c>
      <x:c r="X72" s="36" t="n">
        <x:f>IF($R$30=1,SUM(S72:W72),NA())</x:f>
        <x:v>0.000004887580871582031</x:v>
      </x:c>
      <x:c r="Y72" s="36" t="n">
        <x:f>$R$23+X72</x:f>
        <x:v>0.0002199411392211914</x:v>
      </x:c>
      <x:c r="Z72" s="2"/>
      <x:c r="AA72" s="2"/>
      <x:c r="AB72" s="2"/>
      <x:c r="AC72" s="2"/>
      <x:c r="AD72" s="2"/>
      <x:c r="AE72" s="2"/>
      <x:c r="AF72" s="2"/>
      <x:c r="AG72" s="2"/>
      <x:c r="AH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32, 1, 100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DCP 组内按卡复制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DSA CP 切计算，主 KV 按卡保存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IF(R14="BF16","无",IF(R14="INT8","FP16 / token","FP32 / token"))</x:f>
        <x:v>FP16 / token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INT8 / Indexer INT8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  <x:c r="AH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6" t="n">
        <x:v>0</x:v>
      </x:c>
      <x:c r="R87" s="6" t="str">
        <x:v>1-2</x:v>
      </x:c>
      <x:c r="S87" s="6" t="n">
        <x:v>2</x:v>
      </x:c>
      <x:c r="T87" s="6" t="n">
        <x:v>2</x:v>
      </x:c>
      <x:c r="U87" s="6" t="n">
        <x:v>0</x:v>
      </x:c>
      <x:c r="V87" s="6" t="n">
        <x:v>1</x:v>
      </x:c>
      <x:c r="W87" s="27" t="n">
        <x:f>SUM(AA2:AA15)</x:f>
        <x:v>0.00021505355834960938</x:v>
      </x:c>
      <x:c r="X87" s="27" t="n">
        <x:f>IF($R$30=1,ROUNDUP($R$18/($R$19*$R$12),0)*$R$19*U87*($V$34+$R$12*$V$35)/1073741824+T87*($T$4/$R$2)*$T$5*$T$5*$R$17/1073741824+T87*3*($T$4/$R$2)*$T$5*($T$14-1+$R$20)*$R$16/1073741824,NA())</x:f>
        <x:v>0.000004887580871582031</x:v>
      </x:c>
      <x:c r="Y87" s="27" t="n">
        <x:f>W87+X87+AC87</x:f>
        <x:v>0.0002199411392211914</x:v>
      </x:c>
      <x:c r="Z87" s="6" t="n">
        <x:v>1</x:v>
      </x:c>
      <x:c r="AA87" s="6" t="n">
        <x:v>0</x:v>
      </x:c>
      <x:c r="AB87" s="6" t="n">
        <x:v>1</x:v>
      </x:c>
      <x:c r="AC87" s="27" t="n">
        <x:f>IF($R$11&gt;1,IF(U87&gt;0,SUM(AF9:AG9)/1073741824,0)+IF(OR($D$9="BF16",$D$9="FP32"),AA9,0),0)</x:f>
        <x:v>0</x:v>
      </x:c>
      <x:c r="AD87" s="2"/>
      <x:c r="AE87" s="2"/>
      <x:c r="AF87" s="2"/>
      <x:c r="AG87" s="2"/>
      <x:c r="AH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8" t="n">
        <x:v>1</x:v>
      </x:c>
      <x:c r="R88" s="8" t="str">
        <x:v>3-6</x:v>
      </x:c>
      <x:c r="S88" s="8" t="n">
        <x:v>4</x:v>
      </x:c>
      <x:c r="T88" s="8" t="n">
        <x:v>2</x:v>
      </x:c>
      <x:c r="U88" s="8" t="n">
        <x:v>2</x:v>
      </x:c>
      <x:c r="V88" s="8" t="n">
        <x:v>4</x:v>
      </x:c>
      <x:c r="W88" s="36" t="n">
        <x:f>SUM(AB2:AB15)</x:f>
        <x:v>0.0002760887145996094</x:v>
      </x:c>
      <x:c r="X88" s="36" t="n">
        <x:f>IF($R$30=1,ROUNDUP($R$18/($R$19*$R$12),0)*$R$19*U88*($V$34+$R$12*$V$35)/1073741824+T88*($T$4/$R$2)*$T$5*$T$5*$R$17/1073741824+T88*3*($T$4/$R$2)*$T$5*($T$14-1+$R$20)*$R$16/1073741824,NA())</x:f>
        <x:v>0.00007677078247070312</x:v>
      </x:c>
      <x:c r="Y88" s="36" t="n">
        <x:f>W88+X88+AC88</x:f>
        <x:v>0.00038433074951171875</x:v>
      </x:c>
      <x:c r="Z88" s="8" t="n">
        <x:v>0</x:v>
      </x:c>
      <x:c r="AA88" s="8" t="n">
        <x:v>1</x:v>
      </x:c>
      <x:c r="AB88" s="8" t="n">
        <x:v>0</x:v>
      </x:c>
      <x:c r="AC88" s="36" t="n">
        <x:f>IF($R$11&gt;1,IF(U88&gt;0,SUM(AF9:AG9)/1073741824,0)+IF(OR($D$9="BF16",$D$9="FP32"),AB9,0),0)</x:f>
        <x:v>0.00003147125244140625</x:v>
      </x:c>
      <x:c r="AD88" s="2"/>
      <x:c r="AE88" s="2"/>
      <x:c r="AF88" s="2"/>
      <x:c r="AG88" s="2"/>
      <x:c r="AH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  <x:c r="AH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  <x:c r="AH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  <x:c r="AH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MAX(W87:W88)</x:f>
        <x:v>0.0002760887145996094</x:v>
      </x:c>
      <x:c r="X92" s="37" t="n">
        <x:f>MAX(X87:X88)</x:f>
        <x:v>0.00007677078247070312</x:v>
      </x:c>
      <x:c r="Y92" s="37" t="n">
        <x:f>MAX(Y87:Y88)</x:f>
        <x:v>0.00038433074951171875</x:v>
      </x:c>
      <x:c r="Z92" s="5"/>
      <x:c r="AA92" s="5"/>
      <x:c r="AB92" s="5"/>
      <x:c r="AC92" s="37" t="n">
        <x:f>MAX(AC87:AC88)</x:f>
        <x:v>0.00003147125244140625</x:v>
      </x:c>
      <x:c r="AD92" s="2"/>
      <x:c r="AE92" s="2"/>
      <x:c r="AF92" s="2"/>
      <x:c r="AG92" s="2"/>
      <x:c r="AH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</x:row>
  </x:sheetData>
  <x:mergeCells>
    <x:mergeCell ref="U1:V2"/>
  </x:mergeCells>
  <x:conditionalFormatting sqref="R30:R30">
    <x:cfRule type="cellIs" dxfId="2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4096</x:formula2>
    </x:dataValidation>
    <x:dataValidation type="whole" operator="between" sqref="R19">
      <x:formula1>1</x:formula1>
      <x:formula2>4096</x:formula2>
    </x:dataValidation>
    <x:dataValidation type="whole" operator="between" sqref="R20">
      <x:formula1>0</x:formula1>
      <x:formula2>64</x:formula2>
    </x:dataValidation>
    <x:dataValidation type="list" sqref="R22">
      <x:formula1>"0,1"</x:formula1>
    </x:dataValidation>
    <x:dataValidation type="list" sqref="R13">
      <x:formula1>"BF16,INT8,FP8"</x:formula1>
    </x:dataValidation>
    <x:dataValidation type="list" sqref="R14">
      <x:formula1>"BF16,INT8,FP8"</x:formula1>
    </x:dataValidation>
    <x:dataValidation type="list" sqref="D2:D15">
      <x:formula1>"BF16,FP32,FP8,MXFP4,MXFP8,INT4,INT8"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本卡主权重 bytes</x:v>
      </x:c>
      <x:c r="AC1" s="5" t="str">
        <x:v>本卡 scale bytes</x:v>
      </x:c>
      <x:c r="AD1" s="5" t="str">
        <x:v>本卡附加 bytes</x:v>
      </x:c>
      <x:c r="AE1" s="5" t="str">
        <x:v>全局主权重 bytes</x:v>
      </x:c>
      <x:c r="AF1" s="5" t="str">
        <x:v>全局 scale bytes</x:v>
      </x:c>
      <x:c r="AG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[1024,256]</x:v>
      </x:c>
      <x:c r="D2" s="49" t="str">
        <x:v>BF16</x:v>
      </x:c>
      <x:c r="E2" s="50" t="n">
        <x:v>1</x:v>
      </x:c>
      <x:c r="F2" s="50" t="n">
        <x:f>(1024)*(256)</x:f>
        <x:v>262144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E2*SUM(AE2:AG2)/1073741824</x:f>
        <x:v>0.00048828125</x:v>
      </x:c>
      <x:c r="K2" s="51" t="n">
        <x:f>AA2</x:f>
        <x:v>0.0001220703125</x:v>
      </x:c>
      <x:c r="L2" s="48" t="str">
        <x:f>IF(OR(D2="MXFP4",D2="MXFP8"),"group 32 / E8M0",IF(D2="INT8","channel / 8 B",IF(D2="INT4","channel / 16 B","")))</x:f>
      </x:c>
      <x:c r="M2" s="52" t="n">
        <x:f>$R$7</x:f>
        <x:v>4</x:v>
      </x:c>
      <x:c r="N2" s="48" t="str">
        <x:f>"["&amp;(1024/M2)&amp;","&amp;(256)&amp;"]"</x:f>
        <x:v>[256,256]</x:v>
      </x:c>
      <x:c r="O2" s="50" t="n">
        <x:f>CHOOSE($R$22+1,1)</x:f>
        <x:v>1</x:v>
      </x:c>
      <x:c r="P2" s="2"/>
      <x:c r="Q2" s="6" t="str">
        <x:v>KDA 主体 TP</x:v>
      </x:c>
      <x:c r="R2" s="13" t="n">
        <x:v>4</x:v>
      </x:c>
      <x:c r="S2" s="6" t="str">
        <x:v>本 stage KDA 层数</x:v>
      </x:c>
      <x:c r="T2" s="6" t="n">
        <x:f>CHOOSE(R22+1,4)</x:f>
        <x:v>4</x:v>
      </x:c>
      <x:c r="U2" s="19"/>
      <x:c r="V2" s="19"/>
      <x:c r="W2" s="2"/>
      <x:c r="X2" s="2"/>
      <x:c r="Y2" s="2"/>
      <x:c r="Z2" s="2"/>
      <x:c r="AA2" s="38" t="n">
        <x:f>IF($R$30=1,SUM(AB2:AD2)*(1)/1073741824,NA())</x:f>
        <x:v>0.0001220703125</x:v>
      </x:c>
      <x:c r="AB2" s="39" t="n">
        <x:f>(1024/M2)*ROUNDUP((256)*VLOOKUP(D2,$Q$32:$R$38,2,FALSE),0)</x:f>
        <x:v>131072</x:v>
      </x:c>
      <x:c r="AC2" s="39" t="n">
        <x:f>IF(OR(D2="MXFP4",D2="MXFP8"),(1024/M2)*ROUNDUP((256)/32,0),0)</x:f>
        <x:v>0</x:v>
      </x:c>
      <x:c r="AD2" s="39" t="n">
        <x:f>IF(D2="INT8",(1024/M2)*8,IF(D2="INT4",(1024/M2)*16,0))</x:f>
        <x:v>0</x:v>
      </x:c>
      <x:c r="AE2" s="39" t="n">
        <x:f>(1024)*ROUNDUP((256)*VLOOKUP(D2,$Q$32:$R$38,2,FALSE),0)</x:f>
        <x:v>524288</x:v>
      </x:c>
      <x:c r="AF2" s="39" t="n">
        <x:f>IF(OR(D2="MXFP4",D2="MXFP8"),(1024)*ROUNDUP((256)/32,0),0)</x:f>
        <x:v>0</x:v>
      </x:c>
      <x:c r="AG2" s="39" t="n">
        <x:f>IF(D2="INT8",(1024)*8,IF(D2="INT4",(1024)*16,0))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[1024,256]</x:v>
      </x:c>
      <x:c r="D3" s="10" t="str">
        <x:v>BF16</x:v>
      </x:c>
      <x:c r="E3" s="34" t="n">
        <x:v>1</x:v>
      </x:c>
      <x:c r="F3" s="34" t="n">
        <x:f>(1024)*(256)</x:f>
        <x:v>262144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E3*SUM(AE3:AG3)/1073741824</x:f>
        <x:v>0.00048828125</x:v>
      </x:c>
      <x:c r="K3" s="44" t="n">
        <x:f>AA3</x:f>
        <x:v>0.0001220703125</x:v>
      </x:c>
      <x:c r="L3" s="7" t="str">
        <x:f>IF(OR(D3="MXFP4",D3="MXFP8"),"group 32 / E8M0",IF(D3="INT8","channel / 8 B",IF(D3="INT4","channel / 16 B","")))</x:f>
      </x:c>
      <x:c r="M3" s="45" t="n">
        <x:f>$R$6</x:f>
        <x:v>4</x:v>
      </x:c>
      <x:c r="N3" s="7" t="str">
        <x:f>"["&amp;(1024/M3)&amp;","&amp;(256)&amp;"]"</x:f>
        <x:v>[256,256]</x:v>
      </x:c>
      <x:c r="O3" s="34" t="n">
        <x:f>CHOOSE($R$22+1,1)</x:f>
        <x:v>1</x:v>
      </x:c>
      <x:c r="P3" s="2"/>
      <x:c r="Q3" s="7" t="str">
        <x:v>KDA o_proj TP</x:v>
      </x:c>
      <x:c r="R3" s="14" t="n">
        <x:f>$R$2*1</x:f>
        <x:v>4</x:v>
      </x:c>
      <x:c r="S3" s="7" t="str">
        <x:v>本 stage Attention 层数</x:v>
      </x:c>
      <x:c r="T3" s="7" t="n">
        <x:f>CHOOSE(R22+1,2)</x:f>
        <x:v>2</x:v>
      </x:c>
      <x:c r="U3" s="2"/>
      <x:c r="V3" s="2"/>
      <x:c r="W3" s="2"/>
      <x:c r="X3" s="2"/>
      <x:c r="Y3" s="2"/>
      <x:c r="Z3" s="2"/>
      <x:c r="AA3" s="38" t="n">
        <x:f>IF($R$30=1,SUM(AB3:AD3)*(1)/1073741824,NA())</x:f>
        <x:v>0.0001220703125</x:v>
      </x:c>
      <x:c r="AB3" s="39" t="n">
        <x:f>(1024/M3)*ROUNDUP((256)*VLOOKUP(D3,$Q$32:$R$38,2,FALSE),0)</x:f>
        <x:v>131072</x:v>
      </x:c>
      <x:c r="AC3" s="39" t="n">
        <x:f>IF(OR(D3="MXFP4",D3="MXFP8"),(1024/M3)*ROUNDUP((256)/32,0),0)</x:f>
        <x:v>0</x:v>
      </x:c>
      <x:c r="AD3" s="39" t="n">
        <x:f>IF(D3="INT8",(1024/M3)*8,IF(D3="INT4",(1024/M3)*16,0))</x:f>
        <x:v>0</x:v>
      </x:c>
      <x:c r="AE3" s="39" t="n">
        <x:f>(1024)*ROUNDUP((256)*VLOOKUP(D3,$Q$32:$R$38,2,FALSE),0)</x:f>
        <x:v>524288</x:v>
      </x:c>
      <x:c r="AF3" s="39" t="n">
        <x:f>IF(OR(D3="MXFP4",D3="MXFP8"),(1024)*ROUNDUP((256)/32,0),0)</x:f>
        <x:v>0</x:v>
      </x:c>
      <x:c r="AG3" s="39" t="n">
        <x:f>IF(D3="INT8",(1024)*8,IF(D3="INT4",(1024)*16,0))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[256]</x:v>
      </x:c>
      <x:c r="D4" s="49" t="str">
        <x:v>BF16</x:v>
      </x:c>
      <x:c r="E4" s="50" t="n">
        <x:v>6</x:v>
      </x:c>
      <x:c r="F4" s="50" t="n">
        <x:f>(256)</x:f>
        <x:v>256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E4*SUM(AE4:AG4)/1073741824</x:f>
        <x:v>0.00000286102294921875</x:v>
      </x:c>
      <x:c r="K4" s="51" t="n">
        <x:f>AA4</x:f>
        <x:v>0.00000286102294921875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"["&amp;(256/M4)&amp;"]"</x:f>
        <x:v>[256]</x:v>
      </x:c>
      <x:c r="O4" s="50" t="n">
        <x:f>CHOOSE($R$22+1,6)</x:f>
        <x:v>6</x:v>
      </x:c>
      <x:c r="P4" s="2"/>
      <x:c r="Q4" s="7" t="str">
        <x:v>Attention 主体 TP</x:v>
      </x:c>
      <x:c r="R4" s="14" t="n">
        <x:f>IF(R11&gt;1,1,R2)</x:f>
        <x:v>4</x:v>
      </x:c>
      <x:c r="S4" s="7" t="str">
        <x:v>KDA heads</x:v>
      </x:c>
      <x:c r="T4" s="7" t="n">
        <x:v>8</x:v>
      </x:c>
      <x:c r="U4" s="2"/>
      <x:c r="V4" s="2"/>
      <x:c r="W4" s="2"/>
      <x:c r="X4" s="2"/>
      <x:c r="Y4" s="2"/>
      <x:c r="Z4" s="2"/>
      <x:c r="AA4" s="38" t="n">
        <x:f>IF($R$30=1,SUM(AB4:AD4)*(6)/1073741824,NA())</x:f>
        <x:v>0.00000286102294921875</x:v>
      </x:c>
      <x:c r="AB4" s="39" t="n">
        <x:f>1*ROUNDUP((256/M4)*VLOOKUP(D4,$Q$32:$R$38,2,FALSE),0)</x:f>
        <x:v>512</x:v>
      </x:c>
      <x:c r="AC4" s="39" t="n">
        <x:f>IF(OR(D4="MXFP4",D4="MXFP8"),1*ROUNDUP((256/M4)/32,0),0)</x:f>
        <x:v>0</x:v>
      </x:c>
      <x:c r="AD4" s="39" t="n">
        <x:f>IF(D4="INT8",(256/M4)*8,IF(D4="INT4",(256/M4)*16,0))</x:f>
        <x:v>0</x:v>
      </x:c>
      <x:c r="AE4" s="39" t="n">
        <x:f>1*ROUNDUP((256)*VLOOKUP(D4,$Q$32:$R$38,2,FALSE),0)</x:f>
        <x:v>512</x:v>
      </x:c>
      <x:c r="AF4" s="39" t="n">
        <x:f>IF(OR(D4="MXFP4",D4="MXFP8"),1*ROUNDUP((256)/32,0),0)</x:f>
        <x:v>0</x:v>
      </x:c>
      <x:c r="AG4" s="39" t="n">
        <x:f>IF(D4="INT8",(256)*8,IF(D4="INT4",(256)*16,0))</x:f>
        <x:v>0</x:v>
      </x:c>
    </x:row>
    <x:row r="5" ht="18" customHeight="1">
      <x:c r="A5" s="48" t="str">
        <x:v>Dense MLP</x:v>
      </x:c>
      <x:c r="B5" s="48" t="str">
        <x:v>gate_proj.weight</x:v>
      </x:c>
      <x:c r="C5" s="48" t="str">
        <x:v>[512,256]</x:v>
      </x:c>
      <x:c r="D5" s="49" t="str">
        <x:v>INT8</x:v>
      </x:c>
      <x:c r="E5" s="50" t="n">
        <x:v>1</x:v>
      </x:c>
      <x:c r="F5" s="50" t="n">
        <x:f>(512)*(256)</x:f>
        <x:v>131072</x:v>
      </x:c>
      <x:c r="G5" s="48" t="str">
        <x:v>Other TP</x:v>
      </x:c>
      <x:c r="H5" s="48" t="str">
        <x:v>None</x:v>
      </x:c>
      <x:c r="I5" s="48" t="str">
        <x:v>否</x:v>
      </x:c>
      <x:c r="J5" s="51" t="n">
        <x:f>E5*SUM(AE5:AG5)/1073741824</x:f>
        <x:v>0.000125885009765625</x:v>
      </x:c>
      <x:c r="K5" s="51" t="n">
        <x:f>AA5</x:f>
        <x:v>0.00003147125244140625</x:v>
      </x:c>
      <x:c r="L5" s="48" t="str">
        <x:f>IF(OR(D5="MXFP4",D5="MXFP8"),"group 32 / E8M0",IF(D5="INT8","channel / 8 B",IF(D5="INT4","channel / 16 B","")))</x:f>
        <x:v>channel / 8 B</x:v>
      </x:c>
      <x:c r="M5" s="52" t="n">
        <x:f>$R$8</x:f>
        <x:v>4</x:v>
      </x:c>
      <x:c r="N5" s="48" t="str">
        <x:f>"["&amp;(512/M5)&amp;","&amp;(256)&amp;"]"</x:f>
        <x:v>[128,256]</x:v>
      </x:c>
      <x:c r="O5" s="50" t="n">
        <x:f>CHOOSE($R$22+1,1)</x:f>
        <x:v>1</x:v>
      </x:c>
      <x:c r="P5" s="2"/>
      <x:c r="Q5" s="7" t="str">
        <x:v>Attention o_proj TP</x:v>
      </x:c>
      <x:c r="R5" s="14" t="n">
        <x:f>$R$2*1</x:f>
        <x:v>4</x:v>
      </x:c>
      <x:c r="S5" s="7" t="str">
        <x:v>KDA head dim</x:v>
      </x:c>
      <x:c r="T5" s="7" t="n">
        <x:v>16</x:v>
      </x:c>
      <x:c r="U5" s="2"/>
      <x:c r="V5" s="2"/>
      <x:c r="W5" s="2"/>
      <x:c r="X5" s="2"/>
      <x:c r="Y5" s="2"/>
      <x:c r="Z5" s="2"/>
      <x:c r="AA5" s="38" t="n">
        <x:f>IF($R$30=1,SUM(AB5:AD5)*(1)/1073741824,NA())</x:f>
        <x:v>0.00003147125244140625</x:v>
      </x:c>
      <x:c r="AB5" s="39" t="n">
        <x:f>(512/M5)*ROUNDUP((256)*VLOOKUP(D5,$Q$32:$R$38,2,FALSE),0)</x:f>
        <x:v>32768</x:v>
      </x:c>
      <x:c r="AC5" s="39" t="n">
        <x:f>IF(OR(D5="MXFP4",D5="MXFP8"),(512/M5)*ROUNDUP((256)/32,0),0)</x:f>
        <x:v>0</x:v>
      </x:c>
      <x:c r="AD5" s="39" t="n">
        <x:f>IF(D5="INT8",(512/M5)*8,IF(D5="INT4",(512/M5)*16,0))</x:f>
        <x:v>1024</x:v>
      </x:c>
      <x:c r="AE5" s="39" t="n">
        <x:f>(512)*ROUNDUP((256)*VLOOKUP(D5,$Q$32:$R$38,2,FALSE),0)</x:f>
        <x:v>131072</x:v>
      </x:c>
      <x:c r="AF5" s="39" t="n">
        <x:f>IF(OR(D5="MXFP4",D5="MXFP8"),(512)*ROUNDUP((256)/32,0),0)</x:f>
        <x:v>0</x:v>
      </x:c>
      <x:c r="AG5" s="39" t="n">
        <x:f>IF(D5="INT8",(512)*8,IF(D5="INT4",(512)*16,0))</x:f>
        <x:v>4096</x:v>
      </x:c>
    </x:row>
    <x:row r="6" ht="18" customHeight="1">
      <x:c r="A6" s="48" t="str">
        <x:v>KDA</x:v>
      </x:c>
      <x:c r="B6" s="48" t="str">
        <x:v>q_proj</x:v>
      </x:c>
      <x:c r="C6" s="48" t="str">
        <x:v>[128,256]</x:v>
      </x:c>
      <x:c r="D6" s="49" t="str">
        <x:v>INT8</x:v>
      </x:c>
      <x:c r="E6" s="50" t="n">
        <x:v>4</x:v>
      </x:c>
      <x:c r="F6" s="50" t="n">
        <x:f>(128)*(256)</x:f>
        <x:v>32768</x:v>
      </x:c>
      <x:c r="G6" s="48" t="str">
        <x:v>KDA TP</x:v>
      </x:c>
      <x:c r="H6" s="48" t="str">
        <x:v>None</x:v>
      </x:c>
      <x:c r="I6" s="48" t="str">
        <x:v>否</x:v>
      </x:c>
      <x:c r="J6" s="51" t="n">
        <x:f>E6*SUM(AE6:AG6)/1073741824</x:f>
        <x:v>0.000125885009765625</x:v>
      </x:c>
      <x:c r="K6" s="51" t="n">
        <x:f>AA6</x:f>
        <x:v>0.00003147125244140625</x:v>
      </x:c>
      <x:c r="L6" s="48" t="str">
        <x:f>IF(OR(D6="MXFP4",D6="MXFP8"),"group 32 / E8M0",IF(D6="INT8","channel / 8 B",IF(D6="INT4","channel / 16 B","")))</x:f>
        <x:v>channel / 8 B</x:v>
      </x:c>
      <x:c r="M6" s="52" t="n">
        <x:f>$R$2</x:f>
        <x:v>4</x:v>
      </x:c>
      <x:c r="N6" s="48" t="str">
        <x:f>"["&amp;(128/M6)&amp;","&amp;(256)&amp;"]"</x:f>
        <x:v>[32,256]</x:v>
      </x:c>
      <x:c r="O6" s="50" t="n">
        <x:f>CHOOSE($R$22+1,4)</x:f>
        <x:v>4</x:v>
      </x:c>
      <x:c r="P6" s="2"/>
      <x:c r="Q6" s="7" t="str">
        <x:v>lm_head TP</x:v>
      </x:c>
      <x:c r="R6" s="14" t="n">
        <x:f>$R$2*1</x:f>
        <x:v>4</x:v>
      </x:c>
      <x:c r="S6" s="7" t="str">
        <x:v>Attention heads</x:v>
      </x:c>
      <x:c r="T6" s="7" t="n">
        <x:v>8</x:v>
      </x:c>
      <x:c r="U6" s="2"/>
      <x:c r="V6" s="2"/>
      <x:c r="W6" s="2"/>
      <x:c r="X6" s="2"/>
      <x:c r="Y6" s="2"/>
      <x:c r="Z6" s="2"/>
      <x:c r="AA6" s="38" t="n">
        <x:f>IF($R$30=1,SUM(AB6:AD6)*(4)/1073741824,NA())</x:f>
        <x:v>0.00003147125244140625</x:v>
      </x:c>
      <x:c r="AB6" s="39" t="n">
        <x:f>(128/M6)*ROUNDUP((256)*VLOOKUP(D6,$Q$32:$R$38,2,FALSE),0)</x:f>
        <x:v>8192</x:v>
      </x:c>
      <x:c r="AC6" s="39" t="n">
        <x:f>IF(OR(D6="MXFP4",D6="MXFP8"),(128/M6)*ROUNDUP((256)/32,0),0)</x:f>
        <x:v>0</x:v>
      </x:c>
      <x:c r="AD6" s="39" t="n">
        <x:f>IF(D6="INT8",(128/M6)*8,IF(D6="INT4",(128/M6)*16,0))</x:f>
        <x:v>256</x:v>
      </x:c>
      <x:c r="AE6" s="39" t="n">
        <x:f>(128)*ROUNDUP((256)*VLOOKUP(D6,$Q$32:$R$38,2,FALSE),0)</x:f>
        <x:v>32768</x:v>
      </x:c>
      <x:c r="AF6" s="39" t="n">
        <x:f>IF(OR(D6="MXFP4",D6="MXFP8"),(128)*ROUNDUP((256)/32,0),0)</x:f>
        <x:v>0</x:v>
      </x:c>
      <x:c r="AG6" s="39" t="n">
        <x:f>IF(D6="INT8",(128)*8,IF(D6="INT4",(128)*16,0))</x:f>
        <x:v>1024</x:v>
      </x:c>
    </x:row>
    <x:row r="7" ht="18" customHeight="1">
      <x:c r="A7" s="7" t="str">
        <x:v>KDA</x:v>
      </x:c>
      <x:c r="B7" s="7" t="str">
        <x:v>o_proj</x:v>
      </x:c>
      <x:c r="C7" s="7" t="str">
        <x:v>[256,128]</x:v>
      </x:c>
      <x:c r="D7" s="10" t="str">
        <x:v>BF16</x:v>
      </x:c>
      <x:c r="E7" s="34" t="n">
        <x:v>4</x:v>
      </x:c>
      <x:c r="F7" s="34" t="n">
        <x:f>(256)*(128)</x:f>
        <x:v>32768</x:v>
      </x:c>
      <x:c r="G7" s="7" t="str">
        <x:v>KDA O TP</x:v>
      </x:c>
      <x:c r="H7" s="7" t="str">
        <x:v>None</x:v>
      </x:c>
      <x:c r="I7" s="7" t="str">
        <x:v>否</x:v>
      </x:c>
      <x:c r="J7" s="44" t="n">
        <x:f>E7*SUM(AE7:AG7)/1073741824</x:f>
        <x:v>0.000244140625</x:v>
      </x:c>
      <x:c r="K7" s="44" t="n">
        <x:f>AA7</x:f>
        <x:v>0.00006103515625</x:v>
      </x:c>
      <x:c r="L7" s="7" t="str">
        <x:f>IF(OR(D7="MXFP4",D7="MXFP8"),"group 32 / E8M0",IF(D7="INT8","channel / 8 B",IF(D7="INT4","channel / 16 B","")))</x:f>
      </x:c>
      <x:c r="M7" s="45" t="n">
        <x:f>$R$3</x:f>
        <x:v>4</x:v>
      </x:c>
      <x:c r="N7" s="7" t="str">
        <x:f>"["&amp;(256)&amp;","&amp;(128/M7)&amp;"]"</x:f>
        <x:v>[256,32]</x:v>
      </x:c>
      <x:c r="O7" s="34" t="n">
        <x:f>CHOOSE($R$22+1,4)</x:f>
        <x:v>4</x:v>
      </x:c>
      <x:c r="P7" s="2"/>
      <x:c r="Q7" s="7" t="str">
        <x:v>embedding TP</x:v>
      </x:c>
      <x:c r="R7" s="14" t="n">
        <x:f>$R$2*1</x:f>
        <x:v>4</x:v>
      </x:c>
      <x:c r="S7" s="7" t="str">
        <x:v>Indexer query heads</x:v>
      </x:c>
      <x:c r="T7" s="7" t="n">
        <x:v>4</x:v>
      </x:c>
      <x:c r="U7" s="2"/>
      <x:c r="V7" s="2"/>
      <x:c r="W7" s="2"/>
      <x:c r="X7" s="2"/>
      <x:c r="Y7" s="2"/>
      <x:c r="Z7" s="2"/>
      <x:c r="AA7" s="38" t="n">
        <x:f>IF($R$30=1,SUM(AB7:AD7)*(4)/1073741824,NA())</x:f>
        <x:v>0.00006103515625</x:v>
      </x:c>
      <x:c r="AB7" s="39" t="n">
        <x:f>(256)*ROUNDUP((128/M7)*VLOOKUP(D7,$Q$32:$R$38,2,FALSE),0)</x:f>
        <x:v>16384</x:v>
      </x:c>
      <x:c r="AC7" s="39" t="n">
        <x:f>IF(OR(D7="MXFP4",D7="MXFP8"),(256)*ROUNDUP((128/M7)/32,0),0)</x:f>
        <x:v>0</x:v>
      </x:c>
      <x:c r="AD7" s="39" t="n">
        <x:f>IF(D7="INT8",(256)*8,IF(D7="INT4",(256)*16,0))</x:f>
        <x:v>0</x:v>
      </x:c>
      <x:c r="AE7" s="39" t="n">
        <x:f>(256)*ROUNDUP((128)*VLOOKUP(D7,$Q$32:$R$38,2,FALSE),0)</x:f>
        <x:v>65536</x:v>
      </x:c>
      <x:c r="AF7" s="39" t="n">
        <x:f>IF(OR(D7="MXFP4",D7="MXFP8"),(256)*ROUNDUP((128)/32,0),0)</x:f>
        <x:v>0</x:v>
      </x:c>
      <x:c r="AG7" s="39" t="n">
        <x:f>IF(D7="INT8",(256)*8,IF(D7="INT4",(256)*16,0))</x:f>
        <x:v>0</x:v>
      </x:c>
    </x:row>
    <x:row r="8" ht="18" customHeight="1">
      <x:c r="A8" s="48" t="str">
        <x:v>DSA MLA</x:v>
      </x:c>
      <x:c r="B8" s="48" t="str">
        <x:v>q_b_proj</x:v>
      </x:c>
      <x:c r="C8" s="48" t="str">
        <x:v>[128,64]</x:v>
      </x:c>
      <x:c r="D8" s="49" t="str">
        <x:v>INT8</x:v>
      </x:c>
      <x:c r="E8" s="50" t="n">
        <x:v>2</x:v>
      </x:c>
      <x:c r="F8" s="50" t="n">
        <x:f>(128)*(64)</x:f>
        <x:v>8192</x:v>
      </x:c>
      <x:c r="G8" s="48" t="str">
        <x:v>DSA TP</x:v>
      </x:c>
      <x:c r="H8" s="48" t="str">
        <x:v>None</x:v>
      </x:c>
      <x:c r="I8" s="48" t="str">
        <x:v>否</x:v>
      </x:c>
      <x:c r="J8" s="51" t="n">
        <x:f>E8*SUM(AE8:AG8)/1073741824</x:f>
        <x:v>0.0000171661376953125</x:v>
      </x:c>
      <x:c r="K8" s="51" t="n">
        <x:f>AA8</x:f>
        <x:v>0.000004291534423828125</x:v>
      </x:c>
      <x:c r="L8" s="48" t="str">
        <x:f>IF(OR(D8="MXFP4",D8="MXFP8"),"group 32 / E8M0",IF(D8="INT8","channel / 8 B",IF(D8="INT4","channel / 16 B","")))</x:f>
        <x:v>channel / 8 B</x:v>
      </x:c>
      <x:c r="M8" s="52" t="n">
        <x:f>$R$4</x:f>
        <x:v>4</x:v>
      </x:c>
      <x:c r="N8" s="48" t="str">
        <x:f>"["&amp;(128/M8)&amp;","&amp;(64)&amp;"]"</x:f>
        <x:v>[32,64]</x:v>
      </x:c>
      <x:c r="O8" s="50" t="n">
        <x:f>CHOOSE($R$22+1,2)</x:f>
        <x:v>2</x:v>
      </x:c>
      <x:c r="P8" s="2"/>
      <x:c r="Q8" s="7" t="str">
        <x:v>其他语言 TP</x:v>
      </x:c>
      <x:c r="R8" s="14" t="n">
        <x:f>$R$2*1</x:f>
        <x:v>4</x:v>
      </x:c>
      <x:c r="S8" s="7" t="str">
        <x:v>本 stage MoE 层数</x:v>
      </x:c>
      <x:c r="T8" s="7" t="n">
        <x:f>CHOOSE(R22+1,5)</x:f>
        <x:v>5</x:v>
      </x:c>
      <x:c r="U8" s="2"/>
      <x:c r="V8" s="2"/>
      <x:c r="W8" s="2"/>
      <x:c r="X8" s="2"/>
      <x:c r="Y8" s="2"/>
      <x:c r="Z8" s="2"/>
      <x:c r="AA8" s="38" t="n">
        <x:f>IF($R$30=1,SUM(AB8:AD8)*(2)/1073741824,NA())</x:f>
        <x:v>0.000004291534423828125</x:v>
      </x:c>
      <x:c r="AB8" s="39" t="n">
        <x:f>(128/M8)*ROUNDUP((64)*VLOOKUP(D8,$Q$32:$R$38,2,FALSE),0)</x:f>
        <x:v>2048</x:v>
      </x:c>
      <x:c r="AC8" s="39" t="n">
        <x:f>IF(OR(D8="MXFP4",D8="MXFP8"),(128/M8)*ROUNDUP((64)/32,0),0)</x:f>
        <x:v>0</x:v>
      </x:c>
      <x:c r="AD8" s="39" t="n">
        <x:f>IF(D8="INT8",(128/M8)*8,IF(D8="INT4",(128/M8)*16,0))</x:f>
        <x:v>256</x:v>
      </x:c>
      <x:c r="AE8" s="39" t="n">
        <x:f>(128)*ROUNDUP((64)*VLOOKUP(D8,$Q$32:$R$38,2,FALSE),0)</x:f>
        <x:v>8192</x:v>
      </x:c>
      <x:c r="AF8" s="39" t="n">
        <x:f>IF(OR(D8="MXFP4",D8="MXFP8"),(128)*ROUNDUP((64)/32,0),0)</x:f>
        <x:v>0</x:v>
      </x:c>
      <x:c r="AG8" s="39" t="n">
        <x:f>IF(D8="INT8",(128)*8,IF(D8="INT4",(128)*16,0))</x:f>
        <x:v>1024</x:v>
      </x:c>
    </x:row>
    <x:row r="9" ht="18" customHeight="1">
      <x:c r="A9" s="7" t="str">
        <x:v>DSA MLA</x:v>
      </x:c>
      <x:c r="B9" s="7" t="str">
        <x:v>o_proj</x:v>
      </x:c>
      <x:c r="C9" s="7" t="str">
        <x:v>[256,128]</x:v>
      </x:c>
      <x:c r="D9" s="10" t="str">
        <x:v>INT8</x:v>
      </x:c>
      <x:c r="E9" s="34" t="n">
        <x:v>2</x:v>
      </x:c>
      <x:c r="F9" s="34" t="n">
        <x:f>(256)*(128)</x:f>
        <x:v>32768</x:v>
      </x:c>
      <x:c r="G9" s="7" t="str">
        <x:v>DSA O TP</x:v>
      </x:c>
      <x:c r="H9" s="7" t="str">
        <x:v>None</x:v>
      </x:c>
      <x:c r="I9" s="7" t="str">
        <x:v>否</x:v>
      </x:c>
      <x:c r="J9" s="44" t="n">
        <x:f>E9*SUM(AE9:AG9)/1073741824</x:f>
        <x:v>0.000064849853515625</x:v>
      </x:c>
      <x:c r="K9" s="44" t="n">
        <x:f>AA9</x:f>
        <x:v>0.000019073486328125</x:v>
      </x:c>
      <x:c r="L9" s="7" t="str">
        <x:f>IF(OR(D9="MXFP4",D9="MXFP8"),"group 32 / E8M0",IF(D9="INT8","channel / 8 B",IF(D9="INT4","channel / 16 B","")))</x:f>
        <x:v>channel / 8 B</x:v>
      </x:c>
      <x:c r="M9" s="45" t="n">
        <x:f>$R$5</x:f>
        <x:v>4</x:v>
      </x:c>
      <x:c r="N9" s="7" t="str">
        <x:f>"["&amp;(256)&amp;","&amp;(128/M9)&amp;"]"</x:f>
        <x:v>[256,32]</x:v>
      </x:c>
      <x:c r="O9" s="34" t="n">
        <x:f>CHOOSE($R$22+1,2)</x:f>
        <x:v>2</x:v>
      </x:c>
      <x:c r="P9" s="2"/>
      <x:c r="Q9" s="7" t="str">
        <x:v>EP</x:v>
      </x:c>
      <x:c r="R9" s="14" t="n">
        <x:v>12</x:v>
      </x:c>
      <x:c r="S9" s="7" t="str">
        <x:v>Routed experts / layer</x:v>
      </x:c>
      <x:c r="T9" s="7" t="n">
        <x:v>10</x:v>
      </x:c>
      <x:c r="U9" s="2"/>
      <x:c r="V9" s="2"/>
      <x:c r="W9" s="2"/>
      <x:c r="X9" s="2"/>
      <x:c r="Y9" s="2"/>
      <x:c r="Z9" s="2"/>
      <x:c r="AA9" s="38" t="n">
        <x:f>IF($R$30=1,SUM(AB9:AD9)*(2)/1073741824,NA())</x:f>
        <x:v>0.000019073486328125</x:v>
      </x:c>
      <x:c r="AB9" s="39" t="n">
        <x:f>(256)*ROUNDUP((128/M9)*VLOOKUP(D9,$Q$32:$R$38,2,FALSE),0)</x:f>
        <x:v>8192</x:v>
      </x:c>
      <x:c r="AC9" s="39" t="n">
        <x:f>IF(OR(D9="MXFP4",D9="MXFP8"),(256)*ROUNDUP((128/M9)/32,0),0)</x:f>
        <x:v>0</x:v>
      </x:c>
      <x:c r="AD9" s="39" t="n">
        <x:f>IF(D9="INT8",(256)*8,IF(D9="INT4",(256)*16,0))</x:f>
        <x:v>2048</x:v>
      </x:c>
      <x:c r="AE9" s="39" t="n">
        <x:f>(256)*ROUNDUP((128)*VLOOKUP(D9,$Q$32:$R$38,2,FALSE),0)</x:f>
        <x:v>32768</x:v>
      </x:c>
      <x:c r="AF9" s="39" t="n">
        <x:f>IF(OR(D9="MXFP4",D9="MXFP8"),(256)*ROUNDUP((128)/32,0),0)</x:f>
        <x:v>0</x:v>
      </x:c>
      <x:c r="AG9" s="39" t="n">
        <x:f>IF(D9="INT8",(256)*8,IF(D9="INT4",(256)*16,0))</x:f>
        <x:v>2048</x:v>
      </x:c>
    </x:row>
    <x:row r="10" ht="18" customHeight="1">
      <x:c r="A10" s="48" t="str">
        <x:v>DSA Indexer</x:v>
      </x:c>
      <x:c r="B10" s="48" t="str">
        <x:v>key.weight</x:v>
      </x:c>
      <x:c r="C10" s="48" t="str">
        <x:v>[32,256]</x:v>
      </x:c>
      <x:c r="D10" s="49" t="str">
        <x:v>BF16</x:v>
      </x:c>
      <x:c r="E10" s="50" t="n">
        <x:v>2</x:v>
      </x:c>
      <x:c r="F10" s="50" t="n">
        <x:f>(32)*(256)</x:f>
        <x:v>8192</x:v>
      </x:c>
      <x:c r="G10" s="48" t="str">
        <x:v>Replicated</x:v>
      </x:c>
      <x:c r="H10" s="48" t="str">
        <x:v>None</x:v>
      </x:c>
      <x:c r="I10" s="48" t="str">
        <x:v>否</x:v>
      </x:c>
      <x:c r="J10" s="51" t="n">
        <x:f>E10*SUM(AE10:AG10)/1073741824</x:f>
        <x:v>0.000030517578125</x:v>
      </x:c>
      <x:c r="K10" s="51" t="n">
        <x:f>AA10</x:f>
        <x:v>0.000030517578125</x:v>
      </x:c>
      <x:c r="L10" s="48" t="str">
        <x:f>IF(OR(D10="MXFP4",D10="MXFP8"),"group 32 / E8M0",IF(D10="INT8","channel / 8 B",IF(D10="INT4","channel / 16 B","")))</x:f>
      </x:c>
      <x:c r="M10" s="52" t="n">
        <x:f>1</x:f>
        <x:v>1</x:v>
      </x:c>
      <x:c r="N10" s="48" t="str">
        <x:f>"["&amp;(32/M10)&amp;","&amp;(256)&amp;"]"</x:f>
        <x:v>[32,256]</x:v>
      </x:c>
      <x:c r="O10" s="50" t="n">
        <x:f>CHOOSE($R$22+1,2)</x:f>
        <x:v>2</x:v>
      </x:c>
      <x:c r="P10" s="2"/>
      <x:c r="Q10" s="7" t="str">
        <x:v>共享专家 TP</x:v>
      </x:c>
      <x:c r="R10" s="14" t="n">
        <x:v>4</x:v>
      </x:c>
      <x:c r="S10" s="7" t="str">
        <x:v>Shared experts / layer</x:v>
      </x:c>
      <x:c r="T10" s="7" t="n">
        <x:v>1</x:v>
      </x:c>
      <x:c r="U10" s="2"/>
      <x:c r="V10" s="2"/>
      <x:c r="W10" s="2"/>
      <x:c r="X10" s="2"/>
      <x:c r="Y10" s="2"/>
      <x:c r="Z10" s="2"/>
      <x:c r="AA10" s="38" t="n">
        <x:f>IF($R$30=1,SUM(AB10:AD10)*(2)/1073741824,NA())</x:f>
        <x:v>0.000030517578125</x:v>
      </x:c>
      <x:c r="AB10" s="39" t="n">
        <x:f>(32/M10)*ROUNDUP((256)*VLOOKUP(D10,$Q$32:$R$38,2,FALSE),0)</x:f>
        <x:v>16384</x:v>
      </x:c>
      <x:c r="AC10" s="39" t="n">
        <x:f>IF(OR(D10="MXFP4",D10="MXFP8"),(32/M10)*ROUNDUP((256)/32,0),0)</x:f>
        <x:v>0</x:v>
      </x:c>
      <x:c r="AD10" s="39" t="n">
        <x:f>IF(D10="INT8",(32/M10)*8,IF(D10="INT4",(32/M10)*16,0))</x:f>
        <x:v>0</x:v>
      </x:c>
      <x:c r="AE10" s="39" t="n">
        <x:f>(32)*ROUNDUP((256)*VLOOKUP(D10,$Q$32:$R$38,2,FALSE),0)</x:f>
        <x:v>16384</x:v>
      </x:c>
      <x:c r="AF10" s="39" t="n">
        <x:f>IF(OR(D10="MXFP4",D10="MXFP8"),(32)*ROUNDUP((256)/32,0),0)</x:f>
        <x:v>0</x:v>
      </x:c>
      <x:c r="AG10" s="39" t="n">
        <x:f>IF(D10="INT8",(32)*8,IF(D10="INT4",(32)*16,0))</x:f>
        <x:v>0</x:v>
      </x:c>
    </x:row>
    <x:row r="11" ht="18" customHeight="1">
      <x:c r="A11" s="48" t="str">
        <x:v>MoE</x:v>
      </x:c>
      <x:c r="B11" s="48" t="str">
        <x:v>router.weight</x:v>
      </x:c>
      <x:c r="C11" s="48" t="str">
        <x:v>[10,256]</x:v>
      </x:c>
      <x:c r="D11" s="49" t="str">
        <x:v>BF16</x:v>
      </x:c>
      <x:c r="E11" s="50" t="n">
        <x:v>5</x:v>
      </x:c>
      <x:c r="F11" s="50" t="n">
        <x:f>(10)*(256)</x:f>
        <x:v>2560</x:v>
      </x:c>
      <x:c r="G11" s="48" t="str">
        <x:v>Replicated</x:v>
      </x:c>
      <x:c r="H11" s="48" t="str">
        <x:v>None</x:v>
      </x:c>
      <x:c r="I11" s="48" t="str">
        <x:v>否</x:v>
      </x:c>
      <x:c r="J11" s="51" t="n">
        <x:f>E11*SUM(AE11:AG11)/1073741824</x:f>
        <x:v>0.00002384185791015625</x:v>
      </x:c>
      <x:c r="K11" s="51" t="n">
        <x:f>AA11</x:f>
        <x:v>0.00002384185791015625</x:v>
      </x:c>
      <x:c r="L11" s="48" t="str">
        <x:f>IF(OR(D11="MXFP4",D11="MXFP8"),"group 32 / E8M0",IF(D11="INT8","channel / 8 B",IF(D11="INT4","channel / 16 B","")))</x:f>
      </x:c>
      <x:c r="M11" s="52" t="n">
        <x:f>1</x:f>
        <x:v>1</x:v>
      </x:c>
      <x:c r="N11" s="48" t="str">
        <x:f>"["&amp;(10/M11)&amp;","&amp;(256)&amp;"]"</x:f>
        <x:v>[10,256]</x:v>
      </x:c>
      <x:c r="O11" s="50" t="n">
        <x:f>CHOOSE($R$22+1,5)</x:f>
        <x:v>5</x:v>
      </x:c>
      <x:c r="P11" s="2"/>
      <x:c r="Q11" s="7" t="str">
        <x:v>DSA CP</x:v>
      </x:c>
      <x:c r="R11" s="15" t="n">
        <x:v>1</x:v>
      </x:c>
      <x:c r="S11" s="7" t="str">
        <x:v>MLA latent dim</x:v>
      </x:c>
      <x:c r="T11" s="7" t="n">
        <x:v>64</x:v>
      </x:c>
      <x:c r="U11" s="2"/>
      <x:c r="V11" s="2"/>
      <x:c r="W11" s="2"/>
      <x:c r="X11" s="2"/>
      <x:c r="Y11" s="2"/>
      <x:c r="Z11" s="2"/>
      <x:c r="AA11" s="38" t="n">
        <x:f>IF($R$30=1,SUM(AB11:AD11)*(5)/1073741824,NA())</x:f>
        <x:v>0.00002384185791015625</x:v>
      </x:c>
      <x:c r="AB11" s="39" t="n">
        <x:f>(10/M11)*ROUNDUP((256)*VLOOKUP(D11,$Q$32:$R$38,2,FALSE),0)</x:f>
        <x:v>5120</x:v>
      </x:c>
      <x:c r="AC11" s="39" t="n">
        <x:f>IF(OR(D11="MXFP4",D11="MXFP8"),(10/M11)*ROUNDUP((256)/32,0),0)</x:f>
        <x:v>0</x:v>
      </x:c>
      <x:c r="AD11" s="39" t="n">
        <x:f>IF(D11="INT8",(10/M11)*8,IF(D11="INT4",(10/M11)*16,0))</x:f>
        <x:v>0</x:v>
      </x:c>
      <x:c r="AE11" s="39" t="n">
        <x:f>(10)*ROUNDUP((256)*VLOOKUP(D11,$Q$32:$R$38,2,FALSE),0)</x:f>
        <x:v>5120</x:v>
      </x:c>
      <x:c r="AF11" s="39" t="n">
        <x:f>IF(OR(D11="MXFP4",D11="MXFP8"),(10)*ROUNDUP((256)/32,0),0)</x:f>
        <x:v>0</x:v>
      </x:c>
      <x:c r="AG11" s="39" t="n">
        <x:f>IF(D11="INT8",(10)*8,IF(D11="INT4",(10)*16,0))</x:f>
        <x:v>0</x:v>
      </x:c>
    </x:row>
    <x:row r="12" ht="18" customHeight="1">
      <x:c r="A12" s="7" t="str">
        <x:v>MoE</x:v>
      </x:c>
      <x:c r="B12" s="7" t="str">
        <x:v>experts.*.w1</x:v>
      </x:c>
      <x:c r="C12" s="7" t="str">
        <x:v>[64,128]</x:v>
      </x:c>
      <x:c r="D12" s="10" t="str">
        <x:v>INT4</x:v>
      </x:c>
      <x:c r="E12" s="34" t="n">
        <x:v>50</x:v>
      </x:c>
      <x:c r="F12" s="34" t="n">
        <x:f>(64)*(128)</x:f>
        <x:v>8192</x:v>
      </x:c>
      <x:c r="G12" s="7" t="str">
        <x:v>EP</x:v>
      </x:c>
      <x:c r="H12" s="7" t="str">
        <x:v>EP</x:v>
      </x:c>
      <x:c r="I12" s="7" t="str">
        <x:v>否</x:v>
      </x:c>
      <x:c r="J12" s="44" t="n">
        <x:f>E12*SUM(AE12:AG12)/1073741824</x:f>
        <x:v>0.0002384185791015625</x:v>
      </x:c>
      <x:c r="K12" s="44" t="n">
        <x:f>AA12</x:f>
        <x:v>0.00002384185791015625</x:v>
      </x:c>
      <x:c r="L12" s="7" t="str">
        <x:f>IF(OR(D12="MXFP4",D12="MXFP8"),"group 32 / E8M0",IF(D12="INT8","channel / 8 B",IF(D12="INT4","channel / 16 B","")))</x:f>
        <x:v>channel / 16 B</x:v>
      </x:c>
      <x:c r="M12" s="45" t="n">
        <x:f>1</x:f>
        <x:v>1</x:v>
      </x:c>
      <x:c r="N12" s="7" t="str">
        <x:f>"["&amp;(64/M12)&amp;","&amp;(128)&amp;"]"</x:f>
        <x:v>[64,128]</x:v>
      </x:c>
      <x:c r="O12" s="34" t="n">
        <x:f>CHOOSE($R$22+1,5*ROUNDUP(10/$R$9,0))</x:f>
        <x:v>5</x:v>
      </x:c>
      <x:c r="P12" s="2"/>
      <x:c r="Q12" s="7" t="str">
        <x:v>DCP</x:v>
      </x:c>
      <x:c r="R12" s="14" t="n">
        <x:f>$R$2*1</x:f>
        <x:v>4</x:v>
      </x:c>
      <x:c r="S12" s="7" t="str">
        <x:v>RoPE dim</x:v>
      </x:c>
      <x:c r="T12" s="7" t="n">
        <x:v>16</x:v>
      </x:c>
      <x:c r="U12" s="2"/>
      <x:c r="V12" s="2"/>
      <x:c r="W12" s="2"/>
      <x:c r="X12" s="2"/>
      <x:c r="Y12" s="2"/>
      <x:c r="Z12" s="2"/>
      <x:c r="AA12" s="38" t="n">
        <x:f>IF($R$30=1,SUM(AB12:AD12)*(5*ROUNDUP(10/$R$9,0))/1073741824,NA())</x:f>
        <x:v>0.00002384185791015625</x:v>
      </x:c>
      <x:c r="AB12" s="39" t="n">
        <x:f>(64/M12)*ROUNDUP((128)*VLOOKUP(D12,$Q$32:$R$38,2,FALSE),0)</x:f>
        <x:v>4096</x:v>
      </x:c>
      <x:c r="AC12" s="39" t="n">
        <x:f>IF(OR(D12="MXFP4",D12="MXFP8"),(64/M12)*ROUNDUP((128)/32,0),0)</x:f>
        <x:v>0</x:v>
      </x:c>
      <x:c r="AD12" s="39" t="n">
        <x:f>IF(D12="INT8",(64/M12)*8,IF(D12="INT4",(64/M12)*16,0))</x:f>
        <x:v>1024</x:v>
      </x:c>
      <x:c r="AE12" s="39" t="n">
        <x:f>(64)*ROUNDUP((128)*VLOOKUP(D12,$Q$32:$R$38,2,FALSE),0)</x:f>
        <x:v>4096</x:v>
      </x:c>
      <x:c r="AF12" s="39" t="n">
        <x:f>IF(OR(D12="MXFP4",D12="MXFP8"),(64)*ROUNDUP((128)/32,0),0)</x:f>
        <x:v>0</x:v>
      </x:c>
      <x:c r="AG12" s="39" t="n">
        <x:f>IF(D12="INT8",(64)*8,IF(D12="INT4",(64)*16,0))</x:f>
        <x:v>1024</x:v>
      </x:c>
    </x:row>
    <x:row r="13" ht="18" customHeight="1">
      <x:c r="A13" s="8" t="str">
        <x:v>MoE</x:v>
      </x:c>
      <x:c r="B13" s="8" t="str">
        <x:v>shared_experts.down_proj</x:v>
      </x:c>
      <x:c r="C13" s="8" t="str">
        <x:v>[256,64]</x:v>
      </x:c>
      <x:c r="D13" s="11" t="str">
        <x:v>INT8</x:v>
      </x:c>
      <x:c r="E13" s="35" t="n">
        <x:v>5</x:v>
      </x:c>
      <x:c r="F13" s="35" t="n">
        <x:f>(256)*(64)</x:f>
        <x:v>16384</x:v>
      </x:c>
      <x:c r="G13" s="8" t="str">
        <x:v>Shared TP</x:v>
      </x:c>
      <x:c r="H13" s="8" t="str">
        <x:v>None</x:v>
      </x:c>
      <x:c r="I13" s="8" t="str">
        <x:v>是</x:v>
      </x:c>
      <x:c r="J13" s="46" t="n">
        <x:f>E13*SUM(AE13:AG13)/1073741824</x:f>
        <x:v>0.0000858306884765625</x:v>
      </x:c>
      <x:c r="K13" s="46" t="n">
        <x:f>AA13</x:f>
        <x:v>0.0000286102294921875</x:v>
      </x:c>
      <x:c r="L13" s="8" t="str">
        <x:f>IF(OR(D13="MXFP4",D13="MXFP8"),"group 32 / E8M0",IF(D13="INT8","channel / 8 B",IF(D13="INT4","channel / 16 B","")))</x:f>
        <x:v>channel / 8 B</x:v>
      </x:c>
      <x:c r="M13" s="47" t="n">
        <x:f>$R$10</x:f>
        <x:v>4</x:v>
      </x:c>
      <x:c r="N13" s="8" t="str">
        <x:f>"["&amp;(256)&amp;","&amp;(64/M13)&amp;"]"</x:f>
        <x:v>[256,16]</x:v>
      </x:c>
      <x:c r="O13" s="35" t="n">
        <x:f>CHOOSE($R$22+1,5)</x:f>
        <x:v>5</x:v>
      </x:c>
      <x:c r="P13" s="2"/>
      <x:c r="Q13" s="7" t="str">
        <x:v>MLA cache dtype</x:v>
      </x:c>
      <x:c r="R13" s="17" t="str">
        <x:v>INT8</x:v>
      </x:c>
      <x:c r="S13" s="7" t="str">
        <x:v>Indexer key dim</x:v>
      </x:c>
      <x:c r="T13" s="7" t="n">
        <x:v>32</x:v>
      </x:c>
      <x:c r="U13" s="2"/>
      <x:c r="V13" s="2"/>
      <x:c r="W13" s="2"/>
      <x:c r="X13" s="2"/>
      <x:c r="Y13" s="2"/>
      <x:c r="Z13" s="2"/>
      <x:c r="AA13" s="38" t="n">
        <x:f>IF($R$30=1,SUM(AB13:AD13)*(5)/1073741824,NA())</x:f>
        <x:v>0.0000286102294921875</x:v>
      </x:c>
      <x:c r="AB13" s="39" t="n">
        <x:f>(256)*ROUNDUP((64/M13)*VLOOKUP(D13,$Q$32:$R$38,2,FALSE),0)</x:f>
        <x:v>4096</x:v>
      </x:c>
      <x:c r="AC13" s="39" t="n">
        <x:f>IF(OR(D13="MXFP4",D13="MXFP8"),(256)*ROUNDUP((64/M13)/32,0),0)</x:f>
        <x:v>0</x:v>
      </x:c>
      <x:c r="AD13" s="39" t="n">
        <x:f>IF(D13="INT8",(256)*8,IF(D13="INT4",(256)*16,0))</x:f>
        <x:v>2048</x:v>
      </x:c>
      <x:c r="AE13" s="39" t="n">
        <x:f>(256)*ROUNDUP((64)*VLOOKUP(D13,$Q$32:$R$38,2,FALSE),0)</x:f>
        <x:v>16384</x:v>
      </x:c>
      <x:c r="AF13" s="39" t="n">
        <x:f>IF(OR(D13="MXFP4",D13="MXFP8"),(256)*ROUNDUP((64)/32,0),0)</x:f>
        <x:v>0</x:v>
      </x:c>
      <x:c r="AG13" s="39" t="n">
        <x:f>IF(D13="INT8",(256)*8,IF(D13="INT4",(256)*16,0))</x:f>
        <x:v>2048</x:v>
      </x:c>
    </x:row>
    <x:row r="14" ht="1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7" t="str">
        <x:v>Indexer cache dtype</x:v>
      </x:c>
      <x:c r="R14" s="17" t="str">
        <x:v>INT8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</x:row>
    <x:row r="15" ht="1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7" t="str">
        <x:v>Indexer scale bytes</x:v>
      </x:c>
      <x:c r="R15" s="15" t="n">
        <x:f>IF(R14="BF16",0,IF(R14="INT8",2,4))</x:f>
        <x:v>2</x:v>
      </x:c>
      <x:c r="S15" s="7" t="str">
        <x:v>Cache block size</x:v>
      </x:c>
      <x:c r="T15" s="7" t="n">
        <x:f>R19</x:f>
        <x:v>32</x:v>
      </x:c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257</x:v>
      </x:c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Decode</x:v>
      </x:c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7" t="str">
        <x:v>单请求 token 数</x:v>
      </x:c>
      <x:c r="R18" s="14" t="n">
        <x:v>257</x:v>
      </x:c>
      <x:c r="S18" s="7" t="str">
        <x:v>ViT</x:v>
      </x:c>
      <x:c r="T18" s="7" t="str">
        <x:v>不含</x:v>
      </x:c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7" t="str">
        <x:v>Cache block size</x:v>
      </x:c>
      <x:c r="R19" s="14" t="n">
        <x:v>32</x:v>
      </x:c>
      <x:c r="S19" s="7" t="str">
        <x:v>KDA local heads</x:v>
      </x:c>
      <x:c r="T19" s="7" t="n">
        <x:f>T4/R2</x:f>
        <x:v>2</x:v>
      </x:c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2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7" t="str">
        <x:v>主缓存 context 切分</x:v>
      </x:c>
      <x:c r="R21" s="15" t="n">
        <x:f>R12</x:f>
        <x:v>4</x:v>
      </x:c>
      <x:c r="S21" s="7" t="str">
        <x:v>Indexer key heads</x:v>
      </x:c>
      <x:c r="T21" s="7" t="n">
        <x:v>1</x:v>
      </x:c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8</x:v>
      </x:c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6" t="str">
        <x:v>单卡权重 GiB</x:v>
      </x:c>
      <x:c r="R23" s="27" t="n">
        <x:f>SUM(K2:K13)</x:f>
        <x:v>0.0005011558532714844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7" t="str">
        <x:v>权重 + cache GiB</x:v>
      </x:c>
      <x:c r="R24" s="28" t="n">
        <x:f>R23+R27</x:f>
        <x:v>0.000553131103515625</x:v>
      </x:c>
      <x:c r="S24" s="6" t="str">
        <x:v>DP</x:v>
      </x:c>
      <x:c r="T24" s="6" t="n">
        <x:f>R9/R2</x:f>
        <x:v>3</x:v>
      </x:c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7" t="str">
        <x:v>o_proj buffer GiB</x:v>
      </x:c>
      <x:c r="R25" s="28" t="n">
        <x:f>SUM(R57:R58)</x:f>
        <x:v>0</x:v>
      </x:c>
      <x:c r="S25" s="7" t="str">
        <x:v>PP</x:v>
      </x:c>
      <x:c r="T25" s="7" t="n">
        <x:v>1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7" t="str">
        <x:v>总参数量 T</x:v>
      </x:c>
      <x:c r="R26" s="28" t="n">
        <x:f>SUMPRODUCT(E2:E13,F2:F13)/1000000000000</x:f>
        <x:v>0.000001521664</x:v>
      </x:c>
      <x:c r="S26" s="7" t="str">
        <x:v>EP / stage</x:v>
      </x:c>
      <x:c r="T26" s="7" t="n">
        <x:f>R9</x:f>
        <x:v>12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7" t="str">
        <x:v>单请求 cache GiB</x:v>
      </x:c>
      <x:c r="R27" s="28" t="n">
        <x:f>X63</x:f>
        <x:v>0.000051975250244140625</x:v>
      </x:c>
      <x:c r="S27" s="7" t="str">
        <x:v>总设备数</x:v>
      </x:c>
      <x:c r="T27" s="7" t="n">
        <x:f>R9*T25</x:f>
        <x:v>12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7" t="str">
        <x:v>权重 + cache + buffer GiB</x:v>
      </x:c>
      <x:c r="R28" s="28" t="n">
        <x:f>R23+R27+R25</x:f>
        <x:v>0.000553131103515625</x:v>
      </x:c>
      <x:c r="S28" s="8" t="str">
        <x:v>DCP</x:v>
      </x:c>
      <x:c r="T28" s="8" t="n">
        <x:f>R12</x:f>
        <x:v>4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8" t="str">
        <x:v>本页 token 数</x:v>
      </x:c>
      <x:c r="R29" s="8" t="n">
        <x:f>R18</x:f>
        <x:v>257</x:v>
      </x:c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 t="str">
        <x:v>参数校验（1=有效）</x:v>
      </x:c>
      <x:c r="R30" s="2" t="n">
        <x:f>IF(AND(AND(R2&gt;=1,R9&gt;=1,R12&gt;=1,R19&gt;=1,R18&gt;=1,R18&lt;=4096,MOD(R9,R2)=0,MOD(T4,R2)=0,MOD(R2,R12)=0,R22&gt;=0,R22&lt;1,MOD(R22,1)=0,R20&gt;=0,MOD(R20,1)=0,R11=1,OR(R11=1,R11=R2)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(1024,R7)=0,MOD(1024,R6)=0,MOD(512,R8)=0,MOD(128,R2)=0,MOD(128,R3)=0,MOD(128,R4)=0,MOD(128,R5)=0,MOD(64,R10)=0)),1,0)</x:f>
        <x:v>1</x:v>
      </x:c>
      <x:c r="S30" s="2" t="str">
        <x:v>量化方案</x:v>
      </x:c>
      <x:c r="T30" s="2" t="str">
        <x:v>dynamic</x:v>
      </x:c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1</x:v>
      </x:c>
      <x:c r="U32" s="6" t="n">
        <x:f>IF(R13="BF16",0,ROUNDUP(T11/128,0)*4)</x:f>
        <x:v>4</x:v>
      </x:c>
      <x:c r="V32" s="6" t="n">
        <x:f>T11*T32+U32</x:f>
        <x:v>68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32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100</x:v>
      </x:c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1</x:v>
      </x:c>
      <x:c r="U35" s="8" t="n">
        <x:f>R15</x:f>
        <x:v>2</x:v>
      </x:c>
      <x:c r="V35" s="8" t="n">
        <x:f>T13*T35+U35</x:f>
        <x:v>34</x:v>
      </x:c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2"/>
      <x:c r="AB39" s="2"/>
      <x:c r="AC39" s="2"/>
      <x:c r="AD39" s="2"/>
      <x:c r="AE39" s="2"/>
      <x:c r="AF39" s="2"/>
      <x:c r="AG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6" t="str">
        <x:v>embedding</x:v>
      </x:c>
      <x:c r="R40" s="6" t="n">
        <x:f>CHOOSE($R$22+1,1)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0.0001220703125</x:v>
      </x:c>
      <x:c r="V40" s="27" t="n">
        <x:f>SUM(K2)</x:f>
        <x:v>0.0001220703125</x:v>
      </x:c>
      <x:c r="W40" s="30" t="n">
        <x:f>V40/$R$23</x:f>
        <x:v>0.24357754519505234</x:v>
      </x:c>
      <x:c r="X40" s="6" t="str"/>
      <x:c r="Y40" s="2"/>
      <x:c r="Z40" s="2"/>
      <x:c r="AA40" s="2"/>
      <x:c r="AB40" s="2"/>
      <x:c r="AC40" s="2"/>
      <x:c r="AD40" s="2"/>
      <x:c r="AE40" s="2"/>
      <x:c r="AF40" s="2"/>
      <x:c r="AG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7" t="str">
        <x:v>lm_head</x:v>
      </x:c>
      <x:c r="R41" s="7" t="n">
        <x:f>CHOOSE($R$22+1,1)</x:f>
        <x:v>1</x:v>
      </x:c>
      <x:c r="S41" s="7" t="n">
        <x:f>1</x:f>
        <x:v>1</x:v>
      </x:c>
      <x:c r="T41" s="7" t="n">
        <x:f>R41*S41</x:f>
        <x:v>1</x:v>
      </x:c>
      <x:c r="U41" s="28" t="n">
        <x:f>IF(T41=0,0,V41/T41)</x:f>
        <x:v>0.0001220703125</x:v>
      </x:c>
      <x:c r="V41" s="28" t="n">
        <x:f>SUM(K3)</x:f>
        <x:v>0.0001220703125</x:v>
      </x:c>
      <x:c r="W41" s="31" t="n">
        <x:f>V41/$R$23</x:f>
        <x:v>0.24357754519505234</x:v>
      </x:c>
      <x:c r="X41" s="7" t="str"/>
      <x:c r="Y41" s="2"/>
      <x:c r="Z41" s="2"/>
      <x:c r="AA41" s="2"/>
      <x:c r="AB41" s="2"/>
      <x:c r="AC41" s="2"/>
      <x:c r="AD41" s="2"/>
      <x:c r="AE41" s="2"/>
      <x:c r="AF41" s="2"/>
      <x:c r="AG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7" t="str">
        <x:v>Decoder norms / residual</x:v>
      </x:c>
      <x:c r="R42" s="7" t="n">
        <x:f>CHOOSE($R$22+1,6)</x:f>
        <x:v>6</x:v>
      </x:c>
      <x:c r="S42" s="7" t="n">
        <x:f>1</x:f>
        <x:v>1</x:v>
      </x:c>
      <x:c r="T42" s="7" t="n">
        <x:f>R42*S42</x:f>
        <x:v>6</x:v>
      </x:c>
      <x:c r="U42" s="28" t="n">
        <x:f>IF(T42=0,0,V42/T42)</x:f>
        <x:v>4.76837158203125e-7</x:v>
      </x:c>
      <x:c r="V42" s="28" t="n">
        <x:f>SUM(K4)</x:f>
        <x:v>0.00000286102294921875</x:v>
      </x:c>
      <x:c r="W42" s="31" t="n">
        <x:f>V42/$R$23</x:f>
        <x:v>0.005708848715509039</x:v>
      </x:c>
      <x:c r="X42" s="7" t="str"/>
      <x:c r="Y42" s="2"/>
      <x:c r="Z42" s="2"/>
      <x:c r="AA42" s="2"/>
      <x:c r="AB42" s="2"/>
      <x:c r="AC42" s="2"/>
      <x:c r="AD42" s="2"/>
      <x:c r="AE42" s="2"/>
      <x:c r="AF42" s="2"/>
      <x:c r="AG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7" t="str">
        <x:v>Final norm / residual</x:v>
      </x:c>
      <x:c r="R43" s="7" t="n">
        <x:f>CHOOSE($R$22+1,1)</x:f>
        <x:v>1</x:v>
      </x:c>
      <x:c r="S43" s="7" t="n">
        <x:f>1</x:f>
        <x:v>1</x:v>
      </x:c>
      <x:c r="T43" s="7" t="n">
        <x:f>R43*S43</x:f>
        <x:v>1</x:v>
      </x:c>
      <x:c r="U43" s="28" t="n">
        <x:f>IF(T43=0,0,V43/T43)</x:f>
        <x:v>0</x:v>
      </x:c>
      <x:c r="V43" s="28" t="n">
        <x:f>0</x:f>
        <x:v>0</x:v>
      </x:c>
      <x:c r="W43" s="31" t="n">
        <x:f>V43/$R$23</x:f>
        <x:v>0</x:v>
      </x:c>
      <x:c r="X43" s="7" t="str"/>
      <x:c r="Y43" s="2"/>
      <x:c r="Z43" s="2"/>
      <x:c r="AA43" s="2"/>
      <x:c r="AB43" s="2"/>
      <x:c r="AC43" s="2"/>
      <x:c r="AD43" s="2"/>
      <x:c r="AE43" s="2"/>
      <x:c r="AF43" s="2"/>
      <x:c r="AG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7" t="str">
        <x:v>Dense MLP</x:v>
      </x:c>
      <x:c r="R44" s="7" t="n">
        <x:f>CHOOSE($R$22+1,1)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0.00003147125244140625</x:v>
      </x:c>
      <x:c r="V44" s="28" t="n">
        <x:f>SUM(K5)</x:f>
        <x:v>0.00003147125244140625</x:v>
      </x:c>
      <x:c r="W44" s="31" t="n">
        <x:f>V44/$R$23</x:f>
        <x:v>0.06279733587059944</x:v>
      </x:c>
      <x:c r="X44" s="7" t="str"/>
      <x:c r="Y44" s="2"/>
      <x:c r="Z44" s="2"/>
      <x:c r="AA44" s="2"/>
      <x:c r="AB44" s="2"/>
      <x:c r="AC44" s="2"/>
      <x:c r="AD44" s="2"/>
      <x:c r="AE44" s="2"/>
      <x:c r="AF44" s="2"/>
      <x:c r="AG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7" t="str">
        <x:v>KDA</x:v>
      </x:c>
      <x:c r="R45" s="7" t="n">
        <x:f>CHOOSE($R$22+1,4)</x:f>
        <x:v>4</x:v>
      </x:c>
      <x:c r="S45" s="7" t="n">
        <x:f>1</x:f>
        <x:v>1</x:v>
      </x:c>
      <x:c r="T45" s="7" t="n">
        <x:f>R45*S45</x:f>
        <x:v>4</x:v>
      </x:c>
      <x:c r="U45" s="28" t="n">
        <x:f>IF(T45=0,0,V45/T45)</x:f>
        <x:v>0.000023126602172851562</x:v>
      </x:c>
      <x:c r="V45" s="28" t="n">
        <x:f>SUM(K6,K7)</x:f>
        <x:v>0.00009250640869140625</x:v>
      </x:c>
      <x:c r="W45" s="31" t="n">
        <x:f>V45/$R$23</x:f>
        <x:v>0.1845861084681256</x:v>
      </x:c>
      <x:c r="X45" s="7" t="str"/>
      <x:c r="Y45" s="2"/>
      <x:c r="Z45" s="2"/>
      <x:c r="AA45" s="2"/>
      <x:c r="AB45" s="2"/>
      <x:c r="AC45" s="2"/>
      <x:c r="AD45" s="2"/>
      <x:c r="AE45" s="2"/>
      <x:c r="AF45" s="2"/>
      <x:c r="AG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7" t="str">
        <x:v>DSA MLA</x:v>
      </x:c>
      <x:c r="R46" s="7" t="n">
        <x:f>CHOOSE($R$22+1,2)</x:f>
        <x:v>2</x:v>
      </x:c>
      <x:c r="S46" s="7" t="n">
        <x:f>1</x:f>
        <x:v>1</x:v>
      </x:c>
      <x:c r="T46" s="7" t="n">
        <x:f>R46*S46</x:f>
        <x:v>2</x:v>
      </x:c>
      <x:c r="U46" s="28" t="n">
        <x:f>IF(T46=0,0,V46/T46)</x:f>
        <x:v>0.000011682510375976562</x:v>
      </x:c>
      <x:c r="V46" s="28" t="n">
        <x:f>SUM(K8,K9)</x:f>
        <x:v>0.000023365020751953125</x:v>
      </x:c>
      <x:c r="W46" s="31" t="n">
        <x:f>V46/$R$23</x:f>
        <x:v>0.046622264509990484</x:v>
      </x:c>
      <x:c r="X46" s="7" t="str"/>
      <x:c r="Y46" s="2"/>
      <x:c r="Z46" s="2"/>
      <x:c r="AA46" s="2"/>
      <x:c r="AB46" s="2"/>
      <x:c r="AC46" s="2"/>
      <x:c r="AD46" s="2"/>
      <x:c r="AE46" s="2"/>
      <x:c r="AF46" s="2"/>
      <x:c r="AG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7" t="str">
        <x:v>DSA Indexer</x:v>
      </x:c>
      <x:c r="R47" s="7" t="n">
        <x:f>CHOOSE($R$22+1,2)</x:f>
        <x:v>2</x:v>
      </x:c>
      <x:c r="S47" s="7" t="n">
        <x:f>1</x:f>
        <x:v>1</x:v>
      </x:c>
      <x:c r="T47" s="7" t="n">
        <x:f>R47*S47</x:f>
        <x:v>2</x:v>
      </x:c>
      <x:c r="U47" s="28" t="n">
        <x:f>IF(T47=0,0,V47/T47)</x:f>
        <x:v>0.0000152587890625</x:v>
      </x:c>
      <x:c r="V47" s="28" t="n">
        <x:f>SUM(K10)</x:f>
        <x:v>0.000030517578125</x:v>
      </x:c>
      <x:c r="W47" s="31" t="n">
        <x:f>V47/$R$23</x:f>
        <x:v>0.060894386298763085</x:v>
      </x:c>
      <x:c r="X47" s="7" t="str"/>
      <x:c r="Y47" s="2"/>
      <x:c r="Z47" s="2"/>
      <x:c r="AA47" s="2"/>
      <x:c r="AB47" s="2"/>
      <x:c r="AC47" s="2"/>
      <x:c r="AD47" s="2"/>
      <x:c r="AE47" s="2"/>
      <x:c r="AF47" s="2"/>
      <x:c r="AG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7" t="str">
        <x:v>MoE router / latent</x:v>
      </x:c>
      <x:c r="R48" s="7" t="n">
        <x:f>CHOOSE($R$22+1,5)</x:f>
        <x:v>5</x:v>
      </x:c>
      <x:c r="S48" s="7" t="n">
        <x:f>1</x:f>
        <x:v>1</x:v>
      </x:c>
      <x:c r="T48" s="7" t="n">
        <x:f>R48*S48</x:f>
        <x:v>5</x:v>
      </x:c>
      <x:c r="U48" s="28" t="n">
        <x:f>IF(T48=0,0,V48/T48)</x:f>
        <x:v>0.00000476837158203125</x:v>
      </x:c>
      <x:c r="V48" s="28" t="n">
        <x:f>SUM(K11)</x:f>
        <x:v>0.00002384185791015625</x:v>
      </x:c>
      <x:c r="W48" s="31" t="n">
        <x:f>V48/$R$23</x:f>
        <x:v>0.047573739295908656</x:v>
      </x:c>
      <x:c r="X48" s="7" t="str"/>
      <x:c r="Y48" s="2"/>
      <x:c r="Z48" s="2"/>
      <x:c r="AA48" s="2"/>
      <x:c r="AB48" s="2"/>
      <x:c r="AC48" s="2"/>
      <x:c r="AD48" s="2"/>
      <x:c r="AE48" s="2"/>
      <x:c r="AF48" s="2"/>
      <x:c r="AG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7" t="str">
        <x:v>Routed experts</x:v>
      </x:c>
      <x:c r="R49" s="7" t="n">
        <x:f>CHOOSE($R$22+1,5)</x:f>
        <x:v>5</x:v>
      </x:c>
      <x:c r="S49" s="7" t="n">
        <x:f>ROUNDUP($T$9/$R$9,0)</x:f>
        <x:v>1</x:v>
      </x:c>
      <x:c r="T49" s="7" t="n">
        <x:f>R49*S49</x:f>
        <x:v>5</x:v>
      </x:c>
      <x:c r="U49" s="28" t="n">
        <x:f>IF(T49=0,0,V49/T49)</x:f>
        <x:v>0.00000476837158203125</x:v>
      </x:c>
      <x:c r="V49" s="28" t="n">
        <x:f>SUM(K12)</x:f>
        <x:v>0.00002384185791015625</x:v>
      </x:c>
      <x:c r="W49" s="31" t="n">
        <x:f>V49/$R$23</x:f>
        <x:v>0.047573739295908656</x:v>
      </x:c>
      <x:c r="X49" s="7" t="str"/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7" t="str">
        <x:v>Shared experts</x:v>
      </x:c>
      <x:c r="R50" s="7" t="n">
        <x:f>CHOOSE($R$22+1,5)</x:f>
        <x:v>5</x:v>
      </x:c>
      <x:c r="S50" s="7" t="n">
        <x:f>1</x:f>
        <x:v>1</x:v>
      </x:c>
      <x:c r="T50" s="7" t="n">
        <x:f>R50*S50</x:f>
        <x:v>5</x:v>
      </x:c>
      <x:c r="U50" s="28" t="n">
        <x:f>IF(T50=0,0,V50/T50)</x:f>
        <x:v>0.0000057220458984375</x:v>
      </x:c>
      <x:c r="V50" s="28" t="n">
        <x:f>SUM(K13)</x:f>
        <x:v>0.0000286102294921875</x:v>
      </x:c>
      <x:c r="W50" s="31" t="n">
        <x:f>V50/$R$23</x:f>
        <x:v>0.05708848715509039</x:v>
      </x:c>
      <x:c r="X50" s="7" t="str">
        <x:v>1 experts 融合单元</x:v>
      </x:c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6" t="str">
        <x:v>合计</x:v>
      </x:c>
      <x:c r="R51" s="26"/>
      <x:c r="S51" s="26"/>
      <x:c r="T51" s="26"/>
      <x:c r="U51" s="29"/>
      <x:c r="V51" s="29" t="n">
        <x:f>SUM(V40:V50)</x:f>
        <x:v>0.0005011558532714844</x:v>
      </x:c>
      <x:c r="W51" s="26"/>
      <x:c r="X51" s="26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 t="str">
        <x:v>Attention o_proj full gather</x:v>
      </x:c>
      <x:c r="R57" s="32" t="n">
        <x:f>0</x:f>
        <x:v>0</x:v>
      </x:c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 t="str">
        <x:v>Attention o_proj transpose shard</x:v>
      </x:c>
      <x:c r="R58" s="32" t="n">
        <x:f>0</x:f>
        <x:v>0</x:v>
      </x:c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257</x:v>
      </x:c>
      <x:c r="R63" s="33" t="n">
        <x:f>ROUNDUP(Q63/($R$19*$R$12),0)*$R$19</x:f>
        <x:v>96</x:v>
      </x:c>
      <x:c r="S63" s="27" t="n">
        <x:f>R63*$T$3*$V$32/1073741824</x:f>
        <x:v>0.000012159347534179688</x:v>
      </x:c>
      <x:c r="T63" s="27" t="n">
        <x:f>R63*$T$3*$V$33/1073741824</x:f>
        <x:v>0.0000057220458984375</x:v>
      </x:c>
      <x:c r="U63" s="27" t="n">
        <x:f>R63*$R$12*$T$3*$V$35/1073741824</x:f>
        <x:v>0.000024318695068359375</x:v>
      </x:c>
      <x:c r="V63" s="27" t="n">
        <x:f>$T$2*($T$4/$R$2)*$T$5*$T$5*$R$17/1073741824</x:f>
        <x:v>0.00000762939453125</x:v>
      </x:c>
      <x:c r="W63" s="27" t="n">
        <x:f>$T$2*3*($T$4/$R$2)*$T$5*($T$14-1+$R$20)*$R$16/1073741824</x:f>
        <x:v>0.0000021457672119140625</x:v>
      </x:c>
      <x:c r="X63" s="27" t="n">
        <x:f>IF($R$30=1,SUM(S63:W63),NA())</x:f>
        <x:v>0.000051975250244140625</x:v>
      </x:c>
      <x:c r="Y63" s="27" t="n">
        <x:f>$R$23+X63</x:f>
        <x:v>0.000553131103515625</x:v>
      </x:c>
      <x:c r="Z63" s="2"/>
      <x:c r="AA63" s="2"/>
      <x:c r="AB63" s="2"/>
      <x:c r="AC63" s="2"/>
      <x:c r="AD63" s="2"/>
      <x:c r="AE63" s="2"/>
      <x:c r="AF63" s="2"/>
      <x:c r="AG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16</x:v>
      </x:c>
      <x:c r="R64" s="34" t="n">
        <x:f>ROUNDUP(Q64/($R$19*$R$12),0)*$R$19</x:f>
        <x:v>32</x:v>
      </x:c>
      <x:c r="S64" s="28" t="n">
        <x:f>R64*$T$3*$V$32/1073741824</x:f>
        <x:v>0.0000040531158447265625</x:v>
      </x:c>
      <x:c r="T64" s="28" t="n">
        <x:f>R64*$T$3*$V$33/1073741824</x:f>
        <x:v>0.0000019073486328125</x:v>
      </x:c>
      <x:c r="U64" s="28" t="n">
        <x:f>R64*$R$12*$T$3*$V$35/1073741824</x:f>
        <x:v>0.000008106231689453125</x:v>
      </x:c>
      <x:c r="V64" s="28" t="n">
        <x:f>$T$2*($T$4/$R$2)*$T$5*$T$5*$R$17/1073741824</x:f>
        <x:v>0.00000762939453125</x:v>
      </x:c>
      <x:c r="W64" s="28" t="n">
        <x:f>$T$2*3*($T$4/$R$2)*$T$5*($T$14-1+$R$20)*$R$16/1073741824</x:f>
        <x:v>0.0000021457672119140625</x:v>
      </x:c>
      <x:c r="X64" s="28" t="n">
        <x:f>IF($R$30=1,SUM(S64:W64),NA())</x:f>
        <x:v>0.00002384185791015625</x:v>
      </x:c>
      <x:c r="Y64" s="28" t="n">
        <x:f>$R$23+X64</x:f>
        <x:v>0.0005249977111816406</x:v>
      </x:c>
      <x:c r="Z64" s="2"/>
      <x:c r="AA64" s="2"/>
      <x:c r="AB64" s="2"/>
      <x:c r="AC64" s="2"/>
      <x:c r="AD64" s="2"/>
      <x:c r="AE64" s="2"/>
      <x:c r="AF64" s="2"/>
      <x:c r="AG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32</x:v>
      </x:c>
      <x:c r="R65" s="34" t="n">
        <x:f>ROUNDUP(Q65/($R$19*$R$12),0)*$R$19</x:f>
        <x:v>32</x:v>
      </x:c>
      <x:c r="S65" s="28" t="n">
        <x:f>R65*$T$3*$V$32/1073741824</x:f>
        <x:v>0.0000040531158447265625</x:v>
      </x:c>
      <x:c r="T65" s="28" t="n">
        <x:f>R65*$T$3*$V$33/1073741824</x:f>
        <x:v>0.0000019073486328125</x:v>
      </x:c>
      <x:c r="U65" s="28" t="n">
        <x:f>R65*$R$12*$T$3*$V$35/1073741824</x:f>
        <x:v>0.000008106231689453125</x:v>
      </x:c>
      <x:c r="V65" s="28" t="n">
        <x:f>$T$2*($T$4/$R$2)*$T$5*$T$5*$R$17/1073741824</x:f>
        <x:v>0.00000762939453125</x:v>
      </x:c>
      <x:c r="W65" s="28" t="n">
        <x:f>$T$2*3*($T$4/$R$2)*$T$5*($T$14-1+$R$20)*$R$16/1073741824</x:f>
        <x:v>0.0000021457672119140625</x:v>
      </x:c>
      <x:c r="X65" s="28" t="n">
        <x:f>IF($R$30=1,SUM(S65:W65),NA())</x:f>
        <x:v>0.00002384185791015625</x:v>
      </x:c>
      <x:c r="Y65" s="28" t="n">
        <x:f>$R$23+X65</x:f>
        <x:v>0.0005249977111816406</x:v>
      </x:c>
      <x:c r="Z65" s="2"/>
      <x:c r="AA65" s="2"/>
      <x:c r="AB65" s="2"/>
      <x:c r="AC65" s="2"/>
      <x:c r="AD65" s="2"/>
      <x:c r="AE65" s="2"/>
      <x:c r="AF65" s="2"/>
      <x:c r="AG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64</x:v>
      </x:c>
      <x:c r="R66" s="34" t="n">
        <x:f>ROUNDUP(Q66/($R$19*$R$12),0)*$R$19</x:f>
        <x:v>32</x:v>
      </x:c>
      <x:c r="S66" s="28" t="n">
        <x:f>R66*$T$3*$V$32/1073741824</x:f>
        <x:v>0.0000040531158447265625</x:v>
      </x:c>
      <x:c r="T66" s="28" t="n">
        <x:f>R66*$T$3*$V$33/1073741824</x:f>
        <x:v>0.0000019073486328125</x:v>
      </x:c>
      <x:c r="U66" s="28" t="n">
        <x:f>R66*$R$12*$T$3*$V$35/1073741824</x:f>
        <x:v>0.000008106231689453125</x:v>
      </x:c>
      <x:c r="V66" s="28" t="n">
        <x:f>$T$2*($T$4/$R$2)*$T$5*$T$5*$R$17/1073741824</x:f>
        <x:v>0.00000762939453125</x:v>
      </x:c>
      <x:c r="W66" s="28" t="n">
        <x:f>$T$2*3*($T$4/$R$2)*$T$5*($T$14-1+$R$20)*$R$16/1073741824</x:f>
        <x:v>0.0000021457672119140625</x:v>
      </x:c>
      <x:c r="X66" s="28" t="n">
        <x:f>IF($R$30=1,SUM(S66:W66),NA())</x:f>
        <x:v>0.00002384185791015625</x:v>
      </x:c>
      <x:c r="Y66" s="28" t="n">
        <x:f>$R$23+X66</x:f>
        <x:v>0.0005249977111816406</x:v>
      </x:c>
      <x:c r="Z66" s="2"/>
      <x:c r="AA66" s="2"/>
      <x:c r="AB66" s="2"/>
      <x:c r="AC66" s="2"/>
      <x:c r="AD66" s="2"/>
      <x:c r="AE66" s="2"/>
      <x:c r="AF66" s="2"/>
      <x:c r="AG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128</x:v>
      </x:c>
      <x:c r="R67" s="34" t="n">
        <x:f>ROUNDUP(Q67/($R$19*$R$12),0)*$R$19</x:f>
        <x:v>32</x:v>
      </x:c>
      <x:c r="S67" s="28" t="n">
        <x:f>R67*$T$3*$V$32/1073741824</x:f>
        <x:v>0.0000040531158447265625</x:v>
      </x:c>
      <x:c r="T67" s="28" t="n">
        <x:f>R67*$T$3*$V$33/1073741824</x:f>
        <x:v>0.0000019073486328125</x:v>
      </x:c>
      <x:c r="U67" s="28" t="n">
        <x:f>R67*$R$12*$T$3*$V$35/1073741824</x:f>
        <x:v>0.000008106231689453125</x:v>
      </x:c>
      <x:c r="V67" s="28" t="n">
        <x:f>$T$2*($T$4/$R$2)*$T$5*$T$5*$R$17/1073741824</x:f>
        <x:v>0.00000762939453125</x:v>
      </x:c>
      <x:c r="W67" s="28" t="n">
        <x:f>$T$2*3*($T$4/$R$2)*$T$5*($T$14-1+$R$20)*$R$16/1073741824</x:f>
        <x:v>0.0000021457672119140625</x:v>
      </x:c>
      <x:c r="X67" s="28" t="n">
        <x:f>IF($R$30=1,SUM(S67:W67),NA())</x:f>
        <x:v>0.00002384185791015625</x:v>
      </x:c>
      <x:c r="Y67" s="28" t="n">
        <x:f>$R$23+X67</x:f>
        <x:v>0.0005249977111816406</x:v>
      </x:c>
      <x:c r="Z67" s="2"/>
      <x:c r="AA67" s="2"/>
      <x:c r="AB67" s="2"/>
      <x:c r="AC67" s="2"/>
      <x:c r="AD67" s="2"/>
      <x:c r="AE67" s="2"/>
      <x:c r="AF67" s="2"/>
      <x:c r="AG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256</x:v>
      </x:c>
      <x:c r="R68" s="34" t="n">
        <x:f>ROUNDUP(Q68/($R$19*$R$12),0)*$R$19</x:f>
        <x:v>64</x:v>
      </x:c>
      <x:c r="S68" s="28" t="n">
        <x:f>R68*$T$3*$V$32/1073741824</x:f>
        <x:v>0.000008106231689453125</x:v>
      </x:c>
      <x:c r="T68" s="28" t="n">
        <x:f>R68*$T$3*$V$33/1073741824</x:f>
        <x:v>0.000003814697265625</x:v>
      </x:c>
      <x:c r="U68" s="28" t="n">
        <x:f>R68*$R$12*$T$3*$V$35/1073741824</x:f>
        <x:v>0.00001621246337890625</x:v>
      </x:c>
      <x:c r="V68" s="28" t="n">
        <x:f>$T$2*($T$4/$R$2)*$T$5*$T$5*$R$17/1073741824</x:f>
        <x:v>0.00000762939453125</x:v>
      </x:c>
      <x:c r="W68" s="28" t="n">
        <x:f>$T$2*3*($T$4/$R$2)*$T$5*($T$14-1+$R$20)*$R$16/1073741824</x:f>
        <x:v>0.0000021457672119140625</x:v>
      </x:c>
      <x:c r="X68" s="28" t="n">
        <x:f>IF($R$30=1,SUM(S68:W68),NA())</x:f>
        <x:v>0.00003790855407714844</x:v>
      </x:c>
      <x:c r="Y68" s="28" t="n">
        <x:f>$R$23+X68</x:f>
        <x:v>0.0005390644073486328</x:v>
      </x:c>
      <x:c r="Z68" s="2"/>
      <x:c r="AA68" s="2"/>
      <x:c r="AB68" s="2"/>
      <x:c r="AC68" s="2"/>
      <x:c r="AD68" s="2"/>
      <x:c r="AE68" s="2"/>
      <x:c r="AF68" s="2"/>
      <x:c r="AG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512</x:v>
      </x:c>
      <x:c r="R69" s="34" t="n">
        <x:f>ROUNDUP(Q69/($R$19*$R$12),0)*$R$19</x:f>
        <x:v>128</x:v>
      </x:c>
      <x:c r="S69" s="28" t="n">
        <x:f>R69*$T$3*$V$32/1073741824</x:f>
        <x:v>0.00001621246337890625</x:v>
      </x:c>
      <x:c r="T69" s="28" t="n">
        <x:f>R69*$T$3*$V$33/1073741824</x:f>
        <x:v>0.00000762939453125</x:v>
      </x:c>
      <x:c r="U69" s="28" t="n">
        <x:f>R69*$R$12*$T$3*$V$35/1073741824</x:f>
        <x:v>0.0000324249267578125</x:v>
      </x:c>
      <x:c r="V69" s="28" t="n">
        <x:f>$T$2*($T$4/$R$2)*$T$5*$T$5*$R$17/1073741824</x:f>
        <x:v>0.00000762939453125</x:v>
      </x:c>
      <x:c r="W69" s="28" t="n">
        <x:f>$T$2*3*($T$4/$R$2)*$T$5*($T$14-1+$R$20)*$R$16/1073741824</x:f>
        <x:v>0.0000021457672119140625</x:v>
      </x:c>
      <x:c r="X69" s="28" t="n">
        <x:f>IF($R$30=1,SUM(S69:W69),NA())</x:f>
        <x:v>0.00006604194641113281</x:v>
      </x:c>
      <x:c r="Y69" s="28" t="n">
        <x:f>$R$23+X69</x:f>
        <x:v>0.0005671977996826172</x:v>
      </x:c>
      <x:c r="Z69" s="2"/>
      <x:c r="AA69" s="2"/>
      <x:c r="AB69" s="2"/>
      <x:c r="AC69" s="2"/>
      <x:c r="AD69" s="2"/>
      <x:c r="AE69" s="2"/>
      <x:c r="AF69" s="2"/>
      <x:c r="AG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1024</x:v>
      </x:c>
      <x:c r="R70" s="34" t="n">
        <x:f>ROUNDUP(Q70/($R$19*$R$12),0)*$R$19</x:f>
        <x:v>256</x:v>
      </x:c>
      <x:c r="S70" s="28" t="n">
        <x:f>R70*$T$3*$V$32/1073741824</x:f>
        <x:v>0.0000324249267578125</x:v>
      </x:c>
      <x:c r="T70" s="28" t="n">
        <x:f>R70*$T$3*$V$33/1073741824</x:f>
        <x:v>0.0000152587890625</x:v>
      </x:c>
      <x:c r="U70" s="28" t="n">
        <x:f>R70*$R$12*$T$3*$V$35/1073741824</x:f>
        <x:v>0.000064849853515625</x:v>
      </x:c>
      <x:c r="V70" s="28" t="n">
        <x:f>$T$2*($T$4/$R$2)*$T$5*$T$5*$R$17/1073741824</x:f>
        <x:v>0.00000762939453125</x:v>
      </x:c>
      <x:c r="W70" s="28" t="n">
        <x:f>$T$2*3*($T$4/$R$2)*$T$5*($T$14-1+$R$20)*$R$16/1073741824</x:f>
        <x:v>0.0000021457672119140625</x:v>
      </x:c>
      <x:c r="X70" s="28" t="n">
        <x:f>IF($R$30=1,SUM(S70:W70),NA())</x:f>
        <x:v>0.00012230873107910156</x:v>
      </x:c>
      <x:c r="Y70" s="28" t="n">
        <x:f>$R$23+X70</x:f>
        <x:v>0.0006234645843505859</x:v>
      </x:c>
      <x:c r="Z70" s="2"/>
      <x:c r="AA70" s="2"/>
      <x:c r="AB70" s="2"/>
      <x:c r="AC70" s="2"/>
      <x:c r="AD70" s="2"/>
      <x:c r="AE70" s="2"/>
      <x:c r="AF70" s="2"/>
      <x:c r="AG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2048</x:v>
      </x:c>
      <x:c r="R71" s="34" t="n">
        <x:f>ROUNDUP(Q71/($R$19*$R$12),0)*$R$19</x:f>
        <x:v>512</x:v>
      </x:c>
      <x:c r="S71" s="28" t="n">
        <x:f>R71*$T$3*$V$32/1073741824</x:f>
        <x:v>0.000064849853515625</x:v>
      </x:c>
      <x:c r="T71" s="28" t="n">
        <x:f>R71*$T$3*$V$33/1073741824</x:f>
        <x:v>0.000030517578125</x:v>
      </x:c>
      <x:c r="U71" s="28" t="n">
        <x:f>R71*$R$12*$T$3*$V$35/1073741824</x:f>
        <x:v>0.00012969970703125</x:v>
      </x:c>
      <x:c r="V71" s="28" t="n">
        <x:f>$T$2*($T$4/$R$2)*$T$5*$T$5*$R$17/1073741824</x:f>
        <x:v>0.00000762939453125</x:v>
      </x:c>
      <x:c r="W71" s="28" t="n">
        <x:f>$T$2*3*($T$4/$R$2)*$T$5*($T$14-1+$R$20)*$R$16/1073741824</x:f>
        <x:v>0.0000021457672119140625</x:v>
      </x:c>
      <x:c r="X71" s="28" t="n">
        <x:f>IF($R$30=1,SUM(S71:W71),NA())</x:f>
        <x:v>0.00023484230041503906</x:v>
      </x:c>
      <x:c r="Y71" s="28" t="n">
        <x:f>$R$23+X71</x:f>
        <x:v>0.0007359981536865234</x:v>
      </x:c>
      <x:c r="Z71" s="2"/>
      <x:c r="AA71" s="2"/>
      <x:c r="AB71" s="2"/>
      <x:c r="AC71" s="2"/>
      <x:c r="AD71" s="2"/>
      <x:c r="AE71" s="2"/>
      <x:c r="AF71" s="2"/>
      <x:c r="AG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4096</x:v>
      </x:c>
      <x:c r="R72" s="35" t="n">
        <x:f>ROUNDUP(Q72/($R$19*$R$12),0)*$R$19</x:f>
        <x:v>1024</x:v>
      </x:c>
      <x:c r="S72" s="36" t="n">
        <x:f>R72*$T$3*$V$32/1073741824</x:f>
        <x:v>0.00012969970703125</x:v>
      </x:c>
      <x:c r="T72" s="36" t="n">
        <x:f>R72*$T$3*$V$33/1073741824</x:f>
        <x:v>0.00006103515625</x:v>
      </x:c>
      <x:c r="U72" s="36" t="n">
        <x:f>R72*$R$12*$T$3*$V$35/1073741824</x:f>
        <x:v>0.0002593994140625</x:v>
      </x:c>
      <x:c r="V72" s="36" t="n">
        <x:f>$T$2*($T$4/$R$2)*$T$5*$T$5*$R$17/1073741824</x:f>
        <x:v>0.00000762939453125</x:v>
      </x:c>
      <x:c r="W72" s="36" t="n">
        <x:f>$T$2*3*($T$4/$R$2)*$T$5*($T$14-1+$R$20)*$R$16/1073741824</x:f>
        <x:v>0.0000021457672119140625</x:v>
      </x:c>
      <x:c r="X72" s="36" t="n">
        <x:f>IF($R$30=1,SUM(S72:W72),NA())</x:f>
        <x:v>0.00045990943908691406</x:v>
      </x:c>
      <x:c r="Y72" s="36" t="n">
        <x:f>$R$23+X72</x:f>
        <x:v>0.0009610652923583984</x:v>
      </x:c>
      <x:c r="Z72" s="2"/>
      <x:c r="AA72" s="2"/>
      <x:c r="AB72" s="2"/>
      <x:c r="AC72" s="2"/>
      <x:c r="AD72" s="2"/>
      <x:c r="AE72" s="2"/>
      <x:c r="AF72" s="2"/>
      <x:c r="AG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32, 1, 100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DCP 组内按卡复制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MLA 按 DCP 切 token，Indexer 按卡复制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IF(R14="BF16","无",IF(R14="INT8","FP16 / token","FP32 / token"))</x:f>
        <x:v>FP16 / token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INT8 / Indexer INT8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 t="n">
        <x:v>0</x:v>
      </x:c>
      <x:c r="R87" s="2" t="str">
        <x:v>1-6</x:v>
      </x:c>
      <x:c r="S87" s="2" t="n">
        <x:v>6</x:v>
      </x:c>
      <x:c r="T87" s="2" t="n">
        <x:v>4</x:v>
      </x:c>
      <x:c r="U87" s="2" t="n">
        <x:v>2</x:v>
      </x:c>
      <x:c r="V87" s="2" t="n">
        <x:v>5</x:v>
      </x:c>
      <x:c r="W87" s="32" t="n">
        <x:f>SUM(AA2:AA13)</x:f>
        <x:v>0.0005011558532714844</x:v>
      </x:c>
      <x:c r="X87" s="32" t="n">
        <x:f>IF($R$30=1,ROUNDUP($R$18/($R$19*$R$12),0)*$R$19*U87*($V$34+$R$12*$V$35)/1073741824+T87*($T$4/$R$2)*$T$5*$T$5*$R$17/1073741824+T87*3*($T$4/$R$2)*$T$5*($T$14-1+$R$20)*$R$16/1073741824,NA())</x:f>
        <x:v>0.000051975250244140625</x:v>
      </x:c>
      <x:c r="Y87" s="32" t="n">
        <x:f>W87+X87+AC87</x:f>
        <x:v>0.000553131103515625</x:v>
      </x:c>
      <x:c r="Z87" s="2" t="n">
        <x:v>1</x:v>
      </x:c>
      <x:c r="AA87" s="2" t="n">
        <x:v>1</x:v>
      </x:c>
      <x:c r="AB87" s="2" t="n">
        <x:v>0</x:v>
      </x:c>
      <x:c r="AC87" s="32" t="n">
        <x:f>0</x:f>
        <x:v>0</x:v>
      </x:c>
      <x:c r="AD87" s="2"/>
      <x:c r="AE87" s="2"/>
      <x:c r="AF87" s="2"/>
      <x:c r="AG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32"/>
      <x:c r="X88" s="32"/>
      <x:c r="Y88" s="32"/>
      <x:c r="Z88" s="2"/>
      <x:c r="AA88" s="2"/>
      <x:c r="AB88" s="2"/>
      <x:c r="AC88" s="32"/>
      <x:c r="AD88" s="2"/>
      <x:c r="AE88" s="2"/>
      <x:c r="AF88" s="2"/>
      <x:c r="AG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MAX(W87:W87)</x:f>
        <x:v>0.0005011558532714844</x:v>
      </x:c>
      <x:c r="X92" s="37" t="n">
        <x:f>MAX(X87:X87)</x:f>
        <x:v>0.000051975250244140625</x:v>
      </x:c>
      <x:c r="Y92" s="37" t="n">
        <x:f>MAX(Y87:Y87)</x:f>
        <x:v>0.000553131103515625</x:v>
      </x:c>
      <x:c r="Z92" s="5"/>
      <x:c r="AA92" s="5"/>
      <x:c r="AB92" s="5"/>
      <x:c r="AC92" s="37" t="n">
        <x:f>MAX(AC87:AC87)</x:f>
        <x:v>0</x:v>
      </x:c>
      <x:c r="AD92" s="2"/>
      <x:c r="AE92" s="2"/>
      <x:c r="AF92" s="2"/>
      <x:c r="AG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</x:row>
  </x:sheetData>
  <x:mergeCells>
    <x:mergeCell ref="U1:V2"/>
  </x:mergeCells>
  <x:conditionalFormatting sqref="R30:R30">
    <x:cfRule type="cellIs" dxfId="3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4096</x:formula2>
    </x:dataValidation>
    <x:dataValidation type="whole" operator="between" sqref="R19">
      <x:formula1>1</x:formula1>
      <x:formula2>4096</x:formula2>
    </x:dataValidation>
    <x:dataValidation type="whole" operator="between" sqref="R20">
      <x:formula1>0</x:formula1>
      <x:formula2>64</x:formula2>
    </x:dataValidation>
    <x:dataValidation type="list" sqref="R22">
      <x:formula1>"0"</x:formula1>
    </x:dataValidation>
    <x:dataValidation type="list" sqref="R13">
      <x:formula1>"BF16,INT8,FP8"</x:formula1>
    </x:dataValidation>
    <x:dataValidation type="list" sqref="R14">
      <x:formula1>"BF16,INT8,FP8"</x:formula1>
    </x:dataValidation>
    <x:dataValidation type="list" sqref="D2:D13">
      <x:formula1>"BF16,FP32,FP8,MXFP4,MXFP8,INT4,INT8"</x:formula1>
    </x:dataValidation>
  </x:dataValidations>
  <x:pageMargins left="0.7" right="0.7" top="0.75" bottom="0.75" header="0.3" footer="0.3"/>
</x:worksheet>
</file>